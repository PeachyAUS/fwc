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ACC91302-EE94-824E-AD49-2A623F8A7DBB}" xr6:coauthVersionLast="47" xr6:coauthVersionMax="47" xr10:uidLastSave="{00000000-0000-0000-0000-000000000000}"/>
  <bookViews>
    <workbookView xWindow="0" yWindow="660" windowWidth="34560" windowHeight="20580" tabRatio="500"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<sst xmlns="http://schemas.openxmlformats.org/spreadsheetml/2006/main" count="1778" uniqueCount="413">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</sst>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3" fillId="0" borderId="0" xfId="0" applyFont="1" applyAlignment="1">
      <alignment horizontal="center" vertical="center"/>
    </xf>
    <xf numFmtId="0" fontId="0" fillId="0" borderId="0" xfId="0"/>
    <xf numFmtId="0" fontId="64" fillId="0" borderId="0" xfId="0" applyFont="1" applyAlignment="1">
      <alignment horizontal="center" vertical="center"/>
    </xf>
    <xf numFmtId="0" fontId="69" fillId="0" borderId="0" xfId="0" applyFont="1" applyAlignment="1">
      <alignment horizontal="left" vertical="top" wrapText="1"/>
    </xf>
    <xf numFmtId="0" fontId="65" fillId="4" borderId="0" xfId="0" applyFont="1" applyFill="1" applyAlignment="1">
      <alignment horizontal="left" vertical="center" indent="1"/>
    </xf>
    <xf numFmtId="0" fontId="66"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A1:D96"/>
  <sheetViews>
    <sheetView tabSelected="1"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inlineStr">
        <is>
          <t>Rule change date</t>
        </is>
      </c>
      <c r="C50">
        <v>46209</v>
      </c>
      <c r="D50" s="22" t="inlineStr">
        <is>
          <t>Idle gaps that ended before this date are not back-charged. Current idle time counts in full.</t>
        </is>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66</v>
      </c>
    </row>
    <row r="60" spans="2:4" ht="30" customHeight="1" x14ac:dyDescent="0.2">
      <c r="B60" s="3" t="s">
        <v>67</v>
      </c>
    </row>
    <row r="61" spans="2:4" ht="30" customHeight="1" x14ac:dyDescent="0.2">
      <c r="B61" s="3" t="s">
        <v>68</v>
      </c>
    </row>
    <row r="62" spans="2:4" ht="30" customHeight="1" x14ac:dyDescent="0.2">
      <c r="B62" s="3" t="s">
        <v>69</v>
      </c>
    </row>
    <row r="63" spans="2:4" ht="30" customHeight="1" x14ac:dyDescent="0.2">
      <c r="B63" s="3" t="s">
        <v>70</v>
      </c>
    </row>
    <row r="64" spans="2:4" ht="30" customHeight="1" x14ac:dyDescent="0.2">
      <c r="B64" s="3" t="s">
        <v>71</v>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s">
        <v>104</v>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6" t="s">
        <v>367</v>
      </c>
      <c r="B1" s="137"/>
      <c r="C1" s="137"/>
      <c r="D1" s="137"/>
      <c r="E1" s="137"/>
      <c r="F1" s="137"/>
      <c r="G1" s="137"/>
      <c r="H1" s="137"/>
    </row>
    <row r="2" spans="1:8" ht="18" customHeight="1" x14ac:dyDescent="0.2">
      <c r="A2" s="138" t="s">
        <v>380</v>
      </c>
      <c r="B2" s="137"/>
      <c r="C2" s="137"/>
      <c r="D2" s="137"/>
      <c r="E2" s="137"/>
      <c r="F2" s="137"/>
      <c r="G2" s="137"/>
      <c r="H2" s="137"/>
    </row>
    <row r="3" spans="1:8" ht="48" customHeight="1" x14ac:dyDescent="0.2">
      <c r="A3" s="139" t="s">
        <v>368</v>
      </c>
      <c r="B3" s="137"/>
      <c r="C3" s="137"/>
      <c r="D3" s="137"/>
      <c r="E3" s="137"/>
      <c r="F3" s="137"/>
      <c r="G3" s="137"/>
      <c r="H3" s="137"/>
    </row>
    <row r="6" spans="1:8" ht="22" customHeight="1" x14ac:dyDescent="0.2">
      <c r="A6" s="140" t="s">
        <v>369</v>
      </c>
      <c r="B6" s="137"/>
      <c r="C6" s="137"/>
      <c r="D6" s="137"/>
      <c r="E6" s="137"/>
      <c r="F6" s="137"/>
      <c r="G6" s="137"/>
      <c r="H6" s="137"/>
    </row>
    <row r="7" spans="1:8" ht="51" customHeight="1" x14ac:dyDescent="0.2">
      <c r="A7" s="134" t="s">
        <v>370</v>
      </c>
      <c r="B7" s="141" t="s">
        <v>381</v>
      </c>
      <c r="C7" s="137"/>
      <c r="D7" s="137"/>
      <c r="E7" s="137"/>
      <c r="F7" s="137"/>
      <c r="G7" s="137"/>
      <c r="H7" s="137"/>
    </row>
    <row r="8" spans="1:8" ht="36" customHeight="1" x14ac:dyDescent="0.2">
      <c r="A8" s="135" t="s">
        <v>371</v>
      </c>
      <c r="B8" s="141" t="s">
        <v>382</v>
      </c>
      <c r="C8" s="137"/>
      <c r="D8" s="137"/>
      <c r="E8" s="137"/>
      <c r="F8" s="137"/>
      <c r="G8" s="137"/>
      <c r="H8" s="137"/>
    </row>
    <row r="9" spans="1:8" ht="21" customHeight="1" x14ac:dyDescent="0.2">
      <c r="A9" s="134" t="s">
        <v>370</v>
      </c>
      <c r="B9" s="141" t="s">
        <v>383</v>
      </c>
      <c r="C9" s="137"/>
      <c r="D9" s="137"/>
      <c r="E9" s="137"/>
      <c r="F9" s="137"/>
      <c r="G9" s="137"/>
      <c r="H9" s="137"/>
    </row>
    <row r="10" spans="1:8" ht="36" customHeight="1" x14ac:dyDescent="0.2">
      <c r="A10" s="135" t="s">
        <v>371</v>
      </c>
      <c r="B10" s="141" t="s">
        <v>384</v>
      </c>
      <c r="C10" s="137"/>
      <c r="D10" s="137"/>
      <c r="E10" s="137"/>
      <c r="F10" s="137"/>
      <c r="G10" s="137"/>
      <c r="H10" s="137"/>
    </row>
    <row r="12" spans="1:8" ht="22" customHeight="1" x14ac:dyDescent="0.2">
      <c r="A12" s="140" t="s">
        <v>372</v>
      </c>
      <c r="B12" s="137"/>
      <c r="C12" s="137"/>
      <c r="D12" s="137"/>
      <c r="E12" s="137"/>
      <c r="F12" s="137"/>
      <c r="G12" s="137"/>
      <c r="H12" s="137"/>
    </row>
    <row r="13" spans="1:8" ht="36" customHeight="1" x14ac:dyDescent="0.2">
      <c r="A13" s="134" t="s">
        <v>370</v>
      </c>
      <c r="B13" s="141" t="s">
        <v>385</v>
      </c>
      <c r="C13" s="137"/>
      <c r="D13" s="137"/>
      <c r="E13" s="137"/>
      <c r="F13" s="137"/>
      <c r="G13" s="137"/>
      <c r="H13" s="137"/>
    </row>
    <row r="14" spans="1:8" ht="36" customHeight="1" x14ac:dyDescent="0.2">
      <c r="A14" s="135" t="s">
        <v>371</v>
      </c>
      <c r="B14" s="141" t="s">
        <v>386</v>
      </c>
      <c r="C14" s="137"/>
      <c r="D14" s="137"/>
      <c r="E14" s="137"/>
      <c r="F14" s="137"/>
      <c r="G14" s="137"/>
      <c r="H14" s="137"/>
    </row>
    <row r="15" spans="1:8" ht="21" customHeight="1" x14ac:dyDescent="0.2">
      <c r="A15" s="134" t="s">
        <v>370</v>
      </c>
      <c r="B15" s="141" t="s">
        <v>387</v>
      </c>
      <c r="C15" s="137"/>
      <c r="D15" s="137"/>
      <c r="E15" s="137"/>
      <c r="F15" s="137"/>
      <c r="G15" s="137"/>
      <c r="H15" s="137"/>
    </row>
    <row r="16" spans="1:8" ht="36" customHeight="1" x14ac:dyDescent="0.2">
      <c r="A16" s="135" t="s">
        <v>371</v>
      </c>
      <c r="B16" s="141" t="s">
        <v>388</v>
      </c>
      <c r="C16" s="137"/>
      <c r="D16" s="137"/>
      <c r="E16" s="137"/>
      <c r="F16" s="137"/>
      <c r="G16" s="137"/>
      <c r="H16" s="137"/>
    </row>
    <row r="18" spans="1:8" ht="22" customHeight="1" x14ac:dyDescent="0.2">
      <c r="A18" s="140" t="s">
        <v>373</v>
      </c>
      <c r="B18" s="137"/>
      <c r="C18" s="137"/>
      <c r="D18" s="137"/>
      <c r="E18" s="137"/>
      <c r="F18" s="137"/>
      <c r="G18" s="137"/>
      <c r="H18" s="137"/>
    </row>
    <row r="19" spans="1:8" ht="21" customHeight="1" x14ac:dyDescent="0.2">
      <c r="A19" s="134" t="s">
        <v>370</v>
      </c>
      <c r="B19" s="141" t="s">
        <v>389</v>
      </c>
      <c r="C19" s="137"/>
      <c r="D19" s="137"/>
      <c r="E19" s="137"/>
      <c r="F19" s="137"/>
      <c r="G19" s="137"/>
      <c r="H19" s="137"/>
    </row>
    <row r="20" spans="1:8" ht="51" customHeight="1" x14ac:dyDescent="0.2">
      <c r="A20" s="135" t="s">
        <v>371</v>
      </c>
      <c r="B20" s="141" t="s">
        <v>390</v>
      </c>
      <c r="C20" s="137"/>
      <c r="D20" s="137"/>
      <c r="E20" s="137"/>
      <c r="F20" s="137"/>
      <c r="G20" s="137"/>
      <c r="H20" s="137"/>
    </row>
    <row r="21" spans="1:8" ht="21" customHeight="1" x14ac:dyDescent="0.2">
      <c r="A21" s="134" t="s">
        <v>370</v>
      </c>
      <c r="B21" s="141" t="s">
        <v>391</v>
      </c>
      <c r="C21" s="137"/>
      <c r="D21" s="137"/>
      <c r="E21" s="137"/>
      <c r="F21" s="137"/>
      <c r="G21" s="137"/>
      <c r="H21" s="137"/>
    </row>
    <row r="22" spans="1:8" ht="51" customHeight="1" x14ac:dyDescent="0.2">
      <c r="A22" s="135" t="s">
        <v>371</v>
      </c>
      <c r="B22" s="141" t="s">
        <v>392</v>
      </c>
      <c r="C22" s="137"/>
      <c r="D22" s="137"/>
      <c r="E22" s="137"/>
      <c r="F22" s="137"/>
      <c r="G22" s="137"/>
      <c r="H22" s="137"/>
    </row>
    <row r="24" spans="1:8" ht="22" customHeight="1" x14ac:dyDescent="0.2">
      <c r="A24" s="140" t="s">
        <v>374</v>
      </c>
      <c r="B24" s="137"/>
      <c r="C24" s="137"/>
      <c r="D24" s="137"/>
      <c r="E24" s="137"/>
      <c r="F24" s="137"/>
      <c r="G24" s="137"/>
      <c r="H24" s="137"/>
    </row>
    <row r="25" spans="1:8" ht="21" customHeight="1" x14ac:dyDescent="0.2">
      <c r="A25" s="134" t="s">
        <v>370</v>
      </c>
      <c r="B25" s="141" t="s">
        <v>393</v>
      </c>
      <c r="C25" s="137"/>
      <c r="D25" s="137"/>
      <c r="E25" s="137"/>
      <c r="F25" s="137"/>
      <c r="G25" s="137"/>
      <c r="H25" s="137"/>
    </row>
    <row r="26" spans="1:8" ht="51" customHeight="1" x14ac:dyDescent="0.2">
      <c r="A26" s="135" t="s">
        <v>371</v>
      </c>
      <c r="B26" s="141" t="s">
        <v>394</v>
      </c>
      <c r="C26" s="137"/>
      <c r="D26" s="137"/>
      <c r="E26" s="137"/>
      <c r="F26" s="137"/>
      <c r="G26" s="137"/>
      <c r="H26" s="137"/>
    </row>
    <row r="27" spans="1:8" ht="21" customHeight="1" x14ac:dyDescent="0.2">
      <c r="A27" s="134" t="s">
        <v>370</v>
      </c>
      <c r="B27" s="141" t="s">
        <v>395</v>
      </c>
      <c r="C27" s="137"/>
      <c r="D27" s="137"/>
      <c r="E27" s="137"/>
      <c r="F27" s="137"/>
      <c r="G27" s="137"/>
      <c r="H27" s="137"/>
    </row>
    <row r="28" spans="1:8" ht="51" customHeight="1" x14ac:dyDescent="0.2">
      <c r="A28" s="135" t="s">
        <v>371</v>
      </c>
      <c r="B28" s="141" t="s">
        <v>396</v>
      </c>
      <c r="C28" s="137"/>
      <c r="D28" s="137"/>
      <c r="E28" s="137"/>
      <c r="F28" s="137"/>
      <c r="G28" s="137"/>
      <c r="H28" s="137"/>
    </row>
    <row r="29" spans="1:8" ht="21" customHeight="1" x14ac:dyDescent="0.2">
      <c r="A29" s="134" t="s">
        <v>370</v>
      </c>
      <c r="B29" s="141" t="s">
        <v>397</v>
      </c>
      <c r="C29" s="137"/>
      <c r="D29" s="137"/>
      <c r="E29" s="137"/>
      <c r="F29" s="137"/>
      <c r="G29" s="137"/>
      <c r="H29" s="137"/>
    </row>
    <row r="30" spans="1:8" ht="36" customHeight="1" x14ac:dyDescent="0.2">
      <c r="A30" s="135" t="s">
        <v>371</v>
      </c>
      <c r="B30" s="141" t="s">
        <v>398</v>
      </c>
      <c r="C30" s="137"/>
      <c r="D30" s="137"/>
      <c r="E30" s="137"/>
      <c r="F30" s="137"/>
      <c r="G30" s="137"/>
      <c r="H30" s="137"/>
    </row>
    <row r="32" spans="1:8" ht="22" customHeight="1" x14ac:dyDescent="0.2">
      <c r="A32" s="140" t="s">
        <v>375</v>
      </c>
      <c r="B32" s="137"/>
      <c r="C32" s="137"/>
      <c r="D32" s="137"/>
      <c r="E32" s="137"/>
      <c r="F32" s="137"/>
      <c r="G32" s="137"/>
      <c r="H32" s="137"/>
    </row>
    <row r="33" spans="1:8" ht="21" customHeight="1" x14ac:dyDescent="0.2">
      <c r="A33" s="134" t="s">
        <v>370</v>
      </c>
      <c r="B33" s="141" t="s">
        <v>399</v>
      </c>
      <c r="C33" s="137"/>
      <c r="D33" s="137"/>
      <c r="E33" s="137"/>
      <c r="F33" s="137"/>
      <c r="G33" s="137"/>
      <c r="H33" s="137"/>
    </row>
    <row r="34" spans="1:8" ht="51" customHeight="1" x14ac:dyDescent="0.2">
      <c r="A34" s="135" t="s">
        <v>371</v>
      </c>
      <c r="B34" s="141" t="s">
        <v>400</v>
      </c>
      <c r="C34" s="137"/>
      <c r="D34" s="137"/>
      <c r="E34" s="137"/>
      <c r="F34" s="137"/>
      <c r="G34" s="137"/>
      <c r="H34" s="137"/>
    </row>
    <row r="35" spans="1:8" ht="21" customHeight="1" x14ac:dyDescent="0.2">
      <c r="A35" s="134" t="s">
        <v>370</v>
      </c>
      <c r="B35" s="141" t="s">
        <v>401</v>
      </c>
      <c r="C35" s="137"/>
      <c r="D35" s="137"/>
      <c r="E35" s="137"/>
      <c r="F35" s="137"/>
      <c r="G35" s="137"/>
      <c r="H35" s="137"/>
    </row>
    <row r="36" spans="1:8" ht="36" customHeight="1" x14ac:dyDescent="0.2">
      <c r="A36" s="135" t="s">
        <v>371</v>
      </c>
      <c r="B36" s="141" t="s">
        <v>402</v>
      </c>
      <c r="C36" s="137"/>
      <c r="D36" s="137"/>
      <c r="E36" s="137"/>
      <c r="F36" s="137"/>
      <c r="G36" s="137"/>
      <c r="H36" s="137"/>
    </row>
    <row r="37" spans="1:8" ht="21" customHeight="1" x14ac:dyDescent="0.2">
      <c r="A37" s="134" t="s">
        <v>370</v>
      </c>
      <c r="B37" s="141" t="s">
        <v>403</v>
      </c>
      <c r="C37" s="137"/>
      <c r="D37" s="137"/>
      <c r="E37" s="137"/>
      <c r="F37" s="137"/>
      <c r="G37" s="137"/>
      <c r="H37" s="137"/>
    </row>
    <row r="38" spans="1:8" ht="51" customHeight="1" x14ac:dyDescent="0.2">
      <c r="A38" s="135" t="s">
        <v>371</v>
      </c>
      <c r="B38" s="141" t="s">
        <v>404</v>
      </c>
      <c r="C38" s="137"/>
      <c r="D38" s="137"/>
      <c r="E38" s="137"/>
      <c r="F38" s="137"/>
      <c r="G38" s="137"/>
      <c r="H38" s="137"/>
    </row>
    <row r="39" spans="1:8" ht="21" customHeight="1" x14ac:dyDescent="0.2">
      <c r="A39" s="134" t="s">
        <v>370</v>
      </c>
      <c r="B39" s="141" t="s">
        <v>405</v>
      </c>
      <c r="C39" s="137"/>
      <c r="D39" s="137"/>
      <c r="E39" s="137"/>
      <c r="F39" s="137"/>
      <c r="G39" s="137"/>
      <c r="H39" s="137"/>
    </row>
    <row r="41" spans="1:8" ht="22" customHeight="1" x14ac:dyDescent="0.2">
      <c r="A41" s="140" t="s">
        <v>376</v>
      </c>
      <c r="B41" s="137"/>
      <c r="C41" s="137"/>
      <c r="D41" s="137"/>
      <c r="E41" s="137"/>
      <c r="F41" s="137"/>
      <c r="G41" s="137"/>
      <c r="H41" s="137"/>
    </row>
    <row r="42" spans="1:8" ht="21" customHeight="1" x14ac:dyDescent="0.2">
      <c r="A42" s="134" t="s">
        <v>370</v>
      </c>
      <c r="B42" s="141" t="s">
        <v>406</v>
      </c>
      <c r="C42" s="137"/>
      <c r="D42" s="137"/>
      <c r="E42" s="137"/>
      <c r="F42" s="137"/>
      <c r="G42" s="137"/>
      <c r="H42" s="137"/>
    </row>
    <row r="43" spans="1:8" ht="51" customHeight="1" x14ac:dyDescent="0.2">
      <c r="A43" s="135" t="s">
        <v>371</v>
      </c>
      <c r="B43" s="141" t="s">
        <v>407</v>
      </c>
      <c r="C43" s="137"/>
      <c r="D43" s="137"/>
      <c r="E43" s="137"/>
      <c r="F43" s="137"/>
      <c r="G43" s="137"/>
      <c r="H43" s="137"/>
    </row>
    <row r="44" spans="1:8" ht="21" customHeight="1" x14ac:dyDescent="0.2">
      <c r="A44" s="134" t="s">
        <v>370</v>
      </c>
      <c r="B44" s="141" t="s">
        <v>408</v>
      </c>
      <c r="C44" s="137"/>
      <c r="D44" s="137"/>
      <c r="E44" s="137"/>
      <c r="F44" s="137"/>
      <c r="G44" s="137"/>
      <c r="H44" s="137"/>
    </row>
    <row r="45" spans="1:8" ht="36" customHeight="1" x14ac:dyDescent="0.2">
      <c r="A45" s="135" t="s">
        <v>371</v>
      </c>
      <c r="B45" s="141" t="s">
        <v>409</v>
      </c>
      <c r="C45" s="137"/>
      <c r="D45" s="137"/>
      <c r="E45" s="137"/>
      <c r="F45" s="137"/>
      <c r="G45" s="137"/>
      <c r="H45" s="137"/>
    </row>
    <row r="46" spans="1:8" ht="21" customHeight="1" x14ac:dyDescent="0.2">
      <c r="A46" s="134" t="s">
        <v>370</v>
      </c>
      <c r="B46" s="141" t="s">
        <v>410</v>
      </c>
      <c r="C46" s="137"/>
      <c r="D46" s="137"/>
      <c r="E46" s="137"/>
      <c r="F46" s="137"/>
      <c r="G46" s="137"/>
      <c r="H46" s="137"/>
    </row>
    <row r="47" spans="1:8" ht="21" customHeight="1" x14ac:dyDescent="0.2">
      <c r="A47" s="135" t="s">
        <v>371</v>
      </c>
      <c r="B47" s="141" t="s">
        <v>377</v>
      </c>
      <c r="C47" s="137"/>
      <c r="D47" s="137"/>
      <c r="E47" s="137"/>
      <c r="F47" s="137"/>
      <c r="G47" s="137"/>
      <c r="H47" s="137"/>
    </row>
    <row r="49" spans="1:8" ht="22" customHeight="1" x14ac:dyDescent="0.2">
      <c r="A49" s="140" t="s">
        <v>378</v>
      </c>
      <c r="B49" s="137"/>
      <c r="C49" s="137"/>
      <c r="D49" s="137"/>
      <c r="E49" s="137"/>
      <c r="F49" s="137"/>
      <c r="G49" s="137"/>
      <c r="H49" s="137"/>
    </row>
    <row r="50" spans="1:8" ht="36" customHeight="1" x14ac:dyDescent="0.2">
      <c r="A50" s="134" t="s">
        <v>370</v>
      </c>
      <c r="B50" s="141" t="s">
        <v>411</v>
      </c>
      <c r="C50" s="137"/>
      <c r="D50" s="137"/>
      <c r="E50" s="137"/>
      <c r="F50" s="137"/>
      <c r="G50" s="137"/>
      <c r="H50" s="137"/>
    </row>
    <row r="51" spans="1:8" ht="21" customHeight="1" x14ac:dyDescent="0.2">
      <c r="A51" s="135" t="s">
        <v>371</v>
      </c>
      <c r="B51" s="141" t="s">
        <v>412</v>
      </c>
      <c r="C51" s="137"/>
      <c r="D51" s="137"/>
      <c r="E51" s="137"/>
      <c r="F51" s="137"/>
      <c r="G51" s="137"/>
      <c r="H51" s="137"/>
    </row>
    <row r="52" spans="1:8" ht="21" customHeight="1" x14ac:dyDescent="0.2">
      <c r="A52" s="134" t="s">
        <v>370</v>
      </c>
      <c r="B52" s="141" t="s">
        <v>379</v>
      </c>
      <c r="C52" s="137"/>
      <c r="D52" s="137"/>
      <c r="E52" s="137"/>
      <c r="F52" s="137"/>
      <c r="G52" s="137"/>
      <c r="H52" s="137"/>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Log'!$D$4:$D$810,$B12,'Match Log'!$C$4:$C$810,$A12,'Match Log'!$E$4:$E$810,"Win")&amp;"–"&amp;(COUNTIFS('Match Log'!$D$4:$D$810,$B12,'Match Log'!$C$4:$C$810,$A12)-COUNTIFS('Match Log'!$D$4:$D$810,$B12,'Match Log'!$C$4:$C$810,$A12,'Match Log'!$E$4:$E$810,"Win")))</f>
        <v>6–2</v>
      </c>
      <c r="E12" s="30">
        <f>IFERROR('Sport Records'!$P$10,0)</f>
        <v>16</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1</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9</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Josh</v>
      </c>
      <c r="C28" s="30">
        <f>IF(OR($B28="—",$B28=""),"",ROUND(MAX('Sport Records'!$B$109:$O$109),0))</f>
        <v>1005</v>
      </c>
      <c r="D28" s="30" t="str">
        <f>IF(OR($B28="—",$B28=""),"—",COUNTIFS('Match Log'!$D$4:$D$810,$B28,'Match Log'!$C$4:$C$810,$A28,'Match Log'!$E$4:$E$810,"Win")&amp;"–"&amp;(COUNTIFS('Match Log'!$D$4:$D$810,$B28,'Match Log'!$C$4:$C$810,$A28)-COUNTIFS('Match Log'!$D$4:$D$810,$B28,'Match Log'!$C$4:$C$810,$A28,'Match Log'!$E$4:$E$810,"Win")))</f>
        <v>2–2</v>
      </c>
      <c r="E28" s="30">
        <f>'Sport Records'!$P$26</f>
        <v>4</v>
      </c>
    </row>
    <row r="29">
      <c r="A29" s="28" t="inlineStr">
        <is>
          <t>HORSE - Basketball</t>
        </is>
      </c>
      <c r="B29" s="29" t="str">
        <f>IFERROR('Sport Records'!$P$110,"—")</f>
        <v>—</v>
      </c>
      <c r="C29" s="30" t="str">
        <f>IF(OR($B29="—",$B29=""),"",ROUND(MAX('Sport Records'!$B$110:$O$110),0))</f>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zoomScale="200" zoomScaleNormal="200" workbookViewId="0">
      <pane xSplit="3" ySplit="4" topLeftCell="D5" activePane="bottomRight" state="frozen"/>
      <selection pane="topRight" activeCell="D1" sqref="D1"/>
      <selection pane="bottomLeft" activeCell="A5" sqref="A5"/>
      <selection pane="bottomRight" activeCell="G24" sqref="G24"/>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Log'!$A$4:$A$810)&amp;"  ·  "&amp;TEXT(MAX('Match Log'!$B$4:$B$810),"d mmm yyyy")</f>
        <v>Standings as of Game 123  ·  5 Jul 2026</v>
      </c>
      <c r="T2" s="47" t="str">
        <f>IF(COUNTIF($T$5:$T$18,"At risk")+COUNTIF($T$5:$T$18,"Inactive")=0,"Inactivity watch:  all players active ✓","⚠ Inactivity watch:  "&amp;(COUNTIF($T$5:$T$18,"At risk")+COUNTIF($T$5:$T$18,"Inactive"))&amp;" player(s) need a game — see Activity column")</f>
        <v>⚠ Inactivity watch:  8 player(s) need a game — see Activity column</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 t="shared" ref="A5:A18" si="0">SUMPRODUCT(($C$5:$C$18&gt;$C5)*1)+SUMPRODUCT(($C$5:$C$18=$C5)*($D$5:$D$18&gt;$D5)*1)+1</f>
        <v>1</v>
      </c>
      <c r="B5" s="51" t="s">
        <v>174</v>
      </c>
      <c r="C5" s="52">
        <f>INDEX(Engine!$B$2:$B$15,MATCH($B5,Engine!$A$2:$A$15,0))</f>
        <v>1189.3765078898728</v>
      </c>
      <c r="D5" s="53">
        <f>COUNTIF('Match Log'!$D$4:$D$810,$B5)</f>
        <v>23</v>
      </c>
      <c r="E5" s="53">
        <f>COUNTIFS('Match Log'!$D$4:$D$810,$B5,'Match Log'!$E$4:$E$810,"Win")</f>
        <v>15</v>
      </c>
      <c r="F5" s="53">
        <f t="shared" ref="F5:F18" si="1">$D5-$E5</f>
        <v>8</v>
      </c>
      <c r="G5" s="54">
        <f t="shared" ref="G5:G18" si="2">IF($D5=0,"",$E5/$D5)</f>
        <v>0.65217391304347827</v>
      </c>
      <c r="H5" s="55">
        <f>SUMIF('Match Log'!$D$4:$D$810,$B5,'Match Log'!$J$4:$J$810)</f>
        <v>80.736145770043876</v>
      </c>
      <c r="I5" s="55">
        <f>SUMIF('Match Log'!$D$4:$D$810,$B5,'Match Log'!$K$4:$K$810)</f>
        <v>56.640362119828737</v>
      </c>
      <c r="J5" s="55">
        <f>SUMIF('Match Log'!$D$4:$D$810,$B5,'Match Log'!$L$4:$L$810)</f>
        <v>52</v>
      </c>
      <c r="K5" s="53">
        <f>SUMPRODUCT(--(COUNTIFS('Match Log'!$D$4:$D$810,$B5,'Match Log'!$C$4:$C$810,Lists!$C$2:$C$21)&gt;0))</f>
        <v>3</v>
      </c>
      <c r="L5" s="53" t="str">
        <f>IF($D5=0,"No games",IF(AND($D5&gt;='Guide &amp; Settings'!$C$45,$K5&gt;='Guide &amp; Settings'!$C$46),"Eligible","Provisional"))</f>
        <v>Eligible</v>
      </c>
      <c r="M5" s="52">
        <f>IFERROR(INDEX(Calcs!$C$7:$C$20,MATCH($B5,Calcs!$A$7:$A$20,0)),"")</f>
        <v>1071.3635623683515</v>
      </c>
      <c r="N5" s="52">
        <f t="shared" ref="N5:N18" si="3">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2.7</v>
      </c>
      <c r="T5" s="53" t="str">
        <f>IFERROR(INDEX(Calcs!$T$7:$T$20,MATCH($B5,Calcs!$A$7:$A$20,0)),"")</f>
        <v>At risk</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 t="shared" si="0"/>
        <v>2</v>
      </c>
      <c r="B6" s="51" t="s">
        <v>144</v>
      </c>
      <c r="C6" s="52">
        <f>INDEX(Engine!$B$2:$B$15,MATCH($B6,Engine!$A$2:$A$15,0))</f>
        <v>1147.1945550051951</v>
      </c>
      <c r="D6" s="53">
        <f>COUNTIF('Match Log'!$D$4:$D$810,$B6)</f>
        <v>32</v>
      </c>
      <c r="E6" s="53">
        <f>COUNTIFS('Match Log'!$D$4:$D$810,$B6,'Match Log'!$E$4:$E$810,"Win")</f>
        <v>20</v>
      </c>
      <c r="F6" s="53">
        <f t="shared" si="1"/>
        <v>12</v>
      </c>
      <c r="G6" s="54">
        <f t="shared" si="2"/>
        <v>0.625</v>
      </c>
      <c r="H6" s="55">
        <f>SUMIF('Match Log'!$D$4:$D$810,$B6,'Match Log'!$J$4:$J$810)</f>
        <v>35.723163059660365</v>
      </c>
      <c r="I6" s="55">
        <f>SUMIF('Match Log'!$D$4:$D$810,$B6,'Match Log'!$K$4:$K$810)</f>
        <v>51.471391945534876</v>
      </c>
      <c r="J6" s="55">
        <f>SUMIF('Match Log'!$D$4:$D$810,$B6,'Match Log'!$L$4:$L$810)</f>
        <v>60</v>
      </c>
      <c r="K6" s="53">
        <f>SUMPRODUCT(--(COUNTIFS('Match Log'!$D$4:$D$810,$B6,'Match Log'!$C$4:$C$810,Lists!$C$2:$C$21)&gt;0))</f>
        <v>8</v>
      </c>
      <c r="L6" s="53" t="str">
        <f>IF($D6=0,"No games",IF(AND($D6&gt;='Guide &amp; Settings'!$C$45,$K6&gt;='Guide &amp; Settings'!$C$46),"Eligible","Provisional"))</f>
        <v>Eligible</v>
      </c>
      <c r="M6" s="52">
        <f>IFERROR(INDEX(Calcs!$C$7:$C$20,MATCH($B6,Calcs!$A$7:$A$20,0)),"")</f>
        <v>1053.5290360246011</v>
      </c>
      <c r="N6" s="52">
        <f t="shared" si="3"/>
        <v>42.181952884677685</v>
      </c>
      <c r="O6" s="53" t="str">
        <f>IFERROR(INDEX(Calcs!$H$7:$H$20,MATCH($B6,Calcs!$A$7:$A$20,0)),"")</f>
        <v>L1</v>
      </c>
      <c r="P6" s="53" t="str">
        <f>IFERROR(INDEX(Calcs!$I$7:$I$20,MATCH($B6,Calcs!$A$7:$A$20,0)),"")</f>
        <v>LLWWL</v>
      </c>
      <c r="Q6" s="53" t="str">
        <f>IFERROR(IF(INDEX(Calcs!$L$7:$L$20,MATCH($B6,Calcs!$A$7:$A$20,0))&gt;0,"▲"&amp;INDEX(Calcs!$L$7:$L$20,MATCH($B6,Calcs!$A$7:$A$20,0)),IF(INDEX(Calcs!$L$7:$L$20,MATCH($B6,Calcs!$A$7:$A$20,0))&lt;0,"▼"&amp;ABS(INDEX(Calcs!$L$7:$L$20,MATCH($B6,Calcs!$A$7:$A$20,0))),"–")),"")</f>
        <v>–</v>
      </c>
      <c r="R6" s="53" t="str">
        <f>IFERROR(IF(INDEX(Calcs!$P$7:$P$20,MATCH($B6,Calcs!$A$7:$A$20,0))=0,"—",TEXT(INDEX(Calcs!$P$7:$P$20,MATCH($B6,Calcs!$A$7:$A$20,0)),"d mmm")),"")</f>
        <v>26 Jun</v>
      </c>
      <c r="S6" s="53">
        <f>IFERROR(ROUND(INDEX(Calcs!$Q$7:$Q$20,MATCH($B6,Calcs!$A$7:$A$20,0)),1),"")</f>
        <v>1.3</v>
      </c>
      <c r="T6" s="53" t="str">
        <f>IFERROR(INDEX(Calcs!$T$7:$T$20,MATCH($B6,Calcs!$A$7:$A$20,0)),"")</f>
        <v>Active</v>
      </c>
      <c r="U6" s="55">
        <f>IFERROR(MAX(0,ROUND($C6-INDEX(Calcs!$S$7:$S$20,MATCH($B6,Calcs!$A$7:$A$20,0)),0)),0)</f>
        <v>0</v>
      </c>
      <c r="V6" s="55">
        <f>IFERROR(ROUND(INDEX(Calcs!$S$7:$S$20,MATCH($B6,Calcs!$A$7:$A$20,0)),0),"")</f>
        <v>1147</v>
      </c>
      <c r="W6" s="53" t="str">
        <f>IFERROR(INDEX(Calcs!$AF$7:$AF$20,MATCH($B6,Calcs!$A$7:$A$20,0)),"")</f>
        <v>Elite</v>
      </c>
    </row>
    <row r="7" spans="1:23" ht="15" customHeight="1" x14ac:dyDescent="0.2">
      <c r="A7" s="50">
        <f t="shared" si="0"/>
        <v>3</v>
      </c>
      <c r="B7" s="51" t="s">
        <v>145</v>
      </c>
      <c r="C7" s="52">
        <f>INDEX(Engine!$B$2:$B$15,MATCH($B7,Engine!$A$2:$A$15,0))</f>
        <v>1125.1080177960646</v>
      </c>
      <c r="D7" s="53">
        <f>COUNTIF('Match Log'!$D$4:$D$810,$B7)</f>
        <v>25</v>
      </c>
      <c r="E7" s="53">
        <f>COUNTIFS('Match Log'!$D$4:$D$810,$B7,'Match Log'!$E$4:$E$810,"Win")</f>
        <v>15</v>
      </c>
      <c r="F7" s="53">
        <f t="shared" si="1"/>
        <v>10</v>
      </c>
      <c r="G7" s="54">
        <f t="shared" si="2"/>
        <v>0.6</v>
      </c>
      <c r="H7" s="55">
        <f>SUMIF('Match Log'!$D$4:$D$810,$B7,'Match Log'!$J$4:$J$810)</f>
        <v>41.705142857640425</v>
      </c>
      <c r="I7" s="55">
        <f>SUMIF('Match Log'!$D$4:$D$810,$B7,'Match Log'!$K$4:$K$810)</f>
        <v>39.402874938423857</v>
      </c>
      <c r="J7" s="55">
        <f>SUMIF('Match Log'!$D$4:$D$810,$B7,'Match Log'!$L$4:$L$810)</f>
        <v>44</v>
      </c>
      <c r="K7" s="53">
        <f>SUMPRODUCT(--(COUNTIFS('Match Log'!$D$4:$D$810,$B7,'Match Log'!$C$4:$C$810,Lists!$C$2:$C$21)&gt;0))</f>
        <v>7</v>
      </c>
      <c r="L7" s="53" t="str">
        <f>IF($D7=0,"No games",IF(AND($D7&gt;='Guide &amp; Settings'!$C$45,$K7&gt;='Guide &amp; Settings'!$C$46),"Eligible","Provisional"))</f>
        <v>Eligible</v>
      </c>
      <c r="M7" s="52">
        <f>IFERROR(INDEX(Calcs!$C$7:$C$20,MATCH($B7,Calcs!$A$7:$A$20,0)),"")</f>
        <v>1045.0971654340176</v>
      </c>
      <c r="N7" s="52">
        <f t="shared" si="3"/>
        <v>64.268490093808168</v>
      </c>
      <c r="O7" s="53" t="str">
        <f>IFERROR(INDEX(Calcs!$H$7:$H$20,MATCH($B7,Calcs!$A$7:$A$20,0)),"")</f>
        <v>W5</v>
      </c>
      <c r="P7" s="53" t="str">
        <f>IFERROR(INDEX(Calcs!$I$7:$I$20,MATCH($B7,Calcs!$A$7:$A$20,0)),"")</f>
        <v>WWWWW</v>
      </c>
      <c r="Q7" s="53" t="str">
        <f>IFERROR(IF(INDEX(Calcs!$L$7:$L$20,MATCH($B7,Calcs!$A$7:$A$20,0))&gt;0,"▲"&amp;INDEX(Calcs!$L$7:$L$20,MATCH($B7,Calcs!$A$7:$A$20,0)),IF(INDEX(Calcs!$L$7:$L$20,MATCH($B7,Calcs!$A$7:$A$20,0))&lt;0,"▼"&amp;ABS(INDEX(Calcs!$L$7:$L$20,MATCH($B7,Calcs!$A$7:$A$20,0))),"–")),"")</f>
        <v>–</v>
      </c>
      <c r="R7" s="53" t="str">
        <f>IFERROR(IF(INDEX(Calcs!$P$7:$P$20,MATCH($B7,Calcs!$A$7:$A$20,0))=0,"—",TEXT(INDEX(Calcs!$P$7:$P$20,MATCH($B7,Calcs!$A$7:$A$20,0)),"d mmm")),"")</f>
        <v>27 Jun</v>
      </c>
      <c r="S7" s="53">
        <f>IFERROR(ROUND(INDEX(Calcs!$Q$7:$Q$20,MATCH($B7,Calcs!$A$7:$A$20,0)),1),"")</f>
        <v>1.1000000000000001</v>
      </c>
      <c r="T7" s="53" t="str">
        <f>IFERROR(INDEX(Calcs!$T$7:$T$20,MATCH($B7,Calcs!$A$7:$A$20,0)),"")</f>
        <v>Active</v>
      </c>
      <c r="U7" s="55">
        <f>IFERROR(MAX(0,ROUND($C7-INDEX(Calcs!$S$7:$S$20,MATCH($B7,Calcs!$A$7:$A$20,0)),0)),0)</f>
        <v>0</v>
      </c>
      <c r="V7" s="55">
        <f>IFERROR(ROUND(INDEX(Calcs!$S$7:$S$20,MATCH($B7,Calcs!$A$7:$A$20,0)),0),"")</f>
        <v>1125</v>
      </c>
      <c r="W7" s="53" t="str">
        <f>IFERROR(INDEX(Calcs!$AF$7:$AF$20,MATCH($B7,Calcs!$A$7:$A$20,0)),"")</f>
        <v>Elite</v>
      </c>
    </row>
    <row r="8" spans="1:23" ht="15" customHeight="1" x14ac:dyDescent="0.2">
      <c r="A8" s="50">
        <f t="shared" si="0"/>
        <v>4</v>
      </c>
      <c r="B8" s="51" t="s">
        <v>176</v>
      </c>
      <c r="C8" s="52">
        <f>INDEX(Engine!$B$2:$B$15,MATCH($B8,Engine!$A$2:$A$15,0))</f>
        <v>1108.1045793188271</v>
      </c>
      <c r="D8" s="53">
        <f>COUNTIF('Match Log'!$D$4:$D$810,$B8)</f>
        <v>41</v>
      </c>
      <c r="E8" s="53">
        <f>COUNTIFS('Match Log'!$D$4:$D$810,$B8,'Match Log'!$E$4:$E$810,"Win")</f>
        <v>19</v>
      </c>
      <c r="F8" s="53">
        <f t="shared" si="1"/>
        <v>22</v>
      </c>
      <c r="G8" s="54">
        <f t="shared" si="2"/>
        <v>0.46341463414634149</v>
      </c>
      <c r="H8" s="55">
        <f>SUMIF('Match Log'!$D$4:$D$810,$B8,'Match Log'!$J$4:$J$810)</f>
        <v>23.738190785093689</v>
      </c>
      <c r="I8" s="55">
        <f>SUMIF('Match Log'!$D$4:$D$810,$B8,'Match Log'!$K$4:$K$810)</f>
        <v>23.366388533733524</v>
      </c>
      <c r="J8" s="55">
        <f>SUMIF('Match Log'!$D$4:$D$810,$B8,'Match Log'!$L$4:$L$810)</f>
        <v>61</v>
      </c>
      <c r="K8" s="53">
        <f>SUMPRODUCT(--(COUNTIFS('Match Log'!$D$4:$D$810,$B8,'Match Log'!$C$4:$C$810,Lists!$C$2:$C$21)&gt;0))</f>
        <v>7</v>
      </c>
      <c r="L8" s="53" t="str">
        <f>IF($D8=0,"No games",IF(AND($D8&gt;='Guide &amp; Settings'!$C$45,$K8&gt;='Guide &amp; Settings'!$C$46),"Eligible","Provisional"))</f>
        <v>Eligible</v>
      </c>
      <c r="M8" s="52">
        <f>IFERROR(INDEX(Calcs!$C$7:$C$20,MATCH($B8,Calcs!$A$7:$A$20,0)),"")</f>
        <v>1069.1776707162376</v>
      </c>
      <c r="N8" s="52">
        <f t="shared" si="3"/>
        <v>81.271928571045692</v>
      </c>
      <c r="O8" s="53" t="str">
        <f>IFERROR(INDEX(Calcs!$H$7:$H$20,MATCH($B8,Calcs!$A$7:$A$20,0)),"")</f>
        <v>L2</v>
      </c>
      <c r="P8" s="53" t="str">
        <f>IFERROR(INDEX(Calcs!$I$7:$I$20,MATCH($B8,Calcs!$A$7:$A$20,0)),"")</f>
        <v>WWWLL</v>
      </c>
      <c r="Q8" s="53" t="str">
        <f>IFERROR(IF(INDEX(Calcs!$L$7:$L$20,MATCH($B8,Calcs!$A$7:$A$20,0))&gt;0,"▲"&amp;INDEX(Calcs!$L$7:$L$20,MATCH($B8,Calcs!$A$7:$A$20,0)),IF(INDEX(Calcs!$L$7:$L$20,MATCH($B8,Calcs!$A$7:$A$20,0))&lt;0,"▼"&amp;ABS(INDEX(Calcs!$L$7:$L$20,MATCH($B8,Calcs!$A$7:$A$20,0))),"–")),"")</f>
        <v>▲1</v>
      </c>
      <c r="R8" s="53" t="str">
        <f>IFERROR(IF(INDEX(Calcs!$P$7:$P$20,MATCH($B8,Calcs!$A$7:$A$20,0))=0,"—",TEXT(INDEX(Calcs!$P$7:$P$20,MATCH($B8,Calcs!$A$7:$A$20,0)),"d mmm")),"")</f>
        <v>5 Jul</v>
      </c>
      <c r="S8" s="53">
        <f>IFERROR(ROUND(INDEX(Calcs!$Q$7:$Q$20,MATCH($B8,Calcs!$A$7:$A$20,0)),1),"")</f>
        <v>0</v>
      </c>
      <c r="T8" s="53" t="str">
        <f>IFERROR(INDEX(Calcs!$T$7:$T$20,MATCH($B8,Calcs!$A$7:$A$20,0)),"")</f>
        <v>Active</v>
      </c>
      <c r="U8" s="55">
        <f>IFERROR(MAX(0,ROUND($C8-INDEX(Calcs!$S$7:$S$20,MATCH($B8,Calcs!$A$7:$A$20,0)),0)),0)</f>
        <v>0</v>
      </c>
      <c r="V8" s="55">
        <f>IFERROR(ROUND(INDEX(Calcs!$S$7:$S$20,MATCH($B8,Calcs!$A$7:$A$20,0)),0),"")</f>
        <v>1108</v>
      </c>
      <c r="W8" s="53" t="str">
        <f>IFERROR(INDEX(Calcs!$AF$7:$AF$20,MATCH($B8,Calcs!$A$7:$A$20,0)),"")</f>
        <v>Strong</v>
      </c>
    </row>
    <row r="9" spans="1:23" ht="15" customHeight="1" x14ac:dyDescent="0.2">
      <c r="A9" s="50">
        <f t="shared" si="0"/>
        <v>5</v>
      </c>
      <c r="B9" s="51" t="s">
        <v>175</v>
      </c>
      <c r="C9" s="52">
        <f>INDEX(Engine!$B$2:$B$15,MATCH($B9,Engine!$A$2:$A$15,0))</f>
        <v>1099.9035033078371</v>
      </c>
      <c r="D9" s="53">
        <f>COUNTIF('Match Log'!$D$4:$D$810,$B9)</f>
        <v>17</v>
      </c>
      <c r="E9" s="53">
        <f>COUNTIFS('Match Log'!$D$4:$D$810,$B9,'Match Log'!$E$4:$E$810,"Win")</f>
        <v>10</v>
      </c>
      <c r="F9" s="53">
        <f t="shared" si="1"/>
        <v>7</v>
      </c>
      <c r="G9" s="54">
        <f t="shared" si="2"/>
        <v>0.58823529411764708</v>
      </c>
      <c r="H9" s="55">
        <f>SUMIF('Match Log'!$D$4:$D$810,$B9,'Match Log'!$J$4:$J$810)</f>
        <v>18.993138966169308</v>
      </c>
      <c r="I9" s="55">
        <f>SUMIF('Match Log'!$D$4:$D$810,$B9,'Match Log'!$K$4:$K$810)</f>
        <v>28.910364341667837</v>
      </c>
      <c r="J9" s="55">
        <f>SUMIF('Match Log'!$D$4:$D$810,$B9,'Match Log'!$L$4:$L$810)</f>
        <v>52</v>
      </c>
      <c r="K9" s="53">
        <f>SUMPRODUCT(--(COUNTIFS('Match Log'!$D$4:$D$810,$B9,'Match Log'!$C$4:$C$810,Lists!$C$2:$C$21)&gt;0))</f>
        <v>4</v>
      </c>
      <c r="L9" s="53" t="str">
        <f>IF($D9=0,"No games",IF(AND($D9&gt;='Guide &amp; Settings'!$C$45,$K9&gt;='Guide &amp; Settings'!$C$46),"Eligible","Provisional"))</f>
        <v>Eligible</v>
      </c>
      <c r="M9" s="52">
        <f>IFERROR(INDEX(Calcs!$C$7:$C$20,MATCH($B9,Calcs!$A$7:$A$20,0)),"")</f>
        <v>1076.703898551679</v>
      </c>
      <c r="N9" s="52">
        <f t="shared" si="3"/>
        <v>89.473004582035628</v>
      </c>
      <c r="O9" s="53" t="str">
        <f>IFERROR(INDEX(Calcs!$H$7:$H$20,MATCH($B9,Calcs!$A$7:$A$20,0)),"")</f>
        <v>L3</v>
      </c>
      <c r="P9" s="53" t="str">
        <f>IFERROR(INDEX(Calcs!$I$7:$I$20,MATCH($B9,Calcs!$A$7:$A$20,0)),"")</f>
        <v>WWLLL</v>
      </c>
      <c r="Q9" s="53" t="str">
        <f>IFERROR(IF(INDEX(Calcs!$L$7:$L$20,MATCH($B9,Calcs!$A$7:$A$20,0))&gt;0,"▲"&amp;INDEX(Calcs!$L$7:$L$20,MATCH($B9,Calcs!$A$7:$A$20,0)),IF(INDEX(Calcs!$L$7:$L$20,MATCH($B9,Calcs!$A$7:$A$20,0))&lt;0,"▼"&amp;ABS(INDEX(Calcs!$L$7:$L$20,MATCH($B9,Calcs!$A$7:$A$20,0))),"–")),"")</f>
        <v>▼1</v>
      </c>
      <c r="R9" s="53" t="str">
        <f>IFERROR(IF(INDEX(Calcs!$P$7:$P$20,MATCH($B9,Calcs!$A$7:$A$20,0))=0,"—",TEXT(INDEX(Calcs!$P$7:$P$20,MATCH($B9,Calcs!$A$7:$A$20,0)),"d mmm")),"")</f>
        <v>15 Jun</v>
      </c>
      <c r="S9" s="53">
        <f>IFERROR(ROUND(INDEX(Calcs!$Q$7:$Q$20,MATCH($B9,Calcs!$A$7:$A$20,0)),1),"")</f>
        <v>2.9</v>
      </c>
      <c r="T9" s="53" t="str">
        <f>IFERROR(INDEX(Calcs!$T$7:$T$20,MATCH($B9,Calcs!$A$7:$A$20,0)),"")</f>
        <v>At risk</v>
      </c>
      <c r="U9" s="55">
        <f>IFERROR(MAX(0,ROUND($C9-INDEX(Calcs!$S$7:$S$20,MATCH($B9,Calcs!$A$7:$A$20,0)),0)),0)</f>
        <v>0</v>
      </c>
      <c r="V9" s="55">
        <f>IFERROR(ROUND(INDEX(Calcs!$S$7:$S$20,MATCH($B9,Calcs!$A$7:$A$20,0)),0),"")</f>
        <v>1100</v>
      </c>
      <c r="W9" s="53" t="str">
        <f>IFERROR(INDEX(Calcs!$AF$7:$AF$20,MATCH($B9,Calcs!$A$7:$A$20,0)),"")</f>
        <v>Strong</v>
      </c>
    </row>
    <row r="10" spans="1:23" ht="15" customHeight="1" x14ac:dyDescent="0.2">
      <c r="A10" s="50">
        <f t="shared" si="0"/>
        <v>6</v>
      </c>
      <c r="B10" s="51" t="s">
        <v>177</v>
      </c>
      <c r="C10" s="52">
        <f>INDEX(Engine!$B$2:$B$15,MATCH($B10,Engine!$A$2:$A$15,0))</f>
        <v>1072.8317255620282</v>
      </c>
      <c r="D10" s="53">
        <f>COUNTIF('Match Log'!$D$4:$D$810,$B10)</f>
        <v>52</v>
      </c>
      <c r="E10" s="53">
        <f>COUNTIFS('Match Log'!$D$4:$D$810,$B10,'Match Log'!$E$4:$E$810,"Win")</f>
        <v>23</v>
      </c>
      <c r="F10" s="53">
        <f t="shared" si="1"/>
        <v>29</v>
      </c>
      <c r="G10" s="54">
        <f t="shared" si="2"/>
        <v>0.44230769230769229</v>
      </c>
      <c r="H10" s="55">
        <f>SUMIF('Match Log'!$D$4:$D$810,$B10,'Match Log'!$J$4:$J$810)</f>
        <v>-27.705524867752423</v>
      </c>
      <c r="I10" s="55">
        <f>SUMIF('Match Log'!$D$4:$D$810,$B10,'Match Log'!$K$4:$K$810)</f>
        <v>25.537250429780578</v>
      </c>
      <c r="J10" s="55">
        <f>SUMIF('Match Log'!$D$4:$D$810,$B10,'Match Log'!$L$4:$L$810)</f>
        <v>75</v>
      </c>
      <c r="K10" s="53">
        <f>SUMPRODUCT(--(COUNTIFS('Match Log'!$D$4:$D$810,$B10,'Match Log'!$C$4:$C$810,Lists!$C$2:$C$21)&gt;0))</f>
        <v>11</v>
      </c>
      <c r="L10" s="53" t="str">
        <f>IF($D10=0,"No games",IF(AND($D10&gt;='Guide &amp; Settings'!$C$45,$K10&gt;='Guide &amp; Settings'!$C$46),"Eligible","Provisional"))</f>
        <v>Eligible</v>
      </c>
      <c r="M10" s="52">
        <f>IFERROR(INDEX(Calcs!$C$7:$C$20,MATCH($B10,Calcs!$A$7:$A$20,0)),"")</f>
        <v>1073.297170079685</v>
      </c>
      <c r="N10" s="52">
        <f t="shared" si="3"/>
        <v>116.54478232784459</v>
      </c>
      <c r="O10" s="53" t="str">
        <f>IFERROR(INDEX(Calcs!$H$7:$H$20,MATCH($B10,Calcs!$A$7:$A$20,0)),"")</f>
        <v>W1</v>
      </c>
      <c r="P10" s="53" t="str">
        <f>IFERROR(INDEX(Calcs!$I$7:$I$20,MATCH($B10,Calcs!$A$7:$A$20,0)),"")</f>
        <v>WLWLW</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5 Jul</v>
      </c>
      <c r="S10" s="53">
        <f>IFERROR(ROUND(INDEX(Calcs!$Q$7:$Q$20,MATCH($B10,Calcs!$A$7:$A$20,0)),1),"")</f>
        <v>0</v>
      </c>
      <c r="T10" s="53" t="str">
        <f>IFERROR(INDEX(Calcs!$T$7:$T$20,MATCH($B10,Calcs!$A$7:$A$20,0)),"")</f>
        <v>Active</v>
      </c>
      <c r="U10" s="55">
        <f>IFERROR(MAX(0,ROUND($C10-INDEX(Calcs!$S$7:$S$20,MATCH($B10,Calcs!$A$7:$A$20,0)),0)),0)</f>
        <v>0</v>
      </c>
      <c r="V10" s="55">
        <f>IFERROR(ROUND(INDEX(Calcs!$S$7:$S$20,MATCH($B10,Calcs!$A$7:$A$20,0)),0),"")</f>
        <v>1073</v>
      </c>
      <c r="W10" s="53" t="str">
        <f>IFERROR(INDEX(Calcs!$AF$7:$AF$20,MATCH($B10,Calcs!$A$7:$A$20,0)),"")</f>
        <v>Strong</v>
      </c>
    </row>
    <row r="11" spans="1:23" ht="15" customHeight="1" x14ac:dyDescent="0.2">
      <c r="A11" s="50">
        <f t="shared" si="0"/>
        <v>7</v>
      </c>
      <c r="B11" s="51" t="s">
        <v>142</v>
      </c>
      <c r="C11" s="52">
        <f>INDEX(Engine!$B$2:$B$15,MATCH($B11,Engine!$A$2:$A$15,0))</f>
        <v>1044.8691565259944</v>
      </c>
      <c r="D11" s="53">
        <f>COUNTIF('Match Log'!$D$4:$D$810,$B11)</f>
        <v>10</v>
      </c>
      <c r="E11" s="53">
        <f>COUNTIFS('Match Log'!$D$4:$D$810,$B11,'Match Log'!$E$4:$E$810,"Win")</f>
        <v>5</v>
      </c>
      <c r="F11" s="53">
        <f t="shared" si="1"/>
        <v>5</v>
      </c>
      <c r="G11" s="54">
        <f t="shared" si="2"/>
        <v>0.5</v>
      </c>
      <c r="H11" s="55">
        <f>SUMIF('Match Log'!$D$4:$D$810,$B11,'Match Log'!$J$4:$J$810)</f>
        <v>-15.210558333280616</v>
      </c>
      <c r="I11" s="55">
        <f>SUMIF('Match Log'!$D$4:$D$810,$B11,'Match Log'!$K$4:$K$810)</f>
        <v>16.079714859275072</v>
      </c>
      <c r="J11" s="55">
        <f>SUMIF('Match Log'!$D$4:$D$810,$B11,'Match Log'!$L$4:$L$810)</f>
        <v>44</v>
      </c>
      <c r="K11" s="53">
        <f>SUMPRODUCT(--(COUNTIFS('Match Log'!$D$4:$D$810,$B11,'Match Log'!$C$4:$C$810,Lists!$C$2:$C$21)&gt;0))</f>
        <v>3</v>
      </c>
      <c r="L11" s="53" t="str">
        <f>IF($D11=0,"No games",IF(AND($D11&gt;='Guide &amp; Settings'!$C$45,$K11&gt;='Guide &amp; Settings'!$C$46),"Eligible","Provisional"))</f>
        <v>Eligible</v>
      </c>
      <c r="M11" s="52">
        <f>IFERROR(INDEX(Calcs!$C$7:$C$20,MATCH($B11,Calcs!$A$7:$A$20,0)),"")</f>
        <v>1081.9141130796377</v>
      </c>
      <c r="N11" s="52">
        <f t="shared" si="3"/>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2.9</v>
      </c>
      <c r="T11" s="53" t="str">
        <f>IFERROR(INDEX(Calcs!$T$7:$T$20,MATCH($B11,Calcs!$A$7:$A$20,0)),"")</f>
        <v>At risk</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 t="shared" si="0"/>
        <v>8</v>
      </c>
      <c r="B12" s="51" t="s">
        <v>178</v>
      </c>
      <c r="C12" s="52">
        <f>INDEX(Engine!$B$2:$B$15,MATCH($B12,Engine!$A$2:$A$15,0))</f>
        <v>1039.5415973556721</v>
      </c>
      <c r="D12" s="53">
        <f>COUNTIF('Match Log'!$D$4:$D$810,$B12)</f>
        <v>5</v>
      </c>
      <c r="E12" s="53">
        <f>COUNTIFS('Match Log'!$D$4:$D$810,$B12,'Match Log'!$E$4:$E$810,"Win")</f>
        <v>2</v>
      </c>
      <c r="F12" s="53">
        <f t="shared" si="1"/>
        <v>3</v>
      </c>
      <c r="G12" s="54">
        <f t="shared" si="2"/>
        <v>0.4</v>
      </c>
      <c r="H12" s="55">
        <f>SUMIF('Match Log'!$D$4:$D$810,$B12,'Match Log'!$J$4:$J$810)</f>
        <v>-1.9252751900484864</v>
      </c>
      <c r="I12" s="55">
        <f>SUMIF('Match Log'!$D$4:$D$810,$B12,'Match Log'!$K$4:$K$810)</f>
        <v>13.466872545720536</v>
      </c>
      <c r="J12" s="55">
        <f>SUMIF('Match Log'!$D$4:$D$810,$B12,'Match Log'!$L$4:$L$810)</f>
        <v>28</v>
      </c>
      <c r="K12" s="53">
        <f>SUMPRODUCT(--(COUNTIFS('Match Log'!$D$4:$D$810,$B12,'Match Log'!$C$4:$C$810,Lists!$C$2:$C$21)&gt;0))</f>
        <v>1</v>
      </c>
      <c r="L12" s="53" t="str">
        <f>IF($D12=0,"No games",IF(AND($D12&gt;='Guide &amp; Settings'!$C$45,$K12&gt;='Guide &amp; Settings'!$C$46),"Eligible","Provisional"))</f>
        <v>Provisional</v>
      </c>
      <c r="M12" s="52">
        <f>IFERROR(INDEX(Calcs!$C$7:$C$20,MATCH($B12,Calcs!$A$7:$A$20,0)),"")</f>
        <v>1066.9404087314192</v>
      </c>
      <c r="N12" s="52">
        <f t="shared" si="3"/>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2.9</v>
      </c>
      <c r="T12" s="53" t="str">
        <f>IFERROR(INDEX(Calcs!$T$7:$T$20,MATCH($B12,Calcs!$A$7:$A$20,0)),"")</f>
        <v>At risk</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 t="shared" si="0"/>
        <v>9</v>
      </c>
      <c r="B13" s="51" t="s">
        <v>179</v>
      </c>
      <c r="C13" s="52">
        <f>INDEX(Engine!$B$2:$B$15,MATCH($B13,Engine!$A$2:$A$15,0))</f>
        <v>1038.5016461247724</v>
      </c>
      <c r="D13" s="53">
        <f>COUNTIF('Match Log'!$D$4:$D$810,$B13)</f>
        <v>4</v>
      </c>
      <c r="E13" s="53">
        <f>COUNTIFS('Match Log'!$D$4:$D$810,$B13,'Match Log'!$E$4:$E$810,"Win")</f>
        <v>2</v>
      </c>
      <c r="F13" s="53">
        <f t="shared" si="1"/>
        <v>2</v>
      </c>
      <c r="G13" s="54">
        <f t="shared" si="2"/>
        <v>0.5</v>
      </c>
      <c r="H13" s="55">
        <f>SUMIF('Match Log'!$D$4:$D$810,$B13,'Match Log'!$J$4:$J$810)</f>
        <v>1.6363549587646489</v>
      </c>
      <c r="I13" s="55">
        <f>SUMIF('Match Log'!$D$4:$D$810,$B13,'Match Log'!$K$4:$K$810)</f>
        <v>12.865291166007616</v>
      </c>
      <c r="J13" s="55">
        <f>SUMIF('Match Log'!$D$4:$D$810,$B13,'Match Log'!$L$4:$L$810)</f>
        <v>24</v>
      </c>
      <c r="K13" s="53">
        <f>SUMPRODUCT(--(COUNTIFS('Match Log'!$D$4:$D$810,$B13,'Match Log'!$C$4:$C$810,Lists!$C$2:$C$21)&gt;0))</f>
        <v>1</v>
      </c>
      <c r="L13" s="53" t="str">
        <f>IF($D13=0,"No games",IF(AND($D13&gt;='Guide &amp; Settings'!$C$45,$K13&gt;='Guide &amp; Settings'!$C$46),"Eligible","Provisional"))</f>
        <v>Provisional</v>
      </c>
      <c r="M13" s="52">
        <f>IFERROR(INDEX(Calcs!$C$7:$C$20,MATCH($B13,Calcs!$A$7:$A$20,0)),"")</f>
        <v>1083.7530580834596</v>
      </c>
      <c r="N13" s="52">
        <f t="shared" si="3"/>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2.9</v>
      </c>
      <c r="T13" s="53" t="str">
        <f>IFERROR(INDEX(Calcs!$T$7:$T$20,MATCH($B13,Calcs!$A$7:$A$20,0)),"")</f>
        <v>At risk</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 t="shared" si="0"/>
        <v>10</v>
      </c>
      <c r="B14" s="51" t="s">
        <v>180</v>
      </c>
      <c r="C14" s="52">
        <f>INDEX(Engine!$B$2:$B$15,MATCH($B14,Engine!$A$2:$A$15,0))</f>
        <v>1017.3466608720325</v>
      </c>
      <c r="D14" s="53">
        <f>COUNTIF('Match Log'!$D$4:$D$810,$B14)</f>
        <v>10</v>
      </c>
      <c r="E14" s="53">
        <f>COUNTIFS('Match Log'!$D$4:$D$810,$B14,'Match Log'!$E$4:$E$810,"Win")</f>
        <v>5</v>
      </c>
      <c r="F14" s="53">
        <f t="shared" si="1"/>
        <v>5</v>
      </c>
      <c r="G14" s="54">
        <f t="shared" si="2"/>
        <v>0.5</v>
      </c>
      <c r="H14" s="55">
        <f>SUMIF('Match Log'!$D$4:$D$810,$B14,'Match Log'!$J$4:$J$810)</f>
        <v>7.9323751577466233</v>
      </c>
      <c r="I14" s="55">
        <f>SUMIF('Match Log'!$D$4:$D$810,$B14,'Match Log'!$K$4:$K$810)</f>
        <v>-1.5857142857142881</v>
      </c>
      <c r="J14" s="55">
        <f>SUMIF('Match Log'!$D$4:$D$810,$B14,'Match Log'!$L$4:$L$810)</f>
        <v>11</v>
      </c>
      <c r="K14" s="53">
        <f>SUMPRODUCT(--(COUNTIFS('Match Log'!$D$4:$D$810,$B14,'Match Log'!$C$4:$C$810,Lists!$C$2:$C$21)&gt;0))</f>
        <v>6</v>
      </c>
      <c r="L14" s="53" t="str">
        <f>IF($D14=0,"No games",IF(AND($D14&gt;='Guide &amp; Settings'!$C$45,$K14&gt;='Guide &amp; Settings'!$C$46),"Eligible","Provisional"))</f>
        <v>Eligible</v>
      </c>
      <c r="M14" s="52">
        <f>IFERROR(INDEX(Calcs!$C$7:$C$20,MATCH($B14,Calcs!$A$7:$A$20,0)),"")</f>
        <v>1074.8685514824206</v>
      </c>
      <c r="N14" s="52">
        <f t="shared" si="3"/>
        <v>172.02984701784021</v>
      </c>
      <c r="O14" s="53" t="str">
        <f>IFERROR(INDEX(Calcs!$H$7:$H$20,MATCH($B14,Calcs!$A$7:$A$20,0)),"")</f>
        <v>W1</v>
      </c>
      <c r="P14" s="53" t="str">
        <f>IFERROR(INDEX(Calcs!$I$7:$I$20,MATCH($B14,Calcs!$A$7:$A$20,0)),"")</f>
        <v>WLLLW</v>
      </c>
      <c r="Q14" s="53" t="str">
        <f>IFERROR(IF(INDEX(Calcs!$L$7:$L$20,MATCH($B14,Calcs!$A$7:$A$20,0))&gt;0,"▲"&amp;INDEX(Calcs!$L$7:$L$20,MATCH($B14,Calcs!$A$7:$A$20,0)),IF(INDEX(Calcs!$L$7:$L$20,MATCH($B14,Calcs!$A$7:$A$20,0))&lt;0,"▼"&amp;ABS(INDEX(Calcs!$L$7:$L$20,MATCH($B14,Calcs!$A$7:$A$20,0))),"–")),"")</f>
        <v>–</v>
      </c>
      <c r="R14" s="53" t="str">
        <f>IFERROR(IF(INDEX(Calcs!$P$7:$P$20,MATCH($B14,Calcs!$A$7:$A$20,0))=0,"—",TEXT(INDEX(Calcs!$P$7:$P$20,MATCH($B14,Calcs!$A$7:$A$20,0)),"d mmm")),"")</f>
        <v>15 Jun</v>
      </c>
      <c r="S14" s="53">
        <f>IFERROR(ROUND(INDEX(Calcs!$Q$7:$Q$20,MATCH($B14,Calcs!$A$7:$A$20,0)),1),"")</f>
        <v>2.9</v>
      </c>
      <c r="T14" s="53" t="str">
        <f>IFERROR(INDEX(Calcs!$T$7:$T$20,MATCH($B14,Calcs!$A$7:$A$20,0)),"")</f>
        <v>At risk</v>
      </c>
      <c r="U14" s="55">
        <f>IFERROR(MAX(0,ROUND($C14-INDEX(Calcs!$S$7:$S$20,MATCH($B14,Calcs!$A$7:$A$20,0)),0)),0)</f>
        <v>0</v>
      </c>
      <c r="V14" s="55">
        <f>IFERROR(ROUND(INDEX(Calcs!$S$7:$S$20,MATCH($B14,Calcs!$A$7:$A$20,0)),0),"")</f>
        <v>1017</v>
      </c>
      <c r="W14" s="53" t="str">
        <f>IFERROR(INDEX(Calcs!$AF$7:$AF$20,MATCH($B14,Calcs!$A$7:$A$20,0)),"")</f>
        <v>Mid</v>
      </c>
    </row>
    <row r="15" spans="1:23" ht="15" customHeight="1" x14ac:dyDescent="0.2">
      <c r="A15" s="50">
        <f t="shared" si="0"/>
        <v>11</v>
      </c>
      <c r="B15" s="51" t="s">
        <v>141</v>
      </c>
      <c r="C15" s="52">
        <f>INDEX(Engine!$B$2:$B$15,MATCH($B15,Engine!$A$2:$A$15,0))</f>
        <v>1000.1411171871149</v>
      </c>
      <c r="D15" s="53">
        <f>COUNTIF('Match Log'!$D$4:$D$810,$B15)</f>
        <v>46</v>
      </c>
      <c r="E15" s="53">
        <f>COUNTIFS('Match Log'!$D$4:$D$810,$B15,'Match Log'!$E$4:$E$810,"Win")</f>
        <v>19</v>
      </c>
      <c r="F15" s="53">
        <f t="shared" si="1"/>
        <v>27</v>
      </c>
      <c r="G15" s="54">
        <f t="shared" si="2"/>
        <v>0.41304347826086957</v>
      </c>
      <c r="H15" s="55">
        <f>SUMIF('Match Log'!$D$4:$D$810,$B15,'Match Log'!$J$4:$J$810)</f>
        <v>-46.354641514531899</v>
      </c>
      <c r="I15" s="55">
        <f>SUMIF('Match Log'!$D$4:$D$810,$B15,'Match Log'!$K$4:$K$810)</f>
        <v>-10.504241298353431</v>
      </c>
      <c r="J15" s="55">
        <f>SUMIF('Match Log'!$D$4:$D$810,$B15,'Match Log'!$L$4:$L$810)</f>
        <v>57</v>
      </c>
      <c r="K15" s="53">
        <f>SUMPRODUCT(--(COUNTIFS('Match Log'!$D$4:$D$810,$B15,'Match Log'!$C$4:$C$810,Lists!$C$2:$C$21)&gt;0))</f>
        <v>8</v>
      </c>
      <c r="L15" s="53" t="str">
        <f>IF($D15=0,"No games",IF(AND($D15&gt;='Guide &amp; Settings'!$C$45,$K15&gt;='Guide &amp; Settings'!$C$46),"Eligible","Provisional"))</f>
        <v>Eligible</v>
      </c>
      <c r="M15" s="52">
        <f>IFERROR(INDEX(Calcs!$C$7:$C$20,MATCH($B15,Calcs!$A$7:$A$20,0)),"")</f>
        <v>1100.7788754649137</v>
      </c>
      <c r="N15" s="52">
        <f t="shared" si="3"/>
        <v>189.23539070275785</v>
      </c>
      <c r="O15" s="53" t="str">
        <f>IFERROR(INDEX(Calcs!$H$7:$H$20,MATCH($B15,Calcs!$A$7:$A$20,0)),"")</f>
        <v>L1</v>
      </c>
      <c r="P15" s="53" t="str">
        <f>IFERROR(INDEX(Calcs!$I$7:$I$20,MATCH($B15,Calcs!$A$7:$A$20,0)),"")</f>
        <v>WWLWL</v>
      </c>
      <c r="Q15" s="53" t="str">
        <f>IFERROR(IF(INDEX(Calcs!$L$7:$L$20,MATCH($B15,Calcs!$A$7:$A$20,0))&gt;0,"▲"&amp;INDEX(Calcs!$L$7:$L$20,MATCH($B15,Calcs!$A$7:$A$20,0)),IF(INDEX(Calcs!$L$7:$L$20,MATCH($B15,Calcs!$A$7:$A$20,0))&lt;0,"▼"&amp;ABS(INDEX(Calcs!$L$7:$L$20,MATCH($B15,Calcs!$A$7:$A$20,0))),"–")),"")</f>
        <v>▲1</v>
      </c>
      <c r="R15" s="53" t="str">
        <f>IFERROR(IF(INDEX(Calcs!$P$7:$P$20,MATCH($B15,Calcs!$A$7:$A$20,0))=0,"—",TEXT(INDEX(Calcs!$P$7:$P$20,MATCH($B15,Calcs!$A$7:$A$20,0)),"d mmm")),"")</f>
        <v>5 Jul</v>
      </c>
      <c r="S15" s="53">
        <f>IFERROR(ROUND(INDEX(Calcs!$Q$7:$Q$20,MATCH($B15,Calcs!$A$7:$A$20,0)),1),"")</f>
        <v>0</v>
      </c>
      <c r="T15" s="53" t="str">
        <f>IFERROR(INDEX(Calcs!$T$7:$T$20,MATCH($B15,Calcs!$A$7:$A$20,0)),"")</f>
        <v>Active</v>
      </c>
      <c r="U15" s="55">
        <f>IFERROR(MAX(0,ROUND($C15-INDEX(Calcs!$S$7:$S$20,MATCH($B15,Calcs!$A$7:$A$20,0)),0)),0)</f>
        <v>0</v>
      </c>
      <c r="V15" s="55">
        <f>IFERROR(ROUND(INDEX(Calcs!$S$7:$S$20,MATCH($B15,Calcs!$A$7:$A$20,0)),0),"")</f>
        <v>1000</v>
      </c>
      <c r="W15" s="53" t="str">
        <f>IFERROR(INDEX(Calcs!$AF$7:$AF$20,MATCH($B15,Calcs!$A$7:$A$20,0)),"")</f>
        <v>Strong</v>
      </c>
    </row>
    <row r="16" spans="1:23" ht="15" customHeight="1" x14ac:dyDescent="0.2">
      <c r="A16" s="50">
        <f t="shared" si="0"/>
        <v>12</v>
      </c>
      <c r="B16" s="51" t="s">
        <v>181</v>
      </c>
      <c r="C16" s="52">
        <f>INDEX(Engine!$B$2:$B$15,MATCH($B16,Engine!$A$2:$A$15,0))</f>
        <v>1000</v>
      </c>
      <c r="D16" s="53">
        <f>COUNTIF('Match Log'!$D$4:$D$810,$B16)</f>
        <v>0</v>
      </c>
      <c r="E16" s="53">
        <f>COUNTIFS('Match Log'!$D$4:$D$810,$B16,'Match Log'!$E$4:$E$810,"Win")</f>
        <v>0</v>
      </c>
      <c r="F16" s="53">
        <f t="shared" si="1"/>
        <v>0</v>
      </c>
      <c r="G16" s="54" t="str">
        <f t="shared" si="2"/>
        <v/>
      </c>
      <c r="H16" s="55">
        <f>SUMIF('Match Log'!$D$4:$D$810,$B16,'Match Log'!$J$4:$J$810)</f>
        <v>0</v>
      </c>
      <c r="I16" s="55">
        <f>SUMIF('Match Log'!$D$4:$D$810,$B16,'Match Log'!$K$4:$K$810)</f>
        <v>0</v>
      </c>
      <c r="J16" s="55">
        <f>SUMIF('Match Log'!$D$4:$D$810,$B16,'Match Log'!$L$4:$L$810)</f>
        <v>0</v>
      </c>
      <c r="K16" s="53">
        <f>SUMPRODUCT(--(COUNTIFS('Match Log'!$D$4:$D$810,$B16,'Match Log'!$C$4:$C$810,Lists!$C$2:$C$21)&gt;0))</f>
        <v>0</v>
      </c>
      <c r="L16" s="53" t="str">
        <f>IF($D16=0,"No games",IF(AND($D16&gt;='Guide &amp; Settings'!$C$45,$K16&gt;='Guide &amp; Settings'!$C$46),"Eligible","Provisional"))</f>
        <v>No games</v>
      </c>
      <c r="M16" s="52" t="str">
        <f>IFERROR(INDEX(Calcs!$C$7:$C$20,MATCH($B16,Calcs!$A$7:$A$20,0)),"")</f>
        <v/>
      </c>
      <c r="N16" s="52">
        <f t="shared" si="3"/>
        <v>189.37650788987276</v>
      </c>
      <c r="O16" s="53" t="str">
        <f>IFERROR(INDEX(Calcs!$H$7:$H$20,MATCH($B16,Calcs!$A$7:$A$20,0)),"")</f>
        <v/>
      </c>
      <c r="P16" s="53" t="str">
        <f>IFERROR(INDEX(Calcs!$I$7:$I$20,MATCH($B16,Calcs!$A$7:$A$20,0)),"")</f>
        <v/>
      </c>
      <c r="Q16" s="53" t="str">
        <f>IFERROR(IF(INDEX(Calcs!$L$7:$L$20,MATCH($B16,Calcs!$A$7:$A$20,0))&gt;0,"▲"&amp;INDEX(Calcs!$L$7:$L$20,MATCH($B16,Calcs!$A$7:$A$20,0)),IF(INDEX(Calcs!$L$7:$L$20,MATCH($B16,Calcs!$A$7:$A$20,0))&lt;0,"▼"&amp;ABS(INDEX(Calcs!$L$7:$L$20,MATCH($B16,Calcs!$A$7:$A$20,0))),"–")),"")</f>
        <v>▼1</v>
      </c>
      <c r="R16" s="53" t="str">
        <f>IFERROR(IF(INDEX(Calcs!$P$7:$P$20,MATCH($B16,Calcs!$A$7:$A$20,0))=0,"—",TEXT(INDEX(Calcs!$P$7:$P$20,MATCH($B16,Calcs!$A$7:$A$20,0)),"d mmm")),"")</f>
        <v>—</v>
      </c>
      <c r="S16" s="53" t="str">
        <f>IFERROR(ROUND(INDEX(Calcs!$Q$7:$Q$20,MATCH($B16,Calcs!$A$7:$A$20,0)),1),"")</f>
        <v/>
      </c>
      <c r="T16" s="53" t="str">
        <f>IFERROR(INDEX(Calcs!$T$7:$T$20,MATCH($B16,Calcs!$A$7:$A$20,0)),"")</f>
        <v>No games</v>
      </c>
      <c r="U16" s="55">
        <f>IFERROR(MAX(0,ROUND($C16-INDEX(Calcs!$S$7:$S$20,MATCH($B16,Calcs!$A$7:$A$20,0)),0)),0)</f>
        <v>0</v>
      </c>
      <c r="V16" s="55">
        <f>IFERROR(ROUND(INDEX(Calcs!$S$7:$S$20,MATCH($B16,Calcs!$A$7:$A$20,0)),0),"")</f>
        <v>1000</v>
      </c>
      <c r="W16" s="53" t="str">
        <f>IFERROR(INDEX(Calcs!$AF$7:$AF$20,MATCH($B16,Calcs!$A$7:$A$20,0)),"")</f>
        <v>No games</v>
      </c>
    </row>
    <row r="17" spans="1:23" ht="15" customHeight="1" x14ac:dyDescent="0.2">
      <c r="A17" s="50">
        <f t="shared" si="0"/>
        <v>13</v>
      </c>
      <c r="B17" s="51" t="s">
        <v>147</v>
      </c>
      <c r="C17" s="52">
        <f>INDEX(Engine!$B$2:$B$15,MATCH($B17,Engine!$A$2:$A$15,0))</f>
        <v>990.8737469852914</v>
      </c>
      <c r="D17" s="53">
        <f>COUNTIF('Match Log'!$D$4:$D$810,$B17)</f>
        <v>14</v>
      </c>
      <c r="E17" s="53">
        <f>COUNTIFS('Match Log'!$D$4:$D$810,$B17,'Match Log'!$E$4:$E$810,"Win")</f>
        <v>4</v>
      </c>
      <c r="F17" s="53">
        <f t="shared" si="1"/>
        <v>10</v>
      </c>
      <c r="G17" s="54">
        <f t="shared" si="2"/>
        <v>0.2857142857142857</v>
      </c>
      <c r="H17" s="55">
        <f>SUMIF('Match Log'!$D$4:$D$810,$B17,'Match Log'!$J$4:$J$810)</f>
        <v>-39.088800752958761</v>
      </c>
      <c r="I17" s="55">
        <f>SUMIF('Match Log'!$D$4:$D$810,$B17,'Match Log'!$K$4:$K$810)</f>
        <v>-6.0374522617496993</v>
      </c>
      <c r="J17" s="55">
        <f>SUMIF('Match Log'!$D$4:$D$810,$B17,'Match Log'!$L$4:$L$810)</f>
        <v>36</v>
      </c>
      <c r="K17" s="53">
        <f>SUMPRODUCT(--(COUNTIFS('Match Log'!$D$4:$D$810,$B17,'Match Log'!$C$4:$C$810,Lists!$C$2:$C$21)&gt;0))</f>
        <v>3</v>
      </c>
      <c r="L17" s="53" t="str">
        <f>IF($D17=0,"No games",IF(AND($D17&gt;='Guide &amp; Settings'!$C$45,$K17&gt;='Guide &amp; Settings'!$C$46),"Eligible","Provisional"))</f>
        <v>Eligible</v>
      </c>
      <c r="M17" s="52">
        <f>IFERROR(INDEX(Calcs!$C$7:$C$20,MATCH($B17,Calcs!$A$7:$A$20,0)),"")</f>
        <v>1088.8763554000404</v>
      </c>
      <c r="N17" s="52">
        <f t="shared" si="3"/>
        <v>198.50276090458135</v>
      </c>
      <c r="O17" s="53" t="str">
        <f>IFERROR(INDEX(Calcs!$H$7:$H$20,MATCH($B17,Calcs!$A$7:$A$20,0)),"")</f>
        <v>W2</v>
      </c>
      <c r="P17" s="53" t="str">
        <f>IFERROR(INDEX(Calcs!$I$7:$I$20,MATCH($B17,Calcs!$A$7:$A$20,0)),"")</f>
        <v>LLLWW</v>
      </c>
      <c r="Q17" s="53" t="str">
        <f>IFERROR(IF(INDEX(Calcs!$L$7:$L$20,MATCH($B17,Calcs!$A$7:$A$20,0))&gt;0,"▲"&amp;INDEX(Calcs!$L$7:$L$20,MATCH($B17,Calcs!$A$7:$A$20,0)),IF(INDEX(Calcs!$L$7:$L$20,MATCH($B17,Calcs!$A$7:$A$20,0))&lt;0,"▼"&amp;ABS(INDEX(Calcs!$L$7:$L$20,MATCH($B17,Calcs!$A$7:$A$20,0))),"–")),"")</f>
        <v>–</v>
      </c>
      <c r="R17" s="53" t="str">
        <f>IFERROR(IF(INDEX(Calcs!$P$7:$P$20,MATCH($B17,Calcs!$A$7:$A$20,0))=0,"—",TEXT(INDEX(Calcs!$P$7:$P$20,MATCH($B17,Calcs!$A$7:$A$20,0)),"d mmm")),"")</f>
        <v>15 Jun</v>
      </c>
      <c r="S17" s="53">
        <f>IFERROR(ROUND(INDEX(Calcs!$Q$7:$Q$20,MATCH($B17,Calcs!$A$7:$A$20,0)),1),"")</f>
        <v>2.9</v>
      </c>
      <c r="T17" s="53" t="str">
        <f>IFERROR(INDEX(Calcs!$T$7:$T$20,MATCH($B17,Calcs!$A$7:$A$20,0)),"")</f>
        <v>At risk</v>
      </c>
      <c r="U17" s="55">
        <f>IFERROR(MAX(0,ROUND($C17-INDEX(Calcs!$S$7:$S$20,MATCH($B17,Calcs!$A$7:$A$20,0)),0)),0)</f>
        <v>0</v>
      </c>
      <c r="V17" s="55">
        <f>IFERROR(ROUND(INDEX(Calcs!$S$7:$S$20,MATCH($B17,Calcs!$A$7:$A$20,0)),0),"")</f>
        <v>991</v>
      </c>
      <c r="W17" s="53" t="str">
        <f>IFERROR(INDEX(Calcs!$AF$7:$AF$20,MATCH($B17,Calcs!$A$7:$A$20,0)),"")</f>
        <v>Developing</v>
      </c>
    </row>
    <row r="18" spans="1:23" ht="15" customHeight="1" x14ac:dyDescent="0.2">
      <c r="A18" s="50">
        <f t="shared" si="0"/>
        <v>14</v>
      </c>
      <c r="B18" s="51" t="s">
        <v>182</v>
      </c>
      <c r="C18" s="52">
        <f>INDEX(Engine!$B$2:$B$15,MATCH($B18,Engine!$A$2:$A$15,0))</f>
        <v>894.20718606929802</v>
      </c>
      <c r="D18" s="53">
        <f>COUNTIF('Match Log'!$D$4:$D$810,$B18)</f>
        <v>13</v>
      </c>
      <c r="E18" s="53">
        <f>COUNTIFS('Match Log'!$D$4:$D$810,$B18,'Match Log'!$E$4:$E$810,"Win")</f>
        <v>2</v>
      </c>
      <c r="F18" s="53">
        <f t="shared" si="1"/>
        <v>11</v>
      </c>
      <c r="G18" s="54">
        <f t="shared" si="2"/>
        <v>0.15384615384615385</v>
      </c>
      <c r="H18" s="55">
        <f>SUMIF('Match Log'!$D$4:$D$810,$B18,'Match Log'!$J$4:$J$810)</f>
        <v>-80.179710896546737</v>
      </c>
      <c r="I18" s="55">
        <f>SUMIF('Match Log'!$D$4:$D$810,$B18,'Match Log'!$K$4:$K$810)</f>
        <v>-33.613103034155223</v>
      </c>
      <c r="J18" s="55">
        <f>SUMIF('Match Log'!$D$4:$D$810,$B18,'Match Log'!$L$4:$L$810)</f>
        <v>8</v>
      </c>
      <c r="K18" s="53">
        <f>SUMPRODUCT(--(COUNTIFS('Match Log'!$D$4:$D$810,$B18,'Match Log'!$C$4:$C$810,Lists!$C$2:$C$21)&gt;0))</f>
        <v>3</v>
      </c>
      <c r="L18" s="53" t="str">
        <f>IF($D18=0,"No games",IF(AND($D18&gt;='Guide &amp; Settings'!$C$45,$K18&gt;='Guide &amp; Settings'!$C$46),"Eligible","Provisional"))</f>
        <v>Eligible</v>
      </c>
      <c r="M18" s="52">
        <f>IFERROR(INDEX(Calcs!$C$7:$C$20,MATCH($B18,Calcs!$A$7:$A$20,0)),"")</f>
        <v>1103.0143837401358</v>
      </c>
      <c r="N18" s="52">
        <f t="shared" si="3"/>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2.9</v>
      </c>
      <c r="T18" s="53" t="str">
        <f>IFERROR(INDEX(Calcs!$T$7:$T$20,MATCH($B18,Calcs!$A$7:$A$20,0)),"")</f>
        <v>At risk</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4</v>
      </c>
      <c r="D5" s="61" t="s">
        <v>189</v>
      </c>
      <c r="E5" s="36">
        <f>COUNTIFS('Match Log'!$D$4:$D$810,$B$3,'Match Log'!$C$4:$C$810,$D5)</f>
        <v>0</v>
      </c>
      <c r="F5" s="36">
        <f>COUNTIFS('Match Log'!$D$4:$D$810,$B$3,'Match Log'!$C$4:$C$810,$D5,'Match Log'!$E$4:$E$810,"Win")</f>
        <v>0</v>
      </c>
      <c r="G5" s="62" t="str">
        <f t="shared" ref="G5:G23" si="0">IF($E5=0,"",$F5/$E5)</f>
        <v/>
      </c>
      <c r="H5" s="63" t="str">
        <f>IFERROR(IF($E5=0,"",INDEX('Sport Records'!$B$91:$O$110,MATCH($D5,'Sport Records'!$A$91:$A$110,0),MATCH($B$3,'Sport Records'!$B$90:$O$90,0))),"")</f>
        <v/>
      </c>
    </row>
    <row r="6" spans="1:8" ht="15" customHeight="1" x14ac:dyDescent="0.2">
      <c r="A6" s="59" t="s">
        <v>75</v>
      </c>
      <c r="B6" s="64">
        <f>IFERROR(INDEX(Dashboard!$C$5:$C$18,MATCH($B$3,Dashboard!$B$5:$B$18,0)),"")</f>
        <v>1108.1045793188271</v>
      </c>
      <c r="D6" s="65" t="s">
        <v>190</v>
      </c>
      <c r="E6" s="39">
        <f>COUNTIFS('Match Log'!$D$4:$D$810,$B$3,'Match Log'!$C$4:$C$810,$D6)</f>
        <v>0</v>
      </c>
      <c r="F6" s="39">
        <f>COUNTIFS('Match Log'!$D$4:$D$810,$B$3,'Match Log'!$C$4:$C$810,$D6,'Match Log'!$E$4:$E$810,"Win")</f>
        <v>0</v>
      </c>
      <c r="G6" s="66" t="str">
        <f t="shared" si="0"/>
        <v/>
      </c>
      <c r="H6" s="67" t="str">
        <f>IFERROR(IF($E6=0,"",INDEX('Sport Records'!$B$91:$O$110,MATCH($D6,'Sport Records'!$A$91:$A$110,0),MATCH($B$3,'Sport Records'!$B$90:$O$90,0))),"")</f>
        <v/>
      </c>
    </row>
    <row r="7" spans="1:8" ht="15" customHeight="1" x14ac:dyDescent="0.2">
      <c r="A7" s="59" t="s">
        <v>105</v>
      </c>
      <c r="B7" s="60" t="str">
        <f>IFERROR(INDEX(Calcs!$AF$7:$AF$20,MATCH($B$3,Calcs!$A$7:$A$20,0)),"")</f>
        <v>Strong</v>
      </c>
      <c r="D7" s="61" t="s">
        <v>191</v>
      </c>
      <c r="E7" s="36">
        <f>COUNTIFS('Match Log'!$D$4:$D$810,$B$3,'Match Log'!$C$4:$C$810,$D7)</f>
        <v>0</v>
      </c>
      <c r="F7" s="36">
        <f>COUNTIFS('Match Log'!$D$4:$D$810,$B$3,'Match Log'!$C$4:$C$810,$D7,'Match Log'!$E$4:$E$810,"Win")</f>
        <v>0</v>
      </c>
      <c r="G7" s="62" t="str">
        <f t="shared" si="0"/>
        <v/>
      </c>
      <c r="H7" s="63" t="str">
        <f>IFERROR(IF($E7=0,"",INDEX('Sport Records'!$B$91:$O$110,MATCH($D7,'Sport Records'!$A$91:$A$110,0),MATCH($B$3,'Sport Records'!$B$90:$O$90,0))),"")</f>
        <v/>
      </c>
    </row>
    <row r="8" spans="1:8" ht="15" customHeight="1" x14ac:dyDescent="0.2">
      <c r="A8" s="59" t="s">
        <v>133</v>
      </c>
      <c r="B8" s="60" t="str">
        <f>IFERROR(INDEX(Dashboard!$E$5:$E$18,MATCH($B$3,Dashboard!$B$5:$B$18,0))&amp;"–"&amp;INDEX(Dashboard!$F$5:$F$18,MATCH($B$3,Dashboard!$B$5:$B$18,0)),"")</f>
        <v>19–22</v>
      </c>
      <c r="D8" s="65" t="s">
        <v>192</v>
      </c>
      <c r="E8" s="39">
        <f>COUNTIFS('Match Log'!$D$4:$D$810,$B$3,'Match Log'!$C$4:$C$810,$D8)</f>
        <v>0</v>
      </c>
      <c r="F8" s="39">
        <f>COUNTIFS('Match Log'!$D$4:$D$810,$B$3,'Match Log'!$C$4:$C$810,$D8,'Match Log'!$E$4:$E$810,"Win")</f>
        <v>0</v>
      </c>
      <c r="G8" s="66" t="str">
        <f t="shared" si="0"/>
        <v/>
      </c>
      <c r="H8" s="67" t="str">
        <f>IFERROR(IF($E8=0,"",INDEX('Sport Records'!$B$91:$O$110,MATCH($D8,'Sport Records'!$A$91:$A$110,0),MATCH($B$3,'Sport Records'!$B$90:$O$90,0))),"")</f>
        <v/>
      </c>
    </row>
    <row r="9" spans="1:8" ht="15" customHeight="1" x14ac:dyDescent="0.2">
      <c r="A9" s="59" t="s">
        <v>109</v>
      </c>
      <c r="B9" s="68">
        <f>IFERROR(INDEX(Dashboard!$G$5:$G$18,MATCH($B$3,Dashboard!$B$5:$B$18,0)),"")</f>
        <v>0.46341463414634149</v>
      </c>
      <c r="D9" s="61" t="s">
        <v>193</v>
      </c>
      <c r="E9" s="36">
        <f>COUNTIFS('Match Log'!$D$4:$D$810,$B$3,'Match Log'!$C$4:$C$810,$D9)</f>
        <v>4</v>
      </c>
      <c r="F9" s="36">
        <f>COUNTIFS('Match Log'!$D$4:$D$810,$B$3,'Match Log'!$C$4:$C$810,$D9,'Match Log'!$E$4:$E$810,"Win")</f>
        <v>2</v>
      </c>
      <c r="G9" s="62">
        <f t="shared" si="0"/>
        <v>0.5</v>
      </c>
      <c r="H9" s="63">
        <f>IFERROR(IF($E9=0,"",INDEX('Sport Records'!$B$91:$O$110,MATCH($D9,'Sport Records'!$A$91:$A$110,0),MATCH($B$3,'Sport Records'!$B$90:$O$90,0))),"")</f>
        <v>1004.0463383766044</v>
      </c>
    </row>
    <row r="10" spans="1:8" ht="15" customHeight="1" x14ac:dyDescent="0.2">
      <c r="A10" s="59" t="s">
        <v>134</v>
      </c>
      <c r="B10" s="60">
        <f>IFERROR(INDEX(Dashboard!$D$5:$D$18,MATCH($B$3,Dashboard!$B$5:$B$18,0)),"")</f>
        <v>41</v>
      </c>
      <c r="D10" s="65" t="s">
        <v>194</v>
      </c>
      <c r="E10" s="39">
        <f>COUNTIFS('Match Log'!$D$4:$D$810,$B$3,'Match Log'!$C$4:$C$810,$D10)</f>
        <v>1</v>
      </c>
      <c r="F10" s="39">
        <f>COUNTIFS('Match Log'!$D$4:$D$810,$B$3,'Match Log'!$C$4:$C$810,$D10,'Match Log'!$E$4:$E$810,"Win")</f>
        <v>0</v>
      </c>
      <c r="G10" s="66">
        <f t="shared" si="0"/>
        <v>0</v>
      </c>
      <c r="H10" s="67">
        <f>IFERROR(IF($E10=0,"",INDEX('Sport Records'!$B$91:$O$110,MATCH($D10,'Sport Records'!$A$91:$A$110,0),MATCH($B$3,'Sport Records'!$B$90:$O$90,0))),"")</f>
        <v>997.71428571428567</v>
      </c>
    </row>
    <row r="11" spans="1:8" ht="15" customHeight="1" x14ac:dyDescent="0.2">
      <c r="A11" s="59" t="s">
        <v>195</v>
      </c>
      <c r="B11" s="60">
        <f>IFERROR(INDEX(Dashboard!$K$5:$K$18,MATCH($B$3,Dashboard!$B$5:$B$18,0)),"")</f>
        <v>7</v>
      </c>
      <c r="D11" s="61" t="s">
        <v>196</v>
      </c>
      <c r="E11" s="36">
        <f>COUNTIFS('Match Log'!$D$4:$D$810,$B$3,'Match Log'!$C$4:$C$810,$D11)</f>
        <v>0</v>
      </c>
      <c r="F11" s="36">
        <f>COUNTIFS('Match Log'!$D$4:$D$810,$B$3,'Match Log'!$C$4:$C$810,$D11,'Match Log'!$E$4:$E$810,"Win")</f>
        <v>0</v>
      </c>
      <c r="G11" s="62" t="str">
        <f t="shared" si="0"/>
        <v/>
      </c>
      <c r="H11" s="63" t="str">
        <f>IFERROR(IF($E11=0,"",INDEX('Sport Records'!$B$91:$O$110,MATCH($D11,'Sport Records'!$A$91:$A$110,0),MATCH($B$3,'Sport Records'!$B$90:$O$90,0))),"")</f>
        <v/>
      </c>
    </row>
    <row r="12" spans="1:8" ht="15" customHeight="1" x14ac:dyDescent="0.2">
      <c r="A12" s="59" t="s">
        <v>197</v>
      </c>
      <c r="B12" s="64">
        <f>IFERROR(INDEX(Calcs!$C$7:$C$20,MATCH($B$3,Calcs!$A$7:$A$20,0)),"")</f>
        <v>1069.1776707162376</v>
      </c>
      <c r="D12" s="65" t="s">
        <v>198</v>
      </c>
      <c r="E12" s="39">
        <f>COUNTIFS('Match Log'!$D$4:$D$810,$B$3,'Match Log'!$C$4:$C$810,$D12)</f>
        <v>0</v>
      </c>
      <c r="F12" s="39">
        <f>COUNTIFS('Match Log'!$D$4:$D$810,$B$3,'Match Log'!$C$4:$C$810,$D12,'Match Log'!$E$4:$E$810,"Win")</f>
        <v>0</v>
      </c>
      <c r="G12" s="66" t="str">
        <f t="shared" si="0"/>
        <v/>
      </c>
      <c r="H12" s="67" t="str">
        <f>IFERROR(IF($E12=0,"",INDEX('Sport Records'!$B$91:$O$110,MATCH($D12,'Sport Records'!$A$91:$A$110,0),MATCH($B$3,'Sport Records'!$B$90:$O$90,0))),"")</f>
        <v/>
      </c>
    </row>
    <row r="13" spans="1:8" ht="15" customHeight="1" x14ac:dyDescent="0.2">
      <c r="A13" s="59" t="s">
        <v>199</v>
      </c>
      <c r="B13" s="60" t="str">
        <f>IFERROR(INDEX(Calcs!$H$7:$H$20,MATCH($B$3,Calcs!$A$7:$A$20,0)),"")</f>
        <v>L2</v>
      </c>
      <c r="D13" s="61" t="s">
        <v>200</v>
      </c>
      <c r="E13" s="36">
        <f>COUNTIFS('Match Log'!$D$4:$D$810,$B$3,'Match Log'!$C$4:$C$810,$D13)</f>
        <v>1</v>
      </c>
      <c r="F13" s="36">
        <f>COUNTIFS('Match Log'!$D$4:$D$810,$B$3,'Match Log'!$C$4:$C$810,$D13,'Match Log'!$E$4:$E$810,"Win")</f>
        <v>0</v>
      </c>
      <c r="G13" s="62">
        <f t="shared" si="0"/>
        <v>0</v>
      </c>
      <c r="H13" s="63">
        <f>IFERROR(IF($E13=0,"",INDEX('Sport Records'!$B$91:$O$110,MATCH($D13,'Sport Records'!$A$91:$A$110,0),MATCH($B$3,'Sport Records'!$B$90:$O$90,0))),"")</f>
        <v>992</v>
      </c>
    </row>
    <row r="14" spans="1:8" ht="15" customHeight="1" x14ac:dyDescent="0.2">
      <c r="A14" s="59" t="s">
        <v>169</v>
      </c>
      <c r="B14" s="60" t="str">
        <f>IFERROR(INDEX(Calcs!$I$7:$I$20,MATCH($B$3,Calcs!$A$7:$A$20,0)),"")</f>
        <v>WWWLL</v>
      </c>
      <c r="D14" s="65" t="s">
        <v>201</v>
      </c>
      <c r="E14" s="39">
        <f>COUNTIFS('Match Log'!$D$4:$D$810,$B$3,'Match Log'!$C$4:$C$810,$D14)</f>
        <v>0</v>
      </c>
      <c r="F14" s="39">
        <f>COUNTIFS('Match Log'!$D$4:$D$810,$B$3,'Match Log'!$C$4:$C$810,$D14,'Match Log'!$E$4:$E$810,"Win")</f>
        <v>0</v>
      </c>
      <c r="G14" s="66" t="str">
        <f t="shared" si="0"/>
        <v/>
      </c>
      <c r="H14" s="67" t="str">
        <f>IFERROR(IF($E14=0,"",INDEX('Sport Records'!$B$91:$O$110,MATCH($D14,'Sport Records'!$A$91:$A$110,0),MATCH($B$3,'Sport Records'!$B$90:$O$90,0))),"")</f>
        <v/>
      </c>
    </row>
    <row r="15" spans="1:8" ht="15" customHeight="1" x14ac:dyDescent="0.2">
      <c r="A15" s="59" t="s">
        <v>119</v>
      </c>
      <c r="B15" s="64">
        <f>IFERROR(INDEX(Calcs!$E$7:$E$20,MATCH($B$3,Calcs!$A$7:$A$20,0)),"")</f>
        <v>81.271928571045692</v>
      </c>
      <c r="D15" s="61" t="s">
        <v>202</v>
      </c>
      <c r="E15" s="36">
        <f>COUNTIFS('Match Log'!$D$4:$D$810,$B$3,'Match Log'!$C$4:$C$810,$D15)</f>
        <v>0</v>
      </c>
      <c r="F15" s="36">
        <f>COUNTIFS('Match Log'!$D$4:$D$810,$B$3,'Match Log'!$C$4:$C$810,$D15,'Match Log'!$E$4:$E$810,"Win")</f>
        <v>0</v>
      </c>
      <c r="G15" s="62" t="str">
        <f t="shared" si="0"/>
        <v/>
      </c>
      <c r="H15" s="63" t="str">
        <f>IFERROR(IF($E15=0,"",INDEX('Sport Records'!$B$91:$O$110,MATCH($D15,'Sport Records'!$A$91:$A$110,0),MATCH($B$3,'Sport Records'!$B$90:$O$90,0))),"")</f>
        <v/>
      </c>
    </row>
    <row r="16" spans="1:8" ht="15" customHeight="1" x14ac:dyDescent="0.2">
      <c r="A16" s="59" t="s">
        <v>107</v>
      </c>
      <c r="B16" s="60" t="str">
        <f>IFERROR(INDEX(Dashboard!$L$5:$L$18,MATCH($B$3,Dashboard!$B$5:$B$18,0)),"")</f>
        <v>Eligible</v>
      </c>
      <c r="D16" s="65" t="s">
        <v>203</v>
      </c>
      <c r="E16" s="39">
        <f>COUNTIFS('Match Log'!$D$4:$D$810,$B$3,'Match Log'!$C$4:$C$810,$D16)</f>
        <v>13</v>
      </c>
      <c r="F16" s="39">
        <f>COUNTIFS('Match Log'!$D$4:$D$810,$B$3,'Match Log'!$C$4:$C$810,$D16,'Match Log'!$E$4:$E$810,"Win")</f>
        <v>6</v>
      </c>
      <c r="G16" s="66">
        <f t="shared" si="0"/>
        <v>0.46153846153846156</v>
      </c>
      <c r="H16" s="67">
        <f>IFERROR(IF($E16=0,"",INDEX('Sport Records'!$B$91:$O$110,MATCH($D16,'Sport Records'!$A$91:$A$110,0),MATCH($B$3,'Sport Records'!$B$90:$O$90,0))),"")</f>
        <v>1003.9713656909046</v>
      </c>
    </row>
    <row r="17" spans="1:8" ht="15" customHeight="1" x14ac:dyDescent="0.2">
      <c r="A17" s="69" t="s">
        <v>204</v>
      </c>
      <c r="B17" s="70" t="str">
        <f>IFERROR(TEXT(INDEX(Calcs!$P$7:$P$20,MATCH($B$3,Calcs!$A$7:$A$20,0)),"d mmm")&amp;"  ·  "&amp;INDEX(Calcs!$T$7:$T$20,MATCH($B$3,Calcs!$A$7:$A$20,0)),"")</f>
        <v>5 Jul  ·  Active</v>
      </c>
      <c r="D17" s="61" t="s">
        <v>205</v>
      </c>
      <c r="E17" s="36">
        <f>COUNTIFS('Match Log'!$D$4:$D$810,$B$3,'Match Log'!$C$4:$C$810,$D17)</f>
        <v>3</v>
      </c>
      <c r="F17" s="36">
        <f>COUNTIFS('Match Log'!$D$4:$D$810,$B$3,'Match Log'!$C$4:$C$810,$D17,'Match Log'!$E$4:$E$810,"Win")</f>
        <v>1</v>
      </c>
      <c r="G17" s="62">
        <f t="shared" si="0"/>
        <v>0.33333333333333331</v>
      </c>
      <c r="H17" s="63">
        <f>IFERROR(IF($E17=0,"",INDEX('Sport Records'!$B$91:$O$110,MATCH($D17,'Sport Records'!$A$91:$A$110,0),MATCH($B$3,'Sport Records'!$B$90:$O$90,0))),"")</f>
        <v>1000.5463997736937</v>
      </c>
    </row>
    <row r="18" spans="1:8" ht="15" customHeight="1" x14ac:dyDescent="0.2">
      <c r="A18" s="12" t="s">
        <v>206</v>
      </c>
      <c r="D18" s="65" t="s">
        <v>207</v>
      </c>
      <c r="E18" s="39">
        <f>COUNTIFS('Match Log'!$D$4:$D$810,$B$3,'Match Log'!$C$4:$C$810,$D18)</f>
        <v>7</v>
      </c>
      <c r="F18" s="39">
        <f>COUNTIFS('Match Log'!$D$4:$D$810,$B$3,'Match Log'!$C$4:$C$810,$D18,'Match Log'!$E$4:$E$810,"Win")</f>
        <v>5</v>
      </c>
      <c r="G18" s="66">
        <f t="shared" si="0"/>
        <v>0.7142857142857143</v>
      </c>
      <c r="H18" s="67">
        <f>IFERROR(IF($E18=0,"",INDEX('Sport Records'!$B$91:$O$110,MATCH($D18,'Sport Records'!$A$91:$A$110,0),MATCH($B$3,'Sport Records'!$B$90:$O$90,0))),"")</f>
        <v>1034.9676314940889</v>
      </c>
    </row>
    <row r="19" spans="1:8" ht="15" customHeight="1" x14ac:dyDescent="0.2">
      <c r="A19" s="69" t="s">
        <v>208</v>
      </c>
      <c r="B19" s="71" t="str">
        <f>IFERROR(INDEX($D$5:$D$24,MATCH(MAX($H$5:$H$24),$H$5:$H$24,0)),"")</f>
        <v>Mario Kart</v>
      </c>
      <c r="D19" s="61" t="s">
        <v>209</v>
      </c>
      <c r="E19" s="36">
        <f>COUNTIFS('Match Log'!$D$4:$D$810,$B$3,'Match Log'!$C$4:$C$810,$D19)</f>
        <v>0</v>
      </c>
      <c r="F19" s="36">
        <f>COUNTIFS('Match Log'!$D$4:$D$810,$B$3,'Match Log'!$C$4:$C$810,$D19,'Match Log'!$E$4:$E$810,"Win")</f>
        <v>0</v>
      </c>
      <c r="G19" s="62" t="str">
        <f t="shared" si="0"/>
        <v/>
      </c>
      <c r="H19" s="63" t="str">
        <f>IFERROR(IF($E19=0,"",INDEX('Sport Records'!$B$91:$O$110,MATCH($D19,'Sport Records'!$A$91:$A$110,0),MATCH($B$3,'Sport Records'!$B$90:$O$90,0))),"")</f>
        <v/>
      </c>
    </row>
    <row r="20" spans="1:8" ht="15" customHeight="1" x14ac:dyDescent="0.2">
      <c r="A20" s="69" t="s">
        <v>210</v>
      </c>
      <c r="B20" s="71" t="str">
        <f>IFERROR(INDEX($D$5:$D$24,MATCH(MAX($E$5:$E$24),$E$5:$E$24,0)),"")</f>
        <v>Table Tennis</v>
      </c>
      <c r="D20" s="65" t="s">
        <v>211</v>
      </c>
      <c r="E20" s="39">
        <f>COUNTIFS('Match Log'!$D$4:$D$810,$B$3,'Match Log'!$C$4:$C$810,$D20)</f>
        <v>0</v>
      </c>
      <c r="F20" s="39">
        <f>COUNTIFS('Match Log'!$D$4:$D$810,$B$3,'Match Log'!$C$4:$C$810,$D20,'Match Log'!$E$4:$E$810,"Win")</f>
        <v>0</v>
      </c>
      <c r="G20" s="66" t="str">
        <f t="shared" si="0"/>
        <v/>
      </c>
      <c r="H20" s="67" t="str">
        <f>IFERROR(IF($E20=0,"",INDEX('Sport Records'!$B$91:$O$110,MATCH($D20,'Sport Records'!$A$91:$A$110,0),MATCH($B$3,'Sport Records'!$B$90:$O$90,0))),"")</f>
        <v/>
      </c>
    </row>
    <row r="21" spans="1:8" ht="15" customHeight="1" x14ac:dyDescent="0.2">
      <c r="D21" s="61" t="s">
        <v>212</v>
      </c>
      <c r="E21" s="36">
        <f>COUNTIFS('Match Log'!$D$4:$D$810,$B$3,'Match Log'!$C$4:$C$810,$D21)</f>
        <v>0</v>
      </c>
      <c r="F21" s="36">
        <f>COUNTIFS('Match Log'!$D$4:$D$810,$B$3,'Match Log'!$C$4:$C$810,$D21,'Match Log'!$E$4:$E$810,"Win")</f>
        <v>0</v>
      </c>
      <c r="G21" s="62" t="str">
        <f t="shared" si="0"/>
        <v/>
      </c>
      <c r="H21" s="63" t="str">
        <f>IFERROR(IF($E21=0,"",INDEX('Sport Records'!$B$91:$O$110,MATCH($D21,'Sport Records'!$A$91:$A$110,0),MATCH($B$3,'Sport Records'!$B$90:$O$90,0))),"")</f>
        <v/>
      </c>
    </row>
    <row r="22" spans="1:8" ht="15" customHeight="1" x14ac:dyDescent="0.2">
      <c r="A22" s="12" t="s">
        <v>213</v>
      </c>
      <c r="D22" s="65" t="s">
        <v>214</v>
      </c>
      <c r="E22" s="39">
        <f>COUNTIFS('Match Log'!$D$4:$D$810,$B$3,'Match Log'!$C$4:$C$810,$D22)</f>
        <v>12</v>
      </c>
      <c r="F22" s="39">
        <f>COUNTIFS('Match Log'!$D$4:$D$810,$B$3,'Match Log'!$C$4:$C$810,$D22,'Match Log'!$E$4:$E$810,"Win")</f>
        <v>5</v>
      </c>
      <c r="G22" s="66">
        <f t="shared" si="0"/>
        <v>0.41666666666666669</v>
      </c>
      <c r="H22" s="67">
        <f>IFERROR(IF($E22=0,"",INDEX('Sport Records'!$B$91:$O$110,MATCH($D22,'Sport Records'!$A$91:$A$110,0),MATCH($B$3,'Sport Records'!$B$90:$O$90,0))),"")</f>
        <v>959.92547606336859</v>
      </c>
    </row>
    <row r="23" spans="1:8" ht="15" customHeight="1" x14ac:dyDescent="0.2">
      <c r="A23" s="69" t="s">
        <v>215</v>
      </c>
      <c r="B23" s="72">
        <f>IFERROR(ROUND(INDEX(Calcs!$AB$7:$AB$20,MATCH($B$3,Calcs!$A$7:$A$20,0)),0),"")</f>
        <v>71</v>
      </c>
      <c r="D23" s="61" t="s">
        <v>216</v>
      </c>
      <c r="E23" s="36">
        <f>COUNTIFS('Match Log'!$D$4:$D$810,$B$3,'Match Log'!$C$4:$C$810,$D23)</f>
        <v>0</v>
      </c>
      <c r="F23" s="36">
        <f>COUNTIFS('Match Log'!$D$4:$D$810,$B$3,'Match Log'!$C$4:$C$810,$D23,'Match Log'!$E$4:$E$810,"Win")</f>
        <v>0</v>
      </c>
      <c r="G23" s="62" t="str">
        <f t="shared" si="0"/>
        <v/>
      </c>
      <c r="H23" s="63" t="str">
        <f>IFERROR(IF($E23=0,"",INDEX('Sport Records'!$B$91:$O$110,MATCH($D23,'Sport Records'!$A$91:$A$110,0),MATCH($B$3,'Sport Records'!$B$90:$O$90,0))),"")</f>
        <v/>
      </c>
    </row>
    <row r="24" spans="1:8" x14ac:dyDescent="0.2">
      <c r="A24" s="69" t="s">
        <v>217</v>
      </c>
      <c r="B24" s="70">
        <f>IFERROR(ROUND(INDEX(Calcs!$W$7:$W$20,MATCH($B$3,Calcs!$A$7:$A$20,0)),0),"")</f>
        <v>77</v>
      </c>
      <c r="D24" s="61" t="inlineStr">
        <is>
          <t>HORSE - Basketball</t>
        </is>
      </c>
      <c r="E24" s="36">
        <f>COUNTIFS('Match Log'!$D$4:$D$810,$B$3,'Match Log'!$C$4:$C$810,$D24)</f>
        <v>0</v>
      </c>
      <c r="F24" s="36">
        <f>COUNTIFS('Match Log'!$D$4:$D$810,$B$3,'Match Log'!$C$4:$C$810,$D24,'Match Log'!$E$4:$E$810,"Win")</f>
        <v>0</v>
      </c>
      <c r="G24" s="62" t="str">
        <f>IF($E24=0,"",$F24/$E24)</f>
      </c>
      <c r="H24" s="63" t="str">
        <f>IFERROR(IF($E24=0,"",INDEX('Sport Records'!$B$91:$O$110,MATCH($D24,'Sport Records'!$A$91:$A$110,0),MATCH($B$3,'Sport Records'!$B$90:$O$90,0))),"")</f>
      </c>
    </row>
    <row r="25" spans="1:8" x14ac:dyDescent="0.2">
      <c r="A25" s="69" t="s">
        <v>218</v>
      </c>
      <c r="B25" s="70">
        <f>IFERROR(ROUND(INDEX(Calcs!$X$7:$X$20,MATCH($B$3,Calcs!$A$7:$A$20,0)),0),"")</f>
        <v>46</v>
      </c>
    </row>
    <row r="26" spans="1:8" x14ac:dyDescent="0.2">
      <c r="A26" s="69" t="s">
        <v>219</v>
      </c>
      <c r="B26" s="70">
        <f>IFERROR(ROUND(INDEX(Calcs!$Y$7:$Y$20,MATCH($B$3,Calcs!$A$7:$A$20,0)),0),"")</f>
        <v>95</v>
      </c>
    </row>
    <row r="27" spans="1:8" x14ac:dyDescent="0.2">
      <c r="A27" s="69" t="s">
        <v>220</v>
      </c>
      <c r="B27" s="70">
        <f>IFERROR(ROUND(INDEX(Calcs!$Z$7:$Z$20,MATCH($B$3,Calcs!$A$7:$A$20,0)),0),"")</f>
        <v>60</v>
      </c>
    </row>
    <row r="28" spans="1:8" x14ac:dyDescent="0.2">
      <c r="A28" s="69" t="s">
        <v>221</v>
      </c>
      <c r="B28" s="70">
        <f>IFERROR(ROUND(INDEX(Calcs!$AA$7:$AA$20,MATCH($B$3,Calcs!$A$7:$A$20,0)),0),"")</f>
        <v>67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4"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4"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4"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4"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4"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73% of 11</v>
      </c>
      <c r="H5" s="54"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4"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4"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4"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4"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4"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4"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4"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9" t="s">
        <v>142</v>
      </c>
      <c r="B6" s="54"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4"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4"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4"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4"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4"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4"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4"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4"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4"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4"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4"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4"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4"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9" t="s">
        <v>180</v>
      </c>
      <c r="B7" s="54"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4"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4"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4"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4"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4"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4"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4"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4"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4"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4"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4"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4"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4"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9" t="s">
        <v>147</v>
      </c>
      <c r="B8" s="54"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4"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4"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4"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4"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4"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100% of 1</v>
      </c>
      <c r="H8" s="54"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4"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4"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4"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4"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4"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4"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4"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9" t="s">
        <v>144</v>
      </c>
      <c r="B9" s="54"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4"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4"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4"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4"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4"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4"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4"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4"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4"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4"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4"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4"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4"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9" t="s">
        <v>141</v>
      </c>
      <c r="B10" s="54"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27% of 11</v>
      </c>
      <c r="C10" s="54"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4"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4"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0% of 1</v>
      </c>
      <c r="F10" s="54"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4"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4"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4"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4"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4"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4"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30% of 10</v>
      </c>
      <c r="M10" s="54"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4"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4"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9" t="s">
        <v>175</v>
      </c>
      <c r="B11" s="54"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4"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4"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4"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4"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4"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4"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4"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4"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4"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4"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4"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4"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4"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9" t="s">
        <v>177</v>
      </c>
      <c r="B12" s="54"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4"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4"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4"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4"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4"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4"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4"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4"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4"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4"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4"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4"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4"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9" t="s">
        <v>174</v>
      </c>
      <c r="B13" s="54"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4"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4"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4"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4"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4"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4"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4"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4"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4"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4"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4"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4"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4"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9" t="s">
        <v>182</v>
      </c>
      <c r="B14" s="54"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4"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4"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4"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4"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4"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4"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4"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4"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4"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4"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4"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4"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4"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9" t="s">
        <v>176</v>
      </c>
      <c r="B15" s="54"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4"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4"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4"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4"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4"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70% of 10</v>
      </c>
      <c r="H15" s="54"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4"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4"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4"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4"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4"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4"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4"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9" t="s">
        <v>178</v>
      </c>
      <c r="B16" s="54"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4"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4"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4"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4"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4"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4"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4"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4"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4"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4"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4"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4"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4"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9" t="s">
        <v>179</v>
      </c>
      <c r="B17" s="54"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4"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4"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4"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4"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4"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4"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4"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4"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4"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4"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4"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4"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4"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9" t="s">
        <v>181</v>
      </c>
      <c r="B18" s="54"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4"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4"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4"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4"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4"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4"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4"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4"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4"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4"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4"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4"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4"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Log'!$D$4:$D$810=$A22)*(COUNTIFS('Match Log'!$A$4:$A$810,'Match Log'!$A$4:$A$810,'Match Log'!$D$4:$D$810,B$21)&gt;0)))</f>
        <v>0</v>
      </c>
      <c r="C22" s="75">
        <f>IF($A22=C$21,0,SUMPRODUCT(('Match Log'!$D$4:$D$810=$A22)*(COUNTIFS('Match Log'!$A$4:$A$810,'Match Log'!$A$4:$A$810,'Match Log'!$D$4:$D$810,C$21)&gt;0)))</f>
        <v>3</v>
      </c>
      <c r="D22" s="75">
        <f>IF($A22=D$21,0,SUMPRODUCT(('Match Log'!$D$4:$D$810=$A22)*(COUNTIFS('Match Log'!$A$4:$A$810,'Match Log'!$A$4:$A$810,'Match Log'!$D$4:$D$810,D$21)&gt;0)))</f>
        <v>3</v>
      </c>
      <c r="E22" s="75">
        <f>IF($A22=E$21,0,SUMPRODUCT(('Match Log'!$D$4:$D$810=$A22)*(COUNTIFS('Match Log'!$A$4:$A$810,'Match Log'!$A$4:$A$810,'Match Log'!$D$4:$D$810,E$21)&gt;0)))</f>
        <v>4</v>
      </c>
      <c r="F22" s="75">
        <f>IF($A22=F$21,0,SUMPRODUCT(('Match Log'!$D$4:$D$810=$A22)*(COUNTIFS('Match Log'!$A$4:$A$810,'Match Log'!$A$4:$A$810,'Match Log'!$D$4:$D$810,F$21)&gt;0)))</f>
        <v>2</v>
      </c>
      <c r="G22" s="75">
        <f>IF($A22=G$21,0,SUMPRODUCT(('Match Log'!$D$4:$D$810=$A22)*(COUNTIFS('Match Log'!$A$4:$A$810,'Match Log'!$A$4:$A$810,'Match Log'!$D$4:$D$810,G$21)&gt;0)))</f>
        <v>11</v>
      </c>
      <c r="H22" s="75">
        <f>IF($A22=H$21,0,SUMPRODUCT(('Match Log'!$D$4:$D$810=$A22)*(COUNTIFS('Match Log'!$A$4:$A$810,'Match Log'!$A$4:$A$810,'Match Log'!$D$4:$D$810,H$21)&gt;0)))</f>
        <v>4</v>
      </c>
      <c r="I22" s="75">
        <f>IF($A22=I$21,0,SUMPRODUCT(('Match Log'!$D$4:$D$810=$A22)*(COUNTIFS('Match Log'!$A$4:$A$810,'Match Log'!$A$4:$A$810,'Match Log'!$D$4:$D$810,I$21)&gt;0)))</f>
        <v>5</v>
      </c>
      <c r="J22" s="75">
        <f>IF($A22=J$21,0,SUMPRODUCT(('Match Log'!$D$4:$D$810=$A22)*(COUNTIFS('Match Log'!$A$4:$A$810,'Match Log'!$A$4:$A$810,'Match Log'!$D$4:$D$810,J$21)&gt;0)))</f>
        <v>2</v>
      </c>
      <c r="K22" s="75">
        <f>IF($A22=K$21,0,SUMPRODUCT(('Match Log'!$D$4:$D$810=$A22)*(COUNTIFS('Match Log'!$A$4:$A$810,'Match Log'!$A$4:$A$810,'Match Log'!$D$4:$D$810,K$21)&gt;0)))</f>
        <v>2</v>
      </c>
      <c r="L22" s="75">
        <f>IF($A22=L$21,0,SUMPRODUCT(('Match Log'!$D$4:$D$810=$A22)*(COUNTIFS('Match Log'!$A$4:$A$810,'Match Log'!$A$4:$A$810,'Match Log'!$D$4:$D$810,L$21)&gt;0)))</f>
        <v>4</v>
      </c>
      <c r="M22" s="75">
        <f>IF($A22=M$21,0,SUMPRODUCT(('Match Log'!$D$4:$D$810=$A22)*(COUNTIFS('Match Log'!$A$4:$A$810,'Match Log'!$A$4:$A$810,'Match Log'!$D$4:$D$810,M$21)&gt;0)))</f>
        <v>1</v>
      </c>
      <c r="N22" s="75">
        <f>IF($A22=N$21,0,SUMPRODUCT(('Match Log'!$D$4:$D$810=$A22)*(COUNTIFS('Match Log'!$A$4:$A$810,'Match Log'!$A$4:$A$810,'Match Log'!$D$4:$D$810,N$21)&gt;0)))</f>
        <v>0</v>
      </c>
      <c r="O22" s="75">
        <f>IF($A22=O$21,0,SUMPRODUCT(('Match Log'!$D$4:$D$810=$A22)*(COUNTIFS('Match Log'!$A$4:$A$810,'Match Log'!$A$4:$A$810,'Match Log'!$D$4:$D$810,O$21)&gt;0)))</f>
        <v>0</v>
      </c>
    </row>
    <row r="23" spans="1:15" ht="15" customHeight="1" x14ac:dyDescent="0.2">
      <c r="A23" s="49" t="s">
        <v>142</v>
      </c>
      <c r="B23" s="75">
        <f>IF($A23=B$21,0,SUMPRODUCT(('Match Log'!$D$4:$D$810=$A23)*(COUNTIFS('Match Log'!$A$4:$A$810,'Match Log'!$A$4:$A$810,'Match Log'!$D$4:$D$810,B$21)&gt;0)))</f>
        <v>3</v>
      </c>
      <c r="C23" s="75">
        <f>IF($A23=C$21,0,SUMPRODUCT(('Match Log'!$D$4:$D$810=$A23)*(COUNTIFS('Match Log'!$A$4:$A$810,'Match Log'!$A$4:$A$810,'Match Log'!$D$4:$D$810,C$21)&gt;0)))</f>
        <v>0</v>
      </c>
      <c r="D23" s="75">
        <f>IF($A23=D$21,0,SUMPRODUCT(('Match Log'!$D$4:$D$810=$A23)*(COUNTIFS('Match Log'!$A$4:$A$810,'Match Log'!$A$4:$A$810,'Match Log'!$D$4:$D$810,D$21)&gt;0)))</f>
        <v>0</v>
      </c>
      <c r="E23" s="75">
        <f>IF($A23=E$21,0,SUMPRODUCT(('Match Log'!$D$4:$D$810=$A23)*(COUNTIFS('Match Log'!$A$4:$A$810,'Match Log'!$A$4:$A$810,'Match Log'!$D$4:$D$810,E$21)&gt;0)))</f>
        <v>1</v>
      </c>
      <c r="F23" s="75">
        <f>IF($A23=F$21,0,SUMPRODUCT(('Match Log'!$D$4:$D$810=$A23)*(COUNTIFS('Match Log'!$A$4:$A$810,'Match Log'!$A$4:$A$810,'Match Log'!$D$4:$D$810,F$21)&gt;0)))</f>
        <v>1</v>
      </c>
      <c r="G23" s="75">
        <f>IF($A23=G$21,0,SUMPRODUCT(('Match Log'!$D$4:$D$810=$A23)*(COUNTIFS('Match Log'!$A$4:$A$810,'Match Log'!$A$4:$A$810,'Match Log'!$D$4:$D$810,G$21)&gt;0)))</f>
        <v>1</v>
      </c>
      <c r="H23" s="75">
        <f>IF($A23=H$21,0,SUMPRODUCT(('Match Log'!$D$4:$D$810=$A23)*(COUNTIFS('Match Log'!$A$4:$A$810,'Match Log'!$A$4:$A$810,'Match Log'!$D$4:$D$810,H$21)&gt;0)))</f>
        <v>3</v>
      </c>
      <c r="I23" s="75">
        <f>IF($A23=I$21,0,SUMPRODUCT(('Match Log'!$D$4:$D$810=$A23)*(COUNTIFS('Match Log'!$A$4:$A$810,'Match Log'!$A$4:$A$810,'Match Log'!$D$4:$D$810,I$21)&gt;0)))</f>
        <v>2</v>
      </c>
      <c r="J23" s="75">
        <f>IF($A23=J$21,0,SUMPRODUCT(('Match Log'!$D$4:$D$810=$A23)*(COUNTIFS('Match Log'!$A$4:$A$810,'Match Log'!$A$4:$A$810,'Match Log'!$D$4:$D$810,J$21)&gt;0)))</f>
        <v>2</v>
      </c>
      <c r="K23" s="75">
        <f>IF($A23=K$21,0,SUMPRODUCT(('Match Log'!$D$4:$D$810=$A23)*(COUNTIFS('Match Log'!$A$4:$A$810,'Match Log'!$A$4:$A$810,'Match Log'!$D$4:$D$810,K$21)&gt;0)))</f>
        <v>1</v>
      </c>
      <c r="L23" s="75">
        <f>IF($A23=L$21,0,SUMPRODUCT(('Match Log'!$D$4:$D$810=$A23)*(COUNTIFS('Match Log'!$A$4:$A$810,'Match Log'!$A$4:$A$810,'Match Log'!$D$4:$D$810,L$21)&gt;0)))</f>
        <v>5</v>
      </c>
      <c r="M23" s="75">
        <f>IF($A23=M$21,0,SUMPRODUCT(('Match Log'!$D$4:$D$810=$A23)*(COUNTIFS('Match Log'!$A$4:$A$810,'Match Log'!$A$4:$A$810,'Match Log'!$D$4:$D$810,M$21)&gt;0)))</f>
        <v>1</v>
      </c>
      <c r="N23" s="75">
        <f>IF($A23=N$21,0,SUMPRODUCT(('Match Log'!$D$4:$D$810=$A23)*(COUNTIFS('Match Log'!$A$4:$A$810,'Match Log'!$A$4:$A$810,'Match Log'!$D$4:$D$810,N$21)&gt;0)))</f>
        <v>4</v>
      </c>
      <c r="O23" s="75">
        <f>IF($A23=O$21,0,SUMPRODUCT(('Match Log'!$D$4:$D$810=$A23)*(COUNTIFS('Match Log'!$A$4:$A$810,'Match Log'!$A$4:$A$810,'Match Log'!$D$4:$D$810,O$21)&gt;0)))</f>
        <v>0</v>
      </c>
    </row>
    <row r="24" spans="1:15" ht="15" customHeight="1" x14ac:dyDescent="0.2">
      <c r="A24" s="49" t="s">
        <v>180</v>
      </c>
      <c r="B24" s="75">
        <f>IF($A24=B$21,0,SUMPRODUCT(('Match Log'!$D$4:$D$810=$A24)*(COUNTIFS('Match Log'!$A$4:$A$810,'Match Log'!$A$4:$A$810,'Match Log'!$D$4:$D$810,B$21)&gt;0)))</f>
        <v>3</v>
      </c>
      <c r="C24" s="75">
        <f>IF($A24=C$21,0,SUMPRODUCT(('Match Log'!$D$4:$D$810=$A24)*(COUNTIFS('Match Log'!$A$4:$A$810,'Match Log'!$A$4:$A$810,'Match Log'!$D$4:$D$810,C$21)&gt;0)))</f>
        <v>0</v>
      </c>
      <c r="D24" s="75">
        <f>IF($A24=D$21,0,SUMPRODUCT(('Match Log'!$D$4:$D$810=$A24)*(COUNTIFS('Match Log'!$A$4:$A$810,'Match Log'!$A$4:$A$810,'Match Log'!$D$4:$D$810,D$21)&gt;0)))</f>
        <v>0</v>
      </c>
      <c r="E24" s="75">
        <f>IF($A24=E$21,0,SUMPRODUCT(('Match Log'!$D$4:$D$810=$A24)*(COUNTIFS('Match Log'!$A$4:$A$810,'Match Log'!$A$4:$A$810,'Match Log'!$D$4:$D$810,E$21)&gt;0)))</f>
        <v>1</v>
      </c>
      <c r="F24" s="75">
        <f>IF($A24=F$21,0,SUMPRODUCT(('Match Log'!$D$4:$D$810=$A24)*(COUNTIFS('Match Log'!$A$4:$A$810,'Match Log'!$A$4:$A$810,'Match Log'!$D$4:$D$810,F$21)&gt;0)))</f>
        <v>2</v>
      </c>
      <c r="G24" s="75">
        <f>IF($A24=G$21,0,SUMPRODUCT(('Match Log'!$D$4:$D$810=$A24)*(COUNTIFS('Match Log'!$A$4:$A$810,'Match Log'!$A$4:$A$810,'Match Log'!$D$4:$D$810,G$21)&gt;0)))</f>
        <v>1</v>
      </c>
      <c r="H24" s="75">
        <f>IF($A24=H$21,0,SUMPRODUCT(('Match Log'!$D$4:$D$810=$A24)*(COUNTIFS('Match Log'!$A$4:$A$810,'Match Log'!$A$4:$A$810,'Match Log'!$D$4:$D$810,H$21)&gt;0)))</f>
        <v>1</v>
      </c>
      <c r="I24" s="75">
        <f>IF($A24=I$21,0,SUMPRODUCT(('Match Log'!$D$4:$D$810=$A24)*(COUNTIFS('Match Log'!$A$4:$A$810,'Match Log'!$A$4:$A$810,'Match Log'!$D$4:$D$810,I$21)&gt;0)))</f>
        <v>7</v>
      </c>
      <c r="J24" s="75">
        <f>IF($A24=J$21,0,SUMPRODUCT(('Match Log'!$D$4:$D$810=$A24)*(COUNTIFS('Match Log'!$A$4:$A$810,'Match Log'!$A$4:$A$810,'Match Log'!$D$4:$D$810,J$21)&gt;0)))</f>
        <v>0</v>
      </c>
      <c r="K24" s="75">
        <f>IF($A24=K$21,0,SUMPRODUCT(('Match Log'!$D$4:$D$810=$A24)*(COUNTIFS('Match Log'!$A$4:$A$810,'Match Log'!$A$4:$A$810,'Match Log'!$D$4:$D$810,K$21)&gt;0)))</f>
        <v>1</v>
      </c>
      <c r="L24" s="75">
        <f>IF($A24=L$21,0,SUMPRODUCT(('Match Log'!$D$4:$D$810=$A24)*(COUNTIFS('Match Log'!$A$4:$A$810,'Match Log'!$A$4:$A$810,'Match Log'!$D$4:$D$810,L$21)&gt;0)))</f>
        <v>1</v>
      </c>
      <c r="M24" s="75">
        <f>IF($A24=M$21,0,SUMPRODUCT(('Match Log'!$D$4:$D$810=$A24)*(COUNTIFS('Match Log'!$A$4:$A$810,'Match Log'!$A$4:$A$810,'Match Log'!$D$4:$D$810,M$21)&gt;0)))</f>
        <v>0</v>
      </c>
      <c r="N24" s="75">
        <f>IF($A24=N$21,0,SUMPRODUCT(('Match Log'!$D$4:$D$810=$A24)*(COUNTIFS('Match Log'!$A$4:$A$810,'Match Log'!$A$4:$A$810,'Match Log'!$D$4:$D$810,N$21)&gt;0)))</f>
        <v>0</v>
      </c>
      <c r="O24" s="75">
        <f>IF($A24=O$21,0,SUMPRODUCT(('Match Log'!$D$4:$D$810=$A24)*(COUNTIFS('Match Log'!$A$4:$A$810,'Match Log'!$A$4:$A$810,'Match Log'!$D$4:$D$810,O$21)&gt;0)))</f>
        <v>0</v>
      </c>
    </row>
    <row r="25" spans="1:15" ht="15" customHeight="1" x14ac:dyDescent="0.2">
      <c r="A25" s="49" t="s">
        <v>147</v>
      </c>
      <c r="B25" s="75">
        <f>IF($A25=B$21,0,SUMPRODUCT(('Match Log'!$D$4:$D$810=$A25)*(COUNTIFS('Match Log'!$A$4:$A$810,'Match Log'!$A$4:$A$810,'Match Log'!$D$4:$D$810,B$21)&gt;0)))</f>
        <v>4</v>
      </c>
      <c r="C25" s="75">
        <f>IF($A25=C$21,0,SUMPRODUCT(('Match Log'!$D$4:$D$810=$A25)*(COUNTIFS('Match Log'!$A$4:$A$810,'Match Log'!$A$4:$A$810,'Match Log'!$D$4:$D$810,C$21)&gt;0)))</f>
        <v>1</v>
      </c>
      <c r="D25" s="75">
        <f>IF($A25=D$21,0,SUMPRODUCT(('Match Log'!$D$4:$D$810=$A25)*(COUNTIFS('Match Log'!$A$4:$A$810,'Match Log'!$A$4:$A$810,'Match Log'!$D$4:$D$810,D$21)&gt;0)))</f>
        <v>1</v>
      </c>
      <c r="E25" s="75">
        <f>IF($A25=E$21,0,SUMPRODUCT(('Match Log'!$D$4:$D$810=$A25)*(COUNTIFS('Match Log'!$A$4:$A$810,'Match Log'!$A$4:$A$810,'Match Log'!$D$4:$D$810,E$21)&gt;0)))</f>
        <v>0</v>
      </c>
      <c r="F25" s="75">
        <f>IF($A25=F$21,0,SUMPRODUCT(('Match Log'!$D$4:$D$810=$A25)*(COUNTIFS('Match Log'!$A$4:$A$810,'Match Log'!$A$4:$A$810,'Match Log'!$D$4:$D$810,F$21)&gt;0)))</f>
        <v>5</v>
      </c>
      <c r="G25" s="75">
        <f>IF($A25=G$21,0,SUMPRODUCT(('Match Log'!$D$4:$D$810=$A25)*(COUNTIFS('Match Log'!$A$4:$A$810,'Match Log'!$A$4:$A$810,'Match Log'!$D$4:$D$810,G$21)&gt;0)))</f>
        <v>2</v>
      </c>
      <c r="H25" s="75">
        <f>IF($A25=H$21,0,SUMPRODUCT(('Match Log'!$D$4:$D$810=$A25)*(COUNTIFS('Match Log'!$A$4:$A$810,'Match Log'!$A$4:$A$810,'Match Log'!$D$4:$D$810,H$21)&gt;0)))</f>
        <v>2</v>
      </c>
      <c r="I25" s="75">
        <f>IF($A25=I$21,0,SUMPRODUCT(('Match Log'!$D$4:$D$810=$A25)*(COUNTIFS('Match Log'!$A$4:$A$810,'Match Log'!$A$4:$A$810,'Match Log'!$D$4:$D$810,I$21)&gt;0)))</f>
        <v>4</v>
      </c>
      <c r="J25" s="75">
        <f>IF($A25=J$21,0,SUMPRODUCT(('Match Log'!$D$4:$D$810=$A25)*(COUNTIFS('Match Log'!$A$4:$A$810,'Match Log'!$A$4:$A$810,'Match Log'!$D$4:$D$810,J$21)&gt;0)))</f>
        <v>3</v>
      </c>
      <c r="K25" s="75">
        <f>IF($A25=K$21,0,SUMPRODUCT(('Match Log'!$D$4:$D$810=$A25)*(COUNTIFS('Match Log'!$A$4:$A$810,'Match Log'!$A$4:$A$810,'Match Log'!$D$4:$D$810,K$21)&gt;0)))</f>
        <v>1</v>
      </c>
      <c r="L25" s="75">
        <f>IF($A25=L$21,0,SUMPRODUCT(('Match Log'!$D$4:$D$810=$A25)*(COUNTIFS('Match Log'!$A$4:$A$810,'Match Log'!$A$4:$A$810,'Match Log'!$D$4:$D$810,L$21)&gt;0)))</f>
        <v>2</v>
      </c>
      <c r="M25" s="75">
        <f>IF($A25=M$21,0,SUMPRODUCT(('Match Log'!$D$4:$D$810=$A25)*(COUNTIFS('Match Log'!$A$4:$A$810,'Match Log'!$A$4:$A$810,'Match Log'!$D$4:$D$810,M$21)&gt;0)))</f>
        <v>5</v>
      </c>
      <c r="N25" s="75">
        <f>IF($A25=N$21,0,SUMPRODUCT(('Match Log'!$D$4:$D$810=$A25)*(COUNTIFS('Match Log'!$A$4:$A$810,'Match Log'!$A$4:$A$810,'Match Log'!$D$4:$D$810,N$21)&gt;0)))</f>
        <v>0</v>
      </c>
      <c r="O25" s="75">
        <f>IF($A25=O$21,0,SUMPRODUCT(('Match Log'!$D$4:$D$810=$A25)*(COUNTIFS('Match Log'!$A$4:$A$810,'Match Log'!$A$4:$A$810,'Match Log'!$D$4:$D$810,O$21)&gt;0)))</f>
        <v>0</v>
      </c>
    </row>
    <row r="26" spans="1:15" ht="15" customHeight="1" x14ac:dyDescent="0.2">
      <c r="A26" s="49" t="s">
        <v>144</v>
      </c>
      <c r="B26" s="75">
        <f>IF($A26=B$21,0,SUMPRODUCT(('Match Log'!$D$4:$D$810=$A26)*(COUNTIFS('Match Log'!$A$4:$A$810,'Match Log'!$A$4:$A$810,'Match Log'!$D$4:$D$810,B$21)&gt;0)))</f>
        <v>2</v>
      </c>
      <c r="C26" s="75">
        <f>IF($A26=C$21,0,SUMPRODUCT(('Match Log'!$D$4:$D$810=$A26)*(COUNTIFS('Match Log'!$A$4:$A$810,'Match Log'!$A$4:$A$810,'Match Log'!$D$4:$D$810,C$21)&gt;0)))</f>
        <v>1</v>
      </c>
      <c r="D26" s="75">
        <f>IF($A26=D$21,0,SUMPRODUCT(('Match Log'!$D$4:$D$810=$A26)*(COUNTIFS('Match Log'!$A$4:$A$810,'Match Log'!$A$4:$A$810,'Match Log'!$D$4:$D$810,D$21)&gt;0)))</f>
        <v>2</v>
      </c>
      <c r="E26" s="75">
        <f>IF($A26=E$21,0,SUMPRODUCT(('Match Log'!$D$4:$D$810=$A26)*(COUNTIFS('Match Log'!$A$4:$A$810,'Match Log'!$A$4:$A$810,'Match Log'!$D$4:$D$810,E$21)&gt;0)))</f>
        <v>5</v>
      </c>
      <c r="F26" s="75">
        <f>IF($A26=F$21,0,SUMPRODUCT(('Match Log'!$D$4:$D$810=$A26)*(COUNTIFS('Match Log'!$A$4:$A$810,'Match Log'!$A$4:$A$810,'Match Log'!$D$4:$D$810,F$21)&gt;0)))</f>
        <v>0</v>
      </c>
      <c r="G26" s="75">
        <f>IF($A26=G$21,0,SUMPRODUCT(('Match Log'!$D$4:$D$810=$A26)*(COUNTIFS('Match Log'!$A$4:$A$810,'Match Log'!$A$4:$A$810,'Match Log'!$D$4:$D$810,G$21)&gt;0)))</f>
        <v>10</v>
      </c>
      <c r="H26" s="75">
        <f>IF($A26=H$21,0,SUMPRODUCT(('Match Log'!$D$4:$D$810=$A26)*(COUNTIFS('Match Log'!$A$4:$A$810,'Match Log'!$A$4:$A$810,'Match Log'!$D$4:$D$810,H$21)&gt;0)))</f>
        <v>3</v>
      </c>
      <c r="I26" s="75">
        <f>IF($A26=I$21,0,SUMPRODUCT(('Match Log'!$D$4:$D$810=$A26)*(COUNTIFS('Match Log'!$A$4:$A$810,'Match Log'!$A$4:$A$810,'Match Log'!$D$4:$D$810,I$21)&gt;0)))</f>
        <v>13</v>
      </c>
      <c r="J26" s="75">
        <f>IF($A26=J$21,0,SUMPRODUCT(('Match Log'!$D$4:$D$810=$A26)*(COUNTIFS('Match Log'!$A$4:$A$810,'Match Log'!$A$4:$A$810,'Match Log'!$D$4:$D$810,J$21)&gt;0)))</f>
        <v>5</v>
      </c>
      <c r="K26" s="75">
        <f>IF($A26=K$21,0,SUMPRODUCT(('Match Log'!$D$4:$D$810=$A26)*(COUNTIFS('Match Log'!$A$4:$A$810,'Match Log'!$A$4:$A$810,'Match Log'!$D$4:$D$810,K$21)&gt;0)))</f>
        <v>4</v>
      </c>
      <c r="L26" s="75">
        <f>IF($A26=L$21,0,SUMPRODUCT(('Match Log'!$D$4:$D$810=$A26)*(COUNTIFS('Match Log'!$A$4:$A$810,'Match Log'!$A$4:$A$810,'Match Log'!$D$4:$D$810,L$21)&gt;0)))</f>
        <v>7</v>
      </c>
      <c r="M26" s="75">
        <f>IF($A26=M$21,0,SUMPRODUCT(('Match Log'!$D$4:$D$810=$A26)*(COUNTIFS('Match Log'!$A$4:$A$810,'Match Log'!$A$4:$A$810,'Match Log'!$D$4:$D$810,M$21)&gt;0)))</f>
        <v>1</v>
      </c>
      <c r="N26" s="75">
        <f>IF($A26=N$21,0,SUMPRODUCT(('Match Log'!$D$4:$D$810=$A26)*(COUNTIFS('Match Log'!$A$4:$A$810,'Match Log'!$A$4:$A$810,'Match Log'!$D$4:$D$810,N$21)&gt;0)))</f>
        <v>1</v>
      </c>
      <c r="O26" s="75">
        <f>IF($A26=O$21,0,SUMPRODUCT(('Match Log'!$D$4:$D$810=$A26)*(COUNTIFS('Match Log'!$A$4:$A$810,'Match Log'!$A$4:$A$810,'Match Log'!$D$4:$D$810,O$21)&gt;0)))</f>
        <v>0</v>
      </c>
    </row>
    <row r="27" spans="1:15" ht="15" customHeight="1" x14ac:dyDescent="0.2">
      <c r="A27" s="49" t="s">
        <v>141</v>
      </c>
      <c r="B27" s="75">
        <f>IF($A27=B$21,0,SUMPRODUCT(('Match Log'!$D$4:$D$810=$A27)*(COUNTIFS('Match Log'!$A$4:$A$810,'Match Log'!$A$4:$A$810,'Match Log'!$D$4:$D$810,B$21)&gt;0)))</f>
        <v>11</v>
      </c>
      <c r="C27" s="75">
        <f>IF($A27=C$21,0,SUMPRODUCT(('Match Log'!$D$4:$D$810=$A27)*(COUNTIFS('Match Log'!$A$4:$A$810,'Match Log'!$A$4:$A$810,'Match Log'!$D$4:$D$810,C$21)&gt;0)))</f>
        <v>1</v>
      </c>
      <c r="D27" s="75">
        <f>IF($A27=D$21,0,SUMPRODUCT(('Match Log'!$D$4:$D$810=$A27)*(COUNTIFS('Match Log'!$A$4:$A$810,'Match Log'!$A$4:$A$810,'Match Log'!$D$4:$D$810,D$21)&gt;0)))</f>
        <v>1</v>
      </c>
      <c r="E27" s="75">
        <f>IF($A27=E$21,0,SUMPRODUCT(('Match Log'!$D$4:$D$810=$A27)*(COUNTIFS('Match Log'!$A$4:$A$810,'Match Log'!$A$4:$A$810,'Match Log'!$D$4:$D$810,E$21)&gt;0)))</f>
        <v>2</v>
      </c>
      <c r="F27" s="75">
        <f>IF($A27=F$21,0,SUMPRODUCT(('Match Log'!$D$4:$D$810=$A27)*(COUNTIFS('Match Log'!$A$4:$A$810,'Match Log'!$A$4:$A$810,'Match Log'!$D$4:$D$810,F$21)&gt;0)))</f>
        <v>10</v>
      </c>
      <c r="G27" s="75">
        <f>IF($A27=G$21,0,SUMPRODUCT(('Match Log'!$D$4:$D$810=$A27)*(COUNTIFS('Match Log'!$A$4:$A$810,'Match Log'!$A$4:$A$810,'Match Log'!$D$4:$D$810,G$21)&gt;0)))</f>
        <v>0</v>
      </c>
      <c r="H27" s="75">
        <f>IF($A27=H$21,0,SUMPRODUCT(('Match Log'!$D$4:$D$810=$A27)*(COUNTIFS('Match Log'!$A$4:$A$810,'Match Log'!$A$4:$A$810,'Match Log'!$D$4:$D$810,H$21)&gt;0)))</f>
        <v>3</v>
      </c>
      <c r="I27" s="75">
        <f>IF($A27=I$21,0,SUMPRODUCT(('Match Log'!$D$4:$D$810=$A27)*(COUNTIFS('Match Log'!$A$4:$A$810,'Match Log'!$A$4:$A$810,'Match Log'!$D$4:$D$810,I$21)&gt;0)))</f>
        <v>22</v>
      </c>
      <c r="J27" s="75">
        <f>IF($A27=J$21,0,SUMPRODUCT(('Match Log'!$D$4:$D$810=$A27)*(COUNTIFS('Match Log'!$A$4:$A$810,'Match Log'!$A$4:$A$810,'Match Log'!$D$4:$D$810,J$21)&gt;0)))</f>
        <v>3</v>
      </c>
      <c r="K27" s="75">
        <f>IF($A27=K$21,0,SUMPRODUCT(('Match Log'!$D$4:$D$810=$A27)*(COUNTIFS('Match Log'!$A$4:$A$810,'Match Log'!$A$4:$A$810,'Match Log'!$D$4:$D$810,K$21)&gt;0)))</f>
        <v>0</v>
      </c>
      <c r="L27" s="75">
        <f>IF($A27=L$21,0,SUMPRODUCT(('Match Log'!$D$4:$D$810=$A27)*(COUNTIFS('Match Log'!$A$4:$A$810,'Match Log'!$A$4:$A$810,'Match Log'!$D$4:$D$810,L$21)&gt;0)))</f>
        <v>14</v>
      </c>
      <c r="M27" s="75">
        <f>IF($A27=M$21,0,SUMPRODUCT(('Match Log'!$D$4:$D$810=$A27)*(COUNTIFS('Match Log'!$A$4:$A$810,'Match Log'!$A$4:$A$810,'Match Log'!$D$4:$D$810,M$21)&gt;0)))</f>
        <v>1</v>
      </c>
      <c r="N27" s="75">
        <f>IF($A27=N$21,0,SUMPRODUCT(('Match Log'!$D$4:$D$810=$A27)*(COUNTIFS('Match Log'!$A$4:$A$810,'Match Log'!$A$4:$A$810,'Match Log'!$D$4:$D$810,N$21)&gt;0)))</f>
        <v>1</v>
      </c>
      <c r="O27" s="75">
        <f>IF($A27=O$21,0,SUMPRODUCT(('Match Log'!$D$4:$D$810=$A27)*(COUNTIFS('Match Log'!$A$4:$A$810,'Match Log'!$A$4:$A$810,'Match Log'!$D$4:$D$810,O$21)&gt;0)))</f>
        <v>0</v>
      </c>
    </row>
    <row r="28" spans="1:15" ht="15" customHeight="1" x14ac:dyDescent="0.2">
      <c r="A28" s="49" t="s">
        <v>175</v>
      </c>
      <c r="B28" s="75">
        <f>IF($A28=B$21,0,SUMPRODUCT(('Match Log'!$D$4:$D$810=$A28)*(COUNTIFS('Match Log'!$A$4:$A$810,'Match Log'!$A$4:$A$810,'Match Log'!$D$4:$D$810,B$21)&gt;0)))</f>
        <v>4</v>
      </c>
      <c r="C28" s="75">
        <f>IF($A28=C$21,0,SUMPRODUCT(('Match Log'!$D$4:$D$810=$A28)*(COUNTIFS('Match Log'!$A$4:$A$810,'Match Log'!$A$4:$A$810,'Match Log'!$D$4:$D$810,C$21)&gt;0)))</f>
        <v>3</v>
      </c>
      <c r="D28" s="75">
        <f>IF($A28=D$21,0,SUMPRODUCT(('Match Log'!$D$4:$D$810=$A28)*(COUNTIFS('Match Log'!$A$4:$A$810,'Match Log'!$A$4:$A$810,'Match Log'!$D$4:$D$810,D$21)&gt;0)))</f>
        <v>1</v>
      </c>
      <c r="E28" s="75">
        <f>IF($A28=E$21,0,SUMPRODUCT(('Match Log'!$D$4:$D$810=$A28)*(COUNTIFS('Match Log'!$A$4:$A$810,'Match Log'!$A$4:$A$810,'Match Log'!$D$4:$D$810,E$21)&gt;0)))</f>
        <v>2</v>
      </c>
      <c r="F28" s="75">
        <f>IF($A28=F$21,0,SUMPRODUCT(('Match Log'!$D$4:$D$810=$A28)*(COUNTIFS('Match Log'!$A$4:$A$810,'Match Log'!$A$4:$A$810,'Match Log'!$D$4:$D$810,F$21)&gt;0)))</f>
        <v>3</v>
      </c>
      <c r="G28" s="75">
        <f>IF($A28=G$21,0,SUMPRODUCT(('Match Log'!$D$4:$D$810=$A28)*(COUNTIFS('Match Log'!$A$4:$A$810,'Match Log'!$A$4:$A$810,'Match Log'!$D$4:$D$810,G$21)&gt;0)))</f>
        <v>3</v>
      </c>
      <c r="H28" s="75">
        <f>IF($A28=H$21,0,SUMPRODUCT(('Match Log'!$D$4:$D$810=$A28)*(COUNTIFS('Match Log'!$A$4:$A$810,'Match Log'!$A$4:$A$810,'Match Log'!$D$4:$D$810,H$21)&gt;0)))</f>
        <v>0</v>
      </c>
      <c r="I28" s="75">
        <f>IF($A28=I$21,0,SUMPRODUCT(('Match Log'!$D$4:$D$810=$A28)*(COUNTIFS('Match Log'!$A$4:$A$810,'Match Log'!$A$4:$A$810,'Match Log'!$D$4:$D$810,I$21)&gt;0)))</f>
        <v>1</v>
      </c>
      <c r="J28" s="75">
        <f>IF($A28=J$21,0,SUMPRODUCT(('Match Log'!$D$4:$D$810=$A28)*(COUNTIFS('Match Log'!$A$4:$A$810,'Match Log'!$A$4:$A$810,'Match Log'!$D$4:$D$810,J$21)&gt;0)))</f>
        <v>2</v>
      </c>
      <c r="K28" s="75">
        <f>IF($A28=K$21,0,SUMPRODUCT(('Match Log'!$D$4:$D$810=$A28)*(COUNTIFS('Match Log'!$A$4:$A$810,'Match Log'!$A$4:$A$810,'Match Log'!$D$4:$D$810,K$21)&gt;0)))</f>
        <v>2</v>
      </c>
      <c r="L28" s="75">
        <f>IF($A28=L$21,0,SUMPRODUCT(('Match Log'!$D$4:$D$810=$A28)*(COUNTIFS('Match Log'!$A$4:$A$810,'Match Log'!$A$4:$A$810,'Match Log'!$D$4:$D$810,L$21)&gt;0)))</f>
        <v>13</v>
      </c>
      <c r="M28" s="75">
        <f>IF($A28=M$21,0,SUMPRODUCT(('Match Log'!$D$4:$D$810=$A28)*(COUNTIFS('Match Log'!$A$4:$A$810,'Match Log'!$A$4:$A$810,'Match Log'!$D$4:$D$810,M$21)&gt;0)))</f>
        <v>1</v>
      </c>
      <c r="N28" s="75">
        <f>IF($A28=N$21,0,SUMPRODUCT(('Match Log'!$D$4:$D$810=$A28)*(COUNTIFS('Match Log'!$A$4:$A$810,'Match Log'!$A$4:$A$810,'Match Log'!$D$4:$D$810,N$21)&gt;0)))</f>
        <v>2</v>
      </c>
      <c r="O28" s="75">
        <f>IF($A28=O$21,0,SUMPRODUCT(('Match Log'!$D$4:$D$810=$A28)*(COUNTIFS('Match Log'!$A$4:$A$810,'Match Log'!$A$4:$A$810,'Match Log'!$D$4:$D$810,O$21)&gt;0)))</f>
        <v>0</v>
      </c>
    </row>
    <row r="29" spans="1:15" ht="15" customHeight="1" x14ac:dyDescent="0.2">
      <c r="A29" s="49" t="s">
        <v>177</v>
      </c>
      <c r="B29" s="75">
        <f>IF($A29=B$21,0,SUMPRODUCT(('Match Log'!$D$4:$D$810=$A29)*(COUNTIFS('Match Log'!$A$4:$A$810,'Match Log'!$A$4:$A$810,'Match Log'!$D$4:$D$810,B$21)&gt;0)))</f>
        <v>5</v>
      </c>
      <c r="C29" s="75">
        <f>IF($A29=C$21,0,SUMPRODUCT(('Match Log'!$D$4:$D$810=$A29)*(COUNTIFS('Match Log'!$A$4:$A$810,'Match Log'!$A$4:$A$810,'Match Log'!$D$4:$D$810,C$21)&gt;0)))</f>
        <v>2</v>
      </c>
      <c r="D29" s="75">
        <f>IF($A29=D$21,0,SUMPRODUCT(('Match Log'!$D$4:$D$810=$A29)*(COUNTIFS('Match Log'!$A$4:$A$810,'Match Log'!$A$4:$A$810,'Match Log'!$D$4:$D$810,D$21)&gt;0)))</f>
        <v>7</v>
      </c>
      <c r="E29" s="75">
        <f>IF($A29=E$21,0,SUMPRODUCT(('Match Log'!$D$4:$D$810=$A29)*(COUNTIFS('Match Log'!$A$4:$A$810,'Match Log'!$A$4:$A$810,'Match Log'!$D$4:$D$810,E$21)&gt;0)))</f>
        <v>4</v>
      </c>
      <c r="F29" s="75">
        <f>IF($A29=F$21,0,SUMPRODUCT(('Match Log'!$D$4:$D$810=$A29)*(COUNTIFS('Match Log'!$A$4:$A$810,'Match Log'!$A$4:$A$810,'Match Log'!$D$4:$D$810,F$21)&gt;0)))</f>
        <v>13</v>
      </c>
      <c r="G29" s="75">
        <f>IF($A29=G$21,0,SUMPRODUCT(('Match Log'!$D$4:$D$810=$A29)*(COUNTIFS('Match Log'!$A$4:$A$810,'Match Log'!$A$4:$A$810,'Match Log'!$D$4:$D$810,G$21)&gt;0)))</f>
        <v>22</v>
      </c>
      <c r="H29" s="75">
        <f>IF($A29=H$21,0,SUMPRODUCT(('Match Log'!$D$4:$D$810=$A29)*(COUNTIFS('Match Log'!$A$4:$A$810,'Match Log'!$A$4:$A$810,'Match Log'!$D$4:$D$810,H$21)&gt;0)))</f>
        <v>1</v>
      </c>
      <c r="I29" s="75">
        <f>IF($A29=I$21,0,SUMPRODUCT(('Match Log'!$D$4:$D$810=$A29)*(COUNTIFS('Match Log'!$A$4:$A$810,'Match Log'!$A$4:$A$810,'Match Log'!$D$4:$D$810,I$21)&gt;0)))</f>
        <v>0</v>
      </c>
      <c r="J29" s="75">
        <f>IF($A29=J$21,0,SUMPRODUCT(('Match Log'!$D$4:$D$810=$A29)*(COUNTIFS('Match Log'!$A$4:$A$810,'Match Log'!$A$4:$A$810,'Match Log'!$D$4:$D$810,J$21)&gt;0)))</f>
        <v>12</v>
      </c>
      <c r="K29" s="75">
        <f>IF($A29=K$21,0,SUMPRODUCT(('Match Log'!$D$4:$D$810=$A29)*(COUNTIFS('Match Log'!$A$4:$A$810,'Match Log'!$A$4:$A$810,'Match Log'!$D$4:$D$810,K$21)&gt;0)))</f>
        <v>2</v>
      </c>
      <c r="L29" s="75">
        <f>IF($A29=L$21,0,SUMPRODUCT(('Match Log'!$D$4:$D$810=$A29)*(COUNTIFS('Match Log'!$A$4:$A$810,'Match Log'!$A$4:$A$810,'Match Log'!$D$4:$D$810,L$21)&gt;0)))</f>
        <v>6</v>
      </c>
      <c r="M29" s="75">
        <f>IF($A29=M$21,0,SUMPRODUCT(('Match Log'!$D$4:$D$810=$A29)*(COUNTIFS('Match Log'!$A$4:$A$810,'Match Log'!$A$4:$A$810,'Match Log'!$D$4:$D$810,M$21)&gt;0)))</f>
        <v>2</v>
      </c>
      <c r="N29" s="75">
        <f>IF($A29=N$21,0,SUMPRODUCT(('Match Log'!$D$4:$D$810=$A29)*(COUNTIFS('Match Log'!$A$4:$A$810,'Match Log'!$A$4:$A$810,'Match Log'!$D$4:$D$810,N$21)&gt;0)))</f>
        <v>1</v>
      </c>
      <c r="O29" s="75">
        <f>IF($A29=O$21,0,SUMPRODUCT(('Match Log'!$D$4:$D$810=$A29)*(COUNTIFS('Match Log'!$A$4:$A$810,'Match Log'!$A$4:$A$810,'Match Log'!$D$4:$D$810,O$21)&gt;0)))</f>
        <v>0</v>
      </c>
    </row>
    <row r="30" spans="1:15" ht="15" customHeight="1" x14ac:dyDescent="0.2">
      <c r="A30" s="49" t="s">
        <v>174</v>
      </c>
      <c r="B30" s="75">
        <f>IF($A30=B$21,0,SUMPRODUCT(('Match Log'!$D$4:$D$810=$A30)*(COUNTIFS('Match Log'!$A$4:$A$810,'Match Log'!$A$4:$A$810,'Match Log'!$D$4:$D$810,B$21)&gt;0)))</f>
        <v>2</v>
      </c>
      <c r="C30" s="75">
        <f>IF($A30=C$21,0,SUMPRODUCT(('Match Log'!$D$4:$D$810=$A30)*(COUNTIFS('Match Log'!$A$4:$A$810,'Match Log'!$A$4:$A$810,'Match Log'!$D$4:$D$810,C$21)&gt;0)))</f>
        <v>2</v>
      </c>
      <c r="D30" s="75">
        <f>IF($A30=D$21,0,SUMPRODUCT(('Match Log'!$D$4:$D$810=$A30)*(COUNTIFS('Match Log'!$A$4:$A$810,'Match Log'!$A$4:$A$810,'Match Log'!$D$4:$D$810,D$21)&gt;0)))</f>
        <v>0</v>
      </c>
      <c r="E30" s="75">
        <f>IF($A30=E$21,0,SUMPRODUCT(('Match Log'!$D$4:$D$810=$A30)*(COUNTIFS('Match Log'!$A$4:$A$810,'Match Log'!$A$4:$A$810,'Match Log'!$D$4:$D$810,E$21)&gt;0)))</f>
        <v>3</v>
      </c>
      <c r="F30" s="75">
        <f>IF($A30=F$21,0,SUMPRODUCT(('Match Log'!$D$4:$D$810=$A30)*(COUNTIFS('Match Log'!$A$4:$A$810,'Match Log'!$A$4:$A$810,'Match Log'!$D$4:$D$810,F$21)&gt;0)))</f>
        <v>5</v>
      </c>
      <c r="G30" s="75">
        <f>IF($A30=G$21,0,SUMPRODUCT(('Match Log'!$D$4:$D$810=$A30)*(COUNTIFS('Match Log'!$A$4:$A$810,'Match Log'!$A$4:$A$810,'Match Log'!$D$4:$D$810,G$21)&gt;0)))</f>
        <v>3</v>
      </c>
      <c r="H30" s="75">
        <f>IF($A30=H$21,0,SUMPRODUCT(('Match Log'!$D$4:$D$810=$A30)*(COUNTIFS('Match Log'!$A$4:$A$810,'Match Log'!$A$4:$A$810,'Match Log'!$D$4:$D$810,H$21)&gt;0)))</f>
        <v>2</v>
      </c>
      <c r="I30" s="75">
        <f>IF($A30=I$21,0,SUMPRODUCT(('Match Log'!$D$4:$D$810=$A30)*(COUNTIFS('Match Log'!$A$4:$A$810,'Match Log'!$A$4:$A$810,'Match Log'!$D$4:$D$810,I$21)&gt;0)))</f>
        <v>12</v>
      </c>
      <c r="J30" s="75">
        <f>IF($A30=J$21,0,SUMPRODUCT(('Match Log'!$D$4:$D$810=$A30)*(COUNTIFS('Match Log'!$A$4:$A$810,'Match Log'!$A$4:$A$810,'Match Log'!$D$4:$D$810,J$21)&gt;0)))</f>
        <v>0</v>
      </c>
      <c r="K30" s="75">
        <f>IF($A30=K$21,0,SUMPRODUCT(('Match Log'!$D$4:$D$810=$A30)*(COUNTIFS('Match Log'!$A$4:$A$810,'Match Log'!$A$4:$A$810,'Match Log'!$D$4:$D$810,K$21)&gt;0)))</f>
        <v>1</v>
      </c>
      <c r="L30" s="75">
        <f>IF($A30=L$21,0,SUMPRODUCT(('Match Log'!$D$4:$D$810=$A30)*(COUNTIFS('Match Log'!$A$4:$A$810,'Match Log'!$A$4:$A$810,'Match Log'!$D$4:$D$810,L$21)&gt;0)))</f>
        <v>6</v>
      </c>
      <c r="M30" s="75">
        <f>IF($A30=M$21,0,SUMPRODUCT(('Match Log'!$D$4:$D$810=$A30)*(COUNTIFS('Match Log'!$A$4:$A$810,'Match Log'!$A$4:$A$810,'Match Log'!$D$4:$D$810,M$21)&gt;0)))</f>
        <v>2</v>
      </c>
      <c r="N30" s="75">
        <f>IF($A30=N$21,0,SUMPRODUCT(('Match Log'!$D$4:$D$810=$A30)*(COUNTIFS('Match Log'!$A$4:$A$810,'Match Log'!$A$4:$A$810,'Match Log'!$D$4:$D$810,N$21)&gt;0)))</f>
        <v>1</v>
      </c>
      <c r="O30" s="75">
        <f>IF($A30=O$21,0,SUMPRODUCT(('Match Log'!$D$4:$D$810=$A30)*(COUNTIFS('Match Log'!$A$4:$A$810,'Match Log'!$A$4:$A$810,'Match Log'!$D$4:$D$810,O$21)&gt;0)))</f>
        <v>0</v>
      </c>
    </row>
    <row r="31" spans="1:15" ht="15" customHeight="1" x14ac:dyDescent="0.2">
      <c r="A31" s="49" t="s">
        <v>182</v>
      </c>
      <c r="B31" s="75">
        <f>IF($A31=B$21,0,SUMPRODUCT(('Match Log'!$D$4:$D$810=$A31)*(COUNTIFS('Match Log'!$A$4:$A$810,'Match Log'!$A$4:$A$810,'Match Log'!$D$4:$D$810,B$21)&gt;0)))</f>
        <v>2</v>
      </c>
      <c r="C31" s="75">
        <f>IF($A31=C$21,0,SUMPRODUCT(('Match Log'!$D$4:$D$810=$A31)*(COUNTIFS('Match Log'!$A$4:$A$810,'Match Log'!$A$4:$A$810,'Match Log'!$D$4:$D$810,C$21)&gt;0)))</f>
        <v>1</v>
      </c>
      <c r="D31" s="75">
        <f>IF($A31=D$21,0,SUMPRODUCT(('Match Log'!$D$4:$D$810=$A31)*(COUNTIFS('Match Log'!$A$4:$A$810,'Match Log'!$A$4:$A$810,'Match Log'!$D$4:$D$810,D$21)&gt;0)))</f>
        <v>1</v>
      </c>
      <c r="E31" s="75">
        <f>IF($A31=E$21,0,SUMPRODUCT(('Match Log'!$D$4:$D$810=$A31)*(COUNTIFS('Match Log'!$A$4:$A$810,'Match Log'!$A$4:$A$810,'Match Log'!$D$4:$D$810,E$21)&gt;0)))</f>
        <v>1</v>
      </c>
      <c r="F31" s="75">
        <f>IF($A31=F$21,0,SUMPRODUCT(('Match Log'!$D$4:$D$810=$A31)*(COUNTIFS('Match Log'!$A$4:$A$810,'Match Log'!$A$4:$A$810,'Match Log'!$D$4:$D$810,F$21)&gt;0)))</f>
        <v>4</v>
      </c>
      <c r="G31" s="75">
        <f>IF($A31=G$21,0,SUMPRODUCT(('Match Log'!$D$4:$D$810=$A31)*(COUNTIFS('Match Log'!$A$4:$A$810,'Match Log'!$A$4:$A$810,'Match Log'!$D$4:$D$810,G$21)&gt;0)))</f>
        <v>0</v>
      </c>
      <c r="H31" s="75">
        <f>IF($A31=H$21,0,SUMPRODUCT(('Match Log'!$D$4:$D$810=$A31)*(COUNTIFS('Match Log'!$A$4:$A$810,'Match Log'!$A$4:$A$810,'Match Log'!$D$4:$D$810,H$21)&gt;0)))</f>
        <v>2</v>
      </c>
      <c r="I31" s="75">
        <f>IF($A31=I$21,0,SUMPRODUCT(('Match Log'!$D$4:$D$810=$A31)*(COUNTIFS('Match Log'!$A$4:$A$810,'Match Log'!$A$4:$A$810,'Match Log'!$D$4:$D$810,I$21)&gt;0)))</f>
        <v>2</v>
      </c>
      <c r="J31" s="75">
        <f>IF($A31=J$21,0,SUMPRODUCT(('Match Log'!$D$4:$D$810=$A31)*(COUNTIFS('Match Log'!$A$4:$A$810,'Match Log'!$A$4:$A$810,'Match Log'!$D$4:$D$810,J$21)&gt;0)))</f>
        <v>1</v>
      </c>
      <c r="K31" s="75">
        <f>IF($A31=K$21,0,SUMPRODUCT(('Match Log'!$D$4:$D$810=$A31)*(COUNTIFS('Match Log'!$A$4:$A$810,'Match Log'!$A$4:$A$810,'Match Log'!$D$4:$D$810,K$21)&gt;0)))</f>
        <v>0</v>
      </c>
      <c r="L31" s="75">
        <f>IF($A31=L$21,0,SUMPRODUCT(('Match Log'!$D$4:$D$810=$A31)*(COUNTIFS('Match Log'!$A$4:$A$810,'Match Log'!$A$4:$A$810,'Match Log'!$D$4:$D$810,L$21)&gt;0)))</f>
        <v>3</v>
      </c>
      <c r="M31" s="75">
        <f>IF($A31=M$21,0,SUMPRODUCT(('Match Log'!$D$4:$D$810=$A31)*(COUNTIFS('Match Log'!$A$4:$A$810,'Match Log'!$A$4:$A$810,'Match Log'!$D$4:$D$810,M$21)&gt;0)))</f>
        <v>0</v>
      </c>
      <c r="N31" s="75">
        <f>IF($A31=N$21,0,SUMPRODUCT(('Match Log'!$D$4:$D$810=$A31)*(COUNTIFS('Match Log'!$A$4:$A$810,'Match Log'!$A$4:$A$810,'Match Log'!$D$4:$D$810,N$21)&gt;0)))</f>
        <v>0</v>
      </c>
      <c r="O31" s="75">
        <f>IF($A31=O$21,0,SUMPRODUCT(('Match Log'!$D$4:$D$810=$A31)*(COUNTIFS('Match Log'!$A$4:$A$810,'Match Log'!$A$4:$A$810,'Match Log'!$D$4:$D$810,O$21)&gt;0)))</f>
        <v>0</v>
      </c>
    </row>
    <row r="32" spans="1:15" ht="15" customHeight="1" x14ac:dyDescent="0.2">
      <c r="A32" s="49" t="s">
        <v>176</v>
      </c>
      <c r="B32" s="75">
        <f>IF($A32=B$21,0,SUMPRODUCT(('Match Log'!$D$4:$D$810=$A32)*(COUNTIFS('Match Log'!$A$4:$A$810,'Match Log'!$A$4:$A$810,'Match Log'!$D$4:$D$810,B$21)&gt;0)))</f>
        <v>4</v>
      </c>
      <c r="C32" s="75">
        <f>IF($A32=C$21,0,SUMPRODUCT(('Match Log'!$D$4:$D$810=$A32)*(COUNTIFS('Match Log'!$A$4:$A$810,'Match Log'!$A$4:$A$810,'Match Log'!$D$4:$D$810,C$21)&gt;0)))</f>
        <v>5</v>
      </c>
      <c r="D32" s="75">
        <f>IF($A32=D$21,0,SUMPRODUCT(('Match Log'!$D$4:$D$810=$A32)*(COUNTIFS('Match Log'!$A$4:$A$810,'Match Log'!$A$4:$A$810,'Match Log'!$D$4:$D$810,D$21)&gt;0)))</f>
        <v>1</v>
      </c>
      <c r="E32" s="75">
        <f>IF($A32=E$21,0,SUMPRODUCT(('Match Log'!$D$4:$D$810=$A32)*(COUNTIFS('Match Log'!$A$4:$A$810,'Match Log'!$A$4:$A$810,'Match Log'!$D$4:$D$810,E$21)&gt;0)))</f>
        <v>2</v>
      </c>
      <c r="F32" s="75">
        <f>IF($A32=F$21,0,SUMPRODUCT(('Match Log'!$D$4:$D$810=$A32)*(COUNTIFS('Match Log'!$A$4:$A$810,'Match Log'!$A$4:$A$810,'Match Log'!$D$4:$D$810,F$21)&gt;0)))</f>
        <v>7</v>
      </c>
      <c r="G32" s="75">
        <f>IF($A32=G$21,0,SUMPRODUCT(('Match Log'!$D$4:$D$810=$A32)*(COUNTIFS('Match Log'!$A$4:$A$810,'Match Log'!$A$4:$A$810,'Match Log'!$D$4:$D$810,G$21)&gt;0)))</f>
        <v>14</v>
      </c>
      <c r="H32" s="75">
        <f>IF($A32=H$21,0,SUMPRODUCT(('Match Log'!$D$4:$D$810=$A32)*(COUNTIFS('Match Log'!$A$4:$A$810,'Match Log'!$A$4:$A$810,'Match Log'!$D$4:$D$810,H$21)&gt;0)))</f>
        <v>13</v>
      </c>
      <c r="I32" s="75">
        <f>IF($A32=I$21,0,SUMPRODUCT(('Match Log'!$D$4:$D$810=$A32)*(COUNTIFS('Match Log'!$A$4:$A$810,'Match Log'!$A$4:$A$810,'Match Log'!$D$4:$D$810,I$21)&gt;0)))</f>
        <v>6</v>
      </c>
      <c r="J32" s="75">
        <f>IF($A32=J$21,0,SUMPRODUCT(('Match Log'!$D$4:$D$810=$A32)*(COUNTIFS('Match Log'!$A$4:$A$810,'Match Log'!$A$4:$A$810,'Match Log'!$D$4:$D$810,J$21)&gt;0)))</f>
        <v>6</v>
      </c>
      <c r="K32" s="75">
        <f>IF($A32=K$21,0,SUMPRODUCT(('Match Log'!$D$4:$D$810=$A32)*(COUNTIFS('Match Log'!$A$4:$A$810,'Match Log'!$A$4:$A$810,'Match Log'!$D$4:$D$810,K$21)&gt;0)))</f>
        <v>3</v>
      </c>
      <c r="L32" s="75">
        <f>IF($A32=L$21,0,SUMPRODUCT(('Match Log'!$D$4:$D$810=$A32)*(COUNTIFS('Match Log'!$A$4:$A$810,'Match Log'!$A$4:$A$810,'Match Log'!$D$4:$D$810,L$21)&gt;0)))</f>
        <v>0</v>
      </c>
      <c r="M32" s="75">
        <f>IF($A32=M$21,0,SUMPRODUCT(('Match Log'!$D$4:$D$810=$A32)*(COUNTIFS('Match Log'!$A$4:$A$810,'Match Log'!$A$4:$A$810,'Match Log'!$D$4:$D$810,M$21)&gt;0)))</f>
        <v>1</v>
      </c>
      <c r="N32" s="75">
        <f>IF($A32=N$21,0,SUMPRODUCT(('Match Log'!$D$4:$D$810=$A32)*(COUNTIFS('Match Log'!$A$4:$A$810,'Match Log'!$A$4:$A$810,'Match Log'!$D$4:$D$810,N$21)&gt;0)))</f>
        <v>2</v>
      </c>
      <c r="O32" s="75">
        <f>IF($A32=O$21,0,SUMPRODUCT(('Match Log'!$D$4:$D$810=$A32)*(COUNTIFS('Match Log'!$A$4:$A$810,'Match Log'!$A$4:$A$810,'Match Log'!$D$4:$D$810,O$21)&gt;0)))</f>
        <v>0</v>
      </c>
    </row>
    <row r="33" spans="1:15" ht="15" customHeight="1" x14ac:dyDescent="0.2">
      <c r="A33" s="49" t="s">
        <v>178</v>
      </c>
      <c r="B33" s="75">
        <f>IF($A33=B$21,0,SUMPRODUCT(('Match Log'!$D$4:$D$810=$A33)*(COUNTIFS('Match Log'!$A$4:$A$810,'Match Log'!$A$4:$A$810,'Match Log'!$D$4:$D$810,B$21)&gt;0)))</f>
        <v>1</v>
      </c>
      <c r="C33" s="75">
        <f>IF($A33=C$21,0,SUMPRODUCT(('Match Log'!$D$4:$D$810=$A33)*(COUNTIFS('Match Log'!$A$4:$A$810,'Match Log'!$A$4:$A$810,'Match Log'!$D$4:$D$810,C$21)&gt;0)))</f>
        <v>1</v>
      </c>
      <c r="D33" s="75">
        <f>IF($A33=D$21,0,SUMPRODUCT(('Match Log'!$D$4:$D$810=$A33)*(COUNTIFS('Match Log'!$A$4:$A$810,'Match Log'!$A$4:$A$810,'Match Log'!$D$4:$D$810,D$21)&gt;0)))</f>
        <v>0</v>
      </c>
      <c r="E33" s="75">
        <f>IF($A33=E$21,0,SUMPRODUCT(('Match Log'!$D$4:$D$810=$A33)*(COUNTIFS('Match Log'!$A$4:$A$810,'Match Log'!$A$4:$A$810,'Match Log'!$D$4:$D$810,E$21)&gt;0)))</f>
        <v>5</v>
      </c>
      <c r="F33" s="75">
        <f>IF($A33=F$21,0,SUMPRODUCT(('Match Log'!$D$4:$D$810=$A33)*(COUNTIFS('Match Log'!$A$4:$A$810,'Match Log'!$A$4:$A$810,'Match Log'!$D$4:$D$810,F$21)&gt;0)))</f>
        <v>1</v>
      </c>
      <c r="G33" s="75">
        <f>IF($A33=G$21,0,SUMPRODUCT(('Match Log'!$D$4:$D$810=$A33)*(COUNTIFS('Match Log'!$A$4:$A$810,'Match Log'!$A$4:$A$810,'Match Log'!$D$4:$D$810,G$21)&gt;0)))</f>
        <v>1</v>
      </c>
      <c r="H33" s="75">
        <f>IF($A33=H$21,0,SUMPRODUCT(('Match Log'!$D$4:$D$810=$A33)*(COUNTIFS('Match Log'!$A$4:$A$810,'Match Log'!$A$4:$A$810,'Match Log'!$D$4:$D$810,H$21)&gt;0)))</f>
        <v>1</v>
      </c>
      <c r="I33" s="75">
        <f>IF($A33=I$21,0,SUMPRODUCT(('Match Log'!$D$4:$D$810=$A33)*(COUNTIFS('Match Log'!$A$4:$A$810,'Match Log'!$A$4:$A$810,'Match Log'!$D$4:$D$810,I$21)&gt;0)))</f>
        <v>2</v>
      </c>
      <c r="J33" s="75">
        <f>IF($A33=J$21,0,SUMPRODUCT(('Match Log'!$D$4:$D$810=$A33)*(COUNTIFS('Match Log'!$A$4:$A$810,'Match Log'!$A$4:$A$810,'Match Log'!$D$4:$D$810,J$21)&gt;0)))</f>
        <v>2</v>
      </c>
      <c r="K33" s="75">
        <f>IF($A33=K$21,0,SUMPRODUCT(('Match Log'!$D$4:$D$810=$A33)*(COUNTIFS('Match Log'!$A$4:$A$810,'Match Log'!$A$4:$A$810,'Match Log'!$D$4:$D$810,K$21)&gt;0)))</f>
        <v>0</v>
      </c>
      <c r="L33" s="75">
        <f>IF($A33=L$21,0,SUMPRODUCT(('Match Log'!$D$4:$D$810=$A33)*(COUNTIFS('Match Log'!$A$4:$A$810,'Match Log'!$A$4:$A$810,'Match Log'!$D$4:$D$810,L$21)&gt;0)))</f>
        <v>1</v>
      </c>
      <c r="M33" s="75">
        <f>IF($A33=M$21,0,SUMPRODUCT(('Match Log'!$D$4:$D$810=$A33)*(COUNTIFS('Match Log'!$A$4:$A$810,'Match Log'!$A$4:$A$810,'Match Log'!$D$4:$D$810,M$21)&gt;0)))</f>
        <v>0</v>
      </c>
      <c r="N33" s="75">
        <f>IF($A33=N$21,0,SUMPRODUCT(('Match Log'!$D$4:$D$810=$A33)*(COUNTIFS('Match Log'!$A$4:$A$810,'Match Log'!$A$4:$A$810,'Match Log'!$D$4:$D$810,N$21)&gt;0)))</f>
        <v>0</v>
      </c>
      <c r="O33" s="75">
        <f>IF($A33=O$21,0,SUMPRODUCT(('Match Log'!$D$4:$D$810=$A33)*(COUNTIFS('Match Log'!$A$4:$A$810,'Match Log'!$A$4:$A$810,'Match Log'!$D$4:$D$810,O$21)&gt;0)))</f>
        <v>0</v>
      </c>
    </row>
    <row r="34" spans="1:15" ht="15" customHeight="1" x14ac:dyDescent="0.2">
      <c r="A34" s="49" t="s">
        <v>179</v>
      </c>
      <c r="B34" s="75">
        <f>IF($A34=B$21,0,SUMPRODUCT(('Match Log'!$D$4:$D$810=$A34)*(COUNTIFS('Match Log'!$A$4:$A$810,'Match Log'!$A$4:$A$810,'Match Log'!$D$4:$D$810,B$21)&gt;0)))</f>
        <v>0</v>
      </c>
      <c r="C34" s="75">
        <f>IF($A34=C$21,0,SUMPRODUCT(('Match Log'!$D$4:$D$810=$A34)*(COUNTIFS('Match Log'!$A$4:$A$810,'Match Log'!$A$4:$A$810,'Match Log'!$D$4:$D$810,C$21)&gt;0)))</f>
        <v>4</v>
      </c>
      <c r="D34" s="75">
        <f>IF($A34=D$21,0,SUMPRODUCT(('Match Log'!$D$4:$D$810=$A34)*(COUNTIFS('Match Log'!$A$4:$A$810,'Match Log'!$A$4:$A$810,'Match Log'!$D$4:$D$810,D$21)&gt;0)))</f>
        <v>0</v>
      </c>
      <c r="E34" s="75">
        <f>IF($A34=E$21,0,SUMPRODUCT(('Match Log'!$D$4:$D$810=$A34)*(COUNTIFS('Match Log'!$A$4:$A$810,'Match Log'!$A$4:$A$810,'Match Log'!$D$4:$D$810,E$21)&gt;0)))</f>
        <v>0</v>
      </c>
      <c r="F34" s="75">
        <f>IF($A34=F$21,0,SUMPRODUCT(('Match Log'!$D$4:$D$810=$A34)*(COUNTIFS('Match Log'!$A$4:$A$810,'Match Log'!$A$4:$A$810,'Match Log'!$D$4:$D$810,F$21)&gt;0)))</f>
        <v>1</v>
      </c>
      <c r="G34" s="75">
        <f>IF($A34=G$21,0,SUMPRODUCT(('Match Log'!$D$4:$D$810=$A34)*(COUNTIFS('Match Log'!$A$4:$A$810,'Match Log'!$A$4:$A$810,'Match Log'!$D$4:$D$810,G$21)&gt;0)))</f>
        <v>1</v>
      </c>
      <c r="H34" s="75">
        <f>IF($A34=H$21,0,SUMPRODUCT(('Match Log'!$D$4:$D$810=$A34)*(COUNTIFS('Match Log'!$A$4:$A$810,'Match Log'!$A$4:$A$810,'Match Log'!$D$4:$D$810,H$21)&gt;0)))</f>
        <v>2</v>
      </c>
      <c r="I34" s="75">
        <f>IF($A34=I$21,0,SUMPRODUCT(('Match Log'!$D$4:$D$810=$A34)*(COUNTIFS('Match Log'!$A$4:$A$810,'Match Log'!$A$4:$A$810,'Match Log'!$D$4:$D$810,I$21)&gt;0)))</f>
        <v>1</v>
      </c>
      <c r="J34" s="75">
        <f>IF($A34=J$21,0,SUMPRODUCT(('Match Log'!$D$4:$D$810=$A34)*(COUNTIFS('Match Log'!$A$4:$A$810,'Match Log'!$A$4:$A$810,'Match Log'!$D$4:$D$810,J$21)&gt;0)))</f>
        <v>1</v>
      </c>
      <c r="K34" s="75">
        <f>IF($A34=K$21,0,SUMPRODUCT(('Match Log'!$D$4:$D$810=$A34)*(COUNTIFS('Match Log'!$A$4:$A$810,'Match Log'!$A$4:$A$810,'Match Log'!$D$4:$D$810,K$21)&gt;0)))</f>
        <v>0</v>
      </c>
      <c r="L34" s="75">
        <f>IF($A34=L$21,0,SUMPRODUCT(('Match Log'!$D$4:$D$810=$A34)*(COUNTIFS('Match Log'!$A$4:$A$810,'Match Log'!$A$4:$A$810,'Match Log'!$D$4:$D$810,L$21)&gt;0)))</f>
        <v>2</v>
      </c>
      <c r="M34" s="75">
        <f>IF($A34=M$21,0,SUMPRODUCT(('Match Log'!$D$4:$D$810=$A34)*(COUNTIFS('Match Log'!$A$4:$A$810,'Match Log'!$A$4:$A$810,'Match Log'!$D$4:$D$810,M$21)&gt;0)))</f>
        <v>0</v>
      </c>
      <c r="N34" s="75">
        <f>IF($A34=N$21,0,SUMPRODUCT(('Match Log'!$D$4:$D$810=$A34)*(COUNTIFS('Match Log'!$A$4:$A$810,'Match Log'!$A$4:$A$810,'Match Log'!$D$4:$D$810,N$21)&gt;0)))</f>
        <v>0</v>
      </c>
      <c r="O34" s="75">
        <f>IF($A34=O$21,0,SUMPRODUCT(('Match Log'!$D$4:$D$810=$A34)*(COUNTIFS('Match Log'!$A$4:$A$810,'Match Log'!$A$4:$A$810,'Match Log'!$D$4:$D$810,O$21)&gt;0)))</f>
        <v>0</v>
      </c>
    </row>
    <row r="35" spans="1:15" ht="15" customHeight="1" x14ac:dyDescent="0.2">
      <c r="A35" s="49" t="s">
        <v>181</v>
      </c>
      <c r="B35" s="75">
        <f>IF($A35=B$21,0,SUMPRODUCT(('Match Log'!$D$4:$D$810=$A35)*(COUNTIFS('Match Log'!$A$4:$A$810,'Match Log'!$A$4:$A$810,'Match Log'!$D$4:$D$810,B$21)&gt;0)))</f>
        <v>0</v>
      </c>
      <c r="C35" s="75">
        <f>IF($A35=C$21,0,SUMPRODUCT(('Match Log'!$D$4:$D$810=$A35)*(COUNTIFS('Match Log'!$A$4:$A$810,'Match Log'!$A$4:$A$810,'Match Log'!$D$4:$D$810,C$21)&gt;0)))</f>
        <v>0</v>
      </c>
      <c r="D35" s="75">
        <f>IF($A35=D$21,0,SUMPRODUCT(('Match Log'!$D$4:$D$810=$A35)*(COUNTIFS('Match Log'!$A$4:$A$810,'Match Log'!$A$4:$A$810,'Match Log'!$D$4:$D$810,D$21)&gt;0)))</f>
        <v>0</v>
      </c>
      <c r="E35" s="75">
        <f>IF($A35=E$21,0,SUMPRODUCT(('Match Log'!$D$4:$D$810=$A35)*(COUNTIFS('Match Log'!$A$4:$A$810,'Match Log'!$A$4:$A$810,'Match Log'!$D$4:$D$810,E$21)&gt;0)))</f>
        <v>0</v>
      </c>
      <c r="F35" s="75">
        <f>IF($A35=F$21,0,SUMPRODUCT(('Match Log'!$D$4:$D$810=$A35)*(COUNTIFS('Match Log'!$A$4:$A$810,'Match Log'!$A$4:$A$810,'Match Log'!$D$4:$D$810,F$21)&gt;0)))</f>
        <v>0</v>
      </c>
      <c r="G35" s="75">
        <f>IF($A35=G$21,0,SUMPRODUCT(('Match Log'!$D$4:$D$810=$A35)*(COUNTIFS('Match Log'!$A$4:$A$810,'Match Log'!$A$4:$A$810,'Match Log'!$D$4:$D$810,G$21)&gt;0)))</f>
        <v>0</v>
      </c>
      <c r="H35" s="75">
        <f>IF($A35=H$21,0,SUMPRODUCT(('Match Log'!$D$4:$D$810=$A35)*(COUNTIFS('Match Log'!$A$4:$A$810,'Match Log'!$A$4:$A$810,'Match Log'!$D$4:$D$810,H$21)&gt;0)))</f>
        <v>0</v>
      </c>
      <c r="I35" s="75">
        <f>IF($A35=I$21,0,SUMPRODUCT(('Match Log'!$D$4:$D$810=$A35)*(COUNTIFS('Match Log'!$A$4:$A$810,'Match Log'!$A$4:$A$810,'Match Log'!$D$4:$D$810,I$21)&gt;0)))</f>
        <v>0</v>
      </c>
      <c r="J35" s="75">
        <f>IF($A35=J$21,0,SUMPRODUCT(('Match Log'!$D$4:$D$810=$A35)*(COUNTIFS('Match Log'!$A$4:$A$810,'Match Log'!$A$4:$A$810,'Match Log'!$D$4:$D$810,J$21)&gt;0)))</f>
        <v>0</v>
      </c>
      <c r="K35" s="75">
        <f>IF($A35=K$21,0,SUMPRODUCT(('Match Log'!$D$4:$D$810=$A35)*(COUNTIFS('Match Log'!$A$4:$A$810,'Match Log'!$A$4:$A$810,'Match Log'!$D$4:$D$810,K$21)&gt;0)))</f>
        <v>0</v>
      </c>
      <c r="L35" s="75">
        <f>IF($A35=L$21,0,SUMPRODUCT(('Match Log'!$D$4:$D$810=$A35)*(COUNTIFS('Match Log'!$A$4:$A$810,'Match Log'!$A$4:$A$810,'Match Log'!$D$4:$D$810,L$21)&gt;0)))</f>
        <v>0</v>
      </c>
      <c r="M35" s="75">
        <f>IF($A35=M$21,0,SUMPRODUCT(('Match Log'!$D$4:$D$810=$A35)*(COUNTIFS('Match Log'!$A$4:$A$810,'Match Log'!$A$4:$A$810,'Match Log'!$D$4:$D$810,M$21)&gt;0)))</f>
        <v>0</v>
      </c>
      <c r="N35" s="75">
        <f>IF($A35=N$21,0,SUMPRODUCT(('Match Log'!$D$4:$D$810=$A35)*(COUNTIFS('Match Log'!$A$4:$A$810,'Match Log'!$A$4:$A$810,'Match Log'!$D$4:$D$810,N$21)&gt;0)))</f>
        <v>0</v>
      </c>
      <c r="O35" s="75">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SUM($P$8:$P$27)</f>
        <v>123</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Log'!$D$4:$D$810,B$7,'Match Log'!$C$4:$C$810,$A8)</f>
        <v>0</v>
      </c>
      <c r="C8" s="82">
        <f>COUNTIFS('Match Log'!$D$4:$D$810,C$7,'Match Log'!$C$4:$C$810,$A8)</f>
        <v>0</v>
      </c>
      <c r="D8" s="82">
        <f>COUNTIFS('Match Log'!$D$4:$D$810,D$7,'Match Log'!$C$4:$C$810,$A8)</f>
        <v>0</v>
      </c>
      <c r="E8" s="82">
        <f>COUNTIFS('Match Log'!$D$4:$D$810,E$7,'Match Log'!$C$4:$C$810,$A8)</f>
        <v>0</v>
      </c>
      <c r="F8" s="82">
        <f>COUNTIFS('Match Log'!$D$4:$D$810,F$7,'Match Log'!$C$4:$C$810,$A8)</f>
        <v>0</v>
      </c>
      <c r="G8" s="82">
        <f>COUNTIFS('Match Log'!$D$4:$D$810,G$7,'Match Log'!$C$4:$C$810,$A8)</f>
        <v>2</v>
      </c>
      <c r="H8" s="82">
        <f>COUNTIFS('Match Log'!$D$4:$D$810,H$7,'Match Log'!$C$4:$C$810,$A8)</f>
        <v>0</v>
      </c>
      <c r="I8" s="82">
        <f>COUNTIFS('Match Log'!$D$4:$D$810,I$7,'Match Log'!$C$4:$C$810,$A8)</f>
        <v>2</v>
      </c>
      <c r="J8" s="82">
        <f>COUNTIFS('Match Log'!$D$4:$D$810,J$7,'Match Log'!$C$4:$C$810,$A8)</f>
        <v>0</v>
      </c>
      <c r="K8" s="82">
        <f>COUNTIFS('Match Log'!$D$4:$D$810,K$7,'Match Log'!$C$4:$C$810,$A8)</f>
        <v>0</v>
      </c>
      <c r="L8" s="82">
        <f>COUNTIFS('Match Log'!$D$4:$D$810,L$7,'Match Log'!$C$4:$C$810,$A8)</f>
        <v>0</v>
      </c>
      <c r="M8" s="82">
        <f>COUNTIFS('Match Log'!$D$4:$D$810,M$7,'Match Log'!$C$4:$C$810,$A8)</f>
        <v>0</v>
      </c>
      <c r="N8" s="82">
        <f>COUNTIFS('Match Log'!$D$4:$D$810,N$7,'Match Log'!$C$4:$C$810,$A8)</f>
        <v>0</v>
      </c>
      <c r="O8" s="82">
        <f>COUNTIFS('Match Log'!$D$4:$D$810,O$7,'Match Log'!$C$4:$C$810,$A8)</f>
        <v>0</v>
      </c>
      <c r="P8" s="83">
        <f>SUMPRODUCT(('Match Log'!$C$4:$C$810=$A8)*('Match Log'!$D$4:$D$810='Match Log'!$G$4:$G$810)*('Match Log'!$D$4:$D$810&lt;&gt;""))</f>
        <v>2</v>
      </c>
      <c r="Q8" s="84" t="str">
        <f t="shared" ref="Q8:Q26" si="0">IF($P8=0,"—",INDEX($B$29:$O$29,MATCH(MAX($B30:$O30),$B30:$O30,0)))</f>
        <v>Shawn</v>
      </c>
      <c r="R8" s="83">
        <f t="shared" ref="R8:R26" si="1">IF($P8=0,"—",MAX($B30:$O30))</f>
        <v>2</v>
      </c>
    </row>
    <row r="9" spans="1:18" ht="15" customHeight="1" x14ac:dyDescent="0.2">
      <c r="A9" s="81" t="s">
        <v>190</v>
      </c>
      <c r="B9" s="82">
        <f>COUNTIFS('Match Log'!$D$4:$D$810,B$7,'Match Log'!$C$4:$C$810,$A9)</f>
        <v>0</v>
      </c>
      <c r="C9" s="82">
        <f>COUNTIFS('Match Log'!$D$4:$D$810,C$7,'Match Log'!$C$4:$C$810,$A9)</f>
        <v>0</v>
      </c>
      <c r="D9" s="82">
        <f>COUNTIFS('Match Log'!$D$4:$D$810,D$7,'Match Log'!$C$4:$C$810,$A9)</f>
        <v>0</v>
      </c>
      <c r="E9" s="82">
        <f>COUNTIFS('Match Log'!$D$4:$D$810,E$7,'Match Log'!$C$4:$C$810,$A9)</f>
        <v>0</v>
      </c>
      <c r="F9" s="82">
        <f>COUNTIFS('Match Log'!$D$4:$D$810,F$7,'Match Log'!$C$4:$C$810,$A9)</f>
        <v>0</v>
      </c>
      <c r="G9" s="82">
        <f>COUNTIFS('Match Log'!$D$4:$D$810,G$7,'Match Log'!$C$4:$C$810,$A9)</f>
        <v>0</v>
      </c>
      <c r="H9" s="82">
        <f>COUNTIFS('Match Log'!$D$4:$D$810,H$7,'Match Log'!$C$4:$C$810,$A9)</f>
        <v>0</v>
      </c>
      <c r="I9" s="82">
        <f>COUNTIFS('Match Log'!$D$4:$D$810,I$7,'Match Log'!$C$4:$C$810,$A9)</f>
        <v>0</v>
      </c>
      <c r="J9" s="82">
        <f>COUNTIFS('Match Log'!$D$4:$D$810,J$7,'Match Log'!$C$4:$C$810,$A9)</f>
        <v>0</v>
      </c>
      <c r="K9" s="82">
        <f>COUNTIFS('Match Log'!$D$4:$D$810,K$7,'Match Log'!$C$4:$C$810,$A9)</f>
        <v>0</v>
      </c>
      <c r="L9" s="82">
        <f>COUNTIFS('Match Log'!$D$4:$D$810,L$7,'Match Log'!$C$4:$C$810,$A9)</f>
        <v>0</v>
      </c>
      <c r="M9" s="82">
        <f>COUNTIFS('Match Log'!$D$4:$D$810,M$7,'Match Log'!$C$4:$C$810,$A9)</f>
        <v>0</v>
      </c>
      <c r="N9" s="82">
        <f>COUNTIFS('Match Log'!$D$4:$D$810,N$7,'Match Log'!$C$4:$C$810,$A9)</f>
        <v>0</v>
      </c>
      <c r="O9" s="82">
        <f>COUNTIFS('Match Log'!$D$4:$D$810,O$7,'Match Log'!$C$4:$C$810,$A9)</f>
        <v>0</v>
      </c>
      <c r="P9" s="83">
        <f>SUMPRODUCT(('Match Log'!$C$4:$C$810=$A9)*('Match Log'!$D$4:$D$810='Match Log'!$G$4:$G$810)*('Match Log'!$D$4:$D$810&lt;&gt;""))</f>
        <v>0</v>
      </c>
      <c r="Q9" s="84" t="str">
        <f t="shared" si="0"/>
        <v>—</v>
      </c>
      <c r="R9" s="83" t="str">
        <f t="shared" si="1"/>
        <v>—</v>
      </c>
    </row>
    <row r="10" spans="1:18" ht="15" customHeight="1" x14ac:dyDescent="0.2">
      <c r="A10" s="81" t="s">
        <v>191</v>
      </c>
      <c r="B10" s="82">
        <f>COUNTIFS('Match Log'!$D$4:$D$810,B$7,'Match Log'!$C$4:$C$810,$A10)</f>
        <v>8</v>
      </c>
      <c r="C10" s="82">
        <f>COUNTIFS('Match Log'!$D$4:$D$810,C$7,'Match Log'!$C$4:$C$810,$A10)</f>
        <v>0</v>
      </c>
      <c r="D10" s="82">
        <f>COUNTIFS('Match Log'!$D$4:$D$810,D$7,'Match Log'!$C$4:$C$810,$A10)</f>
        <v>1</v>
      </c>
      <c r="E10" s="82">
        <f>COUNTIFS('Match Log'!$D$4:$D$810,E$7,'Match Log'!$C$4:$C$810,$A10)</f>
        <v>0</v>
      </c>
      <c r="F10" s="82">
        <f>COUNTIFS('Match Log'!$D$4:$D$810,F$7,'Match Log'!$C$4:$C$810,$A10)</f>
        <v>1</v>
      </c>
      <c r="G10" s="82">
        <f>COUNTIFS('Match Log'!$D$4:$D$810,G$7,'Match Log'!$C$4:$C$810,$A10)</f>
        <v>13</v>
      </c>
      <c r="H10" s="82">
        <f>COUNTIFS('Match Log'!$D$4:$D$810,H$7,'Match Log'!$C$4:$C$810,$A10)</f>
        <v>0</v>
      </c>
      <c r="I10" s="82">
        <f>COUNTIFS('Match Log'!$D$4:$D$810,I$7,'Match Log'!$C$4:$C$810,$A10)</f>
        <v>9</v>
      </c>
      <c r="J10" s="82">
        <f>COUNTIFS('Match Log'!$D$4:$D$810,J$7,'Match Log'!$C$4:$C$810,$A10)</f>
        <v>0</v>
      </c>
      <c r="K10" s="82">
        <f>COUNTIFS('Match Log'!$D$4:$D$810,K$7,'Match Log'!$C$4:$C$810,$A10)</f>
        <v>0</v>
      </c>
      <c r="L10" s="82">
        <f>COUNTIFS('Match Log'!$D$4:$D$810,L$7,'Match Log'!$C$4:$C$810,$A10)</f>
        <v>0</v>
      </c>
      <c r="M10" s="82">
        <f>COUNTIFS('Match Log'!$D$4:$D$810,M$7,'Match Log'!$C$4:$C$810,$A10)</f>
        <v>0</v>
      </c>
      <c r="N10" s="82">
        <f>COUNTIFS('Match Log'!$D$4:$D$810,N$7,'Match Log'!$C$4:$C$810,$A10)</f>
        <v>0</v>
      </c>
      <c r="O10" s="82">
        <f>COUNTIFS('Match Log'!$D$4:$D$810,O$7,'Match Log'!$C$4:$C$810,$A10)</f>
        <v>0</v>
      </c>
      <c r="P10" s="83">
        <f>SUMPRODUCT(('Match Log'!$C$4:$C$810=$A10)*('Match Log'!$D$4:$D$810='Match Log'!$G$4:$G$810)*('Match Log'!$D$4:$D$810&lt;&gt;""))</f>
        <v>16</v>
      </c>
      <c r="Q10" s="84" t="str">
        <f t="shared" si="0"/>
        <v>Aaron</v>
      </c>
      <c r="R10" s="83">
        <f t="shared" si="1"/>
        <v>6</v>
      </c>
    </row>
    <row r="11" spans="1:18" ht="15" customHeight="1" x14ac:dyDescent="0.2">
      <c r="A11" s="81" t="s">
        <v>192</v>
      </c>
      <c r="B11" s="82">
        <f>COUNTIFS('Match Log'!$D$4:$D$810,B$7,'Match Log'!$C$4:$C$810,$A11)</f>
        <v>0</v>
      </c>
      <c r="C11" s="82">
        <f>COUNTIFS('Match Log'!$D$4:$D$810,C$7,'Match Log'!$C$4:$C$810,$A11)</f>
        <v>0</v>
      </c>
      <c r="D11" s="82">
        <f>COUNTIFS('Match Log'!$D$4:$D$810,D$7,'Match Log'!$C$4:$C$810,$A11)</f>
        <v>0</v>
      </c>
      <c r="E11" s="82">
        <f>COUNTIFS('Match Log'!$D$4:$D$810,E$7,'Match Log'!$C$4:$C$810,$A11)</f>
        <v>0</v>
      </c>
      <c r="F11" s="82">
        <f>COUNTIFS('Match Log'!$D$4:$D$810,F$7,'Match Log'!$C$4:$C$810,$A11)</f>
        <v>0</v>
      </c>
      <c r="G11" s="82">
        <f>COUNTIFS('Match Log'!$D$4:$D$810,G$7,'Match Log'!$C$4:$C$810,$A11)</f>
        <v>0</v>
      </c>
      <c r="H11" s="82">
        <f>COUNTIFS('Match Log'!$D$4:$D$810,H$7,'Match Log'!$C$4:$C$810,$A11)</f>
        <v>0</v>
      </c>
      <c r="I11" s="82">
        <f>COUNTIFS('Match Log'!$D$4:$D$810,I$7,'Match Log'!$C$4:$C$810,$A11)</f>
        <v>0</v>
      </c>
      <c r="J11" s="82">
        <f>COUNTIFS('Match Log'!$D$4:$D$810,J$7,'Match Log'!$C$4:$C$810,$A11)</f>
        <v>0</v>
      </c>
      <c r="K11" s="82">
        <f>COUNTIFS('Match Log'!$D$4:$D$810,K$7,'Match Log'!$C$4:$C$810,$A11)</f>
        <v>0</v>
      </c>
      <c r="L11" s="82">
        <f>COUNTIFS('Match Log'!$D$4:$D$810,L$7,'Match Log'!$C$4:$C$810,$A11)</f>
        <v>0</v>
      </c>
      <c r="M11" s="82">
        <f>COUNTIFS('Match Log'!$D$4:$D$810,M$7,'Match Log'!$C$4:$C$810,$A11)</f>
        <v>0</v>
      </c>
      <c r="N11" s="82">
        <f>COUNTIFS('Match Log'!$D$4:$D$810,N$7,'Match Log'!$C$4:$C$810,$A11)</f>
        <v>0</v>
      </c>
      <c r="O11" s="82">
        <f>COUNTIFS('Match Log'!$D$4:$D$810,O$7,'Match Log'!$C$4:$C$810,$A11)</f>
        <v>0</v>
      </c>
      <c r="P11" s="83">
        <f>SUMPRODUCT(('Match Log'!$C$4:$C$810=$A11)*('Match Log'!$D$4:$D$810='Match Log'!$G$4:$G$810)*('Match Log'!$D$4:$D$810&lt;&gt;""))</f>
        <v>0</v>
      </c>
      <c r="Q11" s="84" t="str">
        <f t="shared" si="0"/>
        <v>—</v>
      </c>
      <c r="R11" s="83" t="str">
        <f t="shared" si="1"/>
        <v>—</v>
      </c>
    </row>
    <row r="12" spans="1:18" ht="15" customHeight="1" x14ac:dyDescent="0.2">
      <c r="A12" s="81" t="s">
        <v>193</v>
      </c>
      <c r="B12" s="82">
        <f>COUNTIFS('Match Log'!$D$4:$D$810,B$7,'Match Log'!$C$4:$C$810,$A12)</f>
        <v>0</v>
      </c>
      <c r="C12" s="82">
        <f>COUNTIFS('Match Log'!$D$4:$D$810,C$7,'Match Log'!$C$4:$C$810,$A12)</f>
        <v>1</v>
      </c>
      <c r="D12" s="82">
        <f>COUNTIFS('Match Log'!$D$4:$D$810,D$7,'Match Log'!$C$4:$C$810,$A12)</f>
        <v>0</v>
      </c>
      <c r="E12" s="82">
        <f>COUNTIFS('Match Log'!$D$4:$D$810,E$7,'Match Log'!$C$4:$C$810,$A12)</f>
        <v>0</v>
      </c>
      <c r="F12" s="82">
        <f>COUNTIFS('Match Log'!$D$4:$D$810,F$7,'Match Log'!$C$4:$C$810,$A12)</f>
        <v>0</v>
      </c>
      <c r="G12" s="82">
        <f>COUNTIFS('Match Log'!$D$4:$D$810,G$7,'Match Log'!$C$4:$C$810,$A12)</f>
        <v>0</v>
      </c>
      <c r="H12" s="82">
        <f>COUNTIFS('Match Log'!$D$4:$D$810,H$7,'Match Log'!$C$4:$C$810,$A12)</f>
        <v>2</v>
      </c>
      <c r="I12" s="82">
        <f>COUNTIFS('Match Log'!$D$4:$D$810,I$7,'Match Log'!$C$4:$C$810,$A12)</f>
        <v>4</v>
      </c>
      <c r="J12" s="82">
        <f>COUNTIFS('Match Log'!$D$4:$D$810,J$7,'Match Log'!$C$4:$C$810,$A12)</f>
        <v>8</v>
      </c>
      <c r="K12" s="82">
        <f>COUNTIFS('Match Log'!$D$4:$D$810,K$7,'Match Log'!$C$4:$C$810,$A12)</f>
        <v>1</v>
      </c>
      <c r="L12" s="82">
        <f>COUNTIFS('Match Log'!$D$4:$D$810,L$7,'Match Log'!$C$4:$C$810,$A12)</f>
        <v>4</v>
      </c>
      <c r="M12" s="82">
        <f>COUNTIFS('Match Log'!$D$4:$D$810,M$7,'Match Log'!$C$4:$C$810,$A12)</f>
        <v>0</v>
      </c>
      <c r="N12" s="82">
        <f>COUNTIFS('Match Log'!$D$4:$D$810,N$7,'Match Log'!$C$4:$C$810,$A12)</f>
        <v>0</v>
      </c>
      <c r="O12" s="82">
        <f>COUNTIFS('Match Log'!$D$4:$D$810,O$7,'Match Log'!$C$4:$C$810,$A12)</f>
        <v>0</v>
      </c>
      <c r="P12" s="83">
        <f>SUMPRODUCT(('Match Log'!$C$4:$C$810=$A12)*('Match Log'!$D$4:$D$810='Match Log'!$G$4:$G$810)*('Match Log'!$D$4:$D$810&lt;&gt;""))</f>
        <v>10</v>
      </c>
      <c r="Q12" s="84" t="str">
        <f t="shared" si="0"/>
        <v>Dean B</v>
      </c>
      <c r="R12" s="83">
        <f t="shared" si="1"/>
        <v>4</v>
      </c>
    </row>
    <row r="13" spans="1:18" ht="15" customHeight="1" x14ac:dyDescent="0.2">
      <c r="A13" s="81" t="s">
        <v>194</v>
      </c>
      <c r="B13" s="82">
        <f>COUNTIFS('Match Log'!$D$4:$D$810,B$7,'Match Log'!$C$4:$C$810,$A13)</f>
        <v>1</v>
      </c>
      <c r="C13" s="82">
        <f>COUNTIFS('Match Log'!$D$4:$D$810,C$7,'Match Log'!$C$4:$C$810,$A13)</f>
        <v>0</v>
      </c>
      <c r="D13" s="82">
        <f>COUNTIFS('Match Log'!$D$4:$D$810,D$7,'Match Log'!$C$4:$C$810,$A13)</f>
        <v>1</v>
      </c>
      <c r="E13" s="82">
        <f>COUNTIFS('Match Log'!$D$4:$D$810,E$7,'Match Log'!$C$4:$C$810,$A13)</f>
        <v>1</v>
      </c>
      <c r="F13" s="82">
        <f>COUNTIFS('Match Log'!$D$4:$D$810,F$7,'Match Log'!$C$4:$C$810,$A13)</f>
        <v>1</v>
      </c>
      <c r="G13" s="82">
        <f>COUNTIFS('Match Log'!$D$4:$D$810,G$7,'Match Log'!$C$4:$C$810,$A13)</f>
        <v>1</v>
      </c>
      <c r="H13" s="82">
        <f>COUNTIFS('Match Log'!$D$4:$D$810,H$7,'Match Log'!$C$4:$C$810,$A13)</f>
        <v>1</v>
      </c>
      <c r="I13" s="82">
        <f>COUNTIFS('Match Log'!$D$4:$D$810,I$7,'Match Log'!$C$4:$C$810,$A13)</f>
        <v>1</v>
      </c>
      <c r="J13" s="82">
        <f>COUNTIFS('Match Log'!$D$4:$D$810,J$7,'Match Log'!$C$4:$C$810,$A13)</f>
        <v>0</v>
      </c>
      <c r="K13" s="82">
        <f>COUNTIFS('Match Log'!$D$4:$D$810,K$7,'Match Log'!$C$4:$C$810,$A13)</f>
        <v>0</v>
      </c>
      <c r="L13" s="82">
        <f>COUNTIFS('Match Log'!$D$4:$D$810,L$7,'Match Log'!$C$4:$C$810,$A13)</f>
        <v>1</v>
      </c>
      <c r="M13" s="82">
        <f>COUNTIFS('Match Log'!$D$4:$D$810,M$7,'Match Log'!$C$4:$C$810,$A13)</f>
        <v>0</v>
      </c>
      <c r="N13" s="82">
        <f>COUNTIFS('Match Log'!$D$4:$D$810,N$7,'Match Log'!$C$4:$C$810,$A13)</f>
        <v>0</v>
      </c>
      <c r="O13" s="82">
        <f>COUNTIFS('Match Log'!$D$4:$D$810,O$7,'Match Log'!$C$4:$C$810,$A13)</f>
        <v>0</v>
      </c>
      <c r="P13" s="83">
        <f>SUMPRODUCT(('Match Log'!$C$4:$C$810=$A13)*('Match Log'!$D$4:$D$810='Match Log'!$G$4:$G$810)*('Match Log'!$D$4:$D$810&lt;&gt;""))</f>
        <v>1</v>
      </c>
      <c r="Q13" s="84" t="str">
        <f t="shared" si="0"/>
        <v>Aaron</v>
      </c>
      <c r="R13" s="83">
        <f t="shared" si="1"/>
        <v>1</v>
      </c>
    </row>
    <row r="14" spans="1:18" ht="15" customHeight="1" x14ac:dyDescent="0.2">
      <c r="A14" s="81" t="s">
        <v>196</v>
      </c>
      <c r="B14" s="82">
        <f>COUNTIFS('Match Log'!$D$4:$D$810,B$7,'Match Log'!$C$4:$C$810,$A14)</f>
        <v>0</v>
      </c>
      <c r="C14" s="82">
        <f>COUNTIFS('Match Log'!$D$4:$D$810,C$7,'Match Log'!$C$4:$C$810,$A14)</f>
        <v>0</v>
      </c>
      <c r="D14" s="82">
        <f>COUNTIFS('Match Log'!$D$4:$D$810,D$7,'Match Log'!$C$4:$C$810,$A14)</f>
        <v>0</v>
      </c>
      <c r="E14" s="82">
        <f>COUNTIFS('Match Log'!$D$4:$D$810,E$7,'Match Log'!$C$4:$C$810,$A14)</f>
        <v>0</v>
      </c>
      <c r="F14" s="82">
        <f>COUNTIFS('Match Log'!$D$4:$D$810,F$7,'Match Log'!$C$4:$C$810,$A14)</f>
        <v>0</v>
      </c>
      <c r="G14" s="82">
        <f>COUNTIFS('Match Log'!$D$4:$D$810,G$7,'Match Log'!$C$4:$C$810,$A14)</f>
        <v>0</v>
      </c>
      <c r="H14" s="82">
        <f>COUNTIFS('Match Log'!$D$4:$D$810,H$7,'Match Log'!$C$4:$C$810,$A14)</f>
        <v>0</v>
      </c>
      <c r="I14" s="82">
        <f>COUNTIFS('Match Log'!$D$4:$D$810,I$7,'Match Log'!$C$4:$C$810,$A14)</f>
        <v>0</v>
      </c>
      <c r="J14" s="82">
        <f>COUNTIFS('Match Log'!$D$4:$D$810,J$7,'Match Log'!$C$4:$C$810,$A14)</f>
        <v>0</v>
      </c>
      <c r="K14" s="82">
        <f>COUNTIFS('Match Log'!$D$4:$D$810,K$7,'Match Log'!$C$4:$C$810,$A14)</f>
        <v>0</v>
      </c>
      <c r="L14" s="82">
        <f>COUNTIFS('Match Log'!$D$4:$D$810,L$7,'Match Log'!$C$4:$C$810,$A14)</f>
        <v>0</v>
      </c>
      <c r="M14" s="82">
        <f>COUNTIFS('Match Log'!$D$4:$D$810,M$7,'Match Log'!$C$4:$C$810,$A14)</f>
        <v>0</v>
      </c>
      <c r="N14" s="82">
        <f>COUNTIFS('Match Log'!$D$4:$D$810,N$7,'Match Log'!$C$4:$C$810,$A14)</f>
        <v>0</v>
      </c>
      <c r="O14" s="82">
        <f>COUNTIFS('Match Log'!$D$4:$D$810,O$7,'Match Log'!$C$4:$C$810,$A14)</f>
        <v>0</v>
      </c>
      <c r="P14" s="83">
        <f>SUMPRODUCT(('Match Log'!$C$4:$C$810=$A14)*('Match Log'!$D$4:$D$810='Match Log'!$G$4:$G$810)*('Match Log'!$D$4:$D$810&lt;&gt;""))</f>
        <v>0</v>
      </c>
      <c r="Q14" s="84" t="str">
        <f t="shared" si="0"/>
        <v>—</v>
      </c>
      <c r="R14" s="83" t="str">
        <f t="shared" si="1"/>
        <v>—</v>
      </c>
    </row>
    <row r="15" spans="1:18" ht="15" customHeight="1" x14ac:dyDescent="0.2">
      <c r="A15" s="81" t="s">
        <v>198</v>
      </c>
      <c r="B15" s="82">
        <f>COUNTIFS('Match Log'!$D$4:$D$810,B$7,'Match Log'!$C$4:$C$810,$A15)</f>
        <v>0</v>
      </c>
      <c r="C15" s="82">
        <f>COUNTIFS('Match Log'!$D$4:$D$810,C$7,'Match Log'!$C$4:$C$810,$A15)</f>
        <v>0</v>
      </c>
      <c r="D15" s="82">
        <f>COUNTIFS('Match Log'!$D$4:$D$810,D$7,'Match Log'!$C$4:$C$810,$A15)</f>
        <v>0</v>
      </c>
      <c r="E15" s="82">
        <f>COUNTIFS('Match Log'!$D$4:$D$810,E$7,'Match Log'!$C$4:$C$810,$A15)</f>
        <v>0</v>
      </c>
      <c r="F15" s="82">
        <f>COUNTIFS('Match Log'!$D$4:$D$810,F$7,'Match Log'!$C$4:$C$810,$A15)</f>
        <v>0</v>
      </c>
      <c r="G15" s="82">
        <f>COUNTIFS('Match Log'!$D$4:$D$810,G$7,'Match Log'!$C$4:$C$810,$A15)</f>
        <v>0</v>
      </c>
      <c r="H15" s="82">
        <f>COUNTIFS('Match Log'!$D$4:$D$810,H$7,'Match Log'!$C$4:$C$810,$A15)</f>
        <v>0</v>
      </c>
      <c r="I15" s="82">
        <f>COUNTIFS('Match Log'!$D$4:$D$810,I$7,'Match Log'!$C$4:$C$810,$A15)</f>
        <v>0</v>
      </c>
      <c r="J15" s="82">
        <f>COUNTIFS('Match Log'!$D$4:$D$810,J$7,'Match Log'!$C$4:$C$810,$A15)</f>
        <v>0</v>
      </c>
      <c r="K15" s="82">
        <f>COUNTIFS('Match Log'!$D$4:$D$810,K$7,'Match Log'!$C$4:$C$810,$A15)</f>
        <v>0</v>
      </c>
      <c r="L15" s="82">
        <f>COUNTIFS('Match Log'!$D$4:$D$810,L$7,'Match Log'!$C$4:$C$810,$A15)</f>
        <v>0</v>
      </c>
      <c r="M15" s="82">
        <f>COUNTIFS('Match Log'!$D$4:$D$810,M$7,'Match Log'!$C$4:$C$810,$A15)</f>
        <v>0</v>
      </c>
      <c r="N15" s="82">
        <f>COUNTIFS('Match Log'!$D$4:$D$810,N$7,'Match Log'!$C$4:$C$810,$A15)</f>
        <v>0</v>
      </c>
      <c r="O15" s="82">
        <f>COUNTIFS('Match Log'!$D$4:$D$810,O$7,'Match Log'!$C$4:$C$810,$A15)</f>
        <v>0</v>
      </c>
      <c r="P15" s="83">
        <f>SUMPRODUCT(('Match Log'!$C$4:$C$810=$A15)*('Match Log'!$D$4:$D$810='Match Log'!$G$4:$G$810)*('Match Log'!$D$4:$D$810&lt;&gt;""))</f>
        <v>0</v>
      </c>
      <c r="Q15" s="84" t="str">
        <f t="shared" si="0"/>
        <v>—</v>
      </c>
      <c r="R15" s="83" t="str">
        <f t="shared" si="1"/>
        <v>—</v>
      </c>
    </row>
    <row r="16" spans="1:18" ht="15" customHeight="1" x14ac:dyDescent="0.2">
      <c r="A16" s="81" t="s">
        <v>200</v>
      </c>
      <c r="B16" s="82">
        <f>COUNTIFS('Match Log'!$D$4:$D$810,B$7,'Match Log'!$C$4:$C$810,$A16)</f>
        <v>0</v>
      </c>
      <c r="C16" s="82">
        <f>COUNTIFS('Match Log'!$D$4:$D$810,C$7,'Match Log'!$C$4:$C$810,$A16)</f>
        <v>0</v>
      </c>
      <c r="D16" s="82">
        <f>COUNTIFS('Match Log'!$D$4:$D$810,D$7,'Match Log'!$C$4:$C$810,$A16)</f>
        <v>0</v>
      </c>
      <c r="E16" s="82">
        <f>COUNTIFS('Match Log'!$D$4:$D$810,E$7,'Match Log'!$C$4:$C$810,$A16)</f>
        <v>0</v>
      </c>
      <c r="F16" s="82">
        <f>COUNTIFS('Match Log'!$D$4:$D$810,F$7,'Match Log'!$C$4:$C$810,$A16)</f>
        <v>1</v>
      </c>
      <c r="G16" s="82">
        <f>COUNTIFS('Match Log'!$D$4:$D$810,G$7,'Match Log'!$C$4:$C$810,$A16)</f>
        <v>1</v>
      </c>
      <c r="H16" s="82">
        <f>COUNTIFS('Match Log'!$D$4:$D$810,H$7,'Match Log'!$C$4:$C$810,$A16)</f>
        <v>0</v>
      </c>
      <c r="I16" s="82">
        <f>COUNTIFS('Match Log'!$D$4:$D$810,I$7,'Match Log'!$C$4:$C$810,$A16)</f>
        <v>0</v>
      </c>
      <c r="J16" s="82">
        <f>COUNTIFS('Match Log'!$D$4:$D$810,J$7,'Match Log'!$C$4:$C$810,$A16)</f>
        <v>0</v>
      </c>
      <c r="K16" s="82">
        <f>COUNTIFS('Match Log'!$D$4:$D$810,K$7,'Match Log'!$C$4:$C$810,$A16)</f>
        <v>0</v>
      </c>
      <c r="L16" s="82">
        <f>COUNTIFS('Match Log'!$D$4:$D$810,L$7,'Match Log'!$C$4:$C$810,$A16)</f>
        <v>1</v>
      </c>
      <c r="M16" s="82">
        <f>COUNTIFS('Match Log'!$D$4:$D$810,M$7,'Match Log'!$C$4:$C$810,$A16)</f>
        <v>0</v>
      </c>
      <c r="N16" s="82">
        <f>COUNTIFS('Match Log'!$D$4:$D$810,N$7,'Match Log'!$C$4:$C$810,$A16)</f>
        <v>0</v>
      </c>
      <c r="O16" s="82">
        <f>COUNTIFS('Match Log'!$D$4:$D$810,O$7,'Match Log'!$C$4:$C$810,$A16)</f>
        <v>0</v>
      </c>
      <c r="P16" s="83">
        <f>SUMPRODUCT(('Match Log'!$C$4:$C$810=$A16)*('Match Log'!$D$4:$D$810='Match Log'!$G$4:$G$810)*('Match Log'!$D$4:$D$810&lt;&gt;""))</f>
        <v>1</v>
      </c>
      <c r="Q16" s="84" t="str">
        <f t="shared" si="0"/>
        <v>Josh</v>
      </c>
      <c r="R16" s="83">
        <f t="shared" si="1"/>
        <v>1</v>
      </c>
    </row>
    <row r="17" spans="1:18" ht="15" customHeight="1" x14ac:dyDescent="0.2">
      <c r="A17" s="81" t="s">
        <v>201</v>
      </c>
      <c r="B17" s="82">
        <f>COUNTIFS('Match Log'!$D$4:$D$810,B$7,'Match Log'!$C$4:$C$810,$A17)</f>
        <v>0</v>
      </c>
      <c r="C17" s="82">
        <f>COUNTIFS('Match Log'!$D$4:$D$810,C$7,'Match Log'!$C$4:$C$810,$A17)</f>
        <v>0</v>
      </c>
      <c r="D17" s="82">
        <f>COUNTIFS('Match Log'!$D$4:$D$810,D$7,'Match Log'!$C$4:$C$810,$A17)</f>
        <v>0</v>
      </c>
      <c r="E17" s="82">
        <f>COUNTIFS('Match Log'!$D$4:$D$810,E$7,'Match Log'!$C$4:$C$810,$A17)</f>
        <v>0</v>
      </c>
      <c r="F17" s="82">
        <f>COUNTIFS('Match Log'!$D$4:$D$810,F$7,'Match Log'!$C$4:$C$810,$A17)</f>
        <v>0</v>
      </c>
      <c r="G17" s="82">
        <f>COUNTIFS('Match Log'!$D$4:$D$810,G$7,'Match Log'!$C$4:$C$810,$A17)</f>
        <v>0</v>
      </c>
      <c r="H17" s="82">
        <f>COUNTIFS('Match Log'!$D$4:$D$810,H$7,'Match Log'!$C$4:$C$810,$A17)</f>
        <v>0</v>
      </c>
      <c r="I17" s="82">
        <f>COUNTIFS('Match Log'!$D$4:$D$810,I$7,'Match Log'!$C$4:$C$810,$A17)</f>
        <v>0</v>
      </c>
      <c r="J17" s="82">
        <f>COUNTIFS('Match Log'!$D$4:$D$810,J$7,'Match Log'!$C$4:$C$810,$A17)</f>
        <v>0</v>
      </c>
      <c r="K17" s="82">
        <f>COUNTIFS('Match Log'!$D$4:$D$810,K$7,'Match Log'!$C$4:$C$810,$A17)</f>
        <v>0</v>
      </c>
      <c r="L17" s="82">
        <f>COUNTIFS('Match Log'!$D$4:$D$810,L$7,'Match Log'!$C$4:$C$810,$A17)</f>
        <v>0</v>
      </c>
      <c r="M17" s="82">
        <f>COUNTIFS('Match Log'!$D$4:$D$810,M$7,'Match Log'!$C$4:$C$810,$A17)</f>
        <v>0</v>
      </c>
      <c r="N17" s="82">
        <f>COUNTIFS('Match Log'!$D$4:$D$810,N$7,'Match Log'!$C$4:$C$810,$A17)</f>
        <v>0</v>
      </c>
      <c r="O17" s="82">
        <f>COUNTIFS('Match Log'!$D$4:$D$810,O$7,'Match Log'!$C$4:$C$810,$A17)</f>
        <v>0</v>
      </c>
      <c r="P17" s="83">
        <f>SUMPRODUCT(('Match Log'!$C$4:$C$810=$A17)*('Match Log'!$D$4:$D$810='Match Log'!$G$4:$G$810)*('Match Log'!$D$4:$D$810&lt;&gt;""))</f>
        <v>0</v>
      </c>
      <c r="Q17" s="84" t="str">
        <f t="shared" si="0"/>
        <v>—</v>
      </c>
      <c r="R17" s="83" t="str">
        <f t="shared" si="1"/>
        <v>—</v>
      </c>
    </row>
    <row r="18" spans="1:18" ht="15" customHeight="1" x14ac:dyDescent="0.2">
      <c r="A18" s="81" t="s">
        <v>202</v>
      </c>
      <c r="B18" s="82">
        <f>COUNTIFS('Match Log'!$D$4:$D$810,B$7,'Match Log'!$C$4:$C$810,$A18)</f>
        <v>0</v>
      </c>
      <c r="C18" s="82">
        <f>COUNTIFS('Match Log'!$D$4:$D$810,C$7,'Match Log'!$C$4:$C$810,$A18)</f>
        <v>0</v>
      </c>
      <c r="D18" s="82">
        <f>COUNTIFS('Match Log'!$D$4:$D$810,D$7,'Match Log'!$C$4:$C$810,$A18)</f>
        <v>0</v>
      </c>
      <c r="E18" s="82">
        <f>COUNTIFS('Match Log'!$D$4:$D$810,E$7,'Match Log'!$C$4:$C$810,$A18)</f>
        <v>0</v>
      </c>
      <c r="F18" s="82">
        <f>COUNTIFS('Match Log'!$D$4:$D$810,F$7,'Match Log'!$C$4:$C$810,$A18)</f>
        <v>0</v>
      </c>
      <c r="G18" s="82">
        <f>COUNTIFS('Match Log'!$D$4:$D$810,G$7,'Match Log'!$C$4:$C$810,$A18)</f>
        <v>0</v>
      </c>
      <c r="H18" s="82">
        <f>COUNTIFS('Match Log'!$D$4:$D$810,H$7,'Match Log'!$C$4:$C$810,$A18)</f>
        <v>0</v>
      </c>
      <c r="I18" s="82">
        <f>COUNTIFS('Match Log'!$D$4:$D$810,I$7,'Match Log'!$C$4:$C$810,$A18)</f>
        <v>0</v>
      </c>
      <c r="J18" s="82">
        <f>COUNTIFS('Match Log'!$D$4:$D$810,J$7,'Match Log'!$C$4:$C$810,$A18)</f>
        <v>0</v>
      </c>
      <c r="K18" s="82">
        <f>COUNTIFS('Match Log'!$D$4:$D$810,K$7,'Match Log'!$C$4:$C$810,$A18)</f>
        <v>0</v>
      </c>
      <c r="L18" s="82">
        <f>COUNTIFS('Match Log'!$D$4:$D$810,L$7,'Match Log'!$C$4:$C$810,$A18)</f>
        <v>0</v>
      </c>
      <c r="M18" s="82">
        <f>COUNTIFS('Match Log'!$D$4:$D$810,M$7,'Match Log'!$C$4:$C$810,$A18)</f>
        <v>0</v>
      </c>
      <c r="N18" s="82">
        <f>COUNTIFS('Match Log'!$D$4:$D$810,N$7,'Match Log'!$C$4:$C$810,$A18)</f>
        <v>0</v>
      </c>
      <c r="O18" s="82">
        <f>COUNTIFS('Match Log'!$D$4:$D$810,O$7,'Match Log'!$C$4:$C$810,$A18)</f>
        <v>0</v>
      </c>
      <c r="P18" s="83">
        <f>SUMPRODUCT(('Match Log'!$C$4:$C$810=$A18)*('Match Log'!$D$4:$D$810='Match Log'!$G$4:$G$810)*('Match Log'!$D$4:$D$810&lt;&gt;""))</f>
        <v>0</v>
      </c>
      <c r="Q18" s="84" t="str">
        <f t="shared" si="0"/>
        <v>—</v>
      </c>
      <c r="R18" s="83" t="str">
        <f t="shared" si="1"/>
        <v>—</v>
      </c>
    </row>
    <row r="19" spans="1:18" ht="15" customHeight="1" x14ac:dyDescent="0.2">
      <c r="A19" s="81" t="s">
        <v>203</v>
      </c>
      <c r="B19" s="82">
        <f>COUNTIFS('Match Log'!$D$4:$D$810,B$7,'Match Log'!$C$4:$C$810,$A19)</f>
        <v>2</v>
      </c>
      <c r="C19" s="82">
        <f>COUNTIFS('Match Log'!$D$4:$D$810,C$7,'Match Log'!$C$4:$C$810,$A19)</f>
        <v>1</v>
      </c>
      <c r="D19" s="82">
        <f>COUNTIFS('Match Log'!$D$4:$D$810,D$7,'Match Log'!$C$4:$C$810,$A19)</f>
        <v>0</v>
      </c>
      <c r="E19" s="82">
        <f>COUNTIFS('Match Log'!$D$4:$D$810,E$7,'Match Log'!$C$4:$C$810,$A19)</f>
        <v>6</v>
      </c>
      <c r="F19" s="82">
        <f>COUNTIFS('Match Log'!$D$4:$D$810,F$7,'Match Log'!$C$4:$C$810,$A19)</f>
        <v>15</v>
      </c>
      <c r="G19" s="82">
        <f>COUNTIFS('Match Log'!$D$4:$D$810,G$7,'Match Log'!$C$4:$C$810,$A19)</f>
        <v>5</v>
      </c>
      <c r="H19" s="82">
        <f>COUNTIFS('Match Log'!$D$4:$D$810,H$7,'Match Log'!$C$4:$C$810,$A19)</f>
        <v>3</v>
      </c>
      <c r="I19" s="82">
        <f>COUNTIFS('Match Log'!$D$4:$D$810,I$7,'Match Log'!$C$4:$C$810,$A19)</f>
        <v>7</v>
      </c>
      <c r="J19" s="82">
        <f>COUNTIFS('Match Log'!$D$4:$D$810,J$7,'Match Log'!$C$4:$C$810,$A19)</f>
        <v>5</v>
      </c>
      <c r="K19" s="82">
        <f>COUNTIFS('Match Log'!$D$4:$D$810,K$7,'Match Log'!$C$4:$C$810,$A19)</f>
        <v>5</v>
      </c>
      <c r="L19" s="82">
        <f>COUNTIFS('Match Log'!$D$4:$D$810,L$7,'Match Log'!$C$4:$C$810,$A19)</f>
        <v>13</v>
      </c>
      <c r="M19" s="82">
        <f>COUNTIFS('Match Log'!$D$4:$D$810,M$7,'Match Log'!$C$4:$C$810,$A19)</f>
        <v>0</v>
      </c>
      <c r="N19" s="82">
        <f>COUNTIFS('Match Log'!$D$4:$D$810,N$7,'Match Log'!$C$4:$C$810,$A19)</f>
        <v>0</v>
      </c>
      <c r="O19" s="82">
        <f>COUNTIFS('Match Log'!$D$4:$D$810,O$7,'Match Log'!$C$4:$C$810,$A19)</f>
        <v>0</v>
      </c>
      <c r="P19" s="83">
        <f>SUMPRODUCT(('Match Log'!$C$4:$C$810=$A19)*('Match Log'!$D$4:$D$810='Match Log'!$G$4:$G$810)*('Match Log'!$D$4:$D$810&lt;&gt;""))</f>
        <v>31</v>
      </c>
      <c r="Q19" s="84" t="str">
        <f t="shared" si="0"/>
        <v>Josh</v>
      </c>
      <c r="R19" s="83">
        <f t="shared" si="1"/>
        <v>13</v>
      </c>
    </row>
    <row r="20" spans="1:18" ht="15" customHeight="1" x14ac:dyDescent="0.2">
      <c r="A20" s="81" t="s">
        <v>205</v>
      </c>
      <c r="B20" s="82">
        <f>COUNTIFS('Match Log'!$D$4:$D$810,B$7,'Match Log'!$C$4:$C$810,$A20)</f>
        <v>2</v>
      </c>
      <c r="C20" s="82">
        <f>COUNTIFS('Match Log'!$D$4:$D$810,C$7,'Match Log'!$C$4:$C$810,$A20)</f>
        <v>0</v>
      </c>
      <c r="D20" s="82">
        <f>COUNTIFS('Match Log'!$D$4:$D$810,D$7,'Match Log'!$C$4:$C$810,$A20)</f>
        <v>0</v>
      </c>
      <c r="E20" s="82">
        <f>COUNTIFS('Match Log'!$D$4:$D$810,E$7,'Match Log'!$C$4:$C$810,$A20)</f>
        <v>0</v>
      </c>
      <c r="F20" s="82">
        <f>COUNTIFS('Match Log'!$D$4:$D$810,F$7,'Match Log'!$C$4:$C$810,$A20)</f>
        <v>1</v>
      </c>
      <c r="G20" s="82">
        <f>COUNTIFS('Match Log'!$D$4:$D$810,G$7,'Match Log'!$C$4:$C$810,$A20)</f>
        <v>8</v>
      </c>
      <c r="H20" s="82">
        <f>COUNTIFS('Match Log'!$D$4:$D$810,H$7,'Match Log'!$C$4:$C$810,$A20)</f>
        <v>0</v>
      </c>
      <c r="I20" s="82">
        <f>COUNTIFS('Match Log'!$D$4:$D$810,I$7,'Match Log'!$C$4:$C$810,$A20)</f>
        <v>6</v>
      </c>
      <c r="J20" s="82">
        <f>COUNTIFS('Match Log'!$D$4:$D$810,J$7,'Match Log'!$C$4:$C$810,$A20)</f>
        <v>0</v>
      </c>
      <c r="K20" s="82">
        <f>COUNTIFS('Match Log'!$D$4:$D$810,K$7,'Match Log'!$C$4:$C$810,$A20)</f>
        <v>0</v>
      </c>
      <c r="L20" s="82">
        <f>COUNTIFS('Match Log'!$D$4:$D$810,L$7,'Match Log'!$C$4:$C$810,$A20)</f>
        <v>3</v>
      </c>
      <c r="M20" s="82">
        <f>COUNTIFS('Match Log'!$D$4:$D$810,M$7,'Match Log'!$C$4:$C$810,$A20)</f>
        <v>0</v>
      </c>
      <c r="N20" s="82">
        <f>COUNTIFS('Match Log'!$D$4:$D$810,N$7,'Match Log'!$C$4:$C$810,$A20)</f>
        <v>0</v>
      </c>
      <c r="O20" s="82">
        <f>COUNTIFS('Match Log'!$D$4:$D$810,O$7,'Match Log'!$C$4:$C$810,$A20)</f>
        <v>0</v>
      </c>
      <c r="P20" s="83">
        <f>SUMPRODUCT(('Match Log'!$C$4:$C$810=$A20)*('Match Log'!$D$4:$D$810='Match Log'!$G$4:$G$810)*('Match Log'!$D$4:$D$810&lt;&gt;""))</f>
        <v>9</v>
      </c>
      <c r="Q20" s="84" t="str">
        <f t="shared" si="0"/>
        <v>Daniel (Ferret)</v>
      </c>
      <c r="R20" s="83">
        <f t="shared" si="1"/>
        <v>5</v>
      </c>
    </row>
    <row r="21" spans="1:18" ht="15" customHeight="1" x14ac:dyDescent="0.2">
      <c r="A21" s="81" t="s">
        <v>207</v>
      </c>
      <c r="B21" s="82">
        <f>COUNTIFS('Match Log'!$D$4:$D$810,B$7,'Match Log'!$C$4:$C$810,$A21)</f>
        <v>3</v>
      </c>
      <c r="C21" s="82">
        <f>COUNTIFS('Match Log'!$D$4:$D$810,C$7,'Match Log'!$C$4:$C$810,$A21)</f>
        <v>0</v>
      </c>
      <c r="D21" s="82">
        <f>COUNTIFS('Match Log'!$D$4:$D$810,D$7,'Match Log'!$C$4:$C$810,$A21)</f>
        <v>4</v>
      </c>
      <c r="E21" s="82">
        <f>COUNTIFS('Match Log'!$D$4:$D$810,E$7,'Match Log'!$C$4:$C$810,$A21)</f>
        <v>0</v>
      </c>
      <c r="F21" s="82">
        <f>COUNTIFS('Match Log'!$D$4:$D$810,F$7,'Match Log'!$C$4:$C$810,$A21)</f>
        <v>0</v>
      </c>
      <c r="G21" s="82">
        <f>COUNTIFS('Match Log'!$D$4:$D$810,G$7,'Match Log'!$C$4:$C$810,$A21)</f>
        <v>7</v>
      </c>
      <c r="H21" s="82">
        <f>COUNTIFS('Match Log'!$D$4:$D$810,H$7,'Match Log'!$C$4:$C$810,$A21)</f>
        <v>0</v>
      </c>
      <c r="I21" s="82">
        <f>COUNTIFS('Match Log'!$D$4:$D$810,I$7,'Match Log'!$C$4:$C$810,$A21)</f>
        <v>7</v>
      </c>
      <c r="J21" s="82">
        <f>COUNTIFS('Match Log'!$D$4:$D$810,J$7,'Match Log'!$C$4:$C$810,$A21)</f>
        <v>0</v>
      </c>
      <c r="K21" s="82">
        <f>COUNTIFS('Match Log'!$D$4:$D$810,K$7,'Match Log'!$C$4:$C$810,$A21)</f>
        <v>0</v>
      </c>
      <c r="L21" s="82">
        <f>COUNTIFS('Match Log'!$D$4:$D$810,L$7,'Match Log'!$C$4:$C$810,$A21)</f>
        <v>7</v>
      </c>
      <c r="M21" s="82">
        <f>COUNTIFS('Match Log'!$D$4:$D$810,M$7,'Match Log'!$C$4:$C$810,$A21)</f>
        <v>0</v>
      </c>
      <c r="N21" s="82">
        <f>COUNTIFS('Match Log'!$D$4:$D$810,N$7,'Match Log'!$C$4:$C$810,$A21)</f>
        <v>0</v>
      </c>
      <c r="O21" s="82">
        <f>COUNTIFS('Match Log'!$D$4:$D$810,O$7,'Match Log'!$C$4:$C$810,$A21)</f>
        <v>0</v>
      </c>
      <c r="P21" s="83">
        <f>SUMPRODUCT(('Match Log'!$C$4:$C$810=$A21)*('Match Log'!$D$4:$D$810='Match Log'!$G$4:$G$810)*('Match Log'!$D$4:$D$810&lt;&gt;""))</f>
        <v>14</v>
      </c>
      <c r="Q21" s="84" t="str">
        <f t="shared" si="0"/>
        <v>Oscar</v>
      </c>
      <c r="R21" s="83">
        <f t="shared" si="1"/>
        <v>5</v>
      </c>
    </row>
    <row r="22" spans="1:18" ht="15" customHeight="1" x14ac:dyDescent="0.2">
      <c r="A22" s="81" t="s">
        <v>209</v>
      </c>
      <c r="B22" s="82">
        <f>COUNTIFS('Match Log'!$D$4:$D$810,B$7,'Match Log'!$C$4:$C$810,$A22)</f>
        <v>0</v>
      </c>
      <c r="C22" s="82">
        <f>COUNTIFS('Match Log'!$D$4:$D$810,C$7,'Match Log'!$C$4:$C$810,$A22)</f>
        <v>0</v>
      </c>
      <c r="D22" s="82">
        <f>COUNTIFS('Match Log'!$D$4:$D$810,D$7,'Match Log'!$C$4:$C$810,$A22)</f>
        <v>0</v>
      </c>
      <c r="E22" s="82">
        <f>COUNTIFS('Match Log'!$D$4:$D$810,E$7,'Match Log'!$C$4:$C$810,$A22)</f>
        <v>0</v>
      </c>
      <c r="F22" s="82">
        <f>COUNTIFS('Match Log'!$D$4:$D$810,F$7,'Match Log'!$C$4:$C$810,$A22)</f>
        <v>0</v>
      </c>
      <c r="G22" s="82">
        <f>COUNTIFS('Match Log'!$D$4:$D$810,G$7,'Match Log'!$C$4:$C$810,$A22)</f>
        <v>0</v>
      </c>
      <c r="H22" s="82">
        <f>COUNTIFS('Match Log'!$D$4:$D$810,H$7,'Match Log'!$C$4:$C$810,$A22)</f>
        <v>0</v>
      </c>
      <c r="I22" s="82">
        <f>COUNTIFS('Match Log'!$D$4:$D$810,I$7,'Match Log'!$C$4:$C$810,$A22)</f>
        <v>0</v>
      </c>
      <c r="J22" s="82">
        <f>COUNTIFS('Match Log'!$D$4:$D$810,J$7,'Match Log'!$C$4:$C$810,$A22)</f>
        <v>0</v>
      </c>
      <c r="K22" s="82">
        <f>COUNTIFS('Match Log'!$D$4:$D$810,K$7,'Match Log'!$C$4:$C$810,$A22)</f>
        <v>0</v>
      </c>
      <c r="L22" s="82">
        <f>COUNTIFS('Match Log'!$D$4:$D$810,L$7,'Match Log'!$C$4:$C$810,$A22)</f>
        <v>0</v>
      </c>
      <c r="M22" s="82">
        <f>COUNTIFS('Match Log'!$D$4:$D$810,M$7,'Match Log'!$C$4:$C$810,$A22)</f>
        <v>0</v>
      </c>
      <c r="N22" s="82">
        <f>COUNTIFS('Match Log'!$D$4:$D$810,N$7,'Match Log'!$C$4:$C$810,$A22)</f>
        <v>0</v>
      </c>
      <c r="O22" s="82">
        <f>COUNTIFS('Match Log'!$D$4:$D$810,O$7,'Match Log'!$C$4:$C$810,$A22)</f>
        <v>0</v>
      </c>
      <c r="P22" s="83">
        <f>SUMPRODUCT(('Match Log'!$C$4:$C$810=$A22)*('Match Log'!$D$4:$D$810='Match Log'!$G$4:$G$810)*('Match Log'!$D$4:$D$810&lt;&gt;""))</f>
        <v>0</v>
      </c>
      <c r="Q22" s="84" t="str">
        <f t="shared" si="0"/>
        <v>—</v>
      </c>
      <c r="R22" s="83" t="str">
        <f t="shared" si="1"/>
        <v>—</v>
      </c>
    </row>
    <row r="23" spans="1:18" ht="15" customHeight="1" x14ac:dyDescent="0.2">
      <c r="A23" s="81" t="s">
        <v>211</v>
      </c>
      <c r="B23" s="82">
        <f>COUNTIFS('Match Log'!$D$4:$D$810,B$7,'Match Log'!$C$4:$C$810,$A23)</f>
        <v>2</v>
      </c>
      <c r="C23" s="82">
        <f>COUNTIFS('Match Log'!$D$4:$D$810,C$7,'Match Log'!$C$4:$C$810,$A23)</f>
        <v>0</v>
      </c>
      <c r="D23" s="82">
        <f>COUNTIFS('Match Log'!$D$4:$D$810,D$7,'Match Log'!$C$4:$C$810,$A23)</f>
        <v>2</v>
      </c>
      <c r="E23" s="82">
        <f>COUNTIFS('Match Log'!$D$4:$D$810,E$7,'Match Log'!$C$4:$C$810,$A23)</f>
        <v>0</v>
      </c>
      <c r="F23" s="82">
        <f>COUNTIFS('Match Log'!$D$4:$D$810,F$7,'Match Log'!$C$4:$C$810,$A23)</f>
        <v>0</v>
      </c>
      <c r="G23" s="82">
        <f>COUNTIFS('Match Log'!$D$4:$D$810,G$7,'Match Log'!$C$4:$C$810,$A23)</f>
        <v>0</v>
      </c>
      <c r="H23" s="82">
        <f>COUNTIFS('Match Log'!$D$4:$D$810,H$7,'Match Log'!$C$4:$C$810,$A23)</f>
        <v>0</v>
      </c>
      <c r="I23" s="82">
        <f>COUNTIFS('Match Log'!$D$4:$D$810,I$7,'Match Log'!$C$4:$C$810,$A23)</f>
        <v>2</v>
      </c>
      <c r="J23" s="82">
        <f>COUNTIFS('Match Log'!$D$4:$D$810,J$7,'Match Log'!$C$4:$C$810,$A23)</f>
        <v>0</v>
      </c>
      <c r="K23" s="82">
        <f>COUNTIFS('Match Log'!$D$4:$D$810,K$7,'Match Log'!$C$4:$C$810,$A23)</f>
        <v>0</v>
      </c>
      <c r="L23" s="82">
        <f>COUNTIFS('Match Log'!$D$4:$D$810,L$7,'Match Log'!$C$4:$C$810,$A23)</f>
        <v>0</v>
      </c>
      <c r="M23" s="82">
        <f>COUNTIFS('Match Log'!$D$4:$D$810,M$7,'Match Log'!$C$4:$C$810,$A23)</f>
        <v>0</v>
      </c>
      <c r="N23" s="82">
        <f>COUNTIFS('Match Log'!$D$4:$D$810,N$7,'Match Log'!$C$4:$C$810,$A23)</f>
        <v>0</v>
      </c>
      <c r="O23" s="82">
        <f>COUNTIFS('Match Log'!$D$4:$D$810,O$7,'Match Log'!$C$4:$C$810,$A23)</f>
        <v>0</v>
      </c>
      <c r="P23" s="83">
        <f>SUMPRODUCT(('Match Log'!$C$4:$C$810=$A23)*('Match Log'!$D$4:$D$810='Match Log'!$G$4:$G$810)*('Match Log'!$D$4:$D$810&lt;&gt;""))</f>
        <v>3</v>
      </c>
      <c r="Q23" s="84" t="str">
        <f t="shared" si="0"/>
        <v>Daniel (Ferret)</v>
      </c>
      <c r="R23" s="83">
        <f t="shared" si="1"/>
        <v>2</v>
      </c>
    </row>
    <row r="24" spans="1:18" ht="15" customHeight="1" x14ac:dyDescent="0.2">
      <c r="A24" s="81" t="s">
        <v>212</v>
      </c>
      <c r="B24" s="82">
        <f>COUNTIFS('Match Log'!$D$4:$D$810,B$7,'Match Log'!$C$4:$C$810,$A24)</f>
        <v>0</v>
      </c>
      <c r="C24" s="82">
        <f>COUNTIFS('Match Log'!$D$4:$D$810,C$7,'Match Log'!$C$4:$C$810,$A24)</f>
        <v>0</v>
      </c>
      <c r="D24" s="82">
        <f>COUNTIFS('Match Log'!$D$4:$D$810,D$7,'Match Log'!$C$4:$C$810,$A24)</f>
        <v>1</v>
      </c>
      <c r="E24" s="82">
        <f>COUNTIFS('Match Log'!$D$4:$D$810,E$7,'Match Log'!$C$4:$C$810,$A24)</f>
        <v>0</v>
      </c>
      <c r="F24" s="82">
        <f>COUNTIFS('Match Log'!$D$4:$D$810,F$7,'Match Log'!$C$4:$C$810,$A24)</f>
        <v>1</v>
      </c>
      <c r="G24" s="82">
        <f>COUNTIFS('Match Log'!$D$4:$D$810,G$7,'Match Log'!$C$4:$C$810,$A24)</f>
        <v>0</v>
      </c>
      <c r="H24" s="82">
        <f>COUNTIFS('Match Log'!$D$4:$D$810,H$7,'Match Log'!$C$4:$C$810,$A24)</f>
        <v>0</v>
      </c>
      <c r="I24" s="82">
        <f>COUNTIFS('Match Log'!$D$4:$D$810,I$7,'Match Log'!$C$4:$C$810,$A24)</f>
        <v>1</v>
      </c>
      <c r="J24" s="82">
        <f>COUNTIFS('Match Log'!$D$4:$D$810,J$7,'Match Log'!$C$4:$C$810,$A24)</f>
        <v>0</v>
      </c>
      <c r="K24" s="82">
        <f>COUNTIFS('Match Log'!$D$4:$D$810,K$7,'Match Log'!$C$4:$C$810,$A24)</f>
        <v>0</v>
      </c>
      <c r="L24" s="82">
        <f>COUNTIFS('Match Log'!$D$4:$D$810,L$7,'Match Log'!$C$4:$C$810,$A24)</f>
        <v>0</v>
      </c>
      <c r="M24" s="82">
        <f>COUNTIFS('Match Log'!$D$4:$D$810,M$7,'Match Log'!$C$4:$C$810,$A24)</f>
        <v>0</v>
      </c>
      <c r="N24" s="82">
        <f>COUNTIFS('Match Log'!$D$4:$D$810,N$7,'Match Log'!$C$4:$C$810,$A24)</f>
        <v>0</v>
      </c>
      <c r="O24" s="82">
        <f>COUNTIFS('Match Log'!$D$4:$D$810,O$7,'Match Log'!$C$4:$C$810,$A24)</f>
        <v>0</v>
      </c>
      <c r="P24" s="83">
        <f>SUMPRODUCT(('Match Log'!$C$4:$C$810=$A24)*('Match Log'!$D$4:$D$810='Match Log'!$G$4:$G$810)*('Match Log'!$D$4:$D$810&lt;&gt;""))</f>
        <v>1</v>
      </c>
      <c r="Q24" s="84" t="str">
        <f t="shared" si="0"/>
        <v>Josh</v>
      </c>
      <c r="R24" s="83">
        <f t="shared" si="1"/>
        <v>1</v>
      </c>
    </row>
    <row r="25" spans="1:18" ht="15" customHeight="1" x14ac:dyDescent="0.2">
      <c r="A25" s="81" t="s">
        <v>214</v>
      </c>
      <c r="B25" s="82">
        <f>COUNTIFS('Match Log'!$D$4:$D$810,B$7,'Match Log'!$C$4:$C$810,$A25)</f>
        <v>7</v>
      </c>
      <c r="C25" s="82">
        <f>COUNTIFS('Match Log'!$D$4:$D$810,C$7,'Match Log'!$C$4:$C$810,$A25)</f>
        <v>8</v>
      </c>
      <c r="D25" s="82">
        <f>COUNTIFS('Match Log'!$D$4:$D$810,D$7,'Match Log'!$C$4:$C$810,$A25)</f>
        <v>1</v>
      </c>
      <c r="E25" s="82">
        <f>COUNTIFS('Match Log'!$D$4:$D$810,E$7,'Match Log'!$C$4:$C$810,$A25)</f>
        <v>7</v>
      </c>
      <c r="F25" s="82">
        <f>COUNTIFS('Match Log'!$D$4:$D$810,F$7,'Match Log'!$C$4:$C$810,$A25)</f>
        <v>8</v>
      </c>
      <c r="G25" s="82">
        <f>COUNTIFS('Match Log'!$D$4:$D$810,G$7,'Match Log'!$C$4:$C$810,$A25)</f>
        <v>9</v>
      </c>
      <c r="H25" s="82">
        <f>COUNTIFS('Match Log'!$D$4:$D$810,H$7,'Match Log'!$C$4:$C$810,$A25)</f>
        <v>11</v>
      </c>
      <c r="I25" s="82">
        <f>COUNTIFS('Match Log'!$D$4:$D$810,I$7,'Match Log'!$C$4:$C$810,$A25)</f>
        <v>9</v>
      </c>
      <c r="J25" s="82">
        <f>COUNTIFS('Match Log'!$D$4:$D$810,J$7,'Match Log'!$C$4:$C$810,$A25)</f>
        <v>10</v>
      </c>
      <c r="K25" s="82">
        <f>COUNTIFS('Match Log'!$D$4:$D$810,K$7,'Match Log'!$C$4:$C$810,$A25)</f>
        <v>7</v>
      </c>
      <c r="L25" s="82">
        <f>COUNTIFS('Match Log'!$D$4:$D$810,L$7,'Match Log'!$C$4:$C$810,$A25)</f>
        <v>12</v>
      </c>
      <c r="M25" s="82">
        <f>COUNTIFS('Match Log'!$D$4:$D$810,M$7,'Match Log'!$C$4:$C$810,$A25)</f>
        <v>5</v>
      </c>
      <c r="N25" s="82">
        <f>COUNTIFS('Match Log'!$D$4:$D$810,N$7,'Match Log'!$C$4:$C$810,$A25)</f>
        <v>4</v>
      </c>
      <c r="O25" s="82">
        <f>COUNTIFS('Match Log'!$D$4:$D$810,O$7,'Match Log'!$C$4:$C$810,$A25)</f>
        <v>0</v>
      </c>
      <c r="P25" s="83">
        <f>SUMPRODUCT(('Match Log'!$C$4:$C$810=$A25)*('Match Log'!$D$4:$D$810='Match Log'!$G$4:$G$810)*('Match Log'!$D$4:$D$810&lt;&gt;""))</f>
        <v>31</v>
      </c>
      <c r="Q25" s="84" t="str">
        <f t="shared" si="0"/>
        <v>Simon</v>
      </c>
      <c r="R25" s="83">
        <f t="shared" si="1"/>
        <v>8</v>
      </c>
    </row>
    <row r="26" spans="1:18" ht="15" customHeight="1" x14ac:dyDescent="0.2">
      <c r="A26" s="81" t="s">
        <v>216</v>
      </c>
      <c r="B26" s="82">
        <f>COUNTIFS('Match Log'!$D$4:$D$810,B$7,'Match Log'!$C$4:$C$810,$A26)</f>
        <v>0</v>
      </c>
      <c r="C26" s="82">
        <f>COUNTIFS('Match Log'!$D$4:$D$810,C$7,'Match Log'!$C$4:$C$810,$A26)</f>
        <v>0</v>
      </c>
      <c r="D26" s="82">
        <f>COUNTIFS('Match Log'!$D$4:$D$810,D$7,'Match Log'!$C$4:$C$810,$A26)</f>
        <v>0</v>
      </c>
      <c r="E26" s="82">
        <f>COUNTIFS('Match Log'!$D$4:$D$810,E$7,'Match Log'!$C$4:$C$810,$A26)</f>
        <v>0</v>
      </c>
      <c r="F26" s="82">
        <f>COUNTIFS('Match Log'!$D$4:$D$810,F$7,'Match Log'!$C$4:$C$810,$A26)</f>
        <v>4</v>
      </c>
      <c r="G26" s="82">
        <f>COUNTIFS('Match Log'!$D$4:$D$810,G$7,'Match Log'!$C$4:$C$810,$A26)</f>
        <v>0</v>
      </c>
      <c r="H26" s="82">
        <f>COUNTIFS('Match Log'!$D$4:$D$810,H$7,'Match Log'!$C$4:$C$810,$A26)</f>
        <v>0</v>
      </c>
      <c r="I26" s="82">
        <f>COUNTIFS('Match Log'!$D$4:$D$810,I$7,'Match Log'!$C$4:$C$810,$A26)</f>
        <v>4</v>
      </c>
      <c r="J26" s="82">
        <f>COUNTIFS('Match Log'!$D$4:$D$810,J$7,'Match Log'!$C$4:$C$810,$A26)</f>
        <v>0</v>
      </c>
      <c r="K26" s="82">
        <f>COUNTIFS('Match Log'!$D$4:$D$810,K$7,'Match Log'!$C$4:$C$810,$A26)</f>
        <v>0</v>
      </c>
      <c r="L26" s="82">
        <f>COUNTIFS('Match Log'!$D$4:$D$810,L$7,'Match Log'!$C$4:$C$810,$A26)</f>
        <v>0</v>
      </c>
      <c r="M26" s="82">
        <f>COUNTIFS('Match Log'!$D$4:$D$810,M$7,'Match Log'!$C$4:$C$810,$A26)</f>
        <v>0</v>
      </c>
      <c r="N26" s="82">
        <f>COUNTIFS('Match Log'!$D$4:$D$810,N$7,'Match Log'!$C$4:$C$810,$A26)</f>
        <v>0</v>
      </c>
      <c r="O26" s="82">
        <f>COUNTIFS('Match Log'!$D$4:$D$810,O$7,'Match Log'!$C$4:$C$810,$A26)</f>
        <v>0</v>
      </c>
      <c r="P26" s="83">
        <f>SUMPRODUCT(('Match Log'!$C$4:$C$810=$A26)*('Match Log'!$D$4:$D$810='Match Log'!$G$4:$G$810)*('Match Log'!$D$4:$D$810&lt;&gt;""))</f>
        <v>4</v>
      </c>
      <c r="Q26" s="84" t="str">
        <f t="shared" si="0"/>
        <v>Josh</v>
      </c>
      <c r="R26" s="83">
        <f t="shared" si="1"/>
        <v>2</v>
      </c>
    </row>
    <row r="27">
      <c r="A27" s="81" t="inlineStr">
        <is>
          <t>HORSE - Basketball</t>
        </is>
      </c>
      <c r="B27" s="82">
        <f>COUNTIFS('Match Log'!$D$4:$D$810,B$7,'Match Log'!$C$4:$C$810,$A27)</f>
        <v>0</v>
      </c>
      <c r="C27" s="82">
        <f>COUNTIFS('Match Log'!$D$4:$D$810,C$7,'Match Log'!$C$4:$C$810,$A27)</f>
        <v>0</v>
      </c>
      <c r="D27" s="82">
        <f>COUNTIFS('Match Log'!$D$4:$D$810,D$7,'Match Log'!$C$4:$C$810,$A27)</f>
        <v>0</v>
      </c>
      <c r="E27" s="82">
        <f>COUNTIFS('Match Log'!$D$4:$D$810,E$7,'Match Log'!$C$4:$C$810,$A27)</f>
        <v>0</v>
      </c>
      <c r="F27" s="82">
        <f>COUNTIFS('Match Log'!$D$4:$D$810,F$7,'Match Log'!$C$4:$C$810,$A27)</f>
        <v>0</v>
      </c>
      <c r="G27" s="82">
        <f>COUNTIFS('Match Log'!$D$4:$D$810,G$7,'Match Log'!$C$4:$C$810,$A27)</f>
        <v>0</v>
      </c>
      <c r="H27" s="82">
        <f>COUNTIFS('Match Log'!$D$4:$D$810,H$7,'Match Log'!$C$4:$C$810,$A27)</f>
        <v>0</v>
      </c>
      <c r="I27" s="82">
        <f>COUNTIFS('Match Log'!$D$4:$D$810,I$7,'Match Log'!$C$4:$C$810,$A27)</f>
        <v>0</v>
      </c>
      <c r="J27" s="82">
        <f>COUNTIFS('Match Log'!$D$4:$D$810,J$7,'Match Log'!$C$4:$C$810,$A27)</f>
        <v>0</v>
      </c>
      <c r="K27" s="82">
        <f>COUNTIFS('Match Log'!$D$4:$D$810,K$7,'Match Log'!$C$4:$C$810,$A27)</f>
        <v>0</v>
      </c>
      <c r="L27" s="82">
        <f>COUNTIFS('Match Log'!$D$4:$D$810,L$7,'Match Log'!$C$4:$C$810,$A27)</f>
        <v>0</v>
      </c>
      <c r="M27" s="82">
        <f>COUNTIFS('Match Log'!$D$4:$D$810,M$7,'Match Log'!$C$4:$C$810,$A27)</f>
        <v>0</v>
      </c>
      <c r="N27" s="82">
        <f>COUNTIFS('Match Log'!$D$4:$D$810,N$7,'Match Log'!$C$4:$C$810,$A27)</f>
        <v>0</v>
      </c>
      <c r="O27" s="82">
        <f>COUNTIFS('Match Log'!$D$4:$D$810,O$7,'Match Log'!$C$4:$C$810,$A27)</f>
        <v>0</v>
      </c>
      <c r="P27" s="83">
        <f>SUMPRODUCT(('Match Log'!$C$4:$C$810=$A27)*('Match Log'!$D$4:$D$810='Match Log'!$G$4:$G$810)*('Match Log'!$D$4:$D$810&lt;&gt;""))</f>
        <v>0</v>
      </c>
      <c r="Q27" s="84" t="str">
        <f>IF($P27=0,"—",INDEX($B$29:$O$29,MATCH(MAX($B49:$O49),$B49:$O49,0)))</f>
        <v>—</v>
      </c>
      <c r="R27" s="83" t="str">
        <f>IF($P27=0,"—",MAX($B49:$O49))</f>
        <v>—</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Log'!$D$4:$D$810,B$29,'Match Log'!$C$4:$C$810,$A30,'Match Log'!$E$4:$E$810,"Win")</f>
        <v>0</v>
      </c>
      <c r="C30" s="82">
        <f>COUNTIFS('Match Log'!$D$4:$D$810,C$29,'Match Log'!$C$4:$C$810,$A30,'Match Log'!$E$4:$E$810,"Win")</f>
        <v>0</v>
      </c>
      <c r="D30" s="82">
        <f>COUNTIFS('Match Log'!$D$4:$D$810,D$29,'Match Log'!$C$4:$C$810,$A30,'Match Log'!$E$4:$E$810,"Win")</f>
        <v>0</v>
      </c>
      <c r="E30" s="82">
        <f>COUNTIFS('Match Log'!$D$4:$D$810,E$29,'Match Log'!$C$4:$C$810,$A30,'Match Log'!$E$4:$E$810,"Win")</f>
        <v>0</v>
      </c>
      <c r="F30" s="82">
        <f>COUNTIFS('Match Log'!$D$4:$D$810,F$29,'Match Log'!$C$4:$C$810,$A30,'Match Log'!$E$4:$E$810,"Win")</f>
        <v>0</v>
      </c>
      <c r="G30" s="82">
        <f>COUNTIFS('Match Log'!$D$4:$D$810,G$29,'Match Log'!$C$4:$C$810,$A30,'Match Log'!$E$4:$E$810,"Win")</f>
        <v>2</v>
      </c>
      <c r="H30" s="82">
        <f>COUNTIFS('Match Log'!$D$4:$D$810,H$29,'Match Log'!$C$4:$C$810,$A30,'Match Log'!$E$4:$E$810,"Win")</f>
        <v>0</v>
      </c>
      <c r="I30" s="82">
        <f>COUNTIFS('Match Log'!$D$4:$D$810,I$29,'Match Log'!$C$4:$C$810,$A30,'Match Log'!$E$4:$E$810,"Win")</f>
        <v>0</v>
      </c>
      <c r="J30" s="82">
        <f>COUNTIFS('Match Log'!$D$4:$D$810,J$29,'Match Log'!$C$4:$C$810,$A30,'Match Log'!$E$4:$E$810,"Win")</f>
        <v>0</v>
      </c>
      <c r="K30" s="82">
        <f>COUNTIFS('Match Log'!$D$4:$D$810,K$29,'Match Log'!$C$4:$C$810,$A30,'Match Log'!$E$4:$E$810,"Win")</f>
        <v>0</v>
      </c>
      <c r="L30" s="82">
        <f>COUNTIFS('Match Log'!$D$4:$D$810,L$29,'Match Log'!$C$4:$C$810,$A30,'Match Log'!$E$4:$E$810,"Win")</f>
        <v>0</v>
      </c>
      <c r="M30" s="82">
        <f>COUNTIFS('Match Log'!$D$4:$D$810,M$29,'Match Log'!$C$4:$C$810,$A30,'Match Log'!$E$4:$E$810,"Win")</f>
        <v>0</v>
      </c>
      <c r="N30" s="82">
        <f>COUNTIFS('Match Log'!$D$4:$D$810,N$29,'Match Log'!$C$4:$C$810,$A30,'Match Log'!$E$4:$E$810,"Win")</f>
        <v>0</v>
      </c>
      <c r="O30" s="82">
        <f>COUNTIFS('Match Log'!$D$4:$D$810,O$29,'Match Log'!$C$4:$C$810,$A30,'Match Log'!$E$4:$E$810,"Win")</f>
        <v>0</v>
      </c>
    </row>
    <row r="31" spans="1:18" ht="15" customHeight="1" x14ac:dyDescent="0.2">
      <c r="A31" s="81" t="s">
        <v>190</v>
      </c>
      <c r="B31" s="82">
        <f>COUNTIFS('Match Log'!$D$4:$D$810,B$29,'Match Log'!$C$4:$C$810,$A31,'Match Log'!$E$4:$E$810,"Win")</f>
        <v>0</v>
      </c>
      <c r="C31" s="82">
        <f>COUNTIFS('Match Log'!$D$4:$D$810,C$29,'Match Log'!$C$4:$C$810,$A31,'Match Log'!$E$4:$E$810,"Win")</f>
        <v>0</v>
      </c>
      <c r="D31" s="82">
        <f>COUNTIFS('Match Log'!$D$4:$D$810,D$29,'Match Log'!$C$4:$C$810,$A31,'Match Log'!$E$4:$E$810,"Win")</f>
        <v>0</v>
      </c>
      <c r="E31" s="82">
        <f>COUNTIFS('Match Log'!$D$4:$D$810,E$29,'Match Log'!$C$4:$C$810,$A31,'Match Log'!$E$4:$E$810,"Win")</f>
        <v>0</v>
      </c>
      <c r="F31" s="82">
        <f>COUNTIFS('Match Log'!$D$4:$D$810,F$29,'Match Log'!$C$4:$C$810,$A31,'Match Log'!$E$4:$E$810,"Win")</f>
        <v>0</v>
      </c>
      <c r="G31" s="82">
        <f>COUNTIFS('Match Log'!$D$4:$D$810,G$29,'Match Log'!$C$4:$C$810,$A31,'Match Log'!$E$4:$E$810,"Win")</f>
        <v>0</v>
      </c>
      <c r="H31" s="82">
        <f>COUNTIFS('Match Log'!$D$4:$D$810,H$29,'Match Log'!$C$4:$C$810,$A31,'Match Log'!$E$4:$E$810,"Win")</f>
        <v>0</v>
      </c>
      <c r="I31" s="82">
        <f>COUNTIFS('Match Log'!$D$4:$D$810,I$29,'Match Log'!$C$4:$C$810,$A31,'Match Log'!$E$4:$E$810,"Win")</f>
        <v>0</v>
      </c>
      <c r="J31" s="82">
        <f>COUNTIFS('Match Log'!$D$4:$D$810,J$29,'Match Log'!$C$4:$C$810,$A31,'Match Log'!$E$4:$E$810,"Win")</f>
        <v>0</v>
      </c>
      <c r="K31" s="82">
        <f>COUNTIFS('Match Log'!$D$4:$D$810,K$29,'Match Log'!$C$4:$C$810,$A31,'Match Log'!$E$4:$E$810,"Win")</f>
        <v>0</v>
      </c>
      <c r="L31" s="82">
        <f>COUNTIFS('Match Log'!$D$4:$D$810,L$29,'Match Log'!$C$4:$C$810,$A31,'Match Log'!$E$4:$E$810,"Win")</f>
        <v>0</v>
      </c>
      <c r="M31" s="82">
        <f>COUNTIFS('Match Log'!$D$4:$D$810,M$29,'Match Log'!$C$4:$C$810,$A31,'Match Log'!$E$4:$E$810,"Win")</f>
        <v>0</v>
      </c>
      <c r="N31" s="82">
        <f>COUNTIFS('Match Log'!$D$4:$D$810,N$29,'Match Log'!$C$4:$C$810,$A31,'Match Log'!$E$4:$E$810,"Win")</f>
        <v>0</v>
      </c>
      <c r="O31" s="82">
        <f>COUNTIFS('Match Log'!$D$4:$D$810,O$29,'Match Log'!$C$4:$C$810,$A31,'Match Log'!$E$4:$E$810,"Win")</f>
        <v>0</v>
      </c>
    </row>
    <row r="32" spans="1:18" ht="15" customHeight="1" x14ac:dyDescent="0.2">
      <c r="A32" s="81" t="s">
        <v>191</v>
      </c>
      <c r="B32" s="82">
        <f>COUNTIFS('Match Log'!$D$4:$D$810,B$29,'Match Log'!$C$4:$C$810,$A32,'Match Log'!$E$4:$E$810,"Win")</f>
        <v>6</v>
      </c>
      <c r="C32" s="82">
        <f>COUNTIFS('Match Log'!$D$4:$D$810,C$29,'Match Log'!$C$4:$C$810,$A32,'Match Log'!$E$4:$E$810,"Win")</f>
        <v>0</v>
      </c>
      <c r="D32" s="82">
        <f>COUNTIFS('Match Log'!$D$4:$D$810,D$29,'Match Log'!$C$4:$C$810,$A32,'Match Log'!$E$4:$E$810,"Win")</f>
        <v>0</v>
      </c>
      <c r="E32" s="82">
        <f>COUNTIFS('Match Log'!$D$4:$D$810,E$29,'Match Log'!$C$4:$C$810,$A32,'Match Log'!$E$4:$E$810,"Win")</f>
        <v>0</v>
      </c>
      <c r="F32" s="82">
        <f>COUNTIFS('Match Log'!$D$4:$D$810,F$29,'Match Log'!$C$4:$C$810,$A32,'Match Log'!$E$4:$E$810,"Win")</f>
        <v>0</v>
      </c>
      <c r="G32" s="82">
        <f>COUNTIFS('Match Log'!$D$4:$D$810,G$29,'Match Log'!$C$4:$C$810,$A32,'Match Log'!$E$4:$E$810,"Win")</f>
        <v>6</v>
      </c>
      <c r="H32" s="82">
        <f>COUNTIFS('Match Log'!$D$4:$D$810,H$29,'Match Log'!$C$4:$C$810,$A32,'Match Log'!$E$4:$E$810,"Win")</f>
        <v>0</v>
      </c>
      <c r="I32" s="82">
        <f>COUNTIFS('Match Log'!$D$4:$D$810,I$29,'Match Log'!$C$4:$C$810,$A32,'Match Log'!$E$4:$E$810,"Win")</f>
        <v>4</v>
      </c>
      <c r="J32" s="82">
        <f>COUNTIFS('Match Log'!$D$4:$D$810,J$29,'Match Log'!$C$4:$C$810,$A32,'Match Log'!$E$4:$E$810,"Win")</f>
        <v>0</v>
      </c>
      <c r="K32" s="82">
        <f>COUNTIFS('Match Log'!$D$4:$D$810,K$29,'Match Log'!$C$4:$C$810,$A32,'Match Log'!$E$4:$E$810,"Win")</f>
        <v>0</v>
      </c>
      <c r="L32" s="82">
        <f>COUNTIFS('Match Log'!$D$4:$D$810,L$29,'Match Log'!$C$4:$C$810,$A32,'Match Log'!$E$4:$E$810,"Win")</f>
        <v>0</v>
      </c>
      <c r="M32" s="82">
        <f>COUNTIFS('Match Log'!$D$4:$D$810,M$29,'Match Log'!$C$4:$C$810,$A32,'Match Log'!$E$4:$E$810,"Win")</f>
        <v>0</v>
      </c>
      <c r="N32" s="82">
        <f>COUNTIFS('Match Log'!$D$4:$D$810,N$29,'Match Log'!$C$4:$C$810,$A32,'Match Log'!$E$4:$E$810,"Win")</f>
        <v>0</v>
      </c>
      <c r="O32" s="82">
        <f>COUNTIFS('Match Log'!$D$4:$D$810,O$29,'Match Log'!$C$4:$C$810,$A32,'Match Log'!$E$4:$E$810,"Win")</f>
        <v>0</v>
      </c>
    </row>
    <row r="33" spans="1:15" ht="15" customHeight="1" x14ac:dyDescent="0.2">
      <c r="A33" s="81" t="s">
        <v>192</v>
      </c>
      <c r="B33" s="82">
        <f>COUNTIFS('Match Log'!$D$4:$D$810,B$29,'Match Log'!$C$4:$C$810,$A33,'Match Log'!$E$4:$E$810,"Win")</f>
        <v>0</v>
      </c>
      <c r="C33" s="82">
        <f>COUNTIFS('Match Log'!$D$4:$D$810,C$29,'Match Log'!$C$4:$C$810,$A33,'Match Log'!$E$4:$E$810,"Win")</f>
        <v>0</v>
      </c>
      <c r="D33" s="82">
        <f>COUNTIFS('Match Log'!$D$4:$D$810,D$29,'Match Log'!$C$4:$C$810,$A33,'Match Log'!$E$4:$E$810,"Win")</f>
        <v>0</v>
      </c>
      <c r="E33" s="82">
        <f>COUNTIFS('Match Log'!$D$4:$D$810,E$29,'Match Log'!$C$4:$C$810,$A33,'Match Log'!$E$4:$E$810,"Win")</f>
        <v>0</v>
      </c>
      <c r="F33" s="82">
        <f>COUNTIFS('Match Log'!$D$4:$D$810,F$29,'Match Log'!$C$4:$C$810,$A33,'Match Log'!$E$4:$E$810,"Win")</f>
        <v>0</v>
      </c>
      <c r="G33" s="82">
        <f>COUNTIFS('Match Log'!$D$4:$D$810,G$29,'Match Log'!$C$4:$C$810,$A33,'Match Log'!$E$4:$E$810,"Win")</f>
        <v>0</v>
      </c>
      <c r="H33" s="82">
        <f>COUNTIFS('Match Log'!$D$4:$D$810,H$29,'Match Log'!$C$4:$C$810,$A33,'Match Log'!$E$4:$E$810,"Win")</f>
        <v>0</v>
      </c>
      <c r="I33" s="82">
        <f>COUNTIFS('Match Log'!$D$4:$D$810,I$29,'Match Log'!$C$4:$C$810,$A33,'Match Log'!$E$4:$E$810,"Win")</f>
        <v>0</v>
      </c>
      <c r="J33" s="82">
        <f>COUNTIFS('Match Log'!$D$4:$D$810,J$29,'Match Log'!$C$4:$C$810,$A33,'Match Log'!$E$4:$E$810,"Win")</f>
        <v>0</v>
      </c>
      <c r="K33" s="82">
        <f>COUNTIFS('Match Log'!$D$4:$D$810,K$29,'Match Log'!$C$4:$C$810,$A33,'Match Log'!$E$4:$E$810,"Win")</f>
        <v>0</v>
      </c>
      <c r="L33" s="82">
        <f>COUNTIFS('Match Log'!$D$4:$D$810,L$29,'Match Log'!$C$4:$C$810,$A33,'Match Log'!$E$4:$E$810,"Win")</f>
        <v>0</v>
      </c>
      <c r="M33" s="82">
        <f>COUNTIFS('Match Log'!$D$4:$D$810,M$29,'Match Log'!$C$4:$C$810,$A33,'Match Log'!$E$4:$E$810,"Win")</f>
        <v>0</v>
      </c>
      <c r="N33" s="82">
        <f>COUNTIFS('Match Log'!$D$4:$D$810,N$29,'Match Log'!$C$4:$C$810,$A33,'Match Log'!$E$4:$E$810,"Win")</f>
        <v>0</v>
      </c>
      <c r="O33" s="82">
        <f>COUNTIFS('Match Log'!$D$4:$D$810,O$29,'Match Log'!$C$4:$C$810,$A33,'Match Log'!$E$4:$E$810,"Win")</f>
        <v>0</v>
      </c>
    </row>
    <row r="34" spans="1:15" ht="15" customHeight="1" x14ac:dyDescent="0.2">
      <c r="A34" s="81" t="s">
        <v>193</v>
      </c>
      <c r="B34" s="82">
        <f>COUNTIFS('Match Log'!$D$4:$D$810,B$29,'Match Log'!$C$4:$C$810,$A34,'Match Log'!$E$4:$E$810,"Win")</f>
        <v>0</v>
      </c>
      <c r="C34" s="82">
        <f>COUNTIFS('Match Log'!$D$4:$D$810,C$29,'Match Log'!$C$4:$C$810,$A34,'Match Log'!$E$4:$E$810,"Win")</f>
        <v>0</v>
      </c>
      <c r="D34" s="82">
        <f>COUNTIFS('Match Log'!$D$4:$D$810,D$29,'Match Log'!$C$4:$C$810,$A34,'Match Log'!$E$4:$E$810,"Win")</f>
        <v>0</v>
      </c>
      <c r="E34" s="82">
        <f>COUNTIFS('Match Log'!$D$4:$D$810,E$29,'Match Log'!$C$4:$C$810,$A34,'Match Log'!$E$4:$E$810,"Win")</f>
        <v>0</v>
      </c>
      <c r="F34" s="82">
        <f>COUNTIFS('Match Log'!$D$4:$D$810,F$29,'Match Log'!$C$4:$C$810,$A34,'Match Log'!$E$4:$E$810,"Win")</f>
        <v>0</v>
      </c>
      <c r="G34" s="82">
        <f>COUNTIFS('Match Log'!$D$4:$D$810,G$29,'Match Log'!$C$4:$C$810,$A34,'Match Log'!$E$4:$E$810,"Win")</f>
        <v>0</v>
      </c>
      <c r="H34" s="82">
        <f>COUNTIFS('Match Log'!$D$4:$D$810,H$29,'Match Log'!$C$4:$C$810,$A34,'Match Log'!$E$4:$E$810,"Win")</f>
        <v>2</v>
      </c>
      <c r="I34" s="82">
        <f>COUNTIFS('Match Log'!$D$4:$D$810,I$29,'Match Log'!$C$4:$C$810,$A34,'Match Log'!$E$4:$E$810,"Win")</f>
        <v>2</v>
      </c>
      <c r="J34" s="82">
        <f>COUNTIFS('Match Log'!$D$4:$D$810,J$29,'Match Log'!$C$4:$C$810,$A34,'Match Log'!$E$4:$E$810,"Win")</f>
        <v>4</v>
      </c>
      <c r="K34" s="82">
        <f>COUNTIFS('Match Log'!$D$4:$D$810,K$29,'Match Log'!$C$4:$C$810,$A34,'Match Log'!$E$4:$E$810,"Win")</f>
        <v>0</v>
      </c>
      <c r="L34" s="82">
        <f>COUNTIFS('Match Log'!$D$4:$D$810,L$29,'Match Log'!$C$4:$C$810,$A34,'Match Log'!$E$4:$E$810,"Win")</f>
        <v>2</v>
      </c>
      <c r="M34" s="82">
        <f>COUNTIFS('Match Log'!$D$4:$D$810,M$29,'Match Log'!$C$4:$C$810,$A34,'Match Log'!$E$4:$E$810,"Win")</f>
        <v>0</v>
      </c>
      <c r="N34" s="82">
        <f>COUNTIFS('Match Log'!$D$4:$D$810,N$29,'Match Log'!$C$4:$C$810,$A34,'Match Log'!$E$4:$E$810,"Win")</f>
        <v>0</v>
      </c>
      <c r="O34" s="82">
        <f>COUNTIFS('Match Log'!$D$4:$D$810,O$29,'Match Log'!$C$4:$C$810,$A34,'Match Log'!$E$4:$E$810,"Win")</f>
        <v>0</v>
      </c>
    </row>
    <row r="35" spans="1:15" ht="15" customHeight="1" x14ac:dyDescent="0.2">
      <c r="A35" s="81" t="s">
        <v>194</v>
      </c>
      <c r="B35" s="82">
        <f>COUNTIFS('Match Log'!$D$4:$D$810,B$29,'Match Log'!$C$4:$C$810,$A35,'Match Log'!$E$4:$E$810,"Win")</f>
        <v>1</v>
      </c>
      <c r="C35" s="82">
        <f>COUNTIFS('Match Log'!$D$4:$D$810,C$29,'Match Log'!$C$4:$C$810,$A35,'Match Log'!$E$4:$E$810,"Win")</f>
        <v>0</v>
      </c>
      <c r="D35" s="82">
        <f>COUNTIFS('Match Log'!$D$4:$D$810,D$29,'Match Log'!$C$4:$C$810,$A35,'Match Log'!$E$4:$E$810,"Win")</f>
        <v>0</v>
      </c>
      <c r="E35" s="82">
        <f>COUNTIFS('Match Log'!$D$4:$D$810,E$29,'Match Log'!$C$4:$C$810,$A35,'Match Log'!$E$4:$E$810,"Win")</f>
        <v>0</v>
      </c>
      <c r="F35" s="82">
        <f>COUNTIFS('Match Log'!$D$4:$D$810,F$29,'Match Log'!$C$4:$C$810,$A35,'Match Log'!$E$4:$E$810,"Win")</f>
        <v>0</v>
      </c>
      <c r="G35" s="82">
        <f>COUNTIFS('Match Log'!$D$4:$D$810,G$29,'Match Log'!$C$4:$C$810,$A35,'Match Log'!$E$4:$E$810,"Win")</f>
        <v>0</v>
      </c>
      <c r="H35" s="82">
        <f>COUNTIFS('Match Log'!$D$4:$D$810,H$29,'Match Log'!$C$4:$C$810,$A35,'Match Log'!$E$4:$E$810,"Win")</f>
        <v>0</v>
      </c>
      <c r="I35" s="82">
        <f>COUNTIFS('Match Log'!$D$4:$D$810,I$29,'Match Log'!$C$4:$C$810,$A35,'Match Log'!$E$4:$E$810,"Win")</f>
        <v>0</v>
      </c>
      <c r="J35" s="82">
        <f>COUNTIFS('Match Log'!$D$4:$D$810,J$29,'Match Log'!$C$4:$C$810,$A35,'Match Log'!$E$4:$E$810,"Win")</f>
        <v>0</v>
      </c>
      <c r="K35" s="82">
        <f>COUNTIFS('Match Log'!$D$4:$D$810,K$29,'Match Log'!$C$4:$C$810,$A35,'Match Log'!$E$4:$E$810,"Win")</f>
        <v>0</v>
      </c>
      <c r="L35" s="82">
        <f>COUNTIFS('Match Log'!$D$4:$D$810,L$29,'Match Log'!$C$4:$C$810,$A35,'Match Log'!$E$4:$E$810,"Win")</f>
        <v>0</v>
      </c>
      <c r="M35" s="82">
        <f>COUNTIFS('Match Log'!$D$4:$D$810,M$29,'Match Log'!$C$4:$C$810,$A35,'Match Log'!$E$4:$E$810,"Win")</f>
        <v>0</v>
      </c>
      <c r="N35" s="82">
        <f>COUNTIFS('Match Log'!$D$4:$D$810,N$29,'Match Log'!$C$4:$C$810,$A35,'Match Log'!$E$4:$E$810,"Win")</f>
        <v>0</v>
      </c>
      <c r="O35" s="82">
        <f>COUNTIFS('Match Log'!$D$4:$D$810,O$29,'Match Log'!$C$4:$C$810,$A35,'Match Log'!$E$4:$E$810,"Win")</f>
        <v>0</v>
      </c>
    </row>
    <row r="36" spans="1:15" ht="15" customHeight="1" x14ac:dyDescent="0.2">
      <c r="A36" s="81" t="s">
        <v>196</v>
      </c>
      <c r="B36" s="82">
        <f>COUNTIFS('Match Log'!$D$4:$D$810,B$29,'Match Log'!$C$4:$C$810,$A36,'Match Log'!$E$4:$E$810,"Win")</f>
        <v>0</v>
      </c>
      <c r="C36" s="82">
        <f>COUNTIFS('Match Log'!$D$4:$D$810,C$29,'Match Log'!$C$4:$C$810,$A36,'Match Log'!$E$4:$E$810,"Win")</f>
        <v>0</v>
      </c>
      <c r="D36" s="82">
        <f>COUNTIFS('Match Log'!$D$4:$D$810,D$29,'Match Log'!$C$4:$C$810,$A36,'Match Log'!$E$4:$E$810,"Win")</f>
        <v>0</v>
      </c>
      <c r="E36" s="82">
        <f>COUNTIFS('Match Log'!$D$4:$D$810,E$29,'Match Log'!$C$4:$C$810,$A36,'Match Log'!$E$4:$E$810,"Win")</f>
        <v>0</v>
      </c>
      <c r="F36" s="82">
        <f>COUNTIFS('Match Log'!$D$4:$D$810,F$29,'Match Log'!$C$4:$C$810,$A36,'Match Log'!$E$4:$E$810,"Win")</f>
        <v>0</v>
      </c>
      <c r="G36" s="82">
        <f>COUNTIFS('Match Log'!$D$4:$D$810,G$29,'Match Log'!$C$4:$C$810,$A36,'Match Log'!$E$4:$E$810,"Win")</f>
        <v>0</v>
      </c>
      <c r="H36" s="82">
        <f>COUNTIFS('Match Log'!$D$4:$D$810,H$29,'Match Log'!$C$4:$C$810,$A36,'Match Log'!$E$4:$E$810,"Win")</f>
        <v>0</v>
      </c>
      <c r="I36" s="82">
        <f>COUNTIFS('Match Log'!$D$4:$D$810,I$29,'Match Log'!$C$4:$C$810,$A36,'Match Log'!$E$4:$E$810,"Win")</f>
        <v>0</v>
      </c>
      <c r="J36" s="82">
        <f>COUNTIFS('Match Log'!$D$4:$D$810,J$29,'Match Log'!$C$4:$C$810,$A36,'Match Log'!$E$4:$E$810,"Win")</f>
        <v>0</v>
      </c>
      <c r="K36" s="82">
        <f>COUNTIFS('Match Log'!$D$4:$D$810,K$29,'Match Log'!$C$4:$C$810,$A36,'Match Log'!$E$4:$E$810,"Win")</f>
        <v>0</v>
      </c>
      <c r="L36" s="82">
        <f>COUNTIFS('Match Log'!$D$4:$D$810,L$29,'Match Log'!$C$4:$C$810,$A36,'Match Log'!$E$4:$E$810,"Win")</f>
        <v>0</v>
      </c>
      <c r="M36" s="82">
        <f>COUNTIFS('Match Log'!$D$4:$D$810,M$29,'Match Log'!$C$4:$C$810,$A36,'Match Log'!$E$4:$E$810,"Win")</f>
        <v>0</v>
      </c>
      <c r="N36" s="82">
        <f>COUNTIFS('Match Log'!$D$4:$D$810,N$29,'Match Log'!$C$4:$C$810,$A36,'Match Log'!$E$4:$E$810,"Win")</f>
        <v>0</v>
      </c>
      <c r="O36" s="82">
        <f>COUNTIFS('Match Log'!$D$4:$D$810,O$29,'Match Log'!$C$4:$C$810,$A36,'Match Log'!$E$4:$E$810,"Win")</f>
        <v>0</v>
      </c>
    </row>
    <row r="37" spans="1:15" ht="15" customHeight="1" x14ac:dyDescent="0.2">
      <c r="A37" s="81" t="s">
        <v>198</v>
      </c>
      <c r="B37" s="82">
        <f>COUNTIFS('Match Log'!$D$4:$D$810,B$29,'Match Log'!$C$4:$C$810,$A37,'Match Log'!$E$4:$E$810,"Win")</f>
        <v>0</v>
      </c>
      <c r="C37" s="82">
        <f>COUNTIFS('Match Log'!$D$4:$D$810,C$29,'Match Log'!$C$4:$C$810,$A37,'Match Log'!$E$4:$E$810,"Win")</f>
        <v>0</v>
      </c>
      <c r="D37" s="82">
        <f>COUNTIFS('Match Log'!$D$4:$D$810,D$29,'Match Log'!$C$4:$C$810,$A37,'Match Log'!$E$4:$E$810,"Win")</f>
        <v>0</v>
      </c>
      <c r="E37" s="82">
        <f>COUNTIFS('Match Log'!$D$4:$D$810,E$29,'Match Log'!$C$4:$C$810,$A37,'Match Log'!$E$4:$E$810,"Win")</f>
        <v>0</v>
      </c>
      <c r="F37" s="82">
        <f>COUNTIFS('Match Log'!$D$4:$D$810,F$29,'Match Log'!$C$4:$C$810,$A37,'Match Log'!$E$4:$E$810,"Win")</f>
        <v>0</v>
      </c>
      <c r="G37" s="82">
        <f>COUNTIFS('Match Log'!$D$4:$D$810,G$29,'Match Log'!$C$4:$C$810,$A37,'Match Log'!$E$4:$E$810,"Win")</f>
        <v>0</v>
      </c>
      <c r="H37" s="82">
        <f>COUNTIFS('Match Log'!$D$4:$D$810,H$29,'Match Log'!$C$4:$C$810,$A37,'Match Log'!$E$4:$E$810,"Win")</f>
        <v>0</v>
      </c>
      <c r="I37" s="82">
        <f>COUNTIFS('Match Log'!$D$4:$D$810,I$29,'Match Log'!$C$4:$C$810,$A37,'Match Log'!$E$4:$E$810,"Win")</f>
        <v>0</v>
      </c>
      <c r="J37" s="82">
        <f>COUNTIFS('Match Log'!$D$4:$D$810,J$29,'Match Log'!$C$4:$C$810,$A37,'Match Log'!$E$4:$E$810,"Win")</f>
        <v>0</v>
      </c>
      <c r="K37" s="82">
        <f>COUNTIFS('Match Log'!$D$4:$D$810,K$29,'Match Log'!$C$4:$C$810,$A37,'Match Log'!$E$4:$E$810,"Win")</f>
        <v>0</v>
      </c>
      <c r="L37" s="82">
        <f>COUNTIFS('Match Log'!$D$4:$D$810,L$29,'Match Log'!$C$4:$C$810,$A37,'Match Log'!$E$4:$E$810,"Win")</f>
        <v>0</v>
      </c>
      <c r="M37" s="82">
        <f>COUNTIFS('Match Log'!$D$4:$D$810,M$29,'Match Log'!$C$4:$C$810,$A37,'Match Log'!$E$4:$E$810,"Win")</f>
        <v>0</v>
      </c>
      <c r="N37" s="82">
        <f>COUNTIFS('Match Log'!$D$4:$D$810,N$29,'Match Log'!$C$4:$C$810,$A37,'Match Log'!$E$4:$E$810,"Win")</f>
        <v>0</v>
      </c>
      <c r="O37" s="82">
        <f>COUNTIFS('Match Log'!$D$4:$D$810,O$29,'Match Log'!$C$4:$C$810,$A37,'Match Log'!$E$4:$E$810,"Win")</f>
        <v>0</v>
      </c>
    </row>
    <row r="38" spans="1:15" ht="15" customHeight="1" x14ac:dyDescent="0.2">
      <c r="A38" s="81" t="s">
        <v>200</v>
      </c>
      <c r="B38" s="82">
        <f>COUNTIFS('Match Log'!$D$4:$D$810,B$29,'Match Log'!$C$4:$C$810,$A38,'Match Log'!$E$4:$E$810,"Win")</f>
        <v>0</v>
      </c>
      <c r="C38" s="82">
        <f>COUNTIFS('Match Log'!$D$4:$D$810,C$29,'Match Log'!$C$4:$C$810,$A38,'Match Log'!$E$4:$E$810,"Win")</f>
        <v>0</v>
      </c>
      <c r="D38" s="82">
        <f>COUNTIFS('Match Log'!$D$4:$D$810,D$29,'Match Log'!$C$4:$C$810,$A38,'Match Log'!$E$4:$E$810,"Win")</f>
        <v>0</v>
      </c>
      <c r="E38" s="82">
        <f>COUNTIFS('Match Log'!$D$4:$D$810,E$29,'Match Log'!$C$4:$C$810,$A38,'Match Log'!$E$4:$E$810,"Win")</f>
        <v>0</v>
      </c>
      <c r="F38" s="82">
        <f>COUNTIFS('Match Log'!$D$4:$D$810,F$29,'Match Log'!$C$4:$C$810,$A38,'Match Log'!$E$4:$E$810,"Win")</f>
        <v>1</v>
      </c>
      <c r="G38" s="82">
        <f>COUNTIFS('Match Log'!$D$4:$D$810,G$29,'Match Log'!$C$4:$C$810,$A38,'Match Log'!$E$4:$E$810,"Win")</f>
        <v>0</v>
      </c>
      <c r="H38" s="82">
        <f>COUNTIFS('Match Log'!$D$4:$D$810,H$29,'Match Log'!$C$4:$C$810,$A38,'Match Log'!$E$4:$E$810,"Win")</f>
        <v>0</v>
      </c>
      <c r="I38" s="82">
        <f>COUNTIFS('Match Log'!$D$4:$D$810,I$29,'Match Log'!$C$4:$C$810,$A38,'Match Log'!$E$4:$E$810,"Win")</f>
        <v>0</v>
      </c>
      <c r="J38" s="82">
        <f>COUNTIFS('Match Log'!$D$4:$D$810,J$29,'Match Log'!$C$4:$C$810,$A38,'Match Log'!$E$4:$E$810,"Win")</f>
        <v>0</v>
      </c>
      <c r="K38" s="82">
        <f>COUNTIFS('Match Log'!$D$4:$D$810,K$29,'Match Log'!$C$4:$C$810,$A38,'Match Log'!$E$4:$E$810,"Win")</f>
        <v>0</v>
      </c>
      <c r="L38" s="82">
        <f>COUNTIFS('Match Log'!$D$4:$D$810,L$29,'Match Log'!$C$4:$C$810,$A38,'Match Log'!$E$4:$E$810,"Win")</f>
        <v>0</v>
      </c>
      <c r="M38" s="82">
        <f>COUNTIFS('Match Log'!$D$4:$D$810,M$29,'Match Log'!$C$4:$C$810,$A38,'Match Log'!$E$4:$E$810,"Win")</f>
        <v>0</v>
      </c>
      <c r="N38" s="82">
        <f>COUNTIFS('Match Log'!$D$4:$D$810,N$29,'Match Log'!$C$4:$C$810,$A38,'Match Log'!$E$4:$E$810,"Win")</f>
        <v>0</v>
      </c>
      <c r="O38" s="82">
        <f>COUNTIFS('Match Log'!$D$4:$D$810,O$29,'Match Log'!$C$4:$C$810,$A38,'Match Log'!$E$4:$E$810,"Win")</f>
        <v>0</v>
      </c>
    </row>
    <row r="39" spans="1:15" ht="15" customHeight="1" x14ac:dyDescent="0.2">
      <c r="A39" s="81" t="s">
        <v>201</v>
      </c>
      <c r="B39" s="82">
        <f>COUNTIFS('Match Log'!$D$4:$D$810,B$29,'Match Log'!$C$4:$C$810,$A39,'Match Log'!$E$4:$E$810,"Win")</f>
        <v>0</v>
      </c>
      <c r="C39" s="82">
        <f>COUNTIFS('Match Log'!$D$4:$D$810,C$29,'Match Log'!$C$4:$C$810,$A39,'Match Log'!$E$4:$E$810,"Win")</f>
        <v>0</v>
      </c>
      <c r="D39" s="82">
        <f>COUNTIFS('Match Log'!$D$4:$D$810,D$29,'Match Log'!$C$4:$C$810,$A39,'Match Log'!$E$4:$E$810,"Win")</f>
        <v>0</v>
      </c>
      <c r="E39" s="82">
        <f>COUNTIFS('Match Log'!$D$4:$D$810,E$29,'Match Log'!$C$4:$C$810,$A39,'Match Log'!$E$4:$E$810,"Win")</f>
        <v>0</v>
      </c>
      <c r="F39" s="82">
        <f>COUNTIFS('Match Log'!$D$4:$D$810,F$29,'Match Log'!$C$4:$C$810,$A39,'Match Log'!$E$4:$E$810,"Win")</f>
        <v>0</v>
      </c>
      <c r="G39" s="82">
        <f>COUNTIFS('Match Log'!$D$4:$D$810,G$29,'Match Log'!$C$4:$C$810,$A39,'Match Log'!$E$4:$E$810,"Win")</f>
        <v>0</v>
      </c>
      <c r="H39" s="82">
        <f>COUNTIFS('Match Log'!$D$4:$D$810,H$29,'Match Log'!$C$4:$C$810,$A39,'Match Log'!$E$4:$E$810,"Win")</f>
        <v>0</v>
      </c>
      <c r="I39" s="82">
        <f>COUNTIFS('Match Log'!$D$4:$D$810,I$29,'Match Log'!$C$4:$C$810,$A39,'Match Log'!$E$4:$E$810,"Win")</f>
        <v>0</v>
      </c>
      <c r="J39" s="82">
        <f>COUNTIFS('Match Log'!$D$4:$D$810,J$29,'Match Log'!$C$4:$C$810,$A39,'Match Log'!$E$4:$E$810,"Win")</f>
        <v>0</v>
      </c>
      <c r="K39" s="82">
        <f>COUNTIFS('Match Log'!$D$4:$D$810,K$29,'Match Log'!$C$4:$C$810,$A39,'Match Log'!$E$4:$E$810,"Win")</f>
        <v>0</v>
      </c>
      <c r="L39" s="82">
        <f>COUNTIFS('Match Log'!$D$4:$D$810,L$29,'Match Log'!$C$4:$C$810,$A39,'Match Log'!$E$4:$E$810,"Win")</f>
        <v>0</v>
      </c>
      <c r="M39" s="82">
        <f>COUNTIFS('Match Log'!$D$4:$D$810,M$29,'Match Log'!$C$4:$C$810,$A39,'Match Log'!$E$4:$E$810,"Win")</f>
        <v>0</v>
      </c>
      <c r="N39" s="82">
        <f>COUNTIFS('Match Log'!$D$4:$D$810,N$29,'Match Log'!$C$4:$C$810,$A39,'Match Log'!$E$4:$E$810,"Win")</f>
        <v>0</v>
      </c>
      <c r="O39" s="82">
        <f>COUNTIFS('Match Log'!$D$4:$D$810,O$29,'Match Log'!$C$4:$C$810,$A39,'Match Log'!$E$4:$E$810,"Win")</f>
        <v>0</v>
      </c>
    </row>
    <row r="40" spans="1:15" ht="15" customHeight="1" x14ac:dyDescent="0.2">
      <c r="A40" s="81" t="s">
        <v>202</v>
      </c>
      <c r="B40" s="82">
        <f>COUNTIFS('Match Log'!$D$4:$D$810,B$29,'Match Log'!$C$4:$C$810,$A40,'Match Log'!$E$4:$E$810,"Win")</f>
        <v>0</v>
      </c>
      <c r="C40" s="82">
        <f>COUNTIFS('Match Log'!$D$4:$D$810,C$29,'Match Log'!$C$4:$C$810,$A40,'Match Log'!$E$4:$E$810,"Win")</f>
        <v>0</v>
      </c>
      <c r="D40" s="82">
        <f>COUNTIFS('Match Log'!$D$4:$D$810,D$29,'Match Log'!$C$4:$C$810,$A40,'Match Log'!$E$4:$E$810,"Win")</f>
        <v>0</v>
      </c>
      <c r="E40" s="82">
        <f>COUNTIFS('Match Log'!$D$4:$D$810,E$29,'Match Log'!$C$4:$C$810,$A40,'Match Log'!$E$4:$E$810,"Win")</f>
        <v>0</v>
      </c>
      <c r="F40" s="82">
        <f>COUNTIFS('Match Log'!$D$4:$D$810,F$29,'Match Log'!$C$4:$C$810,$A40,'Match Log'!$E$4:$E$810,"Win")</f>
        <v>0</v>
      </c>
      <c r="G40" s="82">
        <f>COUNTIFS('Match Log'!$D$4:$D$810,G$29,'Match Log'!$C$4:$C$810,$A40,'Match Log'!$E$4:$E$810,"Win")</f>
        <v>0</v>
      </c>
      <c r="H40" s="82">
        <f>COUNTIFS('Match Log'!$D$4:$D$810,H$29,'Match Log'!$C$4:$C$810,$A40,'Match Log'!$E$4:$E$810,"Win")</f>
        <v>0</v>
      </c>
      <c r="I40" s="82">
        <f>COUNTIFS('Match Log'!$D$4:$D$810,I$29,'Match Log'!$C$4:$C$810,$A40,'Match Log'!$E$4:$E$810,"Win")</f>
        <v>0</v>
      </c>
      <c r="J40" s="82">
        <f>COUNTIFS('Match Log'!$D$4:$D$810,J$29,'Match Log'!$C$4:$C$810,$A40,'Match Log'!$E$4:$E$810,"Win")</f>
        <v>0</v>
      </c>
      <c r="K40" s="82">
        <f>COUNTIFS('Match Log'!$D$4:$D$810,K$29,'Match Log'!$C$4:$C$810,$A40,'Match Log'!$E$4:$E$810,"Win")</f>
        <v>0</v>
      </c>
      <c r="L40" s="82">
        <f>COUNTIFS('Match Log'!$D$4:$D$810,L$29,'Match Log'!$C$4:$C$810,$A40,'Match Log'!$E$4:$E$810,"Win")</f>
        <v>0</v>
      </c>
      <c r="M40" s="82">
        <f>COUNTIFS('Match Log'!$D$4:$D$810,M$29,'Match Log'!$C$4:$C$810,$A40,'Match Log'!$E$4:$E$810,"Win")</f>
        <v>0</v>
      </c>
      <c r="N40" s="82">
        <f>COUNTIFS('Match Log'!$D$4:$D$810,N$29,'Match Log'!$C$4:$C$810,$A40,'Match Log'!$E$4:$E$810,"Win")</f>
        <v>0</v>
      </c>
      <c r="O40" s="82">
        <f>COUNTIFS('Match Log'!$D$4:$D$810,O$29,'Match Log'!$C$4:$C$810,$A40,'Match Log'!$E$4:$E$810,"Win")</f>
        <v>0</v>
      </c>
    </row>
    <row r="41" spans="1:15" ht="15" customHeight="1" x14ac:dyDescent="0.2">
      <c r="A41" s="81" t="s">
        <v>203</v>
      </c>
      <c r="B41" s="82">
        <f>COUNTIFS('Match Log'!$D$4:$D$810,B$29,'Match Log'!$C$4:$C$810,$A41,'Match Log'!$E$4:$E$810,"Win")</f>
        <v>1</v>
      </c>
      <c r="C41" s="82">
        <f>COUNTIFS('Match Log'!$D$4:$D$810,C$29,'Match Log'!$C$4:$C$810,$A41,'Match Log'!$E$4:$E$810,"Win")</f>
        <v>0</v>
      </c>
      <c r="D41" s="82">
        <f>COUNTIFS('Match Log'!$D$4:$D$810,D$29,'Match Log'!$C$4:$C$810,$A41,'Match Log'!$E$4:$E$810,"Win")</f>
        <v>0</v>
      </c>
      <c r="E41" s="82">
        <f>COUNTIFS('Match Log'!$D$4:$D$810,E$29,'Match Log'!$C$4:$C$810,$A41,'Match Log'!$E$4:$E$810,"Win")</f>
        <v>1</v>
      </c>
      <c r="F41" s="82">
        <f>COUNTIFS('Match Log'!$D$4:$D$810,F$29,'Match Log'!$C$4:$C$810,$A41,'Match Log'!$E$4:$E$810,"Win")</f>
        <v>13</v>
      </c>
      <c r="G41" s="82">
        <f>COUNTIFS('Match Log'!$D$4:$D$810,G$29,'Match Log'!$C$4:$C$810,$A41,'Match Log'!$E$4:$E$810,"Win")</f>
        <v>5</v>
      </c>
      <c r="H41" s="82">
        <f>COUNTIFS('Match Log'!$D$4:$D$810,H$29,'Match Log'!$C$4:$C$810,$A41,'Match Log'!$E$4:$E$810,"Win")</f>
        <v>0</v>
      </c>
      <c r="I41" s="82">
        <f>COUNTIFS('Match Log'!$D$4:$D$810,I$29,'Match Log'!$C$4:$C$810,$A41,'Match Log'!$E$4:$E$810,"Win")</f>
        <v>1</v>
      </c>
      <c r="J41" s="82">
        <f>COUNTIFS('Match Log'!$D$4:$D$810,J$29,'Match Log'!$C$4:$C$810,$A41,'Match Log'!$E$4:$E$810,"Win")</f>
        <v>4</v>
      </c>
      <c r="K41" s="82">
        <f>COUNTIFS('Match Log'!$D$4:$D$810,K$29,'Match Log'!$C$4:$C$810,$A41,'Match Log'!$E$4:$E$810,"Win")</f>
        <v>0</v>
      </c>
      <c r="L41" s="82">
        <f>COUNTIFS('Match Log'!$D$4:$D$810,L$29,'Match Log'!$C$4:$C$810,$A41,'Match Log'!$E$4:$E$810,"Win")</f>
        <v>6</v>
      </c>
      <c r="M41" s="82">
        <f>COUNTIFS('Match Log'!$D$4:$D$810,M$29,'Match Log'!$C$4:$C$810,$A41,'Match Log'!$E$4:$E$810,"Win")</f>
        <v>0</v>
      </c>
      <c r="N41" s="82">
        <f>COUNTIFS('Match Log'!$D$4:$D$810,N$29,'Match Log'!$C$4:$C$810,$A41,'Match Log'!$E$4:$E$810,"Win")</f>
        <v>0</v>
      </c>
      <c r="O41" s="82">
        <f>COUNTIFS('Match Log'!$D$4:$D$810,O$29,'Match Log'!$C$4:$C$810,$A41,'Match Log'!$E$4:$E$810,"Win")</f>
        <v>0</v>
      </c>
    </row>
    <row r="42" spans="1:15" ht="15" customHeight="1" x14ac:dyDescent="0.2">
      <c r="A42" s="81" t="s">
        <v>205</v>
      </c>
      <c r="B42" s="82">
        <f>COUNTIFS('Match Log'!$D$4:$D$810,B$29,'Match Log'!$C$4:$C$810,$A42,'Match Log'!$E$4:$E$810,"Win")</f>
        <v>1</v>
      </c>
      <c r="C42" s="82">
        <f>COUNTIFS('Match Log'!$D$4:$D$810,C$29,'Match Log'!$C$4:$C$810,$A42,'Match Log'!$E$4:$E$810,"Win")</f>
        <v>0</v>
      </c>
      <c r="D42" s="82">
        <f>COUNTIFS('Match Log'!$D$4:$D$810,D$29,'Match Log'!$C$4:$C$810,$A42,'Match Log'!$E$4:$E$810,"Win")</f>
        <v>0</v>
      </c>
      <c r="E42" s="82">
        <f>COUNTIFS('Match Log'!$D$4:$D$810,E$29,'Match Log'!$C$4:$C$810,$A42,'Match Log'!$E$4:$E$810,"Win")</f>
        <v>0</v>
      </c>
      <c r="F42" s="82">
        <f>COUNTIFS('Match Log'!$D$4:$D$810,F$29,'Match Log'!$C$4:$C$810,$A42,'Match Log'!$E$4:$E$810,"Win")</f>
        <v>0</v>
      </c>
      <c r="G42" s="82">
        <f>COUNTIFS('Match Log'!$D$4:$D$810,G$29,'Match Log'!$C$4:$C$810,$A42,'Match Log'!$E$4:$E$810,"Win")</f>
        <v>2</v>
      </c>
      <c r="H42" s="82">
        <f>COUNTIFS('Match Log'!$D$4:$D$810,H$29,'Match Log'!$C$4:$C$810,$A42,'Match Log'!$E$4:$E$810,"Win")</f>
        <v>0</v>
      </c>
      <c r="I42" s="82">
        <f>COUNTIFS('Match Log'!$D$4:$D$810,I$29,'Match Log'!$C$4:$C$810,$A42,'Match Log'!$E$4:$E$810,"Win")</f>
        <v>5</v>
      </c>
      <c r="J42" s="82">
        <f>COUNTIFS('Match Log'!$D$4:$D$810,J$29,'Match Log'!$C$4:$C$810,$A42,'Match Log'!$E$4:$E$810,"Win")</f>
        <v>0</v>
      </c>
      <c r="K42" s="82">
        <f>COUNTIFS('Match Log'!$D$4:$D$810,K$29,'Match Log'!$C$4:$C$810,$A42,'Match Log'!$E$4:$E$810,"Win")</f>
        <v>0</v>
      </c>
      <c r="L42" s="82">
        <f>COUNTIFS('Match Log'!$D$4:$D$810,L$29,'Match Log'!$C$4:$C$810,$A42,'Match Log'!$E$4:$E$810,"Win")</f>
        <v>1</v>
      </c>
      <c r="M42" s="82">
        <f>COUNTIFS('Match Log'!$D$4:$D$810,M$29,'Match Log'!$C$4:$C$810,$A42,'Match Log'!$E$4:$E$810,"Win")</f>
        <v>0</v>
      </c>
      <c r="N42" s="82">
        <f>COUNTIFS('Match Log'!$D$4:$D$810,N$29,'Match Log'!$C$4:$C$810,$A42,'Match Log'!$E$4:$E$810,"Win")</f>
        <v>0</v>
      </c>
      <c r="O42" s="82">
        <f>COUNTIFS('Match Log'!$D$4:$D$810,O$29,'Match Log'!$C$4:$C$810,$A42,'Match Log'!$E$4:$E$810,"Win")</f>
        <v>0</v>
      </c>
    </row>
    <row r="43" spans="1:15" ht="15" customHeight="1" x14ac:dyDescent="0.2">
      <c r="A43" s="81" t="s">
        <v>207</v>
      </c>
      <c r="B43" s="82">
        <f>COUNTIFS('Match Log'!$D$4:$D$810,B$29,'Match Log'!$C$4:$C$810,$A43,'Match Log'!$E$4:$E$810,"Win")</f>
        <v>3</v>
      </c>
      <c r="C43" s="82">
        <f>COUNTIFS('Match Log'!$D$4:$D$810,C$29,'Match Log'!$C$4:$C$810,$A43,'Match Log'!$E$4:$E$810,"Win")</f>
        <v>0</v>
      </c>
      <c r="D43" s="82">
        <f>COUNTIFS('Match Log'!$D$4:$D$810,D$29,'Match Log'!$C$4:$C$810,$A43,'Match Log'!$E$4:$E$810,"Win")</f>
        <v>4</v>
      </c>
      <c r="E43" s="82">
        <f>COUNTIFS('Match Log'!$D$4:$D$810,E$29,'Match Log'!$C$4:$C$810,$A43,'Match Log'!$E$4:$E$810,"Win")</f>
        <v>0</v>
      </c>
      <c r="F43" s="82">
        <f>COUNTIFS('Match Log'!$D$4:$D$810,F$29,'Match Log'!$C$4:$C$810,$A43,'Match Log'!$E$4:$E$810,"Win")</f>
        <v>0</v>
      </c>
      <c r="G43" s="82">
        <f>COUNTIFS('Match Log'!$D$4:$D$810,G$29,'Match Log'!$C$4:$C$810,$A43,'Match Log'!$E$4:$E$810,"Win")</f>
        <v>0</v>
      </c>
      <c r="H43" s="82">
        <f>COUNTIFS('Match Log'!$D$4:$D$810,H$29,'Match Log'!$C$4:$C$810,$A43,'Match Log'!$E$4:$E$810,"Win")</f>
        <v>0</v>
      </c>
      <c r="I43" s="82">
        <f>COUNTIFS('Match Log'!$D$4:$D$810,I$29,'Match Log'!$C$4:$C$810,$A43,'Match Log'!$E$4:$E$810,"Win")</f>
        <v>2</v>
      </c>
      <c r="J43" s="82">
        <f>COUNTIFS('Match Log'!$D$4:$D$810,J$29,'Match Log'!$C$4:$C$810,$A43,'Match Log'!$E$4:$E$810,"Win")</f>
        <v>0</v>
      </c>
      <c r="K43" s="82">
        <f>COUNTIFS('Match Log'!$D$4:$D$810,K$29,'Match Log'!$C$4:$C$810,$A43,'Match Log'!$E$4:$E$810,"Win")</f>
        <v>0</v>
      </c>
      <c r="L43" s="82">
        <f>COUNTIFS('Match Log'!$D$4:$D$810,L$29,'Match Log'!$C$4:$C$810,$A43,'Match Log'!$E$4:$E$810,"Win")</f>
        <v>5</v>
      </c>
      <c r="M43" s="82">
        <f>COUNTIFS('Match Log'!$D$4:$D$810,M$29,'Match Log'!$C$4:$C$810,$A43,'Match Log'!$E$4:$E$810,"Win")</f>
        <v>0</v>
      </c>
      <c r="N43" s="82">
        <f>COUNTIFS('Match Log'!$D$4:$D$810,N$29,'Match Log'!$C$4:$C$810,$A43,'Match Log'!$E$4:$E$810,"Win")</f>
        <v>0</v>
      </c>
      <c r="O43" s="82">
        <f>COUNTIFS('Match Log'!$D$4:$D$810,O$29,'Match Log'!$C$4:$C$810,$A43,'Match Log'!$E$4:$E$810,"Win")</f>
        <v>0</v>
      </c>
    </row>
    <row r="44" spans="1:15" ht="15" customHeight="1" x14ac:dyDescent="0.2">
      <c r="A44" s="81" t="s">
        <v>209</v>
      </c>
      <c r="B44" s="82">
        <f>COUNTIFS('Match Log'!$D$4:$D$810,B$29,'Match Log'!$C$4:$C$810,$A44,'Match Log'!$E$4:$E$810,"Win")</f>
        <v>0</v>
      </c>
      <c r="C44" s="82">
        <f>COUNTIFS('Match Log'!$D$4:$D$810,C$29,'Match Log'!$C$4:$C$810,$A44,'Match Log'!$E$4:$E$810,"Win")</f>
        <v>0</v>
      </c>
      <c r="D44" s="82">
        <f>COUNTIFS('Match Log'!$D$4:$D$810,D$29,'Match Log'!$C$4:$C$810,$A44,'Match Log'!$E$4:$E$810,"Win")</f>
        <v>0</v>
      </c>
      <c r="E44" s="82">
        <f>COUNTIFS('Match Log'!$D$4:$D$810,E$29,'Match Log'!$C$4:$C$810,$A44,'Match Log'!$E$4:$E$810,"Win")</f>
        <v>0</v>
      </c>
      <c r="F44" s="82">
        <f>COUNTIFS('Match Log'!$D$4:$D$810,F$29,'Match Log'!$C$4:$C$810,$A44,'Match Log'!$E$4:$E$810,"Win")</f>
        <v>0</v>
      </c>
      <c r="G44" s="82">
        <f>COUNTIFS('Match Log'!$D$4:$D$810,G$29,'Match Log'!$C$4:$C$810,$A44,'Match Log'!$E$4:$E$810,"Win")</f>
        <v>0</v>
      </c>
      <c r="H44" s="82">
        <f>COUNTIFS('Match Log'!$D$4:$D$810,H$29,'Match Log'!$C$4:$C$810,$A44,'Match Log'!$E$4:$E$810,"Win")</f>
        <v>0</v>
      </c>
      <c r="I44" s="82">
        <f>COUNTIFS('Match Log'!$D$4:$D$810,I$29,'Match Log'!$C$4:$C$810,$A44,'Match Log'!$E$4:$E$810,"Win")</f>
        <v>0</v>
      </c>
      <c r="J44" s="82">
        <f>COUNTIFS('Match Log'!$D$4:$D$810,J$29,'Match Log'!$C$4:$C$810,$A44,'Match Log'!$E$4:$E$810,"Win")</f>
        <v>0</v>
      </c>
      <c r="K44" s="82">
        <f>COUNTIFS('Match Log'!$D$4:$D$810,K$29,'Match Log'!$C$4:$C$810,$A44,'Match Log'!$E$4:$E$810,"Win")</f>
        <v>0</v>
      </c>
      <c r="L44" s="82">
        <f>COUNTIFS('Match Log'!$D$4:$D$810,L$29,'Match Log'!$C$4:$C$810,$A44,'Match Log'!$E$4:$E$810,"Win")</f>
        <v>0</v>
      </c>
      <c r="M44" s="82">
        <f>COUNTIFS('Match Log'!$D$4:$D$810,M$29,'Match Log'!$C$4:$C$810,$A44,'Match Log'!$E$4:$E$810,"Win")</f>
        <v>0</v>
      </c>
      <c r="N44" s="82">
        <f>COUNTIFS('Match Log'!$D$4:$D$810,N$29,'Match Log'!$C$4:$C$810,$A44,'Match Log'!$E$4:$E$810,"Win")</f>
        <v>0</v>
      </c>
      <c r="O44" s="82">
        <f>COUNTIFS('Match Log'!$D$4:$D$810,O$29,'Match Log'!$C$4:$C$810,$A44,'Match Log'!$E$4:$E$810,"Win")</f>
        <v>0</v>
      </c>
    </row>
    <row r="45" spans="1:15" ht="15" customHeight="1" x14ac:dyDescent="0.2">
      <c r="A45" s="81" t="s">
        <v>211</v>
      </c>
      <c r="B45" s="82">
        <f>COUNTIFS('Match Log'!$D$4:$D$810,B$29,'Match Log'!$C$4:$C$810,$A45,'Match Log'!$E$4:$E$810,"Win")</f>
        <v>1</v>
      </c>
      <c r="C45" s="82">
        <f>COUNTIFS('Match Log'!$D$4:$D$810,C$29,'Match Log'!$C$4:$C$810,$A45,'Match Log'!$E$4:$E$810,"Win")</f>
        <v>0</v>
      </c>
      <c r="D45" s="82">
        <f>COUNTIFS('Match Log'!$D$4:$D$810,D$29,'Match Log'!$C$4:$C$810,$A45,'Match Log'!$E$4:$E$810,"Win")</f>
        <v>0</v>
      </c>
      <c r="E45" s="82">
        <f>COUNTIFS('Match Log'!$D$4:$D$810,E$29,'Match Log'!$C$4:$C$810,$A45,'Match Log'!$E$4:$E$810,"Win")</f>
        <v>0</v>
      </c>
      <c r="F45" s="82">
        <f>COUNTIFS('Match Log'!$D$4:$D$810,F$29,'Match Log'!$C$4:$C$810,$A45,'Match Log'!$E$4:$E$810,"Win")</f>
        <v>0</v>
      </c>
      <c r="G45" s="82">
        <f>COUNTIFS('Match Log'!$D$4:$D$810,G$29,'Match Log'!$C$4:$C$810,$A45,'Match Log'!$E$4:$E$810,"Win")</f>
        <v>0</v>
      </c>
      <c r="H45" s="82">
        <f>COUNTIFS('Match Log'!$D$4:$D$810,H$29,'Match Log'!$C$4:$C$810,$A45,'Match Log'!$E$4:$E$810,"Win")</f>
        <v>0</v>
      </c>
      <c r="I45" s="82">
        <f>COUNTIFS('Match Log'!$D$4:$D$810,I$29,'Match Log'!$C$4:$C$810,$A45,'Match Log'!$E$4:$E$810,"Win")</f>
        <v>2</v>
      </c>
      <c r="J45" s="82">
        <f>COUNTIFS('Match Log'!$D$4:$D$810,J$29,'Match Log'!$C$4:$C$810,$A45,'Match Log'!$E$4:$E$810,"Win")</f>
        <v>0</v>
      </c>
      <c r="K45" s="82">
        <f>COUNTIFS('Match Log'!$D$4:$D$810,K$29,'Match Log'!$C$4:$C$810,$A45,'Match Log'!$E$4:$E$810,"Win")</f>
        <v>0</v>
      </c>
      <c r="L45" s="82">
        <f>COUNTIFS('Match Log'!$D$4:$D$810,L$29,'Match Log'!$C$4:$C$810,$A45,'Match Log'!$E$4:$E$810,"Win")</f>
        <v>0</v>
      </c>
      <c r="M45" s="82">
        <f>COUNTIFS('Match Log'!$D$4:$D$810,M$29,'Match Log'!$C$4:$C$810,$A45,'Match Log'!$E$4:$E$810,"Win")</f>
        <v>0</v>
      </c>
      <c r="N45" s="82">
        <f>COUNTIFS('Match Log'!$D$4:$D$810,N$29,'Match Log'!$C$4:$C$810,$A45,'Match Log'!$E$4:$E$810,"Win")</f>
        <v>0</v>
      </c>
      <c r="O45" s="82">
        <f>COUNTIFS('Match Log'!$D$4:$D$810,O$29,'Match Log'!$C$4:$C$810,$A45,'Match Log'!$E$4:$E$810,"Win")</f>
        <v>0</v>
      </c>
    </row>
    <row r="46" spans="1:15" ht="15" customHeight="1" x14ac:dyDescent="0.2">
      <c r="A46" s="81" t="s">
        <v>212</v>
      </c>
      <c r="B46" s="82">
        <f>COUNTIFS('Match Log'!$D$4:$D$810,B$29,'Match Log'!$C$4:$C$810,$A46,'Match Log'!$E$4:$E$810,"Win")</f>
        <v>0</v>
      </c>
      <c r="C46" s="82">
        <f>COUNTIFS('Match Log'!$D$4:$D$810,C$29,'Match Log'!$C$4:$C$810,$A46,'Match Log'!$E$4:$E$810,"Win")</f>
        <v>0</v>
      </c>
      <c r="D46" s="82">
        <f>COUNTIFS('Match Log'!$D$4:$D$810,D$29,'Match Log'!$C$4:$C$810,$A46,'Match Log'!$E$4:$E$810,"Win")</f>
        <v>0</v>
      </c>
      <c r="E46" s="82">
        <f>COUNTIFS('Match Log'!$D$4:$D$810,E$29,'Match Log'!$C$4:$C$810,$A46,'Match Log'!$E$4:$E$810,"Win")</f>
        <v>0</v>
      </c>
      <c r="F46" s="82">
        <f>COUNTIFS('Match Log'!$D$4:$D$810,F$29,'Match Log'!$C$4:$C$810,$A46,'Match Log'!$E$4:$E$810,"Win")</f>
        <v>1</v>
      </c>
      <c r="G46" s="82">
        <f>COUNTIFS('Match Log'!$D$4:$D$810,G$29,'Match Log'!$C$4:$C$810,$A46,'Match Log'!$E$4:$E$810,"Win")</f>
        <v>0</v>
      </c>
      <c r="H46" s="82">
        <f>COUNTIFS('Match Log'!$D$4:$D$810,H$29,'Match Log'!$C$4:$C$810,$A46,'Match Log'!$E$4:$E$810,"Win")</f>
        <v>0</v>
      </c>
      <c r="I46" s="82">
        <f>COUNTIFS('Match Log'!$D$4:$D$810,I$29,'Match Log'!$C$4:$C$810,$A46,'Match Log'!$E$4:$E$810,"Win")</f>
        <v>0</v>
      </c>
      <c r="J46" s="82">
        <f>COUNTIFS('Match Log'!$D$4:$D$810,J$29,'Match Log'!$C$4:$C$810,$A46,'Match Log'!$E$4:$E$810,"Win")</f>
        <v>0</v>
      </c>
      <c r="K46" s="82">
        <f>COUNTIFS('Match Log'!$D$4:$D$810,K$29,'Match Log'!$C$4:$C$810,$A46,'Match Log'!$E$4:$E$810,"Win")</f>
        <v>0</v>
      </c>
      <c r="L46" s="82">
        <f>COUNTIFS('Match Log'!$D$4:$D$810,L$29,'Match Log'!$C$4:$C$810,$A46,'Match Log'!$E$4:$E$810,"Win")</f>
        <v>0</v>
      </c>
      <c r="M46" s="82">
        <f>COUNTIFS('Match Log'!$D$4:$D$810,M$29,'Match Log'!$C$4:$C$810,$A46,'Match Log'!$E$4:$E$810,"Win")</f>
        <v>0</v>
      </c>
      <c r="N46" s="82">
        <f>COUNTIFS('Match Log'!$D$4:$D$810,N$29,'Match Log'!$C$4:$C$810,$A46,'Match Log'!$E$4:$E$810,"Win")</f>
        <v>0</v>
      </c>
      <c r="O46" s="82">
        <f>COUNTIFS('Match Log'!$D$4:$D$810,O$29,'Match Log'!$C$4:$C$810,$A46,'Match Log'!$E$4:$E$810,"Win")</f>
        <v>0</v>
      </c>
    </row>
    <row r="47" spans="1:15" ht="15" customHeight="1" x14ac:dyDescent="0.2">
      <c r="A47" s="81" t="s">
        <v>214</v>
      </c>
      <c r="B47" s="82">
        <f>COUNTIFS('Match Log'!$D$4:$D$810,B$29,'Match Log'!$C$4:$C$810,$A47,'Match Log'!$E$4:$E$810,"Win")</f>
        <v>2</v>
      </c>
      <c r="C47" s="82">
        <f>COUNTIFS('Match Log'!$D$4:$D$810,C$29,'Match Log'!$C$4:$C$810,$A47,'Match Log'!$E$4:$E$810,"Win")</f>
        <v>5</v>
      </c>
      <c r="D47" s="82">
        <f>COUNTIFS('Match Log'!$D$4:$D$810,D$29,'Match Log'!$C$4:$C$810,$A47,'Match Log'!$E$4:$E$810,"Win")</f>
        <v>1</v>
      </c>
      <c r="E47" s="82">
        <f>COUNTIFS('Match Log'!$D$4:$D$810,E$29,'Match Log'!$C$4:$C$810,$A47,'Match Log'!$E$4:$E$810,"Win")</f>
        <v>3</v>
      </c>
      <c r="F47" s="82">
        <f>COUNTIFS('Match Log'!$D$4:$D$810,F$29,'Match Log'!$C$4:$C$810,$A47,'Match Log'!$E$4:$E$810,"Win")</f>
        <v>3</v>
      </c>
      <c r="G47" s="82">
        <f>COUNTIFS('Match Log'!$D$4:$D$810,G$29,'Match Log'!$C$4:$C$810,$A47,'Match Log'!$E$4:$E$810,"Win")</f>
        <v>4</v>
      </c>
      <c r="H47" s="82">
        <f>COUNTIFS('Match Log'!$D$4:$D$810,H$29,'Match Log'!$C$4:$C$810,$A47,'Match Log'!$E$4:$E$810,"Win")</f>
        <v>8</v>
      </c>
      <c r="I47" s="82">
        <f>COUNTIFS('Match Log'!$D$4:$D$810,I$29,'Match Log'!$C$4:$C$810,$A47,'Match Log'!$E$4:$E$810,"Win")</f>
        <v>5</v>
      </c>
      <c r="J47" s="82">
        <f>COUNTIFS('Match Log'!$D$4:$D$810,J$29,'Match Log'!$C$4:$C$810,$A47,'Match Log'!$E$4:$E$810,"Win")</f>
        <v>7</v>
      </c>
      <c r="K47" s="82">
        <f>COUNTIFS('Match Log'!$D$4:$D$810,K$29,'Match Log'!$C$4:$C$810,$A47,'Match Log'!$E$4:$E$810,"Win")</f>
        <v>2</v>
      </c>
      <c r="L47" s="82">
        <f>COUNTIFS('Match Log'!$D$4:$D$810,L$29,'Match Log'!$C$4:$C$810,$A47,'Match Log'!$E$4:$E$810,"Win")</f>
        <v>5</v>
      </c>
      <c r="M47" s="82">
        <f>COUNTIFS('Match Log'!$D$4:$D$810,M$29,'Match Log'!$C$4:$C$810,$A47,'Match Log'!$E$4:$E$810,"Win")</f>
        <v>2</v>
      </c>
      <c r="N47" s="82">
        <f>COUNTIFS('Match Log'!$D$4:$D$810,N$29,'Match Log'!$C$4:$C$810,$A47,'Match Log'!$E$4:$E$810,"Win")</f>
        <v>2</v>
      </c>
      <c r="O47" s="82">
        <f>COUNTIFS('Match Log'!$D$4:$D$810,O$29,'Match Log'!$C$4:$C$810,$A47,'Match Log'!$E$4:$E$810,"Win")</f>
        <v>0</v>
      </c>
    </row>
    <row r="48" spans="1:15" ht="15" customHeight="1" x14ac:dyDescent="0.2">
      <c r="A48" s="81" t="s">
        <v>216</v>
      </c>
      <c r="B48" s="82">
        <f>COUNTIFS('Match Log'!$D$4:$D$810,B$29,'Match Log'!$C$4:$C$810,$A48,'Match Log'!$E$4:$E$810,"Win")</f>
        <v>0</v>
      </c>
      <c r="C48" s="82">
        <f>COUNTIFS('Match Log'!$D$4:$D$810,C$29,'Match Log'!$C$4:$C$810,$A48,'Match Log'!$E$4:$E$810,"Win")</f>
        <v>0</v>
      </c>
      <c r="D48" s="82">
        <f>COUNTIFS('Match Log'!$D$4:$D$810,D$29,'Match Log'!$C$4:$C$810,$A48,'Match Log'!$E$4:$E$810,"Win")</f>
        <v>0</v>
      </c>
      <c r="E48" s="82">
        <f>COUNTIFS('Match Log'!$D$4:$D$810,E$29,'Match Log'!$C$4:$C$810,$A48,'Match Log'!$E$4:$E$810,"Win")</f>
        <v>0</v>
      </c>
      <c r="F48" s="82">
        <f>COUNTIFS('Match Log'!$D$4:$D$810,F$29,'Match Log'!$C$4:$C$810,$A48,'Match Log'!$E$4:$E$810,"Win")</f>
        <v>2</v>
      </c>
      <c r="G48" s="82">
        <f>COUNTIFS('Match Log'!$D$4:$D$810,G$29,'Match Log'!$C$4:$C$810,$A48,'Match Log'!$E$4:$E$810,"Win")</f>
        <v>0</v>
      </c>
      <c r="H48" s="82">
        <f>COUNTIFS('Match Log'!$D$4:$D$810,H$29,'Match Log'!$C$4:$C$810,$A48,'Match Log'!$E$4:$E$810,"Win")</f>
        <v>0</v>
      </c>
      <c r="I48" s="82">
        <f>COUNTIFS('Match Log'!$D$4:$D$810,I$29,'Match Log'!$C$4:$C$810,$A48,'Match Log'!$E$4:$E$810,"Win")</f>
        <v>2</v>
      </c>
      <c r="J48" s="82">
        <f>COUNTIFS('Match Log'!$D$4:$D$810,J$29,'Match Log'!$C$4:$C$810,$A48,'Match Log'!$E$4:$E$810,"Win")</f>
        <v>0</v>
      </c>
      <c r="K48" s="82">
        <f>COUNTIFS('Match Log'!$D$4:$D$810,K$29,'Match Log'!$C$4:$C$810,$A48,'Match Log'!$E$4:$E$810,"Win")</f>
        <v>0</v>
      </c>
      <c r="L48" s="82">
        <f>COUNTIFS('Match Log'!$D$4:$D$810,L$29,'Match Log'!$C$4:$C$810,$A48,'Match Log'!$E$4:$E$810,"Win")</f>
        <v>0</v>
      </c>
      <c r="M48" s="82">
        <f>COUNTIFS('Match Log'!$D$4:$D$810,M$29,'Match Log'!$C$4:$C$810,$A48,'Match Log'!$E$4:$E$810,"Win")</f>
        <v>0</v>
      </c>
      <c r="N48" s="82">
        <f>COUNTIFS('Match Log'!$D$4:$D$810,N$29,'Match Log'!$C$4:$C$810,$A48,'Match Log'!$E$4:$E$810,"Win")</f>
        <v>0</v>
      </c>
      <c r="O48" s="82">
        <f>COUNTIFS('Match Log'!$D$4:$D$810,O$29,'Match Log'!$C$4:$C$810,$A48,'Match Log'!$E$4:$E$810,"Win")</f>
        <v>0</v>
      </c>
    </row>
    <row r="49">
      <c r="A49" s="81" t="inlineStr">
        <is>
          <t>HORSE - Basketball</t>
        </is>
      </c>
      <c r="B49" s="82">
        <f>COUNTIFS('Match Log'!$D$4:$D$810,B$29,'Match Log'!$C$4:$C$810,$A49,'Match Log'!$E$4:$E$810,"Win")</f>
        <v>0</v>
      </c>
      <c r="C49" s="82">
        <f>COUNTIFS('Match Log'!$D$4:$D$810,C$29,'Match Log'!$C$4:$C$810,$A49,'Match Log'!$E$4:$E$810,"Win")</f>
        <v>0</v>
      </c>
      <c r="D49" s="82">
        <f>COUNTIFS('Match Log'!$D$4:$D$810,D$29,'Match Log'!$C$4:$C$810,$A49,'Match Log'!$E$4:$E$810,"Win")</f>
        <v>0</v>
      </c>
      <c r="E49" s="82">
        <f>COUNTIFS('Match Log'!$D$4:$D$810,E$29,'Match Log'!$C$4:$C$810,$A49,'Match Log'!$E$4:$E$810,"Win")</f>
        <v>0</v>
      </c>
      <c r="F49" s="82">
        <f>COUNTIFS('Match Log'!$D$4:$D$810,F$29,'Match Log'!$C$4:$C$810,$A49,'Match Log'!$E$4:$E$810,"Win")</f>
        <v>0</v>
      </c>
      <c r="G49" s="82">
        <f>COUNTIFS('Match Log'!$D$4:$D$810,G$29,'Match Log'!$C$4:$C$810,$A49,'Match Log'!$E$4:$E$810,"Win")</f>
        <v>0</v>
      </c>
      <c r="H49" s="82">
        <f>COUNTIFS('Match Log'!$D$4:$D$810,H$29,'Match Log'!$C$4:$C$810,$A49,'Match Log'!$E$4:$E$810,"Win")</f>
        <v>0</v>
      </c>
      <c r="I49" s="82">
        <f>COUNTIFS('Match Log'!$D$4:$D$810,I$29,'Match Log'!$C$4:$C$810,$A49,'Match Log'!$E$4:$E$810,"Win")</f>
        <v>0</v>
      </c>
      <c r="J49" s="82">
        <f>COUNTIFS('Match Log'!$D$4:$D$810,J$29,'Match Log'!$C$4:$C$810,$A49,'Match Log'!$E$4:$E$810,"Win")</f>
        <v>0</v>
      </c>
      <c r="K49" s="82">
        <f>COUNTIFS('Match Log'!$D$4:$D$810,K$29,'Match Log'!$C$4:$C$810,$A49,'Match Log'!$E$4:$E$810,"Win")</f>
        <v>0</v>
      </c>
      <c r="L49" s="82">
        <f>COUNTIFS('Match Log'!$D$4:$D$810,L$29,'Match Log'!$C$4:$C$810,$A49,'Match Log'!$E$4:$E$810,"Win")</f>
        <v>0</v>
      </c>
      <c r="M49" s="82">
        <f>COUNTIFS('Match Log'!$D$4:$D$810,M$29,'Match Log'!$C$4:$C$810,$A49,'Match Log'!$E$4:$E$810,"Win")</f>
        <v>0</v>
      </c>
      <c r="N49" s="82">
        <f>COUNTIFS('Match Log'!$D$4:$D$810,N$29,'Match Log'!$C$4:$C$810,$A49,'Match Log'!$E$4:$E$810,"Win")</f>
        <v>0</v>
      </c>
      <c r="O49" s="82">
        <f>COUNTIFS('Match Log'!$D$4:$D$810,O$29,'Match Log'!$C$4:$C$810,$A49,'Match Log'!$E$4:$E$810,"Win")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0.46153846153846156</v>
      </c>
      <c r="H54" s="85" t="str">
        <f t="shared" si="4"/>
        <v/>
      </c>
      <c r="I54" s="85">
        <f t="shared" si="4"/>
        <v>0.44444444444444442</v>
      </c>
      <c r="J54" s="85" t="str">
        <f t="shared" si="4"/>
        <v/>
      </c>
      <c r="K54" s="85" t="str">
        <f t="shared" si="4"/>
        <v/>
      </c>
      <c r="L54" s="85" t="str">
        <f t="shared" si="4"/>
        <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0.46153846153846156</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0.25</v>
      </c>
      <c r="H64" s="85" t="str">
        <f t="shared" si="14"/>
        <v/>
      </c>
      <c r="I64" s="85">
        <f t="shared" si="14"/>
        <v>0.83333333333333337</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1">
      <c r="A71" s="81" t="inlineStr">
        <is>
          <t>HORSE - Basketball</t>
        </is>
      </c>
      <c r="B71" s="85" t="str">
        <f>IF(B27=0,"",B49/B27)</f>
      </c>
      <c r="C71" s="85" t="str">
        <f>IF(C27=0,"",C49/C27)</f>
      </c>
      <c r="D71" s="85" t="str">
        <f>IF(D27=0,"",D49/D27)</f>
      </c>
      <c r="E71" s="85" t="str">
        <f>IF(E27=0,"",E49/E27)</f>
      </c>
      <c r="F71" s="85" t="str">
        <f>IF(F27=0,"",F49/F27)</f>
      </c>
      <c r="G71" s="85" t="str">
        <f>IF(G27=0,"",G49/G27)</f>
      </c>
      <c r="H71" s="85" t="str">
        <f>IF(H27=0,"",H49/H27)</f>
      </c>
      <c r="I71" s="85" t="str">
        <f>IF(I27=0,"",I49/I27)</f>
      </c>
      <c r="J71" s="85" t="str">
        <f>IF(J27=0,"",J49/J27)</f>
      </c>
      <c r="K71" s="85" t="str">
        <f>IF(K27=0,"",K49/K27)</f>
      </c>
      <c r="L71" s="85" t="str">
        <f>IF(L27=0,"",L49/L27)</f>
      </c>
      <c r="M71" s="85" t="str">
        <f>IF(M27=0,"",M49/M27)</f>
      </c>
      <c r="N71" s="85" t="str">
        <f>IF(N27=0,"",N49/N27)</f>
      </c>
      <c r="O71" s="85" t="str">
        <f>IF(O27=0,"",O49/O27)</f>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Log'!$D$4:$D$810,$A74)</f>
        <v>23</v>
      </c>
      <c r="C74" s="82">
        <f>SUMPRODUCT(--(COUNTIFS('Match Log'!$D$4:$D$810,$A74,'Match Log'!$C$4:$C$810,Lists!$C$2:$C$21)&gt;0))</f>
        <v>3</v>
      </c>
      <c r="D74" s="82">
        <f>COUNTIFS('Match Log'!$D$4:$D$810,$A74,'Match Log'!$E$4:$E$810,"Win")</f>
        <v>15</v>
      </c>
      <c r="E74" s="85">
        <f t="shared" ref="E74:E87" si="21">IF($B74=0,"",$D74/$B74)</f>
        <v>0.65217391304347827</v>
      </c>
      <c r="F74" s="87">
        <f>IFERROR(INDEX(Engine!$B$2:$B$15,MATCH($A74,Engine!$A$2:$A$15,0)),"")</f>
        <v>1189.3765078898728</v>
      </c>
      <c r="G74" s="82" t="str">
        <f>IF($B74=0,"No games",IF(AND($B74&gt;='Guide &amp; Settings'!$C$45,$C74&gt;='Guide &amp; Settings'!$C$46),"Eligible","Provisional"))</f>
        <v>Eligible</v>
      </c>
      <c r="S74" s="88">
        <f t="shared" ref="S74:S87" si="22">IF($G74="Eligible",$F74,-1)</f>
        <v>1189.3765078898728</v>
      </c>
    </row>
    <row r="75" spans="1:19" ht="15" customHeight="1" x14ac:dyDescent="0.2">
      <c r="A75" s="81" t="s">
        <v>144</v>
      </c>
      <c r="B75" s="82">
        <f>COUNTIF('Match Log'!$D$4:$D$810,$A75)</f>
        <v>32</v>
      </c>
      <c r="C75" s="82">
        <f>SUMPRODUCT(--(COUNTIFS('Match Log'!$D$4:$D$810,$A75,'Match Log'!$C$4:$C$810,Lists!$C$2:$C$21)&gt;0))</f>
        <v>8</v>
      </c>
      <c r="D75" s="82">
        <f>COUNTIFS('Match Log'!$D$4:$D$810,$A75,'Match Log'!$E$4:$E$810,"Win")</f>
        <v>20</v>
      </c>
      <c r="E75" s="85">
        <f t="shared" si="21"/>
        <v>0.625</v>
      </c>
      <c r="F75" s="87">
        <f>IFERROR(INDEX(Engine!$B$2:$B$15,MATCH($A75,Engine!$A$2:$A$15,0)),"")</f>
        <v>1147.1945550051951</v>
      </c>
      <c r="G75" s="82" t="str">
        <f>IF($B75=0,"No games",IF(AND($B75&gt;='Guide &amp; Settings'!$C$45,$C75&gt;='Guide &amp; Settings'!$C$46),"Eligible","Provisional"))</f>
        <v>Eligible</v>
      </c>
      <c r="S75" s="88">
        <f t="shared" si="22"/>
        <v>1147.1945550051951</v>
      </c>
    </row>
    <row r="76" spans="1:19" ht="15" customHeight="1" x14ac:dyDescent="0.2">
      <c r="A76" s="81" t="s">
        <v>175</v>
      </c>
      <c r="B76" s="82">
        <f>COUNTIF('Match Log'!$D$4:$D$810,$A76)</f>
        <v>17</v>
      </c>
      <c r="C76" s="82">
        <f>SUMPRODUCT(--(COUNTIFS('Match Log'!$D$4:$D$810,$A76,'Match Log'!$C$4:$C$810,Lists!$C$2:$C$21)&gt;0))</f>
        <v>4</v>
      </c>
      <c r="D76" s="82">
        <f>COUNTIFS('Match Log'!$D$4:$D$810,$A76,'Match Log'!$E$4:$E$810,"Win")</f>
        <v>10</v>
      </c>
      <c r="E76" s="85">
        <f t="shared" si="21"/>
        <v>0.58823529411764708</v>
      </c>
      <c r="F76" s="87">
        <f>IFERROR(INDEX(Engine!$B$2:$B$15,MATCH($A76,Engine!$A$2:$A$15,0)),"")</f>
        <v>1099.9035033078371</v>
      </c>
      <c r="G76" s="82" t="str">
        <f>IF($B76=0,"No games",IF(AND($B76&gt;='Guide &amp; Settings'!$C$45,$C76&gt;='Guide &amp; Settings'!$C$46),"Eligible","Provisional"))</f>
        <v>Eligible</v>
      </c>
      <c r="S76" s="88">
        <f t="shared" si="22"/>
        <v>1099.9035033078371</v>
      </c>
    </row>
    <row r="77" spans="1:19" ht="15" customHeight="1" x14ac:dyDescent="0.2">
      <c r="A77" s="81" t="s">
        <v>176</v>
      </c>
      <c r="B77" s="82">
        <f>COUNTIF('Match Log'!$D$4:$D$810,$A77)</f>
        <v>41</v>
      </c>
      <c r="C77" s="82">
        <f>SUMPRODUCT(--(COUNTIFS('Match Log'!$D$4:$D$810,$A77,'Match Log'!$C$4:$C$810,Lists!$C$2:$C$21)&gt;0))</f>
        <v>7</v>
      </c>
      <c r="D77" s="82">
        <f>COUNTIFS('Match Log'!$D$4:$D$810,$A77,'Match Log'!$E$4:$E$810,"Win")</f>
        <v>19</v>
      </c>
      <c r="E77" s="85">
        <f t="shared" si="21"/>
        <v>0.46341463414634149</v>
      </c>
      <c r="F77" s="87">
        <f>IFERROR(INDEX(Engine!$B$2:$B$15,MATCH($A77,Engine!$A$2:$A$15,0)),"")</f>
        <v>1108.1045793188271</v>
      </c>
      <c r="G77" s="82" t="str">
        <f>IF($B77=0,"No games",IF(AND($B77&gt;='Guide &amp; Settings'!$C$45,$C77&gt;='Guide &amp; Settings'!$C$46),"Eligible","Provisional"))</f>
        <v>Eligible</v>
      </c>
      <c r="S77" s="88">
        <f t="shared" si="22"/>
        <v>1108.1045793188271</v>
      </c>
    </row>
    <row r="78" spans="1:19" ht="15" customHeight="1" x14ac:dyDescent="0.2">
      <c r="A78" s="81" t="s">
        <v>177</v>
      </c>
      <c r="B78" s="82">
        <f>COUNTIF('Match Log'!$D$4:$D$810,$A78)</f>
        <v>52</v>
      </c>
      <c r="C78" s="82">
        <f>SUMPRODUCT(--(COUNTIFS('Match Log'!$D$4:$D$810,$A78,'Match Log'!$C$4:$C$810,Lists!$C$2:$C$21)&gt;0))</f>
        <v>11</v>
      </c>
      <c r="D78" s="82">
        <f>COUNTIFS('Match Log'!$D$4:$D$810,$A78,'Match Log'!$E$4:$E$810,"Win")</f>
        <v>23</v>
      </c>
      <c r="E78" s="85">
        <f t="shared" si="21"/>
        <v>0.44230769230769229</v>
      </c>
      <c r="F78" s="87">
        <f>IFERROR(INDEX(Engine!$B$2:$B$15,MATCH($A78,Engine!$A$2:$A$15,0)),"")</f>
        <v>1072.8317255620282</v>
      </c>
      <c r="G78" s="82" t="str">
        <f>IF($B78=0,"No games",IF(AND($B78&gt;='Guide &amp; Settings'!$C$45,$C78&gt;='Guide &amp; Settings'!$C$46),"Eligible","Provisional"))</f>
        <v>Eligible</v>
      </c>
      <c r="S78" s="88">
        <f t="shared" si="22"/>
        <v>1072.8317255620282</v>
      </c>
    </row>
    <row r="79" spans="1:19" ht="15" customHeight="1" x14ac:dyDescent="0.2">
      <c r="A79" s="81" t="s">
        <v>145</v>
      </c>
      <c r="B79" s="82">
        <f>COUNTIF('Match Log'!$D$4:$D$810,$A79)</f>
        <v>25</v>
      </c>
      <c r="C79" s="82">
        <f>SUMPRODUCT(--(COUNTIFS('Match Log'!$D$4:$D$810,$A79,'Match Log'!$C$4:$C$810,Lists!$C$2:$C$21)&gt;0))</f>
        <v>7</v>
      </c>
      <c r="D79" s="82">
        <f>COUNTIFS('Match Log'!$D$4:$D$810,$A79,'Match Log'!$E$4:$E$810,"Win")</f>
        <v>15</v>
      </c>
      <c r="E79" s="85">
        <f t="shared" si="21"/>
        <v>0.6</v>
      </c>
      <c r="F79" s="87">
        <f>IFERROR(INDEX(Engine!$B$2:$B$15,MATCH($A79,Engine!$A$2:$A$15,0)),"")</f>
        <v>1125.1080177960646</v>
      </c>
      <c r="G79" s="82" t="str">
        <f>IF($B79=0,"No games",IF(AND($B79&gt;='Guide &amp; Settings'!$C$45,$C79&gt;='Guide &amp; Settings'!$C$46),"Eligible","Provisional"))</f>
        <v>Eligible</v>
      </c>
      <c r="S79" s="88">
        <f t="shared" si="22"/>
        <v>1125.1080177960646</v>
      </c>
    </row>
    <row r="80" spans="1:19" ht="15" customHeight="1" x14ac:dyDescent="0.2">
      <c r="A80" s="81" t="s">
        <v>141</v>
      </c>
      <c r="B80" s="82">
        <f>COUNTIF('Match Log'!$D$4:$D$810,$A80)</f>
        <v>46</v>
      </c>
      <c r="C80" s="82">
        <f>SUMPRODUCT(--(COUNTIFS('Match Log'!$D$4:$D$810,$A80,'Match Log'!$C$4:$C$810,Lists!$C$2:$C$21)&gt;0))</f>
        <v>8</v>
      </c>
      <c r="D80" s="82">
        <f>COUNTIFS('Match Log'!$D$4:$D$810,$A80,'Match Log'!$E$4:$E$810,"Win")</f>
        <v>19</v>
      </c>
      <c r="E80" s="85">
        <f t="shared" si="21"/>
        <v>0.41304347826086957</v>
      </c>
      <c r="F80" s="87">
        <f>IFERROR(INDEX(Engine!$B$2:$B$15,MATCH($A80,Engine!$A$2:$A$15,0)),"")</f>
        <v>1000.1411171871149</v>
      </c>
      <c r="G80" s="82" t="str">
        <f>IF($B80=0,"No games",IF(AND($B80&gt;='Guide &amp; Settings'!$C$45,$C80&gt;='Guide &amp; Settings'!$C$46),"Eligible","Provisional"))</f>
        <v>Eligible</v>
      </c>
      <c r="S80" s="88">
        <f t="shared" si="22"/>
        <v>1000.1411171871149</v>
      </c>
    </row>
    <row r="81" spans="1:19" ht="15" customHeight="1" x14ac:dyDescent="0.2">
      <c r="A81" s="81" t="s">
        <v>142</v>
      </c>
      <c r="B81" s="82">
        <f>COUNTIF('Match Log'!$D$4:$D$810,$A81)</f>
        <v>10</v>
      </c>
      <c r="C81" s="82">
        <f>SUMPRODUCT(--(COUNTIFS('Match Log'!$D$4:$D$810,$A81,'Match Log'!$C$4:$C$810,Lists!$C$2:$C$21)&gt;0))</f>
        <v>3</v>
      </c>
      <c r="D81" s="82">
        <f>COUNTIFS('Match Log'!$D$4:$D$810,$A81,'Match Log'!$E$4:$E$810,"Win")</f>
        <v>5</v>
      </c>
      <c r="E81" s="85">
        <f t="shared" si="21"/>
        <v>0.5</v>
      </c>
      <c r="F81" s="87">
        <f>IFERROR(INDEX(Engine!$B$2:$B$15,MATCH($A81,Engine!$A$2:$A$15,0)),"")</f>
        <v>1044.8691565259944</v>
      </c>
      <c r="G81" s="82" t="str">
        <f>IF($B81=0,"No games",IF(AND($B81&gt;='Guide &amp; Settings'!$C$45,$C81&gt;='Guide &amp; Settings'!$C$46),"Eligible","Provisional"))</f>
        <v>Eligible</v>
      </c>
      <c r="S81" s="88">
        <f t="shared" si="22"/>
        <v>1044.8691565259944</v>
      </c>
    </row>
    <row r="82" spans="1:19" ht="15" customHeight="1" x14ac:dyDescent="0.2">
      <c r="A82" s="81" t="s">
        <v>178</v>
      </c>
      <c r="B82" s="82">
        <f>COUNTIF('Match Log'!$D$4:$D$810,$A82)</f>
        <v>5</v>
      </c>
      <c r="C82" s="82">
        <f>SUMPRODUCT(--(COUNTIFS('Match Log'!$D$4:$D$810,$A82,'Match Log'!$C$4:$C$810,Lists!$C$2:$C$21)&gt;0))</f>
        <v>1</v>
      </c>
      <c r="D82" s="82">
        <f>COUNTIFS('Match Log'!$D$4:$D$810,$A82,'Match Log'!$E$4:$E$810,"Win")</f>
        <v>2</v>
      </c>
      <c r="E82" s="85">
        <f t="shared" si="21"/>
        <v>0.4</v>
      </c>
      <c r="F82" s="87">
        <f>IFERROR(INDEX(Engine!$B$2:$B$15,MATCH($A82,Engine!$A$2:$A$15,0)),"")</f>
        <v>1039.5415973556721</v>
      </c>
      <c r="G82" s="82" t="str">
        <f>IF($B82=0,"No games",IF(AND($B82&gt;='Guide &amp; Settings'!$C$45,$C82&gt;='Guide &amp; Settings'!$C$46),"Eligible","Provisional"))</f>
        <v>Provisional</v>
      </c>
      <c r="S82" s="88">
        <f t="shared" si="22"/>
        <v>-1</v>
      </c>
    </row>
    <row r="83" spans="1:19" ht="15" customHeight="1" x14ac:dyDescent="0.2">
      <c r="A83" s="81" t="s">
        <v>179</v>
      </c>
      <c r="B83" s="82">
        <f>COUNTIF('Match Log'!$D$4:$D$810,$A83)</f>
        <v>4</v>
      </c>
      <c r="C83" s="82">
        <f>SUMPRODUCT(--(COUNTIFS('Match Log'!$D$4:$D$810,$A83,'Match Log'!$C$4:$C$810,Lists!$C$2:$C$21)&gt;0))</f>
        <v>1</v>
      </c>
      <c r="D83" s="82">
        <f>COUNTIFS('Match Log'!$D$4:$D$810,$A83,'Match Log'!$E$4:$E$810,"Win")</f>
        <v>2</v>
      </c>
      <c r="E83" s="85">
        <f t="shared" si="21"/>
        <v>0.5</v>
      </c>
      <c r="F83" s="87">
        <f>IFERROR(INDEX(Engine!$B$2:$B$15,MATCH($A83,Engine!$A$2:$A$15,0)),"")</f>
        <v>1038.5016461247724</v>
      </c>
      <c r="G83" s="82" t="str">
        <f>IF($B83=0,"No games",IF(AND($B83&gt;='Guide &amp; Settings'!$C$45,$C83&gt;='Guide &amp; Settings'!$C$46),"Eligible","Provisional"))</f>
        <v>Provisional</v>
      </c>
      <c r="S83" s="88">
        <f t="shared" si="22"/>
        <v>-1</v>
      </c>
    </row>
    <row r="84" spans="1:19" ht="15" customHeight="1" x14ac:dyDescent="0.2">
      <c r="A84" s="81" t="s">
        <v>180</v>
      </c>
      <c r="B84" s="82">
        <f>COUNTIF('Match Log'!$D$4:$D$810,$A84)</f>
        <v>10</v>
      </c>
      <c r="C84" s="82">
        <f>SUMPRODUCT(--(COUNTIFS('Match Log'!$D$4:$D$810,$A84,'Match Log'!$C$4:$C$810,Lists!$C$2:$C$21)&gt;0))</f>
        <v>6</v>
      </c>
      <c r="D84" s="82">
        <f>COUNTIFS('Match Log'!$D$4:$D$810,$A84,'Match Log'!$E$4:$E$810,"Win")</f>
        <v>5</v>
      </c>
      <c r="E84" s="85">
        <f t="shared" si="21"/>
        <v>0.5</v>
      </c>
      <c r="F84" s="87">
        <f>IFERROR(INDEX(Engine!$B$2:$B$15,MATCH($A84,Engine!$A$2:$A$15,0)),"")</f>
        <v>1017.3466608720325</v>
      </c>
      <c r="G84" s="82" t="str">
        <f>IF($B84=0,"No games",IF(AND($B84&gt;='Guide &amp; Settings'!$C$45,$C84&gt;='Guide &amp; Settings'!$C$46),"Eligible","Provisional"))</f>
        <v>Eligible</v>
      </c>
      <c r="S84" s="88">
        <f t="shared" si="22"/>
        <v>1017.3466608720325</v>
      </c>
    </row>
    <row r="85" spans="1:19" ht="15" customHeight="1" x14ac:dyDescent="0.2">
      <c r="A85" s="81" t="s">
        <v>181</v>
      </c>
      <c r="B85" s="82">
        <f>COUNTIF('Match Log'!$D$4:$D$810,$A85)</f>
        <v>0</v>
      </c>
      <c r="C85" s="82">
        <f>SUMPRODUCT(--(COUNTIFS('Match Log'!$D$4:$D$810,$A85,'Match Log'!$C$4:$C$810,Lists!$C$2:$C$21)&gt;0))</f>
        <v>0</v>
      </c>
      <c r="D85" s="82">
        <f>COUNTIFS('Match Log'!$D$4:$D$810,$A85,'Match Log'!$E$4:$E$810,"Win")</f>
        <v>0</v>
      </c>
      <c r="E85" s="85" t="str">
        <f t="shared" si="21"/>
        <v/>
      </c>
      <c r="F85" s="87">
        <f>IFERROR(INDEX(Engine!$B$2:$B$15,MATCH($A85,Engine!$A$2:$A$15,0)),"")</f>
        <v>1000</v>
      </c>
      <c r="G85" s="82" t="str">
        <f>IF($B85=0,"No games",IF(AND($B85&gt;='Guide &amp; Settings'!$C$45,$C85&gt;='Guide &amp; Settings'!$C$46),"Eligible","Provisional"))</f>
        <v>No games</v>
      </c>
      <c r="S85">
        <f t="shared" si="22"/>
        <v>-1</v>
      </c>
    </row>
    <row r="86" spans="1:19" ht="15" customHeight="1" x14ac:dyDescent="0.2">
      <c r="A86" s="81" t="s">
        <v>147</v>
      </c>
      <c r="B86" s="82">
        <f>COUNTIF('Match Log'!$D$4:$D$810,$A86)</f>
        <v>14</v>
      </c>
      <c r="C86" s="82">
        <f>SUMPRODUCT(--(COUNTIFS('Match Log'!$D$4:$D$810,$A86,'Match Log'!$C$4:$C$810,Lists!$C$2:$C$21)&gt;0))</f>
        <v>3</v>
      </c>
      <c r="D86" s="82">
        <f>COUNTIFS('Match Log'!$D$4:$D$810,$A86,'Match Log'!$E$4:$E$810,"Win")</f>
        <v>4</v>
      </c>
      <c r="E86" s="85">
        <f t="shared" si="21"/>
        <v>0.2857142857142857</v>
      </c>
      <c r="F86" s="87">
        <f>IFERROR(INDEX(Engine!$B$2:$B$15,MATCH($A86,Engine!$A$2:$A$15,0)),"")</f>
        <v>990.8737469852914</v>
      </c>
      <c r="G86" s="82" t="str">
        <f>IF($B86=0,"No games",IF(AND($B86&gt;='Guide &amp; Settings'!$C$45,$C86&gt;='Guide &amp; Settings'!$C$46),"Eligible","Provisional"))</f>
        <v>Eligible</v>
      </c>
      <c r="S86" s="88">
        <f t="shared" si="22"/>
        <v>990.8737469852914</v>
      </c>
    </row>
    <row r="87" spans="1:19" ht="15" customHeight="1" x14ac:dyDescent="0.2">
      <c r="A87" s="81" t="s">
        <v>182</v>
      </c>
      <c r="B87" s="82">
        <f>COUNTIF('Match Log'!$D$4:$D$810,$A87)</f>
        <v>13</v>
      </c>
      <c r="C87" s="82">
        <f>SUMPRODUCT(--(COUNTIFS('Match Log'!$D$4:$D$810,$A87,'Match Log'!$C$4:$C$810,Lists!$C$2:$C$21)&gt;0))</f>
        <v>3</v>
      </c>
      <c r="D87" s="82">
        <f>COUNTIFS('Match Log'!$D$4:$D$810,$A87,'Match Log'!$E$4:$E$810,"Win")</f>
        <v>2</v>
      </c>
      <c r="E87" s="85">
        <f t="shared" si="21"/>
        <v>0.15384615384615385</v>
      </c>
      <c r="F87" s="87">
        <f>IFERROR(INDEX(Engine!$B$2:$B$15,MATCH($A87,Engine!$A$2:$A$15,0)),"")</f>
        <v>894.20718606929802</v>
      </c>
      <c r="G87" s="82" t="str">
        <f>IF($B87=0,"No games",IF(AND($B87&gt;='Guide &amp; Settings'!$C$45,$C87&gt;='Guide &amp; Settings'!$C$46),"Eligible","Provisional"))</f>
        <v>Eligible</v>
      </c>
      <c r="S87" s="88">
        <f t="shared" si="22"/>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Log'!$D$4:$D$810=B$90)*('Match Log'!$C$4:$C$810=$A91)),'Match Log'!$AB$4:$AB$810),"")</f>
        <v/>
      </c>
      <c r="C91" s="87" t="str">
        <f>IFERROR(LOOKUP(2,1/(('Match Log'!$D$4:$D$810=C$90)*('Match Log'!$C$4:$C$810=$A91)),'Match Log'!$AB$4:$AB$810),"")</f>
        <v/>
      </c>
      <c r="D91" s="87" t="str">
        <f>IFERROR(LOOKUP(2,1/(('Match Log'!$D$4:$D$810=D$90)*('Match Log'!$C$4:$C$810=$A91)),'Match Log'!$AB$4:$AB$810),"")</f>
        <v/>
      </c>
      <c r="E91" s="87" t="str">
        <f>IFERROR(LOOKUP(2,1/(('Match Log'!$D$4:$D$810=E$90)*('Match Log'!$C$4:$C$810=$A91)),'Match Log'!$AB$4:$AB$810),"")</f>
        <v/>
      </c>
      <c r="F91" s="87" t="str">
        <f>IFERROR(LOOKUP(2,1/(('Match Log'!$D$4:$D$810=F$90)*('Match Log'!$C$4:$C$810=$A91)),'Match Log'!$AB$4:$AB$810),"")</f>
        <v/>
      </c>
      <c r="G91" s="87">
        <f>IFERROR(LOOKUP(2,1/(('Match Log'!$D$4:$D$810=G$90)*('Match Log'!$C$4:$C$810=$A91)),'Match Log'!$AB$4:$AB$810),"")</f>
        <v>1030.5304984710244</v>
      </c>
      <c r="H91" s="87" t="str">
        <f>IFERROR(LOOKUP(2,1/(('Match Log'!$D$4:$D$810=H$90)*('Match Log'!$C$4:$C$810=$A91)),'Match Log'!$AB$4:$AB$810),"")</f>
        <v/>
      </c>
      <c r="I91" s="87">
        <f>IFERROR(LOOKUP(2,1/(('Match Log'!$D$4:$D$810=I$90)*('Match Log'!$C$4:$C$810=$A91)),'Match Log'!$AB$4:$AB$810),"")</f>
        <v>969.46950152897546</v>
      </c>
      <c r="J91" s="87" t="str">
        <f>IFERROR(LOOKUP(2,1/(('Match Log'!$D$4:$D$810=J$90)*('Match Log'!$C$4:$C$810=$A91)),'Match Log'!$AB$4:$AB$810),"")</f>
        <v/>
      </c>
      <c r="K91" s="87" t="str">
        <f>IFERROR(LOOKUP(2,1/(('Match Log'!$D$4:$D$810=K$90)*('Match Log'!$C$4:$C$810=$A91)),'Match Log'!$AB$4:$AB$810),"")</f>
        <v/>
      </c>
      <c r="L91" s="87" t="str">
        <f>IFERROR(LOOKUP(2,1/(('Match Log'!$D$4:$D$810=L$90)*('Match Log'!$C$4:$C$810=$A91)),'Match Log'!$AB$4:$AB$810),"")</f>
        <v/>
      </c>
      <c r="M91" s="87" t="str">
        <f>IFERROR(LOOKUP(2,1/(('Match Log'!$D$4:$D$810=M$90)*('Match Log'!$C$4:$C$810=$A91)),'Match Log'!$AB$4:$AB$810),"")</f>
        <v/>
      </c>
      <c r="N91" s="87" t="str">
        <f>IFERROR(LOOKUP(2,1/(('Match Log'!$D$4:$D$810=N$90)*('Match Log'!$C$4:$C$810=$A91)),'Match Log'!$AB$4:$AB$810),"")</f>
        <v/>
      </c>
      <c r="O91" s="87" t="str">
        <f>IFERROR(LOOKUP(2,1/(('Match Log'!$D$4:$D$810=O$90)*('Match Log'!$C$4:$C$810=$A91)),'Match Log'!$AB$4:$AB$810),"")</f>
        <v/>
      </c>
      <c r="P91" s="84" t="str">
        <f t="shared" ref="P91:P109" si="23">IFERROR(INDEX($B$90:$O$90,MATCH(MAX($B91:$O91),$B91:$O91,0)),"—")</f>
        <v>Shawn</v>
      </c>
    </row>
    <row r="92" spans="1:19" ht="15" customHeight="1" x14ac:dyDescent="0.2">
      <c r="A92" s="81" t="s">
        <v>190</v>
      </c>
      <c r="B92" s="87" t="str">
        <f>IFERROR(LOOKUP(2,1/(('Match Log'!$D$4:$D$810=B$90)*('Match Log'!$C$4:$C$810=$A92)),'Match Log'!$AB$4:$AB$810),"")</f>
        <v/>
      </c>
      <c r="C92" s="87" t="str">
        <f>IFERROR(LOOKUP(2,1/(('Match Log'!$D$4:$D$810=C$90)*('Match Log'!$C$4:$C$810=$A92)),'Match Log'!$AB$4:$AB$810),"")</f>
        <v/>
      </c>
      <c r="D92" s="87" t="str">
        <f>IFERROR(LOOKUP(2,1/(('Match Log'!$D$4:$D$810=D$90)*('Match Log'!$C$4:$C$810=$A92)),'Match Log'!$AB$4:$AB$810),"")</f>
        <v/>
      </c>
      <c r="E92" s="87" t="str">
        <f>IFERROR(LOOKUP(2,1/(('Match Log'!$D$4:$D$810=E$90)*('Match Log'!$C$4:$C$810=$A92)),'Match Log'!$AB$4:$AB$810),"")</f>
        <v/>
      </c>
      <c r="F92" s="87" t="str">
        <f>IFERROR(LOOKUP(2,1/(('Match Log'!$D$4:$D$810=F$90)*('Match Log'!$C$4:$C$810=$A92)),'Match Log'!$AB$4:$AB$810),"")</f>
        <v/>
      </c>
      <c r="G92" s="87" t="str">
        <f>IFERROR(LOOKUP(2,1/(('Match Log'!$D$4:$D$810=G$90)*('Match Log'!$C$4:$C$810=$A92)),'Match Log'!$AB$4:$AB$810),"")</f>
        <v/>
      </c>
      <c r="H92" s="87" t="str">
        <f>IFERROR(LOOKUP(2,1/(('Match Log'!$D$4:$D$810=H$90)*('Match Log'!$C$4:$C$810=$A92)),'Match Log'!$AB$4:$AB$810),"")</f>
        <v/>
      </c>
      <c r="I92" s="87" t="str">
        <f>IFERROR(LOOKUP(2,1/(('Match Log'!$D$4:$D$810=I$90)*('Match Log'!$C$4:$C$810=$A92)),'Match Log'!$AB$4:$AB$810),"")</f>
        <v/>
      </c>
      <c r="J92" s="87" t="str">
        <f>IFERROR(LOOKUP(2,1/(('Match Log'!$D$4:$D$810=J$90)*('Match Log'!$C$4:$C$810=$A92)),'Match Log'!$AB$4:$AB$810),"")</f>
        <v/>
      </c>
      <c r="K92" s="87" t="str">
        <f>IFERROR(LOOKUP(2,1/(('Match Log'!$D$4:$D$810=K$90)*('Match Log'!$C$4:$C$810=$A92)),'Match Log'!$AB$4:$AB$810),"")</f>
        <v/>
      </c>
      <c r="L92" s="87" t="str">
        <f>IFERROR(LOOKUP(2,1/(('Match Log'!$D$4:$D$810=L$90)*('Match Log'!$C$4:$C$810=$A92)),'Match Log'!$AB$4:$AB$810),"")</f>
        <v/>
      </c>
      <c r="M92" s="87" t="str">
        <f>IFERROR(LOOKUP(2,1/(('Match Log'!$D$4:$D$810=M$90)*('Match Log'!$C$4:$C$810=$A92)),'Match Log'!$AB$4:$AB$810),"")</f>
        <v/>
      </c>
      <c r="N92" s="87" t="str">
        <f>IFERROR(LOOKUP(2,1/(('Match Log'!$D$4:$D$810=N$90)*('Match Log'!$C$4:$C$810=$A92)),'Match Log'!$AB$4:$AB$810),"")</f>
        <v/>
      </c>
      <c r="O92" s="87" t="str">
        <f>IFERROR(LOOKUP(2,1/(('Match Log'!$D$4:$D$810=O$90)*('Match Log'!$C$4:$C$810=$A92)),'Match Log'!$AB$4:$AB$810),"")</f>
        <v/>
      </c>
      <c r="P92" s="84" t="str">
        <f t="shared" si="23"/>
        <v>—</v>
      </c>
    </row>
    <row r="93" spans="1:19" ht="15" customHeight="1" x14ac:dyDescent="0.2">
      <c r="A93" s="81" t="s">
        <v>191</v>
      </c>
      <c r="B93" s="87">
        <f>IFERROR(LOOKUP(2,1/(('Match Log'!$D$4:$D$810=B$90)*('Match Log'!$C$4:$C$810=$A93)),'Match Log'!$AB$4:$AB$810),"")</f>
        <v>1050.9933109481403</v>
      </c>
      <c r="C93" s="87" t="str">
        <f>IFERROR(LOOKUP(2,1/(('Match Log'!$D$4:$D$810=C$90)*('Match Log'!$C$4:$C$810=$A93)),'Match Log'!$AB$4:$AB$810),"")</f>
        <v/>
      </c>
      <c r="D93" s="87">
        <f>IFERROR(LOOKUP(2,1/(('Match Log'!$D$4:$D$810=D$90)*('Match Log'!$C$4:$C$810=$A93)),'Match Log'!$AB$4:$AB$810),"")</f>
        <v>984.73630679352198</v>
      </c>
      <c r="E93" s="87" t="str">
        <f>IFERROR(LOOKUP(2,1/(('Match Log'!$D$4:$D$810=E$90)*('Match Log'!$C$4:$C$810=$A93)),'Match Log'!$AB$4:$AB$810),"")</f>
        <v/>
      </c>
      <c r="F93" s="87">
        <f>IFERROR(LOOKUP(2,1/(('Match Log'!$D$4:$D$810=F$90)*('Match Log'!$C$4:$C$810=$A93)),'Match Log'!$AB$4:$AB$810),"")</f>
        <v>984</v>
      </c>
      <c r="G93" s="87">
        <f>IFERROR(LOOKUP(2,1/(('Match Log'!$D$4:$D$810=G$90)*('Match Log'!$C$4:$C$810=$A93)),'Match Log'!$AB$4:$AB$810),"")</f>
        <v>980.03504858236033</v>
      </c>
      <c r="H93" s="87" t="str">
        <f>IFERROR(LOOKUP(2,1/(('Match Log'!$D$4:$D$810=H$90)*('Match Log'!$C$4:$C$810=$A93)),'Match Log'!$AB$4:$AB$810),"")</f>
        <v/>
      </c>
      <c r="I93" s="87">
        <f>IFERROR(LOOKUP(2,1/(('Match Log'!$D$4:$D$810=I$90)*('Match Log'!$C$4:$C$810=$A93)),'Match Log'!$AB$4:$AB$810),"")</f>
        <v>1000.2353336759772</v>
      </c>
      <c r="J93" s="87" t="str">
        <f>IFERROR(LOOKUP(2,1/(('Match Log'!$D$4:$D$810=J$90)*('Match Log'!$C$4:$C$810=$A93)),'Match Log'!$AB$4:$AB$810),"")</f>
        <v/>
      </c>
      <c r="K93" s="87" t="str">
        <f>IFERROR(LOOKUP(2,1/(('Match Log'!$D$4:$D$810=K$90)*('Match Log'!$C$4:$C$810=$A93)),'Match Log'!$AB$4:$AB$810),"")</f>
        <v/>
      </c>
      <c r="L93" s="87" t="str">
        <f>IFERROR(LOOKUP(2,1/(('Match Log'!$D$4:$D$810=L$90)*('Match Log'!$C$4:$C$810=$A93)),'Match Log'!$AB$4:$AB$810),"")</f>
        <v/>
      </c>
      <c r="M93" s="87" t="str">
        <f>IFERROR(LOOKUP(2,1/(('Match Log'!$D$4:$D$810=M$90)*('Match Log'!$C$4:$C$810=$A93)),'Match Log'!$AB$4:$AB$810),"")</f>
        <v/>
      </c>
      <c r="N93" s="87" t="str">
        <f>IFERROR(LOOKUP(2,1/(('Match Log'!$D$4:$D$810=N$90)*('Match Log'!$C$4:$C$810=$A93)),'Match Log'!$AB$4:$AB$810),"")</f>
        <v/>
      </c>
      <c r="O93" s="87" t="str">
        <f>IFERROR(LOOKUP(2,1/(('Match Log'!$D$4:$D$810=O$90)*('Match Log'!$C$4:$C$810=$A93)),'Match Log'!$AB$4:$AB$810),"")</f>
        <v/>
      </c>
      <c r="P93" s="84" t="str">
        <f t="shared" si="23"/>
        <v>Aaron</v>
      </c>
    </row>
    <row r="94" spans="1:19" ht="15" customHeight="1" x14ac:dyDescent="0.2">
      <c r="A94" s="81" t="s">
        <v>192</v>
      </c>
      <c r="B94" s="87" t="str">
        <f>IFERROR(LOOKUP(2,1/(('Match Log'!$D$4:$D$810=B$90)*('Match Log'!$C$4:$C$810=$A94)),'Match Log'!$AB$4:$AB$810),"")</f>
        <v/>
      </c>
      <c r="C94" s="87" t="str">
        <f>IFERROR(LOOKUP(2,1/(('Match Log'!$D$4:$D$810=C$90)*('Match Log'!$C$4:$C$810=$A94)),'Match Log'!$AB$4:$AB$810),"")</f>
        <v/>
      </c>
      <c r="D94" s="87" t="str">
        <f>IFERROR(LOOKUP(2,1/(('Match Log'!$D$4:$D$810=D$90)*('Match Log'!$C$4:$C$810=$A94)),'Match Log'!$AB$4:$AB$810),"")</f>
        <v/>
      </c>
      <c r="E94" s="87" t="str">
        <f>IFERROR(LOOKUP(2,1/(('Match Log'!$D$4:$D$810=E$90)*('Match Log'!$C$4:$C$810=$A94)),'Match Log'!$AB$4:$AB$810),"")</f>
        <v/>
      </c>
      <c r="F94" s="87" t="str">
        <f>IFERROR(LOOKUP(2,1/(('Match Log'!$D$4:$D$810=F$90)*('Match Log'!$C$4:$C$810=$A94)),'Match Log'!$AB$4:$AB$810),"")</f>
        <v/>
      </c>
      <c r="G94" s="87" t="str">
        <f>IFERROR(LOOKUP(2,1/(('Match Log'!$D$4:$D$810=G$90)*('Match Log'!$C$4:$C$810=$A94)),'Match Log'!$AB$4:$AB$810),"")</f>
        <v/>
      </c>
      <c r="H94" s="87" t="str">
        <f>IFERROR(LOOKUP(2,1/(('Match Log'!$D$4:$D$810=H$90)*('Match Log'!$C$4:$C$810=$A94)),'Match Log'!$AB$4:$AB$810),"")</f>
        <v/>
      </c>
      <c r="I94" s="87" t="str">
        <f>IFERROR(LOOKUP(2,1/(('Match Log'!$D$4:$D$810=I$90)*('Match Log'!$C$4:$C$810=$A94)),'Match Log'!$AB$4:$AB$810),"")</f>
        <v/>
      </c>
      <c r="J94" s="87" t="str">
        <f>IFERROR(LOOKUP(2,1/(('Match Log'!$D$4:$D$810=J$90)*('Match Log'!$C$4:$C$810=$A94)),'Match Log'!$AB$4:$AB$810),"")</f>
        <v/>
      </c>
      <c r="K94" s="87" t="str">
        <f>IFERROR(LOOKUP(2,1/(('Match Log'!$D$4:$D$810=K$90)*('Match Log'!$C$4:$C$810=$A94)),'Match Log'!$AB$4:$AB$810),"")</f>
        <v/>
      </c>
      <c r="L94" s="87" t="str">
        <f>IFERROR(LOOKUP(2,1/(('Match Log'!$D$4:$D$810=L$90)*('Match Log'!$C$4:$C$810=$A94)),'Match Log'!$AB$4:$AB$810),"")</f>
        <v/>
      </c>
      <c r="M94" s="87" t="str">
        <f>IFERROR(LOOKUP(2,1/(('Match Log'!$D$4:$D$810=M$90)*('Match Log'!$C$4:$C$810=$A94)),'Match Log'!$AB$4:$AB$810),"")</f>
        <v/>
      </c>
      <c r="N94" s="87" t="str">
        <f>IFERROR(LOOKUP(2,1/(('Match Log'!$D$4:$D$810=N$90)*('Match Log'!$C$4:$C$810=$A94)),'Match Log'!$AB$4:$AB$810),"")</f>
        <v/>
      </c>
      <c r="O94" s="87" t="str">
        <f>IFERROR(LOOKUP(2,1/(('Match Log'!$D$4:$D$810=O$90)*('Match Log'!$C$4:$C$810=$A94)),'Match Log'!$AB$4:$AB$810),"")</f>
        <v/>
      </c>
      <c r="P94" s="84" t="str">
        <f t="shared" si="23"/>
        <v>—</v>
      </c>
    </row>
    <row r="95" spans="1:19" ht="15" customHeight="1" x14ac:dyDescent="0.2">
      <c r="A95" s="81" t="s">
        <v>193</v>
      </c>
      <c r="B95" s="87" t="str">
        <f>IFERROR(LOOKUP(2,1/(('Match Log'!$D$4:$D$810=B$90)*('Match Log'!$C$4:$C$810=$A95)),'Match Log'!$AB$4:$AB$810),"")</f>
        <v/>
      </c>
      <c r="C95" s="87">
        <f>IFERROR(LOOKUP(2,1/(('Match Log'!$D$4:$D$810=C$90)*('Match Log'!$C$4:$C$810=$A95)),'Match Log'!$AB$4:$AB$810),"")</f>
        <v>983.42320102843655</v>
      </c>
      <c r="D95" s="87" t="str">
        <f>IFERROR(LOOKUP(2,1/(('Match Log'!$D$4:$D$810=D$90)*('Match Log'!$C$4:$C$810=$A95)),'Match Log'!$AB$4:$AB$810),"")</f>
        <v/>
      </c>
      <c r="E95" s="87" t="str">
        <f>IFERROR(LOOKUP(2,1/(('Match Log'!$D$4:$D$810=E$90)*('Match Log'!$C$4:$C$810=$A95)),'Match Log'!$AB$4:$AB$810),"")</f>
        <v/>
      </c>
      <c r="F95" s="87" t="str">
        <f>IFERROR(LOOKUP(2,1/(('Match Log'!$D$4:$D$810=F$90)*('Match Log'!$C$4:$C$810=$A95)),'Match Log'!$AB$4:$AB$810),"")</f>
        <v/>
      </c>
      <c r="G95" s="87" t="str">
        <f>IFERROR(LOOKUP(2,1/(('Match Log'!$D$4:$D$810=G$90)*('Match Log'!$C$4:$C$810=$A95)),'Match Log'!$AB$4:$AB$810),"")</f>
        <v/>
      </c>
      <c r="H95" s="87">
        <f>IFERROR(LOOKUP(2,1/(('Match Log'!$D$4:$D$810=H$90)*('Match Log'!$C$4:$C$810=$A95)),'Match Log'!$AB$4:$AB$810),"")</f>
        <v>1030.1044213761372</v>
      </c>
      <c r="I95" s="87">
        <f>IFERROR(LOOKUP(2,1/(('Match Log'!$D$4:$D$810=I$90)*('Match Log'!$C$4:$C$810=$A95)),'Match Log'!$AB$4:$AB$810),"")</f>
        <v>996.17609348029987</v>
      </c>
      <c r="J95" s="87">
        <f>IFERROR(LOOKUP(2,1/(('Match Log'!$D$4:$D$810=J$90)*('Match Log'!$C$4:$C$810=$A95)),'Match Log'!$AB$4:$AB$810),"")</f>
        <v>1001.4492063389166</v>
      </c>
      <c r="K95" s="87">
        <f>IFERROR(LOOKUP(2,1/(('Match Log'!$D$4:$D$810=K$90)*('Match Log'!$C$4:$C$810=$A95)),'Match Log'!$AB$4:$AB$810),"")</f>
        <v>984.80073939960539</v>
      </c>
      <c r="L95" s="87">
        <f>IFERROR(LOOKUP(2,1/(('Match Log'!$D$4:$D$810=L$90)*('Match Log'!$C$4:$C$810=$A95)),'Match Log'!$AB$4:$AB$810),"")</f>
        <v>1004.0463383766044</v>
      </c>
      <c r="M95" s="87" t="str">
        <f>IFERROR(LOOKUP(2,1/(('Match Log'!$D$4:$D$810=M$90)*('Match Log'!$C$4:$C$810=$A95)),'Match Log'!$AB$4:$AB$810),"")</f>
        <v/>
      </c>
      <c r="N95" s="87" t="str">
        <f>IFERROR(LOOKUP(2,1/(('Match Log'!$D$4:$D$810=N$90)*('Match Log'!$C$4:$C$810=$A95)),'Match Log'!$AB$4:$AB$810),"")</f>
        <v/>
      </c>
      <c r="O95" s="87" t="str">
        <f>IFERROR(LOOKUP(2,1/(('Match Log'!$D$4:$D$810=O$90)*('Match Log'!$C$4:$C$810=$A95)),'Match Log'!$AB$4:$AB$810),"")</f>
        <v/>
      </c>
      <c r="P95" s="84" t="str">
        <f t="shared" si="23"/>
        <v>Simon</v>
      </c>
    </row>
    <row r="96" spans="1:19" ht="15" customHeight="1" x14ac:dyDescent="0.2">
      <c r="A96" s="81" t="s">
        <v>194</v>
      </c>
      <c r="B96" s="87">
        <f>IFERROR(LOOKUP(2,1/(('Match Log'!$D$4:$D$810=B$90)*('Match Log'!$C$4:$C$810=$A96)),'Match Log'!$AB$4:$AB$810),"")</f>
        <v>1016</v>
      </c>
      <c r="C96" s="87" t="str">
        <f>IFERROR(LOOKUP(2,1/(('Match Log'!$D$4:$D$810=C$90)*('Match Log'!$C$4:$C$810=$A96)),'Match Log'!$AB$4:$AB$810),"")</f>
        <v/>
      </c>
      <c r="D96" s="87">
        <f>IFERROR(LOOKUP(2,1/(('Match Log'!$D$4:$D$810=D$90)*('Match Log'!$C$4:$C$810=$A96)),'Match Log'!$AB$4:$AB$810),"")</f>
        <v>997.71428571428567</v>
      </c>
      <c r="E96" s="87">
        <f>IFERROR(LOOKUP(2,1/(('Match Log'!$D$4:$D$810=E$90)*('Match Log'!$C$4:$C$810=$A96)),'Match Log'!$AB$4:$AB$810),"")</f>
        <v>997.71428571428567</v>
      </c>
      <c r="F96" s="87">
        <f>IFERROR(LOOKUP(2,1/(('Match Log'!$D$4:$D$810=F$90)*('Match Log'!$C$4:$C$810=$A96)),'Match Log'!$AB$4:$AB$810),"")</f>
        <v>997.71428571428567</v>
      </c>
      <c r="G96" s="87">
        <f>IFERROR(LOOKUP(2,1/(('Match Log'!$D$4:$D$810=G$90)*('Match Log'!$C$4:$C$810=$A96)),'Match Log'!$AB$4:$AB$810),"")</f>
        <v>997.71428571428567</v>
      </c>
      <c r="H96" s="87">
        <f>IFERROR(LOOKUP(2,1/(('Match Log'!$D$4:$D$810=H$90)*('Match Log'!$C$4:$C$810=$A96)),'Match Log'!$AB$4:$AB$810),"")</f>
        <v>997.71428571428567</v>
      </c>
      <c r="I96" s="87">
        <f>IFERROR(LOOKUP(2,1/(('Match Log'!$D$4:$D$810=I$90)*('Match Log'!$C$4:$C$810=$A96)),'Match Log'!$AB$4:$AB$810),"")</f>
        <v>997.71428571428567</v>
      </c>
      <c r="J96" s="87" t="str">
        <f>IFERROR(LOOKUP(2,1/(('Match Log'!$D$4:$D$810=J$90)*('Match Log'!$C$4:$C$810=$A96)),'Match Log'!$AB$4:$AB$810),"")</f>
        <v/>
      </c>
      <c r="K96" s="87" t="str">
        <f>IFERROR(LOOKUP(2,1/(('Match Log'!$D$4:$D$810=K$90)*('Match Log'!$C$4:$C$810=$A96)),'Match Log'!$AB$4:$AB$810),"")</f>
        <v/>
      </c>
      <c r="L96" s="87">
        <f>IFERROR(LOOKUP(2,1/(('Match Log'!$D$4:$D$810=L$90)*('Match Log'!$C$4:$C$810=$A96)),'Match Log'!$AB$4:$AB$810),"")</f>
        <v>997.71428571428567</v>
      </c>
      <c r="M96" s="87" t="str">
        <f>IFERROR(LOOKUP(2,1/(('Match Log'!$D$4:$D$810=M$90)*('Match Log'!$C$4:$C$810=$A96)),'Match Log'!$AB$4:$AB$810),"")</f>
        <v/>
      </c>
      <c r="N96" s="87" t="str">
        <f>IFERROR(LOOKUP(2,1/(('Match Log'!$D$4:$D$810=N$90)*('Match Log'!$C$4:$C$810=$A96)),'Match Log'!$AB$4:$AB$810),"")</f>
        <v/>
      </c>
      <c r="O96" s="87" t="str">
        <f>IFERROR(LOOKUP(2,1/(('Match Log'!$D$4:$D$810=O$90)*('Match Log'!$C$4:$C$810=$A96)),'Match Log'!$AB$4:$AB$810),"")</f>
        <v/>
      </c>
      <c r="P96" s="84" t="str">
        <f t="shared" si="23"/>
        <v>Aaron</v>
      </c>
    </row>
    <row r="97" spans="1:16" ht="15" customHeight="1" x14ac:dyDescent="0.2">
      <c r="A97" s="81" t="s">
        <v>196</v>
      </c>
      <c r="B97" s="87" t="str">
        <f>IFERROR(LOOKUP(2,1/(('Match Log'!$D$4:$D$810=B$90)*('Match Log'!$C$4:$C$810=$A97)),'Match Log'!$AB$4:$AB$810),"")</f>
        <v/>
      </c>
      <c r="C97" s="87" t="str">
        <f>IFERROR(LOOKUP(2,1/(('Match Log'!$D$4:$D$810=C$90)*('Match Log'!$C$4:$C$810=$A97)),'Match Log'!$AB$4:$AB$810),"")</f>
        <v/>
      </c>
      <c r="D97" s="87" t="str">
        <f>IFERROR(LOOKUP(2,1/(('Match Log'!$D$4:$D$810=D$90)*('Match Log'!$C$4:$C$810=$A97)),'Match Log'!$AB$4:$AB$810),"")</f>
        <v/>
      </c>
      <c r="E97" s="87" t="str">
        <f>IFERROR(LOOKUP(2,1/(('Match Log'!$D$4:$D$810=E$90)*('Match Log'!$C$4:$C$810=$A97)),'Match Log'!$AB$4:$AB$810),"")</f>
        <v/>
      </c>
      <c r="F97" s="87" t="str">
        <f>IFERROR(LOOKUP(2,1/(('Match Log'!$D$4:$D$810=F$90)*('Match Log'!$C$4:$C$810=$A97)),'Match Log'!$AB$4:$AB$810),"")</f>
        <v/>
      </c>
      <c r="G97" s="87" t="str">
        <f>IFERROR(LOOKUP(2,1/(('Match Log'!$D$4:$D$810=G$90)*('Match Log'!$C$4:$C$810=$A97)),'Match Log'!$AB$4:$AB$810),"")</f>
        <v/>
      </c>
      <c r="H97" s="87" t="str">
        <f>IFERROR(LOOKUP(2,1/(('Match Log'!$D$4:$D$810=H$90)*('Match Log'!$C$4:$C$810=$A97)),'Match Log'!$AB$4:$AB$810),"")</f>
        <v/>
      </c>
      <c r="I97" s="87" t="str">
        <f>IFERROR(LOOKUP(2,1/(('Match Log'!$D$4:$D$810=I$90)*('Match Log'!$C$4:$C$810=$A97)),'Match Log'!$AB$4:$AB$810),"")</f>
        <v/>
      </c>
      <c r="J97" s="87" t="str">
        <f>IFERROR(LOOKUP(2,1/(('Match Log'!$D$4:$D$810=J$90)*('Match Log'!$C$4:$C$810=$A97)),'Match Log'!$AB$4:$AB$810),"")</f>
        <v/>
      </c>
      <c r="K97" s="87" t="str">
        <f>IFERROR(LOOKUP(2,1/(('Match Log'!$D$4:$D$810=K$90)*('Match Log'!$C$4:$C$810=$A97)),'Match Log'!$AB$4:$AB$810),"")</f>
        <v/>
      </c>
      <c r="L97" s="87" t="str">
        <f>IFERROR(LOOKUP(2,1/(('Match Log'!$D$4:$D$810=L$90)*('Match Log'!$C$4:$C$810=$A97)),'Match Log'!$AB$4:$AB$810),"")</f>
        <v/>
      </c>
      <c r="M97" s="87" t="str">
        <f>IFERROR(LOOKUP(2,1/(('Match Log'!$D$4:$D$810=M$90)*('Match Log'!$C$4:$C$810=$A97)),'Match Log'!$AB$4:$AB$810),"")</f>
        <v/>
      </c>
      <c r="N97" s="87" t="str">
        <f>IFERROR(LOOKUP(2,1/(('Match Log'!$D$4:$D$810=N$90)*('Match Log'!$C$4:$C$810=$A97)),'Match Log'!$AB$4:$AB$810),"")</f>
        <v/>
      </c>
      <c r="O97" s="87" t="str">
        <f>IFERROR(LOOKUP(2,1/(('Match Log'!$D$4:$D$810=O$90)*('Match Log'!$C$4:$C$810=$A97)),'Match Log'!$AB$4:$AB$810),"")</f>
        <v/>
      </c>
      <c r="P97" s="84" t="str">
        <f t="shared" si="23"/>
        <v>—</v>
      </c>
    </row>
    <row r="98" spans="1:16" ht="15" customHeight="1" x14ac:dyDescent="0.2">
      <c r="A98" s="81" t="s">
        <v>198</v>
      </c>
      <c r="B98" s="87" t="str">
        <f>IFERROR(LOOKUP(2,1/(('Match Log'!$D$4:$D$810=B$90)*('Match Log'!$C$4:$C$810=$A98)),'Match Log'!$AB$4:$AB$810),"")</f>
        <v/>
      </c>
      <c r="C98" s="87" t="str">
        <f>IFERROR(LOOKUP(2,1/(('Match Log'!$D$4:$D$810=C$90)*('Match Log'!$C$4:$C$810=$A98)),'Match Log'!$AB$4:$AB$810),"")</f>
        <v/>
      </c>
      <c r="D98" s="87" t="str">
        <f>IFERROR(LOOKUP(2,1/(('Match Log'!$D$4:$D$810=D$90)*('Match Log'!$C$4:$C$810=$A98)),'Match Log'!$AB$4:$AB$810),"")</f>
        <v/>
      </c>
      <c r="E98" s="87" t="str">
        <f>IFERROR(LOOKUP(2,1/(('Match Log'!$D$4:$D$810=E$90)*('Match Log'!$C$4:$C$810=$A98)),'Match Log'!$AB$4:$AB$810),"")</f>
        <v/>
      </c>
      <c r="F98" s="87" t="str">
        <f>IFERROR(LOOKUP(2,1/(('Match Log'!$D$4:$D$810=F$90)*('Match Log'!$C$4:$C$810=$A98)),'Match Log'!$AB$4:$AB$810),"")</f>
        <v/>
      </c>
      <c r="G98" s="87" t="str">
        <f>IFERROR(LOOKUP(2,1/(('Match Log'!$D$4:$D$810=G$90)*('Match Log'!$C$4:$C$810=$A98)),'Match Log'!$AB$4:$AB$810),"")</f>
        <v/>
      </c>
      <c r="H98" s="87" t="str">
        <f>IFERROR(LOOKUP(2,1/(('Match Log'!$D$4:$D$810=H$90)*('Match Log'!$C$4:$C$810=$A98)),'Match Log'!$AB$4:$AB$810),"")</f>
        <v/>
      </c>
      <c r="I98" s="87" t="str">
        <f>IFERROR(LOOKUP(2,1/(('Match Log'!$D$4:$D$810=I$90)*('Match Log'!$C$4:$C$810=$A98)),'Match Log'!$AB$4:$AB$810),"")</f>
        <v/>
      </c>
      <c r="J98" s="87" t="str">
        <f>IFERROR(LOOKUP(2,1/(('Match Log'!$D$4:$D$810=J$90)*('Match Log'!$C$4:$C$810=$A98)),'Match Log'!$AB$4:$AB$810),"")</f>
        <v/>
      </c>
      <c r="K98" s="87" t="str">
        <f>IFERROR(LOOKUP(2,1/(('Match Log'!$D$4:$D$810=K$90)*('Match Log'!$C$4:$C$810=$A98)),'Match Log'!$AB$4:$AB$810),"")</f>
        <v/>
      </c>
      <c r="L98" s="87" t="str">
        <f>IFERROR(LOOKUP(2,1/(('Match Log'!$D$4:$D$810=L$90)*('Match Log'!$C$4:$C$810=$A98)),'Match Log'!$AB$4:$AB$810),"")</f>
        <v/>
      </c>
      <c r="M98" s="87" t="str">
        <f>IFERROR(LOOKUP(2,1/(('Match Log'!$D$4:$D$810=M$90)*('Match Log'!$C$4:$C$810=$A98)),'Match Log'!$AB$4:$AB$810),"")</f>
        <v/>
      </c>
      <c r="N98" s="87" t="str">
        <f>IFERROR(LOOKUP(2,1/(('Match Log'!$D$4:$D$810=N$90)*('Match Log'!$C$4:$C$810=$A98)),'Match Log'!$AB$4:$AB$810),"")</f>
        <v/>
      </c>
      <c r="O98" s="87" t="str">
        <f>IFERROR(LOOKUP(2,1/(('Match Log'!$D$4:$D$810=O$90)*('Match Log'!$C$4:$C$810=$A98)),'Match Log'!$AB$4:$AB$810),"")</f>
        <v/>
      </c>
      <c r="P98" s="84" t="str">
        <f t="shared" si="23"/>
        <v>—</v>
      </c>
    </row>
    <row r="99" spans="1:16" ht="15" customHeight="1" x14ac:dyDescent="0.2">
      <c r="A99" s="81" t="s">
        <v>200</v>
      </c>
      <c r="B99" s="87" t="str">
        <f>IFERROR(LOOKUP(2,1/(('Match Log'!$D$4:$D$810=B$90)*('Match Log'!$C$4:$C$810=$A99)),'Match Log'!$AB$4:$AB$810),"")</f>
        <v/>
      </c>
      <c r="C99" s="87" t="str">
        <f>IFERROR(LOOKUP(2,1/(('Match Log'!$D$4:$D$810=C$90)*('Match Log'!$C$4:$C$810=$A99)),'Match Log'!$AB$4:$AB$810),"")</f>
        <v/>
      </c>
      <c r="D99" s="87" t="str">
        <f>IFERROR(LOOKUP(2,1/(('Match Log'!$D$4:$D$810=D$90)*('Match Log'!$C$4:$C$810=$A99)),'Match Log'!$AB$4:$AB$810),"")</f>
        <v/>
      </c>
      <c r="E99" s="87" t="str">
        <f>IFERROR(LOOKUP(2,1/(('Match Log'!$D$4:$D$810=E$90)*('Match Log'!$C$4:$C$810=$A99)),'Match Log'!$AB$4:$AB$810),"")</f>
        <v/>
      </c>
      <c r="F99" s="87">
        <f>IFERROR(LOOKUP(2,1/(('Match Log'!$D$4:$D$810=F$90)*('Match Log'!$C$4:$C$810=$A99)),'Match Log'!$AB$4:$AB$810),"")</f>
        <v>1016</v>
      </c>
      <c r="G99" s="87">
        <f>IFERROR(LOOKUP(2,1/(('Match Log'!$D$4:$D$810=G$90)*('Match Log'!$C$4:$C$810=$A99)),'Match Log'!$AB$4:$AB$810),"")</f>
        <v>992</v>
      </c>
      <c r="H99" s="87" t="str">
        <f>IFERROR(LOOKUP(2,1/(('Match Log'!$D$4:$D$810=H$90)*('Match Log'!$C$4:$C$810=$A99)),'Match Log'!$AB$4:$AB$810),"")</f>
        <v/>
      </c>
      <c r="I99" s="87" t="str">
        <f>IFERROR(LOOKUP(2,1/(('Match Log'!$D$4:$D$810=I$90)*('Match Log'!$C$4:$C$810=$A99)),'Match Log'!$AB$4:$AB$810),"")</f>
        <v/>
      </c>
      <c r="J99" s="87" t="str">
        <f>IFERROR(LOOKUP(2,1/(('Match Log'!$D$4:$D$810=J$90)*('Match Log'!$C$4:$C$810=$A99)),'Match Log'!$AB$4:$AB$810),"")</f>
        <v/>
      </c>
      <c r="K99" s="87" t="str">
        <f>IFERROR(LOOKUP(2,1/(('Match Log'!$D$4:$D$810=K$90)*('Match Log'!$C$4:$C$810=$A99)),'Match Log'!$AB$4:$AB$810),"")</f>
        <v/>
      </c>
      <c r="L99" s="87">
        <f>IFERROR(LOOKUP(2,1/(('Match Log'!$D$4:$D$810=L$90)*('Match Log'!$C$4:$C$810=$A99)),'Match Log'!$AB$4:$AB$810),"")</f>
        <v>992</v>
      </c>
      <c r="M99" s="87" t="str">
        <f>IFERROR(LOOKUP(2,1/(('Match Log'!$D$4:$D$810=M$90)*('Match Log'!$C$4:$C$810=$A99)),'Match Log'!$AB$4:$AB$810),"")</f>
        <v/>
      </c>
      <c r="N99" s="87" t="str">
        <f>IFERROR(LOOKUP(2,1/(('Match Log'!$D$4:$D$810=N$90)*('Match Log'!$C$4:$C$810=$A99)),'Match Log'!$AB$4:$AB$810),"")</f>
        <v/>
      </c>
      <c r="O99" s="87" t="str">
        <f>IFERROR(LOOKUP(2,1/(('Match Log'!$D$4:$D$810=O$90)*('Match Log'!$C$4:$C$810=$A99)),'Match Log'!$AB$4:$AB$810),"")</f>
        <v/>
      </c>
      <c r="P99" s="84" t="str">
        <f t="shared" si="23"/>
        <v>Josh</v>
      </c>
    </row>
    <row r="100" spans="1:16" ht="15" customHeight="1" x14ac:dyDescent="0.2">
      <c r="A100" s="81" t="s">
        <v>201</v>
      </c>
      <c r="B100" s="87" t="str">
        <f>IFERROR(LOOKUP(2,1/(('Match Log'!$D$4:$D$810=B$90)*('Match Log'!$C$4:$C$810=$A100)),'Match Log'!$AB$4:$AB$810),"")</f>
        <v/>
      </c>
      <c r="C100" s="87" t="str">
        <f>IFERROR(LOOKUP(2,1/(('Match Log'!$D$4:$D$810=C$90)*('Match Log'!$C$4:$C$810=$A100)),'Match Log'!$AB$4:$AB$810),"")</f>
        <v/>
      </c>
      <c r="D100" s="87" t="str">
        <f>IFERROR(LOOKUP(2,1/(('Match Log'!$D$4:$D$810=D$90)*('Match Log'!$C$4:$C$810=$A100)),'Match Log'!$AB$4:$AB$810),"")</f>
        <v/>
      </c>
      <c r="E100" s="87" t="str">
        <f>IFERROR(LOOKUP(2,1/(('Match Log'!$D$4:$D$810=E$90)*('Match Log'!$C$4:$C$810=$A100)),'Match Log'!$AB$4:$AB$810),"")</f>
        <v/>
      </c>
      <c r="F100" s="87" t="str">
        <f>IFERROR(LOOKUP(2,1/(('Match Log'!$D$4:$D$810=F$90)*('Match Log'!$C$4:$C$810=$A100)),'Match Log'!$AB$4:$AB$810),"")</f>
        <v/>
      </c>
      <c r="G100" s="87" t="str">
        <f>IFERROR(LOOKUP(2,1/(('Match Log'!$D$4:$D$810=G$90)*('Match Log'!$C$4:$C$810=$A100)),'Match Log'!$AB$4:$AB$810),"")</f>
        <v/>
      </c>
      <c r="H100" s="87" t="str">
        <f>IFERROR(LOOKUP(2,1/(('Match Log'!$D$4:$D$810=H$90)*('Match Log'!$C$4:$C$810=$A100)),'Match Log'!$AB$4:$AB$810),"")</f>
        <v/>
      </c>
      <c r="I100" s="87" t="str">
        <f>IFERROR(LOOKUP(2,1/(('Match Log'!$D$4:$D$810=I$90)*('Match Log'!$C$4:$C$810=$A100)),'Match Log'!$AB$4:$AB$810),"")</f>
        <v/>
      </c>
      <c r="J100" s="87" t="str">
        <f>IFERROR(LOOKUP(2,1/(('Match Log'!$D$4:$D$810=J$90)*('Match Log'!$C$4:$C$810=$A100)),'Match Log'!$AB$4:$AB$810),"")</f>
        <v/>
      </c>
      <c r="K100" s="87" t="str">
        <f>IFERROR(LOOKUP(2,1/(('Match Log'!$D$4:$D$810=K$90)*('Match Log'!$C$4:$C$810=$A100)),'Match Log'!$AB$4:$AB$810),"")</f>
        <v/>
      </c>
      <c r="L100" s="87" t="str">
        <f>IFERROR(LOOKUP(2,1/(('Match Log'!$D$4:$D$810=L$90)*('Match Log'!$C$4:$C$810=$A100)),'Match Log'!$AB$4:$AB$810),"")</f>
        <v/>
      </c>
      <c r="M100" s="87" t="str">
        <f>IFERROR(LOOKUP(2,1/(('Match Log'!$D$4:$D$810=M$90)*('Match Log'!$C$4:$C$810=$A100)),'Match Log'!$AB$4:$AB$810),"")</f>
        <v/>
      </c>
      <c r="N100" s="87" t="str">
        <f>IFERROR(LOOKUP(2,1/(('Match Log'!$D$4:$D$810=N$90)*('Match Log'!$C$4:$C$810=$A100)),'Match Log'!$AB$4:$AB$810),"")</f>
        <v/>
      </c>
      <c r="O100" s="87" t="str">
        <f>IFERROR(LOOKUP(2,1/(('Match Log'!$D$4:$D$810=O$90)*('Match Log'!$C$4:$C$810=$A100)),'Match Log'!$AB$4:$AB$810),"")</f>
        <v/>
      </c>
      <c r="P100" s="84" t="str">
        <f t="shared" si="23"/>
        <v>—</v>
      </c>
    </row>
    <row r="101" spans="1:16" ht="15" customHeight="1" x14ac:dyDescent="0.2">
      <c r="A101" s="81" t="s">
        <v>202</v>
      </c>
      <c r="B101" s="87" t="str">
        <f>IFERROR(LOOKUP(2,1/(('Match Log'!$D$4:$D$810=B$90)*('Match Log'!$C$4:$C$810=$A101)),'Match Log'!$AB$4:$AB$810),"")</f>
        <v/>
      </c>
      <c r="C101" s="87" t="str">
        <f>IFERROR(LOOKUP(2,1/(('Match Log'!$D$4:$D$810=C$90)*('Match Log'!$C$4:$C$810=$A101)),'Match Log'!$AB$4:$AB$810),"")</f>
        <v/>
      </c>
      <c r="D101" s="87" t="str">
        <f>IFERROR(LOOKUP(2,1/(('Match Log'!$D$4:$D$810=D$90)*('Match Log'!$C$4:$C$810=$A101)),'Match Log'!$AB$4:$AB$810),"")</f>
        <v/>
      </c>
      <c r="E101" s="87" t="str">
        <f>IFERROR(LOOKUP(2,1/(('Match Log'!$D$4:$D$810=E$90)*('Match Log'!$C$4:$C$810=$A101)),'Match Log'!$AB$4:$AB$810),"")</f>
        <v/>
      </c>
      <c r="F101" s="87" t="str">
        <f>IFERROR(LOOKUP(2,1/(('Match Log'!$D$4:$D$810=F$90)*('Match Log'!$C$4:$C$810=$A101)),'Match Log'!$AB$4:$AB$810),"")</f>
        <v/>
      </c>
      <c r="G101" s="87" t="str">
        <f>IFERROR(LOOKUP(2,1/(('Match Log'!$D$4:$D$810=G$90)*('Match Log'!$C$4:$C$810=$A101)),'Match Log'!$AB$4:$AB$810),"")</f>
        <v/>
      </c>
      <c r="H101" s="87" t="str">
        <f>IFERROR(LOOKUP(2,1/(('Match Log'!$D$4:$D$810=H$90)*('Match Log'!$C$4:$C$810=$A101)),'Match Log'!$AB$4:$AB$810),"")</f>
        <v/>
      </c>
      <c r="I101" s="87" t="str">
        <f>IFERROR(LOOKUP(2,1/(('Match Log'!$D$4:$D$810=I$90)*('Match Log'!$C$4:$C$810=$A101)),'Match Log'!$AB$4:$AB$810),"")</f>
        <v/>
      </c>
      <c r="J101" s="87" t="str">
        <f>IFERROR(LOOKUP(2,1/(('Match Log'!$D$4:$D$810=J$90)*('Match Log'!$C$4:$C$810=$A101)),'Match Log'!$AB$4:$AB$810),"")</f>
        <v/>
      </c>
      <c r="K101" s="87" t="str">
        <f>IFERROR(LOOKUP(2,1/(('Match Log'!$D$4:$D$810=K$90)*('Match Log'!$C$4:$C$810=$A101)),'Match Log'!$AB$4:$AB$810),"")</f>
        <v/>
      </c>
      <c r="L101" s="87" t="str">
        <f>IFERROR(LOOKUP(2,1/(('Match Log'!$D$4:$D$810=L$90)*('Match Log'!$C$4:$C$810=$A101)),'Match Log'!$AB$4:$AB$810),"")</f>
        <v/>
      </c>
      <c r="M101" s="87" t="str">
        <f>IFERROR(LOOKUP(2,1/(('Match Log'!$D$4:$D$810=M$90)*('Match Log'!$C$4:$C$810=$A101)),'Match Log'!$AB$4:$AB$810),"")</f>
        <v/>
      </c>
      <c r="N101" s="87" t="str">
        <f>IFERROR(LOOKUP(2,1/(('Match Log'!$D$4:$D$810=N$90)*('Match Log'!$C$4:$C$810=$A101)),'Match Log'!$AB$4:$AB$810),"")</f>
        <v/>
      </c>
      <c r="O101" s="87" t="str">
        <f>IFERROR(LOOKUP(2,1/(('Match Log'!$D$4:$D$810=O$90)*('Match Log'!$C$4:$C$810=$A101)),'Match Log'!$AB$4:$AB$810),"")</f>
        <v/>
      </c>
      <c r="P101" s="84" t="str">
        <f t="shared" si="23"/>
        <v>—</v>
      </c>
    </row>
    <row r="102" spans="1:16" ht="15" customHeight="1" x14ac:dyDescent="0.2">
      <c r="A102" s="81" t="s">
        <v>203</v>
      </c>
      <c r="B102" s="87">
        <f>IFERROR(LOOKUP(2,1/(('Match Log'!$D$4:$D$810=B$90)*('Match Log'!$C$4:$C$810=$A102)),'Match Log'!$AB$4:$AB$810),"")</f>
        <v>998.78601149183976</v>
      </c>
      <c r="C102" s="87">
        <f>IFERROR(LOOKUP(2,1/(('Match Log'!$D$4:$D$810=C$90)*('Match Log'!$C$4:$C$810=$A102)),'Match Log'!$AB$4:$AB$810),"")</f>
        <v>984.84959931593869</v>
      </c>
      <c r="D102" s="87" t="str">
        <f>IFERROR(LOOKUP(2,1/(('Match Log'!$D$4:$D$810=D$90)*('Match Log'!$C$4:$C$810=$A102)),'Match Log'!$AB$4:$AB$810),"")</f>
        <v/>
      </c>
      <c r="E102" s="87">
        <f>IFERROR(LOOKUP(2,1/(('Match Log'!$D$4:$D$810=E$90)*('Match Log'!$C$4:$C$810=$A102)),'Match Log'!$AB$4:$AB$810),"")</f>
        <v>949.22600883289385</v>
      </c>
      <c r="F102" s="87">
        <f>IFERROR(LOOKUP(2,1/(('Match Log'!$D$4:$D$810=F$90)*('Match Log'!$C$4:$C$810=$A102)),'Match Log'!$AB$4:$AB$810),"")</f>
        <v>1109.0218511200758</v>
      </c>
      <c r="G102" s="87">
        <f>IFERROR(LOOKUP(2,1/(('Match Log'!$D$4:$D$810=G$90)*('Match Log'!$C$4:$C$810=$A102)),'Match Log'!$AB$4:$AB$810),"")</f>
        <v>1073.39235221687</v>
      </c>
      <c r="H102" s="87">
        <f>IFERROR(LOOKUP(2,1/(('Match Log'!$D$4:$D$810=H$90)*('Match Log'!$C$4:$C$810=$A102)),'Match Log'!$AB$4:$AB$810),"")</f>
        <v>952.64656852410087</v>
      </c>
      <c r="I102" s="87">
        <f>IFERROR(LOOKUP(2,1/(('Match Log'!$D$4:$D$810=I$90)*('Match Log'!$C$4:$C$810=$A102)),'Match Log'!$AB$4:$AB$810),"")</f>
        <v>941.80241083787075</v>
      </c>
      <c r="J102" s="87">
        <f>IFERROR(LOOKUP(2,1/(('Match Log'!$D$4:$D$810=J$90)*('Match Log'!$C$4:$C$810=$A102)),'Match Log'!$AB$4:$AB$810),"")</f>
        <v>1055.7052432790952</v>
      </c>
      <c r="K102" s="87">
        <f>IFERROR(LOOKUP(2,1/(('Match Log'!$D$4:$D$810=K$90)*('Match Log'!$C$4:$C$810=$A102)),'Match Log'!$AB$4:$AB$810),"")</f>
        <v>930.59858869041068</v>
      </c>
      <c r="L102" s="87">
        <f>IFERROR(LOOKUP(2,1/(('Match Log'!$D$4:$D$810=L$90)*('Match Log'!$C$4:$C$810=$A102)),'Match Log'!$AB$4:$AB$810),"")</f>
        <v>1003.9713656909046</v>
      </c>
      <c r="M102" s="87" t="str">
        <f>IFERROR(LOOKUP(2,1/(('Match Log'!$D$4:$D$810=M$90)*('Match Log'!$C$4:$C$810=$A102)),'Match Log'!$AB$4:$AB$810),"")</f>
        <v/>
      </c>
      <c r="N102" s="87" t="str">
        <f>IFERROR(LOOKUP(2,1/(('Match Log'!$D$4:$D$810=N$90)*('Match Log'!$C$4:$C$810=$A102)),'Match Log'!$AB$4:$AB$810),"")</f>
        <v/>
      </c>
      <c r="O102" s="87" t="str">
        <f>IFERROR(LOOKUP(2,1/(('Match Log'!$D$4:$D$810=O$90)*('Match Log'!$C$4:$C$810=$A102)),'Match Log'!$AB$4:$AB$810),"")</f>
        <v/>
      </c>
      <c r="P102" s="84" t="str">
        <f t="shared" si="23"/>
        <v>Josh</v>
      </c>
    </row>
    <row r="103" spans="1:16" ht="15" customHeight="1" x14ac:dyDescent="0.2">
      <c r="A103" s="81" t="s">
        <v>205</v>
      </c>
      <c r="B103" s="87">
        <f>IFERROR(LOOKUP(2,1/(('Match Log'!$D$4:$D$810=B$90)*('Match Log'!$C$4:$C$810=$A103)),'Match Log'!$AB$4:$AB$810),"")</f>
        <v>1000.1160292001913</v>
      </c>
      <c r="C103" s="87" t="str">
        <f>IFERROR(LOOKUP(2,1/(('Match Log'!$D$4:$D$810=C$90)*('Match Log'!$C$4:$C$810=$A103)),'Match Log'!$AB$4:$AB$810),"")</f>
        <v/>
      </c>
      <c r="D103" s="87" t="str">
        <f>IFERROR(LOOKUP(2,1/(('Match Log'!$D$4:$D$810=D$90)*('Match Log'!$C$4:$C$810=$A103)),'Match Log'!$AB$4:$AB$810),"")</f>
        <v/>
      </c>
      <c r="E103" s="87" t="str">
        <f>IFERROR(LOOKUP(2,1/(('Match Log'!$D$4:$D$810=E$90)*('Match Log'!$C$4:$C$810=$A103)),'Match Log'!$AB$4:$AB$810),"")</f>
        <v/>
      </c>
      <c r="F103" s="87">
        <f>IFERROR(LOOKUP(2,1/(('Match Log'!$D$4:$D$810=F$90)*('Match Log'!$C$4:$C$810=$A103)),'Match Log'!$AB$4:$AB$810),"")</f>
        <v>985.41909823644232</v>
      </c>
      <c r="G103" s="87">
        <f>IFERROR(LOOKUP(2,1/(('Match Log'!$D$4:$D$810=G$90)*('Match Log'!$C$4:$C$810=$A103)),'Match Log'!$AB$4:$AB$810),"")</f>
        <v>963.2777675383727</v>
      </c>
      <c r="H103" s="87" t="str">
        <f>IFERROR(LOOKUP(2,1/(('Match Log'!$D$4:$D$810=H$90)*('Match Log'!$C$4:$C$810=$A103)),'Match Log'!$AB$4:$AB$810),"")</f>
        <v/>
      </c>
      <c r="I103" s="87">
        <f>IFERROR(LOOKUP(2,1/(('Match Log'!$D$4:$D$810=I$90)*('Match Log'!$C$4:$C$810=$A103)),'Match Log'!$AB$4:$AB$810),"")</f>
        <v>1050.6407052513002</v>
      </c>
      <c r="J103" s="87" t="str">
        <f>IFERROR(LOOKUP(2,1/(('Match Log'!$D$4:$D$810=J$90)*('Match Log'!$C$4:$C$810=$A103)),'Match Log'!$AB$4:$AB$810),"")</f>
        <v/>
      </c>
      <c r="K103" s="87" t="str">
        <f>IFERROR(LOOKUP(2,1/(('Match Log'!$D$4:$D$810=K$90)*('Match Log'!$C$4:$C$810=$A103)),'Match Log'!$AB$4:$AB$810),"")</f>
        <v/>
      </c>
      <c r="L103" s="87">
        <f>IFERROR(LOOKUP(2,1/(('Match Log'!$D$4:$D$810=L$90)*('Match Log'!$C$4:$C$810=$A103)),'Match Log'!$AB$4:$AB$810),"")</f>
        <v>1000.5463997736937</v>
      </c>
      <c r="M103" s="87" t="str">
        <f>IFERROR(LOOKUP(2,1/(('Match Log'!$D$4:$D$810=M$90)*('Match Log'!$C$4:$C$810=$A103)),'Match Log'!$AB$4:$AB$810),"")</f>
        <v/>
      </c>
      <c r="N103" s="87" t="str">
        <f>IFERROR(LOOKUP(2,1/(('Match Log'!$D$4:$D$810=N$90)*('Match Log'!$C$4:$C$810=$A103)),'Match Log'!$AB$4:$AB$810),"")</f>
        <v/>
      </c>
      <c r="O103" s="87" t="str">
        <f>IFERROR(LOOKUP(2,1/(('Match Log'!$D$4:$D$810=O$90)*('Match Log'!$C$4:$C$810=$A103)),'Match Log'!$AB$4:$AB$810),"")</f>
        <v/>
      </c>
      <c r="P103" s="84" t="str">
        <f t="shared" si="23"/>
        <v>Daniel (Ferret)</v>
      </c>
    </row>
    <row r="104" spans="1:16" ht="15" customHeight="1" x14ac:dyDescent="0.2">
      <c r="A104" s="81" t="s">
        <v>207</v>
      </c>
      <c r="B104" s="87">
        <f>IFERROR(LOOKUP(2,1/(('Match Log'!$D$4:$D$810=B$90)*('Match Log'!$C$4:$C$810=$A104)),'Match Log'!$AB$4:$AB$810),"")</f>
        <v>1041.6585373017128</v>
      </c>
      <c r="C104" s="87" t="str">
        <f>IFERROR(LOOKUP(2,1/(('Match Log'!$D$4:$D$810=C$90)*('Match Log'!$C$4:$C$810=$A104)),'Match Log'!$AB$4:$AB$810),"")</f>
        <v/>
      </c>
      <c r="D104" s="87">
        <f>IFERROR(LOOKUP(2,1/(('Match Log'!$D$4:$D$810=D$90)*('Match Log'!$C$4:$C$810=$A104)),'Match Log'!$AB$4:$AB$810),"")</f>
        <v>1055.8009426289977</v>
      </c>
      <c r="E104" s="87" t="str">
        <f>IFERROR(LOOKUP(2,1/(('Match Log'!$D$4:$D$810=E$90)*('Match Log'!$C$4:$C$810=$A104)),'Match Log'!$AB$4:$AB$810),"")</f>
        <v/>
      </c>
      <c r="F104" s="87" t="str">
        <f>IFERROR(LOOKUP(2,1/(('Match Log'!$D$4:$D$810=F$90)*('Match Log'!$C$4:$C$810=$A104)),'Match Log'!$AB$4:$AB$810),"")</f>
        <v/>
      </c>
      <c r="G104" s="87">
        <f>IFERROR(LOOKUP(2,1/(('Match Log'!$D$4:$D$810=G$90)*('Match Log'!$C$4:$C$810=$A104)),'Match Log'!$AB$4:$AB$810),"")</f>
        <v>904.65647514018167</v>
      </c>
      <c r="H104" s="87" t="str">
        <f>IFERROR(LOOKUP(2,1/(('Match Log'!$D$4:$D$810=H$90)*('Match Log'!$C$4:$C$810=$A104)),'Match Log'!$AB$4:$AB$810),"")</f>
        <v/>
      </c>
      <c r="I104" s="87">
        <f>IFERROR(LOOKUP(2,1/(('Match Log'!$D$4:$D$810=I$90)*('Match Log'!$C$4:$C$810=$A104)),'Match Log'!$AB$4:$AB$810),"")</f>
        <v>962.91641343501885</v>
      </c>
      <c r="J104" s="87" t="str">
        <f>IFERROR(LOOKUP(2,1/(('Match Log'!$D$4:$D$810=J$90)*('Match Log'!$C$4:$C$810=$A104)),'Match Log'!$AB$4:$AB$810),"")</f>
        <v/>
      </c>
      <c r="K104" s="87" t="str">
        <f>IFERROR(LOOKUP(2,1/(('Match Log'!$D$4:$D$810=K$90)*('Match Log'!$C$4:$C$810=$A104)),'Match Log'!$AB$4:$AB$810),"")</f>
        <v/>
      </c>
      <c r="L104" s="87">
        <f>IFERROR(LOOKUP(2,1/(('Match Log'!$D$4:$D$810=L$90)*('Match Log'!$C$4:$C$810=$A104)),'Match Log'!$AB$4:$AB$810),"")</f>
        <v>1034.9676314940889</v>
      </c>
      <c r="M104" s="87" t="str">
        <f>IFERROR(LOOKUP(2,1/(('Match Log'!$D$4:$D$810=M$90)*('Match Log'!$C$4:$C$810=$A104)),'Match Log'!$AB$4:$AB$810),"")</f>
        <v/>
      </c>
      <c r="N104" s="87" t="str">
        <f>IFERROR(LOOKUP(2,1/(('Match Log'!$D$4:$D$810=N$90)*('Match Log'!$C$4:$C$810=$A104)),'Match Log'!$AB$4:$AB$810),"")</f>
        <v/>
      </c>
      <c r="O104" s="87" t="str">
        <f>IFERROR(LOOKUP(2,1/(('Match Log'!$D$4:$D$810=O$90)*('Match Log'!$C$4:$C$810=$A104)),'Match Log'!$AB$4:$AB$810),"")</f>
        <v/>
      </c>
      <c r="P104" s="84" t="str">
        <f t="shared" si="23"/>
        <v>Chase</v>
      </c>
    </row>
    <row r="105" spans="1:16" ht="15" customHeight="1" x14ac:dyDescent="0.2">
      <c r="A105" s="81" t="s">
        <v>209</v>
      </c>
      <c r="B105" s="87" t="str">
        <f>IFERROR(LOOKUP(2,1/(('Match Log'!$D$4:$D$810=B$90)*('Match Log'!$C$4:$C$810=$A105)),'Match Log'!$AB$4:$AB$810),"")</f>
        <v/>
      </c>
      <c r="C105" s="87" t="str">
        <f>IFERROR(LOOKUP(2,1/(('Match Log'!$D$4:$D$810=C$90)*('Match Log'!$C$4:$C$810=$A105)),'Match Log'!$AB$4:$AB$810),"")</f>
        <v/>
      </c>
      <c r="D105" s="87" t="str">
        <f>IFERROR(LOOKUP(2,1/(('Match Log'!$D$4:$D$810=D$90)*('Match Log'!$C$4:$C$810=$A105)),'Match Log'!$AB$4:$AB$810),"")</f>
        <v/>
      </c>
      <c r="E105" s="87" t="str">
        <f>IFERROR(LOOKUP(2,1/(('Match Log'!$D$4:$D$810=E$90)*('Match Log'!$C$4:$C$810=$A105)),'Match Log'!$AB$4:$AB$810),"")</f>
        <v/>
      </c>
      <c r="F105" s="87" t="str">
        <f>IFERROR(LOOKUP(2,1/(('Match Log'!$D$4:$D$810=F$90)*('Match Log'!$C$4:$C$810=$A105)),'Match Log'!$AB$4:$AB$810),"")</f>
        <v/>
      </c>
      <c r="G105" s="87" t="str">
        <f>IFERROR(LOOKUP(2,1/(('Match Log'!$D$4:$D$810=G$90)*('Match Log'!$C$4:$C$810=$A105)),'Match Log'!$AB$4:$AB$810),"")</f>
        <v/>
      </c>
      <c r="H105" s="87" t="str">
        <f>IFERROR(LOOKUP(2,1/(('Match Log'!$D$4:$D$810=H$90)*('Match Log'!$C$4:$C$810=$A105)),'Match Log'!$AB$4:$AB$810),"")</f>
        <v/>
      </c>
      <c r="I105" s="87" t="str">
        <f>IFERROR(LOOKUP(2,1/(('Match Log'!$D$4:$D$810=I$90)*('Match Log'!$C$4:$C$810=$A105)),'Match Log'!$AB$4:$AB$810),"")</f>
        <v/>
      </c>
      <c r="J105" s="87" t="str">
        <f>IFERROR(LOOKUP(2,1/(('Match Log'!$D$4:$D$810=J$90)*('Match Log'!$C$4:$C$810=$A105)),'Match Log'!$AB$4:$AB$810),"")</f>
        <v/>
      </c>
      <c r="K105" s="87" t="str">
        <f>IFERROR(LOOKUP(2,1/(('Match Log'!$D$4:$D$810=K$90)*('Match Log'!$C$4:$C$810=$A105)),'Match Log'!$AB$4:$AB$810),"")</f>
        <v/>
      </c>
      <c r="L105" s="87" t="str">
        <f>IFERROR(LOOKUP(2,1/(('Match Log'!$D$4:$D$810=L$90)*('Match Log'!$C$4:$C$810=$A105)),'Match Log'!$AB$4:$AB$810),"")</f>
        <v/>
      </c>
      <c r="M105" s="87" t="str">
        <f>IFERROR(LOOKUP(2,1/(('Match Log'!$D$4:$D$810=M$90)*('Match Log'!$C$4:$C$810=$A105)),'Match Log'!$AB$4:$AB$810),"")</f>
        <v/>
      </c>
      <c r="N105" s="87" t="str">
        <f>IFERROR(LOOKUP(2,1/(('Match Log'!$D$4:$D$810=N$90)*('Match Log'!$C$4:$C$810=$A105)),'Match Log'!$AB$4:$AB$810),"")</f>
        <v/>
      </c>
      <c r="O105" s="87" t="str">
        <f>IFERROR(LOOKUP(2,1/(('Match Log'!$D$4:$D$810=O$90)*('Match Log'!$C$4:$C$810=$A105)),'Match Log'!$AB$4:$AB$810),"")</f>
        <v/>
      </c>
      <c r="P105" s="84" t="str">
        <f t="shared" si="23"/>
        <v>—</v>
      </c>
    </row>
    <row r="106" spans="1:16" ht="15" customHeight="1" x14ac:dyDescent="0.2">
      <c r="A106" s="81" t="s">
        <v>211</v>
      </c>
      <c r="B106" s="87">
        <f>IFERROR(LOOKUP(2,1/(('Match Log'!$D$4:$D$810=B$90)*('Match Log'!$C$4:$C$810=$A106)),'Match Log'!$AB$4:$AB$810),"")</f>
        <v>1000.0339081301692</v>
      </c>
      <c r="C106" s="87" t="str">
        <f>IFERROR(LOOKUP(2,1/(('Match Log'!$D$4:$D$810=C$90)*('Match Log'!$C$4:$C$810=$A106)),'Match Log'!$AB$4:$AB$810),"")</f>
        <v/>
      </c>
      <c r="D106" s="87">
        <f>IFERROR(LOOKUP(2,1/(('Match Log'!$D$4:$D$810=D$90)*('Match Log'!$C$4:$C$810=$A106)),'Match Log'!$AB$4:$AB$810),"")</f>
        <v>968.70239866335282</v>
      </c>
      <c r="E106" s="87" t="str">
        <f>IFERROR(LOOKUP(2,1/(('Match Log'!$D$4:$D$810=E$90)*('Match Log'!$C$4:$C$810=$A106)),'Match Log'!$AB$4:$AB$810),"")</f>
        <v/>
      </c>
      <c r="F106" s="87" t="str">
        <f>IFERROR(LOOKUP(2,1/(('Match Log'!$D$4:$D$810=F$90)*('Match Log'!$C$4:$C$810=$A106)),'Match Log'!$AB$4:$AB$810),"")</f>
        <v/>
      </c>
      <c r="G106" s="87" t="str">
        <f>IFERROR(LOOKUP(2,1/(('Match Log'!$D$4:$D$810=G$90)*('Match Log'!$C$4:$C$810=$A106)),'Match Log'!$AB$4:$AB$810),"")</f>
        <v/>
      </c>
      <c r="H106" s="87" t="str">
        <f>IFERROR(LOOKUP(2,1/(('Match Log'!$D$4:$D$810=H$90)*('Match Log'!$C$4:$C$810=$A106)),'Match Log'!$AB$4:$AB$810),"")</f>
        <v/>
      </c>
      <c r="I106" s="87">
        <f>IFERROR(LOOKUP(2,1/(('Match Log'!$D$4:$D$810=I$90)*('Match Log'!$C$4:$C$810=$A106)),'Match Log'!$AB$4:$AB$810),"")</f>
        <v>1031.2636932064779</v>
      </c>
      <c r="J106" s="87" t="str">
        <f>IFERROR(LOOKUP(2,1/(('Match Log'!$D$4:$D$810=J$90)*('Match Log'!$C$4:$C$810=$A106)),'Match Log'!$AB$4:$AB$810),"")</f>
        <v/>
      </c>
      <c r="K106" s="87" t="str">
        <f>IFERROR(LOOKUP(2,1/(('Match Log'!$D$4:$D$810=K$90)*('Match Log'!$C$4:$C$810=$A106)),'Match Log'!$AB$4:$AB$810),"")</f>
        <v/>
      </c>
      <c r="L106" s="87" t="str">
        <f>IFERROR(LOOKUP(2,1/(('Match Log'!$D$4:$D$810=L$90)*('Match Log'!$C$4:$C$810=$A106)),'Match Log'!$AB$4:$AB$810),"")</f>
        <v/>
      </c>
      <c r="M106" s="87" t="str">
        <f>IFERROR(LOOKUP(2,1/(('Match Log'!$D$4:$D$810=M$90)*('Match Log'!$C$4:$C$810=$A106)),'Match Log'!$AB$4:$AB$810),"")</f>
        <v/>
      </c>
      <c r="N106" s="87" t="str">
        <f>IFERROR(LOOKUP(2,1/(('Match Log'!$D$4:$D$810=N$90)*('Match Log'!$C$4:$C$810=$A106)),'Match Log'!$AB$4:$AB$810),"")</f>
        <v/>
      </c>
      <c r="O106" s="87" t="str">
        <f>IFERROR(LOOKUP(2,1/(('Match Log'!$D$4:$D$810=O$90)*('Match Log'!$C$4:$C$810=$A106)),'Match Log'!$AB$4:$AB$810),"")</f>
        <v/>
      </c>
      <c r="P106" s="84" t="str">
        <f t="shared" si="23"/>
        <v>Daniel (Ferret)</v>
      </c>
    </row>
    <row r="107" spans="1:16" ht="15" customHeight="1" x14ac:dyDescent="0.2">
      <c r="A107" s="81" t="s">
        <v>212</v>
      </c>
      <c r="B107" s="87" t="str">
        <f>IFERROR(LOOKUP(2,1/(('Match Log'!$D$4:$D$810=B$90)*('Match Log'!$C$4:$C$810=$A107)),'Match Log'!$AB$4:$AB$810),"")</f>
        <v/>
      </c>
      <c r="C107" s="87" t="str">
        <f>IFERROR(LOOKUP(2,1/(('Match Log'!$D$4:$D$810=C$90)*('Match Log'!$C$4:$C$810=$A107)),'Match Log'!$AB$4:$AB$810),"")</f>
        <v/>
      </c>
      <c r="D107" s="87">
        <f>IFERROR(LOOKUP(2,1/(('Match Log'!$D$4:$D$810=D$90)*('Match Log'!$C$4:$C$810=$A107)),'Match Log'!$AB$4:$AB$810),"")</f>
        <v>992</v>
      </c>
      <c r="E107" s="87" t="str">
        <f>IFERROR(LOOKUP(2,1/(('Match Log'!$D$4:$D$810=E$90)*('Match Log'!$C$4:$C$810=$A107)),'Match Log'!$AB$4:$AB$810),"")</f>
        <v/>
      </c>
      <c r="F107" s="87">
        <f>IFERROR(LOOKUP(2,1/(('Match Log'!$D$4:$D$810=F$90)*('Match Log'!$C$4:$C$810=$A107)),'Match Log'!$AB$4:$AB$810),"")</f>
        <v>1016</v>
      </c>
      <c r="G107" s="87" t="str">
        <f>IFERROR(LOOKUP(2,1/(('Match Log'!$D$4:$D$810=G$90)*('Match Log'!$C$4:$C$810=$A107)),'Match Log'!$AB$4:$AB$810),"")</f>
        <v/>
      </c>
      <c r="H107" s="87" t="str">
        <f>IFERROR(LOOKUP(2,1/(('Match Log'!$D$4:$D$810=H$90)*('Match Log'!$C$4:$C$810=$A107)),'Match Log'!$AB$4:$AB$810),"")</f>
        <v/>
      </c>
      <c r="I107" s="87">
        <f>IFERROR(LOOKUP(2,1/(('Match Log'!$D$4:$D$810=I$90)*('Match Log'!$C$4:$C$810=$A107)),'Match Log'!$AB$4:$AB$810),"")</f>
        <v>992</v>
      </c>
      <c r="J107" s="87" t="str">
        <f>IFERROR(LOOKUP(2,1/(('Match Log'!$D$4:$D$810=J$90)*('Match Log'!$C$4:$C$810=$A107)),'Match Log'!$AB$4:$AB$810),"")</f>
        <v/>
      </c>
      <c r="K107" s="87" t="str">
        <f>IFERROR(LOOKUP(2,1/(('Match Log'!$D$4:$D$810=K$90)*('Match Log'!$C$4:$C$810=$A107)),'Match Log'!$AB$4:$AB$810),"")</f>
        <v/>
      </c>
      <c r="L107" s="87" t="str">
        <f>IFERROR(LOOKUP(2,1/(('Match Log'!$D$4:$D$810=L$90)*('Match Log'!$C$4:$C$810=$A107)),'Match Log'!$AB$4:$AB$810),"")</f>
        <v/>
      </c>
      <c r="M107" s="87" t="str">
        <f>IFERROR(LOOKUP(2,1/(('Match Log'!$D$4:$D$810=M$90)*('Match Log'!$C$4:$C$810=$A107)),'Match Log'!$AB$4:$AB$810),"")</f>
        <v/>
      </c>
      <c r="N107" s="87" t="str">
        <f>IFERROR(LOOKUP(2,1/(('Match Log'!$D$4:$D$810=N$90)*('Match Log'!$C$4:$C$810=$A107)),'Match Log'!$AB$4:$AB$810),"")</f>
        <v/>
      </c>
      <c r="O107" s="87" t="str">
        <f>IFERROR(LOOKUP(2,1/(('Match Log'!$D$4:$D$810=O$90)*('Match Log'!$C$4:$C$810=$A107)),'Match Log'!$AB$4:$AB$810),"")</f>
        <v/>
      </c>
      <c r="P107" s="84" t="str">
        <f t="shared" si="23"/>
        <v>Josh</v>
      </c>
    </row>
    <row r="108" spans="1:16" ht="15" customHeight="1" x14ac:dyDescent="0.2">
      <c r="A108" s="81" t="s">
        <v>214</v>
      </c>
      <c r="B108" s="87">
        <f>IFERROR(LOOKUP(2,1/(('Match Log'!$D$4:$D$810=B$90)*('Match Log'!$C$4:$C$810=$A108)),'Match Log'!$AB$4:$AB$810),"")</f>
        <v>965.94883287862285</v>
      </c>
      <c r="C108" s="87">
        <f>IFERROR(LOOKUP(2,1/(('Match Log'!$D$4:$D$810=C$90)*('Match Log'!$C$4:$C$810=$A108)),'Match Log'!$AB$4:$AB$810),"")</f>
        <v>1021.3645876209866</v>
      </c>
      <c r="D108" s="87">
        <f>IFERROR(LOOKUP(2,1/(('Match Log'!$D$4:$D$810=D$90)*('Match Log'!$C$4:$C$810=$A108)),'Match Log'!$AB$4:$AB$810),"")</f>
        <v>1015.263693206478</v>
      </c>
      <c r="E108" s="87">
        <f>IFERROR(LOOKUP(2,1/(('Match Log'!$D$4:$D$810=E$90)*('Match Log'!$C$4:$C$810=$A108)),'Match Log'!$AB$4:$AB$810),"")</f>
        <v>995.72748489903177</v>
      </c>
      <c r="F108" s="87">
        <f>IFERROR(LOOKUP(2,1/(('Match Log'!$D$4:$D$810=F$90)*('Match Log'!$C$4:$C$810=$A108)),'Match Log'!$AB$4:$AB$810),"")</f>
        <v>980.52721563547436</v>
      </c>
      <c r="G108" s="87">
        <f>IFERROR(LOOKUP(2,1/(('Match Log'!$D$4:$D$810=G$90)*('Match Log'!$C$4:$C$810=$A108)),'Match Log'!$AB$4:$AB$810),"")</f>
        <v>994.87575697010811</v>
      </c>
      <c r="H108" s="87">
        <f>IFERROR(LOOKUP(2,1/(('Match Log'!$D$4:$D$810=H$90)*('Match Log'!$C$4:$C$810=$A108)),'Match Log'!$AB$4:$AB$810),"")</f>
        <v>1060.1693378874229</v>
      </c>
      <c r="I108" s="87">
        <f>IFERROR(LOOKUP(2,1/(('Match Log'!$D$4:$D$810=I$90)*('Match Log'!$C$4:$C$810=$A108)),'Match Log'!$AB$4:$AB$810),"")</f>
        <v>993.32139176969508</v>
      </c>
      <c r="J108" s="87">
        <f>IFERROR(LOOKUP(2,1/(('Match Log'!$D$4:$D$810=J$90)*('Match Log'!$C$4:$C$810=$A108)),'Match Log'!$AB$4:$AB$810),"")</f>
        <v>1039.1570131462133</v>
      </c>
      <c r="K108" s="87">
        <f>IFERROR(LOOKUP(2,1/(('Match Log'!$D$4:$D$810=K$90)*('Match Log'!$C$4:$C$810=$A108)),'Match Log'!$AB$4:$AB$810),"")</f>
        <v>977.68101586373621</v>
      </c>
      <c r="L108" s="87">
        <f>IFERROR(LOOKUP(2,1/(('Match Log'!$D$4:$D$810=L$90)*('Match Log'!$C$4:$C$810=$A108)),'Match Log'!$AB$4:$AB$810),"")</f>
        <v>959.92547606336859</v>
      </c>
      <c r="M108" s="87">
        <f>IFERROR(LOOKUP(2,1/(('Match Log'!$D$4:$D$810=M$90)*('Match Log'!$C$4:$C$810=$A108)),'Match Log'!$AB$4:$AB$810),"")</f>
        <v>995.72748489903177</v>
      </c>
      <c r="N108" s="87">
        <f>IFERROR(LOOKUP(2,1/(('Match Log'!$D$4:$D$810=N$90)*('Match Log'!$C$4:$C$810=$A108)),'Match Log'!$AB$4:$AB$810),"")</f>
        <v>1000.3107091598305</v>
      </c>
      <c r="O108" s="87" t="str">
        <f>IFERROR(LOOKUP(2,1/(('Match Log'!$D$4:$D$810=O$90)*('Match Log'!$C$4:$C$810=$A108)),'Match Log'!$AB$4:$AB$810),"")</f>
        <v/>
      </c>
      <c r="P108" s="84" t="str">
        <f t="shared" si="23"/>
        <v>Simon</v>
      </c>
    </row>
    <row r="109" spans="1:16" ht="15" customHeight="1" x14ac:dyDescent="0.2">
      <c r="A109" s="81" t="s">
        <v>216</v>
      </c>
      <c r="B109" s="87" t="str">
        <f>IFERROR(LOOKUP(2,1/(('Match Log'!$D$4:$D$810=B$90)*('Match Log'!$C$4:$C$810=$A109)),'Match Log'!$AB$4:$AB$810),"")</f>
        <v/>
      </c>
      <c r="C109" s="87" t="str">
        <f>IFERROR(LOOKUP(2,1/(('Match Log'!$D$4:$D$810=C$90)*('Match Log'!$C$4:$C$810=$A109)),'Match Log'!$AB$4:$AB$810),"")</f>
        <v/>
      </c>
      <c r="D109" s="87" t="str">
        <f>IFERROR(LOOKUP(2,1/(('Match Log'!$D$4:$D$810=D$90)*('Match Log'!$C$4:$C$810=$A109)),'Match Log'!$AB$4:$AB$810),"")</f>
        <v/>
      </c>
      <c r="E109" s="87" t="str">
        <f>IFERROR(LOOKUP(2,1/(('Match Log'!$D$4:$D$810=E$90)*('Match Log'!$C$4:$C$810=$A109)),'Match Log'!$AB$4:$AB$810),"")</f>
        <v/>
      </c>
      <c r="F109" s="87">
        <f>IFERROR(LOOKUP(2,1/(('Match Log'!$D$4:$D$810=F$90)*('Match Log'!$C$4:$C$810=$A109)),'Match Log'!$AB$4:$AB$810),"")</f>
        <v>1005.3331712136038</v>
      </c>
      <c r="G109" s="87" t="str">
        <f>IFERROR(LOOKUP(2,1/(('Match Log'!$D$4:$D$810=G$90)*('Match Log'!$C$4:$C$810=$A109)),'Match Log'!$AB$4:$AB$810),"")</f>
        <v/>
      </c>
      <c r="H109" s="87" t="str">
        <f>IFERROR(LOOKUP(2,1/(('Match Log'!$D$4:$D$810=H$90)*('Match Log'!$C$4:$C$810=$A109)),'Match Log'!$AB$4:$AB$810),"")</f>
        <v/>
      </c>
      <c r="I109" s="87">
        <f>IFERROR(LOOKUP(2,1/(('Match Log'!$D$4:$D$810=I$90)*('Match Log'!$C$4:$C$810=$A109)),'Match Log'!$AB$4:$AB$810),"")</f>
        <v>994.66682878639608</v>
      </c>
      <c r="J109" s="87" t="str">
        <f>IFERROR(LOOKUP(2,1/(('Match Log'!$D$4:$D$810=J$90)*('Match Log'!$C$4:$C$810=$A109)),'Match Log'!$AB$4:$AB$810),"")</f>
        <v/>
      </c>
      <c r="K109" s="87" t="str">
        <f>IFERROR(LOOKUP(2,1/(('Match Log'!$D$4:$D$810=K$90)*('Match Log'!$C$4:$C$810=$A109)),'Match Log'!$AB$4:$AB$810),"")</f>
        <v/>
      </c>
      <c r="L109" s="87" t="str">
        <f>IFERROR(LOOKUP(2,1/(('Match Log'!$D$4:$D$810=L$90)*('Match Log'!$C$4:$C$810=$A109)),'Match Log'!$AB$4:$AB$810),"")</f>
        <v/>
      </c>
      <c r="M109" s="87" t="str">
        <f>IFERROR(LOOKUP(2,1/(('Match Log'!$D$4:$D$810=M$90)*('Match Log'!$C$4:$C$810=$A109)),'Match Log'!$AB$4:$AB$810),"")</f>
        <v/>
      </c>
      <c r="N109" s="87" t="str">
        <f>IFERROR(LOOKUP(2,1/(('Match Log'!$D$4:$D$810=N$90)*('Match Log'!$C$4:$C$810=$A109)),'Match Log'!$AB$4:$AB$810),"")</f>
        <v/>
      </c>
      <c r="O109" s="87" t="str">
        <f>IFERROR(LOOKUP(2,1/(('Match Log'!$D$4:$D$810=O$90)*('Match Log'!$C$4:$C$810=$A109)),'Match Log'!$AB$4:$AB$810),"")</f>
        <v/>
      </c>
      <c r="P109" s="84" t="str">
        <f t="shared" si="23"/>
        <v>Josh</v>
      </c>
    </row>
    <row r="110">
      <c r="A110" s="81" t="inlineStr">
        <is>
          <t>HORSE - Basketball</t>
        </is>
      </c>
      <c r="B110" s="87" t="str">
        <f>IFERROR(LOOKUP(2,1/(('Match Log'!$D$4:$D$810=B$90)*('Match Log'!$C$4:$C$810=$A110)),'Match Log'!$AB$4:$AB$810),"")</f>
      </c>
      <c r="C110" s="87" t="str">
        <f>IFERROR(LOOKUP(2,1/(('Match Log'!$D$4:$D$810=C$90)*('Match Log'!$C$4:$C$810=$A110)),'Match Log'!$AB$4:$AB$810),"")</f>
      </c>
      <c r="D110" s="87" t="str">
        <f>IFERROR(LOOKUP(2,1/(('Match Log'!$D$4:$D$810=D$90)*('Match Log'!$C$4:$C$810=$A110)),'Match Log'!$AB$4:$AB$810),"")</f>
      </c>
      <c r="E110" s="87" t="str">
        <f>IFERROR(LOOKUP(2,1/(('Match Log'!$D$4:$D$810=E$90)*('Match Log'!$C$4:$C$810=$A110)),'Match Log'!$AB$4:$AB$810),"")</f>
      </c>
      <c r="F110" s="87" t="str">
        <f>IFERROR(LOOKUP(2,1/(('Match Log'!$D$4:$D$810=F$90)*('Match Log'!$C$4:$C$810=$A110)),'Match Log'!$AB$4:$AB$810),"")</f>
      </c>
      <c r="G110" s="87" t="str">
        <f>IFERROR(LOOKUP(2,1/(('Match Log'!$D$4:$D$810=G$90)*('Match Log'!$C$4:$C$810=$A110)),'Match Log'!$AB$4:$AB$810),"")</f>
      </c>
      <c r="H110" s="87" t="str">
        <f>IFERROR(LOOKUP(2,1/(('Match Log'!$D$4:$D$810=H$90)*('Match Log'!$C$4:$C$810=$A110)),'Match Log'!$AB$4:$AB$810),"")</f>
      </c>
      <c r="I110" s="87" t="str">
        <f>IFERROR(LOOKUP(2,1/(('Match Log'!$D$4:$D$810=I$90)*('Match Log'!$C$4:$C$810=$A110)),'Match Log'!$AB$4:$AB$810),"")</f>
      </c>
      <c r="J110" s="87" t="str">
        <f>IFERROR(LOOKUP(2,1/(('Match Log'!$D$4:$D$810=J$90)*('Match Log'!$C$4:$C$810=$A110)),'Match Log'!$AB$4:$AB$810),"")</f>
      </c>
      <c r="K110" s="87" t="str">
        <f>IFERROR(LOOKUP(2,1/(('Match Log'!$D$4:$D$810=K$90)*('Match Log'!$C$4:$C$810=$A110)),'Match Log'!$AB$4:$AB$810),"")</f>
      </c>
      <c r="L110" s="87" t="str">
        <f>IFERROR(LOOKUP(2,1/(('Match Log'!$D$4:$D$810=L$90)*('Match Log'!$C$4:$C$810=$A110)),'Match Log'!$AB$4:$AB$810),"")</f>
      </c>
      <c r="M110" s="87" t="str">
        <f>IFERROR(LOOKUP(2,1/(('Match Log'!$D$4:$D$810=M$90)*('Match Log'!$C$4:$C$810=$A110)),'Match Log'!$AB$4:$AB$810),"")</f>
      </c>
      <c r="N110" s="87" t="str">
        <f>IFERROR(LOOKUP(2,1/(('Match Log'!$D$4:$D$810=N$90)*('Match Log'!$C$4:$C$810=$A110)),'Match Log'!$AB$4:$AB$810),"")</f>
      </c>
      <c r="O110" s="87" t="str">
        <f>IFERROR(LOOKUP(2,1/(('Match Log'!$D$4:$D$810=O$90)*('Match Log'!$C$4:$C$810=$A110)),'Match Log'!$AB$4:$AB$810),"")</f>
      </c>
      <c r="P110" s="84"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IFERROR(INDEX(Calcs!$D$25:$D$444,MATCH(LARGE(Calcs!$I$25:$I$444,1),Calcs!$I$25:$I$444,0)),"")</f>
        <v>Daniel (Ferret)</v>
      </c>
      <c r="C6" s="90" t="str">
        <f>IFERROR(INDEX(Calcs!$H$25:$H$444,MATCH(LARGE(Calcs!$I$25:$I$444,1),Calcs!$I$25:$I$444,0)),"")</f>
        <v>Shawn</v>
      </c>
      <c r="D6" s="90" t="str">
        <f>IFERROR(INDEX(Calcs!$C$25:$C$444,MATCH(LARGE(Calcs!$I$25:$I$444,1),Calcs!$I$25:$I$444,0)),"")</f>
        <v>FIFA</v>
      </c>
      <c r="E6" s="90" t="str">
        <f>IFERROR(TEXT(INDEX(Calcs!$F$25:$F$444,MATCH(LARGE(Calcs!$I$25:$I$444,1),Calcs!$I$25:$I$444,0)),"0%"),"")</f>
        <v>20%</v>
      </c>
      <c r="F6" s="90" t="str">
        <f>IFERROR(TEXT(INDEX(Calcs!$B$25:$B$444,MATCH(LARGE(Calcs!$I$25:$I$444,1),Calcs!$I$25:$I$444,0)),"d mmm"),"")</f>
        <v>30 May</v>
      </c>
    </row>
    <row r="7" spans="1:6" ht="15" customHeight="1" x14ac:dyDescent="0.2">
      <c r="A7" s="65">
        <v>2</v>
      </c>
      <c r="B7" s="39" t="str">
        <f>IFERROR(INDEX(Calcs!$D$25:$D$444,MATCH(LARGE(Calcs!$I$25:$I$444,2),Calcs!$I$25:$I$444,0)),"")</f>
        <v>Daniel (Ferret)</v>
      </c>
      <c r="C7" s="39" t="str">
        <f>IFERROR(INDEX(Calcs!$H$25:$H$444,MATCH(LARGE(Calcs!$I$25:$I$444,2),Calcs!$I$25:$I$444,0)),"")</f>
        <v>Oscar</v>
      </c>
      <c r="D7" s="39" t="str">
        <f>IFERROR(INDEX(Calcs!$C$25:$C$444,MATCH(LARGE(Calcs!$I$25:$I$444,2),Calcs!$I$25:$I$444,0)),"")</f>
        <v>Mario Kart</v>
      </c>
      <c r="E7" s="39" t="str">
        <f>IFERROR(TEXT(INDEX(Calcs!$F$25:$F$444,MATCH(LARGE(Calcs!$I$25:$I$444,2),Calcs!$I$25:$I$444,0)),"0%"),"")</f>
        <v>25%</v>
      </c>
      <c r="F7" s="39" t="str">
        <f>IFERROR(TEXT(INDEX(Calcs!$B$25:$B$444,MATCH(LARGE(Calcs!$I$25:$I$444,2),Calcs!$I$25:$I$444,0)),"d mmm"),"")</f>
        <v>3 Jun</v>
      </c>
    </row>
    <row r="8" spans="1:6" ht="15" customHeight="1" x14ac:dyDescent="0.2">
      <c r="A8" s="61">
        <v>3</v>
      </c>
      <c r="B8" s="36" t="str">
        <f>IFERROR(INDEX(Calcs!$D$25:$D$444,MATCH(LARGE(Calcs!$I$25:$I$444,3),Calcs!$I$25:$I$444,0)),"")</f>
        <v>Josh</v>
      </c>
      <c r="C8" s="36" t="str">
        <f>IFERROR(INDEX(Calcs!$H$25:$H$444,MATCH(LARGE(Calcs!$I$25:$I$444,3),Calcs!$I$25:$I$444,0)),"")</f>
        <v>Daniel (Ferret)</v>
      </c>
      <c r="D8" s="36" t="str">
        <f>IFERROR(INDEX(Calcs!$C$25:$C$444,MATCH(LARGE(Calcs!$I$25:$I$444,3),Calcs!$I$25:$I$444,0)),"")</f>
        <v>Mario Golf</v>
      </c>
      <c r="E8" s="36" t="str">
        <f>IFERROR(TEXT(INDEX(Calcs!$F$25:$F$444,MATCH(LARGE(Calcs!$I$25:$I$444,3),Calcs!$I$25:$I$444,0)),"0%"),"")</f>
        <v>25%</v>
      </c>
      <c r="F8" s="36" t="str">
        <f>IFERROR(TEXT(INDEX(Calcs!$B$25:$B$444,MATCH(LARGE(Calcs!$I$25:$I$444,3),Calcs!$I$25:$I$444,0)),"d mmm"),"")</f>
        <v>26 Jun</v>
      </c>
    </row>
    <row r="9" spans="1:6" ht="15" customHeight="1" x14ac:dyDescent="0.2">
      <c r="A9" s="65">
        <v>4</v>
      </c>
      <c r="B9" s="39" t="str">
        <f>IFERROR(INDEX(Calcs!$D$25:$D$444,MATCH(LARGE(Calcs!$I$25:$I$444,4),Calcs!$I$25:$I$444,0)),"")</f>
        <v>Dean B</v>
      </c>
      <c r="C9" s="39" t="str">
        <f>IFERROR(INDEX(Calcs!$H$25:$H$444,MATCH(LARGE(Calcs!$I$25:$I$444,4),Calcs!$I$25:$I$444,0)),"")</f>
        <v>Josh</v>
      </c>
      <c r="D9" s="39" t="str">
        <f>IFERROR(INDEX(Calcs!$C$25:$C$444,MATCH(LARGE(Calcs!$I$25:$I$444,4),Calcs!$I$25:$I$444,0)),"")</f>
        <v>Table Tennis</v>
      </c>
      <c r="E9" s="39" t="str">
        <f>IFERROR(TEXT(INDEX(Calcs!$F$25:$F$444,MATCH(LARGE(Calcs!$I$25:$I$444,4),Calcs!$I$25:$I$444,0)),"0%"),"")</f>
        <v>27%</v>
      </c>
      <c r="F9" s="39" t="str">
        <f>IFERROR(TEXT(INDEX(Calcs!$B$25:$B$444,MATCH(LARGE(Calcs!$I$25:$I$444,4),Calcs!$I$25:$I$444,0)),"d mmm"),"")</f>
        <v>3 Jun</v>
      </c>
    </row>
    <row r="10" spans="1:6" ht="15" customHeight="1" x14ac:dyDescent="0.2">
      <c r="A10" s="61">
        <v>5</v>
      </c>
      <c r="B10" s="36" t="str">
        <f>IFERROR(INDEX(Calcs!$D$25:$D$444,MATCH(LARGE(Calcs!$I$25:$I$444,5),Calcs!$I$25:$I$444,0)),"")</f>
        <v>Daniel (Ferret)</v>
      </c>
      <c r="C10" s="36" t="str">
        <f>IFERROR(INDEX(Calcs!$H$25:$H$444,MATCH(LARGE(Calcs!$I$25:$I$444,5),Calcs!$I$25:$I$444,0)),"")</f>
        <v>Shawn</v>
      </c>
      <c r="D10" s="36" t="str">
        <f>IFERROR(INDEX(Calcs!$C$25:$C$444,MATCH(LARGE(Calcs!$I$25:$I$444,5),Calcs!$I$25:$I$444,0)),"")</f>
        <v>FIFA</v>
      </c>
      <c r="E10" s="36" t="str">
        <f>IFERROR(TEXT(INDEX(Calcs!$F$25:$F$444,MATCH(LARGE(Calcs!$I$25:$I$444,5),Calcs!$I$25:$I$444,0)),"0%"),"")</f>
        <v>29%</v>
      </c>
      <c r="F10" s="36" t="str">
        <f>IFERROR(TEXT(INDEX(Calcs!$B$25:$B$444,MATCH(LARGE(Calcs!$I$25:$I$444,5),Calcs!$I$25:$I$444,0)),"d mmm"),"")</f>
        <v>31 May</v>
      </c>
    </row>
    <row r="11" spans="1:6" ht="15" customHeight="1" x14ac:dyDescent="0.2">
      <c r="A11" s="65">
        <v>6</v>
      </c>
      <c r="B11" s="39" t="str">
        <f>IFERROR(INDEX(Calcs!$D$25:$D$444,MATCH(LARGE(Calcs!$I$25:$I$444,6),Calcs!$I$25:$I$444,0)),"")</f>
        <v>Oscar</v>
      </c>
      <c r="C11" s="39" t="str">
        <f>IFERROR(INDEX(Calcs!$H$25:$H$444,MATCH(LARGE(Calcs!$I$25:$I$444,6),Calcs!$I$25:$I$444,0)),"")</f>
        <v>Dean B</v>
      </c>
      <c r="D11" s="39" t="str">
        <f>IFERROR(INDEX(Calcs!$C$25:$C$444,MATCH(LARGE(Calcs!$I$25:$I$444,6),Calcs!$I$25:$I$444,0)),"")</f>
        <v>Pool</v>
      </c>
      <c r="E11" s="39" t="str">
        <f>IFERROR(TEXT(INDEX(Calcs!$F$25:$F$444,MATCH(LARGE(Calcs!$I$25:$I$444,6),Calcs!$I$25:$I$444,0)),"0%"),"")</f>
        <v>29%</v>
      </c>
      <c r="F11" s="39" t="str">
        <f>IFERROR(TEXT(INDEX(Calcs!$B$25:$B$444,MATCH(LARGE(Calcs!$I$25:$I$444,6),Calcs!$I$25:$I$444,0)),"d mmm"),"")</f>
        <v>4 Jun</v>
      </c>
    </row>
    <row r="12" spans="1:6" ht="15" customHeight="1" x14ac:dyDescent="0.2">
      <c r="A12" s="61">
        <v>7</v>
      </c>
      <c r="B12" s="36" t="str">
        <f>IFERROR(INDEX(Calcs!$D$25:$D$444,MATCH(LARGE(Calcs!$I$25:$I$444,7),Calcs!$I$25:$I$444,0)),"")</f>
        <v>Oscar</v>
      </c>
      <c r="C12" s="36" t="str">
        <f>IFERROR(INDEX(Calcs!$H$25:$H$444,MATCH(LARGE(Calcs!$I$25:$I$444,7),Calcs!$I$25:$I$444,0)),"")</f>
        <v>Josh</v>
      </c>
      <c r="D12" s="36" t="str">
        <f>IFERROR(INDEX(Calcs!$C$25:$C$444,MATCH(LARGE(Calcs!$I$25:$I$444,7),Calcs!$I$25:$I$444,0)),"")</f>
        <v>Table Tennis</v>
      </c>
      <c r="E12" s="36" t="str">
        <f>IFERROR(TEXT(INDEX(Calcs!$F$25:$F$444,MATCH(LARGE(Calcs!$I$25:$I$444,7),Calcs!$I$25:$I$444,0)),"0%"),"")</f>
        <v>31%</v>
      </c>
      <c r="F12" s="36" t="str">
        <f>IFERROR(TEXT(INDEX(Calcs!$B$25:$B$444,MATCH(LARGE(Calcs!$I$25:$I$444,7),Calcs!$I$25:$I$444,0)),"d mmm"),"")</f>
        <v>3 Jun</v>
      </c>
    </row>
    <row r="13" spans="1:6" ht="15" customHeight="1" x14ac:dyDescent="0.2">
      <c r="A13" s="65">
        <v>8</v>
      </c>
      <c r="B13" s="39" t="str">
        <f>IFERROR(INDEX(Calcs!$D$25:$D$444,MATCH(LARGE(Calcs!$I$25:$I$444,8),Calcs!$I$25:$I$444,0)),"")</f>
        <v>Daniel (Ferret)</v>
      </c>
      <c r="C13" s="39" t="str">
        <f>IFERROR(INDEX(Calcs!$H$25:$H$444,MATCH(LARGE(Calcs!$I$25:$I$444,8),Calcs!$I$25:$I$444,0)),"")</f>
        <v>David</v>
      </c>
      <c r="D13" s="39" t="str">
        <f>IFERROR(INDEX(Calcs!$C$25:$C$444,MATCH(LARGE(Calcs!$I$25:$I$444,8),Calcs!$I$25:$I$444,0)),"")</f>
        <v>Table Tennis</v>
      </c>
      <c r="E13" s="39" t="str">
        <f>IFERROR(TEXT(INDEX(Calcs!$F$25:$F$444,MATCH(LARGE(Calcs!$I$25:$I$444,8),Calcs!$I$25:$I$444,0)),"0%"),"")</f>
        <v>33%</v>
      </c>
      <c r="F13" s="39" t="str">
        <f>IFERROR(TEXT(INDEX(Calcs!$B$25:$B$444,MATCH(LARGE(Calcs!$I$25:$I$444,8),Calcs!$I$25:$I$444,0)),"d mmm"),"")</f>
        <v>2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Log'!$N$4:$N$810),"0")</f>
        <v>1191</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92" t="s">
        <v>256</v>
      </c>
      <c r="B18" s="39" t="str">
        <f>TEXT(MAX('Match Log'!$M$4:$M$810),"+0")</f>
        <v>+43</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91" t="s">
        <v>257</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52</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"&amp;COUNTA(Lists!$C$2:$C$21)&amp;" sports available"</f>
        <v>of 19 sports available</v>
      </c>
    </row>
    <row r="23" spans="1:8" ht="15" customHeight="1" x14ac:dyDescent="0.2">
      <c r="A23" s="91" t="s">
        <v>262</v>
      </c>
      <c r="B23" s="36" t="str">
        <f>TEXT(MAX('Sport Records'!$P$8:$P$27),"0")&amp;" games"</f>
        <v>31 games</v>
      </c>
      <c r="C23" s="36" t="str">
        <f>INDEX('Sport Records'!$A$8:$A$27,MATCH(MAX('Sport Records'!$P$8:$P$27),'Sport Records'!$P$8:$P$27,0))</f>
        <v>Table Tennis</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42 points clear of Josh.</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Cody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Shawn is surging — up 1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52 games, more than anyone.</v>
      </c>
      <c r="B10" s="98"/>
      <c r="C10" s="98"/>
      <c r="D10" s="99"/>
      <c r="E10" s="100"/>
      <c r="F10" s="98"/>
    </row>
    <row r="11" spans="1:6" ht="15" customHeight="1" x14ac:dyDescent="0.2">
      <c r="A11" s="95"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6"/>
      <c r="C11" s="96"/>
      <c r="D11" s="101"/>
      <c r="E11" s="102"/>
      <c r="F11" s="96"/>
    </row>
    <row r="12" spans="1:6" ht="15" customHeight="1" x14ac:dyDescent="0.2">
      <c r="A12" s="97" t="str">
        <f>"🎲  "&amp;MAX('Match Log'!$A$4:$A$810)&amp;" games played across "&amp;COUNTIF('Sport Records'!$P$8:$P$27,"&gt;0")&amp;" different sports — and counting."</f>
        <v>🎲  123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Josh</v>
      </c>
      <c r="C18" s="109">
        <f>ROUND(LARGE(Calcs!$B$7:$B$20,2),0)</f>
        <v>1147</v>
      </c>
      <c r="D18" s="110" t="str">
        <f>IF(2=1,"— leader —",ROUND(MAX(Calcs!$B$7:$B$20)-LARGE(Calcs!$B$7:$B$20,2),0)&amp;" behind")</f>
        <v>42 behind</v>
      </c>
      <c r="E18" s="104"/>
      <c r="F18" s="26"/>
    </row>
    <row r="19" spans="1:6" ht="15" customHeight="1" x14ac:dyDescent="0.2">
      <c r="A19" s="109">
        <v>3</v>
      </c>
      <c r="B19" s="60" t="str">
        <f>INDEX(Calcs!$A$7:$A$20,MATCH(LARGE(Calcs!$B$7:$B$20,3),Calcs!$B$7:$B$20,0))</f>
        <v>Aaron</v>
      </c>
      <c r="C19" s="109">
        <f>ROUND(LARGE(Calcs!$B$7:$B$20,3),0)</f>
        <v>1125</v>
      </c>
      <c r="D19" s="110" t="str">
        <f>IF(3=1,"— leader —",ROUND(MAX(Calcs!$B$7:$B$20)-LARGE(Calcs!$B$7:$B$20,3),0)&amp;" behind")</f>
        <v>64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Log'!$D$4:$D$810,$A23,'Match Log'!$C$4:$C$810,$D$21)</f>
        <v>3</v>
      </c>
      <c r="C23" s="36">
        <f>COUNTIFS('Match Log'!$D$4:$D$810,$A23,'Match Log'!$C$4:$C$810,$D$21,'Match Log'!$E$4:$E$810,"Win")</f>
        <v>3</v>
      </c>
      <c r="D23" s="62">
        <f t="shared" ref="D23:D36" si="0">IF($B23=0,"",$C23/$B23)</f>
        <v>1</v>
      </c>
      <c r="E23" s="63">
        <f>IFERROR(IF($B23=0,"",INDEX('Sport Records'!$B$91:$O$110,MATCH($D$21,'Sport Records'!$A$91:$A$110,0),MATCH($A23,'Sport Records'!$B$90:$O$90,0))),"")</f>
        <v>1041.6585373017128</v>
      </c>
      <c r="F23" s="36">
        <f t="shared" ref="F23:F36" si="1">IF($E23="","",RANK($E23,$E$23:$E$36))</f>
        <v>2</v>
      </c>
    </row>
    <row r="24" spans="1:6" x14ac:dyDescent="0.2">
      <c r="A24" s="65" t="s">
        <v>142</v>
      </c>
      <c r="B24" s="39">
        <f>COUNTIFS('Match Log'!$D$4:$D$810,$A24,'Match Log'!$C$4:$C$810,$D$21)</f>
        <v>0</v>
      </c>
      <c r="C24" s="39">
        <f>COUNTIFS('Match Log'!$D$4:$D$810,$A24,'Match Log'!$C$4:$C$810,$D$21,'Match Log'!$E$4:$E$810,"Win")</f>
        <v>0</v>
      </c>
      <c r="D24" s="66" t="str">
        <f t="shared" si="0"/>
        <v/>
      </c>
      <c r="E24" s="67" t="str">
        <f>IFERROR(IF($B24=0,"",INDEX('Sport Records'!$B$91:$O$110,MATCH($D$21,'Sport Records'!$A$91:$A$110,0),MATCH($A24,'Sport Records'!$B$90:$O$90,0))),"")</f>
        <v/>
      </c>
      <c r="F24" s="39" t="str">
        <f t="shared" si="1"/>
        <v/>
      </c>
    </row>
    <row r="25" spans="1:6" x14ac:dyDescent="0.2">
      <c r="A25" s="61" t="s">
        <v>180</v>
      </c>
      <c r="B25" s="36">
        <f>COUNTIFS('Match Log'!$D$4:$D$810,$A25,'Match Log'!$C$4:$C$810,$D$21)</f>
        <v>4</v>
      </c>
      <c r="C25" s="36">
        <f>COUNTIFS('Match Log'!$D$4:$D$810,$A25,'Match Log'!$C$4:$C$810,$D$21,'Match Log'!$E$4:$E$810,"Win")</f>
        <v>4</v>
      </c>
      <c r="D25" s="62">
        <f t="shared" si="0"/>
        <v>1</v>
      </c>
      <c r="E25" s="63">
        <f>IFERROR(IF($B25=0,"",INDEX('Sport Records'!$B$91:$O$110,MATCH($D$21,'Sport Records'!$A$91:$A$110,0),MATCH($A25,'Sport Records'!$B$90:$O$90,0))),"")</f>
        <v>1055.8009426289977</v>
      </c>
      <c r="F25" s="36">
        <f t="shared" si="1"/>
        <v>1</v>
      </c>
    </row>
    <row r="26" spans="1:6" x14ac:dyDescent="0.2">
      <c r="A26" s="65" t="s">
        <v>147</v>
      </c>
      <c r="B26" s="39">
        <f>COUNTIFS('Match Log'!$D$4:$D$810,$A26,'Match Log'!$C$4:$C$810,$D$21)</f>
        <v>0</v>
      </c>
      <c r="C26" s="39">
        <f>COUNTIFS('Match Log'!$D$4:$D$810,$A26,'Match Log'!$C$4:$C$810,$D$21,'Match Log'!$E$4:$E$810,"Win")</f>
        <v>0</v>
      </c>
      <c r="D26" s="66" t="str">
        <f t="shared" si="0"/>
        <v/>
      </c>
      <c r="E26" s="67" t="str">
        <f>IFERROR(IF($B26=0,"",INDEX('Sport Records'!$B$91:$O$110,MATCH($D$21,'Sport Records'!$A$91:$A$110,0),MATCH($A26,'Sport Records'!$B$90:$O$90,0))),"")</f>
        <v/>
      </c>
      <c r="F26" s="39" t="str">
        <f t="shared" si="1"/>
        <v/>
      </c>
    </row>
    <row r="27" spans="1:6" x14ac:dyDescent="0.2">
      <c r="A27" s="61" t="s">
        <v>144</v>
      </c>
      <c r="B27" s="36">
        <f>COUNTIFS('Match Log'!$D$4:$D$810,$A27,'Match Log'!$C$4:$C$810,$D$21)</f>
        <v>0</v>
      </c>
      <c r="C27" s="36">
        <f>COUNTIFS('Match Log'!$D$4:$D$810,$A27,'Match Log'!$C$4:$C$810,$D$21,'Match Log'!$E$4:$E$810,"Win")</f>
        <v>0</v>
      </c>
      <c r="D27" s="62" t="str">
        <f t="shared" si="0"/>
        <v/>
      </c>
      <c r="E27" s="63" t="str">
        <f>IFERROR(IF($B27=0,"",INDEX('Sport Records'!$B$91:$O$110,MATCH($D$21,'Sport Records'!$A$91:$A$110,0),MATCH($A27,'Sport Records'!$B$90:$O$90,0))),"")</f>
        <v/>
      </c>
      <c r="F27" s="36" t="str">
        <f t="shared" si="1"/>
        <v/>
      </c>
    </row>
    <row r="28" spans="1:6" x14ac:dyDescent="0.2">
      <c r="A28" s="65" t="s">
        <v>141</v>
      </c>
      <c r="B28" s="39">
        <f>COUNTIFS('Match Log'!$D$4:$D$810,$A28,'Match Log'!$C$4:$C$810,$D$21)</f>
        <v>7</v>
      </c>
      <c r="C28" s="39">
        <f>COUNTIFS('Match Log'!$D$4:$D$810,$A28,'Match Log'!$C$4:$C$810,$D$21,'Match Log'!$E$4:$E$810,"Win")</f>
        <v>0</v>
      </c>
      <c r="D28" s="66">
        <f t="shared" si="0"/>
        <v>0</v>
      </c>
      <c r="E28" s="67">
        <f>IFERROR(IF($B28=0,"",INDEX('Sport Records'!$B$91:$O$110,MATCH($D$21,'Sport Records'!$A$91:$A$110,0),MATCH($A28,'Sport Records'!$B$90:$O$90,0))),"")</f>
        <v>904.65647514018167</v>
      </c>
      <c r="F28" s="39">
        <f t="shared" si="1"/>
        <v>5</v>
      </c>
    </row>
    <row r="29" spans="1:6" x14ac:dyDescent="0.2">
      <c r="A29" s="61" t="s">
        <v>175</v>
      </c>
      <c r="B29" s="36">
        <f>COUNTIFS('Match Log'!$D$4:$D$810,$A29,'Match Log'!$C$4:$C$810,$D$21)</f>
        <v>0</v>
      </c>
      <c r="C29" s="36">
        <f>COUNTIFS('Match Log'!$D$4:$D$810,$A29,'Match Log'!$C$4:$C$810,$D$21,'Match Log'!$E$4:$E$810,"Win")</f>
        <v>0</v>
      </c>
      <c r="D29" s="62" t="str">
        <f t="shared" si="0"/>
        <v/>
      </c>
      <c r="E29" s="63" t="str">
        <f>IFERROR(IF($B29=0,"",INDEX('Sport Records'!$B$91:$O$110,MATCH($D$21,'Sport Records'!$A$91:$A$110,0),MATCH($A29,'Sport Records'!$B$90:$O$90,0))),"")</f>
        <v/>
      </c>
      <c r="F29" s="36" t="str">
        <f t="shared" si="1"/>
        <v/>
      </c>
    </row>
    <row r="30" spans="1:6" x14ac:dyDescent="0.2">
      <c r="A30" s="65" t="s">
        <v>177</v>
      </c>
      <c r="B30" s="39">
        <f>COUNTIFS('Match Log'!$D$4:$D$810,$A30,'Match Log'!$C$4:$C$810,$D$21)</f>
        <v>7</v>
      </c>
      <c r="C30" s="39">
        <f>COUNTIFS('Match Log'!$D$4:$D$810,$A30,'Match Log'!$C$4:$C$810,$D$21,'Match Log'!$E$4:$E$810,"Win")</f>
        <v>2</v>
      </c>
      <c r="D30" s="66">
        <f t="shared" si="0"/>
        <v>0.2857142857142857</v>
      </c>
      <c r="E30" s="67">
        <f>IFERROR(IF($B30=0,"",INDEX('Sport Records'!$B$91:$O$110,MATCH($D$21,'Sport Records'!$A$91:$A$110,0),MATCH($A30,'Sport Records'!$B$90:$O$90,0))),"")</f>
        <v>962.91641343501885</v>
      </c>
      <c r="F30" s="39">
        <f t="shared" si="1"/>
        <v>4</v>
      </c>
    </row>
    <row r="31" spans="1:6" x14ac:dyDescent="0.2">
      <c r="A31" s="61" t="s">
        <v>174</v>
      </c>
      <c r="B31" s="36">
        <f>COUNTIFS('Match Log'!$D$4:$D$810,$A31,'Match Log'!$C$4:$C$810,$D$21)</f>
        <v>0</v>
      </c>
      <c r="C31" s="36">
        <f>COUNTIFS('Match Log'!$D$4:$D$810,$A31,'Match Log'!$C$4:$C$810,$D$21,'Match Log'!$E$4:$E$810,"Win")</f>
        <v>0</v>
      </c>
      <c r="D31" s="62" t="str">
        <f t="shared" si="0"/>
        <v/>
      </c>
      <c r="E31" s="63" t="str">
        <f>IFERROR(IF($B31=0,"",INDEX('Sport Records'!$B$91:$O$110,MATCH($D$21,'Sport Records'!$A$91:$A$110,0),MATCH($A31,'Sport Records'!$B$90:$O$90,0))),"")</f>
        <v/>
      </c>
      <c r="F31" s="36" t="str">
        <f t="shared" si="1"/>
        <v/>
      </c>
    </row>
    <row r="32" spans="1:6" x14ac:dyDescent="0.2">
      <c r="A32" s="65" t="s">
        <v>182</v>
      </c>
      <c r="B32" s="39">
        <f>COUNTIFS('Match Log'!$D$4:$D$810,$A32,'Match Log'!$C$4:$C$810,$D$21)</f>
        <v>0</v>
      </c>
      <c r="C32" s="39">
        <f>COUNTIFS('Match Log'!$D$4:$D$810,$A32,'Match Log'!$C$4:$C$810,$D$21,'Match Log'!$E$4:$E$810,"Win")</f>
        <v>0</v>
      </c>
      <c r="D32" s="66" t="str">
        <f t="shared" si="0"/>
        <v/>
      </c>
      <c r="E32" s="67" t="str">
        <f>IFERROR(IF($B32=0,"",INDEX('Sport Records'!$B$91:$O$110,MATCH($D$21,'Sport Records'!$A$91:$A$110,0),MATCH($A32,'Sport Records'!$B$90:$O$90,0))),"")</f>
        <v/>
      </c>
      <c r="F32" s="39" t="str">
        <f t="shared" si="1"/>
        <v/>
      </c>
    </row>
    <row r="33" spans="1:21" x14ac:dyDescent="0.2">
      <c r="A33" s="61" t="s">
        <v>176</v>
      </c>
      <c r="B33" s="36">
        <f>COUNTIFS('Match Log'!$D$4:$D$810,$A33,'Match Log'!$C$4:$C$810,$D$21)</f>
        <v>7</v>
      </c>
      <c r="C33" s="36">
        <f>COUNTIFS('Match Log'!$D$4:$D$810,$A33,'Match Log'!$C$4:$C$810,$D$21,'Match Log'!$E$4:$E$810,"Win")</f>
        <v>5</v>
      </c>
      <c r="D33" s="62">
        <f t="shared" si="0"/>
        <v>0.7142857142857143</v>
      </c>
      <c r="E33" s="63">
        <f>IFERROR(IF($B33=0,"",INDEX('Sport Records'!$B$91:$O$110,MATCH($D$21,'Sport Records'!$A$91:$A$110,0),MATCH($A33,'Sport Records'!$B$90:$O$90,0))),"")</f>
        <v>1034.9676314940889</v>
      </c>
      <c r="F33" s="36">
        <f t="shared" si="1"/>
        <v>3</v>
      </c>
    </row>
    <row r="34" spans="1:21" x14ac:dyDescent="0.2">
      <c r="A34" s="65" t="s">
        <v>178</v>
      </c>
      <c r="B34" s="39">
        <f>COUNTIFS('Match Log'!$D$4:$D$810,$A34,'Match Log'!$C$4:$C$810,$D$21)</f>
        <v>0</v>
      </c>
      <c r="C34" s="39">
        <f>COUNTIFS('Match Log'!$D$4:$D$810,$A34,'Match Log'!$C$4:$C$810,$D$21,'Match Log'!$E$4:$E$810,"Win")</f>
        <v>0</v>
      </c>
      <c r="D34" s="66" t="str">
        <f t="shared" si="0"/>
        <v/>
      </c>
      <c r="E34" s="67" t="str">
        <f>IFERROR(IF($B34=0,"",INDEX('Sport Records'!$B$91:$O$110,MATCH($D$21,'Sport Records'!$A$91:$A$110,0),MATCH($A34,'Sport Records'!$B$90:$O$90,0))),"")</f>
        <v/>
      </c>
      <c r="F34" s="39" t="str">
        <f t="shared" si="1"/>
        <v/>
      </c>
    </row>
    <row r="35" spans="1:21" x14ac:dyDescent="0.2">
      <c r="A35" s="61" t="s">
        <v>179</v>
      </c>
      <c r="B35" s="36">
        <f>COUNTIFS('Match Log'!$D$4:$D$810,$A35,'Match Log'!$C$4:$C$810,$D$21)</f>
        <v>0</v>
      </c>
      <c r="C35" s="36">
        <f>COUNTIFS('Match Log'!$D$4:$D$810,$A35,'Match Log'!$C$4:$C$810,$D$21,'Match Log'!$E$4:$E$810,"Win")</f>
        <v>0</v>
      </c>
      <c r="D35" s="62" t="str">
        <f t="shared" si="0"/>
        <v/>
      </c>
      <c r="E35" s="63" t="str">
        <f>IFERROR(IF($B35=0,"",INDEX('Sport Records'!$B$91:$O$110,MATCH($D$21,'Sport Records'!$A$91:$A$110,0),MATCH($A35,'Sport Records'!$B$90:$O$90,0))),"")</f>
        <v/>
      </c>
      <c r="F35" s="36" t="str">
        <f t="shared" si="1"/>
        <v/>
      </c>
    </row>
    <row r="36" spans="1:21" x14ac:dyDescent="0.2">
      <c r="A36" s="65" t="s">
        <v>181</v>
      </c>
      <c r="B36" s="39">
        <f>COUNTIFS('Match Log'!$D$4:$D$810,$A36,'Match Log'!$C$4:$C$810,$D$21)</f>
        <v>0</v>
      </c>
      <c r="C36" s="39">
        <f>COUNTIFS('Match Log'!$D$4:$D$810,$A36,'Match Log'!$C$4:$C$810,$D$21,'Match Log'!$E$4:$E$810,"Win")</f>
        <v>0</v>
      </c>
      <c r="D36" s="66" t="str">
        <f t="shared" si="0"/>
        <v/>
      </c>
      <c r="E36" s="67"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Log'!$E$1:$E$810,_xlfn.AGGREGATE(14,6,ROW('Match Log'!$A$4:$A$810)/('Match Log'!$D$4:$D$810=$A40),10))="Win","W","L"),"")</f>
        <v>L</v>
      </c>
      <c r="C40" s="112" t="str">
        <f>IFERROR(IF(INDEX('Match Log'!$E$1:$E$810,_xlfn.AGGREGATE(14,6,ROW('Match Log'!$A$4:$A$810)/('Match Log'!$D$4:$D$810=$A40),9))="Win","W","L"),"")</f>
        <v>W</v>
      </c>
      <c r="D40" s="112" t="str">
        <f>IFERROR(IF(INDEX('Match Log'!$E$1:$E$810,_xlfn.AGGREGATE(14,6,ROW('Match Log'!$A$4:$A$810)/('Match Log'!$D$4:$D$810=$A40),8))="Win","W","L"),"")</f>
        <v>W</v>
      </c>
      <c r="E40" s="112" t="str">
        <f>IFERROR(IF(INDEX('Match Log'!$E$1:$E$810,_xlfn.AGGREGATE(14,6,ROW('Match Log'!$A$4:$A$810)/('Match Log'!$D$4:$D$810=$A40),7))="Win","W","L"),"")</f>
        <v>L</v>
      </c>
      <c r="F40" s="112" t="str">
        <f>IFERROR(IF(INDEX('Match Log'!$E$1:$E$810,_xlfn.AGGREGATE(14,6,ROW('Match Log'!$A$4:$A$810)/('Match Log'!$D$4:$D$810=$A40),6))="Win","W","L"),"")</f>
        <v>L</v>
      </c>
      <c r="G40" s="112" t="str">
        <f>IFERROR(IF(INDEX('Match Log'!$E$1:$E$810,_xlfn.AGGREGATE(14,6,ROW('Match Log'!$A$4:$A$810)/('Match Log'!$D$4:$D$810=$A40),5))="Win","W","L"),"")</f>
        <v>W</v>
      </c>
      <c r="H40" s="112" t="str">
        <f>IFERROR(IF(INDEX('Match Log'!$E$1:$E$810,_xlfn.AGGREGATE(14,6,ROW('Match Log'!$A$4:$A$810)/('Match Log'!$D$4:$D$810=$A40),4))="Win","W","L"),"")</f>
        <v>W</v>
      </c>
      <c r="I40" s="112" t="str">
        <f>IFERROR(IF(INDEX('Match Log'!$E$1:$E$810,_xlfn.AGGREGATE(14,6,ROW('Match Log'!$A$4:$A$810)/('Match Log'!$D$4:$D$810=$A40),3))="Win","W","L"),"")</f>
        <v>W</v>
      </c>
      <c r="J40" s="112" t="str">
        <f>IFERROR(IF(INDEX('Match Log'!$E$1:$E$810,_xlfn.AGGREGATE(14,6,ROW('Match Log'!$A$4:$A$810)/('Match Log'!$D$4:$D$810=$A40),2))="Win","W","L"),"")</f>
        <v>W</v>
      </c>
      <c r="K40" s="112" t="str">
        <f>IFERROR(IF(INDEX('Match Log'!$E$1:$E$810,_xlfn.AGGREGATE(14,6,ROW('Match Log'!$A$4:$A$810)/('Match Log'!$D$4:$D$810=$A40),1))="Win","W","L"),"")</f>
        <v>W</v>
      </c>
    </row>
    <row r="41" spans="1:21" x14ac:dyDescent="0.2">
      <c r="A41" s="91" t="s">
        <v>142</v>
      </c>
      <c r="B41" s="112" t="str">
        <f>IFERROR(IF(INDEX('Match Log'!$E$1:$E$810,_xlfn.AGGREGATE(14,6,ROW('Match Log'!$A$4:$A$810)/('Match Log'!$D$4:$D$810=$A41),10))="Win","W","L"),"")</f>
        <v>L</v>
      </c>
      <c r="C41" s="112" t="str">
        <f>IFERROR(IF(INDEX('Match Log'!$E$1:$E$810,_xlfn.AGGREGATE(14,6,ROW('Match Log'!$A$4:$A$810)/('Match Log'!$D$4:$D$810=$A41),9))="Win","W","L"),"")</f>
        <v>W</v>
      </c>
      <c r="D41" s="112" t="str">
        <f>IFERROR(IF(INDEX('Match Log'!$E$1:$E$810,_xlfn.AGGREGATE(14,6,ROW('Match Log'!$A$4:$A$810)/('Match Log'!$D$4:$D$810=$A41),8))="Win","W","L"),"")</f>
        <v>W</v>
      </c>
      <c r="E41" s="112" t="str">
        <f>IFERROR(IF(INDEX('Match Log'!$E$1:$E$810,_xlfn.AGGREGATE(14,6,ROW('Match Log'!$A$4:$A$810)/('Match Log'!$D$4:$D$810=$A41),7))="Win","W","L"),"")</f>
        <v>L</v>
      </c>
      <c r="F41" s="112" t="str">
        <f>IFERROR(IF(INDEX('Match Log'!$E$1:$E$810,_xlfn.AGGREGATE(14,6,ROW('Match Log'!$A$4:$A$810)/('Match Log'!$D$4:$D$810=$A41),6))="Win","W","L"),"")</f>
        <v>W</v>
      </c>
      <c r="G41" s="112" t="str">
        <f>IFERROR(IF(INDEX('Match Log'!$E$1:$E$810,_xlfn.AGGREGATE(14,6,ROW('Match Log'!$A$4:$A$810)/('Match Log'!$D$4:$D$810=$A41),5))="Win","W","L"),"")</f>
        <v>L</v>
      </c>
      <c r="H41" s="112" t="str">
        <f>IFERROR(IF(INDEX('Match Log'!$E$1:$E$810,_xlfn.AGGREGATE(14,6,ROW('Match Log'!$A$4:$A$810)/('Match Log'!$D$4:$D$810=$A41),4))="Win","W","L"),"")</f>
        <v>W</v>
      </c>
      <c r="I41" s="112" t="str">
        <f>IFERROR(IF(INDEX('Match Log'!$E$1:$E$810,_xlfn.AGGREGATE(14,6,ROW('Match Log'!$A$4:$A$810)/('Match Log'!$D$4:$D$810=$A41),3))="Win","W","L"),"")</f>
        <v>W</v>
      </c>
      <c r="J41" s="112" t="str">
        <f>IFERROR(IF(INDEX('Match Log'!$E$1:$E$810,_xlfn.AGGREGATE(14,6,ROW('Match Log'!$A$4:$A$810)/('Match Log'!$D$4:$D$810=$A41),2))="Win","W","L"),"")</f>
        <v>L</v>
      </c>
      <c r="K41" s="112" t="str">
        <f>IFERROR(IF(INDEX('Match Log'!$E$1:$E$810,_xlfn.AGGREGATE(14,6,ROW('Match Log'!$A$4:$A$810)/('Match Log'!$D$4:$D$810=$A41),1))="Win","W","L"),"")</f>
        <v>L</v>
      </c>
    </row>
    <row r="42" spans="1:21" x14ac:dyDescent="0.2">
      <c r="A42" s="91" t="s">
        <v>180</v>
      </c>
      <c r="B42" s="112" t="str">
        <f>IFERROR(IF(INDEX('Match Log'!$E$1:$E$810,_xlfn.AGGREGATE(14,6,ROW('Match Log'!$A$4:$A$810)/('Match Log'!$D$4:$D$810=$A42),10))="Win","W","L"),"")</f>
        <v>L</v>
      </c>
      <c r="C42" s="112" t="str">
        <f>IFERROR(IF(INDEX('Match Log'!$E$1:$E$810,_xlfn.AGGREGATE(14,6,ROW('Match Log'!$A$4:$A$810)/('Match Log'!$D$4:$D$810=$A42),9))="Win","W","L"),"")</f>
        <v>L</v>
      </c>
      <c r="D42" s="112" t="str">
        <f>IFERROR(IF(INDEX('Match Log'!$E$1:$E$810,_xlfn.AGGREGATE(14,6,ROW('Match Log'!$A$4:$A$810)/('Match Log'!$D$4:$D$810=$A42),8))="Win","W","L"),"")</f>
        <v>W</v>
      </c>
      <c r="E42" s="112" t="str">
        <f>IFERROR(IF(INDEX('Match Log'!$E$1:$E$810,_xlfn.AGGREGATE(14,6,ROW('Match Log'!$A$4:$A$810)/('Match Log'!$D$4:$D$810=$A42),7))="Win","W","L"),"")</f>
        <v>W</v>
      </c>
      <c r="F42" s="112" t="str">
        <f>IFERROR(IF(INDEX('Match Log'!$E$1:$E$810,_xlfn.AGGREGATE(14,6,ROW('Match Log'!$A$4:$A$810)/('Match Log'!$D$4:$D$810=$A42),6))="Win","W","L"),"")</f>
        <v>W</v>
      </c>
      <c r="G42" s="112" t="str">
        <f>IFERROR(IF(INDEX('Match Log'!$E$1:$E$810,_xlfn.AGGREGATE(14,6,ROW('Match Log'!$A$4:$A$810)/('Match Log'!$D$4:$D$810=$A42),5))="Win","W","L"),"")</f>
        <v>W</v>
      </c>
      <c r="H42" s="112" t="str">
        <f>IFERROR(IF(INDEX('Match Log'!$E$1:$E$810,_xlfn.AGGREGATE(14,6,ROW('Match Log'!$A$4:$A$810)/('Match Log'!$D$4:$D$810=$A42),4))="Win","W","L"),"")</f>
        <v>L</v>
      </c>
      <c r="I42" s="112" t="str">
        <f>IFERROR(IF(INDEX('Match Log'!$E$1:$E$810,_xlfn.AGGREGATE(14,6,ROW('Match Log'!$A$4:$A$810)/('Match Log'!$D$4:$D$810=$A42),3))="Win","W","L"),"")</f>
        <v>L</v>
      </c>
      <c r="J42" s="112" t="str">
        <f>IFERROR(IF(INDEX('Match Log'!$E$1:$E$810,_xlfn.AGGREGATE(14,6,ROW('Match Log'!$A$4:$A$810)/('Match Log'!$D$4:$D$810=$A42),2))="Win","W","L"),"")</f>
        <v>L</v>
      </c>
      <c r="K42" s="112" t="str">
        <f>IFERROR(IF(INDEX('Match Log'!$E$1:$E$810,_xlfn.AGGREGATE(14,6,ROW('Match Log'!$A$4:$A$810)/('Match Log'!$D$4:$D$810=$A42),1))="Win","W","L"),"")</f>
        <v>W</v>
      </c>
    </row>
    <row r="43" spans="1:21" x14ac:dyDescent="0.2">
      <c r="A43" s="91" t="s">
        <v>147</v>
      </c>
      <c r="B43" s="112" t="str">
        <f>IFERROR(IF(INDEX('Match Log'!$E$1:$E$810,_xlfn.AGGREGATE(14,6,ROW('Match Log'!$A$4:$A$810)/('Match Log'!$D$4:$D$810=$A43),10))="Win","W","L"),"")</f>
        <v>L</v>
      </c>
      <c r="C43" s="112" t="str">
        <f>IFERROR(IF(INDEX('Match Log'!$E$1:$E$810,_xlfn.AGGREGATE(14,6,ROW('Match Log'!$A$4:$A$810)/('Match Log'!$D$4:$D$810=$A43),9))="Win","W","L"),"")</f>
        <v>W</v>
      </c>
      <c r="D43" s="112" t="str">
        <f>IFERROR(IF(INDEX('Match Log'!$E$1:$E$810,_xlfn.AGGREGATE(14,6,ROW('Match Log'!$A$4:$A$810)/('Match Log'!$D$4:$D$810=$A43),8))="Win","W","L"),"")</f>
        <v>L</v>
      </c>
      <c r="E43" s="112" t="str">
        <f>IFERROR(IF(INDEX('Match Log'!$E$1:$E$810,_xlfn.AGGREGATE(14,6,ROW('Match Log'!$A$4:$A$810)/('Match Log'!$D$4:$D$810=$A43),7))="Win","W","L"),"")</f>
        <v>W</v>
      </c>
      <c r="F43" s="112" t="str">
        <f>IFERROR(IF(INDEX('Match Log'!$E$1:$E$810,_xlfn.AGGREGATE(14,6,ROW('Match Log'!$A$4:$A$810)/('Match Log'!$D$4:$D$810=$A43),6))="Win","W","L"),"")</f>
        <v>L</v>
      </c>
      <c r="G43" s="112" t="str">
        <f>IFERROR(IF(INDEX('Match Log'!$E$1:$E$810,_xlfn.AGGREGATE(14,6,ROW('Match Log'!$A$4:$A$810)/('Match Log'!$D$4:$D$810=$A43),5))="Win","W","L"),"")</f>
        <v>L</v>
      </c>
      <c r="H43" s="112" t="str">
        <f>IFERROR(IF(INDEX('Match Log'!$E$1:$E$810,_xlfn.AGGREGATE(14,6,ROW('Match Log'!$A$4:$A$810)/('Match Log'!$D$4:$D$810=$A43),4))="Win","W","L"),"")</f>
        <v>L</v>
      </c>
      <c r="I43" s="112" t="str">
        <f>IFERROR(IF(INDEX('Match Log'!$E$1:$E$810,_xlfn.AGGREGATE(14,6,ROW('Match Log'!$A$4:$A$810)/('Match Log'!$D$4:$D$810=$A43),3))="Win","W","L"),"")</f>
        <v>L</v>
      </c>
      <c r="J43" s="112" t="str">
        <f>IFERROR(IF(INDEX('Match Log'!$E$1:$E$810,_xlfn.AGGREGATE(14,6,ROW('Match Log'!$A$4:$A$810)/('Match Log'!$D$4:$D$810=$A43),2))="Win","W","L"),"")</f>
        <v>W</v>
      </c>
      <c r="K43" s="112" t="str">
        <f>IFERROR(IF(INDEX('Match Log'!$E$1:$E$810,_xlfn.AGGREGATE(14,6,ROW('Match Log'!$A$4:$A$810)/('Match Log'!$D$4:$D$810=$A43),1))="Win","W","L"),"")</f>
        <v>W</v>
      </c>
    </row>
    <row r="44" spans="1:21" x14ac:dyDescent="0.2">
      <c r="A44" s="91" t="s">
        <v>144</v>
      </c>
      <c r="B44" s="112" t="str">
        <f>IFERROR(IF(INDEX('Match Log'!$E$1:$E$810,_xlfn.AGGREGATE(14,6,ROW('Match Log'!$A$4:$A$810)/('Match Log'!$D$4:$D$810=$A44),10))="Win","W","L"),"")</f>
        <v>W</v>
      </c>
      <c r="C44" s="112" t="str">
        <f>IFERROR(IF(INDEX('Match Log'!$E$1:$E$810,_xlfn.AGGREGATE(14,6,ROW('Match Log'!$A$4:$A$810)/('Match Log'!$D$4:$D$810=$A44),9))="Win","W","L"),"")</f>
        <v>L</v>
      </c>
      <c r="D44" s="112" t="str">
        <f>IFERROR(IF(INDEX('Match Log'!$E$1:$E$810,_xlfn.AGGREGATE(14,6,ROW('Match Log'!$A$4:$A$810)/('Match Log'!$D$4:$D$810=$A44),8))="Win","W","L"),"")</f>
        <v>W</v>
      </c>
      <c r="E44" s="112" t="str">
        <f>IFERROR(IF(INDEX('Match Log'!$E$1:$E$810,_xlfn.AGGREGATE(14,6,ROW('Match Log'!$A$4:$A$810)/('Match Log'!$D$4:$D$810=$A44),7))="Win","W","L"),"")</f>
        <v>L</v>
      </c>
      <c r="F44" s="112" t="str">
        <f>IFERROR(IF(INDEX('Match Log'!$E$1:$E$810,_xlfn.AGGREGATE(14,6,ROW('Match Log'!$A$4:$A$810)/('Match Log'!$D$4:$D$810=$A44),6))="Win","W","L"),"")</f>
        <v>L</v>
      </c>
      <c r="G44" s="112" t="str">
        <f>IFERROR(IF(INDEX('Match Log'!$E$1:$E$810,_xlfn.AGGREGATE(14,6,ROW('Match Log'!$A$4:$A$810)/('Match Log'!$D$4:$D$810=$A44),5))="Win","W","L"),"")</f>
        <v>L</v>
      </c>
      <c r="H44" s="112" t="str">
        <f>IFERROR(IF(INDEX('Match Log'!$E$1:$E$810,_xlfn.AGGREGATE(14,6,ROW('Match Log'!$A$4:$A$810)/('Match Log'!$D$4:$D$810=$A44),4))="Win","W","L"),"")</f>
        <v>L</v>
      </c>
      <c r="I44" s="112" t="str">
        <f>IFERROR(IF(INDEX('Match Log'!$E$1:$E$810,_xlfn.AGGREGATE(14,6,ROW('Match Log'!$A$4:$A$810)/('Match Log'!$D$4:$D$810=$A44),3))="Win","W","L"),"")</f>
        <v>W</v>
      </c>
      <c r="J44" s="112" t="str">
        <f>IFERROR(IF(INDEX('Match Log'!$E$1:$E$810,_xlfn.AGGREGATE(14,6,ROW('Match Log'!$A$4:$A$810)/('Match Log'!$D$4:$D$810=$A44),2))="Win","W","L"),"")</f>
        <v>W</v>
      </c>
      <c r="K44" s="112" t="str">
        <f>IFERROR(IF(INDEX('Match Log'!$E$1:$E$810,_xlfn.AGGREGATE(14,6,ROW('Match Log'!$A$4:$A$810)/('Match Log'!$D$4:$D$810=$A44),1))="Win","W","L"),"")</f>
        <v>L</v>
      </c>
    </row>
    <row r="45" spans="1:21" x14ac:dyDescent="0.2">
      <c r="A45" s="91" t="s">
        <v>141</v>
      </c>
      <c r="B45" s="112" t="str">
        <f>IFERROR(IF(INDEX('Match Log'!$E$1:$E$810,_xlfn.AGGREGATE(14,6,ROW('Match Log'!$A$4:$A$810)/('Match Log'!$D$4:$D$810=$A45),10))="Win","W","L"),"")</f>
        <v>W</v>
      </c>
      <c r="C45" s="112" t="str">
        <f>IFERROR(IF(INDEX('Match Log'!$E$1:$E$810,_xlfn.AGGREGATE(14,6,ROW('Match Log'!$A$4:$A$810)/('Match Log'!$D$4:$D$810=$A45),9))="Win","W","L"),"")</f>
        <v>L</v>
      </c>
      <c r="D45" s="112" t="str">
        <f>IFERROR(IF(INDEX('Match Log'!$E$1:$E$810,_xlfn.AGGREGATE(14,6,ROW('Match Log'!$A$4:$A$810)/('Match Log'!$D$4:$D$810=$A45),8))="Win","W","L"),"")</f>
        <v>L</v>
      </c>
      <c r="E45" s="112" t="str">
        <f>IFERROR(IF(INDEX('Match Log'!$E$1:$E$810,_xlfn.AGGREGATE(14,6,ROW('Match Log'!$A$4:$A$810)/('Match Log'!$D$4:$D$810=$A45),7))="Win","W","L"),"")</f>
        <v>L</v>
      </c>
      <c r="F45" s="112" t="str">
        <f>IFERROR(IF(INDEX('Match Log'!$E$1:$E$810,_xlfn.AGGREGATE(14,6,ROW('Match Log'!$A$4:$A$810)/('Match Log'!$D$4:$D$810=$A45),6))="Win","W","L"),"")</f>
        <v>L</v>
      </c>
      <c r="G45" s="112" t="str">
        <f>IFERROR(IF(INDEX('Match Log'!$E$1:$E$810,_xlfn.AGGREGATE(14,6,ROW('Match Log'!$A$4:$A$810)/('Match Log'!$D$4:$D$810=$A45),5))="Win","W","L"),"")</f>
        <v>W</v>
      </c>
      <c r="H45" s="112" t="str">
        <f>IFERROR(IF(INDEX('Match Log'!$E$1:$E$810,_xlfn.AGGREGATE(14,6,ROW('Match Log'!$A$4:$A$810)/('Match Log'!$D$4:$D$810=$A45),4))="Win","W","L"),"")</f>
        <v>W</v>
      </c>
      <c r="I45" s="112" t="str">
        <f>IFERROR(IF(INDEX('Match Log'!$E$1:$E$810,_xlfn.AGGREGATE(14,6,ROW('Match Log'!$A$4:$A$810)/('Match Log'!$D$4:$D$810=$A45),3))="Win","W","L"),"")</f>
        <v>L</v>
      </c>
      <c r="J45" s="112" t="str">
        <f>IFERROR(IF(INDEX('Match Log'!$E$1:$E$810,_xlfn.AGGREGATE(14,6,ROW('Match Log'!$A$4:$A$810)/('Match Log'!$D$4:$D$810=$A45),2))="Win","W","L"),"")</f>
        <v>W</v>
      </c>
      <c r="K45" s="112" t="str">
        <f>IFERROR(IF(INDEX('Match Log'!$E$1:$E$810,_xlfn.AGGREGATE(14,6,ROW('Match Log'!$A$4:$A$810)/('Match Log'!$D$4:$D$810=$A45),1))="Win","W","L"),"")</f>
        <v>L</v>
      </c>
    </row>
    <row r="46" spans="1:21" x14ac:dyDescent="0.2">
      <c r="A46" s="91" t="s">
        <v>175</v>
      </c>
      <c r="B46" s="112" t="str">
        <f>IFERROR(IF(INDEX('Match Log'!$E$1:$E$810,_xlfn.AGGREGATE(14,6,ROW('Match Log'!$A$4:$A$810)/('Match Log'!$D$4:$D$810=$A46),10))="Win","W","L"),"")</f>
        <v>W</v>
      </c>
      <c r="C46" s="112" t="str">
        <f>IFERROR(IF(INDEX('Match Log'!$E$1:$E$810,_xlfn.AGGREGATE(14,6,ROW('Match Log'!$A$4:$A$810)/('Match Log'!$D$4:$D$810=$A46),9))="Win","W","L"),"")</f>
        <v>L</v>
      </c>
      <c r="D46" s="112" t="str">
        <f>IFERROR(IF(INDEX('Match Log'!$E$1:$E$810,_xlfn.AGGREGATE(14,6,ROW('Match Log'!$A$4:$A$810)/('Match Log'!$D$4:$D$810=$A46),8))="Win","W","L"),"")</f>
        <v>W</v>
      </c>
      <c r="E46" s="112" t="str">
        <f>IFERROR(IF(INDEX('Match Log'!$E$1:$E$810,_xlfn.AGGREGATE(14,6,ROW('Match Log'!$A$4:$A$810)/('Match Log'!$D$4:$D$810=$A46),7))="Win","W","L"),"")</f>
        <v>L</v>
      </c>
      <c r="F46" s="112" t="str">
        <f>IFERROR(IF(INDEX('Match Log'!$E$1:$E$810,_xlfn.AGGREGATE(14,6,ROW('Match Log'!$A$4:$A$810)/('Match Log'!$D$4:$D$810=$A46),6))="Win","W","L"),"")</f>
        <v>L</v>
      </c>
      <c r="G46" s="112" t="str">
        <f>IFERROR(IF(INDEX('Match Log'!$E$1:$E$810,_xlfn.AGGREGATE(14,6,ROW('Match Log'!$A$4:$A$810)/('Match Log'!$D$4:$D$810=$A46),5))="Win","W","L"),"")</f>
        <v>W</v>
      </c>
      <c r="H46" s="112" t="str">
        <f>IFERROR(IF(INDEX('Match Log'!$E$1:$E$810,_xlfn.AGGREGATE(14,6,ROW('Match Log'!$A$4:$A$810)/('Match Log'!$D$4:$D$810=$A46),4))="Win","W","L"),"")</f>
        <v>W</v>
      </c>
      <c r="I46" s="112" t="str">
        <f>IFERROR(IF(INDEX('Match Log'!$E$1:$E$810,_xlfn.AGGREGATE(14,6,ROW('Match Log'!$A$4:$A$810)/('Match Log'!$D$4:$D$810=$A46),3))="Win","W","L"),"")</f>
        <v>L</v>
      </c>
      <c r="J46" s="112" t="str">
        <f>IFERROR(IF(INDEX('Match Log'!$E$1:$E$810,_xlfn.AGGREGATE(14,6,ROW('Match Log'!$A$4:$A$810)/('Match Log'!$D$4:$D$810=$A46),2))="Win","W","L"),"")</f>
        <v>L</v>
      </c>
      <c r="K46" s="112" t="str">
        <f>IFERROR(IF(INDEX('Match Log'!$E$1:$E$810,_xlfn.AGGREGATE(14,6,ROW('Match Log'!$A$4:$A$810)/('Match Log'!$D$4:$D$810=$A46),1))="Win","W","L"),"")</f>
        <v>L</v>
      </c>
      <c r="L46" s="26"/>
      <c r="M46" s="26"/>
      <c r="N46" s="26"/>
      <c r="O46" s="26"/>
      <c r="P46" s="26"/>
      <c r="Q46" s="26"/>
      <c r="R46" s="26"/>
      <c r="S46" s="26"/>
      <c r="T46" s="26"/>
      <c r="U46" s="26"/>
    </row>
    <row r="47" spans="1:21" x14ac:dyDescent="0.2">
      <c r="A47" s="91" t="s">
        <v>177</v>
      </c>
      <c r="B47" s="112" t="str">
        <f>IFERROR(IF(INDEX('Match Log'!$E$1:$E$810,_xlfn.AGGREGATE(14,6,ROW('Match Log'!$A$4:$A$810)/('Match Log'!$D$4:$D$810=$A47),10))="Win","W","L"),"")</f>
        <v>L</v>
      </c>
      <c r="C47" s="112" t="str">
        <f>IFERROR(IF(INDEX('Match Log'!$E$1:$E$810,_xlfn.AGGREGATE(14,6,ROW('Match Log'!$A$4:$A$810)/('Match Log'!$D$4:$D$810=$A47),9))="Win","W","L"),"")</f>
        <v>W</v>
      </c>
      <c r="D47" s="112" t="str">
        <f>IFERROR(IF(INDEX('Match Log'!$E$1:$E$810,_xlfn.AGGREGATE(14,6,ROW('Match Log'!$A$4:$A$810)/('Match Log'!$D$4:$D$810=$A47),8))="Win","W","L"),"")</f>
        <v>W</v>
      </c>
      <c r="E47" s="112" t="str">
        <f>IFERROR(IF(INDEX('Match Log'!$E$1:$E$810,_xlfn.AGGREGATE(14,6,ROW('Match Log'!$A$4:$A$810)/('Match Log'!$D$4:$D$810=$A47),7))="Win","W","L"),"")</f>
        <v>L</v>
      </c>
      <c r="F47" s="112" t="str">
        <f>IFERROR(IF(INDEX('Match Log'!$E$1:$E$810,_xlfn.AGGREGATE(14,6,ROW('Match Log'!$A$4:$A$810)/('Match Log'!$D$4:$D$810=$A47),6))="Win","W","L"),"")</f>
        <v>L</v>
      </c>
      <c r="G47" s="112" t="str">
        <f>IFERROR(IF(INDEX('Match Log'!$E$1:$E$810,_xlfn.AGGREGATE(14,6,ROW('Match Log'!$A$4:$A$810)/('Match Log'!$D$4:$D$810=$A47),5))="Win","W","L"),"")</f>
        <v>W</v>
      </c>
      <c r="H47" s="112" t="str">
        <f>IFERROR(IF(INDEX('Match Log'!$E$1:$E$810,_xlfn.AGGREGATE(14,6,ROW('Match Log'!$A$4:$A$810)/('Match Log'!$D$4:$D$810=$A47),4))="Win","W","L"),"")</f>
        <v>L</v>
      </c>
      <c r="I47" s="112" t="str">
        <f>IFERROR(IF(INDEX('Match Log'!$E$1:$E$810,_xlfn.AGGREGATE(14,6,ROW('Match Log'!$A$4:$A$810)/('Match Log'!$D$4:$D$810=$A47),3))="Win","W","L"),"")</f>
        <v>W</v>
      </c>
      <c r="J47" s="112" t="str">
        <f>IFERROR(IF(INDEX('Match Log'!$E$1:$E$810,_xlfn.AGGREGATE(14,6,ROW('Match Log'!$A$4:$A$810)/('Match Log'!$D$4:$D$810=$A47),2))="Win","W","L"),"")</f>
        <v>L</v>
      </c>
      <c r="K47" s="112"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91" t="s">
        <v>174</v>
      </c>
      <c r="B48" s="112" t="str">
        <f>IFERROR(IF(INDEX('Match Log'!$E$1:$E$810,_xlfn.AGGREGATE(14,6,ROW('Match Log'!$A$4:$A$810)/('Match Log'!$D$4:$D$810=$A48),10))="Win","W","L"),"")</f>
        <v>W</v>
      </c>
      <c r="C48" s="112" t="str">
        <f>IFERROR(IF(INDEX('Match Log'!$E$1:$E$810,_xlfn.AGGREGATE(14,6,ROW('Match Log'!$A$4:$A$810)/('Match Log'!$D$4:$D$810=$A48),9))="Win","W","L"),"")</f>
        <v>W</v>
      </c>
      <c r="D48" s="112" t="str">
        <f>IFERROR(IF(INDEX('Match Log'!$E$1:$E$810,_xlfn.AGGREGATE(14,6,ROW('Match Log'!$A$4:$A$810)/('Match Log'!$D$4:$D$810=$A48),8))="Win","W","L"),"")</f>
        <v>L</v>
      </c>
      <c r="E48" s="112" t="str">
        <f>IFERROR(IF(INDEX('Match Log'!$E$1:$E$810,_xlfn.AGGREGATE(14,6,ROW('Match Log'!$A$4:$A$810)/('Match Log'!$D$4:$D$810=$A48),7))="Win","W","L"),"")</f>
        <v>W</v>
      </c>
      <c r="F48" s="112" t="str">
        <f>IFERROR(IF(INDEX('Match Log'!$E$1:$E$810,_xlfn.AGGREGATE(14,6,ROW('Match Log'!$A$4:$A$810)/('Match Log'!$D$4:$D$810=$A48),6))="Win","W","L"),"")</f>
        <v>W</v>
      </c>
      <c r="G48" s="112" t="str">
        <f>IFERROR(IF(INDEX('Match Log'!$E$1:$E$810,_xlfn.AGGREGATE(14,6,ROW('Match Log'!$A$4:$A$810)/('Match Log'!$D$4:$D$810=$A48),5))="Win","W","L"),"")</f>
        <v>L</v>
      </c>
      <c r="H48" s="112" t="str">
        <f>IFERROR(IF(INDEX('Match Log'!$E$1:$E$810,_xlfn.AGGREGATE(14,6,ROW('Match Log'!$A$4:$A$810)/('Match Log'!$D$4:$D$810=$A48),4))="Win","W","L"),"")</f>
        <v>L</v>
      </c>
      <c r="I48" s="112" t="str">
        <f>IFERROR(IF(INDEX('Match Log'!$E$1:$E$810,_xlfn.AGGREGATE(14,6,ROW('Match Log'!$A$4:$A$810)/('Match Log'!$D$4:$D$810=$A48),3))="Win","W","L"),"")</f>
        <v>L</v>
      </c>
      <c r="J48" s="112" t="str">
        <f>IFERROR(IF(INDEX('Match Log'!$E$1:$E$810,_xlfn.AGGREGATE(14,6,ROW('Match Log'!$A$4:$A$810)/('Match Log'!$D$4:$D$810=$A48),2))="Win","W","L"),"")</f>
        <v>W</v>
      </c>
      <c r="K48" s="112" t="str">
        <f>IFERROR(IF(INDEX('Match Log'!$E$1:$E$810,_xlfn.AGGREGATE(14,6,ROW('Match Log'!$A$4:$A$810)/('Match Log'!$D$4:$D$810=$A48),1))="Win","W","L"),"")</f>
        <v>W</v>
      </c>
      <c r="L48" s="26"/>
      <c r="M48" s="26"/>
      <c r="N48" s="26"/>
      <c r="O48" s="26"/>
      <c r="P48" s="26"/>
      <c r="Q48" s="26"/>
      <c r="R48" s="26"/>
      <c r="S48" s="26"/>
      <c r="T48" s="26"/>
      <c r="U48" s="26"/>
    </row>
    <row r="49" spans="1:21" x14ac:dyDescent="0.2">
      <c r="A49" s="91" t="s">
        <v>182</v>
      </c>
      <c r="B49" s="112" t="str">
        <f>IFERROR(IF(INDEX('Match Log'!$E$1:$E$810,_xlfn.AGGREGATE(14,6,ROW('Match Log'!$A$4:$A$810)/('Match Log'!$D$4:$D$810=$A49),10))="Win","W","L"),"")</f>
        <v>L</v>
      </c>
      <c r="C49" s="112" t="str">
        <f>IFERROR(IF(INDEX('Match Log'!$E$1:$E$810,_xlfn.AGGREGATE(14,6,ROW('Match Log'!$A$4:$A$810)/('Match Log'!$D$4:$D$810=$A49),9))="Win","W","L"),"")</f>
        <v>L</v>
      </c>
      <c r="D49" s="112" t="str">
        <f>IFERROR(IF(INDEX('Match Log'!$E$1:$E$810,_xlfn.AGGREGATE(14,6,ROW('Match Log'!$A$4:$A$810)/('Match Log'!$D$4:$D$810=$A49),8))="Win","W","L"),"")</f>
        <v>L</v>
      </c>
      <c r="E49" s="112" t="str">
        <f>IFERROR(IF(INDEX('Match Log'!$E$1:$E$810,_xlfn.AGGREGATE(14,6,ROW('Match Log'!$A$4:$A$810)/('Match Log'!$D$4:$D$810=$A49),7))="Win","W","L"),"")</f>
        <v>L</v>
      </c>
      <c r="F49" s="112" t="str">
        <f>IFERROR(IF(INDEX('Match Log'!$E$1:$E$810,_xlfn.AGGREGATE(14,6,ROW('Match Log'!$A$4:$A$810)/('Match Log'!$D$4:$D$810=$A49),6))="Win","W","L"),"")</f>
        <v>W</v>
      </c>
      <c r="G49" s="112" t="str">
        <f>IFERROR(IF(INDEX('Match Log'!$E$1:$E$810,_xlfn.AGGREGATE(14,6,ROW('Match Log'!$A$4:$A$810)/('Match Log'!$D$4:$D$810=$A49),5))="Win","W","L"),"")</f>
        <v>W</v>
      </c>
      <c r="H49" s="112" t="str">
        <f>IFERROR(IF(INDEX('Match Log'!$E$1:$E$810,_xlfn.AGGREGATE(14,6,ROW('Match Log'!$A$4:$A$810)/('Match Log'!$D$4:$D$810=$A49),4))="Win","W","L"),"")</f>
        <v>L</v>
      </c>
      <c r="I49" s="112" t="str">
        <f>IFERROR(IF(INDEX('Match Log'!$E$1:$E$810,_xlfn.AGGREGATE(14,6,ROW('Match Log'!$A$4:$A$810)/('Match Log'!$D$4:$D$810=$A49),3))="Win","W","L"),"")</f>
        <v>L</v>
      </c>
      <c r="J49" s="112" t="str">
        <f>IFERROR(IF(INDEX('Match Log'!$E$1:$E$810,_xlfn.AGGREGATE(14,6,ROW('Match Log'!$A$4:$A$810)/('Match Log'!$D$4:$D$810=$A49),2))="Win","W","L"),"")</f>
        <v>L</v>
      </c>
      <c r="K49" s="112" t="str">
        <f>IFERROR(IF(INDEX('Match Log'!$E$1:$E$810,_xlfn.AGGREGATE(14,6,ROW('Match Log'!$A$4:$A$810)/('Match Log'!$D$4:$D$810=$A49),1))="Win","W","L"),"")</f>
        <v>L</v>
      </c>
      <c r="L49" s="26"/>
      <c r="M49" s="26"/>
      <c r="N49" s="26"/>
      <c r="O49" s="26"/>
      <c r="P49" s="26"/>
      <c r="Q49" s="26"/>
      <c r="R49" s="26"/>
      <c r="S49" s="26"/>
      <c r="T49" s="26"/>
      <c r="U49" s="26"/>
    </row>
    <row r="50" spans="1:21" x14ac:dyDescent="0.2">
      <c r="A50" s="91" t="s">
        <v>176</v>
      </c>
      <c r="B50" s="112" t="str">
        <f>IFERROR(IF(INDEX('Match Log'!$E$1:$E$810,_xlfn.AGGREGATE(14,6,ROW('Match Log'!$A$4:$A$810)/('Match Log'!$D$4:$D$810=$A50),10))="Win","W","L"),"")</f>
        <v>W</v>
      </c>
      <c r="C50" s="112" t="str">
        <f>IFERROR(IF(INDEX('Match Log'!$E$1:$E$810,_xlfn.AGGREGATE(14,6,ROW('Match Log'!$A$4:$A$810)/('Match Log'!$D$4:$D$810=$A50),9))="Win","W","L"),"")</f>
        <v>W</v>
      </c>
      <c r="D50" s="112" t="str">
        <f>IFERROR(IF(INDEX('Match Log'!$E$1:$E$810,_xlfn.AGGREGATE(14,6,ROW('Match Log'!$A$4:$A$810)/('Match Log'!$D$4:$D$810=$A50),8))="Win","W","L"),"")</f>
        <v>W</v>
      </c>
      <c r="E50" s="112" t="str">
        <f>IFERROR(IF(INDEX('Match Log'!$E$1:$E$810,_xlfn.AGGREGATE(14,6,ROW('Match Log'!$A$4:$A$810)/('Match Log'!$D$4:$D$810=$A50),7))="Win","W","L"),"")</f>
        <v>L</v>
      </c>
      <c r="F50" s="112" t="str">
        <f>IFERROR(IF(INDEX('Match Log'!$E$1:$E$810,_xlfn.AGGREGATE(14,6,ROW('Match Log'!$A$4:$A$810)/('Match Log'!$D$4:$D$810=$A50),6))="Win","W","L"),"")</f>
        <v>W</v>
      </c>
      <c r="G50" s="112" t="str">
        <f>IFERROR(IF(INDEX('Match Log'!$E$1:$E$810,_xlfn.AGGREGATE(14,6,ROW('Match Log'!$A$4:$A$810)/('Match Log'!$D$4:$D$810=$A50),5))="Win","W","L"),"")</f>
        <v>W</v>
      </c>
      <c r="H50" s="112" t="str">
        <f>IFERROR(IF(INDEX('Match Log'!$E$1:$E$810,_xlfn.AGGREGATE(14,6,ROW('Match Log'!$A$4:$A$810)/('Match Log'!$D$4:$D$810=$A50),4))="Win","W","L"),"")</f>
        <v>W</v>
      </c>
      <c r="I50" s="112" t="str">
        <f>IFERROR(IF(INDEX('Match Log'!$E$1:$E$810,_xlfn.AGGREGATE(14,6,ROW('Match Log'!$A$4:$A$810)/('Match Log'!$D$4:$D$810=$A50),3))="Win","W","L"),"")</f>
        <v>W</v>
      </c>
      <c r="J50" s="112" t="str">
        <f>IFERROR(IF(INDEX('Match Log'!$E$1:$E$810,_xlfn.AGGREGATE(14,6,ROW('Match Log'!$A$4:$A$810)/('Match Log'!$D$4:$D$810=$A50),2))="Win","W","L"),"")</f>
        <v>L</v>
      </c>
      <c r="K50" s="112" t="str">
        <f>IFERROR(IF(INDEX('Match Log'!$E$1:$E$810,_xlfn.AGGREGATE(14,6,ROW('Match Log'!$A$4:$A$810)/('Match Log'!$D$4:$D$810=$A50),1))="Win","W","L"),"")</f>
        <v>L</v>
      </c>
      <c r="L50" s="26"/>
      <c r="M50" s="26"/>
      <c r="N50" s="26"/>
      <c r="O50" s="26"/>
      <c r="P50" s="26"/>
      <c r="Q50" s="26"/>
      <c r="R50" s="26"/>
      <c r="S50" s="26"/>
      <c r="T50" s="26"/>
      <c r="U50" s="26"/>
    </row>
    <row r="51" spans="1:21" x14ac:dyDescent="0.2">
      <c r="A51" s="91" t="s">
        <v>178</v>
      </c>
      <c r="B51" s="112" t="str">
        <f>IFERROR(IF(INDEX('Match Log'!$E$1:$E$810,_xlfn.AGGREGATE(14,6,ROW('Match Log'!$A$4:$A$810)/('Match Log'!$D$4:$D$810=$A51),10))="Win","W","L"),"")</f>
        <v/>
      </c>
      <c r="C51" s="112" t="str">
        <f>IFERROR(IF(INDEX('Match Log'!$E$1:$E$810,_xlfn.AGGREGATE(14,6,ROW('Match Log'!$A$4:$A$810)/('Match Log'!$D$4:$D$810=$A51),9))="Win","W","L"),"")</f>
        <v/>
      </c>
      <c r="D51" s="112" t="str">
        <f>IFERROR(IF(INDEX('Match Log'!$E$1:$E$810,_xlfn.AGGREGATE(14,6,ROW('Match Log'!$A$4:$A$810)/('Match Log'!$D$4:$D$810=$A51),8))="Win","W","L"),"")</f>
        <v/>
      </c>
      <c r="E51" s="112" t="str">
        <f>IFERROR(IF(INDEX('Match Log'!$E$1:$E$810,_xlfn.AGGREGATE(14,6,ROW('Match Log'!$A$4:$A$810)/('Match Log'!$D$4:$D$810=$A51),7))="Win","W","L"),"")</f>
        <v/>
      </c>
      <c r="F51" s="112" t="str">
        <f>IFERROR(IF(INDEX('Match Log'!$E$1:$E$810,_xlfn.AGGREGATE(14,6,ROW('Match Log'!$A$4:$A$810)/('Match Log'!$D$4:$D$810=$A51),6))="Win","W","L"),"")</f>
        <v/>
      </c>
      <c r="G51" s="112" t="str">
        <f>IFERROR(IF(INDEX('Match Log'!$E$1:$E$810,_xlfn.AGGREGATE(14,6,ROW('Match Log'!$A$4:$A$810)/('Match Log'!$D$4:$D$810=$A51),5))="Win","W","L"),"")</f>
        <v>L</v>
      </c>
      <c r="H51" s="112" t="str">
        <f>IFERROR(IF(INDEX('Match Log'!$E$1:$E$810,_xlfn.AGGREGATE(14,6,ROW('Match Log'!$A$4:$A$810)/('Match Log'!$D$4:$D$810=$A51),4))="Win","W","L"),"")</f>
        <v>L</v>
      </c>
      <c r="I51" s="112" t="str">
        <f>IFERROR(IF(INDEX('Match Log'!$E$1:$E$810,_xlfn.AGGREGATE(14,6,ROW('Match Log'!$A$4:$A$810)/('Match Log'!$D$4:$D$810=$A51),3))="Win","W","L"),"")</f>
        <v>L</v>
      </c>
      <c r="J51" s="112" t="str">
        <f>IFERROR(IF(INDEX('Match Log'!$E$1:$E$810,_xlfn.AGGREGATE(14,6,ROW('Match Log'!$A$4:$A$810)/('Match Log'!$D$4:$D$810=$A51),2))="Win","W","L"),"")</f>
        <v>W</v>
      </c>
      <c r="K51" s="112" t="str">
        <f>IFERROR(IF(INDEX('Match Log'!$E$1:$E$810,_xlfn.AGGREGATE(14,6,ROW('Match Log'!$A$4:$A$810)/('Match Log'!$D$4:$D$810=$A51),1))="Win","W","L"),"")</f>
        <v>W</v>
      </c>
      <c r="L51" s="26"/>
      <c r="M51" s="26"/>
      <c r="N51" s="26"/>
      <c r="O51" s="26"/>
      <c r="P51" s="26"/>
      <c r="Q51" s="26"/>
      <c r="R51" s="26"/>
      <c r="S51" s="26"/>
      <c r="T51" s="26"/>
      <c r="U51" s="26"/>
    </row>
    <row r="52" spans="1:21" x14ac:dyDescent="0.2">
      <c r="A52" s="91" t="s">
        <v>179</v>
      </c>
      <c r="B52" s="112" t="str">
        <f>IFERROR(IF(INDEX('Match Log'!$E$1:$E$810,_xlfn.AGGREGATE(14,6,ROW('Match Log'!$A$4:$A$810)/('Match Log'!$D$4:$D$810=$A52),10))="Win","W","L"),"")</f>
        <v/>
      </c>
      <c r="C52" s="112" t="str">
        <f>IFERROR(IF(INDEX('Match Log'!$E$1:$E$810,_xlfn.AGGREGATE(14,6,ROW('Match Log'!$A$4:$A$810)/('Match Log'!$D$4:$D$810=$A52),9))="Win","W","L"),"")</f>
        <v/>
      </c>
      <c r="D52" s="112" t="str">
        <f>IFERROR(IF(INDEX('Match Log'!$E$1:$E$810,_xlfn.AGGREGATE(14,6,ROW('Match Log'!$A$4:$A$810)/('Match Log'!$D$4:$D$810=$A52),8))="Win","W","L"),"")</f>
        <v/>
      </c>
      <c r="E52" s="112" t="str">
        <f>IFERROR(IF(INDEX('Match Log'!$E$1:$E$810,_xlfn.AGGREGATE(14,6,ROW('Match Log'!$A$4:$A$810)/('Match Log'!$D$4:$D$810=$A52),7))="Win","W","L"),"")</f>
        <v/>
      </c>
      <c r="F52" s="112" t="str">
        <f>IFERROR(IF(INDEX('Match Log'!$E$1:$E$810,_xlfn.AGGREGATE(14,6,ROW('Match Log'!$A$4:$A$810)/('Match Log'!$D$4:$D$810=$A52),6))="Win","W","L"),"")</f>
        <v/>
      </c>
      <c r="G52" s="112" t="str">
        <f>IFERROR(IF(INDEX('Match Log'!$E$1:$E$810,_xlfn.AGGREGATE(14,6,ROW('Match Log'!$A$4:$A$810)/('Match Log'!$D$4:$D$810=$A52),5))="Win","W","L"),"")</f>
        <v/>
      </c>
      <c r="H52" s="112" t="str">
        <f>IFERROR(IF(INDEX('Match Log'!$E$1:$E$810,_xlfn.AGGREGATE(14,6,ROW('Match Log'!$A$4:$A$810)/('Match Log'!$D$4:$D$810=$A52),4))="Win","W","L"),"")</f>
        <v>W</v>
      </c>
      <c r="I52" s="112" t="str">
        <f>IFERROR(IF(INDEX('Match Log'!$E$1:$E$810,_xlfn.AGGREGATE(14,6,ROW('Match Log'!$A$4:$A$810)/('Match Log'!$D$4:$D$810=$A52),3))="Win","W","L"),"")</f>
        <v>L</v>
      </c>
      <c r="J52" s="112" t="str">
        <f>IFERROR(IF(INDEX('Match Log'!$E$1:$E$810,_xlfn.AGGREGATE(14,6,ROW('Match Log'!$A$4:$A$810)/('Match Log'!$D$4:$D$810=$A52),2))="Win","W","L"),"")</f>
        <v>W</v>
      </c>
      <c r="K52" s="112" t="str">
        <f>IFERROR(IF(INDEX('Match Log'!$E$1:$E$810,_xlfn.AGGREGATE(14,6,ROW('Match Log'!$A$4:$A$810)/('Match Log'!$D$4:$D$810=$A52),1))="Win","W","L"),"")</f>
        <v>L</v>
      </c>
      <c r="L52" s="26"/>
      <c r="M52" s="26"/>
      <c r="N52" s="26"/>
      <c r="O52" s="26"/>
      <c r="P52" s="26"/>
      <c r="Q52" s="26"/>
      <c r="R52" s="26"/>
      <c r="S52" s="26"/>
      <c r="T52" s="26"/>
      <c r="U52" s="26"/>
    </row>
    <row r="53" spans="1:21" x14ac:dyDescent="0.2">
      <c r="A53" s="91" t="s">
        <v>181</v>
      </c>
      <c r="B53" s="112" t="str">
        <f>IFERROR(IF(INDEX('Match Log'!$E$1:$E$810,_xlfn.AGGREGATE(14,6,ROW('Match Log'!$A$4:$A$810)/('Match Log'!$D$4:$D$810=$A53),10))="Win","W","L"),"")</f>
        <v/>
      </c>
      <c r="C53" s="112" t="str">
        <f>IFERROR(IF(INDEX('Match Log'!$E$1:$E$810,_xlfn.AGGREGATE(14,6,ROW('Match Log'!$A$4:$A$810)/('Match Log'!$D$4:$D$810=$A53),9))="Win","W","L"),"")</f>
        <v/>
      </c>
      <c r="D53" s="112" t="str">
        <f>IFERROR(IF(INDEX('Match Log'!$E$1:$E$810,_xlfn.AGGREGATE(14,6,ROW('Match Log'!$A$4:$A$810)/('Match Log'!$D$4:$D$810=$A53),8))="Win","W","L"),"")</f>
        <v/>
      </c>
      <c r="E53" s="112" t="str">
        <f>IFERROR(IF(INDEX('Match Log'!$E$1:$E$810,_xlfn.AGGREGATE(14,6,ROW('Match Log'!$A$4:$A$810)/('Match Log'!$D$4:$D$810=$A53),7))="Win","W","L"),"")</f>
        <v/>
      </c>
      <c r="F53" s="112" t="str">
        <f>IFERROR(IF(INDEX('Match Log'!$E$1:$E$810,_xlfn.AGGREGATE(14,6,ROW('Match Log'!$A$4:$A$810)/('Match Log'!$D$4:$D$810=$A53),6))="Win","W","L"),"")</f>
        <v/>
      </c>
      <c r="G53" s="112" t="str">
        <f>IFERROR(IF(INDEX('Match Log'!$E$1:$E$810,_xlfn.AGGREGATE(14,6,ROW('Match Log'!$A$4:$A$810)/('Match Log'!$D$4:$D$810=$A53),5))="Win","W","L"),"")</f>
        <v/>
      </c>
      <c r="H53" s="112" t="str">
        <f>IFERROR(IF(INDEX('Match Log'!$E$1:$E$810,_xlfn.AGGREGATE(14,6,ROW('Match Log'!$A$4:$A$810)/('Match Log'!$D$4:$D$810=$A53),4))="Win","W","L"),"")</f>
        <v/>
      </c>
      <c r="I53" s="112" t="str">
        <f>IFERROR(IF(INDEX('Match Log'!$E$1:$E$810,_xlfn.AGGREGATE(14,6,ROW('Match Log'!$A$4:$A$810)/('Match Log'!$D$4:$D$810=$A53),3))="Win","W","L"),"")</f>
        <v/>
      </c>
      <c r="J53" s="112" t="str">
        <f>IFERROR(IF(INDEX('Match Log'!$E$1:$E$810,_xlfn.AGGREGATE(14,6,ROW('Match Log'!$A$4:$A$810)/('Match Log'!$D$4:$D$810=$A53),2))="Win","W","L"),"")</f>
        <v/>
      </c>
      <c r="K53" s="112"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t="inlineStr">
        <is>
          <t>HORSE - Basketball</t>
        </is>
      </c>
    </row>
    <row r="58" spans="1:21" x14ac:dyDescent="0.2">
      <c r="A58" s="91" t="s">
        <v>145</v>
      </c>
      <c r="B58" s="115" t="str">
        <f>IFERROR(INDEX('Sport Records'!$B$52:$O$71,MATCH($B$57,'Sport Records'!$A$52:$A$71,0),MATCH($A58,'Sport Records'!$B$51:$O$51,0)),"")</f>
        <v/>
      </c>
      <c r="C58" s="115" t="str">
        <f>IFERROR(INDEX('Sport Records'!$B$52:$O$71,MATCH($C$57,'Sport Records'!$A$52:$A$71,0),MATCH($A58,'Sport Records'!$B$51:$O$51,0)),"")</f>
        <v/>
      </c>
      <c r="D58" s="115">
        <f>IFERROR(INDEX('Sport Records'!$B$52:$O$71,MATCH($D$57,'Sport Records'!$A$52:$A$71,0),MATCH($A58,'Sport Records'!$B$51:$O$51,0)),"")</f>
        <v>0.75</v>
      </c>
      <c r="E58" s="115" t="str">
        <f>IFERROR(INDEX('Sport Records'!$B$52:$O$71,MATCH($E$57,'Sport Records'!$A$52:$A$71,0),MATCH($A58,'Sport Records'!$B$51:$O$51,0)),"")</f>
        <v/>
      </c>
      <c r="F58" s="115" t="str">
        <f>IFERROR(INDEX('Sport Records'!$B$52:$O$71,MATCH($F$57,'Sport Records'!$A$52:$A$71,0),MATCH($A58,'Sport Records'!$B$51:$O$51,0)),"")</f>
        <v/>
      </c>
      <c r="G58" s="115">
        <f>IFERROR(INDEX('Sport Records'!$B$52:$O$71,MATCH($G$57,'Sport Records'!$A$52:$A$71,0),MATCH($A58,'Sport Records'!$B$51:$O$51,0)),"")</f>
        <v>1</v>
      </c>
      <c r="H58" s="115" t="str">
        <f>IFERROR(INDEX('Sport Records'!$B$52:$O$71,MATCH($H$57,'Sport Records'!$A$52:$A$71,0),MATCH($A58,'Sport Records'!$B$51:$O$51,0)),"")</f>
        <v/>
      </c>
      <c r="I58" s="115" t="str">
        <f>IFERROR(INDEX('Sport Records'!$B$52:$O$71,MATCH($I$57,'Sport Records'!$A$52:$A$71,0),MATCH($A58,'Sport Records'!$B$51:$O$51,0)),"")</f>
        <v/>
      </c>
      <c r="J58" s="115" t="str">
        <f>IFERROR(INDEX('Sport Records'!$B$52:$O$71,MATCH($J$57,'Sport Records'!$A$52:$A$71,0),MATCH($A58,'Sport Records'!$B$51:$O$51,0)),"")</f>
        <v/>
      </c>
      <c r="K58" s="115" t="str">
        <f>IFERROR(INDEX('Sport Records'!$B$52:$O$71,MATCH($K$57,'Sport Records'!$A$52:$A$71,0),MATCH($A58,'Sport Records'!$B$51:$O$51,0)),"")</f>
        <v/>
      </c>
      <c r="L58" s="115" t="str">
        <f>IFERROR(INDEX('Sport Records'!$B$52:$O$71,MATCH($L$57,'Sport Records'!$A$52:$A$71,0),MATCH($A58,'Sport Records'!$B$51:$O$51,0)),"")</f>
        <v/>
      </c>
      <c r="M58" s="115">
        <f>IFERROR(INDEX('Sport Records'!$B$52:$O$71,MATCH($M$57,'Sport Records'!$A$52:$A$71,0),MATCH($A58,'Sport Records'!$B$51:$O$51,0)),"")</f>
        <v>0.5</v>
      </c>
      <c r="N58" s="115">
        <f>IFERROR(INDEX('Sport Records'!$B$52:$O$71,MATCH($N$57,'Sport Records'!$A$52:$A$71,0),MATCH($A58,'Sport Records'!$B$51:$O$51,0)),"")</f>
        <v>0.5</v>
      </c>
      <c r="O58" s="115">
        <f>IFERROR(INDEX('Sport Records'!$B$52:$O$71,MATCH($O$57,'Sport Records'!$A$52:$A$71,0),MATCH($A58,'Sport Records'!$B$51:$O$51,0)),"")</f>
        <v>1</v>
      </c>
      <c r="P58" s="115" t="str">
        <f>IFERROR(INDEX('Sport Records'!$B$52:$O$71,MATCH($P$57,'Sport Records'!$A$52:$A$71,0),MATCH($A58,'Sport Records'!$B$51:$O$51,0)),"")</f>
        <v/>
      </c>
      <c r="Q58" s="115">
        <f>IFERROR(INDEX('Sport Records'!$B$52:$O$71,MATCH($Q$57,'Sport Records'!$A$52:$A$71,0),MATCH($A58,'Sport Records'!$B$51:$O$51,0)),"")</f>
        <v>0.5</v>
      </c>
      <c r="R58" s="115" t="str">
        <f>IFERROR(INDEX('Sport Records'!$B$52:$O$71,MATCH($R$57,'Sport Records'!$A$52:$A$71,0),MATCH($A58,'Sport Records'!$B$51:$O$51,0)),"")</f>
        <v/>
      </c>
      <c r="S58" s="115">
        <f>IFERROR(INDEX('Sport Records'!$B$52:$O$71,MATCH($S$57,'Sport Records'!$A$52:$A$71,0),MATCH($A58,'Sport Records'!$B$51:$O$51,0)),"")</f>
        <v>0.2857142857142857</v>
      </c>
      <c r="T58" s="115" t="str">
        <f>IFERROR(INDEX('Sport Records'!$B$52:$O$71,MATCH($T$57,'Sport Records'!$A$52:$A$71,0),MATCH($A58,'Sport Records'!$B$51:$O$51,0)),"")</f>
        <v/>
      </c>
      <c r="U58" s="26" t="str">
        <f>IFERROR(INDEX('Sport Records'!$B$52:$O$71,MATCH($U$57,'Sport Records'!$A$52:$A$71,0),MATCH($A58,'Sport Records'!$B$51:$O$51,0)),"")</f>
      </c>
    </row>
    <row r="59" spans="1:21" x14ac:dyDescent="0.2">
      <c r="A59" s="91" t="s">
        <v>142</v>
      </c>
      <c r="B59" s="115" t="str">
        <f>IFERROR(INDEX('Sport Records'!$B$52:$O$71,MATCH($B$57,'Sport Records'!$A$52:$A$71,0),MATCH($A59,'Sport Records'!$B$51:$O$51,0)),"")</f>
        <v/>
      </c>
      <c r="C59" s="115" t="str">
        <f>IFERROR(INDEX('Sport Records'!$B$52:$O$71,MATCH($C$57,'Sport Records'!$A$52:$A$71,0),MATCH($A59,'Sport Records'!$B$51:$O$51,0)),"")</f>
        <v/>
      </c>
      <c r="D59" s="115" t="str">
        <f>IFERROR(INDEX('Sport Records'!$B$52:$O$71,MATCH($D$57,'Sport Records'!$A$52:$A$71,0),MATCH($A59,'Sport Records'!$B$51:$O$51,0)),"")</f>
        <v/>
      </c>
      <c r="E59" s="115" t="str">
        <f>IFERROR(INDEX('Sport Records'!$B$52:$O$71,MATCH($E$57,'Sport Records'!$A$52:$A$71,0),MATCH($A59,'Sport Records'!$B$51:$O$51,0)),"")</f>
        <v/>
      </c>
      <c r="F59" s="115">
        <f>IFERROR(INDEX('Sport Records'!$B$52:$O$71,MATCH($F$57,'Sport Records'!$A$52:$A$71,0),MATCH($A59,'Sport Records'!$B$51:$O$51,0)),"")</f>
        <v>0</v>
      </c>
      <c r="G59" s="115" t="str">
        <f>IFERROR(INDEX('Sport Records'!$B$52:$O$71,MATCH($G$57,'Sport Records'!$A$52:$A$71,0),MATCH($A59,'Sport Records'!$B$51:$O$51,0)),"")</f>
        <v/>
      </c>
      <c r="H59" s="115" t="str">
        <f>IFERROR(INDEX('Sport Records'!$B$52:$O$71,MATCH($H$57,'Sport Records'!$A$52:$A$71,0),MATCH($A59,'Sport Records'!$B$51:$O$51,0)),"")</f>
        <v/>
      </c>
      <c r="I59" s="115" t="str">
        <f>IFERROR(INDEX('Sport Records'!$B$52:$O$71,MATCH($I$57,'Sport Records'!$A$52:$A$71,0),MATCH($A59,'Sport Records'!$B$51:$O$51,0)),"")</f>
        <v/>
      </c>
      <c r="J59" s="115" t="str">
        <f>IFERROR(INDEX('Sport Records'!$B$52:$O$71,MATCH($J$57,'Sport Records'!$A$52:$A$71,0),MATCH($A59,'Sport Records'!$B$51:$O$51,0)),"")</f>
        <v/>
      </c>
      <c r="K59" s="115" t="str">
        <f>IFERROR(INDEX('Sport Records'!$B$52:$O$71,MATCH($K$57,'Sport Records'!$A$52:$A$71,0),MATCH($A59,'Sport Records'!$B$51:$O$51,0)),"")</f>
        <v/>
      </c>
      <c r="L59" s="115" t="str">
        <f>IFERROR(INDEX('Sport Records'!$B$52:$O$71,MATCH($L$57,'Sport Records'!$A$52:$A$71,0),MATCH($A59,'Sport Records'!$B$51:$O$51,0)),"")</f>
        <v/>
      </c>
      <c r="M59" s="115">
        <f>IFERROR(INDEX('Sport Records'!$B$52:$O$71,MATCH($M$57,'Sport Records'!$A$52:$A$71,0),MATCH($A59,'Sport Records'!$B$51:$O$51,0)),"")</f>
        <v>0</v>
      </c>
      <c r="N59" s="115" t="str">
        <f>IFERROR(INDEX('Sport Records'!$B$52:$O$71,MATCH($N$57,'Sport Records'!$A$52:$A$71,0),MATCH($A59,'Sport Records'!$B$51:$O$51,0)),"")</f>
        <v/>
      </c>
      <c r="O59" s="115" t="str">
        <f>IFERROR(INDEX('Sport Records'!$B$52:$O$71,MATCH($O$57,'Sport Records'!$A$52:$A$71,0),MATCH($A59,'Sport Records'!$B$51:$O$51,0)),"")</f>
        <v/>
      </c>
      <c r="P59" s="115" t="str">
        <f>IFERROR(INDEX('Sport Records'!$B$52:$O$71,MATCH($P$57,'Sport Records'!$A$52:$A$71,0),MATCH($A59,'Sport Records'!$B$51:$O$51,0)),"")</f>
        <v/>
      </c>
      <c r="Q59" s="115" t="str">
        <f>IFERROR(INDEX('Sport Records'!$B$52:$O$71,MATCH($Q$57,'Sport Records'!$A$52:$A$71,0),MATCH($A59,'Sport Records'!$B$51:$O$51,0)),"")</f>
        <v/>
      </c>
      <c r="R59" s="115" t="str">
        <f>IFERROR(INDEX('Sport Records'!$B$52:$O$71,MATCH($R$57,'Sport Records'!$A$52:$A$71,0),MATCH($A59,'Sport Records'!$B$51:$O$51,0)),"")</f>
        <v/>
      </c>
      <c r="S59" s="115">
        <f>IFERROR(INDEX('Sport Records'!$B$52:$O$71,MATCH($S$57,'Sport Records'!$A$52:$A$71,0),MATCH($A59,'Sport Records'!$B$51:$O$51,0)),"")</f>
        <v>0.625</v>
      </c>
      <c r="T59" s="115" t="str">
        <f>IFERROR(INDEX('Sport Records'!$B$52:$O$71,MATCH($T$57,'Sport Records'!$A$52:$A$71,0),MATCH($A59,'Sport Records'!$B$51:$O$51,0)),"")</f>
        <v/>
      </c>
      <c r="U59" s="26" t="str">
        <f>IFERROR(INDEX('Sport Records'!$B$52:$O$71,MATCH($U$57,'Sport Records'!$A$52:$A$71,0),MATCH($A59,'Sport Records'!$B$51:$O$51,0)),"")</f>
      </c>
    </row>
    <row r="60" spans="1:21" x14ac:dyDescent="0.2">
      <c r="A60" s="91" t="s">
        <v>180</v>
      </c>
      <c r="B60" s="115" t="str">
        <f>IFERROR(INDEX('Sport Records'!$B$52:$O$71,MATCH($B$57,'Sport Records'!$A$52:$A$71,0),MATCH($A60,'Sport Records'!$B$51:$O$51,0)),"")</f>
        <v/>
      </c>
      <c r="C60" s="115" t="str">
        <f>IFERROR(INDEX('Sport Records'!$B$52:$O$71,MATCH($C$57,'Sport Records'!$A$52:$A$71,0),MATCH($A60,'Sport Records'!$B$51:$O$51,0)),"")</f>
        <v/>
      </c>
      <c r="D60" s="115">
        <f>IFERROR(INDEX('Sport Records'!$B$52:$O$71,MATCH($D$57,'Sport Records'!$A$52:$A$71,0),MATCH($A60,'Sport Records'!$B$51:$O$51,0)),"")</f>
        <v>0</v>
      </c>
      <c r="E60" s="115" t="str">
        <f>IFERROR(INDEX('Sport Records'!$B$52:$O$71,MATCH($E$57,'Sport Records'!$A$52:$A$71,0),MATCH($A60,'Sport Records'!$B$51:$O$51,0)),"")</f>
        <v/>
      </c>
      <c r="F60" s="115" t="str">
        <f>IFERROR(INDEX('Sport Records'!$B$52:$O$71,MATCH($F$57,'Sport Records'!$A$52:$A$71,0),MATCH($A60,'Sport Records'!$B$51:$O$51,0)),"")</f>
        <v/>
      </c>
      <c r="G60" s="115">
        <f>IFERROR(INDEX('Sport Records'!$B$52:$O$71,MATCH($G$57,'Sport Records'!$A$52:$A$71,0),MATCH($A60,'Sport Records'!$B$51:$O$51,0)),"")</f>
        <v>0</v>
      </c>
      <c r="H60" s="115" t="str">
        <f>IFERROR(INDEX('Sport Records'!$B$52:$O$71,MATCH($H$57,'Sport Records'!$A$52:$A$71,0),MATCH($A60,'Sport Records'!$B$51:$O$51,0)),"")</f>
        <v/>
      </c>
      <c r="I60" s="115" t="str">
        <f>IFERROR(INDEX('Sport Records'!$B$52:$O$71,MATCH($I$57,'Sport Records'!$A$52:$A$71,0),MATCH($A60,'Sport Records'!$B$51:$O$51,0)),"")</f>
        <v/>
      </c>
      <c r="J60" s="115" t="str">
        <f>IFERROR(INDEX('Sport Records'!$B$52:$O$71,MATCH($J$57,'Sport Records'!$A$52:$A$71,0),MATCH($A60,'Sport Records'!$B$51:$O$51,0)),"")</f>
        <v/>
      </c>
      <c r="K60" s="115" t="str">
        <f>IFERROR(INDEX('Sport Records'!$B$52:$O$71,MATCH($K$57,'Sport Records'!$A$52:$A$71,0),MATCH($A60,'Sport Records'!$B$51:$O$51,0)),"")</f>
        <v/>
      </c>
      <c r="L60" s="115" t="str">
        <f>IFERROR(INDEX('Sport Records'!$B$52:$O$71,MATCH($L$57,'Sport Records'!$A$52:$A$71,0),MATCH($A60,'Sport Records'!$B$51:$O$51,0)),"")</f>
        <v/>
      </c>
      <c r="M60" s="115" t="str">
        <f>IFERROR(INDEX('Sport Records'!$B$52:$O$71,MATCH($M$57,'Sport Records'!$A$52:$A$71,0),MATCH($A60,'Sport Records'!$B$51:$O$51,0)),"")</f>
        <v/>
      </c>
      <c r="N60" s="115" t="str">
        <f>IFERROR(INDEX('Sport Records'!$B$52:$O$71,MATCH($N$57,'Sport Records'!$A$52:$A$71,0),MATCH($A60,'Sport Records'!$B$51:$O$51,0)),"")</f>
        <v/>
      </c>
      <c r="O60" s="115">
        <f>IFERROR(INDEX('Sport Records'!$B$52:$O$71,MATCH($O$57,'Sport Records'!$A$52:$A$71,0),MATCH($A60,'Sport Records'!$B$51:$O$51,0)),"")</f>
        <v>1</v>
      </c>
      <c r="P60" s="115" t="str">
        <f>IFERROR(INDEX('Sport Records'!$B$52:$O$71,MATCH($P$57,'Sport Records'!$A$52:$A$71,0),MATCH($A60,'Sport Records'!$B$51:$O$51,0)),"")</f>
        <v/>
      </c>
      <c r="Q60" s="115">
        <f>IFERROR(INDEX('Sport Records'!$B$52:$O$71,MATCH($Q$57,'Sport Records'!$A$52:$A$71,0),MATCH($A60,'Sport Records'!$B$51:$O$51,0)),"")</f>
        <v>0</v>
      </c>
      <c r="R60" s="115">
        <f>IFERROR(INDEX('Sport Records'!$B$52:$O$71,MATCH($R$57,'Sport Records'!$A$52:$A$71,0),MATCH($A60,'Sport Records'!$B$51:$O$51,0)),"")</f>
        <v>0</v>
      </c>
      <c r="S60" s="115">
        <f>IFERROR(INDEX('Sport Records'!$B$52:$O$71,MATCH($S$57,'Sport Records'!$A$52:$A$71,0),MATCH($A60,'Sport Records'!$B$51:$O$51,0)),"")</f>
        <v>1</v>
      </c>
      <c r="T60" s="115" t="str">
        <f>IFERROR(INDEX('Sport Records'!$B$52:$O$71,MATCH($T$57,'Sport Records'!$A$52:$A$71,0),MATCH($A60,'Sport Records'!$B$51:$O$51,0)),"")</f>
        <v/>
      </c>
      <c r="U60" s="26" t="str">
        <f>IFERROR(INDEX('Sport Records'!$B$52:$O$71,MATCH($U$57,'Sport Records'!$A$52:$A$71,0),MATCH($A60,'Sport Records'!$B$51:$O$51,0)),"")</f>
      </c>
    </row>
    <row r="61" spans="1:21" x14ac:dyDescent="0.2">
      <c r="A61" s="91" t="s">
        <v>147</v>
      </c>
      <c r="B61" s="115" t="str">
        <f>IFERROR(INDEX('Sport Records'!$B$52:$O$71,MATCH($B$57,'Sport Records'!$A$52:$A$71,0),MATCH($A61,'Sport Records'!$B$51:$O$51,0)),"")</f>
        <v/>
      </c>
      <c r="C61" s="115" t="str">
        <f>IFERROR(INDEX('Sport Records'!$B$52:$O$71,MATCH($C$57,'Sport Records'!$A$52:$A$71,0),MATCH($A61,'Sport Records'!$B$51:$O$51,0)),"")</f>
        <v/>
      </c>
      <c r="D61" s="115" t="str">
        <f>IFERROR(INDEX('Sport Records'!$B$52:$O$71,MATCH($D$57,'Sport Records'!$A$52:$A$71,0),MATCH($A61,'Sport Records'!$B$51:$O$51,0)),"")</f>
        <v/>
      </c>
      <c r="E61" s="115" t="str">
        <f>IFERROR(INDEX('Sport Records'!$B$52:$O$71,MATCH($E$57,'Sport Records'!$A$52:$A$71,0),MATCH($A61,'Sport Records'!$B$51:$O$51,0)),"")</f>
        <v/>
      </c>
      <c r="F61" s="115" t="str">
        <f>IFERROR(INDEX('Sport Records'!$B$52:$O$71,MATCH($F$57,'Sport Records'!$A$52:$A$71,0),MATCH($A61,'Sport Records'!$B$51:$O$51,0)),"")</f>
        <v/>
      </c>
      <c r="G61" s="115">
        <f>IFERROR(INDEX('Sport Records'!$B$52:$O$71,MATCH($G$57,'Sport Records'!$A$52:$A$71,0),MATCH($A61,'Sport Records'!$B$51:$O$51,0)),"")</f>
        <v>0</v>
      </c>
      <c r="H61" s="115" t="str">
        <f>IFERROR(INDEX('Sport Records'!$B$52:$O$71,MATCH($H$57,'Sport Records'!$A$52:$A$71,0),MATCH($A61,'Sport Records'!$B$51:$O$51,0)),"")</f>
        <v/>
      </c>
      <c r="I61" s="115" t="str">
        <f>IFERROR(INDEX('Sport Records'!$B$52:$O$71,MATCH($I$57,'Sport Records'!$A$52:$A$71,0),MATCH($A61,'Sport Records'!$B$51:$O$51,0)),"")</f>
        <v/>
      </c>
      <c r="J61" s="115" t="str">
        <f>IFERROR(INDEX('Sport Records'!$B$52:$O$71,MATCH($J$57,'Sport Records'!$A$52:$A$71,0),MATCH($A61,'Sport Records'!$B$51:$O$51,0)),"")</f>
        <v/>
      </c>
      <c r="K61" s="115" t="str">
        <f>IFERROR(INDEX('Sport Records'!$B$52:$O$71,MATCH($K$57,'Sport Records'!$A$52:$A$71,0),MATCH($A61,'Sport Records'!$B$51:$O$51,0)),"")</f>
        <v/>
      </c>
      <c r="L61" s="115" t="str">
        <f>IFERROR(INDEX('Sport Records'!$B$52:$O$71,MATCH($L$57,'Sport Records'!$A$52:$A$71,0),MATCH($A61,'Sport Records'!$B$51:$O$51,0)),"")</f>
        <v/>
      </c>
      <c r="M61" s="115">
        <f>IFERROR(INDEX('Sport Records'!$B$52:$O$71,MATCH($M$57,'Sport Records'!$A$52:$A$71,0),MATCH($A61,'Sport Records'!$B$51:$O$51,0)),"")</f>
        <v>0.16666666666666666</v>
      </c>
      <c r="N61" s="115" t="str">
        <f>IFERROR(INDEX('Sport Records'!$B$52:$O$71,MATCH($N$57,'Sport Records'!$A$52:$A$71,0),MATCH($A61,'Sport Records'!$B$51:$O$51,0)),"")</f>
        <v/>
      </c>
      <c r="O61" s="115" t="str">
        <f>IFERROR(INDEX('Sport Records'!$B$52:$O$71,MATCH($O$57,'Sport Records'!$A$52:$A$71,0),MATCH($A61,'Sport Records'!$B$51:$O$51,0)),"")</f>
        <v/>
      </c>
      <c r="P61" s="115" t="str">
        <f>IFERROR(INDEX('Sport Records'!$B$52:$O$71,MATCH($P$57,'Sport Records'!$A$52:$A$71,0),MATCH($A61,'Sport Records'!$B$51:$O$51,0)),"")</f>
        <v/>
      </c>
      <c r="Q61" s="115" t="str">
        <f>IFERROR(INDEX('Sport Records'!$B$52:$O$71,MATCH($Q$57,'Sport Records'!$A$52:$A$71,0),MATCH($A61,'Sport Records'!$B$51:$O$51,0)),"")</f>
        <v/>
      </c>
      <c r="R61" s="115" t="str">
        <f>IFERROR(INDEX('Sport Records'!$B$52:$O$71,MATCH($R$57,'Sport Records'!$A$52:$A$71,0),MATCH($A61,'Sport Records'!$B$51:$O$51,0)),"")</f>
        <v/>
      </c>
      <c r="S61" s="115">
        <f>IFERROR(INDEX('Sport Records'!$B$52:$O$71,MATCH($S$57,'Sport Records'!$A$52:$A$71,0),MATCH($A61,'Sport Records'!$B$51:$O$51,0)),"")</f>
        <v>0.42857142857142855</v>
      </c>
      <c r="T61" s="115" t="str">
        <f>IFERROR(INDEX('Sport Records'!$B$52:$O$71,MATCH($T$57,'Sport Records'!$A$52:$A$71,0),MATCH($A61,'Sport Records'!$B$51:$O$51,0)),"")</f>
        <v/>
      </c>
      <c r="U61" s="26" t="str">
        <f>IFERROR(INDEX('Sport Records'!$B$52:$O$71,MATCH($U$57,'Sport Records'!$A$52:$A$71,0),MATCH($A61,'Sport Records'!$B$51:$O$51,0)),"")</f>
      </c>
    </row>
    <row r="62" spans="1:21" x14ac:dyDescent="0.2">
      <c r="A62" s="91" t="s">
        <v>144</v>
      </c>
      <c r="B62" s="115" t="str">
        <f>IFERROR(INDEX('Sport Records'!$B$52:$O$71,MATCH($B$57,'Sport Records'!$A$52:$A$71,0),MATCH($A62,'Sport Records'!$B$51:$O$51,0)),"")</f>
        <v/>
      </c>
      <c r="C62" s="115" t="str">
        <f>IFERROR(INDEX('Sport Records'!$B$52:$O$71,MATCH($C$57,'Sport Records'!$A$52:$A$71,0),MATCH($A62,'Sport Records'!$B$51:$O$51,0)),"")</f>
        <v/>
      </c>
      <c r="D62" s="115">
        <f>IFERROR(INDEX('Sport Records'!$B$52:$O$71,MATCH($D$57,'Sport Records'!$A$52:$A$71,0),MATCH($A62,'Sport Records'!$B$51:$O$51,0)),"")</f>
        <v>0</v>
      </c>
      <c r="E62" s="115" t="str">
        <f>IFERROR(INDEX('Sport Records'!$B$52:$O$71,MATCH($E$57,'Sport Records'!$A$52:$A$71,0),MATCH($A62,'Sport Records'!$B$51:$O$51,0)),"")</f>
        <v/>
      </c>
      <c r="F62" s="115" t="str">
        <f>IFERROR(INDEX('Sport Records'!$B$52:$O$71,MATCH($F$57,'Sport Records'!$A$52:$A$71,0),MATCH($A62,'Sport Records'!$B$51:$O$51,0)),"")</f>
        <v/>
      </c>
      <c r="G62" s="115">
        <f>IFERROR(INDEX('Sport Records'!$B$52:$O$71,MATCH($G$57,'Sport Records'!$A$52:$A$71,0),MATCH($A62,'Sport Records'!$B$51:$O$51,0)),"")</f>
        <v>0</v>
      </c>
      <c r="H62" s="115" t="str">
        <f>IFERROR(INDEX('Sport Records'!$B$52:$O$71,MATCH($H$57,'Sport Records'!$A$52:$A$71,0),MATCH($A62,'Sport Records'!$B$51:$O$51,0)),"")</f>
        <v/>
      </c>
      <c r="I62" s="115" t="str">
        <f>IFERROR(INDEX('Sport Records'!$B$52:$O$71,MATCH($I$57,'Sport Records'!$A$52:$A$71,0),MATCH($A62,'Sport Records'!$B$51:$O$51,0)),"")</f>
        <v/>
      </c>
      <c r="J62" s="115">
        <f>IFERROR(INDEX('Sport Records'!$B$52:$O$71,MATCH($J$57,'Sport Records'!$A$52:$A$71,0),MATCH($A62,'Sport Records'!$B$51:$O$51,0)),"")</f>
        <v>1</v>
      </c>
      <c r="K62" s="115" t="str">
        <f>IFERROR(INDEX('Sport Records'!$B$52:$O$71,MATCH($K$57,'Sport Records'!$A$52:$A$71,0),MATCH($A62,'Sport Records'!$B$51:$O$51,0)),"")</f>
        <v/>
      </c>
      <c r="L62" s="115" t="str">
        <f>IFERROR(INDEX('Sport Records'!$B$52:$O$71,MATCH($L$57,'Sport Records'!$A$52:$A$71,0),MATCH($A62,'Sport Records'!$B$51:$O$51,0)),"")</f>
        <v/>
      </c>
      <c r="M62" s="115">
        <f>IFERROR(INDEX('Sport Records'!$B$52:$O$71,MATCH($M$57,'Sport Records'!$A$52:$A$71,0),MATCH($A62,'Sport Records'!$B$51:$O$51,0)),"")</f>
        <v>0.8666666666666667</v>
      </c>
      <c r="N62" s="115">
        <f>IFERROR(INDEX('Sport Records'!$B$52:$O$71,MATCH($N$57,'Sport Records'!$A$52:$A$71,0),MATCH($A62,'Sport Records'!$B$51:$O$51,0)),"")</f>
        <v>0</v>
      </c>
      <c r="O62" s="115" t="str">
        <f>IFERROR(INDEX('Sport Records'!$B$52:$O$71,MATCH($O$57,'Sport Records'!$A$52:$A$71,0),MATCH($A62,'Sport Records'!$B$51:$O$51,0)),"")</f>
        <v/>
      </c>
      <c r="P62" s="115" t="str">
        <f>IFERROR(INDEX('Sport Records'!$B$52:$O$71,MATCH($P$57,'Sport Records'!$A$52:$A$71,0),MATCH($A62,'Sport Records'!$B$51:$O$51,0)),"")</f>
        <v/>
      </c>
      <c r="Q62" s="115" t="str">
        <f>IFERROR(INDEX('Sport Records'!$B$52:$O$71,MATCH($Q$57,'Sport Records'!$A$52:$A$71,0),MATCH($A62,'Sport Records'!$B$51:$O$51,0)),"")</f>
        <v/>
      </c>
      <c r="R62" s="115">
        <f>IFERROR(INDEX('Sport Records'!$B$52:$O$71,MATCH($R$57,'Sport Records'!$A$52:$A$71,0),MATCH($A62,'Sport Records'!$B$51:$O$51,0)),"")</f>
        <v>1</v>
      </c>
      <c r="S62" s="115">
        <f>IFERROR(INDEX('Sport Records'!$B$52:$O$71,MATCH($S$57,'Sport Records'!$A$52:$A$71,0),MATCH($A62,'Sport Records'!$B$51:$O$51,0)),"")</f>
        <v>0.375</v>
      </c>
      <c r="T62" s="115">
        <f>IFERROR(INDEX('Sport Records'!$B$52:$O$71,MATCH($T$57,'Sport Records'!$A$52:$A$71,0),MATCH($A62,'Sport Records'!$B$51:$O$51,0)),"")</f>
        <v>0.5</v>
      </c>
      <c r="U62" s="26" t="str">
        <f>IFERROR(INDEX('Sport Records'!$B$52:$O$71,MATCH($U$57,'Sport Records'!$A$52:$A$71,0),MATCH($A62,'Sport Records'!$B$51:$O$51,0)),"")</f>
      </c>
    </row>
    <row r="63" spans="1:21" x14ac:dyDescent="0.2">
      <c r="A63" s="91" t="s">
        <v>141</v>
      </c>
      <c r="B63" s="115">
        <f>IFERROR(INDEX('Sport Records'!$B$52:$O$71,MATCH($B$57,'Sport Records'!$A$52:$A$71,0),MATCH($A63,'Sport Records'!$B$51:$O$51,0)),"")</f>
        <v>1</v>
      </c>
      <c r="C63" s="115" t="str">
        <f>IFERROR(INDEX('Sport Records'!$B$52:$O$71,MATCH($C$57,'Sport Records'!$A$52:$A$71,0),MATCH($A63,'Sport Records'!$B$51:$O$51,0)),"")</f>
        <v/>
      </c>
      <c r="D63" s="115">
        <f>IFERROR(INDEX('Sport Records'!$B$52:$O$71,MATCH($D$57,'Sport Records'!$A$52:$A$71,0),MATCH($A63,'Sport Records'!$B$51:$O$51,0)),"")</f>
        <v>0.46153846153846156</v>
      </c>
      <c r="E63" s="115" t="str">
        <f>IFERROR(INDEX('Sport Records'!$B$52:$O$71,MATCH($E$57,'Sport Records'!$A$52:$A$71,0),MATCH($A63,'Sport Records'!$B$51:$O$51,0)),"")</f>
        <v/>
      </c>
      <c r="F63" s="115" t="str">
        <f>IFERROR(INDEX('Sport Records'!$B$52:$O$71,MATCH($F$57,'Sport Records'!$A$52:$A$71,0),MATCH($A63,'Sport Records'!$B$51:$O$51,0)),"")</f>
        <v/>
      </c>
      <c r="G63" s="115">
        <f>IFERROR(INDEX('Sport Records'!$B$52:$O$71,MATCH($G$57,'Sport Records'!$A$52:$A$71,0),MATCH($A63,'Sport Records'!$B$51:$O$51,0)),"")</f>
        <v>0</v>
      </c>
      <c r="H63" s="115" t="str">
        <f>IFERROR(INDEX('Sport Records'!$B$52:$O$71,MATCH($H$57,'Sport Records'!$A$52:$A$71,0),MATCH($A63,'Sport Records'!$B$51:$O$51,0)),"")</f>
        <v/>
      </c>
      <c r="I63" s="115" t="str">
        <f>IFERROR(INDEX('Sport Records'!$B$52:$O$71,MATCH($I$57,'Sport Records'!$A$52:$A$71,0),MATCH($A63,'Sport Records'!$B$51:$O$51,0)),"")</f>
        <v/>
      </c>
      <c r="J63" s="115">
        <f>IFERROR(INDEX('Sport Records'!$B$52:$O$71,MATCH($J$57,'Sport Records'!$A$52:$A$71,0),MATCH($A63,'Sport Records'!$B$51:$O$51,0)),"")</f>
        <v>0</v>
      </c>
      <c r="K63" s="115" t="str">
        <f>IFERROR(INDEX('Sport Records'!$B$52:$O$71,MATCH($K$57,'Sport Records'!$A$52:$A$71,0),MATCH($A63,'Sport Records'!$B$51:$O$51,0)),"")</f>
        <v/>
      </c>
      <c r="L63" s="115" t="str">
        <f>IFERROR(INDEX('Sport Records'!$B$52:$O$71,MATCH($L$57,'Sport Records'!$A$52:$A$71,0),MATCH($A63,'Sport Records'!$B$51:$O$51,0)),"")</f>
        <v/>
      </c>
      <c r="M63" s="115">
        <f>IFERROR(INDEX('Sport Records'!$B$52:$O$71,MATCH($M$57,'Sport Records'!$A$52:$A$71,0),MATCH($A63,'Sport Records'!$B$51:$O$51,0)),"")</f>
        <v>1</v>
      </c>
      <c r="N63" s="115">
        <f>IFERROR(INDEX('Sport Records'!$B$52:$O$71,MATCH($N$57,'Sport Records'!$A$52:$A$71,0),MATCH($A63,'Sport Records'!$B$51:$O$51,0)),"")</f>
        <v>0.25</v>
      </c>
      <c r="O63" s="115">
        <f>IFERROR(INDEX('Sport Records'!$B$52:$O$71,MATCH($O$57,'Sport Records'!$A$52:$A$71,0),MATCH($A63,'Sport Records'!$B$51:$O$51,0)),"")</f>
        <v>0</v>
      </c>
      <c r="P63" s="115" t="str">
        <f>IFERROR(INDEX('Sport Records'!$B$52:$O$71,MATCH($P$57,'Sport Records'!$A$52:$A$71,0),MATCH($A63,'Sport Records'!$B$51:$O$51,0)),"")</f>
        <v/>
      </c>
      <c r="Q63" s="115" t="str">
        <f>IFERROR(INDEX('Sport Records'!$B$52:$O$71,MATCH($Q$57,'Sport Records'!$A$52:$A$71,0),MATCH($A63,'Sport Records'!$B$51:$O$51,0)),"")</f>
        <v/>
      </c>
      <c r="R63" s="115" t="str">
        <f>IFERROR(INDEX('Sport Records'!$B$52:$O$71,MATCH($R$57,'Sport Records'!$A$52:$A$71,0),MATCH($A63,'Sport Records'!$B$51:$O$51,0)),"")</f>
        <v/>
      </c>
      <c r="S63" s="115">
        <f>IFERROR(INDEX('Sport Records'!$B$52:$O$71,MATCH($S$57,'Sport Records'!$A$52:$A$71,0),MATCH($A63,'Sport Records'!$B$51:$O$51,0)),"")</f>
        <v>0.44444444444444442</v>
      </c>
      <c r="T63" s="115" t="str">
        <f>IFERROR(INDEX('Sport Records'!$B$52:$O$71,MATCH($T$57,'Sport Records'!$A$52:$A$71,0),MATCH($A63,'Sport Records'!$B$51:$O$51,0)),"")</f>
        <v/>
      </c>
      <c r="U63" s="26" t="str">
        <f>IFERROR(INDEX('Sport Records'!$B$52:$O$71,MATCH($U$57,'Sport Records'!$A$52:$A$71,0),MATCH($A63,'Sport Records'!$B$51:$O$51,0)),"")</f>
      </c>
    </row>
    <row r="64" spans="1:21" x14ac:dyDescent="0.2">
      <c r="A64" s="91" t="s">
        <v>175</v>
      </c>
      <c r="B64" s="115" t="str">
        <f>IFERROR(INDEX('Sport Records'!$B$52:$O$71,MATCH($B$57,'Sport Records'!$A$52:$A$71,0),MATCH($A64,'Sport Records'!$B$51:$O$51,0)),"")</f>
        <v/>
      </c>
      <c r="C64" s="115" t="str">
        <f>IFERROR(INDEX('Sport Records'!$B$52:$O$71,MATCH($C$57,'Sport Records'!$A$52:$A$71,0),MATCH($A64,'Sport Records'!$B$51:$O$51,0)),"")</f>
        <v/>
      </c>
      <c r="D64" s="115" t="str">
        <f>IFERROR(INDEX('Sport Records'!$B$52:$O$71,MATCH($D$57,'Sport Records'!$A$52:$A$71,0),MATCH($A64,'Sport Records'!$B$51:$O$51,0)),"")</f>
        <v/>
      </c>
      <c r="E64" s="115" t="str">
        <f>IFERROR(INDEX('Sport Records'!$B$52:$O$71,MATCH($E$57,'Sport Records'!$A$52:$A$71,0),MATCH($A64,'Sport Records'!$B$51:$O$51,0)),"")</f>
        <v/>
      </c>
      <c r="F64" s="115">
        <f>IFERROR(INDEX('Sport Records'!$B$52:$O$71,MATCH($F$57,'Sport Records'!$A$52:$A$71,0),MATCH($A64,'Sport Records'!$B$51:$O$51,0)),"")</f>
        <v>1</v>
      </c>
      <c r="G64" s="115">
        <f>IFERROR(INDEX('Sport Records'!$B$52:$O$71,MATCH($G$57,'Sport Records'!$A$52:$A$71,0),MATCH($A64,'Sport Records'!$B$51:$O$51,0)),"")</f>
        <v>0</v>
      </c>
      <c r="H64" s="115" t="str">
        <f>IFERROR(INDEX('Sport Records'!$B$52:$O$71,MATCH($H$57,'Sport Records'!$A$52:$A$71,0),MATCH($A64,'Sport Records'!$B$51:$O$51,0)),"")</f>
        <v/>
      </c>
      <c r="I64" s="115" t="str">
        <f>IFERROR(INDEX('Sport Records'!$B$52:$O$71,MATCH($I$57,'Sport Records'!$A$52:$A$71,0),MATCH($A64,'Sport Records'!$B$51:$O$51,0)),"")</f>
        <v/>
      </c>
      <c r="J64" s="115" t="str">
        <f>IFERROR(INDEX('Sport Records'!$B$52:$O$71,MATCH($J$57,'Sport Records'!$A$52:$A$71,0),MATCH($A64,'Sport Records'!$B$51:$O$51,0)),"")</f>
        <v/>
      </c>
      <c r="K64" s="115" t="str">
        <f>IFERROR(INDEX('Sport Records'!$B$52:$O$71,MATCH($K$57,'Sport Records'!$A$52:$A$71,0),MATCH($A64,'Sport Records'!$B$51:$O$51,0)),"")</f>
        <v/>
      </c>
      <c r="L64" s="115" t="str">
        <f>IFERROR(INDEX('Sport Records'!$B$52:$O$71,MATCH($L$57,'Sport Records'!$A$52:$A$71,0),MATCH($A64,'Sport Records'!$B$51:$O$51,0)),"")</f>
        <v/>
      </c>
      <c r="M64" s="115">
        <f>IFERROR(INDEX('Sport Records'!$B$52:$O$71,MATCH($M$57,'Sport Records'!$A$52:$A$71,0),MATCH($A64,'Sport Records'!$B$51:$O$51,0)),"")</f>
        <v>0</v>
      </c>
      <c r="N64" s="115" t="str">
        <f>IFERROR(INDEX('Sport Records'!$B$52:$O$71,MATCH($N$57,'Sport Records'!$A$52:$A$71,0),MATCH($A64,'Sport Records'!$B$51:$O$51,0)),"")</f>
        <v/>
      </c>
      <c r="O64" s="115" t="str">
        <f>IFERROR(INDEX('Sport Records'!$B$52:$O$71,MATCH($O$57,'Sport Records'!$A$52:$A$71,0),MATCH($A64,'Sport Records'!$B$51:$O$51,0)),"")</f>
        <v/>
      </c>
      <c r="P64" s="115" t="str">
        <f>IFERROR(INDEX('Sport Records'!$B$52:$O$71,MATCH($P$57,'Sport Records'!$A$52:$A$71,0),MATCH($A64,'Sport Records'!$B$51:$O$51,0)),"")</f>
        <v/>
      </c>
      <c r="Q64" s="115" t="str">
        <f>IFERROR(INDEX('Sport Records'!$B$52:$O$71,MATCH($Q$57,'Sport Records'!$A$52:$A$71,0),MATCH($A64,'Sport Records'!$B$51:$O$51,0)),"")</f>
        <v/>
      </c>
      <c r="R64" s="115" t="str">
        <f>IFERROR(INDEX('Sport Records'!$B$52:$O$71,MATCH($R$57,'Sport Records'!$A$52:$A$71,0),MATCH($A64,'Sport Records'!$B$51:$O$51,0)),"")</f>
        <v/>
      </c>
      <c r="S64" s="115">
        <f>IFERROR(INDEX('Sport Records'!$B$52:$O$71,MATCH($S$57,'Sport Records'!$A$52:$A$71,0),MATCH($A64,'Sport Records'!$B$51:$O$51,0)),"")</f>
        <v>0.72727272727272729</v>
      </c>
      <c r="T64" s="115" t="str">
        <f>IFERROR(INDEX('Sport Records'!$B$52:$O$71,MATCH($T$57,'Sport Records'!$A$52:$A$71,0),MATCH($A64,'Sport Records'!$B$51:$O$51,0)),"")</f>
        <v/>
      </c>
      <c r="U64" s="26" t="str">
        <f>IFERROR(INDEX('Sport Records'!$B$52:$O$71,MATCH($U$57,'Sport Records'!$A$52:$A$71,0),MATCH($A64,'Sport Records'!$B$51:$O$51,0)),"")</f>
      </c>
    </row>
    <row r="65" spans="1:21" ht="15.75" customHeight="1" x14ac:dyDescent="0.2">
      <c r="A65" s="91" t="s">
        <v>177</v>
      </c>
      <c r="B65" s="115">
        <f>IFERROR(INDEX('Sport Records'!$B$52:$O$71,MATCH($B$57,'Sport Records'!$A$52:$A$71,0),MATCH($A65,'Sport Records'!$B$51:$O$51,0)),"")</f>
        <v>0</v>
      </c>
      <c r="C65" s="115" t="str">
        <f>IFERROR(INDEX('Sport Records'!$B$52:$O$71,MATCH($C$57,'Sport Records'!$A$52:$A$71,0),MATCH($A65,'Sport Records'!$B$51:$O$51,0)),"")</f>
        <v/>
      </c>
      <c r="D65" s="115">
        <f>IFERROR(INDEX('Sport Records'!$B$52:$O$71,MATCH($D$57,'Sport Records'!$A$52:$A$71,0),MATCH($A65,'Sport Records'!$B$51:$O$51,0)),"")</f>
        <v>0.44444444444444442</v>
      </c>
      <c r="E65" s="115" t="str">
        <f>IFERROR(INDEX('Sport Records'!$B$52:$O$71,MATCH($E$57,'Sport Records'!$A$52:$A$71,0),MATCH($A65,'Sport Records'!$B$51:$O$51,0)),"")</f>
        <v/>
      </c>
      <c r="F65" s="115">
        <f>IFERROR(INDEX('Sport Records'!$B$52:$O$71,MATCH($F$57,'Sport Records'!$A$52:$A$71,0),MATCH($A65,'Sport Records'!$B$51:$O$51,0)),"")</f>
        <v>0.5</v>
      </c>
      <c r="G65" s="115">
        <f>IFERROR(INDEX('Sport Records'!$B$52:$O$71,MATCH($G$57,'Sport Records'!$A$52:$A$71,0),MATCH($A65,'Sport Records'!$B$51:$O$51,0)),"")</f>
        <v>0</v>
      </c>
      <c r="H65" s="115" t="str">
        <f>IFERROR(INDEX('Sport Records'!$B$52:$O$71,MATCH($H$57,'Sport Records'!$A$52:$A$71,0),MATCH($A65,'Sport Records'!$B$51:$O$51,0)),"")</f>
        <v/>
      </c>
      <c r="I65" s="115" t="str">
        <f>IFERROR(INDEX('Sport Records'!$B$52:$O$71,MATCH($I$57,'Sport Records'!$A$52:$A$71,0),MATCH($A65,'Sport Records'!$B$51:$O$51,0)),"")</f>
        <v/>
      </c>
      <c r="J65" s="115" t="str">
        <f>IFERROR(INDEX('Sport Records'!$B$52:$O$71,MATCH($J$57,'Sport Records'!$A$52:$A$71,0),MATCH($A65,'Sport Records'!$B$51:$O$51,0)),"")</f>
        <v/>
      </c>
      <c r="K65" s="115" t="str">
        <f>IFERROR(INDEX('Sport Records'!$B$52:$O$71,MATCH($K$57,'Sport Records'!$A$52:$A$71,0),MATCH($A65,'Sport Records'!$B$51:$O$51,0)),"")</f>
        <v/>
      </c>
      <c r="L65" s="115" t="str">
        <f>IFERROR(INDEX('Sport Records'!$B$52:$O$71,MATCH($L$57,'Sport Records'!$A$52:$A$71,0),MATCH($A65,'Sport Records'!$B$51:$O$51,0)),"")</f>
        <v/>
      </c>
      <c r="M65" s="115">
        <f>IFERROR(INDEX('Sport Records'!$B$52:$O$71,MATCH($M$57,'Sport Records'!$A$52:$A$71,0),MATCH($A65,'Sport Records'!$B$51:$O$51,0)),"")</f>
        <v>0.14285714285714285</v>
      </c>
      <c r="N65" s="115">
        <f>IFERROR(INDEX('Sport Records'!$B$52:$O$71,MATCH($N$57,'Sport Records'!$A$52:$A$71,0),MATCH($A65,'Sport Records'!$B$51:$O$51,0)),"")</f>
        <v>0.83333333333333337</v>
      </c>
      <c r="O65" s="115">
        <f>IFERROR(INDEX('Sport Records'!$B$52:$O$71,MATCH($O$57,'Sport Records'!$A$52:$A$71,0),MATCH($A65,'Sport Records'!$B$51:$O$51,0)),"")</f>
        <v>0.2857142857142857</v>
      </c>
      <c r="P65" s="115" t="str">
        <f>IFERROR(INDEX('Sport Records'!$B$52:$O$71,MATCH($P$57,'Sport Records'!$A$52:$A$71,0),MATCH($A65,'Sport Records'!$B$51:$O$51,0)),"")</f>
        <v/>
      </c>
      <c r="Q65" s="115">
        <f>IFERROR(INDEX('Sport Records'!$B$52:$O$71,MATCH($Q$57,'Sport Records'!$A$52:$A$71,0),MATCH($A65,'Sport Records'!$B$51:$O$51,0)),"")</f>
        <v>1</v>
      </c>
      <c r="R65" s="115">
        <f>IFERROR(INDEX('Sport Records'!$B$52:$O$71,MATCH($R$57,'Sport Records'!$A$52:$A$71,0),MATCH($A65,'Sport Records'!$B$51:$O$51,0)),"")</f>
        <v>0</v>
      </c>
      <c r="S65" s="115">
        <f>IFERROR(INDEX('Sport Records'!$B$52:$O$71,MATCH($S$57,'Sport Records'!$A$52:$A$71,0),MATCH($A65,'Sport Records'!$B$51:$O$51,0)),"")</f>
        <v>0.55555555555555558</v>
      </c>
      <c r="T65" s="115">
        <f>IFERROR(INDEX('Sport Records'!$B$52:$O$71,MATCH($T$57,'Sport Records'!$A$52:$A$71,0),MATCH($A65,'Sport Records'!$B$51:$O$51,0)),"")</f>
        <v>0.5</v>
      </c>
      <c r="U65" s="26" t="str">
        <f>IFERROR(INDEX('Sport Records'!$B$52:$O$71,MATCH($U$57,'Sport Records'!$A$52:$A$71,0),MATCH($A65,'Sport Records'!$B$51:$O$51,0)),"")</f>
      </c>
    </row>
    <row r="66" spans="1:21" x14ac:dyDescent="0.2">
      <c r="A66" s="91" t="s">
        <v>174</v>
      </c>
      <c r="B66" s="115" t="str">
        <f>IFERROR(INDEX('Sport Records'!$B$52:$O$71,MATCH($B$57,'Sport Records'!$A$52:$A$71,0),MATCH($A66,'Sport Records'!$B$51:$O$51,0)),"")</f>
        <v/>
      </c>
      <c r="C66" s="115" t="str">
        <f>IFERROR(INDEX('Sport Records'!$B$52:$O$71,MATCH($C$57,'Sport Records'!$A$52:$A$71,0),MATCH($A66,'Sport Records'!$B$51:$O$51,0)),"")</f>
        <v/>
      </c>
      <c r="D66" s="115" t="str">
        <f>IFERROR(INDEX('Sport Records'!$B$52:$O$71,MATCH($D$57,'Sport Records'!$A$52:$A$71,0),MATCH($A66,'Sport Records'!$B$51:$O$51,0)),"")</f>
        <v/>
      </c>
      <c r="E66" s="115" t="str">
        <f>IFERROR(INDEX('Sport Records'!$B$52:$O$71,MATCH($E$57,'Sport Records'!$A$52:$A$71,0),MATCH($A66,'Sport Records'!$B$51:$O$51,0)),"")</f>
        <v/>
      </c>
      <c r="F66" s="115">
        <f>IFERROR(INDEX('Sport Records'!$B$52:$O$71,MATCH($F$57,'Sport Records'!$A$52:$A$71,0),MATCH($A66,'Sport Records'!$B$51:$O$51,0)),"")</f>
        <v>0.5</v>
      </c>
      <c r="G66" s="115" t="str">
        <f>IFERROR(INDEX('Sport Records'!$B$52:$O$71,MATCH($G$57,'Sport Records'!$A$52:$A$71,0),MATCH($A66,'Sport Records'!$B$51:$O$51,0)),"")</f>
        <v/>
      </c>
      <c r="H66" s="115" t="str">
        <f>IFERROR(INDEX('Sport Records'!$B$52:$O$71,MATCH($H$57,'Sport Records'!$A$52:$A$71,0),MATCH($A66,'Sport Records'!$B$51:$O$51,0)),"")</f>
        <v/>
      </c>
      <c r="I66" s="115" t="str">
        <f>IFERROR(INDEX('Sport Records'!$B$52:$O$71,MATCH($I$57,'Sport Records'!$A$52:$A$71,0),MATCH($A66,'Sport Records'!$B$51:$O$51,0)),"")</f>
        <v/>
      </c>
      <c r="J66" s="115" t="str">
        <f>IFERROR(INDEX('Sport Records'!$B$52:$O$71,MATCH($J$57,'Sport Records'!$A$52:$A$71,0),MATCH($A66,'Sport Records'!$B$51:$O$51,0)),"")</f>
        <v/>
      </c>
      <c r="K66" s="115" t="str">
        <f>IFERROR(INDEX('Sport Records'!$B$52:$O$71,MATCH($K$57,'Sport Records'!$A$52:$A$71,0),MATCH($A66,'Sport Records'!$B$51:$O$51,0)),"")</f>
        <v/>
      </c>
      <c r="L66" s="115" t="str">
        <f>IFERROR(INDEX('Sport Records'!$B$52:$O$71,MATCH($L$57,'Sport Records'!$A$52:$A$71,0),MATCH($A66,'Sport Records'!$B$51:$O$51,0)),"")</f>
        <v/>
      </c>
      <c r="M66" s="115">
        <f>IFERROR(INDEX('Sport Records'!$B$52:$O$71,MATCH($M$57,'Sport Records'!$A$52:$A$71,0),MATCH($A66,'Sport Records'!$B$51:$O$51,0)),"")</f>
        <v>0.8</v>
      </c>
      <c r="N66" s="115" t="str">
        <f>IFERROR(INDEX('Sport Records'!$B$52:$O$71,MATCH($N$57,'Sport Records'!$A$52:$A$71,0),MATCH($A66,'Sport Records'!$B$51:$O$51,0)),"")</f>
        <v/>
      </c>
      <c r="O66" s="115" t="str">
        <f>IFERROR(INDEX('Sport Records'!$B$52:$O$71,MATCH($O$57,'Sport Records'!$A$52:$A$71,0),MATCH($A66,'Sport Records'!$B$51:$O$51,0)),"")</f>
        <v/>
      </c>
      <c r="P66" s="115" t="str">
        <f>IFERROR(INDEX('Sport Records'!$B$52:$O$71,MATCH($P$57,'Sport Records'!$A$52:$A$71,0),MATCH($A66,'Sport Records'!$B$51:$O$51,0)),"")</f>
        <v/>
      </c>
      <c r="Q66" s="115" t="str">
        <f>IFERROR(INDEX('Sport Records'!$B$52:$O$71,MATCH($Q$57,'Sport Records'!$A$52:$A$71,0),MATCH($A66,'Sport Records'!$B$51:$O$51,0)),"")</f>
        <v/>
      </c>
      <c r="R66" s="115" t="str">
        <f>IFERROR(INDEX('Sport Records'!$B$52:$O$71,MATCH($R$57,'Sport Records'!$A$52:$A$71,0),MATCH($A66,'Sport Records'!$B$51:$O$51,0)),"")</f>
        <v/>
      </c>
      <c r="S66" s="115">
        <f>IFERROR(INDEX('Sport Records'!$B$52:$O$71,MATCH($S$57,'Sport Records'!$A$52:$A$71,0),MATCH($A66,'Sport Records'!$B$51:$O$51,0)),"")</f>
        <v>0.7</v>
      </c>
      <c r="T66" s="115" t="str">
        <f>IFERROR(INDEX('Sport Records'!$B$52:$O$71,MATCH($T$57,'Sport Records'!$A$52:$A$71,0),MATCH($A66,'Sport Records'!$B$51:$O$51,0)),"")</f>
        <v/>
      </c>
      <c r="U66" s="26" t="str">
        <f>IFERROR(INDEX('Sport Records'!$B$52:$O$71,MATCH($U$57,'Sport Records'!$A$52:$A$71,0),MATCH($A66,'Sport Records'!$B$51:$O$51,0)),"")</f>
      </c>
    </row>
    <row r="67" spans="1:21" x14ac:dyDescent="0.2">
      <c r="A67" s="91" t="s">
        <v>182</v>
      </c>
      <c r="B67" s="115" t="str">
        <f>IFERROR(INDEX('Sport Records'!$B$52:$O$71,MATCH($B$57,'Sport Records'!$A$52:$A$71,0),MATCH($A67,'Sport Records'!$B$51:$O$51,0)),"")</f>
        <v/>
      </c>
      <c r="C67" s="115" t="str">
        <f>IFERROR(INDEX('Sport Records'!$B$52:$O$71,MATCH($C$57,'Sport Records'!$A$52:$A$71,0),MATCH($A67,'Sport Records'!$B$51:$O$51,0)),"")</f>
        <v/>
      </c>
      <c r="D67" s="115" t="str">
        <f>IFERROR(INDEX('Sport Records'!$B$52:$O$71,MATCH($D$57,'Sport Records'!$A$52:$A$71,0),MATCH($A67,'Sport Records'!$B$51:$O$51,0)),"")</f>
        <v/>
      </c>
      <c r="E67" s="115" t="str">
        <f>IFERROR(INDEX('Sport Records'!$B$52:$O$71,MATCH($E$57,'Sport Records'!$A$52:$A$71,0),MATCH($A67,'Sport Records'!$B$51:$O$51,0)),"")</f>
        <v/>
      </c>
      <c r="F67" s="115">
        <f>IFERROR(INDEX('Sport Records'!$B$52:$O$71,MATCH($F$57,'Sport Records'!$A$52:$A$71,0),MATCH($A67,'Sport Records'!$B$51:$O$51,0)),"")</f>
        <v>0</v>
      </c>
      <c r="G67" s="115" t="str">
        <f>IFERROR(INDEX('Sport Records'!$B$52:$O$71,MATCH($G$57,'Sport Records'!$A$52:$A$71,0),MATCH($A67,'Sport Records'!$B$51:$O$51,0)),"")</f>
        <v/>
      </c>
      <c r="H67" s="115" t="str">
        <f>IFERROR(INDEX('Sport Records'!$B$52:$O$71,MATCH($H$57,'Sport Records'!$A$52:$A$71,0),MATCH($A67,'Sport Records'!$B$51:$O$51,0)),"")</f>
        <v/>
      </c>
      <c r="I67" s="115" t="str">
        <f>IFERROR(INDEX('Sport Records'!$B$52:$O$71,MATCH($I$57,'Sport Records'!$A$52:$A$71,0),MATCH($A67,'Sport Records'!$B$51:$O$51,0)),"")</f>
        <v/>
      </c>
      <c r="J67" s="115" t="str">
        <f>IFERROR(INDEX('Sport Records'!$B$52:$O$71,MATCH($J$57,'Sport Records'!$A$52:$A$71,0),MATCH($A67,'Sport Records'!$B$51:$O$51,0)),"")</f>
        <v/>
      </c>
      <c r="K67" s="115" t="str">
        <f>IFERROR(INDEX('Sport Records'!$B$52:$O$71,MATCH($K$57,'Sport Records'!$A$52:$A$71,0),MATCH($A67,'Sport Records'!$B$51:$O$51,0)),"")</f>
        <v/>
      </c>
      <c r="L67" s="115" t="str">
        <f>IFERROR(INDEX('Sport Records'!$B$52:$O$71,MATCH($L$57,'Sport Records'!$A$52:$A$71,0),MATCH($A67,'Sport Records'!$B$51:$O$51,0)),"")</f>
        <v/>
      </c>
      <c r="M67" s="115">
        <f>IFERROR(INDEX('Sport Records'!$B$52:$O$71,MATCH($M$57,'Sport Records'!$A$52:$A$71,0),MATCH($A67,'Sport Records'!$B$51:$O$51,0)),"")</f>
        <v>0</v>
      </c>
      <c r="N67" s="115" t="str">
        <f>IFERROR(INDEX('Sport Records'!$B$52:$O$71,MATCH($N$57,'Sport Records'!$A$52:$A$71,0),MATCH($A67,'Sport Records'!$B$51:$O$51,0)),"")</f>
        <v/>
      </c>
      <c r="O67" s="115" t="str">
        <f>IFERROR(INDEX('Sport Records'!$B$52:$O$71,MATCH($O$57,'Sport Records'!$A$52:$A$71,0),MATCH($A67,'Sport Records'!$B$51:$O$51,0)),"")</f>
        <v/>
      </c>
      <c r="P67" s="115" t="str">
        <f>IFERROR(INDEX('Sport Records'!$B$52:$O$71,MATCH($P$57,'Sport Records'!$A$52:$A$71,0),MATCH($A67,'Sport Records'!$B$51:$O$51,0)),"")</f>
        <v/>
      </c>
      <c r="Q67" s="115" t="str">
        <f>IFERROR(INDEX('Sport Records'!$B$52:$O$71,MATCH($Q$57,'Sport Records'!$A$52:$A$71,0),MATCH($A67,'Sport Records'!$B$51:$O$51,0)),"")</f>
        <v/>
      </c>
      <c r="R67" s="115" t="str">
        <f>IFERROR(INDEX('Sport Records'!$B$52:$O$71,MATCH($R$57,'Sport Records'!$A$52:$A$71,0),MATCH($A67,'Sport Records'!$B$51:$O$51,0)),"")</f>
        <v/>
      </c>
      <c r="S67" s="115">
        <f>IFERROR(INDEX('Sport Records'!$B$52:$O$71,MATCH($S$57,'Sport Records'!$A$52:$A$71,0),MATCH($A67,'Sport Records'!$B$51:$O$51,0)),"")</f>
        <v>0.2857142857142857</v>
      </c>
      <c r="T67" s="115" t="str">
        <f>IFERROR(INDEX('Sport Records'!$B$52:$O$71,MATCH($T$57,'Sport Records'!$A$52:$A$71,0),MATCH($A67,'Sport Records'!$B$51:$O$51,0)),"")</f>
        <v/>
      </c>
      <c r="U67" s="26" t="str">
        <f>IFERROR(INDEX('Sport Records'!$B$52:$O$71,MATCH($U$57,'Sport Records'!$A$52:$A$71,0),MATCH($A67,'Sport Records'!$B$51:$O$51,0)),"")</f>
      </c>
    </row>
    <row r="68" spans="1:21" x14ac:dyDescent="0.2">
      <c r="A68" s="91" t="s">
        <v>176</v>
      </c>
      <c r="B68" s="115" t="str">
        <f>IFERROR(INDEX('Sport Records'!$B$52:$O$71,MATCH($B$57,'Sport Records'!$A$52:$A$71,0),MATCH($A68,'Sport Records'!$B$51:$O$51,0)),"")</f>
        <v/>
      </c>
      <c r="C68" s="115" t="str">
        <f>IFERROR(INDEX('Sport Records'!$B$52:$O$71,MATCH($C$57,'Sport Records'!$A$52:$A$71,0),MATCH($A68,'Sport Records'!$B$51:$O$51,0)),"")</f>
        <v/>
      </c>
      <c r="D68" s="115" t="str">
        <f>IFERROR(INDEX('Sport Records'!$B$52:$O$71,MATCH($D$57,'Sport Records'!$A$52:$A$71,0),MATCH($A68,'Sport Records'!$B$51:$O$51,0)),"")</f>
        <v/>
      </c>
      <c r="E68" s="115" t="str">
        <f>IFERROR(INDEX('Sport Records'!$B$52:$O$71,MATCH($E$57,'Sport Records'!$A$52:$A$71,0),MATCH($A68,'Sport Records'!$B$51:$O$51,0)),"")</f>
        <v/>
      </c>
      <c r="F68" s="115">
        <f>IFERROR(INDEX('Sport Records'!$B$52:$O$71,MATCH($F$57,'Sport Records'!$A$52:$A$71,0),MATCH($A68,'Sport Records'!$B$51:$O$51,0)),"")</f>
        <v>0.5</v>
      </c>
      <c r="G68" s="115">
        <f>IFERROR(INDEX('Sport Records'!$B$52:$O$71,MATCH($G$57,'Sport Records'!$A$52:$A$71,0),MATCH($A68,'Sport Records'!$B$51:$O$51,0)),"")</f>
        <v>0</v>
      </c>
      <c r="H68" s="115" t="str">
        <f>IFERROR(INDEX('Sport Records'!$B$52:$O$71,MATCH($H$57,'Sport Records'!$A$52:$A$71,0),MATCH($A68,'Sport Records'!$B$51:$O$51,0)),"")</f>
        <v/>
      </c>
      <c r="I68" s="115" t="str">
        <f>IFERROR(INDEX('Sport Records'!$B$52:$O$71,MATCH($I$57,'Sport Records'!$A$52:$A$71,0),MATCH($A68,'Sport Records'!$B$51:$O$51,0)),"")</f>
        <v/>
      </c>
      <c r="J68" s="115">
        <f>IFERROR(INDEX('Sport Records'!$B$52:$O$71,MATCH($J$57,'Sport Records'!$A$52:$A$71,0),MATCH($A68,'Sport Records'!$B$51:$O$51,0)),"")</f>
        <v>0</v>
      </c>
      <c r="K68" s="115" t="str">
        <f>IFERROR(INDEX('Sport Records'!$B$52:$O$71,MATCH($K$57,'Sport Records'!$A$52:$A$71,0),MATCH($A68,'Sport Records'!$B$51:$O$51,0)),"")</f>
        <v/>
      </c>
      <c r="L68" s="115" t="str">
        <f>IFERROR(INDEX('Sport Records'!$B$52:$O$71,MATCH($L$57,'Sport Records'!$A$52:$A$71,0),MATCH($A68,'Sport Records'!$B$51:$O$51,0)),"")</f>
        <v/>
      </c>
      <c r="M68" s="115">
        <f>IFERROR(INDEX('Sport Records'!$B$52:$O$71,MATCH($M$57,'Sport Records'!$A$52:$A$71,0),MATCH($A68,'Sport Records'!$B$51:$O$51,0)),"")</f>
        <v>0.46153846153846156</v>
      </c>
      <c r="N68" s="115">
        <f>IFERROR(INDEX('Sport Records'!$B$52:$O$71,MATCH($N$57,'Sport Records'!$A$52:$A$71,0),MATCH($A68,'Sport Records'!$B$51:$O$51,0)),"")</f>
        <v>0.33333333333333331</v>
      </c>
      <c r="O68" s="115">
        <f>IFERROR(INDEX('Sport Records'!$B$52:$O$71,MATCH($O$57,'Sport Records'!$A$52:$A$71,0),MATCH($A68,'Sport Records'!$B$51:$O$51,0)),"")</f>
        <v>0.7142857142857143</v>
      </c>
      <c r="P68" s="115" t="str">
        <f>IFERROR(INDEX('Sport Records'!$B$52:$O$71,MATCH($P$57,'Sport Records'!$A$52:$A$71,0),MATCH($A68,'Sport Records'!$B$51:$O$51,0)),"")</f>
        <v/>
      </c>
      <c r="Q68" s="115" t="str">
        <f>IFERROR(INDEX('Sport Records'!$B$52:$O$71,MATCH($Q$57,'Sport Records'!$A$52:$A$71,0),MATCH($A68,'Sport Records'!$B$51:$O$51,0)),"")</f>
        <v/>
      </c>
      <c r="R68" s="115" t="str">
        <f>IFERROR(INDEX('Sport Records'!$B$52:$O$71,MATCH($R$57,'Sport Records'!$A$52:$A$71,0),MATCH($A68,'Sport Records'!$B$51:$O$51,0)),"")</f>
        <v/>
      </c>
      <c r="S68" s="115">
        <f>IFERROR(INDEX('Sport Records'!$B$52:$O$71,MATCH($S$57,'Sport Records'!$A$52:$A$71,0),MATCH($A68,'Sport Records'!$B$51:$O$51,0)),"")</f>
        <v>0.41666666666666669</v>
      </c>
      <c r="T68" s="115" t="str">
        <f>IFERROR(INDEX('Sport Records'!$B$52:$O$71,MATCH($T$57,'Sport Records'!$A$52:$A$71,0),MATCH($A68,'Sport Records'!$B$51:$O$51,0)),"")</f>
        <v/>
      </c>
      <c r="U68" s="26" t="str">
        <f>IFERROR(INDEX('Sport Records'!$B$52:$O$71,MATCH($U$57,'Sport Records'!$A$52:$A$71,0),MATCH($A68,'Sport Records'!$B$51:$O$51,0)),"")</f>
      </c>
    </row>
    <row r="69" spans="1:21" x14ac:dyDescent="0.2">
      <c r="A69" s="91" t="s">
        <v>178</v>
      </c>
      <c r="B69" s="115" t="str">
        <f>IFERROR(INDEX('Sport Records'!$B$52:$O$71,MATCH($B$57,'Sport Records'!$A$52:$A$71,0),MATCH($A69,'Sport Records'!$B$51:$O$51,0)),"")</f>
        <v/>
      </c>
      <c r="C69" s="115" t="str">
        <f>IFERROR(INDEX('Sport Records'!$B$52:$O$71,MATCH($C$57,'Sport Records'!$A$52:$A$71,0),MATCH($A69,'Sport Records'!$B$51:$O$51,0)),"")</f>
        <v/>
      </c>
      <c r="D69" s="115" t="str">
        <f>IFERROR(INDEX('Sport Records'!$B$52:$O$71,MATCH($D$57,'Sport Records'!$A$52:$A$71,0),MATCH($A69,'Sport Records'!$B$51:$O$51,0)),"")</f>
        <v/>
      </c>
      <c r="E69" s="115" t="str">
        <f>IFERROR(INDEX('Sport Records'!$B$52:$O$71,MATCH($E$57,'Sport Records'!$A$52:$A$71,0),MATCH($A69,'Sport Records'!$B$51:$O$51,0)),"")</f>
        <v/>
      </c>
      <c r="F69" s="115" t="str">
        <f>IFERROR(INDEX('Sport Records'!$B$52:$O$71,MATCH($F$57,'Sport Records'!$A$52:$A$71,0),MATCH($A69,'Sport Records'!$B$51:$O$51,0)),"")</f>
        <v/>
      </c>
      <c r="G69" s="115" t="str">
        <f>IFERROR(INDEX('Sport Records'!$B$52:$O$71,MATCH($G$57,'Sport Records'!$A$52:$A$71,0),MATCH($A69,'Sport Records'!$B$51:$O$51,0)),"")</f>
        <v/>
      </c>
      <c r="H69" s="115" t="str">
        <f>IFERROR(INDEX('Sport Records'!$B$52:$O$71,MATCH($H$57,'Sport Records'!$A$52:$A$71,0),MATCH($A69,'Sport Records'!$B$51:$O$51,0)),"")</f>
        <v/>
      </c>
      <c r="I69" s="115" t="str">
        <f>IFERROR(INDEX('Sport Records'!$B$52:$O$71,MATCH($I$57,'Sport Records'!$A$52:$A$71,0),MATCH($A69,'Sport Records'!$B$51:$O$51,0)),"")</f>
        <v/>
      </c>
      <c r="J69" s="115" t="str">
        <f>IFERROR(INDEX('Sport Records'!$B$52:$O$71,MATCH($J$57,'Sport Records'!$A$52:$A$71,0),MATCH($A69,'Sport Records'!$B$51:$O$51,0)),"")</f>
        <v/>
      </c>
      <c r="K69" s="115" t="str">
        <f>IFERROR(INDEX('Sport Records'!$B$52:$O$71,MATCH($K$57,'Sport Records'!$A$52:$A$71,0),MATCH($A69,'Sport Records'!$B$51:$O$51,0)),"")</f>
        <v/>
      </c>
      <c r="L69" s="115" t="str">
        <f>IFERROR(INDEX('Sport Records'!$B$52:$O$71,MATCH($L$57,'Sport Records'!$A$52:$A$71,0),MATCH($A69,'Sport Records'!$B$51:$O$51,0)),"")</f>
        <v/>
      </c>
      <c r="M69" s="115" t="str">
        <f>IFERROR(INDEX('Sport Records'!$B$52:$O$71,MATCH($M$57,'Sport Records'!$A$52:$A$71,0),MATCH($A69,'Sport Records'!$B$51:$O$51,0)),"")</f>
        <v/>
      </c>
      <c r="N69" s="115" t="str">
        <f>IFERROR(INDEX('Sport Records'!$B$52:$O$71,MATCH($N$57,'Sport Records'!$A$52:$A$71,0),MATCH($A69,'Sport Records'!$B$51:$O$51,0)),"")</f>
        <v/>
      </c>
      <c r="O69" s="115" t="str">
        <f>IFERROR(INDEX('Sport Records'!$B$52:$O$71,MATCH($O$57,'Sport Records'!$A$52:$A$71,0),MATCH($A69,'Sport Records'!$B$51:$O$51,0)),"")</f>
        <v/>
      </c>
      <c r="P69" s="115" t="str">
        <f>IFERROR(INDEX('Sport Records'!$B$52:$O$71,MATCH($P$57,'Sport Records'!$A$52:$A$71,0),MATCH($A69,'Sport Records'!$B$51:$O$51,0)),"")</f>
        <v/>
      </c>
      <c r="Q69" s="115" t="str">
        <f>IFERROR(INDEX('Sport Records'!$B$52:$O$71,MATCH($Q$57,'Sport Records'!$A$52:$A$71,0),MATCH($A69,'Sport Records'!$B$51:$O$51,0)),"")</f>
        <v/>
      </c>
      <c r="R69" s="115" t="str">
        <f>IFERROR(INDEX('Sport Records'!$B$52:$O$71,MATCH($R$57,'Sport Records'!$A$52:$A$71,0),MATCH($A69,'Sport Records'!$B$51:$O$51,0)),"")</f>
        <v/>
      </c>
      <c r="S69" s="115">
        <f>IFERROR(INDEX('Sport Records'!$B$52:$O$71,MATCH($S$57,'Sport Records'!$A$52:$A$71,0),MATCH($A69,'Sport Records'!$B$51:$O$51,0)),"")</f>
        <v>0.4</v>
      </c>
      <c r="T69" s="115" t="str">
        <f>IFERROR(INDEX('Sport Records'!$B$52:$O$71,MATCH($T$57,'Sport Records'!$A$52:$A$71,0),MATCH($A69,'Sport Records'!$B$51:$O$51,0)),"")</f>
        <v/>
      </c>
      <c r="U69" s="26" t="str">
        <f>IFERROR(INDEX('Sport Records'!$B$52:$O$71,MATCH($U$57,'Sport Records'!$A$52:$A$71,0),MATCH($A69,'Sport Records'!$B$51:$O$51,0)),"")</f>
      </c>
    </row>
    <row r="70" spans="1:21" x14ac:dyDescent="0.2">
      <c r="A70" s="91" t="s">
        <v>179</v>
      </c>
      <c r="B70" s="115" t="str">
        <f>IFERROR(INDEX('Sport Records'!$B$52:$O$71,MATCH($B$57,'Sport Records'!$A$52:$A$71,0),MATCH($A70,'Sport Records'!$B$51:$O$51,0)),"")</f>
        <v/>
      </c>
      <c r="C70" s="115" t="str">
        <f>IFERROR(INDEX('Sport Records'!$B$52:$O$71,MATCH($C$57,'Sport Records'!$A$52:$A$71,0),MATCH($A70,'Sport Records'!$B$51:$O$51,0)),"")</f>
        <v/>
      </c>
      <c r="D70" s="115" t="str">
        <f>IFERROR(INDEX('Sport Records'!$B$52:$O$71,MATCH($D$57,'Sport Records'!$A$52:$A$71,0),MATCH($A70,'Sport Records'!$B$51:$O$51,0)),"")</f>
        <v/>
      </c>
      <c r="E70" s="115" t="str">
        <f>IFERROR(INDEX('Sport Records'!$B$52:$O$71,MATCH($E$57,'Sport Records'!$A$52:$A$71,0),MATCH($A70,'Sport Records'!$B$51:$O$51,0)),"")</f>
        <v/>
      </c>
      <c r="F70" s="115" t="str">
        <f>IFERROR(INDEX('Sport Records'!$B$52:$O$71,MATCH($F$57,'Sport Records'!$A$52:$A$71,0),MATCH($A70,'Sport Records'!$B$51:$O$51,0)),"")</f>
        <v/>
      </c>
      <c r="G70" s="115" t="str">
        <f>IFERROR(INDEX('Sport Records'!$B$52:$O$71,MATCH($G$57,'Sport Records'!$A$52:$A$71,0),MATCH($A70,'Sport Records'!$B$51:$O$51,0)),"")</f>
        <v/>
      </c>
      <c r="H70" s="115" t="str">
        <f>IFERROR(INDEX('Sport Records'!$B$52:$O$71,MATCH($H$57,'Sport Records'!$A$52:$A$71,0),MATCH($A70,'Sport Records'!$B$51:$O$51,0)),"")</f>
        <v/>
      </c>
      <c r="I70" s="115" t="str">
        <f>IFERROR(INDEX('Sport Records'!$B$52:$O$71,MATCH($I$57,'Sport Records'!$A$52:$A$71,0),MATCH($A70,'Sport Records'!$B$51:$O$51,0)),"")</f>
        <v/>
      </c>
      <c r="J70" s="115" t="str">
        <f>IFERROR(INDEX('Sport Records'!$B$52:$O$71,MATCH($J$57,'Sport Records'!$A$52:$A$71,0),MATCH($A70,'Sport Records'!$B$51:$O$51,0)),"")</f>
        <v/>
      </c>
      <c r="K70" s="115" t="str">
        <f>IFERROR(INDEX('Sport Records'!$B$52:$O$71,MATCH($K$57,'Sport Records'!$A$52:$A$71,0),MATCH($A70,'Sport Records'!$B$51:$O$51,0)),"")</f>
        <v/>
      </c>
      <c r="L70" s="115" t="str">
        <f>IFERROR(INDEX('Sport Records'!$B$52:$O$71,MATCH($L$57,'Sport Records'!$A$52:$A$71,0),MATCH($A70,'Sport Records'!$B$51:$O$51,0)),"")</f>
        <v/>
      </c>
      <c r="M70" s="115" t="str">
        <f>IFERROR(INDEX('Sport Records'!$B$52:$O$71,MATCH($M$57,'Sport Records'!$A$52:$A$71,0),MATCH($A70,'Sport Records'!$B$51:$O$51,0)),"")</f>
        <v/>
      </c>
      <c r="N70" s="115" t="str">
        <f>IFERROR(INDEX('Sport Records'!$B$52:$O$71,MATCH($N$57,'Sport Records'!$A$52:$A$71,0),MATCH($A70,'Sport Records'!$B$51:$O$51,0)),"")</f>
        <v/>
      </c>
      <c r="O70" s="115" t="str">
        <f>IFERROR(INDEX('Sport Records'!$B$52:$O$71,MATCH($O$57,'Sport Records'!$A$52:$A$71,0),MATCH($A70,'Sport Records'!$B$51:$O$51,0)),"")</f>
        <v/>
      </c>
      <c r="P70" s="115" t="str">
        <f>IFERROR(INDEX('Sport Records'!$B$52:$O$71,MATCH($P$57,'Sport Records'!$A$52:$A$71,0),MATCH($A70,'Sport Records'!$B$51:$O$51,0)),"")</f>
        <v/>
      </c>
      <c r="Q70" s="115" t="str">
        <f>IFERROR(INDEX('Sport Records'!$B$52:$O$71,MATCH($Q$57,'Sport Records'!$A$52:$A$71,0),MATCH($A70,'Sport Records'!$B$51:$O$51,0)),"")</f>
        <v/>
      </c>
      <c r="R70" s="115" t="str">
        <f>IFERROR(INDEX('Sport Records'!$B$52:$O$71,MATCH($R$57,'Sport Records'!$A$52:$A$71,0),MATCH($A70,'Sport Records'!$B$51:$O$51,0)),"")</f>
        <v/>
      </c>
      <c r="S70" s="115">
        <f>IFERROR(INDEX('Sport Records'!$B$52:$O$71,MATCH($S$57,'Sport Records'!$A$52:$A$71,0),MATCH($A70,'Sport Records'!$B$51:$O$51,0)),"")</f>
        <v>0.5</v>
      </c>
      <c r="T70" s="115" t="str">
        <f>IFERROR(INDEX('Sport Records'!$B$52:$O$71,MATCH($T$57,'Sport Records'!$A$52:$A$71,0),MATCH($A70,'Sport Records'!$B$51:$O$51,0)),"")</f>
        <v/>
      </c>
      <c r="U70" s="26" t="str">
        <f>IFERROR(INDEX('Sport Records'!$B$52:$O$71,MATCH($U$57,'Sport Records'!$A$52:$A$71,0),MATCH($A70,'Sport Records'!$B$51:$O$51,0)),"")</f>
      </c>
    </row>
    <row r="71" spans="1:21" x14ac:dyDescent="0.2">
      <c r="A71" s="91" t="s">
        <v>181</v>
      </c>
      <c r="B71" s="115" t="str">
        <f>IFERROR(INDEX('Sport Records'!$B$52:$O$71,MATCH($B$57,'Sport Records'!$A$52:$A$71,0),MATCH($A71,'Sport Records'!$B$51:$O$51,0)),"")</f>
        <v/>
      </c>
      <c r="C71" s="115" t="str">
        <f>IFERROR(INDEX('Sport Records'!$B$52:$O$71,MATCH($C$57,'Sport Records'!$A$52:$A$71,0),MATCH($A71,'Sport Records'!$B$51:$O$51,0)),"")</f>
        <v/>
      </c>
      <c r="D71" s="115" t="str">
        <f>IFERROR(INDEX('Sport Records'!$B$52:$O$71,MATCH($D$57,'Sport Records'!$A$52:$A$71,0),MATCH($A71,'Sport Records'!$B$51:$O$51,0)),"")</f>
        <v/>
      </c>
      <c r="E71" s="115" t="str">
        <f>IFERROR(INDEX('Sport Records'!$B$52:$O$71,MATCH($E$57,'Sport Records'!$A$52:$A$71,0),MATCH($A71,'Sport Records'!$B$51:$O$51,0)),"")</f>
        <v/>
      </c>
      <c r="F71" s="115" t="str">
        <f>IFERROR(INDEX('Sport Records'!$B$52:$O$71,MATCH($F$57,'Sport Records'!$A$52:$A$71,0),MATCH($A71,'Sport Records'!$B$51:$O$51,0)),"")</f>
        <v/>
      </c>
      <c r="G71" s="115" t="str">
        <f>IFERROR(INDEX('Sport Records'!$B$52:$O$71,MATCH($G$57,'Sport Records'!$A$52:$A$71,0),MATCH($A71,'Sport Records'!$B$51:$O$51,0)),"")</f>
        <v/>
      </c>
      <c r="H71" s="115" t="str">
        <f>IFERROR(INDEX('Sport Records'!$B$52:$O$71,MATCH($H$57,'Sport Records'!$A$52:$A$71,0),MATCH($A71,'Sport Records'!$B$51:$O$51,0)),"")</f>
        <v/>
      </c>
      <c r="I71" s="115" t="str">
        <f>IFERROR(INDEX('Sport Records'!$B$52:$O$71,MATCH($I$57,'Sport Records'!$A$52:$A$71,0),MATCH($A71,'Sport Records'!$B$51:$O$51,0)),"")</f>
        <v/>
      </c>
      <c r="J71" s="115" t="str">
        <f>IFERROR(INDEX('Sport Records'!$B$52:$O$71,MATCH($J$57,'Sport Records'!$A$52:$A$71,0),MATCH($A71,'Sport Records'!$B$51:$O$51,0)),"")</f>
        <v/>
      </c>
      <c r="K71" s="115" t="str">
        <f>IFERROR(INDEX('Sport Records'!$B$52:$O$71,MATCH($K$57,'Sport Records'!$A$52:$A$71,0),MATCH($A71,'Sport Records'!$B$51:$O$51,0)),"")</f>
        <v/>
      </c>
      <c r="L71" s="115" t="str">
        <f>IFERROR(INDEX('Sport Records'!$B$52:$O$71,MATCH($L$57,'Sport Records'!$A$52:$A$71,0),MATCH($A71,'Sport Records'!$B$51:$O$51,0)),"")</f>
        <v/>
      </c>
      <c r="M71" s="115" t="str">
        <f>IFERROR(INDEX('Sport Records'!$B$52:$O$71,MATCH($M$57,'Sport Records'!$A$52:$A$71,0),MATCH($A71,'Sport Records'!$B$51:$O$51,0)),"")</f>
        <v/>
      </c>
      <c r="N71" s="115" t="str">
        <f>IFERROR(INDEX('Sport Records'!$B$52:$O$71,MATCH($N$57,'Sport Records'!$A$52:$A$71,0),MATCH($A71,'Sport Records'!$B$51:$O$51,0)),"")</f>
        <v/>
      </c>
      <c r="O71" s="115" t="str">
        <f>IFERROR(INDEX('Sport Records'!$B$52:$O$71,MATCH($O$57,'Sport Records'!$A$52:$A$71,0),MATCH($A71,'Sport Records'!$B$51:$O$51,0)),"")</f>
        <v/>
      </c>
      <c r="P71" s="115" t="str">
        <f>IFERROR(INDEX('Sport Records'!$B$52:$O$71,MATCH($P$57,'Sport Records'!$A$52:$A$71,0),MATCH($A71,'Sport Records'!$B$51:$O$51,0)),"")</f>
        <v/>
      </c>
      <c r="Q71" s="115" t="str">
        <f>IFERROR(INDEX('Sport Records'!$B$52:$O$71,MATCH($Q$57,'Sport Records'!$A$52:$A$71,0),MATCH($A71,'Sport Records'!$B$51:$O$51,0)),"")</f>
        <v/>
      </c>
      <c r="R71" s="115" t="str">
        <f>IFERROR(INDEX('Sport Records'!$B$52:$O$71,MATCH($R$57,'Sport Records'!$A$52:$A$71,0),MATCH($A71,'Sport Records'!$B$51:$O$51,0)),"")</f>
        <v/>
      </c>
      <c r="S71" s="115" t="str">
        <f>IFERROR(INDEX('Sport Records'!$B$52:$O$71,MATCH($S$57,'Sport Records'!$A$52:$A$71,0),MATCH($A71,'Sport Records'!$B$51:$O$51,0)),"")</f>
        <v/>
      </c>
      <c r="T71" s="115" t="str">
        <f>IFERROR(INDEX('Sport Records'!$B$52:$O$71,MATCH($T$57,'Sport Records'!$A$52:$A$71,0),MATCH($A71,'Sport Records'!$B$51:$O$51,0)),"")</f>
        <v/>
      </c>
      <c r="U71" s="26" t="str">
        <f>IFERROR(INDEX('Sport Records'!$B$52:$O$71,MATCH($U$57,'Sport Records'!$A$52:$A$71,0),MATCH($A71,'Sport Records'!$B$51:$O$51,0)),"")</f>
      </c>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257" activePane="bottomRight" state="frozen"/>
      <selection pane="topRight" activeCell="F1" sqref="F1"/>
      <selection pane="bottomLeft" activeCell="A244" sqref="A244"/>
      <selection pane="bottomRight" activeCell="E296" sqref="E296"/>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
        <v>315</v>
      </c>
    </row>
    <row r="4" spans="1:29" ht="15" customHeight="1" x14ac:dyDescent="0.2">
      <c r="A4" s="116">
        <v>1</v>
      </c>
      <c r="B4" s="117">
        <v>46145</v>
      </c>
      <c r="C4" s="118" t="s">
        <v>200</v>
      </c>
      <c r="D4" s="118" t="s">
        <v>144</v>
      </c>
      <c r="E4" s="116" t="s">
        <v>316</v>
      </c>
      <c r="F4" s="119">
        <f t="shared" ref="F4:F67" si="0">IF($D4="",0,COUNTIF($A$4:$A$810,$A4))</f>
        <v>3</v>
      </c>
      <c r="G4" s="120" t="str">
        <f t="shared" ref="G4:G67" si="1">IF($D4="","",IFERROR(LOOKUP(2,1/(($A$4:$A$810=$A4)*($E$4:$E$810="Win")),$D$4:$D$810),"(no winner)"))</f>
        <v>Josh</v>
      </c>
      <c r="H4" s="121">
        <f>IF($D4="",0,IFERROR(LOOKUP(2,1/(($D$3:D3=$D4)*($A$3:A3&lt;$A4)),$N$3:N3),'Guide &amp; Settings'!$C$41))</f>
        <v>1000</v>
      </c>
      <c r="I4" s="122">
        <f t="shared" ref="I4:I67" si="2">IF($D4="",0,IF($S4=0,0,$R4/$S4))</f>
        <v>0.33333333333333331</v>
      </c>
      <c r="J4" s="123">
        <f>IF($D4="",0,IF($F4&lt;2,0,IF($E4="Win",('Guide &amp; Settings'!$C$42/(($F4-1)*COUNTIFS($A$4:$A$810,$A4,$E$4:$E$810,"Win")))*SUMIFS($X$4:$X$810,$A$4:$A$810,$A4,$E$4:$E$810,"Loss"),-('Guide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8">
        <f t="shared" ref="T4:T67" si="10">IF($D4="",0,COUNTIFS($D$4:$D$810,$D4,$C$4:$C$810,$C4,$A$4:$A$810,"&lt;"&amp;$A4))</f>
        <v>0</v>
      </c>
      <c r="U4" s="125">
        <f>IF($D4="",0,IFERROR(LOOKUP(2,1/(($D$3:D3=$D4)*($C$3:C3=$C4)*($A$3:A3&lt;$A4)),$AB$3:AB3),1000))</f>
        <v>1000</v>
      </c>
      <c r="V4" s="125">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5">
        <f t="shared" ref="AB4:AB67" si="16">IF($D4="",0,$U4+$AA4)</f>
        <v>1016</v>
      </c>
      <c r="AC4" s="125" t="str">
        <f>IF($D4="","",IF(SUMPRODUCT(MAX(($D$4:$D$810=$D4)*($B$4:$B$810&lt;$B4)*$B$4:$B$810))=0,0,MAX(($B4-MAX(SUMPRODUCT(MAX(($D$4:$D$810=$D4)*($B$4:$B$810&lt;$B4)*$B$4:$B$810)),'Guide &amp; Settings'!$C$50))/7-'Guide &amp; Settings'!$C$48,0)*'Guide &amp; Settings'!$C$49))</f>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Settings'!$C$42/(($F5-1)*COUNTIFS($A$4:$A$810,$A5,$E$4:$E$810,"Win")))*SUMIFS($X$4:$X$810,$A$4:$A$810,$A5,$E$4:$E$810,"Loss"),-('Guide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5">
        <f t="shared" si="16"/>
        <v>992</v>
      </c>
      <c r="AC5" s="125" t="str">
        <f>IF($D5="","",IF(SUMPRODUCT(MAX(($D$4:$D$810=$D5)*($B$4:$B$810&lt;$B5)*$B$4:$B$810))=0,0,MAX(($B5-MAX(SUMPRODUCT(MAX(($D$4:$D$810=$D5)*($B$4:$B$810&lt;$B5)*$B$4:$B$810)),'Guide &amp; Settings'!$C$50))/7-'Guide &amp; Settings'!$C$48,0)*'Guide &amp; Settings'!$C$49))</f>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Settings'!$C$42/(($F6-1)*COUNTIFS($A$4:$A$810,$A6,$E$4:$E$810,"Win")))*SUMIFS($X$4:$X$810,$A$4:$A$810,$A6,$E$4:$E$810,"Loss"),-('Guide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5">
        <f t="shared" si="16"/>
        <v>992</v>
      </c>
      <c r="AC6" s="125" t="str">
        <f>IF($D6="","",IF(SUMPRODUCT(MAX(($D$4:$D$810=$D6)*($B$4:$B$810&lt;$B6)*$B$4:$B$810))=0,0,MAX(($B6-MAX(SUMPRODUCT(MAX(($D$4:$D$810=$D6)*($B$4:$B$810&lt;$B6)*$B$4:$B$810)),'Guide &amp; Settings'!$C$50))/7-'Guide &amp; Settings'!$C$48,0)*'Guide &amp; Settings'!$C$49))</f>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Settings'!$C$42/(($F7-1)*COUNTIFS($A$4:$A$810,$A7,$E$4:$E$810,"Win")))*SUMIFS($X$4:$X$810,$A$4:$A$810,$A7,$E$4:$E$810,"Loss"),-('Guide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5">
        <f t="shared" si="16"/>
        <v>1016</v>
      </c>
      <c r="AC7" s="125" t="str">
        <f>IF($D7="","",IF(SUMPRODUCT(MAX(($D$4:$D$810=$D7)*($B$4:$B$810&lt;$B7)*$B$4:$B$810))=0,0,MAX(($B7-MAX(SUMPRODUCT(MAX(($D$4:$D$810=$D7)*($B$4:$B$810&lt;$B7)*$B$4:$B$810)),'Guide &amp; Settings'!$C$50))/7-'Guide &amp; Settings'!$C$48,0)*'Guide &amp; Settings'!$C$49))</f>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Settings'!$C$42/(($F8-1)*COUNTIFS($A$4:$A$810,$A8,$E$4:$E$810,"Win")))*SUMIFS($X$4:$X$810,$A$4:$A$810,$A8,$E$4:$E$810,"Loss"),-('Guide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5">
        <f t="shared" si="16"/>
        <v>997.71428571428567</v>
      </c>
      <c r="AC8" s="125" t="str">
        <f>IF($D8="","",IF(SUMPRODUCT(MAX(($D$4:$D$810=$D8)*($B$4:$B$810&lt;$B8)*$B$4:$B$810))=0,0,MAX(($B8-MAX(SUMPRODUCT(MAX(($D$4:$D$810=$D8)*($B$4:$B$810&lt;$B8)*$B$4:$B$810)),'Guide &amp; Settings'!$C$50))/7-'Guide &amp; Settings'!$C$48,0)*'Guide &amp; Settings'!$C$49))</f>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Settings'!$C$42/(($F9-1)*COUNTIFS($A$4:$A$810,$A9,$E$4:$E$810,"Win")))*SUMIFS($X$4:$X$810,$A$4:$A$810,$A9,$E$4:$E$810,"Loss"),-('Guide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5">
        <f t="shared" si="16"/>
        <v>997.71428571428567</v>
      </c>
      <c r="AC9" s="125" t="str">
        <f>IF($D9="","",IF(SUMPRODUCT(MAX(($D$4:$D$810=$D9)*($B$4:$B$810&lt;$B9)*$B$4:$B$810))=0,0,MAX(($B9-MAX(SUMPRODUCT(MAX(($D$4:$D$810=$D9)*($B$4:$B$810&lt;$B9)*$B$4:$B$810)),'Guide &amp; Settings'!$C$50))/7-'Guide &amp; Settings'!$C$48,0)*'Guide &amp; Settings'!$C$49))</f>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Settings'!$C$42/(($F10-1)*COUNTIFS($A$4:$A$810,$A10,$E$4:$E$810,"Win")))*SUMIFS($X$4:$X$810,$A$4:$A$810,$A10,$E$4:$E$810,"Loss"),-('Guide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Settings'!$C$42/(($F10-1)*COUNTIFS($A$4:$A$810,$A10,$E$4:$E$810,"Win")))*SUMIFS($Z$4:$Z$810,$A$4:$A$810,$A10,$E$4:$E$810,"Loss"),-('Guide &amp; Settings'!$C$42/($F10-1))*$Z10)))</f>
        <v>-2.2857142857142856</v>
      </c>
      <c r="AB10" s="125">
        <f t="shared" si="16"/>
        <v>997.71428571428567</v>
      </c>
      <c r="AC10" s="125" t="str">
        <f>IF($D10="","",IF(SUMPRODUCT(MAX(($D$4:$D$810=$D10)*($B$4:$B$810&lt;$B10)*$B$4:$B$810))=0,0,MAX(($B10-MAX(SUMPRODUCT(MAX(($D$4:$D$810=$D10)*($B$4:$B$810&lt;$B10)*$B$4:$B$810)),'Guide &amp; Settings'!$C$50))/7-'Guide &amp; Settings'!$C$48,0)*'Guide &amp; Settings'!$C$49))</f>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Settings'!$C$42/(($F11-1)*COUNTIFS($A$4:$A$810,$A11,$E$4:$E$810,"Win")))*SUMIFS($X$4:$X$810,$A$4:$A$810,$A11,$E$4:$E$810,"Loss"),-('Guide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5">
        <f t="shared" si="16"/>
        <v>997.71428571428567</v>
      </c>
      <c r="AC11" s="125" t="str">
        <f>IF($D11="","",IF(SUMPRODUCT(MAX(($D$4:$D$810=$D11)*($B$4:$B$810&lt;$B11)*$B$4:$B$810))=0,0,MAX(($B11-MAX(SUMPRODUCT(MAX(($D$4:$D$810=$D11)*($B$4:$B$810&lt;$B11)*$B$4:$B$810)),'Guide &amp; Settings'!$C$50))/7-'Guide &amp; Settings'!$C$48,0)*'Guide &amp; Settings'!$C$49))</f>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Settings'!$C$42/(($F12-1)*COUNTIFS($A$4:$A$810,$A12,$E$4:$E$810,"Win")))*SUMIFS($X$4:$X$810,$A$4:$A$810,$A12,$E$4:$E$810,"Loss"),-('Guide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5">
        <f t="shared" si="16"/>
        <v>997.71428571428567</v>
      </c>
      <c r="AC12" s="125" t="str">
        <f>IF($D12="","",IF(SUMPRODUCT(MAX(($D$4:$D$810=$D12)*($B$4:$B$810&lt;$B12)*$B$4:$B$810))=0,0,MAX(($B12-MAX(SUMPRODUCT(MAX(($D$4:$D$810=$D12)*($B$4:$B$810&lt;$B12)*$B$4:$B$810)),'Guide &amp; Settings'!$C$50))/7-'Guide &amp; Settings'!$C$48,0)*'Guide &amp; Settings'!$C$49))</f>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Settings'!$C$42/(($F13-1)*COUNTIFS($A$4:$A$810,$A13,$E$4:$E$810,"Win")))*SUMIFS($X$4:$X$810,$A$4:$A$810,$A13,$E$4:$E$810,"Loss"),-('Guide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5">
        <f t="shared" si="16"/>
        <v>997.71428571428567</v>
      </c>
      <c r="AC13" s="125" t="str">
        <f>IF($D13="","",IF(SUMPRODUCT(MAX(($D$4:$D$810=$D13)*($B$4:$B$810&lt;$B13)*$B$4:$B$810))=0,0,MAX(($B13-MAX(SUMPRODUCT(MAX(($D$4:$D$810=$D13)*($B$4:$B$810&lt;$B13)*$B$4:$B$810)),'Guide &amp; Settings'!$C$50))/7-'Guide &amp; Settings'!$C$48,0)*'Guide &amp; Settings'!$C$49))</f>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Settings'!$C$42/(($F14-1)*COUNTIFS($A$4:$A$810,$A14,$E$4:$E$810,"Win")))*SUMIFS($X$4:$X$810,$A$4:$A$810,$A14,$E$4:$E$810,"Loss"),-('Guide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5">
        <f t="shared" si="16"/>
        <v>997.71428571428567</v>
      </c>
      <c r="AC14" s="125" t="str">
        <f>IF($D14="","",IF(SUMPRODUCT(MAX(($D$4:$D$810=$D14)*($B$4:$B$810&lt;$B14)*$B$4:$B$810))=0,0,MAX(($B14-MAX(SUMPRODUCT(MAX(($D$4:$D$810=$D14)*($B$4:$B$810&lt;$B14)*$B$4:$B$810)),'Guide &amp; Settings'!$C$50))/7-'Guide &amp; Settings'!$C$48,0)*'Guide &amp; Settings'!$C$49))</f>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Settings'!$C$42/(($F15-1)*COUNTIFS($A$4:$A$810,$A15,$E$4:$E$810,"Win")))*SUMIFS($X$4:$X$810,$A$4:$A$810,$A15,$E$4:$E$810,"Loss"),-('Guide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5">
        <f t="shared" si="16"/>
        <v>984</v>
      </c>
      <c r="AC15" s="125" t="str">
        <f>IF($D15="","",IF(SUMPRODUCT(MAX(($D$4:$D$810=$D15)*($B$4:$B$810&lt;$B15)*$B$4:$B$810))=0,0,MAX(($B15-MAX(SUMPRODUCT(MAX(($D$4:$D$810=$D15)*($B$4:$B$810&lt;$B15)*$B$4:$B$810)),'Guide &amp; Settings'!$C$50))/7-'Guide &amp; Settings'!$C$48,0)*'Guide &amp; Settings'!$C$49))</f>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Settings'!$C$42/(($F16-1)*COUNTIFS($A$4:$A$810,$A16,$E$4:$E$810,"Win")))*SUMIFS($X$4:$X$810,$A$4:$A$810,$A16,$E$4:$E$810,"Loss"),-('Guide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5">
        <f t="shared" si="16"/>
        <v>1016</v>
      </c>
      <c r="AC16" s="125" t="str">
        <f>IF($D16="","",IF(SUMPRODUCT(MAX(($D$4:$D$810=$D16)*($B$4:$B$810&lt;$B16)*$B$4:$B$810))=0,0,MAX(($B16-MAX(SUMPRODUCT(MAX(($D$4:$D$810=$D16)*($B$4:$B$810&lt;$B16)*$B$4:$B$810)),'Guide &amp; Settings'!$C$50))/7-'Guide &amp; Settings'!$C$48,0)*'Guide &amp; Settings'!$C$49))</f>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Settings'!$C$42/(($F17-1)*COUNTIFS($A$4:$A$810,$A17,$E$4:$E$810,"Win")))*SUMIFS($X$4:$X$810,$A$4:$A$810,$A17,$E$4:$E$810,"Loss"),-('Guide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5">
        <f t="shared" si="16"/>
        <v>969.46950152897546</v>
      </c>
      <c r="AC17" s="125" t="str">
        <f>IF($D17="","",IF(SUMPRODUCT(MAX(($D$4:$D$810=$D17)*($B$4:$B$810&lt;$B17)*$B$4:$B$810))=0,0,MAX(($B17-MAX(SUMPRODUCT(MAX(($D$4:$D$810=$D17)*($B$4:$B$810&lt;$B17)*$B$4:$B$810)),'Guide &amp; Settings'!$C$50))/7-'Guide &amp; Settings'!$C$48,0)*'Guide &amp; Settings'!$C$49))</f>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Settings'!$C$42/(($F18-1)*COUNTIFS($A$4:$A$810,$A18,$E$4:$E$810,"Win")))*SUMIFS($X$4:$X$810,$A$4:$A$810,$A18,$E$4:$E$810,"Loss"),-('Guide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5">
        <f t="shared" si="16"/>
        <v>1030.5304984710244</v>
      </c>
      <c r="AC18" s="125" t="str">
        <f>IF($D18="","",IF(SUMPRODUCT(MAX(($D$4:$D$810=$D18)*($B$4:$B$810&lt;$B18)*$B$4:$B$810))=0,0,MAX(($B18-MAX(SUMPRODUCT(MAX(($D$4:$D$810=$D18)*($B$4:$B$810&lt;$B18)*$B$4:$B$810)),'Guide &amp; Settings'!$C$50))/7-'Guide &amp; Settings'!$C$48,0)*'Guide &amp; Settings'!$C$49))</f>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Settings'!$C$42/(($F19-1)*COUNTIFS($A$4:$A$810,$A19,$E$4:$E$810,"Win")))*SUMIFS($X$4:$X$810,$A$4:$A$810,$A19,$E$4:$E$810,"Loss"),-('Guide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5">
        <f t="shared" si="16"/>
        <v>956.25286636638907</v>
      </c>
      <c r="AC19" s="125" t="str">
        <f>IF($D19="","",IF(SUMPRODUCT(MAX(($D$4:$D$810=$D19)*($B$4:$B$810&lt;$B19)*$B$4:$B$810))=0,0,MAX(($B19-MAX(SUMPRODUCT(MAX(($D$4:$D$810=$D19)*($B$4:$B$810&lt;$B19)*$B$4:$B$810)),'Guide &amp; Settings'!$C$50))/7-'Guide &amp; Settings'!$C$48,0)*'Guide &amp; Settings'!$C$49))</f>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Settings'!$C$42/(($F20-1)*COUNTIFS($A$4:$A$810,$A20,$E$4:$E$810,"Win")))*SUMIFS($X$4:$X$810,$A$4:$A$810,$A20,$E$4:$E$810,"Loss"),-('Guide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5">
        <f t="shared" si="16"/>
        <v>1043.7471336336109</v>
      </c>
      <c r="AC20" s="125" t="str">
        <f>IF($D20="","",IF(SUMPRODUCT(MAX(($D$4:$D$810=$D20)*($B$4:$B$810&lt;$B20)*$B$4:$B$810))=0,0,MAX(($B20-MAX(SUMPRODUCT(MAX(($D$4:$D$810=$D20)*($B$4:$B$810&lt;$B20)*$B$4:$B$810)),'Guide &amp; Settings'!$C$50))/7-'Guide &amp; Settings'!$C$48,0)*'Guide &amp; Settings'!$C$49))</f>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Settings'!$C$42/(($F21-1)*COUNTIFS($A$4:$A$810,$A21,$E$4:$E$810,"Win")))*SUMIFS($X$4:$X$810,$A$4:$A$810,$A21,$E$4:$E$810,"Loss"),-('Guide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5">
        <f t="shared" si="16"/>
        <v>976.19905737100225</v>
      </c>
      <c r="AC21" s="125" t="str">
        <f>IF($D21="","",IF(SUMPRODUCT(MAX(($D$4:$D$810=$D21)*($B$4:$B$810&lt;$B21)*$B$4:$B$810))=0,0,MAX(($B21-MAX(SUMPRODUCT(MAX(($D$4:$D$810=$D21)*($B$4:$B$810&lt;$B21)*$B$4:$B$810)),'Guide &amp; Settings'!$C$50))/7-'Guide &amp; Settings'!$C$48,0)*'Guide &amp; Settings'!$C$49))</f>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Settings'!$C$42/(($F22-1)*COUNTIFS($A$4:$A$810,$A22,$E$4:$E$810,"Win")))*SUMIFS($X$4:$X$810,$A$4:$A$810,$A22,$E$4:$E$810,"Loss"),-('Guide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5">
        <f t="shared" si="16"/>
        <v>1023.8009426289977</v>
      </c>
      <c r="AC22" s="125" t="str">
        <f>IF($D22="","",IF(SUMPRODUCT(MAX(($D$4:$D$810=$D22)*($B$4:$B$810&lt;$B22)*$B$4:$B$810))=0,0,MAX(($B22-MAX(SUMPRODUCT(MAX(($D$4:$D$810=$D22)*($B$4:$B$810&lt;$B22)*$B$4:$B$810)),'Guide &amp; Settings'!$C$50))/7-'Guide &amp; Settings'!$C$48,0)*'Guide &amp; Settings'!$C$49))</f>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Settings'!$C$42/(($F23-1)*COUNTIFS($A$4:$A$810,$A23,$E$4:$E$810,"Win")))*SUMIFS($X$4:$X$810,$A$4:$A$810,$A23,$E$4:$E$810,"Loss"),-('Guide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5">
        <f t="shared" si="16"/>
        <v>984</v>
      </c>
      <c r="AC23" s="125" t="str">
        <f>IF($D23="","",IF(SUMPRODUCT(MAX(($D$4:$D$810=$D23)*($B$4:$B$810&lt;$B23)*$B$4:$B$810))=0,0,MAX(($B23-MAX(SUMPRODUCT(MAX(($D$4:$D$810=$D23)*($B$4:$B$810&lt;$B23)*$B$4:$B$810)),'Guide &amp; Settings'!$C$50))/7-'Guide &amp; Settings'!$C$48,0)*'Guide &amp; Settings'!$C$49))</f>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Settings'!$C$42/(($F24-1)*COUNTIFS($A$4:$A$810,$A24,$E$4:$E$810,"Win")))*SUMIFS($X$4:$X$810,$A$4:$A$810,$A24,$E$4:$E$810,"Loss"),-('Guide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5">
        <f t="shared" si="16"/>
        <v>1016</v>
      </c>
      <c r="AC24" s="125" t="str">
        <f>IF($D24="","",IF(SUMPRODUCT(MAX(($D$4:$D$810=$D24)*($B$4:$B$810&lt;$B24)*$B$4:$B$810))=0,0,MAX(($B24-MAX(SUMPRODUCT(MAX(($D$4:$D$810=$D24)*($B$4:$B$810&lt;$B24)*$B$4:$B$810)),'Guide &amp; Settings'!$C$50))/7-'Guide &amp; Settings'!$C$48,0)*'Guide &amp; Settings'!$C$49))</f>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Settings'!$C$42/(($F25-1)*COUNTIFS($A$4:$A$810,$A25,$E$4:$E$810,"Win")))*SUMIFS($X$4:$X$810,$A$4:$A$810,$A25,$E$4:$E$810,"Loss"),-('Guide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5">
        <f t="shared" si="16"/>
        <v>969.46950152897546</v>
      </c>
      <c r="AC25" s="125" t="str">
        <f>IF($D25="","",IF(SUMPRODUCT(MAX(($D$4:$D$810=$D25)*($B$4:$B$810&lt;$B25)*$B$4:$B$810))=0,0,MAX(($B25-MAX(SUMPRODUCT(MAX(($D$4:$D$810=$D25)*($B$4:$B$810&lt;$B25)*$B$4:$B$810)),'Guide &amp; Settings'!$C$50))/7-'Guide &amp; Settings'!$C$48,0)*'Guide &amp; Settings'!$C$49))</f>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Settings'!$C$42/(($F26-1)*COUNTIFS($A$4:$A$810,$A26,$E$4:$E$810,"Win")))*SUMIFS($X$4:$X$810,$A$4:$A$810,$A26,$E$4:$E$810,"Loss"),-('Guide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5">
        <f t="shared" si="16"/>
        <v>1030.5304984710244</v>
      </c>
      <c r="AC26" s="125" t="str">
        <f>IF($D26="","",IF(SUMPRODUCT(MAX(($D$4:$D$810=$D26)*($B$4:$B$810&lt;$B26)*$B$4:$B$810))=0,0,MAX(($B26-MAX(SUMPRODUCT(MAX(($D$4:$D$810=$D26)*($B$4:$B$810&lt;$B26)*$B$4:$B$810)),'Guide &amp; Settings'!$C$50))/7-'Guide &amp; Settings'!$C$48,0)*'Guide &amp; Settings'!$C$49))</f>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Settings'!$C$42/(($F27-1)*COUNTIFS($A$4:$A$810,$A27,$E$4:$E$810,"Win")))*SUMIFS($X$4:$X$810,$A$4:$A$810,$A27,$E$4:$E$810,"Loss"),-('Guide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5">
        <f t="shared" si="16"/>
        <v>956.25286636638907</v>
      </c>
      <c r="AC27" s="125" t="str">
        <f>IF($D27="","",IF(SUMPRODUCT(MAX(($D$4:$D$810=$D27)*($B$4:$B$810&lt;$B27)*$B$4:$B$810))=0,0,MAX(($B27-MAX(SUMPRODUCT(MAX(($D$4:$D$810=$D27)*($B$4:$B$810&lt;$B27)*$B$4:$B$810)),'Guide &amp; Settings'!$C$50))/7-'Guide &amp; Settings'!$C$48,0)*'Guide &amp; Settings'!$C$49))</f>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Settings'!$C$42/(($F28-1)*COUNTIFS($A$4:$A$810,$A28,$E$4:$E$810,"Win")))*SUMIFS($X$4:$X$810,$A$4:$A$810,$A28,$E$4:$E$810,"Loss"),-('Guide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5">
        <f t="shared" si="16"/>
        <v>1043.7471336336109</v>
      </c>
      <c r="AC28" s="125" t="str">
        <f>IF($D28="","",IF(SUMPRODUCT(MAX(($D$4:$D$810=$D28)*($B$4:$B$810&lt;$B28)*$B$4:$B$810))=0,0,MAX(($B28-MAX(SUMPRODUCT(MAX(($D$4:$D$810=$D28)*($B$4:$B$810&lt;$B28)*$B$4:$B$810)),'Guide &amp; Settings'!$C$50))/7-'Guide &amp; Settings'!$C$48,0)*'Guide &amp; Settings'!$C$49))</f>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Settings'!$C$42/(($F29-1)*COUNTIFS($A$4:$A$810,$A29,$E$4:$E$810,"Win")))*SUMIFS($X$4:$X$810,$A$4:$A$810,$A29,$E$4:$E$810,"Loss"),-('Guide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Settings'!$C$42/(($F29-1)*COUNTIFS($A$4:$A$810,$A29,$E$4:$E$810,"Win")))*SUMIFS($Z$4:$Z$810,$A$4:$A$810,$A29,$E$4:$E$810,"Loss"),-('Guide &amp; Settings'!$C$42/($F29-1))*$Z29)))</f>
        <v>16</v>
      </c>
      <c r="AB29" s="125">
        <f t="shared" si="16"/>
        <v>1016</v>
      </c>
      <c r="AC29" s="125" t="str">
        <f>IF($D29="","",IF(SUMPRODUCT(MAX(($D$4:$D$810=$D29)*($B$4:$B$810&lt;$B29)*$B$4:$B$810))=0,0,MAX(($B29-MAX(SUMPRODUCT(MAX(($D$4:$D$810=$D29)*($B$4:$B$810&lt;$B29)*$B$4:$B$810)),'Guide &amp; Settings'!$C$50))/7-'Guide &amp; Settings'!$C$48,0)*'Guide &amp; Settings'!$C$49))</f>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Settings'!$C$42/(($F30-1)*COUNTIFS($A$4:$A$810,$A30,$E$4:$E$810,"Win")))*SUMIFS($X$4:$X$810,$A$4:$A$810,$A30,$E$4:$E$810,"Loss"),-('Guide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Settings'!$C$42/(($F30-1)*COUNTIFS($A$4:$A$810,$A30,$E$4:$E$810,"Win")))*SUMIFS($Z$4:$Z$810,$A$4:$A$810,$A30,$E$4:$E$810,"Loss"),-('Guide &amp; Settings'!$C$42/($F30-1))*$Z30)))</f>
        <v>-16</v>
      </c>
      <c r="AB30" s="125">
        <f t="shared" si="16"/>
        <v>984</v>
      </c>
      <c r="AC30" s="125" t="str">
        <f>IF($D30="","",IF(SUMPRODUCT(MAX(($D$4:$D$810=$D30)*($B$4:$B$810&lt;$B30)*$B$4:$B$810))=0,0,MAX(($B30-MAX(SUMPRODUCT(MAX(($D$4:$D$810=$D30)*($B$4:$B$810&lt;$B30)*$B$4:$B$810)),'Guide &amp; Settings'!$C$50))/7-'Guide &amp; Settings'!$C$48,0)*'Guide &amp; Settings'!$C$49))</f>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Settings'!$C$42/(($F31-1)*COUNTIFS($A$4:$A$810,$A31,$E$4:$E$810,"Win")))*SUMIFS($X$4:$X$810,$A$4:$A$810,$A31,$E$4:$E$810,"Loss"),-('Guide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Settings'!$C$42/(($F31-1)*COUNTIFS($A$4:$A$810,$A31,$E$4:$E$810,"Win")))*SUMIFS($Z$4:$Z$810,$A$4:$A$810,$A31,$E$4:$E$810,"Loss"),-('Guide &amp; Settings'!$C$42/($F31-1))*$Z31)))</f>
        <v>14.530498471024522</v>
      </c>
      <c r="AB31" s="125">
        <f t="shared" si="16"/>
        <v>1030.5304984710244</v>
      </c>
      <c r="AC31" s="125" t="str">
        <f>IF($D31="","",IF(SUMPRODUCT(MAX(($D$4:$D$810=$D31)*($B$4:$B$810&lt;$B31)*$B$4:$B$810))=0,0,MAX(($B31-MAX(SUMPRODUCT(MAX(($D$4:$D$810=$D31)*($B$4:$B$810&lt;$B31)*$B$4:$B$810)),'Guide &amp; Settings'!$C$50))/7-'Guide &amp; Settings'!$C$48,0)*'Guide &amp; Settings'!$C$49))</f>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Settings'!$C$42/(($F32-1)*COUNTIFS($A$4:$A$810,$A32,$E$4:$E$810,"Win")))*SUMIFS($X$4:$X$810,$A$4:$A$810,$A32,$E$4:$E$810,"Loss"),-('Guide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Settings'!$C$42/(($F32-1)*COUNTIFS($A$4:$A$810,$A32,$E$4:$E$810,"Win")))*SUMIFS($Z$4:$Z$810,$A$4:$A$810,$A32,$E$4:$E$810,"Loss"),-('Guide &amp; Settings'!$C$42/($F32-1))*$Z32)))</f>
        <v>-14.530498471024522</v>
      </c>
      <c r="AB32" s="125">
        <f t="shared" si="16"/>
        <v>969.46950152897546</v>
      </c>
      <c r="AC32" s="125" t="str">
        <f>IF($D32="","",IF(SUMPRODUCT(MAX(($D$4:$D$810=$D32)*($B$4:$B$810&lt;$B32)*$B$4:$B$810))=0,0,MAX(($B32-MAX(SUMPRODUCT(MAX(($D$4:$D$810=$D32)*($B$4:$B$810&lt;$B32)*$B$4:$B$810)),'Guide &amp; Settings'!$C$50))/7-'Guide &amp; Settings'!$C$48,0)*'Guide &amp; Settings'!$C$49))</f>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Settings'!$C$42/(($F33-1)*COUNTIFS($A$4:$A$810,$A33,$E$4:$E$810,"Win")))*SUMIFS($X$4:$X$810,$A$4:$A$810,$A33,$E$4:$E$810,"Loss"),-('Guide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5">
        <f t="shared" si="16"/>
        <v>1043.7471336336109</v>
      </c>
      <c r="AC33" s="125" t="str">
        <f>IF($D33="","",IF(SUMPRODUCT(MAX(($D$4:$D$810=$D33)*($B$4:$B$810&lt;$B33)*$B$4:$B$810))=0,0,MAX(($B33-MAX(SUMPRODUCT(MAX(($D$4:$D$810=$D33)*($B$4:$B$810&lt;$B33)*$B$4:$B$810)),'Guide &amp; Settings'!$C$50))/7-'Guide &amp; Settings'!$C$48,0)*'Guide &amp; Settings'!$C$49))</f>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Settings'!$C$42/(($F34-1)*COUNTIFS($A$4:$A$810,$A34,$E$4:$E$810,"Win")))*SUMIFS($X$4:$X$810,$A$4:$A$810,$A34,$E$4:$E$810,"Loss"),-('Guide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Settings'!$C$42/(($F34-1)*COUNTIFS($A$4:$A$810,$A34,$E$4:$E$810,"Win")))*SUMIFS($Z$4:$Z$810,$A$4:$A$810,$A34,$E$4:$E$810,"Loss"),-('Guide &amp; Settings'!$C$42/($F34-1))*$Z34)))</f>
        <v>-13.21663516258643</v>
      </c>
      <c r="AB34" s="125">
        <f t="shared" si="16"/>
        <v>956.25286636638907</v>
      </c>
      <c r="AC34" s="125" t="str">
        <f>IF($D34="","",IF(SUMPRODUCT(MAX(($D$4:$D$810=$D34)*($B$4:$B$810&lt;$B34)*$B$4:$B$810))=0,0,MAX(($B34-MAX(SUMPRODUCT(MAX(($D$4:$D$810=$D34)*($B$4:$B$810&lt;$B34)*$B$4:$B$810)),'Guide &amp; Settings'!$C$50))/7-'Guide &amp; Settings'!$C$48,0)*'Guide &amp; Settings'!$C$49))</f>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Settings'!$C$42/(($F35-1)*COUNTIFS($A$4:$A$810,$A35,$E$4:$E$810,"Win")))*SUMIFS($X$4:$X$810,$A$4:$A$810,$A35,$E$4:$E$810,"Loss"),-('Guide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5">
        <f t="shared" si="16"/>
        <v>1037.6224092421296</v>
      </c>
      <c r="AC35" s="125" t="str">
        <f>IF($D35="","",IF(SUMPRODUCT(MAX(($D$4:$D$810=$D35)*($B$4:$B$810&lt;$B35)*$B$4:$B$810))=0,0,MAX(($B35-MAX(SUMPRODUCT(MAX(($D$4:$D$810=$D35)*($B$4:$B$810&lt;$B35)*$B$4:$B$810)),'Guide &amp; Settings'!$C$50))/7-'Guide &amp; Settings'!$C$48,0)*'Guide &amp; Settings'!$C$49))</f>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Settings'!$C$42/(($F36-1)*COUNTIFS($A$4:$A$810,$A36,$E$4:$E$810,"Win")))*SUMIFS($X$4:$X$810,$A$4:$A$810,$A36,$E$4:$E$810,"Loss"),-('Guide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5">
        <f t="shared" si="16"/>
        <v>962.37759075787051</v>
      </c>
      <c r="AC36" s="125" t="str">
        <f>IF($D36="","",IF(SUMPRODUCT(MAX(($D$4:$D$810=$D36)*($B$4:$B$810&lt;$B36)*$B$4:$B$810))=0,0,MAX(($B36-MAX(SUMPRODUCT(MAX(($D$4:$D$810=$D36)*($B$4:$B$810&lt;$B36)*$B$4:$B$810)),'Guide &amp; Settings'!$C$50))/7-'Guide &amp; Settings'!$C$48,0)*'Guide &amp; Settings'!$C$49))</f>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Settings'!$C$42/(($F37-1)*COUNTIFS($A$4:$A$810,$A37,$E$4:$E$810,"Win")))*SUMIFS($X$4:$X$810,$A$4:$A$810,$A37,$E$4:$E$810,"Loss"),-('Guide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5">
        <f t="shared" si="16"/>
        <v>1018.2104356551559</v>
      </c>
      <c r="AC37" s="125" t="str">
        <f>IF($D37="","",IF(SUMPRODUCT(MAX(($D$4:$D$810=$D37)*($B$4:$B$810&lt;$B37)*$B$4:$B$810))=0,0,MAX(($B37-MAX(SUMPRODUCT(MAX(($D$4:$D$810=$D37)*($B$4:$B$810&lt;$B37)*$B$4:$B$810)),'Guide &amp; Settings'!$C$50))/7-'Guide &amp; Settings'!$C$48,0)*'Guide &amp; Settings'!$C$49))</f>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Settings'!$C$42/(($F38-1)*COUNTIFS($A$4:$A$810,$A38,$E$4:$E$810,"Win")))*SUMIFS($X$4:$X$810,$A$4:$A$810,$A38,$E$4:$E$810,"Loss"),-('Guide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5">
        <f t="shared" si="16"/>
        <v>981.78956434484417</v>
      </c>
      <c r="AC38" s="125" t="str">
        <f>IF($D38="","",IF(SUMPRODUCT(MAX(($D$4:$D$810=$D38)*($B$4:$B$810&lt;$B38)*$B$4:$B$810))=0,0,MAX(($B38-MAX(SUMPRODUCT(MAX(($D$4:$D$810=$D38)*($B$4:$B$810&lt;$B38)*$B$4:$B$810)),'Guide &amp; Settings'!$C$50))/7-'Guide &amp; Settings'!$C$48,0)*'Guide &amp; Settings'!$C$49))</f>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Settings'!$C$42/(($F39-1)*COUNTIFS($A$4:$A$810,$A39,$E$4:$E$810,"Win")))*SUMIFS($X$4:$X$810,$A$4:$A$810,$A39,$E$4:$E$810,"Loss"),-('Guide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5">
        <f t="shared" si="16"/>
        <v>1000.5393093181125</v>
      </c>
      <c r="AC39" s="125" t="str">
        <f>IF($D39="","",IF(SUMPRODUCT(MAX(($D$4:$D$810=$D39)*($B$4:$B$810&lt;$B39)*$B$4:$B$810))=0,0,MAX(($B39-MAX(SUMPRODUCT(MAX(($D$4:$D$810=$D39)*($B$4:$B$810&lt;$B39)*$B$4:$B$810)),'Guide &amp; Settings'!$C$50))/7-'Guide &amp; Settings'!$C$48,0)*'Guide &amp; Settings'!$C$49))</f>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Settings'!$C$42/(($F40-1)*COUNTIFS($A$4:$A$810,$A40,$E$4:$E$810,"Win")))*SUMIFS($X$4:$X$810,$A$4:$A$810,$A40,$E$4:$E$810,"Loss"),-('Guide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5">
        <f t="shared" si="16"/>
        <v>999.46069068188763</v>
      </c>
      <c r="AC40" s="125" t="str">
        <f>IF($D40="","",IF(SUMPRODUCT(MAX(($D$4:$D$810=$D40)*($B$4:$B$810&lt;$B40)*$B$4:$B$810))=0,0,MAX(($B40-MAX(SUMPRODUCT(MAX(($D$4:$D$810=$D40)*($B$4:$B$810&lt;$B40)*$B$4:$B$810)),'Guide &amp; Settings'!$C$50))/7-'Guide &amp; Settings'!$C$48,0)*'Guide &amp; Settings'!$C$49))</f>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Settings'!$C$42/(($F41-1)*COUNTIFS($A$4:$A$810,$A41,$E$4:$E$810,"Win")))*SUMIFS($X$4:$X$810,$A$4:$A$810,$A41,$E$4:$E$810,"Loss"),-('Guide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5">
        <f t="shared" si="16"/>
        <v>984.48963725383635</v>
      </c>
      <c r="AC41" s="125" t="str">
        <f>IF($D41="","",IF(SUMPRODUCT(MAX(($D$4:$D$810=$D41)*($B$4:$B$810&lt;$B41)*$B$4:$B$810))=0,0,MAX(($B41-MAX(SUMPRODUCT(MAX(($D$4:$D$810=$D41)*($B$4:$B$810&lt;$B41)*$B$4:$B$810)),'Guide &amp; Settings'!$C$50))/7-'Guide &amp; Settings'!$C$48,0)*'Guide &amp; Settings'!$C$49))</f>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Settings'!$C$42/(($F42-1)*COUNTIFS($A$4:$A$810,$A42,$E$4:$E$810,"Win")))*SUMIFS($X$4:$X$810,$A$4:$A$810,$A42,$E$4:$E$810,"Loss"),-('Guide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5">
        <f t="shared" si="16"/>
        <v>1015.5103627461638</v>
      </c>
      <c r="AC42" s="125" t="str">
        <f>IF($D42="","",IF(SUMPRODUCT(MAX(($D$4:$D$810=$D42)*($B$4:$B$810&lt;$B42)*$B$4:$B$810))=0,0,MAX(($B42-MAX(SUMPRODUCT(MAX(($D$4:$D$810=$D42)*($B$4:$B$810&lt;$B42)*$B$4:$B$810)),'Guide &amp; Settings'!$C$50))/7-'Guide &amp; Settings'!$C$48,0)*'Guide &amp; Settings'!$C$49))</f>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Settings'!$C$42/(($F43-1)*COUNTIFS($A$4:$A$810,$A43,$E$4:$E$810,"Win")))*SUMIFS($X$4:$X$810,$A$4:$A$810,$A43,$E$4:$E$810,"Loss"),-('Guide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Settings'!$C$42/(($F43-1)*COUNTIFS($A$4:$A$810,$A43,$E$4:$E$810,"Win")))*SUMIFS($Z$4:$Z$810,$A$4:$A$810,$A43,$E$4:$E$810,"Loss"),-('Guide &amp; Settings'!$C$42/($F43-1))*$Z43)))</f>
        <v>16</v>
      </c>
      <c r="AB43" s="125">
        <f t="shared" si="16"/>
        <v>1016</v>
      </c>
      <c r="AC43" s="125" t="str">
        <f>IF($D43="","",IF(SUMPRODUCT(MAX(($D$4:$D$810=$D43)*($B$4:$B$810&lt;$B43)*$B$4:$B$810))=0,0,MAX(($B43-MAX(SUMPRODUCT(MAX(($D$4:$D$810=$D43)*($B$4:$B$810&lt;$B43)*$B$4:$B$810)),'Guide &amp; Settings'!$C$50))/7-'Guide &amp; Settings'!$C$48,0)*'Guide &amp; Settings'!$C$49))</f>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Settings'!$C$42/(($F44-1)*COUNTIFS($A$4:$A$810,$A44,$E$4:$E$810,"Win")))*SUMIFS($X$4:$X$810,$A$4:$A$810,$A44,$E$4:$E$810,"Loss"),-('Guide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Settings'!$C$42/(($F44-1)*COUNTIFS($A$4:$A$810,$A44,$E$4:$E$810,"Win")))*SUMIFS($Z$4:$Z$810,$A$4:$A$810,$A44,$E$4:$E$810,"Loss"),-('Guide &amp; Settings'!$C$42/($F44-1))*$Z44)))</f>
        <v>-16</v>
      </c>
      <c r="AB44" s="125">
        <f t="shared" si="16"/>
        <v>984</v>
      </c>
      <c r="AC44" s="125" t="str">
        <f>IF($D44="","",IF(SUMPRODUCT(MAX(($D$4:$D$810=$D44)*($B$4:$B$810&lt;$B44)*$B$4:$B$810))=0,0,MAX(($B44-MAX(SUMPRODUCT(MAX(($D$4:$D$810=$D44)*($B$4:$B$810&lt;$B44)*$B$4:$B$810)),'Guide &amp; Settings'!$C$50))/7-'Guide &amp; Settings'!$C$48,0)*'Guide &amp; Settings'!$C$49))</f>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Settings'!$C$42/(($F45-1)*COUNTIFS($A$4:$A$810,$A45,$E$4:$E$810,"Win")))*SUMIFS($X$4:$X$810,$A$4:$A$810,$A45,$E$4:$E$810,"Loss"),-('Guide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Settings'!$C$42/(($F45-1)*COUNTIFS($A$4:$A$810,$A45,$E$4:$E$810,"Win")))*SUMIFS($Z$4:$Z$810,$A$4:$A$810,$A45,$E$4:$E$810,"Loss"),-('Guide &amp; Settings'!$C$42/($F45-1))*$Z45)))</f>
        <v>15.263693206478006</v>
      </c>
      <c r="AB45" s="125">
        <f t="shared" si="16"/>
        <v>1031.2636932064779</v>
      </c>
      <c r="AC45" s="125" t="str">
        <f>IF($D45="","",IF(SUMPRODUCT(MAX(($D$4:$D$810=$D45)*($B$4:$B$810&lt;$B45)*$B$4:$B$810))=0,0,MAX(($B45-MAX(SUMPRODUCT(MAX(($D$4:$D$810=$D45)*($B$4:$B$810&lt;$B45)*$B$4:$B$810)),'Guide &amp; Settings'!$C$50))/7-'Guide &amp; Settings'!$C$48,0)*'Guide &amp; Settings'!$C$49))</f>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Settings'!$C$42/(($F46-1)*COUNTIFS($A$4:$A$810,$A46,$E$4:$E$810,"Win")))*SUMIFS($X$4:$X$810,$A$4:$A$810,$A46,$E$4:$E$810,"Loss"),-('Guide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Settings'!$C$42/(($F46-1)*COUNTIFS($A$4:$A$810,$A46,$E$4:$E$810,"Win")))*SUMIFS($Z$4:$Z$810,$A$4:$A$810,$A46,$E$4:$E$810,"Loss"),-('Guide &amp; Settings'!$C$42/($F46-1))*$Z46)))</f>
        <v>-15.263693206478006</v>
      </c>
      <c r="AB46" s="125">
        <f t="shared" si="16"/>
        <v>984.73630679352198</v>
      </c>
      <c r="AC46" s="125" t="str">
        <f>IF($D46="","",IF(SUMPRODUCT(MAX(($D$4:$D$810=$D46)*($B$4:$B$810&lt;$B46)*$B$4:$B$810))=0,0,MAX(($B46-MAX(SUMPRODUCT(MAX(($D$4:$D$810=$D46)*($B$4:$B$810&lt;$B46)*$B$4:$B$810)),'Guide &amp; Settings'!$C$50))/7-'Guide &amp; Settings'!$C$48,0)*'Guide &amp; Settings'!$C$49))</f>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Settings'!$C$42/(($F47-1)*COUNTIFS($A$4:$A$810,$A47,$E$4:$E$810,"Win")))*SUMIFS($X$4:$X$810,$A$4:$A$810,$A47,$E$4:$E$810,"Loss"),-('Guide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5">
        <f t="shared" si="16"/>
        <v>1046.5387222766644</v>
      </c>
      <c r="AC47" s="125" t="str">
        <f>IF($D47="","",IF(SUMPRODUCT(MAX(($D$4:$D$810=$D47)*($B$4:$B$810&lt;$B47)*$B$4:$B$810))=0,0,MAX(($B47-MAX(SUMPRODUCT(MAX(($D$4:$D$810=$D47)*($B$4:$B$810&lt;$B47)*$B$4:$B$810)),'Guide &amp; Settings'!$C$50))/7-'Guide &amp; Settings'!$C$48,0)*'Guide &amp; Settings'!$C$49))</f>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Settings'!$C$42/(($F48-1)*COUNTIFS($A$4:$A$810,$A48,$E$4:$E$810,"Win")))*SUMIFS($X$4:$X$810,$A$4:$A$810,$A48,$E$4:$E$810,"Loss"),-('Guide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Settings'!$C$42/(($F48-1)*COUNTIFS($A$4:$A$810,$A48,$E$4:$E$810,"Win")))*SUMIFS($Z$4:$Z$810,$A$4:$A$810,$A48,$E$4:$E$810,"Loss"),-('Guide &amp; Settings'!$C$42/($F48-1))*$Z48)))</f>
        <v>-15.275029070186529</v>
      </c>
      <c r="AB48" s="125">
        <f t="shared" si="16"/>
        <v>1000.2353336759772</v>
      </c>
      <c r="AC48" s="125" t="str">
        <f>IF($D48="","",IF(SUMPRODUCT(MAX(($D$4:$D$810=$D48)*($B$4:$B$810&lt;$B48)*$B$4:$B$810))=0,0,MAX(($B48-MAX(SUMPRODUCT(MAX(($D$4:$D$810=$D48)*($B$4:$B$810&lt;$B48)*$B$4:$B$810)),'Guide &amp; Settings'!$C$50))/7-'Guide &amp; Settings'!$C$48,0)*'Guide &amp; Settings'!$C$49))</f>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Settings'!$C$42/(($F49-1)*COUNTIFS($A$4:$A$810,$A49,$E$4:$E$810,"Win")))*SUMIFS($X$4:$X$810,$A$4:$A$810,$A49,$E$4:$E$810,"Loss"),-('Guide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Settings'!$C$42/(($F49-1)*COUNTIFS($A$4:$A$810,$A49,$E$4:$E$810,"Win")))*SUMIFS($Z$4:$Z$810,$A$4:$A$810,$A49,$E$4:$E$810,"Loss"),-('Guide &amp; Settings'!$C$42/($F49-1))*$Z49)))</f>
        <v>16</v>
      </c>
      <c r="AB49" s="125">
        <f t="shared" si="16"/>
        <v>1016</v>
      </c>
      <c r="AC49" s="125" t="str">
        <f>IF($D49="","",IF(SUMPRODUCT(MAX(($D$4:$D$810=$D49)*($B$4:$B$810&lt;$B49)*$B$4:$B$810))=0,0,MAX(($B49-MAX(SUMPRODUCT(MAX(($D$4:$D$810=$D49)*($B$4:$B$810&lt;$B49)*$B$4:$B$810)),'Guide &amp; Settings'!$C$50))/7-'Guide &amp; Settings'!$C$48,0)*'Guide &amp; Settings'!$C$49))</f>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Settings'!$C$42/(($F50-1)*COUNTIFS($A$4:$A$810,$A50,$E$4:$E$810,"Win")))*SUMIFS($X$4:$X$810,$A$4:$A$810,$A50,$E$4:$E$810,"Loss"),-('Guide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Settings'!$C$42/(($F50-1)*COUNTIFS($A$4:$A$810,$A50,$E$4:$E$810,"Win")))*SUMIFS($Z$4:$Z$810,$A$4:$A$810,$A50,$E$4:$E$810,"Loss"),-('Guide &amp; Settings'!$C$42/($F50-1))*$Z50)))</f>
        <v>-16</v>
      </c>
      <c r="AB50" s="125">
        <f t="shared" si="16"/>
        <v>984</v>
      </c>
      <c r="AC50" s="125" t="str">
        <f>IF($D50="","",IF(SUMPRODUCT(MAX(($D$4:$D$810=$D50)*($B$4:$B$810&lt;$B50)*$B$4:$B$810))=0,0,MAX(($B50-MAX(SUMPRODUCT(MAX(($D$4:$D$810=$D50)*($B$4:$B$810&lt;$B50)*$B$4:$B$810)),'Guide &amp; Settings'!$C$50))/7-'Guide &amp; Settings'!$C$48,0)*'Guide &amp; Settings'!$C$49))</f>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Settings'!$C$42/(($F51-1)*COUNTIFS($A$4:$A$810,$A51,$E$4:$E$810,"Win")))*SUMIFS($X$4:$X$810,$A$4:$A$810,$A51,$E$4:$E$810,"Loss"),-('Guide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Settings'!$C$42/(($F51-1)*COUNTIFS($A$4:$A$810,$A51,$E$4:$E$810,"Win")))*SUMIFS($Z$4:$Z$810,$A$4:$A$810,$A51,$E$4:$E$810,"Loss"),-('Guide &amp; Settings'!$C$42/($F51-1))*$Z51)))</f>
        <v>14.530498471024522</v>
      </c>
      <c r="AB51" s="125">
        <f t="shared" si="16"/>
        <v>1030.5304984710244</v>
      </c>
      <c r="AC51" s="125" t="str">
        <f>IF($D51="","",IF(SUMPRODUCT(MAX(($D$4:$D$810=$D51)*($B$4:$B$810&lt;$B51)*$B$4:$B$810))=0,0,MAX(($B51-MAX(SUMPRODUCT(MAX(($D$4:$D$810=$D51)*($B$4:$B$810&lt;$B51)*$B$4:$B$810)),'Guide &amp; Settings'!$C$50))/7-'Guide &amp; Settings'!$C$48,0)*'Guide &amp; Settings'!$C$49))</f>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Settings'!$C$42/(($F52-1)*COUNTIFS($A$4:$A$810,$A52,$E$4:$E$810,"Win")))*SUMIFS($X$4:$X$810,$A$4:$A$810,$A52,$E$4:$E$810,"Loss"),-('Guide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Settings'!$C$42/(($F52-1)*COUNTIFS($A$4:$A$810,$A52,$E$4:$E$810,"Win")))*SUMIFS($Z$4:$Z$810,$A$4:$A$810,$A52,$E$4:$E$810,"Loss"),-('Guide &amp; Settings'!$C$42/($F52-1))*$Z52)))</f>
        <v>-14.530498471024522</v>
      </c>
      <c r="AB52" s="125">
        <f t="shared" si="16"/>
        <v>969.46950152897546</v>
      </c>
      <c r="AC52" s="125" t="str">
        <f>IF($D52="","",IF(SUMPRODUCT(MAX(($D$4:$D$810=$D52)*($B$4:$B$810&lt;$B52)*$B$4:$B$810))=0,0,MAX(($B52-MAX(SUMPRODUCT(MAX(($D$4:$D$810=$D52)*($B$4:$B$810&lt;$B52)*$B$4:$B$810)),'Guide &amp; Settings'!$C$50))/7-'Guide &amp; Settings'!$C$48,0)*'Guide &amp; Settings'!$C$49))</f>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Settings'!$C$42/(($F53-1)*COUNTIFS($A$4:$A$810,$A53,$E$4:$E$810,"Win")))*SUMIFS($X$4:$X$810,$A$4:$A$810,$A53,$E$4:$E$810,"Loss"),-('Guide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5">
        <f t="shared" si="16"/>
        <v>1043.7471336336109</v>
      </c>
      <c r="AC53" s="125" t="str">
        <f>IF($D53="","",IF(SUMPRODUCT(MAX(($D$4:$D$810=$D53)*($B$4:$B$810&lt;$B53)*$B$4:$B$810))=0,0,MAX(($B53-MAX(SUMPRODUCT(MAX(($D$4:$D$810=$D53)*($B$4:$B$810&lt;$B53)*$B$4:$B$810)),'Guide &amp; Settings'!$C$50))/7-'Guide &amp; Settings'!$C$48,0)*'Guide &amp; Settings'!$C$49))</f>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Settings'!$C$42/(($F54-1)*COUNTIFS($A$4:$A$810,$A54,$E$4:$E$810,"Win")))*SUMIFS($X$4:$X$810,$A$4:$A$810,$A54,$E$4:$E$810,"Loss"),-('Guide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Settings'!$C$42/(($F54-1)*COUNTIFS($A$4:$A$810,$A54,$E$4:$E$810,"Win")))*SUMIFS($Z$4:$Z$810,$A$4:$A$810,$A54,$E$4:$E$810,"Loss"),-('Guide &amp; Settings'!$C$42/($F54-1))*$Z54)))</f>
        <v>-13.21663516258643</v>
      </c>
      <c r="AB54" s="125">
        <f t="shared" si="16"/>
        <v>956.25286636638907</v>
      </c>
      <c r="AC54" s="125" t="str">
        <f>IF($D54="","",IF(SUMPRODUCT(MAX(($D$4:$D$810=$D54)*($B$4:$B$810&lt;$B54)*$B$4:$B$810))=0,0,MAX(($B54-MAX(SUMPRODUCT(MAX(($D$4:$D$810=$D54)*($B$4:$B$810&lt;$B54)*$B$4:$B$810)),'Guide &amp; Settings'!$C$50))/7-'Guide &amp; Settings'!$C$48,0)*'Guide &amp; Settings'!$C$49))</f>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Settings'!$C$42/(($F55-1)*COUNTIFS($A$4:$A$810,$A55,$E$4:$E$810,"Win")))*SUMIFS($X$4:$X$810,$A$4:$A$810,$A55,$E$4:$E$810,"Loss"),-('Guide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5">
        <f t="shared" si="16"/>
        <v>1055.8009426289977</v>
      </c>
      <c r="AC55" s="125" t="str">
        <f>IF($D55="","",IF(SUMPRODUCT(MAX(($D$4:$D$810=$D55)*($B$4:$B$810&lt;$B55)*$B$4:$B$810))=0,0,MAX(($B55-MAX(SUMPRODUCT(MAX(($D$4:$D$810=$D55)*($B$4:$B$810&lt;$B55)*$B$4:$B$810)),'Guide &amp; Settings'!$C$50))/7-'Guide &amp; Settings'!$C$48,0)*'Guide &amp; Settings'!$C$49))</f>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Settings'!$C$42/(($F56-1)*COUNTIFS($A$4:$A$810,$A56,$E$4:$E$810,"Win")))*SUMIFS($X$4:$X$810,$A$4:$A$810,$A56,$E$4:$E$810,"Loss"),-('Guide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Settings'!$C$42/(($F56-1)*COUNTIFS($A$4:$A$810,$A56,$E$4:$E$810,"Win")))*SUMIFS($Z$4:$Z$810,$A$4:$A$810,$A56,$E$4:$E$810,"Loss"),-('Guide &amp; Settings'!$C$42/($F56-1))*$Z56)))</f>
        <v>-12.05380899538682</v>
      </c>
      <c r="AB56" s="125">
        <f t="shared" si="16"/>
        <v>944.19905737100225</v>
      </c>
      <c r="AC56" s="125" t="str">
        <f>IF($D56="","",IF(SUMPRODUCT(MAX(($D$4:$D$810=$D56)*($B$4:$B$810&lt;$B56)*$B$4:$B$810))=0,0,MAX(($B56-MAX(SUMPRODUCT(MAX(($D$4:$D$810=$D56)*($B$4:$B$810&lt;$B56)*$B$4:$B$810)),'Guide &amp; Settings'!$C$50))/7-'Guide &amp; Settings'!$C$48,0)*'Guide &amp; Settings'!$C$49))</f>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Settings'!$C$42/(($F57-1)*COUNTIFS($A$4:$A$810,$A57,$E$4:$E$810,"Win")))*SUMIFS($X$4:$X$810,$A$4:$A$810,$A57,$E$4:$E$810,"Loss"),-('Guide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5">
        <f t="shared" si="16"/>
        <v>1055.8009426289977</v>
      </c>
      <c r="AC57" s="125" t="str">
        <f>IF($D57="","",IF(SUMPRODUCT(MAX(($D$4:$D$810=$D57)*($B$4:$B$810&lt;$B57)*$B$4:$B$810))=0,0,MAX(($B57-MAX(SUMPRODUCT(MAX(($D$4:$D$810=$D57)*($B$4:$B$810&lt;$B57)*$B$4:$B$810)),'Guide &amp; Settings'!$C$50))/7-'Guide &amp; Settings'!$C$48,0)*'Guide &amp; Settings'!$C$49))</f>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Settings'!$C$42/(($F58-1)*COUNTIFS($A$4:$A$810,$A58,$E$4:$E$810,"Win")))*SUMIFS($X$4:$X$810,$A$4:$A$810,$A58,$E$4:$E$810,"Loss"),-('Guide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Settings'!$C$42/(($F58-1)*COUNTIFS($A$4:$A$810,$A58,$E$4:$E$810,"Win")))*SUMIFS($Z$4:$Z$810,$A$4:$A$810,$A58,$E$4:$E$810,"Loss"),-('Guide &amp; Settings'!$C$42/($F58-1))*$Z58)))</f>
        <v>-12.05380899538682</v>
      </c>
      <c r="AB58" s="125">
        <f t="shared" si="16"/>
        <v>944.19905737100225</v>
      </c>
      <c r="AC58" s="125" t="str">
        <f>IF($D58="","",IF(SUMPRODUCT(MAX(($D$4:$D$810=$D58)*($B$4:$B$810&lt;$B58)*$B$4:$B$810))=0,0,MAX(($B58-MAX(SUMPRODUCT(MAX(($D$4:$D$810=$D58)*($B$4:$B$810&lt;$B58)*$B$4:$B$810)),'Guide &amp; Settings'!$C$50))/7-'Guide &amp; Settings'!$C$48,0)*'Guide &amp; Settings'!$C$49))</f>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Settings'!$C$42/(($F59-1)*COUNTIFS($A$4:$A$810,$A59,$E$4:$E$810,"Win")))*SUMIFS($X$4:$X$810,$A$4:$A$810,$A59,$E$4:$E$810,"Loss"),-('Guide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5">
        <f t="shared" si="16"/>
        <v>1069.253083959482</v>
      </c>
      <c r="AC59" s="125" t="str">
        <f>IF($D59="","",IF(SUMPRODUCT(MAX(($D$4:$D$810=$D59)*($B$4:$B$810&lt;$B59)*$B$4:$B$810))=0,0,MAX(($B59-MAX(SUMPRODUCT(MAX(($D$4:$D$810=$D59)*($B$4:$B$810&lt;$B59)*$B$4:$B$810)),'Guide &amp; Settings'!$C$50))/7-'Guide &amp; Settings'!$C$48,0)*'Guide &amp; Settings'!$C$49))</f>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Settings'!$C$42/(($F60-1)*COUNTIFS($A$4:$A$810,$A60,$E$4:$E$810,"Win")))*SUMIFS($X$4:$X$810,$A$4:$A$810,$A60,$E$4:$E$810,"Loss"),-('Guide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Settings'!$C$42/(($F60-1)*COUNTIFS($A$4:$A$810,$A60,$E$4:$E$810,"Win")))*SUMIFS($Z$4:$Z$810,$A$4:$A$810,$A60,$E$4:$E$810,"Loss"),-('Guide &amp; Settings'!$C$42/($F60-1))*$Z60)))</f>
        <v>-13.452141330484256</v>
      </c>
      <c r="AB60" s="125">
        <f t="shared" si="16"/>
        <v>986.54785866951579</v>
      </c>
      <c r="AC60" s="125" t="str">
        <f>IF($D60="","",IF(SUMPRODUCT(MAX(($D$4:$D$810=$D60)*($B$4:$B$810&lt;$B60)*$B$4:$B$810))=0,0,MAX(($B60-MAX(SUMPRODUCT(MAX(($D$4:$D$810=$D60)*($B$4:$B$810&lt;$B60)*$B$4:$B$810)),'Guide &amp; Settings'!$C$50))/7-'Guide &amp; Settings'!$C$48,0)*'Guide &amp; Settings'!$C$49))</f>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Settings'!$C$42/(($F61-1)*COUNTIFS($A$4:$A$810,$A61,$E$4:$E$810,"Win")))*SUMIFS($X$4:$X$810,$A$4:$A$810,$A61,$E$4:$E$810,"Loss"),-('Guide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Settings'!$C$42/(($F61-1)*COUNTIFS($A$4:$A$810,$A61,$E$4:$E$810,"Win")))*SUMIFS($Z$4:$Z$810,$A$4:$A$810,$A61,$E$4:$E$810,"Loss"),-('Guide &amp; Settings'!$C$42/($F61-1))*$Z61)))</f>
        <v>-17.940633159089472</v>
      </c>
      <c r="AB61" s="125">
        <f t="shared" si="16"/>
        <v>968.60722551042636</v>
      </c>
      <c r="AC61" s="125" t="str">
        <f>IF($D61="","",IF(SUMPRODUCT(MAX(($D$4:$D$810=$D61)*($B$4:$B$810&lt;$B61)*$B$4:$B$810))=0,0,MAX(($B61-MAX(SUMPRODUCT(MAX(($D$4:$D$810=$D61)*($B$4:$B$810&lt;$B61)*$B$4:$B$810)),'Guide &amp; Settings'!$C$50))/7-'Guide &amp; Settings'!$C$48,0)*'Guide &amp; Settings'!$C$49))</f>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Settings'!$C$42/(($F62-1)*COUNTIFS($A$4:$A$810,$A62,$E$4:$E$810,"Win")))*SUMIFS($X$4:$X$810,$A$4:$A$810,$A62,$E$4:$E$810,"Loss"),-('Guide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5">
        <f t="shared" si="16"/>
        <v>962.13969053009168</v>
      </c>
      <c r="AC62" s="125" t="str">
        <f>IF($D62="","",IF(SUMPRODUCT(MAX(($D$4:$D$810=$D62)*($B$4:$B$810&lt;$B62)*$B$4:$B$810))=0,0,MAX(($B62-MAX(SUMPRODUCT(MAX(($D$4:$D$810=$D62)*($B$4:$B$810&lt;$B62)*$B$4:$B$810)),'Guide &amp; Settings'!$C$50))/7-'Guide &amp; Settings'!$C$48,0)*'Guide &amp; Settings'!$C$49))</f>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Settings'!$C$42/(($F63-1)*COUNTIFS($A$4:$A$810,$A63,$E$4:$E$810,"Win")))*SUMIFS($X$4:$X$810,$A$4:$A$810,$A63,$E$4:$E$810,"Loss"),-('Guide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5">
        <f t="shared" si="16"/>
        <v>1080.4708897238791</v>
      </c>
      <c r="AC63" s="125" t="str">
        <f>IF($D63="","",IF(SUMPRODUCT(MAX(($D$4:$D$810=$D63)*($B$4:$B$810&lt;$B63)*$B$4:$B$810))=0,0,MAX(($B63-MAX(SUMPRODUCT(MAX(($D$4:$D$810=$D63)*($B$4:$B$810&lt;$B63)*$B$4:$B$810)),'Guide &amp; Settings'!$C$50))/7-'Guide &amp; Settings'!$C$48,0)*'Guide &amp; Settings'!$C$49))</f>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Settings'!$C$42/(($F64-1)*COUNTIFS($A$4:$A$810,$A64,$E$4:$E$810,"Win")))*SUMIFS($X$4:$X$810,$A$4:$A$810,$A64,$E$4:$E$810,"Loss"),-('Guide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Settings'!$C$42/(($F64-1)*COUNTIFS($A$4:$A$810,$A64,$E$4:$E$810,"Win")))*SUMIFS($Z$4:$Z$810,$A$4:$A$810,$A64,$E$4:$E$810,"Loss"),-('Guide &amp; Settings'!$C$42/($F64-1))*$Z64)))</f>
        <v>-11.217805764397081</v>
      </c>
      <c r="AB64" s="125">
        <f t="shared" si="16"/>
        <v>950.92188476569459</v>
      </c>
      <c r="AC64" s="125" t="str">
        <f>IF($D64="","",IF(SUMPRODUCT(MAX(($D$4:$D$810=$D64)*($B$4:$B$810&lt;$B64)*$B$4:$B$810))=0,0,MAX(($B64-MAX(SUMPRODUCT(MAX(($D$4:$D$810=$D64)*($B$4:$B$810&lt;$B64)*$B$4:$B$810)),'Guide &amp; Settings'!$C$50))/7-'Guide &amp; Settings'!$C$48,0)*'Guide &amp; Settings'!$C$49))</f>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Settings'!$C$42/(($F65-1)*COUNTIFS($A$4:$A$810,$A65,$E$4:$E$810,"Win")))*SUMIFS($X$4:$X$810,$A$4:$A$810,$A65,$E$4:$E$810,"Loss"),-('Guide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5">
        <f t="shared" si="16"/>
        <v>1091.4903029545096</v>
      </c>
      <c r="AC65" s="125" t="str">
        <f>IF($D65="","",IF(SUMPRODUCT(MAX(($D$4:$D$810=$D65)*($B$4:$B$810&lt;$B65)*$B$4:$B$810))=0,0,MAX(($B65-MAX(SUMPRODUCT(MAX(($D$4:$D$810=$D65)*($B$4:$B$810&lt;$B65)*$B$4:$B$810)),'Guide &amp; Settings'!$C$50))/7-'Guide &amp; Settings'!$C$48,0)*'Guide &amp; Settings'!$C$49))</f>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Settings'!$C$42/(($F66-1)*COUNTIFS($A$4:$A$810,$A66,$E$4:$E$810,"Win")))*SUMIFS($X$4:$X$810,$A$4:$A$810,$A66,$E$4:$E$810,"Loss"),-('Guide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Settings'!$C$42/(($F66-1)*COUNTIFS($A$4:$A$810,$A66,$E$4:$E$810,"Win")))*SUMIFS($Z$4:$Z$810,$A$4:$A$810,$A66,$E$4:$E$810,"Loss"),-('Guide &amp; Settings'!$C$42/($F66-1))*$Z66)))</f>
        <v>-11.019413230630493</v>
      </c>
      <c r="AB66" s="125">
        <f t="shared" si="16"/>
        <v>957.58781227979591</v>
      </c>
      <c r="AC66" s="125" t="str">
        <f>IF($D66="","",IF(SUMPRODUCT(MAX(($D$4:$D$810=$D66)*($B$4:$B$810&lt;$B66)*$B$4:$B$810))=0,0,MAX(($B66-MAX(SUMPRODUCT(MAX(($D$4:$D$810=$D66)*($B$4:$B$810&lt;$B66)*$B$4:$B$810)),'Guide &amp; Settings'!$C$50))/7-'Guide &amp; Settings'!$C$48,0)*'Guide &amp; Settings'!$C$49))</f>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Settings'!$C$42/(($F67-1)*COUNTIFS($A$4:$A$810,$A67,$E$4:$E$810,"Win")))*SUMIFS($X$4:$X$810,$A$4:$A$810,$A67,$E$4:$E$810,"Loss"),-('Guide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Settings'!$C$42/(($F67-1)*COUNTIFS($A$4:$A$810,$A67,$E$4:$E$810,"Win")))*SUMIFS($Z$4:$Z$810,$A$4:$A$810,$A67,$E$4:$E$810,"Loss"),-('Guide &amp; Settings'!$C$42/($F67-1))*$Z67)))</f>
        <v>-16</v>
      </c>
      <c r="AB67" s="125">
        <f t="shared" si="16"/>
        <v>984</v>
      </c>
      <c r="AC67" s="125" t="str">
        <f>IF($D67="","",IF(SUMPRODUCT(MAX(($D$4:$D$810=$D67)*($B$4:$B$810&lt;$B67)*$B$4:$B$810))=0,0,MAX(($B67-MAX(SUMPRODUCT(MAX(($D$4:$D$810=$D67)*($B$4:$B$810&lt;$B67)*$B$4:$B$810)),'Guide &amp; Settings'!$C$50))/7-'Guide &amp; Settings'!$C$48,0)*'Guide &amp; Settings'!$C$49))</f>
      </c>
    </row>
    <row r="68" spans="1:29" ht="15" customHeight="1" x14ac:dyDescent="0.2">
      <c r="A68" s="116">
        <v>29</v>
      </c>
      <c r="B68" s="117">
        <v>46175</v>
      </c>
      <c r="C68" s="118" t="s">
        <v>203</v>
      </c>
      <c r="D68" s="118" t="s">
        <v>176</v>
      </c>
      <c r="E68" s="116" t="s">
        <v>316</v>
      </c>
      <c r="F68" s="119">
        <f t="shared" ref="F68:F131" si="17">IF($D68="",0,COUNTIF($A$4:$A$810,$A68))</f>
        <v>2</v>
      </c>
      <c r="G68" s="120" t="str">
        <f t="shared" ref="G68:G131" si="18">IF($D68="","",IFERROR(LOOKUP(2,1/(($A$4:$A$810=$A68)*($E$4:$E$810="Win")),$D$4:$D$810),"(no winner)"))</f>
        <v>Oscar</v>
      </c>
      <c r="H68" s="121">
        <f>IF($D68="",0,IFERROR(LOOKUP(2,1/(($D$3:D67=$D68)*($A$3:A67&lt;$A68)),$N$3:N67),'Guide &amp; Settings'!$C$41))</f>
        <v>995.27348180522449</v>
      </c>
      <c r="I68" s="122">
        <f t="shared" ref="I68:I131" si="19">IF($D68="",0,IF($S68=0,0,$R68/$S68))</f>
        <v>0.5</v>
      </c>
      <c r="J68" s="123">
        <f>IF($D68="",0,IF($F68&lt;2,0,IF($E68="Win",('Guide &amp; Settings'!$C$42/(($F68-1)*COUNTIFS($A$4:$A$810,$A68,$E$4:$E$810,"Win")))*SUMIFS($X$4:$X$810,$A$4:$A$810,$A68,$E$4:$E$810,"Loss"),-('Guide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8">
        <f t="shared" ref="T68:T131" si="27">IF($D68="",0,COUNTIFS($D$4:$D$810,$D68,$C$4:$C$810,$C68,$A$4:$A$810,"&lt;"&amp;$A68))</f>
        <v>0</v>
      </c>
      <c r="U68" s="125">
        <f>IF($D68="",0,IFERROR(LOOKUP(2,1/(($D$3:D67=$D68)*($C$3:C67=$C68)*($A$3:A67&lt;$A68)),$AB$3:AB67),1000))</f>
        <v>1000</v>
      </c>
      <c r="V68" s="125">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5">
        <f t="shared" ref="AB68:AB131" si="33">IF($D68="",0,$U68+$AA68)</f>
        <v>1016</v>
      </c>
      <c r="AC68" s="125" t="str">
        <f>IF($D68="","",IF(SUMPRODUCT(MAX(($D$4:$D$810=$D68)*($B$4:$B$810&lt;$B68)*$B$4:$B$810))=0,0,MAX(($B68-MAX(SUMPRODUCT(MAX(($D$4:$D$810=$D68)*($B$4:$B$810&lt;$B68)*$B$4:$B$810)),'Guide &amp; Settings'!$C$50))/7-'Guide &amp; Settings'!$C$48,0)*'Guide &amp; Settings'!$C$49))</f>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Settings'!$C$42/(($F69-1)*COUNTIFS($A$4:$A$810,$A69,$E$4:$E$810,"Win")))*SUMIFS($X$4:$X$810,$A$4:$A$810,$A69,$E$4:$E$810,"Loss"),-('Guide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Settings'!$C$42/(($F69-1)*COUNTIFS($A$4:$A$810,$A69,$E$4:$E$810,"Win")))*SUMIFS($Z$4:$Z$810,$A$4:$A$810,$A69,$E$4:$E$810,"Loss"),-('Guide &amp; Settings'!$C$42/($F69-1))*$Z69)))</f>
        <v>14.786011491839799</v>
      </c>
      <c r="AB69" s="125">
        <f t="shared" si="33"/>
        <v>998.78601149183976</v>
      </c>
      <c r="AC69" s="125" t="str">
        <f>IF($D69="","",IF(SUMPRODUCT(MAX(($D$4:$D$810=$D69)*($B$4:$B$810&lt;$B69)*$B$4:$B$810))=0,0,MAX(($B69-MAX(SUMPRODUCT(MAX(($D$4:$D$810=$D69)*($B$4:$B$810&lt;$B69)*$B$4:$B$810)),'Guide &amp; Settings'!$C$50))/7-'Guide &amp; Settings'!$C$48,0)*'Guide &amp; Settings'!$C$49))</f>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Settings'!$C$42/(($F70-1)*COUNTIFS($A$4:$A$810,$A70,$E$4:$E$810,"Win")))*SUMIFS($X$4:$X$810,$A$4:$A$810,$A70,$E$4:$E$810,"Loss"),-('Guide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Settings'!$C$42/(($F70-1)*COUNTIFS($A$4:$A$810,$A70,$E$4:$E$810,"Win")))*SUMIFS($Z$4:$Z$810,$A$4:$A$810,$A70,$E$4:$E$810,"Loss"),-('Guide &amp; Settings'!$C$42/($F70-1))*$Z70)))</f>
        <v>-14.786011491839799</v>
      </c>
      <c r="AB70" s="125">
        <f t="shared" si="33"/>
        <v>942.80180078795615</v>
      </c>
      <c r="AC70" s="125" t="str">
        <f>IF($D70="","",IF(SUMPRODUCT(MAX(($D$4:$D$810=$D70)*($B$4:$B$810&lt;$B70)*$B$4:$B$810))=0,0,MAX(($B70-MAX(SUMPRODUCT(MAX(($D$4:$D$810=$D70)*($B$4:$B$810&lt;$B70)*$B$4:$B$810)),'Guide &amp; Settings'!$C$50))/7-'Guide &amp; Settings'!$C$48,0)*'Guide &amp; Settings'!$C$49))</f>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Settings'!$C$42/(($F71-1)*COUNTIFS($A$4:$A$810,$A71,$E$4:$E$810,"Win")))*SUMIFS($X$4:$X$810,$A$4:$A$810,$A71,$E$4:$E$810,"Loss"),-('Guide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Settings'!$C$42/(($F71-1)*COUNTIFS($A$4:$A$810,$A71,$E$4:$E$810,"Win")))*SUMIFS($Z$4:$Z$810,$A$4:$A$810,$A71,$E$4:$E$810,"Loss"),-('Guide &amp; Settings'!$C$42/($F71-1))*$Z71)))</f>
        <v>16</v>
      </c>
      <c r="AB71" s="125">
        <f t="shared" si="33"/>
        <v>1016</v>
      </c>
      <c r="AC71" s="125" t="str">
        <f>IF($D71="","",IF(SUMPRODUCT(MAX(($D$4:$D$810=$D71)*($B$4:$B$810&lt;$B71)*$B$4:$B$810))=0,0,MAX(($B71-MAX(SUMPRODUCT(MAX(($D$4:$D$810=$D71)*($B$4:$B$810&lt;$B71)*$B$4:$B$810)),'Guide &amp; Settings'!$C$50))/7-'Guide &amp; Settings'!$C$48,0)*'Guide &amp; Settings'!$C$49))</f>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Settings'!$C$42/(($F72-1)*COUNTIFS($A$4:$A$810,$A72,$E$4:$E$810,"Win")))*SUMIFS($X$4:$X$810,$A$4:$A$810,$A72,$E$4:$E$810,"Loss"),-('Guide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Settings'!$C$42/(($F72-1)*COUNTIFS($A$4:$A$810,$A72,$E$4:$E$810,"Win")))*SUMIFS($Z$4:$Z$810,$A$4:$A$810,$A72,$E$4:$E$810,"Loss"),-('Guide &amp; Settings'!$C$42/($F72-1))*$Z72)))</f>
        <v>-16</v>
      </c>
      <c r="AB72" s="125">
        <f t="shared" si="33"/>
        <v>984</v>
      </c>
      <c r="AC72" s="125" t="str">
        <f>IF($D72="","",IF(SUMPRODUCT(MAX(($D$4:$D$810=$D72)*($B$4:$B$810&lt;$B72)*$B$4:$B$810))=0,0,MAX(($B72-MAX(SUMPRODUCT(MAX(($D$4:$D$810=$D72)*($B$4:$B$810&lt;$B72)*$B$4:$B$810)),'Guide &amp; Settings'!$C$50))/7-'Guide &amp; Settings'!$C$48,0)*'Guide &amp; Settings'!$C$49))</f>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Settings'!$C$42/(($F73-1)*COUNTIFS($A$4:$A$810,$A73,$E$4:$E$810,"Win")))*SUMIFS($X$4:$X$810,$A$4:$A$810,$A73,$E$4:$E$810,"Loss"),-('Guide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Settings'!$C$42/(($F73-1)*COUNTIFS($A$4:$A$810,$A73,$E$4:$E$810,"Win")))*SUMIFS($Z$4:$Z$810,$A$4:$A$810,$A73,$E$4:$E$810,"Loss"),-('Guide &amp; Settings'!$C$42/($F73-1))*$Z73)))</f>
        <v>15.263693206478006</v>
      </c>
      <c r="AB73" s="125">
        <f t="shared" si="33"/>
        <v>1031.2636932064779</v>
      </c>
      <c r="AC73" s="125" t="str">
        <f>IF($D73="","",IF(SUMPRODUCT(MAX(($D$4:$D$810=$D73)*($B$4:$B$810&lt;$B73)*$B$4:$B$810))=0,0,MAX(($B73-MAX(SUMPRODUCT(MAX(($D$4:$D$810=$D73)*($B$4:$B$810&lt;$B73)*$B$4:$B$810)),'Guide &amp; Settings'!$C$50))/7-'Guide &amp; Settings'!$C$48,0)*'Guide &amp; Settings'!$C$49))</f>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Settings'!$C$42/(($F74-1)*COUNTIFS($A$4:$A$810,$A74,$E$4:$E$810,"Win")))*SUMIFS($X$4:$X$810,$A$4:$A$810,$A74,$E$4:$E$810,"Loss"),-('Guide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Settings'!$C$42/(($F74-1)*COUNTIFS($A$4:$A$810,$A74,$E$4:$E$810,"Win")))*SUMIFS($Z$4:$Z$810,$A$4:$A$810,$A74,$E$4:$E$810,"Loss"),-('Guide &amp; Settings'!$C$42/($F74-1))*$Z74)))</f>
        <v>-15.263693206478006</v>
      </c>
      <c r="AB74" s="125">
        <f t="shared" si="33"/>
        <v>984.73630679352198</v>
      </c>
      <c r="AC74" s="125" t="str">
        <f>IF($D74="","",IF(SUMPRODUCT(MAX(($D$4:$D$810=$D74)*($B$4:$B$810&lt;$B74)*$B$4:$B$810))=0,0,MAX(($B74-MAX(SUMPRODUCT(MAX(($D$4:$D$810=$D74)*($B$4:$B$810&lt;$B74)*$B$4:$B$810)),'Guide &amp; Settings'!$C$50))/7-'Guide &amp; Settings'!$C$48,0)*'Guide &amp; Settings'!$C$49))</f>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Settings'!$C$42/(($F75-1)*COUNTIFS($A$4:$A$810,$A75,$E$4:$E$810,"Win")))*SUMIFS($X$4:$X$810,$A$4:$A$810,$A75,$E$4:$E$810,"Loss"),-('Guide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Settings'!$C$42/(($F75-1)*COUNTIFS($A$4:$A$810,$A75,$E$4:$E$810,"Win")))*SUMIFS($Z$4:$Z$810,$A$4:$A$810,$A75,$E$4:$E$810,"Loss"),-('Guide &amp; Settings'!$C$42/($F75-1))*$Z75)))</f>
        <v>16.033908130169188</v>
      </c>
      <c r="AB75" s="125">
        <f t="shared" si="33"/>
        <v>1000.0339081301692</v>
      </c>
      <c r="AC75" s="125" t="str">
        <f>IF($D75="","",IF(SUMPRODUCT(MAX(($D$4:$D$810=$D75)*($B$4:$B$810&lt;$B75)*$B$4:$B$810))=0,0,MAX(($B75-MAX(SUMPRODUCT(MAX(($D$4:$D$810=$D75)*($B$4:$B$810&lt;$B75)*$B$4:$B$810)),'Guide &amp; Settings'!$C$50))/7-'Guide &amp; Settings'!$C$48,0)*'Guide &amp; Settings'!$C$49))</f>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Settings'!$C$42/(($F76-1)*COUNTIFS($A$4:$A$810,$A76,$E$4:$E$810,"Win")))*SUMIFS($X$4:$X$810,$A$4:$A$810,$A76,$E$4:$E$810,"Loss"),-('Guide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Settings'!$C$42/(($F76-1)*COUNTIFS($A$4:$A$810,$A76,$E$4:$E$810,"Win")))*SUMIFS($Z$4:$Z$810,$A$4:$A$810,$A76,$E$4:$E$810,"Loss"),-('Guide &amp; Settings'!$C$42/($F76-1))*$Z76)))</f>
        <v>-16.033908130169188</v>
      </c>
      <c r="AB76" s="125">
        <f t="shared" si="33"/>
        <v>968.70239866335282</v>
      </c>
      <c r="AC76" s="125" t="str">
        <f>IF($D76="","",IF(SUMPRODUCT(MAX(($D$4:$D$810=$D76)*($B$4:$B$810&lt;$B76)*$B$4:$B$810))=0,0,MAX(($B76-MAX(SUMPRODUCT(MAX(($D$4:$D$810=$D76)*($B$4:$B$810&lt;$B76)*$B$4:$B$810)),'Guide &amp; Settings'!$C$50))/7-'Guide &amp; Settings'!$C$48,0)*'Guide &amp; Settings'!$C$49))</f>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Settings'!$C$42/(($F77-1)*COUNTIFS($A$4:$A$810,$A77,$E$4:$E$810,"Win")))*SUMIFS($X$4:$X$810,$A$4:$A$810,$A77,$E$4:$E$810,"Loss"),-('Guide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Settings'!$C$42/(($F77-1)*COUNTIFS($A$4:$A$810,$A77,$E$4:$E$810,"Win")))*SUMIFS($Z$4:$Z$810,$A$4:$A$810,$A77,$E$4:$E$810,"Loss"),-('Guide &amp; Settings'!$C$42/($F77-1))*$Z77)))</f>
        <v>16</v>
      </c>
      <c r="AB77" s="125">
        <f t="shared" si="33"/>
        <v>1016</v>
      </c>
      <c r="AC77" s="125" t="str">
        <f>IF($D77="","",IF(SUMPRODUCT(MAX(($D$4:$D$810=$D77)*($B$4:$B$810&lt;$B77)*$B$4:$B$810))=0,0,MAX(($B77-MAX(SUMPRODUCT(MAX(($D$4:$D$810=$D77)*($B$4:$B$810&lt;$B77)*$B$4:$B$810)),'Guide &amp; Settings'!$C$50))/7-'Guide &amp; Settings'!$C$48,0)*'Guide &amp; Settings'!$C$49))</f>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Settings'!$C$42/(($F78-1)*COUNTIFS($A$4:$A$810,$A78,$E$4:$E$810,"Win")))*SUMIFS($X$4:$X$810,$A$4:$A$810,$A78,$E$4:$E$810,"Loss"),-('Guide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Settings'!$C$42/(($F78-1)*COUNTIFS($A$4:$A$810,$A78,$E$4:$E$810,"Win")))*SUMIFS($Z$4:$Z$810,$A$4:$A$810,$A78,$E$4:$E$810,"Loss"),-('Guide &amp; Settings'!$C$42/($F78-1))*$Z78)))</f>
        <v>-8</v>
      </c>
      <c r="AB78" s="125">
        <f t="shared" si="33"/>
        <v>992</v>
      </c>
      <c r="AC78" s="125" t="str">
        <f>IF($D78="","",IF(SUMPRODUCT(MAX(($D$4:$D$810=$D78)*($B$4:$B$810&lt;$B78)*$B$4:$B$810))=0,0,MAX(($B78-MAX(SUMPRODUCT(MAX(($D$4:$D$810=$D78)*($B$4:$B$810&lt;$B78)*$B$4:$B$810)),'Guide &amp; Settings'!$C$50))/7-'Guide &amp; Settings'!$C$48,0)*'Guide &amp; Settings'!$C$49))</f>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Settings'!$C$42/(($F79-1)*COUNTIFS($A$4:$A$810,$A79,$E$4:$E$810,"Win")))*SUMIFS($X$4:$X$810,$A$4:$A$810,$A79,$E$4:$E$810,"Loss"),-('Guide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Settings'!$C$42/(($F79-1)*COUNTIFS($A$4:$A$810,$A79,$E$4:$E$810,"Win")))*SUMIFS($Z$4:$Z$810,$A$4:$A$810,$A79,$E$4:$E$810,"Loss"),-('Guide &amp; Settings'!$C$42/($F79-1))*$Z79)))</f>
        <v>-8</v>
      </c>
      <c r="AB79" s="125">
        <f t="shared" si="33"/>
        <v>992</v>
      </c>
      <c r="AC79" s="125" t="str">
        <f>IF($D79="","",IF(SUMPRODUCT(MAX(($D$4:$D$810=$D79)*($B$4:$B$810&lt;$B79)*$B$4:$B$810))=0,0,MAX(($B79-MAX(SUMPRODUCT(MAX(($D$4:$D$810=$D79)*($B$4:$B$810&lt;$B79)*$B$4:$B$810)),'Guide &amp; Settings'!$C$50))/7-'Guide &amp; Settings'!$C$48,0)*'Guide &amp; Settings'!$C$49))</f>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Settings'!$C$42/(($F80-1)*COUNTIFS($A$4:$A$810,$A80,$E$4:$E$810,"Win")))*SUMIFS($X$4:$X$810,$A$4:$A$810,$A80,$E$4:$E$810,"Loss"),-('Guide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5">
        <f t="shared" si="33"/>
        <v>959.42093594562505</v>
      </c>
      <c r="AC80" s="125" t="str">
        <f>IF($D80="","",IF(SUMPRODUCT(MAX(($D$4:$D$810=$D80)*($B$4:$B$810&lt;$B80)*$B$4:$B$810))=0,0,MAX(($B80-MAX(SUMPRODUCT(MAX(($D$4:$D$810=$D80)*($B$4:$B$810&lt;$B80)*$B$4:$B$810)),'Guide &amp; Settings'!$C$50))/7-'Guide &amp; Settings'!$C$48,0)*'Guide &amp; Settings'!$C$49))</f>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Settings'!$C$42/(($F81-1)*COUNTIFS($A$4:$A$810,$A81,$E$4:$E$810,"Win")))*SUMIFS($X$4:$X$810,$A$4:$A$810,$A81,$E$4:$E$810,"Loss"),-('Guide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Settings'!$C$42/(($F81-1)*COUNTIFS($A$4:$A$810,$A81,$E$4:$E$810,"Win")))*SUMIFS($Z$4:$Z$810,$A$4:$A$810,$A81,$E$4:$E$810,"Loss"),-('Guide &amp; Settings'!$C$42/($F81-1))*$Z81)))</f>
        <v>-16.619135157668911</v>
      </c>
      <c r="AB81" s="125">
        <f t="shared" si="33"/>
        <v>939.63373120872018</v>
      </c>
      <c r="AC81" s="125" t="str">
        <f>IF($D81="","",IF(SUMPRODUCT(MAX(($D$4:$D$810=$D81)*($B$4:$B$810&lt;$B81)*$B$4:$B$810))=0,0,MAX(($B81-MAX(SUMPRODUCT(MAX(($D$4:$D$810=$D81)*($B$4:$B$810&lt;$B81)*$B$4:$B$810)),'Guide &amp; Settings'!$C$50))/7-'Guide &amp; Settings'!$C$48,0)*'Guide &amp; Settings'!$C$49))</f>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Settings'!$C$42/(($F82-1)*COUNTIFS($A$4:$A$810,$A82,$E$4:$E$810,"Win")))*SUMIFS($X$4:$X$810,$A$4:$A$810,$A82,$E$4:$E$810,"Loss"),-('Guide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5">
        <f t="shared" si="33"/>
        <v>1101.6852300672408</v>
      </c>
      <c r="AC82" s="125" t="str">
        <f>IF($D82="","",IF(SUMPRODUCT(MAX(($D$4:$D$810=$D82)*($B$4:$B$810&lt;$B82)*$B$4:$B$810))=0,0,MAX(($B82-MAX(SUMPRODUCT(MAX(($D$4:$D$810=$D82)*($B$4:$B$810&lt;$B82)*$B$4:$B$810)),'Guide &amp; Settings'!$C$50))/7-'Guide &amp; Settings'!$C$48,0)*'Guide &amp; Settings'!$C$49))</f>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Settings'!$C$42/(($F83-1)*COUNTIFS($A$4:$A$810,$A83,$E$4:$E$810,"Win")))*SUMIFS($X$4:$X$810,$A$4:$A$810,$A83,$E$4:$E$810,"Loss"),-('Guide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Settings'!$C$42/(($F83-1)*COUNTIFS($A$4:$A$810,$A83,$E$4:$E$810,"Win")))*SUMIFS($Z$4:$Z$810,$A$4:$A$810,$A83,$E$4:$E$810,"Loss"),-('Guide &amp; Settings'!$C$42/($F83-1))*$Z83)))</f>
        <v>-10.194927112731179</v>
      </c>
      <c r="AB83" s="125">
        <f t="shared" si="33"/>
        <v>949.22600883289385</v>
      </c>
      <c r="AC83" s="125" t="str">
        <f>IF($D83="","",IF(SUMPRODUCT(MAX(($D$4:$D$810=$D83)*($B$4:$B$810&lt;$B83)*$B$4:$B$810))=0,0,MAX(($B83-MAX(SUMPRODUCT(MAX(($D$4:$D$810=$D83)*($B$4:$B$810&lt;$B83)*$B$4:$B$810)),'Guide &amp; Settings'!$C$50))/7-'Guide &amp; Settings'!$C$48,0)*'Guide &amp; Settings'!$C$49))</f>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Settings'!$C$42/(($F84-1)*COUNTIFS($A$4:$A$810,$A84,$E$4:$E$810,"Win")))*SUMIFS($X$4:$X$810,$A$4:$A$810,$A84,$E$4:$E$810,"Loss"),-('Guide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5">
        <f t="shared" si="33"/>
        <v>1110.7203725855504</v>
      </c>
      <c r="AC84" s="125" t="str">
        <f>IF($D84="","",IF(SUMPRODUCT(MAX(($D$4:$D$810=$D84)*($B$4:$B$810&lt;$B84)*$B$4:$B$810))=0,0,MAX(($B84-MAX(SUMPRODUCT(MAX(($D$4:$D$810=$D84)*($B$4:$B$810&lt;$B84)*$B$4:$B$810)),'Guide &amp; Settings'!$C$50))/7-'Guide &amp; Settings'!$C$48,0)*'Guide &amp; Settings'!$C$49))</f>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Settings'!$C$42/(($F85-1)*COUNTIFS($A$4:$A$810,$A85,$E$4:$E$810,"Win")))*SUMIFS($X$4:$X$810,$A$4:$A$810,$A85,$E$4:$E$810,"Loss"),-('Guide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Settings'!$C$42/(($F85-1)*COUNTIFS($A$4:$A$810,$A85,$E$4:$E$810,"Win")))*SUMIFS($Z$4:$Z$810,$A$4:$A$810,$A85,$E$4:$E$810,"Loss"),-('Guide &amp; Settings'!$C$42/($F85-1))*$Z85)))</f>
        <v>-9.0351425183095415</v>
      </c>
      <c r="AB85" s="125">
        <f t="shared" si="33"/>
        <v>930.59858869041068</v>
      </c>
      <c r="AC85" s="125" t="str">
        <f>IF($D85="","",IF(SUMPRODUCT(MAX(($D$4:$D$810=$D85)*($B$4:$B$810&lt;$B85)*$B$4:$B$810))=0,0,MAX(($B85-MAX(SUMPRODUCT(MAX(($D$4:$D$810=$D85)*($B$4:$B$810&lt;$B85)*$B$4:$B$810)),'Guide &amp; Settings'!$C$50))/7-'Guide &amp; Settings'!$C$48,0)*'Guide &amp; Settings'!$C$49))</f>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Settings'!$C$42/(($F86-1)*COUNTIFS($A$4:$A$810,$A86,$E$4:$E$810,"Win")))*SUMIFS($X$4:$X$810,$A$4:$A$810,$A86,$E$4:$E$810,"Loss"),-('Guide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5">
        <f t="shared" si="33"/>
        <v>1016</v>
      </c>
      <c r="AC86" s="125" t="str">
        <f>IF($D86="","",IF(SUMPRODUCT(MAX(($D$4:$D$810=$D86)*($B$4:$B$810&lt;$B86)*$B$4:$B$810))=0,0,MAX(($B86-MAX(SUMPRODUCT(MAX(($D$4:$D$810=$D86)*($B$4:$B$810&lt;$B86)*$B$4:$B$810)),'Guide &amp; Settings'!$C$50))/7-'Guide &amp; Settings'!$C$48,0)*'Guide &amp; Settings'!$C$49))</f>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Settings'!$C$42/(($F87-1)*COUNTIFS($A$4:$A$810,$A87,$E$4:$E$810,"Win")))*SUMIFS($X$4:$X$810,$A$4:$A$810,$A87,$E$4:$E$810,"Loss"),-('Guide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Settings'!$C$42/(($F87-1)*COUNTIFS($A$4:$A$810,$A87,$E$4:$E$810,"Win")))*SUMIFS($Z$4:$Z$810,$A$4:$A$810,$A87,$E$4:$E$810,"Loss"),-('Guide &amp; Settings'!$C$42/($F87-1))*$Z87)))</f>
        <v>-16</v>
      </c>
      <c r="AB87" s="125">
        <f t="shared" si="33"/>
        <v>984</v>
      </c>
      <c r="AC87" s="125" t="str">
        <f>IF($D87="","",IF(SUMPRODUCT(MAX(($D$4:$D$810=$D87)*($B$4:$B$810&lt;$B87)*$B$4:$B$810))=0,0,MAX(($B87-MAX(SUMPRODUCT(MAX(($D$4:$D$810=$D87)*($B$4:$B$810&lt;$B87)*$B$4:$B$810)),'Guide &amp; Settings'!$C$50))/7-'Guide &amp; Settings'!$C$48,0)*'Guide &amp; Settings'!$C$49))</f>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Settings'!$C$42/(($F88-1)*COUNTIFS($A$4:$A$810,$A88,$E$4:$E$810,"Win")))*SUMIFS($X$4:$X$810,$A$4:$A$810,$A88,$E$4:$E$810,"Loss"),-('Guide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Settings'!$C$42/(($F88-1)*COUNTIFS($A$4:$A$810,$A88,$E$4:$E$810,"Win")))*SUMIFS($Z$4:$Z$810,$A$4:$A$810,$A88,$E$4:$E$810,"Loss"),-('Guide &amp; Settings'!$C$42/($F88-1))*$Z88)))</f>
        <v>14.530498471024522</v>
      </c>
      <c r="AB88" s="125">
        <f t="shared" si="33"/>
        <v>1030.5304984710244</v>
      </c>
      <c r="AC88" s="125" t="str">
        <f>IF($D88="","",IF(SUMPRODUCT(MAX(($D$4:$D$810=$D88)*($B$4:$B$810&lt;$B88)*$B$4:$B$810))=0,0,MAX(($B88-MAX(SUMPRODUCT(MAX(($D$4:$D$810=$D88)*($B$4:$B$810&lt;$B88)*$B$4:$B$810)),'Guide &amp; Settings'!$C$50))/7-'Guide &amp; Settings'!$C$48,0)*'Guide &amp; Settings'!$C$49))</f>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Settings'!$C$42/(($F89-1)*COUNTIFS($A$4:$A$810,$A89,$E$4:$E$810,"Win")))*SUMIFS($X$4:$X$810,$A$4:$A$810,$A89,$E$4:$E$810,"Loss"),-('Guide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Settings'!$C$42/(($F89-1)*COUNTIFS($A$4:$A$810,$A89,$E$4:$E$810,"Win")))*SUMIFS($Z$4:$Z$810,$A$4:$A$810,$A89,$E$4:$E$810,"Loss"),-('Guide &amp; Settings'!$C$42/($F89-1))*$Z89)))</f>
        <v>-14.530498471024522</v>
      </c>
      <c r="AB89" s="125">
        <f t="shared" si="33"/>
        <v>969.46950152897546</v>
      </c>
      <c r="AC89" s="125" t="str">
        <f>IF($D89="","",IF(SUMPRODUCT(MAX(($D$4:$D$810=$D89)*($B$4:$B$810&lt;$B89)*$B$4:$B$810))=0,0,MAX(($B89-MAX(SUMPRODUCT(MAX(($D$4:$D$810=$D89)*($B$4:$B$810&lt;$B89)*$B$4:$B$810)),'Guide &amp; Settings'!$C$50))/7-'Guide &amp; Settings'!$C$48,0)*'Guide &amp; Settings'!$C$49))</f>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Settings'!$C$42/(($F90-1)*COUNTIFS($A$4:$A$810,$A90,$E$4:$E$810,"Win")))*SUMIFS($X$4:$X$810,$A$4:$A$810,$A90,$E$4:$E$810,"Loss"),-('Guide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Settings'!$C$42/(($F90-1)*COUNTIFS($A$4:$A$810,$A90,$E$4:$E$810,"Win")))*SUMIFS($Z$4:$Z$810,$A$4:$A$810,$A90,$E$4:$E$810,"Loss"),-('Guide &amp; Settings'!$C$42/($F90-1))*$Z90)))</f>
        <v>17.402373648406023</v>
      </c>
      <c r="AB90" s="125">
        <f t="shared" si="33"/>
        <v>1017.4023736484061</v>
      </c>
      <c r="AC90" s="125" t="str">
        <f>IF($D90="","",IF(SUMPRODUCT(MAX(($D$4:$D$810=$D90)*($B$4:$B$810&lt;$B90)*$B$4:$B$810))=0,0,MAX(($B90-MAX(SUMPRODUCT(MAX(($D$4:$D$810=$D90)*($B$4:$B$810&lt;$B90)*$B$4:$B$810)),'Guide &amp; Settings'!$C$50))/7-'Guide &amp; Settings'!$C$48,0)*'Guide &amp; Settings'!$C$49))</f>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Settings'!$C$42/(($F91-1)*COUNTIFS($A$4:$A$810,$A91,$E$4:$E$810,"Win")))*SUMIFS($X$4:$X$810,$A$4:$A$810,$A91,$E$4:$E$810,"Loss"),-('Guide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Settings'!$C$42/(($F91-1)*COUNTIFS($A$4:$A$810,$A91,$E$4:$E$810,"Win")))*SUMIFS($Z$4:$Z$810,$A$4:$A$810,$A91,$E$4:$E$810,"Loss"),-('Guide &amp; Settings'!$C$42/($F91-1))*$Z91)))</f>
        <v>-17.402373648406023</v>
      </c>
      <c r="AB91" s="125">
        <f t="shared" si="33"/>
        <v>1013.1281248226184</v>
      </c>
      <c r="AC91" s="125" t="str">
        <f>IF($D91="","",IF(SUMPRODUCT(MAX(($D$4:$D$810=$D91)*($B$4:$B$810&lt;$B91)*$B$4:$B$810))=0,0,MAX(($B91-MAX(SUMPRODUCT(MAX(($D$4:$D$810=$D91)*($B$4:$B$810&lt;$B91)*$B$4:$B$810)),'Guide &amp; Settings'!$C$50))/7-'Guide &amp; Settings'!$C$48,0)*'Guide &amp; Settings'!$C$49))</f>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Settings'!$C$42/(($F92-1)*COUNTIFS($A$4:$A$810,$A92,$E$4:$E$810,"Win")))*SUMIFS($X$4:$X$810,$A$4:$A$810,$A92,$E$4:$E$810,"Loss"),-('Guide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Settings'!$C$42/(($F92-1)*COUNTIFS($A$4:$A$810,$A92,$E$4:$E$810,"Win")))*SUMIFS($Z$4:$Z$810,$A$4:$A$810,$A92,$E$4:$E$810,"Loss"),-('Guide &amp; Settings'!$C$42/($F92-1))*$Z92)))</f>
        <v>-9.119473927823794</v>
      </c>
      <c r="AB92" s="125">
        <f t="shared" si="33"/>
        <v>941.80241083787075</v>
      </c>
      <c r="AC92" s="125" t="str">
        <f>IF($D92="","",IF(SUMPRODUCT(MAX(($D$4:$D$810=$D92)*($B$4:$B$810&lt;$B92)*$B$4:$B$810))=0,0,MAX(($B92-MAX(SUMPRODUCT(MAX(($D$4:$D$810=$D92)*($B$4:$B$810&lt;$B92)*$B$4:$B$810)),'Guide &amp; Settings'!$C$50))/7-'Guide &amp; Settings'!$C$48,0)*'Guide &amp; Settings'!$C$49))</f>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Settings'!$C$42/(($F93-1)*COUNTIFS($A$4:$A$810,$A93,$E$4:$E$810,"Win")))*SUMIFS($X$4:$X$810,$A$4:$A$810,$A93,$E$4:$E$810,"Loss"),-('Guide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5">
        <f t="shared" si="33"/>
        <v>1119.8398465133741</v>
      </c>
      <c r="AC93" s="125" t="str">
        <f>IF($D93="","",IF(SUMPRODUCT(MAX(($D$4:$D$810=$D93)*($B$4:$B$810&lt;$B93)*$B$4:$B$810))=0,0,MAX(($B93-MAX(SUMPRODUCT(MAX(($D$4:$D$810=$D93)*($B$4:$B$810&lt;$B93)*$B$4:$B$810)),'Guide &amp; Settings'!$C$50))/7-'Guide &amp; Settings'!$C$48,0)*'Guide &amp; Settings'!$C$49))</f>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Settings'!$C$42/(($F94-1)*COUNTIFS($A$4:$A$810,$A94,$E$4:$E$810,"Win")))*SUMIFS($X$4:$X$810,$A$4:$A$810,$A94,$E$4:$E$810,"Loss"),-('Guide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5">
        <f t="shared" si="33"/>
        <v>1130.5299469662491</v>
      </c>
      <c r="AC94" s="125" t="str">
        <f>IF($D94="","",IF(SUMPRODUCT(MAX(($D$4:$D$810=$D94)*($B$4:$B$810&lt;$B94)*$B$4:$B$810))=0,0,MAX(($B94-MAX(SUMPRODUCT(MAX(($D$4:$D$810=$D94)*($B$4:$B$810&lt;$B94)*$B$4:$B$810)),'Guide &amp; Settings'!$C$50))/7-'Guide &amp; Settings'!$C$48,0)*'Guide &amp; Settings'!$C$49))</f>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Settings'!$C$42/(($F95-1)*COUNTIFS($A$4:$A$810,$A95,$E$4:$E$810,"Win")))*SUMIFS($X$4:$X$810,$A$4:$A$810,$A95,$E$4:$E$810,"Loss"),-('Guide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Settings'!$C$42/(($F95-1)*COUNTIFS($A$4:$A$810,$A95,$E$4:$E$810,"Win")))*SUMIFS($Z$4:$Z$810,$A$4:$A$810,$A95,$E$4:$E$810,"Loss"),-('Guide &amp; Settings'!$C$42/($F95-1))*$Z95)))</f>
        <v>-10.690100452875011</v>
      </c>
      <c r="AB95" s="125">
        <f t="shared" si="33"/>
        <v>989.30989954712504</v>
      </c>
      <c r="AC95" s="125" t="str">
        <f>IF($D95="","",IF(SUMPRODUCT(MAX(($D$4:$D$810=$D95)*($B$4:$B$810&lt;$B95)*$B$4:$B$810))=0,0,MAX(($B95-MAX(SUMPRODUCT(MAX(($D$4:$D$810=$D95)*($B$4:$B$810&lt;$B95)*$B$4:$B$810)),'Guide &amp; Settings'!$C$50))/7-'Guide &amp; Settings'!$C$48,0)*'Guide &amp; Settings'!$C$49))</f>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Settings'!$C$42/(($F96-1)*COUNTIFS($A$4:$A$810,$A96,$E$4:$E$810,"Win")))*SUMIFS($X$4:$X$810,$A$4:$A$810,$A96,$E$4:$E$810,"Loss"),-('Guide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Settings'!$C$42/(($F96-1)*COUNTIFS($A$4:$A$810,$A96,$E$4:$E$810,"Win")))*SUMIFS($Z$4:$Z$810,$A$4:$A$810,$A96,$E$4:$E$810,"Loss"),-('Guide &amp; Settings'!$C$42/($F96-1))*$Z96)))</f>
        <v>-22.167458540182444</v>
      </c>
      <c r="AB96" s="125">
        <f t="shared" si="33"/>
        <v>1108.3624884260666</v>
      </c>
      <c r="AC96" s="125" t="str">
        <f>IF($D96="","",IF(SUMPRODUCT(MAX(($D$4:$D$810=$D96)*($B$4:$B$810&lt;$B96)*$B$4:$B$810))=0,0,MAX(($B96-MAX(SUMPRODUCT(MAX(($D$4:$D$810=$D96)*($B$4:$B$810&lt;$B96)*$B$4:$B$810)),'Guide &amp; Settings'!$C$50))/7-'Guide &amp; Settings'!$C$48,0)*'Guide &amp; Settings'!$C$49))</f>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Settings'!$C$42/(($F97-1)*COUNTIFS($A$4:$A$810,$A97,$E$4:$E$810,"Win")))*SUMIFS($X$4:$X$810,$A$4:$A$810,$A97,$E$4:$E$810,"Loss"),-('Guide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5">
        <f t="shared" si="33"/>
        <v>1011.4773580873075</v>
      </c>
      <c r="AC97" s="125" t="str">
        <f>IF($D97="","",IF(SUMPRODUCT(MAX(($D$4:$D$810=$D97)*($B$4:$B$810&lt;$B97)*$B$4:$B$810))=0,0,MAX(($B97-MAX(SUMPRODUCT(MAX(($D$4:$D$810=$D97)*($B$4:$B$810&lt;$B97)*$B$4:$B$810)),'Guide &amp; Settings'!$C$50))/7-'Guide &amp; Settings'!$C$48,0)*'Guide &amp; Settings'!$C$49))</f>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Settings'!$C$42/(($F98-1)*COUNTIFS($A$4:$A$810,$A98,$E$4:$E$810,"Win")))*SUMIFS($X$4:$X$810,$A$4:$A$810,$A98,$E$4:$E$810,"Loss"),-('Guide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5">
        <f t="shared" si="33"/>
        <v>1120.2064837863559</v>
      </c>
      <c r="AC98" s="125" t="str">
        <f>IF($D98="","",IF(SUMPRODUCT(MAX(($D$4:$D$810=$D98)*($B$4:$B$810&lt;$B98)*$B$4:$B$810))=0,0,MAX(($B98-MAX(SUMPRODUCT(MAX(($D$4:$D$810=$D98)*($B$4:$B$810&lt;$B98)*$B$4:$B$810)),'Guide &amp; Settings'!$C$50))/7-'Guide &amp; Settings'!$C$48,0)*'Guide &amp; Settings'!$C$49))</f>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Settings'!$C$42/(($F99-1)*COUNTIFS($A$4:$A$810,$A99,$E$4:$E$810,"Win")))*SUMIFS($X$4:$X$810,$A$4:$A$810,$A99,$E$4:$E$810,"Loss"),-('Guide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Settings'!$C$42/(($F99-1)*COUNTIFS($A$4:$A$810,$A99,$E$4:$E$810,"Win")))*SUMIFS($Z$4:$Z$810,$A$4:$A$810,$A99,$E$4:$E$810,"Loss"),-('Guide &amp; Settings'!$C$42/($F99-1))*$Z99)))</f>
        <v>-11.843995360289181</v>
      </c>
      <c r="AB99" s="125">
        <f t="shared" si="33"/>
        <v>1004.1560046397108</v>
      </c>
      <c r="AC99" s="125" t="str">
        <f>IF($D99="","",IF(SUMPRODUCT(MAX(($D$4:$D$810=$D99)*($B$4:$B$810&lt;$B99)*$B$4:$B$810))=0,0,MAX(($B99-MAX(SUMPRODUCT(MAX(($D$4:$D$810=$D99)*($B$4:$B$810&lt;$B99)*$B$4:$B$810)),'Guide &amp; Settings'!$C$50))/7-'Guide &amp; Settings'!$C$48,0)*'Guide &amp; Settings'!$C$49))</f>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Settings'!$C$42/(($F100-1)*COUNTIFS($A$4:$A$810,$A100,$E$4:$E$810,"Win")))*SUMIFS($X$4:$X$810,$A$4:$A$810,$A100,$E$4:$E$810,"Loss"),-('Guide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5">
        <f t="shared" si="33"/>
        <v>1131.0524293397029</v>
      </c>
      <c r="AC100" s="125" t="str">
        <f>IF($D100="","",IF(SUMPRODUCT(MAX(($D$4:$D$810=$D100)*($B$4:$B$810&lt;$B100)*$B$4:$B$810))=0,0,MAX(($B100-MAX(SUMPRODUCT(MAX(($D$4:$D$810=$D100)*($B$4:$B$810&lt;$B100)*$B$4:$B$810)),'Guide &amp; Settings'!$C$50))/7-'Guide &amp; Settings'!$C$48,0)*'Guide &amp; Settings'!$C$49))</f>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Settings'!$C$42/(($F101-1)*COUNTIFS($A$4:$A$810,$A101,$E$4:$E$810,"Win")))*SUMIFS($X$4:$X$810,$A$4:$A$810,$A101,$E$4:$E$810,"Loss"),-('Guide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5">
        <f t="shared" si="33"/>
        <v>993.31005908636359</v>
      </c>
      <c r="AC101" s="125" t="str">
        <f>IF($D101="","",IF(SUMPRODUCT(MAX(($D$4:$D$810=$D101)*($B$4:$B$810&lt;$B101)*$B$4:$B$810))=0,0,MAX(($B101-MAX(SUMPRODUCT(MAX(($D$4:$D$810=$D101)*($B$4:$B$810&lt;$B101)*$B$4:$B$810)),'Guide &amp; Settings'!$C$50))/7-'Guide &amp; Settings'!$C$48,0)*'Guide &amp; Settings'!$C$49))</f>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Settings'!$C$42/(($F102-1)*COUNTIFS($A$4:$A$810,$A102,$E$4:$E$810,"Win")))*SUMIFS($X$4:$X$810,$A$4:$A$810,$A102,$E$4:$E$810,"Loss"),-('Guide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5">
        <f t="shared" si="33"/>
        <v>1109.0218511200758</v>
      </c>
      <c r="AC102" s="125" t="str">
        <f>IF($D102="","",IF(SUMPRODUCT(MAX(($D$4:$D$810=$D102)*($B$4:$B$810&lt;$B102)*$B$4:$B$810))=0,0,MAX(($B102-MAX(SUMPRODUCT(MAX(($D$4:$D$810=$D102)*($B$4:$B$810&lt;$B102)*$B$4:$B$810)),'Guide &amp; Settings'!$C$50))/7-'Guide &amp; Settings'!$C$48,0)*'Guide &amp; Settings'!$C$49))</f>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Settings'!$C$42/(($F103-1)*COUNTIFS($A$4:$A$810,$A103,$E$4:$E$810,"Win")))*SUMIFS($X$4:$X$810,$A$4:$A$810,$A103,$E$4:$E$810,"Loss"),-('Guide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5">
        <f t="shared" si="33"/>
        <v>1015.3406373059906</v>
      </c>
      <c r="AC103" s="125" t="str">
        <f>IF($D103="","",IF(SUMPRODUCT(MAX(($D$4:$D$810=$D103)*($B$4:$B$810&lt;$B103)*$B$4:$B$810))=0,0,MAX(($B103-MAX(SUMPRODUCT(MAX(($D$4:$D$810=$D103)*($B$4:$B$810&lt;$B103)*$B$4:$B$810)),'Guide &amp; Settings'!$C$50))/7-'Guide &amp; Settings'!$C$48,0)*'Guide &amp; Settings'!$C$49))</f>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Settings'!$C$42/(($F104-1)*COUNTIFS($A$4:$A$810,$A104,$E$4:$E$810,"Win")))*SUMIFS($X$4:$X$810,$A$4:$A$810,$A104,$E$4:$E$810,"Loss"),-('Guide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5">
        <f t="shared" si="33"/>
        <v>962.74691604051804</v>
      </c>
      <c r="AC104" s="125" t="str">
        <f>IF($D104="","",IF(SUMPRODUCT(MAX(($D$4:$D$810=$D104)*($B$4:$B$810&lt;$B104)*$B$4:$B$810))=0,0,MAX(($B104-MAX(SUMPRODUCT(MAX(($D$4:$D$810=$D104)*($B$4:$B$810&lt;$B104)*$B$4:$B$810)),'Guide &amp; Settings'!$C$50))/7-'Guide &amp; Settings'!$C$48,0)*'Guide &amp; Settings'!$C$49))</f>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Settings'!$C$42/(($F105-1)*COUNTIFS($A$4:$A$810,$A105,$E$4:$E$810,"Win")))*SUMIFS($X$4:$X$810,$A$4:$A$810,$A105,$E$4:$E$810,"Loss"),-('Guide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5">
        <f t="shared" si="33"/>
        <v>981.45214133048421</v>
      </c>
      <c r="AC105" s="125" t="str">
        <f>IF($D105="","",IF(SUMPRODUCT(MAX(($D$4:$D$810=$D105)*($B$4:$B$810&lt;$B105)*$B$4:$B$810))=0,0,MAX(($B105-MAX(SUMPRODUCT(MAX(($D$4:$D$810=$D105)*($B$4:$B$810&lt;$B105)*$B$4:$B$810)),'Guide &amp; Settings'!$C$50))/7-'Guide &amp; Settings'!$C$48,0)*'Guide &amp; Settings'!$C$49))</f>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Settings'!$C$42/(($F106-1)*COUNTIFS($A$4:$A$810,$A106,$E$4:$E$810,"Win")))*SUMIFS($X$4:$X$810,$A$4:$A$810,$A106,$E$4:$E$810,"Loss"),-('Guide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5">
        <f t="shared" si="33"/>
        <v>979.60749219179638</v>
      </c>
      <c r="AC106" s="125" t="str">
        <f>IF($D106="","",IF(SUMPRODUCT(MAX(($D$4:$D$810=$D106)*($B$4:$B$810&lt;$B106)*$B$4:$B$810))=0,0,MAX(($B106-MAX(SUMPRODUCT(MAX(($D$4:$D$810=$D106)*($B$4:$B$810&lt;$B106)*$B$4:$B$810)),'Guide &amp; Settings'!$C$50))/7-'Guide &amp; Settings'!$C$48,0)*'Guide &amp; Settings'!$C$49))</f>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Settings'!$C$42/(($F107-1)*COUNTIFS($A$4:$A$810,$A107,$E$4:$E$810,"Win")))*SUMIFS($X$4:$X$810,$A$4:$A$810,$A107,$E$4:$E$810,"Loss"),-('Guide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5">
        <f t="shared" si="33"/>
        <v>964.59156517920587</v>
      </c>
      <c r="AC107" s="125" t="str">
        <f>IF($D107="","",IF(SUMPRODUCT(MAX(($D$4:$D$810=$D107)*($B$4:$B$810&lt;$B107)*$B$4:$B$810))=0,0,MAX(($B107-MAX(SUMPRODUCT(MAX(($D$4:$D$810=$D107)*($B$4:$B$810&lt;$B107)*$B$4:$B$810)),'Guide &amp; Settings'!$C$50))/7-'Guide &amp; Settings'!$C$48,0)*'Guide &amp; Settings'!$C$49))</f>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Settings'!$C$42/(($F108-1)*COUNTIFS($A$4:$A$810,$A108,$E$4:$E$810,"Win")))*SUMIFS($X$4:$X$810,$A$4:$A$810,$A108,$E$4:$E$810,"Loss"),-('Guide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5">
        <f t="shared" si="33"/>
        <v>962.91641343501885</v>
      </c>
      <c r="AC108" s="125" t="str">
        <f>IF($D108="","",IF(SUMPRODUCT(MAX(($D$4:$D$810=$D108)*($B$4:$B$810&lt;$B108)*$B$4:$B$810))=0,0,MAX(($B108-MAX(SUMPRODUCT(MAX(($D$4:$D$810=$D108)*($B$4:$B$810&lt;$B108)*$B$4:$B$810)),'Guide &amp; Settings'!$C$50))/7-'Guide &amp; Settings'!$C$48,0)*'Guide &amp; Settings'!$C$49))</f>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Settings'!$C$42/(($F109-1)*COUNTIFS($A$4:$A$810,$A109,$E$4:$E$810,"Win")))*SUMIFS($X$4:$X$810,$A$4:$A$810,$A109,$E$4:$E$810,"Loss"),-('Guide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5">
        <f t="shared" si="33"/>
        <v>981.2826439359834</v>
      </c>
      <c r="AC109" s="125" t="str">
        <f>IF($D109="","",IF(SUMPRODUCT(MAX(($D$4:$D$810=$D109)*($B$4:$B$810&lt;$B109)*$B$4:$B$810))=0,0,MAX(($B109-MAX(SUMPRODUCT(MAX(($D$4:$D$810=$D109)*($B$4:$B$810&lt;$B109)*$B$4:$B$810)),'Guide &amp; Settings'!$C$50))/7-'Guide &amp; Settings'!$C$48,0)*'Guide &amp; Settings'!$C$49))</f>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Settings'!$C$42/(($F110-1)*COUNTIFS($A$4:$A$810,$A110,$E$4:$E$810,"Win")))*SUMIFS($X$4:$X$810,$A$4:$A$810,$A110,$E$4:$E$810,"Loss"),-('Guide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5">
        <f t="shared" si="33"/>
        <v>1027.6552613380845</v>
      </c>
      <c r="AC110" s="125" t="str">
        <f>IF($D110="","",IF(SUMPRODUCT(MAX(($D$4:$D$810=$D110)*($B$4:$B$810&lt;$B110)*$B$4:$B$810))=0,0,MAX(($B110-MAX(SUMPRODUCT(MAX(($D$4:$D$810=$D110)*($B$4:$B$810&lt;$B110)*$B$4:$B$810)),'Guide &amp; Settings'!$C$50))/7-'Guide &amp; Settings'!$C$48,0)*'Guide &amp; Settings'!$C$49))</f>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Settings'!$C$42/(($F111-1)*COUNTIFS($A$4:$A$810,$A111,$E$4:$E$810,"Win")))*SUMIFS($X$4:$X$810,$A$4:$A$810,$A111,$E$4:$E$810,"Loss"),-('Guide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5">
        <f t="shared" si="33"/>
        <v>999.1627340552136</v>
      </c>
      <c r="AC111" s="125" t="str">
        <f>IF($D111="","",IF(SUMPRODUCT(MAX(($D$4:$D$810=$D111)*($B$4:$B$810&lt;$B111)*$B$4:$B$810))=0,0,MAX(($B111-MAX(SUMPRODUCT(MAX(($D$4:$D$810=$D111)*($B$4:$B$810&lt;$B111)*$B$4:$B$810)),'Guide &amp; Settings'!$C$50))/7-'Guide &amp; Settings'!$C$48,0)*'Guide &amp; Settings'!$C$49))</f>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Settings'!$C$42/(($F112-1)*COUNTIFS($A$4:$A$810,$A112,$E$4:$E$810,"Win")))*SUMIFS($X$4:$X$810,$A$4:$A$810,$A112,$E$4:$E$810,"Loss"),-('Guide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5">
        <f t="shared" si="33"/>
        <v>1042.3460655741985</v>
      </c>
      <c r="AC112" s="125" t="str">
        <f>IF($D112="","",IF(SUMPRODUCT(MAX(($D$4:$D$810=$D112)*($B$4:$B$810&lt;$B112)*$B$4:$B$810))=0,0,MAX(($B112-MAX(SUMPRODUCT(MAX(($D$4:$D$810=$D112)*($B$4:$B$810&lt;$B112)*$B$4:$B$810)),'Guide &amp; Settings'!$C$50))/7-'Guide &amp; Settings'!$C$48,0)*'Guide &amp; Settings'!$C$49))</f>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Settings'!$C$42/(($F113-1)*COUNTIFS($A$4:$A$810,$A113,$E$4:$E$810,"Win")))*SUMIFS($X$4:$X$810,$A$4:$A$810,$A113,$E$4:$E$810,"Loss"),-('Guide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5">
        <f t="shared" si="33"/>
        <v>984.47192981909961</v>
      </c>
      <c r="AC113" s="125" t="str">
        <f>IF($D113="","",IF(SUMPRODUCT(MAX(($D$4:$D$810=$D113)*($B$4:$B$810&lt;$B113)*$B$4:$B$810))=0,0,MAX(($B113-MAX(SUMPRODUCT(MAX(($D$4:$D$810=$D113)*($B$4:$B$810&lt;$B113)*$B$4:$B$810)),'Guide &amp; Settings'!$C$50))/7-'Guide &amp; Settings'!$C$48,0)*'Guide &amp; Settings'!$C$49))</f>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Settings'!$C$42/(($F114-1)*COUNTIFS($A$4:$A$810,$A114,$E$4:$E$810,"Win")))*SUMIFS($X$4:$X$810,$A$4:$A$810,$A114,$E$4:$E$810,"Loss"),-('Guide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5">
        <f t="shared" si="33"/>
        <v>1055.7052432790952</v>
      </c>
      <c r="AC114" s="125" t="str">
        <f>IF($D114="","",IF(SUMPRODUCT(MAX(($D$4:$D$810=$D114)*($B$4:$B$810&lt;$B114)*$B$4:$B$810))=0,0,MAX(($B114-MAX(SUMPRODUCT(MAX(($D$4:$D$810=$D114)*($B$4:$B$810&lt;$B114)*$B$4:$B$810)),'Guide &amp; Settings'!$C$50))/7-'Guide &amp; Settings'!$C$48,0)*'Guide &amp; Settings'!$C$49))</f>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Settings'!$C$42/(($F115-1)*COUNTIFS($A$4:$A$810,$A115,$E$4:$E$810,"Win")))*SUMIFS($X$4:$X$810,$A$4:$A$810,$A115,$E$4:$E$810,"Loss"),-('Guide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5">
        <f t="shared" si="33"/>
        <v>971.11275211420309</v>
      </c>
      <c r="AC115" s="125" t="str">
        <f>IF($D115="","",IF(SUMPRODUCT(MAX(($D$4:$D$810=$D115)*($B$4:$B$810&lt;$B115)*$B$4:$B$810))=0,0,MAX(($B115-MAX(SUMPRODUCT(MAX(($D$4:$D$810=$D115)*($B$4:$B$810&lt;$B115)*$B$4:$B$810)),'Guide &amp; Settings'!$C$50))/7-'Guide &amp; Settings'!$C$48,0)*'Guide &amp; Settings'!$C$49))</f>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Settings'!$C$42/(($F116-1)*COUNTIFS($A$4:$A$810,$A116,$E$4:$E$810,"Win")))*SUMIFS($X$4:$X$810,$A$4:$A$810,$A116,$E$4:$E$810,"Loss"),-('Guide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5">
        <f t="shared" si="33"/>
        <v>987.4695394050409</v>
      </c>
      <c r="AC116" s="125" t="str">
        <f>IF($D116="","",IF(SUMPRODUCT(MAX(($D$4:$D$810=$D116)*($B$4:$B$810&lt;$B116)*$B$4:$B$810))=0,0,MAX(($B116-MAX(SUMPRODUCT(MAX(($D$4:$D$810=$D116)*($B$4:$B$810&lt;$B116)*$B$4:$B$810)),'Guide &amp; Settings'!$C$50))/7-'Guide &amp; Settings'!$C$48,0)*'Guide &amp; Settings'!$C$49))</f>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Settings'!$C$42/(($F117-1)*COUNTIFS($A$4:$A$810,$A117,$E$4:$E$810,"Win")))*SUMIFS($X$4:$X$810,$A$4:$A$810,$A117,$E$4:$E$810,"Loss"),-('Guide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5">
        <f t="shared" si="33"/>
        <v>995.12808694655291</v>
      </c>
      <c r="AC117" s="125" t="str">
        <f>IF($D117="","",IF(SUMPRODUCT(MAX(($D$4:$D$810=$D117)*($B$4:$B$810&lt;$B117)*$B$4:$B$810))=0,0,MAX(($B117-MAX(SUMPRODUCT(MAX(($D$4:$D$810=$D117)*($B$4:$B$810&lt;$B117)*$B$4:$B$810)),'Guide &amp; Settings'!$C$50))/7-'Guide &amp; Settings'!$C$48,0)*'Guide &amp; Settings'!$C$49))</f>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Settings'!$C$42/(($F118-1)*COUNTIFS($A$4:$A$810,$A118,$E$4:$E$810,"Win")))*SUMIFS($X$4:$X$810,$A$4:$A$810,$A118,$E$4:$E$810,"Loss"),-('Guide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5">
        <f t="shared" si="33"/>
        <v>1004.0463383766044</v>
      </c>
      <c r="AC118" s="125" t="str">
        <f>IF($D118="","",IF(SUMPRODUCT(MAX(($D$4:$D$810=$D118)*($B$4:$B$810&lt;$B118)*$B$4:$B$810))=0,0,MAX(($B118-MAX(SUMPRODUCT(MAX(($D$4:$D$810=$D118)*($B$4:$B$810&lt;$B118)*$B$4:$B$810)),'Guide &amp; Settings'!$C$50))/7-'Guide &amp; Settings'!$C$48,0)*'Guide &amp; Settings'!$C$49))</f>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Settings'!$C$42/(($F119-1)*COUNTIFS($A$4:$A$810,$A119,$E$4:$E$810,"Win")))*SUMIFS($X$4:$X$810,$A$4:$A$810,$A119,$E$4:$E$810,"Loss"),-('Guide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5">
        <f t="shared" si="33"/>
        <v>983.42320102843655</v>
      </c>
      <c r="AC119" s="125" t="str">
        <f>IF($D119="","",IF(SUMPRODUCT(MAX(($D$4:$D$810=$D119)*($B$4:$B$810&lt;$B119)*$B$4:$B$810))=0,0,MAX(($B119-MAX(SUMPRODUCT(MAX(($D$4:$D$810=$D119)*($B$4:$B$810&lt;$B119)*$B$4:$B$810)),'Guide &amp; Settings'!$C$50))/7-'Guide &amp; Settings'!$C$48,0)*'Guide &amp; Settings'!$C$49))</f>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Settings'!$C$42/(($F120-1)*COUNTIFS($A$4:$A$810,$A120,$E$4:$E$810,"Win")))*SUMIFS($X$4:$X$810,$A$4:$A$810,$A120,$E$4:$E$810,"Loss"),-('Guide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5">
        <f t="shared" si="33"/>
        <v>983.13886682309521</v>
      </c>
      <c r="AC120" s="125" t="str">
        <f>IF($D120="","",IF(SUMPRODUCT(MAX(($D$4:$D$810=$D120)*($B$4:$B$810&lt;$B120)*$B$4:$B$810))=0,0,MAX(($B120-MAX(SUMPRODUCT(MAX(($D$4:$D$810=$D120)*($B$4:$B$810&lt;$B120)*$B$4:$B$810)),'Guide &amp; Settings'!$C$50))/7-'Guide &amp; Settings'!$C$48,0)*'Guide &amp; Settings'!$C$49))</f>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Settings'!$C$42/(($F121-1)*COUNTIFS($A$4:$A$810,$A121,$E$4:$E$810,"Win")))*SUMIFS($X$4:$X$810,$A$4:$A$810,$A121,$E$4:$E$810,"Loss"),-('Guide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5">
        <f t="shared" si="33"/>
        <v>998.14377711288819</v>
      </c>
      <c r="AC121" s="125" t="str">
        <f>IF($D121="","",IF(SUMPRODUCT(MAX(($D$4:$D$810=$D121)*($B$4:$B$810&lt;$B121)*$B$4:$B$810))=0,0,MAX(($B121-MAX(SUMPRODUCT(MAX(($D$4:$D$810=$D121)*($B$4:$B$810&lt;$B121)*$B$4:$B$810)),'Guide &amp; Settings'!$C$50))/7-'Guide &amp; Settings'!$C$48,0)*'Guide &amp; Settings'!$C$49))</f>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Settings'!$C$42/(($F122-1)*COUNTIFS($A$4:$A$810,$A122,$E$4:$E$810,"Win")))*SUMIFS($X$4:$X$810,$A$4:$A$810,$A122,$E$4:$E$810,"Loss"),-('Guide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Settings'!$C$42/(($F122-1)*COUNTIFS($A$4:$A$810,$A122,$E$4:$E$810,"Win")))*SUMIFS($Z$4:$Z$810,$A$4:$A$810,$A122,$E$4:$E$810,"Loss"),-('Guide &amp; Settings'!$C$42/($F122-1))*$Z122)))</f>
        <v>16</v>
      </c>
      <c r="AB122" s="125">
        <f t="shared" si="33"/>
        <v>1016</v>
      </c>
      <c r="AC122" s="125" t="str">
        <f>IF($D122="","",IF(SUMPRODUCT(MAX(($D$4:$D$810=$D122)*($B$4:$B$810&lt;$B122)*$B$4:$B$810))=0,0,MAX(($B122-MAX(SUMPRODUCT(MAX(($D$4:$D$810=$D122)*($B$4:$B$810&lt;$B122)*$B$4:$B$810)),'Guide &amp; Settings'!$C$50))/7-'Guide &amp; Settings'!$C$48,0)*'Guide &amp; Settings'!$C$49))</f>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Settings'!$C$42/(($F123-1)*COUNTIFS($A$4:$A$810,$A123,$E$4:$E$810,"Win")))*SUMIFS($X$4:$X$810,$A$4:$A$810,$A123,$E$4:$E$810,"Loss"),-('Guide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Settings'!$C$42/(($F123-1)*COUNTIFS($A$4:$A$810,$A123,$E$4:$E$810,"Win")))*SUMIFS($Z$4:$Z$810,$A$4:$A$810,$A123,$E$4:$E$810,"Loss"),-('Guide &amp; Settings'!$C$42/($F123-1))*$Z123)))</f>
        <v>-16</v>
      </c>
      <c r="AB123" s="125">
        <f t="shared" si="33"/>
        <v>984</v>
      </c>
      <c r="AC123" s="125" t="str">
        <f>IF($D123="","",IF(SUMPRODUCT(MAX(($D$4:$D$810=$D123)*($B$4:$B$810&lt;$B123)*$B$4:$B$810))=0,0,MAX(($B123-MAX(SUMPRODUCT(MAX(($D$4:$D$810=$D123)*($B$4:$B$810&lt;$B123)*$B$4:$B$810)),'Guide &amp; Settings'!$C$50))/7-'Guide &amp; Settings'!$C$48,0)*'Guide &amp; Settings'!$C$49))</f>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Settings'!$C$42/(($F124-1)*COUNTIFS($A$4:$A$810,$A124,$E$4:$E$810,"Win")))*SUMIFS($X$4:$X$810,$A$4:$A$810,$A124,$E$4:$E$810,"Loss"),-('Guide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Settings'!$C$42/(($F124-1)*COUNTIFS($A$4:$A$810,$A124,$E$4:$E$810,"Win")))*SUMIFS($Z$4:$Z$810,$A$4:$A$810,$A124,$E$4:$E$810,"Loss"),-('Guide &amp; Settings'!$C$42/($F124-1))*$Z124)))</f>
        <v>16</v>
      </c>
      <c r="AB124" s="125">
        <f t="shared" si="33"/>
        <v>1016</v>
      </c>
      <c r="AC124" s="125" t="str">
        <f>IF($D124="","",IF(SUMPRODUCT(MAX(($D$4:$D$810=$D124)*($B$4:$B$810&lt;$B124)*$B$4:$B$810))=0,0,MAX(($B124-MAX(SUMPRODUCT(MAX(($D$4:$D$810=$D124)*($B$4:$B$810&lt;$B124)*$B$4:$B$810)),'Guide &amp; Settings'!$C$50))/7-'Guide &amp; Settings'!$C$48,0)*'Guide &amp; Settings'!$C$49))</f>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Settings'!$C$42/(($F125-1)*COUNTIFS($A$4:$A$810,$A125,$E$4:$E$810,"Win")))*SUMIFS($X$4:$X$810,$A$4:$A$810,$A125,$E$4:$E$810,"Loss"),-('Guide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Settings'!$C$42/(($F125-1)*COUNTIFS($A$4:$A$810,$A125,$E$4:$E$810,"Win")))*SUMIFS($Z$4:$Z$810,$A$4:$A$810,$A125,$E$4:$E$810,"Loss"),-('Guide &amp; Settings'!$C$42/($F125-1))*$Z125)))</f>
        <v>-16</v>
      </c>
      <c r="AB125" s="125">
        <f t="shared" si="33"/>
        <v>984</v>
      </c>
      <c r="AC125" s="125" t="str">
        <f>IF($D125="","",IF(SUMPRODUCT(MAX(($D$4:$D$810=$D125)*($B$4:$B$810&lt;$B125)*$B$4:$B$810))=0,0,MAX(($B125-MAX(SUMPRODUCT(MAX(($D$4:$D$810=$D125)*($B$4:$B$810&lt;$B125)*$B$4:$B$810)),'Guide &amp; Settings'!$C$50))/7-'Guide &amp; Settings'!$C$48,0)*'Guide &amp; Settings'!$C$49))</f>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Settings'!$C$42/(($F126-1)*COUNTIFS($A$4:$A$810,$A126,$E$4:$E$810,"Win")))*SUMIFS($X$4:$X$810,$A$4:$A$810,$A126,$E$4:$E$810,"Loss"),-('Guide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Settings'!$C$42/(($F126-1)*COUNTIFS($A$4:$A$810,$A126,$E$4:$E$810,"Win")))*SUMIFS($Z$4:$Z$810,$A$4:$A$810,$A126,$E$4:$E$810,"Loss"),-('Guide &amp; Settings'!$C$42/($F126-1))*$Z126)))</f>
        <v>16</v>
      </c>
      <c r="AB126" s="125">
        <f t="shared" si="33"/>
        <v>1016</v>
      </c>
      <c r="AC126" s="125" t="str">
        <f>IF($D126="","",IF(SUMPRODUCT(MAX(($D$4:$D$810=$D126)*($B$4:$B$810&lt;$B126)*$B$4:$B$810))=0,0,MAX(($B126-MAX(SUMPRODUCT(MAX(($D$4:$D$810=$D126)*($B$4:$B$810&lt;$B126)*$B$4:$B$810)),'Guide &amp; Settings'!$C$50))/7-'Guide &amp; Settings'!$C$48,0)*'Guide &amp; Settings'!$C$49))</f>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Settings'!$C$42/(($F127-1)*COUNTIFS($A$4:$A$810,$A127,$E$4:$E$810,"Win")))*SUMIFS($X$4:$X$810,$A$4:$A$810,$A127,$E$4:$E$810,"Loss"),-('Guide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Settings'!$C$42/(($F127-1)*COUNTIFS($A$4:$A$810,$A127,$E$4:$E$810,"Win")))*SUMIFS($Z$4:$Z$810,$A$4:$A$810,$A127,$E$4:$E$810,"Loss"),-('Guide &amp; Settings'!$C$42/($F127-1))*$Z127)))</f>
        <v>-16</v>
      </c>
      <c r="AB127" s="125">
        <f t="shared" si="33"/>
        <v>984</v>
      </c>
      <c r="AC127" s="125" t="str">
        <f>IF($D127="","",IF(SUMPRODUCT(MAX(($D$4:$D$810=$D127)*($B$4:$B$810&lt;$B127)*$B$4:$B$810))=0,0,MAX(($B127-MAX(SUMPRODUCT(MAX(($D$4:$D$810=$D127)*($B$4:$B$810&lt;$B127)*$B$4:$B$810)),'Guide &amp; Settings'!$C$50))/7-'Guide &amp; Settings'!$C$48,0)*'Guide &amp; Settings'!$C$49))</f>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Settings'!$C$42/(($F128-1)*COUNTIFS($A$4:$A$810,$A128,$E$4:$E$810,"Win")))*SUMIFS($X$4:$X$810,$A$4:$A$810,$A128,$E$4:$E$810,"Loss"),-('Guide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5">
        <f t="shared" si="33"/>
        <v>1015.263693206478</v>
      </c>
      <c r="AC128" s="125" t="str">
        <f>IF($D128="","",IF(SUMPRODUCT(MAX(($D$4:$D$810=$D128)*($B$4:$B$810&lt;$B128)*$B$4:$B$810))=0,0,MAX(($B128-MAX(SUMPRODUCT(MAX(($D$4:$D$810=$D128)*($B$4:$B$810&lt;$B128)*$B$4:$B$810)),'Guide &amp; Settings'!$C$50))/7-'Guide &amp; Settings'!$C$48,0)*'Guide &amp; Settings'!$C$49))</f>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Settings'!$C$42/(($F129-1)*COUNTIFS($A$4:$A$810,$A129,$E$4:$E$810,"Win")))*SUMIFS($X$4:$X$810,$A$4:$A$810,$A129,$E$4:$E$810,"Loss"),-('Guide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Settings'!$C$42/(($F129-1)*COUNTIFS($A$4:$A$810,$A129,$E$4:$E$810,"Win")))*SUMIFS($Z$4:$Z$810,$A$4:$A$810,$A129,$E$4:$E$810,"Loss"),-('Guide &amp; Settings'!$C$42/($F129-1))*$Z129)))</f>
        <v>-15.263693206478006</v>
      </c>
      <c r="AB129" s="125">
        <f t="shared" si="33"/>
        <v>968.73630679352198</v>
      </c>
      <c r="AC129" s="125" t="str">
        <f>IF($D129="","",IF(SUMPRODUCT(MAX(($D$4:$D$810=$D129)*($B$4:$B$810&lt;$B129)*$B$4:$B$810))=0,0,MAX(($B129-MAX(SUMPRODUCT(MAX(($D$4:$D$810=$D129)*($B$4:$B$810&lt;$B129)*$B$4:$B$810)),'Guide &amp; Settings'!$C$50))/7-'Guide &amp; Settings'!$C$48,0)*'Guide &amp; Settings'!$C$49))</f>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Settings'!$C$42/(($F130-1)*COUNTIFS($A$4:$A$810,$A130,$E$4:$E$810,"Win")))*SUMIFS($X$4:$X$810,$A$4:$A$810,$A130,$E$4:$E$810,"Loss"),-('Guide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Settings'!$C$42/(($F130-1)*COUNTIFS($A$4:$A$810,$A130,$E$4:$E$810,"Win")))*SUMIFS($Z$4:$Z$810,$A$4:$A$810,$A130,$E$4:$E$810,"Loss"),-('Guide &amp; Settings'!$C$42/($F130-1))*$Z130)))</f>
        <v>16</v>
      </c>
      <c r="AB130" s="125">
        <f t="shared" si="33"/>
        <v>1016</v>
      </c>
      <c r="AC130" s="125" t="str">
        <f>IF($D130="","",IF(SUMPRODUCT(MAX(($D$4:$D$810=$D130)*($B$4:$B$810&lt;$B130)*$B$4:$B$810))=0,0,MAX(($B130-MAX(SUMPRODUCT(MAX(($D$4:$D$810=$D130)*($B$4:$B$810&lt;$B130)*$B$4:$B$810)),'Guide &amp; Settings'!$C$50))/7-'Guide &amp; Settings'!$C$48,0)*'Guide &amp; Settings'!$C$49))</f>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Settings'!$C$42/(($F131-1)*COUNTIFS($A$4:$A$810,$A131,$E$4:$E$810,"Win")))*SUMIFS($X$4:$X$810,$A$4:$A$810,$A131,$E$4:$E$810,"Loss"),-('Guide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Settings'!$C$42/(($F131-1)*COUNTIFS($A$4:$A$810,$A131,$E$4:$E$810,"Win")))*SUMIFS($Z$4:$Z$810,$A$4:$A$810,$A131,$E$4:$E$810,"Loss"),-('Guide &amp; Settings'!$C$42/($F131-1))*$Z131)))</f>
        <v>-16</v>
      </c>
      <c r="AB131" s="125">
        <f t="shared" si="33"/>
        <v>984</v>
      </c>
      <c r="AC131" s="125" t="str">
        <f>IF($D131="","",IF(SUMPRODUCT(MAX(($D$4:$D$810=$D131)*($B$4:$B$810&lt;$B131)*$B$4:$B$810))=0,0,MAX(($B131-MAX(SUMPRODUCT(MAX(($D$4:$D$810=$D131)*($B$4:$B$810&lt;$B131)*$B$4:$B$810)),'Guide &amp; Settings'!$C$50))/7-'Guide &amp; Settings'!$C$48,0)*'Guide &amp; Settings'!$C$49))</f>
      </c>
    </row>
    <row r="132" spans="1:29" ht="15" customHeight="1" x14ac:dyDescent="0.2">
      <c r="A132" s="116">
        <v>61</v>
      </c>
      <c r="B132" s="117">
        <v>46188</v>
      </c>
      <c r="C132" s="118" t="s">
        <v>214</v>
      </c>
      <c r="D132" s="118" t="s">
        <v>176</v>
      </c>
      <c r="E132" s="116" t="s">
        <v>316</v>
      </c>
      <c r="F132" s="119">
        <f t="shared" ref="F132:F195" si="34">IF($D132="",0,COUNTIF($A$4:$A$810,$A132))</f>
        <v>2</v>
      </c>
      <c r="G132" s="120" t="str">
        <f t="shared" ref="G132:G195" si="35">IF($D132="","",IFERROR(LOOKUP(2,1/(($A$4:$A$810=$A132)*($E$4:$E$810="Win")),$D$4:$D$810),"(no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Settings'!$C$42/(($F132-1)*COUNTIFS($A$4:$A$810,$A132,$E$4:$E$810,"Win")))*SUMIFS($X$4:$X$810,$A$4:$A$810,$A132,$E$4:$E$810,"Loss"),-('Guide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987.03899737278562</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8">
        <f t="shared" ref="T132:T195" si="44">IF($D132="",0,COUNTIFS($D$4:$D$810,$D132,$C$4:$C$810,$C132,$A$4:$A$810,"&lt;"&amp;$A132))</f>
        <v>0</v>
      </c>
      <c r="U132" s="125">
        <f>IF($D132="",0,IFERROR(LOOKUP(2,1/(($D$3:D131=$D132)*($C$3:C131=$C132)*($A$3:A131&lt;$A132)),$AB$3:AB131),1000))</f>
        <v>1000</v>
      </c>
      <c r="V132" s="125">
        <f t="shared" ref="V132:V195" si="45">IF($D132="",0,$U132*($T132/($T132+5))+$H132*(1-$T132/($T132+5)))</f>
        <v>987.03899737278562</v>
      </c>
      <c r="W132">
        <f t="shared" ref="W132:W195" si="46">IF($D132="",0,IFERROR(SUMIFS($V$4:$V$810,$A$4:$A$810,$A132,$E$4:$E$810,"Win")/COUNTIFS($A$4:$A$810,$A132,$E$4:$E$810,"Win"),0))</f>
        <v>987.03899737278562</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5">
        <f t="shared" ref="AB132:AB195" si="50">IF($D132="",0,$U132+$AA132)</f>
        <v>1016.736306793522</v>
      </c>
      <c r="AC132" s="125" t="str">
        <f>IF($D132="","",IF(SUMPRODUCT(MAX(($D$4:$D$810=$D132)*($B$4:$B$810&lt;$B132)*$B$4:$B$810))=0,0,MAX(($B132-MAX(SUMPRODUCT(MAX(($D$4:$D$810=$D132)*($B$4:$B$810&lt;$B132)*$B$4:$B$810)),'Guide &amp; Settings'!$C$50))/7-'Guide &amp; Settings'!$C$48,0)*'Guide &amp; Settings'!$C$49))</f>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Settings'!$C$42/(($F133-1)*COUNTIFS($A$4:$A$810,$A133,$E$4:$E$810,"Win")))*SUMIFS($X$4:$X$810,$A$4:$A$810,$A133,$E$4:$E$810,"Loss"),-('Guide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Settings'!$C$42/(($F133-1)*COUNTIFS($A$4:$A$810,$A133,$E$4:$E$810,"Win")))*SUMIFS($Z$4:$Z$810,$A$4:$A$810,$A133,$E$4:$E$810,"Loss"),-('Guide &amp; Settings'!$C$42/($F133-1))*$Z133)))</f>
        <v>-16.736306793521994</v>
      </c>
      <c r="AB133" s="125">
        <f t="shared" si="50"/>
        <v>999.26369320647802</v>
      </c>
      <c r="AC133" s="125" t="str">
        <f>IF($D133="","",IF(SUMPRODUCT(MAX(($D$4:$D$810=$D133)*($B$4:$B$810&lt;$B133)*$B$4:$B$810))=0,0,MAX(($B133-MAX(SUMPRODUCT(MAX(($D$4:$D$810=$D133)*($B$4:$B$810&lt;$B133)*$B$4:$B$810)),'Guide &amp; Settings'!$C$50))/7-'Guide &amp; Settings'!$C$48,0)*'Guide &amp; Settings'!$C$49))</f>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Settings'!$C$42/(($F134-1)*COUNTIFS($A$4:$A$810,$A134,$E$4:$E$810,"Win")))*SUMIFS($X$4:$X$810,$A$4:$A$810,$A134,$E$4:$E$810,"Loss"),-('Guide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Settings'!$C$42/(($F134-1)*COUNTIFS($A$4:$A$810,$A134,$E$4:$E$810,"Win")))*SUMIFS($Z$4:$Z$810,$A$4:$A$810,$A134,$E$4:$E$810,"Loss"),-('Guide &amp; Settings'!$C$42/($F134-1))*$Z134)))</f>
        <v>16</v>
      </c>
      <c r="AB134" s="125">
        <f t="shared" si="50"/>
        <v>1032</v>
      </c>
      <c r="AC134" s="125" t="str">
        <f>IF($D134="","",IF(SUMPRODUCT(MAX(($D$4:$D$810=$D134)*($B$4:$B$810&lt;$B134)*$B$4:$B$810))=0,0,MAX(($B134-MAX(SUMPRODUCT(MAX(($D$4:$D$810=$D134)*($B$4:$B$810&lt;$B134)*$B$4:$B$810)),'Guide &amp; Settings'!$C$50))/7-'Guide &amp; Settings'!$C$48,0)*'Guide &amp; Settings'!$C$49))</f>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Settings'!$C$42/(($F135-1)*COUNTIFS($A$4:$A$810,$A135,$E$4:$E$810,"Win")))*SUMIFS($X$4:$X$810,$A$4:$A$810,$A135,$E$4:$E$810,"Loss"),-('Guide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Settings'!$C$42/(($F135-1)*COUNTIFS($A$4:$A$810,$A135,$E$4:$E$810,"Win")))*SUMIFS($Z$4:$Z$810,$A$4:$A$810,$A135,$E$4:$E$810,"Loss"),-('Guide &amp; Settings'!$C$42/($F135-1))*$Z135)))</f>
        <v>-16</v>
      </c>
      <c r="AB135" s="125">
        <f t="shared" si="50"/>
        <v>1000</v>
      </c>
      <c r="AC135" s="125" t="str">
        <f>IF($D135="","",IF(SUMPRODUCT(MAX(($D$4:$D$810=$D135)*($B$4:$B$810&lt;$B135)*$B$4:$B$810))=0,0,MAX(($B135-MAX(SUMPRODUCT(MAX(($D$4:$D$810=$D135)*($B$4:$B$810&lt;$B135)*$B$4:$B$810)),'Guide &amp; Settings'!$C$50))/7-'Guide &amp; Settings'!$C$48,0)*'Guide &amp; Settings'!$C$49))</f>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Settings'!$C$42/(($F136-1)*COUNTIFS($A$4:$A$810,$A136,$E$4:$E$810,"Win")))*SUMIFS($X$4:$X$810,$A$4:$A$810,$A136,$E$4:$E$810,"Loss"),-('Guide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5">
        <f t="shared" si="50"/>
        <v>1031.3315091622376</v>
      </c>
      <c r="AC136" s="125" t="str">
        <f>IF($D136="","",IF(SUMPRODUCT(MAX(($D$4:$D$810=$D136)*($B$4:$B$810&lt;$B136)*$B$4:$B$810))=0,0,MAX(($B136-MAX(SUMPRODUCT(MAX(($D$4:$D$810=$D136)*($B$4:$B$810&lt;$B136)*$B$4:$B$810)),'Guide &amp; Settings'!$C$50))/7-'Guide &amp; Settings'!$C$48,0)*'Guide &amp; Settings'!$C$49))</f>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Settings'!$C$42/(($F137-1)*COUNTIFS($A$4:$A$810,$A137,$E$4:$E$810,"Win")))*SUMIFS($X$4:$X$810,$A$4:$A$810,$A137,$E$4:$E$810,"Loss"),-('Guide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5">
        <f t="shared" si="50"/>
        <v>1000.6684908377623</v>
      </c>
      <c r="AC137" s="125" t="str">
        <f>IF($D137="","",IF(SUMPRODUCT(MAX(($D$4:$D$810=$D137)*($B$4:$B$810&lt;$B137)*$B$4:$B$810))=0,0,MAX(($B137-MAX(SUMPRODUCT(MAX(($D$4:$D$810=$D137)*($B$4:$B$810&lt;$B137)*$B$4:$B$810)),'Guide &amp; Settings'!$C$50))/7-'Guide &amp; Settings'!$C$48,0)*'Guide &amp; Settings'!$C$49))</f>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Settings'!$C$42/(($F138-1)*COUNTIFS($A$4:$A$810,$A138,$E$4:$E$810,"Win")))*SUMIFS($X$4:$X$810,$A$4:$A$810,$A138,$E$4:$E$810,"Loss"),-('Guide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5">
        <f t="shared" si="50"/>
        <v>1015.263693206478</v>
      </c>
      <c r="AC138" s="125" t="str">
        <f>IF($D138="","",IF(SUMPRODUCT(MAX(($D$4:$D$810=$D138)*($B$4:$B$810&lt;$B138)*$B$4:$B$810))=0,0,MAX(($B138-MAX(SUMPRODUCT(MAX(($D$4:$D$810=$D138)*($B$4:$B$810&lt;$B138)*$B$4:$B$810)),'Guide &amp; Settings'!$C$50))/7-'Guide &amp; Settings'!$C$48,0)*'Guide &amp; Settings'!$C$49))</f>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Settings'!$C$42/(($F139-1)*COUNTIFS($A$4:$A$810,$A139,$E$4:$E$810,"Win")))*SUMIFS($X$4:$X$810,$A$4:$A$810,$A139,$E$4:$E$810,"Loss"),-('Guide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Settings'!$C$42/(($F139-1)*COUNTIFS($A$4:$A$810,$A139,$E$4:$E$810,"Win")))*SUMIFS($Z$4:$Z$810,$A$4:$A$810,$A139,$E$4:$E$810,"Loss"),-('Guide &amp; Settings'!$C$42/($F139-1))*$Z139)))</f>
        <v>-15.263693206478006</v>
      </c>
      <c r="AB139" s="125">
        <f t="shared" si="50"/>
        <v>968.73630679352198</v>
      </c>
      <c r="AC139" s="125" t="str">
        <f>IF($D139="","",IF(SUMPRODUCT(MAX(($D$4:$D$810=$D139)*($B$4:$B$810&lt;$B139)*$B$4:$B$810))=0,0,MAX(($B139-MAX(SUMPRODUCT(MAX(($D$4:$D$810=$D139)*($B$4:$B$810&lt;$B139)*$B$4:$B$810)),'Guide &amp; Settings'!$C$50))/7-'Guide &amp; Settings'!$C$48,0)*'Guide &amp; Settings'!$C$49))</f>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Settings'!$C$42/(($F140-1)*COUNTIFS($A$4:$A$810,$A140,$E$4:$E$810,"Win")))*SUMIFS($X$4:$X$810,$A$4:$A$810,$A140,$E$4:$E$810,"Loss"),-('Guide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5">
        <f t="shared" si="50"/>
        <v>986.20271157060108</v>
      </c>
      <c r="AC140" s="125" t="str">
        <f>IF($D140="","",IF(SUMPRODUCT(MAX(($D$4:$D$810=$D140)*($B$4:$B$810&lt;$B140)*$B$4:$B$810))=0,0,MAX(($B140-MAX(SUMPRODUCT(MAX(($D$4:$D$810=$D140)*($B$4:$B$810&lt;$B140)*$B$4:$B$810)),'Guide &amp; Settings'!$C$50))/7-'Guide &amp; Settings'!$C$48,0)*'Guide &amp; Settings'!$C$49))</f>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Settings'!$C$42/(($F141-1)*COUNTIFS($A$4:$A$810,$A141,$E$4:$E$810,"Win")))*SUMIFS($X$4:$X$810,$A$4:$A$810,$A141,$E$4:$E$810,"Loss"),-('Guide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5">
        <f t="shared" si="50"/>
        <v>983.2020860606832</v>
      </c>
      <c r="AC141" s="125" t="str">
        <f>IF($D141="","",IF(SUMPRODUCT(MAX(($D$4:$D$810=$D141)*($B$4:$B$810&lt;$B141)*$B$4:$B$810))=0,0,MAX(($B141-MAX(SUMPRODUCT(MAX(($D$4:$D$810=$D141)*($B$4:$B$810&lt;$B141)*$B$4:$B$810)),'Guide &amp; Settings'!$C$50))/7-'Guide &amp; Settings'!$C$48,0)*'Guide &amp; Settings'!$C$49))</f>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Settings'!$C$42/(($F142-1)*COUNTIFS($A$4:$A$810,$A142,$E$4:$E$810,"Win")))*SUMIFS($X$4:$X$810,$A$4:$A$810,$A142,$E$4:$E$810,"Loss"),-('Guide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5">
        <f t="shared" si="50"/>
        <v>1045.1291370955996</v>
      </c>
      <c r="AC142" s="125" t="str">
        <f>IF($D142="","",IF(SUMPRODUCT(MAX(($D$4:$D$810=$D142)*($B$4:$B$810&lt;$B142)*$B$4:$B$810))=0,0,MAX(($B142-MAX(SUMPRODUCT(MAX(($D$4:$D$810=$D142)*($B$4:$B$810&lt;$B142)*$B$4:$B$810)),'Guide &amp; Settings'!$C$50))/7-'Guide &amp; Settings'!$C$48,0)*'Guide &amp; Settings'!$C$49))</f>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Settings'!$C$42/(($F143-1)*COUNTIFS($A$4:$A$810,$A143,$E$4:$E$810,"Win")))*SUMIFS($X$4:$X$810,$A$4:$A$810,$A143,$E$4:$E$810,"Loss"),-('Guide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5">
        <f t="shared" si="50"/>
        <v>969.40445812732128</v>
      </c>
      <c r="AC143" s="125" t="str">
        <f>IF($D143="","",IF(SUMPRODUCT(MAX(($D$4:$D$810=$D143)*($B$4:$B$810&lt;$B143)*$B$4:$B$810))=0,0,MAX(($B143-MAX(SUMPRODUCT(MAX(($D$4:$D$810=$D143)*($B$4:$B$810&lt;$B143)*$B$4:$B$810)),'Guide &amp; Settings'!$C$50))/7-'Guide &amp; Settings'!$C$48,0)*'Guide &amp; Settings'!$C$49))</f>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Settings'!$C$42/(($F144-1)*COUNTIFS($A$4:$A$810,$A144,$E$4:$E$810,"Win")))*SUMIFS($X$4:$X$810,$A$4:$A$810,$A144,$E$4:$E$810,"Loss"),-('Guide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5">
        <f t="shared" si="50"/>
        <v>1001.4297256411783</v>
      </c>
      <c r="AC144" s="125" t="str">
        <f>IF($D144="","",IF(SUMPRODUCT(MAX(($D$4:$D$810=$D144)*($B$4:$B$810&lt;$B144)*$B$4:$B$810))=0,0,MAX(($B144-MAX(SUMPRODUCT(MAX(($D$4:$D$810=$D144)*($B$4:$B$810&lt;$B144)*$B$4:$B$810)),'Guide &amp; Settings'!$C$50))/7-'Guide &amp; Settings'!$C$48,0)*'Guide &amp; Settings'!$C$49))</f>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Settings'!$C$42/(($F145-1)*COUNTIFS($A$4:$A$810,$A145,$E$4:$E$810,"Win")))*SUMIFS($X$4:$X$810,$A$4:$A$810,$A145,$E$4:$E$810,"Loss"),-('Guide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5">
        <f t="shared" si="50"/>
        <v>954.17744405674409</v>
      </c>
      <c r="AC145" s="125" t="str">
        <f>IF($D145="","",IF(SUMPRODUCT(MAX(($D$4:$D$810=$D145)*($B$4:$B$810&lt;$B145)*$B$4:$B$810))=0,0,MAX(($B145-MAX(SUMPRODUCT(MAX(($D$4:$D$810=$D145)*($B$4:$B$810&lt;$B145)*$B$4:$B$810)),'Guide &amp; Settings'!$C$50))/7-'Guide &amp; Settings'!$C$48,0)*'Guide &amp; Settings'!$C$49))</f>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Settings'!$C$42/(($F146-1)*COUNTIFS($A$4:$A$810,$A146,$E$4:$E$810,"Win")))*SUMIFS($X$4:$X$810,$A$4:$A$810,$A146,$E$4:$E$810,"Loss"),-('Guide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5">
        <f t="shared" si="50"/>
        <v>1059.1272502330096</v>
      </c>
      <c r="AC146" s="125" t="str">
        <f>IF($D146="","",IF(SUMPRODUCT(MAX(($D$4:$D$810=$D146)*($B$4:$B$810&lt;$B146)*$B$4:$B$810))=0,0,MAX(($B146-MAX(SUMPRODUCT(MAX(($D$4:$D$810=$D146)*($B$4:$B$810&lt;$B146)*$B$4:$B$810)),'Guide &amp; Settings'!$C$50))/7-'Guide &amp; Settings'!$C$48,0)*'Guide &amp; Settings'!$C$49))</f>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Settings'!$C$42/(($F147-1)*COUNTIFS($A$4:$A$810,$A147,$E$4:$E$810,"Win")))*SUMIFS($X$4:$X$810,$A$4:$A$810,$A147,$E$4:$E$810,"Loss"),-('Guide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5">
        <f t="shared" si="50"/>
        <v>987.43161250376841</v>
      </c>
      <c r="AC147" s="125" t="str">
        <f>IF($D147="","",IF(SUMPRODUCT(MAX(($D$4:$D$810=$D147)*($B$4:$B$810&lt;$B147)*$B$4:$B$810))=0,0,MAX(($B147-MAX(SUMPRODUCT(MAX(($D$4:$D$810=$D147)*($B$4:$B$810&lt;$B147)*$B$4:$B$810)),'Guide &amp; Settings'!$C$50))/7-'Guide &amp; Settings'!$C$48,0)*'Guide &amp; Settings'!$C$49))</f>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Settings'!$C$42/(($F148-1)*COUNTIFS($A$4:$A$810,$A148,$E$4:$E$810,"Win")))*SUMIFS($X$4:$X$810,$A$4:$A$810,$A148,$E$4:$E$810,"Loss"),-('Guide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5">
        <f t="shared" si="50"/>
        <v>1004.8469096355284</v>
      </c>
      <c r="AC148" s="125" t="str">
        <f>IF($D148="","",IF(SUMPRODUCT(MAX(($D$4:$D$810=$D148)*($B$4:$B$810&lt;$B148)*$B$4:$B$810))=0,0,MAX(($B148-MAX(SUMPRODUCT(MAX(($D$4:$D$810=$D148)*($B$4:$B$810&lt;$B148)*$B$4:$B$810)),'Guide &amp; Settings'!$C$50))/7-'Guide &amp; Settings'!$C$48,0)*'Guide &amp; Settings'!$C$49))</f>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Settings'!$C$42/(($F149-1)*COUNTIFS($A$4:$A$810,$A149,$E$4:$E$810,"Win")))*SUMIFS($X$4:$X$810,$A$4:$A$810,$A149,$E$4:$E$810,"Loss"),-('Guide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5">
        <f t="shared" si="50"/>
        <v>989.58321642905037</v>
      </c>
      <c r="AC149" s="125" t="str">
        <f>IF($D149="","",IF(SUMPRODUCT(MAX(($D$4:$D$810=$D149)*($B$4:$B$810&lt;$B149)*$B$4:$B$810))=0,0,MAX(($B149-MAX(SUMPRODUCT(MAX(($D$4:$D$810=$D149)*($B$4:$B$810&lt;$B149)*$B$4:$B$810)),'Guide &amp; Settings'!$C$50))/7-'Guide &amp; Settings'!$C$48,0)*'Guide &amp; Settings'!$C$49))</f>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Settings'!$C$42/(($F150-1)*COUNTIFS($A$4:$A$810,$A150,$E$4:$E$810,"Win")))*SUMIFS($X$4:$X$810,$A$4:$A$810,$A150,$E$4:$E$810,"Loss"),-('Guide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5">
        <f t="shared" si="50"/>
        <v>1026.049766139507</v>
      </c>
      <c r="AC150" s="125" t="str">
        <f>IF($D150="","",IF(SUMPRODUCT(MAX(($D$4:$D$810=$D150)*($B$4:$B$810&lt;$B150)*$B$4:$B$810))=0,0,MAX(($B150-MAX(SUMPRODUCT(MAX(($D$4:$D$810=$D150)*($B$4:$B$810&lt;$B150)*$B$4:$B$810)),'Guide &amp; Settings'!$C$50))/7-'Guide &amp; Settings'!$C$48,0)*'Guide &amp; Settings'!$C$49))</f>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Settings'!$C$42/(($F151-1)*COUNTIFS($A$4:$A$810,$A151,$E$4:$E$810,"Win")))*SUMIFS($X$4:$X$810,$A$4:$A$810,$A151,$E$4:$E$810,"Loss"),-('Guide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5">
        <f t="shared" si="50"/>
        <v>978.78380100239212</v>
      </c>
      <c r="AC151" s="125" t="str">
        <f>IF($D151="","",IF(SUMPRODUCT(MAX(($D$4:$D$810=$D151)*($B$4:$B$810&lt;$B151)*$B$4:$B$810))=0,0,MAX(($B151-MAX(SUMPRODUCT(MAX(($D$4:$D$810=$D151)*($B$4:$B$810&lt;$B151)*$B$4:$B$810)),'Guide &amp; Settings'!$C$50))/7-'Guide &amp; Settings'!$C$48,0)*'Guide &amp; Settings'!$C$49))</f>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Settings'!$C$42/(($F152-1)*COUNTIFS($A$4:$A$810,$A152,$E$4:$E$810,"Win")))*SUMIFS($X$4:$X$810,$A$4:$A$810,$A152,$E$4:$E$810,"Loss"),-('Guide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5">
        <f t="shared" si="50"/>
        <v>959.36601515278198</v>
      </c>
      <c r="AC152" s="125" t="str">
        <f>IF($D152="","",IF(SUMPRODUCT(MAX(($D$4:$D$810=$D152)*($B$4:$B$810&lt;$B152)*$B$4:$B$810))=0,0,MAX(($B152-MAX(SUMPRODUCT(MAX(($D$4:$D$810=$D152)*($B$4:$B$810&lt;$B152)*$B$4:$B$810)),'Guide &amp; Settings'!$C$50))/7-'Guide &amp; Settings'!$C$48,0)*'Guide &amp; Settings'!$C$49))</f>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Settings'!$C$42/(($F153-1)*COUNTIFS($A$4:$A$810,$A153,$E$4:$E$810,"Win")))*SUMIFS($X$4:$X$810,$A$4:$A$810,$A153,$E$4:$E$810,"Loss"),-('Guide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5">
        <f t="shared" si="50"/>
        <v>1064.3158213290476</v>
      </c>
      <c r="AC153" s="125" t="str">
        <f>IF($D153="","",IF(SUMPRODUCT(MAX(($D$4:$D$810=$D153)*($B$4:$B$810&lt;$B153)*$B$4:$B$810))=0,0,MAX(($B153-MAX(SUMPRODUCT(MAX(($D$4:$D$810=$D153)*($B$4:$B$810&lt;$B153)*$B$4:$B$810)),'Guide &amp; Settings'!$C$50))/7-'Guide &amp; Settings'!$C$48,0)*'Guide &amp; Settings'!$C$49))</f>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Settings'!$C$42/(($F154-1)*COUNTIFS($A$4:$A$810,$A154,$E$4:$E$810,"Win")))*SUMIFS($X$4:$X$810,$A$4:$A$810,$A154,$E$4:$E$810,"Loss"),-('Guide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5">
        <f t="shared" si="50"/>
        <v>999.54129054270618</v>
      </c>
      <c r="AC154" s="125" t="str">
        <f>IF($D154="","",IF(SUMPRODUCT(MAX(($D$4:$D$810=$D154)*($B$4:$B$810&lt;$B154)*$B$4:$B$810))=0,0,MAX(($B154-MAX(SUMPRODUCT(MAX(($D$4:$D$810=$D154)*($B$4:$B$810&lt;$B154)*$B$4:$B$810)),'Guide &amp; Settings'!$C$50))/7-'Guide &amp; Settings'!$C$48,0)*'Guide &amp; Settings'!$C$49))</f>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Settings'!$C$42/(($F155-1)*COUNTIFS($A$4:$A$810,$A155,$E$4:$E$810,"Win")))*SUMIFS($X$4:$X$810,$A$4:$A$810,$A155,$E$4:$E$810,"Loss"),-('Guide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5">
        <f t="shared" si="50"/>
        <v>984.51169332979669</v>
      </c>
      <c r="AC155" s="125" t="str">
        <f>IF($D155="","",IF(SUMPRODUCT(MAX(($D$4:$D$810=$D155)*($B$4:$B$810&lt;$B155)*$B$4:$B$810))=0,0,MAX(($B155-MAX(SUMPRODUCT(MAX(($D$4:$D$810=$D155)*($B$4:$B$810&lt;$B155)*$B$4:$B$810)),'Guide &amp; Settings'!$C$50))/7-'Guide &amp; Settings'!$C$48,0)*'Guide &amp; Settings'!$C$49))</f>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Settings'!$C$42/(($F156-1)*COUNTIFS($A$4:$A$810,$A156,$E$4:$E$810,"Win")))*SUMIFS($X$4:$X$810,$A$4:$A$810,$A156,$E$4:$E$810,"Loss"),-('Guide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5">
        <f t="shared" si="50"/>
        <v>1069.4674601912629</v>
      </c>
      <c r="AC156" s="125" t="str">
        <f>IF($D156="","",IF(SUMPRODUCT(MAX(($D$4:$D$810=$D156)*($B$4:$B$810&lt;$B156)*$B$4:$B$810))=0,0,MAX(($B156-MAX(SUMPRODUCT(MAX(($D$4:$D$810=$D156)*($B$4:$B$810&lt;$B156)*$B$4:$B$810)),'Guide &amp; Settings'!$C$50))/7-'Guide &amp; Settings'!$C$48,0)*'Guide &amp; Settings'!$C$49))</f>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Settings'!$C$42/(($F157-1)*COUNTIFS($A$4:$A$810,$A157,$E$4:$E$810,"Win")))*SUMIFS($X$4:$X$810,$A$4:$A$810,$A157,$E$4:$E$810,"Loss"),-('Guide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5">
        <f t="shared" si="50"/>
        <v>964.51765401499733</v>
      </c>
      <c r="AC157" s="125" t="str">
        <f>IF($D157="","",IF(SUMPRODUCT(MAX(($D$4:$D$810=$D157)*($B$4:$B$810&lt;$B157)*$B$4:$B$810))=0,0,MAX(($B157-MAX(SUMPRODUCT(MAX(($D$4:$D$810=$D157)*($B$4:$B$810&lt;$B157)*$B$4:$B$810)),'Guide &amp; Settings'!$C$50))/7-'Guide &amp; Settings'!$C$48,0)*'Guide &amp; Settings'!$C$49))</f>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Settings'!$C$42/(($F158-1)*COUNTIFS($A$4:$A$810,$A158,$E$4:$E$810,"Win")))*SUMIFS($X$4:$X$810,$A$4:$A$810,$A158,$E$4:$E$810,"Loss"),-('Guide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5">
        <f t="shared" si="50"/>
        <v>994.84836113778465</v>
      </c>
      <c r="AC158" s="125" t="str">
        <f>IF($D158="","",IF(SUMPRODUCT(MAX(($D$4:$D$810=$D158)*($B$4:$B$810&lt;$B158)*$B$4:$B$810))=0,0,MAX(($B158-MAX(SUMPRODUCT(MAX(($D$4:$D$810=$D158)*($B$4:$B$810&lt;$B158)*$B$4:$B$810)),'Guide &amp; Settings'!$C$50))/7-'Guide &amp; Settings'!$C$48,0)*'Guide &amp; Settings'!$C$49))</f>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Settings'!$C$42/(($F159-1)*COUNTIFS($A$4:$A$810,$A159,$E$4:$E$810,"Win")))*SUMIFS($X$4:$X$810,$A$4:$A$810,$A159,$E$4:$E$810,"Loss"),-('Guide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5">
        <f t="shared" si="50"/>
        <v>994.84836113778465</v>
      </c>
      <c r="AC159" s="125" t="str">
        <f>IF($D159="","",IF(SUMPRODUCT(MAX(($D$4:$D$810=$D159)*($B$4:$B$810&lt;$B159)*$B$4:$B$810))=0,0,MAX(($B159-MAX(SUMPRODUCT(MAX(($D$4:$D$810=$D159)*($B$4:$B$810&lt;$B159)*$B$4:$B$810)),'Guide &amp; Settings'!$C$50))/7-'Guide &amp; Settings'!$C$48,0)*'Guide &amp; Settings'!$C$49))</f>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Settings'!$C$42/(($F160-1)*COUNTIFS($A$4:$A$810,$A160,$E$4:$E$810,"Win")))*SUMIFS($X$4:$X$810,$A$4:$A$810,$A160,$E$4:$E$810,"Loss"),-('Guide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5">
        <f t="shared" si="50"/>
        <v>1074.2064338493162</v>
      </c>
      <c r="AC160" s="125" t="str">
        <f>IF($D160="","",IF(SUMPRODUCT(MAX(($D$4:$D$810=$D160)*($B$4:$B$810&lt;$B160)*$B$4:$B$810))=0,0,MAX(($B160-MAX(SUMPRODUCT(MAX(($D$4:$D$810=$D160)*($B$4:$B$810&lt;$B160)*$B$4:$B$810)),'Guide &amp; Settings'!$C$50))/7-'Guide &amp; Settings'!$C$48,0)*'Guide &amp; Settings'!$C$49))</f>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Settings'!$C$42/(($F161-1)*COUNTIFS($A$4:$A$810,$A161,$E$4:$E$810,"Win")))*SUMIFS($X$4:$X$810,$A$4:$A$810,$A161,$E$4:$E$810,"Loss"),-('Guide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5">
        <f t="shared" si="50"/>
        <v>969.25662767305062</v>
      </c>
      <c r="AC161" s="125" t="str">
        <f>IF($D161="","",IF(SUMPRODUCT(MAX(($D$4:$D$810=$D161)*($B$4:$B$810&lt;$B161)*$B$4:$B$810))=0,0,MAX(($B161-MAX(SUMPRODUCT(MAX(($D$4:$D$810=$D161)*($B$4:$B$810&lt;$B161)*$B$4:$B$810)),'Guide &amp; Settings'!$C$50))/7-'Guide &amp; Settings'!$C$48,0)*'Guide &amp; Settings'!$C$49))</f>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Settings'!$C$42/(($F162-1)*COUNTIFS($A$4:$A$810,$A162,$E$4:$E$810,"Win")))*SUMIFS($X$4:$X$810,$A$4:$A$810,$A162,$E$4:$E$810,"Loss"),-('Guide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5">
        <f t="shared" si="50"/>
        <v>982.55096461266169</v>
      </c>
      <c r="AC162" s="125" t="str">
        <f>IF($D162="","",IF(SUMPRODUCT(MAX(($D$4:$D$810=$D162)*($B$4:$B$810&lt;$B162)*$B$4:$B$810))=0,0,MAX(($B162-MAX(SUMPRODUCT(MAX(($D$4:$D$810=$D162)*($B$4:$B$810&lt;$B162)*$B$4:$B$810)),'Guide &amp; Settings'!$C$50))/7-'Guide &amp; Settings'!$C$48,0)*'Guide &amp; Settings'!$C$49))</f>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Settings'!$C$42/(($F163-1)*COUNTIFS($A$4:$A$810,$A163,$E$4:$E$810,"Win")))*SUMIFS($X$4:$X$810,$A$4:$A$810,$A163,$E$4:$E$810,"Loss"),-('Guide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5">
        <f t="shared" si="50"/>
        <v>964.13900736852213</v>
      </c>
      <c r="AC163" s="125" t="str">
        <f>IF($D163="","",IF(SUMPRODUCT(MAX(($D$4:$D$810=$D163)*($B$4:$B$810&lt;$B163)*$B$4:$B$810))=0,0,MAX(($B163-MAX(SUMPRODUCT(MAX(($D$4:$D$810=$D163)*($B$4:$B$810&lt;$B163)*$B$4:$B$810)),'Guide &amp; Settings'!$C$50))/7-'Guide &amp; Settings'!$C$48,0)*'Guide &amp; Settings'!$C$49))</f>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Settings'!$C$42/(($F164-1)*COUNTIFS($A$4:$A$810,$A164,$E$4:$E$810,"Win")))*SUMIFS($X$4:$X$810,$A$4:$A$810,$A164,$E$4:$E$810,"Loss"),-('Guide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Settings'!$C$42/(($F164-1)*COUNTIFS($A$4:$A$810,$A164,$E$4:$E$810,"Win")))*SUMIFS($Z$4:$Z$810,$A$4:$A$810,$A164,$E$4:$E$810,"Loss"),-('Guide &amp; Settings'!$C$42/($F164-1))*$Z164)))</f>
        <v>5.5392839402240961</v>
      </c>
      <c r="AB164" s="125">
        <f t="shared" si="50"/>
        <v>1021.5392839402241</v>
      </c>
      <c r="AC164" s="125" t="str">
        <f>IF($D164="","",IF(SUMPRODUCT(MAX(($D$4:$D$810=$D164)*($B$4:$B$810&lt;$B164)*$B$4:$B$810))=0,0,MAX(($B164-MAX(SUMPRODUCT(MAX(($D$4:$D$810=$D164)*($B$4:$B$810&lt;$B164)*$B$4:$B$810)),'Guide &amp; Settings'!$C$50))/7-'Guide &amp; Settings'!$C$48,0)*'Guide &amp; Settings'!$C$49))</f>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Settings'!$C$42/(($F165-1)*COUNTIFS($A$4:$A$810,$A165,$E$4:$E$810,"Win")))*SUMIFS($X$4:$X$810,$A$4:$A$810,$A165,$E$4:$E$810,"Loss"),-('Guide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Settings'!$C$42/(($F165-1)*COUNTIFS($A$4:$A$810,$A165,$E$4:$E$810,"Win")))*SUMIFS($Z$4:$Z$810,$A$4:$A$810,$A165,$E$4:$E$810,"Loss"),-('Guide &amp; Settings'!$C$42/($F165-1))*$Z165)))</f>
        <v>5.5392839402240961</v>
      </c>
      <c r="AB165" s="125">
        <f t="shared" si="50"/>
        <v>1005.5392839402241</v>
      </c>
      <c r="AC165" s="125" t="str">
        <f>IF($D165="","",IF(SUMPRODUCT(MAX(($D$4:$D$810=$D165)*($B$4:$B$810&lt;$B165)*$B$4:$B$810))=0,0,MAX(($B165-MAX(SUMPRODUCT(MAX(($D$4:$D$810=$D165)*($B$4:$B$810&lt;$B165)*$B$4:$B$810)),'Guide &amp; Settings'!$C$50))/7-'Guide &amp; Settings'!$C$48,0)*'Guide &amp; Settings'!$C$49))</f>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Settings'!$C$42/(($F166-1)*COUNTIFS($A$4:$A$810,$A166,$E$4:$E$810,"Win")))*SUMIFS($X$4:$X$810,$A$4:$A$810,$A166,$E$4:$E$810,"Loss"),-('Guide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Settings'!$C$42/(($F166-1)*COUNTIFS($A$4:$A$810,$A166,$E$4:$E$810,"Win")))*SUMIFS($Z$4:$Z$810,$A$4:$A$810,$A166,$E$4:$E$810,"Loss"),-('Guide &amp; Settings'!$C$42/($F166-1))*$Z166)))</f>
        <v>-4.7410535589581206</v>
      </c>
      <c r="AB166" s="125">
        <f t="shared" si="50"/>
        <v>964.51557411409249</v>
      </c>
      <c r="AC166" s="125" t="str">
        <f>IF($D166="","",IF(SUMPRODUCT(MAX(($D$4:$D$810=$D166)*($B$4:$B$810&lt;$B166)*$B$4:$B$810))=0,0,MAX(($B166-MAX(SUMPRODUCT(MAX(($D$4:$D$810=$D166)*($B$4:$B$810&lt;$B166)*$B$4:$B$810)),'Guide &amp; Settings'!$C$50))/7-'Guide &amp; Settings'!$C$48,0)*'Guide &amp; Settings'!$C$49))</f>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Settings'!$C$42/(($F167-1)*COUNTIFS($A$4:$A$810,$A167,$E$4:$E$810,"Win")))*SUMIFS($X$4:$X$810,$A$4:$A$810,$A167,$E$4:$E$810,"Loss"),-('Guide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Settings'!$C$42/(($F167-1)*COUNTIFS($A$4:$A$810,$A167,$E$4:$E$810,"Win")))*SUMIFS($Z$4:$Z$810,$A$4:$A$810,$A167,$E$4:$E$810,"Loss"),-('Guide &amp; Settings'!$C$42/($F167-1))*$Z167)))</f>
        <v>-6.3375143214900707</v>
      </c>
      <c r="AB167" s="125">
        <f t="shared" si="50"/>
        <v>1067.8689195278262</v>
      </c>
      <c r="AC167" s="125" t="str">
        <f>IF($D167="","",IF(SUMPRODUCT(MAX(($D$4:$D$810=$D167)*($B$4:$B$810&lt;$B167)*$B$4:$B$810))=0,0,MAX(($B167-MAX(SUMPRODUCT(MAX(($D$4:$D$810=$D167)*($B$4:$B$810&lt;$B167)*$B$4:$B$810)),'Guide &amp; Settings'!$C$50))/7-'Guide &amp; Settings'!$C$48,0)*'Guide &amp; Settings'!$C$49))</f>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Settings'!$C$42/(($F168-1)*COUNTIFS($A$4:$A$810,$A168,$E$4:$E$810,"Win")))*SUMIFS($X$4:$X$810,$A$4:$A$810,$A168,$E$4:$E$810,"Loss"),-('Guide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5">
        <f t="shared" si="50"/>
        <v>990.17466470582804</v>
      </c>
      <c r="AC168" s="125" t="str">
        <f>IF($D168="","",IF(SUMPRODUCT(MAX(($D$4:$D$810=$D168)*($B$4:$B$810&lt;$B168)*$B$4:$B$810))=0,0,MAX(($B168-MAX(SUMPRODUCT(MAX(($D$4:$D$810=$D168)*($B$4:$B$810&lt;$B168)*$B$4:$B$810)),'Guide &amp; Settings'!$C$50))/7-'Guide &amp; Settings'!$C$48,0)*'Guide &amp; Settings'!$C$49))</f>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Settings'!$C$42/(($F169-1)*COUNTIFS($A$4:$A$810,$A169,$E$4:$E$810,"Win")))*SUMIFS($X$4:$X$810,$A$4:$A$810,$A169,$E$4:$E$810,"Loss"),-('Guide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5">
        <f t="shared" si="50"/>
        <v>1005.2042619187375</v>
      </c>
      <c r="AC169" s="125" t="str">
        <f>IF($D169="","",IF(SUMPRODUCT(MAX(($D$4:$D$810=$D169)*($B$4:$B$810&lt;$B169)*$B$4:$B$810))=0,0,MAX(($B169-MAX(SUMPRODUCT(MAX(($D$4:$D$810=$D169)*($B$4:$B$810&lt;$B169)*$B$4:$B$810)),'Guide &amp; Settings'!$C$50))/7-'Guide &amp; Settings'!$C$48,0)*'Guide &amp; Settings'!$C$49))</f>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Settings'!$C$42/(($F170-1)*COUNTIFS($A$4:$A$810,$A170,$E$4:$E$810,"Win")))*SUMIFS($X$4:$X$810,$A$4:$A$810,$A170,$E$4:$E$810,"Loss"),-('Guide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5">
        <f t="shared" si="50"/>
        <v>999.99862611068431</v>
      </c>
      <c r="AC170" s="125" t="str">
        <f>IF($D170="","",IF(SUMPRODUCT(MAX(($D$4:$D$810=$D170)*($B$4:$B$810&lt;$B170)*$B$4:$B$810))=0,0,MAX(($B170-MAX(SUMPRODUCT(MAX(($D$4:$D$810=$D170)*($B$4:$B$810&lt;$B170)*$B$4:$B$810)),'Guide &amp; Settings'!$C$50))/7-'Guide &amp; Settings'!$C$48,0)*'Guide &amp; Settings'!$C$49))</f>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Settings'!$C$42/(($F171-1)*COUNTIFS($A$4:$A$810,$A171,$E$4:$E$810,"Win")))*SUMIFS($X$4:$X$810,$A$4:$A$810,$A171,$E$4:$E$810,"Loss"),-('Guide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5">
        <f t="shared" si="50"/>
        <v>1015.7539990177011</v>
      </c>
      <c r="AC171" s="125" t="str">
        <f>IF($D171="","",IF(SUMPRODUCT(MAX(($D$4:$D$810=$D171)*($B$4:$B$810&lt;$B171)*$B$4:$B$810))=0,0,MAX(($B171-MAX(SUMPRODUCT(MAX(($D$4:$D$810=$D171)*($B$4:$B$810&lt;$B171)*$B$4:$B$810)),'Guide &amp; Settings'!$C$50))/7-'Guide &amp; Settings'!$C$48,0)*'Guide &amp; Settings'!$C$49))</f>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Settings'!$C$42/(($F172-1)*COUNTIFS($A$4:$A$810,$A172,$E$4:$E$810,"Win")))*SUMIFS($X$4:$X$810,$A$4:$A$810,$A172,$E$4:$E$810,"Loss"),-('Guide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5">
        <f t="shared" si="50"/>
        <v>1031.3105708328824</v>
      </c>
      <c r="AC172" s="125" t="str">
        <f>IF($D172="","",IF(SUMPRODUCT(MAX(($D$4:$D$810=$D172)*($B$4:$B$810&lt;$B172)*$B$4:$B$810))=0,0,MAX(($B172-MAX(SUMPRODUCT(MAX(($D$4:$D$810=$D172)*($B$4:$B$810&lt;$B172)*$B$4:$B$810)),'Guide &amp; Settings'!$C$50))/7-'Guide &amp; Settings'!$C$48,0)*'Guide &amp; Settings'!$C$49))</f>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Settings'!$C$42/(($F173-1)*COUNTIFS($A$4:$A$810,$A173,$E$4:$E$810,"Win")))*SUMIFS($X$4:$X$810,$A$4:$A$810,$A173,$E$4:$E$810,"Loss"),-('Guide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5">
        <f t="shared" si="50"/>
        <v>984.04460569576747</v>
      </c>
      <c r="AC173" s="125" t="str">
        <f>IF($D173="","",IF(SUMPRODUCT(MAX(($D$4:$D$810=$D173)*($B$4:$B$810&lt;$B173)*$B$4:$B$810))=0,0,MAX(($B173-MAX(SUMPRODUCT(MAX(($D$4:$D$810=$D173)*($B$4:$B$810&lt;$B173)*$B$4:$B$810)),'Guide &amp; Settings'!$C$50))/7-'Guide &amp; Settings'!$C$48,0)*'Guide &amp; Settings'!$C$49))</f>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Settings'!$C$42/(($F174-1)*COUNTIFS($A$4:$A$810,$A174,$E$4:$E$810,"Win")))*SUMIFS($X$4:$X$810,$A$4:$A$810,$A174,$E$4:$E$810,"Loss"),-('Guide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5">
        <f t="shared" si="50"/>
        <v>985.02917710827387</v>
      </c>
      <c r="AC174" s="125" t="str">
        <f>IF($D174="","",IF(SUMPRODUCT(MAX(($D$4:$D$810=$D174)*($B$4:$B$810&lt;$B174)*$B$4:$B$810))=0,0,MAX(($B174-MAX(SUMPRODUCT(MAX(($D$4:$D$810=$D174)*($B$4:$B$810&lt;$B174)*$B$4:$B$810)),'Guide &amp; Settings'!$C$50))/7-'Guide &amp; Settings'!$C$48,0)*'Guide &amp; Settings'!$C$49))</f>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Settings'!$C$42/(($F175-1)*COUNTIFS($A$4:$A$810,$A175,$E$4:$E$810,"Win")))*SUMIFS($X$4:$X$810,$A$4:$A$810,$A175,$E$4:$E$810,"Loss"),-('Guide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5">
        <f t="shared" si="50"/>
        <v>999.82814012954088</v>
      </c>
      <c r="AC175" s="125" t="str">
        <f>IF($D175="","",IF(SUMPRODUCT(MAX(($D$4:$D$810=$D175)*($B$4:$B$810&lt;$B175)*$B$4:$B$810))=0,0,MAX(($B175-MAX(SUMPRODUCT(MAX(($D$4:$D$810=$D175)*($B$4:$B$810&lt;$B175)*$B$4:$B$810)),'Guide &amp; Settings'!$C$50))/7-'Guide &amp; Settings'!$C$48,0)*'Guide &amp; Settings'!$C$49))</f>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Settings'!$C$42/(($F176-1)*COUNTIFS($A$4:$A$810,$A176,$E$4:$E$810,"Win")))*SUMIFS($X$4:$X$810,$A$4:$A$810,$A176,$E$4:$E$810,"Loss"),-('Guide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5">
        <f t="shared" si="50"/>
        <v>1036.4470577099905</v>
      </c>
      <c r="AC176" s="125" t="str">
        <f>IF($D176="","",IF(SUMPRODUCT(MAX(($D$4:$D$810=$D176)*($B$4:$B$810&lt;$B176)*$B$4:$B$810))=0,0,MAX(($B176-MAX(SUMPRODUCT(MAX(($D$4:$D$810=$D176)*($B$4:$B$810&lt;$B176)*$B$4:$B$810)),'Guide &amp; Settings'!$C$50))/7-'Guide &amp; Settings'!$C$48,0)*'Guide &amp; Settings'!$C$49))</f>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Settings'!$C$42/(($F177-1)*COUNTIFS($A$4:$A$810,$A177,$E$4:$E$810,"Win")))*SUMIFS($X$4:$X$810,$A$4:$A$810,$A177,$E$4:$E$810,"Loss"),-('Guide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5">
        <f t="shared" si="50"/>
        <v>989.18109257287563</v>
      </c>
      <c r="AC177" s="125" t="str">
        <f>IF($D177="","",IF(SUMPRODUCT(MAX(($D$4:$D$810=$D177)*($B$4:$B$810&lt;$B177)*$B$4:$B$810))=0,0,MAX(($B177-MAX(SUMPRODUCT(MAX(($D$4:$D$810=$D177)*($B$4:$B$810&lt;$B177)*$B$4:$B$810)),'Guide &amp; Settings'!$C$50))/7-'Guide &amp; Settings'!$C$48,0)*'Guide &amp; Settings'!$C$49))</f>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Settings'!$C$42/(($F178-1)*COUNTIFS($A$4:$A$810,$A178,$E$4:$E$810,"Win")))*SUMIFS($X$4:$X$810,$A$4:$A$810,$A178,$E$4:$E$810,"Loss"),-('Guide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5">
        <f t="shared" si="50"/>
        <v>989.7118742606765</v>
      </c>
      <c r="AC178" s="125" t="str">
        <f>IF($D178="","",IF(SUMPRODUCT(MAX(($D$4:$D$810=$D178)*($B$4:$B$810&lt;$B178)*$B$4:$B$810))=0,0,MAX(($B178-MAX(SUMPRODUCT(MAX(($D$4:$D$810=$D178)*($B$4:$B$810&lt;$B178)*$B$4:$B$810)),'Guide &amp; Settings'!$C$50))/7-'Guide &amp; Settings'!$C$48,0)*'Guide &amp; Settings'!$C$49))</f>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Settings'!$C$42/(($F179-1)*COUNTIFS($A$4:$A$810,$A179,$E$4:$E$810,"Win")))*SUMIFS($X$4:$X$810,$A$4:$A$810,$A179,$E$4:$E$810,"Loss"),-('Guide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5">
        <f t="shared" si="50"/>
        <v>989.7118742606765</v>
      </c>
      <c r="AC179" s="125" t="str">
        <f>IF($D179="","",IF(SUMPRODUCT(MAX(($D$4:$D$810=$D179)*($B$4:$B$810&lt;$B179)*$B$4:$B$810))=0,0,MAX(($B179-MAX(SUMPRODUCT(MAX(($D$4:$D$810=$D179)*($B$4:$B$810&lt;$B179)*$B$4:$B$810)),'Guide &amp; Settings'!$C$50))/7-'Guide &amp; Settings'!$C$48,0)*'Guide &amp; Settings'!$C$49))</f>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Settings'!$C$42/(($F180-1)*COUNTIFS($A$4:$A$810,$A180,$E$4:$E$810,"Win")))*SUMIFS($X$4:$X$810,$A$4:$A$810,$A180,$E$4:$E$810,"Loss"),-('Guide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5">
        <f t="shared" si="50"/>
        <v>1041.1775290035487</v>
      </c>
      <c r="AC180" s="125" t="str">
        <f>IF($D180="","",IF(SUMPRODUCT(MAX(($D$4:$D$810=$D180)*($B$4:$B$810&lt;$B180)*$B$4:$B$810))=0,0,MAX(($B180-MAX(SUMPRODUCT(MAX(($D$4:$D$810=$D180)*($B$4:$B$810&lt;$B180)*$B$4:$B$810)),'Guide &amp; Settings'!$C$50))/7-'Guide &amp; Settings'!$C$48,0)*'Guide &amp; Settings'!$C$49))</f>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Settings'!$C$42/(($F181-1)*COUNTIFS($A$4:$A$810,$A181,$E$4:$E$810,"Win")))*SUMIFS($X$4:$X$810,$A$4:$A$810,$A181,$E$4:$E$810,"Loss"),-('Guide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5">
        <f t="shared" si="50"/>
        <v>993.91156386643377</v>
      </c>
      <c r="AC181" s="125" t="str">
        <f>IF($D181="","",IF(SUMPRODUCT(MAX(($D$4:$D$810=$D181)*($B$4:$B$810&lt;$B181)*$B$4:$B$810))=0,0,MAX(($B181-MAX(SUMPRODUCT(MAX(($D$4:$D$810=$D181)*($B$4:$B$810&lt;$B181)*$B$4:$B$810)),'Guide &amp; Settings'!$C$50))/7-'Guide &amp; Settings'!$C$48,0)*'Guide &amp; Settings'!$C$49))</f>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Settings'!$C$42/(($F182-1)*COUNTIFS($A$4:$A$810,$A182,$E$4:$E$810,"Win")))*SUMIFS($X$4:$X$810,$A$4:$A$810,$A182,$E$4:$E$810,"Loss"),-('Guide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5">
        <f t="shared" si="50"/>
        <v>977.68101586373621</v>
      </c>
      <c r="AC182" s="125" t="str">
        <f>IF($D182="","",IF(SUMPRODUCT(MAX(($D$4:$D$810=$D182)*($B$4:$B$810&lt;$B182)*$B$4:$B$810))=0,0,MAX(($B182-MAX(SUMPRODUCT(MAX(($D$4:$D$810=$D182)*($B$4:$B$810&lt;$B182)*$B$4:$B$810)),'Guide &amp; Settings'!$C$50))/7-'Guide &amp; Settings'!$C$48,0)*'Guide &amp; Settings'!$C$49))</f>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Settings'!$C$42/(($F183-1)*COUNTIFS($A$4:$A$810,$A183,$E$4:$E$810,"Win")))*SUMIFS($X$4:$X$810,$A$4:$A$810,$A183,$E$4:$E$810,"Loss"),-('Guide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5">
        <f t="shared" si="50"/>
        <v>959.54801353033133</v>
      </c>
      <c r="AC183" s="125" t="str">
        <f>IF($D183="","",IF(SUMPRODUCT(MAX(($D$4:$D$810=$D183)*($B$4:$B$810&lt;$B183)*$B$4:$B$810))=0,0,MAX(($B183-MAX(SUMPRODUCT(MAX(($D$4:$D$810=$D183)*($B$4:$B$810&lt;$B183)*$B$4:$B$810)),'Guide &amp; Settings'!$C$50))/7-'Guide &amp; Settings'!$C$48,0)*'Guide &amp; Settings'!$C$49))</f>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Settings'!$C$42/(($F184-1)*COUNTIFS($A$4:$A$810,$A184,$E$4:$E$810,"Win")))*SUMIFS($X$4:$X$810,$A$4:$A$810,$A184,$E$4:$E$810,"Loss"),-('Guide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5">
        <f t="shared" si="50"/>
        <v>1021.2350230564828</v>
      </c>
      <c r="AC184" s="125" t="str">
        <f>IF($D184="","",IF(SUMPRODUCT(MAX(($D$4:$D$810=$D184)*($B$4:$B$810&lt;$B184)*$B$4:$B$810))=0,0,MAX(($B184-MAX(SUMPRODUCT(MAX(($D$4:$D$810=$D184)*($B$4:$B$810&lt;$B184)*$B$4:$B$810)),'Guide &amp; Settings'!$C$50))/7-'Guide &amp; Settings'!$C$48,0)*'Guide &amp; Settings'!$C$49))</f>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Settings'!$C$42/(($F185-1)*COUNTIFS($A$4:$A$810,$A185,$E$4:$E$810,"Win")))*SUMIFS($X$4:$X$810,$A$4:$A$810,$A185,$E$4:$E$810,"Loss"),-('Guide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5">
        <f t="shared" si="50"/>
        <v>1005.479650149466</v>
      </c>
      <c r="AC185" s="125" t="str">
        <f>IF($D185="","",IF(SUMPRODUCT(MAX(($D$4:$D$810=$D185)*($B$4:$B$810&lt;$B185)*$B$4:$B$810))=0,0,MAX(($B185-MAX(SUMPRODUCT(MAX(($D$4:$D$810=$D185)*($B$4:$B$810&lt;$B185)*$B$4:$B$810)),'Guide &amp; Settings'!$C$50))/7-'Guide &amp; Settings'!$C$48,0)*'Guide &amp; Settings'!$C$49))</f>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Settings'!$C$42/(($F186-1)*COUNTIFS($A$4:$A$810,$A186,$E$4:$E$810,"Win")))*SUMIFS($X$4:$X$810,$A$4:$A$810,$A186,$E$4:$E$810,"Loss"),-('Guide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5">
        <f t="shared" si="50"/>
        <v>1035.334562809614</v>
      </c>
      <c r="AC186" s="125" t="str">
        <f>IF($D186="","",IF(SUMPRODUCT(MAX(($D$4:$D$810=$D186)*($B$4:$B$810&lt;$B186)*$B$4:$B$810))=0,0,MAX(($B186-MAX(SUMPRODUCT(MAX(($D$4:$D$810=$D186)*($B$4:$B$810&lt;$B186)*$B$4:$B$810)),'Guide &amp; Settings'!$C$50))/7-'Guide &amp; Settings'!$C$48,0)*'Guide &amp; Settings'!$C$49))</f>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Settings'!$C$42/(($F187-1)*COUNTIFS($A$4:$A$810,$A187,$E$4:$E$810,"Win")))*SUMIFS($X$4:$X$810,$A$4:$A$810,$A187,$E$4:$E$810,"Loss"),-('Guide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5">
        <f t="shared" si="50"/>
        <v>988.79248198280493</v>
      </c>
      <c r="AC187" s="125" t="str">
        <f>IF($D187="","",IF(SUMPRODUCT(MAX(($D$4:$D$810=$D187)*($B$4:$B$810&lt;$B187)*$B$4:$B$810))=0,0,MAX(($B187-MAX(SUMPRODUCT(MAX(($D$4:$D$810=$D187)*($B$4:$B$810&lt;$B187)*$B$4:$B$810)),'Guide &amp; Settings'!$C$50))/7-'Guide &amp; Settings'!$C$48,0)*'Guide &amp; Settings'!$C$49))</f>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Settings'!$C$42/(($F188-1)*COUNTIFS($A$4:$A$810,$A188,$E$4:$E$810,"Win")))*SUMIFS($X$4:$X$810,$A$4:$A$810,$A188,$E$4:$E$810,"Loss"),-('Guide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5">
        <f t="shared" si="50"/>
        <v>969.80541329586208</v>
      </c>
      <c r="AC188" s="125" t="str">
        <f>IF($D188="","",IF(SUMPRODUCT(MAX(($D$4:$D$810=$D188)*($B$4:$B$810&lt;$B188)*$B$4:$B$810))=0,0,MAX(($B188-MAX(SUMPRODUCT(MAX(($D$4:$D$810=$D188)*($B$4:$B$810&lt;$B188)*$B$4:$B$810)),'Guide &amp; Settings'!$C$50))/7-'Guide &amp; Settings'!$C$48,0)*'Guide &amp; Settings'!$C$49))</f>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Settings'!$C$42/(($F189-1)*COUNTIFS($A$4:$A$810,$A189,$E$4:$E$810,"Win")))*SUMIFS($X$4:$X$810,$A$4:$A$810,$A189,$E$4:$E$810,"Loss"),-('Guide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5">
        <f t="shared" si="50"/>
        <v>1073.1587587095958</v>
      </c>
      <c r="AC189" s="125" t="str">
        <f>IF($D189="","",IF(SUMPRODUCT(MAX(($D$4:$D$810=$D189)*($B$4:$B$810&lt;$B189)*$B$4:$B$810))=0,0,MAX(($B189-MAX(SUMPRODUCT(MAX(($D$4:$D$810=$D189)*($B$4:$B$810&lt;$B189)*$B$4:$B$810)),'Guide &amp; Settings'!$C$50))/7-'Guide &amp; Settings'!$C$48,0)*'Guide &amp; Settings'!$C$49))</f>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Settings'!$C$42/(($F190-1)*COUNTIFS($A$4:$A$810,$A190,$E$4:$E$810,"Win")))*SUMIFS($X$4:$X$810,$A$4:$A$810,$A190,$E$4:$E$810,"Loss"),-('Guide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5">
        <f t="shared" si="50"/>
        <v>1015.8242856825791</v>
      </c>
      <c r="AC190" s="125" t="str">
        <f>IF($D190="","",IF(SUMPRODUCT(MAX(($D$4:$D$810=$D190)*($B$4:$B$810&lt;$B190)*$B$4:$B$810))=0,0,MAX(($B190-MAX(SUMPRODUCT(MAX(($D$4:$D$810=$D190)*($B$4:$B$810&lt;$B190)*$B$4:$B$810)),'Guide &amp; Settings'!$C$50))/7-'Guide &amp; Settings'!$C$48,0)*'Guide &amp; Settings'!$C$49))</f>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Settings'!$C$42/(($F191-1)*COUNTIFS($A$4:$A$810,$A191,$E$4:$E$810,"Win")))*SUMIFS($X$4:$X$810,$A$4:$A$810,$A191,$E$4:$E$810,"Loss"),-('Guide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5">
        <f t="shared" si="50"/>
        <v>1000.3107091598305</v>
      </c>
      <c r="AC191" s="125" t="str">
        <f>IF($D191="","",IF(SUMPRODUCT(MAX(($D$4:$D$810=$D191)*($B$4:$B$810&lt;$B191)*$B$4:$B$810))=0,0,MAX(($B191-MAX(SUMPRODUCT(MAX(($D$4:$D$810=$D191)*($B$4:$B$810&lt;$B191)*$B$4:$B$810)),'Guide &amp; Settings'!$C$50))/7-'Guide &amp; Settings'!$C$48,0)*'Guide &amp; Settings'!$C$49))</f>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Settings'!$C$42/(($F192-1)*COUNTIFS($A$4:$A$810,$A192,$E$4:$E$810,"Win")))*SUMIFS($X$4:$X$810,$A$4:$A$810,$A192,$E$4:$E$810,"Loss"),-('Guide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5">
        <f t="shared" si="50"/>
        <v>990.79782626498309</v>
      </c>
      <c r="AC192" s="125" t="str">
        <f>IF($D192="","",IF(SUMPRODUCT(MAX(($D$4:$D$810=$D192)*($B$4:$B$810&lt;$B192)*$B$4:$B$810))=0,0,MAX(($B192-MAX(SUMPRODUCT(MAX(($D$4:$D$810=$D192)*($B$4:$B$810&lt;$B192)*$B$4:$B$810)),'Guide &amp; Settings'!$C$50))/7-'Guide &amp; Settings'!$C$48,0)*'Guide &amp; Settings'!$C$49))</f>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Settings'!$C$42/(($F193-1)*COUNTIFS($A$4:$A$810,$A193,$E$4:$E$810,"Win")))*SUMIFS($X$4:$X$810,$A$4:$A$810,$A193,$E$4:$E$810,"Loss"),-('Guide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5">
        <f t="shared" si="50"/>
        <v>1005.5967892862501</v>
      </c>
      <c r="AC193" s="125" t="str">
        <f>IF($D193="","",IF(SUMPRODUCT(MAX(($D$4:$D$810=$D193)*($B$4:$B$810&lt;$B193)*$B$4:$B$810))=0,0,MAX(($B193-MAX(SUMPRODUCT(MAX(($D$4:$D$810=$D193)*($B$4:$B$810&lt;$B193)*$B$4:$B$810)),'Guide &amp; Settings'!$C$50))/7-'Guide &amp; Settings'!$C$48,0)*'Guide &amp; Settings'!$C$49))</f>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Settings'!$C$42/(($F194-1)*COUNTIFS($A$4:$A$810,$A194,$E$4:$E$810,"Win")))*SUMIFS($X$4:$X$810,$A$4:$A$810,$A194,$E$4:$E$810,"Loss"),-('Guide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5">
        <f t="shared" si="50"/>
        <v>1066.6080040656045</v>
      </c>
      <c r="AC194" s="125" t="str">
        <f>IF($D194="","",IF(SUMPRODUCT(MAX(($D$4:$D$810=$D194)*($B$4:$B$810&lt;$B194)*$B$4:$B$810))=0,0,MAX(($B194-MAX(SUMPRODUCT(MAX(($D$4:$D$810=$D194)*($B$4:$B$810&lt;$B194)*$B$4:$B$810)),'Guide &amp; Settings'!$C$50))/7-'Guide &amp; Settings'!$C$48,0)*'Guide &amp; Settings'!$C$49))</f>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Settings'!$C$42/(($F195-1)*COUNTIFS($A$4:$A$810,$A195,$E$4:$E$810,"Win")))*SUMIFS($X$4:$X$810,$A$4:$A$810,$A195,$E$4:$E$810,"Loss"),-('Guide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5">
        <f t="shared" si="50"/>
        <v>964.81886962643489</v>
      </c>
      <c r="AC195" s="125" t="str">
        <f>IF($D195="","",IF(SUMPRODUCT(MAX(($D$4:$D$810=$D195)*($B$4:$B$810&lt;$B195)*$B$4:$B$810))=0,0,MAX(($B195-MAX(SUMPRODUCT(MAX(($D$4:$D$810=$D195)*($B$4:$B$810&lt;$B195)*$B$4:$B$810)),'Guide &amp; Settings'!$C$50))/7-'Guide &amp; Settings'!$C$48,0)*'Guide &amp; Settings'!$C$49))</f>
      </c>
    </row>
    <row r="196" spans="1:29" ht="15" customHeight="1" x14ac:dyDescent="0.2">
      <c r="A196" s="116">
        <v>81</v>
      </c>
      <c r="B196" s="117">
        <v>46188</v>
      </c>
      <c r="C196" s="118" t="s">
        <v>214</v>
      </c>
      <c r="D196" s="118" t="s">
        <v>174</v>
      </c>
      <c r="E196" s="116" t="s">
        <v>316</v>
      </c>
      <c r="F196" s="119">
        <f t="shared" ref="F196:F259" si="51">IF($D196="",0,COUNTIF($A$4:$A$810,$A196))</f>
        <v>4</v>
      </c>
      <c r="G196" s="120" t="str">
        <f t="shared" ref="G196:G259" si="52">IF($D196="","",IFERROR(LOOKUP(2,1/(($A$4:$A$810=$A196)*($E$4:$E$810="Win")),$D$4:$D$810),"(no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Settings'!$C$42/(($F196-1)*COUNTIFS($A$4:$A$810,$A196,$E$4:$E$810,"Win")))*SUMIFS($X$4:$X$810,$A$4:$A$810,$A196,$E$4:$E$810,"Loss"),-('Guide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1088.7339183677072</v>
      </c>
      <c r="Q196">
        <f t="shared" ref="Q196:Q259" si="58">IF($D196="",0,1/(1+10^(($P196-$H196)/400)))</f>
        <v>0.57514959700206403</v>
      </c>
      <c r="R196">
        <f t="shared" ref="R196:R259" si="59">IF($D196="",0,(COUNTIFS($D$4:$D$810,$D196,$C$4:$C$810,$C196,$E$4:$E$810,"Win",$A$4:$A$810,"&lt;"&amp;$A196)+1)/(COUNTIFS($D$4:$D$810,$D196,$C$4:$C$810,$C196,$A$4:$A$810,"&lt;"&amp;$A196)+2))</f>
        <v>0.66666666666666663</v>
      </c>
      <c r="S196">
        <f t="shared" ref="S196:S259" si="60">IF($D196="",0,SUMIFS($R$4:$R$810,$A$4:$A$810,$A196))</f>
        <v>2.2222222222222223</v>
      </c>
      <c r="T196" s="88">
        <f t="shared" ref="T196:T259" si="61">IF($D196="",0,COUNTIFS($D$4:$D$810,$D196,$C$4:$C$810,$C196,$A$4:$A$810,"&lt;"&amp;$A196))</f>
        <v>7</v>
      </c>
      <c r="U196" s="125">
        <f>IF($D196="",0,IFERROR(LOOKUP(2,1/(($D$3:D195=$D196)*($C$3:C195=$C196)*($A$3:A195&lt;$A196)),$AB$3:AB195),1000))</f>
        <v>1035.334562809614</v>
      </c>
      <c r="V196" s="125">
        <f t="shared" ref="V196:V259" si="62">IF($D196="",0,$U196*($T196/($T196+5))+$H196*(1-$T196/($T196+5)))</f>
        <v>1079.5084251719668</v>
      </c>
      <c r="W196">
        <f t="shared" ref="W196:W259" si="63">IF($D196="",0,IFERROR(SUMIFS($V$4:$V$810,$A$4:$A$810,$A196,$E$4:$E$810,"Win")/COUNTIFS($A$4:$A$810,$A196,$E$4:$E$810,"Win"),0))</f>
        <v>1044.9057995486014</v>
      </c>
      <c r="X196">
        <f t="shared" ref="X196:X259" si="64">IF($D196="",0,1/(1+10^(($W196-$V196)/400)))</f>
        <v>0.54963318515945292</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5">
        <f t="shared" ref="AB196:AB259" si="67">IF($D196="",0,$U196+$AA196)</f>
        <v>1040.4552511360616</v>
      </c>
      <c r="AC196" s="125" t="str">
        <f>IF($D196="","",IF(SUMPRODUCT(MAX(($D$4:$D$810=$D196)*($B$4:$B$810&lt;$B196)*$B$4:$B$810))=0,0,MAX(($B196-MAX(SUMPRODUCT(MAX(($D$4:$D$810=$D196)*($B$4:$B$810&lt;$B196)*$B$4:$B$810)),'Guide &amp; Settings'!$C$50))/7-'Guide &amp; Settings'!$C$48,0)*'Guide &amp; Settings'!$C$49))</f>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Settings'!$C$42/(($F197-1)*COUNTIFS($A$4:$A$810,$A197,$E$4:$E$810,"Win")))*SUMIFS($X$4:$X$810,$A$4:$A$810,$A197,$E$4:$E$810,"Loss"),-('Guide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5">
        <f t="shared" si="67"/>
        <v>993.91317030925256</v>
      </c>
      <c r="AC197" s="125" t="str">
        <f>IF($D197="","",IF(SUMPRODUCT(MAX(($D$4:$D$810=$D197)*($B$4:$B$810&lt;$B197)*$B$4:$B$810))=0,0,MAX(($B197-MAX(SUMPRODUCT(MAX(($D$4:$D$810=$D197)*($B$4:$B$810&lt;$B197)*$B$4:$B$810)),'Guide &amp; Settings'!$C$50))/7-'Guide &amp; Settings'!$C$48,0)*'Guide &amp; Settings'!$C$49))</f>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Settings'!$C$42/(($F198-1)*COUNTIFS($A$4:$A$810,$A198,$E$4:$E$810,"Win")))*SUMIFS($X$4:$X$810,$A$4:$A$810,$A198,$E$4:$E$810,"Loss"),-('Guide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5">
        <f t="shared" si="67"/>
        <v>985.79052638539679</v>
      </c>
      <c r="AC198" s="125" t="str">
        <f>IF($D198="","",IF(SUMPRODUCT(MAX(($D$4:$D$810=$D198)*($B$4:$B$810&lt;$B198)*$B$4:$B$810))=0,0,MAX(($B198-MAX(SUMPRODUCT(MAX(($D$4:$D$810=$D198)*($B$4:$B$810&lt;$B198)*$B$4:$B$810)),'Guide &amp; Settings'!$C$50))/7-'Guide &amp; Settings'!$C$48,0)*'Guide &amp; Settings'!$C$49))</f>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Settings'!$C$42/(($F199-1)*COUNTIFS($A$4:$A$810,$A199,$E$4:$E$810,"Win")))*SUMIFS($X$4:$X$810,$A$4:$A$810,$A199,$E$4:$E$810,"Loss"),-('Guide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5">
        <f t="shared" si="67"/>
        <v>1000.3627125129412</v>
      </c>
      <c r="AC199" s="125" t="str">
        <f>IF($D199="","",IF(SUMPRODUCT(MAX(($D$4:$D$810=$D199)*($B$4:$B$810&lt;$B199)*$B$4:$B$810))=0,0,MAX(($B199-MAX(SUMPRODUCT(MAX(($D$4:$D$810=$D199)*($B$4:$B$810&lt;$B199)*$B$4:$B$810)),'Guide &amp; Settings'!$C$50))/7-'Guide &amp; Settings'!$C$48,0)*'Guide &amp; Settings'!$C$49))</f>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Settings'!$C$42/(($F200-1)*COUNTIFS($A$4:$A$810,$A200,$E$4:$E$810,"Win")))*SUMIFS($X$4:$X$810,$A$4:$A$810,$A200,$E$4:$E$810,"Loss"),-('Guide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5">
        <f t="shared" si="67"/>
        <v>1045.3677452313345</v>
      </c>
      <c r="AC200" s="125" t="str">
        <f>IF($D200="","",IF(SUMPRODUCT(MAX(($D$4:$D$810=$D200)*($B$4:$B$810&lt;$B200)*$B$4:$B$810))=0,0,MAX(($B200-MAX(SUMPRODUCT(MAX(($D$4:$D$810=$D200)*($B$4:$B$810&lt;$B200)*$B$4:$B$810)),'Guide &amp; Settings'!$C$50))/7-'Guide &amp; Settings'!$C$48,0)*'Guide &amp; Settings'!$C$49))</f>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Settings'!$C$42/(($F201-1)*COUNTIFS($A$4:$A$810,$A201,$E$4:$E$810,"Win")))*SUMIFS($X$4:$X$810,$A$4:$A$810,$A201,$E$4:$E$810,"Loss"),-('Guide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5">
        <f t="shared" si="67"/>
        <v>998.82566440452536</v>
      </c>
      <c r="AC201" s="125" t="str">
        <f>IF($D201="","",IF(SUMPRODUCT(MAX(($D$4:$D$810=$D201)*($B$4:$B$810&lt;$B201)*$B$4:$B$810))=0,0,MAX(($B201-MAX(SUMPRODUCT(MAX(($D$4:$D$810=$D201)*($B$4:$B$810&lt;$B201)*$B$4:$B$810)),'Guide &amp; Settings'!$C$50))/7-'Guide &amp; Settings'!$C$48,0)*'Guide &amp; Settings'!$C$49))</f>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Settings'!$C$42/(($F202-1)*COUNTIFS($A$4:$A$810,$A202,$E$4:$E$810,"Win")))*SUMIFS($X$4:$X$810,$A$4:$A$810,$A202,$E$4:$E$810,"Loss"),-('Guide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5">
        <f t="shared" si="67"/>
        <v>984.7993801654037</v>
      </c>
      <c r="AC202" s="125" t="str">
        <f>IF($D202="","",IF(SUMPRODUCT(MAX(($D$4:$D$810=$D202)*($B$4:$B$810&lt;$B202)*$B$4:$B$810))=0,0,MAX(($B202-MAX(SUMPRODUCT(MAX(($D$4:$D$810=$D202)*($B$4:$B$810&lt;$B202)*$B$4:$B$810)),'Guide &amp; Settings'!$C$50))/7-'Guide &amp; Settings'!$C$48,0)*'Guide &amp; Settings'!$C$49))</f>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Settings'!$C$42/(($F203-1)*COUNTIFS($A$4:$A$810,$A203,$E$4:$E$810,"Win")))*SUMIFS($X$4:$X$810,$A$4:$A$810,$A203,$E$4:$E$810,"Loss"),-('Guide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5">
        <f t="shared" si="67"/>
        <v>984.7993801654037</v>
      </c>
      <c r="AC203" s="125" t="str">
        <f>IF($D203="","",IF(SUMPRODUCT(MAX(($D$4:$D$810=$D203)*($B$4:$B$810&lt;$B203)*$B$4:$B$810))=0,0,MAX(($B203-MAX(SUMPRODUCT(MAX(($D$4:$D$810=$D203)*($B$4:$B$810&lt;$B203)*$B$4:$B$810)),'Guide &amp; Settings'!$C$50))/7-'Guide &amp; Settings'!$C$48,0)*'Guide &amp; Settings'!$C$49))</f>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Settings'!$C$42/(($F204-1)*COUNTIFS($A$4:$A$810,$A204,$E$4:$E$810,"Win")))*SUMIFS($X$4:$X$810,$A$4:$A$810,$A204,$E$4:$E$810,"Loss"),-('Guide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5">
        <f t="shared" si="67"/>
        <v>965.40551589030713</v>
      </c>
      <c r="AC204" s="125" t="str">
        <f>IF($D204="","",IF(SUMPRODUCT(MAX(($D$4:$D$810=$D204)*($B$4:$B$810&lt;$B204)*$B$4:$B$810))=0,0,MAX(($B204-MAX(SUMPRODUCT(MAX(($D$4:$D$810=$D204)*($B$4:$B$810&lt;$B204)*$B$4:$B$810)),'Guide &amp; Settings'!$C$50))/7-'Guide &amp; Settings'!$C$48,0)*'Guide &amp; Settings'!$C$49))</f>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Settings'!$C$42/(($F205-1)*COUNTIFS($A$4:$A$810,$A205,$E$4:$E$810,"Win")))*SUMIFS($X$4:$X$810,$A$4:$A$810,$A205,$E$4:$E$810,"Loss"),-('Guide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5">
        <f t="shared" si="67"/>
        <v>1021.6817880425549</v>
      </c>
      <c r="AC205" s="125" t="str">
        <f>IF($D205="","",IF(SUMPRODUCT(MAX(($D$4:$D$810=$D205)*($B$4:$B$810&lt;$B205)*$B$4:$B$810))=0,0,MAX(($B205-MAX(SUMPRODUCT(MAX(($D$4:$D$810=$D205)*($B$4:$B$810&lt;$B205)*$B$4:$B$810)),'Guide &amp; Settings'!$C$50))/7-'Guide &amp; Settings'!$C$48,0)*'Guide &amp; Settings'!$C$49))</f>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Settings'!$C$42/(($F206-1)*COUNTIFS($A$4:$A$810,$A206,$E$4:$E$810,"Win")))*SUMIFS($X$4:$X$810,$A$4:$A$810,$A206,$E$4:$E$810,"Loss"),-('Guide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5">
        <f t="shared" si="67"/>
        <v>1039.1570131462133</v>
      </c>
      <c r="AC206" s="125" t="str">
        <f>IF($D206="","",IF(SUMPRODUCT(MAX(($D$4:$D$810=$D206)*($B$4:$B$810&lt;$B206)*$B$4:$B$810))=0,0,MAX(($B206-MAX(SUMPRODUCT(MAX(($D$4:$D$810=$D206)*($B$4:$B$810&lt;$B206)*$B$4:$B$810)),'Guide &amp; Settings'!$C$50))/7-'Guide &amp; Settings'!$C$48,0)*'Guide &amp; Settings'!$C$49))</f>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Settings'!$C$42/(($F207-1)*COUNTIFS($A$4:$A$810,$A207,$E$4:$E$810,"Win")))*SUMIFS($X$4:$X$810,$A$4:$A$810,$A207,$E$4:$E$810,"Loss"),-('Guide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5">
        <f t="shared" si="67"/>
        <v>993.32139176969508</v>
      </c>
      <c r="AC207" s="125" t="str">
        <f>IF($D207="","",IF(SUMPRODUCT(MAX(($D$4:$D$810=$D207)*($B$4:$B$810&lt;$B207)*$B$4:$B$810))=0,0,MAX(($B207-MAX(SUMPRODUCT(MAX(($D$4:$D$810=$D207)*($B$4:$B$810&lt;$B207)*$B$4:$B$810)),'Guide &amp; Settings'!$C$50))/7-'Guide &amp; Settings'!$C$48,0)*'Guide &amp; Settings'!$C$49))</f>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Settings'!$C$42/(($F208-1)*COUNTIFS($A$4:$A$810,$A208,$E$4:$E$810,"Win")))*SUMIFS($X$4:$X$810,$A$4:$A$810,$A208,$E$4:$E$810,"Loss"),-('Guide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5">
        <f t="shared" si="67"/>
        <v>971.07154576093114</v>
      </c>
      <c r="AC208" s="125" t="str">
        <f>IF($D208="","",IF(SUMPRODUCT(MAX(($D$4:$D$810=$D208)*($B$4:$B$810&lt;$B208)*$B$4:$B$810))=0,0,MAX(($B208-MAX(SUMPRODUCT(MAX(($D$4:$D$810=$D208)*($B$4:$B$810&lt;$B208)*$B$4:$B$810)),'Guide &amp; Settings'!$C$50))/7-'Guide &amp; Settings'!$C$48,0)*'Guide &amp; Settings'!$C$49))</f>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Settings'!$C$42/(($F209-1)*COUNTIFS($A$4:$A$810,$A209,$E$4:$E$810,"Win")))*SUMIFS($X$4:$X$810,$A$4:$A$810,$A209,$E$4:$E$810,"Loss"),-('Guide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5">
        <f t="shared" si="67"/>
        <v>1027.3478179131789</v>
      </c>
      <c r="AC209" s="125" t="str">
        <f>IF($D209="","",IF(SUMPRODUCT(MAX(($D$4:$D$810=$D209)*($B$4:$B$810&lt;$B209)*$B$4:$B$810))=0,0,MAX(($B209-MAX(SUMPRODUCT(MAX(($D$4:$D$810=$D209)*($B$4:$B$810&lt;$B209)*$B$4:$B$810)),'Guide &amp; Settings'!$C$50))/7-'Guide &amp; Settings'!$C$48,0)*'Guide &amp; Settings'!$C$49))</f>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Settings'!$C$42/(($F210-1)*COUNTIFS($A$4:$A$810,$A210,$E$4:$E$810,"Win")))*SUMIFS($X$4:$X$810,$A$4:$A$810,$A210,$E$4:$E$810,"Loss"),-('Guide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5">
        <f t="shared" si="67"/>
        <v>1060.1693378874229</v>
      </c>
      <c r="AC210" s="125" t="str">
        <f>IF($D210="","",IF(SUMPRODUCT(MAX(($D$4:$D$810=$D210)*($B$4:$B$810&lt;$B210)*$B$4:$B$810))=0,0,MAX(($B210-MAX(SUMPRODUCT(MAX(($D$4:$D$810=$D210)*($B$4:$B$810&lt;$B210)*$B$4:$B$810)),'Guide &amp; Settings'!$C$50))/7-'Guide &amp; Settings'!$C$48,0)*'Guide &amp; Settings'!$C$49))</f>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Settings'!$C$42/(($F211-1)*COUNTIFS($A$4:$A$810,$A211,$E$4:$E$810,"Win")))*SUMIFS($X$4:$X$810,$A$4:$A$810,$A211,$E$4:$E$810,"Loss"),-('Guide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5">
        <f t="shared" si="67"/>
        <v>959.92547606336859</v>
      </c>
      <c r="AC211" s="125" t="str">
        <f>IF($D211="","",IF(SUMPRODUCT(MAX(($D$4:$D$810=$D211)*($B$4:$B$810&lt;$B211)*$B$4:$B$810))=0,0,MAX(($B211-MAX(SUMPRODUCT(MAX(($D$4:$D$810=$D211)*($B$4:$B$810&lt;$B211)*$B$4:$B$810)),'Guide &amp; Settings'!$C$50))/7-'Guide &amp; Settings'!$C$48,0)*'Guide &amp; Settings'!$C$49))</f>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Settings'!$C$42/(($F212-1)*COUNTIFS($A$4:$A$810,$A212,$E$4:$E$810,"Win")))*SUMIFS($X$4:$X$810,$A$4:$A$810,$A212,$E$4:$E$810,"Loss"),-('Guide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Settings'!$C$42/(($F212-1)*COUNTIFS($A$4:$A$810,$A212,$E$4:$E$810,"Win")))*SUMIFS($Z$4:$Z$810,$A$4:$A$810,$A212,$E$4:$E$810,"Loss"),-('Guide &amp; Settings'!$C$42/($F212-1))*$Z212)))</f>
        <v>5.552971587250271</v>
      </c>
      <c r="AB212" s="125">
        <f t="shared" si="67"/>
        <v>990.35235175265393</v>
      </c>
      <c r="AC212" s="125" t="str">
        <f>IF($D212="","",IF(SUMPRODUCT(MAX(($D$4:$D$810=$D212)*($B$4:$B$810&lt;$B212)*$B$4:$B$810))=0,0,MAX(($B212-MAX(SUMPRODUCT(MAX(($D$4:$D$810=$D212)*($B$4:$B$810&lt;$B212)*$B$4:$B$810)),'Guide &amp; Settings'!$C$50))/7-'Guide &amp; Settings'!$C$48,0)*'Guide &amp; Settings'!$C$49))</f>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Settings'!$C$42/(($F213-1)*COUNTIFS($A$4:$A$810,$A213,$E$4:$E$810,"Win")))*SUMIFS($X$4:$X$810,$A$4:$A$810,$A213,$E$4:$E$810,"Loss"),-('Guide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Settings'!$C$42/(($F213-1)*COUNTIFS($A$4:$A$810,$A213,$E$4:$E$810,"Win")))*SUMIFS($Z$4:$Z$810,$A$4:$A$810,$A213,$E$4:$E$810,"Loss"),-('Guide &amp; Settings'!$C$42/($F213-1))*$Z213)))</f>
        <v>5.552971587250271</v>
      </c>
      <c r="AB213" s="125">
        <f t="shared" si="67"/>
        <v>990.35235175265393</v>
      </c>
      <c r="AC213" s="125" t="str">
        <f>IF($D213="","",IF(SUMPRODUCT(MAX(($D$4:$D$810=$D213)*($B$4:$B$810&lt;$B213)*$B$4:$B$810))=0,0,MAX(($B213-MAX(SUMPRODUCT(MAX(($D$4:$D$810=$D213)*($B$4:$B$810&lt;$B213)*$B$4:$B$810)),'Guide &amp; Settings'!$C$50))/7-'Guide &amp; Settings'!$C$48,0)*'Guide &amp; Settings'!$C$49))</f>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Settings'!$C$42/(($F214-1)*COUNTIFS($A$4:$A$810,$A214,$E$4:$E$810,"Win")))*SUMIFS($X$4:$X$810,$A$4:$A$810,$A214,$E$4:$E$810,"Loss"),-('Guide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5">
        <f t="shared" si="67"/>
        <v>965.94883287862285</v>
      </c>
      <c r="AC214" s="125" t="str">
        <f>IF($D214="","",IF(SUMPRODUCT(MAX(($D$4:$D$810=$D214)*($B$4:$B$810&lt;$B214)*$B$4:$B$810))=0,0,MAX(($B214-MAX(SUMPRODUCT(MAX(($D$4:$D$810=$D214)*($B$4:$B$810&lt;$B214)*$B$4:$B$810)),'Guide &amp; Settings'!$C$50))/7-'Guide &amp; Settings'!$C$48,0)*'Guide &amp; Settings'!$C$49))</f>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Settings'!$C$42/(($F215-1)*COUNTIFS($A$4:$A$810,$A215,$E$4:$E$810,"Win")))*SUMIFS($X$4:$X$810,$A$4:$A$810,$A215,$E$4:$E$810,"Loss"),-('Guide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5">
        <f t="shared" si="67"/>
        <v>1021.3645876209866</v>
      </c>
      <c r="AC215" s="125" t="str">
        <f>IF($D215="","",IF(SUMPRODUCT(MAX(($D$4:$D$810=$D215)*($B$4:$B$810&lt;$B215)*$B$4:$B$810))=0,0,MAX(($B215-MAX(SUMPRODUCT(MAX(($D$4:$D$810=$D215)*($B$4:$B$810&lt;$B215)*$B$4:$B$810)),'Guide &amp; Settings'!$C$50))/7-'Guide &amp; Settings'!$C$48,0)*'Guide &amp; Settings'!$C$49))</f>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Settings'!$C$42/(($F216-1)*COUNTIFS($A$4:$A$810,$A216,$E$4:$E$810,"Win")))*SUMIFS($X$4:$X$810,$A$4:$A$810,$A216,$E$4:$E$810,"Loss"),-('Guide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Settings'!$C$42/(($F216-1)*COUNTIFS($A$4:$A$810,$A216,$E$4:$E$810,"Win")))*SUMIFS($Z$4:$Z$810,$A$4:$A$810,$A216,$E$4:$E$810,"Loss"),-('Guide &amp; Settings'!$C$42/($F216-1))*$Z216)))</f>
        <v>5.3751331463777881</v>
      </c>
      <c r="AB216" s="125">
        <f t="shared" si="67"/>
        <v>995.72748489903177</v>
      </c>
      <c r="AC216" s="125" t="str">
        <f>IF($D216="","",IF(SUMPRODUCT(MAX(($D$4:$D$810=$D216)*($B$4:$B$810&lt;$B216)*$B$4:$B$810))=0,0,MAX(($B216-MAX(SUMPRODUCT(MAX(($D$4:$D$810=$D216)*($B$4:$B$810&lt;$B216)*$B$4:$B$810)),'Guide &amp; Settings'!$C$50))/7-'Guide &amp; Settings'!$C$48,0)*'Guide &amp; Settings'!$C$49))</f>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Settings'!$C$42/(($F217-1)*COUNTIFS($A$4:$A$810,$A217,$E$4:$E$810,"Win")))*SUMIFS($X$4:$X$810,$A$4:$A$810,$A217,$E$4:$E$810,"Loss"),-('Guide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Settings'!$C$42/(($F217-1)*COUNTIFS($A$4:$A$810,$A217,$E$4:$E$810,"Win")))*SUMIFS($Z$4:$Z$810,$A$4:$A$810,$A217,$E$4:$E$810,"Loss"),-('Guide &amp; Settings'!$C$42/($F217-1))*$Z217)))</f>
        <v>5.3751331463777881</v>
      </c>
      <c r="AB217" s="125">
        <f t="shared" si="67"/>
        <v>995.72748489903177</v>
      </c>
      <c r="AC217" s="125" t="str">
        <f>IF($D217="","",IF(SUMPRODUCT(MAX(($D$4:$D$810=$D217)*($B$4:$B$810&lt;$B217)*$B$4:$B$810))=0,0,MAX(($B217-MAX(SUMPRODUCT(MAX(($D$4:$D$810=$D217)*($B$4:$B$810&lt;$B217)*$B$4:$B$810)),'Guide &amp; Settings'!$C$50))/7-'Guide &amp; Settings'!$C$48,0)*'Guide &amp; Settings'!$C$49))</f>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Settings'!$C$42/(($F218-1)*COUNTIFS($A$4:$A$810,$A218,$E$4:$E$810,"Win")))*SUMIFS($X$4:$X$810,$A$4:$A$810,$A218,$E$4:$E$810,"Loss"),-('Guide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5">
        <f t="shared" si="67"/>
        <v>994.87575697010811</v>
      </c>
      <c r="AC218" s="125" t="str">
        <f>IF($D218="","",IF(SUMPRODUCT(MAX(($D$4:$D$810=$D218)*($B$4:$B$810&lt;$B218)*$B$4:$B$810))=0,0,MAX(($B218-MAX(SUMPRODUCT(MAX(($D$4:$D$810=$D218)*($B$4:$B$810&lt;$B218)*$B$4:$B$810)),'Guide &amp; Settings'!$C$50))/7-'Guide &amp; Settings'!$C$48,0)*'Guide &amp; Settings'!$C$49))</f>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Settings'!$C$42/(($F219-1)*COUNTIFS($A$4:$A$810,$A219,$E$4:$E$810,"Win")))*SUMIFS($X$4:$X$810,$A$4:$A$810,$A219,$E$4:$E$810,"Loss"),-('Guide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5">
        <f t="shared" si="67"/>
        <v>980.52721563547436</v>
      </c>
      <c r="AC219" s="125" t="str">
        <f>IF($D219="","",IF(SUMPRODUCT(MAX(($D$4:$D$810=$D219)*($B$4:$B$810&lt;$B219)*$B$4:$B$810))=0,0,MAX(($B219-MAX(SUMPRODUCT(MAX(($D$4:$D$810=$D219)*($B$4:$B$810&lt;$B219)*$B$4:$B$810)),'Guide &amp; Settings'!$C$50))/7-'Guide &amp; Settings'!$C$48,0)*'Guide &amp; Settings'!$C$49))</f>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Settings'!$C$42/(($F220-1)*COUNTIFS($A$4:$A$810,$A220,$E$4:$E$810,"Win")))*SUMIFS($X$4:$X$810,$A$4:$A$810,$A220,$E$4:$E$810,"Loss"),-('Guide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5">
        <f t="shared" si="67"/>
        <v>1015.7756548167368</v>
      </c>
      <c r="AC220" s="125" t="str">
        <f>IF($D220="","",IF(SUMPRODUCT(MAX(($D$4:$D$810=$D220)*($B$4:$B$810&lt;$B220)*$B$4:$B$810))=0,0,MAX(($B220-MAX(SUMPRODUCT(MAX(($D$4:$D$810=$D220)*($B$4:$B$810&lt;$B220)*$B$4:$B$810)),'Guide &amp; Settings'!$C$50))/7-'Guide &amp; Settings'!$C$48,0)*'Guide &amp; Settings'!$C$49))</f>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Settings'!$C$42/(($F221-1)*COUNTIFS($A$4:$A$810,$A221,$E$4:$E$810,"Win")))*SUMIFS($X$4:$X$810,$A$4:$A$810,$A221,$E$4:$E$810,"Loss"),-('Guide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Settings'!$C$42/(($F221-1)*COUNTIFS($A$4:$A$810,$A221,$E$4:$E$810,"Win")))*SUMIFS($Z$4:$Z$810,$A$4:$A$810,$A221,$E$4:$E$810,"Loss"),-('Guide &amp; Settings'!$C$42/($F221-1))*$Z221)))</f>
        <v>-15.775654816736873</v>
      </c>
      <c r="AB221" s="125">
        <f t="shared" si="67"/>
        <v>979.35243212981607</v>
      </c>
      <c r="AC221" s="125" t="str">
        <f>IF($D221="","",IF(SUMPRODUCT(MAX(($D$4:$D$810=$D221)*($B$4:$B$810&lt;$B221)*$B$4:$B$810))=0,0,MAX(($B221-MAX(SUMPRODUCT(MAX(($D$4:$D$810=$D221)*($B$4:$B$810&lt;$B221)*$B$4:$B$810)),'Guide &amp; Settings'!$C$50))/7-'Guide &amp; Settings'!$C$48,0)*'Guide &amp; Settings'!$C$49))</f>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Settings'!$C$42/(($F222-1)*COUNTIFS($A$4:$A$810,$A222,$E$4:$E$810,"Win")))*SUMIFS($X$4:$X$810,$A$4:$A$810,$A222,$E$4:$E$810,"Loss"),-('Guide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5">
        <f t="shared" si="67"/>
        <v>1030.1044213761372</v>
      </c>
      <c r="AC222" s="125" t="str">
        <f>IF($D222="","",IF(SUMPRODUCT(MAX(($D$4:$D$810=$D222)*($B$4:$B$810&lt;$B222)*$B$4:$B$810))=0,0,MAX(($B222-MAX(SUMPRODUCT(MAX(($D$4:$D$810=$D222)*($B$4:$B$810&lt;$B222)*$B$4:$B$810)),'Guide &amp; Settings'!$C$50))/7-'Guide &amp; Settings'!$C$48,0)*'Guide &amp; Settings'!$C$49))</f>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Settings'!$C$42/(($F223-1)*COUNTIFS($A$4:$A$810,$A223,$E$4:$E$810,"Win")))*SUMIFS($X$4:$X$810,$A$4:$A$810,$A223,$E$4:$E$810,"Loss"),-('Guide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5">
        <f t="shared" si="67"/>
        <v>965.02366557041569</v>
      </c>
      <c r="AC223" s="125" t="str">
        <f>IF($D223="","",IF(SUMPRODUCT(MAX(($D$4:$D$810=$D223)*($B$4:$B$810&lt;$B223)*$B$4:$B$810))=0,0,MAX(($B223-MAX(SUMPRODUCT(MAX(($D$4:$D$810=$D223)*($B$4:$B$810&lt;$B223)*$B$4:$B$810)),'Guide &amp; Settings'!$C$50))/7-'Guide &amp; Settings'!$C$48,0)*'Guide &amp; Settings'!$C$49))</f>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Settings'!$C$42/(($F224-1)*COUNTIFS($A$4:$A$810,$A224,$E$4:$E$810,"Win")))*SUMIFS($X$4:$X$810,$A$4:$A$810,$A224,$E$4:$E$810,"Loss"),-('Guide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Settings'!$C$42/(($F224-1)*COUNTIFS($A$4:$A$810,$A224,$E$4:$E$810,"Win")))*SUMIFS($Z$4:$Z$810,$A$4:$A$810,$A224,$E$4:$E$810,"Loss"),-('Guide &amp; Settings'!$C$42/($F224-1))*$Z224)))</f>
        <v>16</v>
      </c>
      <c r="AB224" s="125">
        <f t="shared" si="67"/>
        <v>1016</v>
      </c>
      <c r="AC224" s="125" t="str">
        <f>IF($D224="","",IF(SUMPRODUCT(MAX(($D$4:$D$810=$D224)*($B$4:$B$810&lt;$B224)*$B$4:$B$810))=0,0,MAX(($B224-MAX(SUMPRODUCT(MAX(($D$4:$D$810=$D224)*($B$4:$B$810&lt;$B224)*$B$4:$B$810)),'Guide &amp; Settings'!$C$50))/7-'Guide &amp; Settings'!$C$48,0)*'Guide &amp; Settings'!$C$49))</f>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Settings'!$C$42/(($F225-1)*COUNTIFS($A$4:$A$810,$A225,$E$4:$E$810,"Win")))*SUMIFS($X$4:$X$810,$A$4:$A$810,$A225,$E$4:$E$810,"Loss"),-('Guide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Settings'!$C$42/(($F225-1)*COUNTIFS($A$4:$A$810,$A225,$E$4:$E$810,"Win")))*SUMIFS($Z$4:$Z$810,$A$4:$A$810,$A225,$E$4:$E$810,"Loss"),-('Guide &amp; Settings'!$C$42/($F225-1))*$Z225)))</f>
        <v>-8</v>
      </c>
      <c r="AB225" s="125">
        <f t="shared" si="67"/>
        <v>992</v>
      </c>
      <c r="AC225" s="125" t="str">
        <f>IF($D225="","",IF(SUMPRODUCT(MAX(($D$4:$D$810=$D225)*($B$4:$B$810&lt;$B225)*$B$4:$B$810))=0,0,MAX(($B225-MAX(SUMPRODUCT(MAX(($D$4:$D$810=$D225)*($B$4:$B$810&lt;$B225)*$B$4:$B$810)),'Guide &amp; Settings'!$C$50))/7-'Guide &amp; Settings'!$C$48,0)*'Guide &amp; Settings'!$C$49))</f>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Settings'!$C$42/(($F226-1)*COUNTIFS($A$4:$A$810,$A226,$E$4:$E$810,"Win")))*SUMIFS($X$4:$X$810,$A$4:$A$810,$A226,$E$4:$E$810,"Loss"),-('Guide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Settings'!$C$42/(($F226-1)*COUNTIFS($A$4:$A$810,$A226,$E$4:$E$810,"Win")))*SUMIFS($Z$4:$Z$810,$A$4:$A$810,$A226,$E$4:$E$810,"Loss"),-('Guide &amp; Settings'!$C$42/($F226-1))*$Z226)))</f>
        <v>-8</v>
      </c>
      <c r="AB226" s="125">
        <f t="shared" si="67"/>
        <v>992</v>
      </c>
      <c r="AC226" s="125" t="str">
        <f>IF($D226="","",IF(SUMPRODUCT(MAX(($D$4:$D$810=$D226)*($B$4:$B$810&lt;$B226)*$B$4:$B$810))=0,0,MAX(($B226-MAX(SUMPRODUCT(MAX(($D$4:$D$810=$D226)*($B$4:$B$810&lt;$B226)*$B$4:$B$810)),'Guide &amp; Settings'!$C$50))/7-'Guide &amp; Settings'!$C$48,0)*'Guide &amp; Settings'!$C$49))</f>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Settings'!$C$42/(($F227-1)*COUNTIFS($A$4:$A$810,$A227,$E$4:$E$810,"Win")))*SUMIFS($X$4:$X$810,$A$4:$A$810,$A227,$E$4:$E$810,"Loss"),-('Guide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5">
        <f t="shared" si="67"/>
        <v>988.44000204355825</v>
      </c>
      <c r="AC227" s="125" t="str">
        <f>IF($D227="","",IF(SUMPRODUCT(MAX(($D$4:$D$810=$D227)*($B$4:$B$810&lt;$B227)*$B$4:$B$810))=0,0,MAX(($B227-MAX(SUMPRODUCT(MAX(($D$4:$D$810=$D227)*($B$4:$B$810&lt;$B227)*$B$4:$B$810)),'Guide &amp; Settings'!$C$50))/7-'Guide &amp; Settings'!$C$48,0)*'Guide &amp; Settings'!$C$49))</f>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Settings'!$C$42/(($F228-1)*COUNTIFS($A$4:$A$810,$A228,$E$4:$E$810,"Win")))*SUMIFS($X$4:$X$810,$A$4:$A$810,$A228,$E$4:$E$810,"Loss"),-('Guide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5">
        <f t="shared" si="67"/>
        <v>982.67275007064484</v>
      </c>
      <c r="AC228" s="125" t="str">
        <f>IF($D228="","",IF(SUMPRODUCT(MAX(($D$4:$D$810=$D228)*($B$4:$B$810&lt;$B228)*$B$4:$B$810))=0,0,MAX(($B228-MAX(SUMPRODUCT(MAX(($D$4:$D$810=$D228)*($B$4:$B$810&lt;$B228)*$B$4:$B$810)),'Guide &amp; Settings'!$C$50))/7-'Guide &amp; Settings'!$C$48,0)*'Guide &amp; Settings'!$C$49))</f>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Settings'!$C$42/(($F229-1)*COUNTIFS($A$4:$A$810,$A229,$E$4:$E$810,"Win")))*SUMIFS($X$4:$X$810,$A$4:$A$810,$A229,$E$4:$E$810,"Loss"),-('Guide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5">
        <f t="shared" si="67"/>
        <v>1004.1744346664397</v>
      </c>
      <c r="AC229" s="125" t="str">
        <f>IF($D229="","",IF(SUMPRODUCT(MAX(($D$4:$D$810=$D229)*($B$4:$B$810&lt;$B229)*$B$4:$B$810))=0,0,MAX(($B229-MAX(SUMPRODUCT(MAX(($D$4:$D$810=$D229)*($B$4:$B$810&lt;$B229)*$B$4:$B$810)),'Guide &amp; Settings'!$C$50))/7-'Guide &amp; Settings'!$C$48,0)*'Guide &amp; Settings'!$C$49))</f>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Settings'!$C$42/(($F230-1)*COUNTIFS($A$4:$A$810,$A230,$E$4:$E$810,"Win")))*SUMIFS($X$4:$X$810,$A$4:$A$810,$A230,$E$4:$E$810,"Loss"),-('Guide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5">
        <f t="shared" si="67"/>
        <v>966.93831744776344</v>
      </c>
      <c r="AC230" s="125" t="str">
        <f>IF($D230="","",IF(SUMPRODUCT(MAX(($D$4:$D$810=$D230)*($B$4:$B$810&lt;$B230)*$B$4:$B$810))=0,0,MAX(($B230-MAX(SUMPRODUCT(MAX(($D$4:$D$810=$D230)*($B$4:$B$810&lt;$B230)*$B$4:$B$810)),'Guide &amp; Settings'!$C$50))/7-'Guide &amp; Settings'!$C$48,0)*'Guide &amp; Settings'!$C$49))</f>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Settings'!$C$42/(($F231-1)*COUNTIFS($A$4:$A$810,$A231,$E$4:$E$810,"Win")))*SUMIFS($X$4:$X$810,$A$4:$A$810,$A231,$E$4:$E$810,"Loss"),-('Guide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5">
        <f t="shared" si="67"/>
        <v>1018.4661835901022</v>
      </c>
      <c r="AC231" s="125" t="str">
        <f>IF($D231="","",IF(SUMPRODUCT(MAX(($D$4:$D$810=$D231)*($B$4:$B$810&lt;$B231)*$B$4:$B$810))=0,0,MAX(($B231-MAX(SUMPRODUCT(MAX(($D$4:$D$810=$D231)*($B$4:$B$810&lt;$B231)*$B$4:$B$810)),'Guide &amp; Settings'!$C$50))/7-'Guide &amp; Settings'!$C$48,0)*'Guide &amp; Settings'!$C$49))</f>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Settings'!$C$42/(($F232-1)*COUNTIFS($A$4:$A$810,$A232,$E$4:$E$810,"Win")))*SUMIFS($X$4:$X$810,$A$4:$A$810,$A232,$E$4:$E$810,"Loss"),-('Guide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5">
        <f t="shared" si="67"/>
        <v>952.64656852410087</v>
      </c>
      <c r="AC232" s="125" t="str">
        <f>IF($D232="","",IF(SUMPRODUCT(MAX(($D$4:$D$810=$D232)*($B$4:$B$810&lt;$B232)*$B$4:$B$810))=0,0,MAX(($B232-MAX(SUMPRODUCT(MAX(($D$4:$D$810=$D232)*($B$4:$B$810&lt;$B232)*$B$4:$B$810)),'Guide &amp; Settings'!$C$50))/7-'Guide &amp; Settings'!$C$48,0)*'Guide &amp; Settings'!$C$49))</f>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Settings'!$C$42/(($F233-1)*COUNTIFS($A$4:$A$810,$A233,$E$4:$E$810,"Win")))*SUMIFS($X$4:$X$810,$A$4:$A$810,$A233,$E$4:$E$810,"Loss"),-('Guide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5">
        <f t="shared" si="67"/>
        <v>984.84959931593869</v>
      </c>
      <c r="AC233" s="125" t="str">
        <f>IF($D233="","",IF(SUMPRODUCT(MAX(($D$4:$D$810=$D233)*($B$4:$B$810&lt;$B233)*$B$4:$B$810))=0,0,MAX(($B233-MAX(SUMPRODUCT(MAX(($D$4:$D$810=$D233)*($B$4:$B$810&lt;$B233)*$B$4:$B$810)),'Guide &amp; Settings'!$C$50))/7-'Guide &amp; Settings'!$C$48,0)*'Guide &amp; Settings'!$C$49))</f>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Settings'!$C$42/(($F234-1)*COUNTIFS($A$4:$A$810,$A234,$E$4:$E$810,"Win")))*SUMIFS($X$4:$X$810,$A$4:$A$810,$A234,$E$4:$E$810,"Loss"),-('Guide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5">
        <f t="shared" si="67"/>
        <v>1033.6165842741636</v>
      </c>
      <c r="AC234" s="125" t="str">
        <f>IF($D234="","",IF(SUMPRODUCT(MAX(($D$4:$D$810=$D234)*($B$4:$B$810&lt;$B234)*$B$4:$B$810))=0,0,MAX(($B234-MAX(SUMPRODUCT(MAX(($D$4:$D$810=$D234)*($B$4:$B$810&lt;$B234)*$B$4:$B$810)),'Guide &amp; Settings'!$C$50))/7-'Guide &amp; Settings'!$C$48,0)*'Guide &amp; Settings'!$C$49))</f>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Settings'!$C$42/(($F235-1)*COUNTIFS($A$4:$A$810,$A235,$E$4:$E$810,"Win")))*SUMIFS($X$4:$X$810,$A$4:$A$810,$A235,$E$4:$E$810,"Loss"),-('Guide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5">
        <f t="shared" si="67"/>
        <v>1032.6016342488008</v>
      </c>
      <c r="AC235" s="125" t="str">
        <f>IF($D235="","",IF(SUMPRODUCT(MAX(($D$4:$D$810=$D235)*($B$4:$B$810&lt;$B235)*$B$4:$B$810))=0,0,MAX(($B235-MAX(SUMPRODUCT(MAX(($D$4:$D$810=$D235)*($B$4:$B$810&lt;$B235)*$B$4:$B$810)),'Guide &amp; Settings'!$C$50))/7-'Guide &amp; Settings'!$C$48,0)*'Guide &amp; Settings'!$C$49))</f>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Settings'!$C$42/(($F236-1)*COUNTIFS($A$4:$A$810,$A236,$E$4:$E$810,"Win")))*SUMIFS($X$4:$X$810,$A$4:$A$810,$A236,$E$4:$E$810,"Loss"),-('Guide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5">
        <f t="shared" si="67"/>
        <v>984.80073939960539</v>
      </c>
      <c r="AC236" s="125" t="str">
        <f>IF($D236="","",IF(SUMPRODUCT(MAX(($D$4:$D$810=$D236)*($B$4:$B$810&lt;$B236)*$B$4:$B$810))=0,0,MAX(($B236-MAX(SUMPRODUCT(MAX(($D$4:$D$810=$D236)*($B$4:$B$810&lt;$B236)*$B$4:$B$810)),'Guide &amp; Settings'!$C$50))/7-'Guide &amp; Settings'!$C$48,0)*'Guide &amp; Settings'!$C$49))</f>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Settings'!$C$42/(($F237-1)*COUNTIFS($A$4:$A$810,$A237,$E$4:$E$810,"Win")))*SUMIFS($X$4:$X$810,$A$4:$A$810,$A237,$E$4:$E$810,"Loss"),-('Guide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5">
        <f t="shared" si="67"/>
        <v>1030.8965137687414</v>
      </c>
      <c r="AC237" s="125" t="str">
        <f>IF($D237="","",IF(SUMPRODUCT(MAX(($D$4:$D$810=$D237)*($B$4:$B$810&lt;$B237)*$B$4:$B$810))=0,0,MAX(($B237-MAX(SUMPRODUCT(MAX(($D$4:$D$810=$D237)*($B$4:$B$810&lt;$B237)*$B$4:$B$810)),'Guide &amp; Settings'!$C$50))/7-'Guide &amp; Settings'!$C$48,0)*'Guide &amp; Settings'!$C$49))</f>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Settings'!$C$42/(($F238-1)*COUNTIFS($A$4:$A$810,$A238,$E$4:$E$810,"Win")))*SUMIFS($X$4:$X$810,$A$4:$A$810,$A238,$E$4:$E$810,"Loss"),-('Guide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Settings'!$C$42/(($F238-1)*COUNTIFS($A$4:$A$810,$A238,$E$4:$E$810,"Win")))*SUMIFS($Z$4:$Z$810,$A$4:$A$810,$A238,$E$4:$E$810,"Loss"),-('Guide &amp; Settings'!$C$42/($F238-1))*$Z238)))</f>
        <v>-7.4482568843706956</v>
      </c>
      <c r="AB238" s="125">
        <f t="shared" si="67"/>
        <v>984.55174311562928</v>
      </c>
      <c r="AC238" s="125" t="str">
        <f>IF($D238="","",IF(SUMPRODUCT(MAX(($D$4:$D$810=$D238)*($B$4:$B$810&lt;$B238)*$B$4:$B$810))=0,0,MAX(($B238-MAX(SUMPRODUCT(MAX(($D$4:$D$810=$D238)*($B$4:$B$810&lt;$B238)*$B$4:$B$810)),'Guide &amp; Settings'!$C$50))/7-'Guide &amp; Settings'!$C$48,0)*'Guide &amp; Settings'!$C$49))</f>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Settings'!$C$42/(($F239-1)*COUNTIFS($A$4:$A$810,$A239,$E$4:$E$810,"Win")))*SUMIFS($X$4:$X$810,$A$4:$A$810,$A239,$E$4:$E$810,"Loss"),-('Guide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Settings'!$C$42/(($F239-1)*COUNTIFS($A$4:$A$810,$A239,$E$4:$E$810,"Win")))*SUMIFS($Z$4:$Z$810,$A$4:$A$810,$A239,$E$4:$E$810,"Loss"),-('Guide &amp; Settings'!$C$42/($F239-1))*$Z239)))</f>
        <v>-7.4482568843706956</v>
      </c>
      <c r="AB239" s="125">
        <f t="shared" si="67"/>
        <v>984.55174311562928</v>
      </c>
      <c r="AC239" s="125" t="str">
        <f>IF($D239="","",IF(SUMPRODUCT(MAX(($D$4:$D$810=$D239)*($B$4:$B$810&lt;$B239)*$B$4:$B$810))=0,0,MAX(($B239-MAX(SUMPRODUCT(MAX(($D$4:$D$810=$D239)*($B$4:$B$810&lt;$B239)*$B$4:$B$810)),'Guide &amp; Settings'!$C$50))/7-'Guide &amp; Settings'!$C$48,0)*'Guide &amp; Settings'!$C$49))</f>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Settings'!$C$42/(($F240-1)*COUNTIFS($A$4:$A$810,$A240,$E$4:$E$810,"Win")))*SUMIFS($X$4:$X$810,$A$4:$A$810,$A240,$E$4:$E$810,"Loss"),-('Guide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5">
        <f t="shared" si="67"/>
        <v>984.09708535515801</v>
      </c>
      <c r="AC240" s="125" t="str">
        <f>IF($D240="","",IF(SUMPRODUCT(MAX(($D$4:$D$810=$D240)*($B$4:$B$810&lt;$B240)*$B$4:$B$810))=0,0,MAX(($B240-MAX(SUMPRODUCT(MAX(($D$4:$D$810=$D240)*($B$4:$B$810&lt;$B240)*$B$4:$B$810)),'Guide &amp; Settings'!$C$50))/7-'Guide &amp; Settings'!$C$48,0)*'Guide &amp; Settings'!$C$49))</f>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Settings'!$C$42/(($F241-1)*COUNTIFS($A$4:$A$810,$A241,$E$4:$E$810,"Win")))*SUMIFS($X$4:$X$810,$A$4:$A$810,$A241,$E$4:$E$810,"Loss"),-('Guide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5">
        <f t="shared" si="67"/>
        <v>1013.5282144640585</v>
      </c>
      <c r="AC241" s="125" t="str">
        <f>IF($D241="","",IF(SUMPRODUCT(MAX(($D$4:$D$810=$D241)*($B$4:$B$810&lt;$B241)*$B$4:$B$810))=0,0,MAX(($B241-MAX(SUMPRODUCT(MAX(($D$4:$D$810=$D241)*($B$4:$B$810&lt;$B241)*$B$4:$B$810)),'Guide &amp; Settings'!$C$50))/7-'Guide &amp; Settings'!$C$48,0)*'Guide &amp; Settings'!$C$49))</f>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Settings'!$C$42/(($F242-1)*COUNTIFS($A$4:$A$810,$A242,$E$4:$E$810,"Win")))*SUMIFS($X$4:$X$810,$A$4:$A$810,$A242,$E$4:$E$810,"Loss"),-('Guide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5">
        <f t="shared" si="67"/>
        <v>1001.4492063389166</v>
      </c>
      <c r="AC242" s="125" t="str">
        <f>IF($D242="","",IF(SUMPRODUCT(MAX(($D$4:$D$810=$D242)*($B$4:$B$810&lt;$B242)*$B$4:$B$810))=0,0,MAX(($B242-MAX(SUMPRODUCT(MAX(($D$4:$D$810=$D242)*($B$4:$B$810&lt;$B242)*$B$4:$B$810)),'Guide &amp; Settings'!$C$50))/7-'Guide &amp; Settings'!$C$48,0)*'Guide &amp; Settings'!$C$49))</f>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Settings'!$C$42/(($F243-1)*COUNTIFS($A$4:$A$810,$A243,$E$4:$E$810,"Win")))*SUMIFS($X$4:$X$810,$A$4:$A$810,$A243,$E$4:$E$810,"Loss"),-('Guide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5">
        <f t="shared" si="67"/>
        <v>996.17609348029987</v>
      </c>
      <c r="AC243" s="125" t="str">
        <f>IF($D243="","",IF(SUMPRODUCT(MAX(($D$4:$D$810=$D243)*($B$4:$B$810&lt;$B243)*$B$4:$B$810))=0,0,MAX(($B243-MAX(SUMPRODUCT(MAX(($D$4:$D$810=$D243)*($B$4:$B$810&lt;$B243)*$B$4:$B$810)),'Guide &amp; Settings'!$C$50))/7-'Guide &amp; Settings'!$C$48,0)*'Guide &amp; Settings'!$C$49))</f>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Settings'!$C$42/(($F244-1)*COUNTIFS($A$4:$A$810,$A244,$E$4:$E$810,"Win")))*SUMIFS($X$4:$X$810,$A$4:$A$810,$A244,$E$4:$E$810,"Loss"),-('Guide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Settings'!$C$42/(($F244-1)*COUNTIFS($A$4:$A$810,$A244,$E$4:$E$810,"Win")))*SUMIFS($Z$4:$Z$810,$A$4:$A$810,$A244,$E$4:$E$810,"Loss"),-('Guide &amp; Settings'!$C$42/($F244-1))*$Z244)))</f>
        <v>16</v>
      </c>
      <c r="AB244" s="125">
        <f t="shared" si="67"/>
        <v>1016</v>
      </c>
      <c r="AC244" s="125" t="str">
        <f>IF($D244="","",IF(SUMPRODUCT(MAX(($D$4:$D$810=$D244)*($B$4:$B$810&lt;$B244)*$B$4:$B$810))=0,0,MAX(($B244-MAX(SUMPRODUCT(MAX(($D$4:$D$810=$D244)*($B$4:$B$810&lt;$B244)*$B$4:$B$810)),'Guide &amp; Settings'!$C$50))/7-'Guide &amp; Settings'!$C$48,0)*'Guide &amp; Settings'!$C$49))</f>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Settings'!$C$42/(($F245-1)*COUNTIFS($A$4:$A$810,$A245,$E$4:$E$810,"Win")))*SUMIFS($X$4:$X$810,$A$4:$A$810,$A245,$E$4:$E$810,"Loss"),-('Guide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Settings'!$C$42/(($F245-1)*COUNTIFS($A$4:$A$810,$A245,$E$4:$E$810,"Win")))*SUMIFS($Z$4:$Z$810,$A$4:$A$810,$A245,$E$4:$E$810,"Loss"),-('Guide &amp; Settings'!$C$42/($F245-1))*$Z245)))</f>
        <v>-16</v>
      </c>
      <c r="AB245" s="125">
        <f t="shared" si="67"/>
        <v>984</v>
      </c>
      <c r="AC245" s="125" t="str">
        <f>IF($D245="","",IF(SUMPRODUCT(MAX(($D$4:$D$810=$D245)*($B$4:$B$810&lt;$B245)*$B$4:$B$810))=0,0,MAX(($B245-MAX(SUMPRODUCT(MAX(($D$4:$D$810=$D245)*($B$4:$B$810&lt;$B245)*$B$4:$B$810)),'Guide &amp; Settings'!$C$50))/7-'Guide &amp; Settings'!$C$48,0)*'Guide &amp; Settings'!$C$49))</f>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Settings'!$C$42/(($F246-1)*COUNTIFS($A$4:$A$810,$A246,$E$4:$E$810,"Win")))*SUMIFS($X$4:$X$810,$A$4:$A$810,$A246,$E$4:$E$810,"Loss"),-('Guide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Settings'!$C$42/(($F246-1)*COUNTIFS($A$4:$A$810,$A246,$E$4:$E$810,"Win")))*SUMIFS($Z$4:$Z$810,$A$4:$A$810,$A246,$E$4:$E$810,"Loss"),-('Guide &amp; Settings'!$C$42/($F246-1))*$Z246)))</f>
        <v>16</v>
      </c>
      <c r="AB246" s="125">
        <f t="shared" si="67"/>
        <v>1016</v>
      </c>
      <c r="AC246" s="125" t="str">
        <f>IF($D246="","",IF(SUMPRODUCT(MAX(($D$4:$D$810=$D246)*($B$4:$B$810&lt;$B246)*$B$4:$B$810))=0,0,MAX(($B246-MAX(SUMPRODUCT(MAX(($D$4:$D$810=$D246)*($B$4:$B$810&lt;$B246)*$B$4:$B$810)),'Guide &amp; Settings'!$C$50))/7-'Guide &amp; Settings'!$C$48,0)*'Guide &amp; Settings'!$C$49))</f>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Settings'!$C$42/(($F247-1)*COUNTIFS($A$4:$A$810,$A247,$E$4:$E$810,"Win")))*SUMIFS($X$4:$X$810,$A$4:$A$810,$A247,$E$4:$E$810,"Loss"),-('Guide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Settings'!$C$42/(($F247-1)*COUNTIFS($A$4:$A$810,$A247,$E$4:$E$810,"Win")))*SUMIFS($Z$4:$Z$810,$A$4:$A$810,$A247,$E$4:$E$810,"Loss"),-('Guide &amp; Settings'!$C$42/($F247-1))*$Z247)))</f>
        <v>-16</v>
      </c>
      <c r="AB247" s="125">
        <f t="shared" si="67"/>
        <v>984</v>
      </c>
      <c r="AC247" s="125" t="str">
        <f>IF($D247="","",IF(SUMPRODUCT(MAX(($D$4:$D$810=$D247)*($B$4:$B$810&lt;$B247)*$B$4:$B$810))=0,0,MAX(($B247-MAX(SUMPRODUCT(MAX(($D$4:$D$810=$D247)*($B$4:$B$810&lt;$B247)*$B$4:$B$810)),'Guide &amp; Settings'!$C$50))/7-'Guide &amp; Settings'!$C$48,0)*'Guide &amp; Settings'!$C$49))</f>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Settings'!$C$42/(($F248-1)*COUNTIFS($A$4:$A$810,$A248,$E$4:$E$810,"Win")))*SUMIFS($X$4:$X$810,$A$4:$A$810,$A248,$E$4:$E$810,"Loss"),-('Guide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5">
        <f t="shared" si="67"/>
        <v>1030.5304984710244</v>
      </c>
      <c r="AC248" s="125" t="str">
        <f>IF($D248="","",IF(SUMPRODUCT(MAX(($D$4:$D$810=$D248)*($B$4:$B$810&lt;$B248)*$B$4:$B$810))=0,0,MAX(($B248-MAX(SUMPRODUCT(MAX(($D$4:$D$810=$D248)*($B$4:$B$810&lt;$B248)*$B$4:$B$810)),'Guide &amp; Settings'!$C$50))/7-'Guide &amp; Settings'!$C$48,0)*'Guide &amp; Settings'!$C$49))</f>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Settings'!$C$42/(($F249-1)*COUNTIFS($A$4:$A$810,$A249,$E$4:$E$810,"Win")))*SUMIFS($X$4:$X$810,$A$4:$A$810,$A249,$E$4:$E$810,"Loss"),-('Guide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Settings'!$C$42/(($F249-1)*COUNTIFS($A$4:$A$810,$A249,$E$4:$E$810,"Win")))*SUMIFS($Z$4:$Z$810,$A$4:$A$810,$A249,$E$4:$E$810,"Loss"),-('Guide &amp; Settings'!$C$42/($F249-1))*$Z249)))</f>
        <v>-14.530498471024522</v>
      </c>
      <c r="AB249" s="125">
        <f t="shared" si="67"/>
        <v>969.46950152897546</v>
      </c>
      <c r="AC249" s="125" t="str">
        <f>IF($D249="","",IF(SUMPRODUCT(MAX(($D$4:$D$810=$D249)*($B$4:$B$810&lt;$B249)*$B$4:$B$810))=0,0,MAX(($B249-MAX(SUMPRODUCT(MAX(($D$4:$D$810=$D249)*($B$4:$B$810&lt;$B249)*$B$4:$B$810)),'Guide &amp; Settings'!$C$50))/7-'Guide &amp; Settings'!$C$48,0)*'Guide &amp; Settings'!$C$49))</f>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Settings'!$C$42/(($F250-1)*COUNTIFS($A$4:$A$810,$A250,$E$4:$E$810,"Win")))*SUMIFS($X$4:$X$810,$A$4:$A$810,$A250,$E$4:$E$810,"Loss"),-('Guide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5">
        <f t="shared" si="67"/>
        <v>988.25286636638907</v>
      </c>
      <c r="AC250" s="125" t="str">
        <f>IF($D250="","",IF(SUMPRODUCT(MAX(($D$4:$D$810=$D250)*($B$4:$B$810&lt;$B250)*$B$4:$B$810))=0,0,MAX(($B250-MAX(SUMPRODUCT(MAX(($D$4:$D$810=$D250)*($B$4:$B$810&lt;$B250)*$B$4:$B$810)),'Guide &amp; Settings'!$C$50))/7-'Guide &amp; Settings'!$C$48,0)*'Guide &amp; Settings'!$C$49))</f>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Settings'!$C$42/(($F251-1)*COUNTIFS($A$4:$A$810,$A251,$E$4:$E$810,"Win")))*SUMIFS($X$4:$X$810,$A$4:$A$810,$A251,$E$4:$E$810,"Loss"),-('Guide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5">
        <f t="shared" si="67"/>
        <v>1011.7471336336108</v>
      </c>
      <c r="AC251" s="125" t="str">
        <f>IF($D251="","",IF(SUMPRODUCT(MAX(($D$4:$D$810=$D251)*($B$4:$B$810&lt;$B251)*$B$4:$B$810))=0,0,MAX(($B251-MAX(SUMPRODUCT(MAX(($D$4:$D$810=$D251)*($B$4:$B$810&lt;$B251)*$B$4:$B$810)),'Guide &amp; Settings'!$C$50))/7-'Guide &amp; Settings'!$C$48,0)*'Guide &amp; Settings'!$C$49))</f>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Settings'!$C$42/(($F252-1)*COUNTIFS($A$4:$A$810,$A252,$E$4:$E$810,"Win")))*SUMIFS($X$4:$X$810,$A$4:$A$810,$A252,$E$4:$E$810,"Loss"),-('Guide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5">
        <f t="shared" si="67"/>
        <v>1005.3331712136038</v>
      </c>
      <c r="AC252" s="125" t="str">
        <f>IF($D252="","",IF(SUMPRODUCT(MAX(($D$4:$D$810=$D252)*($B$4:$B$810&lt;$B252)*$B$4:$B$810))=0,0,MAX(($B252-MAX(SUMPRODUCT(MAX(($D$4:$D$810=$D252)*($B$4:$B$810&lt;$B252)*$B$4:$B$810)),'Guide &amp; Settings'!$C$50))/7-'Guide &amp; Settings'!$C$48,0)*'Guide &amp; Settings'!$C$49))</f>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Settings'!$C$42/(($F253-1)*COUNTIFS($A$4:$A$810,$A253,$E$4:$E$810,"Win")))*SUMIFS($X$4:$X$810,$A$4:$A$810,$A253,$E$4:$E$810,"Loss"),-('Guide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5">
        <f t="shared" si="67"/>
        <v>994.66682878639608</v>
      </c>
      <c r="AC253" s="125" t="str">
        <f>IF($D253="","",IF(SUMPRODUCT(MAX(($D$4:$D$810=$D253)*($B$4:$B$810&lt;$B253)*$B$4:$B$810))=0,0,MAX(($B253-MAX(SUMPRODUCT(MAX(($D$4:$D$810=$D253)*($B$4:$B$810&lt;$B253)*$B$4:$B$810)),'Guide &amp; Settings'!$C$50))/7-'Guide &amp; Settings'!$C$48,0)*'Guide &amp; Settings'!$C$49))</f>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Settings'!$C$42/(($F254-1)*COUNTIFS($A$4:$A$810,$A254,$E$4:$E$810,"Win")))*SUMIFS($X$4:$X$810,$A$4:$A$810,$A254,$E$4:$E$810,"Loss"),-('Guide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5">
        <f t="shared" si="67"/>
        <v>1045.4774155322991</v>
      </c>
      <c r="AC254" s="125" t="str">
        <f>IF($D254="","",IF(SUMPRODUCT(MAX(($D$4:$D$810=$D254)*($B$4:$B$810&lt;$B254)*$B$4:$B$810))=0,0,MAX(($B254-MAX(SUMPRODUCT(MAX(($D$4:$D$810=$D254)*($B$4:$B$810&lt;$B254)*$B$4:$B$810)),'Guide &amp; Settings'!$C$50))/7-'Guide &amp; Settings'!$C$48,0)*'Guide &amp; Settings'!$C$49))</f>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Settings'!$C$42/(($F255-1)*COUNTIFS($A$4:$A$810,$A255,$E$4:$E$810,"Win")))*SUMIFS($X$4:$X$810,$A$4:$A$810,$A255,$E$4:$E$810,"Loss"),-('Guide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5">
        <f t="shared" si="67"/>
        <v>985.41909823644232</v>
      </c>
      <c r="AC255" s="125" t="str">
        <f>IF($D255="","",IF(SUMPRODUCT(MAX(($D$4:$D$810=$D255)*($B$4:$B$810&lt;$B255)*$B$4:$B$810))=0,0,MAX(($B255-MAX(SUMPRODUCT(MAX(($D$4:$D$810=$D255)*($B$4:$B$810&lt;$B255)*$B$4:$B$810)),'Guide &amp; Settings'!$C$50))/7-'Guide &amp; Settings'!$C$48,0)*'Guide &amp; Settings'!$C$49))</f>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Settings'!$C$42/(($F256-1)*COUNTIFS($A$4:$A$810,$A256,$E$4:$E$810,"Win")))*SUMIFS($X$4:$X$810,$A$4:$A$810,$A256,$E$4:$E$810,"Loss"),-('Guide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5">
        <f t="shared" si="67"/>
        <v>983.28904993804781</v>
      </c>
      <c r="AC256" s="125" t="str">
        <f>IF($D256="","",IF(SUMPRODUCT(MAX(($D$4:$D$810=$D256)*($B$4:$B$810&lt;$B256)*$B$4:$B$810))=0,0,MAX(($B256-MAX(SUMPRODUCT(MAX(($D$4:$D$810=$D256)*($B$4:$B$810&lt;$B256)*$B$4:$B$810)),'Guide &amp; Settings'!$C$50))/7-'Guide &amp; Settings'!$C$48,0)*'Guide &amp; Settings'!$C$49))</f>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Settings'!$C$42/(($F257-1)*COUNTIFS($A$4:$A$810,$A257,$E$4:$E$810,"Win")))*SUMIFS($X$4:$X$810,$A$4:$A$810,$A257,$E$4:$E$810,"Loss"),-('Guide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5">
        <f t="shared" si="67"/>
        <v>1001.2626931775815</v>
      </c>
      <c r="AC257" s="125" t="str">
        <f>IF($D257="","",IF(SUMPRODUCT(MAX(($D$4:$D$810=$D257)*($B$4:$B$810&lt;$B257)*$B$4:$B$810))=0,0,MAX(($B257-MAX(SUMPRODUCT(MAX(($D$4:$D$810=$D257)*($B$4:$B$810&lt;$B257)*$B$4:$B$810)),'Guide &amp; Settings'!$C$50))/7-'Guide &amp; Settings'!$C$48,0)*'Guide &amp; Settings'!$C$49))</f>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Settings'!$C$42/(($F258-1)*COUNTIFS($A$4:$A$810,$A258,$E$4:$E$810,"Win")))*SUMIFS($X$4:$X$810,$A$4:$A$810,$A258,$E$4:$E$810,"Loss"),-('Guide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5">
        <f t="shared" si="67"/>
        <v>1000.1160292001913</v>
      </c>
      <c r="AC258" s="125" t="str">
        <f>IF($D258="","",IF(SUMPRODUCT(MAX(($D$4:$D$810=$D258)*($B$4:$B$810&lt;$B258)*$B$4:$B$810))=0,0,MAX(($B258-MAX(SUMPRODUCT(MAX(($D$4:$D$810=$D258)*($B$4:$B$810&lt;$B258)*$B$4:$B$810)),'Guide &amp; Settings'!$C$50))/7-'Guide &amp; Settings'!$C$48,0)*'Guide &amp; Settings'!$C$49))</f>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Settings'!$C$42/(($F259-1)*COUNTIFS($A$4:$A$810,$A259,$E$4:$E$810,"Win")))*SUMIFS($X$4:$X$810,$A$4:$A$810,$A259,$E$4:$E$810,"Loss"),-('Guide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5">
        <f t="shared" si="67"/>
        <v>984.43571391543799</v>
      </c>
      <c r="AC259" s="125" t="str">
        <f>IF($D259="","",IF(SUMPRODUCT(MAX(($D$4:$D$810=$D259)*($B$4:$B$810&lt;$B259)*$B$4:$B$810))=0,0,MAX(($B259-MAX(SUMPRODUCT(MAX(($D$4:$D$810=$D259)*($B$4:$B$810&lt;$B259)*$B$4:$B$810)),'Guide &amp; Settings'!$C$50))/7-'Guide &amp; Settings'!$C$48,0)*'Guide &amp; Settings'!$C$49))</f>
      </c>
    </row>
    <row r="260" spans="1:29" ht="15" customHeight="1" x14ac:dyDescent="0.2">
      <c r="A260" s="116">
        <v>106</v>
      </c>
      <c r="B260" s="117">
        <v>46199</v>
      </c>
      <c r="C260" s="118" t="s">
        <v>191</v>
      </c>
      <c r="D260" s="118" t="s">
        <v>145</v>
      </c>
      <c r="E260" s="116" t="s">
        <v>316</v>
      </c>
      <c r="F260" s="119">
        <f t="shared" ref="F260:F311" si="68">IF($D260="",0,COUNTIF($A$4:$A$810,$A260))</f>
        <v>2</v>
      </c>
      <c r="G260" s="120" t="str">
        <f t="shared" ref="G260:G311" si="69">IF($D260="","",IFERROR(LOOKUP(2,1/(($A$4:$A$810=$A260)*($E$4:$E$810="Win")),$D$4:$D$810),"(no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Settings'!$C$42/(($F260-1)*COUNTIFS($A$4:$A$810,$A260,$E$4:$E$810,"Win")))*SUMIFS($X$4:$X$810,$A$4:$A$810,$A260,$E$4:$E$810,"Loss"),-('Guide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1068.7122504858203</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8">
        <f t="shared" ref="T260:T311" si="78">IF($D260="",0,COUNTIFS($D$4:$D$810,$D260,$C$4:$C$810,$C260,$A$4:$A$810,"&lt;"&amp;$A260))</f>
        <v>3</v>
      </c>
      <c r="U260" s="125">
        <f>IF($D260="",0,IFERROR(LOOKUP(2,1/(($D$3:D259=$D260)*($C$3:C259=$C260)*($A$3:A259&lt;$A260)),$AB$3:AB259),1000))</f>
        <v>1046.5387222766644</v>
      </c>
      <c r="V260" s="125">
        <f t="shared" ref="V260:V311" si="79">IF($D260="",0,$U260*($T260/($T260+5))+$H260*(1-$T260/($T260+5)))</f>
        <v>1060.3971774073868</v>
      </c>
      <c r="W260">
        <f t="shared" ref="W260:W311" si="80">IF($D260="",0,IFERROR(SUMIFS($V$4:$V$810,$A$4:$A$810,$A260,$E$4:$E$810,"Win")/COUNTIFS($A$4:$A$810,$A260,$E$4:$E$810,"Win"),0))</f>
        <v>1060.3971774073868</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5">
        <f t="shared" ref="AB260:AB311" si="84">IF($D260="",0,$U260+$AA260)</f>
        <v>1059.7112532647241</v>
      </c>
      <c r="AC260" s="125" t="str">
        <f>IF($D260="","",IF(SUMPRODUCT(MAX(($D$4:$D$810=$D260)*($B$4:$B$810&lt;$B260)*$B$4:$B$810))=0,0,MAX(($B260-MAX(SUMPRODUCT(MAX(($D$4:$D$810=$D260)*($B$4:$B$810&lt;$B260)*$B$4:$B$810)),'Guide &amp; Settings'!$C$50))/7-'Guide &amp; Settings'!$C$48,0)*'Guide &amp; Settings'!$C$49))</f>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Settings'!$C$42/(($F261-1)*COUNTIFS($A$4:$A$810,$A261,$E$4:$E$810,"Win")))*SUMIFS($X$4:$X$810,$A$4:$A$810,$A261,$E$4:$E$810,"Loss"),-('Guide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5">
        <f t="shared" si="84"/>
        <v>971.31710626577672</v>
      </c>
      <c r="AC261" s="125" t="str">
        <f>IF($D261="","",IF(SUMPRODUCT(MAX(($D$4:$D$810=$D261)*($B$4:$B$810&lt;$B261)*$B$4:$B$810))=0,0,MAX(($B261-MAX(SUMPRODUCT(MAX(($D$4:$D$810=$D261)*($B$4:$B$810&lt;$B261)*$B$4:$B$810)),'Guide &amp; Settings'!$C$50))/7-'Guide &amp; Settings'!$C$48,0)*'Guide &amp; Settings'!$C$49))</f>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Settings'!$C$42/(($F262-1)*COUNTIFS($A$4:$A$810,$A262,$E$4:$E$810,"Win")))*SUMIFS($X$4:$X$810,$A$4:$A$810,$A262,$E$4:$E$810,"Loss"),-('Guide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5">
        <f t="shared" si="84"/>
        <v>1039.7261670468827</v>
      </c>
      <c r="AC262" s="125" t="str">
        <f>IF($D262="","",IF(SUMPRODUCT(MAX(($D$4:$D$810=$D262)*($B$4:$B$810&lt;$B262)*$B$4:$B$810))=0,0,MAX(($B262-MAX(SUMPRODUCT(MAX(($D$4:$D$810=$D262)*($B$4:$B$810&lt;$B262)*$B$4:$B$810)),'Guide &amp; Settings'!$C$50))/7-'Guide &amp; Settings'!$C$48,0)*'Guide &amp; Settings'!$C$49))</f>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Settings'!$C$42/(($F263-1)*COUNTIFS($A$4:$A$810,$A263,$E$4:$E$810,"Win")))*SUMIFS($X$4:$X$810,$A$4:$A$810,$A263,$E$4:$E$810,"Loss"),-('Guide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5">
        <f t="shared" si="84"/>
        <v>991.302192483618</v>
      </c>
      <c r="AC263" s="125" t="str">
        <f>IF($D263="","",IF(SUMPRODUCT(MAX(($D$4:$D$810=$D263)*($B$4:$B$810&lt;$B263)*$B$4:$B$810))=0,0,MAX(($B263-MAX(SUMPRODUCT(MAX(($D$4:$D$810=$D263)*($B$4:$B$810&lt;$B263)*$B$4:$B$810)),'Guide &amp; Settings'!$C$50))/7-'Guide &amp; Settings'!$C$48,0)*'Guide &amp; Settings'!$C$49))</f>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Settings'!$C$42/(($F264-1)*COUNTIFS($A$4:$A$810,$A264,$E$4:$E$810,"Win")))*SUMIFS($X$4:$X$810,$A$4:$A$810,$A264,$E$4:$E$810,"Loss"),-('Guide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Settings'!$C$42/(($F264-1)*COUNTIFS($A$4:$A$810,$A264,$E$4:$E$810,"Win")))*SUMIFS($Z$4:$Z$810,$A$4:$A$810,$A264,$E$4:$E$810,"Loss"),-('Guide &amp; Settings'!$C$42/($F264-1))*$Z264)))</f>
        <v>-18.215678097810592</v>
      </c>
      <c r="AB264" s="125">
        <f t="shared" si="84"/>
        <v>1021.5104889490721</v>
      </c>
      <c r="AC264" s="125" t="str">
        <f>IF($D264="","",IF(SUMPRODUCT(MAX(($D$4:$D$810=$D264)*($B$4:$B$810&lt;$B264)*$B$4:$B$810))=0,0,MAX(($B264-MAX(SUMPRODUCT(MAX(($D$4:$D$810=$D264)*($B$4:$B$810&lt;$B264)*$B$4:$B$810)),'Guide &amp; Settings'!$C$50))/7-'Guide &amp; Settings'!$C$48,0)*'Guide &amp; Settings'!$C$49))</f>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Settings'!$C$42/(($F265-1)*COUNTIFS($A$4:$A$810,$A265,$E$4:$E$810,"Win")))*SUMIFS($X$4:$X$810,$A$4:$A$810,$A265,$E$4:$E$810,"Loss"),-('Guide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5">
        <f t="shared" si="84"/>
        <v>1009.5178705814286</v>
      </c>
      <c r="AC265" s="125" t="str">
        <f>IF($D265="","",IF(SUMPRODUCT(MAX(($D$4:$D$810=$D265)*($B$4:$B$810&lt;$B265)*$B$4:$B$810))=0,0,MAX(($B265-MAX(SUMPRODUCT(MAX(($D$4:$D$810=$D265)*($B$4:$B$810&lt;$B265)*$B$4:$B$810)),'Guide &amp; Settings'!$C$50))/7-'Guide &amp; Settings'!$C$48,0)*'Guide &amp; Settings'!$C$49))</f>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Settings'!$C$42/(($F266-1)*COUNTIFS($A$4:$A$810,$A266,$E$4:$E$810,"Win")))*SUMIFS($X$4:$X$810,$A$4:$A$810,$A266,$E$4:$E$810,"Loss"),-('Guide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5">
        <f t="shared" si="84"/>
        <v>1036.9584276990201</v>
      </c>
      <c r="AC266" s="125" t="str">
        <f>IF($D266="","",IF(SUMPRODUCT(MAX(($D$4:$D$810=$D266)*($B$4:$B$810&lt;$B266)*$B$4:$B$810))=0,0,MAX(($B266-MAX(SUMPRODUCT(MAX(($D$4:$D$810=$D266)*($B$4:$B$810&lt;$B266)*$B$4:$B$810)),'Guide &amp; Settings'!$C$50))/7-'Guide &amp; Settings'!$C$48,0)*'Guide &amp; Settings'!$C$49))</f>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Settings'!$C$42/(($F267-1)*COUNTIFS($A$4:$A$810,$A267,$E$4:$E$810,"Win")))*SUMIFS($X$4:$X$810,$A$4:$A$810,$A267,$E$4:$E$810,"Loss"),-('Guide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5">
        <f t="shared" si="84"/>
        <v>994.06993183148052</v>
      </c>
      <c r="AC267" s="125" t="str">
        <f>IF($D267="","",IF(SUMPRODUCT(MAX(($D$4:$D$810=$D267)*($B$4:$B$810&lt;$B267)*$B$4:$B$810))=0,0,MAX(($B267-MAX(SUMPRODUCT(MAX(($D$4:$D$810=$D267)*($B$4:$B$810&lt;$B267)*$B$4:$B$810)),'Guide &amp; Settings'!$C$50))/7-'Guide &amp; Settings'!$C$48,0)*'Guide &amp; Settings'!$C$49))</f>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Settings'!$C$42/(($F268-1)*COUNTIFS($A$4:$A$810,$A268,$E$4:$E$810,"Win")))*SUMIFS($X$4:$X$810,$A$4:$A$810,$A268,$E$4:$E$810,"Loss"),-('Guide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5">
        <f t="shared" si="84"/>
        <v>1050.9933109481403</v>
      </c>
      <c r="AC268" s="125" t="str">
        <f>IF($D268="","",IF(SUMPRODUCT(MAX(($D$4:$D$810=$D268)*($B$4:$B$810&lt;$B268)*$B$4:$B$810))=0,0,MAX(($B268-MAX(SUMPRODUCT(MAX(($D$4:$D$810=$D268)*($B$4:$B$810&lt;$B268)*$B$4:$B$810)),'Guide &amp; Settings'!$C$50))/7-'Guide &amp; Settings'!$C$48,0)*'Guide &amp; Settings'!$C$49))</f>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Settings'!$C$42/(($F269-1)*COUNTIFS($A$4:$A$810,$A269,$E$4:$E$810,"Win")))*SUMIFS($X$4:$X$810,$A$4:$A$810,$A269,$E$4:$E$810,"Loss"),-('Guide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5">
        <f t="shared" si="84"/>
        <v>980.03504858236033</v>
      </c>
      <c r="AC269" s="125" t="str">
        <f>IF($D269="","",IF(SUMPRODUCT(MAX(($D$4:$D$810=$D269)*($B$4:$B$810&lt;$B269)*$B$4:$B$810))=0,0,MAX(($B269-MAX(SUMPRODUCT(MAX(($D$4:$D$810=$D269)*($B$4:$B$810&lt;$B269)*$B$4:$B$810)),'Guide &amp; Settings'!$C$50))/7-'Guide &amp; Settings'!$C$48,0)*'Guide &amp; Settings'!$C$49))</f>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Settings'!$C$42/(($F270-1)*COUNTIFS($A$4:$A$810,$A270,$E$4:$E$810,"Win")))*SUMIFS($X$4:$X$810,$A$4:$A$810,$A270,$E$4:$E$810,"Loss"),-('Guide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5">
        <f t="shared" si="84"/>
        <v>1015.2241251357667</v>
      </c>
      <c r="AC270" s="125" t="str">
        <f>IF($D270="","",IF(SUMPRODUCT(MAX(($D$4:$D$810=$D270)*($B$4:$B$810&lt;$B270)*$B$4:$B$810))=0,0,MAX(($B270-MAX(SUMPRODUCT(MAX(($D$4:$D$810=$D270)*($B$4:$B$810&lt;$B270)*$B$4:$B$810)),'Guide &amp; Settings'!$C$50))/7-'Guide &amp; Settings'!$C$48,0)*'Guide &amp; Settings'!$C$49))</f>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Settings'!$C$42/(($F271-1)*COUNTIFS($A$4:$A$810,$A271,$E$4:$E$810,"Win")))*SUMIFS($X$4:$X$810,$A$4:$A$810,$A271,$E$4:$E$810,"Loss"),-('Guide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Settings'!$C$42/(($F271-1)*COUNTIFS($A$4:$A$810,$A271,$E$4:$E$810,"Win")))*SUMIFS($Z$4:$Z$810,$A$4:$A$810,$A271,$E$4:$E$810,"Loss"),-('Guide &amp; Settings'!$C$42/($F271-1))*$Z271)))</f>
        <v>-15.224125135766659</v>
      </c>
      <c r="AB271" s="125">
        <f t="shared" si="84"/>
        <v>967.9147416873285</v>
      </c>
      <c r="AC271" s="125" t="str">
        <f>IF($D271="","",IF(SUMPRODUCT(MAX(($D$4:$D$810=$D271)*($B$4:$B$810&lt;$B271)*$B$4:$B$810))=0,0,MAX(($B271-MAX(SUMPRODUCT(MAX(($D$4:$D$810=$D271)*($B$4:$B$810&lt;$B271)*$B$4:$B$810)),'Guide &amp; Settings'!$C$50))/7-'Guide &amp; Settings'!$C$48,0)*'Guide &amp; Settings'!$C$49))</f>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Settings'!$C$42/(($F272-1)*COUNTIFS($A$4:$A$810,$A272,$E$4:$E$810,"Win")))*SUMIFS($X$4:$X$810,$A$4:$A$810,$A272,$E$4:$E$810,"Loss"),-('Guide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5">
        <f t="shared" si="84"/>
        <v>1029.0588137421403</v>
      </c>
      <c r="AC272" s="125" t="str">
        <f>IF($D272="","",IF(SUMPRODUCT(MAX(($D$4:$D$810=$D272)*($B$4:$B$810&lt;$B272)*$B$4:$B$810))=0,0,MAX(($B272-MAX(SUMPRODUCT(MAX(($D$4:$D$810=$D272)*($B$4:$B$810&lt;$B272)*$B$4:$B$810)),'Guide &amp; Settings'!$C$50))/7-'Guide &amp; Settings'!$C$48,0)*'Guide &amp; Settings'!$C$49))</f>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Settings'!$C$42/(($F273-1)*COUNTIFS($A$4:$A$810,$A273,$E$4:$E$810,"Win")))*SUMIFS($X$4:$X$810,$A$4:$A$810,$A273,$E$4:$E$810,"Loss"),-('Guide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5">
        <f t="shared" si="84"/>
        <v>954.08005308095494</v>
      </c>
      <c r="AC273" s="125" t="str">
        <f>IF($D273="","",IF(SUMPRODUCT(MAX(($D$4:$D$810=$D273)*($B$4:$B$810&lt;$B273)*$B$4:$B$810))=0,0,MAX(($B273-MAX(SUMPRODUCT(MAX(($D$4:$D$810=$D273)*($B$4:$B$810&lt;$B273)*$B$4:$B$810)),'Guide &amp; Settings'!$C$50))/7-'Guide &amp; Settings'!$C$48,0)*'Guide &amp; Settings'!$C$49))</f>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Settings'!$C$42/(($F274-1)*COUNTIFS($A$4:$A$810,$A274,$E$4:$E$810,"Win")))*SUMIFS($X$4:$X$810,$A$4:$A$810,$A274,$E$4:$E$810,"Loss"),-('Guide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5">
        <f t="shared" si="84"/>
        <v>1041.6585373017128</v>
      </c>
      <c r="AC274" s="125" t="str">
        <f>IF($D274="","",IF(SUMPRODUCT(MAX(($D$4:$D$810=$D274)*($B$4:$B$810&lt;$B274)*$B$4:$B$810))=0,0,MAX(($B274-MAX(SUMPRODUCT(MAX(($D$4:$D$810=$D274)*($B$4:$B$810&lt;$B274)*$B$4:$B$810)),'Guide &amp; Settings'!$C$50))/7-'Guide &amp; Settings'!$C$48,0)*'Guide &amp; Settings'!$C$49))</f>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Settings'!$C$42/(($F275-1)*COUNTIFS($A$4:$A$810,$A275,$E$4:$E$810,"Win")))*SUMIFS($X$4:$X$810,$A$4:$A$810,$A275,$E$4:$E$810,"Loss"),-('Guide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5">
        <f t="shared" si="84"/>
        <v>941.48032952138237</v>
      </c>
      <c r="AC275" s="125" t="str">
        <f>IF($D275="","",IF(SUMPRODUCT(MAX(($D$4:$D$810=$D275)*($B$4:$B$810&lt;$B275)*$B$4:$B$810))=0,0,MAX(($B275-MAX(SUMPRODUCT(MAX(($D$4:$D$810=$D275)*($B$4:$B$810&lt;$B275)*$B$4:$B$810)),'Guide &amp; Settings'!$C$50))/7-'Guide &amp; Settings'!$C$48,0)*'Guide &amp; Settings'!$C$49))</f>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Settings'!$C$42/(($F276-1)*COUNTIFS($A$4:$A$810,$A276,$E$4:$E$810,"Win")))*SUMIFS($X$4:$X$810,$A$4:$A$810,$A276,$E$4:$E$810,"Loss"),-('Guide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5">
        <f t="shared" si="84"/>
        <v>1030.5304984710244</v>
      </c>
      <c r="AC276" s="125" t="str">
        <f>IF($D276="","",IF(SUMPRODUCT(MAX(($D$4:$D$810=$D276)*($B$4:$B$810&lt;$B276)*$B$4:$B$810))=0,0,MAX(($B276-MAX(SUMPRODUCT(MAX(($D$4:$D$810=$D276)*($B$4:$B$810&lt;$B276)*$B$4:$B$810)),'Guide &amp; Settings'!$C$50))/7-'Guide &amp; Settings'!$C$48,0)*'Guide &amp; Settings'!$C$49))</f>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Settings'!$C$42/(($F277-1)*COUNTIFS($A$4:$A$810,$A277,$E$4:$E$810,"Win")))*SUMIFS($X$4:$X$810,$A$4:$A$810,$A277,$E$4:$E$810,"Loss"),-('Guide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Settings'!$C$42/(($F277-1)*COUNTIFS($A$4:$A$810,$A277,$E$4:$E$810,"Win")))*SUMIFS($Z$4:$Z$810,$A$4:$A$810,$A277,$E$4:$E$810,"Loss"),-('Guide &amp; Settings'!$C$42/($F277-1))*$Z277)))</f>
        <v>-14.530498471024522</v>
      </c>
      <c r="AB277" s="125">
        <f t="shared" si="84"/>
        <v>969.46950152897546</v>
      </c>
      <c r="AC277" s="125" t="str">
        <f>IF($D277="","",IF(SUMPRODUCT(MAX(($D$4:$D$810=$D277)*($B$4:$B$810&lt;$B277)*$B$4:$B$810))=0,0,MAX(($B277-MAX(SUMPRODUCT(MAX(($D$4:$D$810=$D277)*($B$4:$B$810&lt;$B277)*$B$4:$B$810)),'Guide &amp; Settings'!$C$50))/7-'Guide &amp; Settings'!$C$48,0)*'Guide &amp; Settings'!$C$49))</f>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Settings'!$C$42/(($F278-1)*COUNTIFS($A$4:$A$810,$A278,$E$4:$E$810,"Win")))*SUMIFS($X$4:$X$810,$A$4:$A$810,$A278,$E$4:$E$810,"Loss"),-('Guide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5">
        <f t="shared" si="84"/>
        <v>928.06688542994414</v>
      </c>
      <c r="AC278" s="125" t="str">
        <f>IF($D278="","",IF(SUMPRODUCT(MAX(($D$4:$D$810=$D278)*($B$4:$B$810&lt;$B278)*$B$4:$B$810))=0,0,MAX(($B278-MAX(SUMPRODUCT(MAX(($D$4:$D$810=$D278)*($B$4:$B$810&lt;$B278)*$B$4:$B$810)),'Guide &amp; Settings'!$C$50))/7-'Guide &amp; Settings'!$C$48,0)*'Guide &amp; Settings'!$C$49))</f>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Settings'!$C$42/(($F279-1)*COUNTIFS($A$4:$A$810,$A279,$E$4:$E$810,"Win")))*SUMIFS($X$4:$X$810,$A$4:$A$810,$A279,$E$4:$E$810,"Loss"),-('Guide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5">
        <f t="shared" si="84"/>
        <v>1011.5572212043264</v>
      </c>
      <c r="AC279" s="125" t="str">
        <f>IF($D279="","",IF(SUMPRODUCT(MAX(($D$4:$D$810=$D279)*($B$4:$B$810&lt;$B279)*$B$4:$B$810))=0,0,MAX(($B279-MAX(SUMPRODUCT(MAX(($D$4:$D$810=$D279)*($B$4:$B$810&lt;$B279)*$B$4:$B$810)),'Guide &amp; Settings'!$C$50))/7-'Guide &amp; Settings'!$C$48,0)*'Guide &amp; Settings'!$C$49))</f>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Settings'!$C$42/(($F280-1)*COUNTIFS($A$4:$A$810,$A280,$E$4:$E$810,"Win")))*SUMIFS($X$4:$X$810,$A$4:$A$810,$A280,$E$4:$E$810,"Loss"),-('Guide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5">
        <f t="shared" si="84"/>
        <v>915.83941894828183</v>
      </c>
      <c r="AC280" s="125" t="str">
        <f>IF($D280="","",IF(SUMPRODUCT(MAX(($D$4:$D$810=$D280)*($B$4:$B$810&lt;$B280)*$B$4:$B$810))=0,0,MAX(($B280-MAX(SUMPRODUCT(MAX(($D$4:$D$810=$D280)*($B$4:$B$810&lt;$B280)*$B$4:$B$810)),'Guide &amp; Settings'!$C$50))/7-'Guide &amp; Settings'!$C$48,0)*'Guide &amp; Settings'!$C$49))</f>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Settings'!$C$42/(($F281-1)*COUNTIFS($A$4:$A$810,$A281,$E$4:$E$810,"Win")))*SUMIFS($X$4:$X$810,$A$4:$A$810,$A281,$E$4:$E$810,"Loss"),-('Guide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5">
        <f t="shared" si="84"/>
        <v>1023.7846876859887</v>
      </c>
      <c r="AC281" s="125" t="str">
        <f>IF($D281="","",IF(SUMPRODUCT(MAX(($D$4:$D$810=$D281)*($B$4:$B$810&lt;$B281)*$B$4:$B$810))=0,0,MAX(($B281-MAX(SUMPRODUCT(MAX(($D$4:$D$810=$D281)*($B$4:$B$810&lt;$B281)*$B$4:$B$810)),'Guide &amp; Settings'!$C$50))/7-'Guide &amp; Settings'!$C$48,0)*'Guide &amp; Settings'!$C$49))</f>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Settings'!$C$42/(($F282-1)*COUNTIFS($A$4:$A$810,$A282,$E$4:$E$810,"Win")))*SUMIFS($X$4:$X$810,$A$4:$A$810,$A282,$E$4:$E$810,"Loss"),-('Guide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5">
        <f t="shared" si="84"/>
        <v>904.65647514018167</v>
      </c>
      <c r="AC282" s="125" t="str">
        <f>IF($D282="","",IF(SUMPRODUCT(MAX(($D$4:$D$810=$D282)*($B$4:$B$810&lt;$B282)*$B$4:$B$810))=0,0,MAX(($B282-MAX(SUMPRODUCT(MAX(($D$4:$D$810=$D282)*($B$4:$B$810&lt;$B282)*$B$4:$B$810)),'Guide &amp; Settings'!$C$50))/7-'Guide &amp; Settings'!$C$48,0)*'Guide &amp; Settings'!$C$49))</f>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Settings'!$C$42/(($F283-1)*COUNTIFS($A$4:$A$810,$A283,$E$4:$E$810,"Win")))*SUMIFS($X$4:$X$810,$A$4:$A$810,$A283,$E$4:$E$810,"Loss"),-('Guide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5">
        <f t="shared" si="84"/>
        <v>1034.9676314940889</v>
      </c>
      <c r="AC283" s="125" t="str">
        <f>IF($D283="","",IF(SUMPRODUCT(MAX(($D$4:$D$810=$D283)*($B$4:$B$810&lt;$B283)*$B$4:$B$810))=0,0,MAX(($B283-MAX(SUMPRODUCT(MAX(($D$4:$D$810=$D283)*($B$4:$B$810&lt;$B283)*$B$4:$B$810)),'Guide &amp; Settings'!$C$50))/7-'Guide &amp; Settings'!$C$48,0)*'Guide &amp; Settings'!$C$49))</f>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Settings'!$C$42/(($F284-1)*COUNTIFS($A$4:$A$810,$A284,$E$4:$E$810,"Win")))*SUMIFS($X$4:$X$810,$A$4:$A$810,$A284,$E$4:$E$810,"Loss"),-('Guide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5">
        <f t="shared" si="84"/>
        <v>968.44105725737359</v>
      </c>
      <c r="AC284" s="125" t="str">
        <f>IF($D284="","",IF(SUMPRODUCT(MAX(($D$4:$D$810=$D284)*($B$4:$B$810&lt;$B284)*$B$4:$B$810))=0,0,MAX(($B284-MAX(SUMPRODUCT(MAX(($D$4:$D$810=$D284)*($B$4:$B$810&lt;$B284)*$B$4:$B$810)),'Guide &amp; Settings'!$C$50))/7-'Guide &amp; Settings'!$C$48,0)*'Guide &amp; Settings'!$C$49))</f>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Settings'!$C$42/(($F285-1)*COUNTIFS($A$4:$A$810,$A285,$E$4:$E$810,"Win")))*SUMIFS($X$4:$X$810,$A$4:$A$810,$A285,$E$4:$E$810,"Loss"),-('Guide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5">
        <f t="shared" si="84"/>
        <v>1000.5463997736937</v>
      </c>
      <c r="AC285" s="125" t="str">
        <f>IF($D285="","",IF(SUMPRODUCT(MAX(($D$4:$D$810=$D285)*($B$4:$B$810&lt;$B285)*$B$4:$B$810))=0,0,MAX(($B285-MAX(SUMPRODUCT(MAX(($D$4:$D$810=$D285)*($B$4:$B$810&lt;$B285)*$B$4:$B$810)),'Guide &amp; Settings'!$C$50))/7-'Guide &amp; Settings'!$C$48,0)*'Guide &amp; Settings'!$C$49))</f>
      </c>
    </row>
    <row r="286" spans="1:29" ht="15" customHeight="1" x14ac:dyDescent="0.2">
      <c r="A286" s="116">
        <v>119</v>
      </c>
      <c r="B286" s="117">
        <v>46208</v>
      </c>
      <c r="C286" s="118" t="s">
        <v>203</v>
      </c>
      <c r="D286" s="118" t="s">
        <v>141</v>
      </c>
      <c r="E286" s="116" t="s">
        <v>316</v>
      </c>
      <c r="F286" s="119">
        <f t="shared" si="68"/>
        <v>2</v>
      </c>
      <c r="G286" s="120" t="str">
        <f t="shared" si="69"/>
        <v>Shawn</v>
      </c>
      <c r="H286" s="121">
        <f>IF($D286="",0,IFERROR(LOOKUP(2,1/(($D$3:D285=$D286)*($A$3:A285&lt;$A286)),$N$3:N285),'Guide &amp; Settings'!$C$41))</f>
        <v>956.84822634794841</v>
      </c>
      <c r="I286" s="122">
        <f t="shared" si="70"/>
        <v>0.59770114942528729</v>
      </c>
      <c r="J286" s="123">
        <f>IF($D286="",0,IF($F286&lt;2,0,IF($E286="Win",('Guide &amp; Settings'!$C$42/(($F286-1)*COUNTIFS($A$4:$A$810,$A286,$E$4:$E$810,"Win")))*SUMIFS($X$4:$X$810,$A$4:$A$810,$A286,$E$4:$E$810,"Loss"),-('Guide &amp; Settings'!$C$42/($F286-1))*$X286)))</f>
        <v>19.70920144642314</v>
      </c>
      <c r="K286" s="123">
        <f>IF($D286="",0,'Guide &amp; Settings'!$C$43*(IF($E286="Win",1,0)-$I286))</f>
        <v>4.8275862068965525</v>
      </c>
      <c r="L286" s="124">
        <f>IF($D286="",0,'Guide &amp; Settings'!$C$44*IF($F286&gt;=3,$F286+IF($E286="Win",$F286,0),0))</f>
        <v>0</v>
      </c>
      <c r="M286" s="123">
        <f t="shared" si="71"/>
        <v>24.536787653319692</v>
      </c>
      <c r="N286" s="121">
        <f t="shared" si="72"/>
        <v>981.38501400126813</v>
      </c>
      <c r="O286" s="120" t="str">
        <f t="shared" si="73"/>
        <v>OK</v>
      </c>
      <c r="P286">
        <f t="shared" si="74"/>
        <v>956.84822634794841</v>
      </c>
      <c r="Q286">
        <f t="shared" si="75"/>
        <v>0.5</v>
      </c>
      <c r="R286">
        <f t="shared" si="76"/>
        <v>0.8</v>
      </c>
      <c r="S286">
        <f t="shared" si="77"/>
        <v>1.3384615384615386</v>
      </c>
      <c r="T286" s="88">
        <f t="shared" si="78"/>
        <v>3</v>
      </c>
      <c r="U286" s="125">
        <f>IF($D286="",0,IFERROR(LOOKUP(2,1/(($D$3:D285=$D286)*($C$3:C285=$C286)*($A$3:A285&lt;$A286)),$AB$3:AB285),1000))</f>
        <v>1043.7471336336109</v>
      </c>
      <c r="V286" s="125">
        <f t="shared" si="79"/>
        <v>989.4353165800718</v>
      </c>
      <c r="W286">
        <f t="shared" si="80"/>
        <v>989.4353165800718</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5">
        <f t="shared" si="84"/>
        <v>1059.2807367630878</v>
      </c>
      <c r="AC286" s="125" t="str">
        <f>IF($D286="","",IF(SUMPRODUCT(MAX(($D$4:$D$810=$D286)*($B$4:$B$810&lt;$B286)*$B$4:$B$810))=0,0,MAX(($B286-MAX(SUMPRODUCT(MAX(($D$4:$D$810=$D286)*($B$4:$B$810&lt;$B286)*$B$4:$B$810)),'Guide &amp; Settings'!$C$50))/7-'Guide &amp; Settings'!$C$48,0)*'Guide &amp; Settings'!$C$49))</f>
      </c>
    </row>
    <row r="287" spans="1:29" ht="15" customHeight="1" x14ac:dyDescent="0.2">
      <c r="A287" s="116">
        <v>119</v>
      </c>
      <c r="B287" s="117">
        <v>46208</v>
      </c>
      <c r="C287" s="118" t="s">
        <v>203</v>
      </c>
      <c r="D287" s="118" t="s">
        <v>176</v>
      </c>
      <c r="E287" s="116" t="s">
        <v>317</v>
      </c>
      <c r="F287" s="119">
        <f t="shared" si="68"/>
        <v>2</v>
      </c>
      <c r="G287" s="120" t="str">
        <f t="shared" si="69"/>
        <v>Shawn</v>
      </c>
      <c r="H287" s="121">
        <f>IF($D287="",0,IFERROR(LOOKUP(2,1/(($D$3:D286=$D287)*($A$3:A286&lt;$A287)),$N$3:N286),'Guide &amp; Settings'!$C$41))</f>
        <v>1154.7503552131154</v>
      </c>
      <c r="I287" s="122">
        <f t="shared" si="70"/>
        <v>0.4022988505747126</v>
      </c>
      <c r="J287" s="123">
        <f>IF($D287="",0,IF($F287&lt;2,0,IF($E287="Win",('Guide &amp; Settings'!$C$42/(($F287-1)*COUNTIFS($A$4:$A$810,$A287,$E$4:$E$810,"Win")))*SUMIFS($X$4:$X$810,$A$4:$A$810,$A287,$E$4:$E$810,"Loss"),-('Guide &amp; Settings'!$C$42/($F287-1))*$X287)))</f>
        <v>-19.70920144642314</v>
      </c>
      <c r="K287" s="123">
        <f>IF($D287="",0,'Guide &amp; Settings'!$C$43*(IF($E287="Win",1,0)-$I287))</f>
        <v>-4.8275862068965516</v>
      </c>
      <c r="L287" s="124">
        <f>IF($D287="",0,'Guide &amp; Settings'!$C$44*IF($F287&gt;=3,$F287+IF($E287="Win",$F287,0),0))</f>
        <v>0</v>
      </c>
      <c r="M287" s="123">
        <f t="shared" si="71"/>
        <v>-24.536787653319692</v>
      </c>
      <c r="N287" s="121">
        <f t="shared" si="72"/>
        <v>1130.2135675597958</v>
      </c>
      <c r="O287" s="120" t="str">
        <f t="shared" si="73"/>
        <v>OK</v>
      </c>
      <c r="P287">
        <f t="shared" si="74"/>
        <v>956.84822634794841</v>
      </c>
      <c r="Q287">
        <f t="shared" si="75"/>
        <v>0.75753570873398546</v>
      </c>
      <c r="R287">
        <f t="shared" si="76"/>
        <v>0.53846153846153844</v>
      </c>
      <c r="S287">
        <f t="shared" si="77"/>
        <v>1.3384615384615386</v>
      </c>
      <c r="T287" s="88">
        <f t="shared" si="78"/>
        <v>11</v>
      </c>
      <c r="U287" s="125">
        <f>IF($D287="",0,IFERROR(LOOKUP(2,1/(($D$3:D286=$D287)*($C$3:C286=$C287)*($A$3:A286&lt;$A287)),$AB$3:AB286),1000))</f>
        <v>1033.6165842741636</v>
      </c>
      <c r="V287" s="125">
        <f t="shared" si="79"/>
        <v>1071.4708876925861</v>
      </c>
      <c r="W287">
        <f t="shared" si="80"/>
        <v>989.4353165800718</v>
      </c>
      <c r="X287">
        <f t="shared" si="81"/>
        <v>0.61591254520072314</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5">
        <f t="shared" si="84"/>
        <v>1018.0829811446868</v>
      </c>
      <c r="AC287" s="125" t="str">
        <f>IF($D287="","",IF(SUMPRODUCT(MAX(($D$4:$D$810=$D287)*($B$4:$B$810&lt;$B287)*$B$4:$B$810))=0,0,MAX(($B287-MAX(SUMPRODUCT(MAX(($D$4:$D$810=$D287)*($B$4:$B$810&lt;$B287)*$B$4:$B$810)),'Guide &amp; Settings'!$C$50))/7-'Guide &amp; Settings'!$C$48,0)*'Guide &amp; Settings'!$C$49))</f>
      </c>
    </row>
    <row r="288" spans="1:29" ht="15" customHeight="1" x14ac:dyDescent="0.2">
      <c r="A288" s="116">
        <v>120</v>
      </c>
      <c r="B288" s="117">
        <v>46208</v>
      </c>
      <c r="C288" s="118" t="s">
        <v>203</v>
      </c>
      <c r="D288" s="118" t="s">
        <v>141</v>
      </c>
      <c r="E288" s="116" t="s">
        <v>316</v>
      </c>
      <c r="F288" s="119">
        <f t="shared" si="68"/>
        <v>2</v>
      </c>
      <c r="G288" s="120" t="str">
        <f t="shared" si="69"/>
        <v>Shawn</v>
      </c>
      <c r="H288" s="121">
        <f>IF($D288="",0,IFERROR(LOOKUP(2,1/(($D$3:D287=$D288)*($A$3:A287&lt;$A288)),$N$3:N287),'Guide &amp; Settings'!$C$41))</f>
        <v>981.38501400126813</v>
      </c>
      <c r="I288" s="122">
        <f t="shared" si="70"/>
        <v>0.625</v>
      </c>
      <c r="J288" s="123">
        <f>IF($D288="",0,IF($F288&lt;2,0,IF($E288="Win",('Guide &amp; Settings'!$C$42/(($F288-1)*COUNTIFS($A$4:$A$810,$A288,$E$4:$E$810,"Win")))*SUMIFS($X$4:$X$810,$A$4:$A$810,$A288,$E$4:$E$810,"Loss"),-('Guide &amp; Settings'!$C$42/($F288-1))*$X288)))</f>
        <v>17.608988240968731</v>
      </c>
      <c r="K288" s="123">
        <f>IF($D288="",0,'Guide &amp; Settings'!$C$43*(IF($E288="Win",1,0)-$I288))</f>
        <v>4.5</v>
      </c>
      <c r="L288" s="124">
        <f>IF($D288="",0,'Guide &amp; Settings'!$C$44*IF($F288&gt;=3,$F288+IF($E288="Win",$F288,0),0))</f>
        <v>0</v>
      </c>
      <c r="M288" s="123">
        <f t="shared" si="71"/>
        <v>22.108988240968731</v>
      </c>
      <c r="N288" s="121">
        <f t="shared" si="72"/>
        <v>1003.4940022422369</v>
      </c>
      <c r="O288" s="120" t="str">
        <f t="shared" si="73"/>
        <v>OK</v>
      </c>
      <c r="P288">
        <f t="shared" si="74"/>
        <v>981.38501400126813</v>
      </c>
      <c r="Q288">
        <f t="shared" si="75"/>
        <v>0.5</v>
      </c>
      <c r="R288">
        <f t="shared" si="76"/>
        <v>0.83333333333333337</v>
      </c>
      <c r="S288">
        <f t="shared" si="77"/>
        <v>1.3333333333333335</v>
      </c>
      <c r="T288" s="88">
        <f t="shared" si="78"/>
        <v>4</v>
      </c>
      <c r="U288" s="125">
        <f>IF($D288="",0,IFERROR(LOOKUP(2,1/(($D$3:D287=$D288)*($C$3:C287=$C288)*($A$3:A287&lt;$A288)),$AB$3:AB287),1000))</f>
        <v>1059.2807367630878</v>
      </c>
      <c r="V288" s="125">
        <f t="shared" si="79"/>
        <v>1016.0053352287434</v>
      </c>
      <c r="W288">
        <f t="shared" si="80"/>
        <v>1016.0053352287434</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5">
        <f t="shared" si="84"/>
        <v>1073.39235221687</v>
      </c>
      <c r="AC288" s="125" t="str">
        <f>IF($D288="","",IF(SUMPRODUCT(MAX(($D$4:$D$810=$D288)*($B$4:$B$810&lt;$B288)*$B$4:$B$810))=0,0,MAX(($B288-MAX(SUMPRODUCT(MAX(($D$4:$D$810=$D288)*($B$4:$B$810&lt;$B288)*$B$4:$B$810)),'Guide &amp; Settings'!$C$50))/7-'Guide &amp; Settings'!$C$48,0)*'Guide &amp; Settings'!$C$49))</f>
      </c>
    </row>
    <row r="289" spans="1:29" ht="15" customHeight="1" x14ac:dyDescent="0.2">
      <c r="A289" s="116">
        <v>120</v>
      </c>
      <c r="B289" s="117">
        <v>46208</v>
      </c>
      <c r="C289" s="118" t="s">
        <v>203</v>
      </c>
      <c r="D289" s="118" t="s">
        <v>176</v>
      </c>
      <c r="E289" s="116" t="s">
        <v>317</v>
      </c>
      <c r="F289" s="119">
        <f t="shared" si="68"/>
        <v>2</v>
      </c>
      <c r="G289" s="120" t="str">
        <f t="shared" si="69"/>
        <v>Shawn</v>
      </c>
      <c r="H289" s="121">
        <f>IF($D289="",0,IFERROR(LOOKUP(2,1/(($D$3:D288=$D289)*($A$3:A288&lt;$A289)),$N$3:N288),'Guide &amp; Settings'!$C$41))</f>
        <v>1130.2135675597958</v>
      </c>
      <c r="I289" s="122">
        <f t="shared" si="70"/>
        <v>0.37499999999999994</v>
      </c>
      <c r="J289" s="123">
        <f>IF($D289="",0,IF($F289&lt;2,0,IF($E289="Win",('Guide &amp; Settings'!$C$42/(($F289-1)*COUNTIFS($A$4:$A$810,$A289,$E$4:$E$810,"Win")))*SUMIFS($X$4:$X$810,$A$4:$A$810,$A289,$E$4:$E$810,"Loss"),-('Guide &amp; Settings'!$C$42/($F289-1))*$X289)))</f>
        <v>-17.608988240968731</v>
      </c>
      <c r="K289" s="123">
        <f>IF($D289="",0,'Guide &amp; Settings'!$C$43*(IF($E289="Win",1,0)-$I289))</f>
        <v>-4.4999999999999991</v>
      </c>
      <c r="L289" s="124">
        <f>IF($D289="",0,'Guide &amp; Settings'!$C$44*IF($F289&gt;=3,$F289+IF($E289="Win",$F289,0),0))</f>
        <v>0</v>
      </c>
      <c r="M289" s="123">
        <f t="shared" si="71"/>
        <v>-22.108988240968731</v>
      </c>
      <c r="N289" s="121">
        <f t="shared" si="72"/>
        <v>1108.1045793188271</v>
      </c>
      <c r="O289" s="120" t="str">
        <f t="shared" si="73"/>
        <v>OK</v>
      </c>
      <c r="P289">
        <f t="shared" si="74"/>
        <v>981.38501400126813</v>
      </c>
      <c r="Q289">
        <f t="shared" si="75"/>
        <v>0.70197617298324089</v>
      </c>
      <c r="R289">
        <f t="shared" si="76"/>
        <v>0.5</v>
      </c>
      <c r="S289">
        <f t="shared" si="77"/>
        <v>1.3333333333333335</v>
      </c>
      <c r="T289" s="88">
        <f t="shared" si="78"/>
        <v>12</v>
      </c>
      <c r="U289" s="125">
        <f>IF($D289="",0,IFERROR(LOOKUP(2,1/(($D$3:D288=$D289)*($C$3:C288=$C289)*($A$3:A288&lt;$A289)),$AB$3:AB288),1000))</f>
        <v>1018.0829811446868</v>
      </c>
      <c r="V289" s="125">
        <f t="shared" si="79"/>
        <v>1051.0625653844247</v>
      </c>
      <c r="W289">
        <f t="shared" si="80"/>
        <v>1016.0053352287434</v>
      </c>
      <c r="X289">
        <f t="shared" si="81"/>
        <v>0.55028088253027285</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5">
        <f t="shared" si="84"/>
        <v>1003.9713656909046</v>
      </c>
      <c r="AC289" s="125" t="str">
        <f>IF($D289="","",IF(SUMPRODUCT(MAX(($D$4:$D$810=$D289)*($B$4:$B$810&lt;$B289)*$B$4:$B$810))=0,0,MAX(($B289-MAX(SUMPRODUCT(MAX(($D$4:$D$810=$D289)*($B$4:$B$810&lt;$B289)*$B$4:$B$810)),'Guide &amp; Settings'!$C$50))/7-'Guide &amp; Settings'!$C$48,0)*'Guide &amp; Settings'!$C$49))</f>
      </c>
    </row>
    <row r="290" spans="1:29" ht="15" customHeight="1" x14ac:dyDescent="0.2">
      <c r="A290" s="116">
        <v>121</v>
      </c>
      <c r="B290" s="117">
        <v>46208</v>
      </c>
      <c r="C290" s="118" t="s">
        <v>205</v>
      </c>
      <c r="D290" s="118" t="s">
        <v>141</v>
      </c>
      <c r="E290" s="116" t="s">
        <v>317</v>
      </c>
      <c r="F290" s="119">
        <f t="shared" si="68"/>
        <v>2</v>
      </c>
      <c r="G290" s="120" t="str">
        <f t="shared" si="69"/>
        <v>Daniel (Ferret)</v>
      </c>
      <c r="H290" s="121">
        <f>IF($D290="",0,IFERROR(LOOKUP(2,1/(($D$3:D289=$D290)*($A$3:A289&lt;$A290)),$N$3:N289),'Guide &amp; Settings'!$C$41))</f>
        <v>1003.4940022422369</v>
      </c>
      <c r="I290" s="122">
        <f t="shared" si="70"/>
        <v>0.26315789473684204</v>
      </c>
      <c r="J290" s="123">
        <f>IF($D290="",0,IF($F290&lt;2,0,IF($E290="Win",('Guide &amp; Settings'!$C$42/(($F290-1)*COUNTIFS($A$4:$A$810,$A290,$E$4:$E$810,"Win")))*SUMIFS($X$4:$X$810,$A$4:$A$810,$A290,$E$4:$E$810,"Loss"),-('Guide &amp; Settings'!$C$42/($F290-1))*$X290)))</f>
        <v>-12.620307569513315</v>
      </c>
      <c r="K290" s="123">
        <f>IF($D290="",0,'Guide &amp; Settings'!$C$43*(IF($E290="Win",1,0)-$I290))</f>
        <v>-3.1578947368421044</v>
      </c>
      <c r="L290" s="124">
        <f>IF($D290="",0,'Guide &amp; Settings'!$C$44*IF($F290&gt;=3,$F290+IF($E290="Win",$F290,0),0))</f>
        <v>0</v>
      </c>
      <c r="M290" s="123">
        <f t="shared" si="71"/>
        <v>-15.77820230635542</v>
      </c>
      <c r="N290" s="121">
        <f t="shared" si="72"/>
        <v>987.71579993588148</v>
      </c>
      <c r="O290" s="120" t="str">
        <f t="shared" si="73"/>
        <v>OK</v>
      </c>
      <c r="P290">
        <f t="shared" si="74"/>
        <v>1069.478840506906</v>
      </c>
      <c r="Q290">
        <f t="shared" si="75"/>
        <v>0.40616566561030265</v>
      </c>
      <c r="R290">
        <f t="shared" si="76"/>
        <v>0.2857142857142857</v>
      </c>
      <c r="S290">
        <f t="shared" si="77"/>
        <v>1.0857142857142859</v>
      </c>
      <c r="T290" s="88">
        <f t="shared" si="78"/>
        <v>5</v>
      </c>
      <c r="U290" s="125">
        <f>IF($D290="",0,IFERROR(LOOKUP(2,1/(($D$3:D289=$D290)*($C$3:C289=$C290)*($A$3:A289&lt;$A290)),$AB$3:AB289),1000))</f>
        <v>968.44105725737359</v>
      </c>
      <c r="V290" s="125">
        <f t="shared" si="79"/>
        <v>985.96752974980518</v>
      </c>
      <c r="W290">
        <f t="shared" si="80"/>
        <v>1060.4783061414282</v>
      </c>
      <c r="X290">
        <f t="shared" si="81"/>
        <v>0.3943846115472911</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5">
        <f t="shared" si="84"/>
        <v>955.93169527043449</v>
      </c>
      <c r="AC290" s="125" t="str">
        <f>IF($D290="","",IF(SUMPRODUCT(MAX(($D$4:$D$810=$D290)*($B$4:$B$810&lt;$B290)*$B$4:$B$810))=0,0,MAX(($B290-MAX(SUMPRODUCT(MAX(($D$4:$D$810=$D290)*($B$4:$B$810&lt;$B290)*$B$4:$B$810)),'Guide &amp; Settings'!$C$50))/7-'Guide &amp; Settings'!$C$48,0)*'Guide &amp; Settings'!$C$49))</f>
      </c>
    </row>
    <row r="291" spans="1:29" ht="15" customHeight="1" x14ac:dyDescent="0.2">
      <c r="A291" s="116">
        <v>121</v>
      </c>
      <c r="B291" s="117">
        <v>46208</v>
      </c>
      <c r="C291" s="118" t="s">
        <v>205</v>
      </c>
      <c r="D291" s="118" t="s">
        <v>177</v>
      </c>
      <c r="E291" s="116" t="s">
        <v>316</v>
      </c>
      <c r="F291" s="119">
        <f t="shared" si="68"/>
        <v>2</v>
      </c>
      <c r="G291" s="120" t="str">
        <f t="shared" si="69"/>
        <v>Daniel (Ferret)</v>
      </c>
      <c r="H291" s="121">
        <f>IF($D291="",0,IFERROR(LOOKUP(2,1/(($D$3:D290=$D291)*($A$3:A290&lt;$A291)),$N$3:N290),'Guide &amp; Settings'!$C$41))</f>
        <v>1069.478840506906</v>
      </c>
      <c r="I291" s="122">
        <f t="shared" si="70"/>
        <v>0.73684210526315785</v>
      </c>
      <c r="J291" s="123">
        <f>IF($D291="",0,IF($F291&lt;2,0,IF($E291="Win",('Guide &amp; Settings'!$C$42/(($F291-1)*COUNTIFS($A$4:$A$810,$A291,$E$4:$E$810,"Win")))*SUMIFS($X$4:$X$810,$A$4:$A$810,$A291,$E$4:$E$810,"Loss"),-('Guide &amp; Settings'!$C$42/($F291-1))*$X291)))</f>
        <v>12.620307569513315</v>
      </c>
      <c r="K291" s="123">
        <f>IF($D291="",0,'Guide &amp; Settings'!$C$43*(IF($E291="Win",1,0)-$I291))</f>
        <v>3.1578947368421058</v>
      </c>
      <c r="L291" s="124">
        <f>IF($D291="",0,'Guide &amp; Settings'!$C$44*IF($F291&gt;=3,$F291+IF($E291="Win",$F291,0),0))</f>
        <v>0</v>
      </c>
      <c r="M291" s="123">
        <f t="shared" si="71"/>
        <v>15.778202306355421</v>
      </c>
      <c r="N291" s="121">
        <f t="shared" si="72"/>
        <v>1085.2570428132615</v>
      </c>
      <c r="O291" s="120" t="str">
        <f t="shared" si="73"/>
        <v>OK</v>
      </c>
      <c r="P291">
        <f t="shared" si="74"/>
        <v>1069.478840506906</v>
      </c>
      <c r="Q291">
        <f t="shared" si="75"/>
        <v>0.5</v>
      </c>
      <c r="R291">
        <f t="shared" si="76"/>
        <v>0.8</v>
      </c>
      <c r="S291">
        <f t="shared" si="77"/>
        <v>1.0857142857142859</v>
      </c>
      <c r="T291" s="88">
        <f t="shared" si="78"/>
        <v>3</v>
      </c>
      <c r="U291" s="125">
        <f>IF($D291="",0,IFERROR(LOOKUP(2,1/(($D$3:D290=$D291)*($C$3:C290=$C291)*($A$3:A290&lt;$A291)),$AB$3:AB290),1000))</f>
        <v>1045.4774155322991</v>
      </c>
      <c r="V291" s="125">
        <f t="shared" si="79"/>
        <v>1060.4783061414282</v>
      </c>
      <c r="W291">
        <f t="shared" si="80"/>
        <v>1060.4783061414282</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5">
        <f t="shared" si="84"/>
        <v>1057.9867775192383</v>
      </c>
      <c r="AC291" s="125" t="str">
        <f>IF($D291="","",IF(SUMPRODUCT(MAX(($D$4:$D$810=$D291)*($B$4:$B$810&lt;$B291)*$B$4:$B$810))=0,0,MAX(($B291-MAX(SUMPRODUCT(MAX(($D$4:$D$810=$D291)*($B$4:$B$810&lt;$B291)*$B$4:$B$810)),'Guide &amp; Settings'!$C$50))/7-'Guide &amp; Settings'!$C$48,0)*'Guide &amp; Settings'!$C$49))</f>
      </c>
    </row>
    <row r="292" spans="1:29" ht="15" customHeight="1" x14ac:dyDescent="0.2">
      <c r="A292" s="116">
        <v>122</v>
      </c>
      <c r="B292" s="117">
        <v>46208</v>
      </c>
      <c r="C292" s="118" t="s">
        <v>205</v>
      </c>
      <c r="D292" s="118" t="s">
        <v>141</v>
      </c>
      <c r="E292" s="116" t="s">
        <v>316</v>
      </c>
      <c r="F292" s="119">
        <f t="shared" si="68"/>
        <v>2</v>
      </c>
      <c r="G292" s="120" t="str">
        <f t="shared" si="69"/>
        <v>Shawn</v>
      </c>
      <c r="H292" s="121">
        <f>IF($D292="",0,IFERROR(LOOKUP(2,1/(($D$3:D291=$D292)*($A$3:A291&lt;$A292)),$N$3:N291),'Guide &amp; Settings'!$C$41))</f>
        <v>987.71579993588148</v>
      </c>
      <c r="I292" s="122">
        <f t="shared" si="70"/>
        <v>0.23076923076923073</v>
      </c>
      <c r="J292" s="123">
        <f>IF($D292="",0,IF($F292&lt;2,0,IF($E292="Win",('Guide &amp; Settings'!$C$42/(($F292-1)*COUNTIFS($A$4:$A$810,$A292,$E$4:$E$810,"Win")))*SUMIFS($X$4:$X$810,$A$4:$A$810,$A292,$E$4:$E$810,"Loss"),-('Guide &amp; Settings'!$C$42/($F292-1))*$X292)))</f>
        <v>20.598857735744136</v>
      </c>
      <c r="K292" s="123">
        <f>IF($D292="",0,'Guide &amp; Settings'!$C$43*(IF($E292="Win",1,0)-$I292))</f>
        <v>9.2307692307692317</v>
      </c>
      <c r="L292" s="124">
        <f>IF($D292="",0,'Guide &amp; Settings'!$C$44*IF($F292&gt;=3,$F292+IF($E292="Win",$F292,0),0))</f>
        <v>0</v>
      </c>
      <c r="M292" s="123">
        <f t="shared" si="71"/>
        <v>29.829626966513366</v>
      </c>
      <c r="N292" s="121">
        <f t="shared" si="72"/>
        <v>1017.5454269023949</v>
      </c>
      <c r="O292" s="120" t="str">
        <f t="shared" si="73"/>
        <v>OK</v>
      </c>
      <c r="P292">
        <f t="shared" si="74"/>
        <v>987.71579993588148</v>
      </c>
      <c r="Q292">
        <f t="shared" si="75"/>
        <v>0.5</v>
      </c>
      <c r="R292">
        <f t="shared" si="76"/>
        <v>0.25</v>
      </c>
      <c r="S292">
        <f t="shared" si="77"/>
        <v>1.0833333333333335</v>
      </c>
      <c r="T292" s="88">
        <f t="shared" si="78"/>
        <v>6</v>
      </c>
      <c r="U292" s="125">
        <f>IF($D292="",0,IFERROR(LOOKUP(2,1/(($D$3:D291=$D292)*($C$3:C291=$C292)*($A$3:A291&lt;$A292)),$AB$3:AB291),1000))</f>
        <v>955.93169527043449</v>
      </c>
      <c r="V292" s="125">
        <f t="shared" si="79"/>
        <v>970.37901557291048</v>
      </c>
      <c r="W292">
        <f t="shared" si="80"/>
        <v>970.37901557291048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5">
        <f t="shared" si="84"/>
        <v>976.50084334444693</v>
      </c>
      <c r="AC292" s="125" t="str">
        <f>IF($D292="","",IF(SUMPRODUCT(MAX(($D$4:$D$810=$D292)*($B$4:$B$810&lt;$B292)*$B$4:$B$810))=0,0,MAX(($B292-MAX(SUMPRODUCT(MAX(($D$4:$D$810=$D292)*($B$4:$B$810&lt;$B292)*$B$4:$B$810)),'Guide &amp; Settings'!$C$50))/7-'Guide &amp; Settings'!$C$48,0)*'Guide &amp; Settings'!$C$49))</f>
      </c>
    </row>
    <row r="293" spans="1:29" ht="15" customHeight="1" x14ac:dyDescent="0.2">
      <c r="A293" s="116">
        <v>122</v>
      </c>
      <c r="B293" s="117">
        <v>46208</v>
      </c>
      <c r="C293" s="118" t="s">
        <v>205</v>
      </c>
      <c r="D293" s="118" t="s">
        <v>177</v>
      </c>
      <c r="E293" s="116" t="s">
        <v>317</v>
      </c>
      <c r="F293" s="119">
        <f t="shared" si="68"/>
        <v>2</v>
      </c>
      <c r="G293" s="120" t="str">
        <f t="shared" si="69"/>
        <v>Shawn</v>
      </c>
      <c r="H293" s="121">
        <f>IF($D293="",0,IFERROR(LOOKUP(2,1/(($D$3:D292=$D293)*($A$3:A292&lt;$A293)),$N$3:N292),'Guide &amp; Settings'!$C$41))</f>
        <v>1085.2570428132615</v>
      </c>
      <c r="I293" s="122">
        <f t="shared" si="70"/>
        <v>0.76923076923076916</v>
      </c>
      <c r="J293" s="123">
        <f>IF($D293="",0,IF($F293&lt;2,0,IF($E293="Win",('Guide &amp; Settings'!$C$42/(($F293-1)*COUNTIFS($A$4:$A$810,$A293,$E$4:$E$810,"Win")))*SUMIFS($X$4:$X$810,$A$4:$A$810,$A293,$E$4:$E$810,"Loss"),-('Guide &amp; Settings'!$C$42/($F293-1))*$X293)))</f>
        <v>-20.598857735744136</v>
      </c>
      <c r="K293" s="123">
        <f>IF($D293="",0,'Guide &amp; Settings'!$C$43*(IF($E293="Win",1,0)-$I293))</f>
        <v>-9.2307692307692299</v>
      </c>
      <c r="L293" s="124">
        <f>IF($D293="",0,'Guide &amp; Settings'!$C$44*IF($F293&gt;=3,$F293+IF($E293="Win",$F293,0),0))</f>
        <v>0</v>
      </c>
      <c r="M293" s="123">
        <f t="shared" si="71"/>
        <v>-29.829626966513366</v>
      </c>
      <c r="N293" s="121">
        <f t="shared" si="72"/>
        <v>1055.4274158467481</v>
      </c>
      <c r="O293" s="120" t="str">
        <f t="shared" si="73"/>
        <v>OK</v>
      </c>
      <c r="P293">
        <f t="shared" si="74"/>
        <v>987.71579993588148</v>
      </c>
      <c r="Q293">
        <f t="shared" si="75"/>
        <v>0.63679781242726974</v>
      </c>
      <c r="R293">
        <f t="shared" si="76"/>
        <v>0.83333333333333337</v>
      </c>
      <c r="S293">
        <f t="shared" si="77"/>
        <v>1.0833333333333335</v>
      </c>
      <c r="T293" s="88">
        <f t="shared" si="78"/>
        <v>4</v>
      </c>
      <c r="U293" s="125">
        <f>IF($D293="",0,IFERROR(LOOKUP(2,1/(($D$3:D292=$D293)*($C$3:C292=$C293)*($A$3:A292&lt;$A293)),$AB$3:AB292),1000))</f>
        <v>1057.9867775192383</v>
      </c>
      <c r="V293" s="125">
        <f t="shared" si="79"/>
        <v>1073.1369249048068</v>
      </c>
      <c r="W293">
        <f t="shared" si="80"/>
        <v>970.37901557291048</v>
      </c>
      <c r="X293">
        <f t="shared" si="81"/>
        <v>0.64371430424200426</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5">
        <f t="shared" si="84"/>
        <v>1037.4176294452259</v>
      </c>
      <c r="AC293" s="125" t="str">
        <f>IF($D293="","",IF(SUMPRODUCT(MAX(($D$4:$D$810=$D293)*($B$4:$B$810&lt;$B293)*$B$4:$B$810))=0,0,MAX(($B293-MAX(SUMPRODUCT(MAX(($D$4:$D$810=$D293)*($B$4:$B$810&lt;$B293)*$B$4:$B$810)),'Guide &amp; Settings'!$C$50))/7-'Guide &amp; Settings'!$C$48,0)*'Guide &amp; Settings'!$C$49))</f>
      </c>
    </row>
    <row r="294" spans="1:29" ht="15" customHeight="1" x14ac:dyDescent="0.2">
      <c r="A294" s="116">
        <v>123</v>
      </c>
      <c r="B294" s="117">
        <v>46208</v>
      </c>
      <c r="C294" s="118" t="s">
        <v>205</v>
      </c>
      <c r="D294" s="118" t="s">
        <v>141</v>
      </c>
      <c r="E294" s="116" t="s">
        <v>317</v>
      </c>
      <c r="F294" s="119">
        <f t="shared" si="68"/>
        <v>2</v>
      </c>
      <c r="G294" s="120" t="str">
        <f t="shared" si="69"/>
        <v>Daniel (Ferret)</v>
      </c>
      <c r="H294" s="121">
        <f>IF($D294="",0,IFERROR(LOOKUP(2,1/(($D$3:D293=$D294)*($A$3:A293&lt;$A294)),$N$3:N293),'Guide &amp; Settings'!$C$41))</f>
        <v>1017.5454269023949</v>
      </c>
      <c r="I294" s="122">
        <f t="shared" si="70"/>
        <v>0.31818181818181812</v>
      </c>
      <c r="J294" s="123">
        <f>IF($D294="",0,IF($F294&lt;2,0,IF($E294="Win",('Guide &amp; Settings'!$C$42/(($F294-1)*COUNTIFS($A$4:$A$810,$A294,$E$4:$E$810,"Win")))*SUMIFS($X$4:$X$810,$A$4:$A$810,$A294,$E$4:$E$810,"Loss"),-('Guide &amp; Settings'!$C$42/($F294-1))*$X294)))</f>
        <v>-13.586127897098171</v>
      </c>
      <c r="K294" s="123">
        <f>IF($D294="",0,'Guide &amp; Settings'!$C$43*(IF($E294="Win",1,0)-$I294))</f>
        <v>-3.8181818181818175</v>
      </c>
      <c r="L294" s="124">
        <f>IF($D294="",0,'Guide &amp; Settings'!$C$44*IF($F294&gt;=3,$F294+IF($E294="Win",$F294,0),0))</f>
        <v>0</v>
      </c>
      <c r="M294" s="123">
        <f t="shared" si="71"/>
        <v>-17.404309715279989</v>
      </c>
      <c r="N294" s="121">
        <f t="shared" si="72"/>
        <v>1000.1411171871149</v>
      </c>
      <c r="O294" s="120" t="str">
        <f t="shared" si="73"/>
        <v>OK</v>
      </c>
      <c r="P294">
        <f t="shared" si="74"/>
        <v>1055.4274158467481</v>
      </c>
      <c r="Q294">
        <f t="shared" si="75"/>
        <v>0.44569844824100746</v>
      </c>
      <c r="R294">
        <f t="shared" si="76"/>
        <v>0.33333333333333331</v>
      </c>
      <c r="S294">
        <f t="shared" si="77"/>
        <v>1.0476190476190477</v>
      </c>
      <c r="T294" s="88">
        <f t="shared" si="78"/>
        <v>7</v>
      </c>
      <c r="U294" s="125">
        <f>IF($D294="",0,IFERROR(LOOKUP(2,1/(($D$3:D293=$D294)*($C$3:C293=$C294)*($A$3:A293&lt;$A294)),$AB$3:AB293),1000))</f>
        <v>976.50084334444693</v>
      </c>
      <c r="V294" s="125">
        <f t="shared" si="79"/>
        <v>993.60275316025854</v>
      </c>
      <c r="W294">
        <f t="shared" si="80"/>
        <v>1046.4225226459871</v>
      </c>
      <c r="X294">
        <f t="shared" si="81"/>
        <v>0.42456649678431785</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5">
        <f t="shared" si="84"/>
        <v>963.2777675383727</v>
      </c>
      <c r="AC294" s="125" t="str">
        <f>IF($D294="","",IF(SUMPRODUCT(MAX(($D$4:$D$810=$D294)*($B$4:$B$810&lt;$B294)*$B$4:$B$810))=0,0,MAX(($B294-MAX(SUMPRODUCT(MAX(($D$4:$D$810=$D294)*($B$4:$B$810&lt;$B294)*$B$4:$B$810)),'Guide &amp; Settings'!$C$50))/7-'Guide &amp; Settings'!$C$48,0)*'Guide &amp; Settings'!$C$49))</f>
      </c>
    </row>
    <row r="295" spans="1:29" ht="15" customHeight="1" x14ac:dyDescent="0.2">
      <c r="A295" s="116">
        <v>123</v>
      </c>
      <c r="B295" s="117">
        <v>46208</v>
      </c>
      <c r="C295" s="118" t="s">
        <v>205</v>
      </c>
      <c r="D295" s="118" t="s">
        <v>177</v>
      </c>
      <c r="E295" s="116" t="s">
        <v>316</v>
      </c>
      <c r="F295" s="119">
        <f t="shared" si="68"/>
        <v>2</v>
      </c>
      <c r="G295" s="120" t="str">
        <f t="shared" si="69"/>
        <v>Daniel (Ferret)</v>
      </c>
      <c r="H295" s="121">
        <f>IF($D295="",0,IFERROR(LOOKUP(2,1/(($D$3:D294=$D295)*($A$3:A294&lt;$A295)),$N$3:N294),'Guide &amp; Settings'!$C$41))</f>
        <v>1055.4274158467481</v>
      </c>
      <c r="I295" s="122">
        <f t="shared" si="70"/>
        <v>0.68181818181818177</v>
      </c>
      <c r="J295" s="123">
        <f>IF($D295="",0,IF($F295&lt;2,0,IF($E295="Win",('Guide &amp; Settings'!$C$42/(($F295-1)*COUNTIFS($A$4:$A$810,$A295,$E$4:$E$810,"Win")))*SUMIFS($X$4:$X$810,$A$4:$A$810,$A295,$E$4:$E$810,"Loss"),-('Guide &amp; Settings'!$C$42/($F295-1))*$X295)))</f>
        <v>13.586127897098171</v>
      </c>
      <c r="K295" s="123">
        <f>IF($D295="",0,'Guide &amp; Settings'!$C$43*(IF($E295="Win",1,0)-$I295))</f>
        <v>3.8181818181818188</v>
      </c>
      <c r="L295" s="124">
        <f>IF($D295="",0,'Guide &amp; Settings'!$C$44*IF($F295&gt;=3,$F295+IF($E295="Win",$F295,0),0))</f>
        <v>0</v>
      </c>
      <c r="M295" s="123">
        <f t="shared" si="71"/>
        <v>17.404309715279989</v>
      </c>
      <c r="N295" s="121">
        <f t="shared" si="72"/>
        <v>1072.8317255620282</v>
      </c>
      <c r="O295" s="120" t="str">
        <f t="shared" si="73"/>
        <v>OK</v>
      </c>
      <c r="P295">
        <f t="shared" si="74"/>
        <v>1055.4274158467481</v>
      </c>
      <c r="Q295">
        <f t="shared" si="75"/>
        <v>0.5</v>
      </c>
      <c r="R295">
        <f t="shared" si="76"/>
        <v>0.7142857142857143</v>
      </c>
      <c r="S295">
        <f t="shared" si="77"/>
        <v>1.0476190476190477</v>
      </c>
      <c r="T295" s="88">
        <f t="shared" si="78"/>
        <v>5</v>
      </c>
      <c r="U295" s="125">
        <f>IF($D295="",0,IFERROR(LOOKUP(2,1/(($D$3:D294=$D295)*($C$3:C294=$C295)*($A$3:A294&lt;$A295)),$AB$3:AB294),1000))</f>
        <v>1037.4176294452259</v>
      </c>
      <c r="V295" s="125">
        <f t="shared" si="79"/>
        <v>1046.4225226459871</v>
      </c>
      <c r="W295">
        <f t="shared" si="80"/>
        <v>1046.4225226459871</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5">
        <f t="shared" si="84"/>
        <v>1050.6407052513002</v>
      </c>
      <c r="AC295" s="125" t="str">
        <f>IF($D295="","",IF(SUMPRODUCT(MAX(($D$4:$D$810=$D295)*($B$4:$B$810&lt;$B295)*$B$4:$B$810))=0,0,MAX(($B295-MAX(SUMPRODUCT(MAX(($D$4:$D$810=$D295)*($B$4:$B$810&lt;$B295)*$B$4:$B$810)),'Guide &amp; Settings'!$C$50))/7-'Guide &amp; Settings'!$C$48,0)*'Guide &amp; Settings'!$C$49))</f>
      </c>
    </row>
    <row r="296" spans="1:29" ht="15" customHeight="1" x14ac:dyDescent="0.2">
      <c r="A296" s="116"/>
      <c r="B296" s="117"/>
      <c r="C296" s="118"/>
      <c r="D296" s="118"/>
      <c r="E296" s="116"/>
      <c r="F296" s="119">
        <f t="shared" si="68"/>
        <v>0</v>
      </c>
      <c r="G296" s="120" t="str">
        <f t="shared" si="69"/>
        <v/>
      </c>
      <c r="H296" s="121">
        <f>IF($D296="",0,IFERROR(LOOKUP(2,1/(($D$3:D295=$D296)*($A$3:A295&lt;$A296)),$N$3:N295),'Guide &amp; Settings'!$C$41))</f>
        <v>0</v>
      </c>
      <c r="I296" s="122">
        <f t="shared" si="70"/>
        <v>0</v>
      </c>
      <c r="J296" s="123">
        <f>IF($D296="",0,IF($F296&lt;2,0,IF($E296="Win",('Guide &amp; Settings'!$C$42/(($F296-1)*COUNTIFS($A$4:$A$810,$A296,$E$4:$E$810,"Win")))*SUMIFS($X$4:$X$810,$A$4:$A$810,$A296,$E$4:$E$810,"Loss"),-('Guide &amp; Settings'!$C$42/($F296-1))*$X296)))</f>
        <v>0</v>
      </c>
      <c r="K296" s="123">
        <f>IF($D296="",0,'Guide &amp; Settings'!$C$43*(IF($E296="Win",1,0)-$I296))</f>
        <v>0</v>
      </c>
      <c r="L296" s="124">
        <f>IF($D296="",0,'Guide &amp; Settings'!$C$44*IF($F296&gt;=3,$F296+IF($E296="Win",$F296,0),0))</f>
        <v>0</v>
      </c>
      <c r="M296" s="123">
        <f t="shared" si="71"/>
        <v>0</v>
      </c>
      <c r="N296" s="121">
        <f t="shared" si="72"/>
        <v>0</v>
      </c>
      <c r="O296" s="120" t="str">
        <f t="shared" si="73"/>
        <v/>
      </c>
      <c r="P296">
        <f t="shared" si="74"/>
        <v>0</v>
      </c>
      <c r="Q296">
        <f t="shared" si="75"/>
        <v>0</v>
      </c>
      <c r="R296">
        <f t="shared" si="76"/>
        <v>0</v>
      </c>
      <c r="S296">
        <f t="shared" si="77"/>
        <v>0</v>
      </c>
      <c r="T296" s="88">
        <f t="shared" si="78"/>
        <v>0</v>
      </c>
      <c r="U296" s="125">
        <f>IF($D296="",0,IFERROR(LOOKUP(2,1/(($D$3:D295=$D296)*($C$3:C295=$C296)*($A$3:A295&lt;$A296)),$AB$3:AB295),1000))</f>
        <v>0</v>
      </c>
      <c r="V296" s="125">
        <f t="shared" si="79"/>
        <v>0</v>
      </c>
      <c r="W296">
        <f t="shared" si="80"/>
        <v>0</v>
      </c>
      <c r="X296">
        <f t="shared" si="81"/>
        <v>0</v>
      </c>
      <c r="Y296">
        <f t="shared" si="82"/>
        <v>0</v>
      </c>
      <c r="Z296">
        <f t="shared" si="83"/>
        <v>0</v>
      </c>
      <c r="AA296">
        <f>IF($D296="",0,IF($F296&lt;2,0,IF($E296="Win",('Guide &amp; Settings'!$C$42/(($F296-1)*COUNTIFS($A$4:$A$810,$A296,$E$4:$E$810,"Win")))*SUMIFS($Z$4:$Z$810,$A$4:$A$810,$A296,$E$4:$E$810,"Loss"),-('Guide &amp; Settings'!$C$42/($F296-1))*$Z296)))</f>
        <v>0</v>
      </c>
      <c r="AB296" s="125">
        <f t="shared" si="84"/>
        <v>0</v>
      </c>
      <c r="AC296" s="125" t="str">
        <f>IF($D296="","",IF(SUMPRODUCT(MAX(($D$4:$D$810=$D296)*($B$4:$B$810&lt;$B296)*$B$4:$B$810))=0,0,MAX(($B296-MAX(SUMPRODUCT(MAX(($D$4:$D$810=$D296)*($B$4:$B$810&lt;$B296)*$B$4:$B$810)),'Guide &amp; Settings'!$C$50))/7-'Guide &amp; Settings'!$C$48,0)*'Guide &amp; Settings'!$C$49))</f>
      </c>
    </row>
    <row r="297" spans="1:29" ht="15" customHeight="1" x14ac:dyDescent="0.2">
      <c r="A297" s="116"/>
      <c r="B297" s="117"/>
      <c r="C297" s="118"/>
      <c r="D297" s="118"/>
      <c r="E297" s="116"/>
      <c r="F297" s="119">
        <f t="shared" si="68"/>
        <v>0</v>
      </c>
      <c r="G297" s="120" t="str">
        <f t="shared" si="69"/>
        <v/>
      </c>
      <c r="H297" s="121">
        <f>IF($D297="",0,IFERROR(LOOKUP(2,1/(($D$3:D296=$D297)*($A$3:A296&lt;$A297)),$N$3:N296),'Guide &amp; Settings'!$C$41))</f>
        <v>0</v>
      </c>
      <c r="I297" s="122">
        <f t="shared" si="70"/>
        <v>0</v>
      </c>
      <c r="J297" s="123">
        <f>IF($D297="",0,IF($F297&lt;2,0,IF($E297="Win",('Guide &amp; Settings'!$C$42/(($F297-1)*COUNTIFS($A$4:$A$810,$A297,$E$4:$E$810,"Win")))*SUMIFS($X$4:$X$810,$A$4:$A$810,$A297,$E$4:$E$810,"Loss"),-('Guide &amp; Settings'!$C$42/($F297-1))*$X297)))</f>
        <v>0</v>
      </c>
      <c r="K297" s="123">
        <f>IF($D297="",0,'Guide &amp; Settings'!$C$43*(IF($E297="Win",1,0)-$I297))</f>
        <v>0</v>
      </c>
      <c r="L297" s="124">
        <f>IF($D297="",0,'Guide &amp; Settings'!$C$44*IF($F297&gt;=3,$F297+IF($E297="Win",$F297,0),0))</f>
        <v>0</v>
      </c>
      <c r="M297" s="123">
        <f t="shared" si="71"/>
        <v>0</v>
      </c>
      <c r="N297" s="121">
        <f t="shared" si="72"/>
        <v>0</v>
      </c>
      <c r="O297" s="120" t="str">
        <f t="shared" si="73"/>
        <v/>
      </c>
      <c r="P297">
        <f t="shared" si="74"/>
        <v>0</v>
      </c>
      <c r="Q297">
        <f t="shared" si="75"/>
        <v>0</v>
      </c>
      <c r="R297">
        <f t="shared" si="76"/>
        <v>0</v>
      </c>
      <c r="S297">
        <f t="shared" si="77"/>
        <v>0</v>
      </c>
      <c r="T297" s="88">
        <f t="shared" si="78"/>
        <v>0</v>
      </c>
      <c r="U297" s="125">
        <f>IF($D297="",0,IFERROR(LOOKUP(2,1/(($D$3:D296=$D297)*($C$3:C296=$C297)*($A$3:A296&lt;$A297)),$AB$3:AB296),1000))</f>
        <v>0</v>
      </c>
      <c r="V297" s="125">
        <f t="shared" si="79"/>
        <v>0</v>
      </c>
      <c r="W297">
        <f t="shared" si="80"/>
        <v>0</v>
      </c>
      <c r="X297">
        <f t="shared" si="81"/>
        <v>0</v>
      </c>
      <c r="Y297">
        <f t="shared" si="82"/>
        <v>0</v>
      </c>
      <c r="Z297">
        <f t="shared" si="83"/>
        <v>0</v>
      </c>
      <c r="AA297">
        <f>IF($D297="",0,IF($F297&lt;2,0,IF($E297="Win",('Guide &amp; Settings'!$C$42/(($F297-1)*COUNTIFS($A$4:$A$810,$A297,$E$4:$E$810,"Win")))*SUMIFS($Z$4:$Z$810,$A$4:$A$810,$A297,$E$4:$E$810,"Loss"),-('Guide &amp; Settings'!$C$42/($F297-1))*$Z297)))</f>
        <v>0</v>
      </c>
      <c r="AB297" s="125">
        <f t="shared" si="84"/>
        <v>0</v>
      </c>
      <c r="AC297" s="125" t="str">
        <f>IF($D297="","",IF(SUMPRODUCT(MAX(($D$4:$D$810=$D297)*($B$4:$B$810&lt;$B297)*$B$4:$B$810))=0,0,MAX(($B297-MAX(SUMPRODUCT(MAX(($D$4:$D$810=$D297)*($B$4:$B$810&lt;$B297)*$B$4:$B$810)),'Guide &amp; Settings'!$C$50))/7-'Guide &amp; Settings'!$C$48,0)*'Guide &amp; Settings'!$C$49))</f>
      </c>
    </row>
    <row r="298" spans="1:29" ht="15" customHeight="1" x14ac:dyDescent="0.2">
      <c r="A298" s="116"/>
      <c r="B298" s="117"/>
      <c r="C298" s="118"/>
      <c r="D298" s="118"/>
      <c r="E298" s="116"/>
      <c r="F298" s="119">
        <f t="shared" si="68"/>
        <v>0</v>
      </c>
      <c r="G298" s="120" t="str">
        <f t="shared" si="69"/>
        <v/>
      </c>
      <c r="H298" s="121">
        <f>IF($D298="",0,IFERROR(LOOKUP(2,1/(($D$3:D297=$D298)*($A$3:A297&lt;$A298)),$N$3:N297),'Guide &amp; Settings'!$C$41))</f>
        <v>0</v>
      </c>
      <c r="I298" s="122">
        <f t="shared" si="70"/>
        <v>0</v>
      </c>
      <c r="J298" s="123">
        <f>IF($D298="",0,IF($F298&lt;2,0,IF($E298="Win",('Guide &amp; Settings'!$C$42/(($F298-1)*COUNTIFS($A$4:$A$810,$A298,$E$4:$E$810,"Win")))*SUMIFS($X$4:$X$810,$A$4:$A$810,$A298,$E$4:$E$810,"Loss"),-('Guide &amp; Settings'!$C$42/($F298-1))*$X298)))</f>
        <v>0</v>
      </c>
      <c r="K298" s="123">
        <f>IF($D298="",0,'Guide &amp; Settings'!$C$43*(IF($E298="Win",1,0)-$I298))</f>
        <v>0</v>
      </c>
      <c r="L298" s="124">
        <f>IF($D298="",0,'Guide &amp; Settings'!$C$44*IF($F298&gt;=3,$F298+IF($E298="Win",$F298,0),0))</f>
        <v>0</v>
      </c>
      <c r="M298" s="123">
        <f t="shared" si="71"/>
        <v>0</v>
      </c>
      <c r="N298" s="121">
        <f t="shared" si="72"/>
        <v>0</v>
      </c>
      <c r="O298" s="120" t="str">
        <f t="shared" si="73"/>
        <v/>
      </c>
      <c r="P298">
        <f t="shared" si="74"/>
        <v>0</v>
      </c>
      <c r="Q298">
        <f t="shared" si="75"/>
        <v>0</v>
      </c>
      <c r="R298">
        <f t="shared" si="76"/>
        <v>0</v>
      </c>
      <c r="S298">
        <f t="shared" si="77"/>
        <v>0</v>
      </c>
      <c r="T298" s="88">
        <f t="shared" si="78"/>
        <v>0</v>
      </c>
      <c r="U298" s="125">
        <f>IF($D298="",0,IFERROR(LOOKUP(2,1/(($D$3:D297=$D298)*($C$3:C297=$C298)*($A$3:A297&lt;$A298)),$AB$3:AB297),1000))</f>
        <v>0</v>
      </c>
      <c r="V298" s="125">
        <f t="shared" si="79"/>
        <v>0</v>
      </c>
      <c r="W298">
        <f t="shared" si="80"/>
        <v>0</v>
      </c>
      <c r="X298">
        <f t="shared" si="81"/>
        <v>0</v>
      </c>
      <c r="Y298">
        <f t="shared" si="82"/>
        <v>0</v>
      </c>
      <c r="Z298">
        <f t="shared" si="83"/>
        <v>0</v>
      </c>
      <c r="AA298">
        <f>IF($D298="",0,IF($F298&lt;2,0,IF($E298="Win",('Guide &amp; Settings'!$C$42/(($F298-1)*COUNTIFS($A$4:$A$810,$A298,$E$4:$E$810,"Win")))*SUMIFS($Z$4:$Z$810,$A$4:$A$810,$A298,$E$4:$E$810,"Loss"),-('Guide &amp; Settings'!$C$42/($F298-1))*$Z298)))</f>
        <v>0</v>
      </c>
      <c r="AB298" s="125">
        <f t="shared" si="84"/>
        <v>0</v>
      </c>
      <c r="AC298" s="125" t="str">
        <f>IF($D298="","",IF(SUMPRODUCT(MAX(($D$4:$D$810=$D298)*($B$4:$B$810&lt;$B298)*$B$4:$B$810))=0,0,MAX(($B298-MAX(SUMPRODUCT(MAX(($D$4:$D$810=$D298)*($B$4:$B$810&lt;$B298)*$B$4:$B$810)),'Guide &amp; Settings'!$C$50))/7-'Guide &amp; Settings'!$C$48,0)*'Guide &amp; Settings'!$C$49))</f>
      </c>
    </row>
    <row r="299" spans="1:29" ht="15" customHeight="1" x14ac:dyDescent="0.2">
      <c r="A299" s="116"/>
      <c r="B299" s="117"/>
      <c r="C299" s="118"/>
      <c r="D299" s="118"/>
      <c r="E299" s="116"/>
      <c r="F299" s="119">
        <f t="shared" si="68"/>
        <v>0</v>
      </c>
      <c r="G299" s="120" t="str">
        <f t="shared" si="69"/>
        <v/>
      </c>
      <c r="H299" s="121">
        <f>IF($D299="",0,IFERROR(LOOKUP(2,1/(($D$3:D298=$D299)*($A$3:A298&lt;$A299)),$N$3:N298),'Guide &amp; Settings'!$C$41))</f>
        <v>0</v>
      </c>
      <c r="I299" s="122">
        <f t="shared" si="70"/>
        <v>0</v>
      </c>
      <c r="J299" s="123">
        <f>IF($D299="",0,IF($F299&lt;2,0,IF($E299="Win",('Guide &amp; Settings'!$C$42/(($F299-1)*COUNTIFS($A$4:$A$810,$A299,$E$4:$E$810,"Win")))*SUMIFS($X$4:$X$810,$A$4:$A$810,$A299,$E$4:$E$810,"Loss"),-('Guide &amp; Settings'!$C$42/($F299-1))*$X299)))</f>
        <v>0</v>
      </c>
      <c r="K299" s="123">
        <f>IF($D299="",0,'Guide &amp; Settings'!$C$43*(IF($E299="Win",1,0)-$I299))</f>
        <v>0</v>
      </c>
      <c r="L299" s="124">
        <f>IF($D299="",0,'Guide &amp; Settings'!$C$44*IF($F299&gt;=3,$F299+IF($E299="Win",$F299,0),0))</f>
        <v>0</v>
      </c>
      <c r="M299" s="123">
        <f t="shared" si="71"/>
        <v>0</v>
      </c>
      <c r="N299" s="121">
        <f t="shared" si="72"/>
        <v>0</v>
      </c>
      <c r="O299" s="120" t="str">
        <f t="shared" si="73"/>
        <v/>
      </c>
      <c r="P299">
        <f t="shared" si="74"/>
        <v>0</v>
      </c>
      <c r="Q299">
        <f t="shared" si="75"/>
        <v>0</v>
      </c>
      <c r="R299">
        <f t="shared" si="76"/>
        <v>0</v>
      </c>
      <c r="S299">
        <f t="shared" si="77"/>
        <v>0</v>
      </c>
      <c r="T299" s="88">
        <f t="shared" si="78"/>
        <v>0</v>
      </c>
      <c r="U299" s="125">
        <f>IF($D299="",0,IFERROR(LOOKUP(2,1/(($D$3:D298=$D299)*($C$3:C298=$C299)*($A$3:A298&lt;$A299)),$AB$3:AB298),1000))</f>
        <v>0</v>
      </c>
      <c r="V299" s="125">
        <f t="shared" si="79"/>
        <v>0</v>
      </c>
      <c r="W299">
        <f t="shared" si="80"/>
        <v>0</v>
      </c>
      <c r="X299">
        <f t="shared" si="81"/>
        <v>0</v>
      </c>
      <c r="Y299">
        <f t="shared" si="82"/>
        <v>0</v>
      </c>
      <c r="Z299">
        <f t="shared" si="83"/>
        <v>0</v>
      </c>
      <c r="AA299">
        <f>IF($D299="",0,IF($F299&lt;2,0,IF($E299="Win",('Guide &amp; Settings'!$C$42/(($F299-1)*COUNTIFS($A$4:$A$810,$A299,$E$4:$E$810,"Win")))*SUMIFS($Z$4:$Z$810,$A$4:$A$810,$A299,$E$4:$E$810,"Loss"),-('Guide &amp; Settings'!$C$42/($F299-1))*$Z299)))</f>
        <v>0</v>
      </c>
      <c r="AB299" s="125">
        <f t="shared" si="84"/>
        <v>0</v>
      </c>
      <c r="AC299" s="125" t="str">
        <f>IF($D299="","",IF(SUMPRODUCT(MAX(($D$4:$D$810=$D299)*($B$4:$B$810&lt;$B299)*$B$4:$B$810))=0,0,MAX(($B299-MAX(SUMPRODUCT(MAX(($D$4:$D$810=$D299)*($B$4:$B$810&lt;$B299)*$B$4:$B$810)),'Guide &amp; Settings'!$C$50))/7-'Guide &amp; Settings'!$C$48,0)*'Guide &amp; Settings'!$C$49))</f>
      </c>
    </row>
    <row r="300" spans="1:29" ht="15" customHeight="1" x14ac:dyDescent="0.2">
      <c r="A300" s="116"/>
      <c r="B300" s="117"/>
      <c r="C300" s="118"/>
      <c r="D300" s="118"/>
      <c r="E300" s="116"/>
      <c r="F300" s="119">
        <f t="shared" si="68"/>
        <v>0</v>
      </c>
      <c r="G300" s="120" t="str">
        <f t="shared" si="69"/>
        <v/>
      </c>
      <c r="H300" s="121">
        <f>IF($D300="",0,IFERROR(LOOKUP(2,1/(($D$3:D299=$D300)*($A$3:A299&lt;$A300)),$N$3:N299),'Guide &amp; Settings'!$C$41))</f>
        <v>0</v>
      </c>
      <c r="I300" s="122">
        <f t="shared" si="70"/>
        <v>0</v>
      </c>
      <c r="J300" s="123">
        <f>IF($D300="",0,IF($F300&lt;2,0,IF($E300="Win",('Guide &amp; Settings'!$C$42/(($F300-1)*COUNTIFS($A$4:$A$810,$A300,$E$4:$E$810,"Win")))*SUMIFS($X$4:$X$810,$A$4:$A$810,$A300,$E$4:$E$810,"Loss"),-('Guide &amp; Settings'!$C$42/($F300-1))*$X300)))</f>
        <v>0</v>
      </c>
      <c r="K300" s="123">
        <f>IF($D300="",0,'Guide &amp; Settings'!$C$43*(IF($E300="Win",1,0)-$I300))</f>
        <v>0</v>
      </c>
      <c r="L300" s="124">
        <f>IF($D300="",0,'Guide &amp; Settings'!$C$44*IF($F300&gt;=3,$F300+IF($E300="Win",$F300,0),0))</f>
        <v>0</v>
      </c>
      <c r="M300" s="123">
        <f t="shared" si="71"/>
        <v>0</v>
      </c>
      <c r="N300" s="121">
        <f t="shared" si="72"/>
        <v>0</v>
      </c>
      <c r="O300" s="120" t="str">
        <f t="shared" si="73"/>
        <v/>
      </c>
      <c r="P300">
        <f t="shared" si="74"/>
        <v>0</v>
      </c>
      <c r="Q300">
        <f t="shared" si="75"/>
        <v>0</v>
      </c>
      <c r="R300">
        <f t="shared" si="76"/>
        <v>0</v>
      </c>
      <c r="S300">
        <f t="shared" si="77"/>
        <v>0</v>
      </c>
      <c r="T300" s="88">
        <f t="shared" si="78"/>
        <v>0</v>
      </c>
      <c r="U300" s="125">
        <f>IF($D300="",0,IFERROR(LOOKUP(2,1/(($D$3:D299=$D300)*($C$3:C299=$C300)*($A$3:A299&lt;$A300)),$AB$3:AB299),1000))</f>
        <v>0</v>
      </c>
      <c r="V300" s="125">
        <f t="shared" si="79"/>
        <v>0</v>
      </c>
      <c r="W300">
        <f t="shared" si="80"/>
        <v>0</v>
      </c>
      <c r="X300">
        <f t="shared" si="81"/>
        <v>0</v>
      </c>
      <c r="Y300">
        <f t="shared" si="82"/>
        <v>0</v>
      </c>
      <c r="Z300">
        <f t="shared" si="83"/>
        <v>0</v>
      </c>
      <c r="AA300">
        <f>IF($D300="",0,IF($F300&lt;2,0,IF($E300="Win",('Guide &amp; Settings'!$C$42/(($F300-1)*COUNTIFS($A$4:$A$810,$A300,$E$4:$E$810,"Win")))*SUMIFS($Z$4:$Z$810,$A$4:$A$810,$A300,$E$4:$E$810,"Loss"),-('Guide &amp; Settings'!$C$42/($F300-1))*$Z300)))</f>
        <v>0</v>
      </c>
      <c r="AB300" s="125">
        <f t="shared" si="84"/>
        <v>0</v>
      </c>
      <c r="AC300" s="125" t="str">
        <f>IF($D300="","",IF(SUMPRODUCT(MAX(($D$4:$D$810=$D300)*($B$4:$B$810&lt;$B300)*$B$4:$B$810))=0,0,MAX(($B300-MAX(SUMPRODUCT(MAX(($D$4:$D$810=$D300)*($B$4:$B$810&lt;$B300)*$B$4:$B$810)),'Guide &amp; Settings'!$C$50))/7-'Guide &amp; Settings'!$C$48,0)*'Guide &amp; Settings'!$C$49))</f>
      </c>
    </row>
    <row r="301" spans="1:29" ht="15" customHeight="1" x14ac:dyDescent="0.2">
      <c r="A301" s="116"/>
      <c r="B301" s="117"/>
      <c r="C301" s="118"/>
      <c r="D301" s="118"/>
      <c r="E301" s="116"/>
      <c r="F301" s="119">
        <f t="shared" si="68"/>
        <v>0</v>
      </c>
      <c r="G301" s="120" t="str">
        <f t="shared" si="69"/>
        <v/>
      </c>
      <c r="H301" s="121">
        <f>IF($D301="",0,IFERROR(LOOKUP(2,1/(($D$3:D300=$D301)*($A$3:A300&lt;$A301)),$N$3:N300),'Guide &amp; Settings'!$C$41))</f>
        <v>0</v>
      </c>
      <c r="I301" s="122">
        <f t="shared" si="70"/>
        <v>0</v>
      </c>
      <c r="J301" s="123">
        <f>IF($D301="",0,IF($F301&lt;2,0,IF($E301="Win",('Guide &amp; Settings'!$C$42/(($F301-1)*COUNTIFS($A$4:$A$810,$A301,$E$4:$E$810,"Win")))*SUMIFS($X$4:$X$810,$A$4:$A$810,$A301,$E$4:$E$810,"Loss"),-('Guide &amp; Settings'!$C$42/($F301-1))*$X301)))</f>
        <v>0</v>
      </c>
      <c r="K301" s="123">
        <f>IF($D301="",0,'Guide &amp; Settings'!$C$43*(IF($E301="Win",1,0)-$I301))</f>
        <v>0</v>
      </c>
      <c r="L301" s="124">
        <f>IF($D301="",0,'Guide &amp; Settings'!$C$44*IF($F301&gt;=3,$F301+IF($E301="Win",$F301,0),0))</f>
        <v>0</v>
      </c>
      <c r="M301" s="123">
        <f t="shared" si="71"/>
        <v>0</v>
      </c>
      <c r="N301" s="121">
        <f t="shared" si="72"/>
        <v>0</v>
      </c>
      <c r="O301" s="120" t="str">
        <f t="shared" si="73"/>
        <v/>
      </c>
      <c r="P301">
        <f t="shared" si="74"/>
        <v>0</v>
      </c>
      <c r="Q301">
        <f t="shared" si="75"/>
        <v>0</v>
      </c>
      <c r="R301">
        <f t="shared" si="76"/>
        <v>0</v>
      </c>
      <c r="S301">
        <f t="shared" si="77"/>
        <v>0</v>
      </c>
      <c r="T301" s="88">
        <f t="shared" si="78"/>
        <v>0</v>
      </c>
      <c r="U301" s="125">
        <f>IF($D301="",0,IFERROR(LOOKUP(2,1/(($D$3:D300=$D301)*($C$3:C300=$C301)*($A$3:A300&lt;$A301)),$AB$3:AB300),1000))</f>
        <v>0</v>
      </c>
      <c r="V301" s="125">
        <f t="shared" si="79"/>
        <v>0</v>
      </c>
      <c r="W301">
        <f t="shared" si="80"/>
        <v>0</v>
      </c>
      <c r="X301">
        <f t="shared" si="81"/>
        <v>0</v>
      </c>
      <c r="Y301">
        <f t="shared" si="82"/>
        <v>0</v>
      </c>
      <c r="Z301">
        <f t="shared" si="83"/>
        <v>0</v>
      </c>
      <c r="AA301">
        <f>IF($D301="",0,IF($F301&lt;2,0,IF($E301="Win",('Guide &amp; Settings'!$C$42/(($F301-1)*COUNTIFS($A$4:$A$810,$A301,$E$4:$E$810,"Win")))*SUMIFS($Z$4:$Z$810,$A$4:$A$810,$A301,$E$4:$E$810,"Loss"),-('Guide &amp; Settings'!$C$42/($F301-1))*$Z301)))</f>
        <v>0</v>
      </c>
      <c r="AB301" s="125">
        <f t="shared" si="84"/>
        <v>0</v>
      </c>
      <c r="AC301" s="125" t="str">
        <f>IF($D301="","",IF(SUMPRODUCT(MAX(($D$4:$D$810=$D301)*($B$4:$B$810&lt;$B301)*$B$4:$B$810))=0,0,MAX(($B301-MAX(SUMPRODUCT(MAX(($D$4:$D$810=$D301)*($B$4:$B$810&lt;$B301)*$B$4:$B$810)),'Guide &amp; Settings'!$C$50))/7-'Guide &amp; Settings'!$C$48,0)*'Guide &amp; Settings'!$C$49))</f>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Settings'!$C$42/(($F302-1)*COUNTIFS($A$4:$A$810,$A302,$E$4:$E$810,"Win")))*SUMIFS($X$4:$X$810,$A$4:$A$810,$A302,$E$4:$E$810,"Loss"),-('Guide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Settings'!$C$42/(($F302-1)*COUNTIFS($A$4:$A$810,$A302,$E$4:$E$810,"Win")))*SUMIFS($Z$4:$Z$810,$A$4:$A$810,$A302,$E$4:$E$810,"Loss"),-('Guide &amp; Settings'!$C$42/($F302-1))*$Z302)))</f>
        <v>0</v>
      </c>
      <c r="AB302" s="125">
        <f t="shared" si="84"/>
        <v>0</v>
      </c>
      <c r="AC302" s="125" t="str">
        <f>IF($D302="","",IF(SUMPRODUCT(MAX(($D$4:$D$810=$D302)*($B$4:$B$810&lt;$B302)*$B$4:$B$810))=0,0,MAX(($B302-MAX(SUMPRODUCT(MAX(($D$4:$D$810=$D302)*($B$4:$B$810&lt;$B302)*$B$4:$B$810)),'Guide &amp; Settings'!$C$50))/7-'Guide &amp; Settings'!$C$48,0)*'Guide &amp; Settings'!$C$49))</f>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Settings'!$C$42/(($F303-1)*COUNTIFS($A$4:$A$810,$A303,$E$4:$E$810,"Win")))*SUMIFS($X$4:$X$810,$A$4:$A$810,$A303,$E$4:$E$810,"Loss"),-('Guide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Settings'!$C$42/(($F303-1)*COUNTIFS($A$4:$A$810,$A303,$E$4:$E$810,"Win")))*SUMIFS($Z$4:$Z$810,$A$4:$A$810,$A303,$E$4:$E$810,"Loss"),-('Guide &amp; Settings'!$C$42/($F303-1))*$Z303)))</f>
        <v>0</v>
      </c>
      <c r="AB303" s="125">
        <f t="shared" si="84"/>
        <v>0</v>
      </c>
      <c r="AC303" s="125" t="str">
        <f>IF($D303="","",IF(SUMPRODUCT(MAX(($D$4:$D$810=$D303)*($B$4:$B$810&lt;$B303)*$B$4:$B$810))=0,0,MAX(($B303-MAX(SUMPRODUCT(MAX(($D$4:$D$810=$D303)*($B$4:$B$810&lt;$B303)*$B$4:$B$810)),'Guide &amp; Settings'!$C$50))/7-'Guide &amp; Settings'!$C$48,0)*'Guide &amp; Settings'!$C$49))</f>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Settings'!$C$42/(($F304-1)*COUNTIFS($A$4:$A$810,$A304,$E$4:$E$810,"Win")))*SUMIFS($X$4:$X$810,$A$4:$A$810,$A304,$E$4:$E$810,"Loss"),-('Guide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Settings'!$C$42/(($F304-1)*COUNTIFS($A$4:$A$810,$A304,$E$4:$E$810,"Win")))*SUMIFS($Z$4:$Z$810,$A$4:$A$810,$A304,$E$4:$E$810,"Loss"),-('Guide &amp; Settings'!$C$42/($F304-1))*$Z304)))</f>
        <v>0</v>
      </c>
      <c r="AB304" s="125">
        <f t="shared" si="84"/>
        <v>0</v>
      </c>
      <c r="AC304" s="125" t="str">
        <f>IF($D304="","",IF(SUMPRODUCT(MAX(($D$4:$D$810=$D304)*($B$4:$B$810&lt;$B304)*$B$4:$B$810))=0,0,MAX(($B304-MAX(SUMPRODUCT(MAX(($D$4:$D$810=$D304)*($B$4:$B$810&lt;$B304)*$B$4:$B$810)),'Guide &amp; Settings'!$C$50))/7-'Guide &amp; Settings'!$C$48,0)*'Guide &amp; Settings'!$C$49))</f>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Settings'!$C$42/(($F305-1)*COUNTIFS($A$4:$A$810,$A305,$E$4:$E$810,"Win")))*SUMIFS($X$4:$X$810,$A$4:$A$810,$A305,$E$4:$E$810,"Loss"),-('Guide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Settings'!$C$42/(($F305-1)*COUNTIFS($A$4:$A$810,$A305,$E$4:$E$810,"Win")))*SUMIFS($Z$4:$Z$810,$A$4:$A$810,$A305,$E$4:$E$810,"Loss"),-('Guide &amp; Settings'!$C$42/($F305-1))*$Z305)))</f>
        <v>0</v>
      </c>
      <c r="AB305" s="125">
        <f t="shared" si="84"/>
        <v>0</v>
      </c>
      <c r="AC305" s="125" t="str">
        <f>IF($D305="","",IF(SUMPRODUCT(MAX(($D$4:$D$810=$D305)*($B$4:$B$810&lt;$B305)*$B$4:$B$810))=0,0,MAX(($B305-MAX(SUMPRODUCT(MAX(($D$4:$D$810=$D305)*($B$4:$B$810&lt;$B305)*$B$4:$B$810)),'Guide &amp; Settings'!$C$50))/7-'Guide &amp; Settings'!$C$48,0)*'Guide &amp; Settings'!$C$49))</f>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Settings'!$C$42/(($F306-1)*COUNTIFS($A$4:$A$810,$A306,$E$4:$E$810,"Win")))*SUMIFS($X$4:$X$810,$A$4:$A$810,$A306,$E$4:$E$810,"Loss"),-('Guide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Settings'!$C$42/(($F306-1)*COUNTIFS($A$4:$A$810,$A306,$E$4:$E$810,"Win")))*SUMIFS($Z$4:$Z$810,$A$4:$A$810,$A306,$E$4:$E$810,"Loss"),-('Guide &amp; Settings'!$C$42/($F306-1))*$Z306)))</f>
        <v>0</v>
      </c>
      <c r="AB306" s="125">
        <f t="shared" si="84"/>
        <v>0</v>
      </c>
      <c r="AC306" s="125" t="str">
        <f>IF($D306="","",IF(SUMPRODUCT(MAX(($D$4:$D$810=$D306)*($B$4:$B$810&lt;$B306)*$B$4:$B$810))=0,0,MAX(($B306-MAX(SUMPRODUCT(MAX(($D$4:$D$810=$D306)*($B$4:$B$810&lt;$B306)*$B$4:$B$810)),'Guide &amp; Settings'!$C$50))/7-'Guide &amp; Settings'!$C$48,0)*'Guide &amp; Settings'!$C$49))</f>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Settings'!$C$42/(($F307-1)*COUNTIFS($A$4:$A$810,$A307,$E$4:$E$810,"Win")))*SUMIFS($X$4:$X$810,$A$4:$A$810,$A307,$E$4:$E$810,"Loss"),-('Guide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Settings'!$C$42/(($F307-1)*COUNTIFS($A$4:$A$810,$A307,$E$4:$E$810,"Win")))*SUMIFS($Z$4:$Z$810,$A$4:$A$810,$A307,$E$4:$E$810,"Loss"),-('Guide &amp; Settings'!$C$42/($F307-1))*$Z307)))</f>
        <v>0</v>
      </c>
      <c r="AB307" s="125">
        <f t="shared" si="84"/>
        <v>0</v>
      </c>
      <c r="AC307" s="125" t="str">
        <f>IF($D307="","",IF(SUMPRODUCT(MAX(($D$4:$D$810=$D307)*($B$4:$B$810&lt;$B307)*$B$4:$B$810))=0,0,MAX(($B307-MAX(SUMPRODUCT(MAX(($D$4:$D$810=$D307)*($B$4:$B$810&lt;$B307)*$B$4:$B$810)),'Guide &amp; Settings'!$C$50))/7-'Guide &amp; Settings'!$C$48,0)*'Guide &amp; Settings'!$C$49))</f>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Settings'!$C$42/(($F308-1)*COUNTIFS($A$4:$A$810,$A308,$E$4:$E$810,"Win")))*SUMIFS($X$4:$X$810,$A$4:$A$810,$A308,$E$4:$E$810,"Loss"),-('Guide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Settings'!$C$42/(($F308-1)*COUNTIFS($A$4:$A$810,$A308,$E$4:$E$810,"Win")))*SUMIFS($Z$4:$Z$810,$A$4:$A$810,$A308,$E$4:$E$810,"Loss"),-('Guide &amp; Settings'!$C$42/($F308-1))*$Z308)))</f>
        <v>0</v>
      </c>
      <c r="AB308" s="125">
        <f t="shared" si="84"/>
        <v>0</v>
      </c>
      <c r="AC308" s="125" t="str">
        <f>IF($D308="","",IF(SUMPRODUCT(MAX(($D$4:$D$810=$D308)*($B$4:$B$810&lt;$B308)*$B$4:$B$810))=0,0,MAX(($B308-MAX(SUMPRODUCT(MAX(($D$4:$D$810=$D308)*($B$4:$B$810&lt;$B308)*$B$4:$B$810)),'Guide &amp; Settings'!$C$50))/7-'Guide &amp; Settings'!$C$48,0)*'Guide &amp; Settings'!$C$49))</f>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Settings'!$C$42/(($F309-1)*COUNTIFS($A$4:$A$810,$A309,$E$4:$E$810,"Win")))*SUMIFS($X$4:$X$810,$A$4:$A$810,$A309,$E$4:$E$810,"Loss"),-('Guide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Settings'!$C$42/(($F309-1)*COUNTIFS($A$4:$A$810,$A309,$E$4:$E$810,"Win")))*SUMIFS($Z$4:$Z$810,$A$4:$A$810,$A309,$E$4:$E$810,"Loss"),-('Guide &amp; Settings'!$C$42/($F309-1))*$Z309)))</f>
        <v>0</v>
      </c>
      <c r="AB309" s="125">
        <f t="shared" si="84"/>
        <v>0</v>
      </c>
      <c r="AC309" s="125" t="str">
        <f>IF($D309="","",IF(SUMPRODUCT(MAX(($D$4:$D$810=$D309)*($B$4:$B$810&lt;$B309)*$B$4:$B$810))=0,0,MAX(($B309-MAX(SUMPRODUCT(MAX(($D$4:$D$810=$D309)*($B$4:$B$810&lt;$B309)*$B$4:$B$810)),'Guide &amp; Settings'!$C$50))/7-'Guide &amp; Settings'!$C$48,0)*'Guide &amp; Settings'!$C$49))</f>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Settings'!$C$42/(($F310-1)*COUNTIFS($A$4:$A$810,$A310,$E$4:$E$810,"Win")))*SUMIFS($X$4:$X$810,$A$4:$A$810,$A310,$E$4:$E$810,"Loss"),-('Guide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Settings'!$C$42/(($F310-1)*COUNTIFS($A$4:$A$810,$A310,$E$4:$E$810,"Win")))*SUMIFS($Z$4:$Z$810,$A$4:$A$810,$A310,$E$4:$E$810,"Loss"),-('Guide &amp; Settings'!$C$42/($F310-1))*$Z310)))</f>
        <v>0</v>
      </c>
      <c r="AB310" s="125">
        <f t="shared" si="84"/>
        <v>0</v>
      </c>
      <c r="AC310" s="125" t="str">
        <f>IF($D310="","",IF(SUMPRODUCT(MAX(($D$4:$D$810=$D310)*($B$4:$B$810&lt;$B310)*$B$4:$B$810))=0,0,MAX(($B310-MAX(SUMPRODUCT(MAX(($D$4:$D$810=$D310)*($B$4:$B$810&lt;$B310)*$B$4:$B$810)),'Guide &amp; Settings'!$C$50))/7-'Guide &amp; Settings'!$C$48,0)*'Guide &amp; Settings'!$C$49))</f>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Settings'!$C$42/(($F311-1)*COUNTIFS($A$4:$A$810,$A311,$E$4:$E$810,"Win")))*SUMIFS($X$4:$X$810,$A$4:$A$810,$A311,$E$4:$E$810,"Loss"),-('Guide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Settings'!$C$42/(($F311-1)*COUNTIFS($A$4:$A$810,$A311,$E$4:$E$810,"Win")))*SUMIFS($Z$4:$Z$810,$A$4:$A$810,$A311,$E$4:$E$810,"Loss"),-('Guide &amp; Settings'!$C$42/($F311-1))*$Z311)))</f>
        <v>0</v>
      </c>
      <c r="AB311" s="125">
        <f t="shared" si="84"/>
        <v>0</v>
      </c>
      <c r="AC311" s="125" t="str">
        <f>IF($D311="","",IF(SUMPRODUCT(MAX(($D$4:$D$810=$D311)*($B$4:$B$810&lt;$B311)*$B$4:$B$810))=0,0,MAX(($B311-MAX(SUMPRODUCT(MAX(($D$4:$D$810=$D311)*($B$4:$B$810&lt;$B311)*$B$4:$B$810)),'Guide &amp; Settings'!$C$50))/7-'Guide &amp; Settings'!$C$48,0)*'Guide &amp; Settings'!$C$49))</f>
      </c>
    </row>
    <row r="312" spans="1:29">
      <c r="A312" s="116"/>
      <c r="B312" s="117"/>
      <c r="C312" s="118"/>
      <c r="D312" s="118"/>
      <c r="E312" s="116"/>
      <c r="F312" s="119">
        <f>IF($D312="",0,COUNTIF($A$4:$A$810,$A312))</f>
        <v>0</v>
      </c>
      <c r="G312" s="120">
        <f>IF($D312="","",IFERROR(LOOKUP(2,1/(($A$4:$A$810=$A312)*($E$4:$E$810="Win")),$D$4:$D$810),"(no winner)"))</f>
        <v>0</v>
      </c>
      <c r="H312" s="121">
        <f>IF($D312="",0,IFERROR(LOOKUP(2,1/(($D$3:D311=$D312)*($A$3:A311&lt;$A312)),$N$3:N311),'Guide &amp; Settings'!$C$41))</f>
        <v>0</v>
      </c>
      <c r="I312" s="122">
        <f>IF($D312="",0,IF($S312=0,0,$R312/$S312))</f>
        <v>0</v>
      </c>
      <c r="J312" s="123">
        <f>IF($D312="",0,IF($F312&lt;2,0,IF($E312="Win",('Guide &amp; Settings'!$C$42/(($F312-1)*COUNTIFS($A$4:$A$810,$A312,$E$4:$E$810,"Win")))*SUMIFS($X$4:$X$810,$A$4:$A$810,$A312,$E$4:$E$810,"Loss"),-('Guide &amp; Settings'!$C$42/($F312-1))*$X312)))</f>
        <v>0</v>
      </c>
      <c r="K312" s="123">
        <f>IF($D312="",0,'Guide &amp; Settings'!$C$43*(IF($E312="Win",1,0)-$I312))</f>
        <v>0</v>
      </c>
      <c r="L312" s="124">
        <f>IF($D312="",0,'Guide &amp; Settings'!$C$44*IF($F312&gt;=3,$F312+IF($E312="Win",$F312,0),0))</f>
        <v>0</v>
      </c>
      <c r="M312" s="123">
        <f>IF($D312="",0,$J312+$K312+$L312)</f>
        <v>0</v>
      </c>
      <c r="N312" s="121">
        <f>IF($D312="",0,$H312+$M312)</f>
        <v>0</v>
      </c>
      <c r="O312" s="120" t="str">
        <f>IF($D312="","",IF(COUNTIFS($A$4:$A$810,$A312,$E$4:$E$810,"Win")=0,"need a winner",IF(COUNTIFS($A$4:$A$810,$A312,$E$4:$E$810,"Loss")=0,"need a loser",IF(COUNTIFS($A$4:$A$810,$A312,$D$4:$D$810,$D312)&gt;1,"duplicate player","OK"))))</f>
      </c>
      <c r="P312">
        <f>IF($D312="",0,IFERROR(SUMIFS($H$4:$H$810,$A$4:$A$810,$A312,$E$4:$E$810,"Win")/COUNTIFS($A$4:$A$810,$A312,$E$4:$E$810,"Win"),0))</f>
        <v>0</v>
      </c>
      <c r="Q312">
        <f>IF($D312="",0,1/(1+10^(($P312-$H312)/400)))</f>
        <v>0</v>
      </c>
      <c r="R312">
        <f>IF($D312="",0,(COUNTIFS($D$4:$D$810,$D312,$C$4:$C$810,$C312,$E$4:$E$810,"Win",$A$4:$A$810,"&lt;"&amp;$A312)+1)/(COUNTIFS($D$4:$D$810,$D312,$C$4:$C$810,$C312,$A$4:$A$810,"&lt;"&amp;$A312)+2))</f>
        <v>0</v>
      </c>
      <c r="S312">
        <f>IF($D312="",0,SUMIFS($R$4:$R$810,$A$4:$A$810,$A312))</f>
        <v>0</v>
      </c>
      <c r="T312" s="88">
        <f>IF($D312="",0,COUNTIFS($D$4:$D$810,$D312,$C$4:$C$810,$C312,$A$4:$A$810,"&lt;"&amp;$A312))</f>
        <v>0</v>
      </c>
      <c r="U312" s="125">
        <f>IF($D312="",0,IFERROR(LOOKUP(2,1/(($D$3:D311=$D312)*($C$3:C311=$C312)*($A$3:A311&lt;$A312)),$AB$3:AB311),1000))</f>
        <v>0</v>
      </c>
      <c r="V312" s="125">
        <f>IF($D312="",0,$U312*($T312/($T312+5))+$H312*(1-$T312/($T312+5)))</f>
        <v>0</v>
      </c>
      <c r="W312">
        <f>IF($D312="",0,IFERROR(SUMIFS($V$4:$V$810,$A$4:$A$810,$A312,$E$4:$E$810,"Win")/COUNTIFS($A$4:$A$810,$A312,$E$4:$E$810,"Win"),0))</f>
        <v>0</v>
      </c>
      <c r="X312">
        <f>IF($D312="",0,1/(1+10^(($W312-$V312)/400)))</f>
        <v>0</v>
      </c>
      <c r="Y312">
        <f>IF($D312="",0,IFERROR(SUMIFS($U$4:$U$810,$A$4:$A$810,$A312,$E$4:$E$810,"Win")/COUNTIFS($A$4:$A$810,$A312,$E$4:$E$810,"Win"),0))</f>
        <v>0</v>
      </c>
      <c r="Z312">
        <f>IF($D312="",0,1/(1+10^(($Y312-$U312)/400)))</f>
        <v>0</v>
      </c>
      <c r="AA312">
        <f>IF($D312="",0,IF($F312&lt;2,0,IF($E312="Win",('Guide &amp; Settings'!$C$42/(($F312-1)*COUNTIFS($A$4:$A$810,$A312,$E$4:$E$810,"Win")))*SUMIFS($Z$4:$Z$810,$A$4:$A$810,$A312,$E$4:$E$810,"Loss"),-('Guide &amp; Settings'!$C$42/($F312-1))*$Z312)))</f>
        <v>0</v>
      </c>
      <c r="AB312" s="125">
        <f>IF($D312="",0,$U312+$AA312)</f>
        <v>0</v>
      </c>
      <c r="AC312" s="125" t="str">
        <f>IF($D312="","",IF(SUMPRODUCT(MAX(($D$4:$D$810=$D312)*($B$4:$B$810&lt;$B312)*$B$4:$B$810))=0,0,MAX(($B312-MAX(SUMPRODUCT(MAX(($D$4:$D$810=$D312)*($B$4:$B$810&lt;$B312)*$B$4:$B$810)),'Guide &amp; Settings'!$C$50))/7-'Guide &amp; Settings'!$C$48,0)*'Guide &amp; Settings'!$C$49))</f>
      </c>
    </row>
    <row r="313" spans="1:29">
      <c r="A313" s="116"/>
      <c r="B313" s="117"/>
      <c r="C313" s="118"/>
      <c r="D313" s="118"/>
      <c r="E313" s="116"/>
      <c r="F313" s="119">
        <f>IF($D313="",0,COUNTIF($A$4:$A$810,$A313))</f>
        <v>0</v>
      </c>
      <c r="G313" s="120">
        <f>IF($D313="","",IFERROR(LOOKUP(2,1/(($A$4:$A$810=$A313)*($E$4:$E$810="Win")),$D$4:$D$810),"(no winner)"))</f>
        <v>0</v>
      </c>
      <c r="H313" s="121">
        <f>IF($D313="",0,IFERROR(LOOKUP(2,1/(($D$3:D312=$D313)*($A$3:A312&lt;$A313)),$N$3:N312),'Guide &amp; Settings'!$C$41))</f>
        <v>0</v>
      </c>
      <c r="I313" s="122">
        <f>IF($D313="",0,IF($S313=0,0,$R313/$S313))</f>
        <v>0</v>
      </c>
      <c r="J313" s="123">
        <f>IF($D313="",0,IF($F313&lt;2,0,IF($E313="Win",('Guide &amp; Settings'!$C$42/(($F313-1)*COUNTIFS($A$4:$A$810,$A313,$E$4:$E$810,"Win")))*SUMIFS($X$4:$X$810,$A$4:$A$810,$A313,$E$4:$E$810,"Loss"),-('Guide &amp; Settings'!$C$42/($F313-1))*$X313)))</f>
        <v>0</v>
      </c>
      <c r="K313" s="123">
        <f>IF($D313="",0,'Guide &amp; Settings'!$C$43*(IF($E313="Win",1,0)-$I313))</f>
        <v>0</v>
      </c>
      <c r="L313" s="124">
        <f>IF($D313="",0,'Guide &amp; Settings'!$C$44*IF($F313&gt;=3,$F313+IF($E313="Win",$F313,0),0))</f>
        <v>0</v>
      </c>
      <c r="M313" s="123">
        <f>IF($D313="",0,$J313+$K313+$L313)</f>
        <v>0</v>
      </c>
      <c r="N313" s="121">
        <f>IF($D313="",0,$H313+$M313)</f>
        <v>0</v>
      </c>
      <c r="O313" s="120" t="str">
        <f>IF($D313="","",IF(COUNTIFS($A$4:$A$810,$A313,$E$4:$E$810,"Win")=0,"need a winner",IF(COUNTIFS($A$4:$A$810,$A313,$E$4:$E$810,"Loss")=0,"need a loser",IF(COUNTIFS($A$4:$A$810,$A313,$D$4:$D$810,$D313)&gt;1,"duplicate player","OK"))))</f>
      </c>
      <c r="P313">
        <f>IF($D313="",0,IFERROR(SUMIFS($H$4:$H$810,$A$4:$A$810,$A313,$E$4:$E$810,"Win")/COUNTIFS($A$4:$A$810,$A313,$E$4:$E$810,"Win"),0))</f>
        <v>0</v>
      </c>
      <c r="Q313">
        <f>IF($D313="",0,1/(1+10^(($P313-$H313)/400)))</f>
        <v>0</v>
      </c>
      <c r="R313">
        <f>IF($D313="",0,(COUNTIFS($D$4:$D$810,$D313,$C$4:$C$810,$C313,$E$4:$E$810,"Win",$A$4:$A$810,"&lt;"&amp;$A313)+1)/(COUNTIFS($D$4:$D$810,$D313,$C$4:$C$810,$C313,$A$4:$A$810,"&lt;"&amp;$A313)+2))</f>
        <v>0</v>
      </c>
      <c r="S313">
        <f>IF($D313="",0,SUMIFS($R$4:$R$810,$A$4:$A$810,$A313))</f>
        <v>0</v>
      </c>
      <c r="T313" s="88">
        <f>IF($D313="",0,COUNTIFS($D$4:$D$810,$D313,$C$4:$C$810,$C313,$A$4:$A$810,"&lt;"&amp;$A313))</f>
        <v>0</v>
      </c>
      <c r="U313" s="125">
        <f>IF($D313="",0,IFERROR(LOOKUP(2,1/(($D$3:D312=$D313)*($C$3:C312=$C313)*($A$3:A312&lt;$A313)),$AB$3:AB312),1000))</f>
        <v>0</v>
      </c>
      <c r="V313" s="125">
        <f>IF($D313="",0,$U313*($T313/($T313+5))+$H313*(1-$T313/($T313+5)))</f>
        <v>0</v>
      </c>
      <c r="W313">
        <f>IF($D313="",0,IFERROR(SUMIFS($V$4:$V$810,$A$4:$A$810,$A313,$E$4:$E$810,"Win")/COUNTIFS($A$4:$A$810,$A313,$E$4:$E$810,"Win"),0))</f>
        <v>0</v>
      </c>
      <c r="X313">
        <f>IF($D313="",0,1/(1+10^(($W313-$V313)/400)))</f>
        <v>0</v>
      </c>
      <c r="Y313">
        <f>IF($D313="",0,IFERROR(SUMIFS($U$4:$U$810,$A$4:$A$810,$A313,$E$4:$E$810,"Win")/COUNTIFS($A$4:$A$810,$A313,$E$4:$E$810,"Win"),0))</f>
        <v>0</v>
      </c>
      <c r="Z313">
        <f>IF($D313="",0,1/(1+10^(($Y313-$U313)/400)))</f>
        <v>0</v>
      </c>
      <c r="AA313">
        <f>IF($D313="",0,IF($F313&lt;2,0,IF($E313="Win",('Guide &amp; Settings'!$C$42/(($F313-1)*COUNTIFS($A$4:$A$810,$A313,$E$4:$E$810,"Win")))*SUMIFS($Z$4:$Z$810,$A$4:$A$810,$A313,$E$4:$E$810,"Loss"),-('Guide &amp; Settings'!$C$42/($F313-1))*$Z313)))</f>
        <v>0</v>
      </c>
      <c r="AB313" s="125">
        <f>IF($D313="",0,$U313+$AA313)</f>
        <v>0</v>
      </c>
      <c r="AC313" s="125" t="str">
        <f>IF($D313="","",IF(SUMPRODUCT(MAX(($D$4:$D$810=$D313)*($B$4:$B$810&lt;$B313)*$B$4:$B$810))=0,0,MAX(($B313-MAX(SUMPRODUCT(MAX(($D$4:$D$810=$D313)*($B$4:$B$810&lt;$B313)*$B$4:$B$810)),'Guide &amp; Settings'!$C$50))/7-'Guide &amp; Settings'!$C$48,0)*'Guide &amp; Settings'!$C$49))</f>
      </c>
    </row>
    <row r="314" spans="1:29">
      <c r="A314" s="116"/>
      <c r="B314" s="117"/>
      <c r="C314" s="118"/>
      <c r="D314" s="118"/>
      <c r="E314" s="116"/>
      <c r="F314" s="119">
        <f>IF($D314="",0,COUNTIF($A$4:$A$810,$A314))</f>
        <v>0</v>
      </c>
      <c r="G314" s="120">
        <f>IF($D314="","",IFERROR(LOOKUP(2,1/(($A$4:$A$810=$A314)*($E$4:$E$810="Win")),$D$4:$D$810),"(no winner)"))</f>
        <v>0</v>
      </c>
      <c r="H314" s="121">
        <f>IF($D314="",0,IFERROR(LOOKUP(2,1/(($D$3:D313=$D314)*($A$3:A313&lt;$A314)),$N$3:N313),'Guide &amp; Settings'!$C$41))</f>
        <v>0</v>
      </c>
      <c r="I314" s="122">
        <f>IF($D314="",0,IF($S314=0,0,$R314/$S314))</f>
        <v>0</v>
      </c>
      <c r="J314" s="123">
        <f>IF($D314="",0,IF($F314&lt;2,0,IF($E314="Win",('Guide &amp; Settings'!$C$42/(($F314-1)*COUNTIFS($A$4:$A$810,$A314,$E$4:$E$810,"Win")))*SUMIFS($X$4:$X$810,$A$4:$A$810,$A314,$E$4:$E$810,"Loss"),-('Guide &amp; Settings'!$C$42/($F314-1))*$X314)))</f>
        <v>0</v>
      </c>
      <c r="K314" s="123">
        <f>IF($D314="",0,'Guide &amp; Settings'!$C$43*(IF($E314="Win",1,0)-$I314))</f>
        <v>0</v>
      </c>
      <c r="L314" s="124">
        <f>IF($D314="",0,'Guide &amp; Settings'!$C$44*IF($F314&gt;=3,$F314+IF($E314="Win",$F314,0),0))</f>
        <v>0</v>
      </c>
      <c r="M314" s="123">
        <f>IF($D314="",0,$J314+$K314+$L314)</f>
        <v>0</v>
      </c>
      <c r="N314" s="121">
        <f>IF($D314="",0,$H314+$M314)</f>
        <v>0</v>
      </c>
      <c r="O314" s="120" t="str">
        <f>IF($D314="","",IF(COUNTIFS($A$4:$A$810,$A314,$E$4:$E$810,"Win")=0,"need a winner",IF(COUNTIFS($A$4:$A$810,$A314,$E$4:$E$810,"Loss")=0,"need a loser",IF(COUNTIFS($A$4:$A$810,$A314,$D$4:$D$810,$D314)&gt;1,"duplicate player","OK"))))</f>
      </c>
      <c r="P314">
        <f>IF($D314="",0,IFERROR(SUMIFS($H$4:$H$810,$A$4:$A$810,$A314,$E$4:$E$810,"Win")/COUNTIFS($A$4:$A$810,$A314,$E$4:$E$810,"Win"),0))</f>
        <v>0</v>
      </c>
      <c r="Q314">
        <f>IF($D314="",0,1/(1+10^(($P314-$H314)/400)))</f>
        <v>0</v>
      </c>
      <c r="R314">
        <f>IF($D314="",0,(COUNTIFS($D$4:$D$810,$D314,$C$4:$C$810,$C314,$E$4:$E$810,"Win",$A$4:$A$810,"&lt;"&amp;$A314)+1)/(COUNTIFS($D$4:$D$810,$D314,$C$4:$C$810,$C314,$A$4:$A$810,"&lt;"&amp;$A314)+2))</f>
        <v>0</v>
      </c>
      <c r="S314">
        <f>IF($D314="",0,SUMIFS($R$4:$R$810,$A$4:$A$810,$A314))</f>
        <v>0</v>
      </c>
      <c r="T314" s="88">
        <f>IF($D314="",0,COUNTIFS($D$4:$D$810,$D314,$C$4:$C$810,$C314,$A$4:$A$810,"&lt;"&amp;$A314))</f>
        <v>0</v>
      </c>
      <c r="U314" s="125">
        <f>IF($D314="",0,IFERROR(LOOKUP(2,1/(($D$3:D313=$D314)*($C$3:C313=$C314)*($A$3:A313&lt;$A314)),$AB$3:AB313),1000))</f>
        <v>0</v>
      </c>
      <c r="V314" s="125">
        <f>IF($D314="",0,$U314*($T314/($T314+5))+$H314*(1-$T314/($T314+5)))</f>
        <v>0</v>
      </c>
      <c r="W314">
        <f>IF($D314="",0,IFERROR(SUMIFS($V$4:$V$810,$A$4:$A$810,$A314,$E$4:$E$810,"Win")/COUNTIFS($A$4:$A$810,$A314,$E$4:$E$810,"Win"),0))</f>
        <v>0</v>
      </c>
      <c r="X314">
        <f>IF($D314="",0,1/(1+10^(($W314-$V314)/400)))</f>
        <v>0</v>
      </c>
      <c r="Y314">
        <f>IF($D314="",0,IFERROR(SUMIFS($U$4:$U$810,$A$4:$A$810,$A314,$E$4:$E$810,"Win")/COUNTIFS($A$4:$A$810,$A314,$E$4:$E$810,"Win"),0))</f>
        <v>0</v>
      </c>
      <c r="Z314">
        <f>IF($D314="",0,1/(1+10^(($Y314-$U314)/400)))</f>
        <v>0</v>
      </c>
      <c r="AA314">
        <f>IF($D314="",0,IF($F314&lt;2,0,IF($E314="Win",('Guide &amp; Settings'!$C$42/(($F314-1)*COUNTIFS($A$4:$A$810,$A314,$E$4:$E$810,"Win")))*SUMIFS($Z$4:$Z$810,$A$4:$A$810,$A314,$E$4:$E$810,"Loss"),-('Guide &amp; Settings'!$C$42/($F314-1))*$Z314)))</f>
        <v>0</v>
      </c>
      <c r="AB314" s="125">
        <f>IF($D314="",0,$U314+$AA314)</f>
        <v>0</v>
      </c>
      <c r="AC314" s="125" t="str">
        <f>IF($D314="","",IF(SUMPRODUCT(MAX(($D$4:$D$810=$D314)*($B$4:$B$810&lt;$B314)*$B$4:$B$810))=0,0,MAX(($B314-MAX(SUMPRODUCT(MAX(($D$4:$D$810=$D314)*($B$4:$B$810&lt;$B314)*$B$4:$B$810)),'Guide &amp; Settings'!$C$50))/7-'Guide &amp; Settings'!$C$48,0)*'Guide &amp; Settings'!$C$49))</f>
      </c>
    </row>
    <row r="315" spans="1:29">
      <c r="A315" s="116"/>
      <c r="B315" s="117"/>
      <c r="C315" s="118"/>
      <c r="D315" s="118"/>
      <c r="E315" s="116"/>
      <c r="F315" s="119">
        <f>IF($D315="",0,COUNTIF($A$4:$A$810,$A315))</f>
        <v>0</v>
      </c>
      <c r="G315" s="120">
        <f>IF($D315="","",IFERROR(LOOKUP(2,1/(($A$4:$A$810=$A315)*($E$4:$E$810="Win")),$D$4:$D$810),"(no winner)"))</f>
        <v>0</v>
      </c>
      <c r="H315" s="121">
        <f>IF($D315="",0,IFERROR(LOOKUP(2,1/(($D$3:D314=$D315)*($A$3:A314&lt;$A315)),$N$3:N314),'Guide &amp; Settings'!$C$41))</f>
        <v>0</v>
      </c>
      <c r="I315" s="122">
        <f>IF($D315="",0,IF($S315=0,0,$R315/$S315))</f>
        <v>0</v>
      </c>
      <c r="J315" s="123">
        <f>IF($D315="",0,IF($F315&lt;2,0,IF($E315="Win",('Guide &amp; Settings'!$C$42/(($F315-1)*COUNTIFS($A$4:$A$810,$A315,$E$4:$E$810,"Win")))*SUMIFS($X$4:$X$810,$A$4:$A$810,$A315,$E$4:$E$810,"Loss"),-('Guide &amp; Settings'!$C$42/($F315-1))*$X315)))</f>
        <v>0</v>
      </c>
      <c r="K315" s="123">
        <f>IF($D315="",0,'Guide &amp; Settings'!$C$43*(IF($E315="Win",1,0)-$I315))</f>
        <v>0</v>
      </c>
      <c r="L315" s="124">
        <f>IF($D315="",0,'Guide &amp; Settings'!$C$44*IF($F315&gt;=3,$F315+IF($E315="Win",$F315,0),0))</f>
        <v>0</v>
      </c>
      <c r="M315" s="123">
        <f>IF($D315="",0,$J315+$K315+$L315)</f>
        <v>0</v>
      </c>
      <c r="N315" s="121">
        <f>IF($D315="",0,$H315+$M315)</f>
        <v>0</v>
      </c>
      <c r="O315" s="120" t="str">
        <f>IF($D315="","",IF(COUNTIFS($A$4:$A$810,$A315,$E$4:$E$810,"Win")=0,"need a winner",IF(COUNTIFS($A$4:$A$810,$A315,$E$4:$E$810,"Loss")=0,"need a loser",IF(COUNTIFS($A$4:$A$810,$A315,$D$4:$D$810,$D315)&gt;1,"duplicate player","OK"))))</f>
      </c>
      <c r="P315">
        <f>IF($D315="",0,IFERROR(SUMIFS($H$4:$H$810,$A$4:$A$810,$A315,$E$4:$E$810,"Win")/COUNTIFS($A$4:$A$810,$A315,$E$4:$E$810,"Win"),0))</f>
        <v>0</v>
      </c>
      <c r="Q315">
        <f>IF($D315="",0,1/(1+10^(($P315-$H315)/400)))</f>
        <v>0</v>
      </c>
      <c r="R315">
        <f>IF($D315="",0,(COUNTIFS($D$4:$D$810,$D315,$C$4:$C$810,$C315,$E$4:$E$810,"Win",$A$4:$A$810,"&lt;"&amp;$A315)+1)/(COUNTIFS($D$4:$D$810,$D315,$C$4:$C$810,$C315,$A$4:$A$810,"&lt;"&amp;$A315)+2))</f>
        <v>0</v>
      </c>
      <c r="S315">
        <f>IF($D315="",0,SUMIFS($R$4:$R$810,$A$4:$A$810,$A315))</f>
        <v>0</v>
      </c>
      <c r="T315" s="88">
        <f>IF($D315="",0,COUNTIFS($D$4:$D$810,$D315,$C$4:$C$810,$C315,$A$4:$A$810,"&lt;"&amp;$A315))</f>
        <v>0</v>
      </c>
      <c r="U315" s="125">
        <f>IF($D315="",0,IFERROR(LOOKUP(2,1/(($D$3:D314=$D315)*($C$3:C314=$C315)*($A$3:A314&lt;$A315)),$AB$3:AB314),1000))</f>
        <v>0</v>
      </c>
      <c r="V315" s="125">
        <f>IF($D315="",0,$U315*($T315/($T315+5))+$H315*(1-$T315/($T315+5)))</f>
        <v>0</v>
      </c>
      <c r="W315">
        <f>IF($D315="",0,IFERROR(SUMIFS($V$4:$V$810,$A$4:$A$810,$A315,$E$4:$E$810,"Win")/COUNTIFS($A$4:$A$810,$A315,$E$4:$E$810,"Win"),0))</f>
        <v>0</v>
      </c>
      <c r="X315">
        <f>IF($D315="",0,1/(1+10^(($W315-$V315)/400)))</f>
        <v>0</v>
      </c>
      <c r="Y315">
        <f>IF($D315="",0,IFERROR(SUMIFS($U$4:$U$810,$A$4:$A$810,$A315,$E$4:$E$810,"Win")/COUNTIFS($A$4:$A$810,$A315,$E$4:$E$810,"Win"),0))</f>
        <v>0</v>
      </c>
      <c r="Z315">
        <f>IF($D315="",0,1/(1+10^(($Y315-$U315)/400)))</f>
        <v>0</v>
      </c>
      <c r="AA315">
        <f>IF($D315="",0,IF($F315&lt;2,0,IF($E315="Win",('Guide &amp; Settings'!$C$42/(($F315-1)*COUNTIFS($A$4:$A$810,$A315,$E$4:$E$810,"Win")))*SUMIFS($Z$4:$Z$810,$A$4:$A$810,$A315,$E$4:$E$810,"Loss"),-('Guide &amp; Settings'!$C$42/($F315-1))*$Z315)))</f>
        <v>0</v>
      </c>
      <c r="AB315" s="125">
        <f>IF($D315="",0,$U315+$AA315)</f>
        <v>0</v>
      </c>
      <c r="AC315" s="125" t="str">
        <f>IF($D315="","",IF(SUMPRODUCT(MAX(($D$4:$D$810=$D315)*($B$4:$B$810&lt;$B315)*$B$4:$B$810))=0,0,MAX(($B315-MAX(SUMPRODUCT(MAX(($D$4:$D$810=$D315)*($B$4:$B$810&lt;$B315)*$B$4:$B$810)),'Guide &amp; Settings'!$C$50))/7-'Guide &amp; Settings'!$C$48,0)*'Guide &amp; Settings'!$C$49))</f>
      </c>
    </row>
    <row r="316" spans="1:29">
      <c r="A316" s="116"/>
      <c r="B316" s="117"/>
      <c r="C316" s="118"/>
      <c r="D316" s="118"/>
      <c r="E316" s="116"/>
      <c r="F316" s="119">
        <f>IF($D316="",0,COUNTIF($A$4:$A$810,$A316))</f>
        <v>0</v>
      </c>
      <c r="G316" s="120">
        <f>IF($D316="","",IFERROR(LOOKUP(2,1/(($A$4:$A$810=$A316)*($E$4:$E$810="Win")),$D$4:$D$810),"(no winner)"))</f>
        <v>0</v>
      </c>
      <c r="H316" s="121">
        <f>IF($D316="",0,IFERROR(LOOKUP(2,1/(($D$3:D315=$D316)*($A$3:A315&lt;$A316)),$N$3:N315),'Guide &amp; Settings'!$C$41))</f>
        <v>0</v>
      </c>
      <c r="I316" s="122">
        <f>IF($D316="",0,IF($S316=0,0,$R316/$S316))</f>
        <v>0</v>
      </c>
      <c r="J316" s="123">
        <f>IF($D316="",0,IF($F316&lt;2,0,IF($E316="Win",('Guide &amp; Settings'!$C$42/(($F316-1)*COUNTIFS($A$4:$A$810,$A316,$E$4:$E$810,"Win")))*SUMIFS($X$4:$X$810,$A$4:$A$810,$A316,$E$4:$E$810,"Loss"),-('Guide &amp; Settings'!$C$42/($F316-1))*$X316)))</f>
        <v>0</v>
      </c>
      <c r="K316" s="123">
        <f>IF($D316="",0,'Guide &amp; Settings'!$C$43*(IF($E316="Win",1,0)-$I316))</f>
        <v>0</v>
      </c>
      <c r="L316" s="124">
        <f>IF($D316="",0,'Guide &amp; Settings'!$C$44*IF($F316&gt;=3,$F316+IF($E316="Win",$F316,0),0))</f>
        <v>0</v>
      </c>
      <c r="M316" s="123">
        <f>IF($D316="",0,$J316+$K316+$L316)</f>
        <v>0</v>
      </c>
      <c r="N316" s="121">
        <f>IF($D316="",0,$H316+$M316)</f>
        <v>0</v>
      </c>
      <c r="O316" s="120" t="str">
        <f>IF($D316="","",IF(COUNTIFS($A$4:$A$810,$A316,$E$4:$E$810,"Win")=0,"need a winner",IF(COUNTIFS($A$4:$A$810,$A316,$E$4:$E$810,"Loss")=0,"need a loser",IF(COUNTIFS($A$4:$A$810,$A316,$D$4:$D$810,$D316)&gt;1,"duplicate player","OK"))))</f>
      </c>
      <c r="P316">
        <f>IF($D316="",0,IFERROR(SUMIFS($H$4:$H$810,$A$4:$A$810,$A316,$E$4:$E$810,"Win")/COUNTIFS($A$4:$A$810,$A316,$E$4:$E$810,"Win"),0))</f>
        <v>0</v>
      </c>
      <c r="Q316">
        <f>IF($D316="",0,1/(1+10^(($P316-$H316)/400)))</f>
        <v>0</v>
      </c>
      <c r="R316">
        <f>IF($D316="",0,(COUNTIFS($D$4:$D$810,$D316,$C$4:$C$810,$C316,$E$4:$E$810,"Win",$A$4:$A$810,"&lt;"&amp;$A316)+1)/(COUNTIFS($D$4:$D$810,$D316,$C$4:$C$810,$C316,$A$4:$A$810,"&lt;"&amp;$A316)+2))</f>
        <v>0</v>
      </c>
      <c r="S316">
        <f>IF($D316="",0,SUMIFS($R$4:$R$810,$A$4:$A$810,$A316))</f>
        <v>0</v>
      </c>
      <c r="T316" s="88">
        <f>IF($D316="",0,COUNTIFS($D$4:$D$810,$D316,$C$4:$C$810,$C316,$A$4:$A$810,"&lt;"&amp;$A316))</f>
        <v>0</v>
      </c>
      <c r="U316" s="125">
        <f>IF($D316="",0,IFERROR(LOOKUP(2,1/(($D$3:D315=$D316)*($C$3:C315=$C316)*($A$3:A315&lt;$A316)),$AB$3:AB315),1000))</f>
        <v>0</v>
      </c>
      <c r="V316" s="125">
        <f>IF($D316="",0,$U316*($T316/($T316+5))+$H316*(1-$T316/($T316+5)))</f>
        <v>0</v>
      </c>
      <c r="W316">
        <f>IF($D316="",0,IFERROR(SUMIFS($V$4:$V$810,$A$4:$A$810,$A316,$E$4:$E$810,"Win")/COUNTIFS($A$4:$A$810,$A316,$E$4:$E$810,"Win"),0))</f>
        <v>0</v>
      </c>
      <c r="X316">
        <f>IF($D316="",0,1/(1+10^(($W316-$V316)/400)))</f>
        <v>0</v>
      </c>
      <c r="Y316">
        <f>IF($D316="",0,IFERROR(SUMIFS($U$4:$U$810,$A$4:$A$810,$A316,$E$4:$E$810,"Win")/COUNTIFS($A$4:$A$810,$A316,$E$4:$E$810,"Win"),0))</f>
        <v>0</v>
      </c>
      <c r="Z316">
        <f>IF($D316="",0,1/(1+10^(($Y316-$U316)/400)))</f>
        <v>0</v>
      </c>
      <c r="AA316">
        <f>IF($D316="",0,IF($F316&lt;2,0,IF($E316="Win",('Guide &amp; Settings'!$C$42/(($F316-1)*COUNTIFS($A$4:$A$810,$A316,$E$4:$E$810,"Win")))*SUMIFS($Z$4:$Z$810,$A$4:$A$810,$A316,$E$4:$E$810,"Loss"),-('Guide &amp; Settings'!$C$42/($F316-1))*$Z316)))</f>
        <v>0</v>
      </c>
      <c r="AB316" s="125">
        <f>IF($D316="",0,$U316+$AA316)</f>
        <v>0</v>
      </c>
      <c r="AC316" s="125" t="str">
        <f>IF($D316="","",IF(SUMPRODUCT(MAX(($D$4:$D$810=$D316)*($B$4:$B$810&lt;$B316)*$B$4:$B$810))=0,0,MAX(($B316-MAX(SUMPRODUCT(MAX(($D$4:$D$810=$D316)*($B$4:$B$810&lt;$B316)*$B$4:$B$810)),'Guide &amp; Settings'!$C$50))/7-'Guide &amp; Settings'!$C$48,0)*'Guide &amp; Settings'!$C$49))</f>
      </c>
    </row>
    <row r="317" spans="1:29">
      <c r="A317" s="116"/>
      <c r="B317" s="117"/>
      <c r="C317" s="118"/>
      <c r="D317" s="118"/>
      <c r="E317" s="116"/>
      <c r="F317" s="119">
        <f>IF($D317="",0,COUNTIF($A$4:$A$810,$A317))</f>
        <v>0</v>
      </c>
      <c r="G317" s="120">
        <f>IF($D317="","",IFERROR(LOOKUP(2,1/(($A$4:$A$810=$A317)*($E$4:$E$810="Win")),$D$4:$D$810),"(no winner)"))</f>
        <v>0</v>
      </c>
      <c r="H317" s="121">
        <f>IF($D317="",0,IFERROR(LOOKUP(2,1/(($D$3:D316=$D317)*($A$3:A316&lt;$A317)),$N$3:N316),'Guide &amp; Settings'!$C$41))</f>
        <v>0</v>
      </c>
      <c r="I317" s="122">
        <f>IF($D317="",0,IF($S317=0,0,$R317/$S317))</f>
        <v>0</v>
      </c>
      <c r="J317" s="123">
        <f>IF($D317="",0,IF($F317&lt;2,0,IF($E317="Win",('Guide &amp; Settings'!$C$42/(($F317-1)*COUNTIFS($A$4:$A$810,$A317,$E$4:$E$810,"Win")))*SUMIFS($X$4:$X$810,$A$4:$A$810,$A317,$E$4:$E$810,"Loss"),-('Guide &amp; Settings'!$C$42/($F317-1))*$X317)))</f>
        <v>0</v>
      </c>
      <c r="K317" s="123">
        <f>IF($D317="",0,'Guide &amp; Settings'!$C$43*(IF($E317="Win",1,0)-$I317))</f>
        <v>0</v>
      </c>
      <c r="L317" s="124">
        <f>IF($D317="",0,'Guide &amp; Settings'!$C$44*IF($F317&gt;=3,$F317+IF($E317="Win",$F317,0),0))</f>
        <v>0</v>
      </c>
      <c r="M317" s="123">
        <f>IF($D317="",0,$J317+$K317+$L317)</f>
        <v>0</v>
      </c>
      <c r="N317" s="121">
        <f>IF($D317="",0,$H317+$M317)</f>
        <v>0</v>
      </c>
      <c r="O317" s="120" t="str">
        <f>IF($D317="","",IF(COUNTIFS($A$4:$A$810,$A317,$E$4:$E$810,"Win")=0,"need a winner",IF(COUNTIFS($A$4:$A$810,$A317,$E$4:$E$810,"Loss")=0,"need a loser",IF(COUNTIFS($A$4:$A$810,$A317,$D$4:$D$810,$D317)&gt;1,"duplicate player","OK"))))</f>
      </c>
      <c r="P317">
        <f>IF($D317="",0,IFERROR(SUMIFS($H$4:$H$810,$A$4:$A$810,$A317,$E$4:$E$810,"Win")/COUNTIFS($A$4:$A$810,$A317,$E$4:$E$810,"Win"),0))</f>
        <v>0</v>
      </c>
      <c r="Q317">
        <f>IF($D317="",0,1/(1+10^(($P317-$H317)/400)))</f>
        <v>0</v>
      </c>
      <c r="R317">
        <f>IF($D317="",0,(COUNTIFS($D$4:$D$810,$D317,$C$4:$C$810,$C317,$E$4:$E$810,"Win",$A$4:$A$810,"&lt;"&amp;$A317)+1)/(COUNTIFS($D$4:$D$810,$D317,$C$4:$C$810,$C317,$A$4:$A$810,"&lt;"&amp;$A317)+2))</f>
        <v>0</v>
      </c>
      <c r="S317">
        <f>IF($D317="",0,SUMIFS($R$4:$R$810,$A$4:$A$810,$A317))</f>
        <v>0</v>
      </c>
      <c r="T317" s="88">
        <f>IF($D317="",0,COUNTIFS($D$4:$D$810,$D317,$C$4:$C$810,$C317,$A$4:$A$810,"&lt;"&amp;$A317))</f>
        <v>0</v>
      </c>
      <c r="U317" s="125">
        <f>IF($D317="",0,IFERROR(LOOKUP(2,1/(($D$3:D316=$D317)*($C$3:C316=$C317)*($A$3:A316&lt;$A317)),$AB$3:AB316),1000))</f>
        <v>0</v>
      </c>
      <c r="V317" s="125">
        <f>IF($D317="",0,$U317*($T317/($T317+5))+$H317*(1-$T317/($T317+5)))</f>
        <v>0</v>
      </c>
      <c r="W317">
        <f>IF($D317="",0,IFERROR(SUMIFS($V$4:$V$810,$A$4:$A$810,$A317,$E$4:$E$810,"Win")/COUNTIFS($A$4:$A$810,$A317,$E$4:$E$810,"Win"),0))</f>
        <v>0</v>
      </c>
      <c r="X317">
        <f>IF($D317="",0,1/(1+10^(($W317-$V317)/400)))</f>
        <v>0</v>
      </c>
      <c r="Y317">
        <f>IF($D317="",0,IFERROR(SUMIFS($U$4:$U$810,$A$4:$A$810,$A317,$E$4:$E$810,"Win")/COUNTIFS($A$4:$A$810,$A317,$E$4:$E$810,"Win"),0))</f>
        <v>0</v>
      </c>
      <c r="Z317">
        <f>IF($D317="",0,1/(1+10^(($Y317-$U317)/400)))</f>
        <v>0</v>
      </c>
      <c r="AA317">
        <f>IF($D317="",0,IF($F317&lt;2,0,IF($E317="Win",('Guide &amp; Settings'!$C$42/(($F317-1)*COUNTIFS($A$4:$A$810,$A317,$E$4:$E$810,"Win")))*SUMIFS($Z$4:$Z$810,$A$4:$A$810,$A317,$E$4:$E$810,"Loss"),-('Guide &amp; Settings'!$C$42/($F317-1))*$Z317)))</f>
        <v>0</v>
      </c>
      <c r="AB317" s="125">
        <f>IF($D317="",0,$U317+$AA317)</f>
        <v>0</v>
      </c>
      <c r="AC317" s="125" t="str">
        <f>IF($D317="","",IF(SUMPRODUCT(MAX(($D$4:$D$810=$D317)*($B$4:$B$810&lt;$B317)*$B$4:$B$810))=0,0,MAX(($B317-MAX(SUMPRODUCT(MAX(($D$4:$D$810=$D317)*($B$4:$B$810&lt;$B317)*$B$4:$B$810)),'Guide &amp; Settings'!$C$50))/7-'Guide &amp; Settings'!$C$48,0)*'Guide &amp; Settings'!$C$49))</f>
      </c>
    </row>
    <row r="318" spans="1:29">
      <c r="A318" s="116"/>
      <c r="B318" s="117"/>
      <c r="C318" s="118"/>
      <c r="D318" s="118"/>
      <c r="E318" s="116"/>
      <c r="F318" s="119">
        <f>IF($D318="",0,COUNTIF($A$4:$A$810,$A318))</f>
        <v>0</v>
      </c>
      <c r="G318" s="120">
        <f>IF($D318="","",IFERROR(LOOKUP(2,1/(($A$4:$A$810=$A318)*($E$4:$E$810="Win")),$D$4:$D$810),"(no winner)"))</f>
        <v>0</v>
      </c>
      <c r="H318" s="121">
        <f>IF($D318="",0,IFERROR(LOOKUP(2,1/(($D$3:D317=$D318)*($A$3:A317&lt;$A318)),$N$3:N317),'Guide &amp; Settings'!$C$41))</f>
        <v>0</v>
      </c>
      <c r="I318" s="122">
        <f>IF($D318="",0,IF($S318=0,0,$R318/$S318))</f>
        <v>0</v>
      </c>
      <c r="J318" s="123">
        <f>IF($D318="",0,IF($F318&lt;2,0,IF($E318="Win",('Guide &amp; Settings'!$C$42/(($F318-1)*COUNTIFS($A$4:$A$810,$A318,$E$4:$E$810,"Win")))*SUMIFS($X$4:$X$810,$A$4:$A$810,$A318,$E$4:$E$810,"Loss"),-('Guide &amp; Settings'!$C$42/($F318-1))*$X318)))</f>
        <v>0</v>
      </c>
      <c r="K318" s="123">
        <f>IF($D318="",0,'Guide &amp; Settings'!$C$43*(IF($E318="Win",1,0)-$I318))</f>
        <v>0</v>
      </c>
      <c r="L318" s="124">
        <f>IF($D318="",0,'Guide &amp; Settings'!$C$44*IF($F318&gt;=3,$F318+IF($E318="Win",$F318,0),0))</f>
        <v>0</v>
      </c>
      <c r="M318" s="123">
        <f>IF($D318="",0,$J318+$K318+$L318)</f>
        <v>0</v>
      </c>
      <c r="N318" s="121">
        <f>IF($D318="",0,$H318+$M318)</f>
        <v>0</v>
      </c>
      <c r="O318" s="120" t="str">
        <f>IF($D318="","",IF(COUNTIFS($A$4:$A$810,$A318,$E$4:$E$810,"Win")=0,"need a winner",IF(COUNTIFS($A$4:$A$810,$A318,$E$4:$E$810,"Loss")=0,"need a loser",IF(COUNTIFS($A$4:$A$810,$A318,$D$4:$D$810,$D318)&gt;1,"duplicate player","OK"))))</f>
      </c>
      <c r="P318">
        <f>IF($D318="",0,IFERROR(SUMIFS($H$4:$H$810,$A$4:$A$810,$A318,$E$4:$E$810,"Win")/COUNTIFS($A$4:$A$810,$A318,$E$4:$E$810,"Win"),0))</f>
        <v>0</v>
      </c>
      <c r="Q318">
        <f>IF($D318="",0,1/(1+10^(($P318-$H318)/400)))</f>
        <v>0</v>
      </c>
      <c r="R318">
        <f>IF($D318="",0,(COUNTIFS($D$4:$D$810,$D318,$C$4:$C$810,$C318,$E$4:$E$810,"Win",$A$4:$A$810,"&lt;"&amp;$A318)+1)/(COUNTIFS($D$4:$D$810,$D318,$C$4:$C$810,$C318,$A$4:$A$810,"&lt;"&amp;$A318)+2))</f>
        <v>0</v>
      </c>
      <c r="S318">
        <f>IF($D318="",0,SUMIFS($R$4:$R$810,$A$4:$A$810,$A318))</f>
        <v>0</v>
      </c>
      <c r="T318" s="88">
        <f>IF($D318="",0,COUNTIFS($D$4:$D$810,$D318,$C$4:$C$810,$C318,$A$4:$A$810,"&lt;"&amp;$A318))</f>
        <v>0</v>
      </c>
      <c r="U318" s="125">
        <f>IF($D318="",0,IFERROR(LOOKUP(2,1/(($D$3:D317=$D318)*($C$3:C317=$C318)*($A$3:A317&lt;$A318)),$AB$3:AB317),1000))</f>
        <v>0</v>
      </c>
      <c r="V318" s="125">
        <f>IF($D318="",0,$U318*($T318/($T318+5))+$H318*(1-$T318/($T318+5)))</f>
        <v>0</v>
      </c>
      <c r="W318">
        <f>IF($D318="",0,IFERROR(SUMIFS($V$4:$V$810,$A$4:$A$810,$A318,$E$4:$E$810,"Win")/COUNTIFS($A$4:$A$810,$A318,$E$4:$E$810,"Win"),0))</f>
        <v>0</v>
      </c>
      <c r="X318">
        <f>IF($D318="",0,1/(1+10^(($W318-$V318)/400)))</f>
        <v>0</v>
      </c>
      <c r="Y318">
        <f>IF($D318="",0,IFERROR(SUMIFS($U$4:$U$810,$A$4:$A$810,$A318,$E$4:$E$810,"Win")/COUNTIFS($A$4:$A$810,$A318,$E$4:$E$810,"Win"),0))</f>
        <v>0</v>
      </c>
      <c r="Z318">
        <f>IF($D318="",0,1/(1+10^(($Y318-$U318)/400)))</f>
        <v>0</v>
      </c>
      <c r="AA318">
        <f>IF($D318="",0,IF($F318&lt;2,0,IF($E318="Win",('Guide &amp; Settings'!$C$42/(($F318-1)*COUNTIFS($A$4:$A$810,$A318,$E$4:$E$810,"Win")))*SUMIFS($Z$4:$Z$810,$A$4:$A$810,$A318,$E$4:$E$810,"Loss"),-('Guide &amp; Settings'!$C$42/($F318-1))*$Z318)))</f>
        <v>0</v>
      </c>
      <c r="AB318" s="125">
        <f>IF($D318="",0,$U318+$AA318)</f>
        <v>0</v>
      </c>
      <c r="AC318" s="125" t="str">
        <f>IF($D318="","",IF(SUMPRODUCT(MAX(($D$4:$D$810=$D318)*($B$4:$B$810&lt;$B318)*$B$4:$B$810))=0,0,MAX(($B318-MAX(SUMPRODUCT(MAX(($D$4:$D$810=$D318)*($B$4:$B$810&lt;$B318)*$B$4:$B$810)),'Guide &amp; Settings'!$C$50))/7-'Guide &amp; Settings'!$C$48,0)*'Guide &amp; Settings'!$C$49))</f>
      </c>
    </row>
    <row r="319" spans="1:29">
      <c r="A319" s="116"/>
      <c r="B319" s="117"/>
      <c r="C319" s="118"/>
      <c r="D319" s="118"/>
      <c r="E319" s="116"/>
      <c r="F319" s="119">
        <f>IF($D319="",0,COUNTIF($A$4:$A$810,$A319))</f>
        <v>0</v>
      </c>
      <c r="G319" s="120">
        <f>IF($D319="","",IFERROR(LOOKUP(2,1/(($A$4:$A$810=$A319)*($E$4:$E$810="Win")),$D$4:$D$810),"(no winner)"))</f>
        <v>0</v>
      </c>
      <c r="H319" s="121">
        <f>IF($D319="",0,IFERROR(LOOKUP(2,1/(($D$3:D318=$D319)*($A$3:A318&lt;$A319)),$N$3:N318),'Guide &amp; Settings'!$C$41))</f>
        <v>0</v>
      </c>
      <c r="I319" s="122">
        <f>IF($D319="",0,IF($S319=0,0,$R319/$S319))</f>
        <v>0</v>
      </c>
      <c r="J319" s="123">
        <f>IF($D319="",0,IF($F319&lt;2,0,IF($E319="Win",('Guide &amp; Settings'!$C$42/(($F319-1)*COUNTIFS($A$4:$A$810,$A319,$E$4:$E$810,"Win")))*SUMIFS($X$4:$X$810,$A$4:$A$810,$A319,$E$4:$E$810,"Loss"),-('Guide &amp; Settings'!$C$42/($F319-1))*$X319)))</f>
        <v>0</v>
      </c>
      <c r="K319" s="123">
        <f>IF($D319="",0,'Guide &amp; Settings'!$C$43*(IF($E319="Win",1,0)-$I319))</f>
        <v>0</v>
      </c>
      <c r="L319" s="124">
        <f>IF($D319="",0,'Guide &amp; Settings'!$C$44*IF($F319&gt;=3,$F319+IF($E319="Win",$F319,0),0))</f>
        <v>0</v>
      </c>
      <c r="M319" s="123">
        <f>IF($D319="",0,$J319+$K319+$L319)</f>
        <v>0</v>
      </c>
      <c r="N319" s="121">
        <f>IF($D319="",0,$H319+$M319)</f>
        <v>0</v>
      </c>
      <c r="O319" s="120" t="str">
        <f>IF($D319="","",IF(COUNTIFS($A$4:$A$810,$A319,$E$4:$E$810,"Win")=0,"need a winner",IF(COUNTIFS($A$4:$A$810,$A319,$E$4:$E$810,"Loss")=0,"need a loser",IF(COUNTIFS($A$4:$A$810,$A319,$D$4:$D$810,$D319)&gt;1,"duplicate player","OK"))))</f>
      </c>
      <c r="P319">
        <f>IF($D319="",0,IFERROR(SUMIFS($H$4:$H$810,$A$4:$A$810,$A319,$E$4:$E$810,"Win")/COUNTIFS($A$4:$A$810,$A319,$E$4:$E$810,"Win"),0))</f>
        <v>0</v>
      </c>
      <c r="Q319">
        <f>IF($D319="",0,1/(1+10^(($P319-$H319)/400)))</f>
        <v>0</v>
      </c>
      <c r="R319">
        <f>IF($D319="",0,(COUNTIFS($D$4:$D$810,$D319,$C$4:$C$810,$C319,$E$4:$E$810,"Win",$A$4:$A$810,"&lt;"&amp;$A319)+1)/(COUNTIFS($D$4:$D$810,$D319,$C$4:$C$810,$C319,$A$4:$A$810,"&lt;"&amp;$A319)+2))</f>
        <v>0</v>
      </c>
      <c r="S319">
        <f>IF($D319="",0,SUMIFS($R$4:$R$810,$A$4:$A$810,$A319))</f>
        <v>0</v>
      </c>
      <c r="T319" s="88">
        <f>IF($D319="",0,COUNTIFS($D$4:$D$810,$D319,$C$4:$C$810,$C319,$A$4:$A$810,"&lt;"&amp;$A319))</f>
        <v>0</v>
      </c>
      <c r="U319" s="125">
        <f>IF($D319="",0,IFERROR(LOOKUP(2,1/(($D$3:D318=$D319)*($C$3:C318=$C319)*($A$3:A318&lt;$A319)),$AB$3:AB318),1000))</f>
        <v>0</v>
      </c>
      <c r="V319" s="125">
        <f>IF($D319="",0,$U319*($T319/($T319+5))+$H319*(1-$T319/($T319+5)))</f>
        <v>0</v>
      </c>
      <c r="W319">
        <f>IF($D319="",0,IFERROR(SUMIFS($V$4:$V$810,$A$4:$A$810,$A319,$E$4:$E$810,"Win")/COUNTIFS($A$4:$A$810,$A319,$E$4:$E$810,"Win"),0))</f>
        <v>0</v>
      </c>
      <c r="X319">
        <f>IF($D319="",0,1/(1+10^(($W319-$V319)/400)))</f>
        <v>0</v>
      </c>
      <c r="Y319">
        <f>IF($D319="",0,IFERROR(SUMIFS($U$4:$U$810,$A$4:$A$810,$A319,$E$4:$E$810,"Win")/COUNTIFS($A$4:$A$810,$A319,$E$4:$E$810,"Win"),0))</f>
        <v>0</v>
      </c>
      <c r="Z319">
        <f>IF($D319="",0,1/(1+10^(($Y319-$U319)/400)))</f>
        <v>0</v>
      </c>
      <c r="AA319">
        <f>IF($D319="",0,IF($F319&lt;2,0,IF($E319="Win",('Guide &amp; Settings'!$C$42/(($F319-1)*COUNTIFS($A$4:$A$810,$A319,$E$4:$E$810,"Win")))*SUMIFS($Z$4:$Z$810,$A$4:$A$810,$A319,$E$4:$E$810,"Loss"),-('Guide &amp; Settings'!$C$42/($F319-1))*$Z319)))</f>
        <v>0</v>
      </c>
      <c r="AB319" s="125">
        <f>IF($D319="",0,$U319+$AA319)</f>
        <v>0</v>
      </c>
      <c r="AC319" s="125" t="str">
        <f>IF($D319="","",IF(SUMPRODUCT(MAX(($D$4:$D$810=$D319)*($B$4:$B$810&lt;$B319)*$B$4:$B$810))=0,0,MAX(($B319-MAX(SUMPRODUCT(MAX(($D$4:$D$810=$D319)*($B$4:$B$810&lt;$B319)*$B$4:$B$810)),'Guide &amp; Settings'!$C$50))/7-'Guide &amp; Settings'!$C$48,0)*'Guide &amp; Settings'!$C$49))</f>
      </c>
    </row>
    <row r="320" spans="1:29">
      <c r="A320" s="116"/>
      <c r="B320" s="117"/>
      <c r="C320" s="118"/>
      <c r="D320" s="118"/>
      <c r="E320" s="116"/>
      <c r="F320" s="119">
        <f>IF($D320="",0,COUNTIF($A$4:$A$810,$A320))</f>
        <v>0</v>
      </c>
      <c r="G320" s="120">
        <f>IF($D320="","",IFERROR(LOOKUP(2,1/(($A$4:$A$810=$A320)*($E$4:$E$810="Win")),$D$4:$D$810),"(no winner)"))</f>
        <v>0</v>
      </c>
      <c r="H320" s="121">
        <f>IF($D320="",0,IFERROR(LOOKUP(2,1/(($D$3:D319=$D320)*($A$3:A319&lt;$A320)),$N$3:N319),'Guide &amp; Settings'!$C$41))</f>
        <v>0</v>
      </c>
      <c r="I320" s="122">
        <f>IF($D320="",0,IF($S320=0,0,$R320/$S320))</f>
        <v>0</v>
      </c>
      <c r="J320" s="123">
        <f>IF($D320="",0,IF($F320&lt;2,0,IF($E320="Win",('Guide &amp; Settings'!$C$42/(($F320-1)*COUNTIFS($A$4:$A$810,$A320,$E$4:$E$810,"Win")))*SUMIFS($X$4:$X$810,$A$4:$A$810,$A320,$E$4:$E$810,"Loss"),-('Guide &amp; Settings'!$C$42/($F320-1))*$X320)))</f>
        <v>0</v>
      </c>
      <c r="K320" s="123">
        <f>IF($D320="",0,'Guide &amp; Settings'!$C$43*(IF($E320="Win",1,0)-$I320))</f>
        <v>0</v>
      </c>
      <c r="L320" s="124">
        <f>IF($D320="",0,'Guide &amp; Settings'!$C$44*IF($F320&gt;=3,$F320+IF($E320="Win",$F320,0),0))</f>
        <v>0</v>
      </c>
      <c r="M320" s="123">
        <f>IF($D320="",0,$J320+$K320+$L320)</f>
        <v>0</v>
      </c>
      <c r="N320" s="121">
        <f>IF($D320="",0,$H320+$M320)</f>
        <v>0</v>
      </c>
      <c r="O320" s="120" t="str">
        <f>IF($D320="","",IF(COUNTIFS($A$4:$A$810,$A320,$E$4:$E$810,"Win")=0,"need a winner",IF(COUNTIFS($A$4:$A$810,$A320,$E$4:$E$810,"Loss")=0,"need a loser",IF(COUNTIFS($A$4:$A$810,$A320,$D$4:$D$810,$D320)&gt;1,"duplicate player","OK"))))</f>
      </c>
      <c r="P320">
        <f>IF($D320="",0,IFERROR(SUMIFS($H$4:$H$810,$A$4:$A$810,$A320,$E$4:$E$810,"Win")/COUNTIFS($A$4:$A$810,$A320,$E$4:$E$810,"Win"),0))</f>
        <v>0</v>
      </c>
      <c r="Q320">
        <f>IF($D320="",0,1/(1+10^(($P320-$H320)/400)))</f>
        <v>0</v>
      </c>
      <c r="R320">
        <f>IF($D320="",0,(COUNTIFS($D$4:$D$810,$D320,$C$4:$C$810,$C320,$E$4:$E$810,"Win",$A$4:$A$810,"&lt;"&amp;$A320)+1)/(COUNTIFS($D$4:$D$810,$D320,$C$4:$C$810,$C320,$A$4:$A$810,"&lt;"&amp;$A320)+2))</f>
        <v>0</v>
      </c>
      <c r="S320">
        <f>IF($D320="",0,SUMIFS($R$4:$R$810,$A$4:$A$810,$A320))</f>
        <v>0</v>
      </c>
      <c r="T320" s="88">
        <f>IF($D320="",0,COUNTIFS($D$4:$D$810,$D320,$C$4:$C$810,$C320,$A$4:$A$810,"&lt;"&amp;$A320))</f>
        <v>0</v>
      </c>
      <c r="U320" s="125">
        <f>IF($D320="",0,IFERROR(LOOKUP(2,1/(($D$3:D319=$D320)*($C$3:C319=$C320)*($A$3:A319&lt;$A320)),$AB$3:AB319),1000))</f>
        <v>0</v>
      </c>
      <c r="V320" s="125">
        <f>IF($D320="",0,$U320*($T320/($T320+5))+$H320*(1-$T320/($T320+5)))</f>
        <v>0</v>
      </c>
      <c r="W320">
        <f>IF($D320="",0,IFERROR(SUMIFS($V$4:$V$810,$A$4:$A$810,$A320,$E$4:$E$810,"Win")/COUNTIFS($A$4:$A$810,$A320,$E$4:$E$810,"Win"),0))</f>
        <v>0</v>
      </c>
      <c r="X320">
        <f>IF($D320="",0,1/(1+10^(($W320-$V320)/400)))</f>
        <v>0</v>
      </c>
      <c r="Y320">
        <f>IF($D320="",0,IFERROR(SUMIFS($U$4:$U$810,$A$4:$A$810,$A320,$E$4:$E$810,"Win")/COUNTIFS($A$4:$A$810,$A320,$E$4:$E$810,"Win"),0))</f>
        <v>0</v>
      </c>
      <c r="Z320">
        <f>IF($D320="",0,1/(1+10^(($Y320-$U320)/400)))</f>
        <v>0</v>
      </c>
      <c r="AA320">
        <f>IF($D320="",0,IF($F320&lt;2,0,IF($E320="Win",('Guide &amp; Settings'!$C$42/(($F320-1)*COUNTIFS($A$4:$A$810,$A320,$E$4:$E$810,"Win")))*SUMIFS($Z$4:$Z$810,$A$4:$A$810,$A320,$E$4:$E$810,"Loss"),-('Guide &amp; Settings'!$C$42/($F320-1))*$Z320)))</f>
        <v>0</v>
      </c>
      <c r="AB320" s="125">
        <f>IF($D320="",0,$U320+$AA320)</f>
        <v>0</v>
      </c>
      <c r="AC320" s="125" t="str">
        <f>IF($D320="","",IF(SUMPRODUCT(MAX(($D$4:$D$810=$D320)*($B$4:$B$810&lt;$B320)*$B$4:$B$810))=0,0,MAX(($B320-MAX(SUMPRODUCT(MAX(($D$4:$D$810=$D320)*($B$4:$B$810&lt;$B320)*$B$4:$B$810)),'Guide &amp; Settings'!$C$50))/7-'Guide &amp; Settings'!$C$48,0)*'Guide &amp; Settings'!$C$49))</f>
      </c>
    </row>
    <row r="321" spans="1:29">
      <c r="A321" s="116"/>
      <c r="B321" s="117"/>
      <c r="C321" s="118"/>
      <c r="D321" s="118"/>
      <c r="E321" s="116"/>
      <c r="F321" s="119">
        <f>IF($D321="",0,COUNTIF($A$4:$A$810,$A321))</f>
        <v>0</v>
      </c>
      <c r="G321" s="120">
        <f>IF($D321="","",IFERROR(LOOKUP(2,1/(($A$4:$A$810=$A321)*($E$4:$E$810="Win")),$D$4:$D$810),"(no winner)"))</f>
        <v>0</v>
      </c>
      <c r="H321" s="121">
        <f>IF($D321="",0,IFERROR(LOOKUP(2,1/(($D$3:D320=$D321)*($A$3:A320&lt;$A321)),$N$3:N320),'Guide &amp; Settings'!$C$41))</f>
        <v>0</v>
      </c>
      <c r="I321" s="122">
        <f>IF($D321="",0,IF($S321=0,0,$R321/$S321))</f>
        <v>0</v>
      </c>
      <c r="J321" s="123">
        <f>IF($D321="",0,IF($F321&lt;2,0,IF($E321="Win",('Guide &amp; Settings'!$C$42/(($F321-1)*COUNTIFS($A$4:$A$810,$A321,$E$4:$E$810,"Win")))*SUMIFS($X$4:$X$810,$A$4:$A$810,$A321,$E$4:$E$810,"Loss"),-('Guide &amp; Settings'!$C$42/($F321-1))*$X321)))</f>
        <v>0</v>
      </c>
      <c r="K321" s="123">
        <f>IF($D321="",0,'Guide &amp; Settings'!$C$43*(IF($E321="Win",1,0)-$I321))</f>
        <v>0</v>
      </c>
      <c r="L321" s="124">
        <f>IF($D321="",0,'Guide &amp; Settings'!$C$44*IF($F321&gt;=3,$F321+IF($E321="Win",$F321,0),0))</f>
        <v>0</v>
      </c>
      <c r="M321" s="123">
        <f>IF($D321="",0,$J321+$K321+$L321)</f>
        <v>0</v>
      </c>
      <c r="N321" s="121">
        <f>IF($D321="",0,$H321+$M321)</f>
        <v>0</v>
      </c>
      <c r="O321" s="120" t="str">
        <f>IF($D321="","",IF(COUNTIFS($A$4:$A$810,$A321,$E$4:$E$810,"Win")=0,"need a winner",IF(COUNTIFS($A$4:$A$810,$A321,$E$4:$E$810,"Loss")=0,"need a loser",IF(COUNTIFS($A$4:$A$810,$A321,$D$4:$D$810,$D321)&gt;1,"duplicate player","OK"))))</f>
      </c>
      <c r="P321">
        <f>IF($D321="",0,IFERROR(SUMIFS($H$4:$H$810,$A$4:$A$810,$A321,$E$4:$E$810,"Win")/COUNTIFS($A$4:$A$810,$A321,$E$4:$E$810,"Win"),0))</f>
        <v>0</v>
      </c>
      <c r="Q321">
        <f>IF($D321="",0,1/(1+10^(($P321-$H321)/400)))</f>
        <v>0</v>
      </c>
      <c r="R321">
        <f>IF($D321="",0,(COUNTIFS($D$4:$D$810,$D321,$C$4:$C$810,$C321,$E$4:$E$810,"Win",$A$4:$A$810,"&lt;"&amp;$A321)+1)/(COUNTIFS($D$4:$D$810,$D321,$C$4:$C$810,$C321,$A$4:$A$810,"&lt;"&amp;$A321)+2))</f>
        <v>0</v>
      </c>
      <c r="S321">
        <f>IF($D321="",0,SUMIFS($R$4:$R$810,$A$4:$A$810,$A321))</f>
        <v>0</v>
      </c>
      <c r="T321" s="88">
        <f>IF($D321="",0,COUNTIFS($D$4:$D$810,$D321,$C$4:$C$810,$C321,$A$4:$A$810,"&lt;"&amp;$A321))</f>
        <v>0</v>
      </c>
      <c r="U321" s="125">
        <f>IF($D321="",0,IFERROR(LOOKUP(2,1/(($D$3:D320=$D321)*($C$3:C320=$C321)*($A$3:A320&lt;$A321)),$AB$3:AB320),1000))</f>
        <v>0</v>
      </c>
      <c r="V321" s="125">
        <f>IF($D321="",0,$U321*($T321/($T321+5))+$H321*(1-$T321/($T321+5)))</f>
        <v>0</v>
      </c>
      <c r="W321">
        <f>IF($D321="",0,IFERROR(SUMIFS($V$4:$V$810,$A$4:$A$810,$A321,$E$4:$E$810,"Win")/COUNTIFS($A$4:$A$810,$A321,$E$4:$E$810,"Win"),0))</f>
        <v>0</v>
      </c>
      <c r="X321">
        <f>IF($D321="",0,1/(1+10^(($W321-$V321)/400)))</f>
        <v>0</v>
      </c>
      <c r="Y321">
        <f>IF($D321="",0,IFERROR(SUMIFS($U$4:$U$810,$A$4:$A$810,$A321,$E$4:$E$810,"Win")/COUNTIFS($A$4:$A$810,$A321,$E$4:$E$810,"Win"),0))</f>
        <v>0</v>
      </c>
      <c r="Z321">
        <f>IF($D321="",0,1/(1+10^(($Y321-$U321)/400)))</f>
        <v>0</v>
      </c>
      <c r="AA321">
        <f>IF($D321="",0,IF($F321&lt;2,0,IF($E321="Win",('Guide &amp; Settings'!$C$42/(($F321-1)*COUNTIFS($A$4:$A$810,$A321,$E$4:$E$810,"Win")))*SUMIFS($Z$4:$Z$810,$A$4:$A$810,$A321,$E$4:$E$810,"Loss"),-('Guide &amp; Settings'!$C$42/($F321-1))*$Z321)))</f>
        <v>0</v>
      </c>
      <c r="AB321" s="125">
        <f>IF($D321="",0,$U321+$AA321)</f>
        <v>0</v>
      </c>
      <c r="AC321" s="125" t="str">
        <f>IF($D321="","",IF(SUMPRODUCT(MAX(($D$4:$D$810=$D321)*($B$4:$B$810&lt;$B321)*$B$4:$B$810))=0,0,MAX(($B321-MAX(SUMPRODUCT(MAX(($D$4:$D$810=$D321)*($B$4:$B$810&lt;$B321)*$B$4:$B$810)),'Guide &amp; Settings'!$C$50))/7-'Guide &amp; Settings'!$C$48,0)*'Guide &amp; Settings'!$C$49))</f>
      </c>
    </row>
    <row r="322" spans="1:29">
      <c r="A322" s="116"/>
      <c r="B322" s="117"/>
      <c r="C322" s="118"/>
      <c r="D322" s="118"/>
      <c r="E322" s="116"/>
      <c r="F322" s="119">
        <f>IF($D322="",0,COUNTIF($A$4:$A$810,$A322))</f>
        <v>0</v>
      </c>
      <c r="G322" s="120">
        <f>IF($D322="","",IFERROR(LOOKUP(2,1/(($A$4:$A$810=$A322)*($E$4:$E$810="Win")),$D$4:$D$810),"(no winner)"))</f>
        <v>0</v>
      </c>
      <c r="H322" s="121">
        <f>IF($D322="",0,IFERROR(LOOKUP(2,1/(($D$3:D321=$D322)*($A$3:A321&lt;$A322)),$N$3:N321),'Guide &amp; Settings'!$C$41))</f>
        <v>0</v>
      </c>
      <c r="I322" s="122">
        <f>IF($D322="",0,IF($S322=0,0,$R322/$S322))</f>
        <v>0</v>
      </c>
      <c r="J322" s="123">
        <f>IF($D322="",0,IF($F322&lt;2,0,IF($E322="Win",('Guide &amp; Settings'!$C$42/(($F322-1)*COUNTIFS($A$4:$A$810,$A322,$E$4:$E$810,"Win")))*SUMIFS($X$4:$X$810,$A$4:$A$810,$A322,$E$4:$E$810,"Loss"),-('Guide &amp; Settings'!$C$42/($F322-1))*$X322)))</f>
        <v>0</v>
      </c>
      <c r="K322" s="123">
        <f>IF($D322="",0,'Guide &amp; Settings'!$C$43*(IF($E322="Win",1,0)-$I322))</f>
        <v>0</v>
      </c>
      <c r="L322" s="124">
        <f>IF($D322="",0,'Guide &amp; Settings'!$C$44*IF($F322&gt;=3,$F322+IF($E322="Win",$F322,0),0))</f>
        <v>0</v>
      </c>
      <c r="M322" s="123">
        <f>IF($D322="",0,$J322+$K322+$L322)</f>
        <v>0</v>
      </c>
      <c r="N322" s="121">
        <f>IF($D322="",0,$H322+$M322)</f>
        <v>0</v>
      </c>
      <c r="O322" s="120" t="str">
        <f>IF($D322="","",IF(COUNTIFS($A$4:$A$810,$A322,$E$4:$E$810,"Win")=0,"need a winner",IF(COUNTIFS($A$4:$A$810,$A322,$E$4:$E$810,"Loss")=0,"need a loser",IF(COUNTIFS($A$4:$A$810,$A322,$D$4:$D$810,$D322)&gt;1,"duplicate player","OK"))))</f>
      </c>
      <c r="P322">
        <f>IF($D322="",0,IFERROR(SUMIFS($H$4:$H$810,$A$4:$A$810,$A322,$E$4:$E$810,"Win")/COUNTIFS($A$4:$A$810,$A322,$E$4:$E$810,"Win"),0))</f>
        <v>0</v>
      </c>
      <c r="Q322">
        <f>IF($D322="",0,1/(1+10^(($P322-$H322)/400)))</f>
        <v>0</v>
      </c>
      <c r="R322">
        <f>IF($D322="",0,(COUNTIFS($D$4:$D$810,$D322,$C$4:$C$810,$C322,$E$4:$E$810,"Win",$A$4:$A$810,"&lt;"&amp;$A322)+1)/(COUNTIFS($D$4:$D$810,$D322,$C$4:$C$810,$C322,$A$4:$A$810,"&lt;"&amp;$A322)+2))</f>
        <v>0</v>
      </c>
      <c r="S322">
        <f>IF($D322="",0,SUMIFS($R$4:$R$810,$A$4:$A$810,$A322))</f>
        <v>0</v>
      </c>
      <c r="T322" s="88">
        <f>IF($D322="",0,COUNTIFS($D$4:$D$810,$D322,$C$4:$C$810,$C322,$A$4:$A$810,"&lt;"&amp;$A322))</f>
        <v>0</v>
      </c>
      <c r="U322" s="125">
        <f>IF($D322="",0,IFERROR(LOOKUP(2,1/(($D$3:D321=$D322)*($C$3:C321=$C322)*($A$3:A321&lt;$A322)),$AB$3:AB321),1000))</f>
        <v>0</v>
      </c>
      <c r="V322" s="125">
        <f>IF($D322="",0,$U322*($T322/($T322+5))+$H322*(1-$T322/($T322+5)))</f>
        <v>0</v>
      </c>
      <c r="W322">
        <f>IF($D322="",0,IFERROR(SUMIFS($V$4:$V$810,$A$4:$A$810,$A322,$E$4:$E$810,"Win")/COUNTIFS($A$4:$A$810,$A322,$E$4:$E$810,"Win"),0))</f>
        <v>0</v>
      </c>
      <c r="X322">
        <f>IF($D322="",0,1/(1+10^(($W322-$V322)/400)))</f>
        <v>0</v>
      </c>
      <c r="Y322">
        <f>IF($D322="",0,IFERROR(SUMIFS($U$4:$U$810,$A$4:$A$810,$A322,$E$4:$E$810,"Win")/COUNTIFS($A$4:$A$810,$A322,$E$4:$E$810,"Win"),0))</f>
        <v>0</v>
      </c>
      <c r="Z322">
        <f>IF($D322="",0,1/(1+10^(($Y322-$U322)/400)))</f>
        <v>0</v>
      </c>
      <c r="AA322">
        <f>IF($D322="",0,IF($F322&lt;2,0,IF($E322="Win",('Guide &amp; Settings'!$C$42/(($F322-1)*COUNTIFS($A$4:$A$810,$A322,$E$4:$E$810,"Win")))*SUMIFS($Z$4:$Z$810,$A$4:$A$810,$A322,$E$4:$E$810,"Loss"),-('Guide &amp; Settings'!$C$42/($F322-1))*$Z322)))</f>
        <v>0</v>
      </c>
      <c r="AB322" s="125">
        <f>IF($D322="",0,$U322+$AA322)</f>
        <v>0</v>
      </c>
      <c r="AC322" s="125" t="str">
        <f>IF($D322="","",IF(SUMPRODUCT(MAX(($D$4:$D$810=$D322)*($B$4:$B$810&lt;$B322)*$B$4:$B$810))=0,0,MAX(($B322-MAX(SUMPRODUCT(MAX(($D$4:$D$810=$D322)*($B$4:$B$810&lt;$B322)*$B$4:$B$810)),'Guide &amp; Settings'!$C$50))/7-'Guide &amp; Settings'!$C$48,0)*'Guide &amp; Settings'!$C$49))</f>
      </c>
    </row>
    <row r="323" spans="1:29">
      <c r="A323" s="116"/>
      <c r="B323" s="117"/>
      <c r="C323" s="118"/>
      <c r="D323" s="118"/>
      <c r="E323" s="116"/>
      <c r="F323" s="119">
        <f>IF($D323="",0,COUNTIF($A$4:$A$810,$A323))</f>
        <v>0</v>
      </c>
      <c r="G323" s="120">
        <f>IF($D323="","",IFERROR(LOOKUP(2,1/(($A$4:$A$810=$A323)*($E$4:$E$810="Win")),$D$4:$D$810),"(no winner)"))</f>
        <v>0</v>
      </c>
      <c r="H323" s="121">
        <f>IF($D323="",0,IFERROR(LOOKUP(2,1/(($D$3:D322=$D323)*($A$3:A322&lt;$A323)),$N$3:N322),'Guide &amp; Settings'!$C$41))</f>
        <v>0</v>
      </c>
      <c r="I323" s="122">
        <f>IF($D323="",0,IF($S323=0,0,$R323/$S323))</f>
        <v>0</v>
      </c>
      <c r="J323" s="123">
        <f>IF($D323="",0,IF($F323&lt;2,0,IF($E323="Win",('Guide &amp; Settings'!$C$42/(($F323-1)*COUNTIFS($A$4:$A$810,$A323,$E$4:$E$810,"Win")))*SUMIFS($X$4:$X$810,$A$4:$A$810,$A323,$E$4:$E$810,"Loss"),-('Guide &amp; Settings'!$C$42/($F323-1))*$X323)))</f>
        <v>0</v>
      </c>
      <c r="K323" s="123">
        <f>IF($D323="",0,'Guide &amp; Settings'!$C$43*(IF($E323="Win",1,0)-$I323))</f>
        <v>0</v>
      </c>
      <c r="L323" s="124">
        <f>IF($D323="",0,'Guide &amp; Settings'!$C$44*IF($F323&gt;=3,$F323+IF($E323="Win",$F323,0),0))</f>
        <v>0</v>
      </c>
      <c r="M323" s="123">
        <f>IF($D323="",0,$J323+$K323+$L323)</f>
        <v>0</v>
      </c>
      <c r="N323" s="121">
        <f>IF($D323="",0,$H323+$M323)</f>
        <v>0</v>
      </c>
      <c r="O323" s="120" t="str">
        <f>IF($D323="","",IF(COUNTIFS($A$4:$A$810,$A323,$E$4:$E$810,"Win")=0,"need a winner",IF(COUNTIFS($A$4:$A$810,$A323,$E$4:$E$810,"Loss")=0,"need a loser",IF(COUNTIFS($A$4:$A$810,$A323,$D$4:$D$810,$D323)&gt;1,"duplicate player","OK"))))</f>
      </c>
      <c r="P323">
        <f>IF($D323="",0,IFERROR(SUMIFS($H$4:$H$810,$A$4:$A$810,$A323,$E$4:$E$810,"Win")/COUNTIFS($A$4:$A$810,$A323,$E$4:$E$810,"Win"),0))</f>
        <v>0</v>
      </c>
      <c r="Q323">
        <f>IF($D323="",0,1/(1+10^(($P323-$H323)/400)))</f>
        <v>0</v>
      </c>
      <c r="R323">
        <f>IF($D323="",0,(COUNTIFS($D$4:$D$810,$D323,$C$4:$C$810,$C323,$E$4:$E$810,"Win",$A$4:$A$810,"&lt;"&amp;$A323)+1)/(COUNTIFS($D$4:$D$810,$D323,$C$4:$C$810,$C323,$A$4:$A$810,"&lt;"&amp;$A323)+2))</f>
        <v>0</v>
      </c>
      <c r="S323">
        <f>IF($D323="",0,SUMIFS($R$4:$R$810,$A$4:$A$810,$A323))</f>
        <v>0</v>
      </c>
      <c r="T323" s="88">
        <f>IF($D323="",0,COUNTIFS($D$4:$D$810,$D323,$C$4:$C$810,$C323,$A$4:$A$810,"&lt;"&amp;$A323))</f>
        <v>0</v>
      </c>
      <c r="U323" s="125">
        <f>IF($D323="",0,IFERROR(LOOKUP(2,1/(($D$3:D322=$D323)*($C$3:C322=$C323)*($A$3:A322&lt;$A323)),$AB$3:AB322),1000))</f>
        <v>0</v>
      </c>
      <c r="V323" s="125">
        <f>IF($D323="",0,$U323*($T323/($T323+5))+$H323*(1-$T323/($T323+5)))</f>
        <v>0</v>
      </c>
      <c r="W323">
        <f>IF($D323="",0,IFERROR(SUMIFS($V$4:$V$810,$A$4:$A$810,$A323,$E$4:$E$810,"Win")/COUNTIFS($A$4:$A$810,$A323,$E$4:$E$810,"Win"),0))</f>
        <v>0</v>
      </c>
      <c r="X323">
        <f>IF($D323="",0,1/(1+10^(($W323-$V323)/400)))</f>
        <v>0</v>
      </c>
      <c r="Y323">
        <f>IF($D323="",0,IFERROR(SUMIFS($U$4:$U$810,$A$4:$A$810,$A323,$E$4:$E$810,"Win")/COUNTIFS($A$4:$A$810,$A323,$E$4:$E$810,"Win"),0))</f>
        <v>0</v>
      </c>
      <c r="Z323">
        <f>IF($D323="",0,1/(1+10^(($Y323-$U323)/400)))</f>
        <v>0</v>
      </c>
      <c r="AA323">
        <f>IF($D323="",0,IF($F323&lt;2,0,IF($E323="Win",('Guide &amp; Settings'!$C$42/(($F323-1)*COUNTIFS($A$4:$A$810,$A323,$E$4:$E$810,"Win")))*SUMIFS($Z$4:$Z$810,$A$4:$A$810,$A323,$E$4:$E$810,"Loss"),-('Guide &amp; Settings'!$C$42/($F323-1))*$Z323)))</f>
        <v>0</v>
      </c>
      <c r="AB323" s="125">
        <f>IF($D323="",0,$U323+$AA323)</f>
        <v>0</v>
      </c>
      <c r="AC323" s="125" t="str">
        <f>IF($D323="","",IF(SUMPRODUCT(MAX(($D$4:$D$810=$D323)*($B$4:$B$810&lt;$B323)*$B$4:$B$810))=0,0,MAX(($B323-MAX(SUMPRODUCT(MAX(($D$4:$D$810=$D323)*($B$4:$B$810&lt;$B323)*$B$4:$B$810)),'Guide &amp; Settings'!$C$50))/7-'Guide &amp; Settings'!$C$48,0)*'Guide &amp; Settings'!$C$49))</f>
      </c>
    </row>
    <row r="324" spans="1:29">
      <c r="A324" s="116"/>
      <c r="B324" s="117"/>
      <c r="C324" s="118"/>
      <c r="D324" s="118"/>
      <c r="E324" s="116"/>
      <c r="F324" s="119">
        <f>IF($D324="",0,COUNTIF($A$4:$A$810,$A324))</f>
        <v>0</v>
      </c>
      <c r="G324" s="120">
        <f>IF($D324="","",IFERROR(LOOKUP(2,1/(($A$4:$A$810=$A324)*($E$4:$E$810="Win")),$D$4:$D$810),"(no winner)"))</f>
        <v>0</v>
      </c>
      <c r="H324" s="121">
        <f>IF($D324="",0,IFERROR(LOOKUP(2,1/(($D$3:D323=$D324)*($A$3:A323&lt;$A324)),$N$3:N323),'Guide &amp; Settings'!$C$41))</f>
        <v>0</v>
      </c>
      <c r="I324" s="122">
        <f>IF($D324="",0,IF($S324=0,0,$R324/$S324))</f>
        <v>0</v>
      </c>
      <c r="J324" s="123">
        <f>IF($D324="",0,IF($F324&lt;2,0,IF($E324="Win",('Guide &amp; Settings'!$C$42/(($F324-1)*COUNTIFS($A$4:$A$810,$A324,$E$4:$E$810,"Win")))*SUMIFS($X$4:$X$810,$A$4:$A$810,$A324,$E$4:$E$810,"Loss"),-('Guide &amp; Settings'!$C$42/($F324-1))*$X324)))</f>
        <v>0</v>
      </c>
      <c r="K324" s="123">
        <f>IF($D324="",0,'Guide &amp; Settings'!$C$43*(IF($E324="Win",1,0)-$I324))</f>
        <v>0</v>
      </c>
      <c r="L324" s="124">
        <f>IF($D324="",0,'Guide &amp; Settings'!$C$44*IF($F324&gt;=3,$F324+IF($E324="Win",$F324,0),0))</f>
        <v>0</v>
      </c>
      <c r="M324" s="123">
        <f>IF($D324="",0,$J324+$K324+$L324)</f>
        <v>0</v>
      </c>
      <c r="N324" s="121">
        <f>IF($D324="",0,$H324+$M324)</f>
        <v>0</v>
      </c>
      <c r="O324" s="120" t="str">
        <f>IF($D324="","",IF(COUNTIFS($A$4:$A$810,$A324,$E$4:$E$810,"Win")=0,"need a winner",IF(COUNTIFS($A$4:$A$810,$A324,$E$4:$E$810,"Loss")=0,"need a loser",IF(COUNTIFS($A$4:$A$810,$A324,$D$4:$D$810,$D324)&gt;1,"duplicate player","OK"))))</f>
      </c>
      <c r="P324">
        <f>IF($D324="",0,IFERROR(SUMIFS($H$4:$H$810,$A$4:$A$810,$A324,$E$4:$E$810,"Win")/COUNTIFS($A$4:$A$810,$A324,$E$4:$E$810,"Win"),0))</f>
        <v>0</v>
      </c>
      <c r="Q324">
        <f>IF($D324="",0,1/(1+10^(($P324-$H324)/400)))</f>
        <v>0</v>
      </c>
      <c r="R324">
        <f>IF($D324="",0,(COUNTIFS($D$4:$D$810,$D324,$C$4:$C$810,$C324,$E$4:$E$810,"Win",$A$4:$A$810,"&lt;"&amp;$A324)+1)/(COUNTIFS($D$4:$D$810,$D324,$C$4:$C$810,$C324,$A$4:$A$810,"&lt;"&amp;$A324)+2))</f>
        <v>0</v>
      </c>
      <c r="S324">
        <f>IF($D324="",0,SUMIFS($R$4:$R$810,$A$4:$A$810,$A324))</f>
        <v>0</v>
      </c>
      <c r="T324" s="88">
        <f>IF($D324="",0,COUNTIFS($D$4:$D$810,$D324,$C$4:$C$810,$C324,$A$4:$A$810,"&lt;"&amp;$A324))</f>
        <v>0</v>
      </c>
      <c r="U324" s="125">
        <f>IF($D324="",0,IFERROR(LOOKUP(2,1/(($D$3:D323=$D324)*($C$3:C323=$C324)*($A$3:A323&lt;$A324)),$AB$3:AB323),1000))</f>
        <v>0</v>
      </c>
      <c r="V324" s="125">
        <f>IF($D324="",0,$U324*($T324/($T324+5))+$H324*(1-$T324/($T324+5)))</f>
        <v>0</v>
      </c>
      <c r="W324">
        <f>IF($D324="",0,IFERROR(SUMIFS($V$4:$V$810,$A$4:$A$810,$A324,$E$4:$E$810,"Win")/COUNTIFS($A$4:$A$810,$A324,$E$4:$E$810,"Win"),0))</f>
        <v>0</v>
      </c>
      <c r="X324">
        <f>IF($D324="",0,1/(1+10^(($W324-$V324)/400)))</f>
        <v>0</v>
      </c>
      <c r="Y324">
        <f>IF($D324="",0,IFERROR(SUMIFS($U$4:$U$810,$A$4:$A$810,$A324,$E$4:$E$810,"Win")/COUNTIFS($A$4:$A$810,$A324,$E$4:$E$810,"Win"),0))</f>
        <v>0</v>
      </c>
      <c r="Z324">
        <f>IF($D324="",0,1/(1+10^(($Y324-$U324)/400)))</f>
        <v>0</v>
      </c>
      <c r="AA324">
        <f>IF($D324="",0,IF($F324&lt;2,0,IF($E324="Win",('Guide &amp; Settings'!$C$42/(($F324-1)*COUNTIFS($A$4:$A$810,$A324,$E$4:$E$810,"Win")))*SUMIFS($Z$4:$Z$810,$A$4:$A$810,$A324,$E$4:$E$810,"Loss"),-('Guide &amp; Settings'!$C$42/($F324-1))*$Z324)))</f>
        <v>0</v>
      </c>
      <c r="AB324" s="125">
        <f>IF($D324="",0,$U324+$AA324)</f>
        <v>0</v>
      </c>
      <c r="AC324" s="125" t="str">
        <f>IF($D324="","",IF(SUMPRODUCT(MAX(($D$4:$D$810=$D324)*($B$4:$B$810&lt;$B324)*$B$4:$B$810))=0,0,MAX(($B324-MAX(SUMPRODUCT(MAX(($D$4:$D$810=$D324)*($B$4:$B$810&lt;$B324)*$B$4:$B$810)),'Guide &amp; Settings'!$C$50))/7-'Guide &amp; Settings'!$C$48,0)*'Guide &amp; Settings'!$C$49))</f>
      </c>
    </row>
    <row r="325" spans="1:29">
      <c r="A325" s="116"/>
      <c r="B325" s="117"/>
      <c r="C325" s="118"/>
      <c r="D325" s="118"/>
      <c r="E325" s="116"/>
      <c r="F325" s="119">
        <f>IF($D325="",0,COUNTIF($A$4:$A$810,$A325))</f>
        <v>0</v>
      </c>
      <c r="G325" s="120">
        <f>IF($D325="","",IFERROR(LOOKUP(2,1/(($A$4:$A$810=$A325)*($E$4:$E$810="Win")),$D$4:$D$810),"(no winner)"))</f>
        <v>0</v>
      </c>
      <c r="H325" s="121">
        <f>IF($D325="",0,IFERROR(LOOKUP(2,1/(($D$3:D324=$D325)*($A$3:A324&lt;$A325)),$N$3:N324),'Guide &amp; Settings'!$C$41))</f>
        <v>0</v>
      </c>
      <c r="I325" s="122">
        <f>IF($D325="",0,IF($S325=0,0,$R325/$S325))</f>
        <v>0</v>
      </c>
      <c r="J325" s="123">
        <f>IF($D325="",0,IF($F325&lt;2,0,IF($E325="Win",('Guide &amp; Settings'!$C$42/(($F325-1)*COUNTIFS($A$4:$A$810,$A325,$E$4:$E$810,"Win")))*SUMIFS($X$4:$X$810,$A$4:$A$810,$A325,$E$4:$E$810,"Loss"),-('Guide &amp; Settings'!$C$42/($F325-1))*$X325)))</f>
        <v>0</v>
      </c>
      <c r="K325" s="123">
        <f>IF($D325="",0,'Guide &amp; Settings'!$C$43*(IF($E325="Win",1,0)-$I325))</f>
        <v>0</v>
      </c>
      <c r="L325" s="124">
        <f>IF($D325="",0,'Guide &amp; Settings'!$C$44*IF($F325&gt;=3,$F325+IF($E325="Win",$F325,0),0))</f>
        <v>0</v>
      </c>
      <c r="M325" s="123">
        <f>IF($D325="",0,$J325+$K325+$L325)</f>
        <v>0</v>
      </c>
      <c r="N325" s="121">
        <f>IF($D325="",0,$H325+$M325)</f>
        <v>0</v>
      </c>
      <c r="O325" s="120" t="str">
        <f>IF($D325="","",IF(COUNTIFS($A$4:$A$810,$A325,$E$4:$E$810,"Win")=0,"need a winner",IF(COUNTIFS($A$4:$A$810,$A325,$E$4:$E$810,"Loss")=0,"need a loser",IF(COUNTIFS($A$4:$A$810,$A325,$D$4:$D$810,$D325)&gt;1,"duplicate player","OK"))))</f>
      </c>
      <c r="P325">
        <f>IF($D325="",0,IFERROR(SUMIFS($H$4:$H$810,$A$4:$A$810,$A325,$E$4:$E$810,"Win")/COUNTIFS($A$4:$A$810,$A325,$E$4:$E$810,"Win"),0))</f>
        <v>0</v>
      </c>
      <c r="Q325">
        <f>IF($D325="",0,1/(1+10^(($P325-$H325)/400)))</f>
        <v>0</v>
      </c>
      <c r="R325">
        <f>IF($D325="",0,(COUNTIFS($D$4:$D$810,$D325,$C$4:$C$810,$C325,$E$4:$E$810,"Win",$A$4:$A$810,"&lt;"&amp;$A325)+1)/(COUNTIFS($D$4:$D$810,$D325,$C$4:$C$810,$C325,$A$4:$A$810,"&lt;"&amp;$A325)+2))</f>
        <v>0</v>
      </c>
      <c r="S325">
        <f>IF($D325="",0,SUMIFS($R$4:$R$810,$A$4:$A$810,$A325))</f>
        <v>0</v>
      </c>
      <c r="T325" s="88">
        <f>IF($D325="",0,COUNTIFS($D$4:$D$810,$D325,$C$4:$C$810,$C325,$A$4:$A$810,"&lt;"&amp;$A325))</f>
        <v>0</v>
      </c>
      <c r="U325" s="125">
        <f>IF($D325="",0,IFERROR(LOOKUP(2,1/(($D$3:D324=$D325)*($C$3:C324=$C325)*($A$3:A324&lt;$A325)),$AB$3:AB324),1000))</f>
        <v>0</v>
      </c>
      <c r="V325" s="125">
        <f>IF($D325="",0,$U325*($T325/($T325+5))+$H325*(1-$T325/($T325+5)))</f>
        <v>0</v>
      </c>
      <c r="W325">
        <f>IF($D325="",0,IFERROR(SUMIFS($V$4:$V$810,$A$4:$A$810,$A325,$E$4:$E$810,"Win")/COUNTIFS($A$4:$A$810,$A325,$E$4:$E$810,"Win"),0))</f>
        <v>0</v>
      </c>
      <c r="X325">
        <f>IF($D325="",0,1/(1+10^(($W325-$V325)/400)))</f>
        <v>0</v>
      </c>
      <c r="Y325">
        <f>IF($D325="",0,IFERROR(SUMIFS($U$4:$U$810,$A$4:$A$810,$A325,$E$4:$E$810,"Win")/COUNTIFS($A$4:$A$810,$A325,$E$4:$E$810,"Win"),0))</f>
        <v>0</v>
      </c>
      <c r="Z325">
        <f>IF($D325="",0,1/(1+10^(($Y325-$U325)/400)))</f>
        <v>0</v>
      </c>
      <c r="AA325">
        <f>IF($D325="",0,IF($F325&lt;2,0,IF($E325="Win",('Guide &amp; Settings'!$C$42/(($F325-1)*COUNTIFS($A$4:$A$810,$A325,$E$4:$E$810,"Win")))*SUMIFS($Z$4:$Z$810,$A$4:$A$810,$A325,$E$4:$E$810,"Loss"),-('Guide &amp; Settings'!$C$42/($F325-1))*$Z325)))</f>
        <v>0</v>
      </c>
      <c r="AB325" s="125">
        <f>IF($D325="",0,$U325+$AA325)</f>
        <v>0</v>
      </c>
      <c r="AC325" s="125" t="str">
        <f>IF($D325="","",IF(SUMPRODUCT(MAX(($D$4:$D$810=$D325)*($B$4:$B$810&lt;$B325)*$B$4:$B$810))=0,0,MAX(($B325-MAX(SUMPRODUCT(MAX(($D$4:$D$810=$D325)*($B$4:$B$810&lt;$B325)*$B$4:$B$810)),'Guide &amp; Settings'!$C$50))/7-'Guide &amp; Settings'!$C$48,0)*'Guide &amp; Settings'!$C$49))</f>
      </c>
    </row>
    <row r="326" spans="1:29">
      <c r="A326" s="116"/>
      <c r="B326" s="117"/>
      <c r="C326" s="118"/>
      <c r="D326" s="118"/>
      <c r="E326" s="116"/>
      <c r="F326" s="119">
        <f>IF($D326="",0,COUNTIF($A$4:$A$810,$A326))</f>
        <v>0</v>
      </c>
      <c r="G326" s="120">
        <f>IF($D326="","",IFERROR(LOOKUP(2,1/(($A$4:$A$810=$A326)*($E$4:$E$810="Win")),$D$4:$D$810),"(no winner)"))</f>
        <v>0</v>
      </c>
      <c r="H326" s="121">
        <f>IF($D326="",0,IFERROR(LOOKUP(2,1/(($D$3:D325=$D326)*($A$3:A325&lt;$A326)),$N$3:N325),'Guide &amp; Settings'!$C$41))</f>
        <v>0</v>
      </c>
      <c r="I326" s="122">
        <f>IF($D326="",0,IF($S326=0,0,$R326/$S326))</f>
        <v>0</v>
      </c>
      <c r="J326" s="123">
        <f>IF($D326="",0,IF($F326&lt;2,0,IF($E326="Win",('Guide &amp; Settings'!$C$42/(($F326-1)*COUNTIFS($A$4:$A$810,$A326,$E$4:$E$810,"Win")))*SUMIFS($X$4:$X$810,$A$4:$A$810,$A326,$E$4:$E$810,"Loss"),-('Guide &amp; Settings'!$C$42/($F326-1))*$X326)))</f>
        <v>0</v>
      </c>
      <c r="K326" s="123">
        <f>IF($D326="",0,'Guide &amp; Settings'!$C$43*(IF($E326="Win",1,0)-$I326))</f>
        <v>0</v>
      </c>
      <c r="L326" s="124">
        <f>IF($D326="",0,'Guide &amp; Settings'!$C$44*IF($F326&gt;=3,$F326+IF($E326="Win",$F326,0),0))</f>
        <v>0</v>
      </c>
      <c r="M326" s="123">
        <f>IF($D326="",0,$J326+$K326+$L326)</f>
        <v>0</v>
      </c>
      <c r="N326" s="121">
        <f>IF($D326="",0,$H326+$M326)</f>
        <v>0</v>
      </c>
      <c r="O326" s="120" t="str">
        <f>IF($D326="","",IF(COUNTIFS($A$4:$A$810,$A326,$E$4:$E$810,"Win")=0,"need a winner",IF(COUNTIFS($A$4:$A$810,$A326,$E$4:$E$810,"Loss")=0,"need a loser",IF(COUNTIFS($A$4:$A$810,$A326,$D$4:$D$810,$D326)&gt;1,"duplicate player","OK"))))</f>
      </c>
      <c r="P326">
        <f>IF($D326="",0,IFERROR(SUMIFS($H$4:$H$810,$A$4:$A$810,$A326,$E$4:$E$810,"Win")/COUNTIFS($A$4:$A$810,$A326,$E$4:$E$810,"Win"),0))</f>
        <v>0</v>
      </c>
      <c r="Q326">
        <f>IF($D326="",0,1/(1+10^(($P326-$H326)/400)))</f>
        <v>0</v>
      </c>
      <c r="R326">
        <f>IF($D326="",0,(COUNTIFS($D$4:$D$810,$D326,$C$4:$C$810,$C326,$E$4:$E$810,"Win",$A$4:$A$810,"&lt;"&amp;$A326)+1)/(COUNTIFS($D$4:$D$810,$D326,$C$4:$C$810,$C326,$A$4:$A$810,"&lt;"&amp;$A326)+2))</f>
        <v>0</v>
      </c>
      <c r="S326">
        <f>IF($D326="",0,SUMIFS($R$4:$R$810,$A$4:$A$810,$A326))</f>
        <v>0</v>
      </c>
      <c r="T326" s="88">
        <f>IF($D326="",0,COUNTIFS($D$4:$D$810,$D326,$C$4:$C$810,$C326,$A$4:$A$810,"&lt;"&amp;$A326))</f>
        <v>0</v>
      </c>
      <c r="U326" s="125">
        <f>IF($D326="",0,IFERROR(LOOKUP(2,1/(($D$3:D325=$D326)*($C$3:C325=$C326)*($A$3:A325&lt;$A326)),$AB$3:AB325),1000))</f>
        <v>0</v>
      </c>
      <c r="V326" s="125">
        <f>IF($D326="",0,$U326*($T326/($T326+5))+$H326*(1-$T326/($T326+5)))</f>
        <v>0</v>
      </c>
      <c r="W326">
        <f>IF($D326="",0,IFERROR(SUMIFS($V$4:$V$810,$A$4:$A$810,$A326,$E$4:$E$810,"Win")/COUNTIFS($A$4:$A$810,$A326,$E$4:$E$810,"Win"),0))</f>
        <v>0</v>
      </c>
      <c r="X326">
        <f>IF($D326="",0,1/(1+10^(($W326-$V326)/400)))</f>
        <v>0</v>
      </c>
      <c r="Y326">
        <f>IF($D326="",0,IFERROR(SUMIFS($U$4:$U$810,$A$4:$A$810,$A326,$E$4:$E$810,"Win")/COUNTIFS($A$4:$A$810,$A326,$E$4:$E$810,"Win"),0))</f>
        <v>0</v>
      </c>
      <c r="Z326">
        <f>IF($D326="",0,1/(1+10^(($Y326-$U326)/400)))</f>
        <v>0</v>
      </c>
      <c r="AA326">
        <f>IF($D326="",0,IF($F326&lt;2,0,IF($E326="Win",('Guide &amp; Settings'!$C$42/(($F326-1)*COUNTIFS($A$4:$A$810,$A326,$E$4:$E$810,"Win")))*SUMIFS($Z$4:$Z$810,$A$4:$A$810,$A326,$E$4:$E$810,"Loss"),-('Guide &amp; Settings'!$C$42/($F326-1))*$Z326)))</f>
        <v>0</v>
      </c>
      <c r="AB326" s="125">
        <f>IF($D326="",0,$U326+$AA326)</f>
        <v>0</v>
      </c>
      <c r="AC326" s="125" t="str">
        <f>IF($D326="","",IF(SUMPRODUCT(MAX(($D$4:$D$810=$D326)*($B$4:$B$810&lt;$B326)*$B$4:$B$810))=0,0,MAX(($B326-MAX(SUMPRODUCT(MAX(($D$4:$D$810=$D326)*($B$4:$B$810&lt;$B326)*$B$4:$B$810)),'Guide &amp; Settings'!$C$50))/7-'Guide &amp; Settings'!$C$48,0)*'Guide &amp; Settings'!$C$49))</f>
      </c>
    </row>
    <row r="327" spans="1:29">
      <c r="A327" s="116"/>
      <c r="B327" s="117"/>
      <c r="C327" s="118"/>
      <c r="D327" s="118"/>
      <c r="E327" s="116"/>
      <c r="F327" s="119">
        <f>IF($D327="",0,COUNTIF($A$4:$A$810,$A327))</f>
        <v>0</v>
      </c>
      <c r="G327" s="120">
        <f>IF($D327="","",IFERROR(LOOKUP(2,1/(($A$4:$A$810=$A327)*($E$4:$E$810="Win")),$D$4:$D$810),"(no winner)"))</f>
        <v>0</v>
      </c>
      <c r="H327" s="121">
        <f>IF($D327="",0,IFERROR(LOOKUP(2,1/(($D$3:D326=$D327)*($A$3:A326&lt;$A327)),$N$3:N326),'Guide &amp; Settings'!$C$41))</f>
        <v>0</v>
      </c>
      <c r="I327" s="122">
        <f>IF($D327="",0,IF($S327=0,0,$R327/$S327))</f>
        <v>0</v>
      </c>
      <c r="J327" s="123">
        <f>IF($D327="",0,IF($F327&lt;2,0,IF($E327="Win",('Guide &amp; Settings'!$C$42/(($F327-1)*COUNTIFS($A$4:$A$810,$A327,$E$4:$E$810,"Win")))*SUMIFS($X$4:$X$810,$A$4:$A$810,$A327,$E$4:$E$810,"Loss"),-('Guide &amp; Settings'!$C$42/($F327-1))*$X327)))</f>
        <v>0</v>
      </c>
      <c r="K327" s="123">
        <f>IF($D327="",0,'Guide &amp; Settings'!$C$43*(IF($E327="Win",1,0)-$I327))</f>
        <v>0</v>
      </c>
      <c r="L327" s="124">
        <f>IF($D327="",0,'Guide &amp; Settings'!$C$44*IF($F327&gt;=3,$F327+IF($E327="Win",$F327,0),0))</f>
        <v>0</v>
      </c>
      <c r="M327" s="123">
        <f>IF($D327="",0,$J327+$K327+$L327)</f>
        <v>0</v>
      </c>
      <c r="N327" s="121">
        <f>IF($D327="",0,$H327+$M327)</f>
        <v>0</v>
      </c>
      <c r="O327" s="120" t="str">
        <f>IF($D327="","",IF(COUNTIFS($A$4:$A$810,$A327,$E$4:$E$810,"Win")=0,"need a winner",IF(COUNTIFS($A$4:$A$810,$A327,$E$4:$E$810,"Loss")=0,"need a loser",IF(COUNTIFS($A$4:$A$810,$A327,$D$4:$D$810,$D327)&gt;1,"duplicate player","OK"))))</f>
      </c>
      <c r="P327">
        <f>IF($D327="",0,IFERROR(SUMIFS($H$4:$H$810,$A$4:$A$810,$A327,$E$4:$E$810,"Win")/COUNTIFS($A$4:$A$810,$A327,$E$4:$E$810,"Win"),0))</f>
        <v>0</v>
      </c>
      <c r="Q327">
        <f>IF($D327="",0,1/(1+10^(($P327-$H327)/400)))</f>
        <v>0</v>
      </c>
      <c r="R327">
        <f>IF($D327="",0,(COUNTIFS($D$4:$D$810,$D327,$C$4:$C$810,$C327,$E$4:$E$810,"Win",$A$4:$A$810,"&lt;"&amp;$A327)+1)/(COUNTIFS($D$4:$D$810,$D327,$C$4:$C$810,$C327,$A$4:$A$810,"&lt;"&amp;$A327)+2))</f>
        <v>0</v>
      </c>
      <c r="S327">
        <f>IF($D327="",0,SUMIFS($R$4:$R$810,$A$4:$A$810,$A327))</f>
        <v>0</v>
      </c>
      <c r="T327" s="88">
        <f>IF($D327="",0,COUNTIFS($D$4:$D$810,$D327,$C$4:$C$810,$C327,$A$4:$A$810,"&lt;"&amp;$A327))</f>
        <v>0</v>
      </c>
      <c r="U327" s="125">
        <f>IF($D327="",0,IFERROR(LOOKUP(2,1/(($D$3:D326=$D327)*($C$3:C326=$C327)*($A$3:A326&lt;$A327)),$AB$3:AB326),1000))</f>
        <v>0</v>
      </c>
      <c r="V327" s="125">
        <f>IF($D327="",0,$U327*($T327/($T327+5))+$H327*(1-$T327/($T327+5)))</f>
        <v>0</v>
      </c>
      <c r="W327">
        <f>IF($D327="",0,IFERROR(SUMIFS($V$4:$V$810,$A$4:$A$810,$A327,$E$4:$E$810,"Win")/COUNTIFS($A$4:$A$810,$A327,$E$4:$E$810,"Win"),0))</f>
        <v>0</v>
      </c>
      <c r="X327">
        <f>IF($D327="",0,1/(1+10^(($W327-$V327)/400)))</f>
        <v>0</v>
      </c>
      <c r="Y327">
        <f>IF($D327="",0,IFERROR(SUMIFS($U$4:$U$810,$A$4:$A$810,$A327,$E$4:$E$810,"Win")/COUNTIFS($A$4:$A$810,$A327,$E$4:$E$810,"Win"),0))</f>
        <v>0</v>
      </c>
      <c r="Z327">
        <f>IF($D327="",0,1/(1+10^(($Y327-$U327)/400)))</f>
        <v>0</v>
      </c>
      <c r="AA327">
        <f>IF($D327="",0,IF($F327&lt;2,0,IF($E327="Win",('Guide &amp; Settings'!$C$42/(($F327-1)*COUNTIFS($A$4:$A$810,$A327,$E$4:$E$810,"Win")))*SUMIFS($Z$4:$Z$810,$A$4:$A$810,$A327,$E$4:$E$810,"Loss"),-('Guide &amp; Settings'!$C$42/($F327-1))*$Z327)))</f>
        <v>0</v>
      </c>
      <c r="AB327" s="125">
        <f>IF($D327="",0,$U327+$AA327)</f>
        <v>0</v>
      </c>
      <c r="AC327" s="125" t="str">
        <f>IF($D327="","",IF(SUMPRODUCT(MAX(($D$4:$D$810=$D327)*($B$4:$B$810&lt;$B327)*$B$4:$B$810))=0,0,MAX(($B327-MAX(SUMPRODUCT(MAX(($D$4:$D$810=$D327)*($B$4:$B$810&lt;$B327)*$B$4:$B$810)),'Guide &amp; Settings'!$C$50))/7-'Guide &amp; Settings'!$C$48,0)*'Guide &amp; Settings'!$C$49))</f>
      </c>
    </row>
    <row r="328" spans="1:29">
      <c r="A328" s="116"/>
      <c r="B328" s="117"/>
      <c r="C328" s="118"/>
      <c r="D328" s="118"/>
      <c r="E328" s="116"/>
      <c r="F328" s="119">
        <f>IF($D328="",0,COUNTIF($A$4:$A$810,$A328))</f>
        <v>0</v>
      </c>
      <c r="G328" s="120">
        <f>IF($D328="","",IFERROR(LOOKUP(2,1/(($A$4:$A$810=$A328)*($E$4:$E$810="Win")),$D$4:$D$810),"(no winner)"))</f>
        <v>0</v>
      </c>
      <c r="H328" s="121">
        <f>IF($D328="",0,IFERROR(LOOKUP(2,1/(($D$3:D327=$D328)*($A$3:A327&lt;$A328)),$N$3:N327),'Guide &amp; Settings'!$C$41))</f>
        <v>0</v>
      </c>
      <c r="I328" s="122">
        <f>IF($D328="",0,IF($S328=0,0,$R328/$S328))</f>
        <v>0</v>
      </c>
      <c r="J328" s="123">
        <f>IF($D328="",0,IF($F328&lt;2,0,IF($E328="Win",('Guide &amp; Settings'!$C$42/(($F328-1)*COUNTIFS($A$4:$A$810,$A328,$E$4:$E$810,"Win")))*SUMIFS($X$4:$X$810,$A$4:$A$810,$A328,$E$4:$E$810,"Loss"),-('Guide &amp; Settings'!$C$42/($F328-1))*$X328)))</f>
        <v>0</v>
      </c>
      <c r="K328" s="123">
        <f>IF($D328="",0,'Guide &amp; Settings'!$C$43*(IF($E328="Win",1,0)-$I328))</f>
        <v>0</v>
      </c>
      <c r="L328" s="124">
        <f>IF($D328="",0,'Guide &amp; Settings'!$C$44*IF($F328&gt;=3,$F328+IF($E328="Win",$F328,0),0))</f>
        <v>0</v>
      </c>
      <c r="M328" s="123">
        <f>IF($D328="",0,$J328+$K328+$L328)</f>
        <v>0</v>
      </c>
      <c r="N328" s="121">
        <f>IF($D328="",0,$H328+$M328)</f>
        <v>0</v>
      </c>
      <c r="O328" s="120" t="str">
        <f>IF($D328="","",IF(COUNTIFS($A$4:$A$810,$A328,$E$4:$E$810,"Win")=0,"need a winner",IF(COUNTIFS($A$4:$A$810,$A328,$E$4:$E$810,"Loss")=0,"need a loser",IF(COUNTIFS($A$4:$A$810,$A328,$D$4:$D$810,$D328)&gt;1,"duplicate player","OK"))))</f>
      </c>
      <c r="P328">
        <f>IF($D328="",0,IFERROR(SUMIFS($H$4:$H$810,$A$4:$A$810,$A328,$E$4:$E$810,"Win")/COUNTIFS($A$4:$A$810,$A328,$E$4:$E$810,"Win"),0))</f>
        <v>0</v>
      </c>
      <c r="Q328">
        <f>IF($D328="",0,1/(1+10^(($P328-$H328)/400)))</f>
        <v>0</v>
      </c>
      <c r="R328">
        <f>IF($D328="",0,(COUNTIFS($D$4:$D$810,$D328,$C$4:$C$810,$C328,$E$4:$E$810,"Win",$A$4:$A$810,"&lt;"&amp;$A328)+1)/(COUNTIFS($D$4:$D$810,$D328,$C$4:$C$810,$C328,$A$4:$A$810,"&lt;"&amp;$A328)+2))</f>
        <v>0</v>
      </c>
      <c r="S328">
        <f>IF($D328="",0,SUMIFS($R$4:$R$810,$A$4:$A$810,$A328))</f>
        <v>0</v>
      </c>
      <c r="T328" s="88">
        <f>IF($D328="",0,COUNTIFS($D$4:$D$810,$D328,$C$4:$C$810,$C328,$A$4:$A$810,"&lt;"&amp;$A328))</f>
        <v>0</v>
      </c>
      <c r="U328" s="125">
        <f>IF($D328="",0,IFERROR(LOOKUP(2,1/(($D$3:D327=$D328)*($C$3:C327=$C328)*($A$3:A327&lt;$A328)),$AB$3:AB327),1000))</f>
        <v>0</v>
      </c>
      <c r="V328" s="125">
        <f>IF($D328="",0,$U328*($T328/($T328+5))+$H328*(1-$T328/($T328+5)))</f>
        <v>0</v>
      </c>
      <c r="W328">
        <f>IF($D328="",0,IFERROR(SUMIFS($V$4:$V$810,$A$4:$A$810,$A328,$E$4:$E$810,"Win")/COUNTIFS($A$4:$A$810,$A328,$E$4:$E$810,"Win"),0))</f>
        <v>0</v>
      </c>
      <c r="X328">
        <f>IF($D328="",0,1/(1+10^(($W328-$V328)/400)))</f>
        <v>0</v>
      </c>
      <c r="Y328">
        <f>IF($D328="",0,IFERROR(SUMIFS($U$4:$U$810,$A$4:$A$810,$A328,$E$4:$E$810,"Win")/COUNTIFS($A$4:$A$810,$A328,$E$4:$E$810,"Win"),0))</f>
        <v>0</v>
      </c>
      <c r="Z328">
        <f>IF($D328="",0,1/(1+10^(($Y328-$U328)/400)))</f>
        <v>0</v>
      </c>
      <c r="AA328">
        <f>IF($D328="",0,IF($F328&lt;2,0,IF($E328="Win",('Guide &amp; Settings'!$C$42/(($F328-1)*COUNTIFS($A$4:$A$810,$A328,$E$4:$E$810,"Win")))*SUMIFS($Z$4:$Z$810,$A$4:$A$810,$A328,$E$4:$E$810,"Loss"),-('Guide &amp; Settings'!$C$42/($F328-1))*$Z328)))</f>
        <v>0</v>
      </c>
      <c r="AB328" s="125">
        <f>IF($D328="",0,$U328+$AA328)</f>
        <v>0</v>
      </c>
      <c r="AC328" s="125" t="str">
        <f>IF($D328="","",IF(SUMPRODUCT(MAX(($D$4:$D$810=$D328)*($B$4:$B$810&lt;$B328)*$B$4:$B$810))=0,0,MAX(($B328-MAX(SUMPRODUCT(MAX(($D$4:$D$810=$D328)*($B$4:$B$810&lt;$B328)*$B$4:$B$810)),'Guide &amp; Settings'!$C$50))/7-'Guide &amp; Settings'!$C$48,0)*'Guide &amp; Settings'!$C$49))</f>
      </c>
    </row>
    <row r="329" spans="1:29">
      <c r="A329" s="116"/>
      <c r="B329" s="117"/>
      <c r="C329" s="118"/>
      <c r="D329" s="118"/>
      <c r="E329" s="116"/>
      <c r="F329" s="119">
        <f>IF($D329="",0,COUNTIF($A$4:$A$810,$A329))</f>
        <v>0</v>
      </c>
      <c r="G329" s="120">
        <f>IF($D329="","",IFERROR(LOOKUP(2,1/(($A$4:$A$810=$A329)*($E$4:$E$810="Win")),$D$4:$D$810),"(no winner)"))</f>
        <v>0</v>
      </c>
      <c r="H329" s="121">
        <f>IF($D329="",0,IFERROR(LOOKUP(2,1/(($D$3:D328=$D329)*($A$3:A328&lt;$A329)),$N$3:N328),'Guide &amp; Settings'!$C$41))</f>
        <v>0</v>
      </c>
      <c r="I329" s="122">
        <f>IF($D329="",0,IF($S329=0,0,$R329/$S329))</f>
        <v>0</v>
      </c>
      <c r="J329" s="123">
        <f>IF($D329="",0,IF($F329&lt;2,0,IF($E329="Win",('Guide &amp; Settings'!$C$42/(($F329-1)*COUNTIFS($A$4:$A$810,$A329,$E$4:$E$810,"Win")))*SUMIFS($X$4:$X$810,$A$4:$A$810,$A329,$E$4:$E$810,"Loss"),-('Guide &amp; Settings'!$C$42/($F329-1))*$X329)))</f>
        <v>0</v>
      </c>
      <c r="K329" s="123">
        <f>IF($D329="",0,'Guide &amp; Settings'!$C$43*(IF($E329="Win",1,0)-$I329))</f>
        <v>0</v>
      </c>
      <c r="L329" s="124">
        <f>IF($D329="",0,'Guide &amp; Settings'!$C$44*IF($F329&gt;=3,$F329+IF($E329="Win",$F329,0),0))</f>
        <v>0</v>
      </c>
      <c r="M329" s="123">
        <f>IF($D329="",0,$J329+$K329+$L329)</f>
        <v>0</v>
      </c>
      <c r="N329" s="121">
        <f>IF($D329="",0,$H329+$M329)</f>
        <v>0</v>
      </c>
      <c r="O329" s="120" t="str">
        <f>IF($D329="","",IF(COUNTIFS($A$4:$A$810,$A329,$E$4:$E$810,"Win")=0,"need a winner",IF(COUNTIFS($A$4:$A$810,$A329,$E$4:$E$810,"Loss")=0,"need a loser",IF(COUNTIFS($A$4:$A$810,$A329,$D$4:$D$810,$D329)&gt;1,"duplicate player","OK"))))</f>
      </c>
      <c r="P329">
        <f>IF($D329="",0,IFERROR(SUMIFS($H$4:$H$810,$A$4:$A$810,$A329,$E$4:$E$810,"Win")/COUNTIFS($A$4:$A$810,$A329,$E$4:$E$810,"Win"),0))</f>
        <v>0</v>
      </c>
      <c r="Q329">
        <f>IF($D329="",0,1/(1+10^(($P329-$H329)/400)))</f>
        <v>0</v>
      </c>
      <c r="R329">
        <f>IF($D329="",0,(COUNTIFS($D$4:$D$810,$D329,$C$4:$C$810,$C329,$E$4:$E$810,"Win",$A$4:$A$810,"&lt;"&amp;$A329)+1)/(COUNTIFS($D$4:$D$810,$D329,$C$4:$C$810,$C329,$A$4:$A$810,"&lt;"&amp;$A329)+2))</f>
        <v>0</v>
      </c>
      <c r="S329">
        <f>IF($D329="",0,SUMIFS($R$4:$R$810,$A$4:$A$810,$A329))</f>
        <v>0</v>
      </c>
      <c r="T329" s="88">
        <f>IF($D329="",0,COUNTIFS($D$4:$D$810,$D329,$C$4:$C$810,$C329,$A$4:$A$810,"&lt;"&amp;$A329))</f>
        <v>0</v>
      </c>
      <c r="U329" s="125">
        <f>IF($D329="",0,IFERROR(LOOKUP(2,1/(($D$3:D328=$D329)*($C$3:C328=$C329)*($A$3:A328&lt;$A329)),$AB$3:AB328),1000))</f>
        <v>0</v>
      </c>
      <c r="V329" s="125">
        <f>IF($D329="",0,$U329*($T329/($T329+5))+$H329*(1-$T329/($T329+5)))</f>
        <v>0</v>
      </c>
      <c r="W329">
        <f>IF($D329="",0,IFERROR(SUMIFS($V$4:$V$810,$A$4:$A$810,$A329,$E$4:$E$810,"Win")/COUNTIFS($A$4:$A$810,$A329,$E$4:$E$810,"Win"),0))</f>
        <v>0</v>
      </c>
      <c r="X329">
        <f>IF($D329="",0,1/(1+10^(($W329-$V329)/400)))</f>
        <v>0</v>
      </c>
      <c r="Y329">
        <f>IF($D329="",0,IFERROR(SUMIFS($U$4:$U$810,$A$4:$A$810,$A329,$E$4:$E$810,"Win")/COUNTIFS($A$4:$A$810,$A329,$E$4:$E$810,"Win"),0))</f>
        <v>0</v>
      </c>
      <c r="Z329">
        <f>IF($D329="",0,1/(1+10^(($Y329-$U329)/400)))</f>
        <v>0</v>
      </c>
      <c r="AA329">
        <f>IF($D329="",0,IF($F329&lt;2,0,IF($E329="Win",('Guide &amp; Settings'!$C$42/(($F329-1)*COUNTIFS($A$4:$A$810,$A329,$E$4:$E$810,"Win")))*SUMIFS($Z$4:$Z$810,$A$4:$A$810,$A329,$E$4:$E$810,"Loss"),-('Guide &amp; Settings'!$C$42/($F329-1))*$Z329)))</f>
        <v>0</v>
      </c>
      <c r="AB329" s="125">
        <f>IF($D329="",0,$U329+$AA329)</f>
        <v>0</v>
      </c>
      <c r="AC329" s="125" t="str">
        <f>IF($D329="","",IF(SUMPRODUCT(MAX(($D$4:$D$810=$D329)*($B$4:$B$810&lt;$B329)*$B$4:$B$810))=0,0,MAX(($B329-MAX(SUMPRODUCT(MAX(($D$4:$D$810=$D329)*($B$4:$B$810&lt;$B329)*$B$4:$B$810)),'Guide &amp; Settings'!$C$50))/7-'Guide &amp; Settings'!$C$48,0)*'Guide &amp; Settings'!$C$49))</f>
      </c>
    </row>
    <row r="330" spans="1:29">
      <c r="A330" s="116"/>
      <c r="B330" s="117"/>
      <c r="C330" s="118"/>
      <c r="D330" s="118"/>
      <c r="E330" s="116"/>
      <c r="F330" s="119">
        <f>IF($D330="",0,COUNTIF($A$4:$A$810,$A330))</f>
        <v>0</v>
      </c>
      <c r="G330" s="120">
        <f>IF($D330="","",IFERROR(LOOKUP(2,1/(($A$4:$A$810=$A330)*($E$4:$E$810="Win")),$D$4:$D$810),"(no winner)"))</f>
        <v>0</v>
      </c>
      <c r="H330" s="121">
        <f>IF($D330="",0,IFERROR(LOOKUP(2,1/(($D$3:D329=$D330)*($A$3:A329&lt;$A330)),$N$3:N329),'Guide &amp; Settings'!$C$41))</f>
        <v>0</v>
      </c>
      <c r="I330" s="122">
        <f>IF($D330="",0,IF($S330=0,0,$R330/$S330))</f>
        <v>0</v>
      </c>
      <c r="J330" s="123">
        <f>IF($D330="",0,IF($F330&lt;2,0,IF($E330="Win",('Guide &amp; Settings'!$C$42/(($F330-1)*COUNTIFS($A$4:$A$810,$A330,$E$4:$E$810,"Win")))*SUMIFS($X$4:$X$810,$A$4:$A$810,$A330,$E$4:$E$810,"Loss"),-('Guide &amp; Settings'!$C$42/($F330-1))*$X330)))</f>
        <v>0</v>
      </c>
      <c r="K330" s="123">
        <f>IF($D330="",0,'Guide &amp; Settings'!$C$43*(IF($E330="Win",1,0)-$I330))</f>
        <v>0</v>
      </c>
      <c r="L330" s="124">
        <f>IF($D330="",0,'Guide &amp; Settings'!$C$44*IF($F330&gt;=3,$F330+IF($E330="Win",$F330,0),0))</f>
        <v>0</v>
      </c>
      <c r="M330" s="123">
        <f>IF($D330="",0,$J330+$K330+$L330)</f>
        <v>0</v>
      </c>
      <c r="N330" s="121">
        <f>IF($D330="",0,$H330+$M330)</f>
        <v>0</v>
      </c>
      <c r="O330" s="120" t="str">
        <f>IF($D330="","",IF(COUNTIFS($A$4:$A$810,$A330,$E$4:$E$810,"Win")=0,"need a winner",IF(COUNTIFS($A$4:$A$810,$A330,$E$4:$E$810,"Loss")=0,"need a loser",IF(COUNTIFS($A$4:$A$810,$A330,$D$4:$D$810,$D330)&gt;1,"duplicate player","OK"))))</f>
      </c>
      <c r="P330">
        <f>IF($D330="",0,IFERROR(SUMIFS($H$4:$H$810,$A$4:$A$810,$A330,$E$4:$E$810,"Win")/COUNTIFS($A$4:$A$810,$A330,$E$4:$E$810,"Win"),0))</f>
        <v>0</v>
      </c>
      <c r="Q330">
        <f>IF($D330="",0,1/(1+10^(($P330-$H330)/400)))</f>
        <v>0</v>
      </c>
      <c r="R330">
        <f>IF($D330="",0,(COUNTIFS($D$4:$D$810,$D330,$C$4:$C$810,$C330,$E$4:$E$810,"Win",$A$4:$A$810,"&lt;"&amp;$A330)+1)/(COUNTIFS($D$4:$D$810,$D330,$C$4:$C$810,$C330,$A$4:$A$810,"&lt;"&amp;$A330)+2))</f>
        <v>0</v>
      </c>
      <c r="S330">
        <f>IF($D330="",0,SUMIFS($R$4:$R$810,$A$4:$A$810,$A330))</f>
        <v>0</v>
      </c>
      <c r="T330" s="88">
        <f>IF($D330="",0,COUNTIFS($D$4:$D$810,$D330,$C$4:$C$810,$C330,$A$4:$A$810,"&lt;"&amp;$A330))</f>
        <v>0</v>
      </c>
      <c r="U330" s="125">
        <f>IF($D330="",0,IFERROR(LOOKUP(2,1/(($D$3:D329=$D330)*($C$3:C329=$C330)*($A$3:A329&lt;$A330)),$AB$3:AB329),1000))</f>
        <v>0</v>
      </c>
      <c r="V330" s="125">
        <f>IF($D330="",0,$U330*($T330/($T330+5))+$H330*(1-$T330/($T330+5)))</f>
        <v>0</v>
      </c>
      <c r="W330">
        <f>IF($D330="",0,IFERROR(SUMIFS($V$4:$V$810,$A$4:$A$810,$A330,$E$4:$E$810,"Win")/COUNTIFS($A$4:$A$810,$A330,$E$4:$E$810,"Win"),0))</f>
        <v>0</v>
      </c>
      <c r="X330">
        <f>IF($D330="",0,1/(1+10^(($W330-$V330)/400)))</f>
        <v>0</v>
      </c>
      <c r="Y330">
        <f>IF($D330="",0,IFERROR(SUMIFS($U$4:$U$810,$A$4:$A$810,$A330,$E$4:$E$810,"Win")/COUNTIFS($A$4:$A$810,$A330,$E$4:$E$810,"Win"),0))</f>
        <v>0</v>
      </c>
      <c r="Z330">
        <f>IF($D330="",0,1/(1+10^(($Y330-$U330)/400)))</f>
        <v>0</v>
      </c>
      <c r="AA330">
        <f>IF($D330="",0,IF($F330&lt;2,0,IF($E330="Win",('Guide &amp; Settings'!$C$42/(($F330-1)*COUNTIFS($A$4:$A$810,$A330,$E$4:$E$810,"Win")))*SUMIFS($Z$4:$Z$810,$A$4:$A$810,$A330,$E$4:$E$810,"Loss"),-('Guide &amp; Settings'!$C$42/($F330-1))*$Z330)))</f>
        <v>0</v>
      </c>
      <c r="AB330" s="125">
        <f>IF($D330="",0,$U330+$AA330)</f>
        <v>0</v>
      </c>
      <c r="AC330" s="125" t="str">
        <f>IF($D330="","",IF(SUMPRODUCT(MAX(($D$4:$D$810=$D330)*($B$4:$B$810&lt;$B330)*$B$4:$B$810))=0,0,MAX(($B330-MAX(SUMPRODUCT(MAX(($D$4:$D$810=$D330)*($B$4:$B$810&lt;$B330)*$B$4:$B$810)),'Guide &amp; Settings'!$C$50))/7-'Guide &amp; Settings'!$C$48,0)*'Guide &amp; Settings'!$C$49))</f>
      </c>
    </row>
    <row r="331" spans="1:29">
      <c r="A331" s="116"/>
      <c r="B331" s="117"/>
      <c r="C331" s="118"/>
      <c r="D331" s="118"/>
      <c r="E331" s="116"/>
      <c r="F331" s="119">
        <f>IF($D331="",0,COUNTIF($A$4:$A$810,$A331))</f>
        <v>0</v>
      </c>
      <c r="G331" s="120">
        <f>IF($D331="","",IFERROR(LOOKUP(2,1/(($A$4:$A$810=$A331)*($E$4:$E$810="Win")),$D$4:$D$810),"(no winner)"))</f>
        <v>0</v>
      </c>
      <c r="H331" s="121">
        <f>IF($D331="",0,IFERROR(LOOKUP(2,1/(($D$3:D330=$D331)*($A$3:A330&lt;$A331)),$N$3:N330),'Guide &amp; Settings'!$C$41))</f>
        <v>0</v>
      </c>
      <c r="I331" s="122">
        <f>IF($D331="",0,IF($S331=0,0,$R331/$S331))</f>
        <v>0</v>
      </c>
      <c r="J331" s="123">
        <f>IF($D331="",0,IF($F331&lt;2,0,IF($E331="Win",('Guide &amp; Settings'!$C$42/(($F331-1)*COUNTIFS($A$4:$A$810,$A331,$E$4:$E$810,"Win")))*SUMIFS($X$4:$X$810,$A$4:$A$810,$A331,$E$4:$E$810,"Loss"),-('Guide &amp; Settings'!$C$42/($F331-1))*$X331)))</f>
        <v>0</v>
      </c>
      <c r="K331" s="123">
        <f>IF($D331="",0,'Guide &amp; Settings'!$C$43*(IF($E331="Win",1,0)-$I331))</f>
        <v>0</v>
      </c>
      <c r="L331" s="124">
        <f>IF($D331="",0,'Guide &amp; Settings'!$C$44*IF($F331&gt;=3,$F331+IF($E331="Win",$F331,0),0))</f>
        <v>0</v>
      </c>
      <c r="M331" s="123">
        <f>IF($D331="",0,$J331+$K331+$L331)</f>
        <v>0</v>
      </c>
      <c r="N331" s="121">
        <f>IF($D331="",0,$H331+$M331)</f>
        <v>0</v>
      </c>
      <c r="O331" s="120" t="str">
        <f>IF($D331="","",IF(COUNTIFS($A$4:$A$810,$A331,$E$4:$E$810,"Win")=0,"need a winner",IF(COUNTIFS($A$4:$A$810,$A331,$E$4:$E$810,"Loss")=0,"need a loser",IF(COUNTIFS($A$4:$A$810,$A331,$D$4:$D$810,$D331)&gt;1,"duplicate player","OK"))))</f>
      </c>
      <c r="P331">
        <f>IF($D331="",0,IFERROR(SUMIFS($H$4:$H$810,$A$4:$A$810,$A331,$E$4:$E$810,"Win")/COUNTIFS($A$4:$A$810,$A331,$E$4:$E$810,"Win"),0))</f>
        <v>0</v>
      </c>
      <c r="Q331">
        <f>IF($D331="",0,1/(1+10^(($P331-$H331)/400)))</f>
        <v>0</v>
      </c>
      <c r="R331">
        <f>IF($D331="",0,(COUNTIFS($D$4:$D$810,$D331,$C$4:$C$810,$C331,$E$4:$E$810,"Win",$A$4:$A$810,"&lt;"&amp;$A331)+1)/(COUNTIFS($D$4:$D$810,$D331,$C$4:$C$810,$C331,$A$4:$A$810,"&lt;"&amp;$A331)+2))</f>
        <v>0</v>
      </c>
      <c r="S331">
        <f>IF($D331="",0,SUMIFS($R$4:$R$810,$A$4:$A$810,$A331))</f>
        <v>0</v>
      </c>
      <c r="T331" s="88">
        <f>IF($D331="",0,COUNTIFS($D$4:$D$810,$D331,$C$4:$C$810,$C331,$A$4:$A$810,"&lt;"&amp;$A331))</f>
        <v>0</v>
      </c>
      <c r="U331" s="125">
        <f>IF($D331="",0,IFERROR(LOOKUP(2,1/(($D$3:D330=$D331)*($C$3:C330=$C331)*($A$3:A330&lt;$A331)),$AB$3:AB330),1000))</f>
        <v>0</v>
      </c>
      <c r="V331" s="125">
        <f>IF($D331="",0,$U331*($T331/($T331+5))+$H331*(1-$T331/($T331+5)))</f>
        <v>0</v>
      </c>
      <c r="W331">
        <f>IF($D331="",0,IFERROR(SUMIFS($V$4:$V$810,$A$4:$A$810,$A331,$E$4:$E$810,"Win")/COUNTIFS($A$4:$A$810,$A331,$E$4:$E$810,"Win"),0))</f>
        <v>0</v>
      </c>
      <c r="X331">
        <f>IF($D331="",0,1/(1+10^(($W331-$V331)/400)))</f>
        <v>0</v>
      </c>
      <c r="Y331">
        <f>IF($D331="",0,IFERROR(SUMIFS($U$4:$U$810,$A$4:$A$810,$A331,$E$4:$E$810,"Win")/COUNTIFS($A$4:$A$810,$A331,$E$4:$E$810,"Win"),0))</f>
        <v>0</v>
      </c>
      <c r="Z331">
        <f>IF($D331="",0,1/(1+10^(($Y331-$U331)/400)))</f>
        <v>0</v>
      </c>
      <c r="AA331">
        <f>IF($D331="",0,IF($F331&lt;2,0,IF($E331="Win",('Guide &amp; Settings'!$C$42/(($F331-1)*COUNTIFS($A$4:$A$810,$A331,$E$4:$E$810,"Win")))*SUMIFS($Z$4:$Z$810,$A$4:$A$810,$A331,$E$4:$E$810,"Loss"),-('Guide &amp; Settings'!$C$42/($F331-1))*$Z331)))</f>
        <v>0</v>
      </c>
      <c r="AB331" s="125">
        <f>IF($D331="",0,$U331+$AA331)</f>
        <v>0</v>
      </c>
      <c r="AC331" s="125" t="str">
        <f>IF($D331="","",IF(SUMPRODUCT(MAX(($D$4:$D$810=$D331)*($B$4:$B$810&lt;$B331)*$B$4:$B$810))=0,0,MAX(($B331-MAX(SUMPRODUCT(MAX(($D$4:$D$810=$D331)*($B$4:$B$810&lt;$B331)*$B$4:$B$810)),'Guide &amp; Settings'!$C$50))/7-'Guide &amp; Settings'!$C$48,0)*'Guide &amp; Settings'!$C$49))</f>
      </c>
    </row>
    <row r="332" spans="1:29">
      <c r="A332" s="116"/>
      <c r="B332" s="117"/>
      <c r="C332" s="118"/>
      <c r="D332" s="118"/>
      <c r="E332" s="116"/>
      <c r="F332" s="119">
        <f>IF($D332="",0,COUNTIF($A$4:$A$810,$A332))</f>
        <v>0</v>
      </c>
      <c r="G332" s="120">
        <f>IF($D332="","",IFERROR(LOOKUP(2,1/(($A$4:$A$810=$A332)*($E$4:$E$810="Win")),$D$4:$D$810),"(no winner)"))</f>
        <v>0</v>
      </c>
      <c r="H332" s="121">
        <f>IF($D332="",0,IFERROR(LOOKUP(2,1/(($D$3:D331=$D332)*($A$3:A331&lt;$A332)),$N$3:N331),'Guide &amp; Settings'!$C$41))</f>
        <v>0</v>
      </c>
      <c r="I332" s="122">
        <f>IF($D332="",0,IF($S332=0,0,$R332/$S332))</f>
        <v>0</v>
      </c>
      <c r="J332" s="123">
        <f>IF($D332="",0,IF($F332&lt;2,0,IF($E332="Win",('Guide &amp; Settings'!$C$42/(($F332-1)*COUNTIFS($A$4:$A$810,$A332,$E$4:$E$810,"Win")))*SUMIFS($X$4:$X$810,$A$4:$A$810,$A332,$E$4:$E$810,"Loss"),-('Guide &amp; Settings'!$C$42/($F332-1))*$X332)))</f>
        <v>0</v>
      </c>
      <c r="K332" s="123">
        <f>IF($D332="",0,'Guide &amp; Settings'!$C$43*(IF($E332="Win",1,0)-$I332))</f>
        <v>0</v>
      </c>
      <c r="L332" s="124">
        <f>IF($D332="",0,'Guide &amp; Settings'!$C$44*IF($F332&gt;=3,$F332+IF($E332="Win",$F332,0),0))</f>
        <v>0</v>
      </c>
      <c r="M332" s="123">
        <f>IF($D332="",0,$J332+$K332+$L332)</f>
        <v>0</v>
      </c>
      <c r="N332" s="121">
        <f>IF($D332="",0,$H332+$M332)</f>
        <v>0</v>
      </c>
      <c r="O332" s="120" t="str">
        <f>IF($D332="","",IF(COUNTIFS($A$4:$A$810,$A332,$E$4:$E$810,"Win")=0,"need a winner",IF(COUNTIFS($A$4:$A$810,$A332,$E$4:$E$810,"Loss")=0,"need a loser",IF(COUNTIFS($A$4:$A$810,$A332,$D$4:$D$810,$D332)&gt;1,"duplicate player","OK"))))</f>
      </c>
      <c r="P332">
        <f>IF($D332="",0,IFERROR(SUMIFS($H$4:$H$810,$A$4:$A$810,$A332,$E$4:$E$810,"Win")/COUNTIFS($A$4:$A$810,$A332,$E$4:$E$810,"Win"),0))</f>
        <v>0</v>
      </c>
      <c r="Q332">
        <f>IF($D332="",0,1/(1+10^(($P332-$H332)/400)))</f>
        <v>0</v>
      </c>
      <c r="R332">
        <f>IF($D332="",0,(COUNTIFS($D$4:$D$810,$D332,$C$4:$C$810,$C332,$E$4:$E$810,"Win",$A$4:$A$810,"&lt;"&amp;$A332)+1)/(COUNTIFS($D$4:$D$810,$D332,$C$4:$C$810,$C332,$A$4:$A$810,"&lt;"&amp;$A332)+2))</f>
        <v>0</v>
      </c>
      <c r="S332">
        <f>IF($D332="",0,SUMIFS($R$4:$R$810,$A$4:$A$810,$A332))</f>
        <v>0</v>
      </c>
      <c r="T332" s="88">
        <f>IF($D332="",0,COUNTIFS($D$4:$D$810,$D332,$C$4:$C$810,$C332,$A$4:$A$810,"&lt;"&amp;$A332))</f>
        <v>0</v>
      </c>
      <c r="U332" s="125">
        <f>IF($D332="",0,IFERROR(LOOKUP(2,1/(($D$3:D331=$D332)*($C$3:C331=$C332)*($A$3:A331&lt;$A332)),$AB$3:AB331),1000))</f>
        <v>0</v>
      </c>
      <c r="V332" s="125">
        <f>IF($D332="",0,$U332*($T332/($T332+5))+$H332*(1-$T332/($T332+5)))</f>
        <v>0</v>
      </c>
      <c r="W332">
        <f>IF($D332="",0,IFERROR(SUMIFS($V$4:$V$810,$A$4:$A$810,$A332,$E$4:$E$810,"Win")/COUNTIFS($A$4:$A$810,$A332,$E$4:$E$810,"Win"),0))</f>
        <v>0</v>
      </c>
      <c r="X332">
        <f>IF($D332="",0,1/(1+10^(($W332-$V332)/400)))</f>
        <v>0</v>
      </c>
      <c r="Y332">
        <f>IF($D332="",0,IFERROR(SUMIFS($U$4:$U$810,$A$4:$A$810,$A332,$E$4:$E$810,"Win")/COUNTIFS($A$4:$A$810,$A332,$E$4:$E$810,"Win"),0))</f>
        <v>0</v>
      </c>
      <c r="Z332">
        <f>IF($D332="",0,1/(1+10^(($Y332-$U332)/400)))</f>
        <v>0</v>
      </c>
      <c r="AA332">
        <f>IF($D332="",0,IF($F332&lt;2,0,IF($E332="Win",('Guide &amp; Settings'!$C$42/(($F332-1)*COUNTIFS($A$4:$A$810,$A332,$E$4:$E$810,"Win")))*SUMIFS($Z$4:$Z$810,$A$4:$A$810,$A332,$E$4:$E$810,"Loss"),-('Guide &amp; Settings'!$C$42/($F332-1))*$Z332)))</f>
        <v>0</v>
      </c>
      <c r="AB332" s="125">
        <f>IF($D332="",0,$U332+$AA332)</f>
        <v>0</v>
      </c>
      <c r="AC332" s="125" t="str">
        <f>IF($D332="","",IF(SUMPRODUCT(MAX(($D$4:$D$810=$D332)*($B$4:$B$810&lt;$B332)*$B$4:$B$810))=0,0,MAX(($B332-MAX(SUMPRODUCT(MAX(($D$4:$D$810=$D332)*($B$4:$B$810&lt;$B332)*$B$4:$B$810)),'Guide &amp; Settings'!$C$50))/7-'Guide &amp; Settings'!$C$48,0)*'Guide &amp; Settings'!$C$49))</f>
      </c>
    </row>
    <row r="333" spans="1:29">
      <c r="A333" s="116"/>
      <c r="B333" s="117"/>
      <c r="C333" s="118"/>
      <c r="D333" s="118"/>
      <c r="E333" s="116"/>
      <c r="F333" s="119">
        <f>IF($D333="",0,COUNTIF($A$4:$A$810,$A333))</f>
        <v>0</v>
      </c>
      <c r="G333" s="120">
        <f>IF($D333="","",IFERROR(LOOKUP(2,1/(($A$4:$A$810=$A333)*($E$4:$E$810="Win")),$D$4:$D$810),"(no winner)"))</f>
        <v>0</v>
      </c>
      <c r="H333" s="121">
        <f>IF($D333="",0,IFERROR(LOOKUP(2,1/(($D$3:D332=$D333)*($A$3:A332&lt;$A333)),$N$3:N332),'Guide &amp; Settings'!$C$41))</f>
        <v>0</v>
      </c>
      <c r="I333" s="122">
        <f>IF($D333="",0,IF($S333=0,0,$R333/$S333))</f>
        <v>0</v>
      </c>
      <c r="J333" s="123">
        <f>IF($D333="",0,IF($F333&lt;2,0,IF($E333="Win",('Guide &amp; Settings'!$C$42/(($F333-1)*COUNTIFS($A$4:$A$810,$A333,$E$4:$E$810,"Win")))*SUMIFS($X$4:$X$810,$A$4:$A$810,$A333,$E$4:$E$810,"Loss"),-('Guide &amp; Settings'!$C$42/($F333-1))*$X333)))</f>
        <v>0</v>
      </c>
      <c r="K333" s="123">
        <f>IF($D333="",0,'Guide &amp; Settings'!$C$43*(IF($E333="Win",1,0)-$I333))</f>
        <v>0</v>
      </c>
      <c r="L333" s="124">
        <f>IF($D333="",0,'Guide &amp; Settings'!$C$44*IF($F333&gt;=3,$F333+IF($E333="Win",$F333,0),0))</f>
        <v>0</v>
      </c>
      <c r="M333" s="123">
        <f>IF($D333="",0,$J333+$K333+$L333)</f>
        <v>0</v>
      </c>
      <c r="N333" s="121">
        <f>IF($D333="",0,$H333+$M333)</f>
        <v>0</v>
      </c>
      <c r="O333" s="120" t="str">
        <f>IF($D333="","",IF(COUNTIFS($A$4:$A$810,$A333,$E$4:$E$810,"Win")=0,"need a winner",IF(COUNTIFS($A$4:$A$810,$A333,$E$4:$E$810,"Loss")=0,"need a loser",IF(COUNTIFS($A$4:$A$810,$A333,$D$4:$D$810,$D333)&gt;1,"duplicate player","OK"))))</f>
      </c>
      <c r="P333">
        <f>IF($D333="",0,IFERROR(SUMIFS($H$4:$H$810,$A$4:$A$810,$A333,$E$4:$E$810,"Win")/COUNTIFS($A$4:$A$810,$A333,$E$4:$E$810,"Win"),0))</f>
        <v>0</v>
      </c>
      <c r="Q333">
        <f>IF($D333="",0,1/(1+10^(($P333-$H333)/400)))</f>
        <v>0</v>
      </c>
      <c r="R333">
        <f>IF($D333="",0,(COUNTIFS($D$4:$D$810,$D333,$C$4:$C$810,$C333,$E$4:$E$810,"Win",$A$4:$A$810,"&lt;"&amp;$A333)+1)/(COUNTIFS($D$4:$D$810,$D333,$C$4:$C$810,$C333,$A$4:$A$810,"&lt;"&amp;$A333)+2))</f>
        <v>0</v>
      </c>
      <c r="S333">
        <f>IF($D333="",0,SUMIFS($R$4:$R$810,$A$4:$A$810,$A333))</f>
        <v>0</v>
      </c>
      <c r="T333" s="88">
        <f>IF($D333="",0,COUNTIFS($D$4:$D$810,$D333,$C$4:$C$810,$C333,$A$4:$A$810,"&lt;"&amp;$A333))</f>
        <v>0</v>
      </c>
      <c r="U333" s="125">
        <f>IF($D333="",0,IFERROR(LOOKUP(2,1/(($D$3:D332=$D333)*($C$3:C332=$C333)*($A$3:A332&lt;$A333)),$AB$3:AB332),1000))</f>
        <v>0</v>
      </c>
      <c r="V333" s="125">
        <f>IF($D333="",0,$U333*($T333/($T333+5))+$H333*(1-$T333/($T333+5)))</f>
        <v>0</v>
      </c>
      <c r="W333">
        <f>IF($D333="",0,IFERROR(SUMIFS($V$4:$V$810,$A$4:$A$810,$A333,$E$4:$E$810,"Win")/COUNTIFS($A$4:$A$810,$A333,$E$4:$E$810,"Win"),0))</f>
        <v>0</v>
      </c>
      <c r="X333">
        <f>IF($D333="",0,1/(1+10^(($W333-$V333)/400)))</f>
        <v>0</v>
      </c>
      <c r="Y333">
        <f>IF($D333="",0,IFERROR(SUMIFS($U$4:$U$810,$A$4:$A$810,$A333,$E$4:$E$810,"Win")/COUNTIFS($A$4:$A$810,$A333,$E$4:$E$810,"Win"),0))</f>
        <v>0</v>
      </c>
      <c r="Z333">
        <f>IF($D333="",0,1/(1+10^(($Y333-$U333)/400)))</f>
        <v>0</v>
      </c>
      <c r="AA333">
        <f>IF($D333="",0,IF($F333&lt;2,0,IF($E333="Win",('Guide &amp; Settings'!$C$42/(($F333-1)*COUNTIFS($A$4:$A$810,$A333,$E$4:$E$810,"Win")))*SUMIFS($Z$4:$Z$810,$A$4:$A$810,$A333,$E$4:$E$810,"Loss"),-('Guide &amp; Settings'!$C$42/($F333-1))*$Z333)))</f>
        <v>0</v>
      </c>
      <c r="AB333" s="125">
        <f>IF($D333="",0,$U333+$AA333)</f>
        <v>0</v>
      </c>
      <c r="AC333" s="125" t="str">
        <f>IF($D333="","",IF(SUMPRODUCT(MAX(($D$4:$D$810=$D333)*($B$4:$B$810&lt;$B333)*$B$4:$B$810))=0,0,MAX(($B333-MAX(SUMPRODUCT(MAX(($D$4:$D$810=$D333)*($B$4:$B$810&lt;$B333)*$B$4:$B$810)),'Guide &amp; Settings'!$C$50))/7-'Guide &amp; Settings'!$C$48,0)*'Guide &amp; Settings'!$C$49))</f>
      </c>
    </row>
    <row r="334" spans="1:29">
      <c r="A334" s="116"/>
      <c r="B334" s="117"/>
      <c r="C334" s="118"/>
      <c r="D334" s="118"/>
      <c r="E334" s="116"/>
      <c r="F334" s="119">
        <f>IF($D334="",0,COUNTIF($A$4:$A$810,$A334))</f>
        <v>0</v>
      </c>
      <c r="G334" s="120">
        <f>IF($D334="","",IFERROR(LOOKUP(2,1/(($A$4:$A$810=$A334)*($E$4:$E$810="Win")),$D$4:$D$810),"(no winner)"))</f>
        <v>0</v>
      </c>
      <c r="H334" s="121">
        <f>IF($D334="",0,IFERROR(LOOKUP(2,1/(($D$3:D333=$D334)*($A$3:A333&lt;$A334)),$N$3:N333),'Guide &amp; Settings'!$C$41))</f>
        <v>0</v>
      </c>
      <c r="I334" s="122">
        <f>IF($D334="",0,IF($S334=0,0,$R334/$S334))</f>
        <v>0</v>
      </c>
      <c r="J334" s="123">
        <f>IF($D334="",0,IF($F334&lt;2,0,IF($E334="Win",('Guide &amp; Settings'!$C$42/(($F334-1)*COUNTIFS($A$4:$A$810,$A334,$E$4:$E$810,"Win")))*SUMIFS($X$4:$X$810,$A$4:$A$810,$A334,$E$4:$E$810,"Loss"),-('Guide &amp; Settings'!$C$42/($F334-1))*$X334)))</f>
        <v>0</v>
      </c>
      <c r="K334" s="123">
        <f>IF($D334="",0,'Guide &amp; Settings'!$C$43*(IF($E334="Win",1,0)-$I334))</f>
        <v>0</v>
      </c>
      <c r="L334" s="124">
        <f>IF($D334="",0,'Guide &amp; Settings'!$C$44*IF($F334&gt;=3,$F334+IF($E334="Win",$F334,0),0))</f>
        <v>0</v>
      </c>
      <c r="M334" s="123">
        <f>IF($D334="",0,$J334+$K334+$L334)</f>
        <v>0</v>
      </c>
      <c r="N334" s="121">
        <f>IF($D334="",0,$H334+$M334)</f>
        <v>0</v>
      </c>
      <c r="O334" s="120" t="str">
        <f>IF($D334="","",IF(COUNTIFS($A$4:$A$810,$A334,$E$4:$E$810,"Win")=0,"need a winner",IF(COUNTIFS($A$4:$A$810,$A334,$E$4:$E$810,"Loss")=0,"need a loser",IF(COUNTIFS($A$4:$A$810,$A334,$D$4:$D$810,$D334)&gt;1,"duplicate player","OK"))))</f>
      </c>
      <c r="P334">
        <f>IF($D334="",0,IFERROR(SUMIFS($H$4:$H$810,$A$4:$A$810,$A334,$E$4:$E$810,"Win")/COUNTIFS($A$4:$A$810,$A334,$E$4:$E$810,"Win"),0))</f>
        <v>0</v>
      </c>
      <c r="Q334">
        <f>IF($D334="",0,1/(1+10^(($P334-$H334)/400)))</f>
        <v>0</v>
      </c>
      <c r="R334">
        <f>IF($D334="",0,(COUNTIFS($D$4:$D$810,$D334,$C$4:$C$810,$C334,$E$4:$E$810,"Win",$A$4:$A$810,"&lt;"&amp;$A334)+1)/(COUNTIFS($D$4:$D$810,$D334,$C$4:$C$810,$C334,$A$4:$A$810,"&lt;"&amp;$A334)+2))</f>
        <v>0</v>
      </c>
      <c r="S334">
        <f>IF($D334="",0,SUMIFS($R$4:$R$810,$A$4:$A$810,$A334))</f>
        <v>0</v>
      </c>
      <c r="T334" s="88">
        <f>IF($D334="",0,COUNTIFS($D$4:$D$810,$D334,$C$4:$C$810,$C334,$A$4:$A$810,"&lt;"&amp;$A334))</f>
        <v>0</v>
      </c>
      <c r="U334" s="125">
        <f>IF($D334="",0,IFERROR(LOOKUP(2,1/(($D$3:D333=$D334)*($C$3:C333=$C334)*($A$3:A333&lt;$A334)),$AB$3:AB333),1000))</f>
        <v>0</v>
      </c>
      <c r="V334" s="125">
        <f>IF($D334="",0,$U334*($T334/($T334+5))+$H334*(1-$T334/($T334+5)))</f>
        <v>0</v>
      </c>
      <c r="W334">
        <f>IF($D334="",0,IFERROR(SUMIFS($V$4:$V$810,$A$4:$A$810,$A334,$E$4:$E$810,"Win")/COUNTIFS($A$4:$A$810,$A334,$E$4:$E$810,"Win"),0))</f>
        <v>0</v>
      </c>
      <c r="X334">
        <f>IF($D334="",0,1/(1+10^(($W334-$V334)/400)))</f>
        <v>0</v>
      </c>
      <c r="Y334">
        <f>IF($D334="",0,IFERROR(SUMIFS($U$4:$U$810,$A$4:$A$810,$A334,$E$4:$E$810,"Win")/COUNTIFS($A$4:$A$810,$A334,$E$4:$E$810,"Win"),0))</f>
        <v>0</v>
      </c>
      <c r="Z334">
        <f>IF($D334="",0,1/(1+10^(($Y334-$U334)/400)))</f>
        <v>0</v>
      </c>
      <c r="AA334">
        <f>IF($D334="",0,IF($F334&lt;2,0,IF($E334="Win",('Guide &amp; Settings'!$C$42/(($F334-1)*COUNTIFS($A$4:$A$810,$A334,$E$4:$E$810,"Win")))*SUMIFS($Z$4:$Z$810,$A$4:$A$810,$A334,$E$4:$E$810,"Loss"),-('Guide &amp; Settings'!$C$42/($F334-1))*$Z334)))</f>
        <v>0</v>
      </c>
      <c r="AB334" s="125">
        <f>IF($D334="",0,$U334+$AA334)</f>
        <v>0</v>
      </c>
      <c r="AC334" s="125" t="str">
        <f>IF($D334="","",IF(SUMPRODUCT(MAX(($D$4:$D$810=$D334)*($B$4:$B$810&lt;$B334)*$B$4:$B$810))=0,0,MAX(($B334-MAX(SUMPRODUCT(MAX(($D$4:$D$810=$D334)*($B$4:$B$810&lt;$B334)*$B$4:$B$810)),'Guide &amp; Settings'!$C$50))/7-'Guide &amp; Settings'!$C$48,0)*'Guide &amp; Settings'!$C$49))</f>
      </c>
    </row>
    <row r="335" spans="1:29">
      <c r="A335" s="116"/>
      <c r="B335" s="117"/>
      <c r="C335" s="118"/>
      <c r="D335" s="118"/>
      <c r="E335" s="116"/>
      <c r="F335" s="119">
        <f>IF($D335="",0,COUNTIF($A$4:$A$810,$A335))</f>
        <v>0</v>
      </c>
      <c r="G335" s="120">
        <f>IF($D335="","",IFERROR(LOOKUP(2,1/(($A$4:$A$810=$A335)*($E$4:$E$810="Win")),$D$4:$D$810),"(no winner)"))</f>
        <v>0</v>
      </c>
      <c r="H335" s="121">
        <f>IF($D335="",0,IFERROR(LOOKUP(2,1/(($D$3:D334=$D335)*($A$3:A334&lt;$A335)),$N$3:N334),'Guide &amp; Settings'!$C$41))</f>
        <v>0</v>
      </c>
      <c r="I335" s="122">
        <f>IF($D335="",0,IF($S335=0,0,$R335/$S335))</f>
        <v>0</v>
      </c>
      <c r="J335" s="123">
        <f>IF($D335="",0,IF($F335&lt;2,0,IF($E335="Win",('Guide &amp; Settings'!$C$42/(($F335-1)*COUNTIFS($A$4:$A$810,$A335,$E$4:$E$810,"Win")))*SUMIFS($X$4:$X$810,$A$4:$A$810,$A335,$E$4:$E$810,"Loss"),-('Guide &amp; Settings'!$C$42/($F335-1))*$X335)))</f>
        <v>0</v>
      </c>
      <c r="K335" s="123">
        <f>IF($D335="",0,'Guide &amp; Settings'!$C$43*(IF($E335="Win",1,0)-$I335))</f>
        <v>0</v>
      </c>
      <c r="L335" s="124">
        <f>IF($D335="",0,'Guide &amp; Settings'!$C$44*IF($F335&gt;=3,$F335+IF($E335="Win",$F335,0),0))</f>
        <v>0</v>
      </c>
      <c r="M335" s="123">
        <f>IF($D335="",0,$J335+$K335+$L335)</f>
        <v>0</v>
      </c>
      <c r="N335" s="121">
        <f>IF($D335="",0,$H335+$M335)</f>
        <v>0</v>
      </c>
      <c r="O335" s="120" t="str">
        <f>IF($D335="","",IF(COUNTIFS($A$4:$A$810,$A335,$E$4:$E$810,"Win")=0,"need a winner",IF(COUNTIFS($A$4:$A$810,$A335,$E$4:$E$810,"Loss")=0,"need a loser",IF(COUNTIFS($A$4:$A$810,$A335,$D$4:$D$810,$D335)&gt;1,"duplicate player","OK"))))</f>
      </c>
      <c r="P335">
        <f>IF($D335="",0,IFERROR(SUMIFS($H$4:$H$810,$A$4:$A$810,$A335,$E$4:$E$810,"Win")/COUNTIFS($A$4:$A$810,$A335,$E$4:$E$810,"Win"),0))</f>
        <v>0</v>
      </c>
      <c r="Q335">
        <f>IF($D335="",0,1/(1+10^(($P335-$H335)/400)))</f>
        <v>0</v>
      </c>
      <c r="R335">
        <f>IF($D335="",0,(COUNTIFS($D$4:$D$810,$D335,$C$4:$C$810,$C335,$E$4:$E$810,"Win",$A$4:$A$810,"&lt;"&amp;$A335)+1)/(COUNTIFS($D$4:$D$810,$D335,$C$4:$C$810,$C335,$A$4:$A$810,"&lt;"&amp;$A335)+2))</f>
        <v>0</v>
      </c>
      <c r="S335">
        <f>IF($D335="",0,SUMIFS($R$4:$R$810,$A$4:$A$810,$A335))</f>
        <v>0</v>
      </c>
      <c r="T335" s="88">
        <f>IF($D335="",0,COUNTIFS($D$4:$D$810,$D335,$C$4:$C$810,$C335,$A$4:$A$810,"&lt;"&amp;$A335))</f>
        <v>0</v>
      </c>
      <c r="U335" s="125">
        <f>IF($D335="",0,IFERROR(LOOKUP(2,1/(($D$3:D334=$D335)*($C$3:C334=$C335)*($A$3:A334&lt;$A335)),$AB$3:AB334),1000))</f>
        <v>0</v>
      </c>
      <c r="V335" s="125">
        <f>IF($D335="",0,$U335*($T335/($T335+5))+$H335*(1-$T335/($T335+5)))</f>
        <v>0</v>
      </c>
      <c r="W335">
        <f>IF($D335="",0,IFERROR(SUMIFS($V$4:$V$810,$A$4:$A$810,$A335,$E$4:$E$810,"Win")/COUNTIFS($A$4:$A$810,$A335,$E$4:$E$810,"Win"),0))</f>
        <v>0</v>
      </c>
      <c r="X335">
        <f>IF($D335="",0,1/(1+10^(($W335-$V335)/400)))</f>
        <v>0</v>
      </c>
      <c r="Y335">
        <f>IF($D335="",0,IFERROR(SUMIFS($U$4:$U$810,$A$4:$A$810,$A335,$E$4:$E$810,"Win")/COUNTIFS($A$4:$A$810,$A335,$E$4:$E$810,"Win"),0))</f>
        <v>0</v>
      </c>
      <c r="Z335">
        <f>IF($D335="",0,1/(1+10^(($Y335-$U335)/400)))</f>
        <v>0</v>
      </c>
      <c r="AA335">
        <f>IF($D335="",0,IF($F335&lt;2,0,IF($E335="Win",('Guide &amp; Settings'!$C$42/(($F335-1)*COUNTIFS($A$4:$A$810,$A335,$E$4:$E$810,"Win")))*SUMIFS($Z$4:$Z$810,$A$4:$A$810,$A335,$E$4:$E$810,"Loss"),-('Guide &amp; Settings'!$C$42/($F335-1))*$Z335)))</f>
        <v>0</v>
      </c>
      <c r="AB335" s="125">
        <f>IF($D335="",0,$U335+$AA335)</f>
        <v>0</v>
      </c>
      <c r="AC335" s="125" t="str">
        <f>IF($D335="","",IF(SUMPRODUCT(MAX(($D$4:$D$810=$D335)*($B$4:$B$810&lt;$B335)*$B$4:$B$810))=0,0,MAX(($B335-MAX(SUMPRODUCT(MAX(($D$4:$D$810=$D335)*($B$4:$B$810&lt;$B335)*$B$4:$B$810)),'Guide &amp; Settings'!$C$50))/7-'Guide &amp; Settings'!$C$48,0)*'Guide &amp; Settings'!$C$49))</f>
      </c>
    </row>
    <row r="336" spans="1:29">
      <c r="A336" s="116"/>
      <c r="B336" s="117"/>
      <c r="C336" s="118"/>
      <c r="D336" s="118"/>
      <c r="E336" s="116"/>
      <c r="F336" s="119">
        <f>IF($D336="",0,COUNTIF($A$4:$A$810,$A336))</f>
        <v>0</v>
      </c>
      <c r="G336" s="120">
        <f>IF($D336="","",IFERROR(LOOKUP(2,1/(($A$4:$A$810=$A336)*($E$4:$E$810="Win")),$D$4:$D$810),"(no winner)"))</f>
        <v>0</v>
      </c>
      <c r="H336" s="121">
        <f>IF($D336="",0,IFERROR(LOOKUP(2,1/(($D$3:D335=$D336)*($A$3:A335&lt;$A336)),$N$3:N335),'Guide &amp; Settings'!$C$41))</f>
        <v>0</v>
      </c>
      <c r="I336" s="122">
        <f>IF($D336="",0,IF($S336=0,0,$R336/$S336))</f>
        <v>0</v>
      </c>
      <c r="J336" s="123">
        <f>IF($D336="",0,IF($F336&lt;2,0,IF($E336="Win",('Guide &amp; Settings'!$C$42/(($F336-1)*COUNTIFS($A$4:$A$810,$A336,$E$4:$E$810,"Win")))*SUMIFS($X$4:$X$810,$A$4:$A$810,$A336,$E$4:$E$810,"Loss"),-('Guide &amp; Settings'!$C$42/($F336-1))*$X336)))</f>
        <v>0</v>
      </c>
      <c r="K336" s="123">
        <f>IF($D336="",0,'Guide &amp; Settings'!$C$43*(IF($E336="Win",1,0)-$I336))</f>
        <v>0</v>
      </c>
      <c r="L336" s="124">
        <f>IF($D336="",0,'Guide &amp; Settings'!$C$44*IF($F336&gt;=3,$F336+IF($E336="Win",$F336,0),0))</f>
        <v>0</v>
      </c>
      <c r="M336" s="123">
        <f>IF($D336="",0,$J336+$K336+$L336)</f>
        <v>0</v>
      </c>
      <c r="N336" s="121">
        <f>IF($D336="",0,$H336+$M336)</f>
        <v>0</v>
      </c>
      <c r="O336" s="120" t="str">
        <f>IF($D336="","",IF(COUNTIFS($A$4:$A$810,$A336,$E$4:$E$810,"Win")=0,"need a winner",IF(COUNTIFS($A$4:$A$810,$A336,$E$4:$E$810,"Loss")=0,"need a loser",IF(COUNTIFS($A$4:$A$810,$A336,$D$4:$D$810,$D336)&gt;1,"duplicate player","OK"))))</f>
      </c>
      <c r="P336">
        <f>IF($D336="",0,IFERROR(SUMIFS($H$4:$H$810,$A$4:$A$810,$A336,$E$4:$E$810,"Win")/COUNTIFS($A$4:$A$810,$A336,$E$4:$E$810,"Win"),0))</f>
        <v>0</v>
      </c>
      <c r="Q336">
        <f>IF($D336="",0,1/(1+10^(($P336-$H336)/400)))</f>
        <v>0</v>
      </c>
      <c r="R336">
        <f>IF($D336="",0,(COUNTIFS($D$4:$D$810,$D336,$C$4:$C$810,$C336,$E$4:$E$810,"Win",$A$4:$A$810,"&lt;"&amp;$A336)+1)/(COUNTIFS($D$4:$D$810,$D336,$C$4:$C$810,$C336,$A$4:$A$810,"&lt;"&amp;$A336)+2))</f>
        <v>0</v>
      </c>
      <c r="S336">
        <f>IF($D336="",0,SUMIFS($R$4:$R$810,$A$4:$A$810,$A336))</f>
        <v>0</v>
      </c>
      <c r="T336" s="88">
        <f>IF($D336="",0,COUNTIFS($D$4:$D$810,$D336,$C$4:$C$810,$C336,$A$4:$A$810,"&lt;"&amp;$A336))</f>
        <v>0</v>
      </c>
      <c r="U336" s="125">
        <f>IF($D336="",0,IFERROR(LOOKUP(2,1/(($D$3:D335=$D336)*($C$3:C335=$C336)*($A$3:A335&lt;$A336)),$AB$3:AB335),1000))</f>
        <v>0</v>
      </c>
      <c r="V336" s="125">
        <f>IF($D336="",0,$U336*($T336/($T336+5))+$H336*(1-$T336/($T336+5)))</f>
        <v>0</v>
      </c>
      <c r="W336">
        <f>IF($D336="",0,IFERROR(SUMIFS($V$4:$V$810,$A$4:$A$810,$A336,$E$4:$E$810,"Win")/COUNTIFS($A$4:$A$810,$A336,$E$4:$E$810,"Win"),0))</f>
        <v>0</v>
      </c>
      <c r="X336">
        <f>IF($D336="",0,1/(1+10^(($W336-$V336)/400)))</f>
        <v>0</v>
      </c>
      <c r="Y336">
        <f>IF($D336="",0,IFERROR(SUMIFS($U$4:$U$810,$A$4:$A$810,$A336,$E$4:$E$810,"Win")/COUNTIFS($A$4:$A$810,$A336,$E$4:$E$810,"Win"),0))</f>
        <v>0</v>
      </c>
      <c r="Z336">
        <f>IF($D336="",0,1/(1+10^(($Y336-$U336)/400)))</f>
        <v>0</v>
      </c>
      <c r="AA336">
        <f>IF($D336="",0,IF($F336&lt;2,0,IF($E336="Win",('Guide &amp; Settings'!$C$42/(($F336-1)*COUNTIFS($A$4:$A$810,$A336,$E$4:$E$810,"Win")))*SUMIFS($Z$4:$Z$810,$A$4:$A$810,$A336,$E$4:$E$810,"Loss"),-('Guide &amp; Settings'!$C$42/($F336-1))*$Z336)))</f>
        <v>0</v>
      </c>
      <c r="AB336" s="125">
        <f>IF($D336="",0,$U336+$AA336)</f>
        <v>0</v>
      </c>
      <c r="AC336" s="125" t="str">
        <f>IF($D336="","",IF(SUMPRODUCT(MAX(($D$4:$D$810=$D336)*($B$4:$B$810&lt;$B336)*$B$4:$B$810))=0,0,MAX(($B336-MAX(SUMPRODUCT(MAX(($D$4:$D$810=$D336)*($B$4:$B$810&lt;$B336)*$B$4:$B$810)),'Guide &amp; Settings'!$C$50))/7-'Guide &amp; Settings'!$C$48,0)*'Guide &amp; Settings'!$C$49))</f>
      </c>
    </row>
    <row r="337" spans="1:29">
      <c r="A337" s="116"/>
      <c r="B337" s="117"/>
      <c r="C337" s="118"/>
      <c r="D337" s="118"/>
      <c r="E337" s="116"/>
      <c r="F337" s="119">
        <f>IF($D337="",0,COUNTIF($A$4:$A$810,$A337))</f>
        <v>0</v>
      </c>
      <c r="G337" s="120">
        <f>IF($D337="","",IFERROR(LOOKUP(2,1/(($A$4:$A$810=$A337)*($E$4:$E$810="Win")),$D$4:$D$810),"(no winner)"))</f>
        <v>0</v>
      </c>
      <c r="H337" s="121">
        <f>IF($D337="",0,IFERROR(LOOKUP(2,1/(($D$3:D336=$D337)*($A$3:A336&lt;$A337)),$N$3:N336),'Guide &amp; Settings'!$C$41))</f>
        <v>0</v>
      </c>
      <c r="I337" s="122">
        <f>IF($D337="",0,IF($S337=0,0,$R337/$S337))</f>
        <v>0</v>
      </c>
      <c r="J337" s="123">
        <f>IF($D337="",0,IF($F337&lt;2,0,IF($E337="Win",('Guide &amp; Settings'!$C$42/(($F337-1)*COUNTIFS($A$4:$A$810,$A337,$E$4:$E$810,"Win")))*SUMIFS($X$4:$X$810,$A$4:$A$810,$A337,$E$4:$E$810,"Loss"),-('Guide &amp; Settings'!$C$42/($F337-1))*$X337)))</f>
        <v>0</v>
      </c>
      <c r="K337" s="123">
        <f>IF($D337="",0,'Guide &amp; Settings'!$C$43*(IF($E337="Win",1,0)-$I337))</f>
        <v>0</v>
      </c>
      <c r="L337" s="124">
        <f>IF($D337="",0,'Guide &amp; Settings'!$C$44*IF($F337&gt;=3,$F337+IF($E337="Win",$F337,0),0))</f>
        <v>0</v>
      </c>
      <c r="M337" s="123">
        <f>IF($D337="",0,$J337+$K337+$L337)</f>
        <v>0</v>
      </c>
      <c r="N337" s="121">
        <f>IF($D337="",0,$H337+$M337)</f>
        <v>0</v>
      </c>
      <c r="O337" s="120" t="str">
        <f>IF($D337="","",IF(COUNTIFS($A$4:$A$810,$A337,$E$4:$E$810,"Win")=0,"need a winner",IF(COUNTIFS($A$4:$A$810,$A337,$E$4:$E$810,"Loss")=0,"need a loser",IF(COUNTIFS($A$4:$A$810,$A337,$D$4:$D$810,$D337)&gt;1,"duplicate player","OK"))))</f>
      </c>
      <c r="P337">
        <f>IF($D337="",0,IFERROR(SUMIFS($H$4:$H$810,$A$4:$A$810,$A337,$E$4:$E$810,"Win")/COUNTIFS($A$4:$A$810,$A337,$E$4:$E$810,"Win"),0))</f>
        <v>0</v>
      </c>
      <c r="Q337">
        <f>IF($D337="",0,1/(1+10^(($P337-$H337)/400)))</f>
        <v>0</v>
      </c>
      <c r="R337">
        <f>IF($D337="",0,(COUNTIFS($D$4:$D$810,$D337,$C$4:$C$810,$C337,$E$4:$E$810,"Win",$A$4:$A$810,"&lt;"&amp;$A337)+1)/(COUNTIFS($D$4:$D$810,$D337,$C$4:$C$810,$C337,$A$4:$A$810,"&lt;"&amp;$A337)+2))</f>
        <v>0</v>
      </c>
      <c r="S337">
        <f>IF($D337="",0,SUMIFS($R$4:$R$810,$A$4:$A$810,$A337))</f>
        <v>0</v>
      </c>
      <c r="T337" s="88">
        <f>IF($D337="",0,COUNTIFS($D$4:$D$810,$D337,$C$4:$C$810,$C337,$A$4:$A$810,"&lt;"&amp;$A337))</f>
        <v>0</v>
      </c>
      <c r="U337" s="125">
        <f>IF($D337="",0,IFERROR(LOOKUP(2,1/(($D$3:D336=$D337)*($C$3:C336=$C337)*($A$3:A336&lt;$A337)),$AB$3:AB336),1000))</f>
        <v>0</v>
      </c>
      <c r="V337" s="125">
        <f>IF($D337="",0,$U337*($T337/($T337+5))+$H337*(1-$T337/($T337+5)))</f>
        <v>0</v>
      </c>
      <c r="W337">
        <f>IF($D337="",0,IFERROR(SUMIFS($V$4:$V$810,$A$4:$A$810,$A337,$E$4:$E$810,"Win")/COUNTIFS($A$4:$A$810,$A337,$E$4:$E$810,"Win"),0))</f>
        <v>0</v>
      </c>
      <c r="X337">
        <f>IF($D337="",0,1/(1+10^(($W337-$V337)/400)))</f>
        <v>0</v>
      </c>
      <c r="Y337">
        <f>IF($D337="",0,IFERROR(SUMIFS($U$4:$U$810,$A$4:$A$810,$A337,$E$4:$E$810,"Win")/COUNTIFS($A$4:$A$810,$A337,$E$4:$E$810,"Win"),0))</f>
        <v>0</v>
      </c>
      <c r="Z337">
        <f>IF($D337="",0,1/(1+10^(($Y337-$U337)/400)))</f>
        <v>0</v>
      </c>
      <c r="AA337">
        <f>IF($D337="",0,IF($F337&lt;2,0,IF($E337="Win",('Guide &amp; Settings'!$C$42/(($F337-1)*COUNTIFS($A$4:$A$810,$A337,$E$4:$E$810,"Win")))*SUMIFS($Z$4:$Z$810,$A$4:$A$810,$A337,$E$4:$E$810,"Loss"),-('Guide &amp; Settings'!$C$42/($F337-1))*$Z337)))</f>
        <v>0</v>
      </c>
      <c r="AB337" s="125">
        <f>IF($D337="",0,$U337+$AA337)</f>
        <v>0</v>
      </c>
      <c r="AC337" s="125" t="str">
        <f>IF($D337="","",IF(SUMPRODUCT(MAX(($D$4:$D$810=$D337)*($B$4:$B$810&lt;$B337)*$B$4:$B$810))=0,0,MAX(($B337-MAX(SUMPRODUCT(MAX(($D$4:$D$810=$D337)*($B$4:$B$810&lt;$B337)*$B$4:$B$810)),'Guide &amp; Settings'!$C$50))/7-'Guide &amp; Settings'!$C$48,0)*'Guide &amp; Settings'!$C$49))</f>
      </c>
    </row>
    <row r="338" spans="1:29">
      <c r="A338" s="116"/>
      <c r="B338" s="117"/>
      <c r="C338" s="118"/>
      <c r="D338" s="118"/>
      <c r="E338" s="116"/>
      <c r="F338" s="119">
        <f>IF($D338="",0,COUNTIF($A$4:$A$810,$A338))</f>
        <v>0</v>
      </c>
      <c r="G338" s="120">
        <f>IF($D338="","",IFERROR(LOOKUP(2,1/(($A$4:$A$810=$A338)*($E$4:$E$810="Win")),$D$4:$D$810),"(no winner)"))</f>
        <v>0</v>
      </c>
      <c r="H338" s="121">
        <f>IF($D338="",0,IFERROR(LOOKUP(2,1/(($D$3:D337=$D338)*($A$3:A337&lt;$A338)),$N$3:N337),'Guide &amp; Settings'!$C$41))</f>
        <v>0</v>
      </c>
      <c r="I338" s="122">
        <f>IF($D338="",0,IF($S338=0,0,$R338/$S338))</f>
        <v>0</v>
      </c>
      <c r="J338" s="123">
        <f>IF($D338="",0,IF($F338&lt;2,0,IF($E338="Win",('Guide &amp; Settings'!$C$42/(($F338-1)*COUNTIFS($A$4:$A$810,$A338,$E$4:$E$810,"Win")))*SUMIFS($X$4:$X$810,$A$4:$A$810,$A338,$E$4:$E$810,"Loss"),-('Guide &amp; Settings'!$C$42/($F338-1))*$X338)))</f>
        <v>0</v>
      </c>
      <c r="K338" s="123">
        <f>IF($D338="",0,'Guide &amp; Settings'!$C$43*(IF($E338="Win",1,0)-$I338))</f>
        <v>0</v>
      </c>
      <c r="L338" s="124">
        <f>IF($D338="",0,'Guide &amp; Settings'!$C$44*IF($F338&gt;=3,$F338+IF($E338="Win",$F338,0),0))</f>
        <v>0</v>
      </c>
      <c r="M338" s="123">
        <f>IF($D338="",0,$J338+$K338+$L338)</f>
        <v>0</v>
      </c>
      <c r="N338" s="121">
        <f>IF($D338="",0,$H338+$M338)</f>
        <v>0</v>
      </c>
      <c r="O338" s="120" t="str">
        <f>IF($D338="","",IF(COUNTIFS($A$4:$A$810,$A338,$E$4:$E$810,"Win")=0,"need a winner",IF(COUNTIFS($A$4:$A$810,$A338,$E$4:$E$810,"Loss")=0,"need a loser",IF(COUNTIFS($A$4:$A$810,$A338,$D$4:$D$810,$D338)&gt;1,"duplicate player","OK"))))</f>
      </c>
      <c r="P338">
        <f>IF($D338="",0,IFERROR(SUMIFS($H$4:$H$810,$A$4:$A$810,$A338,$E$4:$E$810,"Win")/COUNTIFS($A$4:$A$810,$A338,$E$4:$E$810,"Win"),0))</f>
        <v>0</v>
      </c>
      <c r="Q338">
        <f>IF($D338="",0,1/(1+10^(($P338-$H338)/400)))</f>
        <v>0</v>
      </c>
      <c r="R338">
        <f>IF($D338="",0,(COUNTIFS($D$4:$D$810,$D338,$C$4:$C$810,$C338,$E$4:$E$810,"Win",$A$4:$A$810,"&lt;"&amp;$A338)+1)/(COUNTIFS($D$4:$D$810,$D338,$C$4:$C$810,$C338,$A$4:$A$810,"&lt;"&amp;$A338)+2))</f>
        <v>0</v>
      </c>
      <c r="S338">
        <f>IF($D338="",0,SUMIFS($R$4:$R$810,$A$4:$A$810,$A338))</f>
        <v>0</v>
      </c>
      <c r="T338" s="88">
        <f>IF($D338="",0,COUNTIFS($D$4:$D$810,$D338,$C$4:$C$810,$C338,$A$4:$A$810,"&lt;"&amp;$A338))</f>
        <v>0</v>
      </c>
      <c r="U338" s="125">
        <f>IF($D338="",0,IFERROR(LOOKUP(2,1/(($D$3:D337=$D338)*($C$3:C337=$C338)*($A$3:A337&lt;$A338)),$AB$3:AB337),1000))</f>
        <v>0</v>
      </c>
      <c r="V338" s="125">
        <f>IF($D338="",0,$U338*($T338/($T338+5))+$H338*(1-$T338/($T338+5)))</f>
        <v>0</v>
      </c>
      <c r="W338">
        <f>IF($D338="",0,IFERROR(SUMIFS($V$4:$V$810,$A$4:$A$810,$A338,$E$4:$E$810,"Win")/COUNTIFS($A$4:$A$810,$A338,$E$4:$E$810,"Win"),0))</f>
        <v>0</v>
      </c>
      <c r="X338">
        <f>IF($D338="",0,1/(1+10^(($W338-$V338)/400)))</f>
        <v>0</v>
      </c>
      <c r="Y338">
        <f>IF($D338="",0,IFERROR(SUMIFS($U$4:$U$810,$A$4:$A$810,$A338,$E$4:$E$810,"Win")/COUNTIFS($A$4:$A$810,$A338,$E$4:$E$810,"Win"),0))</f>
        <v>0</v>
      </c>
      <c r="Z338">
        <f>IF($D338="",0,1/(1+10^(($Y338-$U338)/400)))</f>
        <v>0</v>
      </c>
      <c r="AA338">
        <f>IF($D338="",0,IF($F338&lt;2,0,IF($E338="Win",('Guide &amp; Settings'!$C$42/(($F338-1)*COUNTIFS($A$4:$A$810,$A338,$E$4:$E$810,"Win")))*SUMIFS($Z$4:$Z$810,$A$4:$A$810,$A338,$E$4:$E$810,"Loss"),-('Guide &amp; Settings'!$C$42/($F338-1))*$Z338)))</f>
        <v>0</v>
      </c>
      <c r="AB338" s="125">
        <f>IF($D338="",0,$U338+$AA338)</f>
        <v>0</v>
      </c>
      <c r="AC338" s="125" t="str">
        <f>IF($D338="","",IF(SUMPRODUCT(MAX(($D$4:$D$810=$D338)*($B$4:$B$810&lt;$B338)*$B$4:$B$810))=0,0,MAX(($B338-MAX(SUMPRODUCT(MAX(($D$4:$D$810=$D338)*($B$4:$B$810&lt;$B338)*$B$4:$B$810)),'Guide &amp; Settings'!$C$50))/7-'Guide &amp; Settings'!$C$48,0)*'Guide &amp; Settings'!$C$49))</f>
      </c>
    </row>
    <row r="339" spans="1:29">
      <c r="A339" s="116"/>
      <c r="B339" s="117"/>
      <c r="C339" s="118"/>
      <c r="D339" s="118"/>
      <c r="E339" s="116"/>
      <c r="F339" s="119">
        <f>IF($D339="",0,COUNTIF($A$4:$A$810,$A339))</f>
        <v>0</v>
      </c>
      <c r="G339" s="120">
        <f>IF($D339="","",IFERROR(LOOKUP(2,1/(($A$4:$A$810=$A339)*($E$4:$E$810="Win")),$D$4:$D$810),"(no winner)"))</f>
        <v>0</v>
      </c>
      <c r="H339" s="121">
        <f>IF($D339="",0,IFERROR(LOOKUP(2,1/(($D$3:D338=$D339)*($A$3:A338&lt;$A339)),$N$3:N338),'Guide &amp; Settings'!$C$41))</f>
        <v>0</v>
      </c>
      <c r="I339" s="122">
        <f>IF($D339="",0,IF($S339=0,0,$R339/$S339))</f>
        <v>0</v>
      </c>
      <c r="J339" s="123">
        <f>IF($D339="",0,IF($F339&lt;2,0,IF($E339="Win",('Guide &amp; Settings'!$C$42/(($F339-1)*COUNTIFS($A$4:$A$810,$A339,$E$4:$E$810,"Win")))*SUMIFS($X$4:$X$810,$A$4:$A$810,$A339,$E$4:$E$810,"Loss"),-('Guide &amp; Settings'!$C$42/($F339-1))*$X339)))</f>
        <v>0</v>
      </c>
      <c r="K339" s="123">
        <f>IF($D339="",0,'Guide &amp; Settings'!$C$43*(IF($E339="Win",1,0)-$I339))</f>
        <v>0</v>
      </c>
      <c r="L339" s="124">
        <f>IF($D339="",0,'Guide &amp; Settings'!$C$44*IF($F339&gt;=3,$F339+IF($E339="Win",$F339,0),0))</f>
        <v>0</v>
      </c>
      <c r="M339" s="123">
        <f>IF($D339="",0,$J339+$K339+$L339)</f>
        <v>0</v>
      </c>
      <c r="N339" s="121">
        <f>IF($D339="",0,$H339+$M339)</f>
        <v>0</v>
      </c>
      <c r="O339" s="120" t="str">
        <f>IF($D339="","",IF(COUNTIFS($A$4:$A$810,$A339,$E$4:$E$810,"Win")=0,"need a winner",IF(COUNTIFS($A$4:$A$810,$A339,$E$4:$E$810,"Loss")=0,"need a loser",IF(COUNTIFS($A$4:$A$810,$A339,$D$4:$D$810,$D339)&gt;1,"duplicate player","OK"))))</f>
      </c>
      <c r="P339">
        <f>IF($D339="",0,IFERROR(SUMIFS($H$4:$H$810,$A$4:$A$810,$A339,$E$4:$E$810,"Win")/COUNTIFS($A$4:$A$810,$A339,$E$4:$E$810,"Win"),0))</f>
        <v>0</v>
      </c>
      <c r="Q339">
        <f>IF($D339="",0,1/(1+10^(($P339-$H339)/400)))</f>
        <v>0</v>
      </c>
      <c r="R339">
        <f>IF($D339="",0,(COUNTIFS($D$4:$D$810,$D339,$C$4:$C$810,$C339,$E$4:$E$810,"Win",$A$4:$A$810,"&lt;"&amp;$A339)+1)/(COUNTIFS($D$4:$D$810,$D339,$C$4:$C$810,$C339,$A$4:$A$810,"&lt;"&amp;$A339)+2))</f>
        <v>0</v>
      </c>
      <c r="S339">
        <f>IF($D339="",0,SUMIFS($R$4:$R$810,$A$4:$A$810,$A339))</f>
        <v>0</v>
      </c>
      <c r="T339" s="88">
        <f>IF($D339="",0,COUNTIFS($D$4:$D$810,$D339,$C$4:$C$810,$C339,$A$4:$A$810,"&lt;"&amp;$A339))</f>
        <v>0</v>
      </c>
      <c r="U339" s="125">
        <f>IF($D339="",0,IFERROR(LOOKUP(2,1/(($D$3:D338=$D339)*($C$3:C338=$C339)*($A$3:A338&lt;$A339)),$AB$3:AB338),1000))</f>
        <v>0</v>
      </c>
      <c r="V339" s="125">
        <f>IF($D339="",0,$U339*($T339/($T339+5))+$H339*(1-$T339/($T339+5)))</f>
        <v>0</v>
      </c>
      <c r="W339">
        <f>IF($D339="",0,IFERROR(SUMIFS($V$4:$V$810,$A$4:$A$810,$A339,$E$4:$E$810,"Win")/COUNTIFS($A$4:$A$810,$A339,$E$4:$E$810,"Win"),0))</f>
        <v>0</v>
      </c>
      <c r="X339">
        <f>IF($D339="",0,1/(1+10^(($W339-$V339)/400)))</f>
        <v>0</v>
      </c>
      <c r="Y339">
        <f>IF($D339="",0,IFERROR(SUMIFS($U$4:$U$810,$A$4:$A$810,$A339,$E$4:$E$810,"Win")/COUNTIFS($A$4:$A$810,$A339,$E$4:$E$810,"Win"),0))</f>
        <v>0</v>
      </c>
      <c r="Z339">
        <f>IF($D339="",0,1/(1+10^(($Y339-$U339)/400)))</f>
        <v>0</v>
      </c>
      <c r="AA339">
        <f>IF($D339="",0,IF($F339&lt;2,0,IF($E339="Win",('Guide &amp; Settings'!$C$42/(($F339-1)*COUNTIFS($A$4:$A$810,$A339,$E$4:$E$810,"Win")))*SUMIFS($Z$4:$Z$810,$A$4:$A$810,$A339,$E$4:$E$810,"Loss"),-('Guide &amp; Settings'!$C$42/($F339-1))*$Z339)))</f>
        <v>0</v>
      </c>
      <c r="AB339" s="125">
        <f>IF($D339="",0,$U339+$AA339)</f>
        <v>0</v>
      </c>
      <c r="AC339" s="125" t="str">
        <f>IF($D339="","",IF(SUMPRODUCT(MAX(($D$4:$D$810=$D339)*($B$4:$B$810&lt;$B339)*$B$4:$B$810))=0,0,MAX(($B339-MAX(SUMPRODUCT(MAX(($D$4:$D$810=$D339)*($B$4:$B$810&lt;$B339)*$B$4:$B$810)),'Guide &amp; Settings'!$C$50))/7-'Guide &amp; Settings'!$C$48,0)*'Guide &amp; Settings'!$C$49))</f>
      </c>
    </row>
    <row r="340" spans="1:29">
      <c r="A340" s="116"/>
      <c r="B340" s="117"/>
      <c r="C340" s="118"/>
      <c r="D340" s="118"/>
      <c r="E340" s="116"/>
      <c r="F340" s="119">
        <f>IF($D340="",0,COUNTIF($A$4:$A$810,$A340))</f>
        <v>0</v>
      </c>
      <c r="G340" s="120">
        <f>IF($D340="","",IFERROR(LOOKUP(2,1/(($A$4:$A$810=$A340)*($E$4:$E$810="Win")),$D$4:$D$810),"(no winner)"))</f>
        <v>0</v>
      </c>
      <c r="H340" s="121">
        <f>IF($D340="",0,IFERROR(LOOKUP(2,1/(($D$3:D339=$D340)*($A$3:A339&lt;$A340)),$N$3:N339),'Guide &amp; Settings'!$C$41))</f>
        <v>0</v>
      </c>
      <c r="I340" s="122">
        <f>IF($D340="",0,IF($S340=0,0,$R340/$S340))</f>
        <v>0</v>
      </c>
      <c r="J340" s="123">
        <f>IF($D340="",0,IF($F340&lt;2,0,IF($E340="Win",('Guide &amp; Settings'!$C$42/(($F340-1)*COUNTIFS($A$4:$A$810,$A340,$E$4:$E$810,"Win")))*SUMIFS($X$4:$X$810,$A$4:$A$810,$A340,$E$4:$E$810,"Loss"),-('Guide &amp; Settings'!$C$42/($F340-1))*$X340)))</f>
        <v>0</v>
      </c>
      <c r="K340" s="123">
        <f>IF($D340="",0,'Guide &amp; Settings'!$C$43*(IF($E340="Win",1,0)-$I340))</f>
        <v>0</v>
      </c>
      <c r="L340" s="124">
        <f>IF($D340="",0,'Guide &amp; Settings'!$C$44*IF($F340&gt;=3,$F340+IF($E340="Win",$F340,0),0))</f>
        <v>0</v>
      </c>
      <c r="M340" s="123">
        <f>IF($D340="",0,$J340+$K340+$L340)</f>
        <v>0</v>
      </c>
      <c r="N340" s="121">
        <f>IF($D340="",0,$H340+$M340)</f>
        <v>0</v>
      </c>
      <c r="O340" s="120" t="str">
        <f>IF($D340="","",IF(COUNTIFS($A$4:$A$810,$A340,$E$4:$E$810,"Win")=0,"need a winner",IF(COUNTIFS($A$4:$A$810,$A340,$E$4:$E$810,"Loss")=0,"need a loser",IF(COUNTIFS($A$4:$A$810,$A340,$D$4:$D$810,$D340)&gt;1,"duplicate player","OK"))))</f>
      </c>
      <c r="P340">
        <f>IF($D340="",0,IFERROR(SUMIFS($H$4:$H$810,$A$4:$A$810,$A340,$E$4:$E$810,"Win")/COUNTIFS($A$4:$A$810,$A340,$E$4:$E$810,"Win"),0))</f>
        <v>0</v>
      </c>
      <c r="Q340">
        <f>IF($D340="",0,1/(1+10^(($P340-$H340)/400)))</f>
        <v>0</v>
      </c>
      <c r="R340">
        <f>IF($D340="",0,(COUNTIFS($D$4:$D$810,$D340,$C$4:$C$810,$C340,$E$4:$E$810,"Win",$A$4:$A$810,"&lt;"&amp;$A340)+1)/(COUNTIFS($D$4:$D$810,$D340,$C$4:$C$810,$C340,$A$4:$A$810,"&lt;"&amp;$A340)+2))</f>
        <v>0</v>
      </c>
      <c r="S340">
        <f>IF($D340="",0,SUMIFS($R$4:$R$810,$A$4:$A$810,$A340))</f>
        <v>0</v>
      </c>
      <c r="T340" s="88">
        <f>IF($D340="",0,COUNTIFS($D$4:$D$810,$D340,$C$4:$C$810,$C340,$A$4:$A$810,"&lt;"&amp;$A340))</f>
        <v>0</v>
      </c>
      <c r="U340" s="125">
        <f>IF($D340="",0,IFERROR(LOOKUP(2,1/(($D$3:D339=$D340)*($C$3:C339=$C340)*($A$3:A339&lt;$A340)),$AB$3:AB339),1000))</f>
        <v>0</v>
      </c>
      <c r="V340" s="125">
        <f>IF($D340="",0,$U340*($T340/($T340+5))+$H340*(1-$T340/($T340+5)))</f>
        <v>0</v>
      </c>
      <c r="W340">
        <f>IF($D340="",0,IFERROR(SUMIFS($V$4:$V$810,$A$4:$A$810,$A340,$E$4:$E$810,"Win")/COUNTIFS($A$4:$A$810,$A340,$E$4:$E$810,"Win"),0))</f>
        <v>0</v>
      </c>
      <c r="X340">
        <f>IF($D340="",0,1/(1+10^(($W340-$V340)/400)))</f>
        <v>0</v>
      </c>
      <c r="Y340">
        <f>IF($D340="",0,IFERROR(SUMIFS($U$4:$U$810,$A$4:$A$810,$A340,$E$4:$E$810,"Win")/COUNTIFS($A$4:$A$810,$A340,$E$4:$E$810,"Win"),0))</f>
        <v>0</v>
      </c>
      <c r="Z340">
        <f>IF($D340="",0,1/(1+10^(($Y340-$U340)/400)))</f>
        <v>0</v>
      </c>
      <c r="AA340">
        <f>IF($D340="",0,IF($F340&lt;2,0,IF($E340="Win",('Guide &amp; Settings'!$C$42/(($F340-1)*COUNTIFS($A$4:$A$810,$A340,$E$4:$E$810,"Win")))*SUMIFS($Z$4:$Z$810,$A$4:$A$810,$A340,$E$4:$E$810,"Loss"),-('Guide &amp; Settings'!$C$42/($F340-1))*$Z340)))</f>
        <v>0</v>
      </c>
      <c r="AB340" s="125">
        <f>IF($D340="",0,$U340+$AA340)</f>
        <v>0</v>
      </c>
      <c r="AC340" s="125" t="str">
        <f>IF($D340="","",IF(SUMPRODUCT(MAX(($D$4:$D$810=$D340)*($B$4:$B$810&lt;$B340)*$B$4:$B$810))=0,0,MAX(($B340-MAX(SUMPRODUCT(MAX(($D$4:$D$810=$D340)*($B$4:$B$810&lt;$B340)*$B$4:$B$810)),'Guide &amp; Settings'!$C$50))/7-'Guide &amp; Settings'!$C$48,0)*'Guide &amp; Settings'!$C$49))</f>
      </c>
    </row>
    <row r="341" spans="1:29">
      <c r="A341" s="116"/>
      <c r="B341" s="117"/>
      <c r="C341" s="118"/>
      <c r="D341" s="118"/>
      <c r="E341" s="116"/>
      <c r="F341" s="119">
        <f>IF($D341="",0,COUNTIF($A$4:$A$810,$A341))</f>
        <v>0</v>
      </c>
      <c r="G341" s="120">
        <f>IF($D341="","",IFERROR(LOOKUP(2,1/(($A$4:$A$810=$A341)*($E$4:$E$810="Win")),$D$4:$D$810),"(no winner)"))</f>
        <v>0</v>
      </c>
      <c r="H341" s="121">
        <f>IF($D341="",0,IFERROR(LOOKUP(2,1/(($D$3:D340=$D341)*($A$3:A340&lt;$A341)),$N$3:N340),'Guide &amp; Settings'!$C$41))</f>
        <v>0</v>
      </c>
      <c r="I341" s="122">
        <f>IF($D341="",0,IF($S341=0,0,$R341/$S341))</f>
        <v>0</v>
      </c>
      <c r="J341" s="123">
        <f>IF($D341="",0,IF($F341&lt;2,0,IF($E341="Win",('Guide &amp; Settings'!$C$42/(($F341-1)*COUNTIFS($A$4:$A$810,$A341,$E$4:$E$810,"Win")))*SUMIFS($X$4:$X$810,$A$4:$A$810,$A341,$E$4:$E$810,"Loss"),-('Guide &amp; Settings'!$C$42/($F341-1))*$X341)))</f>
        <v>0</v>
      </c>
      <c r="K341" s="123">
        <f>IF($D341="",0,'Guide &amp; Settings'!$C$43*(IF($E341="Win",1,0)-$I341))</f>
        <v>0</v>
      </c>
      <c r="L341" s="124">
        <f>IF($D341="",0,'Guide &amp; Settings'!$C$44*IF($F341&gt;=3,$F341+IF($E341="Win",$F341,0),0))</f>
        <v>0</v>
      </c>
      <c r="M341" s="123">
        <f>IF($D341="",0,$J341+$K341+$L341)</f>
        <v>0</v>
      </c>
      <c r="N341" s="121">
        <f>IF($D341="",0,$H341+$M341)</f>
        <v>0</v>
      </c>
      <c r="O341" s="120" t="str">
        <f>IF($D341="","",IF(COUNTIFS($A$4:$A$810,$A341,$E$4:$E$810,"Win")=0,"need a winner",IF(COUNTIFS($A$4:$A$810,$A341,$E$4:$E$810,"Loss")=0,"need a loser",IF(COUNTIFS($A$4:$A$810,$A341,$D$4:$D$810,$D341)&gt;1,"duplicate player","OK"))))</f>
      </c>
      <c r="P341">
        <f>IF($D341="",0,IFERROR(SUMIFS($H$4:$H$810,$A$4:$A$810,$A341,$E$4:$E$810,"Win")/COUNTIFS($A$4:$A$810,$A341,$E$4:$E$810,"Win"),0))</f>
        <v>0</v>
      </c>
      <c r="Q341">
        <f>IF($D341="",0,1/(1+10^(($P341-$H341)/400)))</f>
        <v>0</v>
      </c>
      <c r="R341">
        <f>IF($D341="",0,(COUNTIFS($D$4:$D$810,$D341,$C$4:$C$810,$C341,$E$4:$E$810,"Win",$A$4:$A$810,"&lt;"&amp;$A341)+1)/(COUNTIFS($D$4:$D$810,$D341,$C$4:$C$810,$C341,$A$4:$A$810,"&lt;"&amp;$A341)+2))</f>
        <v>0</v>
      </c>
      <c r="S341">
        <f>IF($D341="",0,SUMIFS($R$4:$R$810,$A$4:$A$810,$A341))</f>
        <v>0</v>
      </c>
      <c r="T341" s="88">
        <f>IF($D341="",0,COUNTIFS($D$4:$D$810,$D341,$C$4:$C$810,$C341,$A$4:$A$810,"&lt;"&amp;$A341))</f>
        <v>0</v>
      </c>
      <c r="U341" s="125">
        <f>IF($D341="",0,IFERROR(LOOKUP(2,1/(($D$3:D340=$D341)*($C$3:C340=$C341)*($A$3:A340&lt;$A341)),$AB$3:AB340),1000))</f>
        <v>0</v>
      </c>
      <c r="V341" s="125">
        <f>IF($D341="",0,$U341*($T341/($T341+5))+$H341*(1-$T341/($T341+5)))</f>
        <v>0</v>
      </c>
      <c r="W341">
        <f>IF($D341="",0,IFERROR(SUMIFS($V$4:$V$810,$A$4:$A$810,$A341,$E$4:$E$810,"Win")/COUNTIFS($A$4:$A$810,$A341,$E$4:$E$810,"Win"),0))</f>
        <v>0</v>
      </c>
      <c r="X341">
        <f>IF($D341="",0,1/(1+10^(($W341-$V341)/400)))</f>
        <v>0</v>
      </c>
      <c r="Y341">
        <f>IF($D341="",0,IFERROR(SUMIFS($U$4:$U$810,$A$4:$A$810,$A341,$E$4:$E$810,"Win")/COUNTIFS($A$4:$A$810,$A341,$E$4:$E$810,"Win"),0))</f>
        <v>0</v>
      </c>
      <c r="Z341">
        <f>IF($D341="",0,1/(1+10^(($Y341-$U341)/400)))</f>
        <v>0</v>
      </c>
      <c r="AA341">
        <f>IF($D341="",0,IF($F341&lt;2,0,IF($E341="Win",('Guide &amp; Settings'!$C$42/(($F341-1)*COUNTIFS($A$4:$A$810,$A341,$E$4:$E$810,"Win")))*SUMIFS($Z$4:$Z$810,$A$4:$A$810,$A341,$E$4:$E$810,"Loss"),-('Guide &amp; Settings'!$C$42/($F341-1))*$Z341)))</f>
        <v>0</v>
      </c>
      <c r="AB341" s="125">
        <f>IF($D341="",0,$U341+$AA341)</f>
        <v>0</v>
      </c>
      <c r="AC341" s="125" t="str">
        <f>IF($D341="","",IF(SUMPRODUCT(MAX(($D$4:$D$810=$D341)*($B$4:$B$810&lt;$B341)*$B$4:$B$810))=0,0,MAX(($B341-MAX(SUMPRODUCT(MAX(($D$4:$D$810=$D341)*($B$4:$B$810&lt;$B341)*$B$4:$B$810)),'Guide &amp; Settings'!$C$50))/7-'Guide &amp; Settings'!$C$48,0)*'Guide &amp; Settings'!$C$49))</f>
      </c>
    </row>
    <row r="342" spans="1:29">
      <c r="A342" s="116"/>
      <c r="B342" s="117"/>
      <c r="C342" s="118"/>
      <c r="D342" s="118"/>
      <c r="E342" s="116"/>
      <c r="F342" s="119">
        <f>IF($D342="",0,COUNTIF($A$4:$A$810,$A342))</f>
        <v>0</v>
      </c>
      <c r="G342" s="120">
        <f>IF($D342="","",IFERROR(LOOKUP(2,1/(($A$4:$A$810=$A342)*($E$4:$E$810="Win")),$D$4:$D$810),"(no winner)"))</f>
        <v>0</v>
      </c>
      <c r="H342" s="121">
        <f>IF($D342="",0,IFERROR(LOOKUP(2,1/(($D$3:D341=$D342)*($A$3:A341&lt;$A342)),$N$3:N341),'Guide &amp; Settings'!$C$41))</f>
        <v>0</v>
      </c>
      <c r="I342" s="122">
        <f>IF($D342="",0,IF($S342=0,0,$R342/$S342))</f>
        <v>0</v>
      </c>
      <c r="J342" s="123">
        <f>IF($D342="",0,IF($F342&lt;2,0,IF($E342="Win",('Guide &amp; Settings'!$C$42/(($F342-1)*COUNTIFS($A$4:$A$810,$A342,$E$4:$E$810,"Win")))*SUMIFS($X$4:$X$810,$A$4:$A$810,$A342,$E$4:$E$810,"Loss"),-('Guide &amp; Settings'!$C$42/($F342-1))*$X342)))</f>
        <v>0</v>
      </c>
      <c r="K342" s="123">
        <f>IF($D342="",0,'Guide &amp; Settings'!$C$43*(IF($E342="Win",1,0)-$I342))</f>
        <v>0</v>
      </c>
      <c r="L342" s="124">
        <f>IF($D342="",0,'Guide &amp; Settings'!$C$44*IF($F342&gt;=3,$F342+IF($E342="Win",$F342,0),0))</f>
        <v>0</v>
      </c>
      <c r="M342" s="123">
        <f>IF($D342="",0,$J342+$K342+$L342)</f>
        <v>0</v>
      </c>
      <c r="N342" s="121">
        <f>IF($D342="",0,$H342+$M342)</f>
        <v>0</v>
      </c>
      <c r="O342" s="120" t="str">
        <f>IF($D342="","",IF(COUNTIFS($A$4:$A$810,$A342,$E$4:$E$810,"Win")=0,"need a winner",IF(COUNTIFS($A$4:$A$810,$A342,$E$4:$E$810,"Loss")=0,"need a loser",IF(COUNTIFS($A$4:$A$810,$A342,$D$4:$D$810,$D342)&gt;1,"duplicate player","OK"))))</f>
      </c>
      <c r="P342">
        <f>IF($D342="",0,IFERROR(SUMIFS($H$4:$H$810,$A$4:$A$810,$A342,$E$4:$E$810,"Win")/COUNTIFS($A$4:$A$810,$A342,$E$4:$E$810,"Win"),0))</f>
        <v>0</v>
      </c>
      <c r="Q342">
        <f>IF($D342="",0,1/(1+10^(($P342-$H342)/400)))</f>
        <v>0</v>
      </c>
      <c r="R342">
        <f>IF($D342="",0,(COUNTIFS($D$4:$D$810,$D342,$C$4:$C$810,$C342,$E$4:$E$810,"Win",$A$4:$A$810,"&lt;"&amp;$A342)+1)/(COUNTIFS($D$4:$D$810,$D342,$C$4:$C$810,$C342,$A$4:$A$810,"&lt;"&amp;$A342)+2))</f>
        <v>0</v>
      </c>
      <c r="S342">
        <f>IF($D342="",0,SUMIFS($R$4:$R$810,$A$4:$A$810,$A342))</f>
        <v>0</v>
      </c>
      <c r="T342" s="88">
        <f>IF($D342="",0,COUNTIFS($D$4:$D$810,$D342,$C$4:$C$810,$C342,$A$4:$A$810,"&lt;"&amp;$A342))</f>
        <v>0</v>
      </c>
      <c r="U342" s="125">
        <f>IF($D342="",0,IFERROR(LOOKUP(2,1/(($D$3:D341=$D342)*($C$3:C341=$C342)*($A$3:A341&lt;$A342)),$AB$3:AB341),1000))</f>
        <v>0</v>
      </c>
      <c r="V342" s="125">
        <f>IF($D342="",0,$U342*($T342/($T342+5))+$H342*(1-$T342/($T342+5)))</f>
        <v>0</v>
      </c>
      <c r="W342">
        <f>IF($D342="",0,IFERROR(SUMIFS($V$4:$V$810,$A$4:$A$810,$A342,$E$4:$E$810,"Win")/COUNTIFS($A$4:$A$810,$A342,$E$4:$E$810,"Win"),0))</f>
        <v>0</v>
      </c>
      <c r="X342">
        <f>IF($D342="",0,1/(1+10^(($W342-$V342)/400)))</f>
        <v>0</v>
      </c>
      <c r="Y342">
        <f>IF($D342="",0,IFERROR(SUMIFS($U$4:$U$810,$A$4:$A$810,$A342,$E$4:$E$810,"Win")/COUNTIFS($A$4:$A$810,$A342,$E$4:$E$810,"Win"),0))</f>
        <v>0</v>
      </c>
      <c r="Z342">
        <f>IF($D342="",0,1/(1+10^(($Y342-$U342)/400)))</f>
        <v>0</v>
      </c>
      <c r="AA342">
        <f>IF($D342="",0,IF($F342&lt;2,0,IF($E342="Win",('Guide &amp; Settings'!$C$42/(($F342-1)*COUNTIFS($A$4:$A$810,$A342,$E$4:$E$810,"Win")))*SUMIFS($Z$4:$Z$810,$A$4:$A$810,$A342,$E$4:$E$810,"Loss"),-('Guide &amp; Settings'!$C$42/($F342-1))*$Z342)))</f>
        <v>0</v>
      </c>
      <c r="AB342" s="125">
        <f>IF($D342="",0,$U342+$AA342)</f>
        <v>0</v>
      </c>
      <c r="AC342" s="125" t="str">
        <f>IF($D342="","",IF(SUMPRODUCT(MAX(($D$4:$D$810=$D342)*($B$4:$B$810&lt;$B342)*$B$4:$B$810))=0,0,MAX(($B342-MAX(SUMPRODUCT(MAX(($D$4:$D$810=$D342)*($B$4:$B$810&lt;$B342)*$B$4:$B$810)),'Guide &amp; Settings'!$C$50))/7-'Guide &amp; Settings'!$C$48,0)*'Guide &amp; Settings'!$C$49))</f>
      </c>
    </row>
    <row r="343" spans="1:29">
      <c r="A343" s="116"/>
      <c r="B343" s="117"/>
      <c r="C343" s="118"/>
      <c r="D343" s="118"/>
      <c r="E343" s="116"/>
      <c r="F343" s="119">
        <f>IF($D343="",0,COUNTIF($A$4:$A$810,$A343))</f>
        <v>0</v>
      </c>
      <c r="G343" s="120">
        <f>IF($D343="","",IFERROR(LOOKUP(2,1/(($A$4:$A$810=$A343)*($E$4:$E$810="Win")),$D$4:$D$810),"(no winner)"))</f>
        <v>0</v>
      </c>
      <c r="H343" s="121">
        <f>IF($D343="",0,IFERROR(LOOKUP(2,1/(($D$3:D342=$D343)*($A$3:A342&lt;$A343)),$N$3:N342),'Guide &amp; Settings'!$C$41))</f>
        <v>0</v>
      </c>
      <c r="I343" s="122">
        <f>IF($D343="",0,IF($S343=0,0,$R343/$S343))</f>
        <v>0</v>
      </c>
      <c r="J343" s="123">
        <f>IF($D343="",0,IF($F343&lt;2,0,IF($E343="Win",('Guide &amp; Settings'!$C$42/(($F343-1)*COUNTIFS($A$4:$A$810,$A343,$E$4:$E$810,"Win")))*SUMIFS($X$4:$X$810,$A$4:$A$810,$A343,$E$4:$E$810,"Loss"),-('Guide &amp; Settings'!$C$42/($F343-1))*$X343)))</f>
        <v>0</v>
      </c>
      <c r="K343" s="123">
        <f>IF($D343="",0,'Guide &amp; Settings'!$C$43*(IF($E343="Win",1,0)-$I343))</f>
        <v>0</v>
      </c>
      <c r="L343" s="124">
        <f>IF($D343="",0,'Guide &amp; Settings'!$C$44*IF($F343&gt;=3,$F343+IF($E343="Win",$F343,0),0))</f>
        <v>0</v>
      </c>
      <c r="M343" s="123">
        <f>IF($D343="",0,$J343+$K343+$L343)</f>
        <v>0</v>
      </c>
      <c r="N343" s="121">
        <f>IF($D343="",0,$H343+$M343)</f>
        <v>0</v>
      </c>
      <c r="O343" s="120" t="str">
        <f>IF($D343="","",IF(COUNTIFS($A$4:$A$810,$A343,$E$4:$E$810,"Win")=0,"need a winner",IF(COUNTIFS($A$4:$A$810,$A343,$E$4:$E$810,"Loss")=0,"need a loser",IF(COUNTIFS($A$4:$A$810,$A343,$D$4:$D$810,$D343)&gt;1,"duplicate player","OK"))))</f>
      </c>
      <c r="P343">
        <f>IF($D343="",0,IFERROR(SUMIFS($H$4:$H$810,$A$4:$A$810,$A343,$E$4:$E$810,"Win")/COUNTIFS($A$4:$A$810,$A343,$E$4:$E$810,"Win"),0))</f>
        <v>0</v>
      </c>
      <c r="Q343">
        <f>IF($D343="",0,1/(1+10^(($P343-$H343)/400)))</f>
        <v>0</v>
      </c>
      <c r="R343">
        <f>IF($D343="",0,(COUNTIFS($D$4:$D$810,$D343,$C$4:$C$810,$C343,$E$4:$E$810,"Win",$A$4:$A$810,"&lt;"&amp;$A343)+1)/(COUNTIFS($D$4:$D$810,$D343,$C$4:$C$810,$C343,$A$4:$A$810,"&lt;"&amp;$A343)+2))</f>
        <v>0</v>
      </c>
      <c r="S343">
        <f>IF($D343="",0,SUMIFS($R$4:$R$810,$A$4:$A$810,$A343))</f>
        <v>0</v>
      </c>
      <c r="T343" s="88">
        <f>IF($D343="",0,COUNTIFS($D$4:$D$810,$D343,$C$4:$C$810,$C343,$A$4:$A$810,"&lt;"&amp;$A343))</f>
        <v>0</v>
      </c>
      <c r="U343" s="125">
        <f>IF($D343="",0,IFERROR(LOOKUP(2,1/(($D$3:D342=$D343)*($C$3:C342=$C343)*($A$3:A342&lt;$A343)),$AB$3:AB342),1000))</f>
        <v>0</v>
      </c>
      <c r="V343" s="125">
        <f>IF($D343="",0,$U343*($T343/($T343+5))+$H343*(1-$T343/($T343+5)))</f>
        <v>0</v>
      </c>
      <c r="W343">
        <f>IF($D343="",0,IFERROR(SUMIFS($V$4:$V$810,$A$4:$A$810,$A343,$E$4:$E$810,"Win")/COUNTIFS($A$4:$A$810,$A343,$E$4:$E$810,"Win"),0))</f>
        <v>0</v>
      </c>
      <c r="X343">
        <f>IF($D343="",0,1/(1+10^(($W343-$V343)/400)))</f>
        <v>0</v>
      </c>
      <c r="Y343">
        <f>IF($D343="",0,IFERROR(SUMIFS($U$4:$U$810,$A$4:$A$810,$A343,$E$4:$E$810,"Win")/COUNTIFS($A$4:$A$810,$A343,$E$4:$E$810,"Win"),0))</f>
        <v>0</v>
      </c>
      <c r="Z343">
        <f>IF($D343="",0,1/(1+10^(($Y343-$U343)/400)))</f>
        <v>0</v>
      </c>
      <c r="AA343">
        <f>IF($D343="",0,IF($F343&lt;2,0,IF($E343="Win",('Guide &amp; Settings'!$C$42/(($F343-1)*COUNTIFS($A$4:$A$810,$A343,$E$4:$E$810,"Win")))*SUMIFS($Z$4:$Z$810,$A$4:$A$810,$A343,$E$4:$E$810,"Loss"),-('Guide &amp; Settings'!$C$42/($F343-1))*$Z343)))</f>
        <v>0</v>
      </c>
      <c r="AB343" s="125">
        <f>IF($D343="",0,$U343+$AA343)</f>
        <v>0</v>
      </c>
      <c r="AC343" s="125" t="str">
        <f>IF($D343="","",IF(SUMPRODUCT(MAX(($D$4:$D$810=$D343)*($B$4:$B$810&lt;$B343)*$B$4:$B$810))=0,0,MAX(($B343-MAX(SUMPRODUCT(MAX(($D$4:$D$810=$D343)*($B$4:$B$810&lt;$B343)*$B$4:$B$810)),'Guide &amp; Settings'!$C$50))/7-'Guide &amp; Settings'!$C$48,0)*'Guide &amp; Settings'!$C$49))</f>
      </c>
    </row>
    <row r="344" spans="1:29">
      <c r="A344" s="116"/>
      <c r="B344" s="117"/>
      <c r="C344" s="118"/>
      <c r="D344" s="118"/>
      <c r="E344" s="116"/>
      <c r="F344" s="119">
        <f>IF($D344="",0,COUNTIF($A$4:$A$810,$A344))</f>
        <v>0</v>
      </c>
      <c r="G344" s="120">
        <f>IF($D344="","",IFERROR(LOOKUP(2,1/(($A$4:$A$810=$A344)*($E$4:$E$810="Win")),$D$4:$D$810),"(no winner)"))</f>
        <v>0</v>
      </c>
      <c r="H344" s="121">
        <f>IF($D344="",0,IFERROR(LOOKUP(2,1/(($D$3:D343=$D344)*($A$3:A343&lt;$A344)),$N$3:N343),'Guide &amp; Settings'!$C$41))</f>
        <v>0</v>
      </c>
      <c r="I344" s="122">
        <f>IF($D344="",0,IF($S344=0,0,$R344/$S344))</f>
        <v>0</v>
      </c>
      <c r="J344" s="123">
        <f>IF($D344="",0,IF($F344&lt;2,0,IF($E344="Win",('Guide &amp; Settings'!$C$42/(($F344-1)*COUNTIFS($A$4:$A$810,$A344,$E$4:$E$810,"Win")))*SUMIFS($X$4:$X$810,$A$4:$A$810,$A344,$E$4:$E$810,"Loss"),-('Guide &amp; Settings'!$C$42/($F344-1))*$X344)))</f>
        <v>0</v>
      </c>
      <c r="K344" s="123">
        <f>IF($D344="",0,'Guide &amp; Settings'!$C$43*(IF($E344="Win",1,0)-$I344))</f>
        <v>0</v>
      </c>
      <c r="L344" s="124">
        <f>IF($D344="",0,'Guide &amp; Settings'!$C$44*IF($F344&gt;=3,$F344+IF($E344="Win",$F344,0),0))</f>
        <v>0</v>
      </c>
      <c r="M344" s="123">
        <f>IF($D344="",0,$J344+$K344+$L344)</f>
        <v>0</v>
      </c>
      <c r="N344" s="121">
        <f>IF($D344="",0,$H344+$M344)</f>
        <v>0</v>
      </c>
      <c r="O344" s="120" t="str">
        <f>IF($D344="","",IF(COUNTIFS($A$4:$A$810,$A344,$E$4:$E$810,"Win")=0,"need a winner",IF(COUNTIFS($A$4:$A$810,$A344,$E$4:$E$810,"Loss")=0,"need a loser",IF(COUNTIFS($A$4:$A$810,$A344,$D$4:$D$810,$D344)&gt;1,"duplicate player","OK"))))</f>
      </c>
      <c r="P344">
        <f>IF($D344="",0,IFERROR(SUMIFS($H$4:$H$810,$A$4:$A$810,$A344,$E$4:$E$810,"Win")/COUNTIFS($A$4:$A$810,$A344,$E$4:$E$810,"Win"),0))</f>
        <v>0</v>
      </c>
      <c r="Q344">
        <f>IF($D344="",0,1/(1+10^(($P344-$H344)/400)))</f>
        <v>0</v>
      </c>
      <c r="R344">
        <f>IF($D344="",0,(COUNTIFS($D$4:$D$810,$D344,$C$4:$C$810,$C344,$E$4:$E$810,"Win",$A$4:$A$810,"&lt;"&amp;$A344)+1)/(COUNTIFS($D$4:$D$810,$D344,$C$4:$C$810,$C344,$A$4:$A$810,"&lt;"&amp;$A344)+2))</f>
        <v>0</v>
      </c>
      <c r="S344">
        <f>IF($D344="",0,SUMIFS($R$4:$R$810,$A$4:$A$810,$A344))</f>
        <v>0</v>
      </c>
      <c r="T344" s="88">
        <f>IF($D344="",0,COUNTIFS($D$4:$D$810,$D344,$C$4:$C$810,$C344,$A$4:$A$810,"&lt;"&amp;$A344))</f>
        <v>0</v>
      </c>
      <c r="U344" s="125">
        <f>IF($D344="",0,IFERROR(LOOKUP(2,1/(($D$3:D343=$D344)*($C$3:C343=$C344)*($A$3:A343&lt;$A344)),$AB$3:AB343),1000))</f>
        <v>0</v>
      </c>
      <c r="V344" s="125">
        <f>IF($D344="",0,$U344*($T344/($T344+5))+$H344*(1-$T344/($T344+5)))</f>
        <v>0</v>
      </c>
      <c r="W344">
        <f>IF($D344="",0,IFERROR(SUMIFS($V$4:$V$810,$A$4:$A$810,$A344,$E$4:$E$810,"Win")/COUNTIFS($A$4:$A$810,$A344,$E$4:$E$810,"Win"),0))</f>
        <v>0</v>
      </c>
      <c r="X344">
        <f>IF($D344="",0,1/(1+10^(($W344-$V344)/400)))</f>
        <v>0</v>
      </c>
      <c r="Y344">
        <f>IF($D344="",0,IFERROR(SUMIFS($U$4:$U$810,$A$4:$A$810,$A344,$E$4:$E$810,"Win")/COUNTIFS($A$4:$A$810,$A344,$E$4:$E$810,"Win"),0))</f>
        <v>0</v>
      </c>
      <c r="Z344">
        <f>IF($D344="",0,1/(1+10^(($Y344-$U344)/400)))</f>
        <v>0</v>
      </c>
      <c r="AA344">
        <f>IF($D344="",0,IF($F344&lt;2,0,IF($E344="Win",('Guide &amp; Settings'!$C$42/(($F344-1)*COUNTIFS($A$4:$A$810,$A344,$E$4:$E$810,"Win")))*SUMIFS($Z$4:$Z$810,$A$4:$A$810,$A344,$E$4:$E$810,"Loss"),-('Guide &amp; Settings'!$C$42/($F344-1))*$Z344)))</f>
        <v>0</v>
      </c>
      <c r="AB344" s="125">
        <f>IF($D344="",0,$U344+$AA344)</f>
        <v>0</v>
      </c>
      <c r="AC344" s="125" t="str">
        <f>IF($D344="","",IF(SUMPRODUCT(MAX(($D$4:$D$810=$D344)*($B$4:$B$810&lt;$B344)*$B$4:$B$810))=0,0,MAX(($B344-MAX(SUMPRODUCT(MAX(($D$4:$D$810=$D344)*($B$4:$B$810&lt;$B344)*$B$4:$B$810)),'Guide &amp; Settings'!$C$50))/7-'Guide &amp; Settings'!$C$48,0)*'Guide &amp; Settings'!$C$49))</f>
      </c>
    </row>
    <row r="345" spans="1:29">
      <c r="A345" s="116"/>
      <c r="B345" s="117"/>
      <c r="C345" s="118"/>
      <c r="D345" s="118"/>
      <c r="E345" s="116"/>
      <c r="F345" s="119">
        <f>IF($D345="",0,COUNTIF($A$4:$A$810,$A345))</f>
        <v>0</v>
      </c>
      <c r="G345" s="120">
        <f>IF($D345="","",IFERROR(LOOKUP(2,1/(($A$4:$A$810=$A345)*($E$4:$E$810="Win")),$D$4:$D$810),"(no winner)"))</f>
        <v>0</v>
      </c>
      <c r="H345" s="121">
        <f>IF($D345="",0,IFERROR(LOOKUP(2,1/(($D$3:D344=$D345)*($A$3:A344&lt;$A345)),$N$3:N344),'Guide &amp; Settings'!$C$41))</f>
        <v>0</v>
      </c>
      <c r="I345" s="122">
        <f>IF($D345="",0,IF($S345=0,0,$R345/$S345))</f>
        <v>0</v>
      </c>
      <c r="J345" s="123">
        <f>IF($D345="",0,IF($F345&lt;2,0,IF($E345="Win",('Guide &amp; Settings'!$C$42/(($F345-1)*COUNTIFS($A$4:$A$810,$A345,$E$4:$E$810,"Win")))*SUMIFS($X$4:$X$810,$A$4:$A$810,$A345,$E$4:$E$810,"Loss"),-('Guide &amp; Settings'!$C$42/($F345-1))*$X345)))</f>
        <v>0</v>
      </c>
      <c r="K345" s="123">
        <f>IF($D345="",0,'Guide &amp; Settings'!$C$43*(IF($E345="Win",1,0)-$I345))</f>
        <v>0</v>
      </c>
      <c r="L345" s="124">
        <f>IF($D345="",0,'Guide &amp; Settings'!$C$44*IF($F345&gt;=3,$F345+IF($E345="Win",$F345,0),0))</f>
        <v>0</v>
      </c>
      <c r="M345" s="123">
        <f>IF($D345="",0,$J345+$K345+$L345)</f>
        <v>0</v>
      </c>
      <c r="N345" s="121">
        <f>IF($D345="",0,$H345+$M345)</f>
        <v>0</v>
      </c>
      <c r="O345" s="120" t="str">
        <f>IF($D345="","",IF(COUNTIFS($A$4:$A$810,$A345,$E$4:$E$810,"Win")=0,"need a winner",IF(COUNTIFS($A$4:$A$810,$A345,$E$4:$E$810,"Loss")=0,"need a loser",IF(COUNTIFS($A$4:$A$810,$A345,$D$4:$D$810,$D345)&gt;1,"duplicate player","OK"))))</f>
      </c>
      <c r="P345">
        <f>IF($D345="",0,IFERROR(SUMIFS($H$4:$H$810,$A$4:$A$810,$A345,$E$4:$E$810,"Win")/COUNTIFS($A$4:$A$810,$A345,$E$4:$E$810,"Win"),0))</f>
        <v>0</v>
      </c>
      <c r="Q345">
        <f>IF($D345="",0,1/(1+10^(($P345-$H345)/400)))</f>
        <v>0</v>
      </c>
      <c r="R345">
        <f>IF($D345="",0,(COUNTIFS($D$4:$D$810,$D345,$C$4:$C$810,$C345,$E$4:$E$810,"Win",$A$4:$A$810,"&lt;"&amp;$A345)+1)/(COUNTIFS($D$4:$D$810,$D345,$C$4:$C$810,$C345,$A$4:$A$810,"&lt;"&amp;$A345)+2))</f>
        <v>0</v>
      </c>
      <c r="S345">
        <f>IF($D345="",0,SUMIFS($R$4:$R$810,$A$4:$A$810,$A345))</f>
        <v>0</v>
      </c>
      <c r="T345" s="88">
        <f>IF($D345="",0,COUNTIFS($D$4:$D$810,$D345,$C$4:$C$810,$C345,$A$4:$A$810,"&lt;"&amp;$A345))</f>
        <v>0</v>
      </c>
      <c r="U345" s="125">
        <f>IF($D345="",0,IFERROR(LOOKUP(2,1/(($D$3:D344=$D345)*($C$3:C344=$C345)*($A$3:A344&lt;$A345)),$AB$3:AB344),1000))</f>
        <v>0</v>
      </c>
      <c r="V345" s="125">
        <f>IF($D345="",0,$U345*($T345/($T345+5))+$H345*(1-$T345/($T345+5)))</f>
        <v>0</v>
      </c>
      <c r="W345">
        <f>IF($D345="",0,IFERROR(SUMIFS($V$4:$V$810,$A$4:$A$810,$A345,$E$4:$E$810,"Win")/COUNTIFS($A$4:$A$810,$A345,$E$4:$E$810,"Win"),0))</f>
        <v>0</v>
      </c>
      <c r="X345">
        <f>IF($D345="",0,1/(1+10^(($W345-$V345)/400)))</f>
        <v>0</v>
      </c>
      <c r="Y345">
        <f>IF($D345="",0,IFERROR(SUMIFS($U$4:$U$810,$A$4:$A$810,$A345,$E$4:$E$810,"Win")/COUNTIFS($A$4:$A$810,$A345,$E$4:$E$810,"Win"),0))</f>
        <v>0</v>
      </c>
      <c r="Z345">
        <f>IF($D345="",0,1/(1+10^(($Y345-$U345)/400)))</f>
        <v>0</v>
      </c>
      <c r="AA345">
        <f>IF($D345="",0,IF($F345&lt;2,0,IF($E345="Win",('Guide &amp; Settings'!$C$42/(($F345-1)*COUNTIFS($A$4:$A$810,$A345,$E$4:$E$810,"Win")))*SUMIFS($Z$4:$Z$810,$A$4:$A$810,$A345,$E$4:$E$810,"Loss"),-('Guide &amp; Settings'!$C$42/($F345-1))*$Z345)))</f>
        <v>0</v>
      </c>
      <c r="AB345" s="125">
        <f>IF($D345="",0,$U345+$AA345)</f>
        <v>0</v>
      </c>
      <c r="AC345" s="125" t="str">
        <f>IF($D345="","",IF(SUMPRODUCT(MAX(($D$4:$D$810=$D345)*($B$4:$B$810&lt;$B345)*$B$4:$B$810))=0,0,MAX(($B345-MAX(SUMPRODUCT(MAX(($D$4:$D$810=$D345)*($B$4:$B$810&lt;$B345)*$B$4:$B$810)),'Guide &amp; Settings'!$C$50))/7-'Guide &amp; Settings'!$C$48,0)*'Guide &amp; Settings'!$C$49))</f>
      </c>
    </row>
    <row r="346" spans="1:29">
      <c r="A346" s="116"/>
      <c r="B346" s="117"/>
      <c r="C346" s="118"/>
      <c r="D346" s="118"/>
      <c r="E346" s="116"/>
      <c r="F346" s="119">
        <f>IF($D346="",0,COUNTIF($A$4:$A$810,$A346))</f>
        <v>0</v>
      </c>
      <c r="G346" s="120">
        <f>IF($D346="","",IFERROR(LOOKUP(2,1/(($A$4:$A$810=$A346)*($E$4:$E$810="Win")),$D$4:$D$810),"(no winner)"))</f>
        <v>0</v>
      </c>
      <c r="H346" s="121">
        <f>IF($D346="",0,IFERROR(LOOKUP(2,1/(($D$3:D345=$D346)*($A$3:A345&lt;$A346)),$N$3:N345),'Guide &amp; Settings'!$C$41))</f>
        <v>0</v>
      </c>
      <c r="I346" s="122">
        <f>IF($D346="",0,IF($S346=0,0,$R346/$S346))</f>
        <v>0</v>
      </c>
      <c r="J346" s="123">
        <f>IF($D346="",0,IF($F346&lt;2,0,IF($E346="Win",('Guide &amp; Settings'!$C$42/(($F346-1)*COUNTIFS($A$4:$A$810,$A346,$E$4:$E$810,"Win")))*SUMIFS($X$4:$X$810,$A$4:$A$810,$A346,$E$4:$E$810,"Loss"),-('Guide &amp; Settings'!$C$42/($F346-1))*$X346)))</f>
        <v>0</v>
      </c>
      <c r="K346" s="123">
        <f>IF($D346="",0,'Guide &amp; Settings'!$C$43*(IF($E346="Win",1,0)-$I346))</f>
        <v>0</v>
      </c>
      <c r="L346" s="124">
        <f>IF($D346="",0,'Guide &amp; Settings'!$C$44*IF($F346&gt;=3,$F346+IF($E346="Win",$F346,0),0))</f>
        <v>0</v>
      </c>
      <c r="M346" s="123">
        <f>IF($D346="",0,$J346+$K346+$L346)</f>
        <v>0</v>
      </c>
      <c r="N346" s="121">
        <f>IF($D346="",0,$H346+$M346)</f>
        <v>0</v>
      </c>
      <c r="O346" s="120" t="str">
        <f>IF($D346="","",IF(COUNTIFS($A$4:$A$810,$A346,$E$4:$E$810,"Win")=0,"need a winner",IF(COUNTIFS($A$4:$A$810,$A346,$E$4:$E$810,"Loss")=0,"need a loser",IF(COUNTIFS($A$4:$A$810,$A346,$D$4:$D$810,$D346)&gt;1,"duplicate player","OK"))))</f>
      </c>
      <c r="P346">
        <f>IF($D346="",0,IFERROR(SUMIFS($H$4:$H$810,$A$4:$A$810,$A346,$E$4:$E$810,"Win")/COUNTIFS($A$4:$A$810,$A346,$E$4:$E$810,"Win"),0))</f>
        <v>0</v>
      </c>
      <c r="Q346">
        <f>IF($D346="",0,1/(1+10^(($P346-$H346)/400)))</f>
        <v>0</v>
      </c>
      <c r="R346">
        <f>IF($D346="",0,(COUNTIFS($D$4:$D$810,$D346,$C$4:$C$810,$C346,$E$4:$E$810,"Win",$A$4:$A$810,"&lt;"&amp;$A346)+1)/(COUNTIFS($D$4:$D$810,$D346,$C$4:$C$810,$C346,$A$4:$A$810,"&lt;"&amp;$A346)+2))</f>
        <v>0</v>
      </c>
      <c r="S346">
        <f>IF($D346="",0,SUMIFS($R$4:$R$810,$A$4:$A$810,$A346))</f>
        <v>0</v>
      </c>
      <c r="T346" s="88">
        <f>IF($D346="",0,COUNTIFS($D$4:$D$810,$D346,$C$4:$C$810,$C346,$A$4:$A$810,"&lt;"&amp;$A346))</f>
        <v>0</v>
      </c>
      <c r="U346" s="125">
        <f>IF($D346="",0,IFERROR(LOOKUP(2,1/(($D$3:D345=$D346)*($C$3:C345=$C346)*($A$3:A345&lt;$A346)),$AB$3:AB345),1000))</f>
        <v>0</v>
      </c>
      <c r="V346" s="125">
        <f>IF($D346="",0,$U346*($T346/($T346+5))+$H346*(1-$T346/($T346+5)))</f>
        <v>0</v>
      </c>
      <c r="W346">
        <f>IF($D346="",0,IFERROR(SUMIFS($V$4:$V$810,$A$4:$A$810,$A346,$E$4:$E$810,"Win")/COUNTIFS($A$4:$A$810,$A346,$E$4:$E$810,"Win"),0))</f>
        <v>0</v>
      </c>
      <c r="X346">
        <f>IF($D346="",0,1/(1+10^(($W346-$V346)/400)))</f>
        <v>0</v>
      </c>
      <c r="Y346">
        <f>IF($D346="",0,IFERROR(SUMIFS($U$4:$U$810,$A$4:$A$810,$A346,$E$4:$E$810,"Win")/COUNTIFS($A$4:$A$810,$A346,$E$4:$E$810,"Win"),0))</f>
        <v>0</v>
      </c>
      <c r="Z346">
        <f>IF($D346="",0,1/(1+10^(($Y346-$U346)/400)))</f>
        <v>0</v>
      </c>
      <c r="AA346">
        <f>IF($D346="",0,IF($F346&lt;2,0,IF($E346="Win",('Guide &amp; Settings'!$C$42/(($F346-1)*COUNTIFS($A$4:$A$810,$A346,$E$4:$E$810,"Win")))*SUMIFS($Z$4:$Z$810,$A$4:$A$810,$A346,$E$4:$E$810,"Loss"),-('Guide &amp; Settings'!$C$42/($F346-1))*$Z346)))</f>
        <v>0</v>
      </c>
      <c r="AB346" s="125">
        <f>IF($D346="",0,$U346+$AA346)</f>
        <v>0</v>
      </c>
      <c r="AC346" s="125" t="str">
        <f>IF($D346="","",IF(SUMPRODUCT(MAX(($D$4:$D$810=$D346)*($B$4:$B$810&lt;$B346)*$B$4:$B$810))=0,0,MAX(($B346-MAX(SUMPRODUCT(MAX(($D$4:$D$810=$D346)*($B$4:$B$810&lt;$B346)*$B$4:$B$810)),'Guide &amp; Settings'!$C$50))/7-'Guide &amp; Settings'!$C$48,0)*'Guide &amp; Settings'!$C$49))</f>
      </c>
    </row>
    <row r="347" spans="1:29">
      <c r="A347" s="116"/>
      <c r="B347" s="117"/>
      <c r="C347" s="118"/>
      <c r="D347" s="118"/>
      <c r="E347" s="116"/>
      <c r="F347" s="119">
        <f>IF($D347="",0,COUNTIF($A$4:$A$810,$A347))</f>
        <v>0</v>
      </c>
      <c r="G347" s="120">
        <f>IF($D347="","",IFERROR(LOOKUP(2,1/(($A$4:$A$810=$A347)*($E$4:$E$810="Win")),$D$4:$D$810),"(no winner)"))</f>
        <v>0</v>
      </c>
      <c r="H347" s="121">
        <f>IF($D347="",0,IFERROR(LOOKUP(2,1/(($D$3:D346=$D347)*($A$3:A346&lt;$A347)),$N$3:N346),'Guide &amp; Settings'!$C$41))</f>
        <v>0</v>
      </c>
      <c r="I347" s="122">
        <f>IF($D347="",0,IF($S347=0,0,$R347/$S347))</f>
        <v>0</v>
      </c>
      <c r="J347" s="123">
        <f>IF($D347="",0,IF($F347&lt;2,0,IF($E347="Win",('Guide &amp; Settings'!$C$42/(($F347-1)*COUNTIFS($A$4:$A$810,$A347,$E$4:$E$810,"Win")))*SUMIFS($X$4:$X$810,$A$4:$A$810,$A347,$E$4:$E$810,"Loss"),-('Guide &amp; Settings'!$C$42/($F347-1))*$X347)))</f>
        <v>0</v>
      </c>
      <c r="K347" s="123">
        <f>IF($D347="",0,'Guide &amp; Settings'!$C$43*(IF($E347="Win",1,0)-$I347))</f>
        <v>0</v>
      </c>
      <c r="L347" s="124">
        <f>IF($D347="",0,'Guide &amp; Settings'!$C$44*IF($F347&gt;=3,$F347+IF($E347="Win",$F347,0),0))</f>
        <v>0</v>
      </c>
      <c r="M347" s="123">
        <f>IF($D347="",0,$J347+$K347+$L347)</f>
        <v>0</v>
      </c>
      <c r="N347" s="121">
        <f>IF($D347="",0,$H347+$M347)</f>
        <v>0</v>
      </c>
      <c r="O347" s="120" t="str">
        <f>IF($D347="","",IF(COUNTIFS($A$4:$A$810,$A347,$E$4:$E$810,"Win")=0,"need a winner",IF(COUNTIFS($A$4:$A$810,$A347,$E$4:$E$810,"Loss")=0,"need a loser",IF(COUNTIFS($A$4:$A$810,$A347,$D$4:$D$810,$D347)&gt;1,"duplicate player","OK"))))</f>
      </c>
      <c r="P347">
        <f>IF($D347="",0,IFERROR(SUMIFS($H$4:$H$810,$A$4:$A$810,$A347,$E$4:$E$810,"Win")/COUNTIFS($A$4:$A$810,$A347,$E$4:$E$810,"Win"),0))</f>
        <v>0</v>
      </c>
      <c r="Q347">
        <f>IF($D347="",0,1/(1+10^(($P347-$H347)/400)))</f>
        <v>0</v>
      </c>
      <c r="R347">
        <f>IF($D347="",0,(COUNTIFS($D$4:$D$810,$D347,$C$4:$C$810,$C347,$E$4:$E$810,"Win",$A$4:$A$810,"&lt;"&amp;$A347)+1)/(COUNTIFS($D$4:$D$810,$D347,$C$4:$C$810,$C347,$A$4:$A$810,"&lt;"&amp;$A347)+2))</f>
        <v>0</v>
      </c>
      <c r="S347">
        <f>IF($D347="",0,SUMIFS($R$4:$R$810,$A$4:$A$810,$A347))</f>
        <v>0</v>
      </c>
      <c r="T347" s="88">
        <f>IF($D347="",0,COUNTIFS($D$4:$D$810,$D347,$C$4:$C$810,$C347,$A$4:$A$810,"&lt;"&amp;$A347))</f>
        <v>0</v>
      </c>
      <c r="U347" s="125">
        <f>IF($D347="",0,IFERROR(LOOKUP(2,1/(($D$3:D346=$D347)*($C$3:C346=$C347)*($A$3:A346&lt;$A347)),$AB$3:AB346),1000))</f>
        <v>0</v>
      </c>
      <c r="V347" s="125">
        <f>IF($D347="",0,$U347*($T347/($T347+5))+$H347*(1-$T347/($T347+5)))</f>
        <v>0</v>
      </c>
      <c r="W347">
        <f>IF($D347="",0,IFERROR(SUMIFS($V$4:$V$810,$A$4:$A$810,$A347,$E$4:$E$810,"Win")/COUNTIFS($A$4:$A$810,$A347,$E$4:$E$810,"Win"),0))</f>
        <v>0</v>
      </c>
      <c r="X347">
        <f>IF($D347="",0,1/(1+10^(($W347-$V347)/400)))</f>
        <v>0</v>
      </c>
      <c r="Y347">
        <f>IF($D347="",0,IFERROR(SUMIFS($U$4:$U$810,$A$4:$A$810,$A347,$E$4:$E$810,"Win")/COUNTIFS($A$4:$A$810,$A347,$E$4:$E$810,"Win"),0))</f>
        <v>0</v>
      </c>
      <c r="Z347">
        <f>IF($D347="",0,1/(1+10^(($Y347-$U347)/400)))</f>
        <v>0</v>
      </c>
      <c r="AA347">
        <f>IF($D347="",0,IF($F347&lt;2,0,IF($E347="Win",('Guide &amp; Settings'!$C$42/(($F347-1)*COUNTIFS($A$4:$A$810,$A347,$E$4:$E$810,"Win")))*SUMIFS($Z$4:$Z$810,$A$4:$A$810,$A347,$E$4:$E$810,"Loss"),-('Guide &amp; Settings'!$C$42/($F347-1))*$Z347)))</f>
        <v>0</v>
      </c>
      <c r="AB347" s="125">
        <f>IF($D347="",0,$U347+$AA347)</f>
        <v>0</v>
      </c>
      <c r="AC347" s="125" t="str">
        <f>IF($D347="","",IF(SUMPRODUCT(MAX(($D$4:$D$810=$D347)*($B$4:$B$810&lt;$B347)*$B$4:$B$810))=0,0,MAX(($B347-MAX(SUMPRODUCT(MAX(($D$4:$D$810=$D347)*($B$4:$B$810&lt;$B347)*$B$4:$B$810)),'Guide &amp; Settings'!$C$50))/7-'Guide &amp; Settings'!$C$48,0)*'Guide &amp; Settings'!$C$49))</f>
      </c>
    </row>
    <row r="348" spans="1:29">
      <c r="A348" s="116"/>
      <c r="B348" s="117"/>
      <c r="C348" s="118"/>
      <c r="D348" s="118"/>
      <c r="E348" s="116"/>
      <c r="F348" s="119">
        <f>IF($D348="",0,COUNTIF($A$4:$A$810,$A348))</f>
        <v>0</v>
      </c>
      <c r="G348" s="120">
        <f>IF($D348="","",IFERROR(LOOKUP(2,1/(($A$4:$A$810=$A348)*($E$4:$E$810="Win")),$D$4:$D$810),"(no winner)"))</f>
        <v>0</v>
      </c>
      <c r="H348" s="121">
        <f>IF($D348="",0,IFERROR(LOOKUP(2,1/(($D$3:D347=$D348)*($A$3:A347&lt;$A348)),$N$3:N347),'Guide &amp; Settings'!$C$41))</f>
        <v>0</v>
      </c>
      <c r="I348" s="122">
        <f>IF($D348="",0,IF($S348=0,0,$R348/$S348))</f>
        <v>0</v>
      </c>
      <c r="J348" s="123">
        <f>IF($D348="",0,IF($F348&lt;2,0,IF($E348="Win",('Guide &amp; Settings'!$C$42/(($F348-1)*COUNTIFS($A$4:$A$810,$A348,$E$4:$E$810,"Win")))*SUMIFS($X$4:$X$810,$A$4:$A$810,$A348,$E$4:$E$810,"Loss"),-('Guide &amp; Settings'!$C$42/($F348-1))*$X348)))</f>
        <v>0</v>
      </c>
      <c r="K348" s="123">
        <f>IF($D348="",0,'Guide &amp; Settings'!$C$43*(IF($E348="Win",1,0)-$I348))</f>
        <v>0</v>
      </c>
      <c r="L348" s="124">
        <f>IF($D348="",0,'Guide &amp; Settings'!$C$44*IF($F348&gt;=3,$F348+IF($E348="Win",$F348,0),0))</f>
        <v>0</v>
      </c>
      <c r="M348" s="123">
        <f>IF($D348="",0,$J348+$K348+$L348)</f>
        <v>0</v>
      </c>
      <c r="N348" s="121">
        <f>IF($D348="",0,$H348+$M348)</f>
        <v>0</v>
      </c>
      <c r="O348" s="120" t="str">
        <f>IF($D348="","",IF(COUNTIFS($A$4:$A$810,$A348,$E$4:$E$810,"Win")=0,"need a winner",IF(COUNTIFS($A$4:$A$810,$A348,$E$4:$E$810,"Loss")=0,"need a loser",IF(COUNTIFS($A$4:$A$810,$A348,$D$4:$D$810,$D348)&gt;1,"duplicate player","OK"))))</f>
      </c>
      <c r="P348">
        <f>IF($D348="",0,IFERROR(SUMIFS($H$4:$H$810,$A$4:$A$810,$A348,$E$4:$E$810,"Win")/COUNTIFS($A$4:$A$810,$A348,$E$4:$E$810,"Win"),0))</f>
        <v>0</v>
      </c>
      <c r="Q348">
        <f>IF($D348="",0,1/(1+10^(($P348-$H348)/400)))</f>
        <v>0</v>
      </c>
      <c r="R348">
        <f>IF($D348="",0,(COUNTIFS($D$4:$D$810,$D348,$C$4:$C$810,$C348,$E$4:$E$810,"Win",$A$4:$A$810,"&lt;"&amp;$A348)+1)/(COUNTIFS($D$4:$D$810,$D348,$C$4:$C$810,$C348,$A$4:$A$810,"&lt;"&amp;$A348)+2))</f>
        <v>0</v>
      </c>
      <c r="S348">
        <f>IF($D348="",0,SUMIFS($R$4:$R$810,$A$4:$A$810,$A348))</f>
        <v>0</v>
      </c>
      <c r="T348" s="88">
        <f>IF($D348="",0,COUNTIFS($D$4:$D$810,$D348,$C$4:$C$810,$C348,$A$4:$A$810,"&lt;"&amp;$A348))</f>
        <v>0</v>
      </c>
      <c r="U348" s="125">
        <f>IF($D348="",0,IFERROR(LOOKUP(2,1/(($D$3:D347=$D348)*($C$3:C347=$C348)*($A$3:A347&lt;$A348)),$AB$3:AB347),1000))</f>
        <v>0</v>
      </c>
      <c r="V348" s="125">
        <f>IF($D348="",0,$U348*($T348/($T348+5))+$H348*(1-$T348/($T348+5)))</f>
        <v>0</v>
      </c>
      <c r="W348">
        <f>IF($D348="",0,IFERROR(SUMIFS($V$4:$V$810,$A$4:$A$810,$A348,$E$4:$E$810,"Win")/COUNTIFS($A$4:$A$810,$A348,$E$4:$E$810,"Win"),0))</f>
        <v>0</v>
      </c>
      <c r="X348">
        <f>IF($D348="",0,1/(1+10^(($W348-$V348)/400)))</f>
        <v>0</v>
      </c>
      <c r="Y348">
        <f>IF($D348="",0,IFERROR(SUMIFS($U$4:$U$810,$A$4:$A$810,$A348,$E$4:$E$810,"Win")/COUNTIFS($A$4:$A$810,$A348,$E$4:$E$810,"Win"),0))</f>
        <v>0</v>
      </c>
      <c r="Z348">
        <f>IF($D348="",0,1/(1+10^(($Y348-$U348)/400)))</f>
        <v>0</v>
      </c>
      <c r="AA348">
        <f>IF($D348="",0,IF($F348&lt;2,0,IF($E348="Win",('Guide &amp; Settings'!$C$42/(($F348-1)*COUNTIFS($A$4:$A$810,$A348,$E$4:$E$810,"Win")))*SUMIFS($Z$4:$Z$810,$A$4:$A$810,$A348,$E$4:$E$810,"Loss"),-('Guide &amp; Settings'!$C$42/($F348-1))*$Z348)))</f>
        <v>0</v>
      </c>
      <c r="AB348" s="125">
        <f>IF($D348="",0,$U348+$AA348)</f>
        <v>0</v>
      </c>
      <c r="AC348" s="125" t="str">
        <f>IF($D348="","",IF(SUMPRODUCT(MAX(($D$4:$D$810=$D348)*($B$4:$B$810&lt;$B348)*$B$4:$B$810))=0,0,MAX(($B348-MAX(SUMPRODUCT(MAX(($D$4:$D$810=$D348)*($B$4:$B$810&lt;$B348)*$B$4:$B$810)),'Guide &amp; Settings'!$C$50))/7-'Guide &amp; Settings'!$C$48,0)*'Guide &amp; Settings'!$C$49))</f>
      </c>
    </row>
    <row r="349" spans="1:29">
      <c r="A349" s="116"/>
      <c r="B349" s="117"/>
      <c r="C349" s="118"/>
      <c r="D349" s="118"/>
      <c r="E349" s="116"/>
      <c r="F349" s="119">
        <f>IF($D349="",0,COUNTIF($A$4:$A$810,$A349))</f>
        <v>0</v>
      </c>
      <c r="G349" s="120">
        <f>IF($D349="","",IFERROR(LOOKUP(2,1/(($A$4:$A$810=$A349)*($E$4:$E$810="Win")),$D$4:$D$810),"(no winner)"))</f>
        <v>0</v>
      </c>
      <c r="H349" s="121">
        <f>IF($D349="",0,IFERROR(LOOKUP(2,1/(($D$3:D348=$D349)*($A$3:A348&lt;$A349)),$N$3:N348),'Guide &amp; Settings'!$C$41))</f>
        <v>0</v>
      </c>
      <c r="I349" s="122">
        <f>IF($D349="",0,IF($S349=0,0,$R349/$S349))</f>
        <v>0</v>
      </c>
      <c r="J349" s="123">
        <f>IF($D349="",0,IF($F349&lt;2,0,IF($E349="Win",('Guide &amp; Settings'!$C$42/(($F349-1)*COUNTIFS($A$4:$A$810,$A349,$E$4:$E$810,"Win")))*SUMIFS($X$4:$X$810,$A$4:$A$810,$A349,$E$4:$E$810,"Loss"),-('Guide &amp; Settings'!$C$42/($F349-1))*$X349)))</f>
        <v>0</v>
      </c>
      <c r="K349" s="123">
        <f>IF($D349="",0,'Guide &amp; Settings'!$C$43*(IF($E349="Win",1,0)-$I349))</f>
        <v>0</v>
      </c>
      <c r="L349" s="124">
        <f>IF($D349="",0,'Guide &amp; Settings'!$C$44*IF($F349&gt;=3,$F349+IF($E349="Win",$F349,0),0))</f>
        <v>0</v>
      </c>
      <c r="M349" s="123">
        <f>IF($D349="",0,$J349+$K349+$L349)</f>
        <v>0</v>
      </c>
      <c r="N349" s="121">
        <f>IF($D349="",0,$H349+$M349)</f>
        <v>0</v>
      </c>
      <c r="O349" s="120" t="str">
        <f>IF($D349="","",IF(COUNTIFS($A$4:$A$810,$A349,$E$4:$E$810,"Win")=0,"need a winner",IF(COUNTIFS($A$4:$A$810,$A349,$E$4:$E$810,"Loss")=0,"need a loser",IF(COUNTIFS($A$4:$A$810,$A349,$D$4:$D$810,$D349)&gt;1,"duplicate player","OK"))))</f>
      </c>
      <c r="P349">
        <f>IF($D349="",0,IFERROR(SUMIFS($H$4:$H$810,$A$4:$A$810,$A349,$E$4:$E$810,"Win")/COUNTIFS($A$4:$A$810,$A349,$E$4:$E$810,"Win"),0))</f>
        <v>0</v>
      </c>
      <c r="Q349">
        <f>IF($D349="",0,1/(1+10^(($P349-$H349)/400)))</f>
        <v>0</v>
      </c>
      <c r="R349">
        <f>IF($D349="",0,(COUNTIFS($D$4:$D$810,$D349,$C$4:$C$810,$C349,$E$4:$E$810,"Win",$A$4:$A$810,"&lt;"&amp;$A349)+1)/(COUNTIFS($D$4:$D$810,$D349,$C$4:$C$810,$C349,$A$4:$A$810,"&lt;"&amp;$A349)+2))</f>
        <v>0</v>
      </c>
      <c r="S349">
        <f>IF($D349="",0,SUMIFS($R$4:$R$810,$A$4:$A$810,$A349))</f>
        <v>0</v>
      </c>
      <c r="T349" s="88">
        <f>IF($D349="",0,COUNTIFS($D$4:$D$810,$D349,$C$4:$C$810,$C349,$A$4:$A$810,"&lt;"&amp;$A349))</f>
        <v>0</v>
      </c>
      <c r="U349" s="125">
        <f>IF($D349="",0,IFERROR(LOOKUP(2,1/(($D$3:D348=$D349)*($C$3:C348=$C349)*($A$3:A348&lt;$A349)),$AB$3:AB348),1000))</f>
        <v>0</v>
      </c>
      <c r="V349" s="125">
        <f>IF($D349="",0,$U349*($T349/($T349+5))+$H349*(1-$T349/($T349+5)))</f>
        <v>0</v>
      </c>
      <c r="W349">
        <f>IF($D349="",0,IFERROR(SUMIFS($V$4:$V$810,$A$4:$A$810,$A349,$E$4:$E$810,"Win")/COUNTIFS($A$4:$A$810,$A349,$E$4:$E$810,"Win"),0))</f>
        <v>0</v>
      </c>
      <c r="X349">
        <f>IF($D349="",0,1/(1+10^(($W349-$V349)/400)))</f>
        <v>0</v>
      </c>
      <c r="Y349">
        <f>IF($D349="",0,IFERROR(SUMIFS($U$4:$U$810,$A$4:$A$810,$A349,$E$4:$E$810,"Win")/COUNTIFS($A$4:$A$810,$A349,$E$4:$E$810,"Win"),0))</f>
        <v>0</v>
      </c>
      <c r="Z349">
        <f>IF($D349="",0,1/(1+10^(($Y349-$U349)/400)))</f>
        <v>0</v>
      </c>
      <c r="AA349">
        <f>IF($D349="",0,IF($F349&lt;2,0,IF($E349="Win",('Guide &amp; Settings'!$C$42/(($F349-1)*COUNTIFS($A$4:$A$810,$A349,$E$4:$E$810,"Win")))*SUMIFS($Z$4:$Z$810,$A$4:$A$810,$A349,$E$4:$E$810,"Loss"),-('Guide &amp; Settings'!$C$42/($F349-1))*$Z349)))</f>
        <v>0</v>
      </c>
      <c r="AB349" s="125">
        <f>IF($D349="",0,$U349+$AA349)</f>
        <v>0</v>
      </c>
      <c r="AC349" s="125" t="str">
        <f>IF($D349="","",IF(SUMPRODUCT(MAX(($D$4:$D$810=$D349)*($B$4:$B$810&lt;$B349)*$B$4:$B$810))=0,0,MAX(($B349-MAX(SUMPRODUCT(MAX(($D$4:$D$810=$D349)*($B$4:$B$810&lt;$B349)*$B$4:$B$810)),'Guide &amp; Settings'!$C$50))/7-'Guide &amp; Settings'!$C$48,0)*'Guide &amp; Settings'!$C$49))</f>
      </c>
    </row>
    <row r="350" spans="1:29">
      <c r="A350" s="116"/>
      <c r="B350" s="117"/>
      <c r="C350" s="118"/>
      <c r="D350" s="118"/>
      <c r="E350" s="116"/>
      <c r="F350" s="119">
        <f>IF($D350="",0,COUNTIF($A$4:$A$810,$A350))</f>
        <v>0</v>
      </c>
      <c r="G350" s="120">
        <f>IF($D350="","",IFERROR(LOOKUP(2,1/(($A$4:$A$810=$A350)*($E$4:$E$810="Win")),$D$4:$D$810),"(no winner)"))</f>
        <v>0</v>
      </c>
      <c r="H350" s="121">
        <f>IF($D350="",0,IFERROR(LOOKUP(2,1/(($D$3:D349=$D350)*($A$3:A349&lt;$A350)),$N$3:N349),'Guide &amp; Settings'!$C$41))</f>
        <v>0</v>
      </c>
      <c r="I350" s="122">
        <f>IF($D350="",0,IF($S350=0,0,$R350/$S350))</f>
        <v>0</v>
      </c>
      <c r="J350" s="123">
        <f>IF($D350="",0,IF($F350&lt;2,0,IF($E350="Win",('Guide &amp; Settings'!$C$42/(($F350-1)*COUNTIFS($A$4:$A$810,$A350,$E$4:$E$810,"Win")))*SUMIFS($X$4:$X$810,$A$4:$A$810,$A350,$E$4:$E$810,"Loss"),-('Guide &amp; Settings'!$C$42/($F350-1))*$X350)))</f>
        <v>0</v>
      </c>
      <c r="K350" s="123">
        <f>IF($D350="",0,'Guide &amp; Settings'!$C$43*(IF($E350="Win",1,0)-$I350))</f>
        <v>0</v>
      </c>
      <c r="L350" s="124">
        <f>IF($D350="",0,'Guide &amp; Settings'!$C$44*IF($F350&gt;=3,$F350+IF($E350="Win",$F350,0),0))</f>
        <v>0</v>
      </c>
      <c r="M350" s="123">
        <f>IF($D350="",0,$J350+$K350+$L350)</f>
        <v>0</v>
      </c>
      <c r="N350" s="121">
        <f>IF($D350="",0,$H350+$M350)</f>
        <v>0</v>
      </c>
      <c r="O350" s="120" t="str">
        <f>IF($D350="","",IF(COUNTIFS($A$4:$A$810,$A350,$E$4:$E$810,"Win")=0,"need a winner",IF(COUNTIFS($A$4:$A$810,$A350,$E$4:$E$810,"Loss")=0,"need a loser",IF(COUNTIFS($A$4:$A$810,$A350,$D$4:$D$810,$D350)&gt;1,"duplicate player","OK"))))</f>
      </c>
      <c r="P350">
        <f>IF($D350="",0,IFERROR(SUMIFS($H$4:$H$810,$A$4:$A$810,$A350,$E$4:$E$810,"Win")/COUNTIFS($A$4:$A$810,$A350,$E$4:$E$810,"Win"),0))</f>
        <v>0</v>
      </c>
      <c r="Q350">
        <f>IF($D350="",0,1/(1+10^(($P350-$H350)/400)))</f>
        <v>0</v>
      </c>
      <c r="R350">
        <f>IF($D350="",0,(COUNTIFS($D$4:$D$810,$D350,$C$4:$C$810,$C350,$E$4:$E$810,"Win",$A$4:$A$810,"&lt;"&amp;$A350)+1)/(COUNTIFS($D$4:$D$810,$D350,$C$4:$C$810,$C350,$A$4:$A$810,"&lt;"&amp;$A350)+2))</f>
        <v>0</v>
      </c>
      <c r="S350">
        <f>IF($D350="",0,SUMIFS($R$4:$R$810,$A$4:$A$810,$A350))</f>
        <v>0</v>
      </c>
      <c r="T350" s="88">
        <f>IF($D350="",0,COUNTIFS($D$4:$D$810,$D350,$C$4:$C$810,$C350,$A$4:$A$810,"&lt;"&amp;$A350))</f>
        <v>0</v>
      </c>
      <c r="U350" s="125">
        <f>IF($D350="",0,IFERROR(LOOKUP(2,1/(($D$3:D349=$D350)*($C$3:C349=$C350)*($A$3:A349&lt;$A350)),$AB$3:AB349),1000))</f>
        <v>0</v>
      </c>
      <c r="V350" s="125">
        <f>IF($D350="",0,$U350*($T350/($T350+5))+$H350*(1-$T350/($T350+5)))</f>
        <v>0</v>
      </c>
      <c r="W350">
        <f>IF($D350="",0,IFERROR(SUMIFS($V$4:$V$810,$A$4:$A$810,$A350,$E$4:$E$810,"Win")/COUNTIFS($A$4:$A$810,$A350,$E$4:$E$810,"Win"),0))</f>
        <v>0</v>
      </c>
      <c r="X350">
        <f>IF($D350="",0,1/(1+10^(($W350-$V350)/400)))</f>
        <v>0</v>
      </c>
      <c r="Y350">
        <f>IF($D350="",0,IFERROR(SUMIFS($U$4:$U$810,$A$4:$A$810,$A350,$E$4:$E$810,"Win")/COUNTIFS($A$4:$A$810,$A350,$E$4:$E$810,"Win"),0))</f>
        <v>0</v>
      </c>
      <c r="Z350">
        <f>IF($D350="",0,1/(1+10^(($Y350-$U350)/400)))</f>
        <v>0</v>
      </c>
      <c r="AA350">
        <f>IF($D350="",0,IF($F350&lt;2,0,IF($E350="Win",('Guide &amp; Settings'!$C$42/(($F350-1)*COUNTIFS($A$4:$A$810,$A350,$E$4:$E$810,"Win")))*SUMIFS($Z$4:$Z$810,$A$4:$A$810,$A350,$E$4:$E$810,"Loss"),-('Guide &amp; Settings'!$C$42/($F350-1))*$Z350)))</f>
        <v>0</v>
      </c>
      <c r="AB350" s="125">
        <f>IF($D350="",0,$U350+$AA350)</f>
        <v>0</v>
      </c>
      <c r="AC350" s="125" t="str">
        <f>IF($D350="","",IF(SUMPRODUCT(MAX(($D$4:$D$810=$D350)*($B$4:$B$810&lt;$B350)*$B$4:$B$810))=0,0,MAX(($B350-MAX(SUMPRODUCT(MAX(($D$4:$D$810=$D350)*($B$4:$B$810&lt;$B350)*$B$4:$B$810)),'Guide &amp; Settings'!$C$50))/7-'Guide &amp; Settings'!$C$48,0)*'Guide &amp; Settings'!$C$49))</f>
      </c>
    </row>
    <row r="351" spans="1:29">
      <c r="A351" s="116"/>
      <c r="B351" s="117"/>
      <c r="C351" s="118"/>
      <c r="D351" s="118"/>
      <c r="E351" s="116"/>
      <c r="F351" s="119">
        <f>IF($D351="",0,COUNTIF($A$4:$A$810,$A351))</f>
        <v>0</v>
      </c>
      <c r="G351" s="120">
        <f>IF($D351="","",IFERROR(LOOKUP(2,1/(($A$4:$A$810=$A351)*($E$4:$E$810="Win")),$D$4:$D$810),"(no winner)"))</f>
        <v>0</v>
      </c>
      <c r="H351" s="121">
        <f>IF($D351="",0,IFERROR(LOOKUP(2,1/(($D$3:D350=$D351)*($A$3:A350&lt;$A351)),$N$3:N350),'Guide &amp; Settings'!$C$41))</f>
        <v>0</v>
      </c>
      <c r="I351" s="122">
        <f>IF($D351="",0,IF($S351=0,0,$R351/$S351))</f>
        <v>0</v>
      </c>
      <c r="J351" s="123">
        <f>IF($D351="",0,IF($F351&lt;2,0,IF($E351="Win",('Guide &amp; Settings'!$C$42/(($F351-1)*COUNTIFS($A$4:$A$810,$A351,$E$4:$E$810,"Win")))*SUMIFS($X$4:$X$810,$A$4:$A$810,$A351,$E$4:$E$810,"Loss"),-('Guide &amp; Settings'!$C$42/($F351-1))*$X351)))</f>
        <v>0</v>
      </c>
      <c r="K351" s="123">
        <f>IF($D351="",0,'Guide &amp; Settings'!$C$43*(IF($E351="Win",1,0)-$I351))</f>
        <v>0</v>
      </c>
      <c r="L351" s="124">
        <f>IF($D351="",0,'Guide &amp; Settings'!$C$44*IF($F351&gt;=3,$F351+IF($E351="Win",$F351,0),0))</f>
        <v>0</v>
      </c>
      <c r="M351" s="123">
        <f>IF($D351="",0,$J351+$K351+$L351)</f>
        <v>0</v>
      </c>
      <c r="N351" s="121">
        <f>IF($D351="",0,$H351+$M351)</f>
        <v>0</v>
      </c>
      <c r="O351" s="120" t="str">
        <f>IF($D351="","",IF(COUNTIFS($A$4:$A$810,$A351,$E$4:$E$810,"Win")=0,"need a winner",IF(COUNTIFS($A$4:$A$810,$A351,$E$4:$E$810,"Loss")=0,"need a loser",IF(COUNTIFS($A$4:$A$810,$A351,$D$4:$D$810,$D351)&gt;1,"duplicate player","OK"))))</f>
      </c>
      <c r="P351">
        <f>IF($D351="",0,IFERROR(SUMIFS($H$4:$H$810,$A$4:$A$810,$A351,$E$4:$E$810,"Win")/COUNTIFS($A$4:$A$810,$A351,$E$4:$E$810,"Win"),0))</f>
        <v>0</v>
      </c>
      <c r="Q351">
        <f>IF($D351="",0,1/(1+10^(($P351-$H351)/400)))</f>
        <v>0</v>
      </c>
      <c r="R351">
        <f>IF($D351="",0,(COUNTIFS($D$4:$D$810,$D351,$C$4:$C$810,$C351,$E$4:$E$810,"Win",$A$4:$A$810,"&lt;"&amp;$A351)+1)/(COUNTIFS($D$4:$D$810,$D351,$C$4:$C$810,$C351,$A$4:$A$810,"&lt;"&amp;$A351)+2))</f>
        <v>0</v>
      </c>
      <c r="S351">
        <f>IF($D351="",0,SUMIFS($R$4:$R$810,$A$4:$A$810,$A351))</f>
        <v>0</v>
      </c>
      <c r="T351" s="88">
        <f>IF($D351="",0,COUNTIFS($D$4:$D$810,$D351,$C$4:$C$810,$C351,$A$4:$A$810,"&lt;"&amp;$A351))</f>
        <v>0</v>
      </c>
      <c r="U351" s="125">
        <f>IF($D351="",0,IFERROR(LOOKUP(2,1/(($D$3:D350=$D351)*($C$3:C350=$C351)*($A$3:A350&lt;$A351)),$AB$3:AB350),1000))</f>
        <v>0</v>
      </c>
      <c r="V351" s="125">
        <f>IF($D351="",0,$U351*($T351/($T351+5))+$H351*(1-$T351/($T351+5)))</f>
        <v>0</v>
      </c>
      <c r="W351">
        <f>IF($D351="",0,IFERROR(SUMIFS($V$4:$V$810,$A$4:$A$810,$A351,$E$4:$E$810,"Win")/COUNTIFS($A$4:$A$810,$A351,$E$4:$E$810,"Win"),0))</f>
        <v>0</v>
      </c>
      <c r="X351">
        <f>IF($D351="",0,1/(1+10^(($W351-$V351)/400)))</f>
        <v>0</v>
      </c>
      <c r="Y351">
        <f>IF($D351="",0,IFERROR(SUMIFS($U$4:$U$810,$A$4:$A$810,$A351,$E$4:$E$810,"Win")/COUNTIFS($A$4:$A$810,$A351,$E$4:$E$810,"Win"),0))</f>
        <v>0</v>
      </c>
      <c r="Z351">
        <f>IF($D351="",0,1/(1+10^(($Y351-$U351)/400)))</f>
        <v>0</v>
      </c>
      <c r="AA351">
        <f>IF($D351="",0,IF($F351&lt;2,0,IF($E351="Win",('Guide &amp; Settings'!$C$42/(($F351-1)*COUNTIFS($A$4:$A$810,$A351,$E$4:$E$810,"Win")))*SUMIFS($Z$4:$Z$810,$A$4:$A$810,$A351,$E$4:$E$810,"Loss"),-('Guide &amp; Settings'!$C$42/($F351-1))*$Z351)))</f>
        <v>0</v>
      </c>
      <c r="AB351" s="125">
        <f>IF($D351="",0,$U351+$AA351)</f>
        <v>0</v>
      </c>
      <c r="AC351" s="125" t="str">
        <f>IF($D351="","",IF(SUMPRODUCT(MAX(($D$4:$D$810=$D351)*($B$4:$B$810&lt;$B351)*$B$4:$B$810))=0,0,MAX(($B351-MAX(SUMPRODUCT(MAX(($D$4:$D$810=$D351)*($B$4:$B$810&lt;$B351)*$B$4:$B$810)),'Guide &amp; Settings'!$C$50))/7-'Guide &amp; Settings'!$C$48,0)*'Guide &amp; Settings'!$C$49))</f>
      </c>
    </row>
    <row r="352" spans="1:29">
      <c r="A352" s="116"/>
      <c r="B352" s="117"/>
      <c r="C352" s="118"/>
      <c r="D352" s="118"/>
      <c r="E352" s="116"/>
      <c r="F352" s="119">
        <f>IF($D352="",0,COUNTIF($A$4:$A$810,$A352))</f>
        <v>0</v>
      </c>
      <c r="G352" s="120">
        <f>IF($D352="","",IFERROR(LOOKUP(2,1/(($A$4:$A$810=$A352)*($E$4:$E$810="Win")),$D$4:$D$810),"(no winner)"))</f>
        <v>0</v>
      </c>
      <c r="H352" s="121">
        <f>IF($D352="",0,IFERROR(LOOKUP(2,1/(($D$3:D351=$D352)*($A$3:A351&lt;$A352)),$N$3:N351),'Guide &amp; Settings'!$C$41))</f>
        <v>0</v>
      </c>
      <c r="I352" s="122">
        <f>IF($D352="",0,IF($S352=0,0,$R352/$S352))</f>
        <v>0</v>
      </c>
      <c r="J352" s="123">
        <f>IF($D352="",0,IF($F352&lt;2,0,IF($E352="Win",('Guide &amp; Settings'!$C$42/(($F352-1)*COUNTIFS($A$4:$A$810,$A352,$E$4:$E$810,"Win")))*SUMIFS($X$4:$X$810,$A$4:$A$810,$A352,$E$4:$E$810,"Loss"),-('Guide &amp; Settings'!$C$42/($F352-1))*$X352)))</f>
        <v>0</v>
      </c>
      <c r="K352" s="123">
        <f>IF($D352="",0,'Guide &amp; Settings'!$C$43*(IF($E352="Win",1,0)-$I352))</f>
        <v>0</v>
      </c>
      <c r="L352" s="124">
        <f>IF($D352="",0,'Guide &amp; Settings'!$C$44*IF($F352&gt;=3,$F352+IF($E352="Win",$F352,0),0))</f>
        <v>0</v>
      </c>
      <c r="M352" s="123">
        <f>IF($D352="",0,$J352+$K352+$L352)</f>
        <v>0</v>
      </c>
      <c r="N352" s="121">
        <f>IF($D352="",0,$H352+$M352)</f>
        <v>0</v>
      </c>
      <c r="O352" s="120" t="str">
        <f>IF($D352="","",IF(COUNTIFS($A$4:$A$810,$A352,$E$4:$E$810,"Win")=0,"need a winner",IF(COUNTIFS($A$4:$A$810,$A352,$E$4:$E$810,"Loss")=0,"need a loser",IF(COUNTIFS($A$4:$A$810,$A352,$D$4:$D$810,$D352)&gt;1,"duplicate player","OK"))))</f>
      </c>
      <c r="P352">
        <f>IF($D352="",0,IFERROR(SUMIFS($H$4:$H$810,$A$4:$A$810,$A352,$E$4:$E$810,"Win")/COUNTIFS($A$4:$A$810,$A352,$E$4:$E$810,"Win"),0))</f>
        <v>0</v>
      </c>
      <c r="Q352">
        <f>IF($D352="",0,1/(1+10^(($P352-$H352)/400)))</f>
        <v>0</v>
      </c>
      <c r="R352">
        <f>IF($D352="",0,(COUNTIFS($D$4:$D$810,$D352,$C$4:$C$810,$C352,$E$4:$E$810,"Win",$A$4:$A$810,"&lt;"&amp;$A352)+1)/(COUNTIFS($D$4:$D$810,$D352,$C$4:$C$810,$C352,$A$4:$A$810,"&lt;"&amp;$A352)+2))</f>
        <v>0</v>
      </c>
      <c r="S352">
        <f>IF($D352="",0,SUMIFS($R$4:$R$810,$A$4:$A$810,$A352))</f>
        <v>0</v>
      </c>
      <c r="T352" s="88">
        <f>IF($D352="",0,COUNTIFS($D$4:$D$810,$D352,$C$4:$C$810,$C352,$A$4:$A$810,"&lt;"&amp;$A352))</f>
        <v>0</v>
      </c>
      <c r="U352" s="125">
        <f>IF($D352="",0,IFERROR(LOOKUP(2,1/(($D$3:D351=$D352)*($C$3:C351=$C352)*($A$3:A351&lt;$A352)),$AB$3:AB351),1000))</f>
        <v>0</v>
      </c>
      <c r="V352" s="125">
        <f>IF($D352="",0,$U352*($T352/($T352+5))+$H352*(1-$T352/($T352+5)))</f>
        <v>0</v>
      </c>
      <c r="W352">
        <f>IF($D352="",0,IFERROR(SUMIFS($V$4:$V$810,$A$4:$A$810,$A352,$E$4:$E$810,"Win")/COUNTIFS($A$4:$A$810,$A352,$E$4:$E$810,"Win"),0))</f>
        <v>0</v>
      </c>
      <c r="X352">
        <f>IF($D352="",0,1/(1+10^(($W352-$V352)/400)))</f>
        <v>0</v>
      </c>
      <c r="Y352">
        <f>IF($D352="",0,IFERROR(SUMIFS($U$4:$U$810,$A$4:$A$810,$A352,$E$4:$E$810,"Win")/COUNTIFS($A$4:$A$810,$A352,$E$4:$E$810,"Win"),0))</f>
        <v>0</v>
      </c>
      <c r="Z352">
        <f>IF($D352="",0,1/(1+10^(($Y352-$U352)/400)))</f>
        <v>0</v>
      </c>
      <c r="AA352">
        <f>IF($D352="",0,IF($F352&lt;2,0,IF($E352="Win",('Guide &amp; Settings'!$C$42/(($F352-1)*COUNTIFS($A$4:$A$810,$A352,$E$4:$E$810,"Win")))*SUMIFS($Z$4:$Z$810,$A$4:$A$810,$A352,$E$4:$E$810,"Loss"),-('Guide &amp; Settings'!$C$42/($F352-1))*$Z352)))</f>
        <v>0</v>
      </c>
      <c r="AB352" s="125">
        <f>IF($D352="",0,$U352+$AA352)</f>
        <v>0</v>
      </c>
      <c r="AC352" s="125" t="str">
        <f>IF($D352="","",IF(SUMPRODUCT(MAX(($D$4:$D$810=$D352)*($B$4:$B$810&lt;$B352)*$B$4:$B$810))=0,0,MAX(($B352-MAX(SUMPRODUCT(MAX(($D$4:$D$810=$D352)*($B$4:$B$810&lt;$B352)*$B$4:$B$810)),'Guide &amp; Settings'!$C$50))/7-'Guide &amp; Settings'!$C$48,0)*'Guide &amp; Settings'!$C$49))</f>
      </c>
    </row>
    <row r="353" spans="1:29">
      <c r="A353" s="116"/>
      <c r="B353" s="117"/>
      <c r="C353" s="118"/>
      <c r="D353" s="118"/>
      <c r="E353" s="116"/>
      <c r="F353" s="119">
        <f>IF($D353="",0,COUNTIF($A$4:$A$810,$A353))</f>
        <v>0</v>
      </c>
      <c r="G353" s="120">
        <f>IF($D353="","",IFERROR(LOOKUP(2,1/(($A$4:$A$810=$A353)*($E$4:$E$810="Win")),$D$4:$D$810),"(no winner)"))</f>
        <v>0</v>
      </c>
      <c r="H353" s="121">
        <f>IF($D353="",0,IFERROR(LOOKUP(2,1/(($D$3:D352=$D353)*($A$3:A352&lt;$A353)),$N$3:N352),'Guide &amp; Settings'!$C$41))</f>
        <v>0</v>
      </c>
      <c r="I353" s="122">
        <f>IF($D353="",0,IF($S353=0,0,$R353/$S353))</f>
        <v>0</v>
      </c>
      <c r="J353" s="123">
        <f>IF($D353="",0,IF($F353&lt;2,0,IF($E353="Win",('Guide &amp; Settings'!$C$42/(($F353-1)*COUNTIFS($A$4:$A$810,$A353,$E$4:$E$810,"Win")))*SUMIFS($X$4:$X$810,$A$4:$A$810,$A353,$E$4:$E$810,"Loss"),-('Guide &amp; Settings'!$C$42/($F353-1))*$X353)))</f>
        <v>0</v>
      </c>
      <c r="K353" s="123">
        <f>IF($D353="",0,'Guide &amp; Settings'!$C$43*(IF($E353="Win",1,0)-$I353))</f>
        <v>0</v>
      </c>
      <c r="L353" s="124">
        <f>IF($D353="",0,'Guide &amp; Settings'!$C$44*IF($F353&gt;=3,$F353+IF($E353="Win",$F353,0),0))</f>
        <v>0</v>
      </c>
      <c r="M353" s="123">
        <f>IF($D353="",0,$J353+$K353+$L353)</f>
        <v>0</v>
      </c>
      <c r="N353" s="121">
        <f>IF($D353="",0,$H353+$M353)</f>
        <v>0</v>
      </c>
      <c r="O353" s="120" t="str">
        <f>IF($D353="","",IF(COUNTIFS($A$4:$A$810,$A353,$E$4:$E$810,"Win")=0,"need a winner",IF(COUNTIFS($A$4:$A$810,$A353,$E$4:$E$810,"Loss")=0,"need a loser",IF(COUNTIFS($A$4:$A$810,$A353,$D$4:$D$810,$D353)&gt;1,"duplicate player","OK"))))</f>
      </c>
      <c r="P353">
        <f>IF($D353="",0,IFERROR(SUMIFS($H$4:$H$810,$A$4:$A$810,$A353,$E$4:$E$810,"Win")/COUNTIFS($A$4:$A$810,$A353,$E$4:$E$810,"Win"),0))</f>
        <v>0</v>
      </c>
      <c r="Q353">
        <f>IF($D353="",0,1/(1+10^(($P353-$H353)/400)))</f>
        <v>0</v>
      </c>
      <c r="R353">
        <f>IF($D353="",0,(COUNTIFS($D$4:$D$810,$D353,$C$4:$C$810,$C353,$E$4:$E$810,"Win",$A$4:$A$810,"&lt;"&amp;$A353)+1)/(COUNTIFS($D$4:$D$810,$D353,$C$4:$C$810,$C353,$A$4:$A$810,"&lt;"&amp;$A353)+2))</f>
        <v>0</v>
      </c>
      <c r="S353">
        <f>IF($D353="",0,SUMIFS($R$4:$R$810,$A$4:$A$810,$A353))</f>
        <v>0</v>
      </c>
      <c r="T353" s="88">
        <f>IF($D353="",0,COUNTIFS($D$4:$D$810,$D353,$C$4:$C$810,$C353,$A$4:$A$810,"&lt;"&amp;$A353))</f>
        <v>0</v>
      </c>
      <c r="U353" s="125">
        <f>IF($D353="",0,IFERROR(LOOKUP(2,1/(($D$3:D352=$D353)*($C$3:C352=$C353)*($A$3:A352&lt;$A353)),$AB$3:AB352),1000))</f>
        <v>0</v>
      </c>
      <c r="V353" s="125">
        <f>IF($D353="",0,$U353*($T353/($T353+5))+$H353*(1-$T353/($T353+5)))</f>
        <v>0</v>
      </c>
      <c r="W353">
        <f>IF($D353="",0,IFERROR(SUMIFS($V$4:$V$810,$A$4:$A$810,$A353,$E$4:$E$810,"Win")/COUNTIFS($A$4:$A$810,$A353,$E$4:$E$810,"Win"),0))</f>
        <v>0</v>
      </c>
      <c r="X353">
        <f>IF($D353="",0,1/(1+10^(($W353-$V353)/400)))</f>
        <v>0</v>
      </c>
      <c r="Y353">
        <f>IF($D353="",0,IFERROR(SUMIFS($U$4:$U$810,$A$4:$A$810,$A353,$E$4:$E$810,"Win")/COUNTIFS($A$4:$A$810,$A353,$E$4:$E$810,"Win"),0))</f>
        <v>0</v>
      </c>
      <c r="Z353">
        <f>IF($D353="",0,1/(1+10^(($Y353-$U353)/400)))</f>
        <v>0</v>
      </c>
      <c r="AA353">
        <f>IF($D353="",0,IF($F353&lt;2,0,IF($E353="Win",('Guide &amp; Settings'!$C$42/(($F353-1)*COUNTIFS($A$4:$A$810,$A353,$E$4:$E$810,"Win")))*SUMIFS($Z$4:$Z$810,$A$4:$A$810,$A353,$E$4:$E$810,"Loss"),-('Guide &amp; Settings'!$C$42/($F353-1))*$Z353)))</f>
        <v>0</v>
      </c>
      <c r="AB353" s="125">
        <f>IF($D353="",0,$U353+$AA353)</f>
        <v>0</v>
      </c>
      <c r="AC353" s="125" t="str">
        <f>IF($D353="","",IF(SUMPRODUCT(MAX(($D$4:$D$810=$D353)*($B$4:$B$810&lt;$B353)*$B$4:$B$810))=0,0,MAX(($B353-MAX(SUMPRODUCT(MAX(($D$4:$D$810=$D353)*($B$4:$B$810&lt;$B353)*$B$4:$B$810)),'Guide &amp; Settings'!$C$50))/7-'Guide &amp; Settings'!$C$48,0)*'Guide &amp; Settings'!$C$49))</f>
      </c>
    </row>
    <row r="354" spans="1:29">
      <c r="A354" s="116"/>
      <c r="B354" s="117"/>
      <c r="C354" s="118"/>
      <c r="D354" s="118"/>
      <c r="E354" s="116"/>
      <c r="F354" s="119">
        <f>IF($D354="",0,COUNTIF($A$4:$A$810,$A354))</f>
        <v>0</v>
      </c>
      <c r="G354" s="120">
        <f>IF($D354="","",IFERROR(LOOKUP(2,1/(($A$4:$A$810=$A354)*($E$4:$E$810="Win")),$D$4:$D$810),"(no winner)"))</f>
        <v>0</v>
      </c>
      <c r="H354" s="121">
        <f>IF($D354="",0,IFERROR(LOOKUP(2,1/(($D$3:D353=$D354)*($A$3:A353&lt;$A354)),$N$3:N353),'Guide &amp; Settings'!$C$41))</f>
        <v>0</v>
      </c>
      <c r="I354" s="122">
        <f>IF($D354="",0,IF($S354=0,0,$R354/$S354))</f>
        <v>0</v>
      </c>
      <c r="J354" s="123">
        <f>IF($D354="",0,IF($F354&lt;2,0,IF($E354="Win",('Guide &amp; Settings'!$C$42/(($F354-1)*COUNTIFS($A$4:$A$810,$A354,$E$4:$E$810,"Win")))*SUMIFS($X$4:$X$810,$A$4:$A$810,$A354,$E$4:$E$810,"Loss"),-('Guide &amp; Settings'!$C$42/($F354-1))*$X354)))</f>
        <v>0</v>
      </c>
      <c r="K354" s="123">
        <f>IF($D354="",0,'Guide &amp; Settings'!$C$43*(IF($E354="Win",1,0)-$I354))</f>
        <v>0</v>
      </c>
      <c r="L354" s="124">
        <f>IF($D354="",0,'Guide &amp; Settings'!$C$44*IF($F354&gt;=3,$F354+IF($E354="Win",$F354,0),0))</f>
        <v>0</v>
      </c>
      <c r="M354" s="123">
        <f>IF($D354="",0,$J354+$K354+$L354)</f>
        <v>0</v>
      </c>
      <c r="N354" s="121">
        <f>IF($D354="",0,$H354+$M354)</f>
        <v>0</v>
      </c>
      <c r="O354" s="120" t="str">
        <f>IF($D354="","",IF(COUNTIFS($A$4:$A$810,$A354,$E$4:$E$810,"Win")=0,"need a winner",IF(COUNTIFS($A$4:$A$810,$A354,$E$4:$E$810,"Loss")=0,"need a loser",IF(COUNTIFS($A$4:$A$810,$A354,$D$4:$D$810,$D354)&gt;1,"duplicate player","OK"))))</f>
      </c>
      <c r="P354">
        <f>IF($D354="",0,IFERROR(SUMIFS($H$4:$H$810,$A$4:$A$810,$A354,$E$4:$E$810,"Win")/COUNTIFS($A$4:$A$810,$A354,$E$4:$E$810,"Win"),0))</f>
        <v>0</v>
      </c>
      <c r="Q354">
        <f>IF($D354="",0,1/(1+10^(($P354-$H354)/400)))</f>
        <v>0</v>
      </c>
      <c r="R354">
        <f>IF($D354="",0,(COUNTIFS($D$4:$D$810,$D354,$C$4:$C$810,$C354,$E$4:$E$810,"Win",$A$4:$A$810,"&lt;"&amp;$A354)+1)/(COUNTIFS($D$4:$D$810,$D354,$C$4:$C$810,$C354,$A$4:$A$810,"&lt;"&amp;$A354)+2))</f>
        <v>0</v>
      </c>
      <c r="S354">
        <f>IF($D354="",0,SUMIFS($R$4:$R$810,$A$4:$A$810,$A354))</f>
        <v>0</v>
      </c>
      <c r="T354" s="88">
        <f>IF($D354="",0,COUNTIFS($D$4:$D$810,$D354,$C$4:$C$810,$C354,$A$4:$A$810,"&lt;"&amp;$A354))</f>
        <v>0</v>
      </c>
      <c r="U354" s="125">
        <f>IF($D354="",0,IFERROR(LOOKUP(2,1/(($D$3:D353=$D354)*($C$3:C353=$C354)*($A$3:A353&lt;$A354)),$AB$3:AB353),1000))</f>
        <v>0</v>
      </c>
      <c r="V354" s="125">
        <f>IF($D354="",0,$U354*($T354/($T354+5))+$H354*(1-$T354/($T354+5)))</f>
        <v>0</v>
      </c>
      <c r="W354">
        <f>IF($D354="",0,IFERROR(SUMIFS($V$4:$V$810,$A$4:$A$810,$A354,$E$4:$E$810,"Win")/COUNTIFS($A$4:$A$810,$A354,$E$4:$E$810,"Win"),0))</f>
        <v>0</v>
      </c>
      <c r="X354">
        <f>IF($D354="",0,1/(1+10^(($W354-$V354)/400)))</f>
        <v>0</v>
      </c>
      <c r="Y354">
        <f>IF($D354="",0,IFERROR(SUMIFS($U$4:$U$810,$A$4:$A$810,$A354,$E$4:$E$810,"Win")/COUNTIFS($A$4:$A$810,$A354,$E$4:$E$810,"Win"),0))</f>
        <v>0</v>
      </c>
      <c r="Z354">
        <f>IF($D354="",0,1/(1+10^(($Y354-$U354)/400)))</f>
        <v>0</v>
      </c>
      <c r="AA354">
        <f>IF($D354="",0,IF($F354&lt;2,0,IF($E354="Win",('Guide &amp; Settings'!$C$42/(($F354-1)*COUNTIFS($A$4:$A$810,$A354,$E$4:$E$810,"Win")))*SUMIFS($Z$4:$Z$810,$A$4:$A$810,$A354,$E$4:$E$810,"Loss"),-('Guide &amp; Settings'!$C$42/($F354-1))*$Z354)))</f>
        <v>0</v>
      </c>
      <c r="AB354" s="125">
        <f>IF($D354="",0,$U354+$AA354)</f>
        <v>0</v>
      </c>
      <c r="AC354" s="125" t="str">
        <f>IF($D354="","",IF(SUMPRODUCT(MAX(($D$4:$D$810=$D354)*($B$4:$B$810&lt;$B354)*$B$4:$B$810))=0,0,MAX(($B354-MAX(SUMPRODUCT(MAX(($D$4:$D$810=$D354)*($B$4:$B$810&lt;$B354)*$B$4:$B$810)),'Guide &amp; Settings'!$C$50))/7-'Guide &amp; Settings'!$C$48,0)*'Guide &amp; Settings'!$C$49))</f>
      </c>
    </row>
    <row r="355" spans="1:29">
      <c r="A355" s="116"/>
      <c r="B355" s="117"/>
      <c r="C355" s="118"/>
      <c r="D355" s="118"/>
      <c r="E355" s="116"/>
      <c r="F355" s="119">
        <f>IF($D355="",0,COUNTIF($A$4:$A$810,$A355))</f>
        <v>0</v>
      </c>
      <c r="G355" s="120">
        <f>IF($D355="","",IFERROR(LOOKUP(2,1/(($A$4:$A$810=$A355)*($E$4:$E$810="Win")),$D$4:$D$810),"(no winner)"))</f>
        <v>0</v>
      </c>
      <c r="H355" s="121">
        <f>IF($D355="",0,IFERROR(LOOKUP(2,1/(($D$3:D354=$D355)*($A$3:A354&lt;$A355)),$N$3:N354),'Guide &amp; Settings'!$C$41))</f>
        <v>0</v>
      </c>
      <c r="I355" s="122">
        <f>IF($D355="",0,IF($S355=0,0,$R355/$S355))</f>
        <v>0</v>
      </c>
      <c r="J355" s="123">
        <f>IF($D355="",0,IF($F355&lt;2,0,IF($E355="Win",('Guide &amp; Settings'!$C$42/(($F355-1)*COUNTIFS($A$4:$A$810,$A355,$E$4:$E$810,"Win")))*SUMIFS($X$4:$X$810,$A$4:$A$810,$A355,$E$4:$E$810,"Loss"),-('Guide &amp; Settings'!$C$42/($F355-1))*$X355)))</f>
        <v>0</v>
      </c>
      <c r="K355" s="123">
        <f>IF($D355="",0,'Guide &amp; Settings'!$C$43*(IF($E355="Win",1,0)-$I355))</f>
        <v>0</v>
      </c>
      <c r="L355" s="124">
        <f>IF($D355="",0,'Guide &amp; Settings'!$C$44*IF($F355&gt;=3,$F355+IF($E355="Win",$F355,0),0))</f>
        <v>0</v>
      </c>
      <c r="M355" s="123">
        <f>IF($D355="",0,$J355+$K355+$L355)</f>
        <v>0</v>
      </c>
      <c r="N355" s="121">
        <f>IF($D355="",0,$H355+$M355)</f>
        <v>0</v>
      </c>
      <c r="O355" s="120" t="str">
        <f>IF($D355="","",IF(COUNTIFS($A$4:$A$810,$A355,$E$4:$E$810,"Win")=0,"need a winner",IF(COUNTIFS($A$4:$A$810,$A355,$E$4:$E$810,"Loss")=0,"need a loser",IF(COUNTIFS($A$4:$A$810,$A355,$D$4:$D$810,$D355)&gt;1,"duplicate player","OK"))))</f>
      </c>
      <c r="P355">
        <f>IF($D355="",0,IFERROR(SUMIFS($H$4:$H$810,$A$4:$A$810,$A355,$E$4:$E$810,"Win")/COUNTIFS($A$4:$A$810,$A355,$E$4:$E$810,"Win"),0))</f>
        <v>0</v>
      </c>
      <c r="Q355">
        <f>IF($D355="",0,1/(1+10^(($P355-$H355)/400)))</f>
        <v>0</v>
      </c>
      <c r="R355">
        <f>IF($D355="",0,(COUNTIFS($D$4:$D$810,$D355,$C$4:$C$810,$C355,$E$4:$E$810,"Win",$A$4:$A$810,"&lt;"&amp;$A355)+1)/(COUNTIFS($D$4:$D$810,$D355,$C$4:$C$810,$C355,$A$4:$A$810,"&lt;"&amp;$A355)+2))</f>
        <v>0</v>
      </c>
      <c r="S355">
        <f>IF($D355="",0,SUMIFS($R$4:$R$810,$A$4:$A$810,$A355))</f>
        <v>0</v>
      </c>
      <c r="T355" s="88">
        <f>IF($D355="",0,COUNTIFS($D$4:$D$810,$D355,$C$4:$C$810,$C355,$A$4:$A$810,"&lt;"&amp;$A355))</f>
        <v>0</v>
      </c>
      <c r="U355" s="125">
        <f>IF($D355="",0,IFERROR(LOOKUP(2,1/(($D$3:D354=$D355)*($C$3:C354=$C355)*($A$3:A354&lt;$A355)),$AB$3:AB354),1000))</f>
        <v>0</v>
      </c>
      <c r="V355" s="125">
        <f>IF($D355="",0,$U355*($T355/($T355+5))+$H355*(1-$T355/($T355+5)))</f>
        <v>0</v>
      </c>
      <c r="W355">
        <f>IF($D355="",0,IFERROR(SUMIFS($V$4:$V$810,$A$4:$A$810,$A355,$E$4:$E$810,"Win")/COUNTIFS($A$4:$A$810,$A355,$E$4:$E$810,"Win"),0))</f>
        <v>0</v>
      </c>
      <c r="X355">
        <f>IF($D355="",0,1/(1+10^(($W355-$V355)/400)))</f>
        <v>0</v>
      </c>
      <c r="Y355">
        <f>IF($D355="",0,IFERROR(SUMIFS($U$4:$U$810,$A$4:$A$810,$A355,$E$4:$E$810,"Win")/COUNTIFS($A$4:$A$810,$A355,$E$4:$E$810,"Win"),0))</f>
        <v>0</v>
      </c>
      <c r="Z355">
        <f>IF($D355="",0,1/(1+10^(($Y355-$U355)/400)))</f>
        <v>0</v>
      </c>
      <c r="AA355">
        <f>IF($D355="",0,IF($F355&lt;2,0,IF($E355="Win",('Guide &amp; Settings'!$C$42/(($F355-1)*COUNTIFS($A$4:$A$810,$A355,$E$4:$E$810,"Win")))*SUMIFS($Z$4:$Z$810,$A$4:$A$810,$A355,$E$4:$E$810,"Loss"),-('Guide &amp; Settings'!$C$42/($F355-1))*$Z355)))</f>
        <v>0</v>
      </c>
      <c r="AB355" s="125">
        <f>IF($D355="",0,$U355+$AA355)</f>
        <v>0</v>
      </c>
      <c r="AC355" s="125" t="str">
        <f>IF($D355="","",IF(SUMPRODUCT(MAX(($D$4:$D$810=$D355)*($B$4:$B$810&lt;$B355)*$B$4:$B$810))=0,0,MAX(($B355-MAX(SUMPRODUCT(MAX(($D$4:$D$810=$D355)*($B$4:$B$810&lt;$B355)*$B$4:$B$810)),'Guide &amp; Settings'!$C$50))/7-'Guide &amp; Settings'!$C$48,0)*'Guide &amp; Settings'!$C$49))</f>
      </c>
    </row>
    <row r="356" spans="1:29">
      <c r="A356" s="116"/>
      <c r="B356" s="117"/>
      <c r="C356" s="118"/>
      <c r="D356" s="118"/>
      <c r="E356" s="116"/>
      <c r="F356" s="119">
        <f>IF($D356="",0,COUNTIF($A$4:$A$810,$A356))</f>
        <v>0</v>
      </c>
      <c r="G356" s="120">
        <f>IF($D356="","",IFERROR(LOOKUP(2,1/(($A$4:$A$810=$A356)*($E$4:$E$810="Win")),$D$4:$D$810),"(no winner)"))</f>
        <v>0</v>
      </c>
      <c r="H356" s="121">
        <f>IF($D356="",0,IFERROR(LOOKUP(2,1/(($D$3:D355=$D356)*($A$3:A355&lt;$A356)),$N$3:N355),'Guide &amp; Settings'!$C$41))</f>
        <v>0</v>
      </c>
      <c r="I356" s="122">
        <f>IF($D356="",0,IF($S356=0,0,$R356/$S356))</f>
        <v>0</v>
      </c>
      <c r="J356" s="123">
        <f>IF($D356="",0,IF($F356&lt;2,0,IF($E356="Win",('Guide &amp; Settings'!$C$42/(($F356-1)*COUNTIFS($A$4:$A$810,$A356,$E$4:$E$810,"Win")))*SUMIFS($X$4:$X$810,$A$4:$A$810,$A356,$E$4:$E$810,"Loss"),-('Guide &amp; Settings'!$C$42/($F356-1))*$X356)))</f>
        <v>0</v>
      </c>
      <c r="K356" s="123">
        <f>IF($D356="",0,'Guide &amp; Settings'!$C$43*(IF($E356="Win",1,0)-$I356))</f>
        <v>0</v>
      </c>
      <c r="L356" s="124">
        <f>IF($D356="",0,'Guide &amp; Settings'!$C$44*IF($F356&gt;=3,$F356+IF($E356="Win",$F356,0),0))</f>
        <v>0</v>
      </c>
      <c r="M356" s="123">
        <f>IF($D356="",0,$J356+$K356+$L356)</f>
        <v>0</v>
      </c>
      <c r="N356" s="121">
        <f>IF($D356="",0,$H356+$M356)</f>
        <v>0</v>
      </c>
      <c r="O356" s="120" t="str">
        <f>IF($D356="","",IF(COUNTIFS($A$4:$A$810,$A356,$E$4:$E$810,"Win")=0,"need a winner",IF(COUNTIFS($A$4:$A$810,$A356,$E$4:$E$810,"Loss")=0,"need a loser",IF(COUNTIFS($A$4:$A$810,$A356,$D$4:$D$810,$D356)&gt;1,"duplicate player","OK"))))</f>
      </c>
      <c r="P356">
        <f>IF($D356="",0,IFERROR(SUMIFS($H$4:$H$810,$A$4:$A$810,$A356,$E$4:$E$810,"Win")/COUNTIFS($A$4:$A$810,$A356,$E$4:$E$810,"Win"),0))</f>
        <v>0</v>
      </c>
      <c r="Q356">
        <f>IF($D356="",0,1/(1+10^(($P356-$H356)/400)))</f>
        <v>0</v>
      </c>
      <c r="R356">
        <f>IF($D356="",0,(COUNTIFS($D$4:$D$810,$D356,$C$4:$C$810,$C356,$E$4:$E$810,"Win",$A$4:$A$810,"&lt;"&amp;$A356)+1)/(COUNTIFS($D$4:$D$810,$D356,$C$4:$C$810,$C356,$A$4:$A$810,"&lt;"&amp;$A356)+2))</f>
        <v>0</v>
      </c>
      <c r="S356">
        <f>IF($D356="",0,SUMIFS($R$4:$R$810,$A$4:$A$810,$A356))</f>
        <v>0</v>
      </c>
      <c r="T356" s="88">
        <f>IF($D356="",0,COUNTIFS($D$4:$D$810,$D356,$C$4:$C$810,$C356,$A$4:$A$810,"&lt;"&amp;$A356))</f>
        <v>0</v>
      </c>
      <c r="U356" s="125">
        <f>IF($D356="",0,IFERROR(LOOKUP(2,1/(($D$3:D355=$D356)*($C$3:C355=$C356)*($A$3:A355&lt;$A356)),$AB$3:AB355),1000))</f>
        <v>0</v>
      </c>
      <c r="V356" s="125">
        <f>IF($D356="",0,$U356*($T356/($T356+5))+$H356*(1-$T356/($T356+5)))</f>
        <v>0</v>
      </c>
      <c r="W356">
        <f>IF($D356="",0,IFERROR(SUMIFS($V$4:$V$810,$A$4:$A$810,$A356,$E$4:$E$810,"Win")/COUNTIFS($A$4:$A$810,$A356,$E$4:$E$810,"Win"),0))</f>
        <v>0</v>
      </c>
      <c r="X356">
        <f>IF($D356="",0,1/(1+10^(($W356-$V356)/400)))</f>
        <v>0</v>
      </c>
      <c r="Y356">
        <f>IF($D356="",0,IFERROR(SUMIFS($U$4:$U$810,$A$4:$A$810,$A356,$E$4:$E$810,"Win")/COUNTIFS($A$4:$A$810,$A356,$E$4:$E$810,"Win"),0))</f>
        <v>0</v>
      </c>
      <c r="Z356">
        <f>IF($D356="",0,1/(1+10^(($Y356-$U356)/400)))</f>
        <v>0</v>
      </c>
      <c r="AA356">
        <f>IF($D356="",0,IF($F356&lt;2,0,IF($E356="Win",('Guide &amp; Settings'!$C$42/(($F356-1)*COUNTIFS($A$4:$A$810,$A356,$E$4:$E$810,"Win")))*SUMIFS($Z$4:$Z$810,$A$4:$A$810,$A356,$E$4:$E$810,"Loss"),-('Guide &amp; Settings'!$C$42/($F356-1))*$Z356)))</f>
        <v>0</v>
      </c>
      <c r="AB356" s="125">
        <f>IF($D356="",0,$U356+$AA356)</f>
        <v>0</v>
      </c>
      <c r="AC356" s="125" t="str">
        <f>IF($D356="","",IF(SUMPRODUCT(MAX(($D$4:$D$810=$D356)*($B$4:$B$810&lt;$B356)*$B$4:$B$810))=0,0,MAX(($B356-MAX(SUMPRODUCT(MAX(($D$4:$D$810=$D356)*($B$4:$B$810&lt;$B356)*$B$4:$B$810)),'Guide &amp; Settings'!$C$50))/7-'Guide &amp; Settings'!$C$48,0)*'Guide &amp; Settings'!$C$49))</f>
      </c>
    </row>
    <row r="357" spans="1:29">
      <c r="A357" s="116"/>
      <c r="B357" s="117"/>
      <c r="C357" s="118"/>
      <c r="D357" s="118"/>
      <c r="E357" s="116"/>
      <c r="F357" s="119">
        <f>IF($D357="",0,COUNTIF($A$4:$A$810,$A357))</f>
        <v>0</v>
      </c>
      <c r="G357" s="120">
        <f>IF($D357="","",IFERROR(LOOKUP(2,1/(($A$4:$A$810=$A357)*($E$4:$E$810="Win")),$D$4:$D$810),"(no winner)"))</f>
        <v>0</v>
      </c>
      <c r="H357" s="121">
        <f>IF($D357="",0,IFERROR(LOOKUP(2,1/(($D$3:D356=$D357)*($A$3:A356&lt;$A357)),$N$3:N356),'Guide &amp; Settings'!$C$41))</f>
        <v>0</v>
      </c>
      <c r="I357" s="122">
        <f>IF($D357="",0,IF($S357=0,0,$R357/$S357))</f>
        <v>0</v>
      </c>
      <c r="J357" s="123">
        <f>IF($D357="",0,IF($F357&lt;2,0,IF($E357="Win",('Guide &amp; Settings'!$C$42/(($F357-1)*COUNTIFS($A$4:$A$810,$A357,$E$4:$E$810,"Win")))*SUMIFS($X$4:$X$810,$A$4:$A$810,$A357,$E$4:$E$810,"Loss"),-('Guide &amp; Settings'!$C$42/($F357-1))*$X357)))</f>
        <v>0</v>
      </c>
      <c r="K357" s="123">
        <f>IF($D357="",0,'Guide &amp; Settings'!$C$43*(IF($E357="Win",1,0)-$I357))</f>
        <v>0</v>
      </c>
      <c r="L357" s="124">
        <f>IF($D357="",0,'Guide &amp; Settings'!$C$44*IF($F357&gt;=3,$F357+IF($E357="Win",$F357,0),0))</f>
        <v>0</v>
      </c>
      <c r="M357" s="123">
        <f>IF($D357="",0,$J357+$K357+$L357)</f>
        <v>0</v>
      </c>
      <c r="N357" s="121">
        <f>IF($D357="",0,$H357+$M357)</f>
        <v>0</v>
      </c>
      <c r="O357" s="120" t="str">
        <f>IF($D357="","",IF(COUNTIFS($A$4:$A$810,$A357,$E$4:$E$810,"Win")=0,"need a winner",IF(COUNTIFS($A$4:$A$810,$A357,$E$4:$E$810,"Loss")=0,"need a loser",IF(COUNTIFS($A$4:$A$810,$A357,$D$4:$D$810,$D357)&gt;1,"duplicate player","OK"))))</f>
      </c>
      <c r="P357">
        <f>IF($D357="",0,IFERROR(SUMIFS($H$4:$H$810,$A$4:$A$810,$A357,$E$4:$E$810,"Win")/COUNTIFS($A$4:$A$810,$A357,$E$4:$E$810,"Win"),0))</f>
        <v>0</v>
      </c>
      <c r="Q357">
        <f>IF($D357="",0,1/(1+10^(($P357-$H357)/400)))</f>
        <v>0</v>
      </c>
      <c r="R357">
        <f>IF($D357="",0,(COUNTIFS($D$4:$D$810,$D357,$C$4:$C$810,$C357,$E$4:$E$810,"Win",$A$4:$A$810,"&lt;"&amp;$A357)+1)/(COUNTIFS($D$4:$D$810,$D357,$C$4:$C$810,$C357,$A$4:$A$810,"&lt;"&amp;$A357)+2))</f>
        <v>0</v>
      </c>
      <c r="S357">
        <f>IF($D357="",0,SUMIFS($R$4:$R$810,$A$4:$A$810,$A357))</f>
        <v>0</v>
      </c>
      <c r="T357" s="88">
        <f>IF($D357="",0,COUNTIFS($D$4:$D$810,$D357,$C$4:$C$810,$C357,$A$4:$A$810,"&lt;"&amp;$A357))</f>
        <v>0</v>
      </c>
      <c r="U357" s="125">
        <f>IF($D357="",0,IFERROR(LOOKUP(2,1/(($D$3:D356=$D357)*($C$3:C356=$C357)*($A$3:A356&lt;$A357)),$AB$3:AB356),1000))</f>
        <v>0</v>
      </c>
      <c r="V357" s="125">
        <f>IF($D357="",0,$U357*($T357/($T357+5))+$H357*(1-$T357/($T357+5)))</f>
        <v>0</v>
      </c>
      <c r="W357">
        <f>IF($D357="",0,IFERROR(SUMIFS($V$4:$V$810,$A$4:$A$810,$A357,$E$4:$E$810,"Win")/COUNTIFS($A$4:$A$810,$A357,$E$4:$E$810,"Win"),0))</f>
        <v>0</v>
      </c>
      <c r="X357">
        <f>IF($D357="",0,1/(1+10^(($W357-$V357)/400)))</f>
        <v>0</v>
      </c>
      <c r="Y357">
        <f>IF($D357="",0,IFERROR(SUMIFS($U$4:$U$810,$A$4:$A$810,$A357,$E$4:$E$810,"Win")/COUNTIFS($A$4:$A$810,$A357,$E$4:$E$810,"Win"),0))</f>
        <v>0</v>
      </c>
      <c r="Z357">
        <f>IF($D357="",0,1/(1+10^(($Y357-$U357)/400)))</f>
        <v>0</v>
      </c>
      <c r="AA357">
        <f>IF($D357="",0,IF($F357&lt;2,0,IF($E357="Win",('Guide &amp; Settings'!$C$42/(($F357-1)*COUNTIFS($A$4:$A$810,$A357,$E$4:$E$810,"Win")))*SUMIFS($Z$4:$Z$810,$A$4:$A$810,$A357,$E$4:$E$810,"Loss"),-('Guide &amp; Settings'!$C$42/($F357-1))*$Z357)))</f>
        <v>0</v>
      </c>
      <c r="AB357" s="125">
        <f>IF($D357="",0,$U357+$AA357)</f>
        <v>0</v>
      </c>
      <c r="AC357" s="125" t="str">
        <f>IF($D357="","",IF(SUMPRODUCT(MAX(($D$4:$D$810=$D357)*($B$4:$B$810&lt;$B357)*$B$4:$B$810))=0,0,MAX(($B357-MAX(SUMPRODUCT(MAX(($D$4:$D$810=$D357)*($B$4:$B$810&lt;$B357)*$B$4:$B$810)),'Guide &amp; Settings'!$C$50))/7-'Guide &amp; Settings'!$C$48,0)*'Guide &amp; Settings'!$C$49))</f>
      </c>
    </row>
    <row r="358" spans="1:29">
      <c r="A358" s="116"/>
      <c r="B358" s="117"/>
      <c r="C358" s="118"/>
      <c r="D358" s="118"/>
      <c r="E358" s="116"/>
      <c r="F358" s="119">
        <f>IF($D358="",0,COUNTIF($A$4:$A$810,$A358))</f>
        <v>0</v>
      </c>
      <c r="G358" s="120">
        <f>IF($D358="","",IFERROR(LOOKUP(2,1/(($A$4:$A$810=$A358)*($E$4:$E$810="Win")),$D$4:$D$810),"(no winner)"))</f>
        <v>0</v>
      </c>
      <c r="H358" s="121">
        <f>IF($D358="",0,IFERROR(LOOKUP(2,1/(($D$3:D357=$D358)*($A$3:A357&lt;$A358)),$N$3:N357),'Guide &amp; Settings'!$C$41))</f>
        <v>0</v>
      </c>
      <c r="I358" s="122">
        <f>IF($D358="",0,IF($S358=0,0,$R358/$S358))</f>
        <v>0</v>
      </c>
      <c r="J358" s="123">
        <f>IF($D358="",0,IF($F358&lt;2,0,IF($E358="Win",('Guide &amp; Settings'!$C$42/(($F358-1)*COUNTIFS($A$4:$A$810,$A358,$E$4:$E$810,"Win")))*SUMIFS($X$4:$X$810,$A$4:$A$810,$A358,$E$4:$E$810,"Loss"),-('Guide &amp; Settings'!$C$42/($F358-1))*$X358)))</f>
        <v>0</v>
      </c>
      <c r="K358" s="123">
        <f>IF($D358="",0,'Guide &amp; Settings'!$C$43*(IF($E358="Win",1,0)-$I358))</f>
        <v>0</v>
      </c>
      <c r="L358" s="124">
        <f>IF($D358="",0,'Guide &amp; Settings'!$C$44*IF($F358&gt;=3,$F358+IF($E358="Win",$F358,0),0))</f>
        <v>0</v>
      </c>
      <c r="M358" s="123">
        <f>IF($D358="",0,$J358+$K358+$L358)</f>
        <v>0</v>
      </c>
      <c r="N358" s="121">
        <f>IF($D358="",0,$H358+$M358)</f>
        <v>0</v>
      </c>
      <c r="O358" s="120" t="str">
        <f>IF($D358="","",IF(COUNTIFS($A$4:$A$810,$A358,$E$4:$E$810,"Win")=0,"need a winner",IF(COUNTIFS($A$4:$A$810,$A358,$E$4:$E$810,"Loss")=0,"need a loser",IF(COUNTIFS($A$4:$A$810,$A358,$D$4:$D$810,$D358)&gt;1,"duplicate player","OK"))))</f>
      </c>
      <c r="P358">
        <f>IF($D358="",0,IFERROR(SUMIFS($H$4:$H$810,$A$4:$A$810,$A358,$E$4:$E$810,"Win")/COUNTIFS($A$4:$A$810,$A358,$E$4:$E$810,"Win"),0))</f>
        <v>0</v>
      </c>
      <c r="Q358">
        <f>IF($D358="",0,1/(1+10^(($P358-$H358)/400)))</f>
        <v>0</v>
      </c>
      <c r="R358">
        <f>IF($D358="",0,(COUNTIFS($D$4:$D$810,$D358,$C$4:$C$810,$C358,$E$4:$E$810,"Win",$A$4:$A$810,"&lt;"&amp;$A358)+1)/(COUNTIFS($D$4:$D$810,$D358,$C$4:$C$810,$C358,$A$4:$A$810,"&lt;"&amp;$A358)+2))</f>
        <v>0</v>
      </c>
      <c r="S358">
        <f>IF($D358="",0,SUMIFS($R$4:$R$810,$A$4:$A$810,$A358))</f>
        <v>0</v>
      </c>
      <c r="T358" s="88">
        <f>IF($D358="",0,COUNTIFS($D$4:$D$810,$D358,$C$4:$C$810,$C358,$A$4:$A$810,"&lt;"&amp;$A358))</f>
        <v>0</v>
      </c>
      <c r="U358" s="125">
        <f>IF($D358="",0,IFERROR(LOOKUP(2,1/(($D$3:D357=$D358)*($C$3:C357=$C358)*($A$3:A357&lt;$A358)),$AB$3:AB357),1000))</f>
        <v>0</v>
      </c>
      <c r="V358" s="125">
        <f>IF($D358="",0,$U358*($T358/($T358+5))+$H358*(1-$T358/($T358+5)))</f>
        <v>0</v>
      </c>
      <c r="W358">
        <f>IF($D358="",0,IFERROR(SUMIFS($V$4:$V$810,$A$4:$A$810,$A358,$E$4:$E$810,"Win")/COUNTIFS($A$4:$A$810,$A358,$E$4:$E$810,"Win"),0))</f>
        <v>0</v>
      </c>
      <c r="X358">
        <f>IF($D358="",0,1/(1+10^(($W358-$V358)/400)))</f>
        <v>0</v>
      </c>
      <c r="Y358">
        <f>IF($D358="",0,IFERROR(SUMIFS($U$4:$U$810,$A$4:$A$810,$A358,$E$4:$E$810,"Win")/COUNTIFS($A$4:$A$810,$A358,$E$4:$E$810,"Win"),0))</f>
        <v>0</v>
      </c>
      <c r="Z358">
        <f>IF($D358="",0,1/(1+10^(($Y358-$U358)/400)))</f>
        <v>0</v>
      </c>
      <c r="AA358">
        <f>IF($D358="",0,IF($F358&lt;2,0,IF($E358="Win",('Guide &amp; Settings'!$C$42/(($F358-1)*COUNTIFS($A$4:$A$810,$A358,$E$4:$E$810,"Win")))*SUMIFS($Z$4:$Z$810,$A$4:$A$810,$A358,$E$4:$E$810,"Loss"),-('Guide &amp; Settings'!$C$42/($F358-1))*$Z358)))</f>
        <v>0</v>
      </c>
      <c r="AB358" s="125">
        <f>IF($D358="",0,$U358+$AA358)</f>
        <v>0</v>
      </c>
      <c r="AC358" s="125" t="str">
        <f>IF($D358="","",IF(SUMPRODUCT(MAX(($D$4:$D$810=$D358)*($B$4:$B$810&lt;$B358)*$B$4:$B$810))=0,0,MAX(($B358-MAX(SUMPRODUCT(MAX(($D$4:$D$810=$D358)*($B$4:$B$810&lt;$B358)*$B$4:$B$810)),'Guide &amp; Settings'!$C$50))/7-'Guide &amp; Settings'!$C$48,0)*'Guide &amp; Settings'!$C$49))</f>
      </c>
    </row>
    <row r="359" spans="1:29">
      <c r="A359" s="116"/>
      <c r="B359" s="117"/>
      <c r="C359" s="118"/>
      <c r="D359" s="118"/>
      <c r="E359" s="116"/>
      <c r="F359" s="119">
        <f>IF($D359="",0,COUNTIF($A$4:$A$810,$A359))</f>
        <v>0</v>
      </c>
      <c r="G359" s="120">
        <f>IF($D359="","",IFERROR(LOOKUP(2,1/(($A$4:$A$810=$A359)*($E$4:$E$810="Win")),$D$4:$D$810),"(no winner)"))</f>
        <v>0</v>
      </c>
      <c r="H359" s="121">
        <f>IF($D359="",0,IFERROR(LOOKUP(2,1/(($D$3:D358=$D359)*($A$3:A358&lt;$A359)),$N$3:N358),'Guide &amp; Settings'!$C$41))</f>
        <v>0</v>
      </c>
      <c r="I359" s="122">
        <f>IF($D359="",0,IF($S359=0,0,$R359/$S359))</f>
        <v>0</v>
      </c>
      <c r="J359" s="123">
        <f>IF($D359="",0,IF($F359&lt;2,0,IF($E359="Win",('Guide &amp; Settings'!$C$42/(($F359-1)*COUNTIFS($A$4:$A$810,$A359,$E$4:$E$810,"Win")))*SUMIFS($X$4:$X$810,$A$4:$A$810,$A359,$E$4:$E$810,"Loss"),-('Guide &amp; Settings'!$C$42/($F359-1))*$X359)))</f>
        <v>0</v>
      </c>
      <c r="K359" s="123">
        <f>IF($D359="",0,'Guide &amp; Settings'!$C$43*(IF($E359="Win",1,0)-$I359))</f>
        <v>0</v>
      </c>
      <c r="L359" s="124">
        <f>IF($D359="",0,'Guide &amp; Settings'!$C$44*IF($F359&gt;=3,$F359+IF($E359="Win",$F359,0),0))</f>
        <v>0</v>
      </c>
      <c r="M359" s="123">
        <f>IF($D359="",0,$J359+$K359+$L359)</f>
        <v>0</v>
      </c>
      <c r="N359" s="121">
        <f>IF($D359="",0,$H359+$M359)</f>
        <v>0</v>
      </c>
      <c r="O359" s="120" t="str">
        <f>IF($D359="","",IF(COUNTIFS($A$4:$A$810,$A359,$E$4:$E$810,"Win")=0,"need a winner",IF(COUNTIFS($A$4:$A$810,$A359,$E$4:$E$810,"Loss")=0,"need a loser",IF(COUNTIFS($A$4:$A$810,$A359,$D$4:$D$810,$D359)&gt;1,"duplicate player","OK"))))</f>
      </c>
      <c r="P359">
        <f>IF($D359="",0,IFERROR(SUMIFS($H$4:$H$810,$A$4:$A$810,$A359,$E$4:$E$810,"Win")/COUNTIFS($A$4:$A$810,$A359,$E$4:$E$810,"Win"),0))</f>
        <v>0</v>
      </c>
      <c r="Q359">
        <f>IF($D359="",0,1/(1+10^(($P359-$H359)/400)))</f>
        <v>0</v>
      </c>
      <c r="R359">
        <f>IF($D359="",0,(COUNTIFS($D$4:$D$810,$D359,$C$4:$C$810,$C359,$E$4:$E$810,"Win",$A$4:$A$810,"&lt;"&amp;$A359)+1)/(COUNTIFS($D$4:$D$810,$D359,$C$4:$C$810,$C359,$A$4:$A$810,"&lt;"&amp;$A359)+2))</f>
        <v>0</v>
      </c>
      <c r="S359">
        <f>IF($D359="",0,SUMIFS($R$4:$R$810,$A$4:$A$810,$A359))</f>
        <v>0</v>
      </c>
      <c r="T359" s="88">
        <f>IF($D359="",0,COUNTIFS($D$4:$D$810,$D359,$C$4:$C$810,$C359,$A$4:$A$810,"&lt;"&amp;$A359))</f>
        <v>0</v>
      </c>
      <c r="U359" s="125">
        <f>IF($D359="",0,IFERROR(LOOKUP(2,1/(($D$3:D358=$D359)*($C$3:C358=$C359)*($A$3:A358&lt;$A359)),$AB$3:AB358),1000))</f>
        <v>0</v>
      </c>
      <c r="V359" s="125">
        <f>IF($D359="",0,$U359*($T359/($T359+5))+$H359*(1-$T359/($T359+5)))</f>
        <v>0</v>
      </c>
      <c r="W359">
        <f>IF($D359="",0,IFERROR(SUMIFS($V$4:$V$810,$A$4:$A$810,$A359,$E$4:$E$810,"Win")/COUNTIFS($A$4:$A$810,$A359,$E$4:$E$810,"Win"),0))</f>
        <v>0</v>
      </c>
      <c r="X359">
        <f>IF($D359="",0,1/(1+10^(($W359-$V359)/400)))</f>
        <v>0</v>
      </c>
      <c r="Y359">
        <f>IF($D359="",0,IFERROR(SUMIFS($U$4:$U$810,$A$4:$A$810,$A359,$E$4:$E$810,"Win")/COUNTIFS($A$4:$A$810,$A359,$E$4:$E$810,"Win"),0))</f>
        <v>0</v>
      </c>
      <c r="Z359">
        <f>IF($D359="",0,1/(1+10^(($Y359-$U359)/400)))</f>
        <v>0</v>
      </c>
      <c r="AA359">
        <f>IF($D359="",0,IF($F359&lt;2,0,IF($E359="Win",('Guide &amp; Settings'!$C$42/(($F359-1)*COUNTIFS($A$4:$A$810,$A359,$E$4:$E$810,"Win")))*SUMIFS($Z$4:$Z$810,$A$4:$A$810,$A359,$E$4:$E$810,"Loss"),-('Guide &amp; Settings'!$C$42/($F359-1))*$Z359)))</f>
        <v>0</v>
      </c>
      <c r="AB359" s="125">
        <f>IF($D359="",0,$U359+$AA359)</f>
        <v>0</v>
      </c>
      <c r="AC359" s="125" t="str">
        <f>IF($D359="","",IF(SUMPRODUCT(MAX(($D$4:$D$810=$D359)*($B$4:$B$810&lt;$B359)*$B$4:$B$810))=0,0,MAX(($B359-MAX(SUMPRODUCT(MAX(($D$4:$D$810=$D359)*($B$4:$B$810&lt;$B359)*$B$4:$B$810)),'Guide &amp; Settings'!$C$50))/7-'Guide &amp; Settings'!$C$48,0)*'Guide &amp; Settings'!$C$49))</f>
      </c>
    </row>
    <row r="360" spans="1:29">
      <c r="A360" s="116"/>
      <c r="B360" s="117"/>
      <c r="C360" s="118"/>
      <c r="D360" s="118"/>
      <c r="E360" s="116"/>
      <c r="F360" s="119">
        <f>IF($D360="",0,COUNTIF($A$4:$A$810,$A360))</f>
        <v>0</v>
      </c>
      <c r="G360" s="120">
        <f>IF($D360="","",IFERROR(LOOKUP(2,1/(($A$4:$A$810=$A360)*($E$4:$E$810="Win")),$D$4:$D$810),"(no winner)"))</f>
        <v>0</v>
      </c>
      <c r="H360" s="121">
        <f>IF($D360="",0,IFERROR(LOOKUP(2,1/(($D$3:D359=$D360)*($A$3:A359&lt;$A360)),$N$3:N359),'Guide &amp; Settings'!$C$41))</f>
        <v>0</v>
      </c>
      <c r="I360" s="122">
        <f>IF($D360="",0,IF($S360=0,0,$R360/$S360))</f>
        <v>0</v>
      </c>
      <c r="J360" s="123">
        <f>IF($D360="",0,IF($F360&lt;2,0,IF($E360="Win",('Guide &amp; Settings'!$C$42/(($F360-1)*COUNTIFS($A$4:$A$810,$A360,$E$4:$E$810,"Win")))*SUMIFS($X$4:$X$810,$A$4:$A$810,$A360,$E$4:$E$810,"Loss"),-('Guide &amp; Settings'!$C$42/($F360-1))*$X360)))</f>
        <v>0</v>
      </c>
      <c r="K360" s="123">
        <f>IF($D360="",0,'Guide &amp; Settings'!$C$43*(IF($E360="Win",1,0)-$I360))</f>
        <v>0</v>
      </c>
      <c r="L360" s="124">
        <f>IF($D360="",0,'Guide &amp; Settings'!$C$44*IF($F360&gt;=3,$F360+IF($E360="Win",$F360,0),0))</f>
        <v>0</v>
      </c>
      <c r="M360" s="123">
        <f>IF($D360="",0,$J360+$K360+$L360)</f>
        <v>0</v>
      </c>
      <c r="N360" s="121">
        <f>IF($D360="",0,$H360+$M360)</f>
        <v>0</v>
      </c>
      <c r="O360" s="120" t="str">
        <f>IF($D360="","",IF(COUNTIFS($A$4:$A$810,$A360,$E$4:$E$810,"Win")=0,"need a winner",IF(COUNTIFS($A$4:$A$810,$A360,$E$4:$E$810,"Loss")=0,"need a loser",IF(COUNTIFS($A$4:$A$810,$A360,$D$4:$D$810,$D360)&gt;1,"duplicate player","OK"))))</f>
      </c>
      <c r="P360">
        <f>IF($D360="",0,IFERROR(SUMIFS($H$4:$H$810,$A$4:$A$810,$A360,$E$4:$E$810,"Win")/COUNTIFS($A$4:$A$810,$A360,$E$4:$E$810,"Win"),0))</f>
        <v>0</v>
      </c>
      <c r="Q360">
        <f>IF($D360="",0,1/(1+10^(($P360-$H360)/400)))</f>
        <v>0</v>
      </c>
      <c r="R360">
        <f>IF($D360="",0,(COUNTIFS($D$4:$D$810,$D360,$C$4:$C$810,$C360,$E$4:$E$810,"Win",$A$4:$A$810,"&lt;"&amp;$A360)+1)/(COUNTIFS($D$4:$D$810,$D360,$C$4:$C$810,$C360,$A$4:$A$810,"&lt;"&amp;$A360)+2))</f>
        <v>0</v>
      </c>
      <c r="S360">
        <f>IF($D360="",0,SUMIFS($R$4:$R$810,$A$4:$A$810,$A360))</f>
        <v>0</v>
      </c>
      <c r="T360" s="88">
        <f>IF($D360="",0,COUNTIFS($D$4:$D$810,$D360,$C$4:$C$810,$C360,$A$4:$A$810,"&lt;"&amp;$A360))</f>
        <v>0</v>
      </c>
      <c r="U360" s="125">
        <f>IF($D360="",0,IFERROR(LOOKUP(2,1/(($D$3:D359=$D360)*($C$3:C359=$C360)*($A$3:A359&lt;$A360)),$AB$3:AB359),1000))</f>
        <v>0</v>
      </c>
      <c r="V360" s="125">
        <f>IF($D360="",0,$U360*($T360/($T360+5))+$H360*(1-$T360/($T360+5)))</f>
        <v>0</v>
      </c>
      <c r="W360">
        <f>IF($D360="",0,IFERROR(SUMIFS($V$4:$V$810,$A$4:$A$810,$A360,$E$4:$E$810,"Win")/COUNTIFS($A$4:$A$810,$A360,$E$4:$E$810,"Win"),0))</f>
        <v>0</v>
      </c>
      <c r="X360">
        <f>IF($D360="",0,1/(1+10^(($W360-$V360)/400)))</f>
        <v>0</v>
      </c>
      <c r="Y360">
        <f>IF($D360="",0,IFERROR(SUMIFS($U$4:$U$810,$A$4:$A$810,$A360,$E$4:$E$810,"Win")/COUNTIFS($A$4:$A$810,$A360,$E$4:$E$810,"Win"),0))</f>
        <v>0</v>
      </c>
      <c r="Z360">
        <f>IF($D360="",0,1/(1+10^(($Y360-$U360)/400)))</f>
        <v>0</v>
      </c>
      <c r="AA360">
        <f>IF($D360="",0,IF($F360&lt;2,0,IF($E360="Win",('Guide &amp; Settings'!$C$42/(($F360-1)*COUNTIFS($A$4:$A$810,$A360,$E$4:$E$810,"Win")))*SUMIFS($Z$4:$Z$810,$A$4:$A$810,$A360,$E$4:$E$810,"Loss"),-('Guide &amp; Settings'!$C$42/($F360-1))*$Z360)))</f>
        <v>0</v>
      </c>
      <c r="AB360" s="125">
        <f>IF($D360="",0,$U360+$AA360)</f>
        <v>0</v>
      </c>
      <c r="AC360" s="125" t="str">
        <f>IF($D360="","",IF(SUMPRODUCT(MAX(($D$4:$D$810=$D360)*($B$4:$B$810&lt;$B360)*$B$4:$B$810))=0,0,MAX(($B360-MAX(SUMPRODUCT(MAX(($D$4:$D$810=$D360)*($B$4:$B$810&lt;$B360)*$B$4:$B$810)),'Guide &amp; Settings'!$C$50))/7-'Guide &amp; Settings'!$C$48,0)*'Guide &amp; Settings'!$C$49))</f>
      </c>
    </row>
    <row r="361" spans="1:29">
      <c r="A361" s="116"/>
      <c r="B361" s="117"/>
      <c r="C361" s="118"/>
      <c r="D361" s="118"/>
      <c r="E361" s="116"/>
      <c r="F361" s="119">
        <f>IF($D361="",0,COUNTIF($A$4:$A$810,$A361))</f>
        <v>0</v>
      </c>
      <c r="G361" s="120">
        <f>IF($D361="","",IFERROR(LOOKUP(2,1/(($A$4:$A$810=$A361)*($E$4:$E$810="Win")),$D$4:$D$810),"(no winner)"))</f>
        <v>0</v>
      </c>
      <c r="H361" s="121">
        <f>IF($D361="",0,IFERROR(LOOKUP(2,1/(($D$3:D360=$D361)*($A$3:A360&lt;$A361)),$N$3:N360),'Guide &amp; Settings'!$C$41))</f>
        <v>0</v>
      </c>
      <c r="I361" s="122">
        <f>IF($D361="",0,IF($S361=0,0,$R361/$S361))</f>
        <v>0</v>
      </c>
      <c r="J361" s="123">
        <f>IF($D361="",0,IF($F361&lt;2,0,IF($E361="Win",('Guide &amp; Settings'!$C$42/(($F361-1)*COUNTIFS($A$4:$A$810,$A361,$E$4:$E$810,"Win")))*SUMIFS($X$4:$X$810,$A$4:$A$810,$A361,$E$4:$E$810,"Loss"),-('Guide &amp; Settings'!$C$42/($F361-1))*$X361)))</f>
        <v>0</v>
      </c>
      <c r="K361" s="123">
        <f>IF($D361="",0,'Guide &amp; Settings'!$C$43*(IF($E361="Win",1,0)-$I361))</f>
        <v>0</v>
      </c>
      <c r="L361" s="124">
        <f>IF($D361="",0,'Guide &amp; Settings'!$C$44*IF($F361&gt;=3,$F361+IF($E361="Win",$F361,0),0))</f>
        <v>0</v>
      </c>
      <c r="M361" s="123">
        <f>IF($D361="",0,$J361+$K361+$L361)</f>
        <v>0</v>
      </c>
      <c r="N361" s="121">
        <f>IF($D361="",0,$H361+$M361)</f>
        <v>0</v>
      </c>
      <c r="O361" s="120" t="str">
        <f>IF($D361="","",IF(COUNTIFS($A$4:$A$810,$A361,$E$4:$E$810,"Win")=0,"need a winner",IF(COUNTIFS($A$4:$A$810,$A361,$E$4:$E$810,"Loss")=0,"need a loser",IF(COUNTIFS($A$4:$A$810,$A361,$D$4:$D$810,$D361)&gt;1,"duplicate player","OK"))))</f>
      </c>
      <c r="P361">
        <f>IF($D361="",0,IFERROR(SUMIFS($H$4:$H$810,$A$4:$A$810,$A361,$E$4:$E$810,"Win")/COUNTIFS($A$4:$A$810,$A361,$E$4:$E$810,"Win"),0))</f>
        <v>0</v>
      </c>
      <c r="Q361">
        <f>IF($D361="",0,1/(1+10^(($P361-$H361)/400)))</f>
        <v>0</v>
      </c>
      <c r="R361">
        <f>IF($D361="",0,(COUNTIFS($D$4:$D$810,$D361,$C$4:$C$810,$C361,$E$4:$E$810,"Win",$A$4:$A$810,"&lt;"&amp;$A361)+1)/(COUNTIFS($D$4:$D$810,$D361,$C$4:$C$810,$C361,$A$4:$A$810,"&lt;"&amp;$A361)+2))</f>
        <v>0</v>
      </c>
      <c r="S361">
        <f>IF($D361="",0,SUMIFS($R$4:$R$810,$A$4:$A$810,$A361))</f>
        <v>0</v>
      </c>
      <c r="T361" s="88">
        <f>IF($D361="",0,COUNTIFS($D$4:$D$810,$D361,$C$4:$C$810,$C361,$A$4:$A$810,"&lt;"&amp;$A361))</f>
        <v>0</v>
      </c>
      <c r="U361" s="125">
        <f>IF($D361="",0,IFERROR(LOOKUP(2,1/(($D$3:D360=$D361)*($C$3:C360=$C361)*($A$3:A360&lt;$A361)),$AB$3:AB360),1000))</f>
        <v>0</v>
      </c>
      <c r="V361" s="125">
        <f>IF($D361="",0,$U361*($T361/($T361+5))+$H361*(1-$T361/($T361+5)))</f>
        <v>0</v>
      </c>
      <c r="W361">
        <f>IF($D361="",0,IFERROR(SUMIFS($V$4:$V$810,$A$4:$A$810,$A361,$E$4:$E$810,"Win")/COUNTIFS($A$4:$A$810,$A361,$E$4:$E$810,"Win"),0))</f>
        <v>0</v>
      </c>
      <c r="X361">
        <f>IF($D361="",0,1/(1+10^(($W361-$V361)/400)))</f>
        <v>0</v>
      </c>
      <c r="Y361">
        <f>IF($D361="",0,IFERROR(SUMIFS($U$4:$U$810,$A$4:$A$810,$A361,$E$4:$E$810,"Win")/COUNTIFS($A$4:$A$810,$A361,$E$4:$E$810,"Win"),0))</f>
        <v>0</v>
      </c>
      <c r="Z361">
        <f>IF($D361="",0,1/(1+10^(($Y361-$U361)/400)))</f>
        <v>0</v>
      </c>
      <c r="AA361">
        <f>IF($D361="",0,IF($F361&lt;2,0,IF($E361="Win",('Guide &amp; Settings'!$C$42/(($F361-1)*COUNTIFS($A$4:$A$810,$A361,$E$4:$E$810,"Win")))*SUMIFS($Z$4:$Z$810,$A$4:$A$810,$A361,$E$4:$E$810,"Loss"),-('Guide &amp; Settings'!$C$42/($F361-1))*$Z361)))</f>
        <v>0</v>
      </c>
      <c r="AB361" s="125">
        <f>IF($D361="",0,$U361+$AA361)</f>
        <v>0</v>
      </c>
      <c r="AC361" s="125" t="str">
        <f>IF($D361="","",IF(SUMPRODUCT(MAX(($D$4:$D$810=$D361)*($B$4:$B$810&lt;$B361)*$B$4:$B$810))=0,0,MAX(($B361-MAX(SUMPRODUCT(MAX(($D$4:$D$810=$D361)*($B$4:$B$810&lt;$B361)*$B$4:$B$810)),'Guide &amp; Settings'!$C$50))/7-'Guide &amp; Settings'!$C$48,0)*'Guide &amp; Settings'!$C$49))</f>
      </c>
    </row>
    <row r="362" spans="1:29">
      <c r="A362" s="116"/>
      <c r="B362" s="117"/>
      <c r="C362" s="118"/>
      <c r="D362" s="118"/>
      <c r="E362" s="116"/>
      <c r="F362" s="119">
        <f>IF($D362="",0,COUNTIF($A$4:$A$810,$A362))</f>
        <v>0</v>
      </c>
      <c r="G362" s="120">
        <f>IF($D362="","",IFERROR(LOOKUP(2,1/(($A$4:$A$810=$A362)*($E$4:$E$810="Win")),$D$4:$D$810),"(no winner)"))</f>
        <v>0</v>
      </c>
      <c r="H362" s="121">
        <f>IF($D362="",0,IFERROR(LOOKUP(2,1/(($D$3:D361=$D362)*($A$3:A361&lt;$A362)),$N$3:N361),'Guide &amp; Settings'!$C$41))</f>
        <v>0</v>
      </c>
      <c r="I362" s="122">
        <f>IF($D362="",0,IF($S362=0,0,$R362/$S362))</f>
        <v>0</v>
      </c>
      <c r="J362" s="123">
        <f>IF($D362="",0,IF($F362&lt;2,0,IF($E362="Win",('Guide &amp; Settings'!$C$42/(($F362-1)*COUNTIFS($A$4:$A$810,$A362,$E$4:$E$810,"Win")))*SUMIFS($X$4:$X$810,$A$4:$A$810,$A362,$E$4:$E$810,"Loss"),-('Guide &amp; Settings'!$C$42/($F362-1))*$X362)))</f>
        <v>0</v>
      </c>
      <c r="K362" s="123">
        <f>IF($D362="",0,'Guide &amp; Settings'!$C$43*(IF($E362="Win",1,0)-$I362))</f>
        <v>0</v>
      </c>
      <c r="L362" s="124">
        <f>IF($D362="",0,'Guide &amp; Settings'!$C$44*IF($F362&gt;=3,$F362+IF($E362="Win",$F362,0),0))</f>
        <v>0</v>
      </c>
      <c r="M362" s="123">
        <f>IF($D362="",0,$J362+$K362+$L362)</f>
        <v>0</v>
      </c>
      <c r="N362" s="121">
        <f>IF($D362="",0,$H362+$M362)</f>
        <v>0</v>
      </c>
      <c r="O362" s="120" t="str">
        <f>IF($D362="","",IF(COUNTIFS($A$4:$A$810,$A362,$E$4:$E$810,"Win")=0,"need a winner",IF(COUNTIFS($A$4:$A$810,$A362,$E$4:$E$810,"Loss")=0,"need a loser",IF(COUNTIFS($A$4:$A$810,$A362,$D$4:$D$810,$D362)&gt;1,"duplicate player","OK"))))</f>
      </c>
      <c r="P362">
        <f>IF($D362="",0,IFERROR(SUMIFS($H$4:$H$810,$A$4:$A$810,$A362,$E$4:$E$810,"Win")/COUNTIFS($A$4:$A$810,$A362,$E$4:$E$810,"Win"),0))</f>
        <v>0</v>
      </c>
      <c r="Q362">
        <f>IF($D362="",0,1/(1+10^(($P362-$H362)/400)))</f>
        <v>0</v>
      </c>
      <c r="R362">
        <f>IF($D362="",0,(COUNTIFS($D$4:$D$810,$D362,$C$4:$C$810,$C362,$E$4:$E$810,"Win",$A$4:$A$810,"&lt;"&amp;$A362)+1)/(COUNTIFS($D$4:$D$810,$D362,$C$4:$C$810,$C362,$A$4:$A$810,"&lt;"&amp;$A362)+2))</f>
        <v>0</v>
      </c>
      <c r="S362">
        <f>IF($D362="",0,SUMIFS($R$4:$R$810,$A$4:$A$810,$A362))</f>
        <v>0</v>
      </c>
      <c r="T362" s="88">
        <f>IF($D362="",0,COUNTIFS($D$4:$D$810,$D362,$C$4:$C$810,$C362,$A$4:$A$810,"&lt;"&amp;$A362))</f>
        <v>0</v>
      </c>
      <c r="U362" s="125">
        <f>IF($D362="",0,IFERROR(LOOKUP(2,1/(($D$3:D361=$D362)*($C$3:C361=$C362)*($A$3:A361&lt;$A362)),$AB$3:AB361),1000))</f>
        <v>0</v>
      </c>
      <c r="V362" s="125">
        <f>IF($D362="",0,$U362*($T362/($T362+5))+$H362*(1-$T362/($T362+5)))</f>
        <v>0</v>
      </c>
      <c r="W362">
        <f>IF($D362="",0,IFERROR(SUMIFS($V$4:$V$810,$A$4:$A$810,$A362,$E$4:$E$810,"Win")/COUNTIFS($A$4:$A$810,$A362,$E$4:$E$810,"Win"),0))</f>
        <v>0</v>
      </c>
      <c r="X362">
        <f>IF($D362="",0,1/(1+10^(($W362-$V362)/400)))</f>
        <v>0</v>
      </c>
      <c r="Y362">
        <f>IF($D362="",0,IFERROR(SUMIFS($U$4:$U$810,$A$4:$A$810,$A362,$E$4:$E$810,"Win")/COUNTIFS($A$4:$A$810,$A362,$E$4:$E$810,"Win"),0))</f>
        <v>0</v>
      </c>
      <c r="Z362">
        <f>IF($D362="",0,1/(1+10^(($Y362-$U362)/400)))</f>
        <v>0</v>
      </c>
      <c r="AA362">
        <f>IF($D362="",0,IF($F362&lt;2,0,IF($E362="Win",('Guide &amp; Settings'!$C$42/(($F362-1)*COUNTIFS($A$4:$A$810,$A362,$E$4:$E$810,"Win")))*SUMIFS($Z$4:$Z$810,$A$4:$A$810,$A362,$E$4:$E$810,"Loss"),-('Guide &amp; Settings'!$C$42/($F362-1))*$Z362)))</f>
        <v>0</v>
      </c>
      <c r="AB362" s="125">
        <f>IF($D362="",0,$U362+$AA362)</f>
        <v>0</v>
      </c>
      <c r="AC362" s="125" t="str">
        <f>IF($D362="","",IF(SUMPRODUCT(MAX(($D$4:$D$810=$D362)*($B$4:$B$810&lt;$B362)*$B$4:$B$810))=0,0,MAX(($B362-MAX(SUMPRODUCT(MAX(($D$4:$D$810=$D362)*($B$4:$B$810&lt;$B362)*$B$4:$B$810)),'Guide &amp; Settings'!$C$50))/7-'Guide &amp; Settings'!$C$48,0)*'Guide &amp; Settings'!$C$49))</f>
      </c>
    </row>
    <row r="363" spans="1:29">
      <c r="A363" s="116"/>
      <c r="B363" s="117"/>
      <c r="C363" s="118"/>
      <c r="D363" s="118"/>
      <c r="E363" s="116"/>
      <c r="F363" s="119">
        <f>IF($D363="",0,COUNTIF($A$4:$A$810,$A363))</f>
        <v>0</v>
      </c>
      <c r="G363" s="120">
        <f>IF($D363="","",IFERROR(LOOKUP(2,1/(($A$4:$A$810=$A363)*($E$4:$E$810="Win")),$D$4:$D$810),"(no winner)"))</f>
        <v>0</v>
      </c>
      <c r="H363" s="121">
        <f>IF($D363="",0,IFERROR(LOOKUP(2,1/(($D$3:D362=$D363)*($A$3:A362&lt;$A363)),$N$3:N362),'Guide &amp; Settings'!$C$41))</f>
        <v>0</v>
      </c>
      <c r="I363" s="122">
        <f>IF($D363="",0,IF($S363=0,0,$R363/$S363))</f>
        <v>0</v>
      </c>
      <c r="J363" s="123">
        <f>IF($D363="",0,IF($F363&lt;2,0,IF($E363="Win",('Guide &amp; Settings'!$C$42/(($F363-1)*COUNTIFS($A$4:$A$810,$A363,$E$4:$E$810,"Win")))*SUMIFS($X$4:$X$810,$A$4:$A$810,$A363,$E$4:$E$810,"Loss"),-('Guide &amp; Settings'!$C$42/($F363-1))*$X363)))</f>
        <v>0</v>
      </c>
      <c r="K363" s="123">
        <f>IF($D363="",0,'Guide &amp; Settings'!$C$43*(IF($E363="Win",1,0)-$I363))</f>
        <v>0</v>
      </c>
      <c r="L363" s="124">
        <f>IF($D363="",0,'Guide &amp; Settings'!$C$44*IF($F363&gt;=3,$F363+IF($E363="Win",$F363,0),0))</f>
        <v>0</v>
      </c>
      <c r="M363" s="123">
        <f>IF($D363="",0,$J363+$K363+$L363)</f>
        <v>0</v>
      </c>
      <c r="N363" s="121">
        <f>IF($D363="",0,$H363+$M363)</f>
        <v>0</v>
      </c>
      <c r="O363" s="120" t="str">
        <f>IF($D363="","",IF(COUNTIFS($A$4:$A$810,$A363,$E$4:$E$810,"Win")=0,"need a winner",IF(COUNTIFS($A$4:$A$810,$A363,$E$4:$E$810,"Loss")=0,"need a loser",IF(COUNTIFS($A$4:$A$810,$A363,$D$4:$D$810,$D363)&gt;1,"duplicate player","OK"))))</f>
      </c>
      <c r="P363">
        <f>IF($D363="",0,IFERROR(SUMIFS($H$4:$H$810,$A$4:$A$810,$A363,$E$4:$E$810,"Win")/COUNTIFS($A$4:$A$810,$A363,$E$4:$E$810,"Win"),0))</f>
        <v>0</v>
      </c>
      <c r="Q363">
        <f>IF($D363="",0,1/(1+10^(($P363-$H363)/400)))</f>
        <v>0</v>
      </c>
      <c r="R363">
        <f>IF($D363="",0,(COUNTIFS($D$4:$D$810,$D363,$C$4:$C$810,$C363,$E$4:$E$810,"Win",$A$4:$A$810,"&lt;"&amp;$A363)+1)/(COUNTIFS($D$4:$D$810,$D363,$C$4:$C$810,$C363,$A$4:$A$810,"&lt;"&amp;$A363)+2))</f>
        <v>0</v>
      </c>
      <c r="S363">
        <f>IF($D363="",0,SUMIFS($R$4:$R$810,$A$4:$A$810,$A363))</f>
        <v>0</v>
      </c>
      <c r="T363" s="88">
        <f>IF($D363="",0,COUNTIFS($D$4:$D$810,$D363,$C$4:$C$810,$C363,$A$4:$A$810,"&lt;"&amp;$A363))</f>
        <v>0</v>
      </c>
      <c r="U363" s="125">
        <f>IF($D363="",0,IFERROR(LOOKUP(2,1/(($D$3:D362=$D363)*($C$3:C362=$C363)*($A$3:A362&lt;$A363)),$AB$3:AB362),1000))</f>
        <v>0</v>
      </c>
      <c r="V363" s="125">
        <f>IF($D363="",0,$U363*($T363/($T363+5))+$H363*(1-$T363/($T363+5)))</f>
        <v>0</v>
      </c>
      <c r="W363">
        <f>IF($D363="",0,IFERROR(SUMIFS($V$4:$V$810,$A$4:$A$810,$A363,$E$4:$E$810,"Win")/COUNTIFS($A$4:$A$810,$A363,$E$4:$E$810,"Win"),0))</f>
        <v>0</v>
      </c>
      <c r="X363">
        <f>IF($D363="",0,1/(1+10^(($W363-$V363)/400)))</f>
        <v>0</v>
      </c>
      <c r="Y363">
        <f>IF($D363="",0,IFERROR(SUMIFS($U$4:$U$810,$A$4:$A$810,$A363,$E$4:$E$810,"Win")/COUNTIFS($A$4:$A$810,$A363,$E$4:$E$810,"Win"),0))</f>
        <v>0</v>
      </c>
      <c r="Z363">
        <f>IF($D363="",0,1/(1+10^(($Y363-$U363)/400)))</f>
        <v>0</v>
      </c>
      <c r="AA363">
        <f>IF($D363="",0,IF($F363&lt;2,0,IF($E363="Win",('Guide &amp; Settings'!$C$42/(($F363-1)*COUNTIFS($A$4:$A$810,$A363,$E$4:$E$810,"Win")))*SUMIFS($Z$4:$Z$810,$A$4:$A$810,$A363,$E$4:$E$810,"Loss"),-('Guide &amp; Settings'!$C$42/($F363-1))*$Z363)))</f>
        <v>0</v>
      </c>
      <c r="AB363" s="125">
        <f>IF($D363="",0,$U363+$AA363)</f>
        <v>0</v>
      </c>
      <c r="AC363" s="125" t="str">
        <f>IF($D363="","",IF(SUMPRODUCT(MAX(($D$4:$D$810=$D363)*($B$4:$B$810&lt;$B363)*$B$4:$B$810))=0,0,MAX(($B363-MAX(SUMPRODUCT(MAX(($D$4:$D$810=$D363)*($B$4:$B$810&lt;$B363)*$B$4:$B$810)),'Guide &amp; Settings'!$C$50))/7-'Guide &amp; Settings'!$C$48,0)*'Guide &amp; Settings'!$C$49))</f>
      </c>
    </row>
    <row r="364" spans="1:29">
      <c r="A364" s="116"/>
      <c r="B364" s="117"/>
      <c r="C364" s="118"/>
      <c r="D364" s="118"/>
      <c r="E364" s="116"/>
      <c r="F364" s="119">
        <f>IF($D364="",0,COUNTIF($A$4:$A$810,$A364))</f>
        <v>0</v>
      </c>
      <c r="G364" s="120">
        <f>IF($D364="","",IFERROR(LOOKUP(2,1/(($A$4:$A$810=$A364)*($E$4:$E$810="Win")),$D$4:$D$810),"(no winner)"))</f>
        <v>0</v>
      </c>
      <c r="H364" s="121">
        <f>IF($D364="",0,IFERROR(LOOKUP(2,1/(($D$3:D363=$D364)*($A$3:A363&lt;$A364)),$N$3:N363),'Guide &amp; Settings'!$C$41))</f>
        <v>0</v>
      </c>
      <c r="I364" s="122">
        <f>IF($D364="",0,IF($S364=0,0,$R364/$S364))</f>
        <v>0</v>
      </c>
      <c r="J364" s="123">
        <f>IF($D364="",0,IF($F364&lt;2,0,IF($E364="Win",('Guide &amp; Settings'!$C$42/(($F364-1)*COUNTIFS($A$4:$A$810,$A364,$E$4:$E$810,"Win")))*SUMIFS($X$4:$X$810,$A$4:$A$810,$A364,$E$4:$E$810,"Loss"),-('Guide &amp; Settings'!$C$42/($F364-1))*$X364)))</f>
        <v>0</v>
      </c>
      <c r="K364" s="123">
        <f>IF($D364="",0,'Guide &amp; Settings'!$C$43*(IF($E364="Win",1,0)-$I364))</f>
        <v>0</v>
      </c>
      <c r="L364" s="124">
        <f>IF($D364="",0,'Guide &amp; Settings'!$C$44*IF($F364&gt;=3,$F364+IF($E364="Win",$F364,0),0))</f>
        <v>0</v>
      </c>
      <c r="M364" s="123">
        <f>IF($D364="",0,$J364+$K364+$L364)</f>
        <v>0</v>
      </c>
      <c r="N364" s="121">
        <f>IF($D364="",0,$H364+$M364)</f>
        <v>0</v>
      </c>
      <c r="O364" s="120" t="str">
        <f>IF($D364="","",IF(COUNTIFS($A$4:$A$810,$A364,$E$4:$E$810,"Win")=0,"need a winner",IF(COUNTIFS($A$4:$A$810,$A364,$E$4:$E$810,"Loss")=0,"need a loser",IF(COUNTIFS($A$4:$A$810,$A364,$D$4:$D$810,$D364)&gt;1,"duplicate player","OK"))))</f>
      </c>
      <c r="P364">
        <f>IF($D364="",0,IFERROR(SUMIFS($H$4:$H$810,$A$4:$A$810,$A364,$E$4:$E$810,"Win")/COUNTIFS($A$4:$A$810,$A364,$E$4:$E$810,"Win"),0))</f>
        <v>0</v>
      </c>
      <c r="Q364">
        <f>IF($D364="",0,1/(1+10^(($P364-$H364)/400)))</f>
        <v>0</v>
      </c>
      <c r="R364">
        <f>IF($D364="",0,(COUNTIFS($D$4:$D$810,$D364,$C$4:$C$810,$C364,$E$4:$E$810,"Win",$A$4:$A$810,"&lt;"&amp;$A364)+1)/(COUNTIFS($D$4:$D$810,$D364,$C$4:$C$810,$C364,$A$4:$A$810,"&lt;"&amp;$A364)+2))</f>
        <v>0</v>
      </c>
      <c r="S364">
        <f>IF($D364="",0,SUMIFS($R$4:$R$810,$A$4:$A$810,$A364))</f>
        <v>0</v>
      </c>
      <c r="T364" s="88">
        <f>IF($D364="",0,COUNTIFS($D$4:$D$810,$D364,$C$4:$C$810,$C364,$A$4:$A$810,"&lt;"&amp;$A364))</f>
        <v>0</v>
      </c>
      <c r="U364" s="125">
        <f>IF($D364="",0,IFERROR(LOOKUP(2,1/(($D$3:D363=$D364)*($C$3:C363=$C364)*($A$3:A363&lt;$A364)),$AB$3:AB363),1000))</f>
        <v>0</v>
      </c>
      <c r="V364" s="125">
        <f>IF($D364="",0,$U364*($T364/($T364+5))+$H364*(1-$T364/($T364+5)))</f>
        <v>0</v>
      </c>
      <c r="W364">
        <f>IF($D364="",0,IFERROR(SUMIFS($V$4:$V$810,$A$4:$A$810,$A364,$E$4:$E$810,"Win")/COUNTIFS($A$4:$A$810,$A364,$E$4:$E$810,"Win"),0))</f>
        <v>0</v>
      </c>
      <c r="X364">
        <f>IF($D364="",0,1/(1+10^(($W364-$V364)/400)))</f>
        <v>0</v>
      </c>
      <c r="Y364">
        <f>IF($D364="",0,IFERROR(SUMIFS($U$4:$U$810,$A$4:$A$810,$A364,$E$4:$E$810,"Win")/COUNTIFS($A$4:$A$810,$A364,$E$4:$E$810,"Win"),0))</f>
        <v>0</v>
      </c>
      <c r="Z364">
        <f>IF($D364="",0,1/(1+10^(($Y364-$U364)/400)))</f>
        <v>0</v>
      </c>
      <c r="AA364">
        <f>IF($D364="",0,IF($F364&lt;2,0,IF($E364="Win",('Guide &amp; Settings'!$C$42/(($F364-1)*COUNTIFS($A$4:$A$810,$A364,$E$4:$E$810,"Win")))*SUMIFS($Z$4:$Z$810,$A$4:$A$810,$A364,$E$4:$E$810,"Loss"),-('Guide &amp; Settings'!$C$42/($F364-1))*$Z364)))</f>
        <v>0</v>
      </c>
      <c r="AB364" s="125">
        <f>IF($D364="",0,$U364+$AA364)</f>
        <v>0</v>
      </c>
      <c r="AC364" s="125" t="str">
        <f>IF($D364="","",IF(SUMPRODUCT(MAX(($D$4:$D$810=$D364)*($B$4:$B$810&lt;$B364)*$B$4:$B$810))=0,0,MAX(($B364-MAX(SUMPRODUCT(MAX(($D$4:$D$810=$D364)*($B$4:$B$810&lt;$B364)*$B$4:$B$810)),'Guide &amp; Settings'!$C$50))/7-'Guide &amp; Settings'!$C$48,0)*'Guide &amp; Settings'!$C$49))</f>
      </c>
    </row>
    <row r="365" spans="1:29">
      <c r="A365" s="116"/>
      <c r="B365" s="117"/>
      <c r="C365" s="118"/>
      <c r="D365" s="118"/>
      <c r="E365" s="116"/>
      <c r="F365" s="119">
        <f>IF($D365="",0,COUNTIF($A$4:$A$810,$A365))</f>
        <v>0</v>
      </c>
      <c r="G365" s="120">
        <f>IF($D365="","",IFERROR(LOOKUP(2,1/(($A$4:$A$810=$A365)*($E$4:$E$810="Win")),$D$4:$D$810),"(no winner)"))</f>
        <v>0</v>
      </c>
      <c r="H365" s="121">
        <f>IF($D365="",0,IFERROR(LOOKUP(2,1/(($D$3:D364=$D365)*($A$3:A364&lt;$A365)),$N$3:N364),'Guide &amp; Settings'!$C$41))</f>
        <v>0</v>
      </c>
      <c r="I365" s="122">
        <f>IF($D365="",0,IF($S365=0,0,$R365/$S365))</f>
        <v>0</v>
      </c>
      <c r="J365" s="123">
        <f>IF($D365="",0,IF($F365&lt;2,0,IF($E365="Win",('Guide &amp; Settings'!$C$42/(($F365-1)*COUNTIFS($A$4:$A$810,$A365,$E$4:$E$810,"Win")))*SUMIFS($X$4:$X$810,$A$4:$A$810,$A365,$E$4:$E$810,"Loss"),-('Guide &amp; Settings'!$C$42/($F365-1))*$X365)))</f>
        <v>0</v>
      </c>
      <c r="K365" s="123">
        <f>IF($D365="",0,'Guide &amp; Settings'!$C$43*(IF($E365="Win",1,0)-$I365))</f>
        <v>0</v>
      </c>
      <c r="L365" s="124">
        <f>IF($D365="",0,'Guide &amp; Settings'!$C$44*IF($F365&gt;=3,$F365+IF($E365="Win",$F365,0),0))</f>
        <v>0</v>
      </c>
      <c r="M365" s="123">
        <f>IF($D365="",0,$J365+$K365+$L365)</f>
        <v>0</v>
      </c>
      <c r="N365" s="121">
        <f>IF($D365="",0,$H365+$M365)</f>
        <v>0</v>
      </c>
      <c r="O365" s="120" t="str">
        <f>IF($D365="","",IF(COUNTIFS($A$4:$A$810,$A365,$E$4:$E$810,"Win")=0,"need a winner",IF(COUNTIFS($A$4:$A$810,$A365,$E$4:$E$810,"Loss")=0,"need a loser",IF(COUNTIFS($A$4:$A$810,$A365,$D$4:$D$810,$D365)&gt;1,"duplicate player","OK"))))</f>
      </c>
      <c r="P365">
        <f>IF($D365="",0,IFERROR(SUMIFS($H$4:$H$810,$A$4:$A$810,$A365,$E$4:$E$810,"Win")/COUNTIFS($A$4:$A$810,$A365,$E$4:$E$810,"Win"),0))</f>
        <v>0</v>
      </c>
      <c r="Q365">
        <f>IF($D365="",0,1/(1+10^(($P365-$H365)/400)))</f>
        <v>0</v>
      </c>
      <c r="R365">
        <f>IF($D365="",0,(COUNTIFS($D$4:$D$810,$D365,$C$4:$C$810,$C365,$E$4:$E$810,"Win",$A$4:$A$810,"&lt;"&amp;$A365)+1)/(COUNTIFS($D$4:$D$810,$D365,$C$4:$C$810,$C365,$A$4:$A$810,"&lt;"&amp;$A365)+2))</f>
        <v>0</v>
      </c>
      <c r="S365">
        <f>IF($D365="",0,SUMIFS($R$4:$R$810,$A$4:$A$810,$A365))</f>
        <v>0</v>
      </c>
      <c r="T365" s="88">
        <f>IF($D365="",0,COUNTIFS($D$4:$D$810,$D365,$C$4:$C$810,$C365,$A$4:$A$810,"&lt;"&amp;$A365))</f>
        <v>0</v>
      </c>
      <c r="U365" s="125">
        <f>IF($D365="",0,IFERROR(LOOKUP(2,1/(($D$3:D364=$D365)*($C$3:C364=$C365)*($A$3:A364&lt;$A365)),$AB$3:AB364),1000))</f>
        <v>0</v>
      </c>
      <c r="V365" s="125">
        <f>IF($D365="",0,$U365*($T365/($T365+5))+$H365*(1-$T365/($T365+5)))</f>
        <v>0</v>
      </c>
      <c r="W365">
        <f>IF($D365="",0,IFERROR(SUMIFS($V$4:$V$810,$A$4:$A$810,$A365,$E$4:$E$810,"Win")/COUNTIFS($A$4:$A$810,$A365,$E$4:$E$810,"Win"),0))</f>
        <v>0</v>
      </c>
      <c r="X365">
        <f>IF($D365="",0,1/(1+10^(($W365-$V365)/400)))</f>
        <v>0</v>
      </c>
      <c r="Y365">
        <f>IF($D365="",0,IFERROR(SUMIFS($U$4:$U$810,$A$4:$A$810,$A365,$E$4:$E$810,"Win")/COUNTIFS($A$4:$A$810,$A365,$E$4:$E$810,"Win"),0))</f>
        <v>0</v>
      </c>
      <c r="Z365">
        <f>IF($D365="",0,1/(1+10^(($Y365-$U365)/400)))</f>
        <v>0</v>
      </c>
      <c r="AA365">
        <f>IF($D365="",0,IF($F365&lt;2,0,IF($E365="Win",('Guide &amp; Settings'!$C$42/(($F365-1)*COUNTIFS($A$4:$A$810,$A365,$E$4:$E$810,"Win")))*SUMIFS($Z$4:$Z$810,$A$4:$A$810,$A365,$E$4:$E$810,"Loss"),-('Guide &amp; Settings'!$C$42/($F365-1))*$Z365)))</f>
        <v>0</v>
      </c>
      <c r="AB365" s="125">
        <f>IF($D365="",0,$U365+$AA365)</f>
        <v>0</v>
      </c>
      <c r="AC365" s="125" t="str">
        <f>IF($D365="","",IF(SUMPRODUCT(MAX(($D$4:$D$810=$D365)*($B$4:$B$810&lt;$B365)*$B$4:$B$810))=0,0,MAX(($B365-MAX(SUMPRODUCT(MAX(($D$4:$D$810=$D365)*($B$4:$B$810&lt;$B365)*$B$4:$B$810)),'Guide &amp; Settings'!$C$50))/7-'Guide &amp; Settings'!$C$48,0)*'Guide &amp; Settings'!$C$49))</f>
      </c>
    </row>
    <row r="366" spans="1:29">
      <c r="A366" s="116"/>
      <c r="B366" s="117"/>
      <c r="C366" s="118"/>
      <c r="D366" s="118"/>
      <c r="E366" s="116"/>
      <c r="F366" s="119">
        <f>IF($D366="",0,COUNTIF($A$4:$A$810,$A366))</f>
        <v>0</v>
      </c>
      <c r="G366" s="120">
        <f>IF($D366="","",IFERROR(LOOKUP(2,1/(($A$4:$A$810=$A366)*($E$4:$E$810="Win")),$D$4:$D$810),"(no winner)"))</f>
        <v>0</v>
      </c>
      <c r="H366" s="121">
        <f>IF($D366="",0,IFERROR(LOOKUP(2,1/(($D$3:D365=$D366)*($A$3:A365&lt;$A366)),$N$3:N365),'Guide &amp; Settings'!$C$41))</f>
        <v>0</v>
      </c>
      <c r="I366" s="122">
        <f>IF($D366="",0,IF($S366=0,0,$R366/$S366))</f>
        <v>0</v>
      </c>
      <c r="J366" s="123">
        <f>IF($D366="",0,IF($F366&lt;2,0,IF($E366="Win",('Guide &amp; Settings'!$C$42/(($F366-1)*COUNTIFS($A$4:$A$810,$A366,$E$4:$E$810,"Win")))*SUMIFS($X$4:$X$810,$A$4:$A$810,$A366,$E$4:$E$810,"Loss"),-('Guide &amp; Settings'!$C$42/($F366-1))*$X366)))</f>
        <v>0</v>
      </c>
      <c r="K366" s="123">
        <f>IF($D366="",0,'Guide &amp; Settings'!$C$43*(IF($E366="Win",1,0)-$I366))</f>
        <v>0</v>
      </c>
      <c r="L366" s="124">
        <f>IF($D366="",0,'Guide &amp; Settings'!$C$44*IF($F366&gt;=3,$F366+IF($E366="Win",$F366,0),0))</f>
        <v>0</v>
      </c>
      <c r="M366" s="123">
        <f>IF($D366="",0,$J366+$K366+$L366)</f>
        <v>0</v>
      </c>
      <c r="N366" s="121">
        <f>IF($D366="",0,$H366+$M366)</f>
        <v>0</v>
      </c>
      <c r="O366" s="120" t="str">
        <f>IF($D366="","",IF(COUNTIFS($A$4:$A$810,$A366,$E$4:$E$810,"Win")=0,"need a winner",IF(COUNTIFS($A$4:$A$810,$A366,$E$4:$E$810,"Loss")=0,"need a loser",IF(COUNTIFS($A$4:$A$810,$A366,$D$4:$D$810,$D366)&gt;1,"duplicate player","OK"))))</f>
      </c>
      <c r="P366">
        <f>IF($D366="",0,IFERROR(SUMIFS($H$4:$H$810,$A$4:$A$810,$A366,$E$4:$E$810,"Win")/COUNTIFS($A$4:$A$810,$A366,$E$4:$E$810,"Win"),0))</f>
        <v>0</v>
      </c>
      <c r="Q366">
        <f>IF($D366="",0,1/(1+10^(($P366-$H366)/400)))</f>
        <v>0</v>
      </c>
      <c r="R366">
        <f>IF($D366="",0,(COUNTIFS($D$4:$D$810,$D366,$C$4:$C$810,$C366,$E$4:$E$810,"Win",$A$4:$A$810,"&lt;"&amp;$A366)+1)/(COUNTIFS($D$4:$D$810,$D366,$C$4:$C$810,$C366,$A$4:$A$810,"&lt;"&amp;$A366)+2))</f>
        <v>0</v>
      </c>
      <c r="S366">
        <f>IF($D366="",0,SUMIFS($R$4:$R$810,$A$4:$A$810,$A366))</f>
        <v>0</v>
      </c>
      <c r="T366" s="88">
        <f>IF($D366="",0,COUNTIFS($D$4:$D$810,$D366,$C$4:$C$810,$C366,$A$4:$A$810,"&lt;"&amp;$A366))</f>
        <v>0</v>
      </c>
      <c r="U366" s="125">
        <f>IF($D366="",0,IFERROR(LOOKUP(2,1/(($D$3:D365=$D366)*($C$3:C365=$C366)*($A$3:A365&lt;$A366)),$AB$3:AB365),1000))</f>
        <v>0</v>
      </c>
      <c r="V366" s="125">
        <f>IF($D366="",0,$U366*($T366/($T366+5))+$H366*(1-$T366/($T366+5)))</f>
        <v>0</v>
      </c>
      <c r="W366">
        <f>IF($D366="",0,IFERROR(SUMIFS($V$4:$V$810,$A$4:$A$810,$A366,$E$4:$E$810,"Win")/COUNTIFS($A$4:$A$810,$A366,$E$4:$E$810,"Win"),0))</f>
        <v>0</v>
      </c>
      <c r="X366">
        <f>IF($D366="",0,1/(1+10^(($W366-$V366)/400)))</f>
        <v>0</v>
      </c>
      <c r="Y366">
        <f>IF($D366="",0,IFERROR(SUMIFS($U$4:$U$810,$A$4:$A$810,$A366,$E$4:$E$810,"Win")/COUNTIFS($A$4:$A$810,$A366,$E$4:$E$810,"Win"),0))</f>
        <v>0</v>
      </c>
      <c r="Z366">
        <f>IF($D366="",0,1/(1+10^(($Y366-$U366)/400)))</f>
        <v>0</v>
      </c>
      <c r="AA366">
        <f>IF($D366="",0,IF($F366&lt;2,0,IF($E366="Win",('Guide &amp; Settings'!$C$42/(($F366-1)*COUNTIFS($A$4:$A$810,$A366,$E$4:$E$810,"Win")))*SUMIFS($Z$4:$Z$810,$A$4:$A$810,$A366,$E$4:$E$810,"Loss"),-('Guide &amp; Settings'!$C$42/($F366-1))*$Z366)))</f>
        <v>0</v>
      </c>
      <c r="AB366" s="125">
        <f>IF($D366="",0,$U366+$AA366)</f>
        <v>0</v>
      </c>
      <c r="AC366" s="125" t="str">
        <f>IF($D366="","",IF(SUMPRODUCT(MAX(($D$4:$D$810=$D366)*($B$4:$B$810&lt;$B366)*$B$4:$B$810))=0,0,MAX(($B366-MAX(SUMPRODUCT(MAX(($D$4:$D$810=$D366)*($B$4:$B$810&lt;$B366)*$B$4:$B$810)),'Guide &amp; Settings'!$C$50))/7-'Guide &amp; Settings'!$C$48,0)*'Guide &amp; Settings'!$C$49))</f>
      </c>
    </row>
    <row r="367" spans="1:29">
      <c r="A367" s="116"/>
      <c r="B367" s="117"/>
      <c r="C367" s="118"/>
      <c r="D367" s="118"/>
      <c r="E367" s="116"/>
      <c r="F367" s="119">
        <f>IF($D367="",0,COUNTIF($A$4:$A$810,$A367))</f>
        <v>0</v>
      </c>
      <c r="G367" s="120">
        <f>IF($D367="","",IFERROR(LOOKUP(2,1/(($A$4:$A$810=$A367)*($E$4:$E$810="Win")),$D$4:$D$810),"(no winner)"))</f>
        <v>0</v>
      </c>
      <c r="H367" s="121">
        <f>IF($D367="",0,IFERROR(LOOKUP(2,1/(($D$3:D366=$D367)*($A$3:A366&lt;$A367)),$N$3:N366),'Guide &amp; Settings'!$C$41))</f>
        <v>0</v>
      </c>
      <c r="I367" s="122">
        <f>IF($D367="",0,IF($S367=0,0,$R367/$S367))</f>
        <v>0</v>
      </c>
      <c r="J367" s="123">
        <f>IF($D367="",0,IF($F367&lt;2,0,IF($E367="Win",('Guide &amp; Settings'!$C$42/(($F367-1)*COUNTIFS($A$4:$A$810,$A367,$E$4:$E$810,"Win")))*SUMIFS($X$4:$X$810,$A$4:$A$810,$A367,$E$4:$E$810,"Loss"),-('Guide &amp; Settings'!$C$42/($F367-1))*$X367)))</f>
        <v>0</v>
      </c>
      <c r="K367" s="123">
        <f>IF($D367="",0,'Guide &amp; Settings'!$C$43*(IF($E367="Win",1,0)-$I367))</f>
        <v>0</v>
      </c>
      <c r="L367" s="124">
        <f>IF($D367="",0,'Guide &amp; Settings'!$C$44*IF($F367&gt;=3,$F367+IF($E367="Win",$F367,0),0))</f>
        <v>0</v>
      </c>
      <c r="M367" s="123">
        <f>IF($D367="",0,$J367+$K367+$L367)</f>
        <v>0</v>
      </c>
      <c r="N367" s="121">
        <f>IF($D367="",0,$H367+$M367)</f>
        <v>0</v>
      </c>
      <c r="O367" s="120" t="str">
        <f>IF($D367="","",IF(COUNTIFS($A$4:$A$810,$A367,$E$4:$E$810,"Win")=0,"need a winner",IF(COUNTIFS($A$4:$A$810,$A367,$E$4:$E$810,"Loss")=0,"need a loser",IF(COUNTIFS($A$4:$A$810,$A367,$D$4:$D$810,$D367)&gt;1,"duplicate player","OK"))))</f>
      </c>
      <c r="P367">
        <f>IF($D367="",0,IFERROR(SUMIFS($H$4:$H$810,$A$4:$A$810,$A367,$E$4:$E$810,"Win")/COUNTIFS($A$4:$A$810,$A367,$E$4:$E$810,"Win"),0))</f>
        <v>0</v>
      </c>
      <c r="Q367">
        <f>IF($D367="",0,1/(1+10^(($P367-$H367)/400)))</f>
        <v>0</v>
      </c>
      <c r="R367">
        <f>IF($D367="",0,(COUNTIFS($D$4:$D$810,$D367,$C$4:$C$810,$C367,$E$4:$E$810,"Win",$A$4:$A$810,"&lt;"&amp;$A367)+1)/(COUNTIFS($D$4:$D$810,$D367,$C$4:$C$810,$C367,$A$4:$A$810,"&lt;"&amp;$A367)+2))</f>
        <v>0</v>
      </c>
      <c r="S367">
        <f>IF($D367="",0,SUMIFS($R$4:$R$810,$A$4:$A$810,$A367))</f>
        <v>0</v>
      </c>
      <c r="T367" s="88">
        <f>IF($D367="",0,COUNTIFS($D$4:$D$810,$D367,$C$4:$C$810,$C367,$A$4:$A$810,"&lt;"&amp;$A367))</f>
        <v>0</v>
      </c>
      <c r="U367" s="125">
        <f>IF($D367="",0,IFERROR(LOOKUP(2,1/(($D$3:D366=$D367)*($C$3:C366=$C367)*($A$3:A366&lt;$A367)),$AB$3:AB366),1000))</f>
        <v>0</v>
      </c>
      <c r="V367" s="125">
        <f>IF($D367="",0,$U367*($T367/($T367+5))+$H367*(1-$T367/($T367+5)))</f>
        <v>0</v>
      </c>
      <c r="W367">
        <f>IF($D367="",0,IFERROR(SUMIFS($V$4:$V$810,$A$4:$A$810,$A367,$E$4:$E$810,"Win")/COUNTIFS($A$4:$A$810,$A367,$E$4:$E$810,"Win"),0))</f>
        <v>0</v>
      </c>
      <c r="X367">
        <f>IF($D367="",0,1/(1+10^(($W367-$V367)/400)))</f>
        <v>0</v>
      </c>
      <c r="Y367">
        <f>IF($D367="",0,IFERROR(SUMIFS($U$4:$U$810,$A$4:$A$810,$A367,$E$4:$E$810,"Win")/COUNTIFS($A$4:$A$810,$A367,$E$4:$E$810,"Win"),0))</f>
        <v>0</v>
      </c>
      <c r="Z367">
        <f>IF($D367="",0,1/(1+10^(($Y367-$U367)/400)))</f>
        <v>0</v>
      </c>
      <c r="AA367">
        <f>IF($D367="",0,IF($F367&lt;2,0,IF($E367="Win",('Guide &amp; Settings'!$C$42/(($F367-1)*COUNTIFS($A$4:$A$810,$A367,$E$4:$E$810,"Win")))*SUMIFS($Z$4:$Z$810,$A$4:$A$810,$A367,$E$4:$E$810,"Loss"),-('Guide &amp; Settings'!$C$42/($F367-1))*$Z367)))</f>
        <v>0</v>
      </c>
      <c r="AB367" s="125">
        <f>IF($D367="",0,$U367+$AA367)</f>
        <v>0</v>
      </c>
      <c r="AC367" s="125" t="str">
        <f>IF($D367="","",IF(SUMPRODUCT(MAX(($D$4:$D$810=$D367)*($B$4:$B$810&lt;$B367)*$B$4:$B$810))=0,0,MAX(($B367-MAX(SUMPRODUCT(MAX(($D$4:$D$810=$D367)*($B$4:$B$810&lt;$B367)*$B$4:$B$810)),'Guide &amp; Settings'!$C$50))/7-'Guide &amp; Settings'!$C$48,0)*'Guide &amp; Settings'!$C$49))</f>
      </c>
    </row>
    <row r="368" spans="1:29">
      <c r="A368" s="116"/>
      <c r="B368" s="117"/>
      <c r="C368" s="118"/>
      <c r="D368" s="118"/>
      <c r="E368" s="116"/>
      <c r="F368" s="119">
        <f>IF($D368="",0,COUNTIF($A$4:$A$810,$A368))</f>
        <v>0</v>
      </c>
      <c r="G368" s="120">
        <f>IF($D368="","",IFERROR(LOOKUP(2,1/(($A$4:$A$810=$A368)*($E$4:$E$810="Win")),$D$4:$D$810),"(no winner)"))</f>
        <v>0</v>
      </c>
      <c r="H368" s="121">
        <f>IF($D368="",0,IFERROR(LOOKUP(2,1/(($D$3:D367=$D368)*($A$3:A367&lt;$A368)),$N$3:N367),'Guide &amp; Settings'!$C$41))</f>
        <v>0</v>
      </c>
      <c r="I368" s="122">
        <f>IF($D368="",0,IF($S368=0,0,$R368/$S368))</f>
        <v>0</v>
      </c>
      <c r="J368" s="123">
        <f>IF($D368="",0,IF($F368&lt;2,0,IF($E368="Win",('Guide &amp; Settings'!$C$42/(($F368-1)*COUNTIFS($A$4:$A$810,$A368,$E$4:$E$810,"Win")))*SUMIFS($X$4:$X$810,$A$4:$A$810,$A368,$E$4:$E$810,"Loss"),-('Guide &amp; Settings'!$C$42/($F368-1))*$X368)))</f>
        <v>0</v>
      </c>
      <c r="K368" s="123">
        <f>IF($D368="",0,'Guide &amp; Settings'!$C$43*(IF($E368="Win",1,0)-$I368))</f>
        <v>0</v>
      </c>
      <c r="L368" s="124">
        <f>IF($D368="",0,'Guide &amp; Settings'!$C$44*IF($F368&gt;=3,$F368+IF($E368="Win",$F368,0),0))</f>
        <v>0</v>
      </c>
      <c r="M368" s="123">
        <f>IF($D368="",0,$J368+$K368+$L368)</f>
        <v>0</v>
      </c>
      <c r="N368" s="121">
        <f>IF($D368="",0,$H368+$M368)</f>
        <v>0</v>
      </c>
      <c r="O368" s="120" t="str">
        <f>IF($D368="","",IF(COUNTIFS($A$4:$A$810,$A368,$E$4:$E$810,"Win")=0,"need a winner",IF(COUNTIFS($A$4:$A$810,$A368,$E$4:$E$810,"Loss")=0,"need a loser",IF(COUNTIFS($A$4:$A$810,$A368,$D$4:$D$810,$D368)&gt;1,"duplicate player","OK"))))</f>
      </c>
      <c r="P368">
        <f>IF($D368="",0,IFERROR(SUMIFS($H$4:$H$810,$A$4:$A$810,$A368,$E$4:$E$810,"Win")/COUNTIFS($A$4:$A$810,$A368,$E$4:$E$810,"Win"),0))</f>
        <v>0</v>
      </c>
      <c r="Q368">
        <f>IF($D368="",0,1/(1+10^(($P368-$H368)/400)))</f>
        <v>0</v>
      </c>
      <c r="R368">
        <f>IF($D368="",0,(COUNTIFS($D$4:$D$810,$D368,$C$4:$C$810,$C368,$E$4:$E$810,"Win",$A$4:$A$810,"&lt;"&amp;$A368)+1)/(COUNTIFS($D$4:$D$810,$D368,$C$4:$C$810,$C368,$A$4:$A$810,"&lt;"&amp;$A368)+2))</f>
        <v>0</v>
      </c>
      <c r="S368">
        <f>IF($D368="",0,SUMIFS($R$4:$R$810,$A$4:$A$810,$A368))</f>
        <v>0</v>
      </c>
      <c r="T368" s="88">
        <f>IF($D368="",0,COUNTIFS($D$4:$D$810,$D368,$C$4:$C$810,$C368,$A$4:$A$810,"&lt;"&amp;$A368))</f>
        <v>0</v>
      </c>
      <c r="U368" s="125">
        <f>IF($D368="",0,IFERROR(LOOKUP(2,1/(($D$3:D367=$D368)*($C$3:C367=$C368)*($A$3:A367&lt;$A368)),$AB$3:AB367),1000))</f>
        <v>0</v>
      </c>
      <c r="V368" s="125">
        <f>IF($D368="",0,$U368*($T368/($T368+5))+$H368*(1-$T368/($T368+5)))</f>
        <v>0</v>
      </c>
      <c r="W368">
        <f>IF($D368="",0,IFERROR(SUMIFS($V$4:$V$810,$A$4:$A$810,$A368,$E$4:$E$810,"Win")/COUNTIFS($A$4:$A$810,$A368,$E$4:$E$810,"Win"),0))</f>
        <v>0</v>
      </c>
      <c r="X368">
        <f>IF($D368="",0,1/(1+10^(($W368-$V368)/400)))</f>
        <v>0</v>
      </c>
      <c r="Y368">
        <f>IF($D368="",0,IFERROR(SUMIFS($U$4:$U$810,$A$4:$A$810,$A368,$E$4:$E$810,"Win")/COUNTIFS($A$4:$A$810,$A368,$E$4:$E$810,"Win"),0))</f>
        <v>0</v>
      </c>
      <c r="Z368">
        <f>IF($D368="",0,1/(1+10^(($Y368-$U368)/400)))</f>
        <v>0</v>
      </c>
      <c r="AA368">
        <f>IF($D368="",0,IF($F368&lt;2,0,IF($E368="Win",('Guide &amp; Settings'!$C$42/(($F368-1)*COUNTIFS($A$4:$A$810,$A368,$E$4:$E$810,"Win")))*SUMIFS($Z$4:$Z$810,$A$4:$A$810,$A368,$E$4:$E$810,"Loss"),-('Guide &amp; Settings'!$C$42/($F368-1))*$Z368)))</f>
        <v>0</v>
      </c>
      <c r="AB368" s="125">
        <f>IF($D368="",0,$U368+$AA368)</f>
        <v>0</v>
      </c>
      <c r="AC368" s="125" t="str">
        <f>IF($D368="","",IF(SUMPRODUCT(MAX(($D$4:$D$810=$D368)*($B$4:$B$810&lt;$B368)*$B$4:$B$810))=0,0,MAX(($B368-MAX(SUMPRODUCT(MAX(($D$4:$D$810=$D368)*($B$4:$B$810&lt;$B368)*$B$4:$B$810)),'Guide &amp; Settings'!$C$50))/7-'Guide &amp; Settings'!$C$48,0)*'Guide &amp; Settings'!$C$49))</f>
      </c>
    </row>
    <row r="369" spans="1:29">
      <c r="A369" s="116"/>
      <c r="B369" s="117"/>
      <c r="C369" s="118"/>
      <c r="D369" s="118"/>
      <c r="E369" s="116"/>
      <c r="F369" s="119">
        <f>IF($D369="",0,COUNTIF($A$4:$A$810,$A369))</f>
        <v>0</v>
      </c>
      <c r="G369" s="120">
        <f>IF($D369="","",IFERROR(LOOKUP(2,1/(($A$4:$A$810=$A369)*($E$4:$E$810="Win")),$D$4:$D$810),"(no winner)"))</f>
        <v>0</v>
      </c>
      <c r="H369" s="121">
        <f>IF($D369="",0,IFERROR(LOOKUP(2,1/(($D$3:D368=$D369)*($A$3:A368&lt;$A369)),$N$3:N368),'Guide &amp; Settings'!$C$41))</f>
        <v>0</v>
      </c>
      <c r="I369" s="122">
        <f>IF($D369="",0,IF($S369=0,0,$R369/$S369))</f>
        <v>0</v>
      </c>
      <c r="J369" s="123">
        <f>IF($D369="",0,IF($F369&lt;2,0,IF($E369="Win",('Guide &amp; Settings'!$C$42/(($F369-1)*COUNTIFS($A$4:$A$810,$A369,$E$4:$E$810,"Win")))*SUMIFS($X$4:$X$810,$A$4:$A$810,$A369,$E$4:$E$810,"Loss"),-('Guide &amp; Settings'!$C$42/($F369-1))*$X369)))</f>
        <v>0</v>
      </c>
      <c r="K369" s="123">
        <f>IF($D369="",0,'Guide &amp; Settings'!$C$43*(IF($E369="Win",1,0)-$I369))</f>
        <v>0</v>
      </c>
      <c r="L369" s="124">
        <f>IF($D369="",0,'Guide &amp; Settings'!$C$44*IF($F369&gt;=3,$F369+IF($E369="Win",$F369,0),0))</f>
        <v>0</v>
      </c>
      <c r="M369" s="123">
        <f>IF($D369="",0,$J369+$K369+$L369)</f>
        <v>0</v>
      </c>
      <c r="N369" s="121">
        <f>IF($D369="",0,$H369+$M369)</f>
        <v>0</v>
      </c>
      <c r="O369" s="120" t="str">
        <f>IF($D369="","",IF(COUNTIFS($A$4:$A$810,$A369,$E$4:$E$810,"Win")=0,"need a winner",IF(COUNTIFS($A$4:$A$810,$A369,$E$4:$E$810,"Loss")=0,"need a loser",IF(COUNTIFS($A$4:$A$810,$A369,$D$4:$D$810,$D369)&gt;1,"duplicate player","OK"))))</f>
      </c>
      <c r="P369">
        <f>IF($D369="",0,IFERROR(SUMIFS($H$4:$H$810,$A$4:$A$810,$A369,$E$4:$E$810,"Win")/COUNTIFS($A$4:$A$810,$A369,$E$4:$E$810,"Win"),0))</f>
        <v>0</v>
      </c>
      <c r="Q369">
        <f>IF($D369="",0,1/(1+10^(($P369-$H369)/400)))</f>
        <v>0</v>
      </c>
      <c r="R369">
        <f>IF($D369="",0,(COUNTIFS($D$4:$D$810,$D369,$C$4:$C$810,$C369,$E$4:$E$810,"Win",$A$4:$A$810,"&lt;"&amp;$A369)+1)/(COUNTIFS($D$4:$D$810,$D369,$C$4:$C$810,$C369,$A$4:$A$810,"&lt;"&amp;$A369)+2))</f>
        <v>0</v>
      </c>
      <c r="S369">
        <f>IF($D369="",0,SUMIFS($R$4:$R$810,$A$4:$A$810,$A369))</f>
        <v>0</v>
      </c>
      <c r="T369" s="88">
        <f>IF($D369="",0,COUNTIFS($D$4:$D$810,$D369,$C$4:$C$810,$C369,$A$4:$A$810,"&lt;"&amp;$A369))</f>
        <v>0</v>
      </c>
      <c r="U369" s="125">
        <f>IF($D369="",0,IFERROR(LOOKUP(2,1/(($D$3:D368=$D369)*($C$3:C368=$C369)*($A$3:A368&lt;$A369)),$AB$3:AB368),1000))</f>
        <v>0</v>
      </c>
      <c r="V369" s="125">
        <f>IF($D369="",0,$U369*($T369/($T369+5))+$H369*(1-$T369/($T369+5)))</f>
        <v>0</v>
      </c>
      <c r="W369">
        <f>IF($D369="",0,IFERROR(SUMIFS($V$4:$V$810,$A$4:$A$810,$A369,$E$4:$E$810,"Win")/COUNTIFS($A$4:$A$810,$A369,$E$4:$E$810,"Win"),0))</f>
        <v>0</v>
      </c>
      <c r="X369">
        <f>IF($D369="",0,1/(1+10^(($W369-$V369)/400)))</f>
        <v>0</v>
      </c>
      <c r="Y369">
        <f>IF($D369="",0,IFERROR(SUMIFS($U$4:$U$810,$A$4:$A$810,$A369,$E$4:$E$810,"Win")/COUNTIFS($A$4:$A$810,$A369,$E$4:$E$810,"Win"),0))</f>
        <v>0</v>
      </c>
      <c r="Z369">
        <f>IF($D369="",0,1/(1+10^(($Y369-$U369)/400)))</f>
        <v>0</v>
      </c>
      <c r="AA369">
        <f>IF($D369="",0,IF($F369&lt;2,0,IF($E369="Win",('Guide &amp; Settings'!$C$42/(($F369-1)*COUNTIFS($A$4:$A$810,$A369,$E$4:$E$810,"Win")))*SUMIFS($Z$4:$Z$810,$A$4:$A$810,$A369,$E$4:$E$810,"Loss"),-('Guide &amp; Settings'!$C$42/($F369-1))*$Z369)))</f>
        <v>0</v>
      </c>
      <c r="AB369" s="125">
        <f>IF($D369="",0,$U369+$AA369)</f>
        <v>0</v>
      </c>
      <c r="AC369" s="125" t="str">
        <f>IF($D369="","",IF(SUMPRODUCT(MAX(($D$4:$D$810=$D369)*($B$4:$B$810&lt;$B369)*$B$4:$B$810))=0,0,MAX(($B369-MAX(SUMPRODUCT(MAX(($D$4:$D$810=$D369)*($B$4:$B$810&lt;$B369)*$B$4:$B$810)),'Guide &amp; Settings'!$C$50))/7-'Guide &amp; Settings'!$C$48,0)*'Guide &amp; Settings'!$C$49))</f>
      </c>
    </row>
    <row r="370" spans="1:29">
      <c r="A370" s="116"/>
      <c r="B370" s="117"/>
      <c r="C370" s="118"/>
      <c r="D370" s="118"/>
      <c r="E370" s="116"/>
      <c r="F370" s="119">
        <f>IF($D370="",0,COUNTIF($A$4:$A$810,$A370))</f>
        <v>0</v>
      </c>
      <c r="G370" s="120">
        <f>IF($D370="","",IFERROR(LOOKUP(2,1/(($A$4:$A$810=$A370)*($E$4:$E$810="Win")),$D$4:$D$810),"(no winner)"))</f>
        <v>0</v>
      </c>
      <c r="H370" s="121">
        <f>IF($D370="",0,IFERROR(LOOKUP(2,1/(($D$3:D369=$D370)*($A$3:A369&lt;$A370)),$N$3:N369),'Guide &amp; Settings'!$C$41))</f>
        <v>0</v>
      </c>
      <c r="I370" s="122">
        <f>IF($D370="",0,IF($S370=0,0,$R370/$S370))</f>
        <v>0</v>
      </c>
      <c r="J370" s="123">
        <f>IF($D370="",0,IF($F370&lt;2,0,IF($E370="Win",('Guide &amp; Settings'!$C$42/(($F370-1)*COUNTIFS($A$4:$A$810,$A370,$E$4:$E$810,"Win")))*SUMIFS($X$4:$X$810,$A$4:$A$810,$A370,$E$4:$E$810,"Loss"),-('Guide &amp; Settings'!$C$42/($F370-1))*$X370)))</f>
        <v>0</v>
      </c>
      <c r="K370" s="123">
        <f>IF($D370="",0,'Guide &amp; Settings'!$C$43*(IF($E370="Win",1,0)-$I370))</f>
        <v>0</v>
      </c>
      <c r="L370" s="124">
        <f>IF($D370="",0,'Guide &amp; Settings'!$C$44*IF($F370&gt;=3,$F370+IF($E370="Win",$F370,0),0))</f>
        <v>0</v>
      </c>
      <c r="M370" s="123">
        <f>IF($D370="",0,$J370+$K370+$L370)</f>
        <v>0</v>
      </c>
      <c r="N370" s="121">
        <f>IF($D370="",0,$H370+$M370)</f>
        <v>0</v>
      </c>
      <c r="O370" s="120" t="str">
        <f>IF($D370="","",IF(COUNTIFS($A$4:$A$810,$A370,$E$4:$E$810,"Win")=0,"need a winner",IF(COUNTIFS($A$4:$A$810,$A370,$E$4:$E$810,"Loss")=0,"need a loser",IF(COUNTIFS($A$4:$A$810,$A370,$D$4:$D$810,$D370)&gt;1,"duplicate player","OK"))))</f>
      </c>
      <c r="P370">
        <f>IF($D370="",0,IFERROR(SUMIFS($H$4:$H$810,$A$4:$A$810,$A370,$E$4:$E$810,"Win")/COUNTIFS($A$4:$A$810,$A370,$E$4:$E$810,"Win"),0))</f>
        <v>0</v>
      </c>
      <c r="Q370">
        <f>IF($D370="",0,1/(1+10^(($P370-$H370)/400)))</f>
        <v>0</v>
      </c>
      <c r="R370">
        <f>IF($D370="",0,(COUNTIFS($D$4:$D$810,$D370,$C$4:$C$810,$C370,$E$4:$E$810,"Win",$A$4:$A$810,"&lt;"&amp;$A370)+1)/(COUNTIFS($D$4:$D$810,$D370,$C$4:$C$810,$C370,$A$4:$A$810,"&lt;"&amp;$A370)+2))</f>
        <v>0</v>
      </c>
      <c r="S370">
        <f>IF($D370="",0,SUMIFS($R$4:$R$810,$A$4:$A$810,$A370))</f>
        <v>0</v>
      </c>
      <c r="T370" s="88">
        <f>IF($D370="",0,COUNTIFS($D$4:$D$810,$D370,$C$4:$C$810,$C370,$A$4:$A$810,"&lt;"&amp;$A370))</f>
        <v>0</v>
      </c>
      <c r="U370" s="125">
        <f>IF($D370="",0,IFERROR(LOOKUP(2,1/(($D$3:D369=$D370)*($C$3:C369=$C370)*($A$3:A369&lt;$A370)),$AB$3:AB369),1000))</f>
        <v>0</v>
      </c>
      <c r="V370" s="125">
        <f>IF($D370="",0,$U370*($T370/($T370+5))+$H370*(1-$T370/($T370+5)))</f>
        <v>0</v>
      </c>
      <c r="W370">
        <f>IF($D370="",0,IFERROR(SUMIFS($V$4:$V$810,$A$4:$A$810,$A370,$E$4:$E$810,"Win")/COUNTIFS($A$4:$A$810,$A370,$E$4:$E$810,"Win"),0))</f>
        <v>0</v>
      </c>
      <c r="X370">
        <f>IF($D370="",0,1/(1+10^(($W370-$V370)/400)))</f>
        <v>0</v>
      </c>
      <c r="Y370">
        <f>IF($D370="",0,IFERROR(SUMIFS($U$4:$U$810,$A$4:$A$810,$A370,$E$4:$E$810,"Win")/COUNTIFS($A$4:$A$810,$A370,$E$4:$E$810,"Win"),0))</f>
        <v>0</v>
      </c>
      <c r="Z370">
        <f>IF($D370="",0,1/(1+10^(($Y370-$U370)/400)))</f>
        <v>0</v>
      </c>
      <c r="AA370">
        <f>IF($D370="",0,IF($F370&lt;2,0,IF($E370="Win",('Guide &amp; Settings'!$C$42/(($F370-1)*COUNTIFS($A$4:$A$810,$A370,$E$4:$E$810,"Win")))*SUMIFS($Z$4:$Z$810,$A$4:$A$810,$A370,$E$4:$E$810,"Loss"),-('Guide &amp; Settings'!$C$42/($F370-1))*$Z370)))</f>
        <v>0</v>
      </c>
      <c r="AB370" s="125">
        <f>IF($D370="",0,$U370+$AA370)</f>
        <v>0</v>
      </c>
      <c r="AC370" s="125" t="str">
        <f>IF($D370="","",IF(SUMPRODUCT(MAX(($D$4:$D$810=$D370)*($B$4:$B$810&lt;$B370)*$B$4:$B$810))=0,0,MAX(($B370-MAX(SUMPRODUCT(MAX(($D$4:$D$810=$D370)*($B$4:$B$810&lt;$B370)*$B$4:$B$810)),'Guide &amp; Settings'!$C$50))/7-'Guide &amp; Settings'!$C$48,0)*'Guide &amp; Settings'!$C$49))</f>
      </c>
    </row>
    <row r="371" spans="1:29">
      <c r="A371" s="116"/>
      <c r="B371" s="117"/>
      <c r="C371" s="118"/>
      <c r="D371" s="118"/>
      <c r="E371" s="116"/>
      <c r="F371" s="119">
        <f>IF($D371="",0,COUNTIF($A$4:$A$810,$A371))</f>
        <v>0</v>
      </c>
      <c r="G371" s="120">
        <f>IF($D371="","",IFERROR(LOOKUP(2,1/(($A$4:$A$810=$A371)*($E$4:$E$810="Win")),$D$4:$D$810),"(no winner)"))</f>
        <v>0</v>
      </c>
      <c r="H371" s="121">
        <f>IF($D371="",0,IFERROR(LOOKUP(2,1/(($D$3:D370=$D371)*($A$3:A370&lt;$A371)),$N$3:N370),'Guide &amp; Settings'!$C$41))</f>
        <v>0</v>
      </c>
      <c r="I371" s="122">
        <f>IF($D371="",0,IF($S371=0,0,$R371/$S371))</f>
        <v>0</v>
      </c>
      <c r="J371" s="123">
        <f>IF($D371="",0,IF($F371&lt;2,0,IF($E371="Win",('Guide &amp; Settings'!$C$42/(($F371-1)*COUNTIFS($A$4:$A$810,$A371,$E$4:$E$810,"Win")))*SUMIFS($X$4:$X$810,$A$4:$A$810,$A371,$E$4:$E$810,"Loss"),-('Guide &amp; Settings'!$C$42/($F371-1))*$X371)))</f>
        <v>0</v>
      </c>
      <c r="K371" s="123">
        <f>IF($D371="",0,'Guide &amp; Settings'!$C$43*(IF($E371="Win",1,0)-$I371))</f>
        <v>0</v>
      </c>
      <c r="L371" s="124">
        <f>IF($D371="",0,'Guide &amp; Settings'!$C$44*IF($F371&gt;=3,$F371+IF($E371="Win",$F371,0),0))</f>
        <v>0</v>
      </c>
      <c r="M371" s="123">
        <f>IF($D371="",0,$J371+$K371+$L371)</f>
        <v>0</v>
      </c>
      <c r="N371" s="121">
        <f>IF($D371="",0,$H371+$M371)</f>
        <v>0</v>
      </c>
      <c r="O371" s="120" t="str">
        <f>IF($D371="","",IF(COUNTIFS($A$4:$A$810,$A371,$E$4:$E$810,"Win")=0,"need a winner",IF(COUNTIFS($A$4:$A$810,$A371,$E$4:$E$810,"Loss")=0,"need a loser",IF(COUNTIFS($A$4:$A$810,$A371,$D$4:$D$810,$D371)&gt;1,"duplicate player","OK"))))</f>
      </c>
      <c r="P371">
        <f>IF($D371="",0,IFERROR(SUMIFS($H$4:$H$810,$A$4:$A$810,$A371,$E$4:$E$810,"Win")/COUNTIFS($A$4:$A$810,$A371,$E$4:$E$810,"Win"),0))</f>
        <v>0</v>
      </c>
      <c r="Q371">
        <f>IF($D371="",0,1/(1+10^(($P371-$H371)/400)))</f>
        <v>0</v>
      </c>
      <c r="R371">
        <f>IF($D371="",0,(COUNTIFS($D$4:$D$810,$D371,$C$4:$C$810,$C371,$E$4:$E$810,"Win",$A$4:$A$810,"&lt;"&amp;$A371)+1)/(COUNTIFS($D$4:$D$810,$D371,$C$4:$C$810,$C371,$A$4:$A$810,"&lt;"&amp;$A371)+2))</f>
        <v>0</v>
      </c>
      <c r="S371">
        <f>IF($D371="",0,SUMIFS($R$4:$R$810,$A$4:$A$810,$A371))</f>
        <v>0</v>
      </c>
      <c r="T371" s="88">
        <f>IF($D371="",0,COUNTIFS($D$4:$D$810,$D371,$C$4:$C$810,$C371,$A$4:$A$810,"&lt;"&amp;$A371))</f>
        <v>0</v>
      </c>
      <c r="U371" s="125">
        <f>IF($D371="",0,IFERROR(LOOKUP(2,1/(($D$3:D370=$D371)*($C$3:C370=$C371)*($A$3:A370&lt;$A371)),$AB$3:AB370),1000))</f>
        <v>0</v>
      </c>
      <c r="V371" s="125">
        <f>IF($D371="",0,$U371*($T371/($T371+5))+$H371*(1-$T371/($T371+5)))</f>
        <v>0</v>
      </c>
      <c r="W371">
        <f>IF($D371="",0,IFERROR(SUMIFS($V$4:$V$810,$A$4:$A$810,$A371,$E$4:$E$810,"Win")/COUNTIFS($A$4:$A$810,$A371,$E$4:$E$810,"Win"),0))</f>
        <v>0</v>
      </c>
      <c r="X371">
        <f>IF($D371="",0,1/(1+10^(($W371-$V371)/400)))</f>
        <v>0</v>
      </c>
      <c r="Y371">
        <f>IF($D371="",0,IFERROR(SUMIFS($U$4:$U$810,$A$4:$A$810,$A371,$E$4:$E$810,"Win")/COUNTIFS($A$4:$A$810,$A371,$E$4:$E$810,"Win"),0))</f>
        <v>0</v>
      </c>
      <c r="Z371">
        <f>IF($D371="",0,1/(1+10^(($Y371-$U371)/400)))</f>
        <v>0</v>
      </c>
      <c r="AA371">
        <f>IF($D371="",0,IF($F371&lt;2,0,IF($E371="Win",('Guide &amp; Settings'!$C$42/(($F371-1)*COUNTIFS($A$4:$A$810,$A371,$E$4:$E$810,"Win")))*SUMIFS($Z$4:$Z$810,$A$4:$A$810,$A371,$E$4:$E$810,"Loss"),-('Guide &amp; Settings'!$C$42/($F371-1))*$Z371)))</f>
        <v>0</v>
      </c>
      <c r="AB371" s="125">
        <f>IF($D371="",0,$U371+$AA371)</f>
        <v>0</v>
      </c>
      <c r="AC371" s="125" t="str">
        <f>IF($D371="","",IF(SUMPRODUCT(MAX(($D$4:$D$810=$D371)*($B$4:$B$810&lt;$B371)*$B$4:$B$810))=0,0,MAX(($B371-MAX(SUMPRODUCT(MAX(($D$4:$D$810=$D371)*($B$4:$B$810&lt;$B371)*$B$4:$B$810)),'Guide &amp; Settings'!$C$50))/7-'Guide &amp; Settings'!$C$48,0)*'Guide &amp; Settings'!$C$49))</f>
      </c>
    </row>
    <row r="372" spans="1:29">
      <c r="A372" s="116"/>
      <c r="B372" s="117"/>
      <c r="C372" s="118"/>
      <c r="D372" s="118"/>
      <c r="E372" s="116"/>
      <c r="F372" s="119">
        <f>IF($D372="",0,COUNTIF($A$4:$A$810,$A372))</f>
        <v>0</v>
      </c>
      <c r="G372" s="120">
        <f>IF($D372="","",IFERROR(LOOKUP(2,1/(($A$4:$A$810=$A372)*($E$4:$E$810="Win")),$D$4:$D$810),"(no winner)"))</f>
        <v>0</v>
      </c>
      <c r="H372" s="121">
        <f>IF($D372="",0,IFERROR(LOOKUP(2,1/(($D$3:D371=$D372)*($A$3:A371&lt;$A372)),$N$3:N371),'Guide &amp; Settings'!$C$41))</f>
        <v>0</v>
      </c>
      <c r="I372" s="122">
        <f>IF($D372="",0,IF($S372=0,0,$R372/$S372))</f>
        <v>0</v>
      </c>
      <c r="J372" s="123">
        <f>IF($D372="",0,IF($F372&lt;2,0,IF($E372="Win",('Guide &amp; Settings'!$C$42/(($F372-1)*COUNTIFS($A$4:$A$810,$A372,$E$4:$E$810,"Win")))*SUMIFS($X$4:$X$810,$A$4:$A$810,$A372,$E$4:$E$810,"Loss"),-('Guide &amp; Settings'!$C$42/($F372-1))*$X372)))</f>
        <v>0</v>
      </c>
      <c r="K372" s="123">
        <f>IF($D372="",0,'Guide &amp; Settings'!$C$43*(IF($E372="Win",1,0)-$I372))</f>
        <v>0</v>
      </c>
      <c r="L372" s="124">
        <f>IF($D372="",0,'Guide &amp; Settings'!$C$44*IF($F372&gt;=3,$F372+IF($E372="Win",$F372,0),0))</f>
        <v>0</v>
      </c>
      <c r="M372" s="123">
        <f>IF($D372="",0,$J372+$K372+$L372)</f>
        <v>0</v>
      </c>
      <c r="N372" s="121">
        <f>IF($D372="",0,$H372+$M372)</f>
        <v>0</v>
      </c>
      <c r="O372" s="120" t="str">
        <f>IF($D372="","",IF(COUNTIFS($A$4:$A$810,$A372,$E$4:$E$810,"Win")=0,"need a winner",IF(COUNTIFS($A$4:$A$810,$A372,$E$4:$E$810,"Loss")=0,"need a loser",IF(COUNTIFS($A$4:$A$810,$A372,$D$4:$D$810,$D372)&gt;1,"duplicate player","OK"))))</f>
      </c>
      <c r="P372">
        <f>IF($D372="",0,IFERROR(SUMIFS($H$4:$H$810,$A$4:$A$810,$A372,$E$4:$E$810,"Win")/COUNTIFS($A$4:$A$810,$A372,$E$4:$E$810,"Win"),0))</f>
        <v>0</v>
      </c>
      <c r="Q372">
        <f>IF($D372="",0,1/(1+10^(($P372-$H372)/400)))</f>
        <v>0</v>
      </c>
      <c r="R372">
        <f>IF($D372="",0,(COUNTIFS($D$4:$D$810,$D372,$C$4:$C$810,$C372,$E$4:$E$810,"Win",$A$4:$A$810,"&lt;"&amp;$A372)+1)/(COUNTIFS($D$4:$D$810,$D372,$C$4:$C$810,$C372,$A$4:$A$810,"&lt;"&amp;$A372)+2))</f>
        <v>0</v>
      </c>
      <c r="S372">
        <f>IF($D372="",0,SUMIFS($R$4:$R$810,$A$4:$A$810,$A372))</f>
        <v>0</v>
      </c>
      <c r="T372" s="88">
        <f>IF($D372="",0,COUNTIFS($D$4:$D$810,$D372,$C$4:$C$810,$C372,$A$4:$A$810,"&lt;"&amp;$A372))</f>
        <v>0</v>
      </c>
      <c r="U372" s="125">
        <f>IF($D372="",0,IFERROR(LOOKUP(2,1/(($D$3:D371=$D372)*($C$3:C371=$C372)*($A$3:A371&lt;$A372)),$AB$3:AB371),1000))</f>
        <v>0</v>
      </c>
      <c r="V372" s="125">
        <f>IF($D372="",0,$U372*($T372/($T372+5))+$H372*(1-$T372/($T372+5)))</f>
        <v>0</v>
      </c>
      <c r="W372">
        <f>IF($D372="",0,IFERROR(SUMIFS($V$4:$V$810,$A$4:$A$810,$A372,$E$4:$E$810,"Win")/COUNTIFS($A$4:$A$810,$A372,$E$4:$E$810,"Win"),0))</f>
        <v>0</v>
      </c>
      <c r="X372">
        <f>IF($D372="",0,1/(1+10^(($W372-$V372)/400)))</f>
        <v>0</v>
      </c>
      <c r="Y372">
        <f>IF($D372="",0,IFERROR(SUMIFS($U$4:$U$810,$A$4:$A$810,$A372,$E$4:$E$810,"Win")/COUNTIFS($A$4:$A$810,$A372,$E$4:$E$810,"Win"),0))</f>
        <v>0</v>
      </c>
      <c r="Z372">
        <f>IF($D372="",0,1/(1+10^(($Y372-$U372)/400)))</f>
        <v>0</v>
      </c>
      <c r="AA372">
        <f>IF($D372="",0,IF($F372&lt;2,0,IF($E372="Win",('Guide &amp; Settings'!$C$42/(($F372-1)*COUNTIFS($A$4:$A$810,$A372,$E$4:$E$810,"Win")))*SUMIFS($Z$4:$Z$810,$A$4:$A$810,$A372,$E$4:$E$810,"Loss"),-('Guide &amp; Settings'!$C$42/($F372-1))*$Z372)))</f>
        <v>0</v>
      </c>
      <c r="AB372" s="125">
        <f>IF($D372="",0,$U372+$AA372)</f>
        <v>0</v>
      </c>
      <c r="AC372" s="125" t="str">
        <f>IF($D372="","",IF(SUMPRODUCT(MAX(($D$4:$D$810=$D372)*($B$4:$B$810&lt;$B372)*$B$4:$B$810))=0,0,MAX(($B372-MAX(SUMPRODUCT(MAX(($D$4:$D$810=$D372)*($B$4:$B$810&lt;$B372)*$B$4:$B$810)),'Guide &amp; Settings'!$C$50))/7-'Guide &amp; Settings'!$C$48,0)*'Guide &amp; Settings'!$C$49))</f>
      </c>
    </row>
    <row r="373" spans="1:29">
      <c r="A373" s="116"/>
      <c r="B373" s="117"/>
      <c r="C373" s="118"/>
      <c r="D373" s="118"/>
      <c r="E373" s="116"/>
      <c r="F373" s="119">
        <f>IF($D373="",0,COUNTIF($A$4:$A$810,$A373))</f>
        <v>0</v>
      </c>
      <c r="G373" s="120">
        <f>IF($D373="","",IFERROR(LOOKUP(2,1/(($A$4:$A$810=$A373)*($E$4:$E$810="Win")),$D$4:$D$810),"(no winner)"))</f>
        <v>0</v>
      </c>
      <c r="H373" s="121">
        <f>IF($D373="",0,IFERROR(LOOKUP(2,1/(($D$3:D372=$D373)*($A$3:A372&lt;$A373)),$N$3:N372),'Guide &amp; Settings'!$C$41))</f>
        <v>0</v>
      </c>
      <c r="I373" s="122">
        <f>IF($D373="",0,IF($S373=0,0,$R373/$S373))</f>
        <v>0</v>
      </c>
      <c r="J373" s="123">
        <f>IF($D373="",0,IF($F373&lt;2,0,IF($E373="Win",('Guide &amp; Settings'!$C$42/(($F373-1)*COUNTIFS($A$4:$A$810,$A373,$E$4:$E$810,"Win")))*SUMIFS($X$4:$X$810,$A$4:$A$810,$A373,$E$4:$E$810,"Loss"),-('Guide &amp; Settings'!$C$42/($F373-1))*$X373)))</f>
        <v>0</v>
      </c>
      <c r="K373" s="123">
        <f>IF($D373="",0,'Guide &amp; Settings'!$C$43*(IF($E373="Win",1,0)-$I373))</f>
        <v>0</v>
      </c>
      <c r="L373" s="124">
        <f>IF($D373="",0,'Guide &amp; Settings'!$C$44*IF($F373&gt;=3,$F373+IF($E373="Win",$F373,0),0))</f>
        <v>0</v>
      </c>
      <c r="M373" s="123">
        <f>IF($D373="",0,$J373+$K373+$L373)</f>
        <v>0</v>
      </c>
      <c r="N373" s="121">
        <f>IF($D373="",0,$H373+$M373)</f>
        <v>0</v>
      </c>
      <c r="O373" s="120" t="str">
        <f>IF($D373="","",IF(COUNTIFS($A$4:$A$810,$A373,$E$4:$E$810,"Win")=0,"need a winner",IF(COUNTIFS($A$4:$A$810,$A373,$E$4:$E$810,"Loss")=0,"need a loser",IF(COUNTIFS($A$4:$A$810,$A373,$D$4:$D$810,$D373)&gt;1,"duplicate player","OK"))))</f>
      </c>
      <c r="P373">
        <f>IF($D373="",0,IFERROR(SUMIFS($H$4:$H$810,$A$4:$A$810,$A373,$E$4:$E$810,"Win")/COUNTIFS($A$4:$A$810,$A373,$E$4:$E$810,"Win"),0))</f>
        <v>0</v>
      </c>
      <c r="Q373">
        <f>IF($D373="",0,1/(1+10^(($P373-$H373)/400)))</f>
        <v>0</v>
      </c>
      <c r="R373">
        <f>IF($D373="",0,(COUNTIFS($D$4:$D$810,$D373,$C$4:$C$810,$C373,$E$4:$E$810,"Win",$A$4:$A$810,"&lt;"&amp;$A373)+1)/(COUNTIFS($D$4:$D$810,$D373,$C$4:$C$810,$C373,$A$4:$A$810,"&lt;"&amp;$A373)+2))</f>
        <v>0</v>
      </c>
      <c r="S373">
        <f>IF($D373="",0,SUMIFS($R$4:$R$810,$A$4:$A$810,$A373))</f>
        <v>0</v>
      </c>
      <c r="T373" s="88">
        <f>IF($D373="",0,COUNTIFS($D$4:$D$810,$D373,$C$4:$C$810,$C373,$A$4:$A$810,"&lt;"&amp;$A373))</f>
        <v>0</v>
      </c>
      <c r="U373" s="125">
        <f>IF($D373="",0,IFERROR(LOOKUP(2,1/(($D$3:D372=$D373)*($C$3:C372=$C373)*($A$3:A372&lt;$A373)),$AB$3:AB372),1000))</f>
        <v>0</v>
      </c>
      <c r="V373" s="125">
        <f>IF($D373="",0,$U373*($T373/($T373+5))+$H373*(1-$T373/($T373+5)))</f>
        <v>0</v>
      </c>
      <c r="W373">
        <f>IF($D373="",0,IFERROR(SUMIFS($V$4:$V$810,$A$4:$A$810,$A373,$E$4:$E$810,"Win")/COUNTIFS($A$4:$A$810,$A373,$E$4:$E$810,"Win"),0))</f>
        <v>0</v>
      </c>
      <c r="X373">
        <f>IF($D373="",0,1/(1+10^(($W373-$V373)/400)))</f>
        <v>0</v>
      </c>
      <c r="Y373">
        <f>IF($D373="",0,IFERROR(SUMIFS($U$4:$U$810,$A$4:$A$810,$A373,$E$4:$E$810,"Win")/COUNTIFS($A$4:$A$810,$A373,$E$4:$E$810,"Win"),0))</f>
        <v>0</v>
      </c>
      <c r="Z373">
        <f>IF($D373="",0,1/(1+10^(($Y373-$U373)/400)))</f>
        <v>0</v>
      </c>
      <c r="AA373">
        <f>IF($D373="",0,IF($F373&lt;2,0,IF($E373="Win",('Guide &amp; Settings'!$C$42/(($F373-1)*COUNTIFS($A$4:$A$810,$A373,$E$4:$E$810,"Win")))*SUMIFS($Z$4:$Z$810,$A$4:$A$810,$A373,$E$4:$E$810,"Loss"),-('Guide &amp; Settings'!$C$42/($F373-1))*$Z373)))</f>
        <v>0</v>
      </c>
      <c r="AB373" s="125">
        <f>IF($D373="",0,$U373+$AA373)</f>
        <v>0</v>
      </c>
      <c r="AC373" s="125" t="str">
        <f>IF($D373="","",IF(SUMPRODUCT(MAX(($D$4:$D$810=$D373)*($B$4:$B$810&lt;$B373)*$B$4:$B$810))=0,0,MAX(($B373-MAX(SUMPRODUCT(MAX(($D$4:$D$810=$D373)*($B$4:$B$810&lt;$B373)*$B$4:$B$810)),'Guide &amp; Settings'!$C$50))/7-'Guide &amp; Settings'!$C$48,0)*'Guide &amp; Settings'!$C$49))</f>
      </c>
    </row>
    <row r="374" spans="1:29">
      <c r="A374" s="116"/>
      <c r="B374" s="117"/>
      <c r="C374" s="118"/>
      <c r="D374" s="118"/>
      <c r="E374" s="116"/>
      <c r="F374" s="119">
        <f>IF($D374="",0,COUNTIF($A$4:$A$810,$A374))</f>
        <v>0</v>
      </c>
      <c r="G374" s="120">
        <f>IF($D374="","",IFERROR(LOOKUP(2,1/(($A$4:$A$810=$A374)*($E$4:$E$810="Win")),$D$4:$D$810),"(no winner)"))</f>
        <v>0</v>
      </c>
      <c r="H374" s="121">
        <f>IF($D374="",0,IFERROR(LOOKUP(2,1/(($D$3:D373=$D374)*($A$3:A373&lt;$A374)),$N$3:N373),'Guide &amp; Settings'!$C$41))</f>
        <v>0</v>
      </c>
      <c r="I374" s="122">
        <f>IF($D374="",0,IF($S374=0,0,$R374/$S374))</f>
        <v>0</v>
      </c>
      <c r="J374" s="123">
        <f>IF($D374="",0,IF($F374&lt;2,0,IF($E374="Win",('Guide &amp; Settings'!$C$42/(($F374-1)*COUNTIFS($A$4:$A$810,$A374,$E$4:$E$810,"Win")))*SUMIFS($X$4:$X$810,$A$4:$A$810,$A374,$E$4:$E$810,"Loss"),-('Guide &amp; Settings'!$C$42/($F374-1))*$X374)))</f>
        <v>0</v>
      </c>
      <c r="K374" s="123">
        <f>IF($D374="",0,'Guide &amp; Settings'!$C$43*(IF($E374="Win",1,0)-$I374))</f>
        <v>0</v>
      </c>
      <c r="L374" s="124">
        <f>IF($D374="",0,'Guide &amp; Settings'!$C$44*IF($F374&gt;=3,$F374+IF($E374="Win",$F374,0),0))</f>
        <v>0</v>
      </c>
      <c r="M374" s="123">
        <f>IF($D374="",0,$J374+$K374+$L374)</f>
        <v>0</v>
      </c>
      <c r="N374" s="121">
        <f>IF($D374="",0,$H374+$M374)</f>
        <v>0</v>
      </c>
      <c r="O374" s="120" t="str">
        <f>IF($D374="","",IF(COUNTIFS($A$4:$A$810,$A374,$E$4:$E$810,"Win")=0,"need a winner",IF(COUNTIFS($A$4:$A$810,$A374,$E$4:$E$810,"Loss")=0,"need a loser",IF(COUNTIFS($A$4:$A$810,$A374,$D$4:$D$810,$D374)&gt;1,"duplicate player","OK"))))</f>
      </c>
      <c r="P374">
        <f>IF($D374="",0,IFERROR(SUMIFS($H$4:$H$810,$A$4:$A$810,$A374,$E$4:$E$810,"Win")/COUNTIFS($A$4:$A$810,$A374,$E$4:$E$810,"Win"),0))</f>
        <v>0</v>
      </c>
      <c r="Q374">
        <f>IF($D374="",0,1/(1+10^(($P374-$H374)/400)))</f>
        <v>0</v>
      </c>
      <c r="R374">
        <f>IF($D374="",0,(COUNTIFS($D$4:$D$810,$D374,$C$4:$C$810,$C374,$E$4:$E$810,"Win",$A$4:$A$810,"&lt;"&amp;$A374)+1)/(COUNTIFS($D$4:$D$810,$D374,$C$4:$C$810,$C374,$A$4:$A$810,"&lt;"&amp;$A374)+2))</f>
        <v>0</v>
      </c>
      <c r="S374">
        <f>IF($D374="",0,SUMIFS($R$4:$R$810,$A$4:$A$810,$A374))</f>
        <v>0</v>
      </c>
      <c r="T374" s="88">
        <f>IF($D374="",0,COUNTIFS($D$4:$D$810,$D374,$C$4:$C$810,$C374,$A$4:$A$810,"&lt;"&amp;$A374))</f>
        <v>0</v>
      </c>
      <c r="U374" s="125">
        <f>IF($D374="",0,IFERROR(LOOKUP(2,1/(($D$3:D373=$D374)*($C$3:C373=$C374)*($A$3:A373&lt;$A374)),$AB$3:AB373),1000))</f>
        <v>0</v>
      </c>
      <c r="V374" s="125">
        <f>IF($D374="",0,$U374*($T374/($T374+5))+$H374*(1-$T374/($T374+5)))</f>
        <v>0</v>
      </c>
      <c r="W374">
        <f>IF($D374="",0,IFERROR(SUMIFS($V$4:$V$810,$A$4:$A$810,$A374,$E$4:$E$810,"Win")/COUNTIFS($A$4:$A$810,$A374,$E$4:$E$810,"Win"),0))</f>
        <v>0</v>
      </c>
      <c r="X374">
        <f>IF($D374="",0,1/(1+10^(($W374-$V374)/400)))</f>
        <v>0</v>
      </c>
      <c r="Y374">
        <f>IF($D374="",0,IFERROR(SUMIFS($U$4:$U$810,$A$4:$A$810,$A374,$E$4:$E$810,"Win")/COUNTIFS($A$4:$A$810,$A374,$E$4:$E$810,"Win"),0))</f>
        <v>0</v>
      </c>
      <c r="Z374">
        <f>IF($D374="",0,1/(1+10^(($Y374-$U374)/400)))</f>
        <v>0</v>
      </c>
      <c r="AA374">
        <f>IF($D374="",0,IF($F374&lt;2,0,IF($E374="Win",('Guide &amp; Settings'!$C$42/(($F374-1)*COUNTIFS($A$4:$A$810,$A374,$E$4:$E$810,"Win")))*SUMIFS($Z$4:$Z$810,$A$4:$A$810,$A374,$E$4:$E$810,"Loss"),-('Guide &amp; Settings'!$C$42/($F374-1))*$Z374)))</f>
        <v>0</v>
      </c>
      <c r="AB374" s="125">
        <f>IF($D374="",0,$U374+$AA374)</f>
        <v>0</v>
      </c>
      <c r="AC374" s="125" t="str">
        <f>IF($D374="","",IF(SUMPRODUCT(MAX(($D$4:$D$810=$D374)*($B$4:$B$810&lt;$B374)*$B$4:$B$810))=0,0,MAX(($B374-MAX(SUMPRODUCT(MAX(($D$4:$D$810=$D374)*($B$4:$B$810&lt;$B374)*$B$4:$B$810)),'Guide &amp; Settings'!$C$50))/7-'Guide &amp; Settings'!$C$48,0)*'Guide &amp; Settings'!$C$49))</f>
      </c>
    </row>
    <row r="375" spans="1:29">
      <c r="A375" s="116"/>
      <c r="B375" s="117"/>
      <c r="C375" s="118"/>
      <c r="D375" s="118"/>
      <c r="E375" s="116"/>
      <c r="F375" s="119">
        <f>IF($D375="",0,COUNTIF($A$4:$A$810,$A375))</f>
        <v>0</v>
      </c>
      <c r="G375" s="120">
        <f>IF($D375="","",IFERROR(LOOKUP(2,1/(($A$4:$A$810=$A375)*($E$4:$E$810="Win")),$D$4:$D$810),"(no winner)"))</f>
        <v>0</v>
      </c>
      <c r="H375" s="121">
        <f>IF($D375="",0,IFERROR(LOOKUP(2,1/(($D$3:D374=$D375)*($A$3:A374&lt;$A375)),$N$3:N374),'Guide &amp; Settings'!$C$41))</f>
        <v>0</v>
      </c>
      <c r="I375" s="122">
        <f>IF($D375="",0,IF($S375=0,0,$R375/$S375))</f>
        <v>0</v>
      </c>
      <c r="J375" s="123">
        <f>IF($D375="",0,IF($F375&lt;2,0,IF($E375="Win",('Guide &amp; Settings'!$C$42/(($F375-1)*COUNTIFS($A$4:$A$810,$A375,$E$4:$E$810,"Win")))*SUMIFS($X$4:$X$810,$A$4:$A$810,$A375,$E$4:$E$810,"Loss"),-('Guide &amp; Settings'!$C$42/($F375-1))*$X375)))</f>
        <v>0</v>
      </c>
      <c r="K375" s="123">
        <f>IF($D375="",0,'Guide &amp; Settings'!$C$43*(IF($E375="Win",1,0)-$I375))</f>
        <v>0</v>
      </c>
      <c r="L375" s="124">
        <f>IF($D375="",0,'Guide &amp; Settings'!$C$44*IF($F375&gt;=3,$F375+IF($E375="Win",$F375,0),0))</f>
        <v>0</v>
      </c>
      <c r="M375" s="123">
        <f>IF($D375="",0,$J375+$K375+$L375)</f>
        <v>0</v>
      </c>
      <c r="N375" s="121">
        <f>IF($D375="",0,$H375+$M375)</f>
        <v>0</v>
      </c>
      <c r="O375" s="120" t="str">
        <f>IF($D375="","",IF(COUNTIFS($A$4:$A$810,$A375,$E$4:$E$810,"Win")=0,"need a winner",IF(COUNTIFS($A$4:$A$810,$A375,$E$4:$E$810,"Loss")=0,"need a loser",IF(COUNTIFS($A$4:$A$810,$A375,$D$4:$D$810,$D375)&gt;1,"duplicate player","OK"))))</f>
      </c>
      <c r="P375">
        <f>IF($D375="",0,IFERROR(SUMIFS($H$4:$H$810,$A$4:$A$810,$A375,$E$4:$E$810,"Win")/COUNTIFS($A$4:$A$810,$A375,$E$4:$E$810,"Win"),0))</f>
        <v>0</v>
      </c>
      <c r="Q375">
        <f>IF($D375="",0,1/(1+10^(($P375-$H375)/400)))</f>
        <v>0</v>
      </c>
      <c r="R375">
        <f>IF($D375="",0,(COUNTIFS($D$4:$D$810,$D375,$C$4:$C$810,$C375,$E$4:$E$810,"Win",$A$4:$A$810,"&lt;"&amp;$A375)+1)/(COUNTIFS($D$4:$D$810,$D375,$C$4:$C$810,$C375,$A$4:$A$810,"&lt;"&amp;$A375)+2))</f>
        <v>0</v>
      </c>
      <c r="S375">
        <f>IF($D375="",0,SUMIFS($R$4:$R$810,$A$4:$A$810,$A375))</f>
        <v>0</v>
      </c>
      <c r="T375" s="88">
        <f>IF($D375="",0,COUNTIFS($D$4:$D$810,$D375,$C$4:$C$810,$C375,$A$4:$A$810,"&lt;"&amp;$A375))</f>
        <v>0</v>
      </c>
      <c r="U375" s="125">
        <f>IF($D375="",0,IFERROR(LOOKUP(2,1/(($D$3:D374=$D375)*($C$3:C374=$C375)*($A$3:A374&lt;$A375)),$AB$3:AB374),1000))</f>
        <v>0</v>
      </c>
      <c r="V375" s="125">
        <f>IF($D375="",0,$U375*($T375/($T375+5))+$H375*(1-$T375/($T375+5)))</f>
        <v>0</v>
      </c>
      <c r="W375">
        <f>IF($D375="",0,IFERROR(SUMIFS($V$4:$V$810,$A$4:$A$810,$A375,$E$4:$E$810,"Win")/COUNTIFS($A$4:$A$810,$A375,$E$4:$E$810,"Win"),0))</f>
        <v>0</v>
      </c>
      <c r="X375">
        <f>IF($D375="",0,1/(1+10^(($W375-$V375)/400)))</f>
        <v>0</v>
      </c>
      <c r="Y375">
        <f>IF($D375="",0,IFERROR(SUMIFS($U$4:$U$810,$A$4:$A$810,$A375,$E$4:$E$810,"Win")/COUNTIFS($A$4:$A$810,$A375,$E$4:$E$810,"Win"),0))</f>
        <v>0</v>
      </c>
      <c r="Z375">
        <f>IF($D375="",0,1/(1+10^(($Y375-$U375)/400)))</f>
        <v>0</v>
      </c>
      <c r="AA375">
        <f>IF($D375="",0,IF($F375&lt;2,0,IF($E375="Win",('Guide &amp; Settings'!$C$42/(($F375-1)*COUNTIFS($A$4:$A$810,$A375,$E$4:$E$810,"Win")))*SUMIFS($Z$4:$Z$810,$A$4:$A$810,$A375,$E$4:$E$810,"Loss"),-('Guide &amp; Settings'!$C$42/($F375-1))*$Z375)))</f>
        <v>0</v>
      </c>
      <c r="AB375" s="125">
        <f>IF($D375="",0,$U375+$AA375)</f>
        <v>0</v>
      </c>
      <c r="AC375" s="125" t="str">
        <f>IF($D375="","",IF(SUMPRODUCT(MAX(($D$4:$D$810=$D375)*($B$4:$B$810&lt;$B375)*$B$4:$B$810))=0,0,MAX(($B375-MAX(SUMPRODUCT(MAX(($D$4:$D$810=$D375)*($B$4:$B$810&lt;$B375)*$B$4:$B$810)),'Guide &amp; Settings'!$C$50))/7-'Guide &amp; Settings'!$C$48,0)*'Guide &amp; Settings'!$C$49))</f>
      </c>
    </row>
    <row r="376" spans="1:29">
      <c r="A376" s="116"/>
      <c r="B376" s="117"/>
      <c r="C376" s="118"/>
      <c r="D376" s="118"/>
      <c r="E376" s="116"/>
      <c r="F376" s="119">
        <f>IF($D376="",0,COUNTIF($A$4:$A$810,$A376))</f>
        <v>0</v>
      </c>
      <c r="G376" s="120">
        <f>IF($D376="","",IFERROR(LOOKUP(2,1/(($A$4:$A$810=$A376)*($E$4:$E$810="Win")),$D$4:$D$810),"(no winner)"))</f>
        <v>0</v>
      </c>
      <c r="H376" s="121">
        <f>IF($D376="",0,IFERROR(LOOKUP(2,1/(($D$3:D375=$D376)*($A$3:A375&lt;$A376)),$N$3:N375),'Guide &amp; Settings'!$C$41))</f>
        <v>0</v>
      </c>
      <c r="I376" s="122">
        <f>IF($D376="",0,IF($S376=0,0,$R376/$S376))</f>
        <v>0</v>
      </c>
      <c r="J376" s="123">
        <f>IF($D376="",0,IF($F376&lt;2,0,IF($E376="Win",('Guide &amp; Settings'!$C$42/(($F376-1)*COUNTIFS($A$4:$A$810,$A376,$E$4:$E$810,"Win")))*SUMIFS($X$4:$X$810,$A$4:$A$810,$A376,$E$4:$E$810,"Loss"),-('Guide &amp; Settings'!$C$42/($F376-1))*$X376)))</f>
        <v>0</v>
      </c>
      <c r="K376" s="123">
        <f>IF($D376="",0,'Guide &amp; Settings'!$C$43*(IF($E376="Win",1,0)-$I376))</f>
        <v>0</v>
      </c>
      <c r="L376" s="124">
        <f>IF($D376="",0,'Guide &amp; Settings'!$C$44*IF($F376&gt;=3,$F376+IF($E376="Win",$F376,0),0))</f>
        <v>0</v>
      </c>
      <c r="M376" s="123">
        <f>IF($D376="",0,$J376+$K376+$L376)</f>
        <v>0</v>
      </c>
      <c r="N376" s="121">
        <f>IF($D376="",0,$H376+$M376)</f>
        <v>0</v>
      </c>
      <c r="O376" s="120" t="str">
        <f>IF($D376="","",IF(COUNTIFS($A$4:$A$810,$A376,$E$4:$E$810,"Win")=0,"need a winner",IF(COUNTIFS($A$4:$A$810,$A376,$E$4:$E$810,"Loss")=0,"need a loser",IF(COUNTIFS($A$4:$A$810,$A376,$D$4:$D$810,$D376)&gt;1,"duplicate player","OK"))))</f>
      </c>
      <c r="P376">
        <f>IF($D376="",0,IFERROR(SUMIFS($H$4:$H$810,$A$4:$A$810,$A376,$E$4:$E$810,"Win")/COUNTIFS($A$4:$A$810,$A376,$E$4:$E$810,"Win"),0))</f>
        <v>0</v>
      </c>
      <c r="Q376">
        <f>IF($D376="",0,1/(1+10^(($P376-$H376)/400)))</f>
        <v>0</v>
      </c>
      <c r="R376">
        <f>IF($D376="",0,(COUNTIFS($D$4:$D$810,$D376,$C$4:$C$810,$C376,$E$4:$E$810,"Win",$A$4:$A$810,"&lt;"&amp;$A376)+1)/(COUNTIFS($D$4:$D$810,$D376,$C$4:$C$810,$C376,$A$4:$A$810,"&lt;"&amp;$A376)+2))</f>
        <v>0</v>
      </c>
      <c r="S376">
        <f>IF($D376="",0,SUMIFS($R$4:$R$810,$A$4:$A$810,$A376))</f>
        <v>0</v>
      </c>
      <c r="T376" s="88">
        <f>IF($D376="",0,COUNTIFS($D$4:$D$810,$D376,$C$4:$C$810,$C376,$A$4:$A$810,"&lt;"&amp;$A376))</f>
        <v>0</v>
      </c>
      <c r="U376" s="125">
        <f>IF($D376="",0,IFERROR(LOOKUP(2,1/(($D$3:D375=$D376)*($C$3:C375=$C376)*($A$3:A375&lt;$A376)),$AB$3:AB375),1000))</f>
        <v>0</v>
      </c>
      <c r="V376" s="125">
        <f>IF($D376="",0,$U376*($T376/($T376+5))+$H376*(1-$T376/($T376+5)))</f>
        <v>0</v>
      </c>
      <c r="W376">
        <f>IF($D376="",0,IFERROR(SUMIFS($V$4:$V$810,$A$4:$A$810,$A376,$E$4:$E$810,"Win")/COUNTIFS($A$4:$A$810,$A376,$E$4:$E$810,"Win"),0))</f>
        <v>0</v>
      </c>
      <c r="X376">
        <f>IF($D376="",0,1/(1+10^(($W376-$V376)/400)))</f>
        <v>0</v>
      </c>
      <c r="Y376">
        <f>IF($D376="",0,IFERROR(SUMIFS($U$4:$U$810,$A$4:$A$810,$A376,$E$4:$E$810,"Win")/COUNTIFS($A$4:$A$810,$A376,$E$4:$E$810,"Win"),0))</f>
        <v>0</v>
      </c>
      <c r="Z376">
        <f>IF($D376="",0,1/(1+10^(($Y376-$U376)/400)))</f>
        <v>0</v>
      </c>
      <c r="AA376">
        <f>IF($D376="",0,IF($F376&lt;2,0,IF($E376="Win",('Guide &amp; Settings'!$C$42/(($F376-1)*COUNTIFS($A$4:$A$810,$A376,$E$4:$E$810,"Win")))*SUMIFS($Z$4:$Z$810,$A$4:$A$810,$A376,$E$4:$E$810,"Loss"),-('Guide &amp; Settings'!$C$42/($F376-1))*$Z376)))</f>
        <v>0</v>
      </c>
      <c r="AB376" s="125">
        <f>IF($D376="",0,$U376+$AA376)</f>
        <v>0</v>
      </c>
      <c r="AC376" s="125" t="str">
        <f>IF($D376="","",IF(SUMPRODUCT(MAX(($D$4:$D$810=$D376)*($B$4:$B$810&lt;$B376)*$B$4:$B$810))=0,0,MAX(($B376-MAX(SUMPRODUCT(MAX(($D$4:$D$810=$D376)*($B$4:$B$810&lt;$B376)*$B$4:$B$810)),'Guide &amp; Settings'!$C$50))/7-'Guide &amp; Settings'!$C$48,0)*'Guide &amp; Settings'!$C$49))</f>
      </c>
    </row>
    <row r="377" spans="1:29">
      <c r="A377" s="116"/>
      <c r="B377" s="117"/>
      <c r="C377" s="118"/>
      <c r="D377" s="118"/>
      <c r="E377" s="116"/>
      <c r="F377" s="119">
        <f>IF($D377="",0,COUNTIF($A$4:$A$810,$A377))</f>
        <v>0</v>
      </c>
      <c r="G377" s="120">
        <f>IF($D377="","",IFERROR(LOOKUP(2,1/(($A$4:$A$810=$A377)*($E$4:$E$810="Win")),$D$4:$D$810),"(no winner)"))</f>
        <v>0</v>
      </c>
      <c r="H377" s="121">
        <f>IF($D377="",0,IFERROR(LOOKUP(2,1/(($D$3:D376=$D377)*($A$3:A376&lt;$A377)),$N$3:N376),'Guide &amp; Settings'!$C$41))</f>
        <v>0</v>
      </c>
      <c r="I377" s="122">
        <f>IF($D377="",0,IF($S377=0,0,$R377/$S377))</f>
        <v>0</v>
      </c>
      <c r="J377" s="123">
        <f>IF($D377="",0,IF($F377&lt;2,0,IF($E377="Win",('Guide &amp; Settings'!$C$42/(($F377-1)*COUNTIFS($A$4:$A$810,$A377,$E$4:$E$810,"Win")))*SUMIFS($X$4:$X$810,$A$4:$A$810,$A377,$E$4:$E$810,"Loss"),-('Guide &amp; Settings'!$C$42/($F377-1))*$X377)))</f>
        <v>0</v>
      </c>
      <c r="K377" s="123">
        <f>IF($D377="",0,'Guide &amp; Settings'!$C$43*(IF($E377="Win",1,0)-$I377))</f>
        <v>0</v>
      </c>
      <c r="L377" s="124">
        <f>IF($D377="",0,'Guide &amp; Settings'!$C$44*IF($F377&gt;=3,$F377+IF($E377="Win",$F377,0),0))</f>
        <v>0</v>
      </c>
      <c r="M377" s="123">
        <f>IF($D377="",0,$J377+$K377+$L377)</f>
        <v>0</v>
      </c>
      <c r="N377" s="121">
        <f>IF($D377="",0,$H377+$M377)</f>
        <v>0</v>
      </c>
      <c r="O377" s="120" t="str">
        <f>IF($D377="","",IF(COUNTIFS($A$4:$A$810,$A377,$E$4:$E$810,"Win")=0,"need a winner",IF(COUNTIFS($A$4:$A$810,$A377,$E$4:$E$810,"Loss")=0,"need a loser",IF(COUNTIFS($A$4:$A$810,$A377,$D$4:$D$810,$D377)&gt;1,"duplicate player","OK"))))</f>
      </c>
      <c r="P377">
        <f>IF($D377="",0,IFERROR(SUMIFS($H$4:$H$810,$A$4:$A$810,$A377,$E$4:$E$810,"Win")/COUNTIFS($A$4:$A$810,$A377,$E$4:$E$810,"Win"),0))</f>
        <v>0</v>
      </c>
      <c r="Q377">
        <f>IF($D377="",0,1/(1+10^(($P377-$H377)/400)))</f>
        <v>0</v>
      </c>
      <c r="R377">
        <f>IF($D377="",0,(COUNTIFS($D$4:$D$810,$D377,$C$4:$C$810,$C377,$E$4:$E$810,"Win",$A$4:$A$810,"&lt;"&amp;$A377)+1)/(COUNTIFS($D$4:$D$810,$D377,$C$4:$C$810,$C377,$A$4:$A$810,"&lt;"&amp;$A377)+2))</f>
        <v>0</v>
      </c>
      <c r="S377">
        <f>IF($D377="",0,SUMIFS($R$4:$R$810,$A$4:$A$810,$A377))</f>
        <v>0</v>
      </c>
      <c r="T377" s="88">
        <f>IF($D377="",0,COUNTIFS($D$4:$D$810,$D377,$C$4:$C$810,$C377,$A$4:$A$810,"&lt;"&amp;$A377))</f>
        <v>0</v>
      </c>
      <c r="U377" s="125">
        <f>IF($D377="",0,IFERROR(LOOKUP(2,1/(($D$3:D376=$D377)*($C$3:C376=$C377)*($A$3:A376&lt;$A377)),$AB$3:AB376),1000))</f>
        <v>0</v>
      </c>
      <c r="V377" s="125">
        <f>IF($D377="",0,$U377*($T377/($T377+5))+$H377*(1-$T377/($T377+5)))</f>
        <v>0</v>
      </c>
      <c r="W377">
        <f>IF($D377="",0,IFERROR(SUMIFS($V$4:$V$810,$A$4:$A$810,$A377,$E$4:$E$810,"Win")/COUNTIFS($A$4:$A$810,$A377,$E$4:$E$810,"Win"),0))</f>
        <v>0</v>
      </c>
      <c r="X377">
        <f>IF($D377="",0,1/(1+10^(($W377-$V377)/400)))</f>
        <v>0</v>
      </c>
      <c r="Y377">
        <f>IF($D377="",0,IFERROR(SUMIFS($U$4:$U$810,$A$4:$A$810,$A377,$E$4:$E$810,"Win")/COUNTIFS($A$4:$A$810,$A377,$E$4:$E$810,"Win"),0))</f>
        <v>0</v>
      </c>
      <c r="Z377">
        <f>IF($D377="",0,1/(1+10^(($Y377-$U377)/400)))</f>
        <v>0</v>
      </c>
      <c r="AA377">
        <f>IF($D377="",0,IF($F377&lt;2,0,IF($E377="Win",('Guide &amp; Settings'!$C$42/(($F377-1)*COUNTIFS($A$4:$A$810,$A377,$E$4:$E$810,"Win")))*SUMIFS($Z$4:$Z$810,$A$4:$A$810,$A377,$E$4:$E$810,"Loss"),-('Guide &amp; Settings'!$C$42/($F377-1))*$Z377)))</f>
        <v>0</v>
      </c>
      <c r="AB377" s="125">
        <f>IF($D377="",0,$U377+$AA377)</f>
        <v>0</v>
      </c>
      <c r="AC377" s="125" t="str">
        <f>IF($D377="","",IF(SUMPRODUCT(MAX(($D$4:$D$810=$D377)*($B$4:$B$810&lt;$B377)*$B$4:$B$810))=0,0,MAX(($B377-MAX(SUMPRODUCT(MAX(($D$4:$D$810=$D377)*($B$4:$B$810&lt;$B377)*$B$4:$B$810)),'Guide &amp; Settings'!$C$50))/7-'Guide &amp; Settings'!$C$48,0)*'Guide &amp; Settings'!$C$49))</f>
      </c>
    </row>
    <row r="378" spans="1:29">
      <c r="A378" s="116"/>
      <c r="B378" s="117"/>
      <c r="C378" s="118"/>
      <c r="D378" s="118"/>
      <c r="E378" s="116"/>
      <c r="F378" s="119">
        <f>IF($D378="",0,COUNTIF($A$4:$A$810,$A378))</f>
        <v>0</v>
      </c>
      <c r="G378" s="120">
        <f>IF($D378="","",IFERROR(LOOKUP(2,1/(($A$4:$A$810=$A378)*($E$4:$E$810="Win")),$D$4:$D$810),"(no winner)"))</f>
        <v>0</v>
      </c>
      <c r="H378" s="121">
        <f>IF($D378="",0,IFERROR(LOOKUP(2,1/(($D$3:D377=$D378)*($A$3:A377&lt;$A378)),$N$3:N377),'Guide &amp; Settings'!$C$41))</f>
        <v>0</v>
      </c>
      <c r="I378" s="122">
        <f>IF($D378="",0,IF($S378=0,0,$R378/$S378))</f>
        <v>0</v>
      </c>
      <c r="J378" s="123">
        <f>IF($D378="",0,IF($F378&lt;2,0,IF($E378="Win",('Guide &amp; Settings'!$C$42/(($F378-1)*COUNTIFS($A$4:$A$810,$A378,$E$4:$E$810,"Win")))*SUMIFS($X$4:$X$810,$A$4:$A$810,$A378,$E$4:$E$810,"Loss"),-('Guide &amp; Settings'!$C$42/($F378-1))*$X378)))</f>
        <v>0</v>
      </c>
      <c r="K378" s="123">
        <f>IF($D378="",0,'Guide &amp; Settings'!$C$43*(IF($E378="Win",1,0)-$I378))</f>
        <v>0</v>
      </c>
      <c r="L378" s="124">
        <f>IF($D378="",0,'Guide &amp; Settings'!$C$44*IF($F378&gt;=3,$F378+IF($E378="Win",$F378,0),0))</f>
        <v>0</v>
      </c>
      <c r="M378" s="123">
        <f>IF($D378="",0,$J378+$K378+$L378)</f>
        <v>0</v>
      </c>
      <c r="N378" s="121">
        <f>IF($D378="",0,$H378+$M378)</f>
        <v>0</v>
      </c>
      <c r="O378" s="120" t="str">
        <f>IF($D378="","",IF(COUNTIFS($A$4:$A$810,$A378,$E$4:$E$810,"Win")=0,"need a winner",IF(COUNTIFS($A$4:$A$810,$A378,$E$4:$E$810,"Loss")=0,"need a loser",IF(COUNTIFS($A$4:$A$810,$A378,$D$4:$D$810,$D378)&gt;1,"duplicate player","OK"))))</f>
      </c>
      <c r="P378">
        <f>IF($D378="",0,IFERROR(SUMIFS($H$4:$H$810,$A$4:$A$810,$A378,$E$4:$E$810,"Win")/COUNTIFS($A$4:$A$810,$A378,$E$4:$E$810,"Win"),0))</f>
        <v>0</v>
      </c>
      <c r="Q378">
        <f>IF($D378="",0,1/(1+10^(($P378-$H378)/400)))</f>
        <v>0</v>
      </c>
      <c r="R378">
        <f>IF($D378="",0,(COUNTIFS($D$4:$D$810,$D378,$C$4:$C$810,$C378,$E$4:$E$810,"Win",$A$4:$A$810,"&lt;"&amp;$A378)+1)/(COUNTIFS($D$4:$D$810,$D378,$C$4:$C$810,$C378,$A$4:$A$810,"&lt;"&amp;$A378)+2))</f>
        <v>0</v>
      </c>
      <c r="S378">
        <f>IF($D378="",0,SUMIFS($R$4:$R$810,$A$4:$A$810,$A378))</f>
        <v>0</v>
      </c>
      <c r="T378" s="88">
        <f>IF($D378="",0,COUNTIFS($D$4:$D$810,$D378,$C$4:$C$810,$C378,$A$4:$A$810,"&lt;"&amp;$A378))</f>
        <v>0</v>
      </c>
      <c r="U378" s="125">
        <f>IF($D378="",0,IFERROR(LOOKUP(2,1/(($D$3:D377=$D378)*($C$3:C377=$C378)*($A$3:A377&lt;$A378)),$AB$3:AB377),1000))</f>
        <v>0</v>
      </c>
      <c r="V378" s="125">
        <f>IF($D378="",0,$U378*($T378/($T378+5))+$H378*(1-$T378/($T378+5)))</f>
        <v>0</v>
      </c>
      <c r="W378">
        <f>IF($D378="",0,IFERROR(SUMIFS($V$4:$V$810,$A$4:$A$810,$A378,$E$4:$E$810,"Win")/COUNTIFS($A$4:$A$810,$A378,$E$4:$E$810,"Win"),0))</f>
        <v>0</v>
      </c>
      <c r="X378">
        <f>IF($D378="",0,1/(1+10^(($W378-$V378)/400)))</f>
        <v>0</v>
      </c>
      <c r="Y378">
        <f>IF($D378="",0,IFERROR(SUMIFS($U$4:$U$810,$A$4:$A$810,$A378,$E$4:$E$810,"Win")/COUNTIFS($A$4:$A$810,$A378,$E$4:$E$810,"Win"),0))</f>
        <v>0</v>
      </c>
      <c r="Z378">
        <f>IF($D378="",0,1/(1+10^(($Y378-$U378)/400)))</f>
        <v>0</v>
      </c>
      <c r="AA378">
        <f>IF($D378="",0,IF($F378&lt;2,0,IF($E378="Win",('Guide &amp; Settings'!$C$42/(($F378-1)*COUNTIFS($A$4:$A$810,$A378,$E$4:$E$810,"Win")))*SUMIFS($Z$4:$Z$810,$A$4:$A$810,$A378,$E$4:$E$810,"Loss"),-('Guide &amp; Settings'!$C$42/($F378-1))*$Z378)))</f>
        <v>0</v>
      </c>
      <c r="AB378" s="125">
        <f>IF($D378="",0,$U378+$AA378)</f>
        <v>0</v>
      </c>
      <c r="AC378" s="125" t="str">
        <f>IF($D378="","",IF(SUMPRODUCT(MAX(($D$4:$D$810=$D378)*($B$4:$B$810&lt;$B378)*$B$4:$B$810))=0,0,MAX(($B378-MAX(SUMPRODUCT(MAX(($D$4:$D$810=$D378)*($B$4:$B$810&lt;$B378)*$B$4:$B$810)),'Guide &amp; Settings'!$C$50))/7-'Guide &amp; Settings'!$C$48,0)*'Guide &amp; Settings'!$C$49))</f>
      </c>
    </row>
    <row r="379" spans="1:29">
      <c r="A379" s="116"/>
      <c r="B379" s="117"/>
      <c r="C379" s="118"/>
      <c r="D379" s="118"/>
      <c r="E379" s="116"/>
      <c r="F379" s="119">
        <f>IF($D379="",0,COUNTIF($A$4:$A$810,$A379))</f>
        <v>0</v>
      </c>
      <c r="G379" s="120">
        <f>IF($D379="","",IFERROR(LOOKUP(2,1/(($A$4:$A$810=$A379)*($E$4:$E$810="Win")),$D$4:$D$810),"(no winner)"))</f>
        <v>0</v>
      </c>
      <c r="H379" s="121">
        <f>IF($D379="",0,IFERROR(LOOKUP(2,1/(($D$3:D378=$D379)*($A$3:A378&lt;$A379)),$N$3:N378),'Guide &amp; Settings'!$C$41))</f>
        <v>0</v>
      </c>
      <c r="I379" s="122">
        <f>IF($D379="",0,IF($S379=0,0,$R379/$S379))</f>
        <v>0</v>
      </c>
      <c r="J379" s="123">
        <f>IF($D379="",0,IF($F379&lt;2,0,IF($E379="Win",('Guide &amp; Settings'!$C$42/(($F379-1)*COUNTIFS($A$4:$A$810,$A379,$E$4:$E$810,"Win")))*SUMIFS($X$4:$X$810,$A$4:$A$810,$A379,$E$4:$E$810,"Loss"),-('Guide &amp; Settings'!$C$42/($F379-1))*$X379)))</f>
        <v>0</v>
      </c>
      <c r="K379" s="123">
        <f>IF($D379="",0,'Guide &amp; Settings'!$C$43*(IF($E379="Win",1,0)-$I379))</f>
        <v>0</v>
      </c>
      <c r="L379" s="124">
        <f>IF($D379="",0,'Guide &amp; Settings'!$C$44*IF($F379&gt;=3,$F379+IF($E379="Win",$F379,0),0))</f>
        <v>0</v>
      </c>
      <c r="M379" s="123">
        <f>IF($D379="",0,$J379+$K379+$L379)</f>
        <v>0</v>
      </c>
      <c r="N379" s="121">
        <f>IF($D379="",0,$H379+$M379)</f>
        <v>0</v>
      </c>
      <c r="O379" s="120" t="str">
        <f>IF($D379="","",IF(COUNTIFS($A$4:$A$810,$A379,$E$4:$E$810,"Win")=0,"need a winner",IF(COUNTIFS($A$4:$A$810,$A379,$E$4:$E$810,"Loss")=0,"need a loser",IF(COUNTIFS($A$4:$A$810,$A379,$D$4:$D$810,$D379)&gt;1,"duplicate player","OK"))))</f>
      </c>
      <c r="P379">
        <f>IF($D379="",0,IFERROR(SUMIFS($H$4:$H$810,$A$4:$A$810,$A379,$E$4:$E$810,"Win")/COUNTIFS($A$4:$A$810,$A379,$E$4:$E$810,"Win"),0))</f>
        <v>0</v>
      </c>
      <c r="Q379">
        <f>IF($D379="",0,1/(1+10^(($P379-$H379)/400)))</f>
        <v>0</v>
      </c>
      <c r="R379">
        <f>IF($D379="",0,(COUNTIFS($D$4:$D$810,$D379,$C$4:$C$810,$C379,$E$4:$E$810,"Win",$A$4:$A$810,"&lt;"&amp;$A379)+1)/(COUNTIFS($D$4:$D$810,$D379,$C$4:$C$810,$C379,$A$4:$A$810,"&lt;"&amp;$A379)+2))</f>
        <v>0</v>
      </c>
      <c r="S379">
        <f>IF($D379="",0,SUMIFS($R$4:$R$810,$A$4:$A$810,$A379))</f>
        <v>0</v>
      </c>
      <c r="T379" s="88">
        <f>IF($D379="",0,COUNTIFS($D$4:$D$810,$D379,$C$4:$C$810,$C379,$A$4:$A$810,"&lt;"&amp;$A379))</f>
        <v>0</v>
      </c>
      <c r="U379" s="125">
        <f>IF($D379="",0,IFERROR(LOOKUP(2,1/(($D$3:D378=$D379)*($C$3:C378=$C379)*($A$3:A378&lt;$A379)),$AB$3:AB378),1000))</f>
        <v>0</v>
      </c>
      <c r="V379" s="125">
        <f>IF($D379="",0,$U379*($T379/($T379+5))+$H379*(1-$T379/($T379+5)))</f>
        <v>0</v>
      </c>
      <c r="W379">
        <f>IF($D379="",0,IFERROR(SUMIFS($V$4:$V$810,$A$4:$A$810,$A379,$E$4:$E$810,"Win")/COUNTIFS($A$4:$A$810,$A379,$E$4:$E$810,"Win"),0))</f>
        <v>0</v>
      </c>
      <c r="X379">
        <f>IF($D379="",0,1/(1+10^(($W379-$V379)/400)))</f>
        <v>0</v>
      </c>
      <c r="Y379">
        <f>IF($D379="",0,IFERROR(SUMIFS($U$4:$U$810,$A$4:$A$810,$A379,$E$4:$E$810,"Win")/COUNTIFS($A$4:$A$810,$A379,$E$4:$E$810,"Win"),0))</f>
        <v>0</v>
      </c>
      <c r="Z379">
        <f>IF($D379="",0,1/(1+10^(($Y379-$U379)/400)))</f>
        <v>0</v>
      </c>
      <c r="AA379">
        <f>IF($D379="",0,IF($F379&lt;2,0,IF($E379="Win",('Guide &amp; Settings'!$C$42/(($F379-1)*COUNTIFS($A$4:$A$810,$A379,$E$4:$E$810,"Win")))*SUMIFS($Z$4:$Z$810,$A$4:$A$810,$A379,$E$4:$E$810,"Loss"),-('Guide &amp; Settings'!$C$42/($F379-1))*$Z379)))</f>
        <v>0</v>
      </c>
      <c r="AB379" s="125">
        <f>IF($D379="",0,$U379+$AA379)</f>
        <v>0</v>
      </c>
      <c r="AC379" s="125" t="str">
        <f>IF($D379="","",IF(SUMPRODUCT(MAX(($D$4:$D$810=$D379)*($B$4:$B$810&lt;$B379)*$B$4:$B$810))=0,0,MAX(($B379-MAX(SUMPRODUCT(MAX(($D$4:$D$810=$D379)*($B$4:$B$810&lt;$B379)*$B$4:$B$810)),'Guide &amp; Settings'!$C$50))/7-'Guide &amp; Settings'!$C$48,0)*'Guide &amp; Settings'!$C$49))</f>
      </c>
    </row>
    <row r="380" spans="1:29">
      <c r="A380" s="116"/>
      <c r="B380" s="117"/>
      <c r="C380" s="118"/>
      <c r="D380" s="118"/>
      <c r="E380" s="116"/>
      <c r="F380" s="119">
        <f>IF($D380="",0,COUNTIF($A$4:$A$810,$A380))</f>
        <v>0</v>
      </c>
      <c r="G380" s="120">
        <f>IF($D380="","",IFERROR(LOOKUP(2,1/(($A$4:$A$810=$A380)*($E$4:$E$810="Win")),$D$4:$D$810),"(no winner)"))</f>
        <v>0</v>
      </c>
      <c r="H380" s="121">
        <f>IF($D380="",0,IFERROR(LOOKUP(2,1/(($D$3:D379=$D380)*($A$3:A379&lt;$A380)),$N$3:N379),'Guide &amp; Settings'!$C$41))</f>
        <v>0</v>
      </c>
      <c r="I380" s="122">
        <f>IF($D380="",0,IF($S380=0,0,$R380/$S380))</f>
        <v>0</v>
      </c>
      <c r="J380" s="123">
        <f>IF($D380="",0,IF($F380&lt;2,0,IF($E380="Win",('Guide &amp; Settings'!$C$42/(($F380-1)*COUNTIFS($A$4:$A$810,$A380,$E$4:$E$810,"Win")))*SUMIFS($X$4:$X$810,$A$4:$A$810,$A380,$E$4:$E$810,"Loss"),-('Guide &amp; Settings'!$C$42/($F380-1))*$X380)))</f>
        <v>0</v>
      </c>
      <c r="K380" s="123">
        <f>IF($D380="",0,'Guide &amp; Settings'!$C$43*(IF($E380="Win",1,0)-$I380))</f>
        <v>0</v>
      </c>
      <c r="L380" s="124">
        <f>IF($D380="",0,'Guide &amp; Settings'!$C$44*IF($F380&gt;=3,$F380+IF($E380="Win",$F380,0),0))</f>
        <v>0</v>
      </c>
      <c r="M380" s="123">
        <f>IF($D380="",0,$J380+$K380+$L380)</f>
        <v>0</v>
      </c>
      <c r="N380" s="121">
        <f>IF($D380="",0,$H380+$M380)</f>
        <v>0</v>
      </c>
      <c r="O380" s="120" t="str">
        <f>IF($D380="","",IF(COUNTIFS($A$4:$A$810,$A380,$E$4:$E$810,"Win")=0,"need a winner",IF(COUNTIFS($A$4:$A$810,$A380,$E$4:$E$810,"Loss")=0,"need a loser",IF(COUNTIFS($A$4:$A$810,$A380,$D$4:$D$810,$D380)&gt;1,"duplicate player","OK"))))</f>
      </c>
      <c r="P380">
        <f>IF($D380="",0,IFERROR(SUMIFS($H$4:$H$810,$A$4:$A$810,$A380,$E$4:$E$810,"Win")/COUNTIFS($A$4:$A$810,$A380,$E$4:$E$810,"Win"),0))</f>
        <v>0</v>
      </c>
      <c r="Q380">
        <f>IF($D380="",0,1/(1+10^(($P380-$H380)/400)))</f>
        <v>0</v>
      </c>
      <c r="R380">
        <f>IF($D380="",0,(COUNTIFS($D$4:$D$810,$D380,$C$4:$C$810,$C380,$E$4:$E$810,"Win",$A$4:$A$810,"&lt;"&amp;$A380)+1)/(COUNTIFS($D$4:$D$810,$D380,$C$4:$C$810,$C380,$A$4:$A$810,"&lt;"&amp;$A380)+2))</f>
        <v>0</v>
      </c>
      <c r="S380">
        <f>IF($D380="",0,SUMIFS($R$4:$R$810,$A$4:$A$810,$A380))</f>
        <v>0</v>
      </c>
      <c r="T380" s="88">
        <f>IF($D380="",0,COUNTIFS($D$4:$D$810,$D380,$C$4:$C$810,$C380,$A$4:$A$810,"&lt;"&amp;$A380))</f>
        <v>0</v>
      </c>
      <c r="U380" s="125">
        <f>IF($D380="",0,IFERROR(LOOKUP(2,1/(($D$3:D379=$D380)*($C$3:C379=$C380)*($A$3:A379&lt;$A380)),$AB$3:AB379),1000))</f>
        <v>0</v>
      </c>
      <c r="V380" s="125">
        <f>IF($D380="",0,$U380*($T380/($T380+5))+$H380*(1-$T380/($T380+5)))</f>
        <v>0</v>
      </c>
      <c r="W380">
        <f>IF($D380="",0,IFERROR(SUMIFS($V$4:$V$810,$A$4:$A$810,$A380,$E$4:$E$810,"Win")/COUNTIFS($A$4:$A$810,$A380,$E$4:$E$810,"Win"),0))</f>
        <v>0</v>
      </c>
      <c r="X380">
        <f>IF($D380="",0,1/(1+10^(($W380-$V380)/400)))</f>
        <v>0</v>
      </c>
      <c r="Y380">
        <f>IF($D380="",0,IFERROR(SUMIFS($U$4:$U$810,$A$4:$A$810,$A380,$E$4:$E$810,"Win")/COUNTIFS($A$4:$A$810,$A380,$E$4:$E$810,"Win"),0))</f>
        <v>0</v>
      </c>
      <c r="Z380">
        <f>IF($D380="",0,1/(1+10^(($Y380-$U380)/400)))</f>
        <v>0</v>
      </c>
      <c r="AA380">
        <f>IF($D380="",0,IF($F380&lt;2,0,IF($E380="Win",('Guide &amp; Settings'!$C$42/(($F380-1)*COUNTIFS($A$4:$A$810,$A380,$E$4:$E$810,"Win")))*SUMIFS($Z$4:$Z$810,$A$4:$A$810,$A380,$E$4:$E$810,"Loss"),-('Guide &amp; Settings'!$C$42/($F380-1))*$Z380)))</f>
        <v>0</v>
      </c>
      <c r="AB380" s="125">
        <f>IF($D380="",0,$U380+$AA380)</f>
        <v>0</v>
      </c>
      <c r="AC380" s="125" t="str">
        <f>IF($D380="","",IF(SUMPRODUCT(MAX(($D$4:$D$810=$D380)*($B$4:$B$810&lt;$B380)*$B$4:$B$810))=0,0,MAX(($B380-MAX(SUMPRODUCT(MAX(($D$4:$D$810=$D380)*($B$4:$B$810&lt;$B380)*$B$4:$B$810)),'Guide &amp; Settings'!$C$50))/7-'Guide &amp; Settings'!$C$48,0)*'Guide &amp; Settings'!$C$49))</f>
      </c>
    </row>
    <row r="381" spans="1:29">
      <c r="A381" s="116"/>
      <c r="B381" s="117"/>
      <c r="C381" s="118"/>
      <c r="D381" s="118"/>
      <c r="E381" s="116"/>
      <c r="F381" s="119">
        <f>IF($D381="",0,COUNTIF($A$4:$A$810,$A381))</f>
        <v>0</v>
      </c>
      <c r="G381" s="120">
        <f>IF($D381="","",IFERROR(LOOKUP(2,1/(($A$4:$A$810=$A381)*($E$4:$E$810="Win")),$D$4:$D$810),"(no winner)"))</f>
        <v>0</v>
      </c>
      <c r="H381" s="121">
        <f>IF($D381="",0,IFERROR(LOOKUP(2,1/(($D$3:D380=$D381)*($A$3:A380&lt;$A381)),$N$3:N380),'Guide &amp; Settings'!$C$41))</f>
        <v>0</v>
      </c>
      <c r="I381" s="122">
        <f>IF($D381="",0,IF($S381=0,0,$R381/$S381))</f>
        <v>0</v>
      </c>
      <c r="J381" s="123">
        <f>IF($D381="",0,IF($F381&lt;2,0,IF($E381="Win",('Guide &amp; Settings'!$C$42/(($F381-1)*COUNTIFS($A$4:$A$810,$A381,$E$4:$E$810,"Win")))*SUMIFS($X$4:$X$810,$A$4:$A$810,$A381,$E$4:$E$810,"Loss"),-('Guide &amp; Settings'!$C$42/($F381-1))*$X381)))</f>
        <v>0</v>
      </c>
      <c r="K381" s="123">
        <f>IF($D381="",0,'Guide &amp; Settings'!$C$43*(IF($E381="Win",1,0)-$I381))</f>
        <v>0</v>
      </c>
      <c r="L381" s="124">
        <f>IF($D381="",0,'Guide &amp; Settings'!$C$44*IF($F381&gt;=3,$F381+IF($E381="Win",$F381,0),0))</f>
        <v>0</v>
      </c>
      <c r="M381" s="123">
        <f>IF($D381="",0,$J381+$K381+$L381)</f>
        <v>0</v>
      </c>
      <c r="N381" s="121">
        <f>IF($D381="",0,$H381+$M381)</f>
        <v>0</v>
      </c>
      <c r="O381" s="120" t="str">
        <f>IF($D381="","",IF(COUNTIFS($A$4:$A$810,$A381,$E$4:$E$810,"Win")=0,"need a winner",IF(COUNTIFS($A$4:$A$810,$A381,$E$4:$E$810,"Loss")=0,"need a loser",IF(COUNTIFS($A$4:$A$810,$A381,$D$4:$D$810,$D381)&gt;1,"duplicate player","OK"))))</f>
      </c>
      <c r="P381">
        <f>IF($D381="",0,IFERROR(SUMIFS($H$4:$H$810,$A$4:$A$810,$A381,$E$4:$E$810,"Win")/COUNTIFS($A$4:$A$810,$A381,$E$4:$E$810,"Win"),0))</f>
        <v>0</v>
      </c>
      <c r="Q381">
        <f>IF($D381="",0,1/(1+10^(($P381-$H381)/400)))</f>
        <v>0</v>
      </c>
      <c r="R381">
        <f>IF($D381="",0,(COUNTIFS($D$4:$D$810,$D381,$C$4:$C$810,$C381,$E$4:$E$810,"Win",$A$4:$A$810,"&lt;"&amp;$A381)+1)/(COUNTIFS($D$4:$D$810,$D381,$C$4:$C$810,$C381,$A$4:$A$810,"&lt;"&amp;$A381)+2))</f>
        <v>0</v>
      </c>
      <c r="S381">
        <f>IF($D381="",0,SUMIFS($R$4:$R$810,$A$4:$A$810,$A381))</f>
        <v>0</v>
      </c>
      <c r="T381" s="88">
        <f>IF($D381="",0,COUNTIFS($D$4:$D$810,$D381,$C$4:$C$810,$C381,$A$4:$A$810,"&lt;"&amp;$A381))</f>
        <v>0</v>
      </c>
      <c r="U381" s="125">
        <f>IF($D381="",0,IFERROR(LOOKUP(2,1/(($D$3:D380=$D381)*($C$3:C380=$C381)*($A$3:A380&lt;$A381)),$AB$3:AB380),1000))</f>
        <v>0</v>
      </c>
      <c r="V381" s="125">
        <f>IF($D381="",0,$U381*($T381/($T381+5))+$H381*(1-$T381/($T381+5)))</f>
        <v>0</v>
      </c>
      <c r="W381">
        <f>IF($D381="",0,IFERROR(SUMIFS($V$4:$V$810,$A$4:$A$810,$A381,$E$4:$E$810,"Win")/COUNTIFS($A$4:$A$810,$A381,$E$4:$E$810,"Win"),0))</f>
        <v>0</v>
      </c>
      <c r="X381">
        <f>IF($D381="",0,1/(1+10^(($W381-$V381)/400)))</f>
        <v>0</v>
      </c>
      <c r="Y381">
        <f>IF($D381="",0,IFERROR(SUMIFS($U$4:$U$810,$A$4:$A$810,$A381,$E$4:$E$810,"Win")/COUNTIFS($A$4:$A$810,$A381,$E$4:$E$810,"Win"),0))</f>
        <v>0</v>
      </c>
      <c r="Z381">
        <f>IF($D381="",0,1/(1+10^(($Y381-$U381)/400)))</f>
        <v>0</v>
      </c>
      <c r="AA381">
        <f>IF($D381="",0,IF($F381&lt;2,0,IF($E381="Win",('Guide &amp; Settings'!$C$42/(($F381-1)*COUNTIFS($A$4:$A$810,$A381,$E$4:$E$810,"Win")))*SUMIFS($Z$4:$Z$810,$A$4:$A$810,$A381,$E$4:$E$810,"Loss"),-('Guide &amp; Settings'!$C$42/($F381-1))*$Z381)))</f>
        <v>0</v>
      </c>
      <c r="AB381" s="125">
        <f>IF($D381="",0,$U381+$AA381)</f>
        <v>0</v>
      </c>
      <c r="AC381" s="125" t="str">
        <f>IF($D381="","",IF(SUMPRODUCT(MAX(($D$4:$D$810=$D381)*($B$4:$B$810&lt;$B381)*$B$4:$B$810))=0,0,MAX(($B381-MAX(SUMPRODUCT(MAX(($D$4:$D$810=$D381)*($B$4:$B$810&lt;$B381)*$B$4:$B$810)),'Guide &amp; Settings'!$C$50))/7-'Guide &amp; Settings'!$C$48,0)*'Guide &amp; Settings'!$C$49))</f>
      </c>
    </row>
    <row r="382" spans="1:29">
      <c r="A382" s="116"/>
      <c r="B382" s="117"/>
      <c r="C382" s="118"/>
      <c r="D382" s="118"/>
      <c r="E382" s="116"/>
      <c r="F382" s="119">
        <f>IF($D382="",0,COUNTIF($A$4:$A$810,$A382))</f>
        <v>0</v>
      </c>
      <c r="G382" s="120">
        <f>IF($D382="","",IFERROR(LOOKUP(2,1/(($A$4:$A$810=$A382)*($E$4:$E$810="Win")),$D$4:$D$810),"(no winner)"))</f>
        <v>0</v>
      </c>
      <c r="H382" s="121">
        <f>IF($D382="",0,IFERROR(LOOKUP(2,1/(($D$3:D381=$D382)*($A$3:A381&lt;$A382)),$N$3:N381),'Guide &amp; Settings'!$C$41))</f>
        <v>0</v>
      </c>
      <c r="I382" s="122">
        <f>IF($D382="",0,IF($S382=0,0,$R382/$S382))</f>
        <v>0</v>
      </c>
      <c r="J382" s="123">
        <f>IF($D382="",0,IF($F382&lt;2,0,IF($E382="Win",('Guide &amp; Settings'!$C$42/(($F382-1)*COUNTIFS($A$4:$A$810,$A382,$E$4:$E$810,"Win")))*SUMIFS($X$4:$X$810,$A$4:$A$810,$A382,$E$4:$E$810,"Loss"),-('Guide &amp; Settings'!$C$42/($F382-1))*$X382)))</f>
        <v>0</v>
      </c>
      <c r="K382" s="123">
        <f>IF($D382="",0,'Guide &amp; Settings'!$C$43*(IF($E382="Win",1,0)-$I382))</f>
        <v>0</v>
      </c>
      <c r="L382" s="124">
        <f>IF($D382="",0,'Guide &amp; Settings'!$C$44*IF($F382&gt;=3,$F382+IF($E382="Win",$F382,0),0))</f>
        <v>0</v>
      </c>
      <c r="M382" s="123">
        <f>IF($D382="",0,$J382+$K382+$L382)</f>
        <v>0</v>
      </c>
      <c r="N382" s="121">
        <f>IF($D382="",0,$H382+$M382)</f>
        <v>0</v>
      </c>
      <c r="O382" s="120" t="str">
        <f>IF($D382="","",IF(COUNTIFS($A$4:$A$810,$A382,$E$4:$E$810,"Win")=0,"need a winner",IF(COUNTIFS($A$4:$A$810,$A382,$E$4:$E$810,"Loss")=0,"need a loser",IF(COUNTIFS($A$4:$A$810,$A382,$D$4:$D$810,$D382)&gt;1,"duplicate player","OK"))))</f>
      </c>
      <c r="P382">
        <f>IF($D382="",0,IFERROR(SUMIFS($H$4:$H$810,$A$4:$A$810,$A382,$E$4:$E$810,"Win")/COUNTIFS($A$4:$A$810,$A382,$E$4:$E$810,"Win"),0))</f>
        <v>0</v>
      </c>
      <c r="Q382">
        <f>IF($D382="",0,1/(1+10^(($P382-$H382)/400)))</f>
        <v>0</v>
      </c>
      <c r="R382">
        <f>IF($D382="",0,(COUNTIFS($D$4:$D$810,$D382,$C$4:$C$810,$C382,$E$4:$E$810,"Win",$A$4:$A$810,"&lt;"&amp;$A382)+1)/(COUNTIFS($D$4:$D$810,$D382,$C$4:$C$810,$C382,$A$4:$A$810,"&lt;"&amp;$A382)+2))</f>
        <v>0</v>
      </c>
      <c r="S382">
        <f>IF($D382="",0,SUMIFS($R$4:$R$810,$A$4:$A$810,$A382))</f>
        <v>0</v>
      </c>
      <c r="T382" s="88">
        <f>IF($D382="",0,COUNTIFS($D$4:$D$810,$D382,$C$4:$C$810,$C382,$A$4:$A$810,"&lt;"&amp;$A382))</f>
        <v>0</v>
      </c>
      <c r="U382" s="125">
        <f>IF($D382="",0,IFERROR(LOOKUP(2,1/(($D$3:D381=$D382)*($C$3:C381=$C382)*($A$3:A381&lt;$A382)),$AB$3:AB381),1000))</f>
        <v>0</v>
      </c>
      <c r="V382" s="125">
        <f>IF($D382="",0,$U382*($T382/($T382+5))+$H382*(1-$T382/($T382+5)))</f>
        <v>0</v>
      </c>
      <c r="W382">
        <f>IF($D382="",0,IFERROR(SUMIFS($V$4:$V$810,$A$4:$A$810,$A382,$E$4:$E$810,"Win")/COUNTIFS($A$4:$A$810,$A382,$E$4:$E$810,"Win"),0))</f>
        <v>0</v>
      </c>
      <c r="X382">
        <f>IF($D382="",0,1/(1+10^(($W382-$V382)/400)))</f>
        <v>0</v>
      </c>
      <c r="Y382">
        <f>IF($D382="",0,IFERROR(SUMIFS($U$4:$U$810,$A$4:$A$810,$A382,$E$4:$E$810,"Win")/COUNTIFS($A$4:$A$810,$A382,$E$4:$E$810,"Win"),0))</f>
        <v>0</v>
      </c>
      <c r="Z382">
        <f>IF($D382="",0,1/(1+10^(($Y382-$U382)/400)))</f>
        <v>0</v>
      </c>
      <c r="AA382">
        <f>IF($D382="",0,IF($F382&lt;2,0,IF($E382="Win",('Guide &amp; Settings'!$C$42/(($F382-1)*COUNTIFS($A$4:$A$810,$A382,$E$4:$E$810,"Win")))*SUMIFS($Z$4:$Z$810,$A$4:$A$810,$A382,$E$4:$E$810,"Loss"),-('Guide &amp; Settings'!$C$42/($F382-1))*$Z382)))</f>
        <v>0</v>
      </c>
      <c r="AB382" s="125">
        <f>IF($D382="",0,$U382+$AA382)</f>
        <v>0</v>
      </c>
      <c r="AC382" s="125" t="str">
        <f>IF($D382="","",IF(SUMPRODUCT(MAX(($D$4:$D$810=$D382)*($B$4:$B$810&lt;$B382)*$B$4:$B$810))=0,0,MAX(($B382-MAX(SUMPRODUCT(MAX(($D$4:$D$810=$D382)*($B$4:$B$810&lt;$B382)*$B$4:$B$810)),'Guide &amp; Settings'!$C$50))/7-'Guide &amp; Settings'!$C$48,0)*'Guide &amp; Settings'!$C$49))</f>
      </c>
    </row>
    <row r="383" spans="1:29">
      <c r="A383" s="116"/>
      <c r="B383" s="117"/>
      <c r="C383" s="118"/>
      <c r="D383" s="118"/>
      <c r="E383" s="116"/>
      <c r="F383" s="119">
        <f>IF($D383="",0,COUNTIF($A$4:$A$810,$A383))</f>
        <v>0</v>
      </c>
      <c r="G383" s="120">
        <f>IF($D383="","",IFERROR(LOOKUP(2,1/(($A$4:$A$810=$A383)*($E$4:$E$810="Win")),$D$4:$D$810),"(no winner)"))</f>
        <v>0</v>
      </c>
      <c r="H383" s="121">
        <f>IF($D383="",0,IFERROR(LOOKUP(2,1/(($D$3:D382=$D383)*($A$3:A382&lt;$A383)),$N$3:N382),'Guide &amp; Settings'!$C$41))</f>
        <v>0</v>
      </c>
      <c r="I383" s="122">
        <f>IF($D383="",0,IF($S383=0,0,$R383/$S383))</f>
        <v>0</v>
      </c>
      <c r="J383" s="123">
        <f>IF($D383="",0,IF($F383&lt;2,0,IF($E383="Win",('Guide &amp; Settings'!$C$42/(($F383-1)*COUNTIFS($A$4:$A$810,$A383,$E$4:$E$810,"Win")))*SUMIFS($X$4:$X$810,$A$4:$A$810,$A383,$E$4:$E$810,"Loss"),-('Guide &amp; Settings'!$C$42/($F383-1))*$X383)))</f>
        <v>0</v>
      </c>
      <c r="K383" s="123">
        <f>IF($D383="",0,'Guide &amp; Settings'!$C$43*(IF($E383="Win",1,0)-$I383))</f>
        <v>0</v>
      </c>
      <c r="L383" s="124">
        <f>IF($D383="",0,'Guide &amp; Settings'!$C$44*IF($F383&gt;=3,$F383+IF($E383="Win",$F383,0),0))</f>
        <v>0</v>
      </c>
      <c r="M383" s="123">
        <f>IF($D383="",0,$J383+$K383+$L383)</f>
        <v>0</v>
      </c>
      <c r="N383" s="121">
        <f>IF($D383="",0,$H383+$M383)</f>
        <v>0</v>
      </c>
      <c r="O383" s="120" t="str">
        <f>IF($D383="","",IF(COUNTIFS($A$4:$A$810,$A383,$E$4:$E$810,"Win")=0,"need a winner",IF(COUNTIFS($A$4:$A$810,$A383,$E$4:$E$810,"Loss")=0,"need a loser",IF(COUNTIFS($A$4:$A$810,$A383,$D$4:$D$810,$D383)&gt;1,"duplicate player","OK"))))</f>
      </c>
      <c r="P383">
        <f>IF($D383="",0,IFERROR(SUMIFS($H$4:$H$810,$A$4:$A$810,$A383,$E$4:$E$810,"Win")/COUNTIFS($A$4:$A$810,$A383,$E$4:$E$810,"Win"),0))</f>
        <v>0</v>
      </c>
      <c r="Q383">
        <f>IF($D383="",0,1/(1+10^(($P383-$H383)/400)))</f>
        <v>0</v>
      </c>
      <c r="R383">
        <f>IF($D383="",0,(COUNTIFS($D$4:$D$810,$D383,$C$4:$C$810,$C383,$E$4:$E$810,"Win",$A$4:$A$810,"&lt;"&amp;$A383)+1)/(COUNTIFS($D$4:$D$810,$D383,$C$4:$C$810,$C383,$A$4:$A$810,"&lt;"&amp;$A383)+2))</f>
        <v>0</v>
      </c>
      <c r="S383">
        <f>IF($D383="",0,SUMIFS($R$4:$R$810,$A$4:$A$810,$A383))</f>
        <v>0</v>
      </c>
      <c r="T383" s="88">
        <f>IF($D383="",0,COUNTIFS($D$4:$D$810,$D383,$C$4:$C$810,$C383,$A$4:$A$810,"&lt;"&amp;$A383))</f>
        <v>0</v>
      </c>
      <c r="U383" s="125">
        <f>IF($D383="",0,IFERROR(LOOKUP(2,1/(($D$3:D382=$D383)*($C$3:C382=$C383)*($A$3:A382&lt;$A383)),$AB$3:AB382),1000))</f>
        <v>0</v>
      </c>
      <c r="V383" s="125">
        <f>IF($D383="",0,$U383*($T383/($T383+5))+$H383*(1-$T383/($T383+5)))</f>
        <v>0</v>
      </c>
      <c r="W383">
        <f>IF($D383="",0,IFERROR(SUMIFS($V$4:$V$810,$A$4:$A$810,$A383,$E$4:$E$810,"Win")/COUNTIFS($A$4:$A$810,$A383,$E$4:$E$810,"Win"),0))</f>
        <v>0</v>
      </c>
      <c r="X383">
        <f>IF($D383="",0,1/(1+10^(($W383-$V383)/400)))</f>
        <v>0</v>
      </c>
      <c r="Y383">
        <f>IF($D383="",0,IFERROR(SUMIFS($U$4:$U$810,$A$4:$A$810,$A383,$E$4:$E$810,"Win")/COUNTIFS($A$4:$A$810,$A383,$E$4:$E$810,"Win"),0))</f>
        <v>0</v>
      </c>
      <c r="Z383">
        <f>IF($D383="",0,1/(1+10^(($Y383-$U383)/400)))</f>
        <v>0</v>
      </c>
      <c r="AA383">
        <f>IF($D383="",0,IF($F383&lt;2,0,IF($E383="Win",('Guide &amp; Settings'!$C$42/(($F383-1)*COUNTIFS($A$4:$A$810,$A383,$E$4:$E$810,"Win")))*SUMIFS($Z$4:$Z$810,$A$4:$A$810,$A383,$E$4:$E$810,"Loss"),-('Guide &amp; Settings'!$C$42/($F383-1))*$Z383)))</f>
        <v>0</v>
      </c>
      <c r="AB383" s="125">
        <f>IF($D383="",0,$U383+$AA383)</f>
        <v>0</v>
      </c>
      <c r="AC383" s="125" t="str">
        <f>IF($D383="","",IF(SUMPRODUCT(MAX(($D$4:$D$810=$D383)*($B$4:$B$810&lt;$B383)*$B$4:$B$810))=0,0,MAX(($B383-MAX(SUMPRODUCT(MAX(($D$4:$D$810=$D383)*($B$4:$B$810&lt;$B383)*$B$4:$B$810)),'Guide &amp; Settings'!$C$50))/7-'Guide &amp; Settings'!$C$48,0)*'Guide &amp; Settings'!$C$49))</f>
      </c>
    </row>
    <row r="384" spans="1:29">
      <c r="A384" s="116"/>
      <c r="B384" s="117"/>
      <c r="C384" s="118"/>
      <c r="D384" s="118"/>
      <c r="E384" s="116"/>
      <c r="F384" s="119">
        <f>IF($D384="",0,COUNTIF($A$4:$A$810,$A384))</f>
        <v>0</v>
      </c>
      <c r="G384" s="120">
        <f>IF($D384="","",IFERROR(LOOKUP(2,1/(($A$4:$A$810=$A384)*($E$4:$E$810="Win")),$D$4:$D$810),"(no winner)"))</f>
        <v>0</v>
      </c>
      <c r="H384" s="121">
        <f>IF($D384="",0,IFERROR(LOOKUP(2,1/(($D$3:D383=$D384)*($A$3:A383&lt;$A384)),$N$3:N383),'Guide &amp; Settings'!$C$41))</f>
        <v>0</v>
      </c>
      <c r="I384" s="122">
        <f>IF($D384="",0,IF($S384=0,0,$R384/$S384))</f>
        <v>0</v>
      </c>
      <c r="J384" s="123">
        <f>IF($D384="",0,IF($F384&lt;2,0,IF($E384="Win",('Guide &amp; Settings'!$C$42/(($F384-1)*COUNTIFS($A$4:$A$810,$A384,$E$4:$E$810,"Win")))*SUMIFS($X$4:$X$810,$A$4:$A$810,$A384,$E$4:$E$810,"Loss"),-('Guide &amp; Settings'!$C$42/($F384-1))*$X384)))</f>
        <v>0</v>
      </c>
      <c r="K384" s="123">
        <f>IF($D384="",0,'Guide &amp; Settings'!$C$43*(IF($E384="Win",1,0)-$I384))</f>
        <v>0</v>
      </c>
      <c r="L384" s="124">
        <f>IF($D384="",0,'Guide &amp; Settings'!$C$44*IF($F384&gt;=3,$F384+IF($E384="Win",$F384,0),0))</f>
        <v>0</v>
      </c>
      <c r="M384" s="123">
        <f>IF($D384="",0,$J384+$K384+$L384)</f>
        <v>0</v>
      </c>
      <c r="N384" s="121">
        <f>IF($D384="",0,$H384+$M384)</f>
        <v>0</v>
      </c>
      <c r="O384" s="120" t="str">
        <f>IF($D384="","",IF(COUNTIFS($A$4:$A$810,$A384,$E$4:$E$810,"Win")=0,"need a winner",IF(COUNTIFS($A$4:$A$810,$A384,$E$4:$E$810,"Loss")=0,"need a loser",IF(COUNTIFS($A$4:$A$810,$A384,$D$4:$D$810,$D384)&gt;1,"duplicate player","OK"))))</f>
      </c>
      <c r="P384">
        <f>IF($D384="",0,IFERROR(SUMIFS($H$4:$H$810,$A$4:$A$810,$A384,$E$4:$E$810,"Win")/COUNTIFS($A$4:$A$810,$A384,$E$4:$E$810,"Win"),0))</f>
        <v>0</v>
      </c>
      <c r="Q384">
        <f>IF($D384="",0,1/(1+10^(($P384-$H384)/400)))</f>
        <v>0</v>
      </c>
      <c r="R384">
        <f>IF($D384="",0,(COUNTIFS($D$4:$D$810,$D384,$C$4:$C$810,$C384,$E$4:$E$810,"Win",$A$4:$A$810,"&lt;"&amp;$A384)+1)/(COUNTIFS($D$4:$D$810,$D384,$C$4:$C$810,$C384,$A$4:$A$810,"&lt;"&amp;$A384)+2))</f>
        <v>0</v>
      </c>
      <c r="S384">
        <f>IF($D384="",0,SUMIFS($R$4:$R$810,$A$4:$A$810,$A384))</f>
        <v>0</v>
      </c>
      <c r="T384" s="88">
        <f>IF($D384="",0,COUNTIFS($D$4:$D$810,$D384,$C$4:$C$810,$C384,$A$4:$A$810,"&lt;"&amp;$A384))</f>
        <v>0</v>
      </c>
      <c r="U384" s="125">
        <f>IF($D384="",0,IFERROR(LOOKUP(2,1/(($D$3:D383=$D384)*($C$3:C383=$C384)*($A$3:A383&lt;$A384)),$AB$3:AB383),1000))</f>
        <v>0</v>
      </c>
      <c r="V384" s="125">
        <f>IF($D384="",0,$U384*($T384/($T384+5))+$H384*(1-$T384/($T384+5)))</f>
        <v>0</v>
      </c>
      <c r="W384">
        <f>IF($D384="",0,IFERROR(SUMIFS($V$4:$V$810,$A$4:$A$810,$A384,$E$4:$E$810,"Win")/COUNTIFS($A$4:$A$810,$A384,$E$4:$E$810,"Win"),0))</f>
        <v>0</v>
      </c>
      <c r="X384">
        <f>IF($D384="",0,1/(1+10^(($W384-$V384)/400)))</f>
        <v>0</v>
      </c>
      <c r="Y384">
        <f>IF($D384="",0,IFERROR(SUMIFS($U$4:$U$810,$A$4:$A$810,$A384,$E$4:$E$810,"Win")/COUNTIFS($A$4:$A$810,$A384,$E$4:$E$810,"Win"),0))</f>
        <v>0</v>
      </c>
      <c r="Z384">
        <f>IF($D384="",0,1/(1+10^(($Y384-$U384)/400)))</f>
        <v>0</v>
      </c>
      <c r="AA384">
        <f>IF($D384="",0,IF($F384&lt;2,0,IF($E384="Win",('Guide &amp; Settings'!$C$42/(($F384-1)*COUNTIFS($A$4:$A$810,$A384,$E$4:$E$810,"Win")))*SUMIFS($Z$4:$Z$810,$A$4:$A$810,$A384,$E$4:$E$810,"Loss"),-('Guide &amp; Settings'!$C$42/($F384-1))*$Z384)))</f>
        <v>0</v>
      </c>
      <c r="AB384" s="125">
        <f>IF($D384="",0,$U384+$AA384)</f>
        <v>0</v>
      </c>
      <c r="AC384" s="125" t="str">
        <f>IF($D384="","",IF(SUMPRODUCT(MAX(($D$4:$D$810=$D384)*($B$4:$B$810&lt;$B384)*$B$4:$B$810))=0,0,MAX(($B384-MAX(SUMPRODUCT(MAX(($D$4:$D$810=$D384)*($B$4:$B$810&lt;$B384)*$B$4:$B$810)),'Guide &amp; Settings'!$C$50))/7-'Guide &amp; Settings'!$C$48,0)*'Guide &amp; Settings'!$C$49))</f>
      </c>
    </row>
    <row r="385" spans="1:29">
      <c r="A385" s="116"/>
      <c r="B385" s="117"/>
      <c r="C385" s="118"/>
      <c r="D385" s="118"/>
      <c r="E385" s="116"/>
      <c r="F385" s="119">
        <f>IF($D385="",0,COUNTIF($A$4:$A$810,$A385))</f>
        <v>0</v>
      </c>
      <c r="G385" s="120">
        <f>IF($D385="","",IFERROR(LOOKUP(2,1/(($A$4:$A$810=$A385)*($E$4:$E$810="Win")),$D$4:$D$810),"(no winner)"))</f>
        <v>0</v>
      </c>
      <c r="H385" s="121">
        <f>IF($D385="",0,IFERROR(LOOKUP(2,1/(($D$3:D384=$D385)*($A$3:A384&lt;$A385)),$N$3:N384),'Guide &amp; Settings'!$C$41))</f>
        <v>0</v>
      </c>
      <c r="I385" s="122">
        <f>IF($D385="",0,IF($S385=0,0,$R385/$S385))</f>
        <v>0</v>
      </c>
      <c r="J385" s="123">
        <f>IF($D385="",0,IF($F385&lt;2,0,IF($E385="Win",('Guide &amp; Settings'!$C$42/(($F385-1)*COUNTIFS($A$4:$A$810,$A385,$E$4:$E$810,"Win")))*SUMIFS($X$4:$X$810,$A$4:$A$810,$A385,$E$4:$E$810,"Loss"),-('Guide &amp; Settings'!$C$42/($F385-1))*$X385)))</f>
        <v>0</v>
      </c>
      <c r="K385" s="123">
        <f>IF($D385="",0,'Guide &amp; Settings'!$C$43*(IF($E385="Win",1,0)-$I385))</f>
        <v>0</v>
      </c>
      <c r="L385" s="124">
        <f>IF($D385="",0,'Guide &amp; Settings'!$C$44*IF($F385&gt;=3,$F385+IF($E385="Win",$F385,0),0))</f>
        <v>0</v>
      </c>
      <c r="M385" s="123">
        <f>IF($D385="",0,$J385+$K385+$L385)</f>
        <v>0</v>
      </c>
      <c r="N385" s="121">
        <f>IF($D385="",0,$H385+$M385)</f>
        <v>0</v>
      </c>
      <c r="O385" s="120" t="str">
        <f>IF($D385="","",IF(COUNTIFS($A$4:$A$810,$A385,$E$4:$E$810,"Win")=0,"need a winner",IF(COUNTIFS($A$4:$A$810,$A385,$E$4:$E$810,"Loss")=0,"need a loser",IF(COUNTIFS($A$4:$A$810,$A385,$D$4:$D$810,$D385)&gt;1,"duplicate player","OK"))))</f>
      </c>
      <c r="P385">
        <f>IF($D385="",0,IFERROR(SUMIFS($H$4:$H$810,$A$4:$A$810,$A385,$E$4:$E$810,"Win")/COUNTIFS($A$4:$A$810,$A385,$E$4:$E$810,"Win"),0))</f>
        <v>0</v>
      </c>
      <c r="Q385">
        <f>IF($D385="",0,1/(1+10^(($P385-$H385)/400)))</f>
        <v>0</v>
      </c>
      <c r="R385">
        <f>IF($D385="",0,(COUNTIFS($D$4:$D$810,$D385,$C$4:$C$810,$C385,$E$4:$E$810,"Win",$A$4:$A$810,"&lt;"&amp;$A385)+1)/(COUNTIFS($D$4:$D$810,$D385,$C$4:$C$810,$C385,$A$4:$A$810,"&lt;"&amp;$A385)+2))</f>
        <v>0</v>
      </c>
      <c r="S385">
        <f>IF($D385="",0,SUMIFS($R$4:$R$810,$A$4:$A$810,$A385))</f>
        <v>0</v>
      </c>
      <c r="T385" s="88">
        <f>IF($D385="",0,COUNTIFS($D$4:$D$810,$D385,$C$4:$C$810,$C385,$A$4:$A$810,"&lt;"&amp;$A385))</f>
        <v>0</v>
      </c>
      <c r="U385" s="125">
        <f>IF($D385="",0,IFERROR(LOOKUP(2,1/(($D$3:D384=$D385)*($C$3:C384=$C385)*($A$3:A384&lt;$A385)),$AB$3:AB384),1000))</f>
        <v>0</v>
      </c>
      <c r="V385" s="125">
        <f>IF($D385="",0,$U385*($T385/($T385+5))+$H385*(1-$T385/($T385+5)))</f>
        <v>0</v>
      </c>
      <c r="W385">
        <f>IF($D385="",0,IFERROR(SUMIFS($V$4:$V$810,$A$4:$A$810,$A385,$E$4:$E$810,"Win")/COUNTIFS($A$4:$A$810,$A385,$E$4:$E$810,"Win"),0))</f>
        <v>0</v>
      </c>
      <c r="X385">
        <f>IF($D385="",0,1/(1+10^(($W385-$V385)/400)))</f>
        <v>0</v>
      </c>
      <c r="Y385">
        <f>IF($D385="",0,IFERROR(SUMIFS($U$4:$U$810,$A$4:$A$810,$A385,$E$4:$E$810,"Win")/COUNTIFS($A$4:$A$810,$A385,$E$4:$E$810,"Win"),0))</f>
        <v>0</v>
      </c>
      <c r="Z385">
        <f>IF($D385="",0,1/(1+10^(($Y385-$U385)/400)))</f>
        <v>0</v>
      </c>
      <c r="AA385">
        <f>IF($D385="",0,IF($F385&lt;2,0,IF($E385="Win",('Guide &amp; Settings'!$C$42/(($F385-1)*COUNTIFS($A$4:$A$810,$A385,$E$4:$E$810,"Win")))*SUMIFS($Z$4:$Z$810,$A$4:$A$810,$A385,$E$4:$E$810,"Loss"),-('Guide &amp; Settings'!$C$42/($F385-1))*$Z385)))</f>
        <v>0</v>
      </c>
      <c r="AB385" s="125">
        <f>IF($D385="",0,$U385+$AA385)</f>
        <v>0</v>
      </c>
      <c r="AC385" s="125" t="str">
        <f>IF($D385="","",IF(SUMPRODUCT(MAX(($D$4:$D$810=$D385)*($B$4:$B$810&lt;$B385)*$B$4:$B$810))=0,0,MAX(($B385-MAX(SUMPRODUCT(MAX(($D$4:$D$810=$D385)*($B$4:$B$810&lt;$B385)*$B$4:$B$810)),'Guide &amp; Settings'!$C$50))/7-'Guide &amp; Settings'!$C$48,0)*'Guide &amp; Settings'!$C$49))</f>
      </c>
    </row>
    <row r="386" spans="1:29">
      <c r="A386" s="116"/>
      <c r="B386" s="117"/>
      <c r="C386" s="118"/>
      <c r="D386" s="118"/>
      <c r="E386" s="116"/>
      <c r="F386" s="119">
        <f>IF($D386="",0,COUNTIF($A$4:$A$810,$A386))</f>
        <v>0</v>
      </c>
      <c r="G386" s="120">
        <f>IF($D386="","",IFERROR(LOOKUP(2,1/(($A$4:$A$810=$A386)*($E$4:$E$810="Win")),$D$4:$D$810),"(no winner)"))</f>
        <v>0</v>
      </c>
      <c r="H386" s="121">
        <f>IF($D386="",0,IFERROR(LOOKUP(2,1/(($D$3:D385=$D386)*($A$3:A385&lt;$A386)),$N$3:N385),'Guide &amp; Settings'!$C$41))</f>
        <v>0</v>
      </c>
      <c r="I386" s="122">
        <f>IF($D386="",0,IF($S386=0,0,$R386/$S386))</f>
        <v>0</v>
      </c>
      <c r="J386" s="123">
        <f>IF($D386="",0,IF($F386&lt;2,0,IF($E386="Win",('Guide &amp; Settings'!$C$42/(($F386-1)*COUNTIFS($A$4:$A$810,$A386,$E$4:$E$810,"Win")))*SUMIFS($X$4:$X$810,$A$4:$A$810,$A386,$E$4:$E$810,"Loss"),-('Guide &amp; Settings'!$C$42/($F386-1))*$X386)))</f>
        <v>0</v>
      </c>
      <c r="K386" s="123">
        <f>IF($D386="",0,'Guide &amp; Settings'!$C$43*(IF($E386="Win",1,0)-$I386))</f>
        <v>0</v>
      </c>
      <c r="L386" s="124">
        <f>IF($D386="",0,'Guide &amp; Settings'!$C$44*IF($F386&gt;=3,$F386+IF($E386="Win",$F386,0),0))</f>
        <v>0</v>
      </c>
      <c r="M386" s="123">
        <f>IF($D386="",0,$J386+$K386+$L386)</f>
        <v>0</v>
      </c>
      <c r="N386" s="121">
        <f>IF($D386="",0,$H386+$M386)</f>
        <v>0</v>
      </c>
      <c r="O386" s="120" t="str">
        <f>IF($D386="","",IF(COUNTIFS($A$4:$A$810,$A386,$E$4:$E$810,"Win")=0,"need a winner",IF(COUNTIFS($A$4:$A$810,$A386,$E$4:$E$810,"Loss")=0,"need a loser",IF(COUNTIFS($A$4:$A$810,$A386,$D$4:$D$810,$D386)&gt;1,"duplicate player","OK"))))</f>
      </c>
      <c r="P386">
        <f>IF($D386="",0,IFERROR(SUMIFS($H$4:$H$810,$A$4:$A$810,$A386,$E$4:$E$810,"Win")/COUNTIFS($A$4:$A$810,$A386,$E$4:$E$810,"Win"),0))</f>
        <v>0</v>
      </c>
      <c r="Q386">
        <f>IF($D386="",0,1/(1+10^(($P386-$H386)/400)))</f>
        <v>0</v>
      </c>
      <c r="R386">
        <f>IF($D386="",0,(COUNTIFS($D$4:$D$810,$D386,$C$4:$C$810,$C386,$E$4:$E$810,"Win",$A$4:$A$810,"&lt;"&amp;$A386)+1)/(COUNTIFS($D$4:$D$810,$D386,$C$4:$C$810,$C386,$A$4:$A$810,"&lt;"&amp;$A386)+2))</f>
        <v>0</v>
      </c>
      <c r="S386">
        <f>IF($D386="",0,SUMIFS($R$4:$R$810,$A$4:$A$810,$A386))</f>
        <v>0</v>
      </c>
      <c r="T386" s="88">
        <f>IF($D386="",0,COUNTIFS($D$4:$D$810,$D386,$C$4:$C$810,$C386,$A$4:$A$810,"&lt;"&amp;$A386))</f>
        <v>0</v>
      </c>
      <c r="U386" s="125">
        <f>IF($D386="",0,IFERROR(LOOKUP(2,1/(($D$3:D385=$D386)*($C$3:C385=$C386)*($A$3:A385&lt;$A386)),$AB$3:AB385),1000))</f>
        <v>0</v>
      </c>
      <c r="V386" s="125">
        <f>IF($D386="",0,$U386*($T386/($T386+5))+$H386*(1-$T386/($T386+5)))</f>
        <v>0</v>
      </c>
      <c r="W386">
        <f>IF($D386="",0,IFERROR(SUMIFS($V$4:$V$810,$A$4:$A$810,$A386,$E$4:$E$810,"Win")/COUNTIFS($A$4:$A$810,$A386,$E$4:$E$810,"Win"),0))</f>
        <v>0</v>
      </c>
      <c r="X386">
        <f>IF($D386="",0,1/(1+10^(($W386-$V386)/400)))</f>
        <v>0</v>
      </c>
      <c r="Y386">
        <f>IF($D386="",0,IFERROR(SUMIFS($U$4:$U$810,$A$4:$A$810,$A386,$E$4:$E$810,"Win")/COUNTIFS($A$4:$A$810,$A386,$E$4:$E$810,"Win"),0))</f>
        <v>0</v>
      </c>
      <c r="Z386">
        <f>IF($D386="",0,1/(1+10^(($Y386-$U386)/400)))</f>
        <v>0</v>
      </c>
      <c r="AA386">
        <f>IF($D386="",0,IF($F386&lt;2,0,IF($E386="Win",('Guide &amp; Settings'!$C$42/(($F386-1)*COUNTIFS($A$4:$A$810,$A386,$E$4:$E$810,"Win")))*SUMIFS($Z$4:$Z$810,$A$4:$A$810,$A386,$E$4:$E$810,"Loss"),-('Guide &amp; Settings'!$C$42/($F386-1))*$Z386)))</f>
        <v>0</v>
      </c>
      <c r="AB386" s="125">
        <f>IF($D386="",0,$U386+$AA386)</f>
        <v>0</v>
      </c>
      <c r="AC386" s="125" t="str">
        <f>IF($D386="","",IF(SUMPRODUCT(MAX(($D$4:$D$810=$D386)*($B$4:$B$810&lt;$B386)*$B$4:$B$810))=0,0,MAX(($B386-MAX(SUMPRODUCT(MAX(($D$4:$D$810=$D386)*($B$4:$B$810&lt;$B386)*$B$4:$B$810)),'Guide &amp; Settings'!$C$50))/7-'Guide &amp; Settings'!$C$48,0)*'Guide &amp; Settings'!$C$49))</f>
      </c>
    </row>
    <row r="387" spans="1:29">
      <c r="A387" s="116"/>
      <c r="B387" s="117"/>
      <c r="C387" s="118"/>
      <c r="D387" s="118"/>
      <c r="E387" s="116"/>
      <c r="F387" s="119">
        <f>IF($D387="",0,COUNTIF($A$4:$A$810,$A387))</f>
        <v>0</v>
      </c>
      <c r="G387" s="120">
        <f>IF($D387="","",IFERROR(LOOKUP(2,1/(($A$4:$A$810=$A387)*($E$4:$E$810="Win")),$D$4:$D$810),"(no winner)"))</f>
        <v>0</v>
      </c>
      <c r="H387" s="121">
        <f>IF($D387="",0,IFERROR(LOOKUP(2,1/(($D$3:D386=$D387)*($A$3:A386&lt;$A387)),$N$3:N386),'Guide &amp; Settings'!$C$41))</f>
        <v>0</v>
      </c>
      <c r="I387" s="122">
        <f>IF($D387="",0,IF($S387=0,0,$R387/$S387))</f>
        <v>0</v>
      </c>
      <c r="J387" s="123">
        <f>IF($D387="",0,IF($F387&lt;2,0,IF($E387="Win",('Guide &amp; Settings'!$C$42/(($F387-1)*COUNTIFS($A$4:$A$810,$A387,$E$4:$E$810,"Win")))*SUMIFS($X$4:$X$810,$A$4:$A$810,$A387,$E$4:$E$810,"Loss"),-('Guide &amp; Settings'!$C$42/($F387-1))*$X387)))</f>
        <v>0</v>
      </c>
      <c r="K387" s="123">
        <f>IF($D387="",0,'Guide &amp; Settings'!$C$43*(IF($E387="Win",1,0)-$I387))</f>
        <v>0</v>
      </c>
      <c r="L387" s="124">
        <f>IF($D387="",0,'Guide &amp; Settings'!$C$44*IF($F387&gt;=3,$F387+IF($E387="Win",$F387,0),0))</f>
        <v>0</v>
      </c>
      <c r="M387" s="123">
        <f>IF($D387="",0,$J387+$K387+$L387)</f>
        <v>0</v>
      </c>
      <c r="N387" s="121">
        <f>IF($D387="",0,$H387+$M387)</f>
        <v>0</v>
      </c>
      <c r="O387" s="120" t="str">
        <f>IF($D387="","",IF(COUNTIFS($A$4:$A$810,$A387,$E$4:$E$810,"Win")=0,"need a winner",IF(COUNTIFS($A$4:$A$810,$A387,$E$4:$E$810,"Loss")=0,"need a loser",IF(COUNTIFS($A$4:$A$810,$A387,$D$4:$D$810,$D387)&gt;1,"duplicate player","OK"))))</f>
      </c>
      <c r="P387">
        <f>IF($D387="",0,IFERROR(SUMIFS($H$4:$H$810,$A$4:$A$810,$A387,$E$4:$E$810,"Win")/COUNTIFS($A$4:$A$810,$A387,$E$4:$E$810,"Win"),0))</f>
        <v>0</v>
      </c>
      <c r="Q387">
        <f>IF($D387="",0,1/(1+10^(($P387-$H387)/400)))</f>
        <v>0</v>
      </c>
      <c r="R387">
        <f>IF($D387="",0,(COUNTIFS($D$4:$D$810,$D387,$C$4:$C$810,$C387,$E$4:$E$810,"Win",$A$4:$A$810,"&lt;"&amp;$A387)+1)/(COUNTIFS($D$4:$D$810,$D387,$C$4:$C$810,$C387,$A$4:$A$810,"&lt;"&amp;$A387)+2))</f>
        <v>0</v>
      </c>
      <c r="S387">
        <f>IF($D387="",0,SUMIFS($R$4:$R$810,$A$4:$A$810,$A387))</f>
        <v>0</v>
      </c>
      <c r="T387" s="88">
        <f>IF($D387="",0,COUNTIFS($D$4:$D$810,$D387,$C$4:$C$810,$C387,$A$4:$A$810,"&lt;"&amp;$A387))</f>
        <v>0</v>
      </c>
      <c r="U387" s="125">
        <f>IF($D387="",0,IFERROR(LOOKUP(2,1/(($D$3:D386=$D387)*($C$3:C386=$C387)*($A$3:A386&lt;$A387)),$AB$3:AB386),1000))</f>
        <v>0</v>
      </c>
      <c r="V387" s="125">
        <f>IF($D387="",0,$U387*($T387/($T387+5))+$H387*(1-$T387/($T387+5)))</f>
        <v>0</v>
      </c>
      <c r="W387">
        <f>IF($D387="",0,IFERROR(SUMIFS($V$4:$V$810,$A$4:$A$810,$A387,$E$4:$E$810,"Win")/COUNTIFS($A$4:$A$810,$A387,$E$4:$E$810,"Win"),0))</f>
        <v>0</v>
      </c>
      <c r="X387">
        <f>IF($D387="",0,1/(1+10^(($W387-$V387)/400)))</f>
        <v>0</v>
      </c>
      <c r="Y387">
        <f>IF($D387="",0,IFERROR(SUMIFS($U$4:$U$810,$A$4:$A$810,$A387,$E$4:$E$810,"Win")/COUNTIFS($A$4:$A$810,$A387,$E$4:$E$810,"Win"),0))</f>
        <v>0</v>
      </c>
      <c r="Z387">
        <f>IF($D387="",0,1/(1+10^(($Y387-$U387)/400)))</f>
        <v>0</v>
      </c>
      <c r="AA387">
        <f>IF($D387="",0,IF($F387&lt;2,0,IF($E387="Win",('Guide &amp; Settings'!$C$42/(($F387-1)*COUNTIFS($A$4:$A$810,$A387,$E$4:$E$810,"Win")))*SUMIFS($Z$4:$Z$810,$A$4:$A$810,$A387,$E$4:$E$810,"Loss"),-('Guide &amp; Settings'!$C$42/($F387-1))*$Z387)))</f>
        <v>0</v>
      </c>
      <c r="AB387" s="125">
        <f>IF($D387="",0,$U387+$AA387)</f>
        <v>0</v>
      </c>
      <c r="AC387" s="125" t="str">
        <f>IF($D387="","",IF(SUMPRODUCT(MAX(($D$4:$D$810=$D387)*($B$4:$B$810&lt;$B387)*$B$4:$B$810))=0,0,MAX(($B387-MAX(SUMPRODUCT(MAX(($D$4:$D$810=$D387)*($B$4:$B$810&lt;$B387)*$B$4:$B$810)),'Guide &amp; Settings'!$C$50))/7-'Guide &amp; Settings'!$C$48,0)*'Guide &amp; Settings'!$C$49))</f>
      </c>
    </row>
    <row r="388" spans="1:29">
      <c r="A388" s="116"/>
      <c r="B388" s="117"/>
      <c r="C388" s="118"/>
      <c r="D388" s="118"/>
      <c r="E388" s="116"/>
      <c r="F388" s="119">
        <f>IF($D388="",0,COUNTIF($A$4:$A$810,$A388))</f>
        <v>0</v>
      </c>
      <c r="G388" s="120">
        <f>IF($D388="","",IFERROR(LOOKUP(2,1/(($A$4:$A$810=$A388)*($E$4:$E$810="Win")),$D$4:$D$810),"(no winner)"))</f>
        <v>0</v>
      </c>
      <c r="H388" s="121">
        <f>IF($D388="",0,IFERROR(LOOKUP(2,1/(($D$3:D387=$D388)*($A$3:A387&lt;$A388)),$N$3:N387),'Guide &amp; Settings'!$C$41))</f>
        <v>0</v>
      </c>
      <c r="I388" s="122">
        <f>IF($D388="",0,IF($S388=0,0,$R388/$S388))</f>
        <v>0</v>
      </c>
      <c r="J388" s="123">
        <f>IF($D388="",0,IF($F388&lt;2,0,IF($E388="Win",('Guide &amp; Settings'!$C$42/(($F388-1)*COUNTIFS($A$4:$A$810,$A388,$E$4:$E$810,"Win")))*SUMIFS($X$4:$X$810,$A$4:$A$810,$A388,$E$4:$E$810,"Loss"),-('Guide &amp; Settings'!$C$42/($F388-1))*$X388)))</f>
        <v>0</v>
      </c>
      <c r="K388" s="123">
        <f>IF($D388="",0,'Guide &amp; Settings'!$C$43*(IF($E388="Win",1,0)-$I388))</f>
        <v>0</v>
      </c>
      <c r="L388" s="124">
        <f>IF($D388="",0,'Guide &amp; Settings'!$C$44*IF($F388&gt;=3,$F388+IF($E388="Win",$F388,0),0))</f>
        <v>0</v>
      </c>
      <c r="M388" s="123">
        <f>IF($D388="",0,$J388+$K388+$L388)</f>
        <v>0</v>
      </c>
      <c r="N388" s="121">
        <f>IF($D388="",0,$H388+$M388)</f>
        <v>0</v>
      </c>
      <c r="O388" s="120" t="str">
        <f>IF($D388="","",IF(COUNTIFS($A$4:$A$810,$A388,$E$4:$E$810,"Win")=0,"need a winner",IF(COUNTIFS($A$4:$A$810,$A388,$E$4:$E$810,"Loss")=0,"need a loser",IF(COUNTIFS($A$4:$A$810,$A388,$D$4:$D$810,$D388)&gt;1,"duplicate player","OK"))))</f>
      </c>
      <c r="P388">
        <f>IF($D388="",0,IFERROR(SUMIFS($H$4:$H$810,$A$4:$A$810,$A388,$E$4:$E$810,"Win")/COUNTIFS($A$4:$A$810,$A388,$E$4:$E$810,"Win"),0))</f>
        <v>0</v>
      </c>
      <c r="Q388">
        <f>IF($D388="",0,1/(1+10^(($P388-$H388)/400)))</f>
        <v>0</v>
      </c>
      <c r="R388">
        <f>IF($D388="",0,(COUNTIFS($D$4:$D$810,$D388,$C$4:$C$810,$C388,$E$4:$E$810,"Win",$A$4:$A$810,"&lt;"&amp;$A388)+1)/(COUNTIFS($D$4:$D$810,$D388,$C$4:$C$810,$C388,$A$4:$A$810,"&lt;"&amp;$A388)+2))</f>
        <v>0</v>
      </c>
      <c r="S388">
        <f>IF($D388="",0,SUMIFS($R$4:$R$810,$A$4:$A$810,$A388))</f>
        <v>0</v>
      </c>
      <c r="T388" s="88">
        <f>IF($D388="",0,COUNTIFS($D$4:$D$810,$D388,$C$4:$C$810,$C388,$A$4:$A$810,"&lt;"&amp;$A388))</f>
        <v>0</v>
      </c>
      <c r="U388" s="125">
        <f>IF($D388="",0,IFERROR(LOOKUP(2,1/(($D$3:D387=$D388)*($C$3:C387=$C388)*($A$3:A387&lt;$A388)),$AB$3:AB387),1000))</f>
        <v>0</v>
      </c>
      <c r="V388" s="125">
        <f>IF($D388="",0,$U388*($T388/($T388+5))+$H388*(1-$T388/($T388+5)))</f>
        <v>0</v>
      </c>
      <c r="W388">
        <f>IF($D388="",0,IFERROR(SUMIFS($V$4:$V$810,$A$4:$A$810,$A388,$E$4:$E$810,"Win")/COUNTIFS($A$4:$A$810,$A388,$E$4:$E$810,"Win"),0))</f>
        <v>0</v>
      </c>
      <c r="X388">
        <f>IF($D388="",0,1/(1+10^(($W388-$V388)/400)))</f>
        <v>0</v>
      </c>
      <c r="Y388">
        <f>IF($D388="",0,IFERROR(SUMIFS($U$4:$U$810,$A$4:$A$810,$A388,$E$4:$E$810,"Win")/COUNTIFS($A$4:$A$810,$A388,$E$4:$E$810,"Win"),0))</f>
        <v>0</v>
      </c>
      <c r="Z388">
        <f>IF($D388="",0,1/(1+10^(($Y388-$U388)/400)))</f>
        <v>0</v>
      </c>
      <c r="AA388">
        <f>IF($D388="",0,IF($F388&lt;2,0,IF($E388="Win",('Guide &amp; Settings'!$C$42/(($F388-1)*COUNTIFS($A$4:$A$810,$A388,$E$4:$E$810,"Win")))*SUMIFS($Z$4:$Z$810,$A$4:$A$810,$A388,$E$4:$E$810,"Loss"),-('Guide &amp; Settings'!$C$42/($F388-1))*$Z388)))</f>
        <v>0</v>
      </c>
      <c r="AB388" s="125">
        <f>IF($D388="",0,$U388+$AA388)</f>
        <v>0</v>
      </c>
      <c r="AC388" s="125" t="str">
        <f>IF($D388="","",IF(SUMPRODUCT(MAX(($D$4:$D$810=$D388)*($B$4:$B$810&lt;$B388)*$B$4:$B$810))=0,0,MAX(($B388-MAX(SUMPRODUCT(MAX(($D$4:$D$810=$D388)*($B$4:$B$810&lt;$B388)*$B$4:$B$810)),'Guide &amp; Settings'!$C$50))/7-'Guide &amp; Settings'!$C$48,0)*'Guide &amp; Settings'!$C$49))</f>
      </c>
    </row>
    <row r="389" spans="1:29">
      <c r="A389" s="116"/>
      <c r="B389" s="117"/>
      <c r="C389" s="118"/>
      <c r="D389" s="118"/>
      <c r="E389" s="116"/>
      <c r="F389" s="119">
        <f>IF($D389="",0,COUNTIF($A$4:$A$810,$A389))</f>
        <v>0</v>
      </c>
      <c r="G389" s="120">
        <f>IF($D389="","",IFERROR(LOOKUP(2,1/(($A$4:$A$810=$A389)*($E$4:$E$810="Win")),$D$4:$D$810),"(no winner)"))</f>
        <v>0</v>
      </c>
      <c r="H389" s="121">
        <f>IF($D389="",0,IFERROR(LOOKUP(2,1/(($D$3:D388=$D389)*($A$3:A388&lt;$A389)),$N$3:N388),'Guide &amp; Settings'!$C$41))</f>
        <v>0</v>
      </c>
      <c r="I389" s="122">
        <f>IF($D389="",0,IF($S389=0,0,$R389/$S389))</f>
        <v>0</v>
      </c>
      <c r="J389" s="123">
        <f>IF($D389="",0,IF($F389&lt;2,0,IF($E389="Win",('Guide &amp; Settings'!$C$42/(($F389-1)*COUNTIFS($A$4:$A$810,$A389,$E$4:$E$810,"Win")))*SUMIFS($X$4:$X$810,$A$4:$A$810,$A389,$E$4:$E$810,"Loss"),-('Guide &amp; Settings'!$C$42/($F389-1))*$X389)))</f>
        <v>0</v>
      </c>
      <c r="K389" s="123">
        <f>IF($D389="",0,'Guide &amp; Settings'!$C$43*(IF($E389="Win",1,0)-$I389))</f>
        <v>0</v>
      </c>
      <c r="L389" s="124">
        <f>IF($D389="",0,'Guide &amp; Settings'!$C$44*IF($F389&gt;=3,$F389+IF($E389="Win",$F389,0),0))</f>
        <v>0</v>
      </c>
      <c r="M389" s="123">
        <f>IF($D389="",0,$J389+$K389+$L389)</f>
        <v>0</v>
      </c>
      <c r="N389" s="121">
        <f>IF($D389="",0,$H389+$M389)</f>
        <v>0</v>
      </c>
      <c r="O389" s="120" t="str">
        <f>IF($D389="","",IF(COUNTIFS($A$4:$A$810,$A389,$E$4:$E$810,"Win")=0,"need a winner",IF(COUNTIFS($A$4:$A$810,$A389,$E$4:$E$810,"Loss")=0,"need a loser",IF(COUNTIFS($A$4:$A$810,$A389,$D$4:$D$810,$D389)&gt;1,"duplicate player","OK"))))</f>
      </c>
      <c r="P389">
        <f>IF($D389="",0,IFERROR(SUMIFS($H$4:$H$810,$A$4:$A$810,$A389,$E$4:$E$810,"Win")/COUNTIFS($A$4:$A$810,$A389,$E$4:$E$810,"Win"),0))</f>
        <v>0</v>
      </c>
      <c r="Q389">
        <f>IF($D389="",0,1/(1+10^(($P389-$H389)/400)))</f>
        <v>0</v>
      </c>
      <c r="R389">
        <f>IF($D389="",0,(COUNTIFS($D$4:$D$810,$D389,$C$4:$C$810,$C389,$E$4:$E$810,"Win",$A$4:$A$810,"&lt;"&amp;$A389)+1)/(COUNTIFS($D$4:$D$810,$D389,$C$4:$C$810,$C389,$A$4:$A$810,"&lt;"&amp;$A389)+2))</f>
        <v>0</v>
      </c>
      <c r="S389">
        <f>IF($D389="",0,SUMIFS($R$4:$R$810,$A$4:$A$810,$A389))</f>
        <v>0</v>
      </c>
      <c r="T389" s="88">
        <f>IF($D389="",0,COUNTIFS($D$4:$D$810,$D389,$C$4:$C$810,$C389,$A$4:$A$810,"&lt;"&amp;$A389))</f>
        <v>0</v>
      </c>
      <c r="U389" s="125">
        <f>IF($D389="",0,IFERROR(LOOKUP(2,1/(($D$3:D388=$D389)*($C$3:C388=$C389)*($A$3:A388&lt;$A389)),$AB$3:AB388),1000))</f>
        <v>0</v>
      </c>
      <c r="V389" s="125">
        <f>IF($D389="",0,$U389*($T389/($T389+5))+$H389*(1-$T389/($T389+5)))</f>
        <v>0</v>
      </c>
      <c r="W389">
        <f>IF($D389="",0,IFERROR(SUMIFS($V$4:$V$810,$A$4:$A$810,$A389,$E$4:$E$810,"Win")/COUNTIFS($A$4:$A$810,$A389,$E$4:$E$810,"Win"),0))</f>
        <v>0</v>
      </c>
      <c r="X389">
        <f>IF($D389="",0,1/(1+10^(($W389-$V389)/400)))</f>
        <v>0</v>
      </c>
      <c r="Y389">
        <f>IF($D389="",0,IFERROR(SUMIFS($U$4:$U$810,$A$4:$A$810,$A389,$E$4:$E$810,"Win")/COUNTIFS($A$4:$A$810,$A389,$E$4:$E$810,"Win"),0))</f>
        <v>0</v>
      </c>
      <c r="Z389">
        <f>IF($D389="",0,1/(1+10^(($Y389-$U389)/400)))</f>
        <v>0</v>
      </c>
      <c r="AA389">
        <f>IF($D389="",0,IF($F389&lt;2,0,IF($E389="Win",('Guide &amp; Settings'!$C$42/(($F389-1)*COUNTIFS($A$4:$A$810,$A389,$E$4:$E$810,"Win")))*SUMIFS($Z$4:$Z$810,$A$4:$A$810,$A389,$E$4:$E$810,"Loss"),-('Guide &amp; Settings'!$C$42/($F389-1))*$Z389)))</f>
        <v>0</v>
      </c>
      <c r="AB389" s="125">
        <f>IF($D389="",0,$U389+$AA389)</f>
        <v>0</v>
      </c>
      <c r="AC389" s="125" t="str">
        <f>IF($D389="","",IF(SUMPRODUCT(MAX(($D$4:$D$810=$D389)*($B$4:$B$810&lt;$B389)*$B$4:$B$810))=0,0,MAX(($B389-MAX(SUMPRODUCT(MAX(($D$4:$D$810=$D389)*($B$4:$B$810&lt;$B389)*$B$4:$B$810)),'Guide &amp; Settings'!$C$50))/7-'Guide &amp; Settings'!$C$48,0)*'Guide &amp; Settings'!$C$49))</f>
      </c>
    </row>
    <row r="390" spans="1:29">
      <c r="A390" s="116"/>
      <c r="B390" s="117"/>
      <c r="C390" s="118"/>
      <c r="D390" s="118"/>
      <c r="E390" s="116"/>
      <c r="F390" s="119">
        <f>IF($D390="",0,COUNTIF($A$4:$A$810,$A390))</f>
        <v>0</v>
      </c>
      <c r="G390" s="120">
        <f>IF($D390="","",IFERROR(LOOKUP(2,1/(($A$4:$A$810=$A390)*($E$4:$E$810="Win")),$D$4:$D$810),"(no winner)"))</f>
        <v>0</v>
      </c>
      <c r="H390" s="121">
        <f>IF($D390="",0,IFERROR(LOOKUP(2,1/(($D$3:D389=$D390)*($A$3:A389&lt;$A390)),$N$3:N389),'Guide &amp; Settings'!$C$41))</f>
        <v>0</v>
      </c>
      <c r="I390" s="122">
        <f>IF($D390="",0,IF($S390=0,0,$R390/$S390))</f>
        <v>0</v>
      </c>
      <c r="J390" s="123">
        <f>IF($D390="",0,IF($F390&lt;2,0,IF($E390="Win",('Guide &amp; Settings'!$C$42/(($F390-1)*COUNTIFS($A$4:$A$810,$A390,$E$4:$E$810,"Win")))*SUMIFS($X$4:$X$810,$A$4:$A$810,$A390,$E$4:$E$810,"Loss"),-('Guide &amp; Settings'!$C$42/($F390-1))*$X390)))</f>
        <v>0</v>
      </c>
      <c r="K390" s="123">
        <f>IF($D390="",0,'Guide &amp; Settings'!$C$43*(IF($E390="Win",1,0)-$I390))</f>
        <v>0</v>
      </c>
      <c r="L390" s="124">
        <f>IF($D390="",0,'Guide &amp; Settings'!$C$44*IF($F390&gt;=3,$F390+IF($E390="Win",$F390,0),0))</f>
        <v>0</v>
      </c>
      <c r="M390" s="123">
        <f>IF($D390="",0,$J390+$K390+$L390)</f>
        <v>0</v>
      </c>
      <c r="N390" s="121">
        <f>IF($D390="",0,$H390+$M390)</f>
        <v>0</v>
      </c>
      <c r="O390" s="120" t="str">
        <f>IF($D390="","",IF(COUNTIFS($A$4:$A$810,$A390,$E$4:$E$810,"Win")=0,"need a winner",IF(COUNTIFS($A$4:$A$810,$A390,$E$4:$E$810,"Loss")=0,"need a loser",IF(COUNTIFS($A$4:$A$810,$A390,$D$4:$D$810,$D390)&gt;1,"duplicate player","OK"))))</f>
      </c>
      <c r="P390">
        <f>IF($D390="",0,IFERROR(SUMIFS($H$4:$H$810,$A$4:$A$810,$A390,$E$4:$E$810,"Win")/COUNTIFS($A$4:$A$810,$A390,$E$4:$E$810,"Win"),0))</f>
        <v>0</v>
      </c>
      <c r="Q390">
        <f>IF($D390="",0,1/(1+10^(($P390-$H390)/400)))</f>
        <v>0</v>
      </c>
      <c r="R390">
        <f>IF($D390="",0,(COUNTIFS($D$4:$D$810,$D390,$C$4:$C$810,$C390,$E$4:$E$810,"Win",$A$4:$A$810,"&lt;"&amp;$A390)+1)/(COUNTIFS($D$4:$D$810,$D390,$C$4:$C$810,$C390,$A$4:$A$810,"&lt;"&amp;$A390)+2))</f>
        <v>0</v>
      </c>
      <c r="S390">
        <f>IF($D390="",0,SUMIFS($R$4:$R$810,$A$4:$A$810,$A390))</f>
        <v>0</v>
      </c>
      <c r="T390" s="88">
        <f>IF($D390="",0,COUNTIFS($D$4:$D$810,$D390,$C$4:$C$810,$C390,$A$4:$A$810,"&lt;"&amp;$A390))</f>
        <v>0</v>
      </c>
      <c r="U390" s="125">
        <f>IF($D390="",0,IFERROR(LOOKUP(2,1/(($D$3:D389=$D390)*($C$3:C389=$C390)*($A$3:A389&lt;$A390)),$AB$3:AB389),1000))</f>
        <v>0</v>
      </c>
      <c r="V390" s="125">
        <f>IF($D390="",0,$U390*($T390/($T390+5))+$H390*(1-$T390/($T390+5)))</f>
        <v>0</v>
      </c>
      <c r="W390">
        <f>IF($D390="",0,IFERROR(SUMIFS($V$4:$V$810,$A$4:$A$810,$A390,$E$4:$E$810,"Win")/COUNTIFS($A$4:$A$810,$A390,$E$4:$E$810,"Win"),0))</f>
        <v>0</v>
      </c>
      <c r="X390">
        <f>IF($D390="",0,1/(1+10^(($W390-$V390)/400)))</f>
        <v>0</v>
      </c>
      <c r="Y390">
        <f>IF($D390="",0,IFERROR(SUMIFS($U$4:$U$810,$A$4:$A$810,$A390,$E$4:$E$810,"Win")/COUNTIFS($A$4:$A$810,$A390,$E$4:$E$810,"Win"),0))</f>
        <v>0</v>
      </c>
      <c r="Z390">
        <f>IF($D390="",0,1/(1+10^(($Y390-$U390)/400)))</f>
        <v>0</v>
      </c>
      <c r="AA390">
        <f>IF($D390="",0,IF($F390&lt;2,0,IF($E390="Win",('Guide &amp; Settings'!$C$42/(($F390-1)*COUNTIFS($A$4:$A$810,$A390,$E$4:$E$810,"Win")))*SUMIFS($Z$4:$Z$810,$A$4:$A$810,$A390,$E$4:$E$810,"Loss"),-('Guide &amp; Settings'!$C$42/($F390-1))*$Z390)))</f>
        <v>0</v>
      </c>
      <c r="AB390" s="125">
        <f>IF($D390="",0,$U390+$AA390)</f>
        <v>0</v>
      </c>
      <c r="AC390" s="125" t="str">
        <f>IF($D390="","",IF(SUMPRODUCT(MAX(($D$4:$D$810=$D390)*($B$4:$B$810&lt;$B390)*$B$4:$B$810))=0,0,MAX(($B390-MAX(SUMPRODUCT(MAX(($D$4:$D$810=$D390)*($B$4:$B$810&lt;$B390)*$B$4:$B$810)),'Guide &amp; Settings'!$C$50))/7-'Guide &amp; Settings'!$C$48,0)*'Guide &amp; Settings'!$C$49))</f>
      </c>
    </row>
    <row r="391" spans="1:29">
      <c r="A391" s="116"/>
      <c r="B391" s="117"/>
      <c r="C391" s="118"/>
      <c r="D391" s="118"/>
      <c r="E391" s="116"/>
      <c r="F391" s="119">
        <f>IF($D391="",0,COUNTIF($A$4:$A$810,$A391))</f>
        <v>0</v>
      </c>
      <c r="G391" s="120">
        <f>IF($D391="","",IFERROR(LOOKUP(2,1/(($A$4:$A$810=$A391)*($E$4:$E$810="Win")),$D$4:$D$810),"(no winner)"))</f>
        <v>0</v>
      </c>
      <c r="H391" s="121">
        <f>IF($D391="",0,IFERROR(LOOKUP(2,1/(($D$3:D390=$D391)*($A$3:A390&lt;$A391)),$N$3:N390),'Guide &amp; Settings'!$C$41))</f>
        <v>0</v>
      </c>
      <c r="I391" s="122">
        <f>IF($D391="",0,IF($S391=0,0,$R391/$S391))</f>
        <v>0</v>
      </c>
      <c r="J391" s="123">
        <f>IF($D391="",0,IF($F391&lt;2,0,IF($E391="Win",('Guide &amp; Settings'!$C$42/(($F391-1)*COUNTIFS($A$4:$A$810,$A391,$E$4:$E$810,"Win")))*SUMIFS($X$4:$X$810,$A$4:$A$810,$A391,$E$4:$E$810,"Loss"),-('Guide &amp; Settings'!$C$42/($F391-1))*$X391)))</f>
        <v>0</v>
      </c>
      <c r="K391" s="123">
        <f>IF($D391="",0,'Guide &amp; Settings'!$C$43*(IF($E391="Win",1,0)-$I391))</f>
        <v>0</v>
      </c>
      <c r="L391" s="124">
        <f>IF($D391="",0,'Guide &amp; Settings'!$C$44*IF($F391&gt;=3,$F391+IF($E391="Win",$F391,0),0))</f>
        <v>0</v>
      </c>
      <c r="M391" s="123">
        <f>IF($D391="",0,$J391+$K391+$L391)</f>
        <v>0</v>
      </c>
      <c r="N391" s="121">
        <f>IF($D391="",0,$H391+$M391)</f>
        <v>0</v>
      </c>
      <c r="O391" s="120" t="str">
        <f>IF($D391="","",IF(COUNTIFS($A$4:$A$810,$A391,$E$4:$E$810,"Win")=0,"need a winner",IF(COUNTIFS($A$4:$A$810,$A391,$E$4:$E$810,"Loss")=0,"need a loser",IF(COUNTIFS($A$4:$A$810,$A391,$D$4:$D$810,$D391)&gt;1,"duplicate player","OK"))))</f>
      </c>
      <c r="P391">
        <f>IF($D391="",0,IFERROR(SUMIFS($H$4:$H$810,$A$4:$A$810,$A391,$E$4:$E$810,"Win")/COUNTIFS($A$4:$A$810,$A391,$E$4:$E$810,"Win"),0))</f>
        <v>0</v>
      </c>
      <c r="Q391">
        <f>IF($D391="",0,1/(1+10^(($P391-$H391)/400)))</f>
        <v>0</v>
      </c>
      <c r="R391">
        <f>IF($D391="",0,(COUNTIFS($D$4:$D$810,$D391,$C$4:$C$810,$C391,$E$4:$E$810,"Win",$A$4:$A$810,"&lt;"&amp;$A391)+1)/(COUNTIFS($D$4:$D$810,$D391,$C$4:$C$810,$C391,$A$4:$A$810,"&lt;"&amp;$A391)+2))</f>
        <v>0</v>
      </c>
      <c r="S391">
        <f>IF($D391="",0,SUMIFS($R$4:$R$810,$A$4:$A$810,$A391))</f>
        <v>0</v>
      </c>
      <c r="T391" s="88">
        <f>IF($D391="",0,COUNTIFS($D$4:$D$810,$D391,$C$4:$C$810,$C391,$A$4:$A$810,"&lt;"&amp;$A391))</f>
        <v>0</v>
      </c>
      <c r="U391" s="125">
        <f>IF($D391="",0,IFERROR(LOOKUP(2,1/(($D$3:D390=$D391)*($C$3:C390=$C391)*($A$3:A390&lt;$A391)),$AB$3:AB390),1000))</f>
        <v>0</v>
      </c>
      <c r="V391" s="125">
        <f>IF($D391="",0,$U391*($T391/($T391+5))+$H391*(1-$T391/($T391+5)))</f>
        <v>0</v>
      </c>
      <c r="W391">
        <f>IF($D391="",0,IFERROR(SUMIFS($V$4:$V$810,$A$4:$A$810,$A391,$E$4:$E$810,"Win")/COUNTIFS($A$4:$A$810,$A391,$E$4:$E$810,"Win"),0))</f>
        <v>0</v>
      </c>
      <c r="X391">
        <f>IF($D391="",0,1/(1+10^(($W391-$V391)/400)))</f>
        <v>0</v>
      </c>
      <c r="Y391">
        <f>IF($D391="",0,IFERROR(SUMIFS($U$4:$U$810,$A$4:$A$810,$A391,$E$4:$E$810,"Win")/COUNTIFS($A$4:$A$810,$A391,$E$4:$E$810,"Win"),0))</f>
        <v>0</v>
      </c>
      <c r="Z391">
        <f>IF($D391="",0,1/(1+10^(($Y391-$U391)/400)))</f>
        <v>0</v>
      </c>
      <c r="AA391">
        <f>IF($D391="",0,IF($F391&lt;2,0,IF($E391="Win",('Guide &amp; Settings'!$C$42/(($F391-1)*COUNTIFS($A$4:$A$810,$A391,$E$4:$E$810,"Win")))*SUMIFS($Z$4:$Z$810,$A$4:$A$810,$A391,$E$4:$E$810,"Loss"),-('Guide &amp; Settings'!$C$42/($F391-1))*$Z391)))</f>
        <v>0</v>
      </c>
      <c r="AB391" s="125">
        <f>IF($D391="",0,$U391+$AA391)</f>
        <v>0</v>
      </c>
      <c r="AC391" s="125" t="str">
        <f>IF($D391="","",IF(SUMPRODUCT(MAX(($D$4:$D$810=$D391)*($B$4:$B$810&lt;$B391)*$B$4:$B$810))=0,0,MAX(($B391-MAX(SUMPRODUCT(MAX(($D$4:$D$810=$D391)*($B$4:$B$810&lt;$B391)*$B$4:$B$810)),'Guide &amp; Settings'!$C$50))/7-'Guide &amp; Settings'!$C$48,0)*'Guide &amp; Settings'!$C$49))</f>
      </c>
    </row>
    <row r="392" spans="1:29">
      <c r="A392" s="116"/>
      <c r="B392" s="117"/>
      <c r="C392" s="118"/>
      <c r="D392" s="118"/>
      <c r="E392" s="116"/>
      <c r="F392" s="119">
        <f>IF($D392="",0,COUNTIF($A$4:$A$810,$A392))</f>
        <v>0</v>
      </c>
      <c r="G392" s="120">
        <f>IF($D392="","",IFERROR(LOOKUP(2,1/(($A$4:$A$810=$A392)*($E$4:$E$810="Win")),$D$4:$D$810),"(no winner)"))</f>
        <v>0</v>
      </c>
      <c r="H392" s="121">
        <f>IF($D392="",0,IFERROR(LOOKUP(2,1/(($D$3:D391=$D392)*($A$3:A391&lt;$A392)),$N$3:N391),'Guide &amp; Settings'!$C$41))</f>
        <v>0</v>
      </c>
      <c r="I392" s="122">
        <f>IF($D392="",0,IF($S392=0,0,$R392/$S392))</f>
        <v>0</v>
      </c>
      <c r="J392" s="123">
        <f>IF($D392="",0,IF($F392&lt;2,0,IF($E392="Win",('Guide &amp; Settings'!$C$42/(($F392-1)*COUNTIFS($A$4:$A$810,$A392,$E$4:$E$810,"Win")))*SUMIFS($X$4:$X$810,$A$4:$A$810,$A392,$E$4:$E$810,"Loss"),-('Guide &amp; Settings'!$C$42/($F392-1))*$X392)))</f>
        <v>0</v>
      </c>
      <c r="K392" s="123">
        <f>IF($D392="",0,'Guide &amp; Settings'!$C$43*(IF($E392="Win",1,0)-$I392))</f>
        <v>0</v>
      </c>
      <c r="L392" s="124">
        <f>IF($D392="",0,'Guide &amp; Settings'!$C$44*IF($F392&gt;=3,$F392+IF($E392="Win",$F392,0),0))</f>
        <v>0</v>
      </c>
      <c r="M392" s="123">
        <f>IF($D392="",0,$J392+$K392+$L392)</f>
        <v>0</v>
      </c>
      <c r="N392" s="121">
        <f>IF($D392="",0,$H392+$M392)</f>
        <v>0</v>
      </c>
      <c r="O392" s="120" t="str">
        <f>IF($D392="","",IF(COUNTIFS($A$4:$A$810,$A392,$E$4:$E$810,"Win")=0,"need a winner",IF(COUNTIFS($A$4:$A$810,$A392,$E$4:$E$810,"Loss")=0,"need a loser",IF(COUNTIFS($A$4:$A$810,$A392,$D$4:$D$810,$D392)&gt;1,"duplicate player","OK"))))</f>
      </c>
      <c r="P392">
        <f>IF($D392="",0,IFERROR(SUMIFS($H$4:$H$810,$A$4:$A$810,$A392,$E$4:$E$810,"Win")/COUNTIFS($A$4:$A$810,$A392,$E$4:$E$810,"Win"),0))</f>
        <v>0</v>
      </c>
      <c r="Q392">
        <f>IF($D392="",0,1/(1+10^(($P392-$H392)/400)))</f>
        <v>0</v>
      </c>
      <c r="R392">
        <f>IF($D392="",0,(COUNTIFS($D$4:$D$810,$D392,$C$4:$C$810,$C392,$E$4:$E$810,"Win",$A$4:$A$810,"&lt;"&amp;$A392)+1)/(COUNTIFS($D$4:$D$810,$D392,$C$4:$C$810,$C392,$A$4:$A$810,"&lt;"&amp;$A392)+2))</f>
        <v>0</v>
      </c>
      <c r="S392">
        <f>IF($D392="",0,SUMIFS($R$4:$R$810,$A$4:$A$810,$A392))</f>
        <v>0</v>
      </c>
      <c r="T392" s="88">
        <f>IF($D392="",0,COUNTIFS($D$4:$D$810,$D392,$C$4:$C$810,$C392,$A$4:$A$810,"&lt;"&amp;$A392))</f>
        <v>0</v>
      </c>
      <c r="U392" s="125">
        <f>IF($D392="",0,IFERROR(LOOKUP(2,1/(($D$3:D391=$D392)*($C$3:C391=$C392)*($A$3:A391&lt;$A392)),$AB$3:AB391),1000))</f>
        <v>0</v>
      </c>
      <c r="V392" s="125">
        <f>IF($D392="",0,$U392*($T392/($T392+5))+$H392*(1-$T392/($T392+5)))</f>
        <v>0</v>
      </c>
      <c r="W392">
        <f>IF($D392="",0,IFERROR(SUMIFS($V$4:$V$810,$A$4:$A$810,$A392,$E$4:$E$810,"Win")/COUNTIFS($A$4:$A$810,$A392,$E$4:$E$810,"Win"),0))</f>
        <v>0</v>
      </c>
      <c r="X392">
        <f>IF($D392="",0,1/(1+10^(($W392-$V392)/400)))</f>
        <v>0</v>
      </c>
      <c r="Y392">
        <f>IF($D392="",0,IFERROR(SUMIFS($U$4:$U$810,$A$4:$A$810,$A392,$E$4:$E$810,"Win")/COUNTIFS($A$4:$A$810,$A392,$E$4:$E$810,"Win"),0))</f>
        <v>0</v>
      </c>
      <c r="Z392">
        <f>IF($D392="",0,1/(1+10^(($Y392-$U392)/400)))</f>
        <v>0</v>
      </c>
      <c r="AA392">
        <f>IF($D392="",0,IF($F392&lt;2,0,IF($E392="Win",('Guide &amp; Settings'!$C$42/(($F392-1)*COUNTIFS($A$4:$A$810,$A392,$E$4:$E$810,"Win")))*SUMIFS($Z$4:$Z$810,$A$4:$A$810,$A392,$E$4:$E$810,"Loss"),-('Guide &amp; Settings'!$C$42/($F392-1))*$Z392)))</f>
        <v>0</v>
      </c>
      <c r="AB392" s="125">
        <f>IF($D392="",0,$U392+$AA392)</f>
        <v>0</v>
      </c>
      <c r="AC392" s="125" t="str">
        <f>IF($D392="","",IF(SUMPRODUCT(MAX(($D$4:$D$810=$D392)*($B$4:$B$810&lt;$B392)*$B$4:$B$810))=0,0,MAX(($B392-MAX(SUMPRODUCT(MAX(($D$4:$D$810=$D392)*($B$4:$B$810&lt;$B392)*$B$4:$B$810)),'Guide &amp; Settings'!$C$50))/7-'Guide &amp; Settings'!$C$48,0)*'Guide &amp; Settings'!$C$49))</f>
      </c>
    </row>
    <row r="393" spans="1:29">
      <c r="A393" s="116"/>
      <c r="B393" s="117"/>
      <c r="C393" s="118"/>
      <c r="D393" s="118"/>
      <c r="E393" s="116"/>
      <c r="F393" s="119">
        <f>IF($D393="",0,COUNTIF($A$4:$A$810,$A393))</f>
        <v>0</v>
      </c>
      <c r="G393" s="120">
        <f>IF($D393="","",IFERROR(LOOKUP(2,1/(($A$4:$A$810=$A393)*($E$4:$E$810="Win")),$D$4:$D$810),"(no winner)"))</f>
        <v>0</v>
      </c>
      <c r="H393" s="121">
        <f>IF($D393="",0,IFERROR(LOOKUP(2,1/(($D$3:D392=$D393)*($A$3:A392&lt;$A393)),$N$3:N392),'Guide &amp; Settings'!$C$41))</f>
        <v>0</v>
      </c>
      <c r="I393" s="122">
        <f>IF($D393="",0,IF($S393=0,0,$R393/$S393))</f>
        <v>0</v>
      </c>
      <c r="J393" s="123">
        <f>IF($D393="",0,IF($F393&lt;2,0,IF($E393="Win",('Guide &amp; Settings'!$C$42/(($F393-1)*COUNTIFS($A$4:$A$810,$A393,$E$4:$E$810,"Win")))*SUMIFS($X$4:$X$810,$A$4:$A$810,$A393,$E$4:$E$810,"Loss"),-('Guide &amp; Settings'!$C$42/($F393-1))*$X393)))</f>
        <v>0</v>
      </c>
      <c r="K393" s="123">
        <f>IF($D393="",0,'Guide &amp; Settings'!$C$43*(IF($E393="Win",1,0)-$I393))</f>
        <v>0</v>
      </c>
      <c r="L393" s="124">
        <f>IF($D393="",0,'Guide &amp; Settings'!$C$44*IF($F393&gt;=3,$F393+IF($E393="Win",$F393,0),0))</f>
        <v>0</v>
      </c>
      <c r="M393" s="123">
        <f>IF($D393="",0,$J393+$K393+$L393)</f>
        <v>0</v>
      </c>
      <c r="N393" s="121">
        <f>IF($D393="",0,$H393+$M393)</f>
        <v>0</v>
      </c>
      <c r="O393" s="120" t="str">
        <f>IF($D393="","",IF(COUNTIFS($A$4:$A$810,$A393,$E$4:$E$810,"Win")=0,"need a winner",IF(COUNTIFS($A$4:$A$810,$A393,$E$4:$E$810,"Loss")=0,"need a loser",IF(COUNTIFS($A$4:$A$810,$A393,$D$4:$D$810,$D393)&gt;1,"duplicate player","OK"))))</f>
      </c>
      <c r="P393">
        <f>IF($D393="",0,IFERROR(SUMIFS($H$4:$H$810,$A$4:$A$810,$A393,$E$4:$E$810,"Win")/COUNTIFS($A$4:$A$810,$A393,$E$4:$E$810,"Win"),0))</f>
        <v>0</v>
      </c>
      <c r="Q393">
        <f>IF($D393="",0,1/(1+10^(($P393-$H393)/400)))</f>
        <v>0</v>
      </c>
      <c r="R393">
        <f>IF($D393="",0,(COUNTIFS($D$4:$D$810,$D393,$C$4:$C$810,$C393,$E$4:$E$810,"Win",$A$4:$A$810,"&lt;"&amp;$A393)+1)/(COUNTIFS($D$4:$D$810,$D393,$C$4:$C$810,$C393,$A$4:$A$810,"&lt;"&amp;$A393)+2))</f>
        <v>0</v>
      </c>
      <c r="S393">
        <f>IF($D393="",0,SUMIFS($R$4:$R$810,$A$4:$A$810,$A393))</f>
        <v>0</v>
      </c>
      <c r="T393" s="88">
        <f>IF($D393="",0,COUNTIFS($D$4:$D$810,$D393,$C$4:$C$810,$C393,$A$4:$A$810,"&lt;"&amp;$A393))</f>
        <v>0</v>
      </c>
      <c r="U393" s="125">
        <f>IF($D393="",0,IFERROR(LOOKUP(2,1/(($D$3:D392=$D393)*($C$3:C392=$C393)*($A$3:A392&lt;$A393)),$AB$3:AB392),1000))</f>
        <v>0</v>
      </c>
      <c r="V393" s="125">
        <f>IF($D393="",0,$U393*($T393/($T393+5))+$H393*(1-$T393/($T393+5)))</f>
        <v>0</v>
      </c>
      <c r="W393">
        <f>IF($D393="",0,IFERROR(SUMIFS($V$4:$V$810,$A$4:$A$810,$A393,$E$4:$E$810,"Win")/COUNTIFS($A$4:$A$810,$A393,$E$4:$E$810,"Win"),0))</f>
        <v>0</v>
      </c>
      <c r="X393">
        <f>IF($D393="",0,1/(1+10^(($W393-$V393)/400)))</f>
        <v>0</v>
      </c>
      <c r="Y393">
        <f>IF($D393="",0,IFERROR(SUMIFS($U$4:$U$810,$A$4:$A$810,$A393,$E$4:$E$810,"Win")/COUNTIFS($A$4:$A$810,$A393,$E$4:$E$810,"Win"),0))</f>
        <v>0</v>
      </c>
      <c r="Z393">
        <f>IF($D393="",0,1/(1+10^(($Y393-$U393)/400)))</f>
        <v>0</v>
      </c>
      <c r="AA393">
        <f>IF($D393="",0,IF($F393&lt;2,0,IF($E393="Win",('Guide &amp; Settings'!$C$42/(($F393-1)*COUNTIFS($A$4:$A$810,$A393,$E$4:$E$810,"Win")))*SUMIFS($Z$4:$Z$810,$A$4:$A$810,$A393,$E$4:$E$810,"Loss"),-('Guide &amp; Settings'!$C$42/($F393-1))*$Z393)))</f>
        <v>0</v>
      </c>
      <c r="AB393" s="125">
        <f>IF($D393="",0,$U393+$AA393)</f>
        <v>0</v>
      </c>
      <c r="AC393" s="125" t="str">
        <f>IF($D393="","",IF(SUMPRODUCT(MAX(($D$4:$D$810=$D393)*($B$4:$B$810&lt;$B393)*$B$4:$B$810))=0,0,MAX(($B393-MAX(SUMPRODUCT(MAX(($D$4:$D$810=$D393)*($B$4:$B$810&lt;$B393)*$B$4:$B$810)),'Guide &amp; Settings'!$C$50))/7-'Guide &amp; Settings'!$C$48,0)*'Guide &amp; Settings'!$C$49))</f>
      </c>
    </row>
    <row r="394" spans="1:29">
      <c r="A394" s="116"/>
      <c r="B394" s="117"/>
      <c r="C394" s="118"/>
      <c r="D394" s="118"/>
      <c r="E394" s="116"/>
      <c r="F394" s="119">
        <f>IF($D394="",0,COUNTIF($A$4:$A$810,$A394))</f>
        <v>0</v>
      </c>
      <c r="G394" s="120">
        <f>IF($D394="","",IFERROR(LOOKUP(2,1/(($A$4:$A$810=$A394)*($E$4:$E$810="Win")),$D$4:$D$810),"(no winner)"))</f>
        <v>0</v>
      </c>
      <c r="H394" s="121">
        <f>IF($D394="",0,IFERROR(LOOKUP(2,1/(($D$3:D393=$D394)*($A$3:A393&lt;$A394)),$N$3:N393),'Guide &amp; Settings'!$C$41))</f>
        <v>0</v>
      </c>
      <c r="I394" s="122">
        <f>IF($D394="",0,IF($S394=0,0,$R394/$S394))</f>
        <v>0</v>
      </c>
      <c r="J394" s="123">
        <f>IF($D394="",0,IF($F394&lt;2,0,IF($E394="Win",('Guide &amp; Settings'!$C$42/(($F394-1)*COUNTIFS($A$4:$A$810,$A394,$E$4:$E$810,"Win")))*SUMIFS($X$4:$X$810,$A$4:$A$810,$A394,$E$4:$E$810,"Loss"),-('Guide &amp; Settings'!$C$42/($F394-1))*$X394)))</f>
        <v>0</v>
      </c>
      <c r="K394" s="123">
        <f>IF($D394="",0,'Guide &amp; Settings'!$C$43*(IF($E394="Win",1,0)-$I394))</f>
        <v>0</v>
      </c>
      <c r="L394" s="124">
        <f>IF($D394="",0,'Guide &amp; Settings'!$C$44*IF($F394&gt;=3,$F394+IF($E394="Win",$F394,0),0))</f>
        <v>0</v>
      </c>
      <c r="M394" s="123">
        <f>IF($D394="",0,$J394+$K394+$L394)</f>
        <v>0</v>
      </c>
      <c r="N394" s="121">
        <f>IF($D394="",0,$H394+$M394)</f>
        <v>0</v>
      </c>
      <c r="O394" s="120" t="str">
        <f>IF($D394="","",IF(COUNTIFS($A$4:$A$810,$A394,$E$4:$E$810,"Win")=0,"need a winner",IF(COUNTIFS($A$4:$A$810,$A394,$E$4:$E$810,"Loss")=0,"need a loser",IF(COUNTIFS($A$4:$A$810,$A394,$D$4:$D$810,$D394)&gt;1,"duplicate player","OK"))))</f>
      </c>
      <c r="P394">
        <f>IF($D394="",0,IFERROR(SUMIFS($H$4:$H$810,$A$4:$A$810,$A394,$E$4:$E$810,"Win")/COUNTIFS($A$4:$A$810,$A394,$E$4:$E$810,"Win"),0))</f>
        <v>0</v>
      </c>
      <c r="Q394">
        <f>IF($D394="",0,1/(1+10^(($P394-$H394)/400)))</f>
        <v>0</v>
      </c>
      <c r="R394">
        <f>IF($D394="",0,(COUNTIFS($D$4:$D$810,$D394,$C$4:$C$810,$C394,$E$4:$E$810,"Win",$A$4:$A$810,"&lt;"&amp;$A394)+1)/(COUNTIFS($D$4:$D$810,$D394,$C$4:$C$810,$C394,$A$4:$A$810,"&lt;"&amp;$A394)+2))</f>
        <v>0</v>
      </c>
      <c r="S394">
        <f>IF($D394="",0,SUMIFS($R$4:$R$810,$A$4:$A$810,$A394))</f>
        <v>0</v>
      </c>
      <c r="T394" s="88">
        <f>IF($D394="",0,COUNTIFS($D$4:$D$810,$D394,$C$4:$C$810,$C394,$A$4:$A$810,"&lt;"&amp;$A394))</f>
        <v>0</v>
      </c>
      <c r="U394" s="125">
        <f>IF($D394="",0,IFERROR(LOOKUP(2,1/(($D$3:D393=$D394)*($C$3:C393=$C394)*($A$3:A393&lt;$A394)),$AB$3:AB393),1000))</f>
        <v>0</v>
      </c>
      <c r="V394" s="125">
        <f>IF($D394="",0,$U394*($T394/($T394+5))+$H394*(1-$T394/($T394+5)))</f>
        <v>0</v>
      </c>
      <c r="W394">
        <f>IF($D394="",0,IFERROR(SUMIFS($V$4:$V$810,$A$4:$A$810,$A394,$E$4:$E$810,"Win")/COUNTIFS($A$4:$A$810,$A394,$E$4:$E$810,"Win"),0))</f>
        <v>0</v>
      </c>
      <c r="X394">
        <f>IF($D394="",0,1/(1+10^(($W394-$V394)/400)))</f>
        <v>0</v>
      </c>
      <c r="Y394">
        <f>IF($D394="",0,IFERROR(SUMIFS($U$4:$U$810,$A$4:$A$810,$A394,$E$4:$E$810,"Win")/COUNTIFS($A$4:$A$810,$A394,$E$4:$E$810,"Win"),0))</f>
        <v>0</v>
      </c>
      <c r="Z394">
        <f>IF($D394="",0,1/(1+10^(($Y394-$U394)/400)))</f>
        <v>0</v>
      </c>
      <c r="AA394">
        <f>IF($D394="",0,IF($F394&lt;2,0,IF($E394="Win",('Guide &amp; Settings'!$C$42/(($F394-1)*COUNTIFS($A$4:$A$810,$A394,$E$4:$E$810,"Win")))*SUMIFS($Z$4:$Z$810,$A$4:$A$810,$A394,$E$4:$E$810,"Loss"),-('Guide &amp; Settings'!$C$42/($F394-1))*$Z394)))</f>
        <v>0</v>
      </c>
      <c r="AB394" s="125">
        <f>IF($D394="",0,$U394+$AA394)</f>
        <v>0</v>
      </c>
      <c r="AC394" s="125" t="str">
        <f>IF($D394="","",IF(SUMPRODUCT(MAX(($D$4:$D$810=$D394)*($B$4:$B$810&lt;$B394)*$B$4:$B$810))=0,0,MAX(($B394-MAX(SUMPRODUCT(MAX(($D$4:$D$810=$D394)*($B$4:$B$810&lt;$B394)*$B$4:$B$810)),'Guide &amp; Settings'!$C$50))/7-'Guide &amp; Settings'!$C$48,0)*'Guide &amp; Settings'!$C$49))</f>
      </c>
    </row>
    <row r="395" spans="1:29">
      <c r="A395" s="116"/>
      <c r="B395" s="117"/>
      <c r="C395" s="118"/>
      <c r="D395" s="118"/>
      <c r="E395" s="116"/>
      <c r="F395" s="119">
        <f>IF($D395="",0,COUNTIF($A$4:$A$810,$A395))</f>
        <v>0</v>
      </c>
      <c r="G395" s="120">
        <f>IF($D395="","",IFERROR(LOOKUP(2,1/(($A$4:$A$810=$A395)*($E$4:$E$810="Win")),$D$4:$D$810),"(no winner)"))</f>
        <v>0</v>
      </c>
      <c r="H395" s="121">
        <f>IF($D395="",0,IFERROR(LOOKUP(2,1/(($D$3:D394=$D395)*($A$3:A394&lt;$A395)),$N$3:N394),'Guide &amp; Settings'!$C$41))</f>
        <v>0</v>
      </c>
      <c r="I395" s="122">
        <f>IF($D395="",0,IF($S395=0,0,$R395/$S395))</f>
        <v>0</v>
      </c>
      <c r="J395" s="123">
        <f>IF($D395="",0,IF($F395&lt;2,0,IF($E395="Win",('Guide &amp; Settings'!$C$42/(($F395-1)*COUNTIFS($A$4:$A$810,$A395,$E$4:$E$810,"Win")))*SUMIFS($X$4:$X$810,$A$4:$A$810,$A395,$E$4:$E$810,"Loss"),-('Guide &amp; Settings'!$C$42/($F395-1))*$X395)))</f>
        <v>0</v>
      </c>
      <c r="K395" s="123">
        <f>IF($D395="",0,'Guide &amp; Settings'!$C$43*(IF($E395="Win",1,0)-$I395))</f>
        <v>0</v>
      </c>
      <c r="L395" s="124">
        <f>IF($D395="",0,'Guide &amp; Settings'!$C$44*IF($F395&gt;=3,$F395+IF($E395="Win",$F395,0),0))</f>
        <v>0</v>
      </c>
      <c r="M395" s="123">
        <f>IF($D395="",0,$J395+$K395+$L395)</f>
        <v>0</v>
      </c>
      <c r="N395" s="121">
        <f>IF($D395="",0,$H395+$M395)</f>
        <v>0</v>
      </c>
      <c r="O395" s="120" t="str">
        <f>IF($D395="","",IF(COUNTIFS($A$4:$A$810,$A395,$E$4:$E$810,"Win")=0,"need a winner",IF(COUNTIFS($A$4:$A$810,$A395,$E$4:$E$810,"Loss")=0,"need a loser",IF(COUNTIFS($A$4:$A$810,$A395,$D$4:$D$810,$D395)&gt;1,"duplicate player","OK"))))</f>
      </c>
      <c r="P395">
        <f>IF($D395="",0,IFERROR(SUMIFS($H$4:$H$810,$A$4:$A$810,$A395,$E$4:$E$810,"Win")/COUNTIFS($A$4:$A$810,$A395,$E$4:$E$810,"Win"),0))</f>
        <v>0</v>
      </c>
      <c r="Q395">
        <f>IF($D395="",0,1/(1+10^(($P395-$H395)/400)))</f>
        <v>0</v>
      </c>
      <c r="R395">
        <f>IF($D395="",0,(COUNTIFS($D$4:$D$810,$D395,$C$4:$C$810,$C395,$E$4:$E$810,"Win",$A$4:$A$810,"&lt;"&amp;$A395)+1)/(COUNTIFS($D$4:$D$810,$D395,$C$4:$C$810,$C395,$A$4:$A$810,"&lt;"&amp;$A395)+2))</f>
        <v>0</v>
      </c>
      <c r="S395">
        <f>IF($D395="",0,SUMIFS($R$4:$R$810,$A$4:$A$810,$A395))</f>
        <v>0</v>
      </c>
      <c r="T395" s="88">
        <f>IF($D395="",0,COUNTIFS($D$4:$D$810,$D395,$C$4:$C$810,$C395,$A$4:$A$810,"&lt;"&amp;$A395))</f>
        <v>0</v>
      </c>
      <c r="U395" s="125">
        <f>IF($D395="",0,IFERROR(LOOKUP(2,1/(($D$3:D394=$D395)*($C$3:C394=$C395)*($A$3:A394&lt;$A395)),$AB$3:AB394),1000))</f>
        <v>0</v>
      </c>
      <c r="V395" s="125">
        <f>IF($D395="",0,$U395*($T395/($T395+5))+$H395*(1-$T395/($T395+5)))</f>
        <v>0</v>
      </c>
      <c r="W395">
        <f>IF($D395="",0,IFERROR(SUMIFS($V$4:$V$810,$A$4:$A$810,$A395,$E$4:$E$810,"Win")/COUNTIFS($A$4:$A$810,$A395,$E$4:$E$810,"Win"),0))</f>
        <v>0</v>
      </c>
      <c r="X395">
        <f>IF($D395="",0,1/(1+10^(($W395-$V395)/400)))</f>
        <v>0</v>
      </c>
      <c r="Y395">
        <f>IF($D395="",0,IFERROR(SUMIFS($U$4:$U$810,$A$4:$A$810,$A395,$E$4:$E$810,"Win")/COUNTIFS($A$4:$A$810,$A395,$E$4:$E$810,"Win"),0))</f>
        <v>0</v>
      </c>
      <c r="Z395">
        <f>IF($D395="",0,1/(1+10^(($Y395-$U395)/400)))</f>
        <v>0</v>
      </c>
      <c r="AA395">
        <f>IF($D395="",0,IF($F395&lt;2,0,IF($E395="Win",('Guide &amp; Settings'!$C$42/(($F395-1)*COUNTIFS($A$4:$A$810,$A395,$E$4:$E$810,"Win")))*SUMIFS($Z$4:$Z$810,$A$4:$A$810,$A395,$E$4:$E$810,"Loss"),-('Guide &amp; Settings'!$C$42/($F395-1))*$Z395)))</f>
        <v>0</v>
      </c>
      <c r="AB395" s="125">
        <f>IF($D395="",0,$U395+$AA395)</f>
        <v>0</v>
      </c>
      <c r="AC395" s="125" t="str">
        <f>IF($D395="","",IF(SUMPRODUCT(MAX(($D$4:$D$810=$D395)*($B$4:$B$810&lt;$B395)*$B$4:$B$810))=0,0,MAX(($B395-MAX(SUMPRODUCT(MAX(($D$4:$D$810=$D395)*($B$4:$B$810&lt;$B395)*$B$4:$B$810)),'Guide &amp; Settings'!$C$50))/7-'Guide &amp; Settings'!$C$48,0)*'Guide &amp; Settings'!$C$49))</f>
      </c>
    </row>
    <row r="396" spans="1:29">
      <c r="A396" s="116"/>
      <c r="B396" s="117"/>
      <c r="C396" s="118"/>
      <c r="D396" s="118"/>
      <c r="E396" s="116"/>
      <c r="F396" s="119">
        <f>IF($D396="",0,COUNTIF($A$4:$A$810,$A396))</f>
        <v>0</v>
      </c>
      <c r="G396" s="120">
        <f>IF($D396="","",IFERROR(LOOKUP(2,1/(($A$4:$A$810=$A396)*($E$4:$E$810="Win")),$D$4:$D$810),"(no winner)"))</f>
        <v>0</v>
      </c>
      <c r="H396" s="121">
        <f>IF($D396="",0,IFERROR(LOOKUP(2,1/(($D$3:D395=$D396)*($A$3:A395&lt;$A396)),$N$3:N395),'Guide &amp; Settings'!$C$41))</f>
        <v>0</v>
      </c>
      <c r="I396" s="122">
        <f>IF($D396="",0,IF($S396=0,0,$R396/$S396))</f>
        <v>0</v>
      </c>
      <c r="J396" s="123">
        <f>IF($D396="",0,IF($F396&lt;2,0,IF($E396="Win",('Guide &amp; Settings'!$C$42/(($F396-1)*COUNTIFS($A$4:$A$810,$A396,$E$4:$E$810,"Win")))*SUMIFS($X$4:$X$810,$A$4:$A$810,$A396,$E$4:$E$810,"Loss"),-('Guide &amp; Settings'!$C$42/($F396-1))*$X396)))</f>
        <v>0</v>
      </c>
      <c r="K396" s="123">
        <f>IF($D396="",0,'Guide &amp; Settings'!$C$43*(IF($E396="Win",1,0)-$I396))</f>
        <v>0</v>
      </c>
      <c r="L396" s="124">
        <f>IF($D396="",0,'Guide &amp; Settings'!$C$44*IF($F396&gt;=3,$F396+IF($E396="Win",$F396,0),0))</f>
        <v>0</v>
      </c>
      <c r="M396" s="123">
        <f>IF($D396="",0,$J396+$K396+$L396)</f>
        <v>0</v>
      </c>
      <c r="N396" s="121">
        <f>IF($D396="",0,$H396+$M396)</f>
        <v>0</v>
      </c>
      <c r="O396" s="120" t="str">
        <f>IF($D396="","",IF(COUNTIFS($A$4:$A$810,$A396,$E$4:$E$810,"Win")=0,"need a winner",IF(COUNTIFS($A$4:$A$810,$A396,$E$4:$E$810,"Loss")=0,"need a loser",IF(COUNTIFS($A$4:$A$810,$A396,$D$4:$D$810,$D396)&gt;1,"duplicate player","OK"))))</f>
      </c>
      <c r="P396">
        <f>IF($D396="",0,IFERROR(SUMIFS($H$4:$H$810,$A$4:$A$810,$A396,$E$4:$E$810,"Win")/COUNTIFS($A$4:$A$810,$A396,$E$4:$E$810,"Win"),0))</f>
        <v>0</v>
      </c>
      <c r="Q396">
        <f>IF($D396="",0,1/(1+10^(($P396-$H396)/400)))</f>
        <v>0</v>
      </c>
      <c r="R396">
        <f>IF($D396="",0,(COUNTIFS($D$4:$D$810,$D396,$C$4:$C$810,$C396,$E$4:$E$810,"Win",$A$4:$A$810,"&lt;"&amp;$A396)+1)/(COUNTIFS($D$4:$D$810,$D396,$C$4:$C$810,$C396,$A$4:$A$810,"&lt;"&amp;$A396)+2))</f>
        <v>0</v>
      </c>
      <c r="S396">
        <f>IF($D396="",0,SUMIFS($R$4:$R$810,$A$4:$A$810,$A396))</f>
        <v>0</v>
      </c>
      <c r="T396" s="88">
        <f>IF($D396="",0,COUNTIFS($D$4:$D$810,$D396,$C$4:$C$810,$C396,$A$4:$A$810,"&lt;"&amp;$A396))</f>
        <v>0</v>
      </c>
      <c r="U396" s="125">
        <f>IF($D396="",0,IFERROR(LOOKUP(2,1/(($D$3:D395=$D396)*($C$3:C395=$C396)*($A$3:A395&lt;$A396)),$AB$3:AB395),1000))</f>
        <v>0</v>
      </c>
      <c r="V396" s="125">
        <f>IF($D396="",0,$U396*($T396/($T396+5))+$H396*(1-$T396/($T396+5)))</f>
        <v>0</v>
      </c>
      <c r="W396">
        <f>IF($D396="",0,IFERROR(SUMIFS($V$4:$V$810,$A$4:$A$810,$A396,$E$4:$E$810,"Win")/COUNTIFS($A$4:$A$810,$A396,$E$4:$E$810,"Win"),0))</f>
        <v>0</v>
      </c>
      <c r="X396">
        <f>IF($D396="",0,1/(1+10^(($W396-$V396)/400)))</f>
        <v>0</v>
      </c>
      <c r="Y396">
        <f>IF($D396="",0,IFERROR(SUMIFS($U$4:$U$810,$A$4:$A$810,$A396,$E$4:$E$810,"Win")/COUNTIFS($A$4:$A$810,$A396,$E$4:$E$810,"Win"),0))</f>
        <v>0</v>
      </c>
      <c r="Z396">
        <f>IF($D396="",0,1/(1+10^(($Y396-$U396)/400)))</f>
        <v>0</v>
      </c>
      <c r="AA396">
        <f>IF($D396="",0,IF($F396&lt;2,0,IF($E396="Win",('Guide &amp; Settings'!$C$42/(($F396-1)*COUNTIFS($A$4:$A$810,$A396,$E$4:$E$810,"Win")))*SUMIFS($Z$4:$Z$810,$A$4:$A$810,$A396,$E$4:$E$810,"Loss"),-('Guide &amp; Settings'!$C$42/($F396-1))*$Z396)))</f>
        <v>0</v>
      </c>
      <c r="AB396" s="125">
        <f>IF($D396="",0,$U396+$AA396)</f>
        <v>0</v>
      </c>
      <c r="AC396" s="125" t="str">
        <f>IF($D396="","",IF(SUMPRODUCT(MAX(($D$4:$D$810=$D396)*($B$4:$B$810&lt;$B396)*$B$4:$B$810))=0,0,MAX(($B396-MAX(SUMPRODUCT(MAX(($D$4:$D$810=$D396)*($B$4:$B$810&lt;$B396)*$B$4:$B$810)),'Guide &amp; Settings'!$C$50))/7-'Guide &amp; Settings'!$C$48,0)*'Guide &amp; Settings'!$C$49))</f>
      </c>
    </row>
    <row r="397" spans="1:29">
      <c r="A397" s="116"/>
      <c r="B397" s="117"/>
      <c r="C397" s="118"/>
      <c r="D397" s="118"/>
      <c r="E397" s="116"/>
      <c r="F397" s="119">
        <f>IF($D397="",0,COUNTIF($A$4:$A$810,$A397))</f>
        <v>0</v>
      </c>
      <c r="G397" s="120">
        <f>IF($D397="","",IFERROR(LOOKUP(2,1/(($A$4:$A$810=$A397)*($E$4:$E$810="Win")),$D$4:$D$810),"(no winner)"))</f>
        <v>0</v>
      </c>
      <c r="H397" s="121">
        <f>IF($D397="",0,IFERROR(LOOKUP(2,1/(($D$3:D396=$D397)*($A$3:A396&lt;$A397)),$N$3:N396),'Guide &amp; Settings'!$C$41))</f>
        <v>0</v>
      </c>
      <c r="I397" s="122">
        <f>IF($D397="",0,IF($S397=0,0,$R397/$S397))</f>
        <v>0</v>
      </c>
      <c r="J397" s="123">
        <f>IF($D397="",0,IF($F397&lt;2,0,IF($E397="Win",('Guide &amp; Settings'!$C$42/(($F397-1)*COUNTIFS($A$4:$A$810,$A397,$E$4:$E$810,"Win")))*SUMIFS($X$4:$X$810,$A$4:$A$810,$A397,$E$4:$E$810,"Loss"),-('Guide &amp; Settings'!$C$42/($F397-1))*$X397)))</f>
        <v>0</v>
      </c>
      <c r="K397" s="123">
        <f>IF($D397="",0,'Guide &amp; Settings'!$C$43*(IF($E397="Win",1,0)-$I397))</f>
        <v>0</v>
      </c>
      <c r="L397" s="124">
        <f>IF($D397="",0,'Guide &amp; Settings'!$C$44*IF($F397&gt;=3,$F397+IF($E397="Win",$F397,0),0))</f>
        <v>0</v>
      </c>
      <c r="M397" s="123">
        <f>IF($D397="",0,$J397+$K397+$L397)</f>
        <v>0</v>
      </c>
      <c r="N397" s="121">
        <f>IF($D397="",0,$H397+$M397)</f>
        <v>0</v>
      </c>
      <c r="O397" s="120" t="str">
        <f>IF($D397="","",IF(COUNTIFS($A$4:$A$810,$A397,$E$4:$E$810,"Win")=0,"need a winner",IF(COUNTIFS($A$4:$A$810,$A397,$E$4:$E$810,"Loss")=0,"need a loser",IF(COUNTIFS($A$4:$A$810,$A397,$D$4:$D$810,$D397)&gt;1,"duplicate player","OK"))))</f>
      </c>
      <c r="P397">
        <f>IF($D397="",0,IFERROR(SUMIFS($H$4:$H$810,$A$4:$A$810,$A397,$E$4:$E$810,"Win")/COUNTIFS($A$4:$A$810,$A397,$E$4:$E$810,"Win"),0))</f>
        <v>0</v>
      </c>
      <c r="Q397">
        <f>IF($D397="",0,1/(1+10^(($P397-$H397)/400)))</f>
        <v>0</v>
      </c>
      <c r="R397">
        <f>IF($D397="",0,(COUNTIFS($D$4:$D$810,$D397,$C$4:$C$810,$C397,$E$4:$E$810,"Win",$A$4:$A$810,"&lt;"&amp;$A397)+1)/(COUNTIFS($D$4:$D$810,$D397,$C$4:$C$810,$C397,$A$4:$A$810,"&lt;"&amp;$A397)+2))</f>
        <v>0</v>
      </c>
      <c r="S397">
        <f>IF($D397="",0,SUMIFS($R$4:$R$810,$A$4:$A$810,$A397))</f>
        <v>0</v>
      </c>
      <c r="T397" s="88">
        <f>IF($D397="",0,COUNTIFS($D$4:$D$810,$D397,$C$4:$C$810,$C397,$A$4:$A$810,"&lt;"&amp;$A397))</f>
        <v>0</v>
      </c>
      <c r="U397" s="125">
        <f>IF($D397="",0,IFERROR(LOOKUP(2,1/(($D$3:D396=$D397)*($C$3:C396=$C397)*($A$3:A396&lt;$A397)),$AB$3:AB396),1000))</f>
        <v>0</v>
      </c>
      <c r="V397" s="125">
        <f>IF($D397="",0,$U397*($T397/($T397+5))+$H397*(1-$T397/($T397+5)))</f>
        <v>0</v>
      </c>
      <c r="W397">
        <f>IF($D397="",0,IFERROR(SUMIFS($V$4:$V$810,$A$4:$A$810,$A397,$E$4:$E$810,"Win")/COUNTIFS($A$4:$A$810,$A397,$E$4:$E$810,"Win"),0))</f>
        <v>0</v>
      </c>
      <c r="X397">
        <f>IF($D397="",0,1/(1+10^(($W397-$V397)/400)))</f>
        <v>0</v>
      </c>
      <c r="Y397">
        <f>IF($D397="",0,IFERROR(SUMIFS($U$4:$U$810,$A$4:$A$810,$A397,$E$4:$E$810,"Win")/COUNTIFS($A$4:$A$810,$A397,$E$4:$E$810,"Win"),0))</f>
        <v>0</v>
      </c>
      <c r="Z397">
        <f>IF($D397="",0,1/(1+10^(($Y397-$U397)/400)))</f>
        <v>0</v>
      </c>
      <c r="AA397">
        <f>IF($D397="",0,IF($F397&lt;2,0,IF($E397="Win",('Guide &amp; Settings'!$C$42/(($F397-1)*COUNTIFS($A$4:$A$810,$A397,$E$4:$E$810,"Win")))*SUMIFS($Z$4:$Z$810,$A$4:$A$810,$A397,$E$4:$E$810,"Loss"),-('Guide &amp; Settings'!$C$42/($F397-1))*$Z397)))</f>
        <v>0</v>
      </c>
      <c r="AB397" s="125">
        <f>IF($D397="",0,$U397+$AA397)</f>
        <v>0</v>
      </c>
      <c r="AC397" s="125" t="str">
        <f>IF($D397="","",IF(SUMPRODUCT(MAX(($D$4:$D$810=$D397)*($B$4:$B$810&lt;$B397)*$B$4:$B$810))=0,0,MAX(($B397-MAX(SUMPRODUCT(MAX(($D$4:$D$810=$D397)*($B$4:$B$810&lt;$B397)*$B$4:$B$810)),'Guide &amp; Settings'!$C$50))/7-'Guide &amp; Settings'!$C$48,0)*'Guide &amp; Settings'!$C$49))</f>
      </c>
    </row>
    <row r="398" spans="1:29">
      <c r="A398" s="116"/>
      <c r="B398" s="117"/>
      <c r="C398" s="118"/>
      <c r="D398" s="118"/>
      <c r="E398" s="116"/>
      <c r="F398" s="119">
        <f>IF($D398="",0,COUNTIF($A$4:$A$810,$A398))</f>
        <v>0</v>
      </c>
      <c r="G398" s="120">
        <f>IF($D398="","",IFERROR(LOOKUP(2,1/(($A$4:$A$810=$A398)*($E$4:$E$810="Win")),$D$4:$D$810),"(no winner)"))</f>
        <v>0</v>
      </c>
      <c r="H398" s="121">
        <f>IF($D398="",0,IFERROR(LOOKUP(2,1/(($D$3:D397=$D398)*($A$3:A397&lt;$A398)),$N$3:N397),'Guide &amp; Settings'!$C$41))</f>
        <v>0</v>
      </c>
      <c r="I398" s="122">
        <f>IF($D398="",0,IF($S398=0,0,$R398/$S398))</f>
        <v>0</v>
      </c>
      <c r="J398" s="123">
        <f>IF($D398="",0,IF($F398&lt;2,0,IF($E398="Win",('Guide &amp; Settings'!$C$42/(($F398-1)*COUNTIFS($A$4:$A$810,$A398,$E$4:$E$810,"Win")))*SUMIFS($X$4:$X$810,$A$4:$A$810,$A398,$E$4:$E$810,"Loss"),-('Guide &amp; Settings'!$C$42/($F398-1))*$X398)))</f>
        <v>0</v>
      </c>
      <c r="K398" s="123">
        <f>IF($D398="",0,'Guide &amp; Settings'!$C$43*(IF($E398="Win",1,0)-$I398))</f>
        <v>0</v>
      </c>
      <c r="L398" s="124">
        <f>IF($D398="",0,'Guide &amp; Settings'!$C$44*IF($F398&gt;=3,$F398+IF($E398="Win",$F398,0),0))</f>
        <v>0</v>
      </c>
      <c r="M398" s="123">
        <f>IF($D398="",0,$J398+$K398+$L398)</f>
        <v>0</v>
      </c>
      <c r="N398" s="121">
        <f>IF($D398="",0,$H398+$M398)</f>
        <v>0</v>
      </c>
      <c r="O398" s="120" t="str">
        <f>IF($D398="","",IF(COUNTIFS($A$4:$A$810,$A398,$E$4:$E$810,"Win")=0,"need a winner",IF(COUNTIFS($A$4:$A$810,$A398,$E$4:$E$810,"Loss")=0,"need a loser",IF(COUNTIFS($A$4:$A$810,$A398,$D$4:$D$810,$D398)&gt;1,"duplicate player","OK"))))</f>
      </c>
      <c r="P398">
        <f>IF($D398="",0,IFERROR(SUMIFS($H$4:$H$810,$A$4:$A$810,$A398,$E$4:$E$810,"Win")/COUNTIFS($A$4:$A$810,$A398,$E$4:$E$810,"Win"),0))</f>
        <v>0</v>
      </c>
      <c r="Q398">
        <f>IF($D398="",0,1/(1+10^(($P398-$H398)/400)))</f>
        <v>0</v>
      </c>
      <c r="R398">
        <f>IF($D398="",0,(COUNTIFS($D$4:$D$810,$D398,$C$4:$C$810,$C398,$E$4:$E$810,"Win",$A$4:$A$810,"&lt;"&amp;$A398)+1)/(COUNTIFS($D$4:$D$810,$D398,$C$4:$C$810,$C398,$A$4:$A$810,"&lt;"&amp;$A398)+2))</f>
        <v>0</v>
      </c>
      <c r="S398">
        <f>IF($D398="",0,SUMIFS($R$4:$R$810,$A$4:$A$810,$A398))</f>
        <v>0</v>
      </c>
      <c r="T398" s="88">
        <f>IF($D398="",0,COUNTIFS($D$4:$D$810,$D398,$C$4:$C$810,$C398,$A$4:$A$810,"&lt;"&amp;$A398))</f>
        <v>0</v>
      </c>
      <c r="U398" s="125">
        <f>IF($D398="",0,IFERROR(LOOKUP(2,1/(($D$3:D397=$D398)*($C$3:C397=$C398)*($A$3:A397&lt;$A398)),$AB$3:AB397),1000))</f>
        <v>0</v>
      </c>
      <c r="V398" s="125">
        <f>IF($D398="",0,$U398*($T398/($T398+5))+$H398*(1-$T398/($T398+5)))</f>
        <v>0</v>
      </c>
      <c r="W398">
        <f>IF($D398="",0,IFERROR(SUMIFS($V$4:$V$810,$A$4:$A$810,$A398,$E$4:$E$810,"Win")/COUNTIFS($A$4:$A$810,$A398,$E$4:$E$810,"Win"),0))</f>
        <v>0</v>
      </c>
      <c r="X398">
        <f>IF($D398="",0,1/(1+10^(($W398-$V398)/400)))</f>
        <v>0</v>
      </c>
      <c r="Y398">
        <f>IF($D398="",0,IFERROR(SUMIFS($U$4:$U$810,$A$4:$A$810,$A398,$E$4:$E$810,"Win")/COUNTIFS($A$4:$A$810,$A398,$E$4:$E$810,"Win"),0))</f>
        <v>0</v>
      </c>
      <c r="Z398">
        <f>IF($D398="",0,1/(1+10^(($Y398-$U398)/400)))</f>
        <v>0</v>
      </c>
      <c r="AA398">
        <f>IF($D398="",0,IF($F398&lt;2,0,IF($E398="Win",('Guide &amp; Settings'!$C$42/(($F398-1)*COUNTIFS($A$4:$A$810,$A398,$E$4:$E$810,"Win")))*SUMIFS($Z$4:$Z$810,$A$4:$A$810,$A398,$E$4:$E$810,"Loss"),-('Guide &amp; Settings'!$C$42/($F398-1))*$Z398)))</f>
        <v>0</v>
      </c>
      <c r="AB398" s="125">
        <f>IF($D398="",0,$U398+$AA398)</f>
        <v>0</v>
      </c>
      <c r="AC398" s="125" t="str">
        <f>IF($D398="","",IF(SUMPRODUCT(MAX(($D$4:$D$810=$D398)*($B$4:$B$810&lt;$B398)*$B$4:$B$810))=0,0,MAX(($B398-MAX(SUMPRODUCT(MAX(($D$4:$D$810=$D398)*($B$4:$B$810&lt;$B398)*$B$4:$B$810)),'Guide &amp; Settings'!$C$50))/7-'Guide &amp; Settings'!$C$48,0)*'Guide &amp; Settings'!$C$49))</f>
      </c>
    </row>
    <row r="399" spans="1:29">
      <c r="A399" s="116"/>
      <c r="B399" s="117"/>
      <c r="C399" s="118"/>
      <c r="D399" s="118"/>
      <c r="E399" s="116"/>
      <c r="F399" s="119">
        <f>IF($D399="",0,COUNTIF($A$4:$A$810,$A399))</f>
        <v>0</v>
      </c>
      <c r="G399" s="120">
        <f>IF($D399="","",IFERROR(LOOKUP(2,1/(($A$4:$A$810=$A399)*($E$4:$E$810="Win")),$D$4:$D$810),"(no winner)"))</f>
        <v>0</v>
      </c>
      <c r="H399" s="121">
        <f>IF($D399="",0,IFERROR(LOOKUP(2,1/(($D$3:D398=$D399)*($A$3:A398&lt;$A399)),$N$3:N398),'Guide &amp; Settings'!$C$41))</f>
        <v>0</v>
      </c>
      <c r="I399" s="122">
        <f>IF($D399="",0,IF($S399=0,0,$R399/$S399))</f>
        <v>0</v>
      </c>
      <c r="J399" s="123">
        <f>IF($D399="",0,IF($F399&lt;2,0,IF($E399="Win",('Guide &amp; Settings'!$C$42/(($F399-1)*COUNTIFS($A$4:$A$810,$A399,$E$4:$E$810,"Win")))*SUMIFS($X$4:$X$810,$A$4:$A$810,$A399,$E$4:$E$810,"Loss"),-('Guide &amp; Settings'!$C$42/($F399-1))*$X399)))</f>
        <v>0</v>
      </c>
      <c r="K399" s="123">
        <f>IF($D399="",0,'Guide &amp; Settings'!$C$43*(IF($E399="Win",1,0)-$I399))</f>
        <v>0</v>
      </c>
      <c r="L399" s="124">
        <f>IF($D399="",0,'Guide &amp; Settings'!$C$44*IF($F399&gt;=3,$F399+IF($E399="Win",$F399,0),0))</f>
        <v>0</v>
      </c>
      <c r="M399" s="123">
        <f>IF($D399="",0,$J399+$K399+$L399)</f>
        <v>0</v>
      </c>
      <c r="N399" s="121">
        <f>IF($D399="",0,$H399+$M399)</f>
        <v>0</v>
      </c>
      <c r="O399" s="120" t="str">
        <f>IF($D399="","",IF(COUNTIFS($A$4:$A$810,$A399,$E$4:$E$810,"Win")=0,"need a winner",IF(COUNTIFS($A$4:$A$810,$A399,$E$4:$E$810,"Loss")=0,"need a loser",IF(COUNTIFS($A$4:$A$810,$A399,$D$4:$D$810,$D399)&gt;1,"duplicate player","OK"))))</f>
      </c>
      <c r="P399">
        <f>IF($D399="",0,IFERROR(SUMIFS($H$4:$H$810,$A$4:$A$810,$A399,$E$4:$E$810,"Win")/COUNTIFS($A$4:$A$810,$A399,$E$4:$E$810,"Win"),0))</f>
        <v>0</v>
      </c>
      <c r="Q399">
        <f>IF($D399="",0,1/(1+10^(($P399-$H399)/400)))</f>
        <v>0</v>
      </c>
      <c r="R399">
        <f>IF($D399="",0,(COUNTIFS($D$4:$D$810,$D399,$C$4:$C$810,$C399,$E$4:$E$810,"Win",$A$4:$A$810,"&lt;"&amp;$A399)+1)/(COUNTIFS($D$4:$D$810,$D399,$C$4:$C$810,$C399,$A$4:$A$810,"&lt;"&amp;$A399)+2))</f>
        <v>0</v>
      </c>
      <c r="S399">
        <f>IF($D399="",0,SUMIFS($R$4:$R$810,$A$4:$A$810,$A399))</f>
        <v>0</v>
      </c>
      <c r="T399" s="88">
        <f>IF($D399="",0,COUNTIFS($D$4:$D$810,$D399,$C$4:$C$810,$C399,$A$4:$A$810,"&lt;"&amp;$A399))</f>
        <v>0</v>
      </c>
      <c r="U399" s="125">
        <f>IF($D399="",0,IFERROR(LOOKUP(2,1/(($D$3:D398=$D399)*($C$3:C398=$C399)*($A$3:A398&lt;$A399)),$AB$3:AB398),1000))</f>
        <v>0</v>
      </c>
      <c r="V399" s="125">
        <f>IF($D399="",0,$U399*($T399/($T399+5))+$H399*(1-$T399/($T399+5)))</f>
        <v>0</v>
      </c>
      <c r="W399">
        <f>IF($D399="",0,IFERROR(SUMIFS($V$4:$V$810,$A$4:$A$810,$A399,$E$4:$E$810,"Win")/COUNTIFS($A$4:$A$810,$A399,$E$4:$E$810,"Win"),0))</f>
        <v>0</v>
      </c>
      <c r="X399">
        <f>IF($D399="",0,1/(1+10^(($W399-$V399)/400)))</f>
        <v>0</v>
      </c>
      <c r="Y399">
        <f>IF($D399="",0,IFERROR(SUMIFS($U$4:$U$810,$A$4:$A$810,$A399,$E$4:$E$810,"Win")/COUNTIFS($A$4:$A$810,$A399,$E$4:$E$810,"Win"),0))</f>
        <v>0</v>
      </c>
      <c r="Z399">
        <f>IF($D399="",0,1/(1+10^(($Y399-$U399)/400)))</f>
        <v>0</v>
      </c>
      <c r="AA399">
        <f>IF($D399="",0,IF($F399&lt;2,0,IF($E399="Win",('Guide &amp; Settings'!$C$42/(($F399-1)*COUNTIFS($A$4:$A$810,$A399,$E$4:$E$810,"Win")))*SUMIFS($Z$4:$Z$810,$A$4:$A$810,$A399,$E$4:$E$810,"Loss"),-('Guide &amp; Settings'!$C$42/($F399-1))*$Z399)))</f>
        <v>0</v>
      </c>
      <c r="AB399" s="125">
        <f>IF($D399="",0,$U399+$AA399)</f>
        <v>0</v>
      </c>
      <c r="AC399" s="125" t="str">
        <f>IF($D399="","",IF(SUMPRODUCT(MAX(($D$4:$D$810=$D399)*($B$4:$B$810&lt;$B399)*$B$4:$B$810))=0,0,MAX(($B399-MAX(SUMPRODUCT(MAX(($D$4:$D$810=$D399)*($B$4:$B$810&lt;$B399)*$B$4:$B$810)),'Guide &amp; Settings'!$C$50))/7-'Guide &amp; Settings'!$C$48,0)*'Guide &amp; Settings'!$C$49))</f>
      </c>
    </row>
    <row r="400" spans="1:29">
      <c r="A400" s="116"/>
      <c r="B400" s="117"/>
      <c r="C400" s="118"/>
      <c r="D400" s="118"/>
      <c r="E400" s="116"/>
      <c r="F400" s="119">
        <f>IF($D400="",0,COUNTIF($A$4:$A$810,$A400))</f>
        <v>0</v>
      </c>
      <c r="G400" s="120">
        <f>IF($D400="","",IFERROR(LOOKUP(2,1/(($A$4:$A$810=$A400)*($E$4:$E$810="Win")),$D$4:$D$810),"(no winner)"))</f>
        <v>0</v>
      </c>
      <c r="H400" s="121">
        <f>IF($D400="",0,IFERROR(LOOKUP(2,1/(($D$3:D399=$D400)*($A$3:A399&lt;$A400)),$N$3:N399),'Guide &amp; Settings'!$C$41))</f>
        <v>0</v>
      </c>
      <c r="I400" s="122">
        <f>IF($D400="",0,IF($S400=0,0,$R400/$S400))</f>
        <v>0</v>
      </c>
      <c r="J400" s="123">
        <f>IF($D400="",0,IF($F400&lt;2,0,IF($E400="Win",('Guide &amp; Settings'!$C$42/(($F400-1)*COUNTIFS($A$4:$A$810,$A400,$E$4:$E$810,"Win")))*SUMIFS($X$4:$X$810,$A$4:$A$810,$A400,$E$4:$E$810,"Loss"),-('Guide &amp; Settings'!$C$42/($F400-1))*$X400)))</f>
        <v>0</v>
      </c>
      <c r="K400" s="123">
        <f>IF($D400="",0,'Guide &amp; Settings'!$C$43*(IF($E400="Win",1,0)-$I400))</f>
        <v>0</v>
      </c>
      <c r="L400" s="124">
        <f>IF($D400="",0,'Guide &amp; Settings'!$C$44*IF($F400&gt;=3,$F400+IF($E400="Win",$F400,0),0))</f>
        <v>0</v>
      </c>
      <c r="M400" s="123">
        <f>IF($D400="",0,$J400+$K400+$L400)</f>
        <v>0</v>
      </c>
      <c r="N400" s="121">
        <f>IF($D400="",0,$H400+$M400)</f>
        <v>0</v>
      </c>
      <c r="O400" s="120" t="str">
        <f>IF($D400="","",IF(COUNTIFS($A$4:$A$810,$A400,$E$4:$E$810,"Win")=0,"need a winner",IF(COUNTIFS($A$4:$A$810,$A400,$E$4:$E$810,"Loss")=0,"need a loser",IF(COUNTIFS($A$4:$A$810,$A400,$D$4:$D$810,$D400)&gt;1,"duplicate player","OK"))))</f>
      </c>
      <c r="P400">
        <f>IF($D400="",0,IFERROR(SUMIFS($H$4:$H$810,$A$4:$A$810,$A400,$E$4:$E$810,"Win")/COUNTIFS($A$4:$A$810,$A400,$E$4:$E$810,"Win"),0))</f>
        <v>0</v>
      </c>
      <c r="Q400">
        <f>IF($D400="",0,1/(1+10^(($P400-$H400)/400)))</f>
        <v>0</v>
      </c>
      <c r="R400">
        <f>IF($D400="",0,(COUNTIFS($D$4:$D$810,$D400,$C$4:$C$810,$C400,$E$4:$E$810,"Win",$A$4:$A$810,"&lt;"&amp;$A400)+1)/(COUNTIFS($D$4:$D$810,$D400,$C$4:$C$810,$C400,$A$4:$A$810,"&lt;"&amp;$A400)+2))</f>
        <v>0</v>
      </c>
      <c r="S400">
        <f>IF($D400="",0,SUMIFS($R$4:$R$810,$A$4:$A$810,$A400))</f>
        <v>0</v>
      </c>
      <c r="T400" s="88">
        <f>IF($D400="",0,COUNTIFS($D$4:$D$810,$D400,$C$4:$C$810,$C400,$A$4:$A$810,"&lt;"&amp;$A400))</f>
        <v>0</v>
      </c>
      <c r="U400" s="125">
        <f>IF($D400="",0,IFERROR(LOOKUP(2,1/(($D$3:D399=$D400)*($C$3:C399=$C400)*($A$3:A399&lt;$A400)),$AB$3:AB399),1000))</f>
        <v>0</v>
      </c>
      <c r="V400" s="125">
        <f>IF($D400="",0,$U400*($T400/($T400+5))+$H400*(1-$T400/($T400+5)))</f>
        <v>0</v>
      </c>
      <c r="W400">
        <f>IF($D400="",0,IFERROR(SUMIFS($V$4:$V$810,$A$4:$A$810,$A400,$E$4:$E$810,"Win")/COUNTIFS($A$4:$A$810,$A400,$E$4:$E$810,"Win"),0))</f>
        <v>0</v>
      </c>
      <c r="X400">
        <f>IF($D400="",0,1/(1+10^(($W400-$V400)/400)))</f>
        <v>0</v>
      </c>
      <c r="Y400">
        <f>IF($D400="",0,IFERROR(SUMIFS($U$4:$U$810,$A$4:$A$810,$A400,$E$4:$E$810,"Win")/COUNTIFS($A$4:$A$810,$A400,$E$4:$E$810,"Win"),0))</f>
        <v>0</v>
      </c>
      <c r="Z400">
        <f>IF($D400="",0,1/(1+10^(($Y400-$U400)/400)))</f>
        <v>0</v>
      </c>
      <c r="AA400">
        <f>IF($D400="",0,IF($F400&lt;2,0,IF($E400="Win",('Guide &amp; Settings'!$C$42/(($F400-1)*COUNTIFS($A$4:$A$810,$A400,$E$4:$E$810,"Win")))*SUMIFS($Z$4:$Z$810,$A$4:$A$810,$A400,$E$4:$E$810,"Loss"),-('Guide &amp; Settings'!$C$42/($F400-1))*$Z400)))</f>
        <v>0</v>
      </c>
      <c r="AB400" s="125">
        <f>IF($D400="",0,$U400+$AA400)</f>
        <v>0</v>
      </c>
      <c r="AC400" s="125" t="str">
        <f>IF($D400="","",IF(SUMPRODUCT(MAX(($D$4:$D$810=$D400)*($B$4:$B$810&lt;$B400)*$B$4:$B$810))=0,0,MAX(($B400-MAX(SUMPRODUCT(MAX(($D$4:$D$810=$D400)*($B$4:$B$810&lt;$B400)*$B$4:$B$810)),'Guide &amp; Settings'!$C$50))/7-'Guide &amp; Settings'!$C$48,0)*'Guide &amp; Settings'!$C$49))</f>
      </c>
    </row>
    <row r="401" spans="1:29">
      <c r="A401" s="116"/>
      <c r="B401" s="117"/>
      <c r="C401" s="118"/>
      <c r="D401" s="118"/>
      <c r="E401" s="116"/>
      <c r="F401" s="119">
        <f>IF($D401="",0,COUNTIF($A$4:$A$810,$A401))</f>
        <v>0</v>
      </c>
      <c r="G401" s="120">
        <f>IF($D401="","",IFERROR(LOOKUP(2,1/(($A$4:$A$810=$A401)*($E$4:$E$810="Win")),$D$4:$D$810),"(no winner)"))</f>
        <v>0</v>
      </c>
      <c r="H401" s="121">
        <f>IF($D401="",0,IFERROR(LOOKUP(2,1/(($D$3:D400=$D401)*($A$3:A400&lt;$A401)),$N$3:N400),'Guide &amp; Settings'!$C$41))</f>
        <v>0</v>
      </c>
      <c r="I401" s="122">
        <f>IF($D401="",0,IF($S401=0,0,$R401/$S401))</f>
        <v>0</v>
      </c>
      <c r="J401" s="123">
        <f>IF($D401="",0,IF($F401&lt;2,0,IF($E401="Win",('Guide &amp; Settings'!$C$42/(($F401-1)*COUNTIFS($A$4:$A$810,$A401,$E$4:$E$810,"Win")))*SUMIFS($X$4:$X$810,$A$4:$A$810,$A401,$E$4:$E$810,"Loss"),-('Guide &amp; Settings'!$C$42/($F401-1))*$X401)))</f>
        <v>0</v>
      </c>
      <c r="K401" s="123">
        <f>IF($D401="",0,'Guide &amp; Settings'!$C$43*(IF($E401="Win",1,0)-$I401))</f>
        <v>0</v>
      </c>
      <c r="L401" s="124">
        <f>IF($D401="",0,'Guide &amp; Settings'!$C$44*IF($F401&gt;=3,$F401+IF($E401="Win",$F401,0),0))</f>
        <v>0</v>
      </c>
      <c r="M401" s="123">
        <f>IF($D401="",0,$J401+$K401+$L401)</f>
        <v>0</v>
      </c>
      <c r="N401" s="121">
        <f>IF($D401="",0,$H401+$M401)</f>
        <v>0</v>
      </c>
      <c r="O401" s="120" t="str">
        <f>IF($D401="","",IF(COUNTIFS($A$4:$A$810,$A401,$E$4:$E$810,"Win")=0,"need a winner",IF(COUNTIFS($A$4:$A$810,$A401,$E$4:$E$810,"Loss")=0,"need a loser",IF(COUNTIFS($A$4:$A$810,$A401,$D$4:$D$810,$D401)&gt;1,"duplicate player","OK"))))</f>
      </c>
      <c r="P401">
        <f>IF($D401="",0,IFERROR(SUMIFS($H$4:$H$810,$A$4:$A$810,$A401,$E$4:$E$810,"Win")/COUNTIFS($A$4:$A$810,$A401,$E$4:$E$810,"Win"),0))</f>
        <v>0</v>
      </c>
      <c r="Q401">
        <f>IF($D401="",0,1/(1+10^(($P401-$H401)/400)))</f>
        <v>0</v>
      </c>
      <c r="R401">
        <f>IF($D401="",0,(COUNTIFS($D$4:$D$810,$D401,$C$4:$C$810,$C401,$E$4:$E$810,"Win",$A$4:$A$810,"&lt;"&amp;$A401)+1)/(COUNTIFS($D$4:$D$810,$D401,$C$4:$C$810,$C401,$A$4:$A$810,"&lt;"&amp;$A401)+2))</f>
        <v>0</v>
      </c>
      <c r="S401">
        <f>IF($D401="",0,SUMIFS($R$4:$R$810,$A$4:$A$810,$A401))</f>
        <v>0</v>
      </c>
      <c r="T401" s="88">
        <f>IF($D401="",0,COUNTIFS($D$4:$D$810,$D401,$C$4:$C$810,$C401,$A$4:$A$810,"&lt;"&amp;$A401))</f>
        <v>0</v>
      </c>
      <c r="U401" s="125">
        <f>IF($D401="",0,IFERROR(LOOKUP(2,1/(($D$3:D400=$D401)*($C$3:C400=$C401)*($A$3:A400&lt;$A401)),$AB$3:AB400),1000))</f>
        <v>0</v>
      </c>
      <c r="V401" s="125">
        <f>IF($D401="",0,$U401*($T401/($T401+5))+$H401*(1-$T401/($T401+5)))</f>
        <v>0</v>
      </c>
      <c r="W401">
        <f>IF($D401="",0,IFERROR(SUMIFS($V$4:$V$810,$A$4:$A$810,$A401,$E$4:$E$810,"Win")/COUNTIFS($A$4:$A$810,$A401,$E$4:$E$810,"Win"),0))</f>
        <v>0</v>
      </c>
      <c r="X401">
        <f>IF($D401="",0,1/(1+10^(($W401-$V401)/400)))</f>
        <v>0</v>
      </c>
      <c r="Y401">
        <f>IF($D401="",0,IFERROR(SUMIFS($U$4:$U$810,$A$4:$A$810,$A401,$E$4:$E$810,"Win")/COUNTIFS($A$4:$A$810,$A401,$E$4:$E$810,"Win"),0))</f>
        <v>0</v>
      </c>
      <c r="Z401">
        <f>IF($D401="",0,1/(1+10^(($Y401-$U401)/400)))</f>
        <v>0</v>
      </c>
      <c r="AA401">
        <f>IF($D401="",0,IF($F401&lt;2,0,IF($E401="Win",('Guide &amp; Settings'!$C$42/(($F401-1)*COUNTIFS($A$4:$A$810,$A401,$E$4:$E$810,"Win")))*SUMIFS($Z$4:$Z$810,$A$4:$A$810,$A401,$E$4:$E$810,"Loss"),-('Guide &amp; Settings'!$C$42/($F401-1))*$Z401)))</f>
        <v>0</v>
      </c>
      <c r="AB401" s="125">
        <f>IF($D401="",0,$U401+$AA401)</f>
        <v>0</v>
      </c>
      <c r="AC401" s="125" t="str">
        <f>IF($D401="","",IF(SUMPRODUCT(MAX(($D$4:$D$810=$D401)*($B$4:$B$810&lt;$B401)*$B$4:$B$810))=0,0,MAX(($B401-MAX(SUMPRODUCT(MAX(($D$4:$D$810=$D401)*($B$4:$B$810&lt;$B401)*$B$4:$B$810)),'Guide &amp; Settings'!$C$50))/7-'Guide &amp; Settings'!$C$48,0)*'Guide &amp; Settings'!$C$49))</f>
      </c>
    </row>
    <row r="402" spans="1:29">
      <c r="A402" s="116"/>
      <c r="B402" s="117"/>
      <c r="C402" s="118"/>
      <c r="D402" s="118"/>
      <c r="E402" s="116"/>
      <c r="F402" s="119">
        <f>IF($D402="",0,COUNTIF($A$4:$A$810,$A402))</f>
        <v>0</v>
      </c>
      <c r="G402" s="120">
        <f>IF($D402="","",IFERROR(LOOKUP(2,1/(($A$4:$A$810=$A402)*($E$4:$E$810="Win")),$D$4:$D$810),"(no winner)"))</f>
        <v>0</v>
      </c>
      <c r="H402" s="121">
        <f>IF($D402="",0,IFERROR(LOOKUP(2,1/(($D$3:D401=$D402)*($A$3:A401&lt;$A402)),$N$3:N401),'Guide &amp; Settings'!$C$41))</f>
        <v>0</v>
      </c>
      <c r="I402" s="122">
        <f>IF($D402="",0,IF($S402=0,0,$R402/$S402))</f>
        <v>0</v>
      </c>
      <c r="J402" s="123">
        <f>IF($D402="",0,IF($F402&lt;2,0,IF($E402="Win",('Guide &amp; Settings'!$C$42/(($F402-1)*COUNTIFS($A$4:$A$810,$A402,$E$4:$E$810,"Win")))*SUMIFS($X$4:$X$810,$A$4:$A$810,$A402,$E$4:$E$810,"Loss"),-('Guide &amp; Settings'!$C$42/($F402-1))*$X402)))</f>
        <v>0</v>
      </c>
      <c r="K402" s="123">
        <f>IF($D402="",0,'Guide &amp; Settings'!$C$43*(IF($E402="Win",1,0)-$I402))</f>
        <v>0</v>
      </c>
      <c r="L402" s="124">
        <f>IF($D402="",0,'Guide &amp; Settings'!$C$44*IF($F402&gt;=3,$F402+IF($E402="Win",$F402,0),0))</f>
        <v>0</v>
      </c>
      <c r="M402" s="123">
        <f>IF($D402="",0,$J402+$K402+$L402)</f>
        <v>0</v>
      </c>
      <c r="N402" s="121">
        <f>IF($D402="",0,$H402+$M402)</f>
        <v>0</v>
      </c>
      <c r="O402" s="120" t="str">
        <f>IF($D402="","",IF(COUNTIFS($A$4:$A$810,$A402,$E$4:$E$810,"Win")=0,"need a winner",IF(COUNTIFS($A$4:$A$810,$A402,$E$4:$E$810,"Loss")=0,"need a loser",IF(COUNTIFS($A$4:$A$810,$A402,$D$4:$D$810,$D402)&gt;1,"duplicate player","OK"))))</f>
      </c>
      <c r="P402">
        <f>IF($D402="",0,IFERROR(SUMIFS($H$4:$H$810,$A$4:$A$810,$A402,$E$4:$E$810,"Win")/COUNTIFS($A$4:$A$810,$A402,$E$4:$E$810,"Win"),0))</f>
        <v>0</v>
      </c>
      <c r="Q402">
        <f>IF($D402="",0,1/(1+10^(($P402-$H402)/400)))</f>
        <v>0</v>
      </c>
      <c r="R402">
        <f>IF($D402="",0,(COUNTIFS($D$4:$D$810,$D402,$C$4:$C$810,$C402,$E$4:$E$810,"Win",$A$4:$A$810,"&lt;"&amp;$A402)+1)/(COUNTIFS($D$4:$D$810,$D402,$C$4:$C$810,$C402,$A$4:$A$810,"&lt;"&amp;$A402)+2))</f>
        <v>0</v>
      </c>
      <c r="S402">
        <f>IF($D402="",0,SUMIFS($R$4:$R$810,$A$4:$A$810,$A402))</f>
        <v>0</v>
      </c>
      <c r="T402" s="88">
        <f>IF($D402="",0,COUNTIFS($D$4:$D$810,$D402,$C$4:$C$810,$C402,$A$4:$A$810,"&lt;"&amp;$A402))</f>
        <v>0</v>
      </c>
      <c r="U402" s="125">
        <f>IF($D402="",0,IFERROR(LOOKUP(2,1/(($D$3:D401=$D402)*($C$3:C401=$C402)*($A$3:A401&lt;$A402)),$AB$3:AB401),1000))</f>
        <v>0</v>
      </c>
      <c r="V402" s="125">
        <f>IF($D402="",0,$U402*($T402/($T402+5))+$H402*(1-$T402/($T402+5)))</f>
        <v>0</v>
      </c>
      <c r="W402">
        <f>IF($D402="",0,IFERROR(SUMIFS($V$4:$V$810,$A$4:$A$810,$A402,$E$4:$E$810,"Win")/COUNTIFS($A$4:$A$810,$A402,$E$4:$E$810,"Win"),0))</f>
        <v>0</v>
      </c>
      <c r="X402">
        <f>IF($D402="",0,1/(1+10^(($W402-$V402)/400)))</f>
        <v>0</v>
      </c>
      <c r="Y402">
        <f>IF($D402="",0,IFERROR(SUMIFS($U$4:$U$810,$A$4:$A$810,$A402,$E$4:$E$810,"Win")/COUNTIFS($A$4:$A$810,$A402,$E$4:$E$810,"Win"),0))</f>
        <v>0</v>
      </c>
      <c r="Z402">
        <f>IF($D402="",0,1/(1+10^(($Y402-$U402)/400)))</f>
        <v>0</v>
      </c>
      <c r="AA402">
        <f>IF($D402="",0,IF($F402&lt;2,0,IF($E402="Win",('Guide &amp; Settings'!$C$42/(($F402-1)*COUNTIFS($A$4:$A$810,$A402,$E$4:$E$810,"Win")))*SUMIFS($Z$4:$Z$810,$A$4:$A$810,$A402,$E$4:$E$810,"Loss"),-('Guide &amp; Settings'!$C$42/($F402-1))*$Z402)))</f>
        <v>0</v>
      </c>
      <c r="AB402" s="125">
        <f>IF($D402="",0,$U402+$AA402)</f>
        <v>0</v>
      </c>
      <c r="AC402" s="125" t="str">
        <f>IF($D402="","",IF(SUMPRODUCT(MAX(($D$4:$D$810=$D402)*($B$4:$B$810&lt;$B402)*$B$4:$B$810))=0,0,MAX(($B402-MAX(SUMPRODUCT(MAX(($D$4:$D$810=$D402)*($B$4:$B$810&lt;$B402)*$B$4:$B$810)),'Guide &amp; Settings'!$C$50))/7-'Guide &amp; Settings'!$C$48,0)*'Guide &amp; Settings'!$C$49))</f>
      </c>
    </row>
    <row r="403" spans="1:29">
      <c r="A403" s="116"/>
      <c r="B403" s="117"/>
      <c r="C403" s="118"/>
      <c r="D403" s="118"/>
      <c r="E403" s="116"/>
      <c r="F403" s="119">
        <f>IF($D403="",0,COUNTIF($A$4:$A$810,$A403))</f>
        <v>0</v>
      </c>
      <c r="G403" s="120">
        <f>IF($D403="","",IFERROR(LOOKUP(2,1/(($A$4:$A$810=$A403)*($E$4:$E$810="Win")),$D$4:$D$810),"(no winner)"))</f>
        <v>0</v>
      </c>
      <c r="H403" s="121">
        <f>IF($D403="",0,IFERROR(LOOKUP(2,1/(($D$3:D402=$D403)*($A$3:A402&lt;$A403)),$N$3:N402),'Guide &amp; Settings'!$C$41))</f>
        <v>0</v>
      </c>
      <c r="I403" s="122">
        <f>IF($D403="",0,IF($S403=0,0,$R403/$S403))</f>
        <v>0</v>
      </c>
      <c r="J403" s="123">
        <f>IF($D403="",0,IF($F403&lt;2,0,IF($E403="Win",('Guide &amp; Settings'!$C$42/(($F403-1)*COUNTIFS($A$4:$A$810,$A403,$E$4:$E$810,"Win")))*SUMIFS($X$4:$X$810,$A$4:$A$810,$A403,$E$4:$E$810,"Loss"),-('Guide &amp; Settings'!$C$42/($F403-1))*$X403)))</f>
        <v>0</v>
      </c>
      <c r="K403" s="123">
        <f>IF($D403="",0,'Guide &amp; Settings'!$C$43*(IF($E403="Win",1,0)-$I403))</f>
        <v>0</v>
      </c>
      <c r="L403" s="124">
        <f>IF($D403="",0,'Guide &amp; Settings'!$C$44*IF($F403&gt;=3,$F403+IF($E403="Win",$F403,0),0))</f>
        <v>0</v>
      </c>
      <c r="M403" s="123">
        <f>IF($D403="",0,$J403+$K403+$L403)</f>
        <v>0</v>
      </c>
      <c r="N403" s="121">
        <f>IF($D403="",0,$H403+$M403)</f>
        <v>0</v>
      </c>
      <c r="O403" s="120" t="str">
        <f>IF($D403="","",IF(COUNTIFS($A$4:$A$810,$A403,$E$4:$E$810,"Win")=0,"need a winner",IF(COUNTIFS($A$4:$A$810,$A403,$E$4:$E$810,"Loss")=0,"need a loser",IF(COUNTIFS($A$4:$A$810,$A403,$D$4:$D$810,$D403)&gt;1,"duplicate player","OK"))))</f>
      </c>
      <c r="P403">
        <f>IF($D403="",0,IFERROR(SUMIFS($H$4:$H$810,$A$4:$A$810,$A403,$E$4:$E$810,"Win")/COUNTIFS($A$4:$A$810,$A403,$E$4:$E$810,"Win"),0))</f>
        <v>0</v>
      </c>
      <c r="Q403">
        <f>IF($D403="",0,1/(1+10^(($P403-$H403)/400)))</f>
        <v>0</v>
      </c>
      <c r="R403">
        <f>IF($D403="",0,(COUNTIFS($D$4:$D$810,$D403,$C$4:$C$810,$C403,$E$4:$E$810,"Win",$A$4:$A$810,"&lt;"&amp;$A403)+1)/(COUNTIFS($D$4:$D$810,$D403,$C$4:$C$810,$C403,$A$4:$A$810,"&lt;"&amp;$A403)+2))</f>
        <v>0</v>
      </c>
      <c r="S403">
        <f>IF($D403="",0,SUMIFS($R$4:$R$810,$A$4:$A$810,$A403))</f>
        <v>0</v>
      </c>
      <c r="T403" s="88">
        <f>IF($D403="",0,COUNTIFS($D$4:$D$810,$D403,$C$4:$C$810,$C403,$A$4:$A$810,"&lt;"&amp;$A403))</f>
        <v>0</v>
      </c>
      <c r="U403" s="125">
        <f>IF($D403="",0,IFERROR(LOOKUP(2,1/(($D$3:D402=$D403)*($C$3:C402=$C403)*($A$3:A402&lt;$A403)),$AB$3:AB402),1000))</f>
        <v>0</v>
      </c>
      <c r="V403" s="125">
        <f>IF($D403="",0,$U403*($T403/($T403+5))+$H403*(1-$T403/($T403+5)))</f>
        <v>0</v>
      </c>
      <c r="W403">
        <f>IF($D403="",0,IFERROR(SUMIFS($V$4:$V$810,$A$4:$A$810,$A403,$E$4:$E$810,"Win")/COUNTIFS($A$4:$A$810,$A403,$E$4:$E$810,"Win"),0))</f>
        <v>0</v>
      </c>
      <c r="X403">
        <f>IF($D403="",0,1/(1+10^(($W403-$V403)/400)))</f>
        <v>0</v>
      </c>
      <c r="Y403">
        <f>IF($D403="",0,IFERROR(SUMIFS($U$4:$U$810,$A$4:$A$810,$A403,$E$4:$E$810,"Win")/COUNTIFS($A$4:$A$810,$A403,$E$4:$E$810,"Win"),0))</f>
        <v>0</v>
      </c>
      <c r="Z403">
        <f>IF($D403="",0,1/(1+10^(($Y403-$U403)/400)))</f>
        <v>0</v>
      </c>
      <c r="AA403">
        <f>IF($D403="",0,IF($F403&lt;2,0,IF($E403="Win",('Guide &amp; Settings'!$C$42/(($F403-1)*COUNTIFS($A$4:$A$810,$A403,$E$4:$E$810,"Win")))*SUMIFS($Z$4:$Z$810,$A$4:$A$810,$A403,$E$4:$E$810,"Loss"),-('Guide &amp; Settings'!$C$42/($F403-1))*$Z403)))</f>
        <v>0</v>
      </c>
      <c r="AB403" s="125">
        <f>IF($D403="",0,$U403+$AA403)</f>
        <v>0</v>
      </c>
      <c r="AC403" s="125" t="str">
        <f>IF($D403="","",IF(SUMPRODUCT(MAX(($D$4:$D$810=$D403)*($B$4:$B$810&lt;$B403)*$B$4:$B$810))=0,0,MAX(($B403-MAX(SUMPRODUCT(MAX(($D$4:$D$810=$D403)*($B$4:$B$810&lt;$B403)*$B$4:$B$810)),'Guide &amp; Settings'!$C$50))/7-'Guide &amp; Settings'!$C$48,0)*'Guide &amp; Settings'!$C$49))</f>
      </c>
    </row>
    <row r="404" spans="1:29">
      <c r="A404" s="116"/>
      <c r="B404" s="117"/>
      <c r="C404" s="118"/>
      <c r="D404" s="118"/>
      <c r="E404" s="116"/>
      <c r="F404" s="119">
        <f>IF($D404="",0,COUNTIF($A$4:$A$810,$A404))</f>
        <v>0</v>
      </c>
      <c r="G404" s="120">
        <f>IF($D404="","",IFERROR(LOOKUP(2,1/(($A$4:$A$810=$A404)*($E$4:$E$810="Win")),$D$4:$D$810),"(no winner)"))</f>
        <v>0</v>
      </c>
      <c r="H404" s="121">
        <f>IF($D404="",0,IFERROR(LOOKUP(2,1/(($D$3:D403=$D404)*($A$3:A403&lt;$A404)),$N$3:N403),'Guide &amp; Settings'!$C$41))</f>
        <v>0</v>
      </c>
      <c r="I404" s="122">
        <f>IF($D404="",0,IF($S404=0,0,$R404/$S404))</f>
        <v>0</v>
      </c>
      <c r="J404" s="123">
        <f>IF($D404="",0,IF($F404&lt;2,0,IF($E404="Win",('Guide &amp; Settings'!$C$42/(($F404-1)*COUNTIFS($A$4:$A$810,$A404,$E$4:$E$810,"Win")))*SUMIFS($X$4:$X$810,$A$4:$A$810,$A404,$E$4:$E$810,"Loss"),-('Guide &amp; Settings'!$C$42/($F404-1))*$X404)))</f>
        <v>0</v>
      </c>
      <c r="K404" s="123">
        <f>IF($D404="",0,'Guide &amp; Settings'!$C$43*(IF($E404="Win",1,0)-$I404))</f>
        <v>0</v>
      </c>
      <c r="L404" s="124">
        <f>IF($D404="",0,'Guide &amp; Settings'!$C$44*IF($F404&gt;=3,$F404+IF($E404="Win",$F404,0),0))</f>
        <v>0</v>
      </c>
      <c r="M404" s="123">
        <f>IF($D404="",0,$J404+$K404+$L404)</f>
        <v>0</v>
      </c>
      <c r="N404" s="121">
        <f>IF($D404="",0,$H404+$M404)</f>
        <v>0</v>
      </c>
      <c r="O404" s="120" t="str">
        <f>IF($D404="","",IF(COUNTIFS($A$4:$A$810,$A404,$E$4:$E$810,"Win")=0,"need a winner",IF(COUNTIFS($A$4:$A$810,$A404,$E$4:$E$810,"Loss")=0,"need a loser",IF(COUNTIFS($A$4:$A$810,$A404,$D$4:$D$810,$D404)&gt;1,"duplicate player","OK"))))</f>
      </c>
      <c r="P404">
        <f>IF($D404="",0,IFERROR(SUMIFS($H$4:$H$810,$A$4:$A$810,$A404,$E$4:$E$810,"Win")/COUNTIFS($A$4:$A$810,$A404,$E$4:$E$810,"Win"),0))</f>
        <v>0</v>
      </c>
      <c r="Q404">
        <f>IF($D404="",0,1/(1+10^(($P404-$H404)/400)))</f>
        <v>0</v>
      </c>
      <c r="R404">
        <f>IF($D404="",0,(COUNTIFS($D$4:$D$810,$D404,$C$4:$C$810,$C404,$E$4:$E$810,"Win",$A$4:$A$810,"&lt;"&amp;$A404)+1)/(COUNTIFS($D$4:$D$810,$D404,$C$4:$C$810,$C404,$A$4:$A$810,"&lt;"&amp;$A404)+2))</f>
        <v>0</v>
      </c>
      <c r="S404">
        <f>IF($D404="",0,SUMIFS($R$4:$R$810,$A$4:$A$810,$A404))</f>
        <v>0</v>
      </c>
      <c r="T404" s="88">
        <f>IF($D404="",0,COUNTIFS($D$4:$D$810,$D404,$C$4:$C$810,$C404,$A$4:$A$810,"&lt;"&amp;$A404))</f>
        <v>0</v>
      </c>
      <c r="U404" s="125">
        <f>IF($D404="",0,IFERROR(LOOKUP(2,1/(($D$3:D403=$D404)*($C$3:C403=$C404)*($A$3:A403&lt;$A404)),$AB$3:AB403),1000))</f>
        <v>0</v>
      </c>
      <c r="V404" s="125">
        <f>IF($D404="",0,$U404*($T404/($T404+5))+$H404*(1-$T404/($T404+5)))</f>
        <v>0</v>
      </c>
      <c r="W404">
        <f>IF($D404="",0,IFERROR(SUMIFS($V$4:$V$810,$A$4:$A$810,$A404,$E$4:$E$810,"Win")/COUNTIFS($A$4:$A$810,$A404,$E$4:$E$810,"Win"),0))</f>
        <v>0</v>
      </c>
      <c r="X404">
        <f>IF($D404="",0,1/(1+10^(($W404-$V404)/400)))</f>
        <v>0</v>
      </c>
      <c r="Y404">
        <f>IF($D404="",0,IFERROR(SUMIFS($U$4:$U$810,$A$4:$A$810,$A404,$E$4:$E$810,"Win")/COUNTIFS($A$4:$A$810,$A404,$E$4:$E$810,"Win"),0))</f>
        <v>0</v>
      </c>
      <c r="Z404">
        <f>IF($D404="",0,1/(1+10^(($Y404-$U404)/400)))</f>
        <v>0</v>
      </c>
      <c r="AA404">
        <f>IF($D404="",0,IF($F404&lt;2,0,IF($E404="Win",('Guide &amp; Settings'!$C$42/(($F404-1)*COUNTIFS($A$4:$A$810,$A404,$E$4:$E$810,"Win")))*SUMIFS($Z$4:$Z$810,$A$4:$A$810,$A404,$E$4:$E$810,"Loss"),-('Guide &amp; Settings'!$C$42/($F404-1))*$Z404)))</f>
        <v>0</v>
      </c>
      <c r="AB404" s="125">
        <f>IF($D404="",0,$U404+$AA404)</f>
        <v>0</v>
      </c>
      <c r="AC404" s="125" t="str">
        <f>IF($D404="","",IF(SUMPRODUCT(MAX(($D$4:$D$810=$D404)*($B$4:$B$810&lt;$B404)*$B$4:$B$810))=0,0,MAX(($B404-MAX(SUMPRODUCT(MAX(($D$4:$D$810=$D404)*($B$4:$B$810&lt;$B404)*$B$4:$B$810)),'Guide &amp; Settings'!$C$50))/7-'Guide &amp; Settings'!$C$48,0)*'Guide &amp; Settings'!$C$49))</f>
      </c>
    </row>
    <row r="405" spans="1:29">
      <c r="A405" s="116"/>
      <c r="B405" s="117"/>
      <c r="C405" s="118"/>
      <c r="D405" s="118"/>
      <c r="E405" s="116"/>
      <c r="F405" s="119">
        <f>IF($D405="",0,COUNTIF($A$4:$A$810,$A405))</f>
        <v>0</v>
      </c>
      <c r="G405" s="120">
        <f>IF($D405="","",IFERROR(LOOKUP(2,1/(($A$4:$A$810=$A405)*($E$4:$E$810="Win")),$D$4:$D$810),"(no winner)"))</f>
        <v>0</v>
      </c>
      <c r="H405" s="121">
        <f>IF($D405="",0,IFERROR(LOOKUP(2,1/(($D$3:D404=$D405)*($A$3:A404&lt;$A405)),$N$3:N404),'Guide &amp; Settings'!$C$41))</f>
        <v>0</v>
      </c>
      <c r="I405" s="122">
        <f>IF($D405="",0,IF($S405=0,0,$R405/$S405))</f>
        <v>0</v>
      </c>
      <c r="J405" s="123">
        <f>IF($D405="",0,IF($F405&lt;2,0,IF($E405="Win",('Guide &amp; Settings'!$C$42/(($F405-1)*COUNTIFS($A$4:$A$810,$A405,$E$4:$E$810,"Win")))*SUMIFS($X$4:$X$810,$A$4:$A$810,$A405,$E$4:$E$810,"Loss"),-('Guide &amp; Settings'!$C$42/($F405-1))*$X405)))</f>
        <v>0</v>
      </c>
      <c r="K405" s="123">
        <f>IF($D405="",0,'Guide &amp; Settings'!$C$43*(IF($E405="Win",1,0)-$I405))</f>
        <v>0</v>
      </c>
      <c r="L405" s="124">
        <f>IF($D405="",0,'Guide &amp; Settings'!$C$44*IF($F405&gt;=3,$F405+IF($E405="Win",$F405,0),0))</f>
        <v>0</v>
      </c>
      <c r="M405" s="123">
        <f>IF($D405="",0,$J405+$K405+$L405)</f>
        <v>0</v>
      </c>
      <c r="N405" s="121">
        <f>IF($D405="",0,$H405+$M405)</f>
        <v>0</v>
      </c>
      <c r="O405" s="120" t="str">
        <f>IF($D405="","",IF(COUNTIFS($A$4:$A$810,$A405,$E$4:$E$810,"Win")=0,"need a winner",IF(COUNTIFS($A$4:$A$810,$A405,$E$4:$E$810,"Loss")=0,"need a loser",IF(COUNTIFS($A$4:$A$810,$A405,$D$4:$D$810,$D405)&gt;1,"duplicate player","OK"))))</f>
      </c>
      <c r="P405">
        <f>IF($D405="",0,IFERROR(SUMIFS($H$4:$H$810,$A$4:$A$810,$A405,$E$4:$E$810,"Win")/COUNTIFS($A$4:$A$810,$A405,$E$4:$E$810,"Win"),0))</f>
        <v>0</v>
      </c>
      <c r="Q405">
        <f>IF($D405="",0,1/(1+10^(($P405-$H405)/400)))</f>
        <v>0</v>
      </c>
      <c r="R405">
        <f>IF($D405="",0,(COUNTIFS($D$4:$D$810,$D405,$C$4:$C$810,$C405,$E$4:$E$810,"Win",$A$4:$A$810,"&lt;"&amp;$A405)+1)/(COUNTIFS($D$4:$D$810,$D405,$C$4:$C$810,$C405,$A$4:$A$810,"&lt;"&amp;$A405)+2))</f>
        <v>0</v>
      </c>
      <c r="S405">
        <f>IF($D405="",0,SUMIFS($R$4:$R$810,$A$4:$A$810,$A405))</f>
        <v>0</v>
      </c>
      <c r="T405" s="88">
        <f>IF($D405="",0,COUNTIFS($D$4:$D$810,$D405,$C$4:$C$810,$C405,$A$4:$A$810,"&lt;"&amp;$A405))</f>
        <v>0</v>
      </c>
      <c r="U405" s="125">
        <f>IF($D405="",0,IFERROR(LOOKUP(2,1/(($D$3:D404=$D405)*($C$3:C404=$C405)*($A$3:A404&lt;$A405)),$AB$3:AB404),1000))</f>
        <v>0</v>
      </c>
      <c r="V405" s="125">
        <f>IF($D405="",0,$U405*($T405/($T405+5))+$H405*(1-$T405/($T405+5)))</f>
        <v>0</v>
      </c>
      <c r="W405">
        <f>IF($D405="",0,IFERROR(SUMIFS($V$4:$V$810,$A$4:$A$810,$A405,$E$4:$E$810,"Win")/COUNTIFS($A$4:$A$810,$A405,$E$4:$E$810,"Win"),0))</f>
        <v>0</v>
      </c>
      <c r="X405">
        <f>IF($D405="",0,1/(1+10^(($W405-$V405)/400)))</f>
        <v>0</v>
      </c>
      <c r="Y405">
        <f>IF($D405="",0,IFERROR(SUMIFS($U$4:$U$810,$A$4:$A$810,$A405,$E$4:$E$810,"Win")/COUNTIFS($A$4:$A$810,$A405,$E$4:$E$810,"Win"),0))</f>
        <v>0</v>
      </c>
      <c r="Z405">
        <f>IF($D405="",0,1/(1+10^(($Y405-$U405)/400)))</f>
        <v>0</v>
      </c>
      <c r="AA405">
        <f>IF($D405="",0,IF($F405&lt;2,0,IF($E405="Win",('Guide &amp; Settings'!$C$42/(($F405-1)*COUNTIFS($A$4:$A$810,$A405,$E$4:$E$810,"Win")))*SUMIFS($Z$4:$Z$810,$A$4:$A$810,$A405,$E$4:$E$810,"Loss"),-('Guide &amp; Settings'!$C$42/($F405-1))*$Z405)))</f>
        <v>0</v>
      </c>
      <c r="AB405" s="125">
        <f>IF($D405="",0,$U405+$AA405)</f>
        <v>0</v>
      </c>
      <c r="AC405" s="125" t="str">
        <f>IF($D405="","",IF(SUMPRODUCT(MAX(($D$4:$D$810=$D405)*($B$4:$B$810&lt;$B405)*$B$4:$B$810))=0,0,MAX(($B405-MAX(SUMPRODUCT(MAX(($D$4:$D$810=$D405)*($B$4:$B$810&lt;$B405)*$B$4:$B$810)),'Guide &amp; Settings'!$C$50))/7-'Guide &amp; Settings'!$C$48,0)*'Guide &amp; Settings'!$C$49))</f>
      </c>
    </row>
    <row r="406" spans="1:29">
      <c r="A406" s="116"/>
      <c r="B406" s="117"/>
      <c r="C406" s="118"/>
      <c r="D406" s="118"/>
      <c r="E406" s="116"/>
      <c r="F406" s="119">
        <f>IF($D406="",0,COUNTIF($A$4:$A$810,$A406))</f>
        <v>0</v>
      </c>
      <c r="G406" s="120">
        <f>IF($D406="","",IFERROR(LOOKUP(2,1/(($A$4:$A$810=$A406)*($E$4:$E$810="Win")),$D$4:$D$810),"(no winner)"))</f>
        <v>0</v>
      </c>
      <c r="H406" s="121">
        <f>IF($D406="",0,IFERROR(LOOKUP(2,1/(($D$3:D405=$D406)*($A$3:A405&lt;$A406)),$N$3:N405),'Guide &amp; Settings'!$C$41))</f>
        <v>0</v>
      </c>
      <c r="I406" s="122">
        <f>IF($D406="",0,IF($S406=0,0,$R406/$S406))</f>
        <v>0</v>
      </c>
      <c r="J406" s="123">
        <f>IF($D406="",0,IF($F406&lt;2,0,IF($E406="Win",('Guide &amp; Settings'!$C$42/(($F406-1)*COUNTIFS($A$4:$A$810,$A406,$E$4:$E$810,"Win")))*SUMIFS($X$4:$X$810,$A$4:$A$810,$A406,$E$4:$E$810,"Loss"),-('Guide &amp; Settings'!$C$42/($F406-1))*$X406)))</f>
        <v>0</v>
      </c>
      <c r="K406" s="123">
        <f>IF($D406="",0,'Guide &amp; Settings'!$C$43*(IF($E406="Win",1,0)-$I406))</f>
        <v>0</v>
      </c>
      <c r="L406" s="124">
        <f>IF($D406="",0,'Guide &amp; Settings'!$C$44*IF($F406&gt;=3,$F406+IF($E406="Win",$F406,0),0))</f>
        <v>0</v>
      </c>
      <c r="M406" s="123">
        <f>IF($D406="",0,$J406+$K406+$L406)</f>
        <v>0</v>
      </c>
      <c r="N406" s="121">
        <f>IF($D406="",0,$H406+$M406)</f>
        <v>0</v>
      </c>
      <c r="O406" s="120" t="str">
        <f>IF($D406="","",IF(COUNTIFS($A$4:$A$810,$A406,$E$4:$E$810,"Win")=0,"need a winner",IF(COUNTIFS($A$4:$A$810,$A406,$E$4:$E$810,"Loss")=0,"need a loser",IF(COUNTIFS($A$4:$A$810,$A406,$D$4:$D$810,$D406)&gt;1,"duplicate player","OK"))))</f>
      </c>
      <c r="P406">
        <f>IF($D406="",0,IFERROR(SUMIFS($H$4:$H$810,$A$4:$A$810,$A406,$E$4:$E$810,"Win")/COUNTIFS($A$4:$A$810,$A406,$E$4:$E$810,"Win"),0))</f>
        <v>0</v>
      </c>
      <c r="Q406">
        <f>IF($D406="",0,1/(1+10^(($P406-$H406)/400)))</f>
        <v>0</v>
      </c>
      <c r="R406">
        <f>IF($D406="",0,(COUNTIFS($D$4:$D$810,$D406,$C$4:$C$810,$C406,$E$4:$E$810,"Win",$A$4:$A$810,"&lt;"&amp;$A406)+1)/(COUNTIFS($D$4:$D$810,$D406,$C$4:$C$810,$C406,$A$4:$A$810,"&lt;"&amp;$A406)+2))</f>
        <v>0</v>
      </c>
      <c r="S406">
        <f>IF($D406="",0,SUMIFS($R$4:$R$810,$A$4:$A$810,$A406))</f>
        <v>0</v>
      </c>
      <c r="T406" s="88">
        <f>IF($D406="",0,COUNTIFS($D$4:$D$810,$D406,$C$4:$C$810,$C406,$A$4:$A$810,"&lt;"&amp;$A406))</f>
        <v>0</v>
      </c>
      <c r="U406" s="125">
        <f>IF($D406="",0,IFERROR(LOOKUP(2,1/(($D$3:D405=$D406)*($C$3:C405=$C406)*($A$3:A405&lt;$A406)),$AB$3:AB405),1000))</f>
        <v>0</v>
      </c>
      <c r="V406" s="125">
        <f>IF($D406="",0,$U406*($T406/($T406+5))+$H406*(1-$T406/($T406+5)))</f>
        <v>0</v>
      </c>
      <c r="W406">
        <f>IF($D406="",0,IFERROR(SUMIFS($V$4:$V$810,$A$4:$A$810,$A406,$E$4:$E$810,"Win")/COUNTIFS($A$4:$A$810,$A406,$E$4:$E$810,"Win"),0))</f>
        <v>0</v>
      </c>
      <c r="X406">
        <f>IF($D406="",0,1/(1+10^(($W406-$V406)/400)))</f>
        <v>0</v>
      </c>
      <c r="Y406">
        <f>IF($D406="",0,IFERROR(SUMIFS($U$4:$U$810,$A$4:$A$810,$A406,$E$4:$E$810,"Win")/COUNTIFS($A$4:$A$810,$A406,$E$4:$E$810,"Win"),0))</f>
        <v>0</v>
      </c>
      <c r="Z406">
        <f>IF($D406="",0,1/(1+10^(($Y406-$U406)/400)))</f>
        <v>0</v>
      </c>
      <c r="AA406">
        <f>IF($D406="",0,IF($F406&lt;2,0,IF($E406="Win",('Guide &amp; Settings'!$C$42/(($F406-1)*COUNTIFS($A$4:$A$810,$A406,$E$4:$E$810,"Win")))*SUMIFS($Z$4:$Z$810,$A$4:$A$810,$A406,$E$4:$E$810,"Loss"),-('Guide &amp; Settings'!$C$42/($F406-1))*$Z406)))</f>
        <v>0</v>
      </c>
      <c r="AB406" s="125">
        <f>IF($D406="",0,$U406+$AA406)</f>
        <v>0</v>
      </c>
      <c r="AC406" s="125" t="str">
        <f>IF($D406="","",IF(SUMPRODUCT(MAX(($D$4:$D$810=$D406)*($B$4:$B$810&lt;$B406)*$B$4:$B$810))=0,0,MAX(($B406-MAX(SUMPRODUCT(MAX(($D$4:$D$810=$D406)*($B$4:$B$810&lt;$B406)*$B$4:$B$810)),'Guide &amp; Settings'!$C$50))/7-'Guide &amp; Settings'!$C$48,0)*'Guide &amp; Settings'!$C$49))</f>
      </c>
    </row>
    <row r="407" spans="1:29">
      <c r="A407" s="116"/>
      <c r="B407" s="117"/>
      <c r="C407" s="118"/>
      <c r="D407" s="118"/>
      <c r="E407" s="116"/>
      <c r="F407" s="119">
        <f>IF($D407="",0,COUNTIF($A$4:$A$810,$A407))</f>
        <v>0</v>
      </c>
      <c r="G407" s="120">
        <f>IF($D407="","",IFERROR(LOOKUP(2,1/(($A$4:$A$810=$A407)*($E$4:$E$810="Win")),$D$4:$D$810),"(no winner)"))</f>
        <v>0</v>
      </c>
      <c r="H407" s="121">
        <f>IF($D407="",0,IFERROR(LOOKUP(2,1/(($D$3:D406=$D407)*($A$3:A406&lt;$A407)),$N$3:N406),'Guide &amp; Settings'!$C$41))</f>
        <v>0</v>
      </c>
      <c r="I407" s="122">
        <f>IF($D407="",0,IF($S407=0,0,$R407/$S407))</f>
        <v>0</v>
      </c>
      <c r="J407" s="123">
        <f>IF($D407="",0,IF($F407&lt;2,0,IF($E407="Win",('Guide &amp; Settings'!$C$42/(($F407-1)*COUNTIFS($A$4:$A$810,$A407,$E$4:$E$810,"Win")))*SUMIFS($X$4:$X$810,$A$4:$A$810,$A407,$E$4:$E$810,"Loss"),-('Guide &amp; Settings'!$C$42/($F407-1))*$X407)))</f>
        <v>0</v>
      </c>
      <c r="K407" s="123">
        <f>IF($D407="",0,'Guide &amp; Settings'!$C$43*(IF($E407="Win",1,0)-$I407))</f>
        <v>0</v>
      </c>
      <c r="L407" s="124">
        <f>IF($D407="",0,'Guide &amp; Settings'!$C$44*IF($F407&gt;=3,$F407+IF($E407="Win",$F407,0),0))</f>
        <v>0</v>
      </c>
      <c r="M407" s="123">
        <f>IF($D407="",0,$J407+$K407+$L407)</f>
        <v>0</v>
      </c>
      <c r="N407" s="121">
        <f>IF($D407="",0,$H407+$M407)</f>
        <v>0</v>
      </c>
      <c r="O407" s="120" t="str">
        <f>IF($D407="","",IF(COUNTIFS($A$4:$A$810,$A407,$E$4:$E$810,"Win")=0,"need a winner",IF(COUNTIFS($A$4:$A$810,$A407,$E$4:$E$810,"Loss")=0,"need a loser",IF(COUNTIFS($A$4:$A$810,$A407,$D$4:$D$810,$D407)&gt;1,"duplicate player","OK"))))</f>
      </c>
      <c r="P407">
        <f>IF($D407="",0,IFERROR(SUMIFS($H$4:$H$810,$A$4:$A$810,$A407,$E$4:$E$810,"Win")/COUNTIFS($A$4:$A$810,$A407,$E$4:$E$810,"Win"),0))</f>
        <v>0</v>
      </c>
      <c r="Q407">
        <f>IF($D407="",0,1/(1+10^(($P407-$H407)/400)))</f>
        <v>0</v>
      </c>
      <c r="R407">
        <f>IF($D407="",0,(COUNTIFS($D$4:$D$810,$D407,$C$4:$C$810,$C407,$E$4:$E$810,"Win",$A$4:$A$810,"&lt;"&amp;$A407)+1)/(COUNTIFS($D$4:$D$810,$D407,$C$4:$C$810,$C407,$A$4:$A$810,"&lt;"&amp;$A407)+2))</f>
        <v>0</v>
      </c>
      <c r="S407">
        <f>IF($D407="",0,SUMIFS($R$4:$R$810,$A$4:$A$810,$A407))</f>
        <v>0</v>
      </c>
      <c r="T407" s="88">
        <f>IF($D407="",0,COUNTIFS($D$4:$D$810,$D407,$C$4:$C$810,$C407,$A$4:$A$810,"&lt;"&amp;$A407))</f>
        <v>0</v>
      </c>
      <c r="U407" s="125">
        <f>IF($D407="",0,IFERROR(LOOKUP(2,1/(($D$3:D406=$D407)*($C$3:C406=$C407)*($A$3:A406&lt;$A407)),$AB$3:AB406),1000))</f>
        <v>0</v>
      </c>
      <c r="V407" s="125">
        <f>IF($D407="",0,$U407*($T407/($T407+5))+$H407*(1-$T407/($T407+5)))</f>
        <v>0</v>
      </c>
      <c r="W407">
        <f>IF($D407="",0,IFERROR(SUMIFS($V$4:$V$810,$A$4:$A$810,$A407,$E$4:$E$810,"Win")/COUNTIFS($A$4:$A$810,$A407,$E$4:$E$810,"Win"),0))</f>
        <v>0</v>
      </c>
      <c r="X407">
        <f>IF($D407="",0,1/(1+10^(($W407-$V407)/400)))</f>
        <v>0</v>
      </c>
      <c r="Y407">
        <f>IF($D407="",0,IFERROR(SUMIFS($U$4:$U$810,$A$4:$A$810,$A407,$E$4:$E$810,"Win")/COUNTIFS($A$4:$A$810,$A407,$E$4:$E$810,"Win"),0))</f>
        <v>0</v>
      </c>
      <c r="Z407">
        <f>IF($D407="",0,1/(1+10^(($Y407-$U407)/400)))</f>
        <v>0</v>
      </c>
      <c r="AA407">
        <f>IF($D407="",0,IF($F407&lt;2,0,IF($E407="Win",('Guide &amp; Settings'!$C$42/(($F407-1)*COUNTIFS($A$4:$A$810,$A407,$E$4:$E$810,"Win")))*SUMIFS($Z$4:$Z$810,$A$4:$A$810,$A407,$E$4:$E$810,"Loss"),-('Guide &amp; Settings'!$C$42/($F407-1))*$Z407)))</f>
        <v>0</v>
      </c>
      <c r="AB407" s="125">
        <f>IF($D407="",0,$U407+$AA407)</f>
        <v>0</v>
      </c>
      <c r="AC407" s="125" t="str">
        <f>IF($D407="","",IF(SUMPRODUCT(MAX(($D$4:$D$810=$D407)*($B$4:$B$810&lt;$B407)*$B$4:$B$810))=0,0,MAX(($B407-MAX(SUMPRODUCT(MAX(($D$4:$D$810=$D407)*($B$4:$B$810&lt;$B407)*$B$4:$B$810)),'Guide &amp; Settings'!$C$50))/7-'Guide &amp; Settings'!$C$48,0)*'Guide &amp; Settings'!$C$49))</f>
      </c>
    </row>
    <row r="408" spans="1:29">
      <c r="A408" s="116"/>
      <c r="B408" s="117"/>
      <c r="C408" s="118"/>
      <c r="D408" s="118"/>
      <c r="E408" s="116"/>
      <c r="F408" s="119">
        <f>IF($D408="",0,COUNTIF($A$4:$A$810,$A408))</f>
        <v>0</v>
      </c>
      <c r="G408" s="120">
        <f>IF($D408="","",IFERROR(LOOKUP(2,1/(($A$4:$A$810=$A408)*($E$4:$E$810="Win")),$D$4:$D$810),"(no winner)"))</f>
        <v>0</v>
      </c>
      <c r="H408" s="121">
        <f>IF($D408="",0,IFERROR(LOOKUP(2,1/(($D$3:D407=$D408)*($A$3:A407&lt;$A408)),$N$3:N407),'Guide &amp; Settings'!$C$41))</f>
        <v>0</v>
      </c>
      <c r="I408" s="122">
        <f>IF($D408="",0,IF($S408=0,0,$R408/$S408))</f>
        <v>0</v>
      </c>
      <c r="J408" s="123">
        <f>IF($D408="",0,IF($F408&lt;2,0,IF($E408="Win",('Guide &amp; Settings'!$C$42/(($F408-1)*COUNTIFS($A$4:$A$810,$A408,$E$4:$E$810,"Win")))*SUMIFS($X$4:$X$810,$A$4:$A$810,$A408,$E$4:$E$810,"Loss"),-('Guide &amp; Settings'!$C$42/($F408-1))*$X408)))</f>
        <v>0</v>
      </c>
      <c r="K408" s="123">
        <f>IF($D408="",0,'Guide &amp; Settings'!$C$43*(IF($E408="Win",1,0)-$I408))</f>
        <v>0</v>
      </c>
      <c r="L408" s="124">
        <f>IF($D408="",0,'Guide &amp; Settings'!$C$44*IF($F408&gt;=3,$F408+IF($E408="Win",$F408,0),0))</f>
        <v>0</v>
      </c>
      <c r="M408" s="123">
        <f>IF($D408="",0,$J408+$K408+$L408)</f>
        <v>0</v>
      </c>
      <c r="N408" s="121">
        <f>IF($D408="",0,$H408+$M408)</f>
        <v>0</v>
      </c>
      <c r="O408" s="120" t="str">
        <f>IF($D408="","",IF(COUNTIFS($A$4:$A$810,$A408,$E$4:$E$810,"Win")=0,"need a winner",IF(COUNTIFS($A$4:$A$810,$A408,$E$4:$E$810,"Loss")=0,"need a loser",IF(COUNTIFS($A$4:$A$810,$A408,$D$4:$D$810,$D408)&gt;1,"duplicate player","OK"))))</f>
      </c>
      <c r="P408">
        <f>IF($D408="",0,IFERROR(SUMIFS($H$4:$H$810,$A$4:$A$810,$A408,$E$4:$E$810,"Win")/COUNTIFS($A$4:$A$810,$A408,$E$4:$E$810,"Win"),0))</f>
        <v>0</v>
      </c>
      <c r="Q408">
        <f>IF($D408="",0,1/(1+10^(($P408-$H408)/400)))</f>
        <v>0</v>
      </c>
      <c r="R408">
        <f>IF($D408="",0,(COUNTIFS($D$4:$D$810,$D408,$C$4:$C$810,$C408,$E$4:$E$810,"Win",$A$4:$A$810,"&lt;"&amp;$A408)+1)/(COUNTIFS($D$4:$D$810,$D408,$C$4:$C$810,$C408,$A$4:$A$810,"&lt;"&amp;$A408)+2))</f>
        <v>0</v>
      </c>
      <c r="S408">
        <f>IF($D408="",0,SUMIFS($R$4:$R$810,$A$4:$A$810,$A408))</f>
        <v>0</v>
      </c>
      <c r="T408" s="88">
        <f>IF($D408="",0,COUNTIFS($D$4:$D$810,$D408,$C$4:$C$810,$C408,$A$4:$A$810,"&lt;"&amp;$A408))</f>
        <v>0</v>
      </c>
      <c r="U408" s="125">
        <f>IF($D408="",0,IFERROR(LOOKUP(2,1/(($D$3:D407=$D408)*($C$3:C407=$C408)*($A$3:A407&lt;$A408)),$AB$3:AB407),1000))</f>
        <v>0</v>
      </c>
      <c r="V408" s="125">
        <f>IF($D408="",0,$U408*($T408/($T408+5))+$H408*(1-$T408/($T408+5)))</f>
        <v>0</v>
      </c>
      <c r="W408">
        <f>IF($D408="",0,IFERROR(SUMIFS($V$4:$V$810,$A$4:$A$810,$A408,$E$4:$E$810,"Win")/COUNTIFS($A$4:$A$810,$A408,$E$4:$E$810,"Win"),0))</f>
        <v>0</v>
      </c>
      <c r="X408">
        <f>IF($D408="",0,1/(1+10^(($W408-$V408)/400)))</f>
        <v>0</v>
      </c>
      <c r="Y408">
        <f>IF($D408="",0,IFERROR(SUMIFS($U$4:$U$810,$A$4:$A$810,$A408,$E$4:$E$810,"Win")/COUNTIFS($A$4:$A$810,$A408,$E$4:$E$810,"Win"),0))</f>
        <v>0</v>
      </c>
      <c r="Z408">
        <f>IF($D408="",0,1/(1+10^(($Y408-$U408)/400)))</f>
        <v>0</v>
      </c>
      <c r="AA408">
        <f>IF($D408="",0,IF($F408&lt;2,0,IF($E408="Win",('Guide &amp; Settings'!$C$42/(($F408-1)*COUNTIFS($A$4:$A$810,$A408,$E$4:$E$810,"Win")))*SUMIFS($Z$4:$Z$810,$A$4:$A$810,$A408,$E$4:$E$810,"Loss"),-('Guide &amp; Settings'!$C$42/($F408-1))*$Z408)))</f>
        <v>0</v>
      </c>
      <c r="AB408" s="125">
        <f>IF($D408="",0,$U408+$AA408)</f>
        <v>0</v>
      </c>
      <c r="AC408" s="125" t="str">
        <f>IF($D408="","",IF(SUMPRODUCT(MAX(($D$4:$D$810=$D408)*($B$4:$B$810&lt;$B408)*$B$4:$B$810))=0,0,MAX(($B408-MAX(SUMPRODUCT(MAX(($D$4:$D$810=$D408)*($B$4:$B$810&lt;$B408)*$B$4:$B$810)),'Guide &amp; Settings'!$C$50))/7-'Guide &amp; Settings'!$C$48,0)*'Guide &amp; Settings'!$C$49))</f>
      </c>
    </row>
    <row r="409" spans="1:29">
      <c r="A409" s="116"/>
      <c r="B409" s="117"/>
      <c r="C409" s="118"/>
      <c r="D409" s="118"/>
      <c r="E409" s="116"/>
      <c r="F409" s="119">
        <f>IF($D409="",0,COUNTIF($A$4:$A$810,$A409))</f>
        <v>0</v>
      </c>
      <c r="G409" s="120">
        <f>IF($D409="","",IFERROR(LOOKUP(2,1/(($A$4:$A$810=$A409)*($E$4:$E$810="Win")),$D$4:$D$810),"(no winner)"))</f>
        <v>0</v>
      </c>
      <c r="H409" s="121">
        <f>IF($D409="",0,IFERROR(LOOKUP(2,1/(($D$3:D408=$D409)*($A$3:A408&lt;$A409)),$N$3:N408),'Guide &amp; Settings'!$C$41))</f>
        <v>0</v>
      </c>
      <c r="I409" s="122">
        <f>IF($D409="",0,IF($S409=0,0,$R409/$S409))</f>
        <v>0</v>
      </c>
      <c r="J409" s="123">
        <f>IF($D409="",0,IF($F409&lt;2,0,IF($E409="Win",('Guide &amp; Settings'!$C$42/(($F409-1)*COUNTIFS($A$4:$A$810,$A409,$E$4:$E$810,"Win")))*SUMIFS($X$4:$X$810,$A$4:$A$810,$A409,$E$4:$E$810,"Loss"),-('Guide &amp; Settings'!$C$42/($F409-1))*$X409)))</f>
        <v>0</v>
      </c>
      <c r="K409" s="123">
        <f>IF($D409="",0,'Guide &amp; Settings'!$C$43*(IF($E409="Win",1,0)-$I409))</f>
        <v>0</v>
      </c>
      <c r="L409" s="124">
        <f>IF($D409="",0,'Guide &amp; Settings'!$C$44*IF($F409&gt;=3,$F409+IF($E409="Win",$F409,0),0))</f>
        <v>0</v>
      </c>
      <c r="M409" s="123">
        <f>IF($D409="",0,$J409+$K409+$L409)</f>
        <v>0</v>
      </c>
      <c r="N409" s="121">
        <f>IF($D409="",0,$H409+$M409)</f>
        <v>0</v>
      </c>
      <c r="O409" s="120" t="str">
        <f>IF($D409="","",IF(COUNTIFS($A$4:$A$810,$A409,$E$4:$E$810,"Win")=0,"need a winner",IF(COUNTIFS($A$4:$A$810,$A409,$E$4:$E$810,"Loss")=0,"need a loser",IF(COUNTIFS($A$4:$A$810,$A409,$D$4:$D$810,$D409)&gt;1,"duplicate player","OK"))))</f>
      </c>
      <c r="P409">
        <f>IF($D409="",0,IFERROR(SUMIFS($H$4:$H$810,$A$4:$A$810,$A409,$E$4:$E$810,"Win")/COUNTIFS($A$4:$A$810,$A409,$E$4:$E$810,"Win"),0))</f>
        <v>0</v>
      </c>
      <c r="Q409">
        <f>IF($D409="",0,1/(1+10^(($P409-$H409)/400)))</f>
        <v>0</v>
      </c>
      <c r="R409">
        <f>IF($D409="",0,(COUNTIFS($D$4:$D$810,$D409,$C$4:$C$810,$C409,$E$4:$E$810,"Win",$A$4:$A$810,"&lt;"&amp;$A409)+1)/(COUNTIFS($D$4:$D$810,$D409,$C$4:$C$810,$C409,$A$4:$A$810,"&lt;"&amp;$A409)+2))</f>
        <v>0</v>
      </c>
      <c r="S409">
        <f>IF($D409="",0,SUMIFS($R$4:$R$810,$A$4:$A$810,$A409))</f>
        <v>0</v>
      </c>
      <c r="T409" s="88">
        <f>IF($D409="",0,COUNTIFS($D$4:$D$810,$D409,$C$4:$C$810,$C409,$A$4:$A$810,"&lt;"&amp;$A409))</f>
        <v>0</v>
      </c>
      <c r="U409" s="125">
        <f>IF($D409="",0,IFERROR(LOOKUP(2,1/(($D$3:D408=$D409)*($C$3:C408=$C409)*($A$3:A408&lt;$A409)),$AB$3:AB408),1000))</f>
        <v>0</v>
      </c>
      <c r="V409" s="125">
        <f>IF($D409="",0,$U409*($T409/($T409+5))+$H409*(1-$T409/($T409+5)))</f>
        <v>0</v>
      </c>
      <c r="W409">
        <f>IF($D409="",0,IFERROR(SUMIFS($V$4:$V$810,$A$4:$A$810,$A409,$E$4:$E$810,"Win")/COUNTIFS($A$4:$A$810,$A409,$E$4:$E$810,"Win"),0))</f>
        <v>0</v>
      </c>
      <c r="X409">
        <f>IF($D409="",0,1/(1+10^(($W409-$V409)/400)))</f>
        <v>0</v>
      </c>
      <c r="Y409">
        <f>IF($D409="",0,IFERROR(SUMIFS($U$4:$U$810,$A$4:$A$810,$A409,$E$4:$E$810,"Win")/COUNTIFS($A$4:$A$810,$A409,$E$4:$E$810,"Win"),0))</f>
        <v>0</v>
      </c>
      <c r="Z409">
        <f>IF($D409="",0,1/(1+10^(($Y409-$U409)/400)))</f>
        <v>0</v>
      </c>
      <c r="AA409">
        <f>IF($D409="",0,IF($F409&lt;2,0,IF($E409="Win",('Guide &amp; Settings'!$C$42/(($F409-1)*COUNTIFS($A$4:$A$810,$A409,$E$4:$E$810,"Win")))*SUMIFS($Z$4:$Z$810,$A$4:$A$810,$A409,$E$4:$E$810,"Loss"),-('Guide &amp; Settings'!$C$42/($F409-1))*$Z409)))</f>
        <v>0</v>
      </c>
      <c r="AB409" s="125">
        <f>IF($D409="",0,$U409+$AA409)</f>
        <v>0</v>
      </c>
      <c r="AC409" s="125" t="str">
        <f>IF($D409="","",IF(SUMPRODUCT(MAX(($D$4:$D$810=$D409)*($B$4:$B$810&lt;$B409)*$B$4:$B$810))=0,0,MAX(($B409-MAX(SUMPRODUCT(MAX(($D$4:$D$810=$D409)*($B$4:$B$810&lt;$B409)*$B$4:$B$810)),'Guide &amp; Settings'!$C$50))/7-'Guide &amp; Settings'!$C$48,0)*'Guide &amp; Settings'!$C$49))</f>
      </c>
    </row>
    <row r="410" spans="1:29">
      <c r="A410" s="116"/>
      <c r="B410" s="117"/>
      <c r="C410" s="118"/>
      <c r="D410" s="118"/>
      <c r="E410" s="116"/>
      <c r="F410" s="119">
        <f>IF($D410="",0,COUNTIF($A$4:$A$810,$A410))</f>
        <v>0</v>
      </c>
      <c r="G410" s="120">
        <f>IF($D410="","",IFERROR(LOOKUP(2,1/(($A$4:$A$810=$A410)*($E$4:$E$810="Win")),$D$4:$D$810),"(no winner)"))</f>
        <v>0</v>
      </c>
      <c r="H410" s="121">
        <f>IF($D410="",0,IFERROR(LOOKUP(2,1/(($D$3:D409=$D410)*($A$3:A409&lt;$A410)),$N$3:N409),'Guide &amp; Settings'!$C$41))</f>
        <v>0</v>
      </c>
      <c r="I410" s="122">
        <f>IF($D410="",0,IF($S410=0,0,$R410/$S410))</f>
        <v>0</v>
      </c>
      <c r="J410" s="123">
        <f>IF($D410="",0,IF($F410&lt;2,0,IF($E410="Win",('Guide &amp; Settings'!$C$42/(($F410-1)*COUNTIFS($A$4:$A$810,$A410,$E$4:$E$810,"Win")))*SUMIFS($X$4:$X$810,$A$4:$A$810,$A410,$E$4:$E$810,"Loss"),-('Guide &amp; Settings'!$C$42/($F410-1))*$X410)))</f>
        <v>0</v>
      </c>
      <c r="K410" s="123">
        <f>IF($D410="",0,'Guide &amp; Settings'!$C$43*(IF($E410="Win",1,0)-$I410))</f>
        <v>0</v>
      </c>
      <c r="L410" s="124">
        <f>IF($D410="",0,'Guide &amp; Settings'!$C$44*IF($F410&gt;=3,$F410+IF($E410="Win",$F410,0),0))</f>
        <v>0</v>
      </c>
      <c r="M410" s="123">
        <f>IF($D410="",0,$J410+$K410+$L410)</f>
        <v>0</v>
      </c>
      <c r="N410" s="121">
        <f>IF($D410="",0,$H410+$M410)</f>
        <v>0</v>
      </c>
      <c r="O410" s="120" t="str">
        <f>IF($D410="","",IF(COUNTIFS($A$4:$A$810,$A410,$E$4:$E$810,"Win")=0,"need a winner",IF(COUNTIFS($A$4:$A$810,$A410,$E$4:$E$810,"Loss")=0,"need a loser",IF(COUNTIFS($A$4:$A$810,$A410,$D$4:$D$810,$D410)&gt;1,"duplicate player","OK"))))</f>
      </c>
      <c r="P410">
        <f>IF($D410="",0,IFERROR(SUMIFS($H$4:$H$810,$A$4:$A$810,$A410,$E$4:$E$810,"Win")/COUNTIFS($A$4:$A$810,$A410,$E$4:$E$810,"Win"),0))</f>
        <v>0</v>
      </c>
      <c r="Q410">
        <f>IF($D410="",0,1/(1+10^(($P410-$H410)/400)))</f>
        <v>0</v>
      </c>
      <c r="R410">
        <f>IF($D410="",0,(COUNTIFS($D$4:$D$810,$D410,$C$4:$C$810,$C410,$E$4:$E$810,"Win",$A$4:$A$810,"&lt;"&amp;$A410)+1)/(COUNTIFS($D$4:$D$810,$D410,$C$4:$C$810,$C410,$A$4:$A$810,"&lt;"&amp;$A410)+2))</f>
        <v>0</v>
      </c>
      <c r="S410">
        <f>IF($D410="",0,SUMIFS($R$4:$R$810,$A$4:$A$810,$A410))</f>
        <v>0</v>
      </c>
      <c r="T410" s="88">
        <f>IF($D410="",0,COUNTIFS($D$4:$D$810,$D410,$C$4:$C$810,$C410,$A$4:$A$810,"&lt;"&amp;$A410))</f>
        <v>0</v>
      </c>
      <c r="U410" s="125">
        <f>IF($D410="",0,IFERROR(LOOKUP(2,1/(($D$3:D409=$D410)*($C$3:C409=$C410)*($A$3:A409&lt;$A410)),$AB$3:AB409),1000))</f>
        <v>0</v>
      </c>
      <c r="V410" s="125">
        <f>IF($D410="",0,$U410*($T410/($T410+5))+$H410*(1-$T410/($T410+5)))</f>
        <v>0</v>
      </c>
      <c r="W410">
        <f>IF($D410="",0,IFERROR(SUMIFS($V$4:$V$810,$A$4:$A$810,$A410,$E$4:$E$810,"Win")/COUNTIFS($A$4:$A$810,$A410,$E$4:$E$810,"Win"),0))</f>
        <v>0</v>
      </c>
      <c r="X410">
        <f>IF($D410="",0,1/(1+10^(($W410-$V410)/400)))</f>
        <v>0</v>
      </c>
      <c r="Y410">
        <f>IF($D410="",0,IFERROR(SUMIFS($U$4:$U$810,$A$4:$A$810,$A410,$E$4:$E$810,"Win")/COUNTIFS($A$4:$A$810,$A410,$E$4:$E$810,"Win"),0))</f>
        <v>0</v>
      </c>
      <c r="Z410">
        <f>IF($D410="",0,1/(1+10^(($Y410-$U410)/400)))</f>
        <v>0</v>
      </c>
      <c r="AA410">
        <f>IF($D410="",0,IF($F410&lt;2,0,IF($E410="Win",('Guide &amp; Settings'!$C$42/(($F410-1)*COUNTIFS($A$4:$A$810,$A410,$E$4:$E$810,"Win")))*SUMIFS($Z$4:$Z$810,$A$4:$A$810,$A410,$E$4:$E$810,"Loss"),-('Guide &amp; Settings'!$C$42/($F410-1))*$Z410)))</f>
        <v>0</v>
      </c>
      <c r="AB410" s="125">
        <f>IF($D410="",0,$U410+$AA410)</f>
        <v>0</v>
      </c>
      <c r="AC410" s="125" t="str">
        <f>IF($D410="","",IF(SUMPRODUCT(MAX(($D$4:$D$810=$D410)*($B$4:$B$810&lt;$B410)*$B$4:$B$810))=0,0,MAX(($B410-MAX(SUMPRODUCT(MAX(($D$4:$D$810=$D410)*($B$4:$B$810&lt;$B410)*$B$4:$B$810)),'Guide &amp; Settings'!$C$50))/7-'Guide &amp; Settings'!$C$48,0)*'Guide &amp; Settings'!$C$49))</f>
      </c>
    </row>
    <row r="411" spans="1:29">
      <c r="A411" s="116"/>
      <c r="B411" s="117"/>
      <c r="C411" s="118"/>
      <c r="D411" s="118"/>
      <c r="E411" s="116"/>
      <c r="F411" s="119">
        <f>IF($D411="",0,COUNTIF($A$4:$A$810,$A411))</f>
        <v>0</v>
      </c>
      <c r="G411" s="120">
        <f>IF($D411="","",IFERROR(LOOKUP(2,1/(($A$4:$A$810=$A411)*($E$4:$E$810="Win")),$D$4:$D$810),"(no winner)"))</f>
        <v>0</v>
      </c>
      <c r="H411" s="121">
        <f>IF($D411="",0,IFERROR(LOOKUP(2,1/(($D$3:D410=$D411)*($A$3:A410&lt;$A411)),$N$3:N410),'Guide &amp; Settings'!$C$41))</f>
        <v>0</v>
      </c>
      <c r="I411" s="122">
        <f>IF($D411="",0,IF($S411=0,0,$R411/$S411))</f>
        <v>0</v>
      </c>
      <c r="J411" s="123">
        <f>IF($D411="",0,IF($F411&lt;2,0,IF($E411="Win",('Guide &amp; Settings'!$C$42/(($F411-1)*COUNTIFS($A$4:$A$810,$A411,$E$4:$E$810,"Win")))*SUMIFS($X$4:$X$810,$A$4:$A$810,$A411,$E$4:$E$810,"Loss"),-('Guide &amp; Settings'!$C$42/($F411-1))*$X411)))</f>
        <v>0</v>
      </c>
      <c r="K411" s="123">
        <f>IF($D411="",0,'Guide &amp; Settings'!$C$43*(IF($E411="Win",1,0)-$I411))</f>
        <v>0</v>
      </c>
      <c r="L411" s="124">
        <f>IF($D411="",0,'Guide &amp; Settings'!$C$44*IF($F411&gt;=3,$F411+IF($E411="Win",$F411,0),0))</f>
        <v>0</v>
      </c>
      <c r="M411" s="123">
        <f>IF($D411="",0,$J411+$K411+$L411)</f>
        <v>0</v>
      </c>
      <c r="N411" s="121">
        <f>IF($D411="",0,$H411+$M411)</f>
        <v>0</v>
      </c>
      <c r="O411" s="120" t="str">
        <f>IF($D411="","",IF(COUNTIFS($A$4:$A$810,$A411,$E$4:$E$810,"Win")=0,"need a winner",IF(COUNTIFS($A$4:$A$810,$A411,$E$4:$E$810,"Loss")=0,"need a loser",IF(COUNTIFS($A$4:$A$810,$A411,$D$4:$D$810,$D411)&gt;1,"duplicate player","OK"))))</f>
      </c>
      <c r="P411">
        <f>IF($D411="",0,IFERROR(SUMIFS($H$4:$H$810,$A$4:$A$810,$A411,$E$4:$E$810,"Win")/COUNTIFS($A$4:$A$810,$A411,$E$4:$E$810,"Win"),0))</f>
        <v>0</v>
      </c>
      <c r="Q411">
        <f>IF($D411="",0,1/(1+10^(($P411-$H411)/400)))</f>
        <v>0</v>
      </c>
      <c r="R411">
        <f>IF($D411="",0,(COUNTIFS($D$4:$D$810,$D411,$C$4:$C$810,$C411,$E$4:$E$810,"Win",$A$4:$A$810,"&lt;"&amp;$A411)+1)/(COUNTIFS($D$4:$D$810,$D411,$C$4:$C$810,$C411,$A$4:$A$810,"&lt;"&amp;$A411)+2))</f>
        <v>0</v>
      </c>
      <c r="S411">
        <f>IF($D411="",0,SUMIFS($R$4:$R$810,$A$4:$A$810,$A411))</f>
        <v>0</v>
      </c>
      <c r="T411" s="88">
        <f>IF($D411="",0,COUNTIFS($D$4:$D$810,$D411,$C$4:$C$810,$C411,$A$4:$A$810,"&lt;"&amp;$A411))</f>
        <v>0</v>
      </c>
      <c r="U411" s="125">
        <f>IF($D411="",0,IFERROR(LOOKUP(2,1/(($D$3:D410=$D411)*($C$3:C410=$C411)*($A$3:A410&lt;$A411)),$AB$3:AB410),1000))</f>
        <v>0</v>
      </c>
      <c r="V411" s="125">
        <f>IF($D411="",0,$U411*($T411/($T411+5))+$H411*(1-$T411/($T411+5)))</f>
        <v>0</v>
      </c>
      <c r="W411">
        <f>IF($D411="",0,IFERROR(SUMIFS($V$4:$V$810,$A$4:$A$810,$A411,$E$4:$E$810,"Win")/COUNTIFS($A$4:$A$810,$A411,$E$4:$E$810,"Win"),0))</f>
        <v>0</v>
      </c>
      <c r="X411">
        <f>IF($D411="",0,1/(1+10^(($W411-$V411)/400)))</f>
        <v>0</v>
      </c>
      <c r="Y411">
        <f>IF($D411="",0,IFERROR(SUMIFS($U$4:$U$810,$A$4:$A$810,$A411,$E$4:$E$810,"Win")/COUNTIFS($A$4:$A$810,$A411,$E$4:$E$810,"Win"),0))</f>
        <v>0</v>
      </c>
      <c r="Z411">
        <f>IF($D411="",0,1/(1+10^(($Y411-$U411)/400)))</f>
        <v>0</v>
      </c>
      <c r="AA411">
        <f>IF($D411="",0,IF($F411&lt;2,0,IF($E411="Win",('Guide &amp; Settings'!$C$42/(($F411-1)*COUNTIFS($A$4:$A$810,$A411,$E$4:$E$810,"Win")))*SUMIFS($Z$4:$Z$810,$A$4:$A$810,$A411,$E$4:$E$810,"Loss"),-('Guide &amp; Settings'!$C$42/($F411-1))*$Z411)))</f>
        <v>0</v>
      </c>
      <c r="AB411" s="125">
        <f>IF($D411="",0,$U411+$AA411)</f>
        <v>0</v>
      </c>
      <c r="AC411" s="125" t="str">
        <f>IF($D411="","",IF(SUMPRODUCT(MAX(($D$4:$D$810=$D411)*($B$4:$B$810&lt;$B411)*$B$4:$B$810))=0,0,MAX(($B411-MAX(SUMPRODUCT(MAX(($D$4:$D$810=$D411)*($B$4:$B$810&lt;$B411)*$B$4:$B$810)),'Guide &amp; Settings'!$C$50))/7-'Guide &amp; Settings'!$C$48,0)*'Guide &amp; Settings'!$C$49))</f>
      </c>
    </row>
    <row r="412" spans="1:29">
      <c r="A412" s="116"/>
      <c r="B412" s="117"/>
      <c r="C412" s="118"/>
      <c r="D412" s="118"/>
      <c r="E412" s="116"/>
      <c r="F412" s="119">
        <f>IF($D412="",0,COUNTIF($A$4:$A$810,$A412))</f>
        <v>0</v>
      </c>
      <c r="G412" s="120">
        <f>IF($D412="","",IFERROR(LOOKUP(2,1/(($A$4:$A$810=$A412)*($E$4:$E$810="Win")),$D$4:$D$810),"(no winner)"))</f>
        <v>0</v>
      </c>
      <c r="H412" s="121">
        <f>IF($D412="",0,IFERROR(LOOKUP(2,1/(($D$3:D411=$D412)*($A$3:A411&lt;$A412)),$N$3:N411),'Guide &amp; Settings'!$C$41))</f>
        <v>0</v>
      </c>
      <c r="I412" s="122">
        <f>IF($D412="",0,IF($S412=0,0,$R412/$S412))</f>
        <v>0</v>
      </c>
      <c r="J412" s="123">
        <f>IF($D412="",0,IF($F412&lt;2,0,IF($E412="Win",('Guide &amp; Settings'!$C$42/(($F412-1)*COUNTIFS($A$4:$A$810,$A412,$E$4:$E$810,"Win")))*SUMIFS($X$4:$X$810,$A$4:$A$810,$A412,$E$4:$E$810,"Loss"),-('Guide &amp; Settings'!$C$42/($F412-1))*$X412)))</f>
        <v>0</v>
      </c>
      <c r="K412" s="123">
        <f>IF($D412="",0,'Guide &amp; Settings'!$C$43*(IF($E412="Win",1,0)-$I412))</f>
        <v>0</v>
      </c>
      <c r="L412" s="124">
        <f>IF($D412="",0,'Guide &amp; Settings'!$C$44*IF($F412&gt;=3,$F412+IF($E412="Win",$F412,0),0))</f>
        <v>0</v>
      </c>
      <c r="M412" s="123">
        <f>IF($D412="",0,$J412+$K412+$L412)</f>
        <v>0</v>
      </c>
      <c r="N412" s="121">
        <f>IF($D412="",0,$H412+$M412)</f>
        <v>0</v>
      </c>
      <c r="O412" s="120" t="str">
        <f>IF($D412="","",IF(COUNTIFS($A$4:$A$810,$A412,$E$4:$E$810,"Win")=0,"need a winner",IF(COUNTIFS($A$4:$A$810,$A412,$E$4:$E$810,"Loss")=0,"need a loser",IF(COUNTIFS($A$4:$A$810,$A412,$D$4:$D$810,$D412)&gt;1,"duplicate player","OK"))))</f>
      </c>
      <c r="P412">
        <f>IF($D412="",0,IFERROR(SUMIFS($H$4:$H$810,$A$4:$A$810,$A412,$E$4:$E$810,"Win")/COUNTIFS($A$4:$A$810,$A412,$E$4:$E$810,"Win"),0))</f>
        <v>0</v>
      </c>
      <c r="Q412">
        <f>IF($D412="",0,1/(1+10^(($P412-$H412)/400)))</f>
        <v>0</v>
      </c>
      <c r="R412">
        <f>IF($D412="",0,(COUNTIFS($D$4:$D$810,$D412,$C$4:$C$810,$C412,$E$4:$E$810,"Win",$A$4:$A$810,"&lt;"&amp;$A412)+1)/(COUNTIFS($D$4:$D$810,$D412,$C$4:$C$810,$C412,$A$4:$A$810,"&lt;"&amp;$A412)+2))</f>
        <v>0</v>
      </c>
      <c r="S412">
        <f>IF($D412="",0,SUMIFS($R$4:$R$810,$A$4:$A$810,$A412))</f>
        <v>0</v>
      </c>
      <c r="T412" s="88">
        <f>IF($D412="",0,COUNTIFS($D$4:$D$810,$D412,$C$4:$C$810,$C412,$A$4:$A$810,"&lt;"&amp;$A412))</f>
        <v>0</v>
      </c>
      <c r="U412" s="125">
        <f>IF($D412="",0,IFERROR(LOOKUP(2,1/(($D$3:D411=$D412)*($C$3:C411=$C412)*($A$3:A411&lt;$A412)),$AB$3:AB411),1000))</f>
        <v>0</v>
      </c>
      <c r="V412" s="125">
        <f>IF($D412="",0,$U412*($T412/($T412+5))+$H412*(1-$T412/($T412+5)))</f>
        <v>0</v>
      </c>
      <c r="W412">
        <f>IF($D412="",0,IFERROR(SUMIFS($V$4:$V$810,$A$4:$A$810,$A412,$E$4:$E$810,"Win")/COUNTIFS($A$4:$A$810,$A412,$E$4:$E$810,"Win"),0))</f>
        <v>0</v>
      </c>
      <c r="X412">
        <f>IF($D412="",0,1/(1+10^(($W412-$V412)/400)))</f>
        <v>0</v>
      </c>
      <c r="Y412">
        <f>IF($D412="",0,IFERROR(SUMIFS($U$4:$U$810,$A$4:$A$810,$A412,$E$4:$E$810,"Win")/COUNTIFS($A$4:$A$810,$A412,$E$4:$E$810,"Win"),0))</f>
        <v>0</v>
      </c>
      <c r="Z412">
        <f>IF($D412="",0,1/(1+10^(($Y412-$U412)/400)))</f>
        <v>0</v>
      </c>
      <c r="AA412">
        <f>IF($D412="",0,IF($F412&lt;2,0,IF($E412="Win",('Guide &amp; Settings'!$C$42/(($F412-1)*COUNTIFS($A$4:$A$810,$A412,$E$4:$E$810,"Win")))*SUMIFS($Z$4:$Z$810,$A$4:$A$810,$A412,$E$4:$E$810,"Loss"),-('Guide &amp; Settings'!$C$42/($F412-1))*$Z412)))</f>
        <v>0</v>
      </c>
      <c r="AB412" s="125">
        <f>IF($D412="",0,$U412+$AA412)</f>
        <v>0</v>
      </c>
      <c r="AC412" s="125" t="str">
        <f>IF($D412="","",IF(SUMPRODUCT(MAX(($D$4:$D$810=$D412)*($B$4:$B$810&lt;$B412)*$B$4:$B$810))=0,0,MAX(($B412-MAX(SUMPRODUCT(MAX(($D$4:$D$810=$D412)*($B$4:$B$810&lt;$B412)*$B$4:$B$810)),'Guide &amp; Settings'!$C$50))/7-'Guide &amp; Settings'!$C$48,0)*'Guide &amp; Settings'!$C$49))</f>
      </c>
    </row>
    <row r="413" spans="1:29">
      <c r="A413" s="116"/>
      <c r="B413" s="117"/>
      <c r="C413" s="118"/>
      <c r="D413" s="118"/>
      <c r="E413" s="116"/>
      <c r="F413" s="119">
        <f>IF($D413="",0,COUNTIF($A$4:$A$810,$A413))</f>
        <v>0</v>
      </c>
      <c r="G413" s="120">
        <f>IF($D413="","",IFERROR(LOOKUP(2,1/(($A$4:$A$810=$A413)*($E$4:$E$810="Win")),$D$4:$D$810),"(no winner)"))</f>
        <v>0</v>
      </c>
      <c r="H413" s="121">
        <f>IF($D413="",0,IFERROR(LOOKUP(2,1/(($D$3:D412=$D413)*($A$3:A412&lt;$A413)),$N$3:N412),'Guide &amp; Settings'!$C$41))</f>
        <v>0</v>
      </c>
      <c r="I413" s="122">
        <f>IF($D413="",0,IF($S413=0,0,$R413/$S413))</f>
        <v>0</v>
      </c>
      <c r="J413" s="123">
        <f>IF($D413="",0,IF($F413&lt;2,0,IF($E413="Win",('Guide &amp; Settings'!$C$42/(($F413-1)*COUNTIFS($A$4:$A$810,$A413,$E$4:$E$810,"Win")))*SUMIFS($X$4:$X$810,$A$4:$A$810,$A413,$E$4:$E$810,"Loss"),-('Guide &amp; Settings'!$C$42/($F413-1))*$X413)))</f>
        <v>0</v>
      </c>
      <c r="K413" s="123">
        <f>IF($D413="",0,'Guide &amp; Settings'!$C$43*(IF($E413="Win",1,0)-$I413))</f>
        <v>0</v>
      </c>
      <c r="L413" s="124">
        <f>IF($D413="",0,'Guide &amp; Settings'!$C$44*IF($F413&gt;=3,$F413+IF($E413="Win",$F413,0),0))</f>
        <v>0</v>
      </c>
      <c r="M413" s="123">
        <f>IF($D413="",0,$J413+$K413+$L413)</f>
        <v>0</v>
      </c>
      <c r="N413" s="121">
        <f>IF($D413="",0,$H413+$M413)</f>
        <v>0</v>
      </c>
      <c r="O413" s="120" t="str">
        <f>IF($D413="","",IF(COUNTIFS($A$4:$A$810,$A413,$E$4:$E$810,"Win")=0,"need a winner",IF(COUNTIFS($A$4:$A$810,$A413,$E$4:$E$810,"Loss")=0,"need a loser",IF(COUNTIFS($A$4:$A$810,$A413,$D$4:$D$810,$D413)&gt;1,"duplicate player","OK"))))</f>
      </c>
      <c r="P413">
        <f>IF($D413="",0,IFERROR(SUMIFS($H$4:$H$810,$A$4:$A$810,$A413,$E$4:$E$810,"Win")/COUNTIFS($A$4:$A$810,$A413,$E$4:$E$810,"Win"),0))</f>
        <v>0</v>
      </c>
      <c r="Q413">
        <f>IF($D413="",0,1/(1+10^(($P413-$H413)/400)))</f>
        <v>0</v>
      </c>
      <c r="R413">
        <f>IF($D413="",0,(COUNTIFS($D$4:$D$810,$D413,$C$4:$C$810,$C413,$E$4:$E$810,"Win",$A$4:$A$810,"&lt;"&amp;$A413)+1)/(COUNTIFS($D$4:$D$810,$D413,$C$4:$C$810,$C413,$A$4:$A$810,"&lt;"&amp;$A413)+2))</f>
        <v>0</v>
      </c>
      <c r="S413">
        <f>IF($D413="",0,SUMIFS($R$4:$R$810,$A$4:$A$810,$A413))</f>
        <v>0</v>
      </c>
      <c r="T413" s="88">
        <f>IF($D413="",0,COUNTIFS($D$4:$D$810,$D413,$C$4:$C$810,$C413,$A$4:$A$810,"&lt;"&amp;$A413))</f>
        <v>0</v>
      </c>
      <c r="U413" s="125">
        <f>IF($D413="",0,IFERROR(LOOKUP(2,1/(($D$3:D412=$D413)*($C$3:C412=$C413)*($A$3:A412&lt;$A413)),$AB$3:AB412),1000))</f>
        <v>0</v>
      </c>
      <c r="V413" s="125">
        <f>IF($D413="",0,$U413*($T413/($T413+5))+$H413*(1-$T413/($T413+5)))</f>
        <v>0</v>
      </c>
      <c r="W413">
        <f>IF($D413="",0,IFERROR(SUMIFS($V$4:$V$810,$A$4:$A$810,$A413,$E$4:$E$810,"Win")/COUNTIFS($A$4:$A$810,$A413,$E$4:$E$810,"Win"),0))</f>
        <v>0</v>
      </c>
      <c r="X413">
        <f>IF($D413="",0,1/(1+10^(($W413-$V413)/400)))</f>
        <v>0</v>
      </c>
      <c r="Y413">
        <f>IF($D413="",0,IFERROR(SUMIFS($U$4:$U$810,$A$4:$A$810,$A413,$E$4:$E$810,"Win")/COUNTIFS($A$4:$A$810,$A413,$E$4:$E$810,"Win"),0))</f>
        <v>0</v>
      </c>
      <c r="Z413">
        <f>IF($D413="",0,1/(1+10^(($Y413-$U413)/400)))</f>
        <v>0</v>
      </c>
      <c r="AA413">
        <f>IF($D413="",0,IF($F413&lt;2,0,IF($E413="Win",('Guide &amp; Settings'!$C$42/(($F413-1)*COUNTIFS($A$4:$A$810,$A413,$E$4:$E$810,"Win")))*SUMIFS($Z$4:$Z$810,$A$4:$A$810,$A413,$E$4:$E$810,"Loss"),-('Guide &amp; Settings'!$C$42/($F413-1))*$Z413)))</f>
        <v>0</v>
      </c>
      <c r="AB413" s="125">
        <f>IF($D413="",0,$U413+$AA413)</f>
        <v>0</v>
      </c>
      <c r="AC413" s="125" t="str">
        <f>IF($D413="","",IF(SUMPRODUCT(MAX(($D$4:$D$810=$D413)*($B$4:$B$810&lt;$B413)*$B$4:$B$810))=0,0,MAX(($B413-MAX(SUMPRODUCT(MAX(($D$4:$D$810=$D413)*($B$4:$B$810&lt;$B413)*$B$4:$B$810)),'Guide &amp; Settings'!$C$50))/7-'Guide &amp; Settings'!$C$48,0)*'Guide &amp; Settings'!$C$49))</f>
      </c>
    </row>
    <row r="414" spans="1:29">
      <c r="A414" s="116"/>
      <c r="B414" s="117"/>
      <c r="C414" s="118"/>
      <c r="D414" s="118"/>
      <c r="E414" s="116"/>
      <c r="F414" s="119">
        <f>IF($D414="",0,COUNTIF($A$4:$A$810,$A414))</f>
        <v>0</v>
      </c>
      <c r="G414" s="120">
        <f>IF($D414="","",IFERROR(LOOKUP(2,1/(($A$4:$A$810=$A414)*($E$4:$E$810="Win")),$D$4:$D$810),"(no winner)"))</f>
        <v>0</v>
      </c>
      <c r="H414" s="121">
        <f>IF($D414="",0,IFERROR(LOOKUP(2,1/(($D$3:D413=$D414)*($A$3:A413&lt;$A414)),$N$3:N413),'Guide &amp; Settings'!$C$41))</f>
        <v>0</v>
      </c>
      <c r="I414" s="122">
        <f>IF($D414="",0,IF($S414=0,0,$R414/$S414))</f>
        <v>0</v>
      </c>
      <c r="J414" s="123">
        <f>IF($D414="",0,IF($F414&lt;2,0,IF($E414="Win",('Guide &amp; Settings'!$C$42/(($F414-1)*COUNTIFS($A$4:$A$810,$A414,$E$4:$E$810,"Win")))*SUMIFS($X$4:$X$810,$A$4:$A$810,$A414,$E$4:$E$810,"Loss"),-('Guide &amp; Settings'!$C$42/($F414-1))*$X414)))</f>
        <v>0</v>
      </c>
      <c r="K414" s="123">
        <f>IF($D414="",0,'Guide &amp; Settings'!$C$43*(IF($E414="Win",1,0)-$I414))</f>
        <v>0</v>
      </c>
      <c r="L414" s="124">
        <f>IF($D414="",0,'Guide &amp; Settings'!$C$44*IF($F414&gt;=3,$F414+IF($E414="Win",$F414,0),0))</f>
        <v>0</v>
      </c>
      <c r="M414" s="123">
        <f>IF($D414="",0,$J414+$K414+$L414)</f>
        <v>0</v>
      </c>
      <c r="N414" s="121">
        <f>IF($D414="",0,$H414+$M414)</f>
        <v>0</v>
      </c>
      <c r="O414" s="120" t="str">
        <f>IF($D414="","",IF(COUNTIFS($A$4:$A$810,$A414,$E$4:$E$810,"Win")=0,"need a winner",IF(COUNTIFS($A$4:$A$810,$A414,$E$4:$E$810,"Loss")=0,"need a loser",IF(COUNTIFS($A$4:$A$810,$A414,$D$4:$D$810,$D414)&gt;1,"duplicate player","OK"))))</f>
      </c>
      <c r="P414">
        <f>IF($D414="",0,IFERROR(SUMIFS($H$4:$H$810,$A$4:$A$810,$A414,$E$4:$E$810,"Win")/COUNTIFS($A$4:$A$810,$A414,$E$4:$E$810,"Win"),0))</f>
        <v>0</v>
      </c>
      <c r="Q414">
        <f>IF($D414="",0,1/(1+10^(($P414-$H414)/400)))</f>
        <v>0</v>
      </c>
      <c r="R414">
        <f>IF($D414="",0,(COUNTIFS($D$4:$D$810,$D414,$C$4:$C$810,$C414,$E$4:$E$810,"Win",$A$4:$A$810,"&lt;"&amp;$A414)+1)/(COUNTIFS($D$4:$D$810,$D414,$C$4:$C$810,$C414,$A$4:$A$810,"&lt;"&amp;$A414)+2))</f>
        <v>0</v>
      </c>
      <c r="S414">
        <f>IF($D414="",0,SUMIFS($R$4:$R$810,$A$4:$A$810,$A414))</f>
        <v>0</v>
      </c>
      <c r="T414" s="88">
        <f>IF($D414="",0,COUNTIFS($D$4:$D$810,$D414,$C$4:$C$810,$C414,$A$4:$A$810,"&lt;"&amp;$A414))</f>
        <v>0</v>
      </c>
      <c r="U414" s="125">
        <f>IF($D414="",0,IFERROR(LOOKUP(2,1/(($D$3:D413=$D414)*($C$3:C413=$C414)*($A$3:A413&lt;$A414)),$AB$3:AB413),1000))</f>
        <v>0</v>
      </c>
      <c r="V414" s="125">
        <f>IF($D414="",0,$U414*($T414/($T414+5))+$H414*(1-$T414/($T414+5)))</f>
        <v>0</v>
      </c>
      <c r="W414">
        <f>IF($D414="",0,IFERROR(SUMIFS($V$4:$V$810,$A$4:$A$810,$A414,$E$4:$E$810,"Win")/COUNTIFS($A$4:$A$810,$A414,$E$4:$E$810,"Win"),0))</f>
        <v>0</v>
      </c>
      <c r="X414">
        <f>IF($D414="",0,1/(1+10^(($W414-$V414)/400)))</f>
        <v>0</v>
      </c>
      <c r="Y414">
        <f>IF($D414="",0,IFERROR(SUMIFS($U$4:$U$810,$A$4:$A$810,$A414,$E$4:$E$810,"Win")/COUNTIFS($A$4:$A$810,$A414,$E$4:$E$810,"Win"),0))</f>
        <v>0</v>
      </c>
      <c r="Z414">
        <f>IF($D414="",0,1/(1+10^(($Y414-$U414)/400)))</f>
        <v>0</v>
      </c>
      <c r="AA414">
        <f>IF($D414="",0,IF($F414&lt;2,0,IF($E414="Win",('Guide &amp; Settings'!$C$42/(($F414-1)*COUNTIFS($A$4:$A$810,$A414,$E$4:$E$810,"Win")))*SUMIFS($Z$4:$Z$810,$A$4:$A$810,$A414,$E$4:$E$810,"Loss"),-('Guide &amp; Settings'!$C$42/($F414-1))*$Z414)))</f>
        <v>0</v>
      </c>
      <c r="AB414" s="125">
        <f>IF($D414="",0,$U414+$AA414)</f>
        <v>0</v>
      </c>
      <c r="AC414" s="125" t="str">
        <f>IF($D414="","",IF(SUMPRODUCT(MAX(($D$4:$D$810=$D414)*($B$4:$B$810&lt;$B414)*$B$4:$B$810))=0,0,MAX(($B414-MAX(SUMPRODUCT(MAX(($D$4:$D$810=$D414)*($B$4:$B$810&lt;$B414)*$B$4:$B$810)),'Guide &amp; Settings'!$C$50))/7-'Guide &amp; Settings'!$C$48,0)*'Guide &amp; Settings'!$C$49))</f>
      </c>
    </row>
    <row r="415" spans="1:29">
      <c r="A415" s="116"/>
      <c r="B415" s="117"/>
      <c r="C415" s="118"/>
      <c r="D415" s="118"/>
      <c r="E415" s="116"/>
      <c r="F415" s="119">
        <f>IF($D415="",0,COUNTIF($A$4:$A$810,$A415))</f>
        <v>0</v>
      </c>
      <c r="G415" s="120">
        <f>IF($D415="","",IFERROR(LOOKUP(2,1/(($A$4:$A$810=$A415)*($E$4:$E$810="Win")),$D$4:$D$810),"(no winner)"))</f>
        <v>0</v>
      </c>
      <c r="H415" s="121">
        <f>IF($D415="",0,IFERROR(LOOKUP(2,1/(($D$3:D414=$D415)*($A$3:A414&lt;$A415)),$N$3:N414),'Guide &amp; Settings'!$C$41))</f>
        <v>0</v>
      </c>
      <c r="I415" s="122">
        <f>IF($D415="",0,IF($S415=0,0,$R415/$S415))</f>
        <v>0</v>
      </c>
      <c r="J415" s="123">
        <f>IF($D415="",0,IF($F415&lt;2,0,IF($E415="Win",('Guide &amp; Settings'!$C$42/(($F415-1)*COUNTIFS($A$4:$A$810,$A415,$E$4:$E$810,"Win")))*SUMIFS($X$4:$X$810,$A$4:$A$810,$A415,$E$4:$E$810,"Loss"),-('Guide &amp; Settings'!$C$42/($F415-1))*$X415)))</f>
        <v>0</v>
      </c>
      <c r="K415" s="123">
        <f>IF($D415="",0,'Guide &amp; Settings'!$C$43*(IF($E415="Win",1,0)-$I415))</f>
        <v>0</v>
      </c>
      <c r="L415" s="124">
        <f>IF($D415="",0,'Guide &amp; Settings'!$C$44*IF($F415&gt;=3,$F415+IF($E415="Win",$F415,0),0))</f>
        <v>0</v>
      </c>
      <c r="M415" s="123">
        <f>IF($D415="",0,$J415+$K415+$L415)</f>
        <v>0</v>
      </c>
      <c r="N415" s="121">
        <f>IF($D415="",0,$H415+$M415)</f>
        <v>0</v>
      </c>
      <c r="O415" s="120" t="str">
        <f>IF($D415="","",IF(COUNTIFS($A$4:$A$810,$A415,$E$4:$E$810,"Win")=0,"need a winner",IF(COUNTIFS($A$4:$A$810,$A415,$E$4:$E$810,"Loss")=0,"need a loser",IF(COUNTIFS($A$4:$A$810,$A415,$D$4:$D$810,$D415)&gt;1,"duplicate player","OK"))))</f>
      </c>
      <c r="P415">
        <f>IF($D415="",0,IFERROR(SUMIFS($H$4:$H$810,$A$4:$A$810,$A415,$E$4:$E$810,"Win")/COUNTIFS($A$4:$A$810,$A415,$E$4:$E$810,"Win"),0))</f>
        <v>0</v>
      </c>
      <c r="Q415">
        <f>IF($D415="",0,1/(1+10^(($P415-$H415)/400)))</f>
        <v>0</v>
      </c>
      <c r="R415">
        <f>IF($D415="",0,(COUNTIFS($D$4:$D$810,$D415,$C$4:$C$810,$C415,$E$4:$E$810,"Win",$A$4:$A$810,"&lt;"&amp;$A415)+1)/(COUNTIFS($D$4:$D$810,$D415,$C$4:$C$810,$C415,$A$4:$A$810,"&lt;"&amp;$A415)+2))</f>
        <v>0</v>
      </c>
      <c r="S415">
        <f>IF($D415="",0,SUMIFS($R$4:$R$810,$A$4:$A$810,$A415))</f>
        <v>0</v>
      </c>
      <c r="T415" s="88">
        <f>IF($D415="",0,COUNTIFS($D$4:$D$810,$D415,$C$4:$C$810,$C415,$A$4:$A$810,"&lt;"&amp;$A415))</f>
        <v>0</v>
      </c>
      <c r="U415" s="125">
        <f>IF($D415="",0,IFERROR(LOOKUP(2,1/(($D$3:D414=$D415)*($C$3:C414=$C415)*($A$3:A414&lt;$A415)),$AB$3:AB414),1000))</f>
        <v>0</v>
      </c>
      <c r="V415" s="125">
        <f>IF($D415="",0,$U415*($T415/($T415+5))+$H415*(1-$T415/($T415+5)))</f>
        <v>0</v>
      </c>
      <c r="W415">
        <f>IF($D415="",0,IFERROR(SUMIFS($V$4:$V$810,$A$4:$A$810,$A415,$E$4:$E$810,"Win")/COUNTIFS($A$4:$A$810,$A415,$E$4:$E$810,"Win"),0))</f>
        <v>0</v>
      </c>
      <c r="X415">
        <f>IF($D415="",0,1/(1+10^(($W415-$V415)/400)))</f>
        <v>0</v>
      </c>
      <c r="Y415">
        <f>IF($D415="",0,IFERROR(SUMIFS($U$4:$U$810,$A$4:$A$810,$A415,$E$4:$E$810,"Win")/COUNTIFS($A$4:$A$810,$A415,$E$4:$E$810,"Win"),0))</f>
        <v>0</v>
      </c>
      <c r="Z415">
        <f>IF($D415="",0,1/(1+10^(($Y415-$U415)/400)))</f>
        <v>0</v>
      </c>
      <c r="AA415">
        <f>IF($D415="",0,IF($F415&lt;2,0,IF($E415="Win",('Guide &amp; Settings'!$C$42/(($F415-1)*COUNTIFS($A$4:$A$810,$A415,$E$4:$E$810,"Win")))*SUMIFS($Z$4:$Z$810,$A$4:$A$810,$A415,$E$4:$E$810,"Loss"),-('Guide &amp; Settings'!$C$42/($F415-1))*$Z415)))</f>
        <v>0</v>
      </c>
      <c r="AB415" s="125">
        <f>IF($D415="",0,$U415+$AA415)</f>
        <v>0</v>
      </c>
      <c r="AC415" s="125" t="str">
        <f>IF($D415="","",IF(SUMPRODUCT(MAX(($D$4:$D$810=$D415)*($B$4:$B$810&lt;$B415)*$B$4:$B$810))=0,0,MAX(($B415-MAX(SUMPRODUCT(MAX(($D$4:$D$810=$D415)*($B$4:$B$810&lt;$B415)*$B$4:$B$810)),'Guide &amp; Settings'!$C$50))/7-'Guide &amp; Settings'!$C$48,0)*'Guide &amp; Settings'!$C$49))</f>
      </c>
    </row>
    <row r="416" spans="1:29">
      <c r="A416" s="116"/>
      <c r="B416" s="117"/>
      <c r="C416" s="118"/>
      <c r="D416" s="118"/>
      <c r="E416" s="116"/>
      <c r="F416" s="119">
        <f>IF($D416="",0,COUNTIF($A$4:$A$810,$A416))</f>
        <v>0</v>
      </c>
      <c r="G416" s="120">
        <f>IF($D416="","",IFERROR(LOOKUP(2,1/(($A$4:$A$810=$A416)*($E$4:$E$810="Win")),$D$4:$D$810),"(no winner)"))</f>
        <v>0</v>
      </c>
      <c r="H416" s="121">
        <f>IF($D416="",0,IFERROR(LOOKUP(2,1/(($D$3:D415=$D416)*($A$3:A415&lt;$A416)),$N$3:N415),'Guide &amp; Settings'!$C$41))</f>
        <v>0</v>
      </c>
      <c r="I416" s="122">
        <f>IF($D416="",0,IF($S416=0,0,$R416/$S416))</f>
        <v>0</v>
      </c>
      <c r="J416" s="123">
        <f>IF($D416="",0,IF($F416&lt;2,0,IF($E416="Win",('Guide &amp; Settings'!$C$42/(($F416-1)*COUNTIFS($A$4:$A$810,$A416,$E$4:$E$810,"Win")))*SUMIFS($X$4:$X$810,$A$4:$A$810,$A416,$E$4:$E$810,"Loss"),-('Guide &amp; Settings'!$C$42/($F416-1))*$X416)))</f>
        <v>0</v>
      </c>
      <c r="K416" s="123">
        <f>IF($D416="",0,'Guide &amp; Settings'!$C$43*(IF($E416="Win",1,0)-$I416))</f>
        <v>0</v>
      </c>
      <c r="L416" s="124">
        <f>IF($D416="",0,'Guide &amp; Settings'!$C$44*IF($F416&gt;=3,$F416+IF($E416="Win",$F416,0),0))</f>
        <v>0</v>
      </c>
      <c r="M416" s="123">
        <f>IF($D416="",0,$J416+$K416+$L416)</f>
        <v>0</v>
      </c>
      <c r="N416" s="121">
        <f>IF($D416="",0,$H416+$M416)</f>
        <v>0</v>
      </c>
      <c r="O416" s="120" t="str">
        <f>IF($D416="","",IF(COUNTIFS($A$4:$A$810,$A416,$E$4:$E$810,"Win")=0,"need a winner",IF(COUNTIFS($A$4:$A$810,$A416,$E$4:$E$810,"Loss")=0,"need a loser",IF(COUNTIFS($A$4:$A$810,$A416,$D$4:$D$810,$D416)&gt;1,"duplicate player","OK"))))</f>
      </c>
      <c r="P416">
        <f>IF($D416="",0,IFERROR(SUMIFS($H$4:$H$810,$A$4:$A$810,$A416,$E$4:$E$810,"Win")/COUNTIFS($A$4:$A$810,$A416,$E$4:$E$810,"Win"),0))</f>
        <v>0</v>
      </c>
      <c r="Q416">
        <f>IF($D416="",0,1/(1+10^(($P416-$H416)/400)))</f>
        <v>0</v>
      </c>
      <c r="R416">
        <f>IF($D416="",0,(COUNTIFS($D$4:$D$810,$D416,$C$4:$C$810,$C416,$E$4:$E$810,"Win",$A$4:$A$810,"&lt;"&amp;$A416)+1)/(COUNTIFS($D$4:$D$810,$D416,$C$4:$C$810,$C416,$A$4:$A$810,"&lt;"&amp;$A416)+2))</f>
        <v>0</v>
      </c>
      <c r="S416">
        <f>IF($D416="",0,SUMIFS($R$4:$R$810,$A$4:$A$810,$A416))</f>
        <v>0</v>
      </c>
      <c r="T416" s="88">
        <f>IF($D416="",0,COUNTIFS($D$4:$D$810,$D416,$C$4:$C$810,$C416,$A$4:$A$810,"&lt;"&amp;$A416))</f>
        <v>0</v>
      </c>
      <c r="U416" s="125">
        <f>IF($D416="",0,IFERROR(LOOKUP(2,1/(($D$3:D415=$D416)*($C$3:C415=$C416)*($A$3:A415&lt;$A416)),$AB$3:AB415),1000))</f>
        <v>0</v>
      </c>
      <c r="V416" s="125">
        <f>IF($D416="",0,$U416*($T416/($T416+5))+$H416*(1-$T416/($T416+5)))</f>
        <v>0</v>
      </c>
      <c r="W416">
        <f>IF($D416="",0,IFERROR(SUMIFS($V$4:$V$810,$A$4:$A$810,$A416,$E$4:$E$810,"Win")/COUNTIFS($A$4:$A$810,$A416,$E$4:$E$810,"Win"),0))</f>
        <v>0</v>
      </c>
      <c r="X416">
        <f>IF($D416="",0,1/(1+10^(($W416-$V416)/400)))</f>
        <v>0</v>
      </c>
      <c r="Y416">
        <f>IF($D416="",0,IFERROR(SUMIFS($U$4:$U$810,$A$4:$A$810,$A416,$E$4:$E$810,"Win")/COUNTIFS($A$4:$A$810,$A416,$E$4:$E$810,"Win"),0))</f>
        <v>0</v>
      </c>
      <c r="Z416">
        <f>IF($D416="",0,1/(1+10^(($Y416-$U416)/400)))</f>
        <v>0</v>
      </c>
      <c r="AA416">
        <f>IF($D416="",0,IF($F416&lt;2,0,IF($E416="Win",('Guide &amp; Settings'!$C$42/(($F416-1)*COUNTIFS($A$4:$A$810,$A416,$E$4:$E$810,"Win")))*SUMIFS($Z$4:$Z$810,$A$4:$A$810,$A416,$E$4:$E$810,"Loss"),-('Guide &amp; Settings'!$C$42/($F416-1))*$Z416)))</f>
        <v>0</v>
      </c>
      <c r="AB416" s="125">
        <f>IF($D416="",0,$U416+$AA416)</f>
        <v>0</v>
      </c>
      <c r="AC416" s="125" t="str">
        <f>IF($D416="","",IF(SUMPRODUCT(MAX(($D$4:$D$810=$D416)*($B$4:$B$810&lt;$B416)*$B$4:$B$810))=0,0,MAX(($B416-MAX(SUMPRODUCT(MAX(($D$4:$D$810=$D416)*($B$4:$B$810&lt;$B416)*$B$4:$B$810)),'Guide &amp; Settings'!$C$50))/7-'Guide &amp; Settings'!$C$48,0)*'Guide &amp; Settings'!$C$49))</f>
      </c>
    </row>
    <row r="417" spans="1:29">
      <c r="A417" s="116"/>
      <c r="B417" s="117"/>
      <c r="C417" s="118"/>
      <c r="D417" s="118"/>
      <c r="E417" s="116"/>
      <c r="F417" s="119">
        <f>IF($D417="",0,COUNTIF($A$4:$A$810,$A417))</f>
        <v>0</v>
      </c>
      <c r="G417" s="120">
        <f>IF($D417="","",IFERROR(LOOKUP(2,1/(($A$4:$A$810=$A417)*($E$4:$E$810="Win")),$D$4:$D$810),"(no winner)"))</f>
        <v>0</v>
      </c>
      <c r="H417" s="121">
        <f>IF($D417="",0,IFERROR(LOOKUP(2,1/(($D$3:D416=$D417)*($A$3:A416&lt;$A417)),$N$3:N416),'Guide &amp; Settings'!$C$41))</f>
        <v>0</v>
      </c>
      <c r="I417" s="122">
        <f>IF($D417="",0,IF($S417=0,0,$R417/$S417))</f>
        <v>0</v>
      </c>
      <c r="J417" s="123">
        <f>IF($D417="",0,IF($F417&lt;2,0,IF($E417="Win",('Guide &amp; Settings'!$C$42/(($F417-1)*COUNTIFS($A$4:$A$810,$A417,$E$4:$E$810,"Win")))*SUMIFS($X$4:$X$810,$A$4:$A$810,$A417,$E$4:$E$810,"Loss"),-('Guide &amp; Settings'!$C$42/($F417-1))*$X417)))</f>
        <v>0</v>
      </c>
      <c r="K417" s="123">
        <f>IF($D417="",0,'Guide &amp; Settings'!$C$43*(IF($E417="Win",1,0)-$I417))</f>
        <v>0</v>
      </c>
      <c r="L417" s="124">
        <f>IF($D417="",0,'Guide &amp; Settings'!$C$44*IF($F417&gt;=3,$F417+IF($E417="Win",$F417,0),0))</f>
        <v>0</v>
      </c>
      <c r="M417" s="123">
        <f>IF($D417="",0,$J417+$K417+$L417)</f>
        <v>0</v>
      </c>
      <c r="N417" s="121">
        <f>IF($D417="",0,$H417+$M417)</f>
        <v>0</v>
      </c>
      <c r="O417" s="120" t="str">
        <f>IF($D417="","",IF(COUNTIFS($A$4:$A$810,$A417,$E$4:$E$810,"Win")=0,"need a winner",IF(COUNTIFS($A$4:$A$810,$A417,$E$4:$E$810,"Loss")=0,"need a loser",IF(COUNTIFS($A$4:$A$810,$A417,$D$4:$D$810,$D417)&gt;1,"duplicate player","OK"))))</f>
      </c>
      <c r="P417">
        <f>IF($D417="",0,IFERROR(SUMIFS($H$4:$H$810,$A$4:$A$810,$A417,$E$4:$E$810,"Win")/COUNTIFS($A$4:$A$810,$A417,$E$4:$E$810,"Win"),0))</f>
        <v>0</v>
      </c>
      <c r="Q417">
        <f>IF($D417="",0,1/(1+10^(($P417-$H417)/400)))</f>
        <v>0</v>
      </c>
      <c r="R417">
        <f>IF($D417="",0,(COUNTIFS($D$4:$D$810,$D417,$C$4:$C$810,$C417,$E$4:$E$810,"Win",$A$4:$A$810,"&lt;"&amp;$A417)+1)/(COUNTIFS($D$4:$D$810,$D417,$C$4:$C$810,$C417,$A$4:$A$810,"&lt;"&amp;$A417)+2))</f>
        <v>0</v>
      </c>
      <c r="S417">
        <f>IF($D417="",0,SUMIFS($R$4:$R$810,$A$4:$A$810,$A417))</f>
        <v>0</v>
      </c>
      <c r="T417" s="88">
        <f>IF($D417="",0,COUNTIFS($D$4:$D$810,$D417,$C$4:$C$810,$C417,$A$4:$A$810,"&lt;"&amp;$A417))</f>
        <v>0</v>
      </c>
      <c r="U417" s="125">
        <f>IF($D417="",0,IFERROR(LOOKUP(2,1/(($D$3:D416=$D417)*($C$3:C416=$C417)*($A$3:A416&lt;$A417)),$AB$3:AB416),1000))</f>
        <v>0</v>
      </c>
      <c r="V417" s="125">
        <f>IF($D417="",0,$U417*($T417/($T417+5))+$H417*(1-$T417/($T417+5)))</f>
        <v>0</v>
      </c>
      <c r="W417">
        <f>IF($D417="",0,IFERROR(SUMIFS($V$4:$V$810,$A$4:$A$810,$A417,$E$4:$E$810,"Win")/COUNTIFS($A$4:$A$810,$A417,$E$4:$E$810,"Win"),0))</f>
        <v>0</v>
      </c>
      <c r="X417">
        <f>IF($D417="",0,1/(1+10^(($W417-$V417)/400)))</f>
        <v>0</v>
      </c>
      <c r="Y417">
        <f>IF($D417="",0,IFERROR(SUMIFS($U$4:$U$810,$A$4:$A$810,$A417,$E$4:$E$810,"Win")/COUNTIFS($A$4:$A$810,$A417,$E$4:$E$810,"Win"),0))</f>
        <v>0</v>
      </c>
      <c r="Z417">
        <f>IF($D417="",0,1/(1+10^(($Y417-$U417)/400)))</f>
        <v>0</v>
      </c>
      <c r="AA417">
        <f>IF($D417="",0,IF($F417&lt;2,0,IF($E417="Win",('Guide &amp; Settings'!$C$42/(($F417-1)*COUNTIFS($A$4:$A$810,$A417,$E$4:$E$810,"Win")))*SUMIFS($Z$4:$Z$810,$A$4:$A$810,$A417,$E$4:$E$810,"Loss"),-('Guide &amp; Settings'!$C$42/($F417-1))*$Z417)))</f>
        <v>0</v>
      </c>
      <c r="AB417" s="125">
        <f>IF($D417="",0,$U417+$AA417)</f>
        <v>0</v>
      </c>
      <c r="AC417" s="125" t="str">
        <f>IF($D417="","",IF(SUMPRODUCT(MAX(($D$4:$D$810=$D417)*($B$4:$B$810&lt;$B417)*$B$4:$B$810))=0,0,MAX(($B417-MAX(SUMPRODUCT(MAX(($D$4:$D$810=$D417)*($B$4:$B$810&lt;$B417)*$B$4:$B$810)),'Guide &amp; Settings'!$C$50))/7-'Guide &amp; Settings'!$C$48,0)*'Guide &amp; Settings'!$C$49))</f>
      </c>
    </row>
    <row r="418" spans="1:29">
      <c r="A418" s="116"/>
      <c r="B418" s="117"/>
      <c r="C418" s="118"/>
      <c r="D418" s="118"/>
      <c r="E418" s="116"/>
      <c r="F418" s="119">
        <f>IF($D418="",0,COUNTIF($A$4:$A$810,$A418))</f>
        <v>0</v>
      </c>
      <c r="G418" s="120">
        <f>IF($D418="","",IFERROR(LOOKUP(2,1/(($A$4:$A$810=$A418)*($E$4:$E$810="Win")),$D$4:$D$810),"(no winner)"))</f>
        <v>0</v>
      </c>
      <c r="H418" s="121">
        <f>IF($D418="",0,IFERROR(LOOKUP(2,1/(($D$3:D417=$D418)*($A$3:A417&lt;$A418)),$N$3:N417),'Guide &amp; Settings'!$C$41))</f>
        <v>0</v>
      </c>
      <c r="I418" s="122">
        <f>IF($D418="",0,IF($S418=0,0,$R418/$S418))</f>
        <v>0</v>
      </c>
      <c r="J418" s="123">
        <f>IF($D418="",0,IF($F418&lt;2,0,IF($E418="Win",('Guide &amp; Settings'!$C$42/(($F418-1)*COUNTIFS($A$4:$A$810,$A418,$E$4:$E$810,"Win")))*SUMIFS($X$4:$X$810,$A$4:$A$810,$A418,$E$4:$E$810,"Loss"),-('Guide &amp; Settings'!$C$42/($F418-1))*$X418)))</f>
        <v>0</v>
      </c>
      <c r="K418" s="123">
        <f>IF($D418="",0,'Guide &amp; Settings'!$C$43*(IF($E418="Win",1,0)-$I418))</f>
        <v>0</v>
      </c>
      <c r="L418" s="124">
        <f>IF($D418="",0,'Guide &amp; Settings'!$C$44*IF($F418&gt;=3,$F418+IF($E418="Win",$F418,0),0))</f>
        <v>0</v>
      </c>
      <c r="M418" s="123">
        <f>IF($D418="",0,$J418+$K418+$L418)</f>
        <v>0</v>
      </c>
      <c r="N418" s="121">
        <f>IF($D418="",0,$H418+$M418)</f>
        <v>0</v>
      </c>
      <c r="O418" s="120" t="str">
        <f>IF($D418="","",IF(COUNTIFS($A$4:$A$810,$A418,$E$4:$E$810,"Win")=0,"need a winner",IF(COUNTIFS($A$4:$A$810,$A418,$E$4:$E$810,"Loss")=0,"need a loser",IF(COUNTIFS($A$4:$A$810,$A418,$D$4:$D$810,$D418)&gt;1,"duplicate player","OK"))))</f>
      </c>
      <c r="P418">
        <f>IF($D418="",0,IFERROR(SUMIFS($H$4:$H$810,$A$4:$A$810,$A418,$E$4:$E$810,"Win")/COUNTIFS($A$4:$A$810,$A418,$E$4:$E$810,"Win"),0))</f>
        <v>0</v>
      </c>
      <c r="Q418">
        <f>IF($D418="",0,1/(1+10^(($P418-$H418)/400)))</f>
        <v>0</v>
      </c>
      <c r="R418">
        <f>IF($D418="",0,(COUNTIFS($D$4:$D$810,$D418,$C$4:$C$810,$C418,$E$4:$E$810,"Win",$A$4:$A$810,"&lt;"&amp;$A418)+1)/(COUNTIFS($D$4:$D$810,$D418,$C$4:$C$810,$C418,$A$4:$A$810,"&lt;"&amp;$A418)+2))</f>
        <v>0</v>
      </c>
      <c r="S418">
        <f>IF($D418="",0,SUMIFS($R$4:$R$810,$A$4:$A$810,$A418))</f>
        <v>0</v>
      </c>
      <c r="T418" s="88">
        <f>IF($D418="",0,COUNTIFS($D$4:$D$810,$D418,$C$4:$C$810,$C418,$A$4:$A$810,"&lt;"&amp;$A418))</f>
        <v>0</v>
      </c>
      <c r="U418" s="125">
        <f>IF($D418="",0,IFERROR(LOOKUP(2,1/(($D$3:D417=$D418)*($C$3:C417=$C418)*($A$3:A417&lt;$A418)),$AB$3:AB417),1000))</f>
        <v>0</v>
      </c>
      <c r="V418" s="125">
        <f>IF($D418="",0,$U418*($T418/($T418+5))+$H418*(1-$T418/($T418+5)))</f>
        <v>0</v>
      </c>
      <c r="W418">
        <f>IF($D418="",0,IFERROR(SUMIFS($V$4:$V$810,$A$4:$A$810,$A418,$E$4:$E$810,"Win")/COUNTIFS($A$4:$A$810,$A418,$E$4:$E$810,"Win"),0))</f>
        <v>0</v>
      </c>
      <c r="X418">
        <f>IF($D418="",0,1/(1+10^(($W418-$V418)/400)))</f>
        <v>0</v>
      </c>
      <c r="Y418">
        <f>IF($D418="",0,IFERROR(SUMIFS($U$4:$U$810,$A$4:$A$810,$A418,$E$4:$E$810,"Win")/COUNTIFS($A$4:$A$810,$A418,$E$4:$E$810,"Win"),0))</f>
        <v>0</v>
      </c>
      <c r="Z418">
        <f>IF($D418="",0,1/(1+10^(($Y418-$U418)/400)))</f>
        <v>0</v>
      </c>
      <c r="AA418">
        <f>IF($D418="",0,IF($F418&lt;2,0,IF($E418="Win",('Guide &amp; Settings'!$C$42/(($F418-1)*COUNTIFS($A$4:$A$810,$A418,$E$4:$E$810,"Win")))*SUMIFS($Z$4:$Z$810,$A$4:$A$810,$A418,$E$4:$E$810,"Loss"),-('Guide &amp; Settings'!$C$42/($F418-1))*$Z418)))</f>
        <v>0</v>
      </c>
      <c r="AB418" s="125">
        <f>IF($D418="",0,$U418+$AA418)</f>
        <v>0</v>
      </c>
      <c r="AC418" s="125" t="str">
        <f>IF($D418="","",IF(SUMPRODUCT(MAX(($D$4:$D$810=$D418)*($B$4:$B$810&lt;$B418)*$B$4:$B$810))=0,0,MAX(($B418-MAX(SUMPRODUCT(MAX(($D$4:$D$810=$D418)*($B$4:$B$810&lt;$B418)*$B$4:$B$810)),'Guide &amp; Settings'!$C$50))/7-'Guide &amp; Settings'!$C$48,0)*'Guide &amp; Settings'!$C$49))</f>
      </c>
    </row>
    <row r="419" spans="1:29">
      <c r="A419" s="116"/>
      <c r="B419" s="117"/>
      <c r="C419" s="118"/>
      <c r="D419" s="118"/>
      <c r="E419" s="116"/>
      <c r="F419" s="119">
        <f>IF($D419="",0,COUNTIF($A$4:$A$810,$A419))</f>
        <v>0</v>
      </c>
      <c r="G419" s="120">
        <f>IF($D419="","",IFERROR(LOOKUP(2,1/(($A$4:$A$810=$A419)*($E$4:$E$810="Win")),$D$4:$D$810),"(no winner)"))</f>
        <v>0</v>
      </c>
      <c r="H419" s="121">
        <f>IF($D419="",0,IFERROR(LOOKUP(2,1/(($D$3:D418=$D419)*($A$3:A418&lt;$A419)),$N$3:N418),'Guide &amp; Settings'!$C$41))</f>
        <v>0</v>
      </c>
      <c r="I419" s="122">
        <f>IF($D419="",0,IF($S419=0,0,$R419/$S419))</f>
        <v>0</v>
      </c>
      <c r="J419" s="123">
        <f>IF($D419="",0,IF($F419&lt;2,0,IF($E419="Win",('Guide &amp; Settings'!$C$42/(($F419-1)*COUNTIFS($A$4:$A$810,$A419,$E$4:$E$810,"Win")))*SUMIFS($X$4:$X$810,$A$4:$A$810,$A419,$E$4:$E$810,"Loss"),-('Guide &amp; Settings'!$C$42/($F419-1))*$X419)))</f>
        <v>0</v>
      </c>
      <c r="K419" s="123">
        <f>IF($D419="",0,'Guide &amp; Settings'!$C$43*(IF($E419="Win",1,0)-$I419))</f>
        <v>0</v>
      </c>
      <c r="L419" s="124">
        <f>IF($D419="",0,'Guide &amp; Settings'!$C$44*IF($F419&gt;=3,$F419+IF($E419="Win",$F419,0),0))</f>
        <v>0</v>
      </c>
      <c r="M419" s="123">
        <f>IF($D419="",0,$J419+$K419+$L419)</f>
        <v>0</v>
      </c>
      <c r="N419" s="121">
        <f>IF($D419="",0,$H419+$M419)</f>
        <v>0</v>
      </c>
      <c r="O419" s="120" t="str">
        <f>IF($D419="","",IF(COUNTIFS($A$4:$A$810,$A419,$E$4:$E$810,"Win")=0,"need a winner",IF(COUNTIFS($A$4:$A$810,$A419,$E$4:$E$810,"Loss")=0,"need a loser",IF(COUNTIFS($A$4:$A$810,$A419,$D$4:$D$810,$D419)&gt;1,"duplicate player","OK"))))</f>
      </c>
      <c r="P419">
        <f>IF($D419="",0,IFERROR(SUMIFS($H$4:$H$810,$A$4:$A$810,$A419,$E$4:$E$810,"Win")/COUNTIFS($A$4:$A$810,$A419,$E$4:$E$810,"Win"),0))</f>
        <v>0</v>
      </c>
      <c r="Q419">
        <f>IF($D419="",0,1/(1+10^(($P419-$H419)/400)))</f>
        <v>0</v>
      </c>
      <c r="R419">
        <f>IF($D419="",0,(COUNTIFS($D$4:$D$810,$D419,$C$4:$C$810,$C419,$E$4:$E$810,"Win",$A$4:$A$810,"&lt;"&amp;$A419)+1)/(COUNTIFS($D$4:$D$810,$D419,$C$4:$C$810,$C419,$A$4:$A$810,"&lt;"&amp;$A419)+2))</f>
        <v>0</v>
      </c>
      <c r="S419">
        <f>IF($D419="",0,SUMIFS($R$4:$R$810,$A$4:$A$810,$A419))</f>
        <v>0</v>
      </c>
      <c r="T419" s="88">
        <f>IF($D419="",0,COUNTIFS($D$4:$D$810,$D419,$C$4:$C$810,$C419,$A$4:$A$810,"&lt;"&amp;$A419))</f>
        <v>0</v>
      </c>
      <c r="U419" s="125">
        <f>IF($D419="",0,IFERROR(LOOKUP(2,1/(($D$3:D418=$D419)*($C$3:C418=$C419)*($A$3:A418&lt;$A419)),$AB$3:AB418),1000))</f>
        <v>0</v>
      </c>
      <c r="V419" s="125">
        <f>IF($D419="",0,$U419*($T419/($T419+5))+$H419*(1-$T419/($T419+5)))</f>
        <v>0</v>
      </c>
      <c r="W419">
        <f>IF($D419="",0,IFERROR(SUMIFS($V$4:$V$810,$A$4:$A$810,$A419,$E$4:$E$810,"Win")/COUNTIFS($A$4:$A$810,$A419,$E$4:$E$810,"Win"),0))</f>
        <v>0</v>
      </c>
      <c r="X419">
        <f>IF($D419="",0,1/(1+10^(($W419-$V419)/400)))</f>
        <v>0</v>
      </c>
      <c r="Y419">
        <f>IF($D419="",0,IFERROR(SUMIFS($U$4:$U$810,$A$4:$A$810,$A419,$E$4:$E$810,"Win")/COUNTIFS($A$4:$A$810,$A419,$E$4:$E$810,"Win"),0))</f>
        <v>0</v>
      </c>
      <c r="Z419">
        <f>IF($D419="",0,1/(1+10^(($Y419-$U419)/400)))</f>
        <v>0</v>
      </c>
      <c r="AA419">
        <f>IF($D419="",0,IF($F419&lt;2,0,IF($E419="Win",('Guide &amp; Settings'!$C$42/(($F419-1)*COUNTIFS($A$4:$A$810,$A419,$E$4:$E$810,"Win")))*SUMIFS($Z$4:$Z$810,$A$4:$A$810,$A419,$E$4:$E$810,"Loss"),-('Guide &amp; Settings'!$C$42/($F419-1))*$Z419)))</f>
        <v>0</v>
      </c>
      <c r="AB419" s="125">
        <f>IF($D419="",0,$U419+$AA419)</f>
        <v>0</v>
      </c>
      <c r="AC419" s="125" t="str">
        <f>IF($D419="","",IF(SUMPRODUCT(MAX(($D$4:$D$810=$D419)*($B$4:$B$810&lt;$B419)*$B$4:$B$810))=0,0,MAX(($B419-MAX(SUMPRODUCT(MAX(($D$4:$D$810=$D419)*($B$4:$B$810&lt;$B419)*$B$4:$B$810)),'Guide &amp; Settings'!$C$50))/7-'Guide &amp; Settings'!$C$48,0)*'Guide &amp; Settings'!$C$49))</f>
      </c>
    </row>
    <row r="420" spans="1:29">
      <c r="A420" s="116"/>
      <c r="B420" s="117"/>
      <c r="C420" s="118"/>
      <c r="D420" s="118"/>
      <c r="E420" s="116"/>
      <c r="F420" s="119">
        <f>IF($D420="",0,COUNTIF($A$4:$A$810,$A420))</f>
        <v>0</v>
      </c>
      <c r="G420" s="120">
        <f>IF($D420="","",IFERROR(LOOKUP(2,1/(($A$4:$A$810=$A420)*($E$4:$E$810="Win")),$D$4:$D$810),"(no winner)"))</f>
        <v>0</v>
      </c>
      <c r="H420" s="121">
        <f>IF($D420="",0,IFERROR(LOOKUP(2,1/(($D$3:D419=$D420)*($A$3:A419&lt;$A420)),$N$3:N419),'Guide &amp; Settings'!$C$41))</f>
        <v>0</v>
      </c>
      <c r="I420" s="122">
        <f>IF($D420="",0,IF($S420=0,0,$R420/$S420))</f>
        <v>0</v>
      </c>
      <c r="J420" s="123">
        <f>IF($D420="",0,IF($F420&lt;2,0,IF($E420="Win",('Guide &amp; Settings'!$C$42/(($F420-1)*COUNTIFS($A$4:$A$810,$A420,$E$4:$E$810,"Win")))*SUMIFS($X$4:$X$810,$A$4:$A$810,$A420,$E$4:$E$810,"Loss"),-('Guide &amp; Settings'!$C$42/($F420-1))*$X420)))</f>
        <v>0</v>
      </c>
      <c r="K420" s="123">
        <f>IF($D420="",0,'Guide &amp; Settings'!$C$43*(IF($E420="Win",1,0)-$I420))</f>
        <v>0</v>
      </c>
      <c r="L420" s="124">
        <f>IF($D420="",0,'Guide &amp; Settings'!$C$44*IF($F420&gt;=3,$F420+IF($E420="Win",$F420,0),0))</f>
        <v>0</v>
      </c>
      <c r="M420" s="123">
        <f>IF($D420="",0,$J420+$K420+$L420)</f>
        <v>0</v>
      </c>
      <c r="N420" s="121">
        <f>IF($D420="",0,$H420+$M420)</f>
        <v>0</v>
      </c>
      <c r="O420" s="120" t="str">
        <f>IF($D420="","",IF(COUNTIFS($A$4:$A$810,$A420,$E$4:$E$810,"Win")=0,"need a winner",IF(COUNTIFS($A$4:$A$810,$A420,$E$4:$E$810,"Loss")=0,"need a loser",IF(COUNTIFS($A$4:$A$810,$A420,$D$4:$D$810,$D420)&gt;1,"duplicate player","OK"))))</f>
      </c>
      <c r="P420">
        <f>IF($D420="",0,IFERROR(SUMIFS($H$4:$H$810,$A$4:$A$810,$A420,$E$4:$E$810,"Win")/COUNTIFS($A$4:$A$810,$A420,$E$4:$E$810,"Win"),0))</f>
        <v>0</v>
      </c>
      <c r="Q420">
        <f>IF($D420="",0,1/(1+10^(($P420-$H420)/400)))</f>
        <v>0</v>
      </c>
      <c r="R420">
        <f>IF($D420="",0,(COUNTIFS($D$4:$D$810,$D420,$C$4:$C$810,$C420,$E$4:$E$810,"Win",$A$4:$A$810,"&lt;"&amp;$A420)+1)/(COUNTIFS($D$4:$D$810,$D420,$C$4:$C$810,$C420,$A$4:$A$810,"&lt;"&amp;$A420)+2))</f>
        <v>0</v>
      </c>
      <c r="S420">
        <f>IF($D420="",0,SUMIFS($R$4:$R$810,$A$4:$A$810,$A420))</f>
        <v>0</v>
      </c>
      <c r="T420" s="88">
        <f>IF($D420="",0,COUNTIFS($D$4:$D$810,$D420,$C$4:$C$810,$C420,$A$4:$A$810,"&lt;"&amp;$A420))</f>
        <v>0</v>
      </c>
      <c r="U420" s="125">
        <f>IF($D420="",0,IFERROR(LOOKUP(2,1/(($D$3:D419=$D420)*($C$3:C419=$C420)*($A$3:A419&lt;$A420)),$AB$3:AB419),1000))</f>
        <v>0</v>
      </c>
      <c r="V420" s="125">
        <f>IF($D420="",0,$U420*($T420/($T420+5))+$H420*(1-$T420/($T420+5)))</f>
        <v>0</v>
      </c>
      <c r="W420">
        <f>IF($D420="",0,IFERROR(SUMIFS($V$4:$V$810,$A$4:$A$810,$A420,$E$4:$E$810,"Win")/COUNTIFS($A$4:$A$810,$A420,$E$4:$E$810,"Win"),0))</f>
        <v>0</v>
      </c>
      <c r="X420">
        <f>IF($D420="",0,1/(1+10^(($W420-$V420)/400)))</f>
        <v>0</v>
      </c>
      <c r="Y420">
        <f>IF($D420="",0,IFERROR(SUMIFS($U$4:$U$810,$A$4:$A$810,$A420,$E$4:$E$810,"Win")/COUNTIFS($A$4:$A$810,$A420,$E$4:$E$810,"Win"),0))</f>
        <v>0</v>
      </c>
      <c r="Z420">
        <f>IF($D420="",0,1/(1+10^(($Y420-$U420)/400)))</f>
        <v>0</v>
      </c>
      <c r="AA420">
        <f>IF($D420="",0,IF($F420&lt;2,0,IF($E420="Win",('Guide &amp; Settings'!$C$42/(($F420-1)*COUNTIFS($A$4:$A$810,$A420,$E$4:$E$810,"Win")))*SUMIFS($Z$4:$Z$810,$A$4:$A$810,$A420,$E$4:$E$810,"Loss"),-('Guide &amp; Settings'!$C$42/($F420-1))*$Z420)))</f>
        <v>0</v>
      </c>
      <c r="AB420" s="125">
        <f>IF($D420="",0,$U420+$AA420)</f>
        <v>0</v>
      </c>
      <c r="AC420" s="125" t="str">
        <f>IF($D420="","",IF(SUMPRODUCT(MAX(($D$4:$D$810=$D420)*($B$4:$B$810&lt;$B420)*$B$4:$B$810))=0,0,MAX(($B420-MAX(SUMPRODUCT(MAX(($D$4:$D$810=$D420)*($B$4:$B$810&lt;$B420)*$B$4:$B$810)),'Guide &amp; Settings'!$C$50))/7-'Guide &amp; Settings'!$C$48,0)*'Guide &amp; Settings'!$C$49))</f>
      </c>
    </row>
    <row r="421" spans="1:29">
      <c r="A421" s="116"/>
      <c r="B421" s="117"/>
      <c r="C421" s="118"/>
      <c r="D421" s="118"/>
      <c r="E421" s="116"/>
      <c r="F421" s="119">
        <f>IF($D421="",0,COUNTIF($A$4:$A$810,$A421))</f>
        <v>0</v>
      </c>
      <c r="G421" s="120">
        <f>IF($D421="","",IFERROR(LOOKUP(2,1/(($A$4:$A$810=$A421)*($E$4:$E$810="Win")),$D$4:$D$810),"(no winner)"))</f>
        <v>0</v>
      </c>
      <c r="H421" s="121">
        <f>IF($D421="",0,IFERROR(LOOKUP(2,1/(($D$3:D420=$D421)*($A$3:A420&lt;$A421)),$N$3:N420),'Guide &amp; Settings'!$C$41))</f>
        <v>0</v>
      </c>
      <c r="I421" s="122">
        <f>IF($D421="",0,IF($S421=0,0,$R421/$S421))</f>
        <v>0</v>
      </c>
      <c r="J421" s="123">
        <f>IF($D421="",0,IF($F421&lt;2,0,IF($E421="Win",('Guide &amp; Settings'!$C$42/(($F421-1)*COUNTIFS($A$4:$A$810,$A421,$E$4:$E$810,"Win")))*SUMIFS($X$4:$X$810,$A$4:$A$810,$A421,$E$4:$E$810,"Loss"),-('Guide &amp; Settings'!$C$42/($F421-1))*$X421)))</f>
        <v>0</v>
      </c>
      <c r="K421" s="123">
        <f>IF($D421="",0,'Guide &amp; Settings'!$C$43*(IF($E421="Win",1,0)-$I421))</f>
        <v>0</v>
      </c>
      <c r="L421" s="124">
        <f>IF($D421="",0,'Guide &amp; Settings'!$C$44*IF($F421&gt;=3,$F421+IF($E421="Win",$F421,0),0))</f>
        <v>0</v>
      </c>
      <c r="M421" s="123">
        <f>IF($D421="",0,$J421+$K421+$L421)</f>
        <v>0</v>
      </c>
      <c r="N421" s="121">
        <f>IF($D421="",0,$H421+$M421)</f>
        <v>0</v>
      </c>
      <c r="O421" s="120" t="str">
        <f>IF($D421="","",IF(COUNTIFS($A$4:$A$810,$A421,$E$4:$E$810,"Win")=0,"need a winner",IF(COUNTIFS($A$4:$A$810,$A421,$E$4:$E$810,"Loss")=0,"need a loser",IF(COUNTIFS($A$4:$A$810,$A421,$D$4:$D$810,$D421)&gt;1,"duplicate player","OK"))))</f>
      </c>
      <c r="P421">
        <f>IF($D421="",0,IFERROR(SUMIFS($H$4:$H$810,$A$4:$A$810,$A421,$E$4:$E$810,"Win")/COUNTIFS($A$4:$A$810,$A421,$E$4:$E$810,"Win"),0))</f>
        <v>0</v>
      </c>
      <c r="Q421">
        <f>IF($D421="",0,1/(1+10^(($P421-$H421)/400)))</f>
        <v>0</v>
      </c>
      <c r="R421">
        <f>IF($D421="",0,(COUNTIFS($D$4:$D$810,$D421,$C$4:$C$810,$C421,$E$4:$E$810,"Win",$A$4:$A$810,"&lt;"&amp;$A421)+1)/(COUNTIFS($D$4:$D$810,$D421,$C$4:$C$810,$C421,$A$4:$A$810,"&lt;"&amp;$A421)+2))</f>
        <v>0</v>
      </c>
      <c r="S421">
        <f>IF($D421="",0,SUMIFS($R$4:$R$810,$A$4:$A$810,$A421))</f>
        <v>0</v>
      </c>
      <c r="T421" s="88">
        <f>IF($D421="",0,COUNTIFS($D$4:$D$810,$D421,$C$4:$C$810,$C421,$A$4:$A$810,"&lt;"&amp;$A421))</f>
        <v>0</v>
      </c>
      <c r="U421" s="125">
        <f>IF($D421="",0,IFERROR(LOOKUP(2,1/(($D$3:D420=$D421)*($C$3:C420=$C421)*($A$3:A420&lt;$A421)),$AB$3:AB420),1000))</f>
        <v>0</v>
      </c>
      <c r="V421" s="125">
        <f>IF($D421="",0,$U421*($T421/($T421+5))+$H421*(1-$T421/($T421+5)))</f>
        <v>0</v>
      </c>
      <c r="W421">
        <f>IF($D421="",0,IFERROR(SUMIFS($V$4:$V$810,$A$4:$A$810,$A421,$E$4:$E$810,"Win")/COUNTIFS($A$4:$A$810,$A421,$E$4:$E$810,"Win"),0))</f>
        <v>0</v>
      </c>
      <c r="X421">
        <f>IF($D421="",0,1/(1+10^(($W421-$V421)/400)))</f>
        <v>0</v>
      </c>
      <c r="Y421">
        <f>IF($D421="",0,IFERROR(SUMIFS($U$4:$U$810,$A$4:$A$810,$A421,$E$4:$E$810,"Win")/COUNTIFS($A$4:$A$810,$A421,$E$4:$E$810,"Win"),0))</f>
        <v>0</v>
      </c>
      <c r="Z421">
        <f>IF($D421="",0,1/(1+10^(($Y421-$U421)/400)))</f>
        <v>0</v>
      </c>
      <c r="AA421">
        <f>IF($D421="",0,IF($F421&lt;2,0,IF($E421="Win",('Guide &amp; Settings'!$C$42/(($F421-1)*COUNTIFS($A$4:$A$810,$A421,$E$4:$E$810,"Win")))*SUMIFS($Z$4:$Z$810,$A$4:$A$810,$A421,$E$4:$E$810,"Loss"),-('Guide &amp; Settings'!$C$42/($F421-1))*$Z421)))</f>
        <v>0</v>
      </c>
      <c r="AB421" s="125">
        <f>IF($D421="",0,$U421+$AA421)</f>
        <v>0</v>
      </c>
      <c r="AC421" s="125" t="str">
        <f>IF($D421="","",IF(SUMPRODUCT(MAX(($D$4:$D$810=$D421)*($B$4:$B$810&lt;$B421)*$B$4:$B$810))=0,0,MAX(($B421-MAX(SUMPRODUCT(MAX(($D$4:$D$810=$D421)*($B$4:$B$810&lt;$B421)*$B$4:$B$810)),'Guide &amp; Settings'!$C$50))/7-'Guide &amp; Settings'!$C$48,0)*'Guide &amp; Settings'!$C$49))</f>
      </c>
    </row>
    <row r="422" spans="1:29">
      <c r="A422" s="116"/>
      <c r="B422" s="117"/>
      <c r="C422" s="118"/>
      <c r="D422" s="118"/>
      <c r="E422" s="116"/>
      <c r="F422" s="119">
        <f>IF($D422="",0,COUNTIF($A$4:$A$810,$A422))</f>
        <v>0</v>
      </c>
      <c r="G422" s="120">
        <f>IF($D422="","",IFERROR(LOOKUP(2,1/(($A$4:$A$810=$A422)*($E$4:$E$810="Win")),$D$4:$D$810),"(no winner)"))</f>
        <v>0</v>
      </c>
      <c r="H422" s="121">
        <f>IF($D422="",0,IFERROR(LOOKUP(2,1/(($D$3:D421=$D422)*($A$3:A421&lt;$A422)),$N$3:N421),'Guide &amp; Settings'!$C$41))</f>
        <v>0</v>
      </c>
      <c r="I422" s="122">
        <f>IF($D422="",0,IF($S422=0,0,$R422/$S422))</f>
        <v>0</v>
      </c>
      <c r="J422" s="123">
        <f>IF($D422="",0,IF($F422&lt;2,0,IF($E422="Win",('Guide &amp; Settings'!$C$42/(($F422-1)*COUNTIFS($A$4:$A$810,$A422,$E$4:$E$810,"Win")))*SUMIFS($X$4:$X$810,$A$4:$A$810,$A422,$E$4:$E$810,"Loss"),-('Guide &amp; Settings'!$C$42/($F422-1))*$X422)))</f>
        <v>0</v>
      </c>
      <c r="K422" s="123">
        <f>IF($D422="",0,'Guide &amp; Settings'!$C$43*(IF($E422="Win",1,0)-$I422))</f>
        <v>0</v>
      </c>
      <c r="L422" s="124">
        <f>IF($D422="",0,'Guide &amp; Settings'!$C$44*IF($F422&gt;=3,$F422+IF($E422="Win",$F422,0),0))</f>
        <v>0</v>
      </c>
      <c r="M422" s="123">
        <f>IF($D422="",0,$J422+$K422+$L422)</f>
        <v>0</v>
      </c>
      <c r="N422" s="121">
        <f>IF($D422="",0,$H422+$M422)</f>
        <v>0</v>
      </c>
      <c r="O422" s="120" t="str">
        <f>IF($D422="","",IF(COUNTIFS($A$4:$A$810,$A422,$E$4:$E$810,"Win")=0,"need a winner",IF(COUNTIFS($A$4:$A$810,$A422,$E$4:$E$810,"Loss")=0,"need a loser",IF(COUNTIFS($A$4:$A$810,$A422,$D$4:$D$810,$D422)&gt;1,"duplicate player","OK"))))</f>
      </c>
      <c r="P422">
        <f>IF($D422="",0,IFERROR(SUMIFS($H$4:$H$810,$A$4:$A$810,$A422,$E$4:$E$810,"Win")/COUNTIFS($A$4:$A$810,$A422,$E$4:$E$810,"Win"),0))</f>
        <v>0</v>
      </c>
      <c r="Q422">
        <f>IF($D422="",0,1/(1+10^(($P422-$H422)/400)))</f>
        <v>0</v>
      </c>
      <c r="R422">
        <f>IF($D422="",0,(COUNTIFS($D$4:$D$810,$D422,$C$4:$C$810,$C422,$E$4:$E$810,"Win",$A$4:$A$810,"&lt;"&amp;$A422)+1)/(COUNTIFS($D$4:$D$810,$D422,$C$4:$C$810,$C422,$A$4:$A$810,"&lt;"&amp;$A422)+2))</f>
        <v>0</v>
      </c>
      <c r="S422">
        <f>IF($D422="",0,SUMIFS($R$4:$R$810,$A$4:$A$810,$A422))</f>
        <v>0</v>
      </c>
      <c r="T422" s="88">
        <f>IF($D422="",0,COUNTIFS($D$4:$D$810,$D422,$C$4:$C$810,$C422,$A$4:$A$810,"&lt;"&amp;$A422))</f>
        <v>0</v>
      </c>
      <c r="U422" s="125">
        <f>IF($D422="",0,IFERROR(LOOKUP(2,1/(($D$3:D421=$D422)*($C$3:C421=$C422)*($A$3:A421&lt;$A422)),$AB$3:AB421),1000))</f>
        <v>0</v>
      </c>
      <c r="V422" s="125">
        <f>IF($D422="",0,$U422*($T422/($T422+5))+$H422*(1-$T422/($T422+5)))</f>
        <v>0</v>
      </c>
      <c r="W422">
        <f>IF($D422="",0,IFERROR(SUMIFS($V$4:$V$810,$A$4:$A$810,$A422,$E$4:$E$810,"Win")/COUNTIFS($A$4:$A$810,$A422,$E$4:$E$810,"Win"),0))</f>
        <v>0</v>
      </c>
      <c r="X422">
        <f>IF($D422="",0,1/(1+10^(($W422-$V422)/400)))</f>
        <v>0</v>
      </c>
      <c r="Y422">
        <f>IF($D422="",0,IFERROR(SUMIFS($U$4:$U$810,$A$4:$A$810,$A422,$E$4:$E$810,"Win")/COUNTIFS($A$4:$A$810,$A422,$E$4:$E$810,"Win"),0))</f>
        <v>0</v>
      </c>
      <c r="Z422">
        <f>IF($D422="",0,1/(1+10^(($Y422-$U422)/400)))</f>
        <v>0</v>
      </c>
      <c r="AA422">
        <f>IF($D422="",0,IF($F422&lt;2,0,IF($E422="Win",('Guide &amp; Settings'!$C$42/(($F422-1)*COUNTIFS($A$4:$A$810,$A422,$E$4:$E$810,"Win")))*SUMIFS($Z$4:$Z$810,$A$4:$A$810,$A422,$E$4:$E$810,"Loss"),-('Guide &amp; Settings'!$C$42/($F422-1))*$Z422)))</f>
        <v>0</v>
      </c>
      <c r="AB422" s="125">
        <f>IF($D422="",0,$U422+$AA422)</f>
        <v>0</v>
      </c>
      <c r="AC422" s="125" t="str">
        <f>IF($D422="","",IF(SUMPRODUCT(MAX(($D$4:$D$810=$D422)*($B$4:$B$810&lt;$B422)*$B$4:$B$810))=0,0,MAX(($B422-MAX(SUMPRODUCT(MAX(($D$4:$D$810=$D422)*($B$4:$B$810&lt;$B422)*$B$4:$B$810)),'Guide &amp; Settings'!$C$50))/7-'Guide &amp; Settings'!$C$48,0)*'Guide &amp; Settings'!$C$49))</f>
      </c>
    </row>
    <row r="423" spans="1:29">
      <c r="A423" s="116"/>
      <c r="B423" s="117"/>
      <c r="C423" s="118"/>
      <c r="D423" s="118"/>
      <c r="E423" s="116"/>
      <c r="F423" s="119">
        <f>IF($D423="",0,COUNTIF($A$4:$A$810,$A423))</f>
        <v>0</v>
      </c>
      <c r="G423" s="120">
        <f>IF($D423="","",IFERROR(LOOKUP(2,1/(($A$4:$A$810=$A423)*($E$4:$E$810="Win")),$D$4:$D$810),"(no winner)"))</f>
        <v>0</v>
      </c>
      <c r="H423" s="121">
        <f>IF($D423="",0,IFERROR(LOOKUP(2,1/(($D$3:D422=$D423)*($A$3:A422&lt;$A423)),$N$3:N422),'Guide &amp; Settings'!$C$41))</f>
        <v>0</v>
      </c>
      <c r="I423" s="122">
        <f>IF($D423="",0,IF($S423=0,0,$R423/$S423))</f>
        <v>0</v>
      </c>
      <c r="J423" s="123">
        <f>IF($D423="",0,IF($F423&lt;2,0,IF($E423="Win",('Guide &amp; Settings'!$C$42/(($F423-1)*COUNTIFS($A$4:$A$810,$A423,$E$4:$E$810,"Win")))*SUMIFS($X$4:$X$810,$A$4:$A$810,$A423,$E$4:$E$810,"Loss"),-('Guide &amp; Settings'!$C$42/($F423-1))*$X423)))</f>
        <v>0</v>
      </c>
      <c r="K423" s="123">
        <f>IF($D423="",0,'Guide &amp; Settings'!$C$43*(IF($E423="Win",1,0)-$I423))</f>
        <v>0</v>
      </c>
      <c r="L423" s="124">
        <f>IF($D423="",0,'Guide &amp; Settings'!$C$44*IF($F423&gt;=3,$F423+IF($E423="Win",$F423,0),0))</f>
        <v>0</v>
      </c>
      <c r="M423" s="123">
        <f>IF($D423="",0,$J423+$K423+$L423)</f>
        <v>0</v>
      </c>
      <c r="N423" s="121">
        <f>IF($D423="",0,$H423+$M423)</f>
        <v>0</v>
      </c>
      <c r="O423" s="120" t="str">
        <f>IF($D423="","",IF(COUNTIFS($A$4:$A$810,$A423,$E$4:$E$810,"Win")=0,"need a winner",IF(COUNTIFS($A$4:$A$810,$A423,$E$4:$E$810,"Loss")=0,"need a loser",IF(COUNTIFS($A$4:$A$810,$A423,$D$4:$D$810,$D423)&gt;1,"duplicate player","OK"))))</f>
      </c>
      <c r="P423">
        <f>IF($D423="",0,IFERROR(SUMIFS($H$4:$H$810,$A$4:$A$810,$A423,$E$4:$E$810,"Win")/COUNTIFS($A$4:$A$810,$A423,$E$4:$E$810,"Win"),0))</f>
        <v>0</v>
      </c>
      <c r="Q423">
        <f>IF($D423="",0,1/(1+10^(($P423-$H423)/400)))</f>
        <v>0</v>
      </c>
      <c r="R423">
        <f>IF($D423="",0,(COUNTIFS($D$4:$D$810,$D423,$C$4:$C$810,$C423,$E$4:$E$810,"Win",$A$4:$A$810,"&lt;"&amp;$A423)+1)/(COUNTIFS($D$4:$D$810,$D423,$C$4:$C$810,$C423,$A$4:$A$810,"&lt;"&amp;$A423)+2))</f>
        <v>0</v>
      </c>
      <c r="S423">
        <f>IF($D423="",0,SUMIFS($R$4:$R$810,$A$4:$A$810,$A423))</f>
        <v>0</v>
      </c>
      <c r="T423" s="88">
        <f>IF($D423="",0,COUNTIFS($D$4:$D$810,$D423,$C$4:$C$810,$C423,$A$4:$A$810,"&lt;"&amp;$A423))</f>
        <v>0</v>
      </c>
      <c r="U423" s="125">
        <f>IF($D423="",0,IFERROR(LOOKUP(2,1/(($D$3:D422=$D423)*($C$3:C422=$C423)*($A$3:A422&lt;$A423)),$AB$3:AB422),1000))</f>
        <v>0</v>
      </c>
      <c r="V423" s="125">
        <f>IF($D423="",0,$U423*($T423/($T423+5))+$H423*(1-$T423/($T423+5)))</f>
        <v>0</v>
      </c>
      <c r="W423">
        <f>IF($D423="",0,IFERROR(SUMIFS($V$4:$V$810,$A$4:$A$810,$A423,$E$4:$E$810,"Win")/COUNTIFS($A$4:$A$810,$A423,$E$4:$E$810,"Win"),0))</f>
        <v>0</v>
      </c>
      <c r="X423">
        <f>IF($D423="",0,1/(1+10^(($W423-$V423)/400)))</f>
        <v>0</v>
      </c>
      <c r="Y423">
        <f>IF($D423="",0,IFERROR(SUMIFS($U$4:$U$810,$A$4:$A$810,$A423,$E$4:$E$810,"Win")/COUNTIFS($A$4:$A$810,$A423,$E$4:$E$810,"Win"),0))</f>
        <v>0</v>
      </c>
      <c r="Z423">
        <f>IF($D423="",0,1/(1+10^(($Y423-$U423)/400)))</f>
        <v>0</v>
      </c>
      <c r="AA423">
        <f>IF($D423="",0,IF($F423&lt;2,0,IF($E423="Win",('Guide &amp; Settings'!$C$42/(($F423-1)*COUNTIFS($A$4:$A$810,$A423,$E$4:$E$810,"Win")))*SUMIFS($Z$4:$Z$810,$A$4:$A$810,$A423,$E$4:$E$810,"Loss"),-('Guide &amp; Settings'!$C$42/($F423-1))*$Z423)))</f>
        <v>0</v>
      </c>
      <c r="AB423" s="125">
        <f>IF($D423="",0,$U423+$AA423)</f>
        <v>0</v>
      </c>
      <c r="AC423" s="125" t="str">
        <f>IF($D423="","",IF(SUMPRODUCT(MAX(($D$4:$D$810=$D423)*($B$4:$B$810&lt;$B423)*$B$4:$B$810))=0,0,MAX(($B423-MAX(SUMPRODUCT(MAX(($D$4:$D$810=$D423)*($B$4:$B$810&lt;$B423)*$B$4:$B$810)),'Guide &amp; Settings'!$C$50))/7-'Guide &amp; Settings'!$C$48,0)*'Guide &amp; Settings'!$C$49))</f>
      </c>
    </row>
    <row r="424" spans="1:29">
      <c r="A424" s="116"/>
      <c r="B424" s="117"/>
      <c r="C424" s="118"/>
      <c r="D424" s="118"/>
      <c r="E424" s="116"/>
      <c r="F424" s="119">
        <f>IF($D424="",0,COUNTIF($A$4:$A$810,$A424))</f>
        <v>0</v>
      </c>
      <c r="G424" s="120">
        <f>IF($D424="","",IFERROR(LOOKUP(2,1/(($A$4:$A$810=$A424)*($E$4:$E$810="Win")),$D$4:$D$810),"(no winner)"))</f>
        <v>0</v>
      </c>
      <c r="H424" s="121">
        <f>IF($D424="",0,IFERROR(LOOKUP(2,1/(($D$3:D423=$D424)*($A$3:A423&lt;$A424)),$N$3:N423),'Guide &amp; Settings'!$C$41))</f>
        <v>0</v>
      </c>
      <c r="I424" s="122">
        <f>IF($D424="",0,IF($S424=0,0,$R424/$S424))</f>
        <v>0</v>
      </c>
      <c r="J424" s="123">
        <f>IF($D424="",0,IF($F424&lt;2,0,IF($E424="Win",('Guide &amp; Settings'!$C$42/(($F424-1)*COUNTIFS($A$4:$A$810,$A424,$E$4:$E$810,"Win")))*SUMIFS($X$4:$X$810,$A$4:$A$810,$A424,$E$4:$E$810,"Loss"),-('Guide &amp; Settings'!$C$42/($F424-1))*$X424)))</f>
        <v>0</v>
      </c>
      <c r="K424" s="123">
        <f>IF($D424="",0,'Guide &amp; Settings'!$C$43*(IF($E424="Win",1,0)-$I424))</f>
        <v>0</v>
      </c>
      <c r="L424" s="124">
        <f>IF($D424="",0,'Guide &amp; Settings'!$C$44*IF($F424&gt;=3,$F424+IF($E424="Win",$F424,0),0))</f>
        <v>0</v>
      </c>
      <c r="M424" s="123">
        <f>IF($D424="",0,$J424+$K424+$L424)</f>
        <v>0</v>
      </c>
      <c r="N424" s="121">
        <f>IF($D424="",0,$H424+$M424)</f>
        <v>0</v>
      </c>
      <c r="O424" s="120" t="str">
        <f>IF($D424="","",IF(COUNTIFS($A$4:$A$810,$A424,$E$4:$E$810,"Win")=0,"need a winner",IF(COUNTIFS($A$4:$A$810,$A424,$E$4:$E$810,"Loss")=0,"need a loser",IF(COUNTIFS($A$4:$A$810,$A424,$D$4:$D$810,$D424)&gt;1,"duplicate player","OK"))))</f>
      </c>
      <c r="P424">
        <f>IF($D424="",0,IFERROR(SUMIFS($H$4:$H$810,$A$4:$A$810,$A424,$E$4:$E$810,"Win")/COUNTIFS($A$4:$A$810,$A424,$E$4:$E$810,"Win"),0))</f>
        <v>0</v>
      </c>
      <c r="Q424">
        <f>IF($D424="",0,1/(1+10^(($P424-$H424)/400)))</f>
        <v>0</v>
      </c>
      <c r="R424">
        <f>IF($D424="",0,(COUNTIFS($D$4:$D$810,$D424,$C$4:$C$810,$C424,$E$4:$E$810,"Win",$A$4:$A$810,"&lt;"&amp;$A424)+1)/(COUNTIFS($D$4:$D$810,$D424,$C$4:$C$810,$C424,$A$4:$A$810,"&lt;"&amp;$A424)+2))</f>
        <v>0</v>
      </c>
      <c r="S424">
        <f>IF($D424="",0,SUMIFS($R$4:$R$810,$A$4:$A$810,$A424))</f>
        <v>0</v>
      </c>
      <c r="T424" s="88">
        <f>IF($D424="",0,COUNTIFS($D$4:$D$810,$D424,$C$4:$C$810,$C424,$A$4:$A$810,"&lt;"&amp;$A424))</f>
        <v>0</v>
      </c>
      <c r="U424" s="125">
        <f>IF($D424="",0,IFERROR(LOOKUP(2,1/(($D$3:D423=$D424)*($C$3:C423=$C424)*($A$3:A423&lt;$A424)),$AB$3:AB423),1000))</f>
        <v>0</v>
      </c>
      <c r="V424" s="125">
        <f>IF($D424="",0,$U424*($T424/($T424+5))+$H424*(1-$T424/($T424+5)))</f>
        <v>0</v>
      </c>
      <c r="W424">
        <f>IF($D424="",0,IFERROR(SUMIFS($V$4:$V$810,$A$4:$A$810,$A424,$E$4:$E$810,"Win")/COUNTIFS($A$4:$A$810,$A424,$E$4:$E$810,"Win"),0))</f>
        <v>0</v>
      </c>
      <c r="X424">
        <f>IF($D424="",0,1/(1+10^(($W424-$V424)/400)))</f>
        <v>0</v>
      </c>
      <c r="Y424">
        <f>IF($D424="",0,IFERROR(SUMIFS($U$4:$U$810,$A$4:$A$810,$A424,$E$4:$E$810,"Win")/COUNTIFS($A$4:$A$810,$A424,$E$4:$E$810,"Win"),0))</f>
        <v>0</v>
      </c>
      <c r="Z424">
        <f>IF($D424="",0,1/(1+10^(($Y424-$U424)/400)))</f>
        <v>0</v>
      </c>
      <c r="AA424">
        <f>IF($D424="",0,IF($F424&lt;2,0,IF($E424="Win",('Guide &amp; Settings'!$C$42/(($F424-1)*COUNTIFS($A$4:$A$810,$A424,$E$4:$E$810,"Win")))*SUMIFS($Z$4:$Z$810,$A$4:$A$810,$A424,$E$4:$E$810,"Loss"),-('Guide &amp; Settings'!$C$42/($F424-1))*$Z424)))</f>
        <v>0</v>
      </c>
      <c r="AB424" s="125">
        <f>IF($D424="",0,$U424+$AA424)</f>
        <v>0</v>
      </c>
      <c r="AC424" s="125" t="str">
        <f>IF($D424="","",IF(SUMPRODUCT(MAX(($D$4:$D$810=$D424)*($B$4:$B$810&lt;$B424)*$B$4:$B$810))=0,0,MAX(($B424-MAX(SUMPRODUCT(MAX(($D$4:$D$810=$D424)*($B$4:$B$810&lt;$B424)*$B$4:$B$810)),'Guide &amp; Settings'!$C$50))/7-'Guide &amp; Settings'!$C$48,0)*'Guide &amp; Settings'!$C$49))</f>
      </c>
    </row>
    <row r="425" spans="1:29">
      <c r="A425" s="116"/>
      <c r="B425" s="117"/>
      <c r="C425" s="118"/>
      <c r="D425" s="118"/>
      <c r="E425" s="116"/>
      <c r="F425" s="119">
        <f>IF($D425="",0,COUNTIF($A$4:$A$810,$A425))</f>
        <v>0</v>
      </c>
      <c r="G425" s="120">
        <f>IF($D425="","",IFERROR(LOOKUP(2,1/(($A$4:$A$810=$A425)*($E$4:$E$810="Win")),$D$4:$D$810),"(no winner)"))</f>
        <v>0</v>
      </c>
      <c r="H425" s="121">
        <f>IF($D425="",0,IFERROR(LOOKUP(2,1/(($D$3:D424=$D425)*($A$3:A424&lt;$A425)),$N$3:N424),'Guide &amp; Settings'!$C$41))</f>
        <v>0</v>
      </c>
      <c r="I425" s="122">
        <f>IF($D425="",0,IF($S425=0,0,$R425/$S425))</f>
        <v>0</v>
      </c>
      <c r="J425" s="123">
        <f>IF($D425="",0,IF($F425&lt;2,0,IF($E425="Win",('Guide &amp; Settings'!$C$42/(($F425-1)*COUNTIFS($A$4:$A$810,$A425,$E$4:$E$810,"Win")))*SUMIFS($X$4:$X$810,$A$4:$A$810,$A425,$E$4:$E$810,"Loss"),-('Guide &amp; Settings'!$C$42/($F425-1))*$X425)))</f>
        <v>0</v>
      </c>
      <c r="K425" s="123">
        <f>IF($D425="",0,'Guide &amp; Settings'!$C$43*(IF($E425="Win",1,0)-$I425))</f>
        <v>0</v>
      </c>
      <c r="L425" s="124">
        <f>IF($D425="",0,'Guide &amp; Settings'!$C$44*IF($F425&gt;=3,$F425+IF($E425="Win",$F425,0),0))</f>
        <v>0</v>
      </c>
      <c r="M425" s="123">
        <f>IF($D425="",0,$J425+$K425+$L425)</f>
        <v>0</v>
      </c>
      <c r="N425" s="121">
        <f>IF($D425="",0,$H425+$M425)</f>
        <v>0</v>
      </c>
      <c r="O425" s="120" t="str">
        <f>IF($D425="","",IF(COUNTIFS($A$4:$A$810,$A425,$E$4:$E$810,"Win")=0,"need a winner",IF(COUNTIFS($A$4:$A$810,$A425,$E$4:$E$810,"Loss")=0,"need a loser",IF(COUNTIFS($A$4:$A$810,$A425,$D$4:$D$810,$D425)&gt;1,"duplicate player","OK"))))</f>
      </c>
      <c r="P425">
        <f>IF($D425="",0,IFERROR(SUMIFS($H$4:$H$810,$A$4:$A$810,$A425,$E$4:$E$810,"Win")/COUNTIFS($A$4:$A$810,$A425,$E$4:$E$810,"Win"),0))</f>
        <v>0</v>
      </c>
      <c r="Q425">
        <f>IF($D425="",0,1/(1+10^(($P425-$H425)/400)))</f>
        <v>0</v>
      </c>
      <c r="R425">
        <f>IF($D425="",0,(COUNTIFS($D$4:$D$810,$D425,$C$4:$C$810,$C425,$E$4:$E$810,"Win",$A$4:$A$810,"&lt;"&amp;$A425)+1)/(COUNTIFS($D$4:$D$810,$D425,$C$4:$C$810,$C425,$A$4:$A$810,"&lt;"&amp;$A425)+2))</f>
        <v>0</v>
      </c>
      <c r="S425">
        <f>IF($D425="",0,SUMIFS($R$4:$R$810,$A$4:$A$810,$A425))</f>
        <v>0</v>
      </c>
      <c r="T425" s="88">
        <f>IF($D425="",0,COUNTIFS($D$4:$D$810,$D425,$C$4:$C$810,$C425,$A$4:$A$810,"&lt;"&amp;$A425))</f>
        <v>0</v>
      </c>
      <c r="U425" s="125">
        <f>IF($D425="",0,IFERROR(LOOKUP(2,1/(($D$3:D424=$D425)*($C$3:C424=$C425)*($A$3:A424&lt;$A425)),$AB$3:AB424),1000))</f>
        <v>0</v>
      </c>
      <c r="V425" s="125">
        <f>IF($D425="",0,$U425*($T425/($T425+5))+$H425*(1-$T425/($T425+5)))</f>
        <v>0</v>
      </c>
      <c r="W425">
        <f>IF($D425="",0,IFERROR(SUMIFS($V$4:$V$810,$A$4:$A$810,$A425,$E$4:$E$810,"Win")/COUNTIFS($A$4:$A$810,$A425,$E$4:$E$810,"Win"),0))</f>
        <v>0</v>
      </c>
      <c r="X425">
        <f>IF($D425="",0,1/(1+10^(($W425-$V425)/400)))</f>
        <v>0</v>
      </c>
      <c r="Y425">
        <f>IF($D425="",0,IFERROR(SUMIFS($U$4:$U$810,$A$4:$A$810,$A425,$E$4:$E$810,"Win")/COUNTIFS($A$4:$A$810,$A425,$E$4:$E$810,"Win"),0))</f>
        <v>0</v>
      </c>
      <c r="Z425">
        <f>IF($D425="",0,1/(1+10^(($Y425-$U425)/400)))</f>
        <v>0</v>
      </c>
      <c r="AA425">
        <f>IF($D425="",0,IF($F425&lt;2,0,IF($E425="Win",('Guide &amp; Settings'!$C$42/(($F425-1)*COUNTIFS($A$4:$A$810,$A425,$E$4:$E$810,"Win")))*SUMIFS($Z$4:$Z$810,$A$4:$A$810,$A425,$E$4:$E$810,"Loss"),-('Guide &amp; Settings'!$C$42/($F425-1))*$Z425)))</f>
        <v>0</v>
      </c>
      <c r="AB425" s="125">
        <f>IF($D425="",0,$U425+$AA425)</f>
        <v>0</v>
      </c>
      <c r="AC425" s="125" t="str">
        <f>IF($D425="","",IF(SUMPRODUCT(MAX(($D$4:$D$810=$D425)*($B$4:$B$810&lt;$B425)*$B$4:$B$810))=0,0,MAX(($B425-MAX(SUMPRODUCT(MAX(($D$4:$D$810=$D425)*($B$4:$B$810&lt;$B425)*$B$4:$B$810)),'Guide &amp; Settings'!$C$50))/7-'Guide &amp; Settings'!$C$48,0)*'Guide &amp; Settings'!$C$49))</f>
      </c>
    </row>
    <row r="426" spans="1:29">
      <c r="A426" s="116"/>
      <c r="B426" s="117"/>
      <c r="C426" s="118"/>
      <c r="D426" s="118"/>
      <c r="E426" s="116"/>
      <c r="F426" s="119">
        <f>IF($D426="",0,COUNTIF($A$4:$A$810,$A426))</f>
        <v>0</v>
      </c>
      <c r="G426" s="120">
        <f>IF($D426="","",IFERROR(LOOKUP(2,1/(($A$4:$A$810=$A426)*($E$4:$E$810="Win")),$D$4:$D$810),"(no winner)"))</f>
        <v>0</v>
      </c>
      <c r="H426" s="121">
        <f>IF($D426="",0,IFERROR(LOOKUP(2,1/(($D$3:D425=$D426)*($A$3:A425&lt;$A426)),$N$3:N425),'Guide &amp; Settings'!$C$41))</f>
        <v>0</v>
      </c>
      <c r="I426" s="122">
        <f>IF($D426="",0,IF($S426=0,0,$R426/$S426))</f>
        <v>0</v>
      </c>
      <c r="J426" s="123">
        <f>IF($D426="",0,IF($F426&lt;2,0,IF($E426="Win",('Guide &amp; Settings'!$C$42/(($F426-1)*COUNTIFS($A$4:$A$810,$A426,$E$4:$E$810,"Win")))*SUMIFS($X$4:$X$810,$A$4:$A$810,$A426,$E$4:$E$810,"Loss"),-('Guide &amp; Settings'!$C$42/($F426-1))*$X426)))</f>
        <v>0</v>
      </c>
      <c r="K426" s="123">
        <f>IF($D426="",0,'Guide &amp; Settings'!$C$43*(IF($E426="Win",1,0)-$I426))</f>
        <v>0</v>
      </c>
      <c r="L426" s="124">
        <f>IF($D426="",0,'Guide &amp; Settings'!$C$44*IF($F426&gt;=3,$F426+IF($E426="Win",$F426,0),0))</f>
        <v>0</v>
      </c>
      <c r="M426" s="123">
        <f>IF($D426="",0,$J426+$K426+$L426)</f>
        <v>0</v>
      </c>
      <c r="N426" s="121">
        <f>IF($D426="",0,$H426+$M426)</f>
        <v>0</v>
      </c>
      <c r="O426" s="120" t="str">
        <f>IF($D426="","",IF(COUNTIFS($A$4:$A$810,$A426,$E$4:$E$810,"Win")=0,"need a winner",IF(COUNTIFS($A$4:$A$810,$A426,$E$4:$E$810,"Loss")=0,"need a loser",IF(COUNTIFS($A$4:$A$810,$A426,$D$4:$D$810,$D426)&gt;1,"duplicate player","OK"))))</f>
      </c>
      <c r="P426">
        <f>IF($D426="",0,IFERROR(SUMIFS($H$4:$H$810,$A$4:$A$810,$A426,$E$4:$E$810,"Win")/COUNTIFS($A$4:$A$810,$A426,$E$4:$E$810,"Win"),0))</f>
        <v>0</v>
      </c>
      <c r="Q426">
        <f>IF($D426="",0,1/(1+10^(($P426-$H426)/400)))</f>
        <v>0</v>
      </c>
      <c r="R426">
        <f>IF($D426="",0,(COUNTIFS($D$4:$D$810,$D426,$C$4:$C$810,$C426,$E$4:$E$810,"Win",$A$4:$A$810,"&lt;"&amp;$A426)+1)/(COUNTIFS($D$4:$D$810,$D426,$C$4:$C$810,$C426,$A$4:$A$810,"&lt;"&amp;$A426)+2))</f>
        <v>0</v>
      </c>
      <c r="S426">
        <f>IF($D426="",0,SUMIFS($R$4:$R$810,$A$4:$A$810,$A426))</f>
        <v>0</v>
      </c>
      <c r="T426" s="88">
        <f>IF($D426="",0,COUNTIFS($D$4:$D$810,$D426,$C$4:$C$810,$C426,$A$4:$A$810,"&lt;"&amp;$A426))</f>
        <v>0</v>
      </c>
      <c r="U426" s="125">
        <f>IF($D426="",0,IFERROR(LOOKUP(2,1/(($D$3:D425=$D426)*($C$3:C425=$C426)*($A$3:A425&lt;$A426)),$AB$3:AB425),1000))</f>
        <v>0</v>
      </c>
      <c r="V426" s="125">
        <f>IF($D426="",0,$U426*($T426/($T426+5))+$H426*(1-$T426/($T426+5)))</f>
        <v>0</v>
      </c>
      <c r="W426">
        <f>IF($D426="",0,IFERROR(SUMIFS($V$4:$V$810,$A$4:$A$810,$A426,$E$4:$E$810,"Win")/COUNTIFS($A$4:$A$810,$A426,$E$4:$E$810,"Win"),0))</f>
        <v>0</v>
      </c>
      <c r="X426">
        <f>IF($D426="",0,1/(1+10^(($W426-$V426)/400)))</f>
        <v>0</v>
      </c>
      <c r="Y426">
        <f>IF($D426="",0,IFERROR(SUMIFS($U$4:$U$810,$A$4:$A$810,$A426,$E$4:$E$810,"Win")/COUNTIFS($A$4:$A$810,$A426,$E$4:$E$810,"Win"),0))</f>
        <v>0</v>
      </c>
      <c r="Z426">
        <f>IF($D426="",0,1/(1+10^(($Y426-$U426)/400)))</f>
        <v>0</v>
      </c>
      <c r="AA426">
        <f>IF($D426="",0,IF($F426&lt;2,0,IF($E426="Win",('Guide &amp; Settings'!$C$42/(($F426-1)*COUNTIFS($A$4:$A$810,$A426,$E$4:$E$810,"Win")))*SUMIFS($Z$4:$Z$810,$A$4:$A$810,$A426,$E$4:$E$810,"Loss"),-('Guide &amp; Settings'!$C$42/($F426-1))*$Z426)))</f>
        <v>0</v>
      </c>
      <c r="AB426" s="125">
        <f>IF($D426="",0,$U426+$AA426)</f>
        <v>0</v>
      </c>
      <c r="AC426" s="125" t="str">
        <f>IF($D426="","",IF(SUMPRODUCT(MAX(($D$4:$D$810=$D426)*($B$4:$B$810&lt;$B426)*$B$4:$B$810))=0,0,MAX(($B426-MAX(SUMPRODUCT(MAX(($D$4:$D$810=$D426)*($B$4:$B$810&lt;$B426)*$B$4:$B$810)),'Guide &amp; Settings'!$C$50))/7-'Guide &amp; Settings'!$C$48,0)*'Guide &amp; Settings'!$C$49))</f>
      </c>
    </row>
    <row r="427" spans="1:29">
      <c r="A427" s="116"/>
      <c r="B427" s="117"/>
      <c r="C427" s="118"/>
      <c r="D427" s="118"/>
      <c r="E427" s="116"/>
      <c r="F427" s="119">
        <f>IF($D427="",0,COUNTIF($A$4:$A$810,$A427))</f>
        <v>0</v>
      </c>
      <c r="G427" s="120">
        <f>IF($D427="","",IFERROR(LOOKUP(2,1/(($A$4:$A$810=$A427)*($E$4:$E$810="Win")),$D$4:$D$810),"(no winner)"))</f>
        <v>0</v>
      </c>
      <c r="H427" s="121">
        <f>IF($D427="",0,IFERROR(LOOKUP(2,1/(($D$3:D426=$D427)*($A$3:A426&lt;$A427)),$N$3:N426),'Guide &amp; Settings'!$C$41))</f>
        <v>0</v>
      </c>
      <c r="I427" s="122">
        <f>IF($D427="",0,IF($S427=0,0,$R427/$S427))</f>
        <v>0</v>
      </c>
      <c r="J427" s="123">
        <f>IF($D427="",0,IF($F427&lt;2,0,IF($E427="Win",('Guide &amp; Settings'!$C$42/(($F427-1)*COUNTIFS($A$4:$A$810,$A427,$E$4:$E$810,"Win")))*SUMIFS($X$4:$X$810,$A$4:$A$810,$A427,$E$4:$E$810,"Loss"),-('Guide &amp; Settings'!$C$42/($F427-1))*$X427)))</f>
        <v>0</v>
      </c>
      <c r="K427" s="123">
        <f>IF($D427="",0,'Guide &amp; Settings'!$C$43*(IF($E427="Win",1,0)-$I427))</f>
        <v>0</v>
      </c>
      <c r="L427" s="124">
        <f>IF($D427="",0,'Guide &amp; Settings'!$C$44*IF($F427&gt;=3,$F427+IF($E427="Win",$F427,0),0))</f>
        <v>0</v>
      </c>
      <c r="M427" s="123">
        <f>IF($D427="",0,$J427+$K427+$L427)</f>
        <v>0</v>
      </c>
      <c r="N427" s="121">
        <f>IF($D427="",0,$H427+$M427)</f>
        <v>0</v>
      </c>
      <c r="O427" s="120" t="str">
        <f>IF($D427="","",IF(COUNTIFS($A$4:$A$810,$A427,$E$4:$E$810,"Win")=0,"need a winner",IF(COUNTIFS($A$4:$A$810,$A427,$E$4:$E$810,"Loss")=0,"need a loser",IF(COUNTIFS($A$4:$A$810,$A427,$D$4:$D$810,$D427)&gt;1,"duplicate player","OK"))))</f>
      </c>
      <c r="P427">
        <f>IF($D427="",0,IFERROR(SUMIFS($H$4:$H$810,$A$4:$A$810,$A427,$E$4:$E$810,"Win")/COUNTIFS($A$4:$A$810,$A427,$E$4:$E$810,"Win"),0))</f>
        <v>0</v>
      </c>
      <c r="Q427">
        <f>IF($D427="",0,1/(1+10^(($P427-$H427)/400)))</f>
        <v>0</v>
      </c>
      <c r="R427">
        <f>IF($D427="",0,(COUNTIFS($D$4:$D$810,$D427,$C$4:$C$810,$C427,$E$4:$E$810,"Win",$A$4:$A$810,"&lt;"&amp;$A427)+1)/(COUNTIFS($D$4:$D$810,$D427,$C$4:$C$810,$C427,$A$4:$A$810,"&lt;"&amp;$A427)+2))</f>
        <v>0</v>
      </c>
      <c r="S427">
        <f>IF($D427="",0,SUMIFS($R$4:$R$810,$A$4:$A$810,$A427))</f>
        <v>0</v>
      </c>
      <c r="T427" s="88">
        <f>IF($D427="",0,COUNTIFS($D$4:$D$810,$D427,$C$4:$C$810,$C427,$A$4:$A$810,"&lt;"&amp;$A427))</f>
        <v>0</v>
      </c>
      <c r="U427" s="125">
        <f>IF($D427="",0,IFERROR(LOOKUP(2,1/(($D$3:D426=$D427)*($C$3:C426=$C427)*($A$3:A426&lt;$A427)),$AB$3:AB426),1000))</f>
        <v>0</v>
      </c>
      <c r="V427" s="125">
        <f>IF($D427="",0,$U427*($T427/($T427+5))+$H427*(1-$T427/($T427+5)))</f>
        <v>0</v>
      </c>
      <c r="W427">
        <f>IF($D427="",0,IFERROR(SUMIFS($V$4:$V$810,$A$4:$A$810,$A427,$E$4:$E$810,"Win")/COUNTIFS($A$4:$A$810,$A427,$E$4:$E$810,"Win"),0))</f>
        <v>0</v>
      </c>
      <c r="X427">
        <f>IF($D427="",0,1/(1+10^(($W427-$V427)/400)))</f>
        <v>0</v>
      </c>
      <c r="Y427">
        <f>IF($D427="",0,IFERROR(SUMIFS($U$4:$U$810,$A$4:$A$810,$A427,$E$4:$E$810,"Win")/COUNTIFS($A$4:$A$810,$A427,$E$4:$E$810,"Win"),0))</f>
        <v>0</v>
      </c>
      <c r="Z427">
        <f>IF($D427="",0,1/(1+10^(($Y427-$U427)/400)))</f>
        <v>0</v>
      </c>
      <c r="AA427">
        <f>IF($D427="",0,IF($F427&lt;2,0,IF($E427="Win",('Guide &amp; Settings'!$C$42/(($F427-1)*COUNTIFS($A$4:$A$810,$A427,$E$4:$E$810,"Win")))*SUMIFS($Z$4:$Z$810,$A$4:$A$810,$A427,$E$4:$E$810,"Loss"),-('Guide &amp; Settings'!$C$42/($F427-1))*$Z427)))</f>
        <v>0</v>
      </c>
      <c r="AB427" s="125">
        <f>IF($D427="",0,$U427+$AA427)</f>
        <v>0</v>
      </c>
      <c r="AC427" s="125" t="str">
        <f>IF($D427="","",IF(SUMPRODUCT(MAX(($D$4:$D$810=$D427)*($B$4:$B$810&lt;$B427)*$B$4:$B$810))=0,0,MAX(($B427-MAX(SUMPRODUCT(MAX(($D$4:$D$810=$D427)*($B$4:$B$810&lt;$B427)*$B$4:$B$810)),'Guide &amp; Settings'!$C$50))/7-'Guide &amp; Settings'!$C$48,0)*'Guide &amp; Settings'!$C$49))</f>
      </c>
    </row>
    <row r="428" spans="1:29">
      <c r="A428" s="116"/>
      <c r="B428" s="117"/>
      <c r="C428" s="118"/>
      <c r="D428" s="118"/>
      <c r="E428" s="116"/>
      <c r="F428" s="119">
        <f>IF($D428="",0,COUNTIF($A$4:$A$810,$A428))</f>
        <v>0</v>
      </c>
      <c r="G428" s="120">
        <f>IF($D428="","",IFERROR(LOOKUP(2,1/(($A$4:$A$810=$A428)*($E$4:$E$810="Win")),$D$4:$D$810),"(no winner)"))</f>
        <v>0</v>
      </c>
      <c r="H428" s="121">
        <f>IF($D428="",0,IFERROR(LOOKUP(2,1/(($D$3:D427=$D428)*($A$3:A427&lt;$A428)),$N$3:N427),'Guide &amp; Settings'!$C$41))</f>
        <v>0</v>
      </c>
      <c r="I428" s="122">
        <f>IF($D428="",0,IF($S428=0,0,$R428/$S428))</f>
        <v>0</v>
      </c>
      <c r="J428" s="123">
        <f>IF($D428="",0,IF($F428&lt;2,0,IF($E428="Win",('Guide &amp; Settings'!$C$42/(($F428-1)*COUNTIFS($A$4:$A$810,$A428,$E$4:$E$810,"Win")))*SUMIFS($X$4:$X$810,$A$4:$A$810,$A428,$E$4:$E$810,"Loss"),-('Guide &amp; Settings'!$C$42/($F428-1))*$X428)))</f>
        <v>0</v>
      </c>
      <c r="K428" s="123">
        <f>IF($D428="",0,'Guide &amp; Settings'!$C$43*(IF($E428="Win",1,0)-$I428))</f>
        <v>0</v>
      </c>
      <c r="L428" s="124">
        <f>IF($D428="",0,'Guide &amp; Settings'!$C$44*IF($F428&gt;=3,$F428+IF($E428="Win",$F428,0),0))</f>
        <v>0</v>
      </c>
      <c r="M428" s="123">
        <f>IF($D428="",0,$J428+$K428+$L428)</f>
        <v>0</v>
      </c>
      <c r="N428" s="121">
        <f>IF($D428="",0,$H428+$M428)</f>
        <v>0</v>
      </c>
      <c r="O428" s="120" t="str">
        <f>IF($D428="","",IF(COUNTIFS($A$4:$A$810,$A428,$E$4:$E$810,"Win")=0,"need a winner",IF(COUNTIFS($A$4:$A$810,$A428,$E$4:$E$810,"Loss")=0,"need a loser",IF(COUNTIFS($A$4:$A$810,$A428,$D$4:$D$810,$D428)&gt;1,"duplicate player","OK"))))</f>
      </c>
      <c r="P428">
        <f>IF($D428="",0,IFERROR(SUMIFS($H$4:$H$810,$A$4:$A$810,$A428,$E$4:$E$810,"Win")/COUNTIFS($A$4:$A$810,$A428,$E$4:$E$810,"Win"),0))</f>
        <v>0</v>
      </c>
      <c r="Q428">
        <f>IF($D428="",0,1/(1+10^(($P428-$H428)/400)))</f>
        <v>0</v>
      </c>
      <c r="R428">
        <f>IF($D428="",0,(COUNTIFS($D$4:$D$810,$D428,$C$4:$C$810,$C428,$E$4:$E$810,"Win",$A$4:$A$810,"&lt;"&amp;$A428)+1)/(COUNTIFS($D$4:$D$810,$D428,$C$4:$C$810,$C428,$A$4:$A$810,"&lt;"&amp;$A428)+2))</f>
        <v>0</v>
      </c>
      <c r="S428">
        <f>IF($D428="",0,SUMIFS($R$4:$R$810,$A$4:$A$810,$A428))</f>
        <v>0</v>
      </c>
      <c r="T428" s="88">
        <f>IF($D428="",0,COUNTIFS($D$4:$D$810,$D428,$C$4:$C$810,$C428,$A$4:$A$810,"&lt;"&amp;$A428))</f>
        <v>0</v>
      </c>
      <c r="U428" s="125">
        <f>IF($D428="",0,IFERROR(LOOKUP(2,1/(($D$3:D427=$D428)*($C$3:C427=$C428)*($A$3:A427&lt;$A428)),$AB$3:AB427),1000))</f>
        <v>0</v>
      </c>
      <c r="V428" s="125">
        <f>IF($D428="",0,$U428*($T428/($T428+5))+$H428*(1-$T428/($T428+5)))</f>
        <v>0</v>
      </c>
      <c r="W428">
        <f>IF($D428="",0,IFERROR(SUMIFS($V$4:$V$810,$A$4:$A$810,$A428,$E$4:$E$810,"Win")/COUNTIFS($A$4:$A$810,$A428,$E$4:$E$810,"Win"),0))</f>
        <v>0</v>
      </c>
      <c r="X428">
        <f>IF($D428="",0,1/(1+10^(($W428-$V428)/400)))</f>
        <v>0</v>
      </c>
      <c r="Y428">
        <f>IF($D428="",0,IFERROR(SUMIFS($U$4:$U$810,$A$4:$A$810,$A428,$E$4:$E$810,"Win")/COUNTIFS($A$4:$A$810,$A428,$E$4:$E$810,"Win"),0))</f>
        <v>0</v>
      </c>
      <c r="Z428">
        <f>IF($D428="",0,1/(1+10^(($Y428-$U428)/400)))</f>
        <v>0</v>
      </c>
      <c r="AA428">
        <f>IF($D428="",0,IF($F428&lt;2,0,IF($E428="Win",('Guide &amp; Settings'!$C$42/(($F428-1)*COUNTIFS($A$4:$A$810,$A428,$E$4:$E$810,"Win")))*SUMIFS($Z$4:$Z$810,$A$4:$A$810,$A428,$E$4:$E$810,"Loss"),-('Guide &amp; Settings'!$C$42/($F428-1))*$Z428)))</f>
        <v>0</v>
      </c>
      <c r="AB428" s="125">
        <f>IF($D428="",0,$U428+$AA428)</f>
        <v>0</v>
      </c>
      <c r="AC428" s="125" t="str">
        <f>IF($D428="","",IF(SUMPRODUCT(MAX(($D$4:$D$810=$D428)*($B$4:$B$810&lt;$B428)*$B$4:$B$810))=0,0,MAX(($B428-MAX(SUMPRODUCT(MAX(($D$4:$D$810=$D428)*($B$4:$B$810&lt;$B428)*$B$4:$B$810)),'Guide &amp; Settings'!$C$50))/7-'Guide &amp; Settings'!$C$48,0)*'Guide &amp; Settings'!$C$49))</f>
      </c>
    </row>
    <row r="429" spans="1:29">
      <c r="A429" s="116"/>
      <c r="B429" s="117"/>
      <c r="C429" s="118"/>
      <c r="D429" s="118"/>
      <c r="E429" s="116"/>
      <c r="F429" s="119">
        <f>IF($D429="",0,COUNTIF($A$4:$A$810,$A429))</f>
        <v>0</v>
      </c>
      <c r="G429" s="120">
        <f>IF($D429="","",IFERROR(LOOKUP(2,1/(($A$4:$A$810=$A429)*($E$4:$E$810="Win")),$D$4:$D$810),"(no winner)"))</f>
        <v>0</v>
      </c>
      <c r="H429" s="121">
        <f>IF($D429="",0,IFERROR(LOOKUP(2,1/(($D$3:D428=$D429)*($A$3:A428&lt;$A429)),$N$3:N428),'Guide &amp; Settings'!$C$41))</f>
        <v>0</v>
      </c>
      <c r="I429" s="122">
        <f>IF($D429="",0,IF($S429=0,0,$R429/$S429))</f>
        <v>0</v>
      </c>
      <c r="J429" s="123">
        <f>IF($D429="",0,IF($F429&lt;2,0,IF($E429="Win",('Guide &amp; Settings'!$C$42/(($F429-1)*COUNTIFS($A$4:$A$810,$A429,$E$4:$E$810,"Win")))*SUMIFS($X$4:$X$810,$A$4:$A$810,$A429,$E$4:$E$810,"Loss"),-('Guide &amp; Settings'!$C$42/($F429-1))*$X429)))</f>
        <v>0</v>
      </c>
      <c r="K429" s="123">
        <f>IF($D429="",0,'Guide &amp; Settings'!$C$43*(IF($E429="Win",1,0)-$I429))</f>
        <v>0</v>
      </c>
      <c r="L429" s="124">
        <f>IF($D429="",0,'Guide &amp; Settings'!$C$44*IF($F429&gt;=3,$F429+IF($E429="Win",$F429,0),0))</f>
        <v>0</v>
      </c>
      <c r="M429" s="123">
        <f>IF($D429="",0,$J429+$K429+$L429)</f>
        <v>0</v>
      </c>
      <c r="N429" s="121">
        <f>IF($D429="",0,$H429+$M429)</f>
        <v>0</v>
      </c>
      <c r="O429" s="120" t="str">
        <f>IF($D429="","",IF(COUNTIFS($A$4:$A$810,$A429,$E$4:$E$810,"Win")=0,"need a winner",IF(COUNTIFS($A$4:$A$810,$A429,$E$4:$E$810,"Loss")=0,"need a loser",IF(COUNTIFS($A$4:$A$810,$A429,$D$4:$D$810,$D429)&gt;1,"duplicate player","OK"))))</f>
      </c>
      <c r="P429">
        <f>IF($D429="",0,IFERROR(SUMIFS($H$4:$H$810,$A$4:$A$810,$A429,$E$4:$E$810,"Win")/COUNTIFS($A$4:$A$810,$A429,$E$4:$E$810,"Win"),0))</f>
        <v>0</v>
      </c>
      <c r="Q429">
        <f>IF($D429="",0,1/(1+10^(($P429-$H429)/400)))</f>
        <v>0</v>
      </c>
      <c r="R429">
        <f>IF($D429="",0,(COUNTIFS($D$4:$D$810,$D429,$C$4:$C$810,$C429,$E$4:$E$810,"Win",$A$4:$A$810,"&lt;"&amp;$A429)+1)/(COUNTIFS($D$4:$D$810,$D429,$C$4:$C$810,$C429,$A$4:$A$810,"&lt;"&amp;$A429)+2))</f>
        <v>0</v>
      </c>
      <c r="S429">
        <f>IF($D429="",0,SUMIFS($R$4:$R$810,$A$4:$A$810,$A429))</f>
        <v>0</v>
      </c>
      <c r="T429" s="88">
        <f>IF($D429="",0,COUNTIFS($D$4:$D$810,$D429,$C$4:$C$810,$C429,$A$4:$A$810,"&lt;"&amp;$A429))</f>
        <v>0</v>
      </c>
      <c r="U429" s="125">
        <f>IF($D429="",0,IFERROR(LOOKUP(2,1/(($D$3:D428=$D429)*($C$3:C428=$C429)*($A$3:A428&lt;$A429)),$AB$3:AB428),1000))</f>
        <v>0</v>
      </c>
      <c r="V429" s="125">
        <f>IF($D429="",0,$U429*($T429/($T429+5))+$H429*(1-$T429/($T429+5)))</f>
        <v>0</v>
      </c>
      <c r="W429">
        <f>IF($D429="",0,IFERROR(SUMIFS($V$4:$V$810,$A$4:$A$810,$A429,$E$4:$E$810,"Win")/COUNTIFS($A$4:$A$810,$A429,$E$4:$E$810,"Win"),0))</f>
        <v>0</v>
      </c>
      <c r="X429">
        <f>IF($D429="",0,1/(1+10^(($W429-$V429)/400)))</f>
        <v>0</v>
      </c>
      <c r="Y429">
        <f>IF($D429="",0,IFERROR(SUMIFS($U$4:$U$810,$A$4:$A$810,$A429,$E$4:$E$810,"Win")/COUNTIFS($A$4:$A$810,$A429,$E$4:$E$810,"Win"),0))</f>
        <v>0</v>
      </c>
      <c r="Z429">
        <f>IF($D429="",0,1/(1+10^(($Y429-$U429)/400)))</f>
        <v>0</v>
      </c>
      <c r="AA429">
        <f>IF($D429="",0,IF($F429&lt;2,0,IF($E429="Win",('Guide &amp; Settings'!$C$42/(($F429-1)*COUNTIFS($A$4:$A$810,$A429,$E$4:$E$810,"Win")))*SUMIFS($Z$4:$Z$810,$A$4:$A$810,$A429,$E$4:$E$810,"Loss"),-('Guide &amp; Settings'!$C$42/($F429-1))*$Z429)))</f>
        <v>0</v>
      </c>
      <c r="AB429" s="125">
        <f>IF($D429="",0,$U429+$AA429)</f>
        <v>0</v>
      </c>
      <c r="AC429" s="125" t="str">
        <f>IF($D429="","",IF(SUMPRODUCT(MAX(($D$4:$D$810=$D429)*($B$4:$B$810&lt;$B429)*$B$4:$B$810))=0,0,MAX(($B429-MAX(SUMPRODUCT(MAX(($D$4:$D$810=$D429)*($B$4:$B$810&lt;$B429)*$B$4:$B$810)),'Guide &amp; Settings'!$C$50))/7-'Guide &amp; Settings'!$C$48,0)*'Guide &amp; Settings'!$C$49))</f>
      </c>
    </row>
    <row r="430" spans="1:29">
      <c r="A430" s="116"/>
      <c r="B430" s="117"/>
      <c r="C430" s="118"/>
      <c r="D430" s="118"/>
      <c r="E430" s="116"/>
      <c r="F430" s="119">
        <f>IF($D430="",0,COUNTIF($A$4:$A$810,$A430))</f>
        <v>0</v>
      </c>
      <c r="G430" s="120">
        <f>IF($D430="","",IFERROR(LOOKUP(2,1/(($A$4:$A$810=$A430)*($E$4:$E$810="Win")),$D$4:$D$810),"(no winner)"))</f>
        <v>0</v>
      </c>
      <c r="H430" s="121">
        <f>IF($D430="",0,IFERROR(LOOKUP(2,1/(($D$3:D429=$D430)*($A$3:A429&lt;$A430)),$N$3:N429),'Guide &amp; Settings'!$C$41))</f>
        <v>0</v>
      </c>
      <c r="I430" s="122">
        <f>IF($D430="",0,IF($S430=0,0,$R430/$S430))</f>
        <v>0</v>
      </c>
      <c r="J430" s="123">
        <f>IF($D430="",0,IF($F430&lt;2,0,IF($E430="Win",('Guide &amp; Settings'!$C$42/(($F430-1)*COUNTIFS($A$4:$A$810,$A430,$E$4:$E$810,"Win")))*SUMIFS($X$4:$X$810,$A$4:$A$810,$A430,$E$4:$E$810,"Loss"),-('Guide &amp; Settings'!$C$42/($F430-1))*$X430)))</f>
        <v>0</v>
      </c>
      <c r="K430" s="123">
        <f>IF($D430="",0,'Guide &amp; Settings'!$C$43*(IF($E430="Win",1,0)-$I430))</f>
        <v>0</v>
      </c>
      <c r="L430" s="124">
        <f>IF($D430="",0,'Guide &amp; Settings'!$C$44*IF($F430&gt;=3,$F430+IF($E430="Win",$F430,0),0))</f>
        <v>0</v>
      </c>
      <c r="M430" s="123">
        <f>IF($D430="",0,$J430+$K430+$L430)</f>
        <v>0</v>
      </c>
      <c r="N430" s="121">
        <f>IF($D430="",0,$H430+$M430)</f>
        <v>0</v>
      </c>
      <c r="O430" s="120" t="str">
        <f>IF($D430="","",IF(COUNTIFS($A$4:$A$810,$A430,$E$4:$E$810,"Win")=0,"need a winner",IF(COUNTIFS($A$4:$A$810,$A430,$E$4:$E$810,"Loss")=0,"need a loser",IF(COUNTIFS($A$4:$A$810,$A430,$D$4:$D$810,$D430)&gt;1,"duplicate player","OK"))))</f>
      </c>
      <c r="P430">
        <f>IF($D430="",0,IFERROR(SUMIFS($H$4:$H$810,$A$4:$A$810,$A430,$E$4:$E$810,"Win")/COUNTIFS($A$4:$A$810,$A430,$E$4:$E$810,"Win"),0))</f>
        <v>0</v>
      </c>
      <c r="Q430">
        <f>IF($D430="",0,1/(1+10^(($P430-$H430)/400)))</f>
        <v>0</v>
      </c>
      <c r="R430">
        <f>IF($D430="",0,(COUNTIFS($D$4:$D$810,$D430,$C$4:$C$810,$C430,$E$4:$E$810,"Win",$A$4:$A$810,"&lt;"&amp;$A430)+1)/(COUNTIFS($D$4:$D$810,$D430,$C$4:$C$810,$C430,$A$4:$A$810,"&lt;"&amp;$A430)+2))</f>
        <v>0</v>
      </c>
      <c r="S430">
        <f>IF($D430="",0,SUMIFS($R$4:$R$810,$A$4:$A$810,$A430))</f>
        <v>0</v>
      </c>
      <c r="T430" s="88">
        <f>IF($D430="",0,COUNTIFS($D$4:$D$810,$D430,$C$4:$C$810,$C430,$A$4:$A$810,"&lt;"&amp;$A430))</f>
        <v>0</v>
      </c>
      <c r="U430" s="125">
        <f>IF($D430="",0,IFERROR(LOOKUP(2,1/(($D$3:D429=$D430)*($C$3:C429=$C430)*($A$3:A429&lt;$A430)),$AB$3:AB429),1000))</f>
        <v>0</v>
      </c>
      <c r="V430" s="125">
        <f>IF($D430="",0,$U430*($T430/($T430+5))+$H430*(1-$T430/($T430+5)))</f>
        <v>0</v>
      </c>
      <c r="W430">
        <f>IF($D430="",0,IFERROR(SUMIFS($V$4:$V$810,$A$4:$A$810,$A430,$E$4:$E$810,"Win")/COUNTIFS($A$4:$A$810,$A430,$E$4:$E$810,"Win"),0))</f>
        <v>0</v>
      </c>
      <c r="X430">
        <f>IF($D430="",0,1/(1+10^(($W430-$V430)/400)))</f>
        <v>0</v>
      </c>
      <c r="Y430">
        <f>IF($D430="",0,IFERROR(SUMIFS($U$4:$U$810,$A$4:$A$810,$A430,$E$4:$E$810,"Win")/COUNTIFS($A$4:$A$810,$A430,$E$4:$E$810,"Win"),0))</f>
        <v>0</v>
      </c>
      <c r="Z430">
        <f>IF($D430="",0,1/(1+10^(($Y430-$U430)/400)))</f>
        <v>0</v>
      </c>
      <c r="AA430">
        <f>IF($D430="",0,IF($F430&lt;2,0,IF($E430="Win",('Guide &amp; Settings'!$C$42/(($F430-1)*COUNTIFS($A$4:$A$810,$A430,$E$4:$E$810,"Win")))*SUMIFS($Z$4:$Z$810,$A$4:$A$810,$A430,$E$4:$E$810,"Loss"),-('Guide &amp; Settings'!$C$42/($F430-1))*$Z430)))</f>
        <v>0</v>
      </c>
      <c r="AB430" s="125">
        <f>IF($D430="",0,$U430+$AA430)</f>
        <v>0</v>
      </c>
      <c r="AC430" s="125" t="str">
        <f>IF($D430="","",IF(SUMPRODUCT(MAX(($D$4:$D$810=$D430)*($B$4:$B$810&lt;$B430)*$B$4:$B$810))=0,0,MAX(($B430-MAX(SUMPRODUCT(MAX(($D$4:$D$810=$D430)*($B$4:$B$810&lt;$B430)*$B$4:$B$810)),'Guide &amp; Settings'!$C$50))/7-'Guide &amp; Settings'!$C$48,0)*'Guide &amp; Settings'!$C$49))</f>
      </c>
    </row>
    <row r="431" spans="1:29">
      <c r="A431" s="116"/>
      <c r="B431" s="117"/>
      <c r="C431" s="118"/>
      <c r="D431" s="118"/>
      <c r="E431" s="116"/>
      <c r="F431" s="119">
        <f>IF($D431="",0,COUNTIF($A$4:$A$810,$A431))</f>
        <v>0</v>
      </c>
      <c r="G431" s="120">
        <f>IF($D431="","",IFERROR(LOOKUP(2,1/(($A$4:$A$810=$A431)*($E$4:$E$810="Win")),$D$4:$D$810),"(no winner)"))</f>
        <v>0</v>
      </c>
      <c r="H431" s="121">
        <f>IF($D431="",0,IFERROR(LOOKUP(2,1/(($D$3:D430=$D431)*($A$3:A430&lt;$A431)),$N$3:N430),'Guide &amp; Settings'!$C$41))</f>
        <v>0</v>
      </c>
      <c r="I431" s="122">
        <f>IF($D431="",0,IF($S431=0,0,$R431/$S431))</f>
        <v>0</v>
      </c>
      <c r="J431" s="123">
        <f>IF($D431="",0,IF($F431&lt;2,0,IF($E431="Win",('Guide &amp; Settings'!$C$42/(($F431-1)*COUNTIFS($A$4:$A$810,$A431,$E$4:$E$810,"Win")))*SUMIFS($X$4:$X$810,$A$4:$A$810,$A431,$E$4:$E$810,"Loss"),-('Guide &amp; Settings'!$C$42/($F431-1))*$X431)))</f>
        <v>0</v>
      </c>
      <c r="K431" s="123">
        <f>IF($D431="",0,'Guide &amp; Settings'!$C$43*(IF($E431="Win",1,0)-$I431))</f>
        <v>0</v>
      </c>
      <c r="L431" s="124">
        <f>IF($D431="",0,'Guide &amp; Settings'!$C$44*IF($F431&gt;=3,$F431+IF($E431="Win",$F431,0),0))</f>
        <v>0</v>
      </c>
      <c r="M431" s="123">
        <f>IF($D431="",0,$J431+$K431+$L431)</f>
        <v>0</v>
      </c>
      <c r="N431" s="121">
        <f>IF($D431="",0,$H431+$M431)</f>
        <v>0</v>
      </c>
      <c r="O431" s="120" t="str">
        <f>IF($D431="","",IF(COUNTIFS($A$4:$A$810,$A431,$E$4:$E$810,"Win")=0,"need a winner",IF(COUNTIFS($A$4:$A$810,$A431,$E$4:$E$810,"Loss")=0,"need a loser",IF(COUNTIFS($A$4:$A$810,$A431,$D$4:$D$810,$D431)&gt;1,"duplicate player","OK"))))</f>
      </c>
      <c r="P431">
        <f>IF($D431="",0,IFERROR(SUMIFS($H$4:$H$810,$A$4:$A$810,$A431,$E$4:$E$810,"Win")/COUNTIFS($A$4:$A$810,$A431,$E$4:$E$810,"Win"),0))</f>
        <v>0</v>
      </c>
      <c r="Q431">
        <f>IF($D431="",0,1/(1+10^(($P431-$H431)/400)))</f>
        <v>0</v>
      </c>
      <c r="R431">
        <f>IF($D431="",0,(COUNTIFS($D$4:$D$810,$D431,$C$4:$C$810,$C431,$E$4:$E$810,"Win",$A$4:$A$810,"&lt;"&amp;$A431)+1)/(COUNTIFS($D$4:$D$810,$D431,$C$4:$C$810,$C431,$A$4:$A$810,"&lt;"&amp;$A431)+2))</f>
        <v>0</v>
      </c>
      <c r="S431">
        <f>IF($D431="",0,SUMIFS($R$4:$R$810,$A$4:$A$810,$A431))</f>
        <v>0</v>
      </c>
      <c r="T431" s="88">
        <f>IF($D431="",0,COUNTIFS($D$4:$D$810,$D431,$C$4:$C$810,$C431,$A$4:$A$810,"&lt;"&amp;$A431))</f>
        <v>0</v>
      </c>
      <c r="U431" s="125">
        <f>IF($D431="",0,IFERROR(LOOKUP(2,1/(($D$3:D430=$D431)*($C$3:C430=$C431)*($A$3:A430&lt;$A431)),$AB$3:AB430),1000))</f>
        <v>0</v>
      </c>
      <c r="V431" s="125">
        <f>IF($D431="",0,$U431*($T431/($T431+5))+$H431*(1-$T431/($T431+5)))</f>
        <v>0</v>
      </c>
      <c r="W431">
        <f>IF($D431="",0,IFERROR(SUMIFS($V$4:$V$810,$A$4:$A$810,$A431,$E$4:$E$810,"Win")/COUNTIFS($A$4:$A$810,$A431,$E$4:$E$810,"Win"),0))</f>
        <v>0</v>
      </c>
      <c r="X431">
        <f>IF($D431="",0,1/(1+10^(($W431-$V431)/400)))</f>
        <v>0</v>
      </c>
      <c r="Y431">
        <f>IF($D431="",0,IFERROR(SUMIFS($U$4:$U$810,$A$4:$A$810,$A431,$E$4:$E$810,"Win")/COUNTIFS($A$4:$A$810,$A431,$E$4:$E$810,"Win"),0))</f>
        <v>0</v>
      </c>
      <c r="Z431">
        <f>IF($D431="",0,1/(1+10^(($Y431-$U431)/400)))</f>
        <v>0</v>
      </c>
      <c r="AA431">
        <f>IF($D431="",0,IF($F431&lt;2,0,IF($E431="Win",('Guide &amp; Settings'!$C$42/(($F431-1)*COUNTIFS($A$4:$A$810,$A431,$E$4:$E$810,"Win")))*SUMIFS($Z$4:$Z$810,$A$4:$A$810,$A431,$E$4:$E$810,"Loss"),-('Guide &amp; Settings'!$C$42/($F431-1))*$Z431)))</f>
        <v>0</v>
      </c>
      <c r="AB431" s="125">
        <f>IF($D431="",0,$U431+$AA431)</f>
        <v>0</v>
      </c>
      <c r="AC431" s="125" t="str">
        <f>IF($D431="","",IF(SUMPRODUCT(MAX(($D$4:$D$810=$D431)*($B$4:$B$810&lt;$B431)*$B$4:$B$810))=0,0,MAX(($B431-MAX(SUMPRODUCT(MAX(($D$4:$D$810=$D431)*($B$4:$B$810&lt;$B431)*$B$4:$B$810)),'Guide &amp; Settings'!$C$50))/7-'Guide &amp; Settings'!$C$48,0)*'Guide &amp; Settings'!$C$49))</f>
      </c>
    </row>
    <row r="432" spans="1:29">
      <c r="A432" s="116"/>
      <c r="B432" s="117"/>
      <c r="C432" s="118"/>
      <c r="D432" s="118"/>
      <c r="E432" s="116"/>
      <c r="F432" s="119">
        <f>IF($D432="",0,COUNTIF($A$4:$A$810,$A432))</f>
        <v>0</v>
      </c>
      <c r="G432" s="120">
        <f>IF($D432="","",IFERROR(LOOKUP(2,1/(($A$4:$A$810=$A432)*($E$4:$E$810="Win")),$D$4:$D$810),"(no winner)"))</f>
        <v>0</v>
      </c>
      <c r="H432" s="121">
        <f>IF($D432="",0,IFERROR(LOOKUP(2,1/(($D$3:D431=$D432)*($A$3:A431&lt;$A432)),$N$3:N431),'Guide &amp; Settings'!$C$41))</f>
        <v>0</v>
      </c>
      <c r="I432" s="122">
        <f>IF($D432="",0,IF($S432=0,0,$R432/$S432))</f>
        <v>0</v>
      </c>
      <c r="J432" s="123">
        <f>IF($D432="",0,IF($F432&lt;2,0,IF($E432="Win",('Guide &amp; Settings'!$C$42/(($F432-1)*COUNTIFS($A$4:$A$810,$A432,$E$4:$E$810,"Win")))*SUMIFS($X$4:$X$810,$A$4:$A$810,$A432,$E$4:$E$810,"Loss"),-('Guide &amp; Settings'!$C$42/($F432-1))*$X432)))</f>
        <v>0</v>
      </c>
      <c r="K432" s="123">
        <f>IF($D432="",0,'Guide &amp; Settings'!$C$43*(IF($E432="Win",1,0)-$I432))</f>
        <v>0</v>
      </c>
      <c r="L432" s="124">
        <f>IF($D432="",0,'Guide &amp; Settings'!$C$44*IF($F432&gt;=3,$F432+IF($E432="Win",$F432,0),0))</f>
        <v>0</v>
      </c>
      <c r="M432" s="123">
        <f>IF($D432="",0,$J432+$K432+$L432)</f>
        <v>0</v>
      </c>
      <c r="N432" s="121">
        <f>IF($D432="",0,$H432+$M432)</f>
        <v>0</v>
      </c>
      <c r="O432" s="120" t="str">
        <f>IF($D432="","",IF(COUNTIFS($A$4:$A$810,$A432,$E$4:$E$810,"Win")=0,"need a winner",IF(COUNTIFS($A$4:$A$810,$A432,$E$4:$E$810,"Loss")=0,"need a loser",IF(COUNTIFS($A$4:$A$810,$A432,$D$4:$D$810,$D432)&gt;1,"duplicate player","OK"))))</f>
      </c>
      <c r="P432">
        <f>IF($D432="",0,IFERROR(SUMIFS($H$4:$H$810,$A$4:$A$810,$A432,$E$4:$E$810,"Win")/COUNTIFS($A$4:$A$810,$A432,$E$4:$E$810,"Win"),0))</f>
        <v>0</v>
      </c>
      <c r="Q432">
        <f>IF($D432="",0,1/(1+10^(($P432-$H432)/400)))</f>
        <v>0</v>
      </c>
      <c r="R432">
        <f>IF($D432="",0,(COUNTIFS($D$4:$D$810,$D432,$C$4:$C$810,$C432,$E$4:$E$810,"Win",$A$4:$A$810,"&lt;"&amp;$A432)+1)/(COUNTIFS($D$4:$D$810,$D432,$C$4:$C$810,$C432,$A$4:$A$810,"&lt;"&amp;$A432)+2))</f>
        <v>0</v>
      </c>
      <c r="S432">
        <f>IF($D432="",0,SUMIFS($R$4:$R$810,$A$4:$A$810,$A432))</f>
        <v>0</v>
      </c>
      <c r="T432" s="88">
        <f>IF($D432="",0,COUNTIFS($D$4:$D$810,$D432,$C$4:$C$810,$C432,$A$4:$A$810,"&lt;"&amp;$A432))</f>
        <v>0</v>
      </c>
      <c r="U432" s="125">
        <f>IF($D432="",0,IFERROR(LOOKUP(2,1/(($D$3:D431=$D432)*($C$3:C431=$C432)*($A$3:A431&lt;$A432)),$AB$3:AB431),1000))</f>
        <v>0</v>
      </c>
      <c r="V432" s="125">
        <f>IF($D432="",0,$U432*($T432/($T432+5))+$H432*(1-$T432/($T432+5)))</f>
        <v>0</v>
      </c>
      <c r="W432">
        <f>IF($D432="",0,IFERROR(SUMIFS($V$4:$V$810,$A$4:$A$810,$A432,$E$4:$E$810,"Win")/COUNTIFS($A$4:$A$810,$A432,$E$4:$E$810,"Win"),0))</f>
        <v>0</v>
      </c>
      <c r="X432">
        <f>IF($D432="",0,1/(1+10^(($W432-$V432)/400)))</f>
        <v>0</v>
      </c>
      <c r="Y432">
        <f>IF($D432="",0,IFERROR(SUMIFS($U$4:$U$810,$A$4:$A$810,$A432,$E$4:$E$810,"Win")/COUNTIFS($A$4:$A$810,$A432,$E$4:$E$810,"Win"),0))</f>
        <v>0</v>
      </c>
      <c r="Z432">
        <f>IF($D432="",0,1/(1+10^(($Y432-$U432)/400)))</f>
        <v>0</v>
      </c>
      <c r="AA432">
        <f>IF($D432="",0,IF($F432&lt;2,0,IF($E432="Win",('Guide &amp; Settings'!$C$42/(($F432-1)*COUNTIFS($A$4:$A$810,$A432,$E$4:$E$810,"Win")))*SUMIFS($Z$4:$Z$810,$A$4:$A$810,$A432,$E$4:$E$810,"Loss"),-('Guide &amp; Settings'!$C$42/($F432-1))*$Z432)))</f>
        <v>0</v>
      </c>
      <c r="AB432" s="125">
        <f>IF($D432="",0,$U432+$AA432)</f>
        <v>0</v>
      </c>
      <c r="AC432" s="125" t="str">
        <f>IF($D432="","",IF(SUMPRODUCT(MAX(($D$4:$D$810=$D432)*($B$4:$B$810&lt;$B432)*$B$4:$B$810))=0,0,MAX(($B432-MAX(SUMPRODUCT(MAX(($D$4:$D$810=$D432)*($B$4:$B$810&lt;$B432)*$B$4:$B$810)),'Guide &amp; Settings'!$C$50))/7-'Guide &amp; Settings'!$C$48,0)*'Guide &amp; Settings'!$C$49))</f>
      </c>
    </row>
    <row r="433" spans="1:29">
      <c r="A433" s="116"/>
      <c r="B433" s="117"/>
      <c r="C433" s="118"/>
      <c r="D433" s="118"/>
      <c r="E433" s="116"/>
      <c r="F433" s="119">
        <f>IF($D433="",0,COUNTIF($A$4:$A$810,$A433))</f>
        <v>0</v>
      </c>
      <c r="G433" s="120">
        <f>IF($D433="","",IFERROR(LOOKUP(2,1/(($A$4:$A$810=$A433)*($E$4:$E$810="Win")),$D$4:$D$810),"(no winner)"))</f>
        <v>0</v>
      </c>
      <c r="H433" s="121">
        <f>IF($D433="",0,IFERROR(LOOKUP(2,1/(($D$3:D432=$D433)*($A$3:A432&lt;$A433)),$N$3:N432),'Guide &amp; Settings'!$C$41))</f>
        <v>0</v>
      </c>
      <c r="I433" s="122">
        <f>IF($D433="",0,IF($S433=0,0,$R433/$S433))</f>
        <v>0</v>
      </c>
      <c r="J433" s="123">
        <f>IF($D433="",0,IF($F433&lt;2,0,IF($E433="Win",('Guide &amp; Settings'!$C$42/(($F433-1)*COUNTIFS($A$4:$A$810,$A433,$E$4:$E$810,"Win")))*SUMIFS($X$4:$X$810,$A$4:$A$810,$A433,$E$4:$E$810,"Loss"),-('Guide &amp; Settings'!$C$42/($F433-1))*$X433)))</f>
        <v>0</v>
      </c>
      <c r="K433" s="123">
        <f>IF($D433="",0,'Guide &amp; Settings'!$C$43*(IF($E433="Win",1,0)-$I433))</f>
        <v>0</v>
      </c>
      <c r="L433" s="124">
        <f>IF($D433="",0,'Guide &amp; Settings'!$C$44*IF($F433&gt;=3,$F433+IF($E433="Win",$F433,0),0))</f>
        <v>0</v>
      </c>
      <c r="M433" s="123">
        <f>IF($D433="",0,$J433+$K433+$L433)</f>
        <v>0</v>
      </c>
      <c r="N433" s="121">
        <f>IF($D433="",0,$H433+$M433)</f>
        <v>0</v>
      </c>
      <c r="O433" s="120" t="str">
        <f>IF($D433="","",IF(COUNTIFS($A$4:$A$810,$A433,$E$4:$E$810,"Win")=0,"need a winner",IF(COUNTIFS($A$4:$A$810,$A433,$E$4:$E$810,"Loss")=0,"need a loser",IF(COUNTIFS($A$4:$A$810,$A433,$D$4:$D$810,$D433)&gt;1,"duplicate player","OK"))))</f>
      </c>
      <c r="P433">
        <f>IF($D433="",0,IFERROR(SUMIFS($H$4:$H$810,$A$4:$A$810,$A433,$E$4:$E$810,"Win")/COUNTIFS($A$4:$A$810,$A433,$E$4:$E$810,"Win"),0))</f>
        <v>0</v>
      </c>
      <c r="Q433">
        <f>IF($D433="",0,1/(1+10^(($P433-$H433)/400)))</f>
        <v>0</v>
      </c>
      <c r="R433">
        <f>IF($D433="",0,(COUNTIFS($D$4:$D$810,$D433,$C$4:$C$810,$C433,$E$4:$E$810,"Win",$A$4:$A$810,"&lt;"&amp;$A433)+1)/(COUNTIFS($D$4:$D$810,$D433,$C$4:$C$810,$C433,$A$4:$A$810,"&lt;"&amp;$A433)+2))</f>
        <v>0</v>
      </c>
      <c r="S433">
        <f>IF($D433="",0,SUMIFS($R$4:$R$810,$A$4:$A$810,$A433))</f>
        <v>0</v>
      </c>
      <c r="T433" s="88">
        <f>IF($D433="",0,COUNTIFS($D$4:$D$810,$D433,$C$4:$C$810,$C433,$A$4:$A$810,"&lt;"&amp;$A433))</f>
        <v>0</v>
      </c>
      <c r="U433" s="125">
        <f>IF($D433="",0,IFERROR(LOOKUP(2,1/(($D$3:D432=$D433)*($C$3:C432=$C433)*($A$3:A432&lt;$A433)),$AB$3:AB432),1000))</f>
        <v>0</v>
      </c>
      <c r="V433" s="125">
        <f>IF($D433="",0,$U433*($T433/($T433+5))+$H433*(1-$T433/($T433+5)))</f>
        <v>0</v>
      </c>
      <c r="W433">
        <f>IF($D433="",0,IFERROR(SUMIFS($V$4:$V$810,$A$4:$A$810,$A433,$E$4:$E$810,"Win")/COUNTIFS($A$4:$A$810,$A433,$E$4:$E$810,"Win"),0))</f>
        <v>0</v>
      </c>
      <c r="X433">
        <f>IF($D433="",0,1/(1+10^(($W433-$V433)/400)))</f>
        <v>0</v>
      </c>
      <c r="Y433">
        <f>IF($D433="",0,IFERROR(SUMIFS($U$4:$U$810,$A$4:$A$810,$A433,$E$4:$E$810,"Win")/COUNTIFS($A$4:$A$810,$A433,$E$4:$E$810,"Win"),0))</f>
        <v>0</v>
      </c>
      <c r="Z433">
        <f>IF($D433="",0,1/(1+10^(($Y433-$U433)/400)))</f>
        <v>0</v>
      </c>
      <c r="AA433">
        <f>IF($D433="",0,IF($F433&lt;2,0,IF($E433="Win",('Guide &amp; Settings'!$C$42/(($F433-1)*COUNTIFS($A$4:$A$810,$A433,$E$4:$E$810,"Win")))*SUMIFS($Z$4:$Z$810,$A$4:$A$810,$A433,$E$4:$E$810,"Loss"),-('Guide &amp; Settings'!$C$42/($F433-1))*$Z433)))</f>
        <v>0</v>
      </c>
      <c r="AB433" s="125">
        <f>IF($D433="",0,$U433+$AA433)</f>
        <v>0</v>
      </c>
      <c r="AC433" s="125" t="str">
        <f>IF($D433="","",IF(SUMPRODUCT(MAX(($D$4:$D$810=$D433)*($B$4:$B$810&lt;$B433)*$B$4:$B$810))=0,0,MAX(($B433-MAX(SUMPRODUCT(MAX(($D$4:$D$810=$D433)*($B$4:$B$810&lt;$B433)*$B$4:$B$810)),'Guide &amp; Settings'!$C$50))/7-'Guide &amp; Settings'!$C$48,0)*'Guide &amp; Settings'!$C$49))</f>
      </c>
    </row>
    <row r="434" spans="1:29">
      <c r="A434" s="116"/>
      <c r="B434" s="117"/>
      <c r="C434" s="118"/>
      <c r="D434" s="118"/>
      <c r="E434" s="116"/>
      <c r="F434" s="119">
        <f>IF($D434="",0,COUNTIF($A$4:$A$810,$A434))</f>
        <v>0</v>
      </c>
      <c r="G434" s="120">
        <f>IF($D434="","",IFERROR(LOOKUP(2,1/(($A$4:$A$810=$A434)*($E$4:$E$810="Win")),$D$4:$D$810),"(no winner)"))</f>
        <v>0</v>
      </c>
      <c r="H434" s="121">
        <f>IF($D434="",0,IFERROR(LOOKUP(2,1/(($D$3:D433=$D434)*($A$3:A433&lt;$A434)),$N$3:N433),'Guide &amp; Settings'!$C$41))</f>
        <v>0</v>
      </c>
      <c r="I434" s="122">
        <f>IF($D434="",0,IF($S434=0,0,$R434/$S434))</f>
        <v>0</v>
      </c>
      <c r="J434" s="123">
        <f>IF($D434="",0,IF($F434&lt;2,0,IF($E434="Win",('Guide &amp; Settings'!$C$42/(($F434-1)*COUNTIFS($A$4:$A$810,$A434,$E$4:$E$810,"Win")))*SUMIFS($X$4:$X$810,$A$4:$A$810,$A434,$E$4:$E$810,"Loss"),-('Guide &amp; Settings'!$C$42/($F434-1))*$X434)))</f>
        <v>0</v>
      </c>
      <c r="K434" s="123">
        <f>IF($D434="",0,'Guide &amp; Settings'!$C$43*(IF($E434="Win",1,0)-$I434))</f>
        <v>0</v>
      </c>
      <c r="L434" s="124">
        <f>IF($D434="",0,'Guide &amp; Settings'!$C$44*IF($F434&gt;=3,$F434+IF($E434="Win",$F434,0),0))</f>
        <v>0</v>
      </c>
      <c r="M434" s="123">
        <f>IF($D434="",0,$J434+$K434+$L434)</f>
        <v>0</v>
      </c>
      <c r="N434" s="121">
        <f>IF($D434="",0,$H434+$M434)</f>
        <v>0</v>
      </c>
      <c r="O434" s="120" t="str">
        <f>IF($D434="","",IF(COUNTIFS($A$4:$A$810,$A434,$E$4:$E$810,"Win")=0,"need a winner",IF(COUNTIFS($A$4:$A$810,$A434,$E$4:$E$810,"Loss")=0,"need a loser",IF(COUNTIFS($A$4:$A$810,$A434,$D$4:$D$810,$D434)&gt;1,"duplicate player","OK"))))</f>
      </c>
      <c r="P434">
        <f>IF($D434="",0,IFERROR(SUMIFS($H$4:$H$810,$A$4:$A$810,$A434,$E$4:$E$810,"Win")/COUNTIFS($A$4:$A$810,$A434,$E$4:$E$810,"Win"),0))</f>
        <v>0</v>
      </c>
      <c r="Q434">
        <f>IF($D434="",0,1/(1+10^(($P434-$H434)/400)))</f>
        <v>0</v>
      </c>
      <c r="R434">
        <f>IF($D434="",0,(COUNTIFS($D$4:$D$810,$D434,$C$4:$C$810,$C434,$E$4:$E$810,"Win",$A$4:$A$810,"&lt;"&amp;$A434)+1)/(COUNTIFS($D$4:$D$810,$D434,$C$4:$C$810,$C434,$A$4:$A$810,"&lt;"&amp;$A434)+2))</f>
        <v>0</v>
      </c>
      <c r="S434">
        <f>IF($D434="",0,SUMIFS($R$4:$R$810,$A$4:$A$810,$A434))</f>
        <v>0</v>
      </c>
      <c r="T434" s="88">
        <f>IF($D434="",0,COUNTIFS($D$4:$D$810,$D434,$C$4:$C$810,$C434,$A$4:$A$810,"&lt;"&amp;$A434))</f>
        <v>0</v>
      </c>
      <c r="U434" s="125">
        <f>IF($D434="",0,IFERROR(LOOKUP(2,1/(($D$3:D433=$D434)*($C$3:C433=$C434)*($A$3:A433&lt;$A434)),$AB$3:AB433),1000))</f>
        <v>0</v>
      </c>
      <c r="V434" s="125">
        <f>IF($D434="",0,$U434*($T434/($T434+5))+$H434*(1-$T434/($T434+5)))</f>
        <v>0</v>
      </c>
      <c r="W434">
        <f>IF($D434="",0,IFERROR(SUMIFS($V$4:$V$810,$A$4:$A$810,$A434,$E$4:$E$810,"Win")/COUNTIFS($A$4:$A$810,$A434,$E$4:$E$810,"Win"),0))</f>
        <v>0</v>
      </c>
      <c r="X434">
        <f>IF($D434="",0,1/(1+10^(($W434-$V434)/400)))</f>
        <v>0</v>
      </c>
      <c r="Y434">
        <f>IF($D434="",0,IFERROR(SUMIFS($U$4:$U$810,$A$4:$A$810,$A434,$E$4:$E$810,"Win")/COUNTIFS($A$4:$A$810,$A434,$E$4:$E$810,"Win"),0))</f>
        <v>0</v>
      </c>
      <c r="Z434">
        <f>IF($D434="",0,1/(1+10^(($Y434-$U434)/400)))</f>
        <v>0</v>
      </c>
      <c r="AA434">
        <f>IF($D434="",0,IF($F434&lt;2,0,IF($E434="Win",('Guide &amp; Settings'!$C$42/(($F434-1)*COUNTIFS($A$4:$A$810,$A434,$E$4:$E$810,"Win")))*SUMIFS($Z$4:$Z$810,$A$4:$A$810,$A434,$E$4:$E$810,"Loss"),-('Guide &amp; Settings'!$C$42/($F434-1))*$Z434)))</f>
        <v>0</v>
      </c>
      <c r="AB434" s="125">
        <f>IF($D434="",0,$U434+$AA434)</f>
        <v>0</v>
      </c>
      <c r="AC434" s="125" t="str">
        <f>IF($D434="","",IF(SUMPRODUCT(MAX(($D$4:$D$810=$D434)*($B$4:$B$810&lt;$B434)*$B$4:$B$810))=0,0,MAX(($B434-MAX(SUMPRODUCT(MAX(($D$4:$D$810=$D434)*($B$4:$B$810&lt;$B434)*$B$4:$B$810)),'Guide &amp; Settings'!$C$50))/7-'Guide &amp; Settings'!$C$48,0)*'Guide &amp; Settings'!$C$49))</f>
      </c>
    </row>
    <row r="435" spans="1:29">
      <c r="A435" s="116"/>
      <c r="B435" s="117"/>
      <c r="C435" s="118"/>
      <c r="D435" s="118"/>
      <c r="E435" s="116"/>
      <c r="F435" s="119">
        <f>IF($D435="",0,COUNTIF($A$4:$A$810,$A435))</f>
        <v>0</v>
      </c>
      <c r="G435" s="120">
        <f>IF($D435="","",IFERROR(LOOKUP(2,1/(($A$4:$A$810=$A435)*($E$4:$E$810="Win")),$D$4:$D$810),"(no winner)"))</f>
        <v>0</v>
      </c>
      <c r="H435" s="121">
        <f>IF($D435="",0,IFERROR(LOOKUP(2,1/(($D$3:D434=$D435)*($A$3:A434&lt;$A435)),$N$3:N434),'Guide &amp; Settings'!$C$41))</f>
        <v>0</v>
      </c>
      <c r="I435" s="122">
        <f>IF($D435="",0,IF($S435=0,0,$R435/$S435))</f>
        <v>0</v>
      </c>
      <c r="J435" s="123">
        <f>IF($D435="",0,IF($F435&lt;2,0,IF($E435="Win",('Guide &amp; Settings'!$C$42/(($F435-1)*COUNTIFS($A$4:$A$810,$A435,$E$4:$E$810,"Win")))*SUMIFS($X$4:$X$810,$A$4:$A$810,$A435,$E$4:$E$810,"Loss"),-('Guide &amp; Settings'!$C$42/($F435-1))*$X435)))</f>
        <v>0</v>
      </c>
      <c r="K435" s="123">
        <f>IF($D435="",0,'Guide &amp; Settings'!$C$43*(IF($E435="Win",1,0)-$I435))</f>
        <v>0</v>
      </c>
      <c r="L435" s="124">
        <f>IF($D435="",0,'Guide &amp; Settings'!$C$44*IF($F435&gt;=3,$F435+IF($E435="Win",$F435,0),0))</f>
        <v>0</v>
      </c>
      <c r="M435" s="123">
        <f>IF($D435="",0,$J435+$K435+$L435)</f>
        <v>0</v>
      </c>
      <c r="N435" s="121">
        <f>IF($D435="",0,$H435+$M435)</f>
        <v>0</v>
      </c>
      <c r="O435" s="120" t="str">
        <f>IF($D435="","",IF(COUNTIFS($A$4:$A$810,$A435,$E$4:$E$810,"Win")=0,"need a winner",IF(COUNTIFS($A$4:$A$810,$A435,$E$4:$E$810,"Loss")=0,"need a loser",IF(COUNTIFS($A$4:$A$810,$A435,$D$4:$D$810,$D435)&gt;1,"duplicate player","OK"))))</f>
      </c>
      <c r="P435">
        <f>IF($D435="",0,IFERROR(SUMIFS($H$4:$H$810,$A$4:$A$810,$A435,$E$4:$E$810,"Win")/COUNTIFS($A$4:$A$810,$A435,$E$4:$E$810,"Win"),0))</f>
        <v>0</v>
      </c>
      <c r="Q435">
        <f>IF($D435="",0,1/(1+10^(($P435-$H435)/400)))</f>
        <v>0</v>
      </c>
      <c r="R435">
        <f>IF($D435="",0,(COUNTIFS($D$4:$D$810,$D435,$C$4:$C$810,$C435,$E$4:$E$810,"Win",$A$4:$A$810,"&lt;"&amp;$A435)+1)/(COUNTIFS($D$4:$D$810,$D435,$C$4:$C$810,$C435,$A$4:$A$810,"&lt;"&amp;$A435)+2))</f>
        <v>0</v>
      </c>
      <c r="S435">
        <f>IF($D435="",0,SUMIFS($R$4:$R$810,$A$4:$A$810,$A435))</f>
        <v>0</v>
      </c>
      <c r="T435" s="88">
        <f>IF($D435="",0,COUNTIFS($D$4:$D$810,$D435,$C$4:$C$810,$C435,$A$4:$A$810,"&lt;"&amp;$A435))</f>
        <v>0</v>
      </c>
      <c r="U435" s="125">
        <f>IF($D435="",0,IFERROR(LOOKUP(2,1/(($D$3:D434=$D435)*($C$3:C434=$C435)*($A$3:A434&lt;$A435)),$AB$3:AB434),1000))</f>
        <v>0</v>
      </c>
      <c r="V435" s="125">
        <f>IF($D435="",0,$U435*($T435/($T435+5))+$H435*(1-$T435/($T435+5)))</f>
        <v>0</v>
      </c>
      <c r="W435">
        <f>IF($D435="",0,IFERROR(SUMIFS($V$4:$V$810,$A$4:$A$810,$A435,$E$4:$E$810,"Win")/COUNTIFS($A$4:$A$810,$A435,$E$4:$E$810,"Win"),0))</f>
        <v>0</v>
      </c>
      <c r="X435">
        <f>IF($D435="",0,1/(1+10^(($W435-$V435)/400)))</f>
        <v>0</v>
      </c>
      <c r="Y435">
        <f>IF($D435="",0,IFERROR(SUMIFS($U$4:$U$810,$A$4:$A$810,$A435,$E$4:$E$810,"Win")/COUNTIFS($A$4:$A$810,$A435,$E$4:$E$810,"Win"),0))</f>
        <v>0</v>
      </c>
      <c r="Z435">
        <f>IF($D435="",0,1/(1+10^(($Y435-$U435)/400)))</f>
        <v>0</v>
      </c>
      <c r="AA435">
        <f>IF($D435="",0,IF($F435&lt;2,0,IF($E435="Win",('Guide &amp; Settings'!$C$42/(($F435-1)*COUNTIFS($A$4:$A$810,$A435,$E$4:$E$810,"Win")))*SUMIFS($Z$4:$Z$810,$A$4:$A$810,$A435,$E$4:$E$810,"Loss"),-('Guide &amp; Settings'!$C$42/($F435-1))*$Z435)))</f>
        <v>0</v>
      </c>
      <c r="AB435" s="125">
        <f>IF($D435="",0,$U435+$AA435)</f>
        <v>0</v>
      </c>
      <c r="AC435" s="125" t="str">
        <f>IF($D435="","",IF(SUMPRODUCT(MAX(($D$4:$D$810=$D435)*($B$4:$B$810&lt;$B435)*$B$4:$B$810))=0,0,MAX(($B435-MAX(SUMPRODUCT(MAX(($D$4:$D$810=$D435)*($B$4:$B$810&lt;$B435)*$B$4:$B$810)),'Guide &amp; Settings'!$C$50))/7-'Guide &amp; Settings'!$C$48,0)*'Guide &amp; Settings'!$C$49))</f>
      </c>
    </row>
    <row r="436" spans="1:29">
      <c r="A436" s="116"/>
      <c r="B436" s="117"/>
      <c r="C436" s="118"/>
      <c r="D436" s="118"/>
      <c r="E436" s="116"/>
      <c r="F436" s="119">
        <f>IF($D436="",0,COUNTIF($A$4:$A$810,$A436))</f>
        <v>0</v>
      </c>
      <c r="G436" s="120">
        <f>IF($D436="","",IFERROR(LOOKUP(2,1/(($A$4:$A$810=$A436)*($E$4:$E$810="Win")),$D$4:$D$810),"(no winner)"))</f>
        <v>0</v>
      </c>
      <c r="H436" s="121">
        <f>IF($D436="",0,IFERROR(LOOKUP(2,1/(($D$3:D435=$D436)*($A$3:A435&lt;$A436)),$N$3:N435),'Guide &amp; Settings'!$C$41))</f>
        <v>0</v>
      </c>
      <c r="I436" s="122">
        <f>IF($D436="",0,IF($S436=0,0,$R436/$S436))</f>
        <v>0</v>
      </c>
      <c r="J436" s="123">
        <f>IF($D436="",0,IF($F436&lt;2,0,IF($E436="Win",('Guide &amp; Settings'!$C$42/(($F436-1)*COUNTIFS($A$4:$A$810,$A436,$E$4:$E$810,"Win")))*SUMIFS($X$4:$X$810,$A$4:$A$810,$A436,$E$4:$E$810,"Loss"),-('Guide &amp; Settings'!$C$42/($F436-1))*$X436)))</f>
        <v>0</v>
      </c>
      <c r="K436" s="123">
        <f>IF($D436="",0,'Guide &amp; Settings'!$C$43*(IF($E436="Win",1,0)-$I436))</f>
        <v>0</v>
      </c>
      <c r="L436" s="124">
        <f>IF($D436="",0,'Guide &amp; Settings'!$C$44*IF($F436&gt;=3,$F436+IF($E436="Win",$F436,0),0))</f>
        <v>0</v>
      </c>
      <c r="M436" s="123">
        <f>IF($D436="",0,$J436+$K436+$L436)</f>
        <v>0</v>
      </c>
      <c r="N436" s="121">
        <f>IF($D436="",0,$H436+$M436)</f>
        <v>0</v>
      </c>
      <c r="O436" s="120" t="str">
        <f>IF($D436="","",IF(COUNTIFS($A$4:$A$810,$A436,$E$4:$E$810,"Win")=0,"need a winner",IF(COUNTIFS($A$4:$A$810,$A436,$E$4:$E$810,"Loss")=0,"need a loser",IF(COUNTIFS($A$4:$A$810,$A436,$D$4:$D$810,$D436)&gt;1,"duplicate player","OK"))))</f>
      </c>
      <c r="P436">
        <f>IF($D436="",0,IFERROR(SUMIFS($H$4:$H$810,$A$4:$A$810,$A436,$E$4:$E$810,"Win")/COUNTIFS($A$4:$A$810,$A436,$E$4:$E$810,"Win"),0))</f>
        <v>0</v>
      </c>
      <c r="Q436">
        <f>IF($D436="",0,1/(1+10^(($P436-$H436)/400)))</f>
        <v>0</v>
      </c>
      <c r="R436">
        <f>IF($D436="",0,(COUNTIFS($D$4:$D$810,$D436,$C$4:$C$810,$C436,$E$4:$E$810,"Win",$A$4:$A$810,"&lt;"&amp;$A436)+1)/(COUNTIFS($D$4:$D$810,$D436,$C$4:$C$810,$C436,$A$4:$A$810,"&lt;"&amp;$A436)+2))</f>
        <v>0</v>
      </c>
      <c r="S436">
        <f>IF($D436="",0,SUMIFS($R$4:$R$810,$A$4:$A$810,$A436))</f>
        <v>0</v>
      </c>
      <c r="T436" s="88">
        <f>IF($D436="",0,COUNTIFS($D$4:$D$810,$D436,$C$4:$C$810,$C436,$A$4:$A$810,"&lt;"&amp;$A436))</f>
        <v>0</v>
      </c>
      <c r="U436" s="125">
        <f>IF($D436="",0,IFERROR(LOOKUP(2,1/(($D$3:D435=$D436)*($C$3:C435=$C436)*($A$3:A435&lt;$A436)),$AB$3:AB435),1000))</f>
        <v>0</v>
      </c>
      <c r="V436" s="125">
        <f>IF($D436="",0,$U436*($T436/($T436+5))+$H436*(1-$T436/($T436+5)))</f>
        <v>0</v>
      </c>
      <c r="W436">
        <f>IF($D436="",0,IFERROR(SUMIFS($V$4:$V$810,$A$4:$A$810,$A436,$E$4:$E$810,"Win")/COUNTIFS($A$4:$A$810,$A436,$E$4:$E$810,"Win"),0))</f>
        <v>0</v>
      </c>
      <c r="X436">
        <f>IF($D436="",0,1/(1+10^(($W436-$V436)/400)))</f>
        <v>0</v>
      </c>
      <c r="Y436">
        <f>IF($D436="",0,IFERROR(SUMIFS($U$4:$U$810,$A$4:$A$810,$A436,$E$4:$E$810,"Win")/COUNTIFS($A$4:$A$810,$A436,$E$4:$E$810,"Win"),0))</f>
        <v>0</v>
      </c>
      <c r="Z436">
        <f>IF($D436="",0,1/(1+10^(($Y436-$U436)/400)))</f>
        <v>0</v>
      </c>
      <c r="AA436">
        <f>IF($D436="",0,IF($F436&lt;2,0,IF($E436="Win",('Guide &amp; Settings'!$C$42/(($F436-1)*COUNTIFS($A$4:$A$810,$A436,$E$4:$E$810,"Win")))*SUMIFS($Z$4:$Z$810,$A$4:$A$810,$A436,$E$4:$E$810,"Loss"),-('Guide &amp; Settings'!$C$42/($F436-1))*$Z436)))</f>
        <v>0</v>
      </c>
      <c r="AB436" s="125">
        <f>IF($D436="",0,$U436+$AA436)</f>
        <v>0</v>
      </c>
      <c r="AC436" s="125" t="str">
        <f>IF($D436="","",IF(SUMPRODUCT(MAX(($D$4:$D$810=$D436)*($B$4:$B$810&lt;$B436)*$B$4:$B$810))=0,0,MAX(($B436-MAX(SUMPRODUCT(MAX(($D$4:$D$810=$D436)*($B$4:$B$810&lt;$B436)*$B$4:$B$810)),'Guide &amp; Settings'!$C$50))/7-'Guide &amp; Settings'!$C$48,0)*'Guide &amp; Settings'!$C$49))</f>
      </c>
    </row>
    <row r="437" spans="1:29">
      <c r="A437" s="116"/>
      <c r="B437" s="117"/>
      <c r="C437" s="118"/>
      <c r="D437" s="118"/>
      <c r="E437" s="116"/>
      <c r="F437" s="119">
        <f>IF($D437="",0,COUNTIF($A$4:$A$810,$A437))</f>
        <v>0</v>
      </c>
      <c r="G437" s="120">
        <f>IF($D437="","",IFERROR(LOOKUP(2,1/(($A$4:$A$810=$A437)*($E$4:$E$810="Win")),$D$4:$D$810),"(no winner)"))</f>
        <v>0</v>
      </c>
      <c r="H437" s="121">
        <f>IF($D437="",0,IFERROR(LOOKUP(2,1/(($D$3:D436=$D437)*($A$3:A436&lt;$A437)),$N$3:N436),'Guide &amp; Settings'!$C$41))</f>
        <v>0</v>
      </c>
      <c r="I437" s="122">
        <f>IF($D437="",0,IF($S437=0,0,$R437/$S437))</f>
        <v>0</v>
      </c>
      <c r="J437" s="123">
        <f>IF($D437="",0,IF($F437&lt;2,0,IF($E437="Win",('Guide &amp; Settings'!$C$42/(($F437-1)*COUNTIFS($A$4:$A$810,$A437,$E$4:$E$810,"Win")))*SUMIFS($X$4:$X$810,$A$4:$A$810,$A437,$E$4:$E$810,"Loss"),-('Guide &amp; Settings'!$C$42/($F437-1))*$X437)))</f>
        <v>0</v>
      </c>
      <c r="K437" s="123">
        <f>IF($D437="",0,'Guide &amp; Settings'!$C$43*(IF($E437="Win",1,0)-$I437))</f>
        <v>0</v>
      </c>
      <c r="L437" s="124">
        <f>IF($D437="",0,'Guide &amp; Settings'!$C$44*IF($F437&gt;=3,$F437+IF($E437="Win",$F437,0),0))</f>
        <v>0</v>
      </c>
      <c r="M437" s="123">
        <f>IF($D437="",0,$J437+$K437+$L437)</f>
        <v>0</v>
      </c>
      <c r="N437" s="121">
        <f>IF($D437="",0,$H437+$M437)</f>
        <v>0</v>
      </c>
      <c r="O437" s="120" t="str">
        <f>IF($D437="","",IF(COUNTIFS($A$4:$A$810,$A437,$E$4:$E$810,"Win")=0,"need a winner",IF(COUNTIFS($A$4:$A$810,$A437,$E$4:$E$810,"Loss")=0,"need a loser",IF(COUNTIFS($A$4:$A$810,$A437,$D$4:$D$810,$D437)&gt;1,"duplicate player","OK"))))</f>
      </c>
      <c r="P437">
        <f>IF($D437="",0,IFERROR(SUMIFS($H$4:$H$810,$A$4:$A$810,$A437,$E$4:$E$810,"Win")/COUNTIFS($A$4:$A$810,$A437,$E$4:$E$810,"Win"),0))</f>
        <v>0</v>
      </c>
      <c r="Q437">
        <f>IF($D437="",0,1/(1+10^(($P437-$H437)/400)))</f>
        <v>0</v>
      </c>
      <c r="R437">
        <f>IF($D437="",0,(COUNTIFS($D$4:$D$810,$D437,$C$4:$C$810,$C437,$E$4:$E$810,"Win",$A$4:$A$810,"&lt;"&amp;$A437)+1)/(COUNTIFS($D$4:$D$810,$D437,$C$4:$C$810,$C437,$A$4:$A$810,"&lt;"&amp;$A437)+2))</f>
        <v>0</v>
      </c>
      <c r="S437">
        <f>IF($D437="",0,SUMIFS($R$4:$R$810,$A$4:$A$810,$A437))</f>
        <v>0</v>
      </c>
      <c r="T437" s="88">
        <f>IF($D437="",0,COUNTIFS($D$4:$D$810,$D437,$C$4:$C$810,$C437,$A$4:$A$810,"&lt;"&amp;$A437))</f>
        <v>0</v>
      </c>
      <c r="U437" s="125">
        <f>IF($D437="",0,IFERROR(LOOKUP(2,1/(($D$3:D436=$D437)*($C$3:C436=$C437)*($A$3:A436&lt;$A437)),$AB$3:AB436),1000))</f>
        <v>0</v>
      </c>
      <c r="V437" s="125">
        <f>IF($D437="",0,$U437*($T437/($T437+5))+$H437*(1-$T437/($T437+5)))</f>
        <v>0</v>
      </c>
      <c r="W437">
        <f>IF($D437="",0,IFERROR(SUMIFS($V$4:$V$810,$A$4:$A$810,$A437,$E$4:$E$810,"Win")/COUNTIFS($A$4:$A$810,$A437,$E$4:$E$810,"Win"),0))</f>
        <v>0</v>
      </c>
      <c r="X437">
        <f>IF($D437="",0,1/(1+10^(($W437-$V437)/400)))</f>
        <v>0</v>
      </c>
      <c r="Y437">
        <f>IF($D437="",0,IFERROR(SUMIFS($U$4:$U$810,$A$4:$A$810,$A437,$E$4:$E$810,"Win")/COUNTIFS($A$4:$A$810,$A437,$E$4:$E$810,"Win"),0))</f>
        <v>0</v>
      </c>
      <c r="Z437">
        <f>IF($D437="",0,1/(1+10^(($Y437-$U437)/400)))</f>
        <v>0</v>
      </c>
      <c r="AA437">
        <f>IF($D437="",0,IF($F437&lt;2,0,IF($E437="Win",('Guide &amp; Settings'!$C$42/(($F437-1)*COUNTIFS($A$4:$A$810,$A437,$E$4:$E$810,"Win")))*SUMIFS($Z$4:$Z$810,$A$4:$A$810,$A437,$E$4:$E$810,"Loss"),-('Guide &amp; Settings'!$C$42/($F437-1))*$Z437)))</f>
        <v>0</v>
      </c>
      <c r="AB437" s="125">
        <f>IF($D437="",0,$U437+$AA437)</f>
        <v>0</v>
      </c>
      <c r="AC437" s="125" t="str">
        <f>IF($D437="","",IF(SUMPRODUCT(MAX(($D$4:$D$810=$D437)*($B$4:$B$810&lt;$B437)*$B$4:$B$810))=0,0,MAX(($B437-MAX(SUMPRODUCT(MAX(($D$4:$D$810=$D437)*($B$4:$B$810&lt;$B437)*$B$4:$B$810)),'Guide &amp; Settings'!$C$50))/7-'Guide &amp; Settings'!$C$48,0)*'Guide &amp; Settings'!$C$49))</f>
      </c>
    </row>
    <row r="438" spans="1:29">
      <c r="A438" s="116"/>
      <c r="B438" s="117"/>
      <c r="C438" s="118"/>
      <c r="D438" s="118"/>
      <c r="E438" s="116"/>
      <c r="F438" s="119">
        <f>IF($D438="",0,COUNTIF($A$4:$A$810,$A438))</f>
        <v>0</v>
      </c>
      <c r="G438" s="120">
        <f>IF($D438="","",IFERROR(LOOKUP(2,1/(($A$4:$A$810=$A438)*($E$4:$E$810="Win")),$D$4:$D$810),"(no winner)"))</f>
        <v>0</v>
      </c>
      <c r="H438" s="121">
        <f>IF($D438="",0,IFERROR(LOOKUP(2,1/(($D$3:D437=$D438)*($A$3:A437&lt;$A438)),$N$3:N437),'Guide &amp; Settings'!$C$41))</f>
        <v>0</v>
      </c>
      <c r="I438" s="122">
        <f>IF($D438="",0,IF($S438=0,0,$R438/$S438))</f>
        <v>0</v>
      </c>
      <c r="J438" s="123">
        <f>IF($D438="",0,IF($F438&lt;2,0,IF($E438="Win",('Guide &amp; Settings'!$C$42/(($F438-1)*COUNTIFS($A$4:$A$810,$A438,$E$4:$E$810,"Win")))*SUMIFS($X$4:$X$810,$A$4:$A$810,$A438,$E$4:$E$810,"Loss"),-('Guide &amp; Settings'!$C$42/($F438-1))*$X438)))</f>
        <v>0</v>
      </c>
      <c r="K438" s="123">
        <f>IF($D438="",0,'Guide &amp; Settings'!$C$43*(IF($E438="Win",1,0)-$I438))</f>
        <v>0</v>
      </c>
      <c r="L438" s="124">
        <f>IF($D438="",0,'Guide &amp; Settings'!$C$44*IF($F438&gt;=3,$F438+IF($E438="Win",$F438,0),0))</f>
        <v>0</v>
      </c>
      <c r="M438" s="123">
        <f>IF($D438="",0,$J438+$K438+$L438)</f>
        <v>0</v>
      </c>
      <c r="N438" s="121">
        <f>IF($D438="",0,$H438+$M438)</f>
        <v>0</v>
      </c>
      <c r="O438" s="120" t="str">
        <f>IF($D438="","",IF(COUNTIFS($A$4:$A$810,$A438,$E$4:$E$810,"Win")=0,"need a winner",IF(COUNTIFS($A$4:$A$810,$A438,$E$4:$E$810,"Loss")=0,"need a loser",IF(COUNTIFS($A$4:$A$810,$A438,$D$4:$D$810,$D438)&gt;1,"duplicate player","OK"))))</f>
      </c>
      <c r="P438">
        <f>IF($D438="",0,IFERROR(SUMIFS($H$4:$H$810,$A$4:$A$810,$A438,$E$4:$E$810,"Win")/COUNTIFS($A$4:$A$810,$A438,$E$4:$E$810,"Win"),0))</f>
        <v>0</v>
      </c>
      <c r="Q438">
        <f>IF($D438="",0,1/(1+10^(($P438-$H438)/400)))</f>
        <v>0</v>
      </c>
      <c r="R438">
        <f>IF($D438="",0,(COUNTIFS($D$4:$D$810,$D438,$C$4:$C$810,$C438,$E$4:$E$810,"Win",$A$4:$A$810,"&lt;"&amp;$A438)+1)/(COUNTIFS($D$4:$D$810,$D438,$C$4:$C$810,$C438,$A$4:$A$810,"&lt;"&amp;$A438)+2))</f>
        <v>0</v>
      </c>
      <c r="S438">
        <f>IF($D438="",0,SUMIFS($R$4:$R$810,$A$4:$A$810,$A438))</f>
        <v>0</v>
      </c>
      <c r="T438" s="88">
        <f>IF($D438="",0,COUNTIFS($D$4:$D$810,$D438,$C$4:$C$810,$C438,$A$4:$A$810,"&lt;"&amp;$A438))</f>
        <v>0</v>
      </c>
      <c r="U438" s="125">
        <f>IF($D438="",0,IFERROR(LOOKUP(2,1/(($D$3:D437=$D438)*($C$3:C437=$C438)*($A$3:A437&lt;$A438)),$AB$3:AB437),1000))</f>
        <v>0</v>
      </c>
      <c r="V438" s="125">
        <f>IF($D438="",0,$U438*($T438/($T438+5))+$H438*(1-$T438/($T438+5)))</f>
        <v>0</v>
      </c>
      <c r="W438">
        <f>IF($D438="",0,IFERROR(SUMIFS($V$4:$V$810,$A$4:$A$810,$A438,$E$4:$E$810,"Win")/COUNTIFS($A$4:$A$810,$A438,$E$4:$E$810,"Win"),0))</f>
        <v>0</v>
      </c>
      <c r="X438">
        <f>IF($D438="",0,1/(1+10^(($W438-$V438)/400)))</f>
        <v>0</v>
      </c>
      <c r="Y438">
        <f>IF($D438="",0,IFERROR(SUMIFS($U$4:$U$810,$A$4:$A$810,$A438,$E$4:$E$810,"Win")/COUNTIFS($A$4:$A$810,$A438,$E$4:$E$810,"Win"),0))</f>
        <v>0</v>
      </c>
      <c r="Z438">
        <f>IF($D438="",0,1/(1+10^(($Y438-$U438)/400)))</f>
        <v>0</v>
      </c>
      <c r="AA438">
        <f>IF($D438="",0,IF($F438&lt;2,0,IF($E438="Win",('Guide &amp; Settings'!$C$42/(($F438-1)*COUNTIFS($A$4:$A$810,$A438,$E$4:$E$810,"Win")))*SUMIFS($Z$4:$Z$810,$A$4:$A$810,$A438,$E$4:$E$810,"Loss"),-('Guide &amp; Settings'!$C$42/($F438-1))*$Z438)))</f>
        <v>0</v>
      </c>
      <c r="AB438" s="125">
        <f>IF($D438="",0,$U438+$AA438)</f>
        <v>0</v>
      </c>
      <c r="AC438" s="125" t="str">
        <f>IF($D438="","",IF(SUMPRODUCT(MAX(($D$4:$D$810=$D438)*($B$4:$B$810&lt;$B438)*$B$4:$B$810))=0,0,MAX(($B438-MAX(SUMPRODUCT(MAX(($D$4:$D$810=$D438)*($B$4:$B$810&lt;$B438)*$B$4:$B$810)),'Guide &amp; Settings'!$C$50))/7-'Guide &amp; Settings'!$C$48,0)*'Guide &amp; Settings'!$C$49))</f>
      </c>
    </row>
    <row r="439" spans="1:29">
      <c r="A439" s="116"/>
      <c r="B439" s="117"/>
      <c r="C439" s="118"/>
      <c r="D439" s="118"/>
      <c r="E439" s="116"/>
      <c r="F439" s="119">
        <f>IF($D439="",0,COUNTIF($A$4:$A$810,$A439))</f>
        <v>0</v>
      </c>
      <c r="G439" s="120">
        <f>IF($D439="","",IFERROR(LOOKUP(2,1/(($A$4:$A$810=$A439)*($E$4:$E$810="Win")),$D$4:$D$810),"(no winner)"))</f>
        <v>0</v>
      </c>
      <c r="H439" s="121">
        <f>IF($D439="",0,IFERROR(LOOKUP(2,1/(($D$3:D438=$D439)*($A$3:A438&lt;$A439)),$N$3:N438),'Guide &amp; Settings'!$C$41))</f>
        <v>0</v>
      </c>
      <c r="I439" s="122">
        <f>IF($D439="",0,IF($S439=0,0,$R439/$S439))</f>
        <v>0</v>
      </c>
      <c r="J439" s="123">
        <f>IF($D439="",0,IF($F439&lt;2,0,IF($E439="Win",('Guide &amp; Settings'!$C$42/(($F439-1)*COUNTIFS($A$4:$A$810,$A439,$E$4:$E$810,"Win")))*SUMIFS($X$4:$X$810,$A$4:$A$810,$A439,$E$4:$E$810,"Loss"),-('Guide &amp; Settings'!$C$42/($F439-1))*$X439)))</f>
        <v>0</v>
      </c>
      <c r="K439" s="123">
        <f>IF($D439="",0,'Guide &amp; Settings'!$C$43*(IF($E439="Win",1,0)-$I439))</f>
        <v>0</v>
      </c>
      <c r="L439" s="124">
        <f>IF($D439="",0,'Guide &amp; Settings'!$C$44*IF($F439&gt;=3,$F439+IF($E439="Win",$F439,0),0))</f>
        <v>0</v>
      </c>
      <c r="M439" s="123">
        <f>IF($D439="",0,$J439+$K439+$L439)</f>
        <v>0</v>
      </c>
      <c r="N439" s="121">
        <f>IF($D439="",0,$H439+$M439)</f>
        <v>0</v>
      </c>
      <c r="O439" s="120" t="str">
        <f>IF($D439="","",IF(COUNTIFS($A$4:$A$810,$A439,$E$4:$E$810,"Win")=0,"need a winner",IF(COUNTIFS($A$4:$A$810,$A439,$E$4:$E$810,"Loss")=0,"need a loser",IF(COUNTIFS($A$4:$A$810,$A439,$D$4:$D$810,$D439)&gt;1,"duplicate player","OK"))))</f>
      </c>
      <c r="P439">
        <f>IF($D439="",0,IFERROR(SUMIFS($H$4:$H$810,$A$4:$A$810,$A439,$E$4:$E$810,"Win")/COUNTIFS($A$4:$A$810,$A439,$E$4:$E$810,"Win"),0))</f>
        <v>0</v>
      </c>
      <c r="Q439">
        <f>IF($D439="",0,1/(1+10^(($P439-$H439)/400)))</f>
        <v>0</v>
      </c>
      <c r="R439">
        <f>IF($D439="",0,(COUNTIFS($D$4:$D$810,$D439,$C$4:$C$810,$C439,$E$4:$E$810,"Win",$A$4:$A$810,"&lt;"&amp;$A439)+1)/(COUNTIFS($D$4:$D$810,$D439,$C$4:$C$810,$C439,$A$4:$A$810,"&lt;"&amp;$A439)+2))</f>
        <v>0</v>
      </c>
      <c r="S439">
        <f>IF($D439="",0,SUMIFS($R$4:$R$810,$A$4:$A$810,$A439))</f>
        <v>0</v>
      </c>
      <c r="T439" s="88">
        <f>IF($D439="",0,COUNTIFS($D$4:$D$810,$D439,$C$4:$C$810,$C439,$A$4:$A$810,"&lt;"&amp;$A439))</f>
        <v>0</v>
      </c>
      <c r="U439" s="125">
        <f>IF($D439="",0,IFERROR(LOOKUP(2,1/(($D$3:D438=$D439)*($C$3:C438=$C439)*($A$3:A438&lt;$A439)),$AB$3:AB438),1000))</f>
        <v>0</v>
      </c>
      <c r="V439" s="125">
        <f>IF($D439="",0,$U439*($T439/($T439+5))+$H439*(1-$T439/($T439+5)))</f>
        <v>0</v>
      </c>
      <c r="W439">
        <f>IF($D439="",0,IFERROR(SUMIFS($V$4:$V$810,$A$4:$A$810,$A439,$E$4:$E$810,"Win")/COUNTIFS($A$4:$A$810,$A439,$E$4:$E$810,"Win"),0))</f>
        <v>0</v>
      </c>
      <c r="X439">
        <f>IF($D439="",0,1/(1+10^(($W439-$V439)/400)))</f>
        <v>0</v>
      </c>
      <c r="Y439">
        <f>IF($D439="",0,IFERROR(SUMIFS($U$4:$U$810,$A$4:$A$810,$A439,$E$4:$E$810,"Win")/COUNTIFS($A$4:$A$810,$A439,$E$4:$E$810,"Win"),0))</f>
        <v>0</v>
      </c>
      <c r="Z439">
        <f>IF($D439="",0,1/(1+10^(($Y439-$U439)/400)))</f>
        <v>0</v>
      </c>
      <c r="AA439">
        <f>IF($D439="",0,IF($F439&lt;2,0,IF($E439="Win",('Guide &amp; Settings'!$C$42/(($F439-1)*COUNTIFS($A$4:$A$810,$A439,$E$4:$E$810,"Win")))*SUMIFS($Z$4:$Z$810,$A$4:$A$810,$A439,$E$4:$E$810,"Loss"),-('Guide &amp; Settings'!$C$42/($F439-1))*$Z439)))</f>
        <v>0</v>
      </c>
      <c r="AB439" s="125">
        <f>IF($D439="",0,$U439+$AA439)</f>
        <v>0</v>
      </c>
      <c r="AC439" s="125" t="str">
        <f>IF($D439="","",IF(SUMPRODUCT(MAX(($D$4:$D$810=$D439)*($B$4:$B$810&lt;$B439)*$B$4:$B$810))=0,0,MAX(($B439-MAX(SUMPRODUCT(MAX(($D$4:$D$810=$D439)*($B$4:$B$810&lt;$B439)*$B$4:$B$810)),'Guide &amp; Settings'!$C$50))/7-'Guide &amp; Settings'!$C$48,0)*'Guide &amp; Settings'!$C$49))</f>
      </c>
    </row>
    <row r="440" spans="1:29">
      <c r="A440" s="116"/>
      <c r="B440" s="117"/>
      <c r="C440" s="118"/>
      <c r="D440" s="118"/>
      <c r="E440" s="116"/>
      <c r="F440" s="119">
        <f>IF($D440="",0,COUNTIF($A$4:$A$810,$A440))</f>
        <v>0</v>
      </c>
      <c r="G440" s="120">
        <f>IF($D440="","",IFERROR(LOOKUP(2,1/(($A$4:$A$810=$A440)*($E$4:$E$810="Win")),$D$4:$D$810),"(no winner)"))</f>
        <v>0</v>
      </c>
      <c r="H440" s="121">
        <f>IF($D440="",0,IFERROR(LOOKUP(2,1/(($D$3:D439=$D440)*($A$3:A439&lt;$A440)),$N$3:N439),'Guide &amp; Settings'!$C$41))</f>
        <v>0</v>
      </c>
      <c r="I440" s="122">
        <f>IF($D440="",0,IF($S440=0,0,$R440/$S440))</f>
        <v>0</v>
      </c>
      <c r="J440" s="123">
        <f>IF($D440="",0,IF($F440&lt;2,0,IF($E440="Win",('Guide &amp; Settings'!$C$42/(($F440-1)*COUNTIFS($A$4:$A$810,$A440,$E$4:$E$810,"Win")))*SUMIFS($X$4:$X$810,$A$4:$A$810,$A440,$E$4:$E$810,"Loss"),-('Guide &amp; Settings'!$C$42/($F440-1))*$X440)))</f>
        <v>0</v>
      </c>
      <c r="K440" s="123">
        <f>IF($D440="",0,'Guide &amp; Settings'!$C$43*(IF($E440="Win",1,0)-$I440))</f>
        <v>0</v>
      </c>
      <c r="L440" s="124">
        <f>IF($D440="",0,'Guide &amp; Settings'!$C$44*IF($F440&gt;=3,$F440+IF($E440="Win",$F440,0),0))</f>
        <v>0</v>
      </c>
      <c r="M440" s="123">
        <f>IF($D440="",0,$J440+$K440+$L440)</f>
        <v>0</v>
      </c>
      <c r="N440" s="121">
        <f>IF($D440="",0,$H440+$M440)</f>
        <v>0</v>
      </c>
      <c r="O440" s="120" t="str">
        <f>IF($D440="","",IF(COUNTIFS($A$4:$A$810,$A440,$E$4:$E$810,"Win")=0,"need a winner",IF(COUNTIFS($A$4:$A$810,$A440,$E$4:$E$810,"Loss")=0,"need a loser",IF(COUNTIFS($A$4:$A$810,$A440,$D$4:$D$810,$D440)&gt;1,"duplicate player","OK"))))</f>
      </c>
      <c r="P440">
        <f>IF($D440="",0,IFERROR(SUMIFS($H$4:$H$810,$A$4:$A$810,$A440,$E$4:$E$810,"Win")/COUNTIFS($A$4:$A$810,$A440,$E$4:$E$810,"Win"),0))</f>
        <v>0</v>
      </c>
      <c r="Q440">
        <f>IF($D440="",0,1/(1+10^(($P440-$H440)/400)))</f>
        <v>0</v>
      </c>
      <c r="R440">
        <f>IF($D440="",0,(COUNTIFS($D$4:$D$810,$D440,$C$4:$C$810,$C440,$E$4:$E$810,"Win",$A$4:$A$810,"&lt;"&amp;$A440)+1)/(COUNTIFS($D$4:$D$810,$D440,$C$4:$C$810,$C440,$A$4:$A$810,"&lt;"&amp;$A440)+2))</f>
        <v>0</v>
      </c>
      <c r="S440">
        <f>IF($D440="",0,SUMIFS($R$4:$R$810,$A$4:$A$810,$A440))</f>
        <v>0</v>
      </c>
      <c r="T440" s="88">
        <f>IF($D440="",0,COUNTIFS($D$4:$D$810,$D440,$C$4:$C$810,$C440,$A$4:$A$810,"&lt;"&amp;$A440))</f>
        <v>0</v>
      </c>
      <c r="U440" s="125">
        <f>IF($D440="",0,IFERROR(LOOKUP(2,1/(($D$3:D439=$D440)*($C$3:C439=$C440)*($A$3:A439&lt;$A440)),$AB$3:AB439),1000))</f>
        <v>0</v>
      </c>
      <c r="V440" s="125">
        <f>IF($D440="",0,$U440*($T440/($T440+5))+$H440*(1-$T440/($T440+5)))</f>
        <v>0</v>
      </c>
      <c r="W440">
        <f>IF($D440="",0,IFERROR(SUMIFS($V$4:$V$810,$A$4:$A$810,$A440,$E$4:$E$810,"Win")/COUNTIFS($A$4:$A$810,$A440,$E$4:$E$810,"Win"),0))</f>
        <v>0</v>
      </c>
      <c r="X440">
        <f>IF($D440="",0,1/(1+10^(($W440-$V440)/400)))</f>
        <v>0</v>
      </c>
      <c r="Y440">
        <f>IF($D440="",0,IFERROR(SUMIFS($U$4:$U$810,$A$4:$A$810,$A440,$E$4:$E$810,"Win")/COUNTIFS($A$4:$A$810,$A440,$E$4:$E$810,"Win"),0))</f>
        <v>0</v>
      </c>
      <c r="Z440">
        <f>IF($D440="",0,1/(1+10^(($Y440-$U440)/400)))</f>
        <v>0</v>
      </c>
      <c r="AA440">
        <f>IF($D440="",0,IF($F440&lt;2,0,IF($E440="Win",('Guide &amp; Settings'!$C$42/(($F440-1)*COUNTIFS($A$4:$A$810,$A440,$E$4:$E$810,"Win")))*SUMIFS($Z$4:$Z$810,$A$4:$A$810,$A440,$E$4:$E$810,"Loss"),-('Guide &amp; Settings'!$C$42/($F440-1))*$Z440)))</f>
        <v>0</v>
      </c>
      <c r="AB440" s="125">
        <f>IF($D440="",0,$U440+$AA440)</f>
        <v>0</v>
      </c>
      <c r="AC440" s="125" t="str">
        <f>IF($D440="","",IF(SUMPRODUCT(MAX(($D$4:$D$810=$D440)*($B$4:$B$810&lt;$B440)*$B$4:$B$810))=0,0,MAX(($B440-MAX(SUMPRODUCT(MAX(($D$4:$D$810=$D440)*($B$4:$B$810&lt;$B440)*$B$4:$B$810)),'Guide &amp; Settings'!$C$50))/7-'Guide &amp; Settings'!$C$48,0)*'Guide &amp; Settings'!$C$49))</f>
      </c>
    </row>
    <row r="441" spans="1:29">
      <c r="A441" s="116"/>
      <c r="B441" s="117"/>
      <c r="C441" s="118"/>
      <c r="D441" s="118"/>
      <c r="E441" s="116"/>
      <c r="F441" s="119">
        <f>IF($D441="",0,COUNTIF($A$4:$A$810,$A441))</f>
        <v>0</v>
      </c>
      <c r="G441" s="120">
        <f>IF($D441="","",IFERROR(LOOKUP(2,1/(($A$4:$A$810=$A441)*($E$4:$E$810="Win")),$D$4:$D$810),"(no winner)"))</f>
        <v>0</v>
      </c>
      <c r="H441" s="121">
        <f>IF($D441="",0,IFERROR(LOOKUP(2,1/(($D$3:D440=$D441)*($A$3:A440&lt;$A441)),$N$3:N440),'Guide &amp; Settings'!$C$41))</f>
        <v>0</v>
      </c>
      <c r="I441" s="122">
        <f>IF($D441="",0,IF($S441=0,0,$R441/$S441))</f>
        <v>0</v>
      </c>
      <c r="J441" s="123">
        <f>IF($D441="",0,IF($F441&lt;2,0,IF($E441="Win",('Guide &amp; Settings'!$C$42/(($F441-1)*COUNTIFS($A$4:$A$810,$A441,$E$4:$E$810,"Win")))*SUMIFS($X$4:$X$810,$A$4:$A$810,$A441,$E$4:$E$810,"Loss"),-('Guide &amp; Settings'!$C$42/($F441-1))*$X441)))</f>
        <v>0</v>
      </c>
      <c r="K441" s="123">
        <f>IF($D441="",0,'Guide &amp; Settings'!$C$43*(IF($E441="Win",1,0)-$I441))</f>
        <v>0</v>
      </c>
      <c r="L441" s="124">
        <f>IF($D441="",0,'Guide &amp; Settings'!$C$44*IF($F441&gt;=3,$F441+IF($E441="Win",$F441,0),0))</f>
        <v>0</v>
      </c>
      <c r="M441" s="123">
        <f>IF($D441="",0,$J441+$K441+$L441)</f>
        <v>0</v>
      </c>
      <c r="N441" s="121">
        <f>IF($D441="",0,$H441+$M441)</f>
        <v>0</v>
      </c>
      <c r="O441" s="120" t="str">
        <f>IF($D441="","",IF(COUNTIFS($A$4:$A$810,$A441,$E$4:$E$810,"Win")=0,"need a winner",IF(COUNTIFS($A$4:$A$810,$A441,$E$4:$E$810,"Loss")=0,"need a loser",IF(COUNTIFS($A$4:$A$810,$A441,$D$4:$D$810,$D441)&gt;1,"duplicate player","OK"))))</f>
      </c>
      <c r="P441">
        <f>IF($D441="",0,IFERROR(SUMIFS($H$4:$H$810,$A$4:$A$810,$A441,$E$4:$E$810,"Win")/COUNTIFS($A$4:$A$810,$A441,$E$4:$E$810,"Win"),0))</f>
        <v>0</v>
      </c>
      <c r="Q441">
        <f>IF($D441="",0,1/(1+10^(($P441-$H441)/400)))</f>
        <v>0</v>
      </c>
      <c r="R441">
        <f>IF($D441="",0,(COUNTIFS($D$4:$D$810,$D441,$C$4:$C$810,$C441,$E$4:$E$810,"Win",$A$4:$A$810,"&lt;"&amp;$A441)+1)/(COUNTIFS($D$4:$D$810,$D441,$C$4:$C$810,$C441,$A$4:$A$810,"&lt;"&amp;$A441)+2))</f>
        <v>0</v>
      </c>
      <c r="S441">
        <f>IF($D441="",0,SUMIFS($R$4:$R$810,$A$4:$A$810,$A441))</f>
        <v>0</v>
      </c>
      <c r="T441" s="88">
        <f>IF($D441="",0,COUNTIFS($D$4:$D$810,$D441,$C$4:$C$810,$C441,$A$4:$A$810,"&lt;"&amp;$A441))</f>
        <v>0</v>
      </c>
      <c r="U441" s="125">
        <f>IF($D441="",0,IFERROR(LOOKUP(2,1/(($D$3:D440=$D441)*($C$3:C440=$C441)*($A$3:A440&lt;$A441)),$AB$3:AB440),1000))</f>
        <v>0</v>
      </c>
      <c r="V441" s="125">
        <f>IF($D441="",0,$U441*($T441/($T441+5))+$H441*(1-$T441/($T441+5)))</f>
        <v>0</v>
      </c>
      <c r="W441">
        <f>IF($D441="",0,IFERROR(SUMIFS($V$4:$V$810,$A$4:$A$810,$A441,$E$4:$E$810,"Win")/COUNTIFS($A$4:$A$810,$A441,$E$4:$E$810,"Win"),0))</f>
        <v>0</v>
      </c>
      <c r="X441">
        <f>IF($D441="",0,1/(1+10^(($W441-$V441)/400)))</f>
        <v>0</v>
      </c>
      <c r="Y441">
        <f>IF($D441="",0,IFERROR(SUMIFS($U$4:$U$810,$A$4:$A$810,$A441,$E$4:$E$810,"Win")/COUNTIFS($A$4:$A$810,$A441,$E$4:$E$810,"Win"),0))</f>
        <v>0</v>
      </c>
      <c r="Z441">
        <f>IF($D441="",0,1/(1+10^(($Y441-$U441)/400)))</f>
        <v>0</v>
      </c>
      <c r="AA441">
        <f>IF($D441="",0,IF($F441&lt;2,0,IF($E441="Win",('Guide &amp; Settings'!$C$42/(($F441-1)*COUNTIFS($A$4:$A$810,$A441,$E$4:$E$810,"Win")))*SUMIFS($Z$4:$Z$810,$A$4:$A$810,$A441,$E$4:$E$810,"Loss"),-('Guide &amp; Settings'!$C$42/($F441-1))*$Z441)))</f>
        <v>0</v>
      </c>
      <c r="AB441" s="125">
        <f>IF($D441="",0,$U441+$AA441)</f>
        <v>0</v>
      </c>
      <c r="AC441" s="125" t="str">
        <f>IF($D441="","",IF(SUMPRODUCT(MAX(($D$4:$D$810=$D441)*($B$4:$B$810&lt;$B441)*$B$4:$B$810))=0,0,MAX(($B441-MAX(SUMPRODUCT(MAX(($D$4:$D$810=$D441)*($B$4:$B$810&lt;$B441)*$B$4:$B$810)),'Guide &amp; Settings'!$C$50))/7-'Guide &amp; Settings'!$C$48,0)*'Guide &amp; Settings'!$C$49))</f>
      </c>
    </row>
    <row r="442" spans="1:29">
      <c r="A442" s="116"/>
      <c r="B442" s="117"/>
      <c r="C442" s="118"/>
      <c r="D442" s="118"/>
      <c r="E442" s="116"/>
      <c r="F442" s="119">
        <f>IF($D442="",0,COUNTIF($A$4:$A$810,$A442))</f>
        <v>0</v>
      </c>
      <c r="G442" s="120">
        <f>IF($D442="","",IFERROR(LOOKUP(2,1/(($A$4:$A$810=$A442)*($E$4:$E$810="Win")),$D$4:$D$810),"(no winner)"))</f>
        <v>0</v>
      </c>
      <c r="H442" s="121">
        <f>IF($D442="",0,IFERROR(LOOKUP(2,1/(($D$3:D441=$D442)*($A$3:A441&lt;$A442)),$N$3:N441),'Guide &amp; Settings'!$C$41))</f>
        <v>0</v>
      </c>
      <c r="I442" s="122">
        <f>IF($D442="",0,IF($S442=0,0,$R442/$S442))</f>
        <v>0</v>
      </c>
      <c r="J442" s="123">
        <f>IF($D442="",0,IF($F442&lt;2,0,IF($E442="Win",('Guide &amp; Settings'!$C$42/(($F442-1)*COUNTIFS($A$4:$A$810,$A442,$E$4:$E$810,"Win")))*SUMIFS($X$4:$X$810,$A$4:$A$810,$A442,$E$4:$E$810,"Loss"),-('Guide &amp; Settings'!$C$42/($F442-1))*$X442)))</f>
        <v>0</v>
      </c>
      <c r="K442" s="123">
        <f>IF($D442="",0,'Guide &amp; Settings'!$C$43*(IF($E442="Win",1,0)-$I442))</f>
        <v>0</v>
      </c>
      <c r="L442" s="124">
        <f>IF($D442="",0,'Guide &amp; Settings'!$C$44*IF($F442&gt;=3,$F442+IF($E442="Win",$F442,0),0))</f>
        <v>0</v>
      </c>
      <c r="M442" s="123">
        <f>IF($D442="",0,$J442+$K442+$L442)</f>
        <v>0</v>
      </c>
      <c r="N442" s="121">
        <f>IF($D442="",0,$H442+$M442)</f>
        <v>0</v>
      </c>
      <c r="O442" s="120" t="str">
        <f>IF($D442="","",IF(COUNTIFS($A$4:$A$810,$A442,$E$4:$E$810,"Win")=0,"need a winner",IF(COUNTIFS($A$4:$A$810,$A442,$E$4:$E$810,"Loss")=0,"need a loser",IF(COUNTIFS($A$4:$A$810,$A442,$D$4:$D$810,$D442)&gt;1,"duplicate player","OK"))))</f>
      </c>
      <c r="P442">
        <f>IF($D442="",0,IFERROR(SUMIFS($H$4:$H$810,$A$4:$A$810,$A442,$E$4:$E$810,"Win")/COUNTIFS($A$4:$A$810,$A442,$E$4:$E$810,"Win"),0))</f>
        <v>0</v>
      </c>
      <c r="Q442">
        <f>IF($D442="",0,1/(1+10^(($P442-$H442)/400)))</f>
        <v>0</v>
      </c>
      <c r="R442">
        <f>IF($D442="",0,(COUNTIFS($D$4:$D$810,$D442,$C$4:$C$810,$C442,$E$4:$E$810,"Win",$A$4:$A$810,"&lt;"&amp;$A442)+1)/(COUNTIFS($D$4:$D$810,$D442,$C$4:$C$810,$C442,$A$4:$A$810,"&lt;"&amp;$A442)+2))</f>
        <v>0</v>
      </c>
      <c r="S442">
        <f>IF($D442="",0,SUMIFS($R$4:$R$810,$A$4:$A$810,$A442))</f>
        <v>0</v>
      </c>
      <c r="T442" s="88">
        <f>IF($D442="",0,COUNTIFS($D$4:$D$810,$D442,$C$4:$C$810,$C442,$A$4:$A$810,"&lt;"&amp;$A442))</f>
        <v>0</v>
      </c>
      <c r="U442" s="125">
        <f>IF($D442="",0,IFERROR(LOOKUP(2,1/(($D$3:D441=$D442)*($C$3:C441=$C442)*($A$3:A441&lt;$A442)),$AB$3:AB441),1000))</f>
        <v>0</v>
      </c>
      <c r="V442" s="125">
        <f>IF($D442="",0,$U442*($T442/($T442+5))+$H442*(1-$T442/($T442+5)))</f>
        <v>0</v>
      </c>
      <c r="W442">
        <f>IF($D442="",0,IFERROR(SUMIFS($V$4:$V$810,$A$4:$A$810,$A442,$E$4:$E$810,"Win")/COUNTIFS($A$4:$A$810,$A442,$E$4:$E$810,"Win"),0))</f>
        <v>0</v>
      </c>
      <c r="X442">
        <f>IF($D442="",0,1/(1+10^(($W442-$V442)/400)))</f>
        <v>0</v>
      </c>
      <c r="Y442">
        <f>IF($D442="",0,IFERROR(SUMIFS($U$4:$U$810,$A$4:$A$810,$A442,$E$4:$E$810,"Win")/COUNTIFS($A$4:$A$810,$A442,$E$4:$E$810,"Win"),0))</f>
        <v>0</v>
      </c>
      <c r="Z442">
        <f>IF($D442="",0,1/(1+10^(($Y442-$U442)/400)))</f>
        <v>0</v>
      </c>
      <c r="AA442">
        <f>IF($D442="",0,IF($F442&lt;2,0,IF($E442="Win",('Guide &amp; Settings'!$C$42/(($F442-1)*COUNTIFS($A$4:$A$810,$A442,$E$4:$E$810,"Win")))*SUMIFS($Z$4:$Z$810,$A$4:$A$810,$A442,$E$4:$E$810,"Loss"),-('Guide &amp; Settings'!$C$42/($F442-1))*$Z442)))</f>
        <v>0</v>
      </c>
      <c r="AB442" s="125">
        <f>IF($D442="",0,$U442+$AA442)</f>
        <v>0</v>
      </c>
      <c r="AC442" s="125" t="str">
        <f>IF($D442="","",IF(SUMPRODUCT(MAX(($D$4:$D$810=$D442)*($B$4:$B$810&lt;$B442)*$B$4:$B$810))=0,0,MAX(($B442-MAX(SUMPRODUCT(MAX(($D$4:$D$810=$D442)*($B$4:$B$810&lt;$B442)*$B$4:$B$810)),'Guide &amp; Settings'!$C$50))/7-'Guide &amp; Settings'!$C$48,0)*'Guide &amp; Settings'!$C$49))</f>
      </c>
    </row>
    <row r="443" spans="1:29">
      <c r="A443" s="116"/>
      <c r="B443" s="117"/>
      <c r="C443" s="118"/>
      <c r="D443" s="118"/>
      <c r="E443" s="116"/>
      <c r="F443" s="119">
        <f>IF($D443="",0,COUNTIF($A$4:$A$810,$A443))</f>
        <v>0</v>
      </c>
      <c r="G443" s="120">
        <f>IF($D443="","",IFERROR(LOOKUP(2,1/(($A$4:$A$810=$A443)*($E$4:$E$810="Win")),$D$4:$D$810),"(no winner)"))</f>
        <v>0</v>
      </c>
      <c r="H443" s="121">
        <f>IF($D443="",0,IFERROR(LOOKUP(2,1/(($D$3:D442=$D443)*($A$3:A442&lt;$A443)),$N$3:N442),'Guide &amp; Settings'!$C$41))</f>
        <v>0</v>
      </c>
      <c r="I443" s="122">
        <f>IF($D443="",0,IF($S443=0,0,$R443/$S443))</f>
        <v>0</v>
      </c>
      <c r="J443" s="123">
        <f>IF($D443="",0,IF($F443&lt;2,0,IF($E443="Win",('Guide &amp; Settings'!$C$42/(($F443-1)*COUNTIFS($A$4:$A$810,$A443,$E$4:$E$810,"Win")))*SUMIFS($X$4:$X$810,$A$4:$A$810,$A443,$E$4:$E$810,"Loss"),-('Guide &amp; Settings'!$C$42/($F443-1))*$X443)))</f>
        <v>0</v>
      </c>
      <c r="K443" s="123">
        <f>IF($D443="",0,'Guide &amp; Settings'!$C$43*(IF($E443="Win",1,0)-$I443))</f>
        <v>0</v>
      </c>
      <c r="L443" s="124">
        <f>IF($D443="",0,'Guide &amp; Settings'!$C$44*IF($F443&gt;=3,$F443+IF($E443="Win",$F443,0),0))</f>
        <v>0</v>
      </c>
      <c r="M443" s="123">
        <f>IF($D443="",0,$J443+$K443+$L443)</f>
        <v>0</v>
      </c>
      <c r="N443" s="121">
        <f>IF($D443="",0,$H443+$M443)</f>
        <v>0</v>
      </c>
      <c r="O443" s="120" t="str">
        <f>IF($D443="","",IF(COUNTIFS($A$4:$A$810,$A443,$E$4:$E$810,"Win")=0,"need a winner",IF(COUNTIFS($A$4:$A$810,$A443,$E$4:$E$810,"Loss")=0,"need a loser",IF(COUNTIFS($A$4:$A$810,$A443,$D$4:$D$810,$D443)&gt;1,"duplicate player","OK"))))</f>
      </c>
      <c r="P443">
        <f>IF($D443="",0,IFERROR(SUMIFS($H$4:$H$810,$A$4:$A$810,$A443,$E$4:$E$810,"Win")/COUNTIFS($A$4:$A$810,$A443,$E$4:$E$810,"Win"),0))</f>
        <v>0</v>
      </c>
      <c r="Q443">
        <f>IF($D443="",0,1/(1+10^(($P443-$H443)/400)))</f>
        <v>0</v>
      </c>
      <c r="R443">
        <f>IF($D443="",0,(COUNTIFS($D$4:$D$810,$D443,$C$4:$C$810,$C443,$E$4:$E$810,"Win",$A$4:$A$810,"&lt;"&amp;$A443)+1)/(COUNTIFS($D$4:$D$810,$D443,$C$4:$C$810,$C443,$A$4:$A$810,"&lt;"&amp;$A443)+2))</f>
        <v>0</v>
      </c>
      <c r="S443">
        <f>IF($D443="",0,SUMIFS($R$4:$R$810,$A$4:$A$810,$A443))</f>
        <v>0</v>
      </c>
      <c r="T443" s="88">
        <f>IF($D443="",0,COUNTIFS($D$4:$D$810,$D443,$C$4:$C$810,$C443,$A$4:$A$810,"&lt;"&amp;$A443))</f>
        <v>0</v>
      </c>
      <c r="U443" s="125">
        <f>IF($D443="",0,IFERROR(LOOKUP(2,1/(($D$3:D442=$D443)*($C$3:C442=$C443)*($A$3:A442&lt;$A443)),$AB$3:AB442),1000))</f>
        <v>0</v>
      </c>
      <c r="V443" s="125">
        <f>IF($D443="",0,$U443*($T443/($T443+5))+$H443*(1-$T443/($T443+5)))</f>
        <v>0</v>
      </c>
      <c r="W443">
        <f>IF($D443="",0,IFERROR(SUMIFS($V$4:$V$810,$A$4:$A$810,$A443,$E$4:$E$810,"Win")/COUNTIFS($A$4:$A$810,$A443,$E$4:$E$810,"Win"),0))</f>
        <v>0</v>
      </c>
      <c r="X443">
        <f>IF($D443="",0,1/(1+10^(($W443-$V443)/400)))</f>
        <v>0</v>
      </c>
      <c r="Y443">
        <f>IF($D443="",0,IFERROR(SUMIFS($U$4:$U$810,$A$4:$A$810,$A443,$E$4:$E$810,"Win")/COUNTIFS($A$4:$A$810,$A443,$E$4:$E$810,"Win"),0))</f>
        <v>0</v>
      </c>
      <c r="Z443">
        <f>IF($D443="",0,1/(1+10^(($Y443-$U443)/400)))</f>
        <v>0</v>
      </c>
      <c r="AA443">
        <f>IF($D443="",0,IF($F443&lt;2,0,IF($E443="Win",('Guide &amp; Settings'!$C$42/(($F443-1)*COUNTIFS($A$4:$A$810,$A443,$E$4:$E$810,"Win")))*SUMIFS($Z$4:$Z$810,$A$4:$A$810,$A443,$E$4:$E$810,"Loss"),-('Guide &amp; Settings'!$C$42/($F443-1))*$Z443)))</f>
        <v>0</v>
      </c>
      <c r="AB443" s="125">
        <f>IF($D443="",0,$U443+$AA443)</f>
        <v>0</v>
      </c>
      <c r="AC443" s="125" t="str">
        <f>IF($D443="","",IF(SUMPRODUCT(MAX(($D$4:$D$810=$D443)*($B$4:$B$810&lt;$B443)*$B$4:$B$810))=0,0,MAX(($B443-MAX(SUMPRODUCT(MAX(($D$4:$D$810=$D443)*($B$4:$B$810&lt;$B443)*$B$4:$B$810)),'Guide &amp; Settings'!$C$50))/7-'Guide &amp; Settings'!$C$48,0)*'Guide &amp; Settings'!$C$49))</f>
      </c>
    </row>
    <row r="444" spans="1:29">
      <c r="A444" s="116"/>
      <c r="B444" s="117"/>
      <c r="C444" s="118"/>
      <c r="D444" s="118"/>
      <c r="E444" s="116"/>
      <c r="F444" s="119">
        <f>IF($D444="",0,COUNTIF($A$4:$A$810,$A444))</f>
        <v>0</v>
      </c>
      <c r="G444" s="120">
        <f>IF($D444="","",IFERROR(LOOKUP(2,1/(($A$4:$A$810=$A444)*($E$4:$E$810="Win")),$D$4:$D$810),"(no winner)"))</f>
        <v>0</v>
      </c>
      <c r="H444" s="121">
        <f>IF($D444="",0,IFERROR(LOOKUP(2,1/(($D$3:D443=$D444)*($A$3:A443&lt;$A444)),$N$3:N443),'Guide &amp; Settings'!$C$41))</f>
        <v>0</v>
      </c>
      <c r="I444" s="122">
        <f>IF($D444="",0,IF($S444=0,0,$R444/$S444))</f>
        <v>0</v>
      </c>
      <c r="J444" s="123">
        <f>IF($D444="",0,IF($F444&lt;2,0,IF($E444="Win",('Guide &amp; Settings'!$C$42/(($F444-1)*COUNTIFS($A$4:$A$810,$A444,$E$4:$E$810,"Win")))*SUMIFS($X$4:$X$810,$A$4:$A$810,$A444,$E$4:$E$810,"Loss"),-('Guide &amp; Settings'!$C$42/($F444-1))*$X444)))</f>
        <v>0</v>
      </c>
      <c r="K444" s="123">
        <f>IF($D444="",0,'Guide &amp; Settings'!$C$43*(IF($E444="Win",1,0)-$I444))</f>
        <v>0</v>
      </c>
      <c r="L444" s="124">
        <f>IF($D444="",0,'Guide &amp; Settings'!$C$44*IF($F444&gt;=3,$F444+IF($E444="Win",$F444,0),0))</f>
        <v>0</v>
      </c>
      <c r="M444" s="123">
        <f>IF($D444="",0,$J444+$K444+$L444)</f>
        <v>0</v>
      </c>
      <c r="N444" s="121">
        <f>IF($D444="",0,$H444+$M444)</f>
        <v>0</v>
      </c>
      <c r="O444" s="120" t="str">
        <f>IF($D444="","",IF(COUNTIFS($A$4:$A$810,$A444,$E$4:$E$810,"Win")=0,"need a winner",IF(COUNTIFS($A$4:$A$810,$A444,$E$4:$E$810,"Loss")=0,"need a loser",IF(COUNTIFS($A$4:$A$810,$A444,$D$4:$D$810,$D444)&gt;1,"duplicate player","OK"))))</f>
      </c>
      <c r="P444">
        <f>IF($D444="",0,IFERROR(SUMIFS($H$4:$H$810,$A$4:$A$810,$A444,$E$4:$E$810,"Win")/COUNTIFS($A$4:$A$810,$A444,$E$4:$E$810,"Win"),0))</f>
        <v>0</v>
      </c>
      <c r="Q444">
        <f>IF($D444="",0,1/(1+10^(($P444-$H444)/400)))</f>
        <v>0</v>
      </c>
      <c r="R444">
        <f>IF($D444="",0,(COUNTIFS($D$4:$D$810,$D444,$C$4:$C$810,$C444,$E$4:$E$810,"Win",$A$4:$A$810,"&lt;"&amp;$A444)+1)/(COUNTIFS($D$4:$D$810,$D444,$C$4:$C$810,$C444,$A$4:$A$810,"&lt;"&amp;$A444)+2))</f>
        <v>0</v>
      </c>
      <c r="S444">
        <f>IF($D444="",0,SUMIFS($R$4:$R$810,$A$4:$A$810,$A444))</f>
        <v>0</v>
      </c>
      <c r="T444" s="88">
        <f>IF($D444="",0,COUNTIFS($D$4:$D$810,$D444,$C$4:$C$810,$C444,$A$4:$A$810,"&lt;"&amp;$A444))</f>
        <v>0</v>
      </c>
      <c r="U444" s="125">
        <f>IF($D444="",0,IFERROR(LOOKUP(2,1/(($D$3:D443=$D444)*($C$3:C443=$C444)*($A$3:A443&lt;$A444)),$AB$3:AB443),1000))</f>
        <v>0</v>
      </c>
      <c r="V444" s="125">
        <f>IF($D444="",0,$U444*($T444/($T444+5))+$H444*(1-$T444/($T444+5)))</f>
        <v>0</v>
      </c>
      <c r="W444">
        <f>IF($D444="",0,IFERROR(SUMIFS($V$4:$V$810,$A$4:$A$810,$A444,$E$4:$E$810,"Win")/COUNTIFS($A$4:$A$810,$A444,$E$4:$E$810,"Win"),0))</f>
        <v>0</v>
      </c>
      <c r="X444">
        <f>IF($D444="",0,1/(1+10^(($W444-$V444)/400)))</f>
        <v>0</v>
      </c>
      <c r="Y444">
        <f>IF($D444="",0,IFERROR(SUMIFS($U$4:$U$810,$A$4:$A$810,$A444,$E$4:$E$810,"Win")/COUNTIFS($A$4:$A$810,$A444,$E$4:$E$810,"Win"),0))</f>
        <v>0</v>
      </c>
      <c r="Z444">
        <f>IF($D444="",0,1/(1+10^(($Y444-$U444)/400)))</f>
        <v>0</v>
      </c>
      <c r="AA444">
        <f>IF($D444="",0,IF($F444&lt;2,0,IF($E444="Win",('Guide &amp; Settings'!$C$42/(($F444-1)*COUNTIFS($A$4:$A$810,$A444,$E$4:$E$810,"Win")))*SUMIFS($Z$4:$Z$810,$A$4:$A$810,$A444,$E$4:$E$810,"Loss"),-('Guide &amp; Settings'!$C$42/($F444-1))*$Z444)))</f>
        <v>0</v>
      </c>
      <c r="AB444" s="125">
        <f>IF($D444="",0,$U444+$AA444)</f>
        <v>0</v>
      </c>
      <c r="AC444" s="125" t="str">
        <f>IF($D444="","",IF(SUMPRODUCT(MAX(($D$4:$D$810=$D444)*($B$4:$B$810&lt;$B444)*$B$4:$B$810))=0,0,MAX(($B444-MAX(SUMPRODUCT(MAX(($D$4:$D$810=$D444)*($B$4:$B$810&lt;$B444)*$B$4:$B$810)),'Guide &amp; Settings'!$C$50))/7-'Guide &amp; Settings'!$C$48,0)*'Guide &amp; Settings'!$C$49))</f>
      </c>
    </row>
    <row r="445" spans="1:29">
      <c r="A445" s="116"/>
      <c r="B445" s="117"/>
      <c r="C445" s="118"/>
      <c r="D445" s="118"/>
      <c r="E445" s="116"/>
      <c r="F445" s="119">
        <f>IF($D445="",0,COUNTIF($A$4:$A$810,$A445))</f>
        <v>0</v>
      </c>
      <c r="G445" s="120">
        <f>IF($D445="","",IFERROR(LOOKUP(2,1/(($A$4:$A$810=$A445)*($E$4:$E$810="Win")),$D$4:$D$810),"(no winner)"))</f>
        <v>0</v>
      </c>
      <c r="H445" s="121">
        <f>IF($D445="",0,IFERROR(LOOKUP(2,1/(($D$3:D444=$D445)*($A$3:A444&lt;$A445)),$N$3:N444),'Guide &amp; Settings'!$C$41))</f>
        <v>0</v>
      </c>
      <c r="I445" s="122">
        <f>IF($D445="",0,IF($S445=0,0,$R445/$S445))</f>
        <v>0</v>
      </c>
      <c r="J445" s="123">
        <f>IF($D445="",0,IF($F445&lt;2,0,IF($E445="Win",('Guide &amp; Settings'!$C$42/(($F445-1)*COUNTIFS($A$4:$A$810,$A445,$E$4:$E$810,"Win")))*SUMIFS($X$4:$X$810,$A$4:$A$810,$A445,$E$4:$E$810,"Loss"),-('Guide &amp; Settings'!$C$42/($F445-1))*$X445)))</f>
        <v>0</v>
      </c>
      <c r="K445" s="123">
        <f>IF($D445="",0,'Guide &amp; Settings'!$C$43*(IF($E445="Win",1,0)-$I445))</f>
        <v>0</v>
      </c>
      <c r="L445" s="124">
        <f>IF($D445="",0,'Guide &amp; Settings'!$C$44*IF($F445&gt;=3,$F445+IF($E445="Win",$F445,0),0))</f>
        <v>0</v>
      </c>
      <c r="M445" s="123">
        <f>IF($D445="",0,$J445+$K445+$L445)</f>
        <v>0</v>
      </c>
      <c r="N445" s="121">
        <f>IF($D445="",0,$H445+$M445)</f>
        <v>0</v>
      </c>
      <c r="O445" s="120" t="str">
        <f>IF($D445="","",IF(COUNTIFS($A$4:$A$810,$A445,$E$4:$E$810,"Win")=0,"need a winner",IF(COUNTIFS($A$4:$A$810,$A445,$E$4:$E$810,"Loss")=0,"need a loser",IF(COUNTIFS($A$4:$A$810,$A445,$D$4:$D$810,$D445)&gt;1,"duplicate player","OK"))))</f>
      </c>
      <c r="P445">
        <f>IF($D445="",0,IFERROR(SUMIFS($H$4:$H$810,$A$4:$A$810,$A445,$E$4:$E$810,"Win")/COUNTIFS($A$4:$A$810,$A445,$E$4:$E$810,"Win"),0))</f>
        <v>0</v>
      </c>
      <c r="Q445">
        <f>IF($D445="",0,1/(1+10^(($P445-$H445)/400)))</f>
        <v>0</v>
      </c>
      <c r="R445">
        <f>IF($D445="",0,(COUNTIFS($D$4:$D$810,$D445,$C$4:$C$810,$C445,$E$4:$E$810,"Win",$A$4:$A$810,"&lt;"&amp;$A445)+1)/(COUNTIFS($D$4:$D$810,$D445,$C$4:$C$810,$C445,$A$4:$A$810,"&lt;"&amp;$A445)+2))</f>
        <v>0</v>
      </c>
      <c r="S445">
        <f>IF($D445="",0,SUMIFS($R$4:$R$810,$A$4:$A$810,$A445))</f>
        <v>0</v>
      </c>
      <c r="T445" s="88">
        <f>IF($D445="",0,COUNTIFS($D$4:$D$810,$D445,$C$4:$C$810,$C445,$A$4:$A$810,"&lt;"&amp;$A445))</f>
        <v>0</v>
      </c>
      <c r="U445" s="125">
        <f>IF($D445="",0,IFERROR(LOOKUP(2,1/(($D$3:D444=$D445)*($C$3:C444=$C445)*($A$3:A444&lt;$A445)),$AB$3:AB444),1000))</f>
        <v>0</v>
      </c>
      <c r="V445" s="125">
        <f>IF($D445="",0,$U445*($T445/($T445+5))+$H445*(1-$T445/($T445+5)))</f>
        <v>0</v>
      </c>
      <c r="W445">
        <f>IF($D445="",0,IFERROR(SUMIFS($V$4:$V$810,$A$4:$A$810,$A445,$E$4:$E$810,"Win")/COUNTIFS($A$4:$A$810,$A445,$E$4:$E$810,"Win"),0))</f>
        <v>0</v>
      </c>
      <c r="X445">
        <f>IF($D445="",0,1/(1+10^(($W445-$V445)/400)))</f>
        <v>0</v>
      </c>
      <c r="Y445">
        <f>IF($D445="",0,IFERROR(SUMIFS($U$4:$U$810,$A$4:$A$810,$A445,$E$4:$E$810,"Win")/COUNTIFS($A$4:$A$810,$A445,$E$4:$E$810,"Win"),0))</f>
        <v>0</v>
      </c>
      <c r="Z445">
        <f>IF($D445="",0,1/(1+10^(($Y445-$U445)/400)))</f>
        <v>0</v>
      </c>
      <c r="AA445">
        <f>IF($D445="",0,IF($F445&lt;2,0,IF($E445="Win",('Guide &amp; Settings'!$C$42/(($F445-1)*COUNTIFS($A$4:$A$810,$A445,$E$4:$E$810,"Win")))*SUMIFS($Z$4:$Z$810,$A$4:$A$810,$A445,$E$4:$E$810,"Loss"),-('Guide &amp; Settings'!$C$42/($F445-1))*$Z445)))</f>
        <v>0</v>
      </c>
      <c r="AB445" s="125">
        <f>IF($D445="",0,$U445+$AA445)</f>
        <v>0</v>
      </c>
      <c r="AC445" s="125" t="str">
        <f>IF($D445="","",IF(SUMPRODUCT(MAX(($D$4:$D$810=$D445)*($B$4:$B$810&lt;$B445)*$B$4:$B$810))=0,0,MAX(($B445-MAX(SUMPRODUCT(MAX(($D$4:$D$810=$D445)*($B$4:$B$810&lt;$B445)*$B$4:$B$810)),'Guide &amp; Settings'!$C$50))/7-'Guide &amp; Settings'!$C$48,0)*'Guide &amp; Settings'!$C$49))</f>
      </c>
    </row>
    <row r="446" spans="1:29">
      <c r="A446" s="116"/>
      <c r="B446" s="117"/>
      <c r="C446" s="118"/>
      <c r="D446" s="118"/>
      <c r="E446" s="116"/>
      <c r="F446" s="119">
        <f>IF($D446="",0,COUNTIF($A$4:$A$810,$A446))</f>
        <v>0</v>
      </c>
      <c r="G446" s="120">
        <f>IF($D446="","",IFERROR(LOOKUP(2,1/(($A$4:$A$810=$A446)*($E$4:$E$810="Win")),$D$4:$D$810),"(no winner)"))</f>
        <v>0</v>
      </c>
      <c r="H446" s="121">
        <f>IF($D446="",0,IFERROR(LOOKUP(2,1/(($D$3:D445=$D446)*($A$3:A445&lt;$A446)),$N$3:N445),'Guide &amp; Settings'!$C$41))</f>
        <v>0</v>
      </c>
      <c r="I446" s="122">
        <f>IF($D446="",0,IF($S446=0,0,$R446/$S446))</f>
        <v>0</v>
      </c>
      <c r="J446" s="123">
        <f>IF($D446="",0,IF($F446&lt;2,0,IF($E446="Win",('Guide &amp; Settings'!$C$42/(($F446-1)*COUNTIFS($A$4:$A$810,$A446,$E$4:$E$810,"Win")))*SUMIFS($X$4:$X$810,$A$4:$A$810,$A446,$E$4:$E$810,"Loss"),-('Guide &amp; Settings'!$C$42/($F446-1))*$X446)))</f>
        <v>0</v>
      </c>
      <c r="K446" s="123">
        <f>IF($D446="",0,'Guide &amp; Settings'!$C$43*(IF($E446="Win",1,0)-$I446))</f>
        <v>0</v>
      </c>
      <c r="L446" s="124">
        <f>IF($D446="",0,'Guide &amp; Settings'!$C$44*IF($F446&gt;=3,$F446+IF($E446="Win",$F446,0),0))</f>
        <v>0</v>
      </c>
      <c r="M446" s="123">
        <f>IF($D446="",0,$J446+$K446+$L446)</f>
        <v>0</v>
      </c>
      <c r="N446" s="121">
        <f>IF($D446="",0,$H446+$M446)</f>
        <v>0</v>
      </c>
      <c r="O446" s="120" t="str">
        <f>IF($D446="","",IF(COUNTIFS($A$4:$A$810,$A446,$E$4:$E$810,"Win")=0,"need a winner",IF(COUNTIFS($A$4:$A$810,$A446,$E$4:$E$810,"Loss")=0,"need a loser",IF(COUNTIFS($A$4:$A$810,$A446,$D$4:$D$810,$D446)&gt;1,"duplicate player","OK"))))</f>
      </c>
      <c r="P446">
        <f>IF($D446="",0,IFERROR(SUMIFS($H$4:$H$810,$A$4:$A$810,$A446,$E$4:$E$810,"Win")/COUNTIFS($A$4:$A$810,$A446,$E$4:$E$810,"Win"),0))</f>
        <v>0</v>
      </c>
      <c r="Q446">
        <f>IF($D446="",0,1/(1+10^(($P446-$H446)/400)))</f>
        <v>0</v>
      </c>
      <c r="R446">
        <f>IF($D446="",0,(COUNTIFS($D$4:$D$810,$D446,$C$4:$C$810,$C446,$E$4:$E$810,"Win",$A$4:$A$810,"&lt;"&amp;$A446)+1)/(COUNTIFS($D$4:$D$810,$D446,$C$4:$C$810,$C446,$A$4:$A$810,"&lt;"&amp;$A446)+2))</f>
        <v>0</v>
      </c>
      <c r="S446">
        <f>IF($D446="",0,SUMIFS($R$4:$R$810,$A$4:$A$810,$A446))</f>
        <v>0</v>
      </c>
      <c r="T446" s="88">
        <f>IF($D446="",0,COUNTIFS($D$4:$D$810,$D446,$C$4:$C$810,$C446,$A$4:$A$810,"&lt;"&amp;$A446))</f>
        <v>0</v>
      </c>
      <c r="U446" s="125">
        <f>IF($D446="",0,IFERROR(LOOKUP(2,1/(($D$3:D445=$D446)*($C$3:C445=$C446)*($A$3:A445&lt;$A446)),$AB$3:AB445),1000))</f>
        <v>0</v>
      </c>
      <c r="V446" s="125">
        <f>IF($D446="",0,$U446*($T446/($T446+5))+$H446*(1-$T446/($T446+5)))</f>
        <v>0</v>
      </c>
      <c r="W446">
        <f>IF($D446="",0,IFERROR(SUMIFS($V$4:$V$810,$A$4:$A$810,$A446,$E$4:$E$810,"Win")/COUNTIFS($A$4:$A$810,$A446,$E$4:$E$810,"Win"),0))</f>
        <v>0</v>
      </c>
      <c r="X446">
        <f>IF($D446="",0,1/(1+10^(($W446-$V446)/400)))</f>
        <v>0</v>
      </c>
      <c r="Y446">
        <f>IF($D446="",0,IFERROR(SUMIFS($U$4:$U$810,$A$4:$A$810,$A446,$E$4:$E$810,"Win")/COUNTIFS($A$4:$A$810,$A446,$E$4:$E$810,"Win"),0))</f>
        <v>0</v>
      </c>
      <c r="Z446">
        <f>IF($D446="",0,1/(1+10^(($Y446-$U446)/400)))</f>
        <v>0</v>
      </c>
      <c r="AA446">
        <f>IF($D446="",0,IF($F446&lt;2,0,IF($E446="Win",('Guide &amp; Settings'!$C$42/(($F446-1)*COUNTIFS($A$4:$A$810,$A446,$E$4:$E$810,"Win")))*SUMIFS($Z$4:$Z$810,$A$4:$A$810,$A446,$E$4:$E$810,"Loss"),-('Guide &amp; Settings'!$C$42/($F446-1))*$Z446)))</f>
        <v>0</v>
      </c>
      <c r="AB446" s="125">
        <f>IF($D446="",0,$U446+$AA446)</f>
        <v>0</v>
      </c>
      <c r="AC446" s="125" t="str">
        <f>IF($D446="","",IF(SUMPRODUCT(MAX(($D$4:$D$810=$D446)*($B$4:$B$810&lt;$B446)*$B$4:$B$810))=0,0,MAX(($B446-MAX(SUMPRODUCT(MAX(($D$4:$D$810=$D446)*($B$4:$B$810&lt;$B446)*$B$4:$B$810)),'Guide &amp; Settings'!$C$50))/7-'Guide &amp; Settings'!$C$48,0)*'Guide &amp; Settings'!$C$49))</f>
      </c>
    </row>
    <row r="447" spans="1:29">
      <c r="A447" s="116"/>
      <c r="B447" s="117"/>
      <c r="C447" s="118"/>
      <c r="D447" s="118"/>
      <c r="E447" s="116"/>
      <c r="F447" s="119">
        <f>IF($D447="",0,COUNTIF($A$4:$A$810,$A447))</f>
        <v>0</v>
      </c>
      <c r="G447" s="120">
        <f>IF($D447="","",IFERROR(LOOKUP(2,1/(($A$4:$A$810=$A447)*($E$4:$E$810="Win")),$D$4:$D$810),"(no winner)"))</f>
        <v>0</v>
      </c>
      <c r="H447" s="121">
        <f>IF($D447="",0,IFERROR(LOOKUP(2,1/(($D$3:D446=$D447)*($A$3:A446&lt;$A447)),$N$3:N446),'Guide &amp; Settings'!$C$41))</f>
        <v>0</v>
      </c>
      <c r="I447" s="122">
        <f>IF($D447="",0,IF($S447=0,0,$R447/$S447))</f>
        <v>0</v>
      </c>
      <c r="J447" s="123">
        <f>IF($D447="",0,IF($F447&lt;2,0,IF($E447="Win",('Guide &amp; Settings'!$C$42/(($F447-1)*COUNTIFS($A$4:$A$810,$A447,$E$4:$E$810,"Win")))*SUMIFS($X$4:$X$810,$A$4:$A$810,$A447,$E$4:$E$810,"Loss"),-('Guide &amp; Settings'!$C$42/($F447-1))*$X447)))</f>
        <v>0</v>
      </c>
      <c r="K447" s="123">
        <f>IF($D447="",0,'Guide &amp; Settings'!$C$43*(IF($E447="Win",1,0)-$I447))</f>
        <v>0</v>
      </c>
      <c r="L447" s="124">
        <f>IF($D447="",0,'Guide &amp; Settings'!$C$44*IF($F447&gt;=3,$F447+IF($E447="Win",$F447,0),0))</f>
        <v>0</v>
      </c>
      <c r="M447" s="123">
        <f>IF($D447="",0,$J447+$K447+$L447)</f>
        <v>0</v>
      </c>
      <c r="N447" s="121">
        <f>IF($D447="",0,$H447+$M447)</f>
        <v>0</v>
      </c>
      <c r="O447" s="120" t="str">
        <f>IF($D447="","",IF(COUNTIFS($A$4:$A$810,$A447,$E$4:$E$810,"Win")=0,"need a winner",IF(COUNTIFS($A$4:$A$810,$A447,$E$4:$E$810,"Loss")=0,"need a loser",IF(COUNTIFS($A$4:$A$810,$A447,$D$4:$D$810,$D447)&gt;1,"duplicate player","OK"))))</f>
      </c>
      <c r="P447">
        <f>IF($D447="",0,IFERROR(SUMIFS($H$4:$H$810,$A$4:$A$810,$A447,$E$4:$E$810,"Win")/COUNTIFS($A$4:$A$810,$A447,$E$4:$E$810,"Win"),0))</f>
        <v>0</v>
      </c>
      <c r="Q447">
        <f>IF($D447="",0,1/(1+10^(($P447-$H447)/400)))</f>
        <v>0</v>
      </c>
      <c r="R447">
        <f>IF($D447="",0,(COUNTIFS($D$4:$D$810,$D447,$C$4:$C$810,$C447,$E$4:$E$810,"Win",$A$4:$A$810,"&lt;"&amp;$A447)+1)/(COUNTIFS($D$4:$D$810,$D447,$C$4:$C$810,$C447,$A$4:$A$810,"&lt;"&amp;$A447)+2))</f>
        <v>0</v>
      </c>
      <c r="S447">
        <f>IF($D447="",0,SUMIFS($R$4:$R$810,$A$4:$A$810,$A447))</f>
        <v>0</v>
      </c>
      <c r="T447" s="88">
        <f>IF($D447="",0,COUNTIFS($D$4:$D$810,$D447,$C$4:$C$810,$C447,$A$4:$A$810,"&lt;"&amp;$A447))</f>
        <v>0</v>
      </c>
      <c r="U447" s="125">
        <f>IF($D447="",0,IFERROR(LOOKUP(2,1/(($D$3:D446=$D447)*($C$3:C446=$C447)*($A$3:A446&lt;$A447)),$AB$3:AB446),1000))</f>
        <v>0</v>
      </c>
      <c r="V447" s="125">
        <f>IF($D447="",0,$U447*($T447/($T447+5))+$H447*(1-$T447/($T447+5)))</f>
        <v>0</v>
      </c>
      <c r="W447">
        <f>IF($D447="",0,IFERROR(SUMIFS($V$4:$V$810,$A$4:$A$810,$A447,$E$4:$E$810,"Win")/COUNTIFS($A$4:$A$810,$A447,$E$4:$E$810,"Win"),0))</f>
        <v>0</v>
      </c>
      <c r="X447">
        <f>IF($D447="",0,1/(1+10^(($W447-$V447)/400)))</f>
        <v>0</v>
      </c>
      <c r="Y447">
        <f>IF($D447="",0,IFERROR(SUMIFS($U$4:$U$810,$A$4:$A$810,$A447,$E$4:$E$810,"Win")/COUNTIFS($A$4:$A$810,$A447,$E$4:$E$810,"Win"),0))</f>
        <v>0</v>
      </c>
      <c r="Z447">
        <f>IF($D447="",0,1/(1+10^(($Y447-$U447)/400)))</f>
        <v>0</v>
      </c>
      <c r="AA447">
        <f>IF($D447="",0,IF($F447&lt;2,0,IF($E447="Win",('Guide &amp; Settings'!$C$42/(($F447-1)*COUNTIFS($A$4:$A$810,$A447,$E$4:$E$810,"Win")))*SUMIFS($Z$4:$Z$810,$A$4:$A$810,$A447,$E$4:$E$810,"Loss"),-('Guide &amp; Settings'!$C$42/($F447-1))*$Z447)))</f>
        <v>0</v>
      </c>
      <c r="AB447" s="125">
        <f>IF($D447="",0,$U447+$AA447)</f>
        <v>0</v>
      </c>
      <c r="AC447" s="125" t="str">
        <f>IF($D447="","",IF(SUMPRODUCT(MAX(($D$4:$D$810=$D447)*($B$4:$B$810&lt;$B447)*$B$4:$B$810))=0,0,MAX(($B447-MAX(SUMPRODUCT(MAX(($D$4:$D$810=$D447)*($B$4:$B$810&lt;$B447)*$B$4:$B$810)),'Guide &amp; Settings'!$C$50))/7-'Guide &amp; Settings'!$C$48,0)*'Guide &amp; Settings'!$C$49))</f>
      </c>
    </row>
    <row r="448" spans="1:29">
      <c r="A448" s="116"/>
      <c r="B448" s="117"/>
      <c r="C448" s="118"/>
      <c r="D448" s="118"/>
      <c r="E448" s="116"/>
      <c r="F448" s="119">
        <f>IF($D448="",0,COUNTIF($A$4:$A$810,$A448))</f>
        <v>0</v>
      </c>
      <c r="G448" s="120">
        <f>IF($D448="","",IFERROR(LOOKUP(2,1/(($A$4:$A$810=$A448)*($E$4:$E$810="Win")),$D$4:$D$810),"(no winner)"))</f>
        <v>0</v>
      </c>
      <c r="H448" s="121">
        <f>IF($D448="",0,IFERROR(LOOKUP(2,1/(($D$3:D447=$D448)*($A$3:A447&lt;$A448)),$N$3:N447),'Guide &amp; Settings'!$C$41))</f>
        <v>0</v>
      </c>
      <c r="I448" s="122">
        <f>IF($D448="",0,IF($S448=0,0,$R448/$S448))</f>
        <v>0</v>
      </c>
      <c r="J448" s="123">
        <f>IF($D448="",0,IF($F448&lt;2,0,IF($E448="Win",('Guide &amp; Settings'!$C$42/(($F448-1)*COUNTIFS($A$4:$A$810,$A448,$E$4:$E$810,"Win")))*SUMIFS($X$4:$X$810,$A$4:$A$810,$A448,$E$4:$E$810,"Loss"),-('Guide &amp; Settings'!$C$42/($F448-1))*$X448)))</f>
        <v>0</v>
      </c>
      <c r="K448" s="123">
        <f>IF($D448="",0,'Guide &amp; Settings'!$C$43*(IF($E448="Win",1,0)-$I448))</f>
        <v>0</v>
      </c>
      <c r="L448" s="124">
        <f>IF($D448="",0,'Guide &amp; Settings'!$C$44*IF($F448&gt;=3,$F448+IF($E448="Win",$F448,0),0))</f>
        <v>0</v>
      </c>
      <c r="M448" s="123">
        <f>IF($D448="",0,$J448+$K448+$L448)</f>
        <v>0</v>
      </c>
      <c r="N448" s="121">
        <f>IF($D448="",0,$H448+$M448)</f>
        <v>0</v>
      </c>
      <c r="O448" s="120" t="str">
        <f>IF($D448="","",IF(COUNTIFS($A$4:$A$810,$A448,$E$4:$E$810,"Win")=0,"need a winner",IF(COUNTIFS($A$4:$A$810,$A448,$E$4:$E$810,"Loss")=0,"need a loser",IF(COUNTIFS($A$4:$A$810,$A448,$D$4:$D$810,$D448)&gt;1,"duplicate player","OK"))))</f>
      </c>
      <c r="P448">
        <f>IF($D448="",0,IFERROR(SUMIFS($H$4:$H$810,$A$4:$A$810,$A448,$E$4:$E$810,"Win")/COUNTIFS($A$4:$A$810,$A448,$E$4:$E$810,"Win"),0))</f>
        <v>0</v>
      </c>
      <c r="Q448">
        <f>IF($D448="",0,1/(1+10^(($P448-$H448)/400)))</f>
        <v>0</v>
      </c>
      <c r="R448">
        <f>IF($D448="",0,(COUNTIFS($D$4:$D$810,$D448,$C$4:$C$810,$C448,$E$4:$E$810,"Win",$A$4:$A$810,"&lt;"&amp;$A448)+1)/(COUNTIFS($D$4:$D$810,$D448,$C$4:$C$810,$C448,$A$4:$A$810,"&lt;"&amp;$A448)+2))</f>
        <v>0</v>
      </c>
      <c r="S448">
        <f>IF($D448="",0,SUMIFS($R$4:$R$810,$A$4:$A$810,$A448))</f>
        <v>0</v>
      </c>
      <c r="T448" s="88">
        <f>IF($D448="",0,COUNTIFS($D$4:$D$810,$D448,$C$4:$C$810,$C448,$A$4:$A$810,"&lt;"&amp;$A448))</f>
        <v>0</v>
      </c>
      <c r="U448" s="125">
        <f>IF($D448="",0,IFERROR(LOOKUP(2,1/(($D$3:D447=$D448)*($C$3:C447=$C448)*($A$3:A447&lt;$A448)),$AB$3:AB447),1000))</f>
        <v>0</v>
      </c>
      <c r="V448" s="125">
        <f>IF($D448="",0,$U448*($T448/($T448+5))+$H448*(1-$T448/($T448+5)))</f>
        <v>0</v>
      </c>
      <c r="W448">
        <f>IF($D448="",0,IFERROR(SUMIFS($V$4:$V$810,$A$4:$A$810,$A448,$E$4:$E$810,"Win")/COUNTIFS($A$4:$A$810,$A448,$E$4:$E$810,"Win"),0))</f>
        <v>0</v>
      </c>
      <c r="X448">
        <f>IF($D448="",0,1/(1+10^(($W448-$V448)/400)))</f>
        <v>0</v>
      </c>
      <c r="Y448">
        <f>IF($D448="",0,IFERROR(SUMIFS($U$4:$U$810,$A$4:$A$810,$A448,$E$4:$E$810,"Win")/COUNTIFS($A$4:$A$810,$A448,$E$4:$E$810,"Win"),0))</f>
        <v>0</v>
      </c>
      <c r="Z448">
        <f>IF($D448="",0,1/(1+10^(($Y448-$U448)/400)))</f>
        <v>0</v>
      </c>
      <c r="AA448">
        <f>IF($D448="",0,IF($F448&lt;2,0,IF($E448="Win",('Guide &amp; Settings'!$C$42/(($F448-1)*COUNTIFS($A$4:$A$810,$A448,$E$4:$E$810,"Win")))*SUMIFS($Z$4:$Z$810,$A$4:$A$810,$A448,$E$4:$E$810,"Loss"),-('Guide &amp; Settings'!$C$42/($F448-1))*$Z448)))</f>
        <v>0</v>
      </c>
      <c r="AB448" s="125">
        <f>IF($D448="",0,$U448+$AA448)</f>
        <v>0</v>
      </c>
      <c r="AC448" s="125" t="str">
        <f>IF($D448="","",IF(SUMPRODUCT(MAX(($D$4:$D$810=$D448)*($B$4:$B$810&lt;$B448)*$B$4:$B$810))=0,0,MAX(($B448-MAX(SUMPRODUCT(MAX(($D$4:$D$810=$D448)*($B$4:$B$810&lt;$B448)*$B$4:$B$810)),'Guide &amp; Settings'!$C$50))/7-'Guide &amp; Settings'!$C$48,0)*'Guide &amp; Settings'!$C$49))</f>
      </c>
    </row>
    <row r="449" spans="1:29">
      <c r="A449" s="116"/>
      <c r="B449" s="117"/>
      <c r="C449" s="118"/>
      <c r="D449" s="118"/>
      <c r="E449" s="116"/>
      <c r="F449" s="119">
        <f>IF($D449="",0,COUNTIF($A$4:$A$810,$A449))</f>
        <v>0</v>
      </c>
      <c r="G449" s="120">
        <f>IF($D449="","",IFERROR(LOOKUP(2,1/(($A$4:$A$810=$A449)*($E$4:$E$810="Win")),$D$4:$D$810),"(no winner)"))</f>
        <v>0</v>
      </c>
      <c r="H449" s="121">
        <f>IF($D449="",0,IFERROR(LOOKUP(2,1/(($D$3:D448=$D449)*($A$3:A448&lt;$A449)),$N$3:N448),'Guide &amp; Settings'!$C$41))</f>
        <v>0</v>
      </c>
      <c r="I449" s="122">
        <f>IF($D449="",0,IF($S449=0,0,$R449/$S449))</f>
        <v>0</v>
      </c>
      <c r="J449" s="123">
        <f>IF($D449="",0,IF($F449&lt;2,0,IF($E449="Win",('Guide &amp; Settings'!$C$42/(($F449-1)*COUNTIFS($A$4:$A$810,$A449,$E$4:$E$810,"Win")))*SUMIFS($X$4:$X$810,$A$4:$A$810,$A449,$E$4:$E$810,"Loss"),-('Guide &amp; Settings'!$C$42/($F449-1))*$X449)))</f>
        <v>0</v>
      </c>
      <c r="K449" s="123">
        <f>IF($D449="",0,'Guide &amp; Settings'!$C$43*(IF($E449="Win",1,0)-$I449))</f>
        <v>0</v>
      </c>
      <c r="L449" s="124">
        <f>IF($D449="",0,'Guide &amp; Settings'!$C$44*IF($F449&gt;=3,$F449+IF($E449="Win",$F449,0),0))</f>
        <v>0</v>
      </c>
      <c r="M449" s="123">
        <f>IF($D449="",0,$J449+$K449+$L449)</f>
        <v>0</v>
      </c>
      <c r="N449" s="121">
        <f>IF($D449="",0,$H449+$M449)</f>
        <v>0</v>
      </c>
      <c r="O449" s="120" t="str">
        <f>IF($D449="","",IF(COUNTIFS($A$4:$A$810,$A449,$E$4:$E$810,"Win")=0,"need a winner",IF(COUNTIFS($A$4:$A$810,$A449,$E$4:$E$810,"Loss")=0,"need a loser",IF(COUNTIFS($A$4:$A$810,$A449,$D$4:$D$810,$D449)&gt;1,"duplicate player","OK"))))</f>
      </c>
      <c r="P449">
        <f>IF($D449="",0,IFERROR(SUMIFS($H$4:$H$810,$A$4:$A$810,$A449,$E$4:$E$810,"Win")/COUNTIFS($A$4:$A$810,$A449,$E$4:$E$810,"Win"),0))</f>
        <v>0</v>
      </c>
      <c r="Q449">
        <f>IF($D449="",0,1/(1+10^(($P449-$H449)/400)))</f>
        <v>0</v>
      </c>
      <c r="R449">
        <f>IF($D449="",0,(COUNTIFS($D$4:$D$810,$D449,$C$4:$C$810,$C449,$E$4:$E$810,"Win",$A$4:$A$810,"&lt;"&amp;$A449)+1)/(COUNTIFS($D$4:$D$810,$D449,$C$4:$C$810,$C449,$A$4:$A$810,"&lt;"&amp;$A449)+2))</f>
        <v>0</v>
      </c>
      <c r="S449">
        <f>IF($D449="",0,SUMIFS($R$4:$R$810,$A$4:$A$810,$A449))</f>
        <v>0</v>
      </c>
      <c r="T449" s="88">
        <f>IF($D449="",0,COUNTIFS($D$4:$D$810,$D449,$C$4:$C$810,$C449,$A$4:$A$810,"&lt;"&amp;$A449))</f>
        <v>0</v>
      </c>
      <c r="U449" s="125">
        <f>IF($D449="",0,IFERROR(LOOKUP(2,1/(($D$3:D448=$D449)*($C$3:C448=$C449)*($A$3:A448&lt;$A449)),$AB$3:AB448),1000))</f>
        <v>0</v>
      </c>
      <c r="V449" s="125">
        <f>IF($D449="",0,$U449*($T449/($T449+5))+$H449*(1-$T449/($T449+5)))</f>
        <v>0</v>
      </c>
      <c r="W449">
        <f>IF($D449="",0,IFERROR(SUMIFS($V$4:$V$810,$A$4:$A$810,$A449,$E$4:$E$810,"Win")/COUNTIFS($A$4:$A$810,$A449,$E$4:$E$810,"Win"),0))</f>
        <v>0</v>
      </c>
      <c r="X449">
        <f>IF($D449="",0,1/(1+10^(($W449-$V449)/400)))</f>
        <v>0</v>
      </c>
      <c r="Y449">
        <f>IF($D449="",0,IFERROR(SUMIFS($U$4:$U$810,$A$4:$A$810,$A449,$E$4:$E$810,"Win")/COUNTIFS($A$4:$A$810,$A449,$E$4:$E$810,"Win"),0))</f>
        <v>0</v>
      </c>
      <c r="Z449">
        <f>IF($D449="",0,1/(1+10^(($Y449-$U449)/400)))</f>
        <v>0</v>
      </c>
      <c r="AA449">
        <f>IF($D449="",0,IF($F449&lt;2,0,IF($E449="Win",('Guide &amp; Settings'!$C$42/(($F449-1)*COUNTIFS($A$4:$A$810,$A449,$E$4:$E$810,"Win")))*SUMIFS($Z$4:$Z$810,$A$4:$A$810,$A449,$E$4:$E$810,"Loss"),-('Guide &amp; Settings'!$C$42/($F449-1))*$Z449)))</f>
        <v>0</v>
      </c>
      <c r="AB449" s="125">
        <f>IF($D449="",0,$U449+$AA449)</f>
        <v>0</v>
      </c>
      <c r="AC449" s="125" t="str">
        <f>IF($D449="","",IF(SUMPRODUCT(MAX(($D$4:$D$810=$D449)*($B$4:$B$810&lt;$B449)*$B$4:$B$810))=0,0,MAX(($B449-MAX(SUMPRODUCT(MAX(($D$4:$D$810=$D449)*($B$4:$B$810&lt;$B449)*$B$4:$B$810)),'Guide &amp; Settings'!$C$50))/7-'Guide &amp; Settings'!$C$48,0)*'Guide &amp; Settings'!$C$49))</f>
      </c>
    </row>
    <row r="450" spans="1:29">
      <c r="A450" s="116"/>
      <c r="B450" s="117"/>
      <c r="C450" s="118"/>
      <c r="D450" s="118"/>
      <c r="E450" s="116"/>
      <c r="F450" s="119">
        <f>IF($D450="",0,COUNTIF($A$4:$A$810,$A450))</f>
        <v>0</v>
      </c>
      <c r="G450" s="120">
        <f>IF($D450="","",IFERROR(LOOKUP(2,1/(($A$4:$A$810=$A450)*($E$4:$E$810="Win")),$D$4:$D$810),"(no winner)"))</f>
        <v>0</v>
      </c>
      <c r="H450" s="121">
        <f>IF($D450="",0,IFERROR(LOOKUP(2,1/(($D$3:D449=$D450)*($A$3:A449&lt;$A450)),$N$3:N449),'Guide &amp; Settings'!$C$41))</f>
        <v>0</v>
      </c>
      <c r="I450" s="122">
        <f>IF($D450="",0,IF($S450=0,0,$R450/$S450))</f>
        <v>0</v>
      </c>
      <c r="J450" s="123">
        <f>IF($D450="",0,IF($F450&lt;2,0,IF($E450="Win",('Guide &amp; Settings'!$C$42/(($F450-1)*COUNTIFS($A$4:$A$810,$A450,$E$4:$E$810,"Win")))*SUMIFS($X$4:$X$810,$A$4:$A$810,$A450,$E$4:$E$810,"Loss"),-('Guide &amp; Settings'!$C$42/($F450-1))*$X450)))</f>
        <v>0</v>
      </c>
      <c r="K450" s="123">
        <f>IF($D450="",0,'Guide &amp; Settings'!$C$43*(IF($E450="Win",1,0)-$I450))</f>
        <v>0</v>
      </c>
      <c r="L450" s="124">
        <f>IF($D450="",0,'Guide &amp; Settings'!$C$44*IF($F450&gt;=3,$F450+IF($E450="Win",$F450,0),0))</f>
        <v>0</v>
      </c>
      <c r="M450" s="123">
        <f>IF($D450="",0,$J450+$K450+$L450)</f>
        <v>0</v>
      </c>
      <c r="N450" s="121">
        <f>IF($D450="",0,$H450+$M450)</f>
        <v>0</v>
      </c>
      <c r="O450" s="120" t="str">
        <f>IF($D450="","",IF(COUNTIFS($A$4:$A$810,$A450,$E$4:$E$810,"Win")=0,"need a winner",IF(COUNTIFS($A$4:$A$810,$A450,$E$4:$E$810,"Loss")=0,"need a loser",IF(COUNTIFS($A$4:$A$810,$A450,$D$4:$D$810,$D450)&gt;1,"duplicate player","OK"))))</f>
      </c>
      <c r="P450">
        <f>IF($D450="",0,IFERROR(SUMIFS($H$4:$H$810,$A$4:$A$810,$A450,$E$4:$E$810,"Win")/COUNTIFS($A$4:$A$810,$A450,$E$4:$E$810,"Win"),0))</f>
        <v>0</v>
      </c>
      <c r="Q450">
        <f>IF($D450="",0,1/(1+10^(($P450-$H450)/400)))</f>
        <v>0</v>
      </c>
      <c r="R450">
        <f>IF($D450="",0,(COUNTIFS($D$4:$D$810,$D450,$C$4:$C$810,$C450,$E$4:$E$810,"Win",$A$4:$A$810,"&lt;"&amp;$A450)+1)/(COUNTIFS($D$4:$D$810,$D450,$C$4:$C$810,$C450,$A$4:$A$810,"&lt;"&amp;$A450)+2))</f>
        <v>0</v>
      </c>
      <c r="S450">
        <f>IF($D450="",0,SUMIFS($R$4:$R$810,$A$4:$A$810,$A450))</f>
        <v>0</v>
      </c>
      <c r="T450" s="88">
        <f>IF($D450="",0,COUNTIFS($D$4:$D$810,$D450,$C$4:$C$810,$C450,$A$4:$A$810,"&lt;"&amp;$A450))</f>
        <v>0</v>
      </c>
      <c r="U450" s="125">
        <f>IF($D450="",0,IFERROR(LOOKUP(2,1/(($D$3:D449=$D450)*($C$3:C449=$C450)*($A$3:A449&lt;$A450)),$AB$3:AB449),1000))</f>
        <v>0</v>
      </c>
      <c r="V450" s="125">
        <f>IF($D450="",0,$U450*($T450/($T450+5))+$H450*(1-$T450/($T450+5)))</f>
        <v>0</v>
      </c>
      <c r="W450">
        <f>IF($D450="",0,IFERROR(SUMIFS($V$4:$V$810,$A$4:$A$810,$A450,$E$4:$E$810,"Win")/COUNTIFS($A$4:$A$810,$A450,$E$4:$E$810,"Win"),0))</f>
        <v>0</v>
      </c>
      <c r="X450">
        <f>IF($D450="",0,1/(1+10^(($W450-$V450)/400)))</f>
        <v>0</v>
      </c>
      <c r="Y450">
        <f>IF($D450="",0,IFERROR(SUMIFS($U$4:$U$810,$A$4:$A$810,$A450,$E$4:$E$810,"Win")/COUNTIFS($A$4:$A$810,$A450,$E$4:$E$810,"Win"),0))</f>
        <v>0</v>
      </c>
      <c r="Z450">
        <f>IF($D450="",0,1/(1+10^(($Y450-$U450)/400)))</f>
        <v>0</v>
      </c>
      <c r="AA450">
        <f>IF($D450="",0,IF($F450&lt;2,0,IF($E450="Win",('Guide &amp; Settings'!$C$42/(($F450-1)*COUNTIFS($A$4:$A$810,$A450,$E$4:$E$810,"Win")))*SUMIFS($Z$4:$Z$810,$A$4:$A$810,$A450,$E$4:$E$810,"Loss"),-('Guide &amp; Settings'!$C$42/($F450-1))*$Z450)))</f>
        <v>0</v>
      </c>
      <c r="AB450" s="125">
        <f>IF($D450="",0,$U450+$AA450)</f>
        <v>0</v>
      </c>
      <c r="AC450" s="125" t="str">
        <f>IF($D450="","",IF(SUMPRODUCT(MAX(($D$4:$D$810=$D450)*($B$4:$B$810&lt;$B450)*$B$4:$B$810))=0,0,MAX(($B450-MAX(SUMPRODUCT(MAX(($D$4:$D$810=$D450)*($B$4:$B$810&lt;$B450)*$B$4:$B$810)),'Guide &amp; Settings'!$C$50))/7-'Guide &amp; Settings'!$C$48,0)*'Guide &amp; Settings'!$C$49))</f>
      </c>
    </row>
    <row r="451" spans="1:29">
      <c r="A451" s="116"/>
      <c r="B451" s="117"/>
      <c r="C451" s="118"/>
      <c r="D451" s="118"/>
      <c r="E451" s="116"/>
      <c r="F451" s="119">
        <f>IF($D451="",0,COUNTIF($A$4:$A$810,$A451))</f>
        <v>0</v>
      </c>
      <c r="G451" s="120">
        <f>IF($D451="","",IFERROR(LOOKUP(2,1/(($A$4:$A$810=$A451)*($E$4:$E$810="Win")),$D$4:$D$810),"(no winner)"))</f>
        <v>0</v>
      </c>
      <c r="H451" s="121">
        <f>IF($D451="",0,IFERROR(LOOKUP(2,1/(($D$3:D450=$D451)*($A$3:A450&lt;$A451)),$N$3:N450),'Guide &amp; Settings'!$C$41))</f>
        <v>0</v>
      </c>
      <c r="I451" s="122">
        <f>IF($D451="",0,IF($S451=0,0,$R451/$S451))</f>
        <v>0</v>
      </c>
      <c r="J451" s="123">
        <f>IF($D451="",0,IF($F451&lt;2,0,IF($E451="Win",('Guide &amp; Settings'!$C$42/(($F451-1)*COUNTIFS($A$4:$A$810,$A451,$E$4:$E$810,"Win")))*SUMIFS($X$4:$X$810,$A$4:$A$810,$A451,$E$4:$E$810,"Loss"),-('Guide &amp; Settings'!$C$42/($F451-1))*$X451)))</f>
        <v>0</v>
      </c>
      <c r="K451" s="123">
        <f>IF($D451="",0,'Guide &amp; Settings'!$C$43*(IF($E451="Win",1,0)-$I451))</f>
        <v>0</v>
      </c>
      <c r="L451" s="124">
        <f>IF($D451="",0,'Guide &amp; Settings'!$C$44*IF($F451&gt;=3,$F451+IF($E451="Win",$F451,0),0))</f>
        <v>0</v>
      </c>
      <c r="M451" s="123">
        <f>IF($D451="",0,$J451+$K451+$L451)</f>
        <v>0</v>
      </c>
      <c r="N451" s="121">
        <f>IF($D451="",0,$H451+$M451)</f>
        <v>0</v>
      </c>
      <c r="O451" s="120" t="str">
        <f>IF($D451="","",IF(COUNTIFS($A$4:$A$810,$A451,$E$4:$E$810,"Win")=0,"need a winner",IF(COUNTIFS($A$4:$A$810,$A451,$E$4:$E$810,"Loss")=0,"need a loser",IF(COUNTIFS($A$4:$A$810,$A451,$D$4:$D$810,$D451)&gt;1,"duplicate player","OK"))))</f>
      </c>
      <c r="P451">
        <f>IF($D451="",0,IFERROR(SUMIFS($H$4:$H$810,$A$4:$A$810,$A451,$E$4:$E$810,"Win")/COUNTIFS($A$4:$A$810,$A451,$E$4:$E$810,"Win"),0))</f>
        <v>0</v>
      </c>
      <c r="Q451">
        <f>IF($D451="",0,1/(1+10^(($P451-$H451)/400)))</f>
        <v>0</v>
      </c>
      <c r="R451">
        <f>IF($D451="",0,(COUNTIFS($D$4:$D$810,$D451,$C$4:$C$810,$C451,$E$4:$E$810,"Win",$A$4:$A$810,"&lt;"&amp;$A451)+1)/(COUNTIFS($D$4:$D$810,$D451,$C$4:$C$810,$C451,$A$4:$A$810,"&lt;"&amp;$A451)+2))</f>
        <v>0</v>
      </c>
      <c r="S451">
        <f>IF($D451="",0,SUMIFS($R$4:$R$810,$A$4:$A$810,$A451))</f>
        <v>0</v>
      </c>
      <c r="T451" s="88">
        <f>IF($D451="",0,COUNTIFS($D$4:$D$810,$D451,$C$4:$C$810,$C451,$A$4:$A$810,"&lt;"&amp;$A451))</f>
        <v>0</v>
      </c>
      <c r="U451" s="125">
        <f>IF($D451="",0,IFERROR(LOOKUP(2,1/(($D$3:D450=$D451)*($C$3:C450=$C451)*($A$3:A450&lt;$A451)),$AB$3:AB450),1000))</f>
        <v>0</v>
      </c>
      <c r="V451" s="125">
        <f>IF($D451="",0,$U451*($T451/($T451+5))+$H451*(1-$T451/($T451+5)))</f>
        <v>0</v>
      </c>
      <c r="W451">
        <f>IF($D451="",0,IFERROR(SUMIFS($V$4:$V$810,$A$4:$A$810,$A451,$E$4:$E$810,"Win")/COUNTIFS($A$4:$A$810,$A451,$E$4:$E$810,"Win"),0))</f>
        <v>0</v>
      </c>
      <c r="X451">
        <f>IF($D451="",0,1/(1+10^(($W451-$V451)/400)))</f>
        <v>0</v>
      </c>
      <c r="Y451">
        <f>IF($D451="",0,IFERROR(SUMIFS($U$4:$U$810,$A$4:$A$810,$A451,$E$4:$E$810,"Win")/COUNTIFS($A$4:$A$810,$A451,$E$4:$E$810,"Win"),0))</f>
        <v>0</v>
      </c>
      <c r="Z451">
        <f>IF($D451="",0,1/(1+10^(($Y451-$U451)/400)))</f>
        <v>0</v>
      </c>
      <c r="AA451">
        <f>IF($D451="",0,IF($F451&lt;2,0,IF($E451="Win",('Guide &amp; Settings'!$C$42/(($F451-1)*COUNTIFS($A$4:$A$810,$A451,$E$4:$E$810,"Win")))*SUMIFS($Z$4:$Z$810,$A$4:$A$810,$A451,$E$4:$E$810,"Loss"),-('Guide &amp; Settings'!$C$42/($F451-1))*$Z451)))</f>
        <v>0</v>
      </c>
      <c r="AB451" s="125">
        <f>IF($D451="",0,$U451+$AA451)</f>
        <v>0</v>
      </c>
      <c r="AC451" s="125" t="str">
        <f>IF($D451="","",IF(SUMPRODUCT(MAX(($D$4:$D$810=$D451)*($B$4:$B$810&lt;$B451)*$B$4:$B$810))=0,0,MAX(($B451-MAX(SUMPRODUCT(MAX(($D$4:$D$810=$D451)*($B$4:$B$810&lt;$B451)*$B$4:$B$810)),'Guide &amp; Settings'!$C$50))/7-'Guide &amp; Settings'!$C$48,0)*'Guide &amp; Settings'!$C$49))</f>
      </c>
    </row>
    <row r="452" spans="1:29">
      <c r="A452" s="116"/>
      <c r="B452" s="117"/>
      <c r="C452" s="118"/>
      <c r="D452" s="118"/>
      <c r="E452" s="116"/>
      <c r="F452" s="119">
        <f>IF($D452="",0,COUNTIF($A$4:$A$810,$A452))</f>
        <v>0</v>
      </c>
      <c r="G452" s="120">
        <f>IF($D452="","",IFERROR(LOOKUP(2,1/(($A$4:$A$810=$A452)*($E$4:$E$810="Win")),$D$4:$D$810),"(no winner)"))</f>
        <v>0</v>
      </c>
      <c r="H452" s="121">
        <f>IF($D452="",0,IFERROR(LOOKUP(2,1/(($D$3:D451=$D452)*($A$3:A451&lt;$A452)),$N$3:N451),'Guide &amp; Settings'!$C$41))</f>
        <v>0</v>
      </c>
      <c r="I452" s="122">
        <f>IF($D452="",0,IF($S452=0,0,$R452/$S452))</f>
        <v>0</v>
      </c>
      <c r="J452" s="123">
        <f>IF($D452="",0,IF($F452&lt;2,0,IF($E452="Win",('Guide &amp; Settings'!$C$42/(($F452-1)*COUNTIFS($A$4:$A$810,$A452,$E$4:$E$810,"Win")))*SUMIFS($X$4:$X$810,$A$4:$A$810,$A452,$E$4:$E$810,"Loss"),-('Guide &amp; Settings'!$C$42/($F452-1))*$X452)))</f>
        <v>0</v>
      </c>
      <c r="K452" s="123">
        <f>IF($D452="",0,'Guide &amp; Settings'!$C$43*(IF($E452="Win",1,0)-$I452))</f>
        <v>0</v>
      </c>
      <c r="L452" s="124">
        <f>IF($D452="",0,'Guide &amp; Settings'!$C$44*IF($F452&gt;=3,$F452+IF($E452="Win",$F452,0),0))</f>
        <v>0</v>
      </c>
      <c r="M452" s="123">
        <f>IF($D452="",0,$J452+$K452+$L452)</f>
        <v>0</v>
      </c>
      <c r="N452" s="121">
        <f>IF($D452="",0,$H452+$M452)</f>
        <v>0</v>
      </c>
      <c r="O452" s="120" t="str">
        <f>IF($D452="","",IF(COUNTIFS($A$4:$A$810,$A452,$E$4:$E$810,"Win")=0,"need a winner",IF(COUNTIFS($A$4:$A$810,$A452,$E$4:$E$810,"Loss")=0,"need a loser",IF(COUNTIFS($A$4:$A$810,$A452,$D$4:$D$810,$D452)&gt;1,"duplicate player","OK"))))</f>
      </c>
      <c r="P452">
        <f>IF($D452="",0,IFERROR(SUMIFS($H$4:$H$810,$A$4:$A$810,$A452,$E$4:$E$810,"Win")/COUNTIFS($A$4:$A$810,$A452,$E$4:$E$810,"Win"),0))</f>
        <v>0</v>
      </c>
      <c r="Q452">
        <f>IF($D452="",0,1/(1+10^(($P452-$H452)/400)))</f>
        <v>0</v>
      </c>
      <c r="R452">
        <f>IF($D452="",0,(COUNTIFS($D$4:$D$810,$D452,$C$4:$C$810,$C452,$E$4:$E$810,"Win",$A$4:$A$810,"&lt;"&amp;$A452)+1)/(COUNTIFS($D$4:$D$810,$D452,$C$4:$C$810,$C452,$A$4:$A$810,"&lt;"&amp;$A452)+2))</f>
        <v>0</v>
      </c>
      <c r="S452">
        <f>IF($D452="",0,SUMIFS($R$4:$R$810,$A$4:$A$810,$A452))</f>
        <v>0</v>
      </c>
      <c r="T452" s="88">
        <f>IF($D452="",0,COUNTIFS($D$4:$D$810,$D452,$C$4:$C$810,$C452,$A$4:$A$810,"&lt;"&amp;$A452))</f>
        <v>0</v>
      </c>
      <c r="U452" s="125">
        <f>IF($D452="",0,IFERROR(LOOKUP(2,1/(($D$3:D451=$D452)*($C$3:C451=$C452)*($A$3:A451&lt;$A452)),$AB$3:AB451),1000))</f>
        <v>0</v>
      </c>
      <c r="V452" s="125">
        <f>IF($D452="",0,$U452*($T452/($T452+5))+$H452*(1-$T452/($T452+5)))</f>
        <v>0</v>
      </c>
      <c r="W452">
        <f>IF($D452="",0,IFERROR(SUMIFS($V$4:$V$810,$A$4:$A$810,$A452,$E$4:$E$810,"Win")/COUNTIFS($A$4:$A$810,$A452,$E$4:$E$810,"Win"),0))</f>
        <v>0</v>
      </c>
      <c r="X452">
        <f>IF($D452="",0,1/(1+10^(($W452-$V452)/400)))</f>
        <v>0</v>
      </c>
      <c r="Y452">
        <f>IF($D452="",0,IFERROR(SUMIFS($U$4:$U$810,$A$4:$A$810,$A452,$E$4:$E$810,"Win")/COUNTIFS($A$4:$A$810,$A452,$E$4:$E$810,"Win"),0))</f>
        <v>0</v>
      </c>
      <c r="Z452">
        <f>IF($D452="",0,1/(1+10^(($Y452-$U452)/400)))</f>
        <v>0</v>
      </c>
      <c r="AA452">
        <f>IF($D452="",0,IF($F452&lt;2,0,IF($E452="Win",('Guide &amp; Settings'!$C$42/(($F452-1)*COUNTIFS($A$4:$A$810,$A452,$E$4:$E$810,"Win")))*SUMIFS($Z$4:$Z$810,$A$4:$A$810,$A452,$E$4:$E$810,"Loss"),-('Guide &amp; Settings'!$C$42/($F452-1))*$Z452)))</f>
        <v>0</v>
      </c>
      <c r="AB452" s="125">
        <f>IF($D452="",0,$U452+$AA452)</f>
        <v>0</v>
      </c>
      <c r="AC452" s="125" t="str">
        <f>IF($D452="","",IF(SUMPRODUCT(MAX(($D$4:$D$810=$D452)*($B$4:$B$810&lt;$B452)*$B$4:$B$810))=0,0,MAX(($B452-MAX(SUMPRODUCT(MAX(($D$4:$D$810=$D452)*($B$4:$B$810&lt;$B452)*$B$4:$B$810)),'Guide &amp; Settings'!$C$50))/7-'Guide &amp; Settings'!$C$48,0)*'Guide &amp; Settings'!$C$49))</f>
      </c>
    </row>
    <row r="453" spans="1:29">
      <c r="A453" s="116"/>
      <c r="B453" s="117"/>
      <c r="C453" s="118"/>
      <c r="D453" s="118"/>
      <c r="E453" s="116"/>
      <c r="F453" s="119">
        <f>IF($D453="",0,COUNTIF($A$4:$A$810,$A453))</f>
        <v>0</v>
      </c>
      <c r="G453" s="120">
        <f>IF($D453="","",IFERROR(LOOKUP(2,1/(($A$4:$A$810=$A453)*($E$4:$E$810="Win")),$D$4:$D$810),"(no winner)"))</f>
        <v>0</v>
      </c>
      <c r="H453" s="121">
        <f>IF($D453="",0,IFERROR(LOOKUP(2,1/(($D$3:D452=$D453)*($A$3:A452&lt;$A453)),$N$3:N452),'Guide &amp; Settings'!$C$41))</f>
        <v>0</v>
      </c>
      <c r="I453" s="122">
        <f>IF($D453="",0,IF($S453=0,0,$R453/$S453))</f>
        <v>0</v>
      </c>
      <c r="J453" s="123">
        <f>IF($D453="",0,IF($F453&lt;2,0,IF($E453="Win",('Guide &amp; Settings'!$C$42/(($F453-1)*COUNTIFS($A$4:$A$810,$A453,$E$4:$E$810,"Win")))*SUMIFS($X$4:$X$810,$A$4:$A$810,$A453,$E$4:$E$810,"Loss"),-('Guide &amp; Settings'!$C$42/($F453-1))*$X453)))</f>
        <v>0</v>
      </c>
      <c r="K453" s="123">
        <f>IF($D453="",0,'Guide &amp; Settings'!$C$43*(IF($E453="Win",1,0)-$I453))</f>
        <v>0</v>
      </c>
      <c r="L453" s="124">
        <f>IF($D453="",0,'Guide &amp; Settings'!$C$44*IF($F453&gt;=3,$F453+IF($E453="Win",$F453,0),0))</f>
        <v>0</v>
      </c>
      <c r="M453" s="123">
        <f>IF($D453="",0,$J453+$K453+$L453)</f>
        <v>0</v>
      </c>
      <c r="N453" s="121">
        <f>IF($D453="",0,$H453+$M453)</f>
        <v>0</v>
      </c>
      <c r="O453" s="120" t="str">
        <f>IF($D453="","",IF(COUNTIFS($A$4:$A$810,$A453,$E$4:$E$810,"Win")=0,"need a winner",IF(COUNTIFS($A$4:$A$810,$A453,$E$4:$E$810,"Loss")=0,"need a loser",IF(COUNTIFS($A$4:$A$810,$A453,$D$4:$D$810,$D453)&gt;1,"duplicate player","OK"))))</f>
      </c>
      <c r="P453">
        <f>IF($D453="",0,IFERROR(SUMIFS($H$4:$H$810,$A$4:$A$810,$A453,$E$4:$E$810,"Win")/COUNTIFS($A$4:$A$810,$A453,$E$4:$E$810,"Win"),0))</f>
        <v>0</v>
      </c>
      <c r="Q453">
        <f>IF($D453="",0,1/(1+10^(($P453-$H453)/400)))</f>
        <v>0</v>
      </c>
      <c r="R453">
        <f>IF($D453="",0,(COUNTIFS($D$4:$D$810,$D453,$C$4:$C$810,$C453,$E$4:$E$810,"Win",$A$4:$A$810,"&lt;"&amp;$A453)+1)/(COUNTIFS($D$4:$D$810,$D453,$C$4:$C$810,$C453,$A$4:$A$810,"&lt;"&amp;$A453)+2))</f>
        <v>0</v>
      </c>
      <c r="S453">
        <f>IF($D453="",0,SUMIFS($R$4:$R$810,$A$4:$A$810,$A453))</f>
        <v>0</v>
      </c>
      <c r="T453" s="88">
        <f>IF($D453="",0,COUNTIFS($D$4:$D$810,$D453,$C$4:$C$810,$C453,$A$4:$A$810,"&lt;"&amp;$A453))</f>
        <v>0</v>
      </c>
      <c r="U453" s="125">
        <f>IF($D453="",0,IFERROR(LOOKUP(2,1/(($D$3:D452=$D453)*($C$3:C452=$C453)*($A$3:A452&lt;$A453)),$AB$3:AB452),1000))</f>
        <v>0</v>
      </c>
      <c r="V453" s="125">
        <f>IF($D453="",0,$U453*($T453/($T453+5))+$H453*(1-$T453/($T453+5)))</f>
        <v>0</v>
      </c>
      <c r="W453">
        <f>IF($D453="",0,IFERROR(SUMIFS($V$4:$V$810,$A$4:$A$810,$A453,$E$4:$E$810,"Win")/COUNTIFS($A$4:$A$810,$A453,$E$4:$E$810,"Win"),0))</f>
        <v>0</v>
      </c>
      <c r="X453">
        <f>IF($D453="",0,1/(1+10^(($W453-$V453)/400)))</f>
        <v>0</v>
      </c>
      <c r="Y453">
        <f>IF($D453="",0,IFERROR(SUMIFS($U$4:$U$810,$A$4:$A$810,$A453,$E$4:$E$810,"Win")/COUNTIFS($A$4:$A$810,$A453,$E$4:$E$810,"Win"),0))</f>
        <v>0</v>
      </c>
      <c r="Z453">
        <f>IF($D453="",0,1/(1+10^(($Y453-$U453)/400)))</f>
        <v>0</v>
      </c>
      <c r="AA453">
        <f>IF($D453="",0,IF($F453&lt;2,0,IF($E453="Win",('Guide &amp; Settings'!$C$42/(($F453-1)*COUNTIFS($A$4:$A$810,$A453,$E$4:$E$810,"Win")))*SUMIFS($Z$4:$Z$810,$A$4:$A$810,$A453,$E$4:$E$810,"Loss"),-('Guide &amp; Settings'!$C$42/($F453-1))*$Z453)))</f>
        <v>0</v>
      </c>
      <c r="AB453" s="125">
        <f>IF($D453="",0,$U453+$AA453)</f>
        <v>0</v>
      </c>
      <c r="AC453" s="125" t="str">
        <f>IF($D453="","",IF(SUMPRODUCT(MAX(($D$4:$D$810=$D453)*($B$4:$B$810&lt;$B453)*$B$4:$B$810))=0,0,MAX(($B453-MAX(SUMPRODUCT(MAX(($D$4:$D$810=$D453)*($B$4:$B$810&lt;$B453)*$B$4:$B$810)),'Guide &amp; Settings'!$C$50))/7-'Guide &amp; Settings'!$C$48,0)*'Guide &amp; Settings'!$C$49))</f>
      </c>
    </row>
    <row r="454" spans="1:29">
      <c r="A454" s="116"/>
      <c r="B454" s="117"/>
      <c r="C454" s="118"/>
      <c r="D454" s="118"/>
      <c r="E454" s="116"/>
      <c r="F454" s="119">
        <f>IF($D454="",0,COUNTIF($A$4:$A$810,$A454))</f>
        <v>0</v>
      </c>
      <c r="G454" s="120">
        <f>IF($D454="","",IFERROR(LOOKUP(2,1/(($A$4:$A$810=$A454)*($E$4:$E$810="Win")),$D$4:$D$810),"(no winner)"))</f>
        <v>0</v>
      </c>
      <c r="H454" s="121">
        <f>IF($D454="",0,IFERROR(LOOKUP(2,1/(($D$3:D453=$D454)*($A$3:A453&lt;$A454)),$N$3:N453),'Guide &amp; Settings'!$C$41))</f>
        <v>0</v>
      </c>
      <c r="I454" s="122">
        <f>IF($D454="",0,IF($S454=0,0,$R454/$S454))</f>
        <v>0</v>
      </c>
      <c r="J454" s="123">
        <f>IF($D454="",0,IF($F454&lt;2,0,IF($E454="Win",('Guide &amp; Settings'!$C$42/(($F454-1)*COUNTIFS($A$4:$A$810,$A454,$E$4:$E$810,"Win")))*SUMIFS($X$4:$X$810,$A$4:$A$810,$A454,$E$4:$E$810,"Loss"),-('Guide &amp; Settings'!$C$42/($F454-1))*$X454)))</f>
        <v>0</v>
      </c>
      <c r="K454" s="123">
        <f>IF($D454="",0,'Guide &amp; Settings'!$C$43*(IF($E454="Win",1,0)-$I454))</f>
        <v>0</v>
      </c>
      <c r="L454" s="124">
        <f>IF($D454="",0,'Guide &amp; Settings'!$C$44*IF($F454&gt;=3,$F454+IF($E454="Win",$F454,0),0))</f>
        <v>0</v>
      </c>
      <c r="M454" s="123">
        <f>IF($D454="",0,$J454+$K454+$L454)</f>
        <v>0</v>
      </c>
      <c r="N454" s="121">
        <f>IF($D454="",0,$H454+$M454)</f>
        <v>0</v>
      </c>
      <c r="O454" s="120" t="str">
        <f>IF($D454="","",IF(COUNTIFS($A$4:$A$810,$A454,$E$4:$E$810,"Win")=0,"need a winner",IF(COUNTIFS($A$4:$A$810,$A454,$E$4:$E$810,"Loss")=0,"need a loser",IF(COUNTIFS($A$4:$A$810,$A454,$D$4:$D$810,$D454)&gt;1,"duplicate player","OK"))))</f>
      </c>
      <c r="P454">
        <f>IF($D454="",0,IFERROR(SUMIFS($H$4:$H$810,$A$4:$A$810,$A454,$E$4:$E$810,"Win")/COUNTIFS($A$4:$A$810,$A454,$E$4:$E$810,"Win"),0))</f>
        <v>0</v>
      </c>
      <c r="Q454">
        <f>IF($D454="",0,1/(1+10^(($P454-$H454)/400)))</f>
        <v>0</v>
      </c>
      <c r="R454">
        <f>IF($D454="",0,(COUNTIFS($D$4:$D$810,$D454,$C$4:$C$810,$C454,$E$4:$E$810,"Win",$A$4:$A$810,"&lt;"&amp;$A454)+1)/(COUNTIFS($D$4:$D$810,$D454,$C$4:$C$810,$C454,$A$4:$A$810,"&lt;"&amp;$A454)+2))</f>
        <v>0</v>
      </c>
      <c r="S454">
        <f>IF($D454="",0,SUMIFS($R$4:$R$810,$A$4:$A$810,$A454))</f>
        <v>0</v>
      </c>
      <c r="T454" s="88">
        <f>IF($D454="",0,COUNTIFS($D$4:$D$810,$D454,$C$4:$C$810,$C454,$A$4:$A$810,"&lt;"&amp;$A454))</f>
        <v>0</v>
      </c>
      <c r="U454" s="125">
        <f>IF($D454="",0,IFERROR(LOOKUP(2,1/(($D$3:D453=$D454)*($C$3:C453=$C454)*($A$3:A453&lt;$A454)),$AB$3:AB453),1000))</f>
        <v>0</v>
      </c>
      <c r="V454" s="125">
        <f>IF($D454="",0,$U454*($T454/($T454+5))+$H454*(1-$T454/($T454+5)))</f>
        <v>0</v>
      </c>
      <c r="W454">
        <f>IF($D454="",0,IFERROR(SUMIFS($V$4:$V$810,$A$4:$A$810,$A454,$E$4:$E$810,"Win")/COUNTIFS($A$4:$A$810,$A454,$E$4:$E$810,"Win"),0))</f>
        <v>0</v>
      </c>
      <c r="X454">
        <f>IF($D454="",0,1/(1+10^(($W454-$V454)/400)))</f>
        <v>0</v>
      </c>
      <c r="Y454">
        <f>IF($D454="",0,IFERROR(SUMIFS($U$4:$U$810,$A$4:$A$810,$A454,$E$4:$E$810,"Win")/COUNTIFS($A$4:$A$810,$A454,$E$4:$E$810,"Win"),0))</f>
        <v>0</v>
      </c>
      <c r="Z454">
        <f>IF($D454="",0,1/(1+10^(($Y454-$U454)/400)))</f>
        <v>0</v>
      </c>
      <c r="AA454">
        <f>IF($D454="",0,IF($F454&lt;2,0,IF($E454="Win",('Guide &amp; Settings'!$C$42/(($F454-1)*COUNTIFS($A$4:$A$810,$A454,$E$4:$E$810,"Win")))*SUMIFS($Z$4:$Z$810,$A$4:$A$810,$A454,$E$4:$E$810,"Loss"),-('Guide &amp; Settings'!$C$42/($F454-1))*$Z454)))</f>
        <v>0</v>
      </c>
      <c r="AB454" s="125">
        <f>IF($D454="",0,$U454+$AA454)</f>
        <v>0</v>
      </c>
      <c r="AC454" s="125" t="str">
        <f>IF($D454="","",IF(SUMPRODUCT(MAX(($D$4:$D$810=$D454)*($B$4:$B$810&lt;$B454)*$B$4:$B$810))=0,0,MAX(($B454-MAX(SUMPRODUCT(MAX(($D$4:$D$810=$D454)*($B$4:$B$810&lt;$B454)*$B$4:$B$810)),'Guide &amp; Settings'!$C$50))/7-'Guide &amp; Settings'!$C$48,0)*'Guide &amp; Settings'!$C$49))</f>
      </c>
    </row>
    <row r="455" spans="1:29">
      <c r="A455" s="116"/>
      <c r="B455" s="117"/>
      <c r="C455" s="118"/>
      <c r="D455" s="118"/>
      <c r="E455" s="116"/>
      <c r="F455" s="119">
        <f>IF($D455="",0,COUNTIF($A$4:$A$810,$A455))</f>
        <v>0</v>
      </c>
      <c r="G455" s="120">
        <f>IF($D455="","",IFERROR(LOOKUP(2,1/(($A$4:$A$810=$A455)*($E$4:$E$810="Win")),$D$4:$D$810),"(no winner)"))</f>
        <v>0</v>
      </c>
      <c r="H455" s="121">
        <f>IF($D455="",0,IFERROR(LOOKUP(2,1/(($D$3:D454=$D455)*($A$3:A454&lt;$A455)),$N$3:N454),'Guide &amp; Settings'!$C$41))</f>
        <v>0</v>
      </c>
      <c r="I455" s="122">
        <f>IF($D455="",0,IF($S455=0,0,$R455/$S455))</f>
        <v>0</v>
      </c>
      <c r="J455" s="123">
        <f>IF($D455="",0,IF($F455&lt;2,0,IF($E455="Win",('Guide &amp; Settings'!$C$42/(($F455-1)*COUNTIFS($A$4:$A$810,$A455,$E$4:$E$810,"Win")))*SUMIFS($X$4:$X$810,$A$4:$A$810,$A455,$E$4:$E$810,"Loss"),-('Guide &amp; Settings'!$C$42/($F455-1))*$X455)))</f>
        <v>0</v>
      </c>
      <c r="K455" s="123">
        <f>IF($D455="",0,'Guide &amp; Settings'!$C$43*(IF($E455="Win",1,0)-$I455))</f>
        <v>0</v>
      </c>
      <c r="L455" s="124">
        <f>IF($D455="",0,'Guide &amp; Settings'!$C$44*IF($F455&gt;=3,$F455+IF($E455="Win",$F455,0),0))</f>
        <v>0</v>
      </c>
      <c r="M455" s="123">
        <f>IF($D455="",0,$J455+$K455+$L455)</f>
        <v>0</v>
      </c>
      <c r="N455" s="121">
        <f>IF($D455="",0,$H455+$M455)</f>
        <v>0</v>
      </c>
      <c r="O455" s="120" t="str">
        <f>IF($D455="","",IF(COUNTIFS($A$4:$A$810,$A455,$E$4:$E$810,"Win")=0,"need a winner",IF(COUNTIFS($A$4:$A$810,$A455,$E$4:$E$810,"Loss")=0,"need a loser",IF(COUNTIFS($A$4:$A$810,$A455,$D$4:$D$810,$D455)&gt;1,"duplicate player","OK"))))</f>
      </c>
      <c r="P455">
        <f>IF($D455="",0,IFERROR(SUMIFS($H$4:$H$810,$A$4:$A$810,$A455,$E$4:$E$810,"Win")/COUNTIFS($A$4:$A$810,$A455,$E$4:$E$810,"Win"),0))</f>
        <v>0</v>
      </c>
      <c r="Q455">
        <f>IF($D455="",0,1/(1+10^(($P455-$H455)/400)))</f>
        <v>0</v>
      </c>
      <c r="R455">
        <f>IF($D455="",0,(COUNTIFS($D$4:$D$810,$D455,$C$4:$C$810,$C455,$E$4:$E$810,"Win",$A$4:$A$810,"&lt;"&amp;$A455)+1)/(COUNTIFS($D$4:$D$810,$D455,$C$4:$C$810,$C455,$A$4:$A$810,"&lt;"&amp;$A455)+2))</f>
        <v>0</v>
      </c>
      <c r="S455">
        <f>IF($D455="",0,SUMIFS($R$4:$R$810,$A$4:$A$810,$A455))</f>
        <v>0</v>
      </c>
      <c r="T455" s="88">
        <f>IF($D455="",0,COUNTIFS($D$4:$D$810,$D455,$C$4:$C$810,$C455,$A$4:$A$810,"&lt;"&amp;$A455))</f>
        <v>0</v>
      </c>
      <c r="U455" s="125">
        <f>IF($D455="",0,IFERROR(LOOKUP(2,1/(($D$3:D454=$D455)*($C$3:C454=$C455)*($A$3:A454&lt;$A455)),$AB$3:AB454),1000))</f>
        <v>0</v>
      </c>
      <c r="V455" s="125">
        <f>IF($D455="",0,$U455*($T455/($T455+5))+$H455*(1-$T455/($T455+5)))</f>
        <v>0</v>
      </c>
      <c r="W455">
        <f>IF($D455="",0,IFERROR(SUMIFS($V$4:$V$810,$A$4:$A$810,$A455,$E$4:$E$810,"Win")/COUNTIFS($A$4:$A$810,$A455,$E$4:$E$810,"Win"),0))</f>
        <v>0</v>
      </c>
      <c r="X455">
        <f>IF($D455="",0,1/(1+10^(($W455-$V455)/400)))</f>
        <v>0</v>
      </c>
      <c r="Y455">
        <f>IF($D455="",0,IFERROR(SUMIFS($U$4:$U$810,$A$4:$A$810,$A455,$E$4:$E$810,"Win")/COUNTIFS($A$4:$A$810,$A455,$E$4:$E$810,"Win"),0))</f>
        <v>0</v>
      </c>
      <c r="Z455">
        <f>IF($D455="",0,1/(1+10^(($Y455-$U455)/400)))</f>
        <v>0</v>
      </c>
      <c r="AA455">
        <f>IF($D455="",0,IF($F455&lt;2,0,IF($E455="Win",('Guide &amp; Settings'!$C$42/(($F455-1)*COUNTIFS($A$4:$A$810,$A455,$E$4:$E$810,"Win")))*SUMIFS($Z$4:$Z$810,$A$4:$A$810,$A455,$E$4:$E$810,"Loss"),-('Guide &amp; Settings'!$C$42/($F455-1))*$Z455)))</f>
        <v>0</v>
      </c>
      <c r="AB455" s="125">
        <f>IF($D455="",0,$U455+$AA455)</f>
        <v>0</v>
      </c>
      <c r="AC455" s="125" t="str">
        <f>IF($D455="","",IF(SUMPRODUCT(MAX(($D$4:$D$810=$D455)*($B$4:$B$810&lt;$B455)*$B$4:$B$810))=0,0,MAX(($B455-MAX(SUMPRODUCT(MAX(($D$4:$D$810=$D455)*($B$4:$B$810&lt;$B455)*$B$4:$B$810)),'Guide &amp; Settings'!$C$50))/7-'Guide &amp; Settings'!$C$48,0)*'Guide &amp; Settings'!$C$49))</f>
      </c>
    </row>
    <row r="456" spans="1:29">
      <c r="A456" s="116"/>
      <c r="B456" s="117"/>
      <c r="C456" s="118"/>
      <c r="D456" s="118"/>
      <c r="E456" s="116"/>
      <c r="F456" s="119">
        <f>IF($D456="",0,COUNTIF($A$4:$A$810,$A456))</f>
        <v>0</v>
      </c>
      <c r="G456" s="120">
        <f>IF($D456="","",IFERROR(LOOKUP(2,1/(($A$4:$A$810=$A456)*($E$4:$E$810="Win")),$D$4:$D$810),"(no winner)"))</f>
        <v>0</v>
      </c>
      <c r="H456" s="121">
        <f>IF($D456="",0,IFERROR(LOOKUP(2,1/(($D$3:D455=$D456)*($A$3:A455&lt;$A456)),$N$3:N455),'Guide &amp; Settings'!$C$41))</f>
        <v>0</v>
      </c>
      <c r="I456" s="122">
        <f>IF($D456="",0,IF($S456=0,0,$R456/$S456))</f>
        <v>0</v>
      </c>
      <c r="J456" s="123">
        <f>IF($D456="",0,IF($F456&lt;2,0,IF($E456="Win",('Guide &amp; Settings'!$C$42/(($F456-1)*COUNTIFS($A$4:$A$810,$A456,$E$4:$E$810,"Win")))*SUMIFS($X$4:$X$810,$A$4:$A$810,$A456,$E$4:$E$810,"Loss"),-('Guide &amp; Settings'!$C$42/($F456-1))*$X456)))</f>
        <v>0</v>
      </c>
      <c r="K456" s="123">
        <f>IF($D456="",0,'Guide &amp; Settings'!$C$43*(IF($E456="Win",1,0)-$I456))</f>
        <v>0</v>
      </c>
      <c r="L456" s="124">
        <f>IF($D456="",0,'Guide &amp; Settings'!$C$44*IF($F456&gt;=3,$F456+IF($E456="Win",$F456,0),0))</f>
        <v>0</v>
      </c>
      <c r="M456" s="123">
        <f>IF($D456="",0,$J456+$K456+$L456)</f>
        <v>0</v>
      </c>
      <c r="N456" s="121">
        <f>IF($D456="",0,$H456+$M456)</f>
        <v>0</v>
      </c>
      <c r="O456" s="120" t="str">
        <f>IF($D456="","",IF(COUNTIFS($A$4:$A$810,$A456,$E$4:$E$810,"Win")=0,"need a winner",IF(COUNTIFS($A$4:$A$810,$A456,$E$4:$E$810,"Loss")=0,"need a loser",IF(COUNTIFS($A$4:$A$810,$A456,$D$4:$D$810,$D456)&gt;1,"duplicate player","OK"))))</f>
      </c>
      <c r="P456">
        <f>IF($D456="",0,IFERROR(SUMIFS($H$4:$H$810,$A$4:$A$810,$A456,$E$4:$E$810,"Win")/COUNTIFS($A$4:$A$810,$A456,$E$4:$E$810,"Win"),0))</f>
        <v>0</v>
      </c>
      <c r="Q456">
        <f>IF($D456="",0,1/(1+10^(($P456-$H456)/400)))</f>
        <v>0</v>
      </c>
      <c r="R456">
        <f>IF($D456="",0,(COUNTIFS($D$4:$D$810,$D456,$C$4:$C$810,$C456,$E$4:$E$810,"Win",$A$4:$A$810,"&lt;"&amp;$A456)+1)/(COUNTIFS($D$4:$D$810,$D456,$C$4:$C$810,$C456,$A$4:$A$810,"&lt;"&amp;$A456)+2))</f>
        <v>0</v>
      </c>
      <c r="S456">
        <f>IF($D456="",0,SUMIFS($R$4:$R$810,$A$4:$A$810,$A456))</f>
        <v>0</v>
      </c>
      <c r="T456" s="88">
        <f>IF($D456="",0,COUNTIFS($D$4:$D$810,$D456,$C$4:$C$810,$C456,$A$4:$A$810,"&lt;"&amp;$A456))</f>
        <v>0</v>
      </c>
      <c r="U456" s="125">
        <f>IF($D456="",0,IFERROR(LOOKUP(2,1/(($D$3:D455=$D456)*($C$3:C455=$C456)*($A$3:A455&lt;$A456)),$AB$3:AB455),1000))</f>
        <v>0</v>
      </c>
      <c r="V456" s="125">
        <f>IF($D456="",0,$U456*($T456/($T456+5))+$H456*(1-$T456/($T456+5)))</f>
        <v>0</v>
      </c>
      <c r="W456">
        <f>IF($D456="",0,IFERROR(SUMIFS($V$4:$V$810,$A$4:$A$810,$A456,$E$4:$E$810,"Win")/COUNTIFS($A$4:$A$810,$A456,$E$4:$E$810,"Win"),0))</f>
        <v>0</v>
      </c>
      <c r="X456">
        <f>IF($D456="",0,1/(1+10^(($W456-$V456)/400)))</f>
        <v>0</v>
      </c>
      <c r="Y456">
        <f>IF($D456="",0,IFERROR(SUMIFS($U$4:$U$810,$A$4:$A$810,$A456,$E$4:$E$810,"Win")/COUNTIFS($A$4:$A$810,$A456,$E$4:$E$810,"Win"),0))</f>
        <v>0</v>
      </c>
      <c r="Z456">
        <f>IF($D456="",0,1/(1+10^(($Y456-$U456)/400)))</f>
        <v>0</v>
      </c>
      <c r="AA456">
        <f>IF($D456="",0,IF($F456&lt;2,0,IF($E456="Win",('Guide &amp; Settings'!$C$42/(($F456-1)*COUNTIFS($A$4:$A$810,$A456,$E$4:$E$810,"Win")))*SUMIFS($Z$4:$Z$810,$A$4:$A$810,$A456,$E$4:$E$810,"Loss"),-('Guide &amp; Settings'!$C$42/($F456-1))*$Z456)))</f>
        <v>0</v>
      </c>
      <c r="AB456" s="125">
        <f>IF($D456="",0,$U456+$AA456)</f>
        <v>0</v>
      </c>
      <c r="AC456" s="125" t="str">
        <f>IF($D456="","",IF(SUMPRODUCT(MAX(($D$4:$D$810=$D456)*($B$4:$B$810&lt;$B456)*$B$4:$B$810))=0,0,MAX(($B456-MAX(SUMPRODUCT(MAX(($D$4:$D$810=$D456)*($B$4:$B$810&lt;$B456)*$B$4:$B$810)),'Guide &amp; Settings'!$C$50))/7-'Guide &amp; Settings'!$C$48,0)*'Guide &amp; Settings'!$C$49))</f>
      </c>
    </row>
    <row r="457" spans="1:29">
      <c r="A457" s="116"/>
      <c r="B457" s="117"/>
      <c r="C457" s="118"/>
      <c r="D457" s="118"/>
      <c r="E457" s="116"/>
      <c r="F457" s="119">
        <f>IF($D457="",0,COUNTIF($A$4:$A$810,$A457))</f>
        <v>0</v>
      </c>
      <c r="G457" s="120">
        <f>IF($D457="","",IFERROR(LOOKUP(2,1/(($A$4:$A$810=$A457)*($E$4:$E$810="Win")),$D$4:$D$810),"(no winner)"))</f>
        <v>0</v>
      </c>
      <c r="H457" s="121">
        <f>IF($D457="",0,IFERROR(LOOKUP(2,1/(($D$3:D456=$D457)*($A$3:A456&lt;$A457)),$N$3:N456),'Guide &amp; Settings'!$C$41))</f>
        <v>0</v>
      </c>
      <c r="I457" s="122">
        <f>IF($D457="",0,IF($S457=0,0,$R457/$S457))</f>
        <v>0</v>
      </c>
      <c r="J457" s="123">
        <f>IF($D457="",0,IF($F457&lt;2,0,IF($E457="Win",('Guide &amp; Settings'!$C$42/(($F457-1)*COUNTIFS($A$4:$A$810,$A457,$E$4:$E$810,"Win")))*SUMIFS($X$4:$X$810,$A$4:$A$810,$A457,$E$4:$E$810,"Loss"),-('Guide &amp; Settings'!$C$42/($F457-1))*$X457)))</f>
        <v>0</v>
      </c>
      <c r="K457" s="123">
        <f>IF($D457="",0,'Guide &amp; Settings'!$C$43*(IF($E457="Win",1,0)-$I457))</f>
        <v>0</v>
      </c>
      <c r="L457" s="124">
        <f>IF($D457="",0,'Guide &amp; Settings'!$C$44*IF($F457&gt;=3,$F457+IF($E457="Win",$F457,0),0))</f>
        <v>0</v>
      </c>
      <c r="M457" s="123">
        <f>IF($D457="",0,$J457+$K457+$L457)</f>
        <v>0</v>
      </c>
      <c r="N457" s="121">
        <f>IF($D457="",0,$H457+$M457)</f>
        <v>0</v>
      </c>
      <c r="O457" s="120" t="str">
        <f>IF($D457="","",IF(COUNTIFS($A$4:$A$810,$A457,$E$4:$E$810,"Win")=0,"need a winner",IF(COUNTIFS($A$4:$A$810,$A457,$E$4:$E$810,"Loss")=0,"need a loser",IF(COUNTIFS($A$4:$A$810,$A457,$D$4:$D$810,$D457)&gt;1,"duplicate player","OK"))))</f>
      </c>
      <c r="P457">
        <f>IF($D457="",0,IFERROR(SUMIFS($H$4:$H$810,$A$4:$A$810,$A457,$E$4:$E$810,"Win")/COUNTIFS($A$4:$A$810,$A457,$E$4:$E$810,"Win"),0))</f>
        <v>0</v>
      </c>
      <c r="Q457">
        <f>IF($D457="",0,1/(1+10^(($P457-$H457)/400)))</f>
        <v>0</v>
      </c>
      <c r="R457">
        <f>IF($D457="",0,(COUNTIFS($D$4:$D$810,$D457,$C$4:$C$810,$C457,$E$4:$E$810,"Win",$A$4:$A$810,"&lt;"&amp;$A457)+1)/(COUNTIFS($D$4:$D$810,$D457,$C$4:$C$810,$C457,$A$4:$A$810,"&lt;"&amp;$A457)+2))</f>
        <v>0</v>
      </c>
      <c r="S457">
        <f>IF($D457="",0,SUMIFS($R$4:$R$810,$A$4:$A$810,$A457))</f>
        <v>0</v>
      </c>
      <c r="T457" s="88">
        <f>IF($D457="",0,COUNTIFS($D$4:$D$810,$D457,$C$4:$C$810,$C457,$A$4:$A$810,"&lt;"&amp;$A457))</f>
        <v>0</v>
      </c>
      <c r="U457" s="125">
        <f>IF($D457="",0,IFERROR(LOOKUP(2,1/(($D$3:D456=$D457)*($C$3:C456=$C457)*($A$3:A456&lt;$A457)),$AB$3:AB456),1000))</f>
        <v>0</v>
      </c>
      <c r="V457" s="125">
        <f>IF($D457="",0,$U457*($T457/($T457+5))+$H457*(1-$T457/($T457+5)))</f>
        <v>0</v>
      </c>
      <c r="W457">
        <f>IF($D457="",0,IFERROR(SUMIFS($V$4:$V$810,$A$4:$A$810,$A457,$E$4:$E$810,"Win")/COUNTIFS($A$4:$A$810,$A457,$E$4:$E$810,"Win"),0))</f>
        <v>0</v>
      </c>
      <c r="X457">
        <f>IF($D457="",0,1/(1+10^(($W457-$V457)/400)))</f>
        <v>0</v>
      </c>
      <c r="Y457">
        <f>IF($D457="",0,IFERROR(SUMIFS($U$4:$U$810,$A$4:$A$810,$A457,$E$4:$E$810,"Win")/COUNTIFS($A$4:$A$810,$A457,$E$4:$E$810,"Win"),0))</f>
        <v>0</v>
      </c>
      <c r="Z457">
        <f>IF($D457="",0,1/(1+10^(($Y457-$U457)/400)))</f>
        <v>0</v>
      </c>
      <c r="AA457">
        <f>IF($D457="",0,IF($F457&lt;2,0,IF($E457="Win",('Guide &amp; Settings'!$C$42/(($F457-1)*COUNTIFS($A$4:$A$810,$A457,$E$4:$E$810,"Win")))*SUMIFS($Z$4:$Z$810,$A$4:$A$810,$A457,$E$4:$E$810,"Loss"),-('Guide &amp; Settings'!$C$42/($F457-1))*$Z457)))</f>
        <v>0</v>
      </c>
      <c r="AB457" s="125">
        <f>IF($D457="",0,$U457+$AA457)</f>
        <v>0</v>
      </c>
      <c r="AC457" s="125" t="str">
        <f>IF($D457="","",IF(SUMPRODUCT(MAX(($D$4:$D$810=$D457)*($B$4:$B$810&lt;$B457)*$B$4:$B$810))=0,0,MAX(($B457-MAX(SUMPRODUCT(MAX(($D$4:$D$810=$D457)*($B$4:$B$810&lt;$B457)*$B$4:$B$810)),'Guide &amp; Settings'!$C$50))/7-'Guide &amp; Settings'!$C$48,0)*'Guide &amp; Settings'!$C$49))</f>
      </c>
    </row>
    <row r="458" spans="1:29">
      <c r="A458" s="116"/>
      <c r="B458" s="117"/>
      <c r="C458" s="118"/>
      <c r="D458" s="118"/>
      <c r="E458" s="116"/>
      <c r="F458" s="119">
        <f>IF($D458="",0,COUNTIF($A$4:$A$810,$A458))</f>
        <v>0</v>
      </c>
      <c r="G458" s="120">
        <f>IF($D458="","",IFERROR(LOOKUP(2,1/(($A$4:$A$810=$A458)*($E$4:$E$810="Win")),$D$4:$D$810),"(no winner)"))</f>
        <v>0</v>
      </c>
      <c r="H458" s="121">
        <f>IF($D458="",0,IFERROR(LOOKUP(2,1/(($D$3:D457=$D458)*($A$3:A457&lt;$A458)),$N$3:N457),'Guide &amp; Settings'!$C$41))</f>
        <v>0</v>
      </c>
      <c r="I458" s="122">
        <f>IF($D458="",0,IF($S458=0,0,$R458/$S458))</f>
        <v>0</v>
      </c>
      <c r="J458" s="123">
        <f>IF($D458="",0,IF($F458&lt;2,0,IF($E458="Win",('Guide &amp; Settings'!$C$42/(($F458-1)*COUNTIFS($A$4:$A$810,$A458,$E$4:$E$810,"Win")))*SUMIFS($X$4:$X$810,$A$4:$A$810,$A458,$E$4:$E$810,"Loss"),-('Guide &amp; Settings'!$C$42/($F458-1))*$X458)))</f>
        <v>0</v>
      </c>
      <c r="K458" s="123">
        <f>IF($D458="",0,'Guide &amp; Settings'!$C$43*(IF($E458="Win",1,0)-$I458))</f>
        <v>0</v>
      </c>
      <c r="L458" s="124">
        <f>IF($D458="",0,'Guide &amp; Settings'!$C$44*IF($F458&gt;=3,$F458+IF($E458="Win",$F458,0),0))</f>
        <v>0</v>
      </c>
      <c r="M458" s="123">
        <f>IF($D458="",0,$J458+$K458+$L458)</f>
        <v>0</v>
      </c>
      <c r="N458" s="121">
        <f>IF($D458="",0,$H458+$M458)</f>
        <v>0</v>
      </c>
      <c r="O458" s="120" t="str">
        <f>IF($D458="","",IF(COUNTIFS($A$4:$A$810,$A458,$E$4:$E$810,"Win")=0,"need a winner",IF(COUNTIFS($A$4:$A$810,$A458,$E$4:$E$810,"Loss")=0,"need a loser",IF(COUNTIFS($A$4:$A$810,$A458,$D$4:$D$810,$D458)&gt;1,"duplicate player","OK"))))</f>
      </c>
      <c r="P458">
        <f>IF($D458="",0,IFERROR(SUMIFS($H$4:$H$810,$A$4:$A$810,$A458,$E$4:$E$810,"Win")/COUNTIFS($A$4:$A$810,$A458,$E$4:$E$810,"Win"),0))</f>
        <v>0</v>
      </c>
      <c r="Q458">
        <f>IF($D458="",0,1/(1+10^(($P458-$H458)/400)))</f>
        <v>0</v>
      </c>
      <c r="R458">
        <f>IF($D458="",0,(COUNTIFS($D$4:$D$810,$D458,$C$4:$C$810,$C458,$E$4:$E$810,"Win",$A$4:$A$810,"&lt;"&amp;$A458)+1)/(COUNTIFS($D$4:$D$810,$D458,$C$4:$C$810,$C458,$A$4:$A$810,"&lt;"&amp;$A458)+2))</f>
        <v>0</v>
      </c>
      <c r="S458">
        <f>IF($D458="",0,SUMIFS($R$4:$R$810,$A$4:$A$810,$A458))</f>
        <v>0</v>
      </c>
      <c r="T458" s="88">
        <f>IF($D458="",0,COUNTIFS($D$4:$D$810,$D458,$C$4:$C$810,$C458,$A$4:$A$810,"&lt;"&amp;$A458))</f>
        <v>0</v>
      </c>
      <c r="U458" s="125">
        <f>IF($D458="",0,IFERROR(LOOKUP(2,1/(($D$3:D457=$D458)*($C$3:C457=$C458)*($A$3:A457&lt;$A458)),$AB$3:AB457),1000))</f>
        <v>0</v>
      </c>
      <c r="V458" s="125">
        <f>IF($D458="",0,$U458*($T458/($T458+5))+$H458*(1-$T458/($T458+5)))</f>
        <v>0</v>
      </c>
      <c r="W458">
        <f>IF($D458="",0,IFERROR(SUMIFS($V$4:$V$810,$A$4:$A$810,$A458,$E$4:$E$810,"Win")/COUNTIFS($A$4:$A$810,$A458,$E$4:$E$810,"Win"),0))</f>
        <v>0</v>
      </c>
      <c r="X458">
        <f>IF($D458="",0,1/(1+10^(($W458-$V458)/400)))</f>
        <v>0</v>
      </c>
      <c r="Y458">
        <f>IF($D458="",0,IFERROR(SUMIFS($U$4:$U$810,$A$4:$A$810,$A458,$E$4:$E$810,"Win")/COUNTIFS($A$4:$A$810,$A458,$E$4:$E$810,"Win"),0))</f>
        <v>0</v>
      </c>
      <c r="Z458">
        <f>IF($D458="",0,1/(1+10^(($Y458-$U458)/400)))</f>
        <v>0</v>
      </c>
      <c r="AA458">
        <f>IF($D458="",0,IF($F458&lt;2,0,IF($E458="Win",('Guide &amp; Settings'!$C$42/(($F458-1)*COUNTIFS($A$4:$A$810,$A458,$E$4:$E$810,"Win")))*SUMIFS($Z$4:$Z$810,$A$4:$A$810,$A458,$E$4:$E$810,"Loss"),-('Guide &amp; Settings'!$C$42/($F458-1))*$Z458)))</f>
        <v>0</v>
      </c>
      <c r="AB458" s="125">
        <f>IF($D458="",0,$U458+$AA458)</f>
        <v>0</v>
      </c>
      <c r="AC458" s="125" t="str">
        <f>IF($D458="","",IF(SUMPRODUCT(MAX(($D$4:$D$810=$D458)*($B$4:$B$810&lt;$B458)*$B$4:$B$810))=0,0,MAX(($B458-MAX(SUMPRODUCT(MAX(($D$4:$D$810=$D458)*($B$4:$B$810&lt;$B458)*$B$4:$B$810)),'Guide &amp; Settings'!$C$50))/7-'Guide &amp; Settings'!$C$48,0)*'Guide &amp; Settings'!$C$49))</f>
      </c>
    </row>
    <row r="459" spans="1:29">
      <c r="A459" s="116"/>
      <c r="B459" s="117"/>
      <c r="C459" s="118"/>
      <c r="D459" s="118"/>
      <c r="E459" s="116"/>
      <c r="F459" s="119">
        <f>IF($D459="",0,COUNTIF($A$4:$A$810,$A459))</f>
        <v>0</v>
      </c>
      <c r="G459" s="120">
        <f>IF($D459="","",IFERROR(LOOKUP(2,1/(($A$4:$A$810=$A459)*($E$4:$E$810="Win")),$D$4:$D$810),"(no winner)"))</f>
        <v>0</v>
      </c>
      <c r="H459" s="121">
        <f>IF($D459="",0,IFERROR(LOOKUP(2,1/(($D$3:D458=$D459)*($A$3:A458&lt;$A459)),$N$3:N458),'Guide &amp; Settings'!$C$41))</f>
        <v>0</v>
      </c>
      <c r="I459" s="122">
        <f>IF($D459="",0,IF($S459=0,0,$R459/$S459))</f>
        <v>0</v>
      </c>
      <c r="J459" s="123">
        <f>IF($D459="",0,IF($F459&lt;2,0,IF($E459="Win",('Guide &amp; Settings'!$C$42/(($F459-1)*COUNTIFS($A$4:$A$810,$A459,$E$4:$E$810,"Win")))*SUMIFS($X$4:$X$810,$A$4:$A$810,$A459,$E$4:$E$810,"Loss"),-('Guide &amp; Settings'!$C$42/($F459-1))*$X459)))</f>
        <v>0</v>
      </c>
      <c r="K459" s="123">
        <f>IF($D459="",0,'Guide &amp; Settings'!$C$43*(IF($E459="Win",1,0)-$I459))</f>
        <v>0</v>
      </c>
      <c r="L459" s="124">
        <f>IF($D459="",0,'Guide &amp; Settings'!$C$44*IF($F459&gt;=3,$F459+IF($E459="Win",$F459,0),0))</f>
        <v>0</v>
      </c>
      <c r="M459" s="123">
        <f>IF($D459="",0,$J459+$K459+$L459)</f>
        <v>0</v>
      </c>
      <c r="N459" s="121">
        <f>IF($D459="",0,$H459+$M459)</f>
        <v>0</v>
      </c>
      <c r="O459" s="120" t="str">
        <f>IF($D459="","",IF(COUNTIFS($A$4:$A$810,$A459,$E$4:$E$810,"Win")=0,"need a winner",IF(COUNTIFS($A$4:$A$810,$A459,$E$4:$E$810,"Loss")=0,"need a loser",IF(COUNTIFS($A$4:$A$810,$A459,$D$4:$D$810,$D459)&gt;1,"duplicate player","OK"))))</f>
      </c>
      <c r="P459">
        <f>IF($D459="",0,IFERROR(SUMIFS($H$4:$H$810,$A$4:$A$810,$A459,$E$4:$E$810,"Win")/COUNTIFS($A$4:$A$810,$A459,$E$4:$E$810,"Win"),0))</f>
        <v>0</v>
      </c>
      <c r="Q459">
        <f>IF($D459="",0,1/(1+10^(($P459-$H459)/400)))</f>
        <v>0</v>
      </c>
      <c r="R459">
        <f>IF($D459="",0,(COUNTIFS($D$4:$D$810,$D459,$C$4:$C$810,$C459,$E$4:$E$810,"Win",$A$4:$A$810,"&lt;"&amp;$A459)+1)/(COUNTIFS($D$4:$D$810,$D459,$C$4:$C$810,$C459,$A$4:$A$810,"&lt;"&amp;$A459)+2))</f>
        <v>0</v>
      </c>
      <c r="S459">
        <f>IF($D459="",0,SUMIFS($R$4:$R$810,$A$4:$A$810,$A459))</f>
        <v>0</v>
      </c>
      <c r="T459" s="88">
        <f>IF($D459="",0,COUNTIFS($D$4:$D$810,$D459,$C$4:$C$810,$C459,$A$4:$A$810,"&lt;"&amp;$A459))</f>
        <v>0</v>
      </c>
      <c r="U459" s="125">
        <f>IF($D459="",0,IFERROR(LOOKUP(2,1/(($D$3:D458=$D459)*($C$3:C458=$C459)*($A$3:A458&lt;$A459)),$AB$3:AB458),1000))</f>
        <v>0</v>
      </c>
      <c r="V459" s="125">
        <f>IF($D459="",0,$U459*($T459/($T459+5))+$H459*(1-$T459/($T459+5)))</f>
        <v>0</v>
      </c>
      <c r="W459">
        <f>IF($D459="",0,IFERROR(SUMIFS($V$4:$V$810,$A$4:$A$810,$A459,$E$4:$E$810,"Win")/COUNTIFS($A$4:$A$810,$A459,$E$4:$E$810,"Win"),0))</f>
        <v>0</v>
      </c>
      <c r="X459">
        <f>IF($D459="",0,1/(1+10^(($W459-$V459)/400)))</f>
        <v>0</v>
      </c>
      <c r="Y459">
        <f>IF($D459="",0,IFERROR(SUMIFS($U$4:$U$810,$A$4:$A$810,$A459,$E$4:$E$810,"Win")/COUNTIFS($A$4:$A$810,$A459,$E$4:$E$810,"Win"),0))</f>
        <v>0</v>
      </c>
      <c r="Z459">
        <f>IF($D459="",0,1/(1+10^(($Y459-$U459)/400)))</f>
        <v>0</v>
      </c>
      <c r="AA459">
        <f>IF($D459="",0,IF($F459&lt;2,0,IF($E459="Win",('Guide &amp; Settings'!$C$42/(($F459-1)*COUNTIFS($A$4:$A$810,$A459,$E$4:$E$810,"Win")))*SUMIFS($Z$4:$Z$810,$A$4:$A$810,$A459,$E$4:$E$810,"Loss"),-('Guide &amp; Settings'!$C$42/($F459-1))*$Z459)))</f>
        <v>0</v>
      </c>
      <c r="AB459" s="125">
        <f>IF($D459="",0,$U459+$AA459)</f>
        <v>0</v>
      </c>
      <c r="AC459" s="125" t="str">
        <f>IF($D459="","",IF(SUMPRODUCT(MAX(($D$4:$D$810=$D459)*($B$4:$B$810&lt;$B459)*$B$4:$B$810))=0,0,MAX(($B459-MAX(SUMPRODUCT(MAX(($D$4:$D$810=$D459)*($B$4:$B$810&lt;$B459)*$B$4:$B$810)),'Guide &amp; Settings'!$C$50))/7-'Guide &amp; Settings'!$C$48,0)*'Guide &amp; Settings'!$C$49))</f>
      </c>
    </row>
    <row r="460" spans="1:29">
      <c r="A460" s="116"/>
      <c r="B460" s="117"/>
      <c r="C460" s="118"/>
      <c r="D460" s="118"/>
      <c r="E460" s="116"/>
      <c r="F460" s="119">
        <f>IF($D460="",0,COUNTIF($A$4:$A$810,$A460))</f>
        <v>0</v>
      </c>
      <c r="G460" s="120">
        <f>IF($D460="","",IFERROR(LOOKUP(2,1/(($A$4:$A$810=$A460)*($E$4:$E$810="Win")),$D$4:$D$810),"(no winner)"))</f>
        <v>0</v>
      </c>
      <c r="H460" s="121">
        <f>IF($D460="",0,IFERROR(LOOKUP(2,1/(($D$3:D459=$D460)*($A$3:A459&lt;$A460)),$N$3:N459),'Guide &amp; Settings'!$C$41))</f>
        <v>0</v>
      </c>
      <c r="I460" s="122">
        <f>IF($D460="",0,IF($S460=0,0,$R460/$S460))</f>
        <v>0</v>
      </c>
      <c r="J460" s="123">
        <f>IF($D460="",0,IF($F460&lt;2,0,IF($E460="Win",('Guide &amp; Settings'!$C$42/(($F460-1)*COUNTIFS($A$4:$A$810,$A460,$E$4:$E$810,"Win")))*SUMIFS($X$4:$X$810,$A$4:$A$810,$A460,$E$4:$E$810,"Loss"),-('Guide &amp; Settings'!$C$42/($F460-1))*$X460)))</f>
        <v>0</v>
      </c>
      <c r="K460" s="123">
        <f>IF($D460="",0,'Guide &amp; Settings'!$C$43*(IF($E460="Win",1,0)-$I460))</f>
        <v>0</v>
      </c>
      <c r="L460" s="124">
        <f>IF($D460="",0,'Guide &amp; Settings'!$C$44*IF($F460&gt;=3,$F460+IF($E460="Win",$F460,0),0))</f>
        <v>0</v>
      </c>
      <c r="M460" s="123">
        <f>IF($D460="",0,$J460+$K460+$L460)</f>
        <v>0</v>
      </c>
      <c r="N460" s="121">
        <f>IF($D460="",0,$H460+$M460)</f>
        <v>0</v>
      </c>
      <c r="O460" s="120" t="str">
        <f>IF($D460="","",IF(COUNTIFS($A$4:$A$810,$A460,$E$4:$E$810,"Win")=0,"need a winner",IF(COUNTIFS($A$4:$A$810,$A460,$E$4:$E$810,"Loss")=0,"need a loser",IF(COUNTIFS($A$4:$A$810,$A460,$D$4:$D$810,$D460)&gt;1,"duplicate player","OK"))))</f>
      </c>
      <c r="P460">
        <f>IF($D460="",0,IFERROR(SUMIFS($H$4:$H$810,$A$4:$A$810,$A460,$E$4:$E$810,"Win")/COUNTIFS($A$4:$A$810,$A460,$E$4:$E$810,"Win"),0))</f>
        <v>0</v>
      </c>
      <c r="Q460">
        <f>IF($D460="",0,1/(1+10^(($P460-$H460)/400)))</f>
        <v>0</v>
      </c>
      <c r="R460">
        <f>IF($D460="",0,(COUNTIFS($D$4:$D$810,$D460,$C$4:$C$810,$C460,$E$4:$E$810,"Win",$A$4:$A$810,"&lt;"&amp;$A460)+1)/(COUNTIFS($D$4:$D$810,$D460,$C$4:$C$810,$C460,$A$4:$A$810,"&lt;"&amp;$A460)+2))</f>
        <v>0</v>
      </c>
      <c r="S460">
        <f>IF($D460="",0,SUMIFS($R$4:$R$810,$A$4:$A$810,$A460))</f>
        <v>0</v>
      </c>
      <c r="T460" s="88">
        <f>IF($D460="",0,COUNTIFS($D$4:$D$810,$D460,$C$4:$C$810,$C460,$A$4:$A$810,"&lt;"&amp;$A460))</f>
        <v>0</v>
      </c>
      <c r="U460" s="125">
        <f>IF($D460="",0,IFERROR(LOOKUP(2,1/(($D$3:D459=$D460)*($C$3:C459=$C460)*($A$3:A459&lt;$A460)),$AB$3:AB459),1000))</f>
        <v>0</v>
      </c>
      <c r="V460" s="125">
        <f>IF($D460="",0,$U460*($T460/($T460+5))+$H460*(1-$T460/($T460+5)))</f>
        <v>0</v>
      </c>
      <c r="W460">
        <f>IF($D460="",0,IFERROR(SUMIFS($V$4:$V$810,$A$4:$A$810,$A460,$E$4:$E$810,"Win")/COUNTIFS($A$4:$A$810,$A460,$E$4:$E$810,"Win"),0))</f>
        <v>0</v>
      </c>
      <c r="X460">
        <f>IF($D460="",0,1/(1+10^(($W460-$V460)/400)))</f>
        <v>0</v>
      </c>
      <c r="Y460">
        <f>IF($D460="",0,IFERROR(SUMIFS($U$4:$U$810,$A$4:$A$810,$A460,$E$4:$E$810,"Win")/COUNTIFS($A$4:$A$810,$A460,$E$4:$E$810,"Win"),0))</f>
        <v>0</v>
      </c>
      <c r="Z460">
        <f>IF($D460="",0,1/(1+10^(($Y460-$U460)/400)))</f>
        <v>0</v>
      </c>
      <c r="AA460">
        <f>IF($D460="",0,IF($F460&lt;2,0,IF($E460="Win",('Guide &amp; Settings'!$C$42/(($F460-1)*COUNTIFS($A$4:$A$810,$A460,$E$4:$E$810,"Win")))*SUMIFS($Z$4:$Z$810,$A$4:$A$810,$A460,$E$4:$E$810,"Loss"),-('Guide &amp; Settings'!$C$42/($F460-1))*$Z460)))</f>
        <v>0</v>
      </c>
      <c r="AB460" s="125">
        <f>IF($D460="",0,$U460+$AA460)</f>
        <v>0</v>
      </c>
      <c r="AC460" s="125" t="str">
        <f>IF($D460="","",IF(SUMPRODUCT(MAX(($D$4:$D$810=$D460)*($B$4:$B$810&lt;$B460)*$B$4:$B$810))=0,0,MAX(($B460-MAX(SUMPRODUCT(MAX(($D$4:$D$810=$D460)*($B$4:$B$810&lt;$B460)*$B$4:$B$810)),'Guide &amp; Settings'!$C$50))/7-'Guide &amp; Settings'!$C$48,0)*'Guide &amp; Settings'!$C$49))</f>
      </c>
    </row>
    <row r="461" spans="1:29">
      <c r="A461" s="116"/>
      <c r="B461" s="117"/>
      <c r="C461" s="118"/>
      <c r="D461" s="118"/>
      <c r="E461" s="116"/>
      <c r="F461" s="119">
        <f>IF($D461="",0,COUNTIF($A$4:$A$810,$A461))</f>
        <v>0</v>
      </c>
      <c r="G461" s="120">
        <f>IF($D461="","",IFERROR(LOOKUP(2,1/(($A$4:$A$810=$A461)*($E$4:$E$810="Win")),$D$4:$D$810),"(no winner)"))</f>
        <v>0</v>
      </c>
      <c r="H461" s="121">
        <f>IF($D461="",0,IFERROR(LOOKUP(2,1/(($D$3:D460=$D461)*($A$3:A460&lt;$A461)),$N$3:N460),'Guide &amp; Settings'!$C$41))</f>
        <v>0</v>
      </c>
      <c r="I461" s="122">
        <f>IF($D461="",0,IF($S461=0,0,$R461/$S461))</f>
        <v>0</v>
      </c>
      <c r="J461" s="123">
        <f>IF($D461="",0,IF($F461&lt;2,0,IF($E461="Win",('Guide &amp; Settings'!$C$42/(($F461-1)*COUNTIFS($A$4:$A$810,$A461,$E$4:$E$810,"Win")))*SUMIFS($X$4:$X$810,$A$4:$A$810,$A461,$E$4:$E$810,"Loss"),-('Guide &amp; Settings'!$C$42/($F461-1))*$X461)))</f>
        <v>0</v>
      </c>
      <c r="K461" s="123">
        <f>IF($D461="",0,'Guide &amp; Settings'!$C$43*(IF($E461="Win",1,0)-$I461))</f>
        <v>0</v>
      </c>
      <c r="L461" s="124">
        <f>IF($D461="",0,'Guide &amp; Settings'!$C$44*IF($F461&gt;=3,$F461+IF($E461="Win",$F461,0),0))</f>
        <v>0</v>
      </c>
      <c r="M461" s="123">
        <f>IF($D461="",0,$J461+$K461+$L461)</f>
        <v>0</v>
      </c>
      <c r="N461" s="121">
        <f>IF($D461="",0,$H461+$M461)</f>
        <v>0</v>
      </c>
      <c r="O461" s="120" t="str">
        <f>IF($D461="","",IF(COUNTIFS($A$4:$A$810,$A461,$E$4:$E$810,"Win")=0,"need a winner",IF(COUNTIFS($A$4:$A$810,$A461,$E$4:$E$810,"Loss")=0,"need a loser",IF(COUNTIFS($A$4:$A$810,$A461,$D$4:$D$810,$D461)&gt;1,"duplicate player","OK"))))</f>
      </c>
      <c r="P461">
        <f>IF($D461="",0,IFERROR(SUMIFS($H$4:$H$810,$A$4:$A$810,$A461,$E$4:$E$810,"Win")/COUNTIFS($A$4:$A$810,$A461,$E$4:$E$810,"Win"),0))</f>
        <v>0</v>
      </c>
      <c r="Q461">
        <f>IF($D461="",0,1/(1+10^(($P461-$H461)/400)))</f>
        <v>0</v>
      </c>
      <c r="R461">
        <f>IF($D461="",0,(COUNTIFS($D$4:$D$810,$D461,$C$4:$C$810,$C461,$E$4:$E$810,"Win",$A$4:$A$810,"&lt;"&amp;$A461)+1)/(COUNTIFS($D$4:$D$810,$D461,$C$4:$C$810,$C461,$A$4:$A$810,"&lt;"&amp;$A461)+2))</f>
        <v>0</v>
      </c>
      <c r="S461">
        <f>IF($D461="",0,SUMIFS($R$4:$R$810,$A$4:$A$810,$A461))</f>
        <v>0</v>
      </c>
      <c r="T461" s="88">
        <f>IF($D461="",0,COUNTIFS($D$4:$D$810,$D461,$C$4:$C$810,$C461,$A$4:$A$810,"&lt;"&amp;$A461))</f>
        <v>0</v>
      </c>
      <c r="U461" s="125">
        <f>IF($D461="",0,IFERROR(LOOKUP(2,1/(($D$3:D460=$D461)*($C$3:C460=$C461)*($A$3:A460&lt;$A461)),$AB$3:AB460),1000))</f>
        <v>0</v>
      </c>
      <c r="V461" s="125">
        <f>IF($D461="",0,$U461*($T461/($T461+5))+$H461*(1-$T461/($T461+5)))</f>
        <v>0</v>
      </c>
      <c r="W461">
        <f>IF($D461="",0,IFERROR(SUMIFS($V$4:$V$810,$A$4:$A$810,$A461,$E$4:$E$810,"Win")/COUNTIFS($A$4:$A$810,$A461,$E$4:$E$810,"Win"),0))</f>
        <v>0</v>
      </c>
      <c r="X461">
        <f>IF($D461="",0,1/(1+10^(($W461-$V461)/400)))</f>
        <v>0</v>
      </c>
      <c r="Y461">
        <f>IF($D461="",0,IFERROR(SUMIFS($U$4:$U$810,$A$4:$A$810,$A461,$E$4:$E$810,"Win")/COUNTIFS($A$4:$A$810,$A461,$E$4:$E$810,"Win"),0))</f>
        <v>0</v>
      </c>
      <c r="Z461">
        <f>IF($D461="",0,1/(1+10^(($Y461-$U461)/400)))</f>
        <v>0</v>
      </c>
      <c r="AA461">
        <f>IF($D461="",0,IF($F461&lt;2,0,IF($E461="Win",('Guide &amp; Settings'!$C$42/(($F461-1)*COUNTIFS($A$4:$A$810,$A461,$E$4:$E$810,"Win")))*SUMIFS($Z$4:$Z$810,$A$4:$A$810,$A461,$E$4:$E$810,"Loss"),-('Guide &amp; Settings'!$C$42/($F461-1))*$Z461)))</f>
        <v>0</v>
      </c>
      <c r="AB461" s="125">
        <f>IF($D461="",0,$U461+$AA461)</f>
        <v>0</v>
      </c>
      <c r="AC461" s="125" t="str">
        <f>IF($D461="","",IF(SUMPRODUCT(MAX(($D$4:$D$810=$D461)*($B$4:$B$810&lt;$B461)*$B$4:$B$810))=0,0,MAX(($B461-MAX(SUMPRODUCT(MAX(($D$4:$D$810=$D461)*($B$4:$B$810&lt;$B461)*$B$4:$B$810)),'Guide &amp; Settings'!$C$50))/7-'Guide &amp; Settings'!$C$48,0)*'Guide &amp; Settings'!$C$49))</f>
      </c>
    </row>
    <row r="462" spans="1:29">
      <c r="A462" s="116"/>
      <c r="B462" s="117"/>
      <c r="C462" s="118"/>
      <c r="D462" s="118"/>
      <c r="E462" s="116"/>
      <c r="F462" s="119">
        <f>IF($D462="",0,COUNTIF($A$4:$A$810,$A462))</f>
        <v>0</v>
      </c>
      <c r="G462" s="120">
        <f>IF($D462="","",IFERROR(LOOKUP(2,1/(($A$4:$A$810=$A462)*($E$4:$E$810="Win")),$D$4:$D$810),"(no winner)"))</f>
        <v>0</v>
      </c>
      <c r="H462" s="121">
        <f>IF($D462="",0,IFERROR(LOOKUP(2,1/(($D$3:D461=$D462)*($A$3:A461&lt;$A462)),$N$3:N461),'Guide &amp; Settings'!$C$41))</f>
        <v>0</v>
      </c>
      <c r="I462" s="122">
        <f>IF($D462="",0,IF($S462=0,0,$R462/$S462))</f>
        <v>0</v>
      </c>
      <c r="J462" s="123">
        <f>IF($D462="",0,IF($F462&lt;2,0,IF($E462="Win",('Guide &amp; Settings'!$C$42/(($F462-1)*COUNTIFS($A$4:$A$810,$A462,$E$4:$E$810,"Win")))*SUMIFS($X$4:$X$810,$A$4:$A$810,$A462,$E$4:$E$810,"Loss"),-('Guide &amp; Settings'!$C$42/($F462-1))*$X462)))</f>
        <v>0</v>
      </c>
      <c r="K462" s="123">
        <f>IF($D462="",0,'Guide &amp; Settings'!$C$43*(IF($E462="Win",1,0)-$I462))</f>
        <v>0</v>
      </c>
      <c r="L462" s="124">
        <f>IF($D462="",0,'Guide &amp; Settings'!$C$44*IF($F462&gt;=3,$F462+IF($E462="Win",$F462,0),0))</f>
        <v>0</v>
      </c>
      <c r="M462" s="123">
        <f>IF($D462="",0,$J462+$K462+$L462)</f>
        <v>0</v>
      </c>
      <c r="N462" s="121">
        <f>IF($D462="",0,$H462+$M462)</f>
        <v>0</v>
      </c>
      <c r="O462" s="120" t="str">
        <f>IF($D462="","",IF(COUNTIFS($A$4:$A$810,$A462,$E$4:$E$810,"Win")=0,"need a winner",IF(COUNTIFS($A$4:$A$810,$A462,$E$4:$E$810,"Loss")=0,"need a loser",IF(COUNTIFS($A$4:$A$810,$A462,$D$4:$D$810,$D462)&gt;1,"duplicate player","OK"))))</f>
      </c>
      <c r="P462">
        <f>IF($D462="",0,IFERROR(SUMIFS($H$4:$H$810,$A$4:$A$810,$A462,$E$4:$E$810,"Win")/COUNTIFS($A$4:$A$810,$A462,$E$4:$E$810,"Win"),0))</f>
        <v>0</v>
      </c>
      <c r="Q462">
        <f>IF($D462="",0,1/(1+10^(($P462-$H462)/400)))</f>
        <v>0</v>
      </c>
      <c r="R462">
        <f>IF($D462="",0,(COUNTIFS($D$4:$D$810,$D462,$C$4:$C$810,$C462,$E$4:$E$810,"Win",$A$4:$A$810,"&lt;"&amp;$A462)+1)/(COUNTIFS($D$4:$D$810,$D462,$C$4:$C$810,$C462,$A$4:$A$810,"&lt;"&amp;$A462)+2))</f>
        <v>0</v>
      </c>
      <c r="S462">
        <f>IF($D462="",0,SUMIFS($R$4:$R$810,$A$4:$A$810,$A462))</f>
        <v>0</v>
      </c>
      <c r="T462" s="88">
        <f>IF($D462="",0,COUNTIFS($D$4:$D$810,$D462,$C$4:$C$810,$C462,$A$4:$A$810,"&lt;"&amp;$A462))</f>
        <v>0</v>
      </c>
      <c r="U462" s="125">
        <f>IF($D462="",0,IFERROR(LOOKUP(2,1/(($D$3:D461=$D462)*($C$3:C461=$C462)*($A$3:A461&lt;$A462)),$AB$3:AB461),1000))</f>
        <v>0</v>
      </c>
      <c r="V462" s="125">
        <f>IF($D462="",0,$U462*($T462/($T462+5))+$H462*(1-$T462/($T462+5)))</f>
        <v>0</v>
      </c>
      <c r="W462">
        <f>IF($D462="",0,IFERROR(SUMIFS($V$4:$V$810,$A$4:$A$810,$A462,$E$4:$E$810,"Win")/COUNTIFS($A$4:$A$810,$A462,$E$4:$E$810,"Win"),0))</f>
        <v>0</v>
      </c>
      <c r="X462">
        <f>IF($D462="",0,1/(1+10^(($W462-$V462)/400)))</f>
        <v>0</v>
      </c>
      <c r="Y462">
        <f>IF($D462="",0,IFERROR(SUMIFS($U$4:$U$810,$A$4:$A$810,$A462,$E$4:$E$810,"Win")/COUNTIFS($A$4:$A$810,$A462,$E$4:$E$810,"Win"),0))</f>
        <v>0</v>
      </c>
      <c r="Z462">
        <f>IF($D462="",0,1/(1+10^(($Y462-$U462)/400)))</f>
        <v>0</v>
      </c>
      <c r="AA462">
        <f>IF($D462="",0,IF($F462&lt;2,0,IF($E462="Win",('Guide &amp; Settings'!$C$42/(($F462-1)*COUNTIFS($A$4:$A$810,$A462,$E$4:$E$810,"Win")))*SUMIFS($Z$4:$Z$810,$A$4:$A$810,$A462,$E$4:$E$810,"Loss"),-('Guide &amp; Settings'!$C$42/($F462-1))*$Z462)))</f>
        <v>0</v>
      </c>
      <c r="AB462" s="125">
        <f>IF($D462="",0,$U462+$AA462)</f>
        <v>0</v>
      </c>
      <c r="AC462" s="125" t="str">
        <f>IF($D462="","",IF(SUMPRODUCT(MAX(($D$4:$D$810=$D462)*($B$4:$B$810&lt;$B462)*$B$4:$B$810))=0,0,MAX(($B462-MAX(SUMPRODUCT(MAX(($D$4:$D$810=$D462)*($B$4:$B$810&lt;$B462)*$B$4:$B$810)),'Guide &amp; Settings'!$C$50))/7-'Guide &amp; Settings'!$C$48,0)*'Guide &amp; Settings'!$C$49))</f>
      </c>
    </row>
    <row r="463" spans="1:29">
      <c r="A463" s="116"/>
      <c r="B463" s="117"/>
      <c r="C463" s="118"/>
      <c r="D463" s="118"/>
      <c r="E463" s="116"/>
      <c r="F463" s="119">
        <f>IF($D463="",0,COUNTIF($A$4:$A$810,$A463))</f>
        <v>0</v>
      </c>
      <c r="G463" s="120">
        <f>IF($D463="","",IFERROR(LOOKUP(2,1/(($A$4:$A$810=$A463)*($E$4:$E$810="Win")),$D$4:$D$810),"(no winner)"))</f>
        <v>0</v>
      </c>
      <c r="H463" s="121">
        <f>IF($D463="",0,IFERROR(LOOKUP(2,1/(($D$3:D462=$D463)*($A$3:A462&lt;$A463)),$N$3:N462),'Guide &amp; Settings'!$C$41))</f>
        <v>0</v>
      </c>
      <c r="I463" s="122">
        <f>IF($D463="",0,IF($S463=0,0,$R463/$S463))</f>
        <v>0</v>
      </c>
      <c r="J463" s="123">
        <f>IF($D463="",0,IF($F463&lt;2,0,IF($E463="Win",('Guide &amp; Settings'!$C$42/(($F463-1)*COUNTIFS($A$4:$A$810,$A463,$E$4:$E$810,"Win")))*SUMIFS($X$4:$X$810,$A$4:$A$810,$A463,$E$4:$E$810,"Loss"),-('Guide &amp; Settings'!$C$42/($F463-1))*$X463)))</f>
        <v>0</v>
      </c>
      <c r="K463" s="123">
        <f>IF($D463="",0,'Guide &amp; Settings'!$C$43*(IF($E463="Win",1,0)-$I463))</f>
        <v>0</v>
      </c>
      <c r="L463" s="124">
        <f>IF($D463="",0,'Guide &amp; Settings'!$C$44*IF($F463&gt;=3,$F463+IF($E463="Win",$F463,0),0))</f>
        <v>0</v>
      </c>
      <c r="M463" s="123">
        <f>IF($D463="",0,$J463+$K463+$L463)</f>
        <v>0</v>
      </c>
      <c r="N463" s="121">
        <f>IF($D463="",0,$H463+$M463)</f>
        <v>0</v>
      </c>
      <c r="O463" s="120" t="str">
        <f>IF($D463="","",IF(COUNTIFS($A$4:$A$810,$A463,$E$4:$E$810,"Win")=0,"need a winner",IF(COUNTIFS($A$4:$A$810,$A463,$E$4:$E$810,"Loss")=0,"need a loser",IF(COUNTIFS($A$4:$A$810,$A463,$D$4:$D$810,$D463)&gt;1,"duplicate player","OK"))))</f>
      </c>
      <c r="P463">
        <f>IF($D463="",0,IFERROR(SUMIFS($H$4:$H$810,$A$4:$A$810,$A463,$E$4:$E$810,"Win")/COUNTIFS($A$4:$A$810,$A463,$E$4:$E$810,"Win"),0))</f>
        <v>0</v>
      </c>
      <c r="Q463">
        <f>IF($D463="",0,1/(1+10^(($P463-$H463)/400)))</f>
        <v>0</v>
      </c>
      <c r="R463">
        <f>IF($D463="",0,(COUNTIFS($D$4:$D$810,$D463,$C$4:$C$810,$C463,$E$4:$E$810,"Win",$A$4:$A$810,"&lt;"&amp;$A463)+1)/(COUNTIFS($D$4:$D$810,$D463,$C$4:$C$810,$C463,$A$4:$A$810,"&lt;"&amp;$A463)+2))</f>
        <v>0</v>
      </c>
      <c r="S463">
        <f>IF($D463="",0,SUMIFS($R$4:$R$810,$A$4:$A$810,$A463))</f>
        <v>0</v>
      </c>
      <c r="T463" s="88">
        <f>IF($D463="",0,COUNTIFS($D$4:$D$810,$D463,$C$4:$C$810,$C463,$A$4:$A$810,"&lt;"&amp;$A463))</f>
        <v>0</v>
      </c>
      <c r="U463" s="125">
        <f>IF($D463="",0,IFERROR(LOOKUP(2,1/(($D$3:D462=$D463)*($C$3:C462=$C463)*($A$3:A462&lt;$A463)),$AB$3:AB462),1000))</f>
        <v>0</v>
      </c>
      <c r="V463" s="125">
        <f>IF($D463="",0,$U463*($T463/($T463+5))+$H463*(1-$T463/($T463+5)))</f>
        <v>0</v>
      </c>
      <c r="W463">
        <f>IF($D463="",0,IFERROR(SUMIFS($V$4:$V$810,$A$4:$A$810,$A463,$E$4:$E$810,"Win")/COUNTIFS($A$4:$A$810,$A463,$E$4:$E$810,"Win"),0))</f>
        <v>0</v>
      </c>
      <c r="X463">
        <f>IF($D463="",0,1/(1+10^(($W463-$V463)/400)))</f>
        <v>0</v>
      </c>
      <c r="Y463">
        <f>IF($D463="",0,IFERROR(SUMIFS($U$4:$U$810,$A$4:$A$810,$A463,$E$4:$E$810,"Win")/COUNTIFS($A$4:$A$810,$A463,$E$4:$E$810,"Win"),0))</f>
        <v>0</v>
      </c>
      <c r="Z463">
        <f>IF($D463="",0,1/(1+10^(($Y463-$U463)/400)))</f>
        <v>0</v>
      </c>
      <c r="AA463">
        <f>IF($D463="",0,IF($F463&lt;2,0,IF($E463="Win",('Guide &amp; Settings'!$C$42/(($F463-1)*COUNTIFS($A$4:$A$810,$A463,$E$4:$E$810,"Win")))*SUMIFS($Z$4:$Z$810,$A$4:$A$810,$A463,$E$4:$E$810,"Loss"),-('Guide &amp; Settings'!$C$42/($F463-1))*$Z463)))</f>
        <v>0</v>
      </c>
      <c r="AB463" s="125">
        <f>IF($D463="",0,$U463+$AA463)</f>
        <v>0</v>
      </c>
      <c r="AC463" s="125" t="str">
        <f>IF($D463="","",IF(SUMPRODUCT(MAX(($D$4:$D$810=$D463)*($B$4:$B$810&lt;$B463)*$B$4:$B$810))=0,0,MAX(($B463-MAX(SUMPRODUCT(MAX(($D$4:$D$810=$D463)*($B$4:$B$810&lt;$B463)*$B$4:$B$810)),'Guide &amp; Settings'!$C$50))/7-'Guide &amp; Settings'!$C$48,0)*'Guide &amp; Settings'!$C$49))</f>
      </c>
    </row>
    <row r="464" spans="1:29">
      <c r="A464" s="116"/>
      <c r="B464" s="117"/>
      <c r="C464" s="118"/>
      <c r="D464" s="118"/>
      <c r="E464" s="116"/>
      <c r="F464" s="119">
        <f>IF($D464="",0,COUNTIF($A$4:$A$810,$A464))</f>
        <v>0</v>
      </c>
      <c r="G464" s="120">
        <f>IF($D464="","",IFERROR(LOOKUP(2,1/(($A$4:$A$810=$A464)*($E$4:$E$810="Win")),$D$4:$D$810),"(no winner)"))</f>
        <v>0</v>
      </c>
      <c r="H464" s="121">
        <f>IF($D464="",0,IFERROR(LOOKUP(2,1/(($D$3:D463=$D464)*($A$3:A463&lt;$A464)),$N$3:N463),'Guide &amp; Settings'!$C$41))</f>
        <v>0</v>
      </c>
      <c r="I464" s="122">
        <f>IF($D464="",0,IF($S464=0,0,$R464/$S464))</f>
        <v>0</v>
      </c>
      <c r="J464" s="123">
        <f>IF($D464="",0,IF($F464&lt;2,0,IF($E464="Win",('Guide &amp; Settings'!$C$42/(($F464-1)*COUNTIFS($A$4:$A$810,$A464,$E$4:$E$810,"Win")))*SUMIFS($X$4:$X$810,$A$4:$A$810,$A464,$E$4:$E$810,"Loss"),-('Guide &amp; Settings'!$C$42/($F464-1))*$X464)))</f>
        <v>0</v>
      </c>
      <c r="K464" s="123">
        <f>IF($D464="",0,'Guide &amp; Settings'!$C$43*(IF($E464="Win",1,0)-$I464))</f>
        <v>0</v>
      </c>
      <c r="L464" s="124">
        <f>IF($D464="",0,'Guide &amp; Settings'!$C$44*IF($F464&gt;=3,$F464+IF($E464="Win",$F464,0),0))</f>
        <v>0</v>
      </c>
      <c r="M464" s="123">
        <f>IF($D464="",0,$J464+$K464+$L464)</f>
        <v>0</v>
      </c>
      <c r="N464" s="121">
        <f>IF($D464="",0,$H464+$M464)</f>
        <v>0</v>
      </c>
      <c r="O464" s="120" t="str">
        <f>IF($D464="","",IF(COUNTIFS($A$4:$A$810,$A464,$E$4:$E$810,"Win")=0,"need a winner",IF(COUNTIFS($A$4:$A$810,$A464,$E$4:$E$810,"Loss")=0,"need a loser",IF(COUNTIFS($A$4:$A$810,$A464,$D$4:$D$810,$D464)&gt;1,"duplicate player","OK"))))</f>
      </c>
      <c r="P464">
        <f>IF($D464="",0,IFERROR(SUMIFS($H$4:$H$810,$A$4:$A$810,$A464,$E$4:$E$810,"Win")/COUNTIFS($A$4:$A$810,$A464,$E$4:$E$810,"Win"),0))</f>
        <v>0</v>
      </c>
      <c r="Q464">
        <f>IF($D464="",0,1/(1+10^(($P464-$H464)/400)))</f>
        <v>0</v>
      </c>
      <c r="R464">
        <f>IF($D464="",0,(COUNTIFS($D$4:$D$810,$D464,$C$4:$C$810,$C464,$E$4:$E$810,"Win",$A$4:$A$810,"&lt;"&amp;$A464)+1)/(COUNTIFS($D$4:$D$810,$D464,$C$4:$C$810,$C464,$A$4:$A$810,"&lt;"&amp;$A464)+2))</f>
        <v>0</v>
      </c>
      <c r="S464">
        <f>IF($D464="",0,SUMIFS($R$4:$R$810,$A$4:$A$810,$A464))</f>
        <v>0</v>
      </c>
      <c r="T464" s="88">
        <f>IF($D464="",0,COUNTIFS($D$4:$D$810,$D464,$C$4:$C$810,$C464,$A$4:$A$810,"&lt;"&amp;$A464))</f>
        <v>0</v>
      </c>
      <c r="U464" s="125">
        <f>IF($D464="",0,IFERROR(LOOKUP(2,1/(($D$3:D463=$D464)*($C$3:C463=$C464)*($A$3:A463&lt;$A464)),$AB$3:AB463),1000))</f>
        <v>0</v>
      </c>
      <c r="V464" s="125">
        <f>IF($D464="",0,$U464*($T464/($T464+5))+$H464*(1-$T464/($T464+5)))</f>
        <v>0</v>
      </c>
      <c r="W464">
        <f>IF($D464="",0,IFERROR(SUMIFS($V$4:$V$810,$A$4:$A$810,$A464,$E$4:$E$810,"Win")/COUNTIFS($A$4:$A$810,$A464,$E$4:$E$810,"Win"),0))</f>
        <v>0</v>
      </c>
      <c r="X464">
        <f>IF($D464="",0,1/(1+10^(($W464-$V464)/400)))</f>
        <v>0</v>
      </c>
      <c r="Y464">
        <f>IF($D464="",0,IFERROR(SUMIFS($U$4:$U$810,$A$4:$A$810,$A464,$E$4:$E$810,"Win")/COUNTIFS($A$4:$A$810,$A464,$E$4:$E$810,"Win"),0))</f>
        <v>0</v>
      </c>
      <c r="Z464">
        <f>IF($D464="",0,1/(1+10^(($Y464-$U464)/400)))</f>
        <v>0</v>
      </c>
      <c r="AA464">
        <f>IF($D464="",0,IF($F464&lt;2,0,IF($E464="Win",('Guide &amp; Settings'!$C$42/(($F464-1)*COUNTIFS($A$4:$A$810,$A464,$E$4:$E$810,"Win")))*SUMIFS($Z$4:$Z$810,$A$4:$A$810,$A464,$E$4:$E$810,"Loss"),-('Guide &amp; Settings'!$C$42/($F464-1))*$Z464)))</f>
        <v>0</v>
      </c>
      <c r="AB464" s="125">
        <f>IF($D464="",0,$U464+$AA464)</f>
        <v>0</v>
      </c>
      <c r="AC464" s="125" t="str">
        <f>IF($D464="","",IF(SUMPRODUCT(MAX(($D$4:$D$810=$D464)*($B$4:$B$810&lt;$B464)*$B$4:$B$810))=0,0,MAX(($B464-MAX(SUMPRODUCT(MAX(($D$4:$D$810=$D464)*($B$4:$B$810&lt;$B464)*$B$4:$B$810)),'Guide &amp; Settings'!$C$50))/7-'Guide &amp; Settings'!$C$48,0)*'Guide &amp; Settings'!$C$49))</f>
      </c>
    </row>
    <row r="465" spans="1:29">
      <c r="A465" s="116"/>
      <c r="B465" s="117"/>
      <c r="C465" s="118"/>
      <c r="D465" s="118"/>
      <c r="E465" s="116"/>
      <c r="F465" s="119">
        <f>IF($D465="",0,COUNTIF($A$4:$A$810,$A465))</f>
        <v>0</v>
      </c>
      <c r="G465" s="120">
        <f>IF($D465="","",IFERROR(LOOKUP(2,1/(($A$4:$A$810=$A465)*($E$4:$E$810="Win")),$D$4:$D$810),"(no winner)"))</f>
        <v>0</v>
      </c>
      <c r="H465" s="121">
        <f>IF($D465="",0,IFERROR(LOOKUP(2,1/(($D$3:D464=$D465)*($A$3:A464&lt;$A465)),$N$3:N464),'Guide &amp; Settings'!$C$41))</f>
        <v>0</v>
      </c>
      <c r="I465" s="122">
        <f>IF($D465="",0,IF($S465=0,0,$R465/$S465))</f>
        <v>0</v>
      </c>
      <c r="J465" s="123">
        <f>IF($D465="",0,IF($F465&lt;2,0,IF($E465="Win",('Guide &amp; Settings'!$C$42/(($F465-1)*COUNTIFS($A$4:$A$810,$A465,$E$4:$E$810,"Win")))*SUMIFS($X$4:$X$810,$A$4:$A$810,$A465,$E$4:$E$810,"Loss"),-('Guide &amp; Settings'!$C$42/($F465-1))*$X465)))</f>
        <v>0</v>
      </c>
      <c r="K465" s="123">
        <f>IF($D465="",0,'Guide &amp; Settings'!$C$43*(IF($E465="Win",1,0)-$I465))</f>
        <v>0</v>
      </c>
      <c r="L465" s="124">
        <f>IF($D465="",0,'Guide &amp; Settings'!$C$44*IF($F465&gt;=3,$F465+IF($E465="Win",$F465,0),0))</f>
        <v>0</v>
      </c>
      <c r="M465" s="123">
        <f>IF($D465="",0,$J465+$K465+$L465)</f>
        <v>0</v>
      </c>
      <c r="N465" s="121">
        <f>IF($D465="",0,$H465+$M465)</f>
        <v>0</v>
      </c>
      <c r="O465" s="120" t="str">
        <f>IF($D465="","",IF(COUNTIFS($A$4:$A$810,$A465,$E$4:$E$810,"Win")=0,"need a winner",IF(COUNTIFS($A$4:$A$810,$A465,$E$4:$E$810,"Loss")=0,"need a loser",IF(COUNTIFS($A$4:$A$810,$A465,$D$4:$D$810,$D465)&gt;1,"duplicate player","OK"))))</f>
      </c>
      <c r="P465">
        <f>IF($D465="",0,IFERROR(SUMIFS($H$4:$H$810,$A$4:$A$810,$A465,$E$4:$E$810,"Win")/COUNTIFS($A$4:$A$810,$A465,$E$4:$E$810,"Win"),0))</f>
        <v>0</v>
      </c>
      <c r="Q465">
        <f>IF($D465="",0,1/(1+10^(($P465-$H465)/400)))</f>
        <v>0</v>
      </c>
      <c r="R465">
        <f>IF($D465="",0,(COUNTIFS($D$4:$D$810,$D465,$C$4:$C$810,$C465,$E$4:$E$810,"Win",$A$4:$A$810,"&lt;"&amp;$A465)+1)/(COUNTIFS($D$4:$D$810,$D465,$C$4:$C$810,$C465,$A$4:$A$810,"&lt;"&amp;$A465)+2))</f>
        <v>0</v>
      </c>
      <c r="S465">
        <f>IF($D465="",0,SUMIFS($R$4:$R$810,$A$4:$A$810,$A465))</f>
        <v>0</v>
      </c>
      <c r="T465" s="88">
        <f>IF($D465="",0,COUNTIFS($D$4:$D$810,$D465,$C$4:$C$810,$C465,$A$4:$A$810,"&lt;"&amp;$A465))</f>
        <v>0</v>
      </c>
      <c r="U465" s="125">
        <f>IF($D465="",0,IFERROR(LOOKUP(2,1/(($D$3:D464=$D465)*($C$3:C464=$C465)*($A$3:A464&lt;$A465)),$AB$3:AB464),1000))</f>
        <v>0</v>
      </c>
      <c r="V465" s="125">
        <f>IF($D465="",0,$U465*($T465/($T465+5))+$H465*(1-$T465/($T465+5)))</f>
        <v>0</v>
      </c>
      <c r="W465">
        <f>IF($D465="",0,IFERROR(SUMIFS($V$4:$V$810,$A$4:$A$810,$A465,$E$4:$E$810,"Win")/COUNTIFS($A$4:$A$810,$A465,$E$4:$E$810,"Win"),0))</f>
        <v>0</v>
      </c>
      <c r="X465">
        <f>IF($D465="",0,1/(1+10^(($W465-$V465)/400)))</f>
        <v>0</v>
      </c>
      <c r="Y465">
        <f>IF($D465="",0,IFERROR(SUMIFS($U$4:$U$810,$A$4:$A$810,$A465,$E$4:$E$810,"Win")/COUNTIFS($A$4:$A$810,$A465,$E$4:$E$810,"Win"),0))</f>
        <v>0</v>
      </c>
      <c r="Z465">
        <f>IF($D465="",0,1/(1+10^(($Y465-$U465)/400)))</f>
        <v>0</v>
      </c>
      <c r="AA465">
        <f>IF($D465="",0,IF($F465&lt;2,0,IF($E465="Win",('Guide &amp; Settings'!$C$42/(($F465-1)*COUNTIFS($A$4:$A$810,$A465,$E$4:$E$810,"Win")))*SUMIFS($Z$4:$Z$810,$A$4:$A$810,$A465,$E$4:$E$810,"Loss"),-('Guide &amp; Settings'!$C$42/($F465-1))*$Z465)))</f>
        <v>0</v>
      </c>
      <c r="AB465" s="125">
        <f>IF($D465="",0,$U465+$AA465)</f>
        <v>0</v>
      </c>
      <c r="AC465" s="125" t="str">
        <f>IF($D465="","",IF(SUMPRODUCT(MAX(($D$4:$D$810=$D465)*($B$4:$B$810&lt;$B465)*$B$4:$B$810))=0,0,MAX(($B465-MAX(SUMPRODUCT(MAX(($D$4:$D$810=$D465)*($B$4:$B$810&lt;$B465)*$B$4:$B$810)),'Guide &amp; Settings'!$C$50))/7-'Guide &amp; Settings'!$C$48,0)*'Guide &amp; Settings'!$C$49))</f>
      </c>
    </row>
    <row r="466" spans="1:29">
      <c r="A466" s="116"/>
      <c r="B466" s="117"/>
      <c r="C466" s="118"/>
      <c r="D466" s="118"/>
      <c r="E466" s="116"/>
      <c r="F466" s="119">
        <f>IF($D466="",0,COUNTIF($A$4:$A$810,$A466))</f>
        <v>0</v>
      </c>
      <c r="G466" s="120">
        <f>IF($D466="","",IFERROR(LOOKUP(2,1/(($A$4:$A$810=$A466)*($E$4:$E$810="Win")),$D$4:$D$810),"(no winner)"))</f>
        <v>0</v>
      </c>
      <c r="H466" s="121">
        <f>IF($D466="",0,IFERROR(LOOKUP(2,1/(($D$3:D465=$D466)*($A$3:A465&lt;$A466)),$N$3:N465),'Guide &amp; Settings'!$C$41))</f>
        <v>0</v>
      </c>
      <c r="I466" s="122">
        <f>IF($D466="",0,IF($S466=0,0,$R466/$S466))</f>
        <v>0</v>
      </c>
      <c r="J466" s="123">
        <f>IF($D466="",0,IF($F466&lt;2,0,IF($E466="Win",('Guide &amp; Settings'!$C$42/(($F466-1)*COUNTIFS($A$4:$A$810,$A466,$E$4:$E$810,"Win")))*SUMIFS($X$4:$X$810,$A$4:$A$810,$A466,$E$4:$E$810,"Loss"),-('Guide &amp; Settings'!$C$42/($F466-1))*$X466)))</f>
        <v>0</v>
      </c>
      <c r="K466" s="123">
        <f>IF($D466="",0,'Guide &amp; Settings'!$C$43*(IF($E466="Win",1,0)-$I466))</f>
        <v>0</v>
      </c>
      <c r="L466" s="124">
        <f>IF($D466="",0,'Guide &amp; Settings'!$C$44*IF($F466&gt;=3,$F466+IF($E466="Win",$F466,0),0))</f>
        <v>0</v>
      </c>
      <c r="M466" s="123">
        <f>IF($D466="",0,$J466+$K466+$L466)</f>
        <v>0</v>
      </c>
      <c r="N466" s="121">
        <f>IF($D466="",0,$H466+$M466)</f>
        <v>0</v>
      </c>
      <c r="O466" s="120" t="str">
        <f>IF($D466="","",IF(COUNTIFS($A$4:$A$810,$A466,$E$4:$E$810,"Win")=0,"need a winner",IF(COUNTIFS($A$4:$A$810,$A466,$E$4:$E$810,"Loss")=0,"need a loser",IF(COUNTIFS($A$4:$A$810,$A466,$D$4:$D$810,$D466)&gt;1,"duplicate player","OK"))))</f>
      </c>
      <c r="P466">
        <f>IF($D466="",0,IFERROR(SUMIFS($H$4:$H$810,$A$4:$A$810,$A466,$E$4:$E$810,"Win")/COUNTIFS($A$4:$A$810,$A466,$E$4:$E$810,"Win"),0))</f>
        <v>0</v>
      </c>
      <c r="Q466">
        <f>IF($D466="",0,1/(1+10^(($P466-$H466)/400)))</f>
        <v>0</v>
      </c>
      <c r="R466">
        <f>IF($D466="",0,(COUNTIFS($D$4:$D$810,$D466,$C$4:$C$810,$C466,$E$4:$E$810,"Win",$A$4:$A$810,"&lt;"&amp;$A466)+1)/(COUNTIFS($D$4:$D$810,$D466,$C$4:$C$810,$C466,$A$4:$A$810,"&lt;"&amp;$A466)+2))</f>
        <v>0</v>
      </c>
      <c r="S466">
        <f>IF($D466="",0,SUMIFS($R$4:$R$810,$A$4:$A$810,$A466))</f>
        <v>0</v>
      </c>
      <c r="T466" s="88">
        <f>IF($D466="",0,COUNTIFS($D$4:$D$810,$D466,$C$4:$C$810,$C466,$A$4:$A$810,"&lt;"&amp;$A466))</f>
        <v>0</v>
      </c>
      <c r="U466" s="125">
        <f>IF($D466="",0,IFERROR(LOOKUP(2,1/(($D$3:D465=$D466)*($C$3:C465=$C466)*($A$3:A465&lt;$A466)),$AB$3:AB465),1000))</f>
        <v>0</v>
      </c>
      <c r="V466" s="125">
        <f>IF($D466="",0,$U466*($T466/($T466+5))+$H466*(1-$T466/($T466+5)))</f>
        <v>0</v>
      </c>
      <c r="W466">
        <f>IF($D466="",0,IFERROR(SUMIFS($V$4:$V$810,$A$4:$A$810,$A466,$E$4:$E$810,"Win")/COUNTIFS($A$4:$A$810,$A466,$E$4:$E$810,"Win"),0))</f>
        <v>0</v>
      </c>
      <c r="X466">
        <f>IF($D466="",0,1/(1+10^(($W466-$V466)/400)))</f>
        <v>0</v>
      </c>
      <c r="Y466">
        <f>IF($D466="",0,IFERROR(SUMIFS($U$4:$U$810,$A$4:$A$810,$A466,$E$4:$E$810,"Win")/COUNTIFS($A$4:$A$810,$A466,$E$4:$E$810,"Win"),0))</f>
        <v>0</v>
      </c>
      <c r="Z466">
        <f>IF($D466="",0,1/(1+10^(($Y466-$U466)/400)))</f>
        <v>0</v>
      </c>
      <c r="AA466">
        <f>IF($D466="",0,IF($F466&lt;2,0,IF($E466="Win",('Guide &amp; Settings'!$C$42/(($F466-1)*COUNTIFS($A$4:$A$810,$A466,$E$4:$E$810,"Win")))*SUMIFS($Z$4:$Z$810,$A$4:$A$810,$A466,$E$4:$E$810,"Loss"),-('Guide &amp; Settings'!$C$42/($F466-1))*$Z466)))</f>
        <v>0</v>
      </c>
      <c r="AB466" s="125">
        <f>IF($D466="",0,$U466+$AA466)</f>
        <v>0</v>
      </c>
      <c r="AC466" s="125" t="str">
        <f>IF($D466="","",IF(SUMPRODUCT(MAX(($D$4:$D$810=$D466)*($B$4:$B$810&lt;$B466)*$B$4:$B$810))=0,0,MAX(($B466-MAX(SUMPRODUCT(MAX(($D$4:$D$810=$D466)*($B$4:$B$810&lt;$B466)*$B$4:$B$810)),'Guide &amp; Settings'!$C$50))/7-'Guide &amp; Settings'!$C$48,0)*'Guide &amp; Settings'!$C$49))</f>
      </c>
    </row>
    <row r="467" spans="1:29">
      <c r="A467" s="116"/>
      <c r="B467" s="117"/>
      <c r="C467" s="118"/>
      <c r="D467" s="118"/>
      <c r="E467" s="116"/>
      <c r="F467" s="119">
        <f>IF($D467="",0,COUNTIF($A$4:$A$810,$A467))</f>
        <v>0</v>
      </c>
      <c r="G467" s="120">
        <f>IF($D467="","",IFERROR(LOOKUP(2,1/(($A$4:$A$810=$A467)*($E$4:$E$810="Win")),$D$4:$D$810),"(no winner)"))</f>
        <v>0</v>
      </c>
      <c r="H467" s="121">
        <f>IF($D467="",0,IFERROR(LOOKUP(2,1/(($D$3:D466=$D467)*($A$3:A466&lt;$A467)),$N$3:N466),'Guide &amp; Settings'!$C$41))</f>
        <v>0</v>
      </c>
      <c r="I467" s="122">
        <f>IF($D467="",0,IF($S467=0,0,$R467/$S467))</f>
        <v>0</v>
      </c>
      <c r="J467" s="123">
        <f>IF($D467="",0,IF($F467&lt;2,0,IF($E467="Win",('Guide &amp; Settings'!$C$42/(($F467-1)*COUNTIFS($A$4:$A$810,$A467,$E$4:$E$810,"Win")))*SUMIFS($X$4:$X$810,$A$4:$A$810,$A467,$E$4:$E$810,"Loss"),-('Guide &amp; Settings'!$C$42/($F467-1))*$X467)))</f>
        <v>0</v>
      </c>
      <c r="K467" s="123">
        <f>IF($D467="",0,'Guide &amp; Settings'!$C$43*(IF($E467="Win",1,0)-$I467))</f>
        <v>0</v>
      </c>
      <c r="L467" s="124">
        <f>IF($D467="",0,'Guide &amp; Settings'!$C$44*IF($F467&gt;=3,$F467+IF($E467="Win",$F467,0),0))</f>
        <v>0</v>
      </c>
      <c r="M467" s="123">
        <f>IF($D467="",0,$J467+$K467+$L467)</f>
        <v>0</v>
      </c>
      <c r="N467" s="121">
        <f>IF($D467="",0,$H467+$M467)</f>
        <v>0</v>
      </c>
      <c r="O467" s="120" t="str">
        <f>IF($D467="","",IF(COUNTIFS($A$4:$A$810,$A467,$E$4:$E$810,"Win")=0,"need a winner",IF(COUNTIFS($A$4:$A$810,$A467,$E$4:$E$810,"Loss")=0,"need a loser",IF(COUNTIFS($A$4:$A$810,$A467,$D$4:$D$810,$D467)&gt;1,"duplicate player","OK"))))</f>
      </c>
      <c r="P467">
        <f>IF($D467="",0,IFERROR(SUMIFS($H$4:$H$810,$A$4:$A$810,$A467,$E$4:$E$810,"Win")/COUNTIFS($A$4:$A$810,$A467,$E$4:$E$810,"Win"),0))</f>
        <v>0</v>
      </c>
      <c r="Q467">
        <f>IF($D467="",0,1/(1+10^(($P467-$H467)/400)))</f>
        <v>0</v>
      </c>
      <c r="R467">
        <f>IF($D467="",0,(COUNTIFS($D$4:$D$810,$D467,$C$4:$C$810,$C467,$E$4:$E$810,"Win",$A$4:$A$810,"&lt;"&amp;$A467)+1)/(COUNTIFS($D$4:$D$810,$D467,$C$4:$C$810,$C467,$A$4:$A$810,"&lt;"&amp;$A467)+2))</f>
        <v>0</v>
      </c>
      <c r="S467">
        <f>IF($D467="",0,SUMIFS($R$4:$R$810,$A$4:$A$810,$A467))</f>
        <v>0</v>
      </c>
      <c r="T467" s="88">
        <f>IF($D467="",0,COUNTIFS($D$4:$D$810,$D467,$C$4:$C$810,$C467,$A$4:$A$810,"&lt;"&amp;$A467))</f>
        <v>0</v>
      </c>
      <c r="U467" s="125">
        <f>IF($D467="",0,IFERROR(LOOKUP(2,1/(($D$3:D466=$D467)*($C$3:C466=$C467)*($A$3:A466&lt;$A467)),$AB$3:AB466),1000))</f>
        <v>0</v>
      </c>
      <c r="V467" s="125">
        <f>IF($D467="",0,$U467*($T467/($T467+5))+$H467*(1-$T467/($T467+5)))</f>
        <v>0</v>
      </c>
      <c r="W467">
        <f>IF($D467="",0,IFERROR(SUMIFS($V$4:$V$810,$A$4:$A$810,$A467,$E$4:$E$810,"Win")/COUNTIFS($A$4:$A$810,$A467,$E$4:$E$810,"Win"),0))</f>
        <v>0</v>
      </c>
      <c r="X467">
        <f>IF($D467="",0,1/(1+10^(($W467-$V467)/400)))</f>
        <v>0</v>
      </c>
      <c r="Y467">
        <f>IF($D467="",0,IFERROR(SUMIFS($U$4:$U$810,$A$4:$A$810,$A467,$E$4:$E$810,"Win")/COUNTIFS($A$4:$A$810,$A467,$E$4:$E$810,"Win"),0))</f>
        <v>0</v>
      </c>
      <c r="Z467">
        <f>IF($D467="",0,1/(1+10^(($Y467-$U467)/400)))</f>
        <v>0</v>
      </c>
      <c r="AA467">
        <f>IF($D467="",0,IF($F467&lt;2,0,IF($E467="Win",('Guide &amp; Settings'!$C$42/(($F467-1)*COUNTIFS($A$4:$A$810,$A467,$E$4:$E$810,"Win")))*SUMIFS($Z$4:$Z$810,$A$4:$A$810,$A467,$E$4:$E$810,"Loss"),-('Guide &amp; Settings'!$C$42/($F467-1))*$Z467)))</f>
        <v>0</v>
      </c>
      <c r="AB467" s="125">
        <f>IF($D467="",0,$U467+$AA467)</f>
        <v>0</v>
      </c>
      <c r="AC467" s="125" t="str">
        <f>IF($D467="","",IF(SUMPRODUCT(MAX(($D$4:$D$810=$D467)*($B$4:$B$810&lt;$B467)*$B$4:$B$810))=0,0,MAX(($B467-MAX(SUMPRODUCT(MAX(($D$4:$D$810=$D467)*($B$4:$B$810&lt;$B467)*$B$4:$B$810)),'Guide &amp; Settings'!$C$50))/7-'Guide &amp; Settings'!$C$48,0)*'Guide &amp; Settings'!$C$49))</f>
      </c>
    </row>
    <row r="468" spans="1:29">
      <c r="A468" s="116"/>
      <c r="B468" s="117"/>
      <c r="C468" s="118"/>
      <c r="D468" s="118"/>
      <c r="E468" s="116"/>
      <c r="F468" s="119">
        <f>IF($D468="",0,COUNTIF($A$4:$A$810,$A468))</f>
        <v>0</v>
      </c>
      <c r="G468" s="120">
        <f>IF($D468="","",IFERROR(LOOKUP(2,1/(($A$4:$A$810=$A468)*($E$4:$E$810="Win")),$D$4:$D$810),"(no winner)"))</f>
        <v>0</v>
      </c>
      <c r="H468" s="121">
        <f>IF($D468="",0,IFERROR(LOOKUP(2,1/(($D$3:D467=$D468)*($A$3:A467&lt;$A468)),$N$3:N467),'Guide &amp; Settings'!$C$41))</f>
        <v>0</v>
      </c>
      <c r="I468" s="122">
        <f>IF($D468="",0,IF($S468=0,0,$R468/$S468))</f>
        <v>0</v>
      </c>
      <c r="J468" s="123">
        <f>IF($D468="",0,IF($F468&lt;2,0,IF($E468="Win",('Guide &amp; Settings'!$C$42/(($F468-1)*COUNTIFS($A$4:$A$810,$A468,$E$4:$E$810,"Win")))*SUMIFS($X$4:$X$810,$A$4:$A$810,$A468,$E$4:$E$810,"Loss"),-('Guide &amp; Settings'!$C$42/($F468-1))*$X468)))</f>
        <v>0</v>
      </c>
      <c r="K468" s="123">
        <f>IF($D468="",0,'Guide &amp; Settings'!$C$43*(IF($E468="Win",1,0)-$I468))</f>
        <v>0</v>
      </c>
      <c r="L468" s="124">
        <f>IF($D468="",0,'Guide &amp; Settings'!$C$44*IF($F468&gt;=3,$F468+IF($E468="Win",$F468,0),0))</f>
        <v>0</v>
      </c>
      <c r="M468" s="123">
        <f>IF($D468="",0,$J468+$K468+$L468)</f>
        <v>0</v>
      </c>
      <c r="N468" s="121">
        <f>IF($D468="",0,$H468+$M468)</f>
        <v>0</v>
      </c>
      <c r="O468" s="120" t="str">
        <f>IF($D468="","",IF(COUNTIFS($A$4:$A$810,$A468,$E$4:$E$810,"Win")=0,"need a winner",IF(COUNTIFS($A$4:$A$810,$A468,$E$4:$E$810,"Loss")=0,"need a loser",IF(COUNTIFS($A$4:$A$810,$A468,$D$4:$D$810,$D468)&gt;1,"duplicate player","OK"))))</f>
      </c>
      <c r="P468">
        <f>IF($D468="",0,IFERROR(SUMIFS($H$4:$H$810,$A$4:$A$810,$A468,$E$4:$E$810,"Win")/COUNTIFS($A$4:$A$810,$A468,$E$4:$E$810,"Win"),0))</f>
        <v>0</v>
      </c>
      <c r="Q468">
        <f>IF($D468="",0,1/(1+10^(($P468-$H468)/400)))</f>
        <v>0</v>
      </c>
      <c r="R468">
        <f>IF($D468="",0,(COUNTIFS($D$4:$D$810,$D468,$C$4:$C$810,$C468,$E$4:$E$810,"Win",$A$4:$A$810,"&lt;"&amp;$A468)+1)/(COUNTIFS($D$4:$D$810,$D468,$C$4:$C$810,$C468,$A$4:$A$810,"&lt;"&amp;$A468)+2))</f>
        <v>0</v>
      </c>
      <c r="S468">
        <f>IF($D468="",0,SUMIFS($R$4:$R$810,$A$4:$A$810,$A468))</f>
        <v>0</v>
      </c>
      <c r="T468" s="88">
        <f>IF($D468="",0,COUNTIFS($D$4:$D$810,$D468,$C$4:$C$810,$C468,$A$4:$A$810,"&lt;"&amp;$A468))</f>
        <v>0</v>
      </c>
      <c r="U468" s="125">
        <f>IF($D468="",0,IFERROR(LOOKUP(2,1/(($D$3:D467=$D468)*($C$3:C467=$C468)*($A$3:A467&lt;$A468)),$AB$3:AB467),1000))</f>
        <v>0</v>
      </c>
      <c r="V468" s="125">
        <f>IF($D468="",0,$U468*($T468/($T468+5))+$H468*(1-$T468/($T468+5)))</f>
        <v>0</v>
      </c>
      <c r="W468">
        <f>IF($D468="",0,IFERROR(SUMIFS($V$4:$V$810,$A$4:$A$810,$A468,$E$4:$E$810,"Win")/COUNTIFS($A$4:$A$810,$A468,$E$4:$E$810,"Win"),0))</f>
        <v>0</v>
      </c>
      <c r="X468">
        <f>IF($D468="",0,1/(1+10^(($W468-$V468)/400)))</f>
        <v>0</v>
      </c>
      <c r="Y468">
        <f>IF($D468="",0,IFERROR(SUMIFS($U$4:$U$810,$A$4:$A$810,$A468,$E$4:$E$810,"Win")/COUNTIFS($A$4:$A$810,$A468,$E$4:$E$810,"Win"),0))</f>
        <v>0</v>
      </c>
      <c r="Z468">
        <f>IF($D468="",0,1/(1+10^(($Y468-$U468)/400)))</f>
        <v>0</v>
      </c>
      <c r="AA468">
        <f>IF($D468="",0,IF($F468&lt;2,0,IF($E468="Win",('Guide &amp; Settings'!$C$42/(($F468-1)*COUNTIFS($A$4:$A$810,$A468,$E$4:$E$810,"Win")))*SUMIFS($Z$4:$Z$810,$A$4:$A$810,$A468,$E$4:$E$810,"Loss"),-('Guide &amp; Settings'!$C$42/($F468-1))*$Z468)))</f>
        <v>0</v>
      </c>
      <c r="AB468" s="125">
        <f>IF($D468="",0,$U468+$AA468)</f>
        <v>0</v>
      </c>
      <c r="AC468" s="125" t="str">
        <f>IF($D468="","",IF(SUMPRODUCT(MAX(($D$4:$D$810=$D468)*($B$4:$B$810&lt;$B468)*$B$4:$B$810))=0,0,MAX(($B468-MAX(SUMPRODUCT(MAX(($D$4:$D$810=$D468)*($B$4:$B$810&lt;$B468)*$B$4:$B$810)),'Guide &amp; Settings'!$C$50))/7-'Guide &amp; Settings'!$C$48,0)*'Guide &amp; Settings'!$C$49))</f>
      </c>
    </row>
    <row r="469" spans="1:29">
      <c r="A469" s="116"/>
      <c r="B469" s="117"/>
      <c r="C469" s="118"/>
      <c r="D469" s="118"/>
      <c r="E469" s="116"/>
      <c r="F469" s="119">
        <f>IF($D469="",0,COUNTIF($A$4:$A$810,$A469))</f>
        <v>0</v>
      </c>
      <c r="G469" s="120">
        <f>IF($D469="","",IFERROR(LOOKUP(2,1/(($A$4:$A$810=$A469)*($E$4:$E$810="Win")),$D$4:$D$810),"(no winner)"))</f>
        <v>0</v>
      </c>
      <c r="H469" s="121">
        <f>IF($D469="",0,IFERROR(LOOKUP(2,1/(($D$3:D468=$D469)*($A$3:A468&lt;$A469)),$N$3:N468),'Guide &amp; Settings'!$C$41))</f>
        <v>0</v>
      </c>
      <c r="I469" s="122">
        <f>IF($D469="",0,IF($S469=0,0,$R469/$S469))</f>
        <v>0</v>
      </c>
      <c r="J469" s="123">
        <f>IF($D469="",0,IF($F469&lt;2,0,IF($E469="Win",('Guide &amp; Settings'!$C$42/(($F469-1)*COUNTIFS($A$4:$A$810,$A469,$E$4:$E$810,"Win")))*SUMIFS($X$4:$X$810,$A$4:$A$810,$A469,$E$4:$E$810,"Loss"),-('Guide &amp; Settings'!$C$42/($F469-1))*$X469)))</f>
        <v>0</v>
      </c>
      <c r="K469" s="123">
        <f>IF($D469="",0,'Guide &amp; Settings'!$C$43*(IF($E469="Win",1,0)-$I469))</f>
        <v>0</v>
      </c>
      <c r="L469" s="124">
        <f>IF($D469="",0,'Guide &amp; Settings'!$C$44*IF($F469&gt;=3,$F469+IF($E469="Win",$F469,0),0))</f>
        <v>0</v>
      </c>
      <c r="M469" s="123">
        <f>IF($D469="",0,$J469+$K469+$L469)</f>
        <v>0</v>
      </c>
      <c r="N469" s="121">
        <f>IF($D469="",0,$H469+$M469)</f>
        <v>0</v>
      </c>
      <c r="O469" s="120" t="str">
        <f>IF($D469="","",IF(COUNTIFS($A$4:$A$810,$A469,$E$4:$E$810,"Win")=0,"need a winner",IF(COUNTIFS($A$4:$A$810,$A469,$E$4:$E$810,"Loss")=0,"need a loser",IF(COUNTIFS($A$4:$A$810,$A469,$D$4:$D$810,$D469)&gt;1,"duplicate player","OK"))))</f>
      </c>
      <c r="P469">
        <f>IF($D469="",0,IFERROR(SUMIFS($H$4:$H$810,$A$4:$A$810,$A469,$E$4:$E$810,"Win")/COUNTIFS($A$4:$A$810,$A469,$E$4:$E$810,"Win"),0))</f>
        <v>0</v>
      </c>
      <c r="Q469">
        <f>IF($D469="",0,1/(1+10^(($P469-$H469)/400)))</f>
        <v>0</v>
      </c>
      <c r="R469">
        <f>IF($D469="",0,(COUNTIFS($D$4:$D$810,$D469,$C$4:$C$810,$C469,$E$4:$E$810,"Win",$A$4:$A$810,"&lt;"&amp;$A469)+1)/(COUNTIFS($D$4:$D$810,$D469,$C$4:$C$810,$C469,$A$4:$A$810,"&lt;"&amp;$A469)+2))</f>
        <v>0</v>
      </c>
      <c r="S469">
        <f>IF($D469="",0,SUMIFS($R$4:$R$810,$A$4:$A$810,$A469))</f>
        <v>0</v>
      </c>
      <c r="T469" s="88">
        <f>IF($D469="",0,COUNTIFS($D$4:$D$810,$D469,$C$4:$C$810,$C469,$A$4:$A$810,"&lt;"&amp;$A469))</f>
        <v>0</v>
      </c>
      <c r="U469" s="125">
        <f>IF($D469="",0,IFERROR(LOOKUP(2,1/(($D$3:D468=$D469)*($C$3:C468=$C469)*($A$3:A468&lt;$A469)),$AB$3:AB468),1000))</f>
        <v>0</v>
      </c>
      <c r="V469" s="125">
        <f>IF($D469="",0,$U469*($T469/($T469+5))+$H469*(1-$T469/($T469+5)))</f>
        <v>0</v>
      </c>
      <c r="W469">
        <f>IF($D469="",0,IFERROR(SUMIFS($V$4:$V$810,$A$4:$A$810,$A469,$E$4:$E$810,"Win")/COUNTIFS($A$4:$A$810,$A469,$E$4:$E$810,"Win"),0))</f>
        <v>0</v>
      </c>
      <c r="X469">
        <f>IF($D469="",0,1/(1+10^(($W469-$V469)/400)))</f>
        <v>0</v>
      </c>
      <c r="Y469">
        <f>IF($D469="",0,IFERROR(SUMIFS($U$4:$U$810,$A$4:$A$810,$A469,$E$4:$E$810,"Win")/COUNTIFS($A$4:$A$810,$A469,$E$4:$E$810,"Win"),0))</f>
        <v>0</v>
      </c>
      <c r="Z469">
        <f>IF($D469="",0,1/(1+10^(($Y469-$U469)/400)))</f>
        <v>0</v>
      </c>
      <c r="AA469">
        <f>IF($D469="",0,IF($F469&lt;2,0,IF($E469="Win",('Guide &amp; Settings'!$C$42/(($F469-1)*COUNTIFS($A$4:$A$810,$A469,$E$4:$E$810,"Win")))*SUMIFS($Z$4:$Z$810,$A$4:$A$810,$A469,$E$4:$E$810,"Loss"),-('Guide &amp; Settings'!$C$42/($F469-1))*$Z469)))</f>
        <v>0</v>
      </c>
      <c r="AB469" s="125">
        <f>IF($D469="",0,$U469+$AA469)</f>
        <v>0</v>
      </c>
      <c r="AC469" s="125" t="str">
        <f>IF($D469="","",IF(SUMPRODUCT(MAX(($D$4:$D$810=$D469)*($B$4:$B$810&lt;$B469)*$B$4:$B$810))=0,0,MAX(($B469-MAX(SUMPRODUCT(MAX(($D$4:$D$810=$D469)*($B$4:$B$810&lt;$B469)*$B$4:$B$810)),'Guide &amp; Settings'!$C$50))/7-'Guide &amp; Settings'!$C$48,0)*'Guide &amp; Settings'!$C$49))</f>
      </c>
    </row>
    <row r="470" spans="1:29">
      <c r="A470" s="116"/>
      <c r="B470" s="117"/>
      <c r="C470" s="118"/>
      <c r="D470" s="118"/>
      <c r="E470" s="116"/>
      <c r="F470" s="119">
        <f>IF($D470="",0,COUNTIF($A$4:$A$810,$A470))</f>
        <v>0</v>
      </c>
      <c r="G470" s="120">
        <f>IF($D470="","",IFERROR(LOOKUP(2,1/(($A$4:$A$810=$A470)*($E$4:$E$810="Win")),$D$4:$D$810),"(no winner)"))</f>
        <v>0</v>
      </c>
      <c r="H470" s="121">
        <f>IF($D470="",0,IFERROR(LOOKUP(2,1/(($D$3:D469=$D470)*($A$3:A469&lt;$A470)),$N$3:N469),'Guide &amp; Settings'!$C$41))</f>
        <v>0</v>
      </c>
      <c r="I470" s="122">
        <f>IF($D470="",0,IF($S470=0,0,$R470/$S470))</f>
        <v>0</v>
      </c>
      <c r="J470" s="123">
        <f>IF($D470="",0,IF($F470&lt;2,0,IF($E470="Win",('Guide &amp; Settings'!$C$42/(($F470-1)*COUNTIFS($A$4:$A$810,$A470,$E$4:$E$810,"Win")))*SUMIFS($X$4:$X$810,$A$4:$A$810,$A470,$E$4:$E$810,"Loss"),-('Guide &amp; Settings'!$C$42/($F470-1))*$X470)))</f>
        <v>0</v>
      </c>
      <c r="K470" s="123">
        <f>IF($D470="",0,'Guide &amp; Settings'!$C$43*(IF($E470="Win",1,0)-$I470))</f>
        <v>0</v>
      </c>
      <c r="L470" s="124">
        <f>IF($D470="",0,'Guide &amp; Settings'!$C$44*IF($F470&gt;=3,$F470+IF($E470="Win",$F470,0),0))</f>
        <v>0</v>
      </c>
      <c r="M470" s="123">
        <f>IF($D470="",0,$J470+$K470+$L470)</f>
        <v>0</v>
      </c>
      <c r="N470" s="121">
        <f>IF($D470="",0,$H470+$M470)</f>
        <v>0</v>
      </c>
      <c r="O470" s="120" t="str">
        <f>IF($D470="","",IF(COUNTIFS($A$4:$A$810,$A470,$E$4:$E$810,"Win")=0,"need a winner",IF(COUNTIFS($A$4:$A$810,$A470,$E$4:$E$810,"Loss")=0,"need a loser",IF(COUNTIFS($A$4:$A$810,$A470,$D$4:$D$810,$D470)&gt;1,"duplicate player","OK"))))</f>
      </c>
      <c r="P470">
        <f>IF($D470="",0,IFERROR(SUMIFS($H$4:$H$810,$A$4:$A$810,$A470,$E$4:$E$810,"Win")/COUNTIFS($A$4:$A$810,$A470,$E$4:$E$810,"Win"),0))</f>
        <v>0</v>
      </c>
      <c r="Q470">
        <f>IF($D470="",0,1/(1+10^(($P470-$H470)/400)))</f>
        <v>0</v>
      </c>
      <c r="R470">
        <f>IF($D470="",0,(COUNTIFS($D$4:$D$810,$D470,$C$4:$C$810,$C470,$E$4:$E$810,"Win",$A$4:$A$810,"&lt;"&amp;$A470)+1)/(COUNTIFS($D$4:$D$810,$D470,$C$4:$C$810,$C470,$A$4:$A$810,"&lt;"&amp;$A470)+2))</f>
        <v>0</v>
      </c>
      <c r="S470">
        <f>IF($D470="",0,SUMIFS($R$4:$R$810,$A$4:$A$810,$A470))</f>
        <v>0</v>
      </c>
      <c r="T470" s="88">
        <f>IF($D470="",0,COUNTIFS($D$4:$D$810,$D470,$C$4:$C$810,$C470,$A$4:$A$810,"&lt;"&amp;$A470))</f>
        <v>0</v>
      </c>
      <c r="U470" s="125">
        <f>IF($D470="",0,IFERROR(LOOKUP(2,1/(($D$3:D469=$D470)*($C$3:C469=$C470)*($A$3:A469&lt;$A470)),$AB$3:AB469),1000))</f>
        <v>0</v>
      </c>
      <c r="V470" s="125">
        <f>IF($D470="",0,$U470*($T470/($T470+5))+$H470*(1-$T470/($T470+5)))</f>
        <v>0</v>
      </c>
      <c r="W470">
        <f>IF($D470="",0,IFERROR(SUMIFS($V$4:$V$810,$A$4:$A$810,$A470,$E$4:$E$810,"Win")/COUNTIFS($A$4:$A$810,$A470,$E$4:$E$810,"Win"),0))</f>
        <v>0</v>
      </c>
      <c r="X470">
        <f>IF($D470="",0,1/(1+10^(($W470-$V470)/400)))</f>
        <v>0</v>
      </c>
      <c r="Y470">
        <f>IF($D470="",0,IFERROR(SUMIFS($U$4:$U$810,$A$4:$A$810,$A470,$E$4:$E$810,"Win")/COUNTIFS($A$4:$A$810,$A470,$E$4:$E$810,"Win"),0))</f>
        <v>0</v>
      </c>
      <c r="Z470">
        <f>IF($D470="",0,1/(1+10^(($Y470-$U470)/400)))</f>
        <v>0</v>
      </c>
      <c r="AA470">
        <f>IF($D470="",0,IF($F470&lt;2,0,IF($E470="Win",('Guide &amp; Settings'!$C$42/(($F470-1)*COUNTIFS($A$4:$A$810,$A470,$E$4:$E$810,"Win")))*SUMIFS($Z$4:$Z$810,$A$4:$A$810,$A470,$E$4:$E$810,"Loss"),-('Guide &amp; Settings'!$C$42/($F470-1))*$Z470)))</f>
        <v>0</v>
      </c>
      <c r="AB470" s="125">
        <f>IF($D470="",0,$U470+$AA470)</f>
        <v>0</v>
      </c>
      <c r="AC470" s="125" t="str">
        <f>IF($D470="","",IF(SUMPRODUCT(MAX(($D$4:$D$810=$D470)*($B$4:$B$810&lt;$B470)*$B$4:$B$810))=0,0,MAX(($B470-MAX(SUMPRODUCT(MAX(($D$4:$D$810=$D470)*($B$4:$B$810&lt;$B470)*$B$4:$B$810)),'Guide &amp; Settings'!$C$50))/7-'Guide &amp; Settings'!$C$48,0)*'Guide &amp; Settings'!$C$49))</f>
      </c>
    </row>
    <row r="471" spans="1:29">
      <c r="A471" s="116"/>
      <c r="B471" s="117"/>
      <c r="C471" s="118"/>
      <c r="D471" s="118"/>
      <c r="E471" s="116"/>
      <c r="F471" s="119">
        <f>IF($D471="",0,COUNTIF($A$4:$A$810,$A471))</f>
        <v>0</v>
      </c>
      <c r="G471" s="120">
        <f>IF($D471="","",IFERROR(LOOKUP(2,1/(($A$4:$A$810=$A471)*($E$4:$E$810="Win")),$D$4:$D$810),"(no winner)"))</f>
        <v>0</v>
      </c>
      <c r="H471" s="121">
        <f>IF($D471="",0,IFERROR(LOOKUP(2,1/(($D$3:D470=$D471)*($A$3:A470&lt;$A471)),$N$3:N470),'Guide &amp; Settings'!$C$41))</f>
        <v>0</v>
      </c>
      <c r="I471" s="122">
        <f>IF($D471="",0,IF($S471=0,0,$R471/$S471))</f>
        <v>0</v>
      </c>
      <c r="J471" s="123">
        <f>IF($D471="",0,IF($F471&lt;2,0,IF($E471="Win",('Guide &amp; Settings'!$C$42/(($F471-1)*COUNTIFS($A$4:$A$810,$A471,$E$4:$E$810,"Win")))*SUMIFS($X$4:$X$810,$A$4:$A$810,$A471,$E$4:$E$810,"Loss"),-('Guide &amp; Settings'!$C$42/($F471-1))*$X471)))</f>
        <v>0</v>
      </c>
      <c r="K471" s="123">
        <f>IF($D471="",0,'Guide &amp; Settings'!$C$43*(IF($E471="Win",1,0)-$I471))</f>
        <v>0</v>
      </c>
      <c r="L471" s="124">
        <f>IF($D471="",0,'Guide &amp; Settings'!$C$44*IF($F471&gt;=3,$F471+IF($E471="Win",$F471,0),0))</f>
        <v>0</v>
      </c>
      <c r="M471" s="123">
        <f>IF($D471="",0,$J471+$K471+$L471)</f>
        <v>0</v>
      </c>
      <c r="N471" s="121">
        <f>IF($D471="",0,$H471+$M471)</f>
        <v>0</v>
      </c>
      <c r="O471" s="120" t="str">
        <f>IF($D471="","",IF(COUNTIFS($A$4:$A$810,$A471,$E$4:$E$810,"Win")=0,"need a winner",IF(COUNTIFS($A$4:$A$810,$A471,$E$4:$E$810,"Loss")=0,"need a loser",IF(COUNTIFS($A$4:$A$810,$A471,$D$4:$D$810,$D471)&gt;1,"duplicate player","OK"))))</f>
      </c>
      <c r="P471">
        <f>IF($D471="",0,IFERROR(SUMIFS($H$4:$H$810,$A$4:$A$810,$A471,$E$4:$E$810,"Win")/COUNTIFS($A$4:$A$810,$A471,$E$4:$E$810,"Win"),0))</f>
        <v>0</v>
      </c>
      <c r="Q471">
        <f>IF($D471="",0,1/(1+10^(($P471-$H471)/400)))</f>
        <v>0</v>
      </c>
      <c r="R471">
        <f>IF($D471="",0,(COUNTIFS($D$4:$D$810,$D471,$C$4:$C$810,$C471,$E$4:$E$810,"Win",$A$4:$A$810,"&lt;"&amp;$A471)+1)/(COUNTIFS($D$4:$D$810,$D471,$C$4:$C$810,$C471,$A$4:$A$810,"&lt;"&amp;$A471)+2))</f>
        <v>0</v>
      </c>
      <c r="S471">
        <f>IF($D471="",0,SUMIFS($R$4:$R$810,$A$4:$A$810,$A471))</f>
        <v>0</v>
      </c>
      <c r="T471" s="88">
        <f>IF($D471="",0,COUNTIFS($D$4:$D$810,$D471,$C$4:$C$810,$C471,$A$4:$A$810,"&lt;"&amp;$A471))</f>
        <v>0</v>
      </c>
      <c r="U471" s="125">
        <f>IF($D471="",0,IFERROR(LOOKUP(2,1/(($D$3:D470=$D471)*($C$3:C470=$C471)*($A$3:A470&lt;$A471)),$AB$3:AB470),1000))</f>
        <v>0</v>
      </c>
      <c r="V471" s="125">
        <f>IF($D471="",0,$U471*($T471/($T471+5))+$H471*(1-$T471/($T471+5)))</f>
        <v>0</v>
      </c>
      <c r="W471">
        <f>IF($D471="",0,IFERROR(SUMIFS($V$4:$V$810,$A$4:$A$810,$A471,$E$4:$E$810,"Win")/COUNTIFS($A$4:$A$810,$A471,$E$4:$E$810,"Win"),0))</f>
        <v>0</v>
      </c>
      <c r="X471">
        <f>IF($D471="",0,1/(1+10^(($W471-$V471)/400)))</f>
        <v>0</v>
      </c>
      <c r="Y471">
        <f>IF($D471="",0,IFERROR(SUMIFS($U$4:$U$810,$A$4:$A$810,$A471,$E$4:$E$810,"Win")/COUNTIFS($A$4:$A$810,$A471,$E$4:$E$810,"Win"),0))</f>
        <v>0</v>
      </c>
      <c r="Z471">
        <f>IF($D471="",0,1/(1+10^(($Y471-$U471)/400)))</f>
        <v>0</v>
      </c>
      <c r="AA471">
        <f>IF($D471="",0,IF($F471&lt;2,0,IF($E471="Win",('Guide &amp; Settings'!$C$42/(($F471-1)*COUNTIFS($A$4:$A$810,$A471,$E$4:$E$810,"Win")))*SUMIFS($Z$4:$Z$810,$A$4:$A$810,$A471,$E$4:$E$810,"Loss"),-('Guide &amp; Settings'!$C$42/($F471-1))*$Z471)))</f>
        <v>0</v>
      </c>
      <c r="AB471" s="125">
        <f>IF($D471="",0,$U471+$AA471)</f>
        <v>0</v>
      </c>
      <c r="AC471" s="125" t="str">
        <f>IF($D471="","",IF(SUMPRODUCT(MAX(($D$4:$D$810=$D471)*($B$4:$B$810&lt;$B471)*$B$4:$B$810))=0,0,MAX(($B471-MAX(SUMPRODUCT(MAX(($D$4:$D$810=$D471)*($B$4:$B$810&lt;$B471)*$B$4:$B$810)),'Guide &amp; Settings'!$C$50))/7-'Guide &amp; Settings'!$C$48,0)*'Guide &amp; Settings'!$C$49))</f>
      </c>
    </row>
    <row r="472" spans="1:29">
      <c r="A472" s="116"/>
      <c r="B472" s="117"/>
      <c r="C472" s="118"/>
      <c r="D472" s="118"/>
      <c r="E472" s="116"/>
      <c r="F472" s="119">
        <f>IF($D472="",0,COUNTIF($A$4:$A$810,$A472))</f>
        <v>0</v>
      </c>
      <c r="G472" s="120">
        <f>IF($D472="","",IFERROR(LOOKUP(2,1/(($A$4:$A$810=$A472)*($E$4:$E$810="Win")),$D$4:$D$810),"(no winner)"))</f>
        <v>0</v>
      </c>
      <c r="H472" s="121">
        <f>IF($D472="",0,IFERROR(LOOKUP(2,1/(($D$3:D471=$D472)*($A$3:A471&lt;$A472)),$N$3:N471),'Guide &amp; Settings'!$C$41))</f>
        <v>0</v>
      </c>
      <c r="I472" s="122">
        <f>IF($D472="",0,IF($S472=0,0,$R472/$S472))</f>
        <v>0</v>
      </c>
      <c r="J472" s="123">
        <f>IF($D472="",0,IF($F472&lt;2,0,IF($E472="Win",('Guide &amp; Settings'!$C$42/(($F472-1)*COUNTIFS($A$4:$A$810,$A472,$E$4:$E$810,"Win")))*SUMIFS($X$4:$X$810,$A$4:$A$810,$A472,$E$4:$E$810,"Loss"),-('Guide &amp; Settings'!$C$42/($F472-1))*$X472)))</f>
        <v>0</v>
      </c>
      <c r="K472" s="123">
        <f>IF($D472="",0,'Guide &amp; Settings'!$C$43*(IF($E472="Win",1,0)-$I472))</f>
        <v>0</v>
      </c>
      <c r="L472" s="124">
        <f>IF($D472="",0,'Guide &amp; Settings'!$C$44*IF($F472&gt;=3,$F472+IF($E472="Win",$F472,0),0))</f>
        <v>0</v>
      </c>
      <c r="M472" s="123">
        <f>IF($D472="",0,$J472+$K472+$L472)</f>
        <v>0</v>
      </c>
      <c r="N472" s="121">
        <f>IF($D472="",0,$H472+$M472)</f>
        <v>0</v>
      </c>
      <c r="O472" s="120" t="str">
        <f>IF($D472="","",IF(COUNTIFS($A$4:$A$810,$A472,$E$4:$E$810,"Win")=0,"need a winner",IF(COUNTIFS($A$4:$A$810,$A472,$E$4:$E$810,"Loss")=0,"need a loser",IF(COUNTIFS($A$4:$A$810,$A472,$D$4:$D$810,$D472)&gt;1,"duplicate player","OK"))))</f>
      </c>
      <c r="P472">
        <f>IF($D472="",0,IFERROR(SUMIFS($H$4:$H$810,$A$4:$A$810,$A472,$E$4:$E$810,"Win")/COUNTIFS($A$4:$A$810,$A472,$E$4:$E$810,"Win"),0))</f>
        <v>0</v>
      </c>
      <c r="Q472">
        <f>IF($D472="",0,1/(1+10^(($P472-$H472)/400)))</f>
        <v>0</v>
      </c>
      <c r="R472">
        <f>IF($D472="",0,(COUNTIFS($D$4:$D$810,$D472,$C$4:$C$810,$C472,$E$4:$E$810,"Win",$A$4:$A$810,"&lt;"&amp;$A472)+1)/(COUNTIFS($D$4:$D$810,$D472,$C$4:$C$810,$C472,$A$4:$A$810,"&lt;"&amp;$A472)+2))</f>
        <v>0</v>
      </c>
      <c r="S472">
        <f>IF($D472="",0,SUMIFS($R$4:$R$810,$A$4:$A$810,$A472))</f>
        <v>0</v>
      </c>
      <c r="T472" s="88">
        <f>IF($D472="",0,COUNTIFS($D$4:$D$810,$D472,$C$4:$C$810,$C472,$A$4:$A$810,"&lt;"&amp;$A472))</f>
        <v>0</v>
      </c>
      <c r="U472" s="125">
        <f>IF($D472="",0,IFERROR(LOOKUP(2,1/(($D$3:D471=$D472)*($C$3:C471=$C472)*($A$3:A471&lt;$A472)),$AB$3:AB471),1000))</f>
        <v>0</v>
      </c>
      <c r="V472" s="125">
        <f>IF($D472="",0,$U472*($T472/($T472+5))+$H472*(1-$T472/($T472+5)))</f>
        <v>0</v>
      </c>
      <c r="W472">
        <f>IF($D472="",0,IFERROR(SUMIFS($V$4:$V$810,$A$4:$A$810,$A472,$E$4:$E$810,"Win")/COUNTIFS($A$4:$A$810,$A472,$E$4:$E$810,"Win"),0))</f>
        <v>0</v>
      </c>
      <c r="X472">
        <f>IF($D472="",0,1/(1+10^(($W472-$V472)/400)))</f>
        <v>0</v>
      </c>
      <c r="Y472">
        <f>IF($D472="",0,IFERROR(SUMIFS($U$4:$U$810,$A$4:$A$810,$A472,$E$4:$E$810,"Win")/COUNTIFS($A$4:$A$810,$A472,$E$4:$E$810,"Win"),0))</f>
        <v>0</v>
      </c>
      <c r="Z472">
        <f>IF($D472="",0,1/(1+10^(($Y472-$U472)/400)))</f>
        <v>0</v>
      </c>
      <c r="AA472">
        <f>IF($D472="",0,IF($F472&lt;2,0,IF($E472="Win",('Guide &amp; Settings'!$C$42/(($F472-1)*COUNTIFS($A$4:$A$810,$A472,$E$4:$E$810,"Win")))*SUMIFS($Z$4:$Z$810,$A$4:$A$810,$A472,$E$4:$E$810,"Loss"),-('Guide &amp; Settings'!$C$42/($F472-1))*$Z472)))</f>
        <v>0</v>
      </c>
      <c r="AB472" s="125">
        <f>IF($D472="",0,$U472+$AA472)</f>
        <v>0</v>
      </c>
      <c r="AC472" s="125" t="str">
        <f>IF($D472="","",IF(SUMPRODUCT(MAX(($D$4:$D$810=$D472)*($B$4:$B$810&lt;$B472)*$B$4:$B$810))=0,0,MAX(($B472-MAX(SUMPRODUCT(MAX(($D$4:$D$810=$D472)*($B$4:$B$810&lt;$B472)*$B$4:$B$810)),'Guide &amp; Settings'!$C$50))/7-'Guide &amp; Settings'!$C$48,0)*'Guide &amp; Settings'!$C$49))</f>
      </c>
    </row>
    <row r="473" spans="1:29">
      <c r="A473" s="116"/>
      <c r="B473" s="117"/>
      <c r="C473" s="118"/>
      <c r="D473" s="118"/>
      <c r="E473" s="116"/>
      <c r="F473" s="119">
        <f>IF($D473="",0,COUNTIF($A$4:$A$810,$A473))</f>
        <v>0</v>
      </c>
      <c r="G473" s="120">
        <f>IF($D473="","",IFERROR(LOOKUP(2,1/(($A$4:$A$810=$A473)*($E$4:$E$810="Win")),$D$4:$D$810),"(no winner)"))</f>
        <v>0</v>
      </c>
      <c r="H473" s="121">
        <f>IF($D473="",0,IFERROR(LOOKUP(2,1/(($D$3:D472=$D473)*($A$3:A472&lt;$A473)),$N$3:N472),'Guide &amp; Settings'!$C$41))</f>
        <v>0</v>
      </c>
      <c r="I473" s="122">
        <f>IF($D473="",0,IF($S473=0,0,$R473/$S473))</f>
        <v>0</v>
      </c>
      <c r="J473" s="123">
        <f>IF($D473="",0,IF($F473&lt;2,0,IF($E473="Win",('Guide &amp; Settings'!$C$42/(($F473-1)*COUNTIFS($A$4:$A$810,$A473,$E$4:$E$810,"Win")))*SUMIFS($X$4:$X$810,$A$4:$A$810,$A473,$E$4:$E$810,"Loss"),-('Guide &amp; Settings'!$C$42/($F473-1))*$X473)))</f>
        <v>0</v>
      </c>
      <c r="K473" s="123">
        <f>IF($D473="",0,'Guide &amp; Settings'!$C$43*(IF($E473="Win",1,0)-$I473))</f>
        <v>0</v>
      </c>
      <c r="L473" s="124">
        <f>IF($D473="",0,'Guide &amp; Settings'!$C$44*IF($F473&gt;=3,$F473+IF($E473="Win",$F473,0),0))</f>
        <v>0</v>
      </c>
      <c r="M473" s="123">
        <f>IF($D473="",0,$J473+$K473+$L473)</f>
        <v>0</v>
      </c>
      <c r="N473" s="121">
        <f>IF($D473="",0,$H473+$M473)</f>
        <v>0</v>
      </c>
      <c r="O473" s="120" t="str">
        <f>IF($D473="","",IF(COUNTIFS($A$4:$A$810,$A473,$E$4:$E$810,"Win")=0,"need a winner",IF(COUNTIFS($A$4:$A$810,$A473,$E$4:$E$810,"Loss")=0,"need a loser",IF(COUNTIFS($A$4:$A$810,$A473,$D$4:$D$810,$D473)&gt;1,"duplicate player","OK"))))</f>
      </c>
      <c r="P473">
        <f>IF($D473="",0,IFERROR(SUMIFS($H$4:$H$810,$A$4:$A$810,$A473,$E$4:$E$810,"Win")/COUNTIFS($A$4:$A$810,$A473,$E$4:$E$810,"Win"),0))</f>
        <v>0</v>
      </c>
      <c r="Q473">
        <f>IF($D473="",0,1/(1+10^(($P473-$H473)/400)))</f>
        <v>0</v>
      </c>
      <c r="R473">
        <f>IF($D473="",0,(COUNTIFS($D$4:$D$810,$D473,$C$4:$C$810,$C473,$E$4:$E$810,"Win",$A$4:$A$810,"&lt;"&amp;$A473)+1)/(COUNTIFS($D$4:$D$810,$D473,$C$4:$C$810,$C473,$A$4:$A$810,"&lt;"&amp;$A473)+2))</f>
        <v>0</v>
      </c>
      <c r="S473">
        <f>IF($D473="",0,SUMIFS($R$4:$R$810,$A$4:$A$810,$A473))</f>
        <v>0</v>
      </c>
      <c r="T473" s="88">
        <f>IF($D473="",0,COUNTIFS($D$4:$D$810,$D473,$C$4:$C$810,$C473,$A$4:$A$810,"&lt;"&amp;$A473))</f>
        <v>0</v>
      </c>
      <c r="U473" s="125">
        <f>IF($D473="",0,IFERROR(LOOKUP(2,1/(($D$3:D472=$D473)*($C$3:C472=$C473)*($A$3:A472&lt;$A473)),$AB$3:AB472),1000))</f>
        <v>0</v>
      </c>
      <c r="V473" s="125">
        <f>IF($D473="",0,$U473*($T473/($T473+5))+$H473*(1-$T473/($T473+5)))</f>
        <v>0</v>
      </c>
      <c r="W473">
        <f>IF($D473="",0,IFERROR(SUMIFS($V$4:$V$810,$A$4:$A$810,$A473,$E$4:$E$810,"Win")/COUNTIFS($A$4:$A$810,$A473,$E$4:$E$810,"Win"),0))</f>
        <v>0</v>
      </c>
      <c r="X473">
        <f>IF($D473="",0,1/(1+10^(($W473-$V473)/400)))</f>
        <v>0</v>
      </c>
      <c r="Y473">
        <f>IF($D473="",0,IFERROR(SUMIFS($U$4:$U$810,$A$4:$A$810,$A473,$E$4:$E$810,"Win")/COUNTIFS($A$4:$A$810,$A473,$E$4:$E$810,"Win"),0))</f>
        <v>0</v>
      </c>
      <c r="Z473">
        <f>IF($D473="",0,1/(1+10^(($Y473-$U473)/400)))</f>
        <v>0</v>
      </c>
      <c r="AA473">
        <f>IF($D473="",0,IF($F473&lt;2,0,IF($E473="Win",('Guide &amp; Settings'!$C$42/(($F473-1)*COUNTIFS($A$4:$A$810,$A473,$E$4:$E$810,"Win")))*SUMIFS($Z$4:$Z$810,$A$4:$A$810,$A473,$E$4:$E$810,"Loss"),-('Guide &amp; Settings'!$C$42/($F473-1))*$Z473)))</f>
        <v>0</v>
      </c>
      <c r="AB473" s="125">
        <f>IF($D473="",0,$U473+$AA473)</f>
        <v>0</v>
      </c>
      <c r="AC473" s="125" t="str">
        <f>IF($D473="","",IF(SUMPRODUCT(MAX(($D$4:$D$810=$D473)*($B$4:$B$810&lt;$B473)*$B$4:$B$810))=0,0,MAX(($B473-MAX(SUMPRODUCT(MAX(($D$4:$D$810=$D473)*($B$4:$B$810&lt;$B473)*$B$4:$B$810)),'Guide &amp; Settings'!$C$50))/7-'Guide &amp; Settings'!$C$48,0)*'Guide &amp; Settings'!$C$49))</f>
      </c>
    </row>
    <row r="474" spans="1:29">
      <c r="A474" s="116"/>
      <c r="B474" s="117"/>
      <c r="C474" s="118"/>
      <c r="D474" s="118"/>
      <c r="E474" s="116"/>
      <c r="F474" s="119">
        <f>IF($D474="",0,COUNTIF($A$4:$A$810,$A474))</f>
        <v>0</v>
      </c>
      <c r="G474" s="120">
        <f>IF($D474="","",IFERROR(LOOKUP(2,1/(($A$4:$A$810=$A474)*($E$4:$E$810="Win")),$D$4:$D$810),"(no winner)"))</f>
        <v>0</v>
      </c>
      <c r="H474" s="121">
        <f>IF($D474="",0,IFERROR(LOOKUP(2,1/(($D$3:D473=$D474)*($A$3:A473&lt;$A474)),$N$3:N473),'Guide &amp; Settings'!$C$41))</f>
        <v>0</v>
      </c>
      <c r="I474" s="122">
        <f>IF($D474="",0,IF($S474=0,0,$R474/$S474))</f>
        <v>0</v>
      </c>
      <c r="J474" s="123">
        <f>IF($D474="",0,IF($F474&lt;2,0,IF($E474="Win",('Guide &amp; Settings'!$C$42/(($F474-1)*COUNTIFS($A$4:$A$810,$A474,$E$4:$E$810,"Win")))*SUMIFS($X$4:$X$810,$A$4:$A$810,$A474,$E$4:$E$810,"Loss"),-('Guide &amp; Settings'!$C$42/($F474-1))*$X474)))</f>
        <v>0</v>
      </c>
      <c r="K474" s="123">
        <f>IF($D474="",0,'Guide &amp; Settings'!$C$43*(IF($E474="Win",1,0)-$I474))</f>
        <v>0</v>
      </c>
      <c r="L474" s="124">
        <f>IF($D474="",0,'Guide &amp; Settings'!$C$44*IF($F474&gt;=3,$F474+IF($E474="Win",$F474,0),0))</f>
        <v>0</v>
      </c>
      <c r="M474" s="123">
        <f>IF($D474="",0,$J474+$K474+$L474)</f>
        <v>0</v>
      </c>
      <c r="N474" s="121">
        <f>IF($D474="",0,$H474+$M474)</f>
        <v>0</v>
      </c>
      <c r="O474" s="120" t="str">
        <f>IF($D474="","",IF(COUNTIFS($A$4:$A$810,$A474,$E$4:$E$810,"Win")=0,"need a winner",IF(COUNTIFS($A$4:$A$810,$A474,$E$4:$E$810,"Loss")=0,"need a loser",IF(COUNTIFS($A$4:$A$810,$A474,$D$4:$D$810,$D474)&gt;1,"duplicate player","OK"))))</f>
      </c>
      <c r="P474">
        <f>IF($D474="",0,IFERROR(SUMIFS($H$4:$H$810,$A$4:$A$810,$A474,$E$4:$E$810,"Win")/COUNTIFS($A$4:$A$810,$A474,$E$4:$E$810,"Win"),0))</f>
        <v>0</v>
      </c>
      <c r="Q474">
        <f>IF($D474="",0,1/(1+10^(($P474-$H474)/400)))</f>
        <v>0</v>
      </c>
      <c r="R474">
        <f>IF($D474="",0,(COUNTIFS($D$4:$D$810,$D474,$C$4:$C$810,$C474,$E$4:$E$810,"Win",$A$4:$A$810,"&lt;"&amp;$A474)+1)/(COUNTIFS($D$4:$D$810,$D474,$C$4:$C$810,$C474,$A$4:$A$810,"&lt;"&amp;$A474)+2))</f>
        <v>0</v>
      </c>
      <c r="S474">
        <f>IF($D474="",0,SUMIFS($R$4:$R$810,$A$4:$A$810,$A474))</f>
        <v>0</v>
      </c>
      <c r="T474" s="88">
        <f>IF($D474="",0,COUNTIFS($D$4:$D$810,$D474,$C$4:$C$810,$C474,$A$4:$A$810,"&lt;"&amp;$A474))</f>
        <v>0</v>
      </c>
      <c r="U474" s="125">
        <f>IF($D474="",0,IFERROR(LOOKUP(2,1/(($D$3:D473=$D474)*($C$3:C473=$C474)*($A$3:A473&lt;$A474)),$AB$3:AB473),1000))</f>
        <v>0</v>
      </c>
      <c r="V474" s="125">
        <f>IF($D474="",0,$U474*($T474/($T474+5))+$H474*(1-$T474/($T474+5)))</f>
        <v>0</v>
      </c>
      <c r="W474">
        <f>IF($D474="",0,IFERROR(SUMIFS($V$4:$V$810,$A$4:$A$810,$A474,$E$4:$E$810,"Win")/COUNTIFS($A$4:$A$810,$A474,$E$4:$E$810,"Win"),0))</f>
        <v>0</v>
      </c>
      <c r="X474">
        <f>IF($D474="",0,1/(1+10^(($W474-$V474)/400)))</f>
        <v>0</v>
      </c>
      <c r="Y474">
        <f>IF($D474="",0,IFERROR(SUMIFS($U$4:$U$810,$A$4:$A$810,$A474,$E$4:$E$810,"Win")/COUNTIFS($A$4:$A$810,$A474,$E$4:$E$810,"Win"),0))</f>
        <v>0</v>
      </c>
      <c r="Z474">
        <f>IF($D474="",0,1/(1+10^(($Y474-$U474)/400)))</f>
        <v>0</v>
      </c>
      <c r="AA474">
        <f>IF($D474="",0,IF($F474&lt;2,0,IF($E474="Win",('Guide &amp; Settings'!$C$42/(($F474-1)*COUNTIFS($A$4:$A$810,$A474,$E$4:$E$810,"Win")))*SUMIFS($Z$4:$Z$810,$A$4:$A$810,$A474,$E$4:$E$810,"Loss"),-('Guide &amp; Settings'!$C$42/($F474-1))*$Z474)))</f>
        <v>0</v>
      </c>
      <c r="AB474" s="125">
        <f>IF($D474="",0,$U474+$AA474)</f>
        <v>0</v>
      </c>
      <c r="AC474" s="125" t="str">
        <f>IF($D474="","",IF(SUMPRODUCT(MAX(($D$4:$D$810=$D474)*($B$4:$B$810&lt;$B474)*$B$4:$B$810))=0,0,MAX(($B474-MAX(SUMPRODUCT(MAX(($D$4:$D$810=$D474)*($B$4:$B$810&lt;$B474)*$B$4:$B$810)),'Guide &amp; Settings'!$C$50))/7-'Guide &amp; Settings'!$C$48,0)*'Guide &amp; Settings'!$C$49))</f>
      </c>
    </row>
    <row r="475" spans="1:29">
      <c r="A475" s="116"/>
      <c r="B475" s="117"/>
      <c r="C475" s="118"/>
      <c r="D475" s="118"/>
      <c r="E475" s="116"/>
      <c r="F475" s="119">
        <f>IF($D475="",0,COUNTIF($A$4:$A$810,$A475))</f>
        <v>0</v>
      </c>
      <c r="G475" s="120">
        <f>IF($D475="","",IFERROR(LOOKUP(2,1/(($A$4:$A$810=$A475)*($E$4:$E$810="Win")),$D$4:$D$810),"(no winner)"))</f>
        <v>0</v>
      </c>
      <c r="H475" s="121">
        <f>IF($D475="",0,IFERROR(LOOKUP(2,1/(($D$3:D474=$D475)*($A$3:A474&lt;$A475)),$N$3:N474),'Guide &amp; Settings'!$C$41))</f>
        <v>0</v>
      </c>
      <c r="I475" s="122">
        <f>IF($D475="",0,IF($S475=0,0,$R475/$S475))</f>
        <v>0</v>
      </c>
      <c r="J475" s="123">
        <f>IF($D475="",0,IF($F475&lt;2,0,IF($E475="Win",('Guide &amp; Settings'!$C$42/(($F475-1)*COUNTIFS($A$4:$A$810,$A475,$E$4:$E$810,"Win")))*SUMIFS($X$4:$X$810,$A$4:$A$810,$A475,$E$4:$E$810,"Loss"),-('Guide &amp; Settings'!$C$42/($F475-1))*$X475)))</f>
        <v>0</v>
      </c>
      <c r="K475" s="123">
        <f>IF($D475="",0,'Guide &amp; Settings'!$C$43*(IF($E475="Win",1,0)-$I475))</f>
        <v>0</v>
      </c>
      <c r="L475" s="124">
        <f>IF($D475="",0,'Guide &amp; Settings'!$C$44*IF($F475&gt;=3,$F475+IF($E475="Win",$F475,0),0))</f>
        <v>0</v>
      </c>
      <c r="M475" s="123">
        <f>IF($D475="",0,$J475+$K475+$L475)</f>
        <v>0</v>
      </c>
      <c r="N475" s="121">
        <f>IF($D475="",0,$H475+$M475)</f>
        <v>0</v>
      </c>
      <c r="O475" s="120" t="str">
        <f>IF($D475="","",IF(COUNTIFS($A$4:$A$810,$A475,$E$4:$E$810,"Win")=0,"need a winner",IF(COUNTIFS($A$4:$A$810,$A475,$E$4:$E$810,"Loss")=0,"need a loser",IF(COUNTIFS($A$4:$A$810,$A475,$D$4:$D$810,$D475)&gt;1,"duplicate player","OK"))))</f>
      </c>
      <c r="P475">
        <f>IF($D475="",0,IFERROR(SUMIFS($H$4:$H$810,$A$4:$A$810,$A475,$E$4:$E$810,"Win")/COUNTIFS($A$4:$A$810,$A475,$E$4:$E$810,"Win"),0))</f>
        <v>0</v>
      </c>
      <c r="Q475">
        <f>IF($D475="",0,1/(1+10^(($P475-$H475)/400)))</f>
        <v>0</v>
      </c>
      <c r="R475">
        <f>IF($D475="",0,(COUNTIFS($D$4:$D$810,$D475,$C$4:$C$810,$C475,$E$4:$E$810,"Win",$A$4:$A$810,"&lt;"&amp;$A475)+1)/(COUNTIFS($D$4:$D$810,$D475,$C$4:$C$810,$C475,$A$4:$A$810,"&lt;"&amp;$A475)+2))</f>
        <v>0</v>
      </c>
      <c r="S475">
        <f>IF($D475="",0,SUMIFS($R$4:$R$810,$A$4:$A$810,$A475))</f>
        <v>0</v>
      </c>
      <c r="T475" s="88">
        <f>IF($D475="",0,COUNTIFS($D$4:$D$810,$D475,$C$4:$C$810,$C475,$A$4:$A$810,"&lt;"&amp;$A475))</f>
        <v>0</v>
      </c>
      <c r="U475" s="125">
        <f>IF($D475="",0,IFERROR(LOOKUP(2,1/(($D$3:D474=$D475)*($C$3:C474=$C475)*($A$3:A474&lt;$A475)),$AB$3:AB474),1000))</f>
        <v>0</v>
      </c>
      <c r="V475" s="125">
        <f>IF($D475="",0,$U475*($T475/($T475+5))+$H475*(1-$T475/($T475+5)))</f>
        <v>0</v>
      </c>
      <c r="W475">
        <f>IF($D475="",0,IFERROR(SUMIFS($V$4:$V$810,$A$4:$A$810,$A475,$E$4:$E$810,"Win")/COUNTIFS($A$4:$A$810,$A475,$E$4:$E$810,"Win"),0))</f>
        <v>0</v>
      </c>
      <c r="X475">
        <f>IF($D475="",0,1/(1+10^(($W475-$V475)/400)))</f>
        <v>0</v>
      </c>
      <c r="Y475">
        <f>IF($D475="",0,IFERROR(SUMIFS($U$4:$U$810,$A$4:$A$810,$A475,$E$4:$E$810,"Win")/COUNTIFS($A$4:$A$810,$A475,$E$4:$E$810,"Win"),0))</f>
        <v>0</v>
      </c>
      <c r="Z475">
        <f>IF($D475="",0,1/(1+10^(($Y475-$U475)/400)))</f>
        <v>0</v>
      </c>
      <c r="AA475">
        <f>IF($D475="",0,IF($F475&lt;2,0,IF($E475="Win",('Guide &amp; Settings'!$C$42/(($F475-1)*COUNTIFS($A$4:$A$810,$A475,$E$4:$E$810,"Win")))*SUMIFS($Z$4:$Z$810,$A$4:$A$810,$A475,$E$4:$E$810,"Loss"),-('Guide &amp; Settings'!$C$42/($F475-1))*$Z475)))</f>
        <v>0</v>
      </c>
      <c r="AB475" s="125">
        <f>IF($D475="",0,$U475+$AA475)</f>
        <v>0</v>
      </c>
      <c r="AC475" s="125" t="str">
        <f>IF($D475="","",IF(SUMPRODUCT(MAX(($D$4:$D$810=$D475)*($B$4:$B$810&lt;$B475)*$B$4:$B$810))=0,0,MAX(($B475-MAX(SUMPRODUCT(MAX(($D$4:$D$810=$D475)*($B$4:$B$810&lt;$B475)*$B$4:$B$810)),'Guide &amp; Settings'!$C$50))/7-'Guide &amp; Settings'!$C$48,0)*'Guide &amp; Settings'!$C$49))</f>
      </c>
    </row>
    <row r="476" spans="1:29">
      <c r="A476" s="116"/>
      <c r="B476" s="117"/>
      <c r="C476" s="118"/>
      <c r="D476" s="118"/>
      <c r="E476" s="116"/>
      <c r="F476" s="119">
        <f>IF($D476="",0,COUNTIF($A$4:$A$810,$A476))</f>
        <v>0</v>
      </c>
      <c r="G476" s="120">
        <f>IF($D476="","",IFERROR(LOOKUP(2,1/(($A$4:$A$810=$A476)*($E$4:$E$810="Win")),$D$4:$D$810),"(no winner)"))</f>
        <v>0</v>
      </c>
      <c r="H476" s="121">
        <f>IF($D476="",0,IFERROR(LOOKUP(2,1/(($D$3:D475=$D476)*($A$3:A475&lt;$A476)),$N$3:N475),'Guide &amp; Settings'!$C$41))</f>
        <v>0</v>
      </c>
      <c r="I476" s="122">
        <f>IF($D476="",0,IF($S476=0,0,$R476/$S476))</f>
        <v>0</v>
      </c>
      <c r="J476" s="123">
        <f>IF($D476="",0,IF($F476&lt;2,0,IF($E476="Win",('Guide &amp; Settings'!$C$42/(($F476-1)*COUNTIFS($A$4:$A$810,$A476,$E$4:$E$810,"Win")))*SUMIFS($X$4:$X$810,$A$4:$A$810,$A476,$E$4:$E$810,"Loss"),-('Guide &amp; Settings'!$C$42/($F476-1))*$X476)))</f>
        <v>0</v>
      </c>
      <c r="K476" s="123">
        <f>IF($D476="",0,'Guide &amp; Settings'!$C$43*(IF($E476="Win",1,0)-$I476))</f>
        <v>0</v>
      </c>
      <c r="L476" s="124">
        <f>IF($D476="",0,'Guide &amp; Settings'!$C$44*IF($F476&gt;=3,$F476+IF($E476="Win",$F476,0),0))</f>
        <v>0</v>
      </c>
      <c r="M476" s="123">
        <f>IF($D476="",0,$J476+$K476+$L476)</f>
        <v>0</v>
      </c>
      <c r="N476" s="121">
        <f>IF($D476="",0,$H476+$M476)</f>
        <v>0</v>
      </c>
      <c r="O476" s="120" t="str">
        <f>IF($D476="","",IF(COUNTIFS($A$4:$A$810,$A476,$E$4:$E$810,"Win")=0,"need a winner",IF(COUNTIFS($A$4:$A$810,$A476,$E$4:$E$810,"Loss")=0,"need a loser",IF(COUNTIFS($A$4:$A$810,$A476,$D$4:$D$810,$D476)&gt;1,"duplicate player","OK"))))</f>
      </c>
      <c r="P476">
        <f>IF($D476="",0,IFERROR(SUMIFS($H$4:$H$810,$A$4:$A$810,$A476,$E$4:$E$810,"Win")/COUNTIFS($A$4:$A$810,$A476,$E$4:$E$810,"Win"),0))</f>
        <v>0</v>
      </c>
      <c r="Q476">
        <f>IF($D476="",0,1/(1+10^(($P476-$H476)/400)))</f>
        <v>0</v>
      </c>
      <c r="R476">
        <f>IF($D476="",0,(COUNTIFS($D$4:$D$810,$D476,$C$4:$C$810,$C476,$E$4:$E$810,"Win",$A$4:$A$810,"&lt;"&amp;$A476)+1)/(COUNTIFS($D$4:$D$810,$D476,$C$4:$C$810,$C476,$A$4:$A$810,"&lt;"&amp;$A476)+2))</f>
        <v>0</v>
      </c>
      <c r="S476">
        <f>IF($D476="",0,SUMIFS($R$4:$R$810,$A$4:$A$810,$A476))</f>
        <v>0</v>
      </c>
      <c r="T476" s="88">
        <f>IF($D476="",0,COUNTIFS($D$4:$D$810,$D476,$C$4:$C$810,$C476,$A$4:$A$810,"&lt;"&amp;$A476))</f>
        <v>0</v>
      </c>
      <c r="U476" s="125">
        <f>IF($D476="",0,IFERROR(LOOKUP(2,1/(($D$3:D475=$D476)*($C$3:C475=$C476)*($A$3:A475&lt;$A476)),$AB$3:AB475),1000))</f>
        <v>0</v>
      </c>
      <c r="V476" s="125">
        <f>IF($D476="",0,$U476*($T476/($T476+5))+$H476*(1-$T476/($T476+5)))</f>
        <v>0</v>
      </c>
      <c r="W476">
        <f>IF($D476="",0,IFERROR(SUMIFS($V$4:$V$810,$A$4:$A$810,$A476,$E$4:$E$810,"Win")/COUNTIFS($A$4:$A$810,$A476,$E$4:$E$810,"Win"),0))</f>
        <v>0</v>
      </c>
      <c r="X476">
        <f>IF($D476="",0,1/(1+10^(($W476-$V476)/400)))</f>
        <v>0</v>
      </c>
      <c r="Y476">
        <f>IF($D476="",0,IFERROR(SUMIFS($U$4:$U$810,$A$4:$A$810,$A476,$E$4:$E$810,"Win")/COUNTIFS($A$4:$A$810,$A476,$E$4:$E$810,"Win"),0))</f>
        <v>0</v>
      </c>
      <c r="Z476">
        <f>IF($D476="",0,1/(1+10^(($Y476-$U476)/400)))</f>
        <v>0</v>
      </c>
      <c r="AA476">
        <f>IF($D476="",0,IF($F476&lt;2,0,IF($E476="Win",('Guide &amp; Settings'!$C$42/(($F476-1)*COUNTIFS($A$4:$A$810,$A476,$E$4:$E$810,"Win")))*SUMIFS($Z$4:$Z$810,$A$4:$A$810,$A476,$E$4:$E$810,"Loss"),-('Guide &amp; Settings'!$C$42/($F476-1))*$Z476)))</f>
        <v>0</v>
      </c>
      <c r="AB476" s="125">
        <f>IF($D476="",0,$U476+$AA476)</f>
        <v>0</v>
      </c>
      <c r="AC476" s="125" t="str">
        <f>IF($D476="","",IF(SUMPRODUCT(MAX(($D$4:$D$810=$D476)*($B$4:$B$810&lt;$B476)*$B$4:$B$810))=0,0,MAX(($B476-MAX(SUMPRODUCT(MAX(($D$4:$D$810=$D476)*($B$4:$B$810&lt;$B476)*$B$4:$B$810)),'Guide &amp; Settings'!$C$50))/7-'Guide &amp; Settings'!$C$48,0)*'Guide &amp; Settings'!$C$49))</f>
      </c>
    </row>
    <row r="477" spans="1:29">
      <c r="A477" s="116"/>
      <c r="B477" s="117"/>
      <c r="C477" s="118"/>
      <c r="D477" s="118"/>
      <c r="E477" s="116"/>
      <c r="F477" s="119">
        <f>IF($D477="",0,COUNTIF($A$4:$A$810,$A477))</f>
        <v>0</v>
      </c>
      <c r="G477" s="120">
        <f>IF($D477="","",IFERROR(LOOKUP(2,1/(($A$4:$A$810=$A477)*($E$4:$E$810="Win")),$D$4:$D$810),"(no winner)"))</f>
        <v>0</v>
      </c>
      <c r="H477" s="121">
        <f>IF($D477="",0,IFERROR(LOOKUP(2,1/(($D$3:D476=$D477)*($A$3:A476&lt;$A477)),$N$3:N476),'Guide &amp; Settings'!$C$41))</f>
        <v>0</v>
      </c>
      <c r="I477" s="122">
        <f>IF($D477="",0,IF($S477=0,0,$R477/$S477))</f>
        <v>0</v>
      </c>
      <c r="J477" s="123">
        <f>IF($D477="",0,IF($F477&lt;2,0,IF($E477="Win",('Guide &amp; Settings'!$C$42/(($F477-1)*COUNTIFS($A$4:$A$810,$A477,$E$4:$E$810,"Win")))*SUMIFS($X$4:$X$810,$A$4:$A$810,$A477,$E$4:$E$810,"Loss"),-('Guide &amp; Settings'!$C$42/($F477-1))*$X477)))</f>
        <v>0</v>
      </c>
      <c r="K477" s="123">
        <f>IF($D477="",0,'Guide &amp; Settings'!$C$43*(IF($E477="Win",1,0)-$I477))</f>
        <v>0</v>
      </c>
      <c r="L477" s="124">
        <f>IF($D477="",0,'Guide &amp; Settings'!$C$44*IF($F477&gt;=3,$F477+IF($E477="Win",$F477,0),0))</f>
        <v>0</v>
      </c>
      <c r="M477" s="123">
        <f>IF($D477="",0,$J477+$K477+$L477)</f>
        <v>0</v>
      </c>
      <c r="N477" s="121">
        <f>IF($D477="",0,$H477+$M477)</f>
        <v>0</v>
      </c>
      <c r="O477" s="120" t="str">
        <f>IF($D477="","",IF(COUNTIFS($A$4:$A$810,$A477,$E$4:$E$810,"Win")=0,"need a winner",IF(COUNTIFS($A$4:$A$810,$A477,$E$4:$E$810,"Loss")=0,"need a loser",IF(COUNTIFS($A$4:$A$810,$A477,$D$4:$D$810,$D477)&gt;1,"duplicate player","OK"))))</f>
      </c>
      <c r="P477">
        <f>IF($D477="",0,IFERROR(SUMIFS($H$4:$H$810,$A$4:$A$810,$A477,$E$4:$E$810,"Win")/COUNTIFS($A$4:$A$810,$A477,$E$4:$E$810,"Win"),0))</f>
        <v>0</v>
      </c>
      <c r="Q477">
        <f>IF($D477="",0,1/(1+10^(($P477-$H477)/400)))</f>
        <v>0</v>
      </c>
      <c r="R477">
        <f>IF($D477="",0,(COUNTIFS($D$4:$D$810,$D477,$C$4:$C$810,$C477,$E$4:$E$810,"Win",$A$4:$A$810,"&lt;"&amp;$A477)+1)/(COUNTIFS($D$4:$D$810,$D477,$C$4:$C$810,$C477,$A$4:$A$810,"&lt;"&amp;$A477)+2))</f>
        <v>0</v>
      </c>
      <c r="S477">
        <f>IF($D477="",0,SUMIFS($R$4:$R$810,$A$4:$A$810,$A477))</f>
        <v>0</v>
      </c>
      <c r="T477" s="88">
        <f>IF($D477="",0,COUNTIFS($D$4:$D$810,$D477,$C$4:$C$810,$C477,$A$4:$A$810,"&lt;"&amp;$A477))</f>
        <v>0</v>
      </c>
      <c r="U477" s="125">
        <f>IF($D477="",0,IFERROR(LOOKUP(2,1/(($D$3:D476=$D477)*($C$3:C476=$C477)*($A$3:A476&lt;$A477)),$AB$3:AB476),1000))</f>
        <v>0</v>
      </c>
      <c r="V477" s="125">
        <f>IF($D477="",0,$U477*($T477/($T477+5))+$H477*(1-$T477/($T477+5)))</f>
        <v>0</v>
      </c>
      <c r="W477">
        <f>IF($D477="",0,IFERROR(SUMIFS($V$4:$V$810,$A$4:$A$810,$A477,$E$4:$E$810,"Win")/COUNTIFS($A$4:$A$810,$A477,$E$4:$E$810,"Win"),0))</f>
        <v>0</v>
      </c>
      <c r="X477">
        <f>IF($D477="",0,1/(1+10^(($W477-$V477)/400)))</f>
        <v>0</v>
      </c>
      <c r="Y477">
        <f>IF($D477="",0,IFERROR(SUMIFS($U$4:$U$810,$A$4:$A$810,$A477,$E$4:$E$810,"Win")/COUNTIFS($A$4:$A$810,$A477,$E$4:$E$810,"Win"),0))</f>
        <v>0</v>
      </c>
      <c r="Z477">
        <f>IF($D477="",0,1/(1+10^(($Y477-$U477)/400)))</f>
        <v>0</v>
      </c>
      <c r="AA477">
        <f>IF($D477="",0,IF($F477&lt;2,0,IF($E477="Win",('Guide &amp; Settings'!$C$42/(($F477-1)*COUNTIFS($A$4:$A$810,$A477,$E$4:$E$810,"Win")))*SUMIFS($Z$4:$Z$810,$A$4:$A$810,$A477,$E$4:$E$810,"Loss"),-('Guide &amp; Settings'!$C$42/($F477-1))*$Z477)))</f>
        <v>0</v>
      </c>
      <c r="AB477" s="125">
        <f>IF($D477="",0,$U477+$AA477)</f>
        <v>0</v>
      </c>
      <c r="AC477" s="125" t="str">
        <f>IF($D477="","",IF(SUMPRODUCT(MAX(($D$4:$D$810=$D477)*($B$4:$B$810&lt;$B477)*$B$4:$B$810))=0,0,MAX(($B477-MAX(SUMPRODUCT(MAX(($D$4:$D$810=$D477)*($B$4:$B$810&lt;$B477)*$B$4:$B$810)),'Guide &amp; Settings'!$C$50))/7-'Guide &amp; Settings'!$C$48,0)*'Guide &amp; Settings'!$C$49))</f>
      </c>
    </row>
    <row r="478" spans="1:29">
      <c r="A478" s="116"/>
      <c r="B478" s="117"/>
      <c r="C478" s="118"/>
      <c r="D478" s="118"/>
      <c r="E478" s="116"/>
      <c r="F478" s="119">
        <f>IF($D478="",0,COUNTIF($A$4:$A$810,$A478))</f>
        <v>0</v>
      </c>
      <c r="G478" s="120">
        <f>IF($D478="","",IFERROR(LOOKUP(2,1/(($A$4:$A$810=$A478)*($E$4:$E$810="Win")),$D$4:$D$810),"(no winner)"))</f>
        <v>0</v>
      </c>
      <c r="H478" s="121">
        <f>IF($D478="",0,IFERROR(LOOKUP(2,1/(($D$3:D477=$D478)*($A$3:A477&lt;$A478)),$N$3:N477),'Guide &amp; Settings'!$C$41))</f>
        <v>0</v>
      </c>
      <c r="I478" s="122">
        <f>IF($D478="",0,IF($S478=0,0,$R478/$S478))</f>
        <v>0</v>
      </c>
      <c r="J478" s="123">
        <f>IF($D478="",0,IF($F478&lt;2,0,IF($E478="Win",('Guide &amp; Settings'!$C$42/(($F478-1)*COUNTIFS($A$4:$A$810,$A478,$E$4:$E$810,"Win")))*SUMIFS($X$4:$X$810,$A$4:$A$810,$A478,$E$4:$E$810,"Loss"),-('Guide &amp; Settings'!$C$42/($F478-1))*$X478)))</f>
        <v>0</v>
      </c>
      <c r="K478" s="123">
        <f>IF($D478="",0,'Guide &amp; Settings'!$C$43*(IF($E478="Win",1,0)-$I478))</f>
        <v>0</v>
      </c>
      <c r="L478" s="124">
        <f>IF($D478="",0,'Guide &amp; Settings'!$C$44*IF($F478&gt;=3,$F478+IF($E478="Win",$F478,0),0))</f>
        <v>0</v>
      </c>
      <c r="M478" s="123">
        <f>IF($D478="",0,$J478+$K478+$L478)</f>
        <v>0</v>
      </c>
      <c r="N478" s="121">
        <f>IF($D478="",0,$H478+$M478)</f>
        <v>0</v>
      </c>
      <c r="O478" s="120" t="str">
        <f>IF($D478="","",IF(COUNTIFS($A$4:$A$810,$A478,$E$4:$E$810,"Win")=0,"need a winner",IF(COUNTIFS($A$4:$A$810,$A478,$E$4:$E$810,"Loss")=0,"need a loser",IF(COUNTIFS($A$4:$A$810,$A478,$D$4:$D$810,$D478)&gt;1,"duplicate player","OK"))))</f>
      </c>
      <c r="P478">
        <f>IF($D478="",0,IFERROR(SUMIFS($H$4:$H$810,$A$4:$A$810,$A478,$E$4:$E$810,"Win")/COUNTIFS($A$4:$A$810,$A478,$E$4:$E$810,"Win"),0))</f>
        <v>0</v>
      </c>
      <c r="Q478">
        <f>IF($D478="",0,1/(1+10^(($P478-$H478)/400)))</f>
        <v>0</v>
      </c>
      <c r="R478">
        <f>IF($D478="",0,(COUNTIFS($D$4:$D$810,$D478,$C$4:$C$810,$C478,$E$4:$E$810,"Win",$A$4:$A$810,"&lt;"&amp;$A478)+1)/(COUNTIFS($D$4:$D$810,$D478,$C$4:$C$810,$C478,$A$4:$A$810,"&lt;"&amp;$A478)+2))</f>
        <v>0</v>
      </c>
      <c r="S478">
        <f>IF($D478="",0,SUMIFS($R$4:$R$810,$A$4:$A$810,$A478))</f>
        <v>0</v>
      </c>
      <c r="T478" s="88">
        <f>IF($D478="",0,COUNTIFS($D$4:$D$810,$D478,$C$4:$C$810,$C478,$A$4:$A$810,"&lt;"&amp;$A478))</f>
        <v>0</v>
      </c>
      <c r="U478" s="125">
        <f>IF($D478="",0,IFERROR(LOOKUP(2,1/(($D$3:D477=$D478)*($C$3:C477=$C478)*($A$3:A477&lt;$A478)),$AB$3:AB477),1000))</f>
        <v>0</v>
      </c>
      <c r="V478" s="125">
        <f>IF($D478="",0,$U478*($T478/($T478+5))+$H478*(1-$T478/($T478+5)))</f>
        <v>0</v>
      </c>
      <c r="W478">
        <f>IF($D478="",0,IFERROR(SUMIFS($V$4:$V$810,$A$4:$A$810,$A478,$E$4:$E$810,"Win")/COUNTIFS($A$4:$A$810,$A478,$E$4:$E$810,"Win"),0))</f>
        <v>0</v>
      </c>
      <c r="X478">
        <f>IF($D478="",0,1/(1+10^(($W478-$V478)/400)))</f>
        <v>0</v>
      </c>
      <c r="Y478">
        <f>IF($D478="",0,IFERROR(SUMIFS($U$4:$U$810,$A$4:$A$810,$A478,$E$4:$E$810,"Win")/COUNTIFS($A$4:$A$810,$A478,$E$4:$E$810,"Win"),0))</f>
        <v>0</v>
      </c>
      <c r="Z478">
        <f>IF($D478="",0,1/(1+10^(($Y478-$U478)/400)))</f>
        <v>0</v>
      </c>
      <c r="AA478">
        <f>IF($D478="",0,IF($F478&lt;2,0,IF($E478="Win",('Guide &amp; Settings'!$C$42/(($F478-1)*COUNTIFS($A$4:$A$810,$A478,$E$4:$E$810,"Win")))*SUMIFS($Z$4:$Z$810,$A$4:$A$810,$A478,$E$4:$E$810,"Loss"),-('Guide &amp; Settings'!$C$42/($F478-1))*$Z478)))</f>
        <v>0</v>
      </c>
      <c r="AB478" s="125">
        <f>IF($D478="",0,$U478+$AA478)</f>
        <v>0</v>
      </c>
      <c r="AC478" s="125" t="str">
        <f>IF($D478="","",IF(SUMPRODUCT(MAX(($D$4:$D$810=$D478)*($B$4:$B$810&lt;$B478)*$B$4:$B$810))=0,0,MAX(($B478-MAX(SUMPRODUCT(MAX(($D$4:$D$810=$D478)*($B$4:$B$810&lt;$B478)*$B$4:$B$810)),'Guide &amp; Settings'!$C$50))/7-'Guide &amp; Settings'!$C$48,0)*'Guide &amp; Settings'!$C$49))</f>
      </c>
    </row>
    <row r="479" spans="1:29">
      <c r="A479" s="116"/>
      <c r="B479" s="117"/>
      <c r="C479" s="118"/>
      <c r="D479" s="118"/>
      <c r="E479" s="116"/>
      <c r="F479" s="119">
        <f>IF($D479="",0,COUNTIF($A$4:$A$810,$A479))</f>
        <v>0</v>
      </c>
      <c r="G479" s="120">
        <f>IF($D479="","",IFERROR(LOOKUP(2,1/(($A$4:$A$810=$A479)*($E$4:$E$810="Win")),$D$4:$D$810),"(no winner)"))</f>
        <v>0</v>
      </c>
      <c r="H479" s="121">
        <f>IF($D479="",0,IFERROR(LOOKUP(2,1/(($D$3:D478=$D479)*($A$3:A478&lt;$A479)),$N$3:N478),'Guide &amp; Settings'!$C$41))</f>
        <v>0</v>
      </c>
      <c r="I479" s="122">
        <f>IF($D479="",0,IF($S479=0,0,$R479/$S479))</f>
        <v>0</v>
      </c>
      <c r="J479" s="123">
        <f>IF($D479="",0,IF($F479&lt;2,0,IF($E479="Win",('Guide &amp; Settings'!$C$42/(($F479-1)*COUNTIFS($A$4:$A$810,$A479,$E$4:$E$810,"Win")))*SUMIFS($X$4:$X$810,$A$4:$A$810,$A479,$E$4:$E$810,"Loss"),-('Guide &amp; Settings'!$C$42/($F479-1))*$X479)))</f>
        <v>0</v>
      </c>
      <c r="K479" s="123">
        <f>IF($D479="",0,'Guide &amp; Settings'!$C$43*(IF($E479="Win",1,0)-$I479))</f>
        <v>0</v>
      </c>
      <c r="L479" s="124">
        <f>IF($D479="",0,'Guide &amp; Settings'!$C$44*IF($F479&gt;=3,$F479+IF($E479="Win",$F479,0),0))</f>
        <v>0</v>
      </c>
      <c r="M479" s="123">
        <f>IF($D479="",0,$J479+$K479+$L479)</f>
        <v>0</v>
      </c>
      <c r="N479" s="121">
        <f>IF($D479="",0,$H479+$M479)</f>
        <v>0</v>
      </c>
      <c r="O479" s="120" t="str">
        <f>IF($D479="","",IF(COUNTIFS($A$4:$A$810,$A479,$E$4:$E$810,"Win")=0,"need a winner",IF(COUNTIFS($A$4:$A$810,$A479,$E$4:$E$810,"Loss")=0,"need a loser",IF(COUNTIFS($A$4:$A$810,$A479,$D$4:$D$810,$D479)&gt;1,"duplicate player","OK"))))</f>
      </c>
      <c r="P479">
        <f>IF($D479="",0,IFERROR(SUMIFS($H$4:$H$810,$A$4:$A$810,$A479,$E$4:$E$810,"Win")/COUNTIFS($A$4:$A$810,$A479,$E$4:$E$810,"Win"),0))</f>
        <v>0</v>
      </c>
      <c r="Q479">
        <f>IF($D479="",0,1/(1+10^(($P479-$H479)/400)))</f>
        <v>0</v>
      </c>
      <c r="R479">
        <f>IF($D479="",0,(COUNTIFS($D$4:$D$810,$D479,$C$4:$C$810,$C479,$E$4:$E$810,"Win",$A$4:$A$810,"&lt;"&amp;$A479)+1)/(COUNTIFS($D$4:$D$810,$D479,$C$4:$C$810,$C479,$A$4:$A$810,"&lt;"&amp;$A479)+2))</f>
        <v>0</v>
      </c>
      <c r="S479">
        <f>IF($D479="",0,SUMIFS($R$4:$R$810,$A$4:$A$810,$A479))</f>
        <v>0</v>
      </c>
      <c r="T479" s="88">
        <f>IF($D479="",0,COUNTIFS($D$4:$D$810,$D479,$C$4:$C$810,$C479,$A$4:$A$810,"&lt;"&amp;$A479))</f>
        <v>0</v>
      </c>
      <c r="U479" s="125">
        <f>IF($D479="",0,IFERROR(LOOKUP(2,1/(($D$3:D478=$D479)*($C$3:C478=$C479)*($A$3:A478&lt;$A479)),$AB$3:AB478),1000))</f>
        <v>0</v>
      </c>
      <c r="V479" s="125">
        <f>IF($D479="",0,$U479*($T479/($T479+5))+$H479*(1-$T479/($T479+5)))</f>
        <v>0</v>
      </c>
      <c r="W479">
        <f>IF($D479="",0,IFERROR(SUMIFS($V$4:$V$810,$A$4:$A$810,$A479,$E$4:$E$810,"Win")/COUNTIFS($A$4:$A$810,$A479,$E$4:$E$810,"Win"),0))</f>
        <v>0</v>
      </c>
      <c r="X479">
        <f>IF($D479="",0,1/(1+10^(($W479-$V479)/400)))</f>
        <v>0</v>
      </c>
      <c r="Y479">
        <f>IF($D479="",0,IFERROR(SUMIFS($U$4:$U$810,$A$4:$A$810,$A479,$E$4:$E$810,"Win")/COUNTIFS($A$4:$A$810,$A479,$E$4:$E$810,"Win"),0))</f>
        <v>0</v>
      </c>
      <c r="Z479">
        <f>IF($D479="",0,1/(1+10^(($Y479-$U479)/400)))</f>
        <v>0</v>
      </c>
      <c r="AA479">
        <f>IF($D479="",0,IF($F479&lt;2,0,IF($E479="Win",('Guide &amp; Settings'!$C$42/(($F479-1)*COUNTIFS($A$4:$A$810,$A479,$E$4:$E$810,"Win")))*SUMIFS($Z$4:$Z$810,$A$4:$A$810,$A479,$E$4:$E$810,"Loss"),-('Guide &amp; Settings'!$C$42/($F479-1))*$Z479)))</f>
        <v>0</v>
      </c>
      <c r="AB479" s="125">
        <f>IF($D479="",0,$U479+$AA479)</f>
        <v>0</v>
      </c>
      <c r="AC479" s="125" t="str">
        <f>IF($D479="","",IF(SUMPRODUCT(MAX(($D$4:$D$810=$D479)*($B$4:$B$810&lt;$B479)*$B$4:$B$810))=0,0,MAX(($B479-MAX(SUMPRODUCT(MAX(($D$4:$D$810=$D479)*($B$4:$B$810&lt;$B479)*$B$4:$B$810)),'Guide &amp; Settings'!$C$50))/7-'Guide &amp; Settings'!$C$48,0)*'Guide &amp; Settings'!$C$49))</f>
      </c>
    </row>
    <row r="480" spans="1:29">
      <c r="A480" s="116"/>
      <c r="B480" s="117"/>
      <c r="C480" s="118"/>
      <c r="D480" s="118"/>
      <c r="E480" s="116"/>
      <c r="F480" s="119">
        <f>IF($D480="",0,COUNTIF($A$4:$A$810,$A480))</f>
        <v>0</v>
      </c>
      <c r="G480" s="120">
        <f>IF($D480="","",IFERROR(LOOKUP(2,1/(($A$4:$A$810=$A480)*($E$4:$E$810="Win")),$D$4:$D$810),"(no winner)"))</f>
        <v>0</v>
      </c>
      <c r="H480" s="121">
        <f>IF($D480="",0,IFERROR(LOOKUP(2,1/(($D$3:D479=$D480)*($A$3:A479&lt;$A480)),$N$3:N479),'Guide &amp; Settings'!$C$41))</f>
        <v>0</v>
      </c>
      <c r="I480" s="122">
        <f>IF($D480="",0,IF($S480=0,0,$R480/$S480))</f>
        <v>0</v>
      </c>
      <c r="J480" s="123">
        <f>IF($D480="",0,IF($F480&lt;2,0,IF($E480="Win",('Guide &amp; Settings'!$C$42/(($F480-1)*COUNTIFS($A$4:$A$810,$A480,$E$4:$E$810,"Win")))*SUMIFS($X$4:$X$810,$A$4:$A$810,$A480,$E$4:$E$810,"Loss"),-('Guide &amp; Settings'!$C$42/($F480-1))*$X480)))</f>
        <v>0</v>
      </c>
      <c r="K480" s="123">
        <f>IF($D480="",0,'Guide &amp; Settings'!$C$43*(IF($E480="Win",1,0)-$I480))</f>
        <v>0</v>
      </c>
      <c r="L480" s="124">
        <f>IF($D480="",0,'Guide &amp; Settings'!$C$44*IF($F480&gt;=3,$F480+IF($E480="Win",$F480,0),0))</f>
        <v>0</v>
      </c>
      <c r="M480" s="123">
        <f>IF($D480="",0,$J480+$K480+$L480)</f>
        <v>0</v>
      </c>
      <c r="N480" s="121">
        <f>IF($D480="",0,$H480+$M480)</f>
        <v>0</v>
      </c>
      <c r="O480" s="120" t="str">
        <f>IF($D480="","",IF(COUNTIFS($A$4:$A$810,$A480,$E$4:$E$810,"Win")=0,"need a winner",IF(COUNTIFS($A$4:$A$810,$A480,$E$4:$E$810,"Loss")=0,"need a loser",IF(COUNTIFS($A$4:$A$810,$A480,$D$4:$D$810,$D480)&gt;1,"duplicate player","OK"))))</f>
      </c>
      <c r="P480">
        <f>IF($D480="",0,IFERROR(SUMIFS($H$4:$H$810,$A$4:$A$810,$A480,$E$4:$E$810,"Win")/COUNTIFS($A$4:$A$810,$A480,$E$4:$E$810,"Win"),0))</f>
        <v>0</v>
      </c>
      <c r="Q480">
        <f>IF($D480="",0,1/(1+10^(($P480-$H480)/400)))</f>
        <v>0</v>
      </c>
      <c r="R480">
        <f>IF($D480="",0,(COUNTIFS($D$4:$D$810,$D480,$C$4:$C$810,$C480,$E$4:$E$810,"Win",$A$4:$A$810,"&lt;"&amp;$A480)+1)/(COUNTIFS($D$4:$D$810,$D480,$C$4:$C$810,$C480,$A$4:$A$810,"&lt;"&amp;$A480)+2))</f>
        <v>0</v>
      </c>
      <c r="S480">
        <f>IF($D480="",0,SUMIFS($R$4:$R$810,$A$4:$A$810,$A480))</f>
        <v>0</v>
      </c>
      <c r="T480" s="88">
        <f>IF($D480="",0,COUNTIFS($D$4:$D$810,$D480,$C$4:$C$810,$C480,$A$4:$A$810,"&lt;"&amp;$A480))</f>
        <v>0</v>
      </c>
      <c r="U480" s="125">
        <f>IF($D480="",0,IFERROR(LOOKUP(2,1/(($D$3:D479=$D480)*($C$3:C479=$C480)*($A$3:A479&lt;$A480)),$AB$3:AB479),1000))</f>
        <v>0</v>
      </c>
      <c r="V480" s="125">
        <f>IF($D480="",0,$U480*($T480/($T480+5))+$H480*(1-$T480/($T480+5)))</f>
        <v>0</v>
      </c>
      <c r="W480">
        <f>IF($D480="",0,IFERROR(SUMIFS($V$4:$V$810,$A$4:$A$810,$A480,$E$4:$E$810,"Win")/COUNTIFS($A$4:$A$810,$A480,$E$4:$E$810,"Win"),0))</f>
        <v>0</v>
      </c>
      <c r="X480">
        <f>IF($D480="",0,1/(1+10^(($W480-$V480)/400)))</f>
        <v>0</v>
      </c>
      <c r="Y480">
        <f>IF($D480="",0,IFERROR(SUMIFS($U$4:$U$810,$A$4:$A$810,$A480,$E$4:$E$810,"Win")/COUNTIFS($A$4:$A$810,$A480,$E$4:$E$810,"Win"),0))</f>
        <v>0</v>
      </c>
      <c r="Z480">
        <f>IF($D480="",0,1/(1+10^(($Y480-$U480)/400)))</f>
        <v>0</v>
      </c>
      <c r="AA480">
        <f>IF($D480="",0,IF($F480&lt;2,0,IF($E480="Win",('Guide &amp; Settings'!$C$42/(($F480-1)*COUNTIFS($A$4:$A$810,$A480,$E$4:$E$810,"Win")))*SUMIFS($Z$4:$Z$810,$A$4:$A$810,$A480,$E$4:$E$810,"Loss"),-('Guide &amp; Settings'!$C$42/($F480-1))*$Z480)))</f>
        <v>0</v>
      </c>
      <c r="AB480" s="125">
        <f>IF($D480="",0,$U480+$AA480)</f>
        <v>0</v>
      </c>
      <c r="AC480" s="125" t="str">
        <f>IF($D480="","",IF(SUMPRODUCT(MAX(($D$4:$D$810=$D480)*($B$4:$B$810&lt;$B480)*$B$4:$B$810))=0,0,MAX(($B480-MAX(SUMPRODUCT(MAX(($D$4:$D$810=$D480)*($B$4:$B$810&lt;$B480)*$B$4:$B$810)),'Guide &amp; Settings'!$C$50))/7-'Guide &amp; Settings'!$C$48,0)*'Guide &amp; Settings'!$C$49))</f>
      </c>
    </row>
    <row r="481" spans="1:29">
      <c r="A481" s="116"/>
      <c r="B481" s="117"/>
      <c r="C481" s="118"/>
      <c r="D481" s="118"/>
      <c r="E481" s="116"/>
      <c r="F481" s="119">
        <f>IF($D481="",0,COUNTIF($A$4:$A$810,$A481))</f>
        <v>0</v>
      </c>
      <c r="G481" s="120">
        <f>IF($D481="","",IFERROR(LOOKUP(2,1/(($A$4:$A$810=$A481)*($E$4:$E$810="Win")),$D$4:$D$810),"(no winner)"))</f>
        <v>0</v>
      </c>
      <c r="H481" s="121">
        <f>IF($D481="",0,IFERROR(LOOKUP(2,1/(($D$3:D480=$D481)*($A$3:A480&lt;$A481)),$N$3:N480),'Guide &amp; Settings'!$C$41))</f>
        <v>0</v>
      </c>
      <c r="I481" s="122">
        <f>IF($D481="",0,IF($S481=0,0,$R481/$S481))</f>
        <v>0</v>
      </c>
      <c r="J481" s="123">
        <f>IF($D481="",0,IF($F481&lt;2,0,IF($E481="Win",('Guide &amp; Settings'!$C$42/(($F481-1)*COUNTIFS($A$4:$A$810,$A481,$E$4:$E$810,"Win")))*SUMIFS($X$4:$X$810,$A$4:$A$810,$A481,$E$4:$E$810,"Loss"),-('Guide &amp; Settings'!$C$42/($F481-1))*$X481)))</f>
        <v>0</v>
      </c>
      <c r="K481" s="123">
        <f>IF($D481="",0,'Guide &amp; Settings'!$C$43*(IF($E481="Win",1,0)-$I481))</f>
        <v>0</v>
      </c>
      <c r="L481" s="124">
        <f>IF($D481="",0,'Guide &amp; Settings'!$C$44*IF($F481&gt;=3,$F481+IF($E481="Win",$F481,0),0))</f>
        <v>0</v>
      </c>
      <c r="M481" s="123">
        <f>IF($D481="",0,$J481+$K481+$L481)</f>
        <v>0</v>
      </c>
      <c r="N481" s="121">
        <f>IF($D481="",0,$H481+$M481)</f>
        <v>0</v>
      </c>
      <c r="O481" s="120" t="str">
        <f>IF($D481="","",IF(COUNTIFS($A$4:$A$810,$A481,$E$4:$E$810,"Win")=0,"need a winner",IF(COUNTIFS($A$4:$A$810,$A481,$E$4:$E$810,"Loss")=0,"need a loser",IF(COUNTIFS($A$4:$A$810,$A481,$D$4:$D$810,$D481)&gt;1,"duplicate player","OK"))))</f>
      </c>
      <c r="P481">
        <f>IF($D481="",0,IFERROR(SUMIFS($H$4:$H$810,$A$4:$A$810,$A481,$E$4:$E$810,"Win")/COUNTIFS($A$4:$A$810,$A481,$E$4:$E$810,"Win"),0))</f>
        <v>0</v>
      </c>
      <c r="Q481">
        <f>IF($D481="",0,1/(1+10^(($P481-$H481)/400)))</f>
        <v>0</v>
      </c>
      <c r="R481">
        <f>IF($D481="",0,(COUNTIFS($D$4:$D$810,$D481,$C$4:$C$810,$C481,$E$4:$E$810,"Win",$A$4:$A$810,"&lt;"&amp;$A481)+1)/(COUNTIFS($D$4:$D$810,$D481,$C$4:$C$810,$C481,$A$4:$A$810,"&lt;"&amp;$A481)+2))</f>
        <v>0</v>
      </c>
      <c r="S481">
        <f>IF($D481="",0,SUMIFS($R$4:$R$810,$A$4:$A$810,$A481))</f>
        <v>0</v>
      </c>
      <c r="T481" s="88">
        <f>IF($D481="",0,COUNTIFS($D$4:$D$810,$D481,$C$4:$C$810,$C481,$A$4:$A$810,"&lt;"&amp;$A481))</f>
        <v>0</v>
      </c>
      <c r="U481" s="125">
        <f>IF($D481="",0,IFERROR(LOOKUP(2,1/(($D$3:D480=$D481)*($C$3:C480=$C481)*($A$3:A480&lt;$A481)),$AB$3:AB480),1000))</f>
        <v>0</v>
      </c>
      <c r="V481" s="125">
        <f>IF($D481="",0,$U481*($T481/($T481+5))+$H481*(1-$T481/($T481+5)))</f>
        <v>0</v>
      </c>
      <c r="W481">
        <f>IF($D481="",0,IFERROR(SUMIFS($V$4:$V$810,$A$4:$A$810,$A481,$E$4:$E$810,"Win")/COUNTIFS($A$4:$A$810,$A481,$E$4:$E$810,"Win"),0))</f>
        <v>0</v>
      </c>
      <c r="X481">
        <f>IF($D481="",0,1/(1+10^(($W481-$V481)/400)))</f>
        <v>0</v>
      </c>
      <c r="Y481">
        <f>IF($D481="",0,IFERROR(SUMIFS($U$4:$U$810,$A$4:$A$810,$A481,$E$4:$E$810,"Win")/COUNTIFS($A$4:$A$810,$A481,$E$4:$E$810,"Win"),0))</f>
        <v>0</v>
      </c>
      <c r="Z481">
        <f>IF($D481="",0,1/(1+10^(($Y481-$U481)/400)))</f>
        <v>0</v>
      </c>
      <c r="AA481">
        <f>IF($D481="",0,IF($F481&lt;2,0,IF($E481="Win",('Guide &amp; Settings'!$C$42/(($F481-1)*COUNTIFS($A$4:$A$810,$A481,$E$4:$E$810,"Win")))*SUMIFS($Z$4:$Z$810,$A$4:$A$810,$A481,$E$4:$E$810,"Loss"),-('Guide &amp; Settings'!$C$42/($F481-1))*$Z481)))</f>
        <v>0</v>
      </c>
      <c r="AB481" s="125">
        <f>IF($D481="",0,$U481+$AA481)</f>
        <v>0</v>
      </c>
      <c r="AC481" s="125" t="str">
        <f>IF($D481="","",IF(SUMPRODUCT(MAX(($D$4:$D$810=$D481)*($B$4:$B$810&lt;$B481)*$B$4:$B$810))=0,0,MAX(($B481-MAX(SUMPRODUCT(MAX(($D$4:$D$810=$D481)*($B$4:$B$810&lt;$B481)*$B$4:$B$810)),'Guide &amp; Settings'!$C$50))/7-'Guide &amp; Settings'!$C$48,0)*'Guide &amp; Settings'!$C$49))</f>
      </c>
    </row>
    <row r="482" spans="1:29">
      <c r="A482" s="116"/>
      <c r="B482" s="117"/>
      <c r="C482" s="118"/>
      <c r="D482" s="118"/>
      <c r="E482" s="116"/>
      <c r="F482" s="119">
        <f>IF($D482="",0,COUNTIF($A$4:$A$810,$A482))</f>
        <v>0</v>
      </c>
      <c r="G482" s="120">
        <f>IF($D482="","",IFERROR(LOOKUP(2,1/(($A$4:$A$810=$A482)*($E$4:$E$810="Win")),$D$4:$D$810),"(no winner)"))</f>
        <v>0</v>
      </c>
      <c r="H482" s="121">
        <f>IF($D482="",0,IFERROR(LOOKUP(2,1/(($D$3:D481=$D482)*($A$3:A481&lt;$A482)),$N$3:N481),'Guide &amp; Settings'!$C$41))</f>
        <v>0</v>
      </c>
      <c r="I482" s="122">
        <f>IF($D482="",0,IF($S482=0,0,$R482/$S482))</f>
        <v>0</v>
      </c>
      <c r="J482" s="123">
        <f>IF($D482="",0,IF($F482&lt;2,0,IF($E482="Win",('Guide &amp; Settings'!$C$42/(($F482-1)*COUNTIFS($A$4:$A$810,$A482,$E$4:$E$810,"Win")))*SUMIFS($X$4:$X$810,$A$4:$A$810,$A482,$E$4:$E$810,"Loss"),-('Guide &amp; Settings'!$C$42/($F482-1))*$X482)))</f>
        <v>0</v>
      </c>
      <c r="K482" s="123">
        <f>IF($D482="",0,'Guide &amp; Settings'!$C$43*(IF($E482="Win",1,0)-$I482))</f>
        <v>0</v>
      </c>
      <c r="L482" s="124">
        <f>IF($D482="",0,'Guide &amp; Settings'!$C$44*IF($F482&gt;=3,$F482+IF($E482="Win",$F482,0),0))</f>
        <v>0</v>
      </c>
      <c r="M482" s="123">
        <f>IF($D482="",0,$J482+$K482+$L482)</f>
        <v>0</v>
      </c>
      <c r="N482" s="121">
        <f>IF($D482="",0,$H482+$M482)</f>
        <v>0</v>
      </c>
      <c r="O482" s="120" t="str">
        <f>IF($D482="","",IF(COUNTIFS($A$4:$A$810,$A482,$E$4:$E$810,"Win")=0,"need a winner",IF(COUNTIFS($A$4:$A$810,$A482,$E$4:$E$810,"Loss")=0,"need a loser",IF(COUNTIFS($A$4:$A$810,$A482,$D$4:$D$810,$D482)&gt;1,"duplicate player","OK"))))</f>
      </c>
      <c r="P482">
        <f>IF($D482="",0,IFERROR(SUMIFS($H$4:$H$810,$A$4:$A$810,$A482,$E$4:$E$810,"Win")/COUNTIFS($A$4:$A$810,$A482,$E$4:$E$810,"Win"),0))</f>
        <v>0</v>
      </c>
      <c r="Q482">
        <f>IF($D482="",0,1/(1+10^(($P482-$H482)/400)))</f>
        <v>0</v>
      </c>
      <c r="R482">
        <f>IF($D482="",0,(COUNTIFS($D$4:$D$810,$D482,$C$4:$C$810,$C482,$E$4:$E$810,"Win",$A$4:$A$810,"&lt;"&amp;$A482)+1)/(COUNTIFS($D$4:$D$810,$D482,$C$4:$C$810,$C482,$A$4:$A$810,"&lt;"&amp;$A482)+2))</f>
        <v>0</v>
      </c>
      <c r="S482">
        <f>IF($D482="",0,SUMIFS($R$4:$R$810,$A$4:$A$810,$A482))</f>
        <v>0</v>
      </c>
      <c r="T482" s="88">
        <f>IF($D482="",0,COUNTIFS($D$4:$D$810,$D482,$C$4:$C$810,$C482,$A$4:$A$810,"&lt;"&amp;$A482))</f>
        <v>0</v>
      </c>
      <c r="U482" s="125">
        <f>IF($D482="",0,IFERROR(LOOKUP(2,1/(($D$3:D481=$D482)*($C$3:C481=$C482)*($A$3:A481&lt;$A482)),$AB$3:AB481),1000))</f>
        <v>0</v>
      </c>
      <c r="V482" s="125">
        <f>IF($D482="",0,$U482*($T482/($T482+5))+$H482*(1-$T482/($T482+5)))</f>
        <v>0</v>
      </c>
      <c r="W482">
        <f>IF($D482="",0,IFERROR(SUMIFS($V$4:$V$810,$A$4:$A$810,$A482,$E$4:$E$810,"Win")/COUNTIFS($A$4:$A$810,$A482,$E$4:$E$810,"Win"),0))</f>
        <v>0</v>
      </c>
      <c r="X482">
        <f>IF($D482="",0,1/(1+10^(($W482-$V482)/400)))</f>
        <v>0</v>
      </c>
      <c r="Y482">
        <f>IF($D482="",0,IFERROR(SUMIFS($U$4:$U$810,$A$4:$A$810,$A482,$E$4:$E$810,"Win")/COUNTIFS($A$4:$A$810,$A482,$E$4:$E$810,"Win"),0))</f>
        <v>0</v>
      </c>
      <c r="Z482">
        <f>IF($D482="",0,1/(1+10^(($Y482-$U482)/400)))</f>
        <v>0</v>
      </c>
      <c r="AA482">
        <f>IF($D482="",0,IF($F482&lt;2,0,IF($E482="Win",('Guide &amp; Settings'!$C$42/(($F482-1)*COUNTIFS($A$4:$A$810,$A482,$E$4:$E$810,"Win")))*SUMIFS($Z$4:$Z$810,$A$4:$A$810,$A482,$E$4:$E$810,"Loss"),-('Guide &amp; Settings'!$C$42/($F482-1))*$Z482)))</f>
        <v>0</v>
      </c>
      <c r="AB482" s="125">
        <f>IF($D482="",0,$U482+$AA482)</f>
        <v>0</v>
      </c>
      <c r="AC482" s="125" t="str">
        <f>IF($D482="","",IF(SUMPRODUCT(MAX(($D$4:$D$810=$D482)*($B$4:$B$810&lt;$B482)*$B$4:$B$810))=0,0,MAX(($B482-MAX(SUMPRODUCT(MAX(($D$4:$D$810=$D482)*($B$4:$B$810&lt;$B482)*$B$4:$B$810)),'Guide &amp; Settings'!$C$50))/7-'Guide &amp; Settings'!$C$48,0)*'Guide &amp; Settings'!$C$49))</f>
      </c>
    </row>
    <row r="483" spans="1:29">
      <c r="A483" s="116"/>
      <c r="B483" s="117"/>
      <c r="C483" s="118"/>
      <c r="D483" s="118"/>
      <c r="E483" s="116"/>
      <c r="F483" s="119">
        <f>IF($D483="",0,COUNTIF($A$4:$A$810,$A483))</f>
        <v>0</v>
      </c>
      <c r="G483" s="120">
        <f>IF($D483="","",IFERROR(LOOKUP(2,1/(($A$4:$A$810=$A483)*($E$4:$E$810="Win")),$D$4:$D$810),"(no winner)"))</f>
        <v>0</v>
      </c>
      <c r="H483" s="121">
        <f>IF($D483="",0,IFERROR(LOOKUP(2,1/(($D$3:D482=$D483)*($A$3:A482&lt;$A483)),$N$3:N482),'Guide &amp; Settings'!$C$41))</f>
        <v>0</v>
      </c>
      <c r="I483" s="122">
        <f>IF($D483="",0,IF($S483=0,0,$R483/$S483))</f>
        <v>0</v>
      </c>
      <c r="J483" s="123">
        <f>IF($D483="",0,IF($F483&lt;2,0,IF($E483="Win",('Guide &amp; Settings'!$C$42/(($F483-1)*COUNTIFS($A$4:$A$810,$A483,$E$4:$E$810,"Win")))*SUMIFS($X$4:$X$810,$A$4:$A$810,$A483,$E$4:$E$810,"Loss"),-('Guide &amp; Settings'!$C$42/($F483-1))*$X483)))</f>
        <v>0</v>
      </c>
      <c r="K483" s="123">
        <f>IF($D483="",0,'Guide &amp; Settings'!$C$43*(IF($E483="Win",1,0)-$I483))</f>
        <v>0</v>
      </c>
      <c r="L483" s="124">
        <f>IF($D483="",0,'Guide &amp; Settings'!$C$44*IF($F483&gt;=3,$F483+IF($E483="Win",$F483,0),0))</f>
        <v>0</v>
      </c>
      <c r="M483" s="123">
        <f>IF($D483="",0,$J483+$K483+$L483)</f>
        <v>0</v>
      </c>
      <c r="N483" s="121">
        <f>IF($D483="",0,$H483+$M483)</f>
        <v>0</v>
      </c>
      <c r="O483" s="120" t="str">
        <f>IF($D483="","",IF(COUNTIFS($A$4:$A$810,$A483,$E$4:$E$810,"Win")=0,"need a winner",IF(COUNTIFS($A$4:$A$810,$A483,$E$4:$E$810,"Loss")=0,"need a loser",IF(COUNTIFS($A$4:$A$810,$A483,$D$4:$D$810,$D483)&gt;1,"duplicate player","OK"))))</f>
      </c>
      <c r="P483">
        <f>IF($D483="",0,IFERROR(SUMIFS($H$4:$H$810,$A$4:$A$810,$A483,$E$4:$E$810,"Win")/COUNTIFS($A$4:$A$810,$A483,$E$4:$E$810,"Win"),0))</f>
        <v>0</v>
      </c>
      <c r="Q483">
        <f>IF($D483="",0,1/(1+10^(($P483-$H483)/400)))</f>
        <v>0</v>
      </c>
      <c r="R483">
        <f>IF($D483="",0,(COUNTIFS($D$4:$D$810,$D483,$C$4:$C$810,$C483,$E$4:$E$810,"Win",$A$4:$A$810,"&lt;"&amp;$A483)+1)/(COUNTIFS($D$4:$D$810,$D483,$C$4:$C$810,$C483,$A$4:$A$810,"&lt;"&amp;$A483)+2))</f>
        <v>0</v>
      </c>
      <c r="S483">
        <f>IF($D483="",0,SUMIFS($R$4:$R$810,$A$4:$A$810,$A483))</f>
        <v>0</v>
      </c>
      <c r="T483" s="88">
        <f>IF($D483="",0,COUNTIFS($D$4:$D$810,$D483,$C$4:$C$810,$C483,$A$4:$A$810,"&lt;"&amp;$A483))</f>
        <v>0</v>
      </c>
      <c r="U483" s="125">
        <f>IF($D483="",0,IFERROR(LOOKUP(2,1/(($D$3:D482=$D483)*($C$3:C482=$C483)*($A$3:A482&lt;$A483)),$AB$3:AB482),1000))</f>
        <v>0</v>
      </c>
      <c r="V483" s="125">
        <f>IF($D483="",0,$U483*($T483/($T483+5))+$H483*(1-$T483/($T483+5)))</f>
        <v>0</v>
      </c>
      <c r="W483">
        <f>IF($D483="",0,IFERROR(SUMIFS($V$4:$V$810,$A$4:$A$810,$A483,$E$4:$E$810,"Win")/COUNTIFS($A$4:$A$810,$A483,$E$4:$E$810,"Win"),0))</f>
        <v>0</v>
      </c>
      <c r="X483">
        <f>IF($D483="",0,1/(1+10^(($W483-$V483)/400)))</f>
        <v>0</v>
      </c>
      <c r="Y483">
        <f>IF($D483="",0,IFERROR(SUMIFS($U$4:$U$810,$A$4:$A$810,$A483,$E$4:$E$810,"Win")/COUNTIFS($A$4:$A$810,$A483,$E$4:$E$810,"Win"),0))</f>
        <v>0</v>
      </c>
      <c r="Z483">
        <f>IF($D483="",0,1/(1+10^(($Y483-$U483)/400)))</f>
        <v>0</v>
      </c>
      <c r="AA483">
        <f>IF($D483="",0,IF($F483&lt;2,0,IF($E483="Win",('Guide &amp; Settings'!$C$42/(($F483-1)*COUNTIFS($A$4:$A$810,$A483,$E$4:$E$810,"Win")))*SUMIFS($Z$4:$Z$810,$A$4:$A$810,$A483,$E$4:$E$810,"Loss"),-('Guide &amp; Settings'!$C$42/($F483-1))*$Z483)))</f>
        <v>0</v>
      </c>
      <c r="AB483" s="125">
        <f>IF($D483="",0,$U483+$AA483)</f>
        <v>0</v>
      </c>
      <c r="AC483" s="125" t="str">
        <f>IF($D483="","",IF(SUMPRODUCT(MAX(($D$4:$D$810=$D483)*($B$4:$B$810&lt;$B483)*$B$4:$B$810))=0,0,MAX(($B483-MAX(SUMPRODUCT(MAX(($D$4:$D$810=$D483)*($B$4:$B$810&lt;$B483)*$B$4:$B$810)),'Guide &amp; Settings'!$C$50))/7-'Guide &amp; Settings'!$C$48,0)*'Guide &amp; Settings'!$C$49))</f>
      </c>
    </row>
    <row r="484" spans="1:29">
      <c r="A484" s="116"/>
      <c r="B484" s="117"/>
      <c r="C484" s="118"/>
      <c r="D484" s="118"/>
      <c r="E484" s="116"/>
      <c r="F484" s="119">
        <f>IF($D484="",0,COUNTIF($A$4:$A$810,$A484))</f>
        <v>0</v>
      </c>
      <c r="G484" s="120">
        <f>IF($D484="","",IFERROR(LOOKUP(2,1/(($A$4:$A$810=$A484)*($E$4:$E$810="Win")),$D$4:$D$810),"(no winner)"))</f>
        <v>0</v>
      </c>
      <c r="H484" s="121">
        <f>IF($D484="",0,IFERROR(LOOKUP(2,1/(($D$3:D483=$D484)*($A$3:A483&lt;$A484)),$N$3:N483),'Guide &amp; Settings'!$C$41))</f>
        <v>0</v>
      </c>
      <c r="I484" s="122">
        <f>IF($D484="",0,IF($S484=0,0,$R484/$S484))</f>
        <v>0</v>
      </c>
      <c r="J484" s="123">
        <f>IF($D484="",0,IF($F484&lt;2,0,IF($E484="Win",('Guide &amp; Settings'!$C$42/(($F484-1)*COUNTIFS($A$4:$A$810,$A484,$E$4:$E$810,"Win")))*SUMIFS($X$4:$X$810,$A$4:$A$810,$A484,$E$4:$E$810,"Loss"),-('Guide &amp; Settings'!$C$42/($F484-1))*$X484)))</f>
        <v>0</v>
      </c>
      <c r="K484" s="123">
        <f>IF($D484="",0,'Guide &amp; Settings'!$C$43*(IF($E484="Win",1,0)-$I484))</f>
        <v>0</v>
      </c>
      <c r="L484" s="124">
        <f>IF($D484="",0,'Guide &amp; Settings'!$C$44*IF($F484&gt;=3,$F484+IF($E484="Win",$F484,0),0))</f>
        <v>0</v>
      </c>
      <c r="M484" s="123">
        <f>IF($D484="",0,$J484+$K484+$L484)</f>
        <v>0</v>
      </c>
      <c r="N484" s="121">
        <f>IF($D484="",0,$H484+$M484)</f>
        <v>0</v>
      </c>
      <c r="O484" s="120" t="str">
        <f>IF($D484="","",IF(COUNTIFS($A$4:$A$810,$A484,$E$4:$E$810,"Win")=0,"need a winner",IF(COUNTIFS($A$4:$A$810,$A484,$E$4:$E$810,"Loss")=0,"need a loser",IF(COUNTIFS($A$4:$A$810,$A484,$D$4:$D$810,$D484)&gt;1,"duplicate player","OK"))))</f>
      </c>
      <c r="P484">
        <f>IF($D484="",0,IFERROR(SUMIFS($H$4:$H$810,$A$4:$A$810,$A484,$E$4:$E$810,"Win")/COUNTIFS($A$4:$A$810,$A484,$E$4:$E$810,"Win"),0))</f>
        <v>0</v>
      </c>
      <c r="Q484">
        <f>IF($D484="",0,1/(1+10^(($P484-$H484)/400)))</f>
        <v>0</v>
      </c>
      <c r="R484">
        <f>IF($D484="",0,(COUNTIFS($D$4:$D$810,$D484,$C$4:$C$810,$C484,$E$4:$E$810,"Win",$A$4:$A$810,"&lt;"&amp;$A484)+1)/(COUNTIFS($D$4:$D$810,$D484,$C$4:$C$810,$C484,$A$4:$A$810,"&lt;"&amp;$A484)+2))</f>
        <v>0</v>
      </c>
      <c r="S484">
        <f>IF($D484="",0,SUMIFS($R$4:$R$810,$A$4:$A$810,$A484))</f>
        <v>0</v>
      </c>
      <c r="T484" s="88">
        <f>IF($D484="",0,COUNTIFS($D$4:$D$810,$D484,$C$4:$C$810,$C484,$A$4:$A$810,"&lt;"&amp;$A484))</f>
        <v>0</v>
      </c>
      <c r="U484" s="125">
        <f>IF($D484="",0,IFERROR(LOOKUP(2,1/(($D$3:D483=$D484)*($C$3:C483=$C484)*($A$3:A483&lt;$A484)),$AB$3:AB483),1000))</f>
        <v>0</v>
      </c>
      <c r="V484" s="125">
        <f>IF($D484="",0,$U484*($T484/($T484+5))+$H484*(1-$T484/($T484+5)))</f>
        <v>0</v>
      </c>
      <c r="W484">
        <f>IF($D484="",0,IFERROR(SUMIFS($V$4:$V$810,$A$4:$A$810,$A484,$E$4:$E$810,"Win")/COUNTIFS($A$4:$A$810,$A484,$E$4:$E$810,"Win"),0))</f>
        <v>0</v>
      </c>
      <c r="X484">
        <f>IF($D484="",0,1/(1+10^(($W484-$V484)/400)))</f>
        <v>0</v>
      </c>
      <c r="Y484">
        <f>IF($D484="",0,IFERROR(SUMIFS($U$4:$U$810,$A$4:$A$810,$A484,$E$4:$E$810,"Win")/COUNTIFS($A$4:$A$810,$A484,$E$4:$E$810,"Win"),0))</f>
        <v>0</v>
      </c>
      <c r="Z484">
        <f>IF($D484="",0,1/(1+10^(($Y484-$U484)/400)))</f>
        <v>0</v>
      </c>
      <c r="AA484">
        <f>IF($D484="",0,IF($F484&lt;2,0,IF($E484="Win",('Guide &amp; Settings'!$C$42/(($F484-1)*COUNTIFS($A$4:$A$810,$A484,$E$4:$E$810,"Win")))*SUMIFS($Z$4:$Z$810,$A$4:$A$810,$A484,$E$4:$E$810,"Loss"),-('Guide &amp; Settings'!$C$42/($F484-1))*$Z484)))</f>
        <v>0</v>
      </c>
      <c r="AB484" s="125">
        <f>IF($D484="",0,$U484+$AA484)</f>
        <v>0</v>
      </c>
      <c r="AC484" s="125" t="str">
        <f>IF($D484="","",IF(SUMPRODUCT(MAX(($D$4:$D$810=$D484)*($B$4:$B$810&lt;$B484)*$B$4:$B$810))=0,0,MAX(($B484-MAX(SUMPRODUCT(MAX(($D$4:$D$810=$D484)*($B$4:$B$810&lt;$B484)*$B$4:$B$810)),'Guide &amp; Settings'!$C$50))/7-'Guide &amp; Settings'!$C$48,0)*'Guide &amp; Settings'!$C$49))</f>
      </c>
    </row>
    <row r="485" spans="1:29">
      <c r="A485" s="116"/>
      <c r="B485" s="117"/>
      <c r="C485" s="118"/>
      <c r="D485" s="118"/>
      <c r="E485" s="116"/>
      <c r="F485" s="119">
        <f>IF($D485="",0,COUNTIF($A$4:$A$810,$A485))</f>
        <v>0</v>
      </c>
      <c r="G485" s="120">
        <f>IF($D485="","",IFERROR(LOOKUP(2,1/(($A$4:$A$810=$A485)*($E$4:$E$810="Win")),$D$4:$D$810),"(no winner)"))</f>
        <v>0</v>
      </c>
      <c r="H485" s="121">
        <f>IF($D485="",0,IFERROR(LOOKUP(2,1/(($D$3:D484=$D485)*($A$3:A484&lt;$A485)),$N$3:N484),'Guide &amp; Settings'!$C$41))</f>
        <v>0</v>
      </c>
      <c r="I485" s="122">
        <f>IF($D485="",0,IF($S485=0,0,$R485/$S485))</f>
        <v>0</v>
      </c>
      <c r="J485" s="123">
        <f>IF($D485="",0,IF($F485&lt;2,0,IF($E485="Win",('Guide &amp; Settings'!$C$42/(($F485-1)*COUNTIFS($A$4:$A$810,$A485,$E$4:$E$810,"Win")))*SUMIFS($X$4:$X$810,$A$4:$A$810,$A485,$E$4:$E$810,"Loss"),-('Guide &amp; Settings'!$C$42/($F485-1))*$X485)))</f>
        <v>0</v>
      </c>
      <c r="K485" s="123">
        <f>IF($D485="",0,'Guide &amp; Settings'!$C$43*(IF($E485="Win",1,0)-$I485))</f>
        <v>0</v>
      </c>
      <c r="L485" s="124">
        <f>IF($D485="",0,'Guide &amp; Settings'!$C$44*IF($F485&gt;=3,$F485+IF($E485="Win",$F485,0),0))</f>
        <v>0</v>
      </c>
      <c r="M485" s="123">
        <f>IF($D485="",0,$J485+$K485+$L485)</f>
        <v>0</v>
      </c>
      <c r="N485" s="121">
        <f>IF($D485="",0,$H485+$M485)</f>
        <v>0</v>
      </c>
      <c r="O485" s="120" t="str">
        <f>IF($D485="","",IF(COUNTIFS($A$4:$A$810,$A485,$E$4:$E$810,"Win")=0,"need a winner",IF(COUNTIFS($A$4:$A$810,$A485,$E$4:$E$810,"Loss")=0,"need a loser",IF(COUNTIFS($A$4:$A$810,$A485,$D$4:$D$810,$D485)&gt;1,"duplicate player","OK"))))</f>
      </c>
      <c r="P485">
        <f>IF($D485="",0,IFERROR(SUMIFS($H$4:$H$810,$A$4:$A$810,$A485,$E$4:$E$810,"Win")/COUNTIFS($A$4:$A$810,$A485,$E$4:$E$810,"Win"),0))</f>
        <v>0</v>
      </c>
      <c r="Q485">
        <f>IF($D485="",0,1/(1+10^(($P485-$H485)/400)))</f>
        <v>0</v>
      </c>
      <c r="R485">
        <f>IF($D485="",0,(COUNTIFS($D$4:$D$810,$D485,$C$4:$C$810,$C485,$E$4:$E$810,"Win",$A$4:$A$810,"&lt;"&amp;$A485)+1)/(COUNTIFS($D$4:$D$810,$D485,$C$4:$C$810,$C485,$A$4:$A$810,"&lt;"&amp;$A485)+2))</f>
        <v>0</v>
      </c>
      <c r="S485">
        <f>IF($D485="",0,SUMIFS($R$4:$R$810,$A$4:$A$810,$A485))</f>
        <v>0</v>
      </c>
      <c r="T485" s="88">
        <f>IF($D485="",0,COUNTIFS($D$4:$D$810,$D485,$C$4:$C$810,$C485,$A$4:$A$810,"&lt;"&amp;$A485))</f>
        <v>0</v>
      </c>
      <c r="U485" s="125">
        <f>IF($D485="",0,IFERROR(LOOKUP(2,1/(($D$3:D484=$D485)*($C$3:C484=$C485)*($A$3:A484&lt;$A485)),$AB$3:AB484),1000))</f>
        <v>0</v>
      </c>
      <c r="V485" s="125">
        <f>IF($D485="",0,$U485*($T485/($T485+5))+$H485*(1-$T485/($T485+5)))</f>
        <v>0</v>
      </c>
      <c r="W485">
        <f>IF($D485="",0,IFERROR(SUMIFS($V$4:$V$810,$A$4:$A$810,$A485,$E$4:$E$810,"Win")/COUNTIFS($A$4:$A$810,$A485,$E$4:$E$810,"Win"),0))</f>
        <v>0</v>
      </c>
      <c r="X485">
        <f>IF($D485="",0,1/(1+10^(($W485-$V485)/400)))</f>
        <v>0</v>
      </c>
      <c r="Y485">
        <f>IF($D485="",0,IFERROR(SUMIFS($U$4:$U$810,$A$4:$A$810,$A485,$E$4:$E$810,"Win")/COUNTIFS($A$4:$A$810,$A485,$E$4:$E$810,"Win"),0))</f>
        <v>0</v>
      </c>
      <c r="Z485">
        <f>IF($D485="",0,1/(1+10^(($Y485-$U485)/400)))</f>
        <v>0</v>
      </c>
      <c r="AA485">
        <f>IF($D485="",0,IF($F485&lt;2,0,IF($E485="Win",('Guide &amp; Settings'!$C$42/(($F485-1)*COUNTIFS($A$4:$A$810,$A485,$E$4:$E$810,"Win")))*SUMIFS($Z$4:$Z$810,$A$4:$A$810,$A485,$E$4:$E$810,"Loss"),-('Guide &amp; Settings'!$C$42/($F485-1))*$Z485)))</f>
        <v>0</v>
      </c>
      <c r="AB485" s="125">
        <f>IF($D485="",0,$U485+$AA485)</f>
        <v>0</v>
      </c>
      <c r="AC485" s="125" t="str">
        <f>IF($D485="","",IF(SUMPRODUCT(MAX(($D$4:$D$810=$D485)*($B$4:$B$810&lt;$B485)*$B$4:$B$810))=0,0,MAX(($B485-MAX(SUMPRODUCT(MAX(($D$4:$D$810=$D485)*($B$4:$B$810&lt;$B485)*$B$4:$B$810)),'Guide &amp; Settings'!$C$50))/7-'Guide &amp; Settings'!$C$48,0)*'Guide &amp; Settings'!$C$49))</f>
      </c>
    </row>
    <row r="486" spans="1:29">
      <c r="A486" s="116"/>
      <c r="B486" s="117"/>
      <c r="C486" s="118"/>
      <c r="D486" s="118"/>
      <c r="E486" s="116"/>
      <c r="F486" s="119">
        <f>IF($D486="",0,COUNTIF($A$4:$A$810,$A486))</f>
        <v>0</v>
      </c>
      <c r="G486" s="120">
        <f>IF($D486="","",IFERROR(LOOKUP(2,1/(($A$4:$A$810=$A486)*($E$4:$E$810="Win")),$D$4:$D$810),"(no winner)"))</f>
        <v>0</v>
      </c>
      <c r="H486" s="121">
        <f>IF($D486="",0,IFERROR(LOOKUP(2,1/(($D$3:D485=$D486)*($A$3:A485&lt;$A486)),$N$3:N485),'Guide &amp; Settings'!$C$41))</f>
        <v>0</v>
      </c>
      <c r="I486" s="122">
        <f>IF($D486="",0,IF($S486=0,0,$R486/$S486))</f>
        <v>0</v>
      </c>
      <c r="J486" s="123">
        <f>IF($D486="",0,IF($F486&lt;2,0,IF($E486="Win",('Guide &amp; Settings'!$C$42/(($F486-1)*COUNTIFS($A$4:$A$810,$A486,$E$4:$E$810,"Win")))*SUMIFS($X$4:$X$810,$A$4:$A$810,$A486,$E$4:$E$810,"Loss"),-('Guide &amp; Settings'!$C$42/($F486-1))*$X486)))</f>
        <v>0</v>
      </c>
      <c r="K486" s="123">
        <f>IF($D486="",0,'Guide &amp; Settings'!$C$43*(IF($E486="Win",1,0)-$I486))</f>
        <v>0</v>
      </c>
      <c r="L486" s="124">
        <f>IF($D486="",0,'Guide &amp; Settings'!$C$44*IF($F486&gt;=3,$F486+IF($E486="Win",$F486,0),0))</f>
        <v>0</v>
      </c>
      <c r="M486" s="123">
        <f>IF($D486="",0,$J486+$K486+$L486)</f>
        <v>0</v>
      </c>
      <c r="N486" s="121">
        <f>IF($D486="",0,$H486+$M486)</f>
        <v>0</v>
      </c>
      <c r="O486" s="120" t="str">
        <f>IF($D486="","",IF(COUNTIFS($A$4:$A$810,$A486,$E$4:$E$810,"Win")=0,"need a winner",IF(COUNTIFS($A$4:$A$810,$A486,$E$4:$E$810,"Loss")=0,"need a loser",IF(COUNTIFS($A$4:$A$810,$A486,$D$4:$D$810,$D486)&gt;1,"duplicate player","OK"))))</f>
      </c>
      <c r="P486">
        <f>IF($D486="",0,IFERROR(SUMIFS($H$4:$H$810,$A$4:$A$810,$A486,$E$4:$E$810,"Win")/COUNTIFS($A$4:$A$810,$A486,$E$4:$E$810,"Win"),0))</f>
        <v>0</v>
      </c>
      <c r="Q486">
        <f>IF($D486="",0,1/(1+10^(($P486-$H486)/400)))</f>
        <v>0</v>
      </c>
      <c r="R486">
        <f>IF($D486="",0,(COUNTIFS($D$4:$D$810,$D486,$C$4:$C$810,$C486,$E$4:$E$810,"Win",$A$4:$A$810,"&lt;"&amp;$A486)+1)/(COUNTIFS($D$4:$D$810,$D486,$C$4:$C$810,$C486,$A$4:$A$810,"&lt;"&amp;$A486)+2))</f>
        <v>0</v>
      </c>
      <c r="S486">
        <f>IF($D486="",0,SUMIFS($R$4:$R$810,$A$4:$A$810,$A486))</f>
        <v>0</v>
      </c>
      <c r="T486" s="88">
        <f>IF($D486="",0,COUNTIFS($D$4:$D$810,$D486,$C$4:$C$810,$C486,$A$4:$A$810,"&lt;"&amp;$A486))</f>
        <v>0</v>
      </c>
      <c r="U486" s="125">
        <f>IF($D486="",0,IFERROR(LOOKUP(2,1/(($D$3:D485=$D486)*($C$3:C485=$C486)*($A$3:A485&lt;$A486)),$AB$3:AB485),1000))</f>
        <v>0</v>
      </c>
      <c r="V486" s="125">
        <f>IF($D486="",0,$U486*($T486/($T486+5))+$H486*(1-$T486/($T486+5)))</f>
        <v>0</v>
      </c>
      <c r="W486">
        <f>IF($D486="",0,IFERROR(SUMIFS($V$4:$V$810,$A$4:$A$810,$A486,$E$4:$E$810,"Win")/COUNTIFS($A$4:$A$810,$A486,$E$4:$E$810,"Win"),0))</f>
        <v>0</v>
      </c>
      <c r="X486">
        <f>IF($D486="",0,1/(1+10^(($W486-$V486)/400)))</f>
        <v>0</v>
      </c>
      <c r="Y486">
        <f>IF($D486="",0,IFERROR(SUMIFS($U$4:$U$810,$A$4:$A$810,$A486,$E$4:$E$810,"Win")/COUNTIFS($A$4:$A$810,$A486,$E$4:$E$810,"Win"),0))</f>
        <v>0</v>
      </c>
      <c r="Z486">
        <f>IF($D486="",0,1/(1+10^(($Y486-$U486)/400)))</f>
        <v>0</v>
      </c>
      <c r="AA486">
        <f>IF($D486="",0,IF($F486&lt;2,0,IF($E486="Win",('Guide &amp; Settings'!$C$42/(($F486-1)*COUNTIFS($A$4:$A$810,$A486,$E$4:$E$810,"Win")))*SUMIFS($Z$4:$Z$810,$A$4:$A$810,$A486,$E$4:$E$810,"Loss"),-('Guide &amp; Settings'!$C$42/($F486-1))*$Z486)))</f>
        <v>0</v>
      </c>
      <c r="AB486" s="125">
        <f>IF($D486="",0,$U486+$AA486)</f>
        <v>0</v>
      </c>
      <c r="AC486" s="125" t="str">
        <f>IF($D486="","",IF(SUMPRODUCT(MAX(($D$4:$D$810=$D486)*($B$4:$B$810&lt;$B486)*$B$4:$B$810))=0,0,MAX(($B486-MAX(SUMPRODUCT(MAX(($D$4:$D$810=$D486)*($B$4:$B$810&lt;$B486)*$B$4:$B$810)),'Guide &amp; Settings'!$C$50))/7-'Guide &amp; Settings'!$C$48,0)*'Guide &amp; Settings'!$C$49))</f>
      </c>
    </row>
    <row r="487" spans="1:29">
      <c r="A487" s="116"/>
      <c r="B487" s="117"/>
      <c r="C487" s="118"/>
      <c r="D487" s="118"/>
      <c r="E487" s="116"/>
      <c r="F487" s="119">
        <f>IF($D487="",0,COUNTIF($A$4:$A$810,$A487))</f>
        <v>0</v>
      </c>
      <c r="G487" s="120">
        <f>IF($D487="","",IFERROR(LOOKUP(2,1/(($A$4:$A$810=$A487)*($E$4:$E$810="Win")),$D$4:$D$810),"(no winner)"))</f>
        <v>0</v>
      </c>
      <c r="H487" s="121">
        <f>IF($D487="",0,IFERROR(LOOKUP(2,1/(($D$3:D486=$D487)*($A$3:A486&lt;$A487)),$N$3:N486),'Guide &amp; Settings'!$C$41))</f>
        <v>0</v>
      </c>
      <c r="I487" s="122">
        <f>IF($D487="",0,IF($S487=0,0,$R487/$S487))</f>
        <v>0</v>
      </c>
      <c r="J487" s="123">
        <f>IF($D487="",0,IF($F487&lt;2,0,IF($E487="Win",('Guide &amp; Settings'!$C$42/(($F487-1)*COUNTIFS($A$4:$A$810,$A487,$E$4:$E$810,"Win")))*SUMIFS($X$4:$X$810,$A$4:$A$810,$A487,$E$4:$E$810,"Loss"),-('Guide &amp; Settings'!$C$42/($F487-1))*$X487)))</f>
        <v>0</v>
      </c>
      <c r="K487" s="123">
        <f>IF($D487="",0,'Guide &amp; Settings'!$C$43*(IF($E487="Win",1,0)-$I487))</f>
        <v>0</v>
      </c>
      <c r="L487" s="124">
        <f>IF($D487="",0,'Guide &amp; Settings'!$C$44*IF($F487&gt;=3,$F487+IF($E487="Win",$F487,0),0))</f>
        <v>0</v>
      </c>
      <c r="M487" s="123">
        <f>IF($D487="",0,$J487+$K487+$L487)</f>
        <v>0</v>
      </c>
      <c r="N487" s="121">
        <f>IF($D487="",0,$H487+$M487)</f>
        <v>0</v>
      </c>
      <c r="O487" s="120" t="str">
        <f>IF($D487="","",IF(COUNTIFS($A$4:$A$810,$A487,$E$4:$E$810,"Win")=0,"need a winner",IF(COUNTIFS($A$4:$A$810,$A487,$E$4:$E$810,"Loss")=0,"need a loser",IF(COUNTIFS($A$4:$A$810,$A487,$D$4:$D$810,$D487)&gt;1,"duplicate player","OK"))))</f>
      </c>
      <c r="P487">
        <f>IF($D487="",0,IFERROR(SUMIFS($H$4:$H$810,$A$4:$A$810,$A487,$E$4:$E$810,"Win")/COUNTIFS($A$4:$A$810,$A487,$E$4:$E$810,"Win"),0))</f>
        <v>0</v>
      </c>
      <c r="Q487">
        <f>IF($D487="",0,1/(1+10^(($P487-$H487)/400)))</f>
        <v>0</v>
      </c>
      <c r="R487">
        <f>IF($D487="",0,(COUNTIFS($D$4:$D$810,$D487,$C$4:$C$810,$C487,$E$4:$E$810,"Win",$A$4:$A$810,"&lt;"&amp;$A487)+1)/(COUNTIFS($D$4:$D$810,$D487,$C$4:$C$810,$C487,$A$4:$A$810,"&lt;"&amp;$A487)+2))</f>
        <v>0</v>
      </c>
      <c r="S487">
        <f>IF($D487="",0,SUMIFS($R$4:$R$810,$A$4:$A$810,$A487))</f>
        <v>0</v>
      </c>
      <c r="T487" s="88">
        <f>IF($D487="",0,COUNTIFS($D$4:$D$810,$D487,$C$4:$C$810,$C487,$A$4:$A$810,"&lt;"&amp;$A487))</f>
        <v>0</v>
      </c>
      <c r="U487" s="125">
        <f>IF($D487="",0,IFERROR(LOOKUP(2,1/(($D$3:D486=$D487)*($C$3:C486=$C487)*($A$3:A486&lt;$A487)),$AB$3:AB486),1000))</f>
        <v>0</v>
      </c>
      <c r="V487" s="125">
        <f>IF($D487="",0,$U487*($T487/($T487+5))+$H487*(1-$T487/($T487+5)))</f>
        <v>0</v>
      </c>
      <c r="W487">
        <f>IF($D487="",0,IFERROR(SUMIFS($V$4:$V$810,$A$4:$A$810,$A487,$E$4:$E$810,"Win")/COUNTIFS($A$4:$A$810,$A487,$E$4:$E$810,"Win"),0))</f>
        <v>0</v>
      </c>
      <c r="X487">
        <f>IF($D487="",0,1/(1+10^(($W487-$V487)/400)))</f>
        <v>0</v>
      </c>
      <c r="Y487">
        <f>IF($D487="",0,IFERROR(SUMIFS($U$4:$U$810,$A$4:$A$810,$A487,$E$4:$E$810,"Win")/COUNTIFS($A$4:$A$810,$A487,$E$4:$E$810,"Win"),0))</f>
        <v>0</v>
      </c>
      <c r="Z487">
        <f>IF($D487="",0,1/(1+10^(($Y487-$U487)/400)))</f>
        <v>0</v>
      </c>
      <c r="AA487">
        <f>IF($D487="",0,IF($F487&lt;2,0,IF($E487="Win",('Guide &amp; Settings'!$C$42/(($F487-1)*COUNTIFS($A$4:$A$810,$A487,$E$4:$E$810,"Win")))*SUMIFS($Z$4:$Z$810,$A$4:$A$810,$A487,$E$4:$E$810,"Loss"),-('Guide &amp; Settings'!$C$42/($F487-1))*$Z487)))</f>
        <v>0</v>
      </c>
      <c r="AB487" s="125">
        <f>IF($D487="",0,$U487+$AA487)</f>
        <v>0</v>
      </c>
      <c r="AC487" s="125" t="str">
        <f>IF($D487="","",IF(SUMPRODUCT(MAX(($D$4:$D$810=$D487)*($B$4:$B$810&lt;$B487)*$B$4:$B$810))=0,0,MAX(($B487-MAX(SUMPRODUCT(MAX(($D$4:$D$810=$D487)*($B$4:$B$810&lt;$B487)*$B$4:$B$810)),'Guide &amp; Settings'!$C$50))/7-'Guide &amp; Settings'!$C$48,0)*'Guide &amp; Settings'!$C$49))</f>
      </c>
    </row>
    <row r="488" spans="1:29">
      <c r="A488" s="116"/>
      <c r="B488" s="117"/>
      <c r="C488" s="118"/>
      <c r="D488" s="118"/>
      <c r="E488" s="116"/>
      <c r="F488" s="119">
        <f>IF($D488="",0,COUNTIF($A$4:$A$810,$A488))</f>
        <v>0</v>
      </c>
      <c r="G488" s="120">
        <f>IF($D488="","",IFERROR(LOOKUP(2,1/(($A$4:$A$810=$A488)*($E$4:$E$810="Win")),$D$4:$D$810),"(no winner)"))</f>
        <v>0</v>
      </c>
      <c r="H488" s="121">
        <f>IF($D488="",0,IFERROR(LOOKUP(2,1/(($D$3:D487=$D488)*($A$3:A487&lt;$A488)),$N$3:N487),'Guide &amp; Settings'!$C$41))</f>
        <v>0</v>
      </c>
      <c r="I488" s="122">
        <f>IF($D488="",0,IF($S488=0,0,$R488/$S488))</f>
        <v>0</v>
      </c>
      <c r="J488" s="123">
        <f>IF($D488="",0,IF($F488&lt;2,0,IF($E488="Win",('Guide &amp; Settings'!$C$42/(($F488-1)*COUNTIFS($A$4:$A$810,$A488,$E$4:$E$810,"Win")))*SUMIFS($X$4:$X$810,$A$4:$A$810,$A488,$E$4:$E$810,"Loss"),-('Guide &amp; Settings'!$C$42/($F488-1))*$X488)))</f>
        <v>0</v>
      </c>
      <c r="K488" s="123">
        <f>IF($D488="",0,'Guide &amp; Settings'!$C$43*(IF($E488="Win",1,0)-$I488))</f>
        <v>0</v>
      </c>
      <c r="L488" s="124">
        <f>IF($D488="",0,'Guide &amp; Settings'!$C$44*IF($F488&gt;=3,$F488+IF($E488="Win",$F488,0),0))</f>
        <v>0</v>
      </c>
      <c r="M488" s="123">
        <f>IF($D488="",0,$J488+$K488+$L488)</f>
        <v>0</v>
      </c>
      <c r="N488" s="121">
        <f>IF($D488="",0,$H488+$M488)</f>
        <v>0</v>
      </c>
      <c r="O488" s="120" t="str">
        <f>IF($D488="","",IF(COUNTIFS($A$4:$A$810,$A488,$E$4:$E$810,"Win")=0,"need a winner",IF(COUNTIFS($A$4:$A$810,$A488,$E$4:$E$810,"Loss")=0,"need a loser",IF(COUNTIFS($A$4:$A$810,$A488,$D$4:$D$810,$D488)&gt;1,"duplicate player","OK"))))</f>
      </c>
      <c r="P488">
        <f>IF($D488="",0,IFERROR(SUMIFS($H$4:$H$810,$A$4:$A$810,$A488,$E$4:$E$810,"Win")/COUNTIFS($A$4:$A$810,$A488,$E$4:$E$810,"Win"),0))</f>
        <v>0</v>
      </c>
      <c r="Q488">
        <f>IF($D488="",0,1/(1+10^(($P488-$H488)/400)))</f>
        <v>0</v>
      </c>
      <c r="R488">
        <f>IF($D488="",0,(COUNTIFS($D$4:$D$810,$D488,$C$4:$C$810,$C488,$E$4:$E$810,"Win",$A$4:$A$810,"&lt;"&amp;$A488)+1)/(COUNTIFS($D$4:$D$810,$D488,$C$4:$C$810,$C488,$A$4:$A$810,"&lt;"&amp;$A488)+2))</f>
        <v>0</v>
      </c>
      <c r="S488">
        <f>IF($D488="",0,SUMIFS($R$4:$R$810,$A$4:$A$810,$A488))</f>
        <v>0</v>
      </c>
      <c r="T488" s="88">
        <f>IF($D488="",0,COUNTIFS($D$4:$D$810,$D488,$C$4:$C$810,$C488,$A$4:$A$810,"&lt;"&amp;$A488))</f>
        <v>0</v>
      </c>
      <c r="U488" s="125">
        <f>IF($D488="",0,IFERROR(LOOKUP(2,1/(($D$3:D487=$D488)*($C$3:C487=$C488)*($A$3:A487&lt;$A488)),$AB$3:AB487),1000))</f>
        <v>0</v>
      </c>
      <c r="V488" s="125">
        <f>IF($D488="",0,$U488*($T488/($T488+5))+$H488*(1-$T488/($T488+5)))</f>
        <v>0</v>
      </c>
      <c r="W488">
        <f>IF($D488="",0,IFERROR(SUMIFS($V$4:$V$810,$A$4:$A$810,$A488,$E$4:$E$810,"Win")/COUNTIFS($A$4:$A$810,$A488,$E$4:$E$810,"Win"),0))</f>
        <v>0</v>
      </c>
      <c r="X488">
        <f>IF($D488="",0,1/(1+10^(($W488-$V488)/400)))</f>
        <v>0</v>
      </c>
      <c r="Y488">
        <f>IF($D488="",0,IFERROR(SUMIFS($U$4:$U$810,$A$4:$A$810,$A488,$E$4:$E$810,"Win")/COUNTIFS($A$4:$A$810,$A488,$E$4:$E$810,"Win"),0))</f>
        <v>0</v>
      </c>
      <c r="Z488">
        <f>IF($D488="",0,1/(1+10^(($Y488-$U488)/400)))</f>
        <v>0</v>
      </c>
      <c r="AA488">
        <f>IF($D488="",0,IF($F488&lt;2,0,IF($E488="Win",('Guide &amp; Settings'!$C$42/(($F488-1)*COUNTIFS($A$4:$A$810,$A488,$E$4:$E$810,"Win")))*SUMIFS($Z$4:$Z$810,$A$4:$A$810,$A488,$E$4:$E$810,"Loss"),-('Guide &amp; Settings'!$C$42/($F488-1))*$Z488)))</f>
        <v>0</v>
      </c>
      <c r="AB488" s="125">
        <f>IF($D488="",0,$U488+$AA488)</f>
        <v>0</v>
      </c>
      <c r="AC488" s="125" t="str">
        <f>IF($D488="","",IF(SUMPRODUCT(MAX(($D$4:$D$810=$D488)*($B$4:$B$810&lt;$B488)*$B$4:$B$810))=0,0,MAX(($B488-MAX(SUMPRODUCT(MAX(($D$4:$D$810=$D488)*($B$4:$B$810&lt;$B488)*$B$4:$B$810)),'Guide &amp; Settings'!$C$50))/7-'Guide &amp; Settings'!$C$48,0)*'Guide &amp; Settings'!$C$49))</f>
      </c>
    </row>
    <row r="489" spans="1:29">
      <c r="A489" s="116"/>
      <c r="B489" s="117"/>
      <c r="C489" s="118"/>
      <c r="D489" s="118"/>
      <c r="E489" s="116"/>
      <c r="F489" s="119">
        <f>IF($D489="",0,COUNTIF($A$4:$A$810,$A489))</f>
        <v>0</v>
      </c>
      <c r="G489" s="120">
        <f>IF($D489="","",IFERROR(LOOKUP(2,1/(($A$4:$A$810=$A489)*($E$4:$E$810="Win")),$D$4:$D$810),"(no winner)"))</f>
        <v>0</v>
      </c>
      <c r="H489" s="121">
        <f>IF($D489="",0,IFERROR(LOOKUP(2,1/(($D$3:D488=$D489)*($A$3:A488&lt;$A489)),$N$3:N488),'Guide &amp; Settings'!$C$41))</f>
        <v>0</v>
      </c>
      <c r="I489" s="122">
        <f>IF($D489="",0,IF($S489=0,0,$R489/$S489))</f>
        <v>0</v>
      </c>
      <c r="J489" s="123">
        <f>IF($D489="",0,IF($F489&lt;2,0,IF($E489="Win",('Guide &amp; Settings'!$C$42/(($F489-1)*COUNTIFS($A$4:$A$810,$A489,$E$4:$E$810,"Win")))*SUMIFS($X$4:$X$810,$A$4:$A$810,$A489,$E$4:$E$810,"Loss"),-('Guide &amp; Settings'!$C$42/($F489-1))*$X489)))</f>
        <v>0</v>
      </c>
      <c r="K489" s="123">
        <f>IF($D489="",0,'Guide &amp; Settings'!$C$43*(IF($E489="Win",1,0)-$I489))</f>
        <v>0</v>
      </c>
      <c r="L489" s="124">
        <f>IF($D489="",0,'Guide &amp; Settings'!$C$44*IF($F489&gt;=3,$F489+IF($E489="Win",$F489,0),0))</f>
        <v>0</v>
      </c>
      <c r="M489" s="123">
        <f>IF($D489="",0,$J489+$K489+$L489)</f>
        <v>0</v>
      </c>
      <c r="N489" s="121">
        <f>IF($D489="",0,$H489+$M489)</f>
        <v>0</v>
      </c>
      <c r="O489" s="120" t="str">
        <f>IF($D489="","",IF(COUNTIFS($A$4:$A$810,$A489,$E$4:$E$810,"Win")=0,"need a winner",IF(COUNTIFS($A$4:$A$810,$A489,$E$4:$E$810,"Loss")=0,"need a loser",IF(COUNTIFS($A$4:$A$810,$A489,$D$4:$D$810,$D489)&gt;1,"duplicate player","OK"))))</f>
      </c>
      <c r="P489">
        <f>IF($D489="",0,IFERROR(SUMIFS($H$4:$H$810,$A$4:$A$810,$A489,$E$4:$E$810,"Win")/COUNTIFS($A$4:$A$810,$A489,$E$4:$E$810,"Win"),0))</f>
        <v>0</v>
      </c>
      <c r="Q489">
        <f>IF($D489="",0,1/(1+10^(($P489-$H489)/400)))</f>
        <v>0</v>
      </c>
      <c r="R489">
        <f>IF($D489="",0,(COUNTIFS($D$4:$D$810,$D489,$C$4:$C$810,$C489,$E$4:$E$810,"Win",$A$4:$A$810,"&lt;"&amp;$A489)+1)/(COUNTIFS($D$4:$D$810,$D489,$C$4:$C$810,$C489,$A$4:$A$810,"&lt;"&amp;$A489)+2))</f>
        <v>0</v>
      </c>
      <c r="S489">
        <f>IF($D489="",0,SUMIFS($R$4:$R$810,$A$4:$A$810,$A489))</f>
        <v>0</v>
      </c>
      <c r="T489" s="88">
        <f>IF($D489="",0,COUNTIFS($D$4:$D$810,$D489,$C$4:$C$810,$C489,$A$4:$A$810,"&lt;"&amp;$A489))</f>
        <v>0</v>
      </c>
      <c r="U489" s="125">
        <f>IF($D489="",0,IFERROR(LOOKUP(2,1/(($D$3:D488=$D489)*($C$3:C488=$C489)*($A$3:A488&lt;$A489)),$AB$3:AB488),1000))</f>
        <v>0</v>
      </c>
      <c r="V489" s="125">
        <f>IF($D489="",0,$U489*($T489/($T489+5))+$H489*(1-$T489/($T489+5)))</f>
        <v>0</v>
      </c>
      <c r="W489">
        <f>IF($D489="",0,IFERROR(SUMIFS($V$4:$V$810,$A$4:$A$810,$A489,$E$4:$E$810,"Win")/COUNTIFS($A$4:$A$810,$A489,$E$4:$E$810,"Win"),0))</f>
        <v>0</v>
      </c>
      <c r="X489">
        <f>IF($D489="",0,1/(1+10^(($W489-$V489)/400)))</f>
        <v>0</v>
      </c>
      <c r="Y489">
        <f>IF($D489="",0,IFERROR(SUMIFS($U$4:$U$810,$A$4:$A$810,$A489,$E$4:$E$810,"Win")/COUNTIFS($A$4:$A$810,$A489,$E$4:$E$810,"Win"),0))</f>
        <v>0</v>
      </c>
      <c r="Z489">
        <f>IF($D489="",0,1/(1+10^(($Y489-$U489)/400)))</f>
        <v>0</v>
      </c>
      <c r="AA489">
        <f>IF($D489="",0,IF($F489&lt;2,0,IF($E489="Win",('Guide &amp; Settings'!$C$42/(($F489-1)*COUNTIFS($A$4:$A$810,$A489,$E$4:$E$810,"Win")))*SUMIFS($Z$4:$Z$810,$A$4:$A$810,$A489,$E$4:$E$810,"Loss"),-('Guide &amp; Settings'!$C$42/($F489-1))*$Z489)))</f>
        <v>0</v>
      </c>
      <c r="AB489" s="125">
        <f>IF($D489="",0,$U489+$AA489)</f>
        <v>0</v>
      </c>
      <c r="AC489" s="125" t="str">
        <f>IF($D489="","",IF(SUMPRODUCT(MAX(($D$4:$D$810=$D489)*($B$4:$B$810&lt;$B489)*$B$4:$B$810))=0,0,MAX(($B489-MAX(SUMPRODUCT(MAX(($D$4:$D$810=$D489)*($B$4:$B$810&lt;$B489)*$B$4:$B$810)),'Guide &amp; Settings'!$C$50))/7-'Guide &amp; Settings'!$C$48,0)*'Guide &amp; Settings'!$C$49))</f>
      </c>
    </row>
    <row r="490" spans="1:29">
      <c r="A490" s="116"/>
      <c r="B490" s="117"/>
      <c r="C490" s="118"/>
      <c r="D490" s="118"/>
      <c r="E490" s="116"/>
      <c r="F490" s="119">
        <f>IF($D490="",0,COUNTIF($A$4:$A$810,$A490))</f>
        <v>0</v>
      </c>
      <c r="G490" s="120">
        <f>IF($D490="","",IFERROR(LOOKUP(2,1/(($A$4:$A$810=$A490)*($E$4:$E$810="Win")),$D$4:$D$810),"(no winner)"))</f>
        <v>0</v>
      </c>
      <c r="H490" s="121">
        <f>IF($D490="",0,IFERROR(LOOKUP(2,1/(($D$3:D489=$D490)*($A$3:A489&lt;$A490)),$N$3:N489),'Guide &amp; Settings'!$C$41))</f>
        <v>0</v>
      </c>
      <c r="I490" s="122">
        <f>IF($D490="",0,IF($S490=0,0,$R490/$S490))</f>
        <v>0</v>
      </c>
      <c r="J490" s="123">
        <f>IF($D490="",0,IF($F490&lt;2,0,IF($E490="Win",('Guide &amp; Settings'!$C$42/(($F490-1)*COUNTIFS($A$4:$A$810,$A490,$E$4:$E$810,"Win")))*SUMIFS($X$4:$X$810,$A$4:$A$810,$A490,$E$4:$E$810,"Loss"),-('Guide &amp; Settings'!$C$42/($F490-1))*$X490)))</f>
        <v>0</v>
      </c>
      <c r="K490" s="123">
        <f>IF($D490="",0,'Guide &amp; Settings'!$C$43*(IF($E490="Win",1,0)-$I490))</f>
        <v>0</v>
      </c>
      <c r="L490" s="124">
        <f>IF($D490="",0,'Guide &amp; Settings'!$C$44*IF($F490&gt;=3,$F490+IF($E490="Win",$F490,0),0))</f>
        <v>0</v>
      </c>
      <c r="M490" s="123">
        <f>IF($D490="",0,$J490+$K490+$L490)</f>
        <v>0</v>
      </c>
      <c r="N490" s="121">
        <f>IF($D490="",0,$H490+$M490)</f>
        <v>0</v>
      </c>
      <c r="O490" s="120" t="str">
        <f>IF($D490="","",IF(COUNTIFS($A$4:$A$810,$A490,$E$4:$E$810,"Win")=0,"need a winner",IF(COUNTIFS($A$4:$A$810,$A490,$E$4:$E$810,"Loss")=0,"need a loser",IF(COUNTIFS($A$4:$A$810,$A490,$D$4:$D$810,$D490)&gt;1,"duplicate player","OK"))))</f>
      </c>
      <c r="P490">
        <f>IF($D490="",0,IFERROR(SUMIFS($H$4:$H$810,$A$4:$A$810,$A490,$E$4:$E$810,"Win")/COUNTIFS($A$4:$A$810,$A490,$E$4:$E$810,"Win"),0))</f>
        <v>0</v>
      </c>
      <c r="Q490">
        <f>IF($D490="",0,1/(1+10^(($P490-$H490)/400)))</f>
        <v>0</v>
      </c>
      <c r="R490">
        <f>IF($D490="",0,(COUNTIFS($D$4:$D$810,$D490,$C$4:$C$810,$C490,$E$4:$E$810,"Win",$A$4:$A$810,"&lt;"&amp;$A490)+1)/(COUNTIFS($D$4:$D$810,$D490,$C$4:$C$810,$C490,$A$4:$A$810,"&lt;"&amp;$A490)+2))</f>
        <v>0</v>
      </c>
      <c r="S490">
        <f>IF($D490="",0,SUMIFS($R$4:$R$810,$A$4:$A$810,$A490))</f>
        <v>0</v>
      </c>
      <c r="T490" s="88">
        <f>IF($D490="",0,COUNTIFS($D$4:$D$810,$D490,$C$4:$C$810,$C490,$A$4:$A$810,"&lt;"&amp;$A490))</f>
        <v>0</v>
      </c>
      <c r="U490" s="125">
        <f>IF($D490="",0,IFERROR(LOOKUP(2,1/(($D$3:D489=$D490)*($C$3:C489=$C490)*($A$3:A489&lt;$A490)),$AB$3:AB489),1000))</f>
        <v>0</v>
      </c>
      <c r="V490" s="125">
        <f>IF($D490="",0,$U490*($T490/($T490+5))+$H490*(1-$T490/($T490+5)))</f>
        <v>0</v>
      </c>
      <c r="W490">
        <f>IF($D490="",0,IFERROR(SUMIFS($V$4:$V$810,$A$4:$A$810,$A490,$E$4:$E$810,"Win")/COUNTIFS($A$4:$A$810,$A490,$E$4:$E$810,"Win"),0))</f>
        <v>0</v>
      </c>
      <c r="X490">
        <f>IF($D490="",0,1/(1+10^(($W490-$V490)/400)))</f>
        <v>0</v>
      </c>
      <c r="Y490">
        <f>IF($D490="",0,IFERROR(SUMIFS($U$4:$U$810,$A$4:$A$810,$A490,$E$4:$E$810,"Win")/COUNTIFS($A$4:$A$810,$A490,$E$4:$E$810,"Win"),0))</f>
        <v>0</v>
      </c>
      <c r="Z490">
        <f>IF($D490="",0,1/(1+10^(($Y490-$U490)/400)))</f>
        <v>0</v>
      </c>
      <c r="AA490">
        <f>IF($D490="",0,IF($F490&lt;2,0,IF($E490="Win",('Guide &amp; Settings'!$C$42/(($F490-1)*COUNTIFS($A$4:$A$810,$A490,$E$4:$E$810,"Win")))*SUMIFS($Z$4:$Z$810,$A$4:$A$810,$A490,$E$4:$E$810,"Loss"),-('Guide &amp; Settings'!$C$42/($F490-1))*$Z490)))</f>
        <v>0</v>
      </c>
      <c r="AB490" s="125">
        <f>IF($D490="",0,$U490+$AA490)</f>
        <v>0</v>
      </c>
      <c r="AC490" s="125" t="str">
        <f>IF($D490="","",IF(SUMPRODUCT(MAX(($D$4:$D$810=$D490)*($B$4:$B$810&lt;$B490)*$B$4:$B$810))=0,0,MAX(($B490-MAX(SUMPRODUCT(MAX(($D$4:$D$810=$D490)*($B$4:$B$810&lt;$B490)*$B$4:$B$810)),'Guide &amp; Settings'!$C$50))/7-'Guide &amp; Settings'!$C$48,0)*'Guide &amp; Settings'!$C$49))</f>
      </c>
    </row>
    <row r="491" spans="1:29">
      <c r="A491" s="116"/>
      <c r="B491" s="117"/>
      <c r="C491" s="118"/>
      <c r="D491" s="118"/>
      <c r="E491" s="116"/>
      <c r="F491" s="119">
        <f>IF($D491="",0,COUNTIF($A$4:$A$810,$A491))</f>
        <v>0</v>
      </c>
      <c r="G491" s="120">
        <f>IF($D491="","",IFERROR(LOOKUP(2,1/(($A$4:$A$810=$A491)*($E$4:$E$810="Win")),$D$4:$D$810),"(no winner)"))</f>
        <v>0</v>
      </c>
      <c r="H491" s="121">
        <f>IF($D491="",0,IFERROR(LOOKUP(2,1/(($D$3:D490=$D491)*($A$3:A490&lt;$A491)),$N$3:N490),'Guide &amp; Settings'!$C$41))</f>
        <v>0</v>
      </c>
      <c r="I491" s="122">
        <f>IF($D491="",0,IF($S491=0,0,$R491/$S491))</f>
        <v>0</v>
      </c>
      <c r="J491" s="123">
        <f>IF($D491="",0,IF($F491&lt;2,0,IF($E491="Win",('Guide &amp; Settings'!$C$42/(($F491-1)*COUNTIFS($A$4:$A$810,$A491,$E$4:$E$810,"Win")))*SUMIFS($X$4:$X$810,$A$4:$A$810,$A491,$E$4:$E$810,"Loss"),-('Guide &amp; Settings'!$C$42/($F491-1))*$X491)))</f>
        <v>0</v>
      </c>
      <c r="K491" s="123">
        <f>IF($D491="",0,'Guide &amp; Settings'!$C$43*(IF($E491="Win",1,0)-$I491))</f>
        <v>0</v>
      </c>
      <c r="L491" s="124">
        <f>IF($D491="",0,'Guide &amp; Settings'!$C$44*IF($F491&gt;=3,$F491+IF($E491="Win",$F491,0),0))</f>
        <v>0</v>
      </c>
      <c r="M491" s="123">
        <f>IF($D491="",0,$J491+$K491+$L491)</f>
        <v>0</v>
      </c>
      <c r="N491" s="121">
        <f>IF($D491="",0,$H491+$M491)</f>
        <v>0</v>
      </c>
      <c r="O491" s="120" t="str">
        <f>IF($D491="","",IF(COUNTIFS($A$4:$A$810,$A491,$E$4:$E$810,"Win")=0,"need a winner",IF(COUNTIFS($A$4:$A$810,$A491,$E$4:$E$810,"Loss")=0,"need a loser",IF(COUNTIFS($A$4:$A$810,$A491,$D$4:$D$810,$D491)&gt;1,"duplicate player","OK"))))</f>
      </c>
      <c r="P491">
        <f>IF($D491="",0,IFERROR(SUMIFS($H$4:$H$810,$A$4:$A$810,$A491,$E$4:$E$810,"Win")/COUNTIFS($A$4:$A$810,$A491,$E$4:$E$810,"Win"),0))</f>
        <v>0</v>
      </c>
      <c r="Q491">
        <f>IF($D491="",0,1/(1+10^(($P491-$H491)/400)))</f>
        <v>0</v>
      </c>
      <c r="R491">
        <f>IF($D491="",0,(COUNTIFS($D$4:$D$810,$D491,$C$4:$C$810,$C491,$E$4:$E$810,"Win",$A$4:$A$810,"&lt;"&amp;$A491)+1)/(COUNTIFS($D$4:$D$810,$D491,$C$4:$C$810,$C491,$A$4:$A$810,"&lt;"&amp;$A491)+2))</f>
        <v>0</v>
      </c>
      <c r="S491">
        <f>IF($D491="",0,SUMIFS($R$4:$R$810,$A$4:$A$810,$A491))</f>
        <v>0</v>
      </c>
      <c r="T491" s="88">
        <f>IF($D491="",0,COUNTIFS($D$4:$D$810,$D491,$C$4:$C$810,$C491,$A$4:$A$810,"&lt;"&amp;$A491))</f>
        <v>0</v>
      </c>
      <c r="U491" s="125">
        <f>IF($D491="",0,IFERROR(LOOKUP(2,1/(($D$3:D490=$D491)*($C$3:C490=$C491)*($A$3:A490&lt;$A491)),$AB$3:AB490),1000))</f>
        <v>0</v>
      </c>
      <c r="V491" s="125">
        <f>IF($D491="",0,$U491*($T491/($T491+5))+$H491*(1-$T491/($T491+5)))</f>
        <v>0</v>
      </c>
      <c r="W491">
        <f>IF($D491="",0,IFERROR(SUMIFS($V$4:$V$810,$A$4:$A$810,$A491,$E$4:$E$810,"Win")/COUNTIFS($A$4:$A$810,$A491,$E$4:$E$810,"Win"),0))</f>
        <v>0</v>
      </c>
      <c r="X491">
        <f>IF($D491="",0,1/(1+10^(($W491-$V491)/400)))</f>
        <v>0</v>
      </c>
      <c r="Y491">
        <f>IF($D491="",0,IFERROR(SUMIFS($U$4:$U$810,$A$4:$A$810,$A491,$E$4:$E$810,"Win")/COUNTIFS($A$4:$A$810,$A491,$E$4:$E$810,"Win"),0))</f>
        <v>0</v>
      </c>
      <c r="Z491">
        <f>IF($D491="",0,1/(1+10^(($Y491-$U491)/400)))</f>
        <v>0</v>
      </c>
      <c r="AA491">
        <f>IF($D491="",0,IF($F491&lt;2,0,IF($E491="Win",('Guide &amp; Settings'!$C$42/(($F491-1)*COUNTIFS($A$4:$A$810,$A491,$E$4:$E$810,"Win")))*SUMIFS($Z$4:$Z$810,$A$4:$A$810,$A491,$E$4:$E$810,"Loss"),-('Guide &amp; Settings'!$C$42/($F491-1))*$Z491)))</f>
        <v>0</v>
      </c>
      <c r="AB491" s="125">
        <f>IF($D491="",0,$U491+$AA491)</f>
        <v>0</v>
      </c>
      <c r="AC491" s="125" t="str">
        <f>IF($D491="","",IF(SUMPRODUCT(MAX(($D$4:$D$810=$D491)*($B$4:$B$810&lt;$B491)*$B$4:$B$810))=0,0,MAX(($B491-MAX(SUMPRODUCT(MAX(($D$4:$D$810=$D491)*($B$4:$B$810&lt;$B491)*$B$4:$B$810)),'Guide &amp; Settings'!$C$50))/7-'Guide &amp; Settings'!$C$48,0)*'Guide &amp; Settings'!$C$49))</f>
      </c>
    </row>
    <row r="492" spans="1:29">
      <c r="A492" s="116"/>
      <c r="B492" s="117"/>
      <c r="C492" s="118"/>
      <c r="D492" s="118"/>
      <c r="E492" s="116"/>
      <c r="F492" s="119">
        <f>IF($D492="",0,COUNTIF($A$4:$A$810,$A492))</f>
        <v>0</v>
      </c>
      <c r="G492" s="120">
        <f>IF($D492="","",IFERROR(LOOKUP(2,1/(($A$4:$A$810=$A492)*($E$4:$E$810="Win")),$D$4:$D$810),"(no winner)"))</f>
        <v>0</v>
      </c>
      <c r="H492" s="121">
        <f>IF($D492="",0,IFERROR(LOOKUP(2,1/(($D$3:D491=$D492)*($A$3:A491&lt;$A492)),$N$3:N491),'Guide &amp; Settings'!$C$41))</f>
        <v>0</v>
      </c>
      <c r="I492" s="122">
        <f>IF($D492="",0,IF($S492=0,0,$R492/$S492))</f>
        <v>0</v>
      </c>
      <c r="J492" s="123">
        <f>IF($D492="",0,IF($F492&lt;2,0,IF($E492="Win",('Guide &amp; Settings'!$C$42/(($F492-1)*COUNTIFS($A$4:$A$810,$A492,$E$4:$E$810,"Win")))*SUMIFS($X$4:$X$810,$A$4:$A$810,$A492,$E$4:$E$810,"Loss"),-('Guide &amp; Settings'!$C$42/($F492-1))*$X492)))</f>
        <v>0</v>
      </c>
      <c r="K492" s="123">
        <f>IF($D492="",0,'Guide &amp; Settings'!$C$43*(IF($E492="Win",1,0)-$I492))</f>
        <v>0</v>
      </c>
      <c r="L492" s="124">
        <f>IF($D492="",0,'Guide &amp; Settings'!$C$44*IF($F492&gt;=3,$F492+IF($E492="Win",$F492,0),0))</f>
        <v>0</v>
      </c>
      <c r="M492" s="123">
        <f>IF($D492="",0,$J492+$K492+$L492)</f>
        <v>0</v>
      </c>
      <c r="N492" s="121">
        <f>IF($D492="",0,$H492+$M492)</f>
        <v>0</v>
      </c>
      <c r="O492" s="120" t="str">
        <f>IF($D492="","",IF(COUNTIFS($A$4:$A$810,$A492,$E$4:$E$810,"Win")=0,"need a winner",IF(COUNTIFS($A$4:$A$810,$A492,$E$4:$E$810,"Loss")=0,"need a loser",IF(COUNTIFS($A$4:$A$810,$A492,$D$4:$D$810,$D492)&gt;1,"duplicate player","OK"))))</f>
      </c>
      <c r="P492">
        <f>IF($D492="",0,IFERROR(SUMIFS($H$4:$H$810,$A$4:$A$810,$A492,$E$4:$E$810,"Win")/COUNTIFS($A$4:$A$810,$A492,$E$4:$E$810,"Win"),0))</f>
        <v>0</v>
      </c>
      <c r="Q492">
        <f>IF($D492="",0,1/(1+10^(($P492-$H492)/400)))</f>
        <v>0</v>
      </c>
      <c r="R492">
        <f>IF($D492="",0,(COUNTIFS($D$4:$D$810,$D492,$C$4:$C$810,$C492,$E$4:$E$810,"Win",$A$4:$A$810,"&lt;"&amp;$A492)+1)/(COUNTIFS($D$4:$D$810,$D492,$C$4:$C$810,$C492,$A$4:$A$810,"&lt;"&amp;$A492)+2))</f>
        <v>0</v>
      </c>
      <c r="S492">
        <f>IF($D492="",0,SUMIFS($R$4:$R$810,$A$4:$A$810,$A492))</f>
        <v>0</v>
      </c>
      <c r="T492" s="88">
        <f>IF($D492="",0,COUNTIFS($D$4:$D$810,$D492,$C$4:$C$810,$C492,$A$4:$A$810,"&lt;"&amp;$A492))</f>
        <v>0</v>
      </c>
      <c r="U492" s="125">
        <f>IF($D492="",0,IFERROR(LOOKUP(2,1/(($D$3:D491=$D492)*($C$3:C491=$C492)*($A$3:A491&lt;$A492)),$AB$3:AB491),1000))</f>
        <v>0</v>
      </c>
      <c r="V492" s="125">
        <f>IF($D492="",0,$U492*($T492/($T492+5))+$H492*(1-$T492/($T492+5)))</f>
        <v>0</v>
      </c>
      <c r="W492">
        <f>IF($D492="",0,IFERROR(SUMIFS($V$4:$V$810,$A$4:$A$810,$A492,$E$4:$E$810,"Win")/COUNTIFS($A$4:$A$810,$A492,$E$4:$E$810,"Win"),0))</f>
        <v>0</v>
      </c>
      <c r="X492">
        <f>IF($D492="",0,1/(1+10^(($W492-$V492)/400)))</f>
        <v>0</v>
      </c>
      <c r="Y492">
        <f>IF($D492="",0,IFERROR(SUMIFS($U$4:$U$810,$A$4:$A$810,$A492,$E$4:$E$810,"Win")/COUNTIFS($A$4:$A$810,$A492,$E$4:$E$810,"Win"),0))</f>
        <v>0</v>
      </c>
      <c r="Z492">
        <f>IF($D492="",0,1/(1+10^(($Y492-$U492)/400)))</f>
        <v>0</v>
      </c>
      <c r="AA492">
        <f>IF($D492="",0,IF($F492&lt;2,0,IF($E492="Win",('Guide &amp; Settings'!$C$42/(($F492-1)*COUNTIFS($A$4:$A$810,$A492,$E$4:$E$810,"Win")))*SUMIFS($Z$4:$Z$810,$A$4:$A$810,$A492,$E$4:$E$810,"Loss"),-('Guide &amp; Settings'!$C$42/($F492-1))*$Z492)))</f>
        <v>0</v>
      </c>
      <c r="AB492" s="125">
        <f>IF($D492="",0,$U492+$AA492)</f>
        <v>0</v>
      </c>
      <c r="AC492" s="125" t="str">
        <f>IF($D492="","",IF(SUMPRODUCT(MAX(($D$4:$D$810=$D492)*($B$4:$B$810&lt;$B492)*$B$4:$B$810))=0,0,MAX(($B492-MAX(SUMPRODUCT(MAX(($D$4:$D$810=$D492)*($B$4:$B$810&lt;$B492)*$B$4:$B$810)),'Guide &amp; Settings'!$C$50))/7-'Guide &amp; Settings'!$C$48,0)*'Guide &amp; Settings'!$C$49))</f>
      </c>
    </row>
    <row r="493" spans="1:29">
      <c r="A493" s="116"/>
      <c r="B493" s="117"/>
      <c r="C493" s="118"/>
      <c r="D493" s="118"/>
      <c r="E493" s="116"/>
      <c r="F493" s="119">
        <f>IF($D493="",0,COUNTIF($A$4:$A$810,$A493))</f>
        <v>0</v>
      </c>
      <c r="G493" s="120">
        <f>IF($D493="","",IFERROR(LOOKUP(2,1/(($A$4:$A$810=$A493)*($E$4:$E$810="Win")),$D$4:$D$810),"(no winner)"))</f>
        <v>0</v>
      </c>
      <c r="H493" s="121">
        <f>IF($D493="",0,IFERROR(LOOKUP(2,1/(($D$3:D492=$D493)*($A$3:A492&lt;$A493)),$N$3:N492),'Guide &amp; Settings'!$C$41))</f>
        <v>0</v>
      </c>
      <c r="I493" s="122">
        <f>IF($D493="",0,IF($S493=0,0,$R493/$S493))</f>
        <v>0</v>
      </c>
      <c r="J493" s="123">
        <f>IF($D493="",0,IF($F493&lt;2,0,IF($E493="Win",('Guide &amp; Settings'!$C$42/(($F493-1)*COUNTIFS($A$4:$A$810,$A493,$E$4:$E$810,"Win")))*SUMIFS($X$4:$X$810,$A$4:$A$810,$A493,$E$4:$E$810,"Loss"),-('Guide &amp; Settings'!$C$42/($F493-1))*$X493)))</f>
        <v>0</v>
      </c>
      <c r="K493" s="123">
        <f>IF($D493="",0,'Guide &amp; Settings'!$C$43*(IF($E493="Win",1,0)-$I493))</f>
        <v>0</v>
      </c>
      <c r="L493" s="124">
        <f>IF($D493="",0,'Guide &amp; Settings'!$C$44*IF($F493&gt;=3,$F493+IF($E493="Win",$F493,0),0))</f>
        <v>0</v>
      </c>
      <c r="M493" s="123">
        <f>IF($D493="",0,$J493+$K493+$L493)</f>
        <v>0</v>
      </c>
      <c r="N493" s="121">
        <f>IF($D493="",0,$H493+$M493)</f>
        <v>0</v>
      </c>
      <c r="O493" s="120" t="str">
        <f>IF($D493="","",IF(COUNTIFS($A$4:$A$810,$A493,$E$4:$E$810,"Win")=0,"need a winner",IF(COUNTIFS($A$4:$A$810,$A493,$E$4:$E$810,"Loss")=0,"need a loser",IF(COUNTIFS($A$4:$A$810,$A493,$D$4:$D$810,$D493)&gt;1,"duplicate player","OK"))))</f>
      </c>
      <c r="P493">
        <f>IF($D493="",0,IFERROR(SUMIFS($H$4:$H$810,$A$4:$A$810,$A493,$E$4:$E$810,"Win")/COUNTIFS($A$4:$A$810,$A493,$E$4:$E$810,"Win"),0))</f>
        <v>0</v>
      </c>
      <c r="Q493">
        <f>IF($D493="",0,1/(1+10^(($P493-$H493)/400)))</f>
        <v>0</v>
      </c>
      <c r="R493">
        <f>IF($D493="",0,(COUNTIFS($D$4:$D$810,$D493,$C$4:$C$810,$C493,$E$4:$E$810,"Win",$A$4:$A$810,"&lt;"&amp;$A493)+1)/(COUNTIFS($D$4:$D$810,$D493,$C$4:$C$810,$C493,$A$4:$A$810,"&lt;"&amp;$A493)+2))</f>
        <v>0</v>
      </c>
      <c r="S493">
        <f>IF($D493="",0,SUMIFS($R$4:$R$810,$A$4:$A$810,$A493))</f>
        <v>0</v>
      </c>
      <c r="T493" s="88">
        <f>IF($D493="",0,COUNTIFS($D$4:$D$810,$D493,$C$4:$C$810,$C493,$A$4:$A$810,"&lt;"&amp;$A493))</f>
        <v>0</v>
      </c>
      <c r="U493" s="125">
        <f>IF($D493="",0,IFERROR(LOOKUP(2,1/(($D$3:D492=$D493)*($C$3:C492=$C493)*($A$3:A492&lt;$A493)),$AB$3:AB492),1000))</f>
        <v>0</v>
      </c>
      <c r="V493" s="125">
        <f>IF($D493="",0,$U493*($T493/($T493+5))+$H493*(1-$T493/($T493+5)))</f>
        <v>0</v>
      </c>
      <c r="W493">
        <f>IF($D493="",0,IFERROR(SUMIFS($V$4:$V$810,$A$4:$A$810,$A493,$E$4:$E$810,"Win")/COUNTIFS($A$4:$A$810,$A493,$E$4:$E$810,"Win"),0))</f>
        <v>0</v>
      </c>
      <c r="X493">
        <f>IF($D493="",0,1/(1+10^(($W493-$V493)/400)))</f>
        <v>0</v>
      </c>
      <c r="Y493">
        <f>IF($D493="",0,IFERROR(SUMIFS($U$4:$U$810,$A$4:$A$810,$A493,$E$4:$E$810,"Win")/COUNTIFS($A$4:$A$810,$A493,$E$4:$E$810,"Win"),0))</f>
        <v>0</v>
      </c>
      <c r="Z493">
        <f>IF($D493="",0,1/(1+10^(($Y493-$U493)/400)))</f>
        <v>0</v>
      </c>
      <c r="AA493">
        <f>IF($D493="",0,IF($F493&lt;2,0,IF($E493="Win",('Guide &amp; Settings'!$C$42/(($F493-1)*COUNTIFS($A$4:$A$810,$A493,$E$4:$E$810,"Win")))*SUMIFS($Z$4:$Z$810,$A$4:$A$810,$A493,$E$4:$E$810,"Loss"),-('Guide &amp; Settings'!$C$42/($F493-1))*$Z493)))</f>
        <v>0</v>
      </c>
      <c r="AB493" s="125">
        <f>IF($D493="",0,$U493+$AA493)</f>
        <v>0</v>
      </c>
      <c r="AC493" s="125" t="str">
        <f>IF($D493="","",IF(SUMPRODUCT(MAX(($D$4:$D$810=$D493)*($B$4:$B$810&lt;$B493)*$B$4:$B$810))=0,0,MAX(($B493-MAX(SUMPRODUCT(MAX(($D$4:$D$810=$D493)*($B$4:$B$810&lt;$B493)*$B$4:$B$810)),'Guide &amp; Settings'!$C$50))/7-'Guide &amp; Settings'!$C$48,0)*'Guide &amp; Settings'!$C$49))</f>
      </c>
    </row>
    <row r="494" spans="1:29">
      <c r="A494" s="116"/>
      <c r="B494" s="117"/>
      <c r="C494" s="118"/>
      <c r="D494" s="118"/>
      <c r="E494" s="116"/>
      <c r="F494" s="119">
        <f>IF($D494="",0,COUNTIF($A$4:$A$810,$A494))</f>
        <v>0</v>
      </c>
      <c r="G494" s="120">
        <f>IF($D494="","",IFERROR(LOOKUP(2,1/(($A$4:$A$810=$A494)*($E$4:$E$810="Win")),$D$4:$D$810),"(no winner)"))</f>
        <v>0</v>
      </c>
      <c r="H494" s="121">
        <f>IF($D494="",0,IFERROR(LOOKUP(2,1/(($D$3:D493=$D494)*($A$3:A493&lt;$A494)),$N$3:N493),'Guide &amp; Settings'!$C$41))</f>
        <v>0</v>
      </c>
      <c r="I494" s="122">
        <f>IF($D494="",0,IF($S494=0,0,$R494/$S494))</f>
        <v>0</v>
      </c>
      <c r="J494" s="123">
        <f>IF($D494="",0,IF($F494&lt;2,0,IF($E494="Win",('Guide &amp; Settings'!$C$42/(($F494-1)*COUNTIFS($A$4:$A$810,$A494,$E$4:$E$810,"Win")))*SUMIFS($X$4:$X$810,$A$4:$A$810,$A494,$E$4:$E$810,"Loss"),-('Guide &amp; Settings'!$C$42/($F494-1))*$X494)))</f>
        <v>0</v>
      </c>
      <c r="K494" s="123">
        <f>IF($D494="",0,'Guide &amp; Settings'!$C$43*(IF($E494="Win",1,0)-$I494))</f>
        <v>0</v>
      </c>
      <c r="L494" s="124">
        <f>IF($D494="",0,'Guide &amp; Settings'!$C$44*IF($F494&gt;=3,$F494+IF($E494="Win",$F494,0),0))</f>
        <v>0</v>
      </c>
      <c r="M494" s="123">
        <f>IF($D494="",0,$J494+$K494+$L494)</f>
        <v>0</v>
      </c>
      <c r="N494" s="121">
        <f>IF($D494="",0,$H494+$M494)</f>
        <v>0</v>
      </c>
      <c r="O494" s="120" t="str">
        <f>IF($D494="","",IF(COUNTIFS($A$4:$A$810,$A494,$E$4:$E$810,"Win")=0,"need a winner",IF(COUNTIFS($A$4:$A$810,$A494,$E$4:$E$810,"Loss")=0,"need a loser",IF(COUNTIFS($A$4:$A$810,$A494,$D$4:$D$810,$D494)&gt;1,"duplicate player","OK"))))</f>
      </c>
      <c r="P494">
        <f>IF($D494="",0,IFERROR(SUMIFS($H$4:$H$810,$A$4:$A$810,$A494,$E$4:$E$810,"Win")/COUNTIFS($A$4:$A$810,$A494,$E$4:$E$810,"Win"),0))</f>
        <v>0</v>
      </c>
      <c r="Q494">
        <f>IF($D494="",0,1/(1+10^(($P494-$H494)/400)))</f>
        <v>0</v>
      </c>
      <c r="R494">
        <f>IF($D494="",0,(COUNTIFS($D$4:$D$810,$D494,$C$4:$C$810,$C494,$E$4:$E$810,"Win",$A$4:$A$810,"&lt;"&amp;$A494)+1)/(COUNTIFS($D$4:$D$810,$D494,$C$4:$C$810,$C494,$A$4:$A$810,"&lt;"&amp;$A494)+2))</f>
        <v>0</v>
      </c>
      <c r="S494">
        <f>IF($D494="",0,SUMIFS($R$4:$R$810,$A$4:$A$810,$A494))</f>
        <v>0</v>
      </c>
      <c r="T494" s="88">
        <f>IF($D494="",0,COUNTIFS($D$4:$D$810,$D494,$C$4:$C$810,$C494,$A$4:$A$810,"&lt;"&amp;$A494))</f>
        <v>0</v>
      </c>
      <c r="U494" s="125">
        <f>IF($D494="",0,IFERROR(LOOKUP(2,1/(($D$3:D493=$D494)*($C$3:C493=$C494)*($A$3:A493&lt;$A494)),$AB$3:AB493),1000))</f>
        <v>0</v>
      </c>
      <c r="V494" s="125">
        <f>IF($D494="",0,$U494*($T494/($T494+5))+$H494*(1-$T494/($T494+5)))</f>
        <v>0</v>
      </c>
      <c r="W494">
        <f>IF($D494="",0,IFERROR(SUMIFS($V$4:$V$810,$A$4:$A$810,$A494,$E$4:$E$810,"Win")/COUNTIFS($A$4:$A$810,$A494,$E$4:$E$810,"Win"),0))</f>
        <v>0</v>
      </c>
      <c r="X494">
        <f>IF($D494="",0,1/(1+10^(($W494-$V494)/400)))</f>
        <v>0</v>
      </c>
      <c r="Y494">
        <f>IF($D494="",0,IFERROR(SUMIFS($U$4:$U$810,$A$4:$A$810,$A494,$E$4:$E$810,"Win")/COUNTIFS($A$4:$A$810,$A494,$E$4:$E$810,"Win"),0))</f>
        <v>0</v>
      </c>
      <c r="Z494">
        <f>IF($D494="",0,1/(1+10^(($Y494-$U494)/400)))</f>
        <v>0</v>
      </c>
      <c r="AA494">
        <f>IF($D494="",0,IF($F494&lt;2,0,IF($E494="Win",('Guide &amp; Settings'!$C$42/(($F494-1)*COUNTIFS($A$4:$A$810,$A494,$E$4:$E$810,"Win")))*SUMIFS($Z$4:$Z$810,$A$4:$A$810,$A494,$E$4:$E$810,"Loss"),-('Guide &amp; Settings'!$C$42/($F494-1))*$Z494)))</f>
        <v>0</v>
      </c>
      <c r="AB494" s="125">
        <f>IF($D494="",0,$U494+$AA494)</f>
        <v>0</v>
      </c>
      <c r="AC494" s="125" t="str">
        <f>IF($D494="","",IF(SUMPRODUCT(MAX(($D$4:$D$810=$D494)*($B$4:$B$810&lt;$B494)*$B$4:$B$810))=0,0,MAX(($B494-MAX(SUMPRODUCT(MAX(($D$4:$D$810=$D494)*($B$4:$B$810&lt;$B494)*$B$4:$B$810)),'Guide &amp; Settings'!$C$50))/7-'Guide &amp; Settings'!$C$48,0)*'Guide &amp; Settings'!$C$49))</f>
      </c>
    </row>
    <row r="495" spans="1:29">
      <c r="A495" s="116"/>
      <c r="B495" s="117"/>
      <c r="C495" s="118"/>
      <c r="D495" s="118"/>
      <c r="E495" s="116"/>
      <c r="F495" s="119">
        <f>IF($D495="",0,COUNTIF($A$4:$A$810,$A495))</f>
        <v>0</v>
      </c>
      <c r="G495" s="120">
        <f>IF($D495="","",IFERROR(LOOKUP(2,1/(($A$4:$A$810=$A495)*($E$4:$E$810="Win")),$D$4:$D$810),"(no winner)"))</f>
        <v>0</v>
      </c>
      <c r="H495" s="121">
        <f>IF($D495="",0,IFERROR(LOOKUP(2,1/(($D$3:D494=$D495)*($A$3:A494&lt;$A495)),$N$3:N494),'Guide &amp; Settings'!$C$41))</f>
        <v>0</v>
      </c>
      <c r="I495" s="122">
        <f>IF($D495="",0,IF($S495=0,0,$R495/$S495))</f>
        <v>0</v>
      </c>
      <c r="J495" s="123">
        <f>IF($D495="",0,IF($F495&lt;2,0,IF($E495="Win",('Guide &amp; Settings'!$C$42/(($F495-1)*COUNTIFS($A$4:$A$810,$A495,$E$4:$E$810,"Win")))*SUMIFS($X$4:$X$810,$A$4:$A$810,$A495,$E$4:$E$810,"Loss"),-('Guide &amp; Settings'!$C$42/($F495-1))*$X495)))</f>
        <v>0</v>
      </c>
      <c r="K495" s="123">
        <f>IF($D495="",0,'Guide &amp; Settings'!$C$43*(IF($E495="Win",1,0)-$I495))</f>
        <v>0</v>
      </c>
      <c r="L495" s="124">
        <f>IF($D495="",0,'Guide &amp; Settings'!$C$44*IF($F495&gt;=3,$F495+IF($E495="Win",$F495,0),0))</f>
        <v>0</v>
      </c>
      <c r="M495" s="123">
        <f>IF($D495="",0,$J495+$K495+$L495)</f>
        <v>0</v>
      </c>
      <c r="N495" s="121">
        <f>IF($D495="",0,$H495+$M495)</f>
        <v>0</v>
      </c>
      <c r="O495" s="120" t="str">
        <f>IF($D495="","",IF(COUNTIFS($A$4:$A$810,$A495,$E$4:$E$810,"Win")=0,"need a winner",IF(COUNTIFS($A$4:$A$810,$A495,$E$4:$E$810,"Loss")=0,"need a loser",IF(COUNTIFS($A$4:$A$810,$A495,$D$4:$D$810,$D495)&gt;1,"duplicate player","OK"))))</f>
      </c>
      <c r="P495">
        <f>IF($D495="",0,IFERROR(SUMIFS($H$4:$H$810,$A$4:$A$810,$A495,$E$4:$E$810,"Win")/COUNTIFS($A$4:$A$810,$A495,$E$4:$E$810,"Win"),0))</f>
        <v>0</v>
      </c>
      <c r="Q495">
        <f>IF($D495="",0,1/(1+10^(($P495-$H495)/400)))</f>
        <v>0</v>
      </c>
      <c r="R495">
        <f>IF($D495="",0,(COUNTIFS($D$4:$D$810,$D495,$C$4:$C$810,$C495,$E$4:$E$810,"Win",$A$4:$A$810,"&lt;"&amp;$A495)+1)/(COUNTIFS($D$4:$D$810,$D495,$C$4:$C$810,$C495,$A$4:$A$810,"&lt;"&amp;$A495)+2))</f>
        <v>0</v>
      </c>
      <c r="S495">
        <f>IF($D495="",0,SUMIFS($R$4:$R$810,$A$4:$A$810,$A495))</f>
        <v>0</v>
      </c>
      <c r="T495" s="88">
        <f>IF($D495="",0,COUNTIFS($D$4:$D$810,$D495,$C$4:$C$810,$C495,$A$4:$A$810,"&lt;"&amp;$A495))</f>
        <v>0</v>
      </c>
      <c r="U495" s="125">
        <f>IF($D495="",0,IFERROR(LOOKUP(2,1/(($D$3:D494=$D495)*($C$3:C494=$C495)*($A$3:A494&lt;$A495)),$AB$3:AB494),1000))</f>
        <v>0</v>
      </c>
      <c r="V495" s="125">
        <f>IF($D495="",0,$U495*($T495/($T495+5))+$H495*(1-$T495/($T495+5)))</f>
        <v>0</v>
      </c>
      <c r="W495">
        <f>IF($D495="",0,IFERROR(SUMIFS($V$4:$V$810,$A$4:$A$810,$A495,$E$4:$E$810,"Win")/COUNTIFS($A$4:$A$810,$A495,$E$4:$E$810,"Win"),0))</f>
        <v>0</v>
      </c>
      <c r="X495">
        <f>IF($D495="",0,1/(1+10^(($W495-$V495)/400)))</f>
        <v>0</v>
      </c>
      <c r="Y495">
        <f>IF($D495="",0,IFERROR(SUMIFS($U$4:$U$810,$A$4:$A$810,$A495,$E$4:$E$810,"Win")/COUNTIFS($A$4:$A$810,$A495,$E$4:$E$810,"Win"),0))</f>
        <v>0</v>
      </c>
      <c r="Z495">
        <f>IF($D495="",0,1/(1+10^(($Y495-$U495)/400)))</f>
        <v>0</v>
      </c>
      <c r="AA495">
        <f>IF($D495="",0,IF($F495&lt;2,0,IF($E495="Win",('Guide &amp; Settings'!$C$42/(($F495-1)*COUNTIFS($A$4:$A$810,$A495,$E$4:$E$810,"Win")))*SUMIFS($Z$4:$Z$810,$A$4:$A$810,$A495,$E$4:$E$810,"Loss"),-('Guide &amp; Settings'!$C$42/($F495-1))*$Z495)))</f>
        <v>0</v>
      </c>
      <c r="AB495" s="125">
        <f>IF($D495="",0,$U495+$AA495)</f>
        <v>0</v>
      </c>
      <c r="AC495" s="125" t="str">
        <f>IF($D495="","",IF(SUMPRODUCT(MAX(($D$4:$D$810=$D495)*($B$4:$B$810&lt;$B495)*$B$4:$B$810))=0,0,MAX(($B495-MAX(SUMPRODUCT(MAX(($D$4:$D$810=$D495)*($B$4:$B$810&lt;$B495)*$B$4:$B$810)),'Guide &amp; Settings'!$C$50))/7-'Guide &amp; Settings'!$C$48,0)*'Guide &amp; Settings'!$C$49))</f>
      </c>
    </row>
    <row r="496" spans="1:29">
      <c r="A496" s="116"/>
      <c r="B496" s="117"/>
      <c r="C496" s="118"/>
      <c r="D496" s="118"/>
      <c r="E496" s="116"/>
      <c r="F496" s="119">
        <f>IF($D496="",0,COUNTIF($A$4:$A$810,$A496))</f>
        <v>0</v>
      </c>
      <c r="G496" s="120">
        <f>IF($D496="","",IFERROR(LOOKUP(2,1/(($A$4:$A$810=$A496)*($E$4:$E$810="Win")),$D$4:$D$810),"(no winner)"))</f>
        <v>0</v>
      </c>
      <c r="H496" s="121">
        <f>IF($D496="",0,IFERROR(LOOKUP(2,1/(($D$3:D495=$D496)*($A$3:A495&lt;$A496)),$N$3:N495),'Guide &amp; Settings'!$C$41))</f>
        <v>0</v>
      </c>
      <c r="I496" s="122">
        <f>IF($D496="",0,IF($S496=0,0,$R496/$S496))</f>
        <v>0</v>
      </c>
      <c r="J496" s="123">
        <f>IF($D496="",0,IF($F496&lt;2,0,IF($E496="Win",('Guide &amp; Settings'!$C$42/(($F496-1)*COUNTIFS($A$4:$A$810,$A496,$E$4:$E$810,"Win")))*SUMIFS($X$4:$X$810,$A$4:$A$810,$A496,$E$4:$E$810,"Loss"),-('Guide &amp; Settings'!$C$42/($F496-1))*$X496)))</f>
        <v>0</v>
      </c>
      <c r="K496" s="123">
        <f>IF($D496="",0,'Guide &amp; Settings'!$C$43*(IF($E496="Win",1,0)-$I496))</f>
        <v>0</v>
      </c>
      <c r="L496" s="124">
        <f>IF($D496="",0,'Guide &amp; Settings'!$C$44*IF($F496&gt;=3,$F496+IF($E496="Win",$F496,0),0))</f>
        <v>0</v>
      </c>
      <c r="M496" s="123">
        <f>IF($D496="",0,$J496+$K496+$L496)</f>
        <v>0</v>
      </c>
      <c r="N496" s="121">
        <f>IF($D496="",0,$H496+$M496)</f>
        <v>0</v>
      </c>
      <c r="O496" s="120" t="str">
        <f>IF($D496="","",IF(COUNTIFS($A$4:$A$810,$A496,$E$4:$E$810,"Win")=0,"need a winner",IF(COUNTIFS($A$4:$A$810,$A496,$E$4:$E$810,"Loss")=0,"need a loser",IF(COUNTIFS($A$4:$A$810,$A496,$D$4:$D$810,$D496)&gt;1,"duplicate player","OK"))))</f>
      </c>
      <c r="P496">
        <f>IF($D496="",0,IFERROR(SUMIFS($H$4:$H$810,$A$4:$A$810,$A496,$E$4:$E$810,"Win")/COUNTIFS($A$4:$A$810,$A496,$E$4:$E$810,"Win"),0))</f>
        <v>0</v>
      </c>
      <c r="Q496">
        <f>IF($D496="",0,1/(1+10^(($P496-$H496)/400)))</f>
        <v>0</v>
      </c>
      <c r="R496">
        <f>IF($D496="",0,(COUNTIFS($D$4:$D$810,$D496,$C$4:$C$810,$C496,$E$4:$E$810,"Win",$A$4:$A$810,"&lt;"&amp;$A496)+1)/(COUNTIFS($D$4:$D$810,$D496,$C$4:$C$810,$C496,$A$4:$A$810,"&lt;"&amp;$A496)+2))</f>
        <v>0</v>
      </c>
      <c r="S496">
        <f>IF($D496="",0,SUMIFS($R$4:$R$810,$A$4:$A$810,$A496))</f>
        <v>0</v>
      </c>
      <c r="T496" s="88">
        <f>IF($D496="",0,COUNTIFS($D$4:$D$810,$D496,$C$4:$C$810,$C496,$A$4:$A$810,"&lt;"&amp;$A496))</f>
        <v>0</v>
      </c>
      <c r="U496" s="125">
        <f>IF($D496="",0,IFERROR(LOOKUP(2,1/(($D$3:D495=$D496)*($C$3:C495=$C496)*($A$3:A495&lt;$A496)),$AB$3:AB495),1000))</f>
        <v>0</v>
      </c>
      <c r="V496" s="125">
        <f>IF($D496="",0,$U496*($T496/($T496+5))+$H496*(1-$T496/($T496+5)))</f>
        <v>0</v>
      </c>
      <c r="W496">
        <f>IF($D496="",0,IFERROR(SUMIFS($V$4:$V$810,$A$4:$A$810,$A496,$E$4:$E$810,"Win")/COUNTIFS($A$4:$A$810,$A496,$E$4:$E$810,"Win"),0))</f>
        <v>0</v>
      </c>
      <c r="X496">
        <f>IF($D496="",0,1/(1+10^(($W496-$V496)/400)))</f>
        <v>0</v>
      </c>
      <c r="Y496">
        <f>IF($D496="",0,IFERROR(SUMIFS($U$4:$U$810,$A$4:$A$810,$A496,$E$4:$E$810,"Win")/COUNTIFS($A$4:$A$810,$A496,$E$4:$E$810,"Win"),0))</f>
        <v>0</v>
      </c>
      <c r="Z496">
        <f>IF($D496="",0,1/(1+10^(($Y496-$U496)/400)))</f>
        <v>0</v>
      </c>
      <c r="AA496">
        <f>IF($D496="",0,IF($F496&lt;2,0,IF($E496="Win",('Guide &amp; Settings'!$C$42/(($F496-1)*COUNTIFS($A$4:$A$810,$A496,$E$4:$E$810,"Win")))*SUMIFS($Z$4:$Z$810,$A$4:$A$810,$A496,$E$4:$E$810,"Loss"),-('Guide &amp; Settings'!$C$42/($F496-1))*$Z496)))</f>
        <v>0</v>
      </c>
      <c r="AB496" s="125">
        <f>IF($D496="",0,$U496+$AA496)</f>
        <v>0</v>
      </c>
      <c r="AC496" s="125" t="str">
        <f>IF($D496="","",IF(SUMPRODUCT(MAX(($D$4:$D$810=$D496)*($B$4:$B$810&lt;$B496)*$B$4:$B$810))=0,0,MAX(($B496-MAX(SUMPRODUCT(MAX(($D$4:$D$810=$D496)*($B$4:$B$810&lt;$B496)*$B$4:$B$810)),'Guide &amp; Settings'!$C$50))/7-'Guide &amp; Settings'!$C$48,0)*'Guide &amp; Settings'!$C$49))</f>
      </c>
    </row>
    <row r="497" spans="1:29">
      <c r="A497" s="116"/>
      <c r="B497" s="117"/>
      <c r="C497" s="118"/>
      <c r="D497" s="118"/>
      <c r="E497" s="116"/>
      <c r="F497" s="119">
        <f>IF($D497="",0,COUNTIF($A$4:$A$810,$A497))</f>
        <v>0</v>
      </c>
      <c r="G497" s="120">
        <f>IF($D497="","",IFERROR(LOOKUP(2,1/(($A$4:$A$810=$A497)*($E$4:$E$810="Win")),$D$4:$D$810),"(no winner)"))</f>
        <v>0</v>
      </c>
      <c r="H497" s="121">
        <f>IF($D497="",0,IFERROR(LOOKUP(2,1/(($D$3:D496=$D497)*($A$3:A496&lt;$A497)),$N$3:N496),'Guide &amp; Settings'!$C$41))</f>
        <v>0</v>
      </c>
      <c r="I497" s="122">
        <f>IF($D497="",0,IF($S497=0,0,$R497/$S497))</f>
        <v>0</v>
      </c>
      <c r="J497" s="123">
        <f>IF($D497="",0,IF($F497&lt;2,0,IF($E497="Win",('Guide &amp; Settings'!$C$42/(($F497-1)*COUNTIFS($A$4:$A$810,$A497,$E$4:$E$810,"Win")))*SUMIFS($X$4:$X$810,$A$4:$A$810,$A497,$E$4:$E$810,"Loss"),-('Guide &amp; Settings'!$C$42/($F497-1))*$X497)))</f>
        <v>0</v>
      </c>
      <c r="K497" s="123">
        <f>IF($D497="",0,'Guide &amp; Settings'!$C$43*(IF($E497="Win",1,0)-$I497))</f>
        <v>0</v>
      </c>
      <c r="L497" s="124">
        <f>IF($D497="",0,'Guide &amp; Settings'!$C$44*IF($F497&gt;=3,$F497+IF($E497="Win",$F497,0),0))</f>
        <v>0</v>
      </c>
      <c r="M497" s="123">
        <f>IF($D497="",0,$J497+$K497+$L497)</f>
        <v>0</v>
      </c>
      <c r="N497" s="121">
        <f>IF($D497="",0,$H497+$M497)</f>
        <v>0</v>
      </c>
      <c r="O497" s="120" t="str">
        <f>IF($D497="","",IF(COUNTIFS($A$4:$A$810,$A497,$E$4:$E$810,"Win")=0,"need a winner",IF(COUNTIFS($A$4:$A$810,$A497,$E$4:$E$810,"Loss")=0,"need a loser",IF(COUNTIFS($A$4:$A$810,$A497,$D$4:$D$810,$D497)&gt;1,"duplicate player","OK"))))</f>
      </c>
      <c r="P497">
        <f>IF($D497="",0,IFERROR(SUMIFS($H$4:$H$810,$A$4:$A$810,$A497,$E$4:$E$810,"Win")/COUNTIFS($A$4:$A$810,$A497,$E$4:$E$810,"Win"),0))</f>
        <v>0</v>
      </c>
      <c r="Q497">
        <f>IF($D497="",0,1/(1+10^(($P497-$H497)/400)))</f>
        <v>0</v>
      </c>
      <c r="R497">
        <f>IF($D497="",0,(COUNTIFS($D$4:$D$810,$D497,$C$4:$C$810,$C497,$E$4:$E$810,"Win",$A$4:$A$810,"&lt;"&amp;$A497)+1)/(COUNTIFS($D$4:$D$810,$D497,$C$4:$C$810,$C497,$A$4:$A$810,"&lt;"&amp;$A497)+2))</f>
        <v>0</v>
      </c>
      <c r="S497">
        <f>IF($D497="",0,SUMIFS($R$4:$R$810,$A$4:$A$810,$A497))</f>
        <v>0</v>
      </c>
      <c r="T497" s="88">
        <f>IF($D497="",0,COUNTIFS($D$4:$D$810,$D497,$C$4:$C$810,$C497,$A$4:$A$810,"&lt;"&amp;$A497))</f>
        <v>0</v>
      </c>
      <c r="U497" s="125">
        <f>IF($D497="",0,IFERROR(LOOKUP(2,1/(($D$3:D496=$D497)*($C$3:C496=$C497)*($A$3:A496&lt;$A497)),$AB$3:AB496),1000))</f>
        <v>0</v>
      </c>
      <c r="V497" s="125">
        <f>IF($D497="",0,$U497*($T497/($T497+5))+$H497*(1-$T497/($T497+5)))</f>
        <v>0</v>
      </c>
      <c r="W497">
        <f>IF($D497="",0,IFERROR(SUMIFS($V$4:$V$810,$A$4:$A$810,$A497,$E$4:$E$810,"Win")/COUNTIFS($A$4:$A$810,$A497,$E$4:$E$810,"Win"),0))</f>
        <v>0</v>
      </c>
      <c r="X497">
        <f>IF($D497="",0,1/(1+10^(($W497-$V497)/400)))</f>
        <v>0</v>
      </c>
      <c r="Y497">
        <f>IF($D497="",0,IFERROR(SUMIFS($U$4:$U$810,$A$4:$A$810,$A497,$E$4:$E$810,"Win")/COUNTIFS($A$4:$A$810,$A497,$E$4:$E$810,"Win"),0))</f>
        <v>0</v>
      </c>
      <c r="Z497">
        <f>IF($D497="",0,1/(1+10^(($Y497-$U497)/400)))</f>
        <v>0</v>
      </c>
      <c r="AA497">
        <f>IF($D497="",0,IF($F497&lt;2,0,IF($E497="Win",('Guide &amp; Settings'!$C$42/(($F497-1)*COUNTIFS($A$4:$A$810,$A497,$E$4:$E$810,"Win")))*SUMIFS($Z$4:$Z$810,$A$4:$A$810,$A497,$E$4:$E$810,"Loss"),-('Guide &amp; Settings'!$C$42/($F497-1))*$Z497)))</f>
        <v>0</v>
      </c>
      <c r="AB497" s="125">
        <f>IF($D497="",0,$U497+$AA497)</f>
        <v>0</v>
      </c>
      <c r="AC497" s="125" t="str">
        <f>IF($D497="","",IF(SUMPRODUCT(MAX(($D$4:$D$810=$D497)*($B$4:$B$810&lt;$B497)*$B$4:$B$810))=0,0,MAX(($B497-MAX(SUMPRODUCT(MAX(($D$4:$D$810=$D497)*($B$4:$B$810&lt;$B497)*$B$4:$B$810)),'Guide &amp; Settings'!$C$50))/7-'Guide &amp; Settings'!$C$48,0)*'Guide &amp; Settings'!$C$49))</f>
      </c>
    </row>
    <row r="498" spans="1:29">
      <c r="A498" s="116"/>
      <c r="B498" s="117"/>
      <c r="C498" s="118"/>
      <c r="D498" s="118"/>
      <c r="E498" s="116"/>
      <c r="F498" s="119">
        <f>IF($D498="",0,COUNTIF($A$4:$A$810,$A498))</f>
        <v>0</v>
      </c>
      <c r="G498" s="120">
        <f>IF($D498="","",IFERROR(LOOKUP(2,1/(($A$4:$A$810=$A498)*($E$4:$E$810="Win")),$D$4:$D$810),"(no winner)"))</f>
        <v>0</v>
      </c>
      <c r="H498" s="121">
        <f>IF($D498="",0,IFERROR(LOOKUP(2,1/(($D$3:D497=$D498)*($A$3:A497&lt;$A498)),$N$3:N497),'Guide &amp; Settings'!$C$41))</f>
        <v>0</v>
      </c>
      <c r="I498" s="122">
        <f>IF($D498="",0,IF($S498=0,0,$R498/$S498))</f>
        <v>0</v>
      </c>
      <c r="J498" s="123">
        <f>IF($D498="",0,IF($F498&lt;2,0,IF($E498="Win",('Guide &amp; Settings'!$C$42/(($F498-1)*COUNTIFS($A$4:$A$810,$A498,$E$4:$E$810,"Win")))*SUMIFS($X$4:$X$810,$A$4:$A$810,$A498,$E$4:$E$810,"Loss"),-('Guide &amp; Settings'!$C$42/($F498-1))*$X498)))</f>
        <v>0</v>
      </c>
      <c r="K498" s="123">
        <f>IF($D498="",0,'Guide &amp; Settings'!$C$43*(IF($E498="Win",1,0)-$I498))</f>
        <v>0</v>
      </c>
      <c r="L498" s="124">
        <f>IF($D498="",0,'Guide &amp; Settings'!$C$44*IF($F498&gt;=3,$F498+IF($E498="Win",$F498,0),0))</f>
        <v>0</v>
      </c>
      <c r="M498" s="123">
        <f>IF($D498="",0,$J498+$K498+$L498)</f>
        <v>0</v>
      </c>
      <c r="N498" s="121">
        <f>IF($D498="",0,$H498+$M498)</f>
        <v>0</v>
      </c>
      <c r="O498" s="120" t="str">
        <f>IF($D498="","",IF(COUNTIFS($A$4:$A$810,$A498,$E$4:$E$810,"Win")=0,"need a winner",IF(COUNTIFS($A$4:$A$810,$A498,$E$4:$E$810,"Loss")=0,"need a loser",IF(COUNTIFS($A$4:$A$810,$A498,$D$4:$D$810,$D498)&gt;1,"duplicate player","OK"))))</f>
      </c>
      <c r="P498">
        <f>IF($D498="",0,IFERROR(SUMIFS($H$4:$H$810,$A$4:$A$810,$A498,$E$4:$E$810,"Win")/COUNTIFS($A$4:$A$810,$A498,$E$4:$E$810,"Win"),0))</f>
        <v>0</v>
      </c>
      <c r="Q498">
        <f>IF($D498="",0,1/(1+10^(($P498-$H498)/400)))</f>
        <v>0</v>
      </c>
      <c r="R498">
        <f>IF($D498="",0,(COUNTIFS($D$4:$D$810,$D498,$C$4:$C$810,$C498,$E$4:$E$810,"Win",$A$4:$A$810,"&lt;"&amp;$A498)+1)/(COUNTIFS($D$4:$D$810,$D498,$C$4:$C$810,$C498,$A$4:$A$810,"&lt;"&amp;$A498)+2))</f>
        <v>0</v>
      </c>
      <c r="S498">
        <f>IF($D498="",0,SUMIFS($R$4:$R$810,$A$4:$A$810,$A498))</f>
        <v>0</v>
      </c>
      <c r="T498" s="88">
        <f>IF($D498="",0,COUNTIFS($D$4:$D$810,$D498,$C$4:$C$810,$C498,$A$4:$A$810,"&lt;"&amp;$A498))</f>
        <v>0</v>
      </c>
      <c r="U498" s="125">
        <f>IF($D498="",0,IFERROR(LOOKUP(2,1/(($D$3:D497=$D498)*($C$3:C497=$C498)*($A$3:A497&lt;$A498)),$AB$3:AB497),1000))</f>
        <v>0</v>
      </c>
      <c r="V498" s="125">
        <f>IF($D498="",0,$U498*($T498/($T498+5))+$H498*(1-$T498/($T498+5)))</f>
        <v>0</v>
      </c>
      <c r="W498">
        <f>IF($D498="",0,IFERROR(SUMIFS($V$4:$V$810,$A$4:$A$810,$A498,$E$4:$E$810,"Win")/COUNTIFS($A$4:$A$810,$A498,$E$4:$E$810,"Win"),0))</f>
        <v>0</v>
      </c>
      <c r="X498">
        <f>IF($D498="",0,1/(1+10^(($W498-$V498)/400)))</f>
        <v>0</v>
      </c>
      <c r="Y498">
        <f>IF($D498="",0,IFERROR(SUMIFS($U$4:$U$810,$A$4:$A$810,$A498,$E$4:$E$810,"Win")/COUNTIFS($A$4:$A$810,$A498,$E$4:$E$810,"Win"),0))</f>
        <v>0</v>
      </c>
      <c r="Z498">
        <f>IF($D498="",0,1/(1+10^(($Y498-$U498)/400)))</f>
        <v>0</v>
      </c>
      <c r="AA498">
        <f>IF($D498="",0,IF($F498&lt;2,0,IF($E498="Win",('Guide &amp; Settings'!$C$42/(($F498-1)*COUNTIFS($A$4:$A$810,$A498,$E$4:$E$810,"Win")))*SUMIFS($Z$4:$Z$810,$A$4:$A$810,$A498,$E$4:$E$810,"Loss"),-('Guide &amp; Settings'!$C$42/($F498-1))*$Z498)))</f>
        <v>0</v>
      </c>
      <c r="AB498" s="125">
        <f>IF($D498="",0,$U498+$AA498)</f>
        <v>0</v>
      </c>
      <c r="AC498" s="125" t="str">
        <f>IF($D498="","",IF(SUMPRODUCT(MAX(($D$4:$D$810=$D498)*($B$4:$B$810&lt;$B498)*$B$4:$B$810))=0,0,MAX(($B498-MAX(SUMPRODUCT(MAX(($D$4:$D$810=$D498)*($B$4:$B$810&lt;$B498)*$B$4:$B$810)),'Guide &amp; Settings'!$C$50))/7-'Guide &amp; Settings'!$C$48,0)*'Guide &amp; Settings'!$C$49))</f>
      </c>
    </row>
    <row r="499" spans="1:29">
      <c r="A499" s="116"/>
      <c r="B499" s="117"/>
      <c r="C499" s="118"/>
      <c r="D499" s="118"/>
      <c r="E499" s="116"/>
      <c r="F499" s="119">
        <f>IF($D499="",0,COUNTIF($A$4:$A$810,$A499))</f>
        <v>0</v>
      </c>
      <c r="G499" s="120">
        <f>IF($D499="","",IFERROR(LOOKUP(2,1/(($A$4:$A$810=$A499)*($E$4:$E$810="Win")),$D$4:$D$810),"(no winner)"))</f>
        <v>0</v>
      </c>
      <c r="H499" s="121">
        <f>IF($D499="",0,IFERROR(LOOKUP(2,1/(($D$3:D498=$D499)*($A$3:A498&lt;$A499)),$N$3:N498),'Guide &amp; Settings'!$C$41))</f>
        <v>0</v>
      </c>
      <c r="I499" s="122">
        <f>IF($D499="",0,IF($S499=0,0,$R499/$S499))</f>
        <v>0</v>
      </c>
      <c r="J499" s="123">
        <f>IF($D499="",0,IF($F499&lt;2,0,IF($E499="Win",('Guide &amp; Settings'!$C$42/(($F499-1)*COUNTIFS($A$4:$A$810,$A499,$E$4:$E$810,"Win")))*SUMIFS($X$4:$X$810,$A$4:$A$810,$A499,$E$4:$E$810,"Loss"),-('Guide &amp; Settings'!$C$42/($F499-1))*$X499)))</f>
        <v>0</v>
      </c>
      <c r="K499" s="123">
        <f>IF($D499="",0,'Guide &amp; Settings'!$C$43*(IF($E499="Win",1,0)-$I499))</f>
        <v>0</v>
      </c>
      <c r="L499" s="124">
        <f>IF($D499="",0,'Guide &amp; Settings'!$C$44*IF($F499&gt;=3,$F499+IF($E499="Win",$F499,0),0))</f>
        <v>0</v>
      </c>
      <c r="M499" s="123">
        <f>IF($D499="",0,$J499+$K499+$L499)</f>
        <v>0</v>
      </c>
      <c r="N499" s="121">
        <f>IF($D499="",0,$H499+$M499)</f>
        <v>0</v>
      </c>
      <c r="O499" s="120" t="str">
        <f>IF($D499="","",IF(COUNTIFS($A$4:$A$810,$A499,$E$4:$E$810,"Win")=0,"need a winner",IF(COUNTIFS($A$4:$A$810,$A499,$E$4:$E$810,"Loss")=0,"need a loser",IF(COUNTIFS($A$4:$A$810,$A499,$D$4:$D$810,$D499)&gt;1,"duplicate player","OK"))))</f>
      </c>
      <c r="P499">
        <f>IF($D499="",0,IFERROR(SUMIFS($H$4:$H$810,$A$4:$A$810,$A499,$E$4:$E$810,"Win")/COUNTIFS($A$4:$A$810,$A499,$E$4:$E$810,"Win"),0))</f>
        <v>0</v>
      </c>
      <c r="Q499">
        <f>IF($D499="",0,1/(1+10^(($P499-$H499)/400)))</f>
        <v>0</v>
      </c>
      <c r="R499">
        <f>IF($D499="",0,(COUNTIFS($D$4:$D$810,$D499,$C$4:$C$810,$C499,$E$4:$E$810,"Win",$A$4:$A$810,"&lt;"&amp;$A499)+1)/(COUNTIFS($D$4:$D$810,$D499,$C$4:$C$810,$C499,$A$4:$A$810,"&lt;"&amp;$A499)+2))</f>
        <v>0</v>
      </c>
      <c r="S499">
        <f>IF($D499="",0,SUMIFS($R$4:$R$810,$A$4:$A$810,$A499))</f>
        <v>0</v>
      </c>
      <c r="T499" s="88">
        <f>IF($D499="",0,COUNTIFS($D$4:$D$810,$D499,$C$4:$C$810,$C499,$A$4:$A$810,"&lt;"&amp;$A499))</f>
        <v>0</v>
      </c>
      <c r="U499" s="125">
        <f>IF($D499="",0,IFERROR(LOOKUP(2,1/(($D$3:D498=$D499)*($C$3:C498=$C499)*($A$3:A498&lt;$A499)),$AB$3:AB498),1000))</f>
        <v>0</v>
      </c>
      <c r="V499" s="125">
        <f>IF($D499="",0,$U499*($T499/($T499+5))+$H499*(1-$T499/($T499+5)))</f>
        <v>0</v>
      </c>
      <c r="W499">
        <f>IF($D499="",0,IFERROR(SUMIFS($V$4:$V$810,$A$4:$A$810,$A499,$E$4:$E$810,"Win")/COUNTIFS($A$4:$A$810,$A499,$E$4:$E$810,"Win"),0))</f>
        <v>0</v>
      </c>
      <c r="X499">
        <f>IF($D499="",0,1/(1+10^(($W499-$V499)/400)))</f>
        <v>0</v>
      </c>
      <c r="Y499">
        <f>IF($D499="",0,IFERROR(SUMIFS($U$4:$U$810,$A$4:$A$810,$A499,$E$4:$E$810,"Win")/COUNTIFS($A$4:$A$810,$A499,$E$4:$E$810,"Win"),0))</f>
        <v>0</v>
      </c>
      <c r="Z499">
        <f>IF($D499="",0,1/(1+10^(($Y499-$U499)/400)))</f>
        <v>0</v>
      </c>
      <c r="AA499">
        <f>IF($D499="",0,IF($F499&lt;2,0,IF($E499="Win",('Guide &amp; Settings'!$C$42/(($F499-1)*COUNTIFS($A$4:$A$810,$A499,$E$4:$E$810,"Win")))*SUMIFS($Z$4:$Z$810,$A$4:$A$810,$A499,$E$4:$E$810,"Loss"),-('Guide &amp; Settings'!$C$42/($F499-1))*$Z499)))</f>
        <v>0</v>
      </c>
      <c r="AB499" s="125">
        <f>IF($D499="",0,$U499+$AA499)</f>
        <v>0</v>
      </c>
      <c r="AC499" s="125" t="str">
        <f>IF($D499="","",IF(SUMPRODUCT(MAX(($D$4:$D$810=$D499)*($B$4:$B$810&lt;$B499)*$B$4:$B$810))=0,0,MAX(($B499-MAX(SUMPRODUCT(MAX(($D$4:$D$810=$D499)*($B$4:$B$810&lt;$B499)*$B$4:$B$810)),'Guide &amp; Settings'!$C$50))/7-'Guide &amp; Settings'!$C$48,0)*'Guide &amp; Settings'!$C$49))</f>
      </c>
    </row>
    <row r="500" spans="1:29">
      <c r="A500" s="116"/>
      <c r="B500" s="117"/>
      <c r="C500" s="118"/>
      <c r="D500" s="118"/>
      <c r="E500" s="116"/>
      <c r="F500" s="119">
        <f>IF($D500="",0,COUNTIF($A$4:$A$810,$A500))</f>
        <v>0</v>
      </c>
      <c r="G500" s="120">
        <f>IF($D500="","",IFERROR(LOOKUP(2,1/(($A$4:$A$810=$A500)*($E$4:$E$810="Win")),$D$4:$D$810),"(no winner)"))</f>
        <v>0</v>
      </c>
      <c r="H500" s="121">
        <f>IF($D500="",0,IFERROR(LOOKUP(2,1/(($D$3:D499=$D500)*($A$3:A499&lt;$A500)),$N$3:N499),'Guide &amp; Settings'!$C$41))</f>
        <v>0</v>
      </c>
      <c r="I500" s="122">
        <f>IF($D500="",0,IF($S500=0,0,$R500/$S500))</f>
        <v>0</v>
      </c>
      <c r="J500" s="123">
        <f>IF($D500="",0,IF($F500&lt;2,0,IF($E500="Win",('Guide &amp; Settings'!$C$42/(($F500-1)*COUNTIFS($A$4:$A$810,$A500,$E$4:$E$810,"Win")))*SUMIFS($X$4:$X$810,$A$4:$A$810,$A500,$E$4:$E$810,"Loss"),-('Guide &amp; Settings'!$C$42/($F500-1))*$X500)))</f>
        <v>0</v>
      </c>
      <c r="K500" s="123">
        <f>IF($D500="",0,'Guide &amp; Settings'!$C$43*(IF($E500="Win",1,0)-$I500))</f>
        <v>0</v>
      </c>
      <c r="L500" s="124">
        <f>IF($D500="",0,'Guide &amp; Settings'!$C$44*IF($F500&gt;=3,$F500+IF($E500="Win",$F500,0),0))</f>
        <v>0</v>
      </c>
      <c r="M500" s="123">
        <f>IF($D500="",0,$J500+$K500+$L500)</f>
        <v>0</v>
      </c>
      <c r="N500" s="121">
        <f>IF($D500="",0,$H500+$M500)</f>
        <v>0</v>
      </c>
      <c r="O500" s="120" t="str">
        <f>IF($D500="","",IF(COUNTIFS($A$4:$A$810,$A500,$E$4:$E$810,"Win")=0,"need a winner",IF(COUNTIFS($A$4:$A$810,$A500,$E$4:$E$810,"Loss")=0,"need a loser",IF(COUNTIFS($A$4:$A$810,$A500,$D$4:$D$810,$D500)&gt;1,"duplicate player","OK"))))</f>
      </c>
      <c r="P500">
        <f>IF($D500="",0,IFERROR(SUMIFS($H$4:$H$810,$A$4:$A$810,$A500,$E$4:$E$810,"Win")/COUNTIFS($A$4:$A$810,$A500,$E$4:$E$810,"Win"),0))</f>
        <v>0</v>
      </c>
      <c r="Q500">
        <f>IF($D500="",0,1/(1+10^(($P500-$H500)/400)))</f>
        <v>0</v>
      </c>
      <c r="R500">
        <f>IF($D500="",0,(COUNTIFS($D$4:$D$810,$D500,$C$4:$C$810,$C500,$E$4:$E$810,"Win",$A$4:$A$810,"&lt;"&amp;$A500)+1)/(COUNTIFS($D$4:$D$810,$D500,$C$4:$C$810,$C500,$A$4:$A$810,"&lt;"&amp;$A500)+2))</f>
        <v>0</v>
      </c>
      <c r="S500">
        <f>IF($D500="",0,SUMIFS($R$4:$R$810,$A$4:$A$810,$A500))</f>
        <v>0</v>
      </c>
      <c r="T500" s="88">
        <f>IF($D500="",0,COUNTIFS($D$4:$D$810,$D500,$C$4:$C$810,$C500,$A$4:$A$810,"&lt;"&amp;$A500))</f>
        <v>0</v>
      </c>
      <c r="U500" s="125">
        <f>IF($D500="",0,IFERROR(LOOKUP(2,1/(($D$3:D499=$D500)*($C$3:C499=$C500)*($A$3:A499&lt;$A500)),$AB$3:AB499),1000))</f>
        <v>0</v>
      </c>
      <c r="V500" s="125">
        <f>IF($D500="",0,$U500*($T500/($T500+5))+$H500*(1-$T500/($T500+5)))</f>
        <v>0</v>
      </c>
      <c r="W500">
        <f>IF($D500="",0,IFERROR(SUMIFS($V$4:$V$810,$A$4:$A$810,$A500,$E$4:$E$810,"Win")/COUNTIFS($A$4:$A$810,$A500,$E$4:$E$810,"Win"),0))</f>
        <v>0</v>
      </c>
      <c r="X500">
        <f>IF($D500="",0,1/(1+10^(($W500-$V500)/400)))</f>
        <v>0</v>
      </c>
      <c r="Y500">
        <f>IF($D500="",0,IFERROR(SUMIFS($U$4:$U$810,$A$4:$A$810,$A500,$E$4:$E$810,"Win")/COUNTIFS($A$4:$A$810,$A500,$E$4:$E$810,"Win"),0))</f>
        <v>0</v>
      </c>
      <c r="Z500">
        <f>IF($D500="",0,1/(1+10^(($Y500-$U500)/400)))</f>
        <v>0</v>
      </c>
      <c r="AA500">
        <f>IF($D500="",0,IF($F500&lt;2,0,IF($E500="Win",('Guide &amp; Settings'!$C$42/(($F500-1)*COUNTIFS($A$4:$A$810,$A500,$E$4:$E$810,"Win")))*SUMIFS($Z$4:$Z$810,$A$4:$A$810,$A500,$E$4:$E$810,"Loss"),-('Guide &amp; Settings'!$C$42/($F500-1))*$Z500)))</f>
        <v>0</v>
      </c>
      <c r="AB500" s="125">
        <f>IF($D500="",0,$U500+$AA500)</f>
        <v>0</v>
      </c>
      <c r="AC500" s="125" t="str">
        <f>IF($D500="","",IF(SUMPRODUCT(MAX(($D$4:$D$810=$D500)*($B$4:$B$810&lt;$B500)*$B$4:$B$810))=0,0,MAX(($B500-MAX(SUMPRODUCT(MAX(($D$4:$D$810=$D500)*($B$4:$B$810&lt;$B500)*$B$4:$B$810)),'Guide &amp; Settings'!$C$50))/7-'Guide &amp; Settings'!$C$48,0)*'Guide &amp; Settings'!$C$49))</f>
      </c>
    </row>
    <row r="501" spans="1:29">
      <c r="A501" s="116"/>
      <c r="B501" s="117"/>
      <c r="C501" s="118"/>
      <c r="D501" s="118"/>
      <c r="E501" s="116"/>
      <c r="F501" s="119">
        <f>IF($D501="",0,COUNTIF($A$4:$A$810,$A501))</f>
        <v>0</v>
      </c>
      <c r="G501" s="120">
        <f>IF($D501="","",IFERROR(LOOKUP(2,1/(($A$4:$A$810=$A501)*($E$4:$E$810="Win")),$D$4:$D$810),"(no winner)"))</f>
        <v>0</v>
      </c>
      <c r="H501" s="121">
        <f>IF($D501="",0,IFERROR(LOOKUP(2,1/(($D$3:D500=$D501)*($A$3:A500&lt;$A501)),$N$3:N500),'Guide &amp; Settings'!$C$41))</f>
        <v>0</v>
      </c>
      <c r="I501" s="122">
        <f>IF($D501="",0,IF($S501=0,0,$R501/$S501))</f>
        <v>0</v>
      </c>
      <c r="J501" s="123">
        <f>IF($D501="",0,IF($F501&lt;2,0,IF($E501="Win",('Guide &amp; Settings'!$C$42/(($F501-1)*COUNTIFS($A$4:$A$810,$A501,$E$4:$E$810,"Win")))*SUMIFS($X$4:$X$810,$A$4:$A$810,$A501,$E$4:$E$810,"Loss"),-('Guide &amp; Settings'!$C$42/($F501-1))*$X501)))</f>
        <v>0</v>
      </c>
      <c r="K501" s="123">
        <f>IF($D501="",0,'Guide &amp; Settings'!$C$43*(IF($E501="Win",1,0)-$I501))</f>
        <v>0</v>
      </c>
      <c r="L501" s="124">
        <f>IF($D501="",0,'Guide &amp; Settings'!$C$44*IF($F501&gt;=3,$F501+IF($E501="Win",$F501,0),0))</f>
        <v>0</v>
      </c>
      <c r="M501" s="123">
        <f>IF($D501="",0,$J501+$K501+$L501)</f>
        <v>0</v>
      </c>
      <c r="N501" s="121">
        <f>IF($D501="",0,$H501+$M501)</f>
        <v>0</v>
      </c>
      <c r="O501" s="120" t="str">
        <f>IF($D501="","",IF(COUNTIFS($A$4:$A$810,$A501,$E$4:$E$810,"Win")=0,"need a winner",IF(COUNTIFS($A$4:$A$810,$A501,$E$4:$E$810,"Loss")=0,"need a loser",IF(COUNTIFS($A$4:$A$810,$A501,$D$4:$D$810,$D501)&gt;1,"duplicate player","OK"))))</f>
      </c>
      <c r="P501">
        <f>IF($D501="",0,IFERROR(SUMIFS($H$4:$H$810,$A$4:$A$810,$A501,$E$4:$E$810,"Win")/COUNTIFS($A$4:$A$810,$A501,$E$4:$E$810,"Win"),0))</f>
        <v>0</v>
      </c>
      <c r="Q501">
        <f>IF($D501="",0,1/(1+10^(($P501-$H501)/400)))</f>
        <v>0</v>
      </c>
      <c r="R501">
        <f>IF($D501="",0,(COUNTIFS($D$4:$D$810,$D501,$C$4:$C$810,$C501,$E$4:$E$810,"Win",$A$4:$A$810,"&lt;"&amp;$A501)+1)/(COUNTIFS($D$4:$D$810,$D501,$C$4:$C$810,$C501,$A$4:$A$810,"&lt;"&amp;$A501)+2))</f>
        <v>0</v>
      </c>
      <c r="S501">
        <f>IF($D501="",0,SUMIFS($R$4:$R$810,$A$4:$A$810,$A501))</f>
        <v>0</v>
      </c>
      <c r="T501" s="88">
        <f>IF($D501="",0,COUNTIFS($D$4:$D$810,$D501,$C$4:$C$810,$C501,$A$4:$A$810,"&lt;"&amp;$A501))</f>
        <v>0</v>
      </c>
      <c r="U501" s="125">
        <f>IF($D501="",0,IFERROR(LOOKUP(2,1/(($D$3:D500=$D501)*($C$3:C500=$C501)*($A$3:A500&lt;$A501)),$AB$3:AB500),1000))</f>
        <v>0</v>
      </c>
      <c r="V501" s="125">
        <f>IF($D501="",0,$U501*($T501/($T501+5))+$H501*(1-$T501/($T501+5)))</f>
        <v>0</v>
      </c>
      <c r="W501">
        <f>IF($D501="",0,IFERROR(SUMIFS($V$4:$V$810,$A$4:$A$810,$A501,$E$4:$E$810,"Win")/COUNTIFS($A$4:$A$810,$A501,$E$4:$E$810,"Win"),0))</f>
        <v>0</v>
      </c>
      <c r="X501">
        <f>IF($D501="",0,1/(1+10^(($W501-$V501)/400)))</f>
        <v>0</v>
      </c>
      <c r="Y501">
        <f>IF($D501="",0,IFERROR(SUMIFS($U$4:$U$810,$A$4:$A$810,$A501,$E$4:$E$810,"Win")/COUNTIFS($A$4:$A$810,$A501,$E$4:$E$810,"Win"),0))</f>
        <v>0</v>
      </c>
      <c r="Z501">
        <f>IF($D501="",0,1/(1+10^(($Y501-$U501)/400)))</f>
        <v>0</v>
      </c>
      <c r="AA501">
        <f>IF($D501="",0,IF($F501&lt;2,0,IF($E501="Win",('Guide &amp; Settings'!$C$42/(($F501-1)*COUNTIFS($A$4:$A$810,$A501,$E$4:$E$810,"Win")))*SUMIFS($Z$4:$Z$810,$A$4:$A$810,$A501,$E$4:$E$810,"Loss"),-('Guide &amp; Settings'!$C$42/($F501-1))*$Z501)))</f>
        <v>0</v>
      </c>
      <c r="AB501" s="125">
        <f>IF($D501="",0,$U501+$AA501)</f>
        <v>0</v>
      </c>
      <c r="AC501" s="125" t="str">
        <f>IF($D501="","",IF(SUMPRODUCT(MAX(($D$4:$D$810=$D501)*($B$4:$B$810&lt;$B501)*$B$4:$B$810))=0,0,MAX(($B501-MAX(SUMPRODUCT(MAX(($D$4:$D$810=$D501)*($B$4:$B$810&lt;$B501)*$B$4:$B$810)),'Guide &amp; Settings'!$C$50))/7-'Guide &amp; Settings'!$C$48,0)*'Guide &amp; Settings'!$C$49))</f>
      </c>
    </row>
    <row r="502" spans="1:29">
      <c r="A502" s="116"/>
      <c r="B502" s="117"/>
      <c r="C502" s="118"/>
      <c r="D502" s="118"/>
      <c r="E502" s="116"/>
      <c r="F502" s="119">
        <f>IF($D502="",0,COUNTIF($A$4:$A$810,$A502))</f>
        <v>0</v>
      </c>
      <c r="G502" s="120">
        <f>IF($D502="","",IFERROR(LOOKUP(2,1/(($A$4:$A$810=$A502)*($E$4:$E$810="Win")),$D$4:$D$810),"(no winner)"))</f>
        <v>0</v>
      </c>
      <c r="H502" s="121">
        <f>IF($D502="",0,IFERROR(LOOKUP(2,1/(($D$3:D501=$D502)*($A$3:A501&lt;$A502)),$N$3:N501),'Guide &amp; Settings'!$C$41))</f>
        <v>0</v>
      </c>
      <c r="I502" s="122">
        <f>IF($D502="",0,IF($S502=0,0,$R502/$S502))</f>
        <v>0</v>
      </c>
      <c r="J502" s="123">
        <f>IF($D502="",0,IF($F502&lt;2,0,IF($E502="Win",('Guide &amp; Settings'!$C$42/(($F502-1)*COUNTIFS($A$4:$A$810,$A502,$E$4:$E$810,"Win")))*SUMIFS($X$4:$X$810,$A$4:$A$810,$A502,$E$4:$E$810,"Loss"),-('Guide &amp; Settings'!$C$42/($F502-1))*$X502)))</f>
        <v>0</v>
      </c>
      <c r="K502" s="123">
        <f>IF($D502="",0,'Guide &amp; Settings'!$C$43*(IF($E502="Win",1,0)-$I502))</f>
        <v>0</v>
      </c>
      <c r="L502" s="124">
        <f>IF($D502="",0,'Guide &amp; Settings'!$C$44*IF($F502&gt;=3,$F502+IF($E502="Win",$F502,0),0))</f>
        <v>0</v>
      </c>
      <c r="M502" s="123">
        <f>IF($D502="",0,$J502+$K502+$L502)</f>
        <v>0</v>
      </c>
      <c r="N502" s="121">
        <f>IF($D502="",0,$H502+$M502)</f>
        <v>0</v>
      </c>
      <c r="O502" s="120" t="str">
        <f>IF($D502="","",IF(COUNTIFS($A$4:$A$810,$A502,$E$4:$E$810,"Win")=0,"need a winner",IF(COUNTIFS($A$4:$A$810,$A502,$E$4:$E$810,"Loss")=0,"need a loser",IF(COUNTIFS($A$4:$A$810,$A502,$D$4:$D$810,$D502)&gt;1,"duplicate player","OK"))))</f>
      </c>
      <c r="P502">
        <f>IF($D502="",0,IFERROR(SUMIFS($H$4:$H$810,$A$4:$A$810,$A502,$E$4:$E$810,"Win")/COUNTIFS($A$4:$A$810,$A502,$E$4:$E$810,"Win"),0))</f>
        <v>0</v>
      </c>
      <c r="Q502">
        <f>IF($D502="",0,1/(1+10^(($P502-$H502)/400)))</f>
        <v>0</v>
      </c>
      <c r="R502">
        <f>IF($D502="",0,(COUNTIFS($D$4:$D$810,$D502,$C$4:$C$810,$C502,$E$4:$E$810,"Win",$A$4:$A$810,"&lt;"&amp;$A502)+1)/(COUNTIFS($D$4:$D$810,$D502,$C$4:$C$810,$C502,$A$4:$A$810,"&lt;"&amp;$A502)+2))</f>
        <v>0</v>
      </c>
      <c r="S502">
        <f>IF($D502="",0,SUMIFS($R$4:$R$810,$A$4:$A$810,$A502))</f>
        <v>0</v>
      </c>
      <c r="T502" s="88">
        <f>IF($D502="",0,COUNTIFS($D$4:$D$810,$D502,$C$4:$C$810,$C502,$A$4:$A$810,"&lt;"&amp;$A502))</f>
        <v>0</v>
      </c>
      <c r="U502" s="125">
        <f>IF($D502="",0,IFERROR(LOOKUP(2,1/(($D$3:D501=$D502)*($C$3:C501=$C502)*($A$3:A501&lt;$A502)),$AB$3:AB501),1000))</f>
        <v>0</v>
      </c>
      <c r="V502" s="125">
        <f>IF($D502="",0,$U502*($T502/($T502+5))+$H502*(1-$T502/($T502+5)))</f>
        <v>0</v>
      </c>
      <c r="W502">
        <f>IF($D502="",0,IFERROR(SUMIFS($V$4:$V$810,$A$4:$A$810,$A502,$E$4:$E$810,"Win")/COUNTIFS($A$4:$A$810,$A502,$E$4:$E$810,"Win"),0))</f>
        <v>0</v>
      </c>
      <c r="X502">
        <f>IF($D502="",0,1/(1+10^(($W502-$V502)/400)))</f>
        <v>0</v>
      </c>
      <c r="Y502">
        <f>IF($D502="",0,IFERROR(SUMIFS($U$4:$U$810,$A$4:$A$810,$A502,$E$4:$E$810,"Win")/COUNTIFS($A$4:$A$810,$A502,$E$4:$E$810,"Win"),0))</f>
        <v>0</v>
      </c>
      <c r="Z502">
        <f>IF($D502="",0,1/(1+10^(($Y502-$U502)/400)))</f>
        <v>0</v>
      </c>
      <c r="AA502">
        <f>IF($D502="",0,IF($F502&lt;2,0,IF($E502="Win",('Guide &amp; Settings'!$C$42/(($F502-1)*COUNTIFS($A$4:$A$810,$A502,$E$4:$E$810,"Win")))*SUMIFS($Z$4:$Z$810,$A$4:$A$810,$A502,$E$4:$E$810,"Loss"),-('Guide &amp; Settings'!$C$42/($F502-1))*$Z502)))</f>
        <v>0</v>
      </c>
      <c r="AB502" s="125">
        <f>IF($D502="",0,$U502+$AA502)</f>
        <v>0</v>
      </c>
      <c r="AC502" s="125" t="str">
        <f>IF($D502="","",IF(SUMPRODUCT(MAX(($D$4:$D$810=$D502)*($B$4:$B$810&lt;$B502)*$B$4:$B$810))=0,0,MAX(($B502-MAX(SUMPRODUCT(MAX(($D$4:$D$810=$D502)*($B$4:$B$810&lt;$B502)*$B$4:$B$810)),'Guide &amp; Settings'!$C$50))/7-'Guide &amp; Settings'!$C$48,0)*'Guide &amp; Settings'!$C$49))</f>
      </c>
    </row>
    <row r="503" spans="1:29">
      <c r="A503" s="116"/>
      <c r="B503" s="117"/>
      <c r="C503" s="118"/>
      <c r="D503" s="118"/>
      <c r="E503" s="116"/>
      <c r="F503" s="119">
        <f>IF($D503="",0,COUNTIF($A$4:$A$810,$A503))</f>
        <v>0</v>
      </c>
      <c r="G503" s="120">
        <f>IF($D503="","",IFERROR(LOOKUP(2,1/(($A$4:$A$810=$A503)*($E$4:$E$810="Win")),$D$4:$D$810),"(no winner)"))</f>
        <v>0</v>
      </c>
      <c r="H503" s="121">
        <f>IF($D503="",0,IFERROR(LOOKUP(2,1/(($D$3:D502=$D503)*($A$3:A502&lt;$A503)),$N$3:N502),'Guide &amp; Settings'!$C$41))</f>
        <v>0</v>
      </c>
      <c r="I503" s="122">
        <f>IF($D503="",0,IF($S503=0,0,$R503/$S503))</f>
        <v>0</v>
      </c>
      <c r="J503" s="123">
        <f>IF($D503="",0,IF($F503&lt;2,0,IF($E503="Win",('Guide &amp; Settings'!$C$42/(($F503-1)*COUNTIFS($A$4:$A$810,$A503,$E$4:$E$810,"Win")))*SUMIFS($X$4:$X$810,$A$4:$A$810,$A503,$E$4:$E$810,"Loss"),-('Guide &amp; Settings'!$C$42/($F503-1))*$X503)))</f>
        <v>0</v>
      </c>
      <c r="K503" s="123">
        <f>IF($D503="",0,'Guide &amp; Settings'!$C$43*(IF($E503="Win",1,0)-$I503))</f>
        <v>0</v>
      </c>
      <c r="L503" s="124">
        <f>IF($D503="",0,'Guide &amp; Settings'!$C$44*IF($F503&gt;=3,$F503+IF($E503="Win",$F503,0),0))</f>
        <v>0</v>
      </c>
      <c r="M503" s="123">
        <f>IF($D503="",0,$J503+$K503+$L503)</f>
        <v>0</v>
      </c>
      <c r="N503" s="121">
        <f>IF($D503="",0,$H503+$M503)</f>
        <v>0</v>
      </c>
      <c r="O503" s="120" t="str">
        <f>IF($D503="","",IF(COUNTIFS($A$4:$A$810,$A503,$E$4:$E$810,"Win")=0,"need a winner",IF(COUNTIFS($A$4:$A$810,$A503,$E$4:$E$810,"Loss")=0,"need a loser",IF(COUNTIFS($A$4:$A$810,$A503,$D$4:$D$810,$D503)&gt;1,"duplicate player","OK"))))</f>
      </c>
      <c r="P503">
        <f>IF($D503="",0,IFERROR(SUMIFS($H$4:$H$810,$A$4:$A$810,$A503,$E$4:$E$810,"Win")/COUNTIFS($A$4:$A$810,$A503,$E$4:$E$810,"Win"),0))</f>
        <v>0</v>
      </c>
      <c r="Q503">
        <f>IF($D503="",0,1/(1+10^(($P503-$H503)/400)))</f>
        <v>0</v>
      </c>
      <c r="R503">
        <f>IF($D503="",0,(COUNTIFS($D$4:$D$810,$D503,$C$4:$C$810,$C503,$E$4:$E$810,"Win",$A$4:$A$810,"&lt;"&amp;$A503)+1)/(COUNTIFS($D$4:$D$810,$D503,$C$4:$C$810,$C503,$A$4:$A$810,"&lt;"&amp;$A503)+2))</f>
        <v>0</v>
      </c>
      <c r="S503">
        <f>IF($D503="",0,SUMIFS($R$4:$R$810,$A$4:$A$810,$A503))</f>
        <v>0</v>
      </c>
      <c r="T503" s="88">
        <f>IF($D503="",0,COUNTIFS($D$4:$D$810,$D503,$C$4:$C$810,$C503,$A$4:$A$810,"&lt;"&amp;$A503))</f>
        <v>0</v>
      </c>
      <c r="U503" s="125">
        <f>IF($D503="",0,IFERROR(LOOKUP(2,1/(($D$3:D502=$D503)*($C$3:C502=$C503)*($A$3:A502&lt;$A503)),$AB$3:AB502),1000))</f>
        <v>0</v>
      </c>
      <c r="V503" s="125">
        <f>IF($D503="",0,$U503*($T503/($T503+5))+$H503*(1-$T503/($T503+5)))</f>
        <v>0</v>
      </c>
      <c r="W503">
        <f>IF($D503="",0,IFERROR(SUMIFS($V$4:$V$810,$A$4:$A$810,$A503,$E$4:$E$810,"Win")/COUNTIFS($A$4:$A$810,$A503,$E$4:$E$810,"Win"),0))</f>
        <v>0</v>
      </c>
      <c r="X503">
        <f>IF($D503="",0,1/(1+10^(($W503-$V503)/400)))</f>
        <v>0</v>
      </c>
      <c r="Y503">
        <f>IF($D503="",0,IFERROR(SUMIFS($U$4:$U$810,$A$4:$A$810,$A503,$E$4:$E$810,"Win")/COUNTIFS($A$4:$A$810,$A503,$E$4:$E$810,"Win"),0))</f>
        <v>0</v>
      </c>
      <c r="Z503">
        <f>IF($D503="",0,1/(1+10^(($Y503-$U503)/400)))</f>
        <v>0</v>
      </c>
      <c r="AA503">
        <f>IF($D503="",0,IF($F503&lt;2,0,IF($E503="Win",('Guide &amp; Settings'!$C$42/(($F503-1)*COUNTIFS($A$4:$A$810,$A503,$E$4:$E$810,"Win")))*SUMIFS($Z$4:$Z$810,$A$4:$A$810,$A503,$E$4:$E$810,"Loss"),-('Guide &amp; Settings'!$C$42/($F503-1))*$Z503)))</f>
        <v>0</v>
      </c>
      <c r="AB503" s="125">
        <f>IF($D503="",0,$U503+$AA503)</f>
        <v>0</v>
      </c>
      <c r="AC503" s="125" t="str">
        <f>IF($D503="","",IF(SUMPRODUCT(MAX(($D$4:$D$810=$D503)*($B$4:$B$810&lt;$B503)*$B$4:$B$810))=0,0,MAX(($B503-MAX(SUMPRODUCT(MAX(($D$4:$D$810=$D503)*($B$4:$B$810&lt;$B503)*$B$4:$B$810)),'Guide &amp; Settings'!$C$50))/7-'Guide &amp; Settings'!$C$48,0)*'Guide &amp; Settings'!$C$49))</f>
      </c>
    </row>
    <row r="504" spans="1:29">
      <c r="A504" s="116"/>
      <c r="B504" s="117"/>
      <c r="C504" s="118"/>
      <c r="D504" s="118"/>
      <c r="E504" s="116"/>
      <c r="F504" s="119">
        <f>IF($D504="",0,COUNTIF($A$4:$A$810,$A504))</f>
        <v>0</v>
      </c>
      <c r="G504" s="120">
        <f>IF($D504="","",IFERROR(LOOKUP(2,1/(($A$4:$A$810=$A504)*($E$4:$E$810="Win")),$D$4:$D$810),"(no winner)"))</f>
        <v>0</v>
      </c>
      <c r="H504" s="121">
        <f>IF($D504="",0,IFERROR(LOOKUP(2,1/(($D$3:D503=$D504)*($A$3:A503&lt;$A504)),$N$3:N503),'Guide &amp; Settings'!$C$41))</f>
        <v>0</v>
      </c>
      <c r="I504" s="122">
        <f>IF($D504="",0,IF($S504=0,0,$R504/$S504))</f>
        <v>0</v>
      </c>
      <c r="J504" s="123">
        <f>IF($D504="",0,IF($F504&lt;2,0,IF($E504="Win",('Guide &amp; Settings'!$C$42/(($F504-1)*COUNTIFS($A$4:$A$810,$A504,$E$4:$E$810,"Win")))*SUMIFS($X$4:$X$810,$A$4:$A$810,$A504,$E$4:$E$810,"Loss"),-('Guide &amp; Settings'!$C$42/($F504-1))*$X504)))</f>
        <v>0</v>
      </c>
      <c r="K504" s="123">
        <f>IF($D504="",0,'Guide &amp; Settings'!$C$43*(IF($E504="Win",1,0)-$I504))</f>
        <v>0</v>
      </c>
      <c r="L504" s="124">
        <f>IF($D504="",0,'Guide &amp; Settings'!$C$44*IF($F504&gt;=3,$F504+IF($E504="Win",$F504,0),0))</f>
        <v>0</v>
      </c>
      <c r="M504" s="123">
        <f>IF($D504="",0,$J504+$K504+$L504)</f>
        <v>0</v>
      </c>
      <c r="N504" s="121">
        <f>IF($D504="",0,$H504+$M504)</f>
        <v>0</v>
      </c>
      <c r="O504" s="120" t="str">
        <f>IF($D504="","",IF(COUNTIFS($A$4:$A$810,$A504,$E$4:$E$810,"Win")=0,"need a winner",IF(COUNTIFS($A$4:$A$810,$A504,$E$4:$E$810,"Loss")=0,"need a loser",IF(COUNTIFS($A$4:$A$810,$A504,$D$4:$D$810,$D504)&gt;1,"duplicate player","OK"))))</f>
      </c>
      <c r="P504">
        <f>IF($D504="",0,IFERROR(SUMIFS($H$4:$H$810,$A$4:$A$810,$A504,$E$4:$E$810,"Win")/COUNTIFS($A$4:$A$810,$A504,$E$4:$E$810,"Win"),0))</f>
        <v>0</v>
      </c>
      <c r="Q504">
        <f>IF($D504="",0,1/(1+10^(($P504-$H504)/400)))</f>
        <v>0</v>
      </c>
      <c r="R504">
        <f>IF($D504="",0,(COUNTIFS($D$4:$D$810,$D504,$C$4:$C$810,$C504,$E$4:$E$810,"Win",$A$4:$A$810,"&lt;"&amp;$A504)+1)/(COUNTIFS($D$4:$D$810,$D504,$C$4:$C$810,$C504,$A$4:$A$810,"&lt;"&amp;$A504)+2))</f>
        <v>0</v>
      </c>
      <c r="S504">
        <f>IF($D504="",0,SUMIFS($R$4:$R$810,$A$4:$A$810,$A504))</f>
        <v>0</v>
      </c>
      <c r="T504" s="88">
        <f>IF($D504="",0,COUNTIFS($D$4:$D$810,$D504,$C$4:$C$810,$C504,$A$4:$A$810,"&lt;"&amp;$A504))</f>
        <v>0</v>
      </c>
      <c r="U504" s="125">
        <f>IF($D504="",0,IFERROR(LOOKUP(2,1/(($D$3:D503=$D504)*($C$3:C503=$C504)*($A$3:A503&lt;$A504)),$AB$3:AB503),1000))</f>
        <v>0</v>
      </c>
      <c r="V504" s="125">
        <f>IF($D504="",0,$U504*($T504/($T504+5))+$H504*(1-$T504/($T504+5)))</f>
        <v>0</v>
      </c>
      <c r="W504">
        <f>IF($D504="",0,IFERROR(SUMIFS($V$4:$V$810,$A$4:$A$810,$A504,$E$4:$E$810,"Win")/COUNTIFS($A$4:$A$810,$A504,$E$4:$E$810,"Win"),0))</f>
        <v>0</v>
      </c>
      <c r="X504">
        <f>IF($D504="",0,1/(1+10^(($W504-$V504)/400)))</f>
        <v>0</v>
      </c>
      <c r="Y504">
        <f>IF($D504="",0,IFERROR(SUMIFS($U$4:$U$810,$A$4:$A$810,$A504,$E$4:$E$810,"Win")/COUNTIFS($A$4:$A$810,$A504,$E$4:$E$810,"Win"),0))</f>
        <v>0</v>
      </c>
      <c r="Z504">
        <f>IF($D504="",0,1/(1+10^(($Y504-$U504)/400)))</f>
        <v>0</v>
      </c>
      <c r="AA504">
        <f>IF($D504="",0,IF($F504&lt;2,0,IF($E504="Win",('Guide &amp; Settings'!$C$42/(($F504-1)*COUNTIFS($A$4:$A$810,$A504,$E$4:$E$810,"Win")))*SUMIFS($Z$4:$Z$810,$A$4:$A$810,$A504,$E$4:$E$810,"Loss"),-('Guide &amp; Settings'!$C$42/($F504-1))*$Z504)))</f>
        <v>0</v>
      </c>
      <c r="AB504" s="125">
        <f>IF($D504="",0,$U504+$AA504)</f>
        <v>0</v>
      </c>
      <c r="AC504" s="125" t="str">
        <f>IF($D504="","",IF(SUMPRODUCT(MAX(($D$4:$D$810=$D504)*($B$4:$B$810&lt;$B504)*$B$4:$B$810))=0,0,MAX(($B504-MAX(SUMPRODUCT(MAX(($D$4:$D$810=$D504)*($B$4:$B$810&lt;$B504)*$B$4:$B$810)),'Guide &amp; Settings'!$C$50))/7-'Guide &amp; Settings'!$C$48,0)*'Guide &amp; Settings'!$C$49))</f>
      </c>
    </row>
    <row r="505" spans="1:29">
      <c r="A505" s="116"/>
      <c r="B505" s="117"/>
      <c r="C505" s="118"/>
      <c r="D505" s="118"/>
      <c r="E505" s="116"/>
      <c r="F505" s="119">
        <f>IF($D505="",0,COUNTIF($A$4:$A$810,$A505))</f>
        <v>0</v>
      </c>
      <c r="G505" s="120">
        <f>IF($D505="","",IFERROR(LOOKUP(2,1/(($A$4:$A$810=$A505)*($E$4:$E$810="Win")),$D$4:$D$810),"(no winner)"))</f>
        <v>0</v>
      </c>
      <c r="H505" s="121">
        <f>IF($D505="",0,IFERROR(LOOKUP(2,1/(($D$3:D504=$D505)*($A$3:A504&lt;$A505)),$N$3:N504),'Guide &amp; Settings'!$C$41))</f>
        <v>0</v>
      </c>
      <c r="I505" s="122">
        <f>IF($D505="",0,IF($S505=0,0,$R505/$S505))</f>
        <v>0</v>
      </c>
      <c r="J505" s="123">
        <f>IF($D505="",0,IF($F505&lt;2,0,IF($E505="Win",('Guide &amp; Settings'!$C$42/(($F505-1)*COUNTIFS($A$4:$A$810,$A505,$E$4:$E$810,"Win")))*SUMIFS($X$4:$X$810,$A$4:$A$810,$A505,$E$4:$E$810,"Loss"),-('Guide &amp; Settings'!$C$42/($F505-1))*$X505)))</f>
        <v>0</v>
      </c>
      <c r="K505" s="123">
        <f>IF($D505="",0,'Guide &amp; Settings'!$C$43*(IF($E505="Win",1,0)-$I505))</f>
        <v>0</v>
      </c>
      <c r="L505" s="124">
        <f>IF($D505="",0,'Guide &amp; Settings'!$C$44*IF($F505&gt;=3,$F505+IF($E505="Win",$F505,0),0))</f>
        <v>0</v>
      </c>
      <c r="M505" s="123">
        <f>IF($D505="",0,$J505+$K505+$L505)</f>
        <v>0</v>
      </c>
      <c r="N505" s="121">
        <f>IF($D505="",0,$H505+$M505)</f>
        <v>0</v>
      </c>
      <c r="O505" s="120" t="str">
        <f>IF($D505="","",IF(COUNTIFS($A$4:$A$810,$A505,$E$4:$E$810,"Win")=0,"need a winner",IF(COUNTIFS($A$4:$A$810,$A505,$E$4:$E$810,"Loss")=0,"need a loser",IF(COUNTIFS($A$4:$A$810,$A505,$D$4:$D$810,$D505)&gt;1,"duplicate player","OK"))))</f>
      </c>
      <c r="P505">
        <f>IF($D505="",0,IFERROR(SUMIFS($H$4:$H$810,$A$4:$A$810,$A505,$E$4:$E$810,"Win")/COUNTIFS($A$4:$A$810,$A505,$E$4:$E$810,"Win"),0))</f>
        <v>0</v>
      </c>
      <c r="Q505">
        <f>IF($D505="",0,1/(1+10^(($P505-$H505)/400)))</f>
        <v>0</v>
      </c>
      <c r="R505">
        <f>IF($D505="",0,(COUNTIFS($D$4:$D$810,$D505,$C$4:$C$810,$C505,$E$4:$E$810,"Win",$A$4:$A$810,"&lt;"&amp;$A505)+1)/(COUNTIFS($D$4:$D$810,$D505,$C$4:$C$810,$C505,$A$4:$A$810,"&lt;"&amp;$A505)+2))</f>
        <v>0</v>
      </c>
      <c r="S505">
        <f>IF($D505="",0,SUMIFS($R$4:$R$810,$A$4:$A$810,$A505))</f>
        <v>0</v>
      </c>
      <c r="T505" s="88">
        <f>IF($D505="",0,COUNTIFS($D$4:$D$810,$D505,$C$4:$C$810,$C505,$A$4:$A$810,"&lt;"&amp;$A505))</f>
        <v>0</v>
      </c>
      <c r="U505" s="125">
        <f>IF($D505="",0,IFERROR(LOOKUP(2,1/(($D$3:D504=$D505)*($C$3:C504=$C505)*($A$3:A504&lt;$A505)),$AB$3:AB504),1000))</f>
        <v>0</v>
      </c>
      <c r="V505" s="125">
        <f>IF($D505="",0,$U505*($T505/($T505+5))+$H505*(1-$T505/($T505+5)))</f>
        <v>0</v>
      </c>
      <c r="W505">
        <f>IF($D505="",0,IFERROR(SUMIFS($V$4:$V$810,$A$4:$A$810,$A505,$E$4:$E$810,"Win")/COUNTIFS($A$4:$A$810,$A505,$E$4:$E$810,"Win"),0))</f>
        <v>0</v>
      </c>
      <c r="X505">
        <f>IF($D505="",0,1/(1+10^(($W505-$V505)/400)))</f>
        <v>0</v>
      </c>
      <c r="Y505">
        <f>IF($D505="",0,IFERROR(SUMIFS($U$4:$U$810,$A$4:$A$810,$A505,$E$4:$E$810,"Win")/COUNTIFS($A$4:$A$810,$A505,$E$4:$E$810,"Win"),0))</f>
        <v>0</v>
      </c>
      <c r="Z505">
        <f>IF($D505="",0,1/(1+10^(($Y505-$U505)/400)))</f>
        <v>0</v>
      </c>
      <c r="AA505">
        <f>IF($D505="",0,IF($F505&lt;2,0,IF($E505="Win",('Guide &amp; Settings'!$C$42/(($F505-1)*COUNTIFS($A$4:$A$810,$A505,$E$4:$E$810,"Win")))*SUMIFS($Z$4:$Z$810,$A$4:$A$810,$A505,$E$4:$E$810,"Loss"),-('Guide &amp; Settings'!$C$42/($F505-1))*$Z505)))</f>
        <v>0</v>
      </c>
      <c r="AB505" s="125">
        <f>IF($D505="",0,$U505+$AA505)</f>
        <v>0</v>
      </c>
      <c r="AC505" s="125" t="str">
        <f>IF($D505="","",IF(SUMPRODUCT(MAX(($D$4:$D$810=$D505)*($B$4:$B$810&lt;$B505)*$B$4:$B$810))=0,0,MAX(($B505-MAX(SUMPRODUCT(MAX(($D$4:$D$810=$D505)*($B$4:$B$810&lt;$B505)*$B$4:$B$810)),'Guide &amp; Settings'!$C$50))/7-'Guide &amp; Settings'!$C$48,0)*'Guide &amp; Settings'!$C$49))</f>
      </c>
    </row>
    <row r="506" spans="1:29">
      <c r="A506" s="116"/>
      <c r="B506" s="117"/>
      <c r="C506" s="118"/>
      <c r="D506" s="118"/>
      <c r="E506" s="116"/>
      <c r="F506" s="119">
        <f>IF($D506="",0,COUNTIF($A$4:$A$810,$A506))</f>
        <v>0</v>
      </c>
      <c r="G506" s="120">
        <f>IF($D506="","",IFERROR(LOOKUP(2,1/(($A$4:$A$810=$A506)*($E$4:$E$810="Win")),$D$4:$D$810),"(no winner)"))</f>
        <v>0</v>
      </c>
      <c r="H506" s="121">
        <f>IF($D506="",0,IFERROR(LOOKUP(2,1/(($D$3:D505=$D506)*($A$3:A505&lt;$A506)),$N$3:N505),'Guide &amp; Settings'!$C$41))</f>
        <v>0</v>
      </c>
      <c r="I506" s="122">
        <f>IF($D506="",0,IF($S506=0,0,$R506/$S506))</f>
        <v>0</v>
      </c>
      <c r="J506" s="123">
        <f>IF($D506="",0,IF($F506&lt;2,0,IF($E506="Win",('Guide &amp; Settings'!$C$42/(($F506-1)*COUNTIFS($A$4:$A$810,$A506,$E$4:$E$810,"Win")))*SUMIFS($X$4:$X$810,$A$4:$A$810,$A506,$E$4:$E$810,"Loss"),-('Guide &amp; Settings'!$C$42/($F506-1))*$X506)))</f>
        <v>0</v>
      </c>
      <c r="K506" s="123">
        <f>IF($D506="",0,'Guide &amp; Settings'!$C$43*(IF($E506="Win",1,0)-$I506))</f>
        <v>0</v>
      </c>
      <c r="L506" s="124">
        <f>IF($D506="",0,'Guide &amp; Settings'!$C$44*IF($F506&gt;=3,$F506+IF($E506="Win",$F506,0),0))</f>
        <v>0</v>
      </c>
      <c r="M506" s="123">
        <f>IF($D506="",0,$J506+$K506+$L506)</f>
        <v>0</v>
      </c>
      <c r="N506" s="121">
        <f>IF($D506="",0,$H506+$M506)</f>
        <v>0</v>
      </c>
      <c r="O506" s="120" t="str">
        <f>IF($D506="","",IF(COUNTIFS($A$4:$A$810,$A506,$E$4:$E$810,"Win")=0,"need a winner",IF(COUNTIFS($A$4:$A$810,$A506,$E$4:$E$810,"Loss")=0,"need a loser",IF(COUNTIFS($A$4:$A$810,$A506,$D$4:$D$810,$D506)&gt;1,"duplicate player","OK"))))</f>
      </c>
      <c r="P506">
        <f>IF($D506="",0,IFERROR(SUMIFS($H$4:$H$810,$A$4:$A$810,$A506,$E$4:$E$810,"Win")/COUNTIFS($A$4:$A$810,$A506,$E$4:$E$810,"Win"),0))</f>
        <v>0</v>
      </c>
      <c r="Q506">
        <f>IF($D506="",0,1/(1+10^(($P506-$H506)/400)))</f>
        <v>0</v>
      </c>
      <c r="R506">
        <f>IF($D506="",0,(COUNTIFS($D$4:$D$810,$D506,$C$4:$C$810,$C506,$E$4:$E$810,"Win",$A$4:$A$810,"&lt;"&amp;$A506)+1)/(COUNTIFS($D$4:$D$810,$D506,$C$4:$C$810,$C506,$A$4:$A$810,"&lt;"&amp;$A506)+2))</f>
        <v>0</v>
      </c>
      <c r="S506">
        <f>IF($D506="",0,SUMIFS($R$4:$R$810,$A$4:$A$810,$A506))</f>
        <v>0</v>
      </c>
      <c r="T506" s="88">
        <f>IF($D506="",0,COUNTIFS($D$4:$D$810,$D506,$C$4:$C$810,$C506,$A$4:$A$810,"&lt;"&amp;$A506))</f>
        <v>0</v>
      </c>
      <c r="U506" s="125">
        <f>IF($D506="",0,IFERROR(LOOKUP(2,1/(($D$3:D505=$D506)*($C$3:C505=$C506)*($A$3:A505&lt;$A506)),$AB$3:AB505),1000))</f>
        <v>0</v>
      </c>
      <c r="V506" s="125">
        <f>IF($D506="",0,$U506*($T506/($T506+5))+$H506*(1-$T506/($T506+5)))</f>
        <v>0</v>
      </c>
      <c r="W506">
        <f>IF($D506="",0,IFERROR(SUMIFS($V$4:$V$810,$A$4:$A$810,$A506,$E$4:$E$810,"Win")/COUNTIFS($A$4:$A$810,$A506,$E$4:$E$810,"Win"),0))</f>
        <v>0</v>
      </c>
      <c r="X506">
        <f>IF($D506="",0,1/(1+10^(($W506-$V506)/400)))</f>
        <v>0</v>
      </c>
      <c r="Y506">
        <f>IF($D506="",0,IFERROR(SUMIFS($U$4:$U$810,$A$4:$A$810,$A506,$E$4:$E$810,"Win")/COUNTIFS($A$4:$A$810,$A506,$E$4:$E$810,"Win"),0))</f>
        <v>0</v>
      </c>
      <c r="Z506">
        <f>IF($D506="",0,1/(1+10^(($Y506-$U506)/400)))</f>
        <v>0</v>
      </c>
      <c r="AA506">
        <f>IF($D506="",0,IF($F506&lt;2,0,IF($E506="Win",('Guide &amp; Settings'!$C$42/(($F506-1)*COUNTIFS($A$4:$A$810,$A506,$E$4:$E$810,"Win")))*SUMIFS($Z$4:$Z$810,$A$4:$A$810,$A506,$E$4:$E$810,"Loss"),-('Guide &amp; Settings'!$C$42/($F506-1))*$Z506)))</f>
        <v>0</v>
      </c>
      <c r="AB506" s="125">
        <f>IF($D506="",0,$U506+$AA506)</f>
        <v>0</v>
      </c>
      <c r="AC506" s="125" t="str">
        <f>IF($D506="","",IF(SUMPRODUCT(MAX(($D$4:$D$810=$D506)*($B$4:$B$810&lt;$B506)*$B$4:$B$810))=0,0,MAX(($B506-MAX(SUMPRODUCT(MAX(($D$4:$D$810=$D506)*($B$4:$B$810&lt;$B506)*$B$4:$B$810)),'Guide &amp; Settings'!$C$50))/7-'Guide &amp; Settings'!$C$48,0)*'Guide &amp; Settings'!$C$49))</f>
      </c>
    </row>
    <row r="507" spans="1:29">
      <c r="A507" s="116"/>
      <c r="B507" s="117"/>
      <c r="C507" s="118"/>
      <c r="D507" s="118"/>
      <c r="E507" s="116"/>
      <c r="F507" s="119">
        <f>IF($D507="",0,COUNTIF($A$4:$A$810,$A507))</f>
        <v>0</v>
      </c>
      <c r="G507" s="120">
        <f>IF($D507="","",IFERROR(LOOKUP(2,1/(($A$4:$A$810=$A507)*($E$4:$E$810="Win")),$D$4:$D$810),"(no winner)"))</f>
        <v>0</v>
      </c>
      <c r="H507" s="121">
        <f>IF($D507="",0,IFERROR(LOOKUP(2,1/(($D$3:D506=$D507)*($A$3:A506&lt;$A507)),$N$3:N506),'Guide &amp; Settings'!$C$41))</f>
        <v>0</v>
      </c>
      <c r="I507" s="122">
        <f>IF($D507="",0,IF($S507=0,0,$R507/$S507))</f>
        <v>0</v>
      </c>
      <c r="J507" s="123">
        <f>IF($D507="",0,IF($F507&lt;2,0,IF($E507="Win",('Guide &amp; Settings'!$C$42/(($F507-1)*COUNTIFS($A$4:$A$810,$A507,$E$4:$E$810,"Win")))*SUMIFS($X$4:$X$810,$A$4:$A$810,$A507,$E$4:$E$810,"Loss"),-('Guide &amp; Settings'!$C$42/($F507-1))*$X507)))</f>
        <v>0</v>
      </c>
      <c r="K507" s="123">
        <f>IF($D507="",0,'Guide &amp; Settings'!$C$43*(IF($E507="Win",1,0)-$I507))</f>
        <v>0</v>
      </c>
      <c r="L507" s="124">
        <f>IF($D507="",0,'Guide &amp; Settings'!$C$44*IF($F507&gt;=3,$F507+IF($E507="Win",$F507,0),0))</f>
        <v>0</v>
      </c>
      <c r="M507" s="123">
        <f>IF($D507="",0,$J507+$K507+$L507)</f>
        <v>0</v>
      </c>
      <c r="N507" s="121">
        <f>IF($D507="",0,$H507+$M507)</f>
        <v>0</v>
      </c>
      <c r="O507" s="120" t="str">
        <f>IF($D507="","",IF(COUNTIFS($A$4:$A$810,$A507,$E$4:$E$810,"Win")=0,"need a winner",IF(COUNTIFS($A$4:$A$810,$A507,$E$4:$E$810,"Loss")=0,"need a loser",IF(COUNTIFS($A$4:$A$810,$A507,$D$4:$D$810,$D507)&gt;1,"duplicate player","OK"))))</f>
      </c>
      <c r="P507">
        <f>IF($D507="",0,IFERROR(SUMIFS($H$4:$H$810,$A$4:$A$810,$A507,$E$4:$E$810,"Win")/COUNTIFS($A$4:$A$810,$A507,$E$4:$E$810,"Win"),0))</f>
        <v>0</v>
      </c>
      <c r="Q507">
        <f>IF($D507="",0,1/(1+10^(($P507-$H507)/400)))</f>
        <v>0</v>
      </c>
      <c r="R507">
        <f>IF($D507="",0,(COUNTIFS($D$4:$D$810,$D507,$C$4:$C$810,$C507,$E$4:$E$810,"Win",$A$4:$A$810,"&lt;"&amp;$A507)+1)/(COUNTIFS($D$4:$D$810,$D507,$C$4:$C$810,$C507,$A$4:$A$810,"&lt;"&amp;$A507)+2))</f>
        <v>0</v>
      </c>
      <c r="S507">
        <f>IF($D507="",0,SUMIFS($R$4:$R$810,$A$4:$A$810,$A507))</f>
        <v>0</v>
      </c>
      <c r="T507" s="88">
        <f>IF($D507="",0,COUNTIFS($D$4:$D$810,$D507,$C$4:$C$810,$C507,$A$4:$A$810,"&lt;"&amp;$A507))</f>
        <v>0</v>
      </c>
      <c r="U507" s="125">
        <f>IF($D507="",0,IFERROR(LOOKUP(2,1/(($D$3:D506=$D507)*($C$3:C506=$C507)*($A$3:A506&lt;$A507)),$AB$3:AB506),1000))</f>
        <v>0</v>
      </c>
      <c r="V507" s="125">
        <f>IF($D507="",0,$U507*($T507/($T507+5))+$H507*(1-$T507/($T507+5)))</f>
        <v>0</v>
      </c>
      <c r="W507">
        <f>IF($D507="",0,IFERROR(SUMIFS($V$4:$V$810,$A$4:$A$810,$A507,$E$4:$E$810,"Win")/COUNTIFS($A$4:$A$810,$A507,$E$4:$E$810,"Win"),0))</f>
        <v>0</v>
      </c>
      <c r="X507">
        <f>IF($D507="",0,1/(1+10^(($W507-$V507)/400)))</f>
        <v>0</v>
      </c>
      <c r="Y507">
        <f>IF($D507="",0,IFERROR(SUMIFS($U$4:$U$810,$A$4:$A$810,$A507,$E$4:$E$810,"Win")/COUNTIFS($A$4:$A$810,$A507,$E$4:$E$810,"Win"),0))</f>
        <v>0</v>
      </c>
      <c r="Z507">
        <f>IF($D507="",0,1/(1+10^(($Y507-$U507)/400)))</f>
        <v>0</v>
      </c>
      <c r="AA507">
        <f>IF($D507="",0,IF($F507&lt;2,0,IF($E507="Win",('Guide &amp; Settings'!$C$42/(($F507-1)*COUNTIFS($A$4:$A$810,$A507,$E$4:$E$810,"Win")))*SUMIFS($Z$4:$Z$810,$A$4:$A$810,$A507,$E$4:$E$810,"Loss"),-('Guide &amp; Settings'!$C$42/($F507-1))*$Z507)))</f>
        <v>0</v>
      </c>
      <c r="AB507" s="125">
        <f>IF($D507="",0,$U507+$AA507)</f>
        <v>0</v>
      </c>
      <c r="AC507" s="125" t="str">
        <f>IF($D507="","",IF(SUMPRODUCT(MAX(($D$4:$D$810=$D507)*($B$4:$B$810&lt;$B507)*$B$4:$B$810))=0,0,MAX(($B507-MAX(SUMPRODUCT(MAX(($D$4:$D$810=$D507)*($B$4:$B$810&lt;$B507)*$B$4:$B$810)),'Guide &amp; Settings'!$C$50))/7-'Guide &amp; Settings'!$C$48,0)*'Guide &amp; Settings'!$C$49))</f>
      </c>
    </row>
    <row r="508" spans="1:29">
      <c r="A508" s="116"/>
      <c r="B508" s="117"/>
      <c r="C508" s="118"/>
      <c r="D508" s="118"/>
      <c r="E508" s="116"/>
      <c r="F508" s="119">
        <f>IF($D508="",0,COUNTIF($A$4:$A$810,$A508))</f>
        <v>0</v>
      </c>
      <c r="G508" s="120">
        <f>IF($D508="","",IFERROR(LOOKUP(2,1/(($A$4:$A$810=$A508)*($E$4:$E$810="Win")),$D$4:$D$810),"(no winner)"))</f>
        <v>0</v>
      </c>
      <c r="H508" s="121">
        <f>IF($D508="",0,IFERROR(LOOKUP(2,1/(($D$3:D507=$D508)*($A$3:A507&lt;$A508)),$N$3:N507),'Guide &amp; Settings'!$C$41))</f>
        <v>0</v>
      </c>
      <c r="I508" s="122">
        <f>IF($D508="",0,IF($S508=0,0,$R508/$S508))</f>
        <v>0</v>
      </c>
      <c r="J508" s="123">
        <f>IF($D508="",0,IF($F508&lt;2,0,IF($E508="Win",('Guide &amp; Settings'!$C$42/(($F508-1)*COUNTIFS($A$4:$A$810,$A508,$E$4:$E$810,"Win")))*SUMIFS($X$4:$X$810,$A$4:$A$810,$A508,$E$4:$E$810,"Loss"),-('Guide &amp; Settings'!$C$42/($F508-1))*$X508)))</f>
        <v>0</v>
      </c>
      <c r="K508" s="123">
        <f>IF($D508="",0,'Guide &amp; Settings'!$C$43*(IF($E508="Win",1,0)-$I508))</f>
        <v>0</v>
      </c>
      <c r="L508" s="124">
        <f>IF($D508="",0,'Guide &amp; Settings'!$C$44*IF($F508&gt;=3,$F508+IF($E508="Win",$F508,0),0))</f>
        <v>0</v>
      </c>
      <c r="M508" s="123">
        <f>IF($D508="",0,$J508+$K508+$L508)</f>
        <v>0</v>
      </c>
      <c r="N508" s="121">
        <f>IF($D508="",0,$H508+$M508)</f>
        <v>0</v>
      </c>
      <c r="O508" s="120" t="str">
        <f>IF($D508="","",IF(COUNTIFS($A$4:$A$810,$A508,$E$4:$E$810,"Win")=0,"need a winner",IF(COUNTIFS($A$4:$A$810,$A508,$E$4:$E$810,"Loss")=0,"need a loser",IF(COUNTIFS($A$4:$A$810,$A508,$D$4:$D$810,$D508)&gt;1,"duplicate player","OK"))))</f>
      </c>
      <c r="P508">
        <f>IF($D508="",0,IFERROR(SUMIFS($H$4:$H$810,$A$4:$A$810,$A508,$E$4:$E$810,"Win")/COUNTIFS($A$4:$A$810,$A508,$E$4:$E$810,"Win"),0))</f>
        <v>0</v>
      </c>
      <c r="Q508">
        <f>IF($D508="",0,1/(1+10^(($P508-$H508)/400)))</f>
        <v>0</v>
      </c>
      <c r="R508">
        <f>IF($D508="",0,(COUNTIFS($D$4:$D$810,$D508,$C$4:$C$810,$C508,$E$4:$E$810,"Win",$A$4:$A$810,"&lt;"&amp;$A508)+1)/(COUNTIFS($D$4:$D$810,$D508,$C$4:$C$810,$C508,$A$4:$A$810,"&lt;"&amp;$A508)+2))</f>
        <v>0</v>
      </c>
      <c r="S508">
        <f>IF($D508="",0,SUMIFS($R$4:$R$810,$A$4:$A$810,$A508))</f>
        <v>0</v>
      </c>
      <c r="T508" s="88">
        <f>IF($D508="",0,COUNTIFS($D$4:$D$810,$D508,$C$4:$C$810,$C508,$A$4:$A$810,"&lt;"&amp;$A508))</f>
        <v>0</v>
      </c>
      <c r="U508" s="125">
        <f>IF($D508="",0,IFERROR(LOOKUP(2,1/(($D$3:D507=$D508)*($C$3:C507=$C508)*($A$3:A507&lt;$A508)),$AB$3:AB507),1000))</f>
        <v>0</v>
      </c>
      <c r="V508" s="125">
        <f>IF($D508="",0,$U508*($T508/($T508+5))+$H508*(1-$T508/($T508+5)))</f>
        <v>0</v>
      </c>
      <c r="W508">
        <f>IF($D508="",0,IFERROR(SUMIFS($V$4:$V$810,$A$4:$A$810,$A508,$E$4:$E$810,"Win")/COUNTIFS($A$4:$A$810,$A508,$E$4:$E$810,"Win"),0))</f>
        <v>0</v>
      </c>
      <c r="X508">
        <f>IF($D508="",0,1/(1+10^(($W508-$V508)/400)))</f>
        <v>0</v>
      </c>
      <c r="Y508">
        <f>IF($D508="",0,IFERROR(SUMIFS($U$4:$U$810,$A$4:$A$810,$A508,$E$4:$E$810,"Win")/COUNTIFS($A$4:$A$810,$A508,$E$4:$E$810,"Win"),0))</f>
        <v>0</v>
      </c>
      <c r="Z508">
        <f>IF($D508="",0,1/(1+10^(($Y508-$U508)/400)))</f>
        <v>0</v>
      </c>
      <c r="AA508">
        <f>IF($D508="",0,IF($F508&lt;2,0,IF($E508="Win",('Guide &amp; Settings'!$C$42/(($F508-1)*COUNTIFS($A$4:$A$810,$A508,$E$4:$E$810,"Win")))*SUMIFS($Z$4:$Z$810,$A$4:$A$810,$A508,$E$4:$E$810,"Loss"),-('Guide &amp; Settings'!$C$42/($F508-1))*$Z508)))</f>
        <v>0</v>
      </c>
      <c r="AB508" s="125">
        <f>IF($D508="",0,$U508+$AA508)</f>
        <v>0</v>
      </c>
      <c r="AC508" s="125" t="str">
        <f>IF($D508="","",IF(SUMPRODUCT(MAX(($D$4:$D$810=$D508)*($B$4:$B$810&lt;$B508)*$B$4:$B$810))=0,0,MAX(($B508-MAX(SUMPRODUCT(MAX(($D$4:$D$810=$D508)*($B$4:$B$810&lt;$B508)*$B$4:$B$810)),'Guide &amp; Settings'!$C$50))/7-'Guide &amp; Settings'!$C$48,0)*'Guide &amp; Settings'!$C$49))</f>
      </c>
    </row>
    <row r="509" spans="1:29">
      <c r="A509" s="116"/>
      <c r="B509" s="117"/>
      <c r="C509" s="118"/>
      <c r="D509" s="118"/>
      <c r="E509" s="116"/>
      <c r="F509" s="119">
        <f>IF($D509="",0,COUNTIF($A$4:$A$810,$A509))</f>
        <v>0</v>
      </c>
      <c r="G509" s="120">
        <f>IF($D509="","",IFERROR(LOOKUP(2,1/(($A$4:$A$810=$A509)*($E$4:$E$810="Win")),$D$4:$D$810),"(no winner)"))</f>
        <v>0</v>
      </c>
      <c r="H509" s="121">
        <f>IF($D509="",0,IFERROR(LOOKUP(2,1/(($D$3:D508=$D509)*($A$3:A508&lt;$A509)),$N$3:N508),'Guide &amp; Settings'!$C$41))</f>
        <v>0</v>
      </c>
      <c r="I509" s="122">
        <f>IF($D509="",0,IF($S509=0,0,$R509/$S509))</f>
        <v>0</v>
      </c>
      <c r="J509" s="123">
        <f>IF($D509="",0,IF($F509&lt;2,0,IF($E509="Win",('Guide &amp; Settings'!$C$42/(($F509-1)*COUNTIFS($A$4:$A$810,$A509,$E$4:$E$810,"Win")))*SUMIFS($X$4:$X$810,$A$4:$A$810,$A509,$E$4:$E$810,"Loss"),-('Guide &amp; Settings'!$C$42/($F509-1))*$X509)))</f>
        <v>0</v>
      </c>
      <c r="K509" s="123">
        <f>IF($D509="",0,'Guide &amp; Settings'!$C$43*(IF($E509="Win",1,0)-$I509))</f>
        <v>0</v>
      </c>
      <c r="L509" s="124">
        <f>IF($D509="",0,'Guide &amp; Settings'!$C$44*IF($F509&gt;=3,$F509+IF($E509="Win",$F509,0),0))</f>
        <v>0</v>
      </c>
      <c r="M509" s="123">
        <f>IF($D509="",0,$J509+$K509+$L509)</f>
        <v>0</v>
      </c>
      <c r="N509" s="121">
        <f>IF($D509="",0,$H509+$M509)</f>
        <v>0</v>
      </c>
      <c r="O509" s="120" t="str">
        <f>IF($D509="","",IF(COUNTIFS($A$4:$A$810,$A509,$E$4:$E$810,"Win")=0,"need a winner",IF(COUNTIFS($A$4:$A$810,$A509,$E$4:$E$810,"Loss")=0,"need a loser",IF(COUNTIFS($A$4:$A$810,$A509,$D$4:$D$810,$D509)&gt;1,"duplicate player","OK"))))</f>
      </c>
      <c r="P509">
        <f>IF($D509="",0,IFERROR(SUMIFS($H$4:$H$810,$A$4:$A$810,$A509,$E$4:$E$810,"Win")/COUNTIFS($A$4:$A$810,$A509,$E$4:$E$810,"Win"),0))</f>
        <v>0</v>
      </c>
      <c r="Q509">
        <f>IF($D509="",0,1/(1+10^(($P509-$H509)/400)))</f>
        <v>0</v>
      </c>
      <c r="R509">
        <f>IF($D509="",0,(COUNTIFS($D$4:$D$810,$D509,$C$4:$C$810,$C509,$E$4:$E$810,"Win",$A$4:$A$810,"&lt;"&amp;$A509)+1)/(COUNTIFS($D$4:$D$810,$D509,$C$4:$C$810,$C509,$A$4:$A$810,"&lt;"&amp;$A509)+2))</f>
        <v>0</v>
      </c>
      <c r="S509">
        <f>IF($D509="",0,SUMIFS($R$4:$R$810,$A$4:$A$810,$A509))</f>
        <v>0</v>
      </c>
      <c r="T509" s="88">
        <f>IF($D509="",0,COUNTIFS($D$4:$D$810,$D509,$C$4:$C$810,$C509,$A$4:$A$810,"&lt;"&amp;$A509))</f>
        <v>0</v>
      </c>
      <c r="U509" s="125">
        <f>IF($D509="",0,IFERROR(LOOKUP(2,1/(($D$3:D508=$D509)*($C$3:C508=$C509)*($A$3:A508&lt;$A509)),$AB$3:AB508),1000))</f>
        <v>0</v>
      </c>
      <c r="V509" s="125">
        <f>IF($D509="",0,$U509*($T509/($T509+5))+$H509*(1-$T509/($T509+5)))</f>
        <v>0</v>
      </c>
      <c r="W509">
        <f>IF($D509="",0,IFERROR(SUMIFS($V$4:$V$810,$A$4:$A$810,$A509,$E$4:$E$810,"Win")/COUNTIFS($A$4:$A$810,$A509,$E$4:$E$810,"Win"),0))</f>
        <v>0</v>
      </c>
      <c r="X509">
        <f>IF($D509="",0,1/(1+10^(($W509-$V509)/400)))</f>
        <v>0</v>
      </c>
      <c r="Y509">
        <f>IF($D509="",0,IFERROR(SUMIFS($U$4:$U$810,$A$4:$A$810,$A509,$E$4:$E$810,"Win")/COUNTIFS($A$4:$A$810,$A509,$E$4:$E$810,"Win"),0))</f>
        <v>0</v>
      </c>
      <c r="Z509">
        <f>IF($D509="",0,1/(1+10^(($Y509-$U509)/400)))</f>
        <v>0</v>
      </c>
      <c r="AA509">
        <f>IF($D509="",0,IF($F509&lt;2,0,IF($E509="Win",('Guide &amp; Settings'!$C$42/(($F509-1)*COUNTIFS($A$4:$A$810,$A509,$E$4:$E$810,"Win")))*SUMIFS($Z$4:$Z$810,$A$4:$A$810,$A509,$E$4:$E$810,"Loss"),-('Guide &amp; Settings'!$C$42/($F509-1))*$Z509)))</f>
        <v>0</v>
      </c>
      <c r="AB509" s="125">
        <f>IF($D509="",0,$U509+$AA509)</f>
        <v>0</v>
      </c>
      <c r="AC509" s="125" t="str">
        <f>IF($D509="","",IF(SUMPRODUCT(MAX(($D$4:$D$810=$D509)*($B$4:$B$810&lt;$B509)*$B$4:$B$810))=0,0,MAX(($B509-MAX(SUMPRODUCT(MAX(($D$4:$D$810=$D509)*($B$4:$B$810&lt;$B509)*$B$4:$B$810)),'Guide &amp; Settings'!$C$50))/7-'Guide &amp; Settings'!$C$48,0)*'Guide &amp; Settings'!$C$49))</f>
      </c>
    </row>
    <row r="510" spans="1:29">
      <c r="A510" s="116"/>
      <c r="B510" s="117"/>
      <c r="C510" s="118"/>
      <c r="D510" s="118"/>
      <c r="E510" s="116"/>
      <c r="F510" s="119">
        <f>IF($D510="",0,COUNTIF($A$4:$A$810,$A510))</f>
        <v>0</v>
      </c>
      <c r="G510" s="120">
        <f>IF($D510="","",IFERROR(LOOKUP(2,1/(($A$4:$A$810=$A510)*($E$4:$E$810="Win")),$D$4:$D$810),"(no winner)"))</f>
        <v>0</v>
      </c>
      <c r="H510" s="121">
        <f>IF($D510="",0,IFERROR(LOOKUP(2,1/(($D$3:D509=$D510)*($A$3:A509&lt;$A510)),$N$3:N509),'Guide &amp; Settings'!$C$41))</f>
        <v>0</v>
      </c>
      <c r="I510" s="122">
        <f>IF($D510="",0,IF($S510=0,0,$R510/$S510))</f>
        <v>0</v>
      </c>
      <c r="J510" s="123">
        <f>IF($D510="",0,IF($F510&lt;2,0,IF($E510="Win",('Guide &amp; Settings'!$C$42/(($F510-1)*COUNTIFS($A$4:$A$810,$A510,$E$4:$E$810,"Win")))*SUMIFS($X$4:$X$810,$A$4:$A$810,$A510,$E$4:$E$810,"Loss"),-('Guide &amp; Settings'!$C$42/($F510-1))*$X510)))</f>
        <v>0</v>
      </c>
      <c r="K510" s="123">
        <f>IF($D510="",0,'Guide &amp; Settings'!$C$43*(IF($E510="Win",1,0)-$I510))</f>
        <v>0</v>
      </c>
      <c r="L510" s="124">
        <f>IF($D510="",0,'Guide &amp; Settings'!$C$44*IF($F510&gt;=3,$F510+IF($E510="Win",$F510,0),0))</f>
        <v>0</v>
      </c>
      <c r="M510" s="123">
        <f>IF($D510="",0,$J510+$K510+$L510)</f>
        <v>0</v>
      </c>
      <c r="N510" s="121">
        <f>IF($D510="",0,$H510+$M510)</f>
        <v>0</v>
      </c>
      <c r="O510" s="120" t="str">
        <f>IF($D510="","",IF(COUNTIFS($A$4:$A$810,$A510,$E$4:$E$810,"Win")=0,"need a winner",IF(COUNTIFS($A$4:$A$810,$A510,$E$4:$E$810,"Loss")=0,"need a loser",IF(COUNTIFS($A$4:$A$810,$A510,$D$4:$D$810,$D510)&gt;1,"duplicate player","OK"))))</f>
      </c>
      <c r="P510">
        <f>IF($D510="",0,IFERROR(SUMIFS($H$4:$H$810,$A$4:$A$810,$A510,$E$4:$E$810,"Win")/COUNTIFS($A$4:$A$810,$A510,$E$4:$E$810,"Win"),0))</f>
        <v>0</v>
      </c>
      <c r="Q510">
        <f>IF($D510="",0,1/(1+10^(($P510-$H510)/400)))</f>
        <v>0</v>
      </c>
      <c r="R510">
        <f>IF($D510="",0,(COUNTIFS($D$4:$D$810,$D510,$C$4:$C$810,$C510,$E$4:$E$810,"Win",$A$4:$A$810,"&lt;"&amp;$A510)+1)/(COUNTIFS($D$4:$D$810,$D510,$C$4:$C$810,$C510,$A$4:$A$810,"&lt;"&amp;$A510)+2))</f>
        <v>0</v>
      </c>
      <c r="S510">
        <f>IF($D510="",0,SUMIFS($R$4:$R$810,$A$4:$A$810,$A510))</f>
        <v>0</v>
      </c>
      <c r="T510" s="88">
        <f>IF($D510="",0,COUNTIFS($D$4:$D$810,$D510,$C$4:$C$810,$C510,$A$4:$A$810,"&lt;"&amp;$A510))</f>
        <v>0</v>
      </c>
      <c r="U510" s="125">
        <f>IF($D510="",0,IFERROR(LOOKUP(2,1/(($D$3:D509=$D510)*($C$3:C509=$C510)*($A$3:A509&lt;$A510)),$AB$3:AB509),1000))</f>
        <v>0</v>
      </c>
      <c r="V510" s="125">
        <f>IF($D510="",0,$U510*($T510/($T510+5))+$H510*(1-$T510/($T510+5)))</f>
        <v>0</v>
      </c>
      <c r="W510">
        <f>IF($D510="",0,IFERROR(SUMIFS($V$4:$V$810,$A$4:$A$810,$A510,$E$4:$E$810,"Win")/COUNTIFS($A$4:$A$810,$A510,$E$4:$E$810,"Win"),0))</f>
        <v>0</v>
      </c>
      <c r="X510">
        <f>IF($D510="",0,1/(1+10^(($W510-$V510)/400)))</f>
        <v>0</v>
      </c>
      <c r="Y510">
        <f>IF($D510="",0,IFERROR(SUMIFS($U$4:$U$810,$A$4:$A$810,$A510,$E$4:$E$810,"Win")/COUNTIFS($A$4:$A$810,$A510,$E$4:$E$810,"Win"),0))</f>
        <v>0</v>
      </c>
      <c r="Z510">
        <f>IF($D510="",0,1/(1+10^(($Y510-$U510)/400)))</f>
        <v>0</v>
      </c>
      <c r="AA510">
        <f>IF($D510="",0,IF($F510&lt;2,0,IF($E510="Win",('Guide &amp; Settings'!$C$42/(($F510-1)*COUNTIFS($A$4:$A$810,$A510,$E$4:$E$810,"Win")))*SUMIFS($Z$4:$Z$810,$A$4:$A$810,$A510,$E$4:$E$810,"Loss"),-('Guide &amp; Settings'!$C$42/($F510-1))*$Z510)))</f>
        <v>0</v>
      </c>
      <c r="AB510" s="125">
        <f>IF($D510="",0,$U510+$AA510)</f>
        <v>0</v>
      </c>
      <c r="AC510" s="125" t="str">
        <f>IF($D510="","",IF(SUMPRODUCT(MAX(($D$4:$D$810=$D510)*($B$4:$B$810&lt;$B510)*$B$4:$B$810))=0,0,MAX(($B510-MAX(SUMPRODUCT(MAX(($D$4:$D$810=$D510)*($B$4:$B$810&lt;$B510)*$B$4:$B$810)),'Guide &amp; Settings'!$C$50))/7-'Guide &amp; Settings'!$C$48,0)*'Guide &amp; Settings'!$C$49))</f>
      </c>
    </row>
    <row r="511" spans="1:29">
      <c r="A511" s="116"/>
      <c r="B511" s="117"/>
      <c r="C511" s="118"/>
      <c r="D511" s="118"/>
      <c r="E511" s="116"/>
      <c r="F511" s="119">
        <f>IF($D511="",0,COUNTIF($A$4:$A$810,$A511))</f>
        <v>0</v>
      </c>
      <c r="G511" s="120">
        <f>IF($D511="","",IFERROR(LOOKUP(2,1/(($A$4:$A$810=$A511)*($E$4:$E$810="Win")),$D$4:$D$810),"(no winner)"))</f>
        <v>0</v>
      </c>
      <c r="H511" s="121">
        <f>IF($D511="",0,IFERROR(LOOKUP(2,1/(($D$3:D510=$D511)*($A$3:A510&lt;$A511)),$N$3:N510),'Guide &amp; Settings'!$C$41))</f>
        <v>0</v>
      </c>
      <c r="I511" s="122">
        <f>IF($D511="",0,IF($S511=0,0,$R511/$S511))</f>
        <v>0</v>
      </c>
      <c r="J511" s="123">
        <f>IF($D511="",0,IF($F511&lt;2,0,IF($E511="Win",('Guide &amp; Settings'!$C$42/(($F511-1)*COUNTIFS($A$4:$A$810,$A511,$E$4:$E$810,"Win")))*SUMIFS($X$4:$X$810,$A$4:$A$810,$A511,$E$4:$E$810,"Loss"),-('Guide &amp; Settings'!$C$42/($F511-1))*$X511)))</f>
        <v>0</v>
      </c>
      <c r="K511" s="123">
        <f>IF($D511="",0,'Guide &amp; Settings'!$C$43*(IF($E511="Win",1,0)-$I511))</f>
        <v>0</v>
      </c>
      <c r="L511" s="124">
        <f>IF($D511="",0,'Guide &amp; Settings'!$C$44*IF($F511&gt;=3,$F511+IF($E511="Win",$F511,0),0))</f>
        <v>0</v>
      </c>
      <c r="M511" s="123">
        <f>IF($D511="",0,$J511+$K511+$L511)</f>
        <v>0</v>
      </c>
      <c r="N511" s="121">
        <f>IF($D511="",0,$H511+$M511)</f>
        <v>0</v>
      </c>
      <c r="O511" s="120" t="str">
        <f>IF($D511="","",IF(COUNTIFS($A$4:$A$810,$A511,$E$4:$E$810,"Win")=0,"need a winner",IF(COUNTIFS($A$4:$A$810,$A511,$E$4:$E$810,"Loss")=0,"need a loser",IF(COUNTIFS($A$4:$A$810,$A511,$D$4:$D$810,$D511)&gt;1,"duplicate player","OK"))))</f>
      </c>
      <c r="P511">
        <f>IF($D511="",0,IFERROR(SUMIFS($H$4:$H$810,$A$4:$A$810,$A511,$E$4:$E$810,"Win")/COUNTIFS($A$4:$A$810,$A511,$E$4:$E$810,"Win"),0))</f>
        <v>0</v>
      </c>
      <c r="Q511">
        <f>IF($D511="",0,1/(1+10^(($P511-$H511)/400)))</f>
        <v>0</v>
      </c>
      <c r="R511">
        <f>IF($D511="",0,(COUNTIFS($D$4:$D$810,$D511,$C$4:$C$810,$C511,$E$4:$E$810,"Win",$A$4:$A$810,"&lt;"&amp;$A511)+1)/(COUNTIFS($D$4:$D$810,$D511,$C$4:$C$810,$C511,$A$4:$A$810,"&lt;"&amp;$A511)+2))</f>
        <v>0</v>
      </c>
      <c r="S511">
        <f>IF($D511="",0,SUMIFS($R$4:$R$810,$A$4:$A$810,$A511))</f>
        <v>0</v>
      </c>
      <c r="T511" s="88">
        <f>IF($D511="",0,COUNTIFS($D$4:$D$810,$D511,$C$4:$C$810,$C511,$A$4:$A$810,"&lt;"&amp;$A511))</f>
        <v>0</v>
      </c>
      <c r="U511" s="125">
        <f>IF($D511="",0,IFERROR(LOOKUP(2,1/(($D$3:D510=$D511)*($C$3:C510=$C511)*($A$3:A510&lt;$A511)),$AB$3:AB510),1000))</f>
        <v>0</v>
      </c>
      <c r="V511" s="125">
        <f>IF($D511="",0,$U511*($T511/($T511+5))+$H511*(1-$T511/($T511+5)))</f>
        <v>0</v>
      </c>
      <c r="W511">
        <f>IF($D511="",0,IFERROR(SUMIFS($V$4:$V$810,$A$4:$A$810,$A511,$E$4:$E$810,"Win")/COUNTIFS($A$4:$A$810,$A511,$E$4:$E$810,"Win"),0))</f>
        <v>0</v>
      </c>
      <c r="X511">
        <f>IF($D511="",0,1/(1+10^(($W511-$V511)/400)))</f>
        <v>0</v>
      </c>
      <c r="Y511">
        <f>IF($D511="",0,IFERROR(SUMIFS($U$4:$U$810,$A$4:$A$810,$A511,$E$4:$E$810,"Win")/COUNTIFS($A$4:$A$810,$A511,$E$4:$E$810,"Win"),0))</f>
        <v>0</v>
      </c>
      <c r="Z511">
        <f>IF($D511="",0,1/(1+10^(($Y511-$U511)/400)))</f>
        <v>0</v>
      </c>
      <c r="AA511">
        <f>IF($D511="",0,IF($F511&lt;2,0,IF($E511="Win",('Guide &amp; Settings'!$C$42/(($F511-1)*COUNTIFS($A$4:$A$810,$A511,$E$4:$E$810,"Win")))*SUMIFS($Z$4:$Z$810,$A$4:$A$810,$A511,$E$4:$E$810,"Loss"),-('Guide &amp; Settings'!$C$42/($F511-1))*$Z511)))</f>
        <v>0</v>
      </c>
      <c r="AB511" s="125">
        <f>IF($D511="",0,$U511+$AA511)</f>
        <v>0</v>
      </c>
      <c r="AC511" s="125" t="str">
        <f>IF($D511="","",IF(SUMPRODUCT(MAX(($D$4:$D$810=$D511)*($B$4:$B$810&lt;$B511)*$B$4:$B$810))=0,0,MAX(($B511-MAX(SUMPRODUCT(MAX(($D$4:$D$810=$D511)*($B$4:$B$810&lt;$B511)*$B$4:$B$810)),'Guide &amp; Settings'!$C$50))/7-'Guide &amp; Settings'!$C$48,0)*'Guide &amp; Settings'!$C$49))</f>
      </c>
    </row>
    <row r="512" spans="1:29">
      <c r="A512" s="116"/>
      <c r="B512" s="117"/>
      <c r="C512" s="118"/>
      <c r="D512" s="118"/>
      <c r="E512" s="116"/>
      <c r="F512" s="119">
        <f>IF($D512="",0,COUNTIF($A$4:$A$810,$A512))</f>
        <v>0</v>
      </c>
      <c r="G512" s="120">
        <f>IF($D512="","",IFERROR(LOOKUP(2,1/(($A$4:$A$810=$A512)*($E$4:$E$810="Win")),$D$4:$D$810),"(no winner)"))</f>
        <v>0</v>
      </c>
      <c r="H512" s="121">
        <f>IF($D512="",0,IFERROR(LOOKUP(2,1/(($D$3:D511=$D512)*($A$3:A511&lt;$A512)),$N$3:N511),'Guide &amp; Settings'!$C$41))</f>
        <v>0</v>
      </c>
      <c r="I512" s="122">
        <f>IF($D512="",0,IF($S512=0,0,$R512/$S512))</f>
        <v>0</v>
      </c>
      <c r="J512" s="123">
        <f>IF($D512="",0,IF($F512&lt;2,0,IF($E512="Win",('Guide &amp; Settings'!$C$42/(($F512-1)*COUNTIFS($A$4:$A$810,$A512,$E$4:$E$810,"Win")))*SUMIFS($X$4:$X$810,$A$4:$A$810,$A512,$E$4:$E$810,"Loss"),-('Guide &amp; Settings'!$C$42/($F512-1))*$X512)))</f>
        <v>0</v>
      </c>
      <c r="K512" s="123">
        <f>IF($D512="",0,'Guide &amp; Settings'!$C$43*(IF($E512="Win",1,0)-$I512))</f>
        <v>0</v>
      </c>
      <c r="L512" s="124">
        <f>IF($D512="",0,'Guide &amp; Settings'!$C$44*IF($F512&gt;=3,$F512+IF($E512="Win",$F512,0),0))</f>
        <v>0</v>
      </c>
      <c r="M512" s="123">
        <f>IF($D512="",0,$J512+$K512+$L512)</f>
        <v>0</v>
      </c>
      <c r="N512" s="121">
        <f>IF($D512="",0,$H512+$M512)</f>
        <v>0</v>
      </c>
      <c r="O512" s="120" t="str">
        <f>IF($D512="","",IF(COUNTIFS($A$4:$A$810,$A512,$E$4:$E$810,"Win")=0,"need a winner",IF(COUNTIFS($A$4:$A$810,$A512,$E$4:$E$810,"Loss")=0,"need a loser",IF(COUNTIFS($A$4:$A$810,$A512,$D$4:$D$810,$D512)&gt;1,"duplicate player","OK"))))</f>
      </c>
      <c r="P512">
        <f>IF($D512="",0,IFERROR(SUMIFS($H$4:$H$810,$A$4:$A$810,$A512,$E$4:$E$810,"Win")/COUNTIFS($A$4:$A$810,$A512,$E$4:$E$810,"Win"),0))</f>
        <v>0</v>
      </c>
      <c r="Q512">
        <f>IF($D512="",0,1/(1+10^(($P512-$H512)/400)))</f>
        <v>0</v>
      </c>
      <c r="R512">
        <f>IF($D512="",0,(COUNTIFS($D$4:$D$810,$D512,$C$4:$C$810,$C512,$E$4:$E$810,"Win",$A$4:$A$810,"&lt;"&amp;$A512)+1)/(COUNTIFS($D$4:$D$810,$D512,$C$4:$C$810,$C512,$A$4:$A$810,"&lt;"&amp;$A512)+2))</f>
        <v>0</v>
      </c>
      <c r="S512">
        <f>IF($D512="",0,SUMIFS($R$4:$R$810,$A$4:$A$810,$A512))</f>
        <v>0</v>
      </c>
      <c r="T512" s="88">
        <f>IF($D512="",0,COUNTIFS($D$4:$D$810,$D512,$C$4:$C$810,$C512,$A$4:$A$810,"&lt;"&amp;$A512))</f>
        <v>0</v>
      </c>
      <c r="U512" s="125">
        <f>IF($D512="",0,IFERROR(LOOKUP(2,1/(($D$3:D511=$D512)*($C$3:C511=$C512)*($A$3:A511&lt;$A512)),$AB$3:AB511),1000))</f>
        <v>0</v>
      </c>
      <c r="V512" s="125">
        <f>IF($D512="",0,$U512*($T512/($T512+5))+$H512*(1-$T512/($T512+5)))</f>
        <v>0</v>
      </c>
      <c r="W512">
        <f>IF($D512="",0,IFERROR(SUMIFS($V$4:$V$810,$A$4:$A$810,$A512,$E$4:$E$810,"Win")/COUNTIFS($A$4:$A$810,$A512,$E$4:$E$810,"Win"),0))</f>
        <v>0</v>
      </c>
      <c r="X512">
        <f>IF($D512="",0,1/(1+10^(($W512-$V512)/400)))</f>
        <v>0</v>
      </c>
      <c r="Y512">
        <f>IF($D512="",0,IFERROR(SUMIFS($U$4:$U$810,$A$4:$A$810,$A512,$E$4:$E$810,"Win")/COUNTIFS($A$4:$A$810,$A512,$E$4:$E$810,"Win"),0))</f>
        <v>0</v>
      </c>
      <c r="Z512">
        <f>IF($D512="",0,1/(1+10^(($Y512-$U512)/400)))</f>
        <v>0</v>
      </c>
      <c r="AA512">
        <f>IF($D512="",0,IF($F512&lt;2,0,IF($E512="Win",('Guide &amp; Settings'!$C$42/(($F512-1)*COUNTIFS($A$4:$A$810,$A512,$E$4:$E$810,"Win")))*SUMIFS($Z$4:$Z$810,$A$4:$A$810,$A512,$E$4:$E$810,"Loss"),-('Guide &amp; Settings'!$C$42/($F512-1))*$Z512)))</f>
        <v>0</v>
      </c>
      <c r="AB512" s="125">
        <f>IF($D512="",0,$U512+$AA512)</f>
        <v>0</v>
      </c>
      <c r="AC512" s="125" t="str">
        <f>IF($D512="","",IF(SUMPRODUCT(MAX(($D$4:$D$810=$D512)*($B$4:$B$810&lt;$B512)*$B$4:$B$810))=0,0,MAX(($B512-MAX(SUMPRODUCT(MAX(($D$4:$D$810=$D512)*($B$4:$B$810&lt;$B512)*$B$4:$B$810)),'Guide &amp; Settings'!$C$50))/7-'Guide &amp; Settings'!$C$48,0)*'Guide &amp; Settings'!$C$49))</f>
      </c>
    </row>
    <row r="513" spans="1:29">
      <c r="A513" s="116"/>
      <c r="B513" s="117"/>
      <c r="C513" s="118"/>
      <c r="D513" s="118"/>
      <c r="E513" s="116"/>
      <c r="F513" s="119">
        <f>IF($D513="",0,COUNTIF($A$4:$A$810,$A513))</f>
        <v>0</v>
      </c>
      <c r="G513" s="120">
        <f>IF($D513="","",IFERROR(LOOKUP(2,1/(($A$4:$A$810=$A513)*($E$4:$E$810="Win")),$D$4:$D$810),"(no winner)"))</f>
        <v>0</v>
      </c>
      <c r="H513" s="121">
        <f>IF($D513="",0,IFERROR(LOOKUP(2,1/(($D$3:D512=$D513)*($A$3:A512&lt;$A513)),$N$3:N512),'Guide &amp; Settings'!$C$41))</f>
        <v>0</v>
      </c>
      <c r="I513" s="122">
        <f>IF($D513="",0,IF($S513=0,0,$R513/$S513))</f>
        <v>0</v>
      </c>
      <c r="J513" s="123">
        <f>IF($D513="",0,IF($F513&lt;2,0,IF($E513="Win",('Guide &amp; Settings'!$C$42/(($F513-1)*COUNTIFS($A$4:$A$810,$A513,$E$4:$E$810,"Win")))*SUMIFS($X$4:$X$810,$A$4:$A$810,$A513,$E$4:$E$810,"Loss"),-('Guide &amp; Settings'!$C$42/($F513-1))*$X513)))</f>
        <v>0</v>
      </c>
      <c r="K513" s="123">
        <f>IF($D513="",0,'Guide &amp; Settings'!$C$43*(IF($E513="Win",1,0)-$I513))</f>
        <v>0</v>
      </c>
      <c r="L513" s="124">
        <f>IF($D513="",0,'Guide &amp; Settings'!$C$44*IF($F513&gt;=3,$F513+IF($E513="Win",$F513,0),0))</f>
        <v>0</v>
      </c>
      <c r="M513" s="123">
        <f>IF($D513="",0,$J513+$K513+$L513)</f>
        <v>0</v>
      </c>
      <c r="N513" s="121">
        <f>IF($D513="",0,$H513+$M513)</f>
        <v>0</v>
      </c>
      <c r="O513" s="120" t="str">
        <f>IF($D513="","",IF(COUNTIFS($A$4:$A$810,$A513,$E$4:$E$810,"Win")=0,"need a winner",IF(COUNTIFS($A$4:$A$810,$A513,$E$4:$E$810,"Loss")=0,"need a loser",IF(COUNTIFS($A$4:$A$810,$A513,$D$4:$D$810,$D513)&gt;1,"duplicate player","OK"))))</f>
      </c>
      <c r="P513">
        <f>IF($D513="",0,IFERROR(SUMIFS($H$4:$H$810,$A$4:$A$810,$A513,$E$4:$E$810,"Win")/COUNTIFS($A$4:$A$810,$A513,$E$4:$E$810,"Win"),0))</f>
        <v>0</v>
      </c>
      <c r="Q513">
        <f>IF($D513="",0,1/(1+10^(($P513-$H513)/400)))</f>
        <v>0</v>
      </c>
      <c r="R513">
        <f>IF($D513="",0,(COUNTIFS($D$4:$D$810,$D513,$C$4:$C$810,$C513,$E$4:$E$810,"Win",$A$4:$A$810,"&lt;"&amp;$A513)+1)/(COUNTIFS($D$4:$D$810,$D513,$C$4:$C$810,$C513,$A$4:$A$810,"&lt;"&amp;$A513)+2))</f>
        <v>0</v>
      </c>
      <c r="S513">
        <f>IF($D513="",0,SUMIFS($R$4:$R$810,$A$4:$A$810,$A513))</f>
        <v>0</v>
      </c>
      <c r="T513" s="88">
        <f>IF($D513="",0,COUNTIFS($D$4:$D$810,$D513,$C$4:$C$810,$C513,$A$4:$A$810,"&lt;"&amp;$A513))</f>
        <v>0</v>
      </c>
      <c r="U513" s="125">
        <f>IF($D513="",0,IFERROR(LOOKUP(2,1/(($D$3:D512=$D513)*($C$3:C512=$C513)*($A$3:A512&lt;$A513)),$AB$3:AB512),1000))</f>
        <v>0</v>
      </c>
      <c r="V513" s="125">
        <f>IF($D513="",0,$U513*($T513/($T513+5))+$H513*(1-$T513/($T513+5)))</f>
        <v>0</v>
      </c>
      <c r="W513">
        <f>IF($D513="",0,IFERROR(SUMIFS($V$4:$V$810,$A$4:$A$810,$A513,$E$4:$E$810,"Win")/COUNTIFS($A$4:$A$810,$A513,$E$4:$E$810,"Win"),0))</f>
        <v>0</v>
      </c>
      <c r="X513">
        <f>IF($D513="",0,1/(1+10^(($W513-$V513)/400)))</f>
        <v>0</v>
      </c>
      <c r="Y513">
        <f>IF($D513="",0,IFERROR(SUMIFS($U$4:$U$810,$A$4:$A$810,$A513,$E$4:$E$810,"Win")/COUNTIFS($A$4:$A$810,$A513,$E$4:$E$810,"Win"),0))</f>
        <v>0</v>
      </c>
      <c r="Z513">
        <f>IF($D513="",0,1/(1+10^(($Y513-$U513)/400)))</f>
        <v>0</v>
      </c>
      <c r="AA513">
        <f>IF($D513="",0,IF($F513&lt;2,0,IF($E513="Win",('Guide &amp; Settings'!$C$42/(($F513-1)*COUNTIFS($A$4:$A$810,$A513,$E$4:$E$810,"Win")))*SUMIFS($Z$4:$Z$810,$A$4:$A$810,$A513,$E$4:$E$810,"Loss"),-('Guide &amp; Settings'!$C$42/($F513-1))*$Z513)))</f>
        <v>0</v>
      </c>
      <c r="AB513" s="125">
        <f>IF($D513="",0,$U513+$AA513)</f>
        <v>0</v>
      </c>
      <c r="AC513" s="125" t="str">
        <f>IF($D513="","",IF(SUMPRODUCT(MAX(($D$4:$D$810=$D513)*($B$4:$B$810&lt;$B513)*$B$4:$B$810))=0,0,MAX(($B513-MAX(SUMPRODUCT(MAX(($D$4:$D$810=$D513)*($B$4:$B$810&lt;$B513)*$B$4:$B$810)),'Guide &amp; Settings'!$C$50))/7-'Guide &amp; Settings'!$C$48,0)*'Guide &amp; Settings'!$C$49))</f>
      </c>
    </row>
    <row r="514" spans="1:29">
      <c r="A514" s="116"/>
      <c r="B514" s="117"/>
      <c r="C514" s="118"/>
      <c r="D514" s="118"/>
      <c r="E514" s="116"/>
      <c r="F514" s="119">
        <f>IF($D514="",0,COUNTIF($A$4:$A$810,$A514))</f>
        <v>0</v>
      </c>
      <c r="G514" s="120">
        <f>IF($D514="","",IFERROR(LOOKUP(2,1/(($A$4:$A$810=$A514)*($E$4:$E$810="Win")),$D$4:$D$810),"(no winner)"))</f>
        <v>0</v>
      </c>
      <c r="H514" s="121">
        <f>IF($D514="",0,IFERROR(LOOKUP(2,1/(($D$3:D513=$D514)*($A$3:A513&lt;$A514)),$N$3:N513),'Guide &amp; Settings'!$C$41))</f>
        <v>0</v>
      </c>
      <c r="I514" s="122">
        <f>IF($D514="",0,IF($S514=0,0,$R514/$S514))</f>
        <v>0</v>
      </c>
      <c r="J514" s="123">
        <f>IF($D514="",0,IF($F514&lt;2,0,IF($E514="Win",('Guide &amp; Settings'!$C$42/(($F514-1)*COUNTIFS($A$4:$A$810,$A514,$E$4:$E$810,"Win")))*SUMIFS($X$4:$X$810,$A$4:$A$810,$A514,$E$4:$E$810,"Loss"),-('Guide &amp; Settings'!$C$42/($F514-1))*$X514)))</f>
        <v>0</v>
      </c>
      <c r="K514" s="123">
        <f>IF($D514="",0,'Guide &amp; Settings'!$C$43*(IF($E514="Win",1,0)-$I514))</f>
        <v>0</v>
      </c>
      <c r="L514" s="124">
        <f>IF($D514="",0,'Guide &amp; Settings'!$C$44*IF($F514&gt;=3,$F514+IF($E514="Win",$F514,0),0))</f>
        <v>0</v>
      </c>
      <c r="M514" s="123">
        <f>IF($D514="",0,$J514+$K514+$L514)</f>
        <v>0</v>
      </c>
      <c r="N514" s="121">
        <f>IF($D514="",0,$H514+$M514)</f>
        <v>0</v>
      </c>
      <c r="O514" s="120" t="str">
        <f>IF($D514="","",IF(COUNTIFS($A$4:$A$810,$A514,$E$4:$E$810,"Win")=0,"need a winner",IF(COUNTIFS($A$4:$A$810,$A514,$E$4:$E$810,"Loss")=0,"need a loser",IF(COUNTIFS($A$4:$A$810,$A514,$D$4:$D$810,$D514)&gt;1,"duplicate player","OK"))))</f>
      </c>
      <c r="P514">
        <f>IF($D514="",0,IFERROR(SUMIFS($H$4:$H$810,$A$4:$A$810,$A514,$E$4:$E$810,"Win")/COUNTIFS($A$4:$A$810,$A514,$E$4:$E$810,"Win"),0))</f>
        <v>0</v>
      </c>
      <c r="Q514">
        <f>IF($D514="",0,1/(1+10^(($P514-$H514)/400)))</f>
        <v>0</v>
      </c>
      <c r="R514">
        <f>IF($D514="",0,(COUNTIFS($D$4:$D$810,$D514,$C$4:$C$810,$C514,$E$4:$E$810,"Win",$A$4:$A$810,"&lt;"&amp;$A514)+1)/(COUNTIFS($D$4:$D$810,$D514,$C$4:$C$810,$C514,$A$4:$A$810,"&lt;"&amp;$A514)+2))</f>
        <v>0</v>
      </c>
      <c r="S514">
        <f>IF($D514="",0,SUMIFS($R$4:$R$810,$A$4:$A$810,$A514))</f>
        <v>0</v>
      </c>
      <c r="T514" s="88">
        <f>IF($D514="",0,COUNTIFS($D$4:$D$810,$D514,$C$4:$C$810,$C514,$A$4:$A$810,"&lt;"&amp;$A514))</f>
        <v>0</v>
      </c>
      <c r="U514" s="125">
        <f>IF($D514="",0,IFERROR(LOOKUP(2,1/(($D$3:D513=$D514)*($C$3:C513=$C514)*($A$3:A513&lt;$A514)),$AB$3:AB513),1000))</f>
        <v>0</v>
      </c>
      <c r="V514" s="125">
        <f>IF($D514="",0,$U514*($T514/($T514+5))+$H514*(1-$T514/($T514+5)))</f>
        <v>0</v>
      </c>
      <c r="W514">
        <f>IF($D514="",0,IFERROR(SUMIFS($V$4:$V$810,$A$4:$A$810,$A514,$E$4:$E$810,"Win")/COUNTIFS($A$4:$A$810,$A514,$E$4:$E$810,"Win"),0))</f>
        <v>0</v>
      </c>
      <c r="X514">
        <f>IF($D514="",0,1/(1+10^(($W514-$V514)/400)))</f>
        <v>0</v>
      </c>
      <c r="Y514">
        <f>IF($D514="",0,IFERROR(SUMIFS($U$4:$U$810,$A$4:$A$810,$A514,$E$4:$E$810,"Win")/COUNTIFS($A$4:$A$810,$A514,$E$4:$E$810,"Win"),0))</f>
        <v>0</v>
      </c>
      <c r="Z514">
        <f>IF($D514="",0,1/(1+10^(($Y514-$U514)/400)))</f>
        <v>0</v>
      </c>
      <c r="AA514">
        <f>IF($D514="",0,IF($F514&lt;2,0,IF($E514="Win",('Guide &amp; Settings'!$C$42/(($F514-1)*COUNTIFS($A$4:$A$810,$A514,$E$4:$E$810,"Win")))*SUMIFS($Z$4:$Z$810,$A$4:$A$810,$A514,$E$4:$E$810,"Loss"),-('Guide &amp; Settings'!$C$42/($F514-1))*$Z514)))</f>
        <v>0</v>
      </c>
      <c r="AB514" s="125">
        <f>IF($D514="",0,$U514+$AA514)</f>
        <v>0</v>
      </c>
      <c r="AC514" s="125" t="str">
        <f>IF($D514="","",IF(SUMPRODUCT(MAX(($D$4:$D$810=$D514)*($B$4:$B$810&lt;$B514)*$B$4:$B$810))=0,0,MAX(($B514-MAX(SUMPRODUCT(MAX(($D$4:$D$810=$D514)*($B$4:$B$810&lt;$B514)*$B$4:$B$810)),'Guide &amp; Settings'!$C$50))/7-'Guide &amp; Settings'!$C$48,0)*'Guide &amp; Settings'!$C$49))</f>
      </c>
    </row>
    <row r="515" spans="1:29">
      <c r="A515" s="116"/>
      <c r="B515" s="117"/>
      <c r="C515" s="118"/>
      <c r="D515" s="118"/>
      <c r="E515" s="116"/>
      <c r="F515" s="119">
        <f>IF($D515="",0,COUNTIF($A$4:$A$810,$A515))</f>
        <v>0</v>
      </c>
      <c r="G515" s="120">
        <f>IF($D515="","",IFERROR(LOOKUP(2,1/(($A$4:$A$810=$A515)*($E$4:$E$810="Win")),$D$4:$D$810),"(no winner)"))</f>
        <v>0</v>
      </c>
      <c r="H515" s="121">
        <f>IF($D515="",0,IFERROR(LOOKUP(2,1/(($D$3:D514=$D515)*($A$3:A514&lt;$A515)),$N$3:N514),'Guide &amp; Settings'!$C$41))</f>
        <v>0</v>
      </c>
      <c r="I515" s="122">
        <f>IF($D515="",0,IF($S515=0,0,$R515/$S515))</f>
        <v>0</v>
      </c>
      <c r="J515" s="123">
        <f>IF($D515="",0,IF($F515&lt;2,0,IF($E515="Win",('Guide &amp; Settings'!$C$42/(($F515-1)*COUNTIFS($A$4:$A$810,$A515,$E$4:$E$810,"Win")))*SUMIFS($X$4:$X$810,$A$4:$A$810,$A515,$E$4:$E$810,"Loss"),-('Guide &amp; Settings'!$C$42/($F515-1))*$X515)))</f>
        <v>0</v>
      </c>
      <c r="K515" s="123">
        <f>IF($D515="",0,'Guide &amp; Settings'!$C$43*(IF($E515="Win",1,0)-$I515))</f>
        <v>0</v>
      </c>
      <c r="L515" s="124">
        <f>IF($D515="",0,'Guide &amp; Settings'!$C$44*IF($F515&gt;=3,$F515+IF($E515="Win",$F515,0),0))</f>
        <v>0</v>
      </c>
      <c r="M515" s="123">
        <f>IF($D515="",0,$J515+$K515+$L515)</f>
        <v>0</v>
      </c>
      <c r="N515" s="121">
        <f>IF($D515="",0,$H515+$M515)</f>
        <v>0</v>
      </c>
      <c r="O515" s="120" t="str">
        <f>IF($D515="","",IF(COUNTIFS($A$4:$A$810,$A515,$E$4:$E$810,"Win")=0,"need a winner",IF(COUNTIFS($A$4:$A$810,$A515,$E$4:$E$810,"Loss")=0,"need a loser",IF(COUNTIFS($A$4:$A$810,$A515,$D$4:$D$810,$D515)&gt;1,"duplicate player","OK"))))</f>
      </c>
      <c r="P515">
        <f>IF($D515="",0,IFERROR(SUMIFS($H$4:$H$810,$A$4:$A$810,$A515,$E$4:$E$810,"Win")/COUNTIFS($A$4:$A$810,$A515,$E$4:$E$810,"Win"),0))</f>
        <v>0</v>
      </c>
      <c r="Q515">
        <f>IF($D515="",0,1/(1+10^(($P515-$H515)/400)))</f>
        <v>0</v>
      </c>
      <c r="R515">
        <f>IF($D515="",0,(COUNTIFS($D$4:$D$810,$D515,$C$4:$C$810,$C515,$E$4:$E$810,"Win",$A$4:$A$810,"&lt;"&amp;$A515)+1)/(COUNTIFS($D$4:$D$810,$D515,$C$4:$C$810,$C515,$A$4:$A$810,"&lt;"&amp;$A515)+2))</f>
        <v>0</v>
      </c>
      <c r="S515">
        <f>IF($D515="",0,SUMIFS($R$4:$R$810,$A$4:$A$810,$A515))</f>
        <v>0</v>
      </c>
      <c r="T515" s="88">
        <f>IF($D515="",0,COUNTIFS($D$4:$D$810,$D515,$C$4:$C$810,$C515,$A$4:$A$810,"&lt;"&amp;$A515))</f>
        <v>0</v>
      </c>
      <c r="U515" s="125">
        <f>IF($D515="",0,IFERROR(LOOKUP(2,1/(($D$3:D514=$D515)*($C$3:C514=$C515)*($A$3:A514&lt;$A515)),$AB$3:AB514),1000))</f>
        <v>0</v>
      </c>
      <c r="V515" s="125">
        <f>IF($D515="",0,$U515*($T515/($T515+5))+$H515*(1-$T515/($T515+5)))</f>
        <v>0</v>
      </c>
      <c r="W515">
        <f>IF($D515="",0,IFERROR(SUMIFS($V$4:$V$810,$A$4:$A$810,$A515,$E$4:$E$810,"Win")/COUNTIFS($A$4:$A$810,$A515,$E$4:$E$810,"Win"),0))</f>
        <v>0</v>
      </c>
      <c r="X515">
        <f>IF($D515="",0,1/(1+10^(($W515-$V515)/400)))</f>
        <v>0</v>
      </c>
      <c r="Y515">
        <f>IF($D515="",0,IFERROR(SUMIFS($U$4:$U$810,$A$4:$A$810,$A515,$E$4:$E$810,"Win")/COUNTIFS($A$4:$A$810,$A515,$E$4:$E$810,"Win"),0))</f>
        <v>0</v>
      </c>
      <c r="Z515">
        <f>IF($D515="",0,1/(1+10^(($Y515-$U515)/400)))</f>
        <v>0</v>
      </c>
      <c r="AA515">
        <f>IF($D515="",0,IF($F515&lt;2,0,IF($E515="Win",('Guide &amp; Settings'!$C$42/(($F515-1)*COUNTIFS($A$4:$A$810,$A515,$E$4:$E$810,"Win")))*SUMIFS($Z$4:$Z$810,$A$4:$A$810,$A515,$E$4:$E$810,"Loss"),-('Guide &amp; Settings'!$C$42/($F515-1))*$Z515)))</f>
        <v>0</v>
      </c>
      <c r="AB515" s="125">
        <f>IF($D515="",0,$U515+$AA515)</f>
        <v>0</v>
      </c>
      <c r="AC515" s="125" t="str">
        <f>IF($D515="","",IF(SUMPRODUCT(MAX(($D$4:$D$810=$D515)*($B$4:$B$810&lt;$B515)*$B$4:$B$810))=0,0,MAX(($B515-MAX(SUMPRODUCT(MAX(($D$4:$D$810=$D515)*($B$4:$B$810&lt;$B515)*$B$4:$B$810)),'Guide &amp; Settings'!$C$50))/7-'Guide &amp; Settings'!$C$48,0)*'Guide &amp; Settings'!$C$49))</f>
      </c>
    </row>
    <row r="516" spans="1:29">
      <c r="A516" s="116"/>
      <c r="B516" s="117"/>
      <c r="C516" s="118"/>
      <c r="D516" s="118"/>
      <c r="E516" s="116"/>
      <c r="F516" s="119">
        <f>IF($D516="",0,COUNTIF($A$4:$A$810,$A516))</f>
        <v>0</v>
      </c>
      <c r="G516" s="120">
        <f>IF($D516="","",IFERROR(LOOKUP(2,1/(($A$4:$A$810=$A516)*($E$4:$E$810="Win")),$D$4:$D$810),"(no winner)"))</f>
        <v>0</v>
      </c>
      <c r="H516" s="121">
        <f>IF($D516="",0,IFERROR(LOOKUP(2,1/(($D$3:D515=$D516)*($A$3:A515&lt;$A516)),$N$3:N515),'Guide &amp; Settings'!$C$41))</f>
        <v>0</v>
      </c>
      <c r="I516" s="122">
        <f>IF($D516="",0,IF($S516=0,0,$R516/$S516))</f>
        <v>0</v>
      </c>
      <c r="J516" s="123">
        <f>IF($D516="",0,IF($F516&lt;2,0,IF($E516="Win",('Guide &amp; Settings'!$C$42/(($F516-1)*COUNTIFS($A$4:$A$810,$A516,$E$4:$E$810,"Win")))*SUMIFS($X$4:$X$810,$A$4:$A$810,$A516,$E$4:$E$810,"Loss"),-('Guide &amp; Settings'!$C$42/($F516-1))*$X516)))</f>
        <v>0</v>
      </c>
      <c r="K516" s="123">
        <f>IF($D516="",0,'Guide &amp; Settings'!$C$43*(IF($E516="Win",1,0)-$I516))</f>
        <v>0</v>
      </c>
      <c r="L516" s="124">
        <f>IF($D516="",0,'Guide &amp; Settings'!$C$44*IF($F516&gt;=3,$F516+IF($E516="Win",$F516,0),0))</f>
        <v>0</v>
      </c>
      <c r="M516" s="123">
        <f>IF($D516="",0,$J516+$K516+$L516)</f>
        <v>0</v>
      </c>
      <c r="N516" s="121">
        <f>IF($D516="",0,$H516+$M516)</f>
        <v>0</v>
      </c>
      <c r="O516" s="120" t="str">
        <f>IF($D516="","",IF(COUNTIFS($A$4:$A$810,$A516,$E$4:$E$810,"Win")=0,"need a winner",IF(COUNTIFS($A$4:$A$810,$A516,$E$4:$E$810,"Loss")=0,"need a loser",IF(COUNTIFS($A$4:$A$810,$A516,$D$4:$D$810,$D516)&gt;1,"duplicate player","OK"))))</f>
      </c>
      <c r="P516">
        <f>IF($D516="",0,IFERROR(SUMIFS($H$4:$H$810,$A$4:$A$810,$A516,$E$4:$E$810,"Win")/COUNTIFS($A$4:$A$810,$A516,$E$4:$E$810,"Win"),0))</f>
        <v>0</v>
      </c>
      <c r="Q516">
        <f>IF($D516="",0,1/(1+10^(($P516-$H516)/400)))</f>
        <v>0</v>
      </c>
      <c r="R516">
        <f>IF($D516="",0,(COUNTIFS($D$4:$D$810,$D516,$C$4:$C$810,$C516,$E$4:$E$810,"Win",$A$4:$A$810,"&lt;"&amp;$A516)+1)/(COUNTIFS($D$4:$D$810,$D516,$C$4:$C$810,$C516,$A$4:$A$810,"&lt;"&amp;$A516)+2))</f>
        <v>0</v>
      </c>
      <c r="S516">
        <f>IF($D516="",0,SUMIFS($R$4:$R$810,$A$4:$A$810,$A516))</f>
        <v>0</v>
      </c>
      <c r="T516" s="88">
        <f>IF($D516="",0,COUNTIFS($D$4:$D$810,$D516,$C$4:$C$810,$C516,$A$4:$A$810,"&lt;"&amp;$A516))</f>
        <v>0</v>
      </c>
      <c r="U516" s="125">
        <f>IF($D516="",0,IFERROR(LOOKUP(2,1/(($D$3:D515=$D516)*($C$3:C515=$C516)*($A$3:A515&lt;$A516)),$AB$3:AB515),1000))</f>
        <v>0</v>
      </c>
      <c r="V516" s="125">
        <f>IF($D516="",0,$U516*($T516/($T516+5))+$H516*(1-$T516/($T516+5)))</f>
        <v>0</v>
      </c>
      <c r="W516">
        <f>IF($D516="",0,IFERROR(SUMIFS($V$4:$V$810,$A$4:$A$810,$A516,$E$4:$E$810,"Win")/COUNTIFS($A$4:$A$810,$A516,$E$4:$E$810,"Win"),0))</f>
        <v>0</v>
      </c>
      <c r="X516">
        <f>IF($D516="",0,1/(1+10^(($W516-$V516)/400)))</f>
        <v>0</v>
      </c>
      <c r="Y516">
        <f>IF($D516="",0,IFERROR(SUMIFS($U$4:$U$810,$A$4:$A$810,$A516,$E$4:$E$810,"Win")/COUNTIFS($A$4:$A$810,$A516,$E$4:$E$810,"Win"),0))</f>
        <v>0</v>
      </c>
      <c r="Z516">
        <f>IF($D516="",0,1/(1+10^(($Y516-$U516)/400)))</f>
        <v>0</v>
      </c>
      <c r="AA516">
        <f>IF($D516="",0,IF($F516&lt;2,0,IF($E516="Win",('Guide &amp; Settings'!$C$42/(($F516-1)*COUNTIFS($A$4:$A$810,$A516,$E$4:$E$810,"Win")))*SUMIFS($Z$4:$Z$810,$A$4:$A$810,$A516,$E$4:$E$810,"Loss"),-('Guide &amp; Settings'!$C$42/($F516-1))*$Z516)))</f>
        <v>0</v>
      </c>
      <c r="AB516" s="125">
        <f>IF($D516="",0,$U516+$AA516)</f>
        <v>0</v>
      </c>
      <c r="AC516" s="125" t="str">
        <f>IF($D516="","",IF(SUMPRODUCT(MAX(($D$4:$D$810=$D516)*($B$4:$B$810&lt;$B516)*$B$4:$B$810))=0,0,MAX(($B516-MAX(SUMPRODUCT(MAX(($D$4:$D$810=$D516)*($B$4:$B$810&lt;$B516)*$B$4:$B$810)),'Guide &amp; Settings'!$C$50))/7-'Guide &amp; Settings'!$C$48,0)*'Guide &amp; Settings'!$C$49))</f>
      </c>
    </row>
    <row r="517" spans="1:29">
      <c r="A517" s="116"/>
      <c r="B517" s="117"/>
      <c r="C517" s="118"/>
      <c r="D517" s="118"/>
      <c r="E517" s="116"/>
      <c r="F517" s="119">
        <f>IF($D517="",0,COUNTIF($A$4:$A$810,$A517))</f>
        <v>0</v>
      </c>
      <c r="G517" s="120">
        <f>IF($D517="","",IFERROR(LOOKUP(2,1/(($A$4:$A$810=$A517)*($E$4:$E$810="Win")),$D$4:$D$810),"(no winner)"))</f>
        <v>0</v>
      </c>
      <c r="H517" s="121">
        <f>IF($D517="",0,IFERROR(LOOKUP(2,1/(($D$3:D516=$D517)*($A$3:A516&lt;$A517)),$N$3:N516),'Guide &amp; Settings'!$C$41))</f>
        <v>0</v>
      </c>
      <c r="I517" s="122">
        <f>IF($D517="",0,IF($S517=0,0,$R517/$S517))</f>
        <v>0</v>
      </c>
      <c r="J517" s="123">
        <f>IF($D517="",0,IF($F517&lt;2,0,IF($E517="Win",('Guide &amp; Settings'!$C$42/(($F517-1)*COUNTIFS($A$4:$A$810,$A517,$E$4:$E$810,"Win")))*SUMIFS($X$4:$X$810,$A$4:$A$810,$A517,$E$4:$E$810,"Loss"),-('Guide &amp; Settings'!$C$42/($F517-1))*$X517)))</f>
        <v>0</v>
      </c>
      <c r="K517" s="123">
        <f>IF($D517="",0,'Guide &amp; Settings'!$C$43*(IF($E517="Win",1,0)-$I517))</f>
        <v>0</v>
      </c>
      <c r="L517" s="124">
        <f>IF($D517="",0,'Guide &amp; Settings'!$C$44*IF($F517&gt;=3,$F517+IF($E517="Win",$F517,0),0))</f>
        <v>0</v>
      </c>
      <c r="M517" s="123">
        <f>IF($D517="",0,$J517+$K517+$L517)</f>
        <v>0</v>
      </c>
      <c r="N517" s="121">
        <f>IF($D517="",0,$H517+$M517)</f>
        <v>0</v>
      </c>
      <c r="O517" s="120" t="str">
        <f>IF($D517="","",IF(COUNTIFS($A$4:$A$810,$A517,$E$4:$E$810,"Win")=0,"need a winner",IF(COUNTIFS($A$4:$A$810,$A517,$E$4:$E$810,"Loss")=0,"need a loser",IF(COUNTIFS($A$4:$A$810,$A517,$D$4:$D$810,$D517)&gt;1,"duplicate player","OK"))))</f>
      </c>
      <c r="P517">
        <f>IF($D517="",0,IFERROR(SUMIFS($H$4:$H$810,$A$4:$A$810,$A517,$E$4:$E$810,"Win")/COUNTIFS($A$4:$A$810,$A517,$E$4:$E$810,"Win"),0))</f>
        <v>0</v>
      </c>
      <c r="Q517">
        <f>IF($D517="",0,1/(1+10^(($P517-$H517)/400)))</f>
        <v>0</v>
      </c>
      <c r="R517">
        <f>IF($D517="",0,(COUNTIFS($D$4:$D$810,$D517,$C$4:$C$810,$C517,$E$4:$E$810,"Win",$A$4:$A$810,"&lt;"&amp;$A517)+1)/(COUNTIFS($D$4:$D$810,$D517,$C$4:$C$810,$C517,$A$4:$A$810,"&lt;"&amp;$A517)+2))</f>
        <v>0</v>
      </c>
      <c r="S517">
        <f>IF($D517="",0,SUMIFS($R$4:$R$810,$A$4:$A$810,$A517))</f>
        <v>0</v>
      </c>
      <c r="T517" s="88">
        <f>IF($D517="",0,COUNTIFS($D$4:$D$810,$D517,$C$4:$C$810,$C517,$A$4:$A$810,"&lt;"&amp;$A517))</f>
        <v>0</v>
      </c>
      <c r="U517" s="125">
        <f>IF($D517="",0,IFERROR(LOOKUP(2,1/(($D$3:D516=$D517)*($C$3:C516=$C517)*($A$3:A516&lt;$A517)),$AB$3:AB516),1000))</f>
        <v>0</v>
      </c>
      <c r="V517" s="125">
        <f>IF($D517="",0,$U517*($T517/($T517+5))+$H517*(1-$T517/($T517+5)))</f>
        <v>0</v>
      </c>
      <c r="W517">
        <f>IF($D517="",0,IFERROR(SUMIFS($V$4:$V$810,$A$4:$A$810,$A517,$E$4:$E$810,"Win")/COUNTIFS($A$4:$A$810,$A517,$E$4:$E$810,"Win"),0))</f>
        <v>0</v>
      </c>
      <c r="X517">
        <f>IF($D517="",0,1/(1+10^(($W517-$V517)/400)))</f>
        <v>0</v>
      </c>
      <c r="Y517">
        <f>IF($D517="",0,IFERROR(SUMIFS($U$4:$U$810,$A$4:$A$810,$A517,$E$4:$E$810,"Win")/COUNTIFS($A$4:$A$810,$A517,$E$4:$E$810,"Win"),0))</f>
        <v>0</v>
      </c>
      <c r="Z517">
        <f>IF($D517="",0,1/(1+10^(($Y517-$U517)/400)))</f>
        <v>0</v>
      </c>
      <c r="AA517">
        <f>IF($D517="",0,IF($F517&lt;2,0,IF($E517="Win",('Guide &amp; Settings'!$C$42/(($F517-1)*COUNTIFS($A$4:$A$810,$A517,$E$4:$E$810,"Win")))*SUMIFS($Z$4:$Z$810,$A$4:$A$810,$A517,$E$4:$E$810,"Loss"),-('Guide &amp; Settings'!$C$42/($F517-1))*$Z517)))</f>
        <v>0</v>
      </c>
      <c r="AB517" s="125">
        <f>IF($D517="",0,$U517+$AA517)</f>
        <v>0</v>
      </c>
      <c r="AC517" s="125" t="str">
        <f>IF($D517="","",IF(SUMPRODUCT(MAX(($D$4:$D$810=$D517)*($B$4:$B$810&lt;$B517)*$B$4:$B$810))=0,0,MAX(($B517-MAX(SUMPRODUCT(MAX(($D$4:$D$810=$D517)*($B$4:$B$810&lt;$B517)*$B$4:$B$810)),'Guide &amp; Settings'!$C$50))/7-'Guide &amp; Settings'!$C$48,0)*'Guide &amp; Settings'!$C$49))</f>
      </c>
    </row>
    <row r="518" spans="1:29">
      <c r="A518" s="116"/>
      <c r="B518" s="117"/>
      <c r="C518" s="118"/>
      <c r="D518" s="118"/>
      <c r="E518" s="116"/>
      <c r="F518" s="119">
        <f>IF($D518="",0,COUNTIF($A$4:$A$810,$A518))</f>
        <v>0</v>
      </c>
      <c r="G518" s="120">
        <f>IF($D518="","",IFERROR(LOOKUP(2,1/(($A$4:$A$810=$A518)*($E$4:$E$810="Win")),$D$4:$D$810),"(no winner)"))</f>
        <v>0</v>
      </c>
      <c r="H518" s="121">
        <f>IF($D518="",0,IFERROR(LOOKUP(2,1/(($D$3:D517=$D518)*($A$3:A517&lt;$A518)),$N$3:N517),'Guide &amp; Settings'!$C$41))</f>
        <v>0</v>
      </c>
      <c r="I518" s="122">
        <f>IF($D518="",0,IF($S518=0,0,$R518/$S518))</f>
        <v>0</v>
      </c>
      <c r="J518" s="123">
        <f>IF($D518="",0,IF($F518&lt;2,0,IF($E518="Win",('Guide &amp; Settings'!$C$42/(($F518-1)*COUNTIFS($A$4:$A$810,$A518,$E$4:$E$810,"Win")))*SUMIFS($X$4:$X$810,$A$4:$A$810,$A518,$E$4:$E$810,"Loss"),-('Guide &amp; Settings'!$C$42/($F518-1))*$X518)))</f>
        <v>0</v>
      </c>
      <c r="K518" s="123">
        <f>IF($D518="",0,'Guide &amp; Settings'!$C$43*(IF($E518="Win",1,0)-$I518))</f>
        <v>0</v>
      </c>
      <c r="L518" s="124">
        <f>IF($D518="",0,'Guide &amp; Settings'!$C$44*IF($F518&gt;=3,$F518+IF($E518="Win",$F518,0),0))</f>
        <v>0</v>
      </c>
      <c r="M518" s="123">
        <f>IF($D518="",0,$J518+$K518+$L518)</f>
        <v>0</v>
      </c>
      <c r="N518" s="121">
        <f>IF($D518="",0,$H518+$M518)</f>
        <v>0</v>
      </c>
      <c r="O518" s="120" t="str">
        <f>IF($D518="","",IF(COUNTIFS($A$4:$A$810,$A518,$E$4:$E$810,"Win")=0,"need a winner",IF(COUNTIFS($A$4:$A$810,$A518,$E$4:$E$810,"Loss")=0,"need a loser",IF(COUNTIFS($A$4:$A$810,$A518,$D$4:$D$810,$D518)&gt;1,"duplicate player","OK"))))</f>
      </c>
      <c r="P518">
        <f>IF($D518="",0,IFERROR(SUMIFS($H$4:$H$810,$A$4:$A$810,$A518,$E$4:$E$810,"Win")/COUNTIFS($A$4:$A$810,$A518,$E$4:$E$810,"Win"),0))</f>
        <v>0</v>
      </c>
      <c r="Q518">
        <f>IF($D518="",0,1/(1+10^(($P518-$H518)/400)))</f>
        <v>0</v>
      </c>
      <c r="R518">
        <f>IF($D518="",0,(COUNTIFS($D$4:$D$810,$D518,$C$4:$C$810,$C518,$E$4:$E$810,"Win",$A$4:$A$810,"&lt;"&amp;$A518)+1)/(COUNTIFS($D$4:$D$810,$D518,$C$4:$C$810,$C518,$A$4:$A$810,"&lt;"&amp;$A518)+2))</f>
        <v>0</v>
      </c>
      <c r="S518">
        <f>IF($D518="",0,SUMIFS($R$4:$R$810,$A$4:$A$810,$A518))</f>
        <v>0</v>
      </c>
      <c r="T518" s="88">
        <f>IF($D518="",0,COUNTIFS($D$4:$D$810,$D518,$C$4:$C$810,$C518,$A$4:$A$810,"&lt;"&amp;$A518))</f>
        <v>0</v>
      </c>
      <c r="U518" s="125">
        <f>IF($D518="",0,IFERROR(LOOKUP(2,1/(($D$3:D517=$D518)*($C$3:C517=$C518)*($A$3:A517&lt;$A518)),$AB$3:AB517),1000))</f>
        <v>0</v>
      </c>
      <c r="V518" s="125">
        <f>IF($D518="",0,$U518*($T518/($T518+5))+$H518*(1-$T518/($T518+5)))</f>
        <v>0</v>
      </c>
      <c r="W518">
        <f>IF($D518="",0,IFERROR(SUMIFS($V$4:$V$810,$A$4:$A$810,$A518,$E$4:$E$810,"Win")/COUNTIFS($A$4:$A$810,$A518,$E$4:$E$810,"Win"),0))</f>
        <v>0</v>
      </c>
      <c r="X518">
        <f>IF($D518="",0,1/(1+10^(($W518-$V518)/400)))</f>
        <v>0</v>
      </c>
      <c r="Y518">
        <f>IF($D518="",0,IFERROR(SUMIFS($U$4:$U$810,$A$4:$A$810,$A518,$E$4:$E$810,"Win")/COUNTIFS($A$4:$A$810,$A518,$E$4:$E$810,"Win"),0))</f>
        <v>0</v>
      </c>
      <c r="Z518">
        <f>IF($D518="",0,1/(1+10^(($Y518-$U518)/400)))</f>
        <v>0</v>
      </c>
      <c r="AA518">
        <f>IF($D518="",0,IF($F518&lt;2,0,IF($E518="Win",('Guide &amp; Settings'!$C$42/(($F518-1)*COUNTIFS($A$4:$A$810,$A518,$E$4:$E$810,"Win")))*SUMIFS($Z$4:$Z$810,$A$4:$A$810,$A518,$E$4:$E$810,"Loss"),-('Guide &amp; Settings'!$C$42/($F518-1))*$Z518)))</f>
        <v>0</v>
      </c>
      <c r="AB518" s="125">
        <f>IF($D518="",0,$U518+$AA518)</f>
        <v>0</v>
      </c>
      <c r="AC518" s="125" t="str">
        <f>IF($D518="","",IF(SUMPRODUCT(MAX(($D$4:$D$810=$D518)*($B$4:$B$810&lt;$B518)*$B$4:$B$810))=0,0,MAX(($B518-MAX(SUMPRODUCT(MAX(($D$4:$D$810=$D518)*($B$4:$B$810&lt;$B518)*$B$4:$B$810)),'Guide &amp; Settings'!$C$50))/7-'Guide &amp; Settings'!$C$48,0)*'Guide &amp; Settings'!$C$49))</f>
      </c>
    </row>
    <row r="519" spans="1:29">
      <c r="A519" s="116"/>
      <c r="B519" s="117"/>
      <c r="C519" s="118"/>
      <c r="D519" s="118"/>
      <c r="E519" s="116"/>
      <c r="F519" s="119">
        <f>IF($D519="",0,COUNTIF($A$4:$A$810,$A519))</f>
        <v>0</v>
      </c>
      <c r="G519" s="120">
        <f>IF($D519="","",IFERROR(LOOKUP(2,1/(($A$4:$A$810=$A519)*($E$4:$E$810="Win")),$D$4:$D$810),"(no winner)"))</f>
        <v>0</v>
      </c>
      <c r="H519" s="121">
        <f>IF($D519="",0,IFERROR(LOOKUP(2,1/(($D$3:D518=$D519)*($A$3:A518&lt;$A519)),$N$3:N518),'Guide &amp; Settings'!$C$41))</f>
        <v>0</v>
      </c>
      <c r="I519" s="122">
        <f>IF($D519="",0,IF($S519=0,0,$R519/$S519))</f>
        <v>0</v>
      </c>
      <c r="J519" s="123">
        <f>IF($D519="",0,IF($F519&lt;2,0,IF($E519="Win",('Guide &amp; Settings'!$C$42/(($F519-1)*COUNTIFS($A$4:$A$810,$A519,$E$4:$E$810,"Win")))*SUMIFS($X$4:$X$810,$A$4:$A$810,$A519,$E$4:$E$810,"Loss"),-('Guide &amp; Settings'!$C$42/($F519-1))*$X519)))</f>
        <v>0</v>
      </c>
      <c r="K519" s="123">
        <f>IF($D519="",0,'Guide &amp; Settings'!$C$43*(IF($E519="Win",1,0)-$I519))</f>
        <v>0</v>
      </c>
      <c r="L519" s="124">
        <f>IF($D519="",0,'Guide &amp; Settings'!$C$44*IF($F519&gt;=3,$F519+IF($E519="Win",$F519,0),0))</f>
        <v>0</v>
      </c>
      <c r="M519" s="123">
        <f>IF($D519="",0,$J519+$K519+$L519)</f>
        <v>0</v>
      </c>
      <c r="N519" s="121">
        <f>IF($D519="",0,$H519+$M519)</f>
        <v>0</v>
      </c>
      <c r="O519" s="120" t="str">
        <f>IF($D519="","",IF(COUNTIFS($A$4:$A$810,$A519,$E$4:$E$810,"Win")=0,"need a winner",IF(COUNTIFS($A$4:$A$810,$A519,$E$4:$E$810,"Loss")=0,"need a loser",IF(COUNTIFS($A$4:$A$810,$A519,$D$4:$D$810,$D519)&gt;1,"duplicate player","OK"))))</f>
      </c>
      <c r="P519">
        <f>IF($D519="",0,IFERROR(SUMIFS($H$4:$H$810,$A$4:$A$810,$A519,$E$4:$E$810,"Win")/COUNTIFS($A$4:$A$810,$A519,$E$4:$E$810,"Win"),0))</f>
        <v>0</v>
      </c>
      <c r="Q519">
        <f>IF($D519="",0,1/(1+10^(($P519-$H519)/400)))</f>
        <v>0</v>
      </c>
      <c r="R519">
        <f>IF($D519="",0,(COUNTIFS($D$4:$D$810,$D519,$C$4:$C$810,$C519,$E$4:$E$810,"Win",$A$4:$A$810,"&lt;"&amp;$A519)+1)/(COUNTIFS($D$4:$D$810,$D519,$C$4:$C$810,$C519,$A$4:$A$810,"&lt;"&amp;$A519)+2))</f>
        <v>0</v>
      </c>
      <c r="S519">
        <f>IF($D519="",0,SUMIFS($R$4:$R$810,$A$4:$A$810,$A519))</f>
        <v>0</v>
      </c>
      <c r="T519" s="88">
        <f>IF($D519="",0,COUNTIFS($D$4:$D$810,$D519,$C$4:$C$810,$C519,$A$4:$A$810,"&lt;"&amp;$A519))</f>
        <v>0</v>
      </c>
      <c r="U519" s="125">
        <f>IF($D519="",0,IFERROR(LOOKUP(2,1/(($D$3:D518=$D519)*($C$3:C518=$C519)*($A$3:A518&lt;$A519)),$AB$3:AB518),1000))</f>
        <v>0</v>
      </c>
      <c r="V519" s="125">
        <f>IF($D519="",0,$U519*($T519/($T519+5))+$H519*(1-$T519/($T519+5)))</f>
        <v>0</v>
      </c>
      <c r="W519">
        <f>IF($D519="",0,IFERROR(SUMIFS($V$4:$V$810,$A$4:$A$810,$A519,$E$4:$E$810,"Win")/COUNTIFS($A$4:$A$810,$A519,$E$4:$E$810,"Win"),0))</f>
        <v>0</v>
      </c>
      <c r="X519">
        <f>IF($D519="",0,1/(1+10^(($W519-$V519)/400)))</f>
        <v>0</v>
      </c>
      <c r="Y519">
        <f>IF($D519="",0,IFERROR(SUMIFS($U$4:$U$810,$A$4:$A$810,$A519,$E$4:$E$810,"Win")/COUNTIFS($A$4:$A$810,$A519,$E$4:$E$810,"Win"),0))</f>
        <v>0</v>
      </c>
      <c r="Z519">
        <f>IF($D519="",0,1/(1+10^(($Y519-$U519)/400)))</f>
        <v>0</v>
      </c>
      <c r="AA519">
        <f>IF($D519="",0,IF($F519&lt;2,0,IF($E519="Win",('Guide &amp; Settings'!$C$42/(($F519-1)*COUNTIFS($A$4:$A$810,$A519,$E$4:$E$810,"Win")))*SUMIFS($Z$4:$Z$810,$A$4:$A$810,$A519,$E$4:$E$810,"Loss"),-('Guide &amp; Settings'!$C$42/($F519-1))*$Z519)))</f>
        <v>0</v>
      </c>
      <c r="AB519" s="125">
        <f>IF($D519="",0,$U519+$AA519)</f>
        <v>0</v>
      </c>
      <c r="AC519" s="125" t="str">
        <f>IF($D519="","",IF(SUMPRODUCT(MAX(($D$4:$D$810=$D519)*($B$4:$B$810&lt;$B519)*$B$4:$B$810))=0,0,MAX(($B519-MAX(SUMPRODUCT(MAX(($D$4:$D$810=$D519)*($B$4:$B$810&lt;$B519)*$B$4:$B$810)),'Guide &amp; Settings'!$C$50))/7-'Guide &amp; Settings'!$C$48,0)*'Guide &amp; Settings'!$C$49))</f>
      </c>
    </row>
    <row r="520" spans="1:29">
      <c r="A520" s="116"/>
      <c r="B520" s="117"/>
      <c r="C520" s="118"/>
      <c r="D520" s="118"/>
      <c r="E520" s="116"/>
      <c r="F520" s="119">
        <f>IF($D520="",0,COUNTIF($A$4:$A$810,$A520))</f>
        <v>0</v>
      </c>
      <c r="G520" s="120">
        <f>IF($D520="","",IFERROR(LOOKUP(2,1/(($A$4:$A$810=$A520)*($E$4:$E$810="Win")),$D$4:$D$810),"(no winner)"))</f>
        <v>0</v>
      </c>
      <c r="H520" s="121">
        <f>IF($D520="",0,IFERROR(LOOKUP(2,1/(($D$3:D519=$D520)*($A$3:A519&lt;$A520)),$N$3:N519),'Guide &amp; Settings'!$C$41))</f>
        <v>0</v>
      </c>
      <c r="I520" s="122">
        <f>IF($D520="",0,IF($S520=0,0,$R520/$S520))</f>
        <v>0</v>
      </c>
      <c r="J520" s="123">
        <f>IF($D520="",0,IF($F520&lt;2,0,IF($E520="Win",('Guide &amp; Settings'!$C$42/(($F520-1)*COUNTIFS($A$4:$A$810,$A520,$E$4:$E$810,"Win")))*SUMIFS($X$4:$X$810,$A$4:$A$810,$A520,$E$4:$E$810,"Loss"),-('Guide &amp; Settings'!$C$42/($F520-1))*$X520)))</f>
        <v>0</v>
      </c>
      <c r="K520" s="123">
        <f>IF($D520="",0,'Guide &amp; Settings'!$C$43*(IF($E520="Win",1,0)-$I520))</f>
        <v>0</v>
      </c>
      <c r="L520" s="124">
        <f>IF($D520="",0,'Guide &amp; Settings'!$C$44*IF($F520&gt;=3,$F520+IF($E520="Win",$F520,0),0))</f>
        <v>0</v>
      </c>
      <c r="M520" s="123">
        <f>IF($D520="",0,$J520+$K520+$L520)</f>
        <v>0</v>
      </c>
      <c r="N520" s="121">
        <f>IF($D520="",0,$H520+$M520)</f>
        <v>0</v>
      </c>
      <c r="O520" s="120" t="str">
        <f>IF($D520="","",IF(COUNTIFS($A$4:$A$810,$A520,$E$4:$E$810,"Win")=0,"need a winner",IF(COUNTIFS($A$4:$A$810,$A520,$E$4:$E$810,"Loss")=0,"need a loser",IF(COUNTIFS($A$4:$A$810,$A520,$D$4:$D$810,$D520)&gt;1,"duplicate player","OK"))))</f>
      </c>
      <c r="P520">
        <f>IF($D520="",0,IFERROR(SUMIFS($H$4:$H$810,$A$4:$A$810,$A520,$E$4:$E$810,"Win")/COUNTIFS($A$4:$A$810,$A520,$E$4:$E$810,"Win"),0))</f>
        <v>0</v>
      </c>
      <c r="Q520">
        <f>IF($D520="",0,1/(1+10^(($P520-$H520)/400)))</f>
        <v>0</v>
      </c>
      <c r="R520">
        <f>IF($D520="",0,(COUNTIFS($D$4:$D$810,$D520,$C$4:$C$810,$C520,$E$4:$E$810,"Win",$A$4:$A$810,"&lt;"&amp;$A520)+1)/(COUNTIFS($D$4:$D$810,$D520,$C$4:$C$810,$C520,$A$4:$A$810,"&lt;"&amp;$A520)+2))</f>
        <v>0</v>
      </c>
      <c r="S520">
        <f>IF($D520="",0,SUMIFS($R$4:$R$810,$A$4:$A$810,$A520))</f>
        <v>0</v>
      </c>
      <c r="T520" s="88">
        <f>IF($D520="",0,COUNTIFS($D$4:$D$810,$D520,$C$4:$C$810,$C520,$A$4:$A$810,"&lt;"&amp;$A520))</f>
        <v>0</v>
      </c>
      <c r="U520" s="125">
        <f>IF($D520="",0,IFERROR(LOOKUP(2,1/(($D$3:D519=$D520)*($C$3:C519=$C520)*($A$3:A519&lt;$A520)),$AB$3:AB519),1000))</f>
        <v>0</v>
      </c>
      <c r="V520" s="125">
        <f>IF($D520="",0,$U520*($T520/($T520+5))+$H520*(1-$T520/($T520+5)))</f>
        <v>0</v>
      </c>
      <c r="W520">
        <f>IF($D520="",0,IFERROR(SUMIFS($V$4:$V$810,$A$4:$A$810,$A520,$E$4:$E$810,"Win")/COUNTIFS($A$4:$A$810,$A520,$E$4:$E$810,"Win"),0))</f>
        <v>0</v>
      </c>
      <c r="X520">
        <f>IF($D520="",0,1/(1+10^(($W520-$V520)/400)))</f>
        <v>0</v>
      </c>
      <c r="Y520">
        <f>IF($D520="",0,IFERROR(SUMIFS($U$4:$U$810,$A$4:$A$810,$A520,$E$4:$E$810,"Win")/COUNTIFS($A$4:$A$810,$A520,$E$4:$E$810,"Win"),0))</f>
        <v>0</v>
      </c>
      <c r="Z520">
        <f>IF($D520="",0,1/(1+10^(($Y520-$U520)/400)))</f>
        <v>0</v>
      </c>
      <c r="AA520">
        <f>IF($D520="",0,IF($F520&lt;2,0,IF($E520="Win",('Guide &amp; Settings'!$C$42/(($F520-1)*COUNTIFS($A$4:$A$810,$A520,$E$4:$E$810,"Win")))*SUMIFS($Z$4:$Z$810,$A$4:$A$810,$A520,$E$4:$E$810,"Loss"),-('Guide &amp; Settings'!$C$42/($F520-1))*$Z520)))</f>
        <v>0</v>
      </c>
      <c r="AB520" s="125">
        <f>IF($D520="",0,$U520+$AA520)</f>
        <v>0</v>
      </c>
      <c r="AC520" s="125" t="str">
        <f>IF($D520="","",IF(SUMPRODUCT(MAX(($D$4:$D$810=$D520)*($B$4:$B$810&lt;$B520)*$B$4:$B$810))=0,0,MAX(($B520-MAX(SUMPRODUCT(MAX(($D$4:$D$810=$D520)*($B$4:$B$810&lt;$B520)*$B$4:$B$810)),'Guide &amp; Settings'!$C$50))/7-'Guide &amp; Settings'!$C$48,0)*'Guide &amp; Settings'!$C$49))</f>
      </c>
    </row>
    <row r="521" spans="1:29">
      <c r="A521" s="116"/>
      <c r="B521" s="117"/>
      <c r="C521" s="118"/>
      <c r="D521" s="118"/>
      <c r="E521" s="116"/>
      <c r="F521" s="119">
        <f>IF($D521="",0,COUNTIF($A$4:$A$810,$A521))</f>
        <v>0</v>
      </c>
      <c r="G521" s="120">
        <f>IF($D521="","",IFERROR(LOOKUP(2,1/(($A$4:$A$810=$A521)*($E$4:$E$810="Win")),$D$4:$D$810),"(no winner)"))</f>
        <v>0</v>
      </c>
      <c r="H521" s="121">
        <f>IF($D521="",0,IFERROR(LOOKUP(2,1/(($D$3:D520=$D521)*($A$3:A520&lt;$A521)),$N$3:N520),'Guide &amp; Settings'!$C$41))</f>
        <v>0</v>
      </c>
      <c r="I521" s="122">
        <f>IF($D521="",0,IF($S521=0,0,$R521/$S521))</f>
        <v>0</v>
      </c>
      <c r="J521" s="123">
        <f>IF($D521="",0,IF($F521&lt;2,0,IF($E521="Win",('Guide &amp; Settings'!$C$42/(($F521-1)*COUNTIFS($A$4:$A$810,$A521,$E$4:$E$810,"Win")))*SUMIFS($X$4:$X$810,$A$4:$A$810,$A521,$E$4:$E$810,"Loss"),-('Guide &amp; Settings'!$C$42/($F521-1))*$X521)))</f>
        <v>0</v>
      </c>
      <c r="K521" s="123">
        <f>IF($D521="",0,'Guide &amp; Settings'!$C$43*(IF($E521="Win",1,0)-$I521))</f>
        <v>0</v>
      </c>
      <c r="L521" s="124">
        <f>IF($D521="",0,'Guide &amp; Settings'!$C$44*IF($F521&gt;=3,$F521+IF($E521="Win",$F521,0),0))</f>
        <v>0</v>
      </c>
      <c r="M521" s="123">
        <f>IF($D521="",0,$J521+$K521+$L521)</f>
        <v>0</v>
      </c>
      <c r="N521" s="121">
        <f>IF($D521="",0,$H521+$M521)</f>
        <v>0</v>
      </c>
      <c r="O521" s="120" t="str">
        <f>IF($D521="","",IF(COUNTIFS($A$4:$A$810,$A521,$E$4:$E$810,"Win")=0,"need a winner",IF(COUNTIFS($A$4:$A$810,$A521,$E$4:$E$810,"Loss")=0,"need a loser",IF(COUNTIFS($A$4:$A$810,$A521,$D$4:$D$810,$D521)&gt;1,"duplicate player","OK"))))</f>
      </c>
      <c r="P521">
        <f>IF($D521="",0,IFERROR(SUMIFS($H$4:$H$810,$A$4:$A$810,$A521,$E$4:$E$810,"Win")/COUNTIFS($A$4:$A$810,$A521,$E$4:$E$810,"Win"),0))</f>
        <v>0</v>
      </c>
      <c r="Q521">
        <f>IF($D521="",0,1/(1+10^(($P521-$H521)/400)))</f>
        <v>0</v>
      </c>
      <c r="R521">
        <f>IF($D521="",0,(COUNTIFS($D$4:$D$810,$D521,$C$4:$C$810,$C521,$E$4:$E$810,"Win",$A$4:$A$810,"&lt;"&amp;$A521)+1)/(COUNTIFS($D$4:$D$810,$D521,$C$4:$C$810,$C521,$A$4:$A$810,"&lt;"&amp;$A521)+2))</f>
        <v>0</v>
      </c>
      <c r="S521">
        <f>IF($D521="",0,SUMIFS($R$4:$R$810,$A$4:$A$810,$A521))</f>
        <v>0</v>
      </c>
      <c r="T521" s="88">
        <f>IF($D521="",0,COUNTIFS($D$4:$D$810,$D521,$C$4:$C$810,$C521,$A$4:$A$810,"&lt;"&amp;$A521))</f>
        <v>0</v>
      </c>
      <c r="U521" s="125">
        <f>IF($D521="",0,IFERROR(LOOKUP(2,1/(($D$3:D520=$D521)*($C$3:C520=$C521)*($A$3:A520&lt;$A521)),$AB$3:AB520),1000))</f>
        <v>0</v>
      </c>
      <c r="V521" s="125">
        <f>IF($D521="",0,$U521*($T521/($T521+5))+$H521*(1-$T521/($T521+5)))</f>
        <v>0</v>
      </c>
      <c r="W521">
        <f>IF($D521="",0,IFERROR(SUMIFS($V$4:$V$810,$A$4:$A$810,$A521,$E$4:$E$810,"Win")/COUNTIFS($A$4:$A$810,$A521,$E$4:$E$810,"Win"),0))</f>
        <v>0</v>
      </c>
      <c r="X521">
        <f>IF($D521="",0,1/(1+10^(($W521-$V521)/400)))</f>
        <v>0</v>
      </c>
      <c r="Y521">
        <f>IF($D521="",0,IFERROR(SUMIFS($U$4:$U$810,$A$4:$A$810,$A521,$E$4:$E$810,"Win")/COUNTIFS($A$4:$A$810,$A521,$E$4:$E$810,"Win"),0))</f>
        <v>0</v>
      </c>
      <c r="Z521">
        <f>IF($D521="",0,1/(1+10^(($Y521-$U521)/400)))</f>
        <v>0</v>
      </c>
      <c r="AA521">
        <f>IF($D521="",0,IF($F521&lt;2,0,IF($E521="Win",('Guide &amp; Settings'!$C$42/(($F521-1)*COUNTIFS($A$4:$A$810,$A521,$E$4:$E$810,"Win")))*SUMIFS($Z$4:$Z$810,$A$4:$A$810,$A521,$E$4:$E$810,"Loss"),-('Guide &amp; Settings'!$C$42/($F521-1))*$Z521)))</f>
        <v>0</v>
      </c>
      <c r="AB521" s="125">
        <f>IF($D521="",0,$U521+$AA521)</f>
        <v>0</v>
      </c>
      <c r="AC521" s="125" t="str">
        <f>IF($D521="","",IF(SUMPRODUCT(MAX(($D$4:$D$810=$D521)*($B$4:$B$810&lt;$B521)*$B$4:$B$810))=0,0,MAX(($B521-MAX(SUMPRODUCT(MAX(($D$4:$D$810=$D521)*($B$4:$B$810&lt;$B521)*$B$4:$B$810)),'Guide &amp; Settings'!$C$50))/7-'Guide &amp; Settings'!$C$48,0)*'Guide &amp; Settings'!$C$49))</f>
      </c>
    </row>
    <row r="522" spans="1:29">
      <c r="A522" s="116"/>
      <c r="B522" s="117"/>
      <c r="C522" s="118"/>
      <c r="D522" s="118"/>
      <c r="E522" s="116"/>
      <c r="F522" s="119">
        <f>IF($D522="",0,COUNTIF($A$4:$A$810,$A522))</f>
        <v>0</v>
      </c>
      <c r="G522" s="120">
        <f>IF($D522="","",IFERROR(LOOKUP(2,1/(($A$4:$A$810=$A522)*($E$4:$E$810="Win")),$D$4:$D$810),"(no winner)"))</f>
        <v>0</v>
      </c>
      <c r="H522" s="121">
        <f>IF($D522="",0,IFERROR(LOOKUP(2,1/(($D$3:D521=$D522)*($A$3:A521&lt;$A522)),$N$3:N521),'Guide &amp; Settings'!$C$41))</f>
        <v>0</v>
      </c>
      <c r="I522" s="122">
        <f>IF($D522="",0,IF($S522=0,0,$R522/$S522))</f>
        <v>0</v>
      </c>
      <c r="J522" s="123">
        <f>IF($D522="",0,IF($F522&lt;2,0,IF($E522="Win",('Guide &amp; Settings'!$C$42/(($F522-1)*COUNTIFS($A$4:$A$810,$A522,$E$4:$E$810,"Win")))*SUMIFS($X$4:$X$810,$A$4:$A$810,$A522,$E$4:$E$810,"Loss"),-('Guide &amp; Settings'!$C$42/($F522-1))*$X522)))</f>
        <v>0</v>
      </c>
      <c r="K522" s="123">
        <f>IF($D522="",0,'Guide &amp; Settings'!$C$43*(IF($E522="Win",1,0)-$I522))</f>
        <v>0</v>
      </c>
      <c r="L522" s="124">
        <f>IF($D522="",0,'Guide &amp; Settings'!$C$44*IF($F522&gt;=3,$F522+IF($E522="Win",$F522,0),0))</f>
        <v>0</v>
      </c>
      <c r="M522" s="123">
        <f>IF($D522="",0,$J522+$K522+$L522)</f>
        <v>0</v>
      </c>
      <c r="N522" s="121">
        <f>IF($D522="",0,$H522+$M522)</f>
        <v>0</v>
      </c>
      <c r="O522" s="120" t="str">
        <f>IF($D522="","",IF(COUNTIFS($A$4:$A$810,$A522,$E$4:$E$810,"Win")=0,"need a winner",IF(COUNTIFS($A$4:$A$810,$A522,$E$4:$E$810,"Loss")=0,"need a loser",IF(COUNTIFS($A$4:$A$810,$A522,$D$4:$D$810,$D522)&gt;1,"duplicate player","OK"))))</f>
      </c>
      <c r="P522">
        <f>IF($D522="",0,IFERROR(SUMIFS($H$4:$H$810,$A$4:$A$810,$A522,$E$4:$E$810,"Win")/COUNTIFS($A$4:$A$810,$A522,$E$4:$E$810,"Win"),0))</f>
        <v>0</v>
      </c>
      <c r="Q522">
        <f>IF($D522="",0,1/(1+10^(($P522-$H522)/400)))</f>
        <v>0</v>
      </c>
      <c r="R522">
        <f>IF($D522="",0,(COUNTIFS($D$4:$D$810,$D522,$C$4:$C$810,$C522,$E$4:$E$810,"Win",$A$4:$A$810,"&lt;"&amp;$A522)+1)/(COUNTIFS($D$4:$D$810,$D522,$C$4:$C$810,$C522,$A$4:$A$810,"&lt;"&amp;$A522)+2))</f>
        <v>0</v>
      </c>
      <c r="S522">
        <f>IF($D522="",0,SUMIFS($R$4:$R$810,$A$4:$A$810,$A522))</f>
        <v>0</v>
      </c>
      <c r="T522" s="88">
        <f>IF($D522="",0,COUNTIFS($D$4:$D$810,$D522,$C$4:$C$810,$C522,$A$4:$A$810,"&lt;"&amp;$A522))</f>
        <v>0</v>
      </c>
      <c r="U522" s="125">
        <f>IF($D522="",0,IFERROR(LOOKUP(2,1/(($D$3:D521=$D522)*($C$3:C521=$C522)*($A$3:A521&lt;$A522)),$AB$3:AB521),1000))</f>
        <v>0</v>
      </c>
      <c r="V522" s="125">
        <f>IF($D522="",0,$U522*($T522/($T522+5))+$H522*(1-$T522/($T522+5)))</f>
        <v>0</v>
      </c>
      <c r="W522">
        <f>IF($D522="",0,IFERROR(SUMIFS($V$4:$V$810,$A$4:$A$810,$A522,$E$4:$E$810,"Win")/COUNTIFS($A$4:$A$810,$A522,$E$4:$E$810,"Win"),0))</f>
        <v>0</v>
      </c>
      <c r="X522">
        <f>IF($D522="",0,1/(1+10^(($W522-$V522)/400)))</f>
        <v>0</v>
      </c>
      <c r="Y522">
        <f>IF($D522="",0,IFERROR(SUMIFS($U$4:$U$810,$A$4:$A$810,$A522,$E$4:$E$810,"Win")/COUNTIFS($A$4:$A$810,$A522,$E$4:$E$810,"Win"),0))</f>
        <v>0</v>
      </c>
      <c r="Z522">
        <f>IF($D522="",0,1/(1+10^(($Y522-$U522)/400)))</f>
        <v>0</v>
      </c>
      <c r="AA522">
        <f>IF($D522="",0,IF($F522&lt;2,0,IF($E522="Win",('Guide &amp; Settings'!$C$42/(($F522-1)*COUNTIFS($A$4:$A$810,$A522,$E$4:$E$810,"Win")))*SUMIFS($Z$4:$Z$810,$A$4:$A$810,$A522,$E$4:$E$810,"Loss"),-('Guide &amp; Settings'!$C$42/($F522-1))*$Z522)))</f>
        <v>0</v>
      </c>
      <c r="AB522" s="125">
        <f>IF($D522="",0,$U522+$AA522)</f>
        <v>0</v>
      </c>
      <c r="AC522" s="125" t="str">
        <f>IF($D522="","",IF(SUMPRODUCT(MAX(($D$4:$D$810=$D522)*($B$4:$B$810&lt;$B522)*$B$4:$B$810))=0,0,MAX(($B522-MAX(SUMPRODUCT(MAX(($D$4:$D$810=$D522)*($B$4:$B$810&lt;$B522)*$B$4:$B$810)),'Guide &amp; Settings'!$C$50))/7-'Guide &amp; Settings'!$C$48,0)*'Guide &amp; Settings'!$C$49))</f>
      </c>
    </row>
    <row r="523" spans="1:29">
      <c r="A523" s="116"/>
      <c r="B523" s="117"/>
      <c r="C523" s="118"/>
      <c r="D523" s="118"/>
      <c r="E523" s="116"/>
      <c r="F523" s="119">
        <f>IF($D523="",0,COUNTIF($A$4:$A$810,$A523))</f>
        <v>0</v>
      </c>
      <c r="G523" s="120">
        <f>IF($D523="","",IFERROR(LOOKUP(2,1/(($A$4:$A$810=$A523)*($E$4:$E$810="Win")),$D$4:$D$810),"(no winner)"))</f>
        <v>0</v>
      </c>
      <c r="H523" s="121">
        <f>IF($D523="",0,IFERROR(LOOKUP(2,1/(($D$3:D522=$D523)*($A$3:A522&lt;$A523)),$N$3:N522),'Guide &amp; Settings'!$C$41))</f>
        <v>0</v>
      </c>
      <c r="I523" s="122">
        <f>IF($D523="",0,IF($S523=0,0,$R523/$S523))</f>
        <v>0</v>
      </c>
      <c r="J523" s="123">
        <f>IF($D523="",0,IF($F523&lt;2,0,IF($E523="Win",('Guide &amp; Settings'!$C$42/(($F523-1)*COUNTIFS($A$4:$A$810,$A523,$E$4:$E$810,"Win")))*SUMIFS($X$4:$X$810,$A$4:$A$810,$A523,$E$4:$E$810,"Loss"),-('Guide &amp; Settings'!$C$42/($F523-1))*$X523)))</f>
        <v>0</v>
      </c>
      <c r="K523" s="123">
        <f>IF($D523="",0,'Guide &amp; Settings'!$C$43*(IF($E523="Win",1,0)-$I523))</f>
        <v>0</v>
      </c>
      <c r="L523" s="124">
        <f>IF($D523="",0,'Guide &amp; Settings'!$C$44*IF($F523&gt;=3,$F523+IF($E523="Win",$F523,0),0))</f>
        <v>0</v>
      </c>
      <c r="M523" s="123">
        <f>IF($D523="",0,$J523+$K523+$L523)</f>
        <v>0</v>
      </c>
      <c r="N523" s="121">
        <f>IF($D523="",0,$H523+$M523)</f>
        <v>0</v>
      </c>
      <c r="O523" s="120" t="str">
        <f>IF($D523="","",IF(COUNTIFS($A$4:$A$810,$A523,$E$4:$E$810,"Win")=0,"need a winner",IF(COUNTIFS($A$4:$A$810,$A523,$E$4:$E$810,"Loss")=0,"need a loser",IF(COUNTIFS($A$4:$A$810,$A523,$D$4:$D$810,$D523)&gt;1,"duplicate player","OK"))))</f>
      </c>
      <c r="P523">
        <f>IF($D523="",0,IFERROR(SUMIFS($H$4:$H$810,$A$4:$A$810,$A523,$E$4:$E$810,"Win")/COUNTIFS($A$4:$A$810,$A523,$E$4:$E$810,"Win"),0))</f>
        <v>0</v>
      </c>
      <c r="Q523">
        <f>IF($D523="",0,1/(1+10^(($P523-$H523)/400)))</f>
        <v>0</v>
      </c>
      <c r="R523">
        <f>IF($D523="",0,(COUNTIFS($D$4:$D$810,$D523,$C$4:$C$810,$C523,$E$4:$E$810,"Win",$A$4:$A$810,"&lt;"&amp;$A523)+1)/(COUNTIFS($D$4:$D$810,$D523,$C$4:$C$810,$C523,$A$4:$A$810,"&lt;"&amp;$A523)+2))</f>
        <v>0</v>
      </c>
      <c r="S523">
        <f>IF($D523="",0,SUMIFS($R$4:$R$810,$A$4:$A$810,$A523))</f>
        <v>0</v>
      </c>
      <c r="T523" s="88">
        <f>IF($D523="",0,COUNTIFS($D$4:$D$810,$D523,$C$4:$C$810,$C523,$A$4:$A$810,"&lt;"&amp;$A523))</f>
        <v>0</v>
      </c>
      <c r="U523" s="125">
        <f>IF($D523="",0,IFERROR(LOOKUP(2,1/(($D$3:D522=$D523)*($C$3:C522=$C523)*($A$3:A522&lt;$A523)),$AB$3:AB522),1000))</f>
        <v>0</v>
      </c>
      <c r="V523" s="125">
        <f>IF($D523="",0,$U523*($T523/($T523+5))+$H523*(1-$T523/($T523+5)))</f>
        <v>0</v>
      </c>
      <c r="W523">
        <f>IF($D523="",0,IFERROR(SUMIFS($V$4:$V$810,$A$4:$A$810,$A523,$E$4:$E$810,"Win")/COUNTIFS($A$4:$A$810,$A523,$E$4:$E$810,"Win"),0))</f>
        <v>0</v>
      </c>
      <c r="X523">
        <f>IF($D523="",0,1/(1+10^(($W523-$V523)/400)))</f>
        <v>0</v>
      </c>
      <c r="Y523">
        <f>IF($D523="",0,IFERROR(SUMIFS($U$4:$U$810,$A$4:$A$810,$A523,$E$4:$E$810,"Win")/COUNTIFS($A$4:$A$810,$A523,$E$4:$E$810,"Win"),0))</f>
        <v>0</v>
      </c>
      <c r="Z523">
        <f>IF($D523="",0,1/(1+10^(($Y523-$U523)/400)))</f>
        <v>0</v>
      </c>
      <c r="AA523">
        <f>IF($D523="",0,IF($F523&lt;2,0,IF($E523="Win",('Guide &amp; Settings'!$C$42/(($F523-1)*COUNTIFS($A$4:$A$810,$A523,$E$4:$E$810,"Win")))*SUMIFS($Z$4:$Z$810,$A$4:$A$810,$A523,$E$4:$E$810,"Loss"),-('Guide &amp; Settings'!$C$42/($F523-1))*$Z523)))</f>
        <v>0</v>
      </c>
      <c r="AB523" s="125">
        <f>IF($D523="",0,$U523+$AA523)</f>
        <v>0</v>
      </c>
      <c r="AC523" s="125" t="str">
        <f>IF($D523="","",IF(SUMPRODUCT(MAX(($D$4:$D$810=$D523)*($B$4:$B$810&lt;$B523)*$B$4:$B$810))=0,0,MAX(($B523-MAX(SUMPRODUCT(MAX(($D$4:$D$810=$D523)*($B$4:$B$810&lt;$B523)*$B$4:$B$810)),'Guide &amp; Settings'!$C$50))/7-'Guide &amp; Settings'!$C$48,0)*'Guide &amp; Settings'!$C$49))</f>
      </c>
    </row>
    <row r="524" spans="1:29">
      <c r="A524" s="116"/>
      <c r="B524" s="117"/>
      <c r="C524" s="118"/>
      <c r="D524" s="118"/>
      <c r="E524" s="116"/>
      <c r="F524" s="119">
        <f>IF($D524="",0,COUNTIF($A$4:$A$810,$A524))</f>
        <v>0</v>
      </c>
      <c r="G524" s="120">
        <f>IF($D524="","",IFERROR(LOOKUP(2,1/(($A$4:$A$810=$A524)*($E$4:$E$810="Win")),$D$4:$D$810),"(no winner)"))</f>
        <v>0</v>
      </c>
      <c r="H524" s="121">
        <f>IF($D524="",0,IFERROR(LOOKUP(2,1/(($D$3:D523=$D524)*($A$3:A523&lt;$A524)),$N$3:N523),'Guide &amp; Settings'!$C$41))</f>
        <v>0</v>
      </c>
      <c r="I524" s="122">
        <f>IF($D524="",0,IF($S524=0,0,$R524/$S524))</f>
        <v>0</v>
      </c>
      <c r="J524" s="123">
        <f>IF($D524="",0,IF($F524&lt;2,0,IF($E524="Win",('Guide &amp; Settings'!$C$42/(($F524-1)*COUNTIFS($A$4:$A$810,$A524,$E$4:$E$810,"Win")))*SUMIFS($X$4:$X$810,$A$4:$A$810,$A524,$E$4:$E$810,"Loss"),-('Guide &amp; Settings'!$C$42/($F524-1))*$X524)))</f>
        <v>0</v>
      </c>
      <c r="K524" s="123">
        <f>IF($D524="",0,'Guide &amp; Settings'!$C$43*(IF($E524="Win",1,0)-$I524))</f>
        <v>0</v>
      </c>
      <c r="L524" s="124">
        <f>IF($D524="",0,'Guide &amp; Settings'!$C$44*IF($F524&gt;=3,$F524+IF($E524="Win",$F524,0),0))</f>
        <v>0</v>
      </c>
      <c r="M524" s="123">
        <f>IF($D524="",0,$J524+$K524+$L524)</f>
        <v>0</v>
      </c>
      <c r="N524" s="121">
        <f>IF($D524="",0,$H524+$M524)</f>
        <v>0</v>
      </c>
      <c r="O524" s="120" t="str">
        <f>IF($D524="","",IF(COUNTIFS($A$4:$A$810,$A524,$E$4:$E$810,"Win")=0,"need a winner",IF(COUNTIFS($A$4:$A$810,$A524,$E$4:$E$810,"Loss")=0,"need a loser",IF(COUNTIFS($A$4:$A$810,$A524,$D$4:$D$810,$D524)&gt;1,"duplicate player","OK"))))</f>
      </c>
      <c r="P524">
        <f>IF($D524="",0,IFERROR(SUMIFS($H$4:$H$810,$A$4:$A$810,$A524,$E$4:$E$810,"Win")/COUNTIFS($A$4:$A$810,$A524,$E$4:$E$810,"Win"),0))</f>
        <v>0</v>
      </c>
      <c r="Q524">
        <f>IF($D524="",0,1/(1+10^(($P524-$H524)/400)))</f>
        <v>0</v>
      </c>
      <c r="R524">
        <f>IF($D524="",0,(COUNTIFS($D$4:$D$810,$D524,$C$4:$C$810,$C524,$E$4:$E$810,"Win",$A$4:$A$810,"&lt;"&amp;$A524)+1)/(COUNTIFS($D$4:$D$810,$D524,$C$4:$C$810,$C524,$A$4:$A$810,"&lt;"&amp;$A524)+2))</f>
        <v>0</v>
      </c>
      <c r="S524">
        <f>IF($D524="",0,SUMIFS($R$4:$R$810,$A$4:$A$810,$A524))</f>
        <v>0</v>
      </c>
      <c r="T524" s="88">
        <f>IF($D524="",0,COUNTIFS($D$4:$D$810,$D524,$C$4:$C$810,$C524,$A$4:$A$810,"&lt;"&amp;$A524))</f>
        <v>0</v>
      </c>
      <c r="U524" s="125">
        <f>IF($D524="",0,IFERROR(LOOKUP(2,1/(($D$3:D523=$D524)*($C$3:C523=$C524)*($A$3:A523&lt;$A524)),$AB$3:AB523),1000))</f>
        <v>0</v>
      </c>
      <c r="V524" s="125">
        <f>IF($D524="",0,$U524*($T524/($T524+5))+$H524*(1-$T524/($T524+5)))</f>
        <v>0</v>
      </c>
      <c r="W524">
        <f>IF($D524="",0,IFERROR(SUMIFS($V$4:$V$810,$A$4:$A$810,$A524,$E$4:$E$810,"Win")/COUNTIFS($A$4:$A$810,$A524,$E$4:$E$810,"Win"),0))</f>
        <v>0</v>
      </c>
      <c r="X524">
        <f>IF($D524="",0,1/(1+10^(($W524-$V524)/400)))</f>
        <v>0</v>
      </c>
      <c r="Y524">
        <f>IF($D524="",0,IFERROR(SUMIFS($U$4:$U$810,$A$4:$A$810,$A524,$E$4:$E$810,"Win")/COUNTIFS($A$4:$A$810,$A524,$E$4:$E$810,"Win"),0))</f>
        <v>0</v>
      </c>
      <c r="Z524">
        <f>IF($D524="",0,1/(1+10^(($Y524-$U524)/400)))</f>
        <v>0</v>
      </c>
      <c r="AA524">
        <f>IF($D524="",0,IF($F524&lt;2,0,IF($E524="Win",('Guide &amp; Settings'!$C$42/(($F524-1)*COUNTIFS($A$4:$A$810,$A524,$E$4:$E$810,"Win")))*SUMIFS($Z$4:$Z$810,$A$4:$A$810,$A524,$E$4:$E$810,"Loss"),-('Guide &amp; Settings'!$C$42/($F524-1))*$Z524)))</f>
        <v>0</v>
      </c>
      <c r="AB524" s="125">
        <f>IF($D524="",0,$U524+$AA524)</f>
        <v>0</v>
      </c>
      <c r="AC524" s="125" t="str">
        <f>IF($D524="","",IF(SUMPRODUCT(MAX(($D$4:$D$810=$D524)*($B$4:$B$810&lt;$B524)*$B$4:$B$810))=0,0,MAX(($B524-MAX(SUMPRODUCT(MAX(($D$4:$D$810=$D524)*($B$4:$B$810&lt;$B524)*$B$4:$B$810)),'Guide &amp; Settings'!$C$50))/7-'Guide &amp; Settings'!$C$48,0)*'Guide &amp; Settings'!$C$49))</f>
      </c>
    </row>
    <row r="525" spans="1:29">
      <c r="A525" s="116"/>
      <c r="B525" s="117"/>
      <c r="C525" s="118"/>
      <c r="D525" s="118"/>
      <c r="E525" s="116"/>
      <c r="F525" s="119">
        <f>IF($D525="",0,COUNTIF($A$4:$A$810,$A525))</f>
        <v>0</v>
      </c>
      <c r="G525" s="120">
        <f>IF($D525="","",IFERROR(LOOKUP(2,1/(($A$4:$A$810=$A525)*($E$4:$E$810="Win")),$D$4:$D$810),"(no winner)"))</f>
        <v>0</v>
      </c>
      <c r="H525" s="121">
        <f>IF($D525="",0,IFERROR(LOOKUP(2,1/(($D$3:D524=$D525)*($A$3:A524&lt;$A525)),$N$3:N524),'Guide &amp; Settings'!$C$41))</f>
        <v>0</v>
      </c>
      <c r="I525" s="122">
        <f>IF($D525="",0,IF($S525=0,0,$R525/$S525))</f>
        <v>0</v>
      </c>
      <c r="J525" s="123">
        <f>IF($D525="",0,IF($F525&lt;2,0,IF($E525="Win",('Guide &amp; Settings'!$C$42/(($F525-1)*COUNTIFS($A$4:$A$810,$A525,$E$4:$E$810,"Win")))*SUMIFS($X$4:$X$810,$A$4:$A$810,$A525,$E$4:$E$810,"Loss"),-('Guide &amp; Settings'!$C$42/($F525-1))*$X525)))</f>
        <v>0</v>
      </c>
      <c r="K525" s="123">
        <f>IF($D525="",0,'Guide &amp; Settings'!$C$43*(IF($E525="Win",1,0)-$I525))</f>
        <v>0</v>
      </c>
      <c r="L525" s="124">
        <f>IF($D525="",0,'Guide &amp; Settings'!$C$44*IF($F525&gt;=3,$F525+IF($E525="Win",$F525,0),0))</f>
        <v>0</v>
      </c>
      <c r="M525" s="123">
        <f>IF($D525="",0,$J525+$K525+$L525)</f>
        <v>0</v>
      </c>
      <c r="N525" s="121">
        <f>IF($D525="",0,$H525+$M525)</f>
        <v>0</v>
      </c>
      <c r="O525" s="120" t="str">
        <f>IF($D525="","",IF(COUNTIFS($A$4:$A$810,$A525,$E$4:$E$810,"Win")=0,"need a winner",IF(COUNTIFS($A$4:$A$810,$A525,$E$4:$E$810,"Loss")=0,"need a loser",IF(COUNTIFS($A$4:$A$810,$A525,$D$4:$D$810,$D525)&gt;1,"duplicate player","OK"))))</f>
      </c>
      <c r="P525">
        <f>IF($D525="",0,IFERROR(SUMIFS($H$4:$H$810,$A$4:$A$810,$A525,$E$4:$E$810,"Win")/COUNTIFS($A$4:$A$810,$A525,$E$4:$E$810,"Win"),0))</f>
        <v>0</v>
      </c>
      <c r="Q525">
        <f>IF($D525="",0,1/(1+10^(($P525-$H525)/400)))</f>
        <v>0</v>
      </c>
      <c r="R525">
        <f>IF($D525="",0,(COUNTIFS($D$4:$D$810,$D525,$C$4:$C$810,$C525,$E$4:$E$810,"Win",$A$4:$A$810,"&lt;"&amp;$A525)+1)/(COUNTIFS($D$4:$D$810,$D525,$C$4:$C$810,$C525,$A$4:$A$810,"&lt;"&amp;$A525)+2))</f>
        <v>0</v>
      </c>
      <c r="S525">
        <f>IF($D525="",0,SUMIFS($R$4:$R$810,$A$4:$A$810,$A525))</f>
        <v>0</v>
      </c>
      <c r="T525" s="88">
        <f>IF($D525="",0,COUNTIFS($D$4:$D$810,$D525,$C$4:$C$810,$C525,$A$4:$A$810,"&lt;"&amp;$A525))</f>
        <v>0</v>
      </c>
      <c r="U525" s="125">
        <f>IF($D525="",0,IFERROR(LOOKUP(2,1/(($D$3:D524=$D525)*($C$3:C524=$C525)*($A$3:A524&lt;$A525)),$AB$3:AB524),1000))</f>
        <v>0</v>
      </c>
      <c r="V525" s="125">
        <f>IF($D525="",0,$U525*($T525/($T525+5))+$H525*(1-$T525/($T525+5)))</f>
        <v>0</v>
      </c>
      <c r="W525">
        <f>IF($D525="",0,IFERROR(SUMIFS($V$4:$V$810,$A$4:$A$810,$A525,$E$4:$E$810,"Win")/COUNTIFS($A$4:$A$810,$A525,$E$4:$E$810,"Win"),0))</f>
        <v>0</v>
      </c>
      <c r="X525">
        <f>IF($D525="",0,1/(1+10^(($W525-$V525)/400)))</f>
        <v>0</v>
      </c>
      <c r="Y525">
        <f>IF($D525="",0,IFERROR(SUMIFS($U$4:$U$810,$A$4:$A$810,$A525,$E$4:$E$810,"Win")/COUNTIFS($A$4:$A$810,$A525,$E$4:$E$810,"Win"),0))</f>
        <v>0</v>
      </c>
      <c r="Z525">
        <f>IF($D525="",0,1/(1+10^(($Y525-$U525)/400)))</f>
        <v>0</v>
      </c>
      <c r="AA525">
        <f>IF($D525="",0,IF($F525&lt;2,0,IF($E525="Win",('Guide &amp; Settings'!$C$42/(($F525-1)*COUNTIFS($A$4:$A$810,$A525,$E$4:$E$810,"Win")))*SUMIFS($Z$4:$Z$810,$A$4:$A$810,$A525,$E$4:$E$810,"Loss"),-('Guide &amp; Settings'!$C$42/($F525-1))*$Z525)))</f>
        <v>0</v>
      </c>
      <c r="AB525" s="125">
        <f>IF($D525="",0,$U525+$AA525)</f>
        <v>0</v>
      </c>
      <c r="AC525" s="125" t="str">
        <f>IF($D525="","",IF(SUMPRODUCT(MAX(($D$4:$D$810=$D525)*($B$4:$B$810&lt;$B525)*$B$4:$B$810))=0,0,MAX(($B525-MAX(SUMPRODUCT(MAX(($D$4:$D$810=$D525)*($B$4:$B$810&lt;$B525)*$B$4:$B$810)),'Guide &amp; Settings'!$C$50))/7-'Guide &amp; Settings'!$C$48,0)*'Guide &amp; Settings'!$C$49))</f>
      </c>
    </row>
    <row r="526" spans="1:29">
      <c r="A526" s="116"/>
      <c r="B526" s="117"/>
      <c r="C526" s="118"/>
      <c r="D526" s="118"/>
      <c r="E526" s="116"/>
      <c r="F526" s="119">
        <f>IF($D526="",0,COUNTIF($A$4:$A$810,$A526))</f>
        <v>0</v>
      </c>
      <c r="G526" s="120">
        <f>IF($D526="","",IFERROR(LOOKUP(2,1/(($A$4:$A$810=$A526)*($E$4:$E$810="Win")),$D$4:$D$810),"(no winner)"))</f>
        <v>0</v>
      </c>
      <c r="H526" s="121">
        <f>IF($D526="",0,IFERROR(LOOKUP(2,1/(($D$3:D525=$D526)*($A$3:A525&lt;$A526)),$N$3:N525),'Guide &amp; Settings'!$C$41))</f>
        <v>0</v>
      </c>
      <c r="I526" s="122">
        <f>IF($D526="",0,IF($S526=0,0,$R526/$S526))</f>
        <v>0</v>
      </c>
      <c r="J526" s="123">
        <f>IF($D526="",0,IF($F526&lt;2,0,IF($E526="Win",('Guide &amp; Settings'!$C$42/(($F526-1)*COUNTIFS($A$4:$A$810,$A526,$E$4:$E$810,"Win")))*SUMIFS($X$4:$X$810,$A$4:$A$810,$A526,$E$4:$E$810,"Loss"),-('Guide &amp; Settings'!$C$42/($F526-1))*$X526)))</f>
        <v>0</v>
      </c>
      <c r="K526" s="123">
        <f>IF($D526="",0,'Guide &amp; Settings'!$C$43*(IF($E526="Win",1,0)-$I526))</f>
        <v>0</v>
      </c>
      <c r="L526" s="124">
        <f>IF($D526="",0,'Guide &amp; Settings'!$C$44*IF($F526&gt;=3,$F526+IF($E526="Win",$F526,0),0))</f>
        <v>0</v>
      </c>
      <c r="M526" s="123">
        <f>IF($D526="",0,$J526+$K526+$L526)</f>
        <v>0</v>
      </c>
      <c r="N526" s="121">
        <f>IF($D526="",0,$H526+$M526)</f>
        <v>0</v>
      </c>
      <c r="O526" s="120" t="str">
        <f>IF($D526="","",IF(COUNTIFS($A$4:$A$810,$A526,$E$4:$E$810,"Win")=0,"need a winner",IF(COUNTIFS($A$4:$A$810,$A526,$E$4:$E$810,"Loss")=0,"need a loser",IF(COUNTIFS($A$4:$A$810,$A526,$D$4:$D$810,$D526)&gt;1,"duplicate player","OK"))))</f>
      </c>
      <c r="P526">
        <f>IF($D526="",0,IFERROR(SUMIFS($H$4:$H$810,$A$4:$A$810,$A526,$E$4:$E$810,"Win")/COUNTIFS($A$4:$A$810,$A526,$E$4:$E$810,"Win"),0))</f>
        <v>0</v>
      </c>
      <c r="Q526">
        <f>IF($D526="",0,1/(1+10^(($P526-$H526)/400)))</f>
        <v>0</v>
      </c>
      <c r="R526">
        <f>IF($D526="",0,(COUNTIFS($D$4:$D$810,$D526,$C$4:$C$810,$C526,$E$4:$E$810,"Win",$A$4:$A$810,"&lt;"&amp;$A526)+1)/(COUNTIFS($D$4:$D$810,$D526,$C$4:$C$810,$C526,$A$4:$A$810,"&lt;"&amp;$A526)+2))</f>
        <v>0</v>
      </c>
      <c r="S526">
        <f>IF($D526="",0,SUMIFS($R$4:$R$810,$A$4:$A$810,$A526))</f>
        <v>0</v>
      </c>
      <c r="T526" s="88">
        <f>IF($D526="",0,COUNTIFS($D$4:$D$810,$D526,$C$4:$C$810,$C526,$A$4:$A$810,"&lt;"&amp;$A526))</f>
        <v>0</v>
      </c>
      <c r="U526" s="125">
        <f>IF($D526="",0,IFERROR(LOOKUP(2,1/(($D$3:D525=$D526)*($C$3:C525=$C526)*($A$3:A525&lt;$A526)),$AB$3:AB525),1000))</f>
        <v>0</v>
      </c>
      <c r="V526" s="125">
        <f>IF($D526="",0,$U526*($T526/($T526+5))+$H526*(1-$T526/($T526+5)))</f>
        <v>0</v>
      </c>
      <c r="W526">
        <f>IF($D526="",0,IFERROR(SUMIFS($V$4:$V$810,$A$4:$A$810,$A526,$E$4:$E$810,"Win")/COUNTIFS($A$4:$A$810,$A526,$E$4:$E$810,"Win"),0))</f>
        <v>0</v>
      </c>
      <c r="X526">
        <f>IF($D526="",0,1/(1+10^(($W526-$V526)/400)))</f>
        <v>0</v>
      </c>
      <c r="Y526">
        <f>IF($D526="",0,IFERROR(SUMIFS($U$4:$U$810,$A$4:$A$810,$A526,$E$4:$E$810,"Win")/COUNTIFS($A$4:$A$810,$A526,$E$4:$E$810,"Win"),0))</f>
        <v>0</v>
      </c>
      <c r="Z526">
        <f>IF($D526="",0,1/(1+10^(($Y526-$U526)/400)))</f>
        <v>0</v>
      </c>
      <c r="AA526">
        <f>IF($D526="",0,IF($F526&lt;2,0,IF($E526="Win",('Guide &amp; Settings'!$C$42/(($F526-1)*COUNTIFS($A$4:$A$810,$A526,$E$4:$E$810,"Win")))*SUMIFS($Z$4:$Z$810,$A$4:$A$810,$A526,$E$4:$E$810,"Loss"),-('Guide &amp; Settings'!$C$42/($F526-1))*$Z526)))</f>
        <v>0</v>
      </c>
      <c r="AB526" s="125">
        <f>IF($D526="",0,$U526+$AA526)</f>
        <v>0</v>
      </c>
      <c r="AC526" s="125" t="str">
        <f>IF($D526="","",IF(SUMPRODUCT(MAX(($D$4:$D$810=$D526)*($B$4:$B$810&lt;$B526)*$B$4:$B$810))=0,0,MAX(($B526-MAX(SUMPRODUCT(MAX(($D$4:$D$810=$D526)*($B$4:$B$810&lt;$B526)*$B$4:$B$810)),'Guide &amp; Settings'!$C$50))/7-'Guide &amp; Settings'!$C$48,0)*'Guide &amp; Settings'!$C$49))</f>
      </c>
    </row>
    <row r="527" spans="1:29">
      <c r="A527" s="116"/>
      <c r="B527" s="117"/>
      <c r="C527" s="118"/>
      <c r="D527" s="118"/>
      <c r="E527" s="116"/>
      <c r="F527" s="119">
        <f>IF($D527="",0,COUNTIF($A$4:$A$810,$A527))</f>
        <v>0</v>
      </c>
      <c r="G527" s="120">
        <f>IF($D527="","",IFERROR(LOOKUP(2,1/(($A$4:$A$810=$A527)*($E$4:$E$810="Win")),$D$4:$D$810),"(no winner)"))</f>
        <v>0</v>
      </c>
      <c r="H527" s="121">
        <f>IF($D527="",0,IFERROR(LOOKUP(2,1/(($D$3:D526=$D527)*($A$3:A526&lt;$A527)),$N$3:N526),'Guide &amp; Settings'!$C$41))</f>
        <v>0</v>
      </c>
      <c r="I527" s="122">
        <f>IF($D527="",0,IF($S527=0,0,$R527/$S527))</f>
        <v>0</v>
      </c>
      <c r="J527" s="123">
        <f>IF($D527="",0,IF($F527&lt;2,0,IF($E527="Win",('Guide &amp; Settings'!$C$42/(($F527-1)*COUNTIFS($A$4:$A$810,$A527,$E$4:$E$810,"Win")))*SUMIFS($X$4:$X$810,$A$4:$A$810,$A527,$E$4:$E$810,"Loss"),-('Guide &amp; Settings'!$C$42/($F527-1))*$X527)))</f>
        <v>0</v>
      </c>
      <c r="K527" s="123">
        <f>IF($D527="",0,'Guide &amp; Settings'!$C$43*(IF($E527="Win",1,0)-$I527))</f>
        <v>0</v>
      </c>
      <c r="L527" s="124">
        <f>IF($D527="",0,'Guide &amp; Settings'!$C$44*IF($F527&gt;=3,$F527+IF($E527="Win",$F527,0),0))</f>
        <v>0</v>
      </c>
      <c r="M527" s="123">
        <f>IF($D527="",0,$J527+$K527+$L527)</f>
        <v>0</v>
      </c>
      <c r="N527" s="121">
        <f>IF($D527="",0,$H527+$M527)</f>
        <v>0</v>
      </c>
      <c r="O527" s="120" t="str">
        <f>IF($D527="","",IF(COUNTIFS($A$4:$A$810,$A527,$E$4:$E$810,"Win")=0,"need a winner",IF(COUNTIFS($A$4:$A$810,$A527,$E$4:$E$810,"Loss")=0,"need a loser",IF(COUNTIFS($A$4:$A$810,$A527,$D$4:$D$810,$D527)&gt;1,"duplicate player","OK"))))</f>
      </c>
      <c r="P527">
        <f>IF($D527="",0,IFERROR(SUMIFS($H$4:$H$810,$A$4:$A$810,$A527,$E$4:$E$810,"Win")/COUNTIFS($A$4:$A$810,$A527,$E$4:$E$810,"Win"),0))</f>
        <v>0</v>
      </c>
      <c r="Q527">
        <f>IF($D527="",0,1/(1+10^(($P527-$H527)/400)))</f>
        <v>0</v>
      </c>
      <c r="R527">
        <f>IF($D527="",0,(COUNTIFS($D$4:$D$810,$D527,$C$4:$C$810,$C527,$E$4:$E$810,"Win",$A$4:$A$810,"&lt;"&amp;$A527)+1)/(COUNTIFS($D$4:$D$810,$D527,$C$4:$C$810,$C527,$A$4:$A$810,"&lt;"&amp;$A527)+2))</f>
        <v>0</v>
      </c>
      <c r="S527">
        <f>IF($D527="",0,SUMIFS($R$4:$R$810,$A$4:$A$810,$A527))</f>
        <v>0</v>
      </c>
      <c r="T527" s="88">
        <f>IF($D527="",0,COUNTIFS($D$4:$D$810,$D527,$C$4:$C$810,$C527,$A$4:$A$810,"&lt;"&amp;$A527))</f>
        <v>0</v>
      </c>
      <c r="U527" s="125">
        <f>IF($D527="",0,IFERROR(LOOKUP(2,1/(($D$3:D526=$D527)*($C$3:C526=$C527)*($A$3:A526&lt;$A527)),$AB$3:AB526),1000))</f>
        <v>0</v>
      </c>
      <c r="V527" s="125">
        <f>IF($D527="",0,$U527*($T527/($T527+5))+$H527*(1-$T527/($T527+5)))</f>
        <v>0</v>
      </c>
      <c r="W527">
        <f>IF($D527="",0,IFERROR(SUMIFS($V$4:$V$810,$A$4:$A$810,$A527,$E$4:$E$810,"Win")/COUNTIFS($A$4:$A$810,$A527,$E$4:$E$810,"Win"),0))</f>
        <v>0</v>
      </c>
      <c r="X527">
        <f>IF($D527="",0,1/(1+10^(($W527-$V527)/400)))</f>
        <v>0</v>
      </c>
      <c r="Y527">
        <f>IF($D527="",0,IFERROR(SUMIFS($U$4:$U$810,$A$4:$A$810,$A527,$E$4:$E$810,"Win")/COUNTIFS($A$4:$A$810,$A527,$E$4:$E$810,"Win"),0))</f>
        <v>0</v>
      </c>
      <c r="Z527">
        <f>IF($D527="",0,1/(1+10^(($Y527-$U527)/400)))</f>
        <v>0</v>
      </c>
      <c r="AA527">
        <f>IF($D527="",0,IF($F527&lt;2,0,IF($E527="Win",('Guide &amp; Settings'!$C$42/(($F527-1)*COUNTIFS($A$4:$A$810,$A527,$E$4:$E$810,"Win")))*SUMIFS($Z$4:$Z$810,$A$4:$A$810,$A527,$E$4:$E$810,"Loss"),-('Guide &amp; Settings'!$C$42/($F527-1))*$Z527)))</f>
        <v>0</v>
      </c>
      <c r="AB527" s="125">
        <f>IF($D527="",0,$U527+$AA527)</f>
        <v>0</v>
      </c>
      <c r="AC527" s="125" t="str">
        <f>IF($D527="","",IF(SUMPRODUCT(MAX(($D$4:$D$810=$D527)*($B$4:$B$810&lt;$B527)*$B$4:$B$810))=0,0,MAX(($B527-MAX(SUMPRODUCT(MAX(($D$4:$D$810=$D527)*($B$4:$B$810&lt;$B527)*$B$4:$B$810)),'Guide &amp; Settings'!$C$50))/7-'Guide &amp; Settings'!$C$48,0)*'Guide &amp; Settings'!$C$49))</f>
      </c>
    </row>
    <row r="528" spans="1:29">
      <c r="A528" s="116"/>
      <c r="B528" s="117"/>
      <c r="C528" s="118"/>
      <c r="D528" s="118"/>
      <c r="E528" s="116"/>
      <c r="F528" s="119">
        <f>IF($D528="",0,COUNTIF($A$4:$A$810,$A528))</f>
        <v>0</v>
      </c>
      <c r="G528" s="120">
        <f>IF($D528="","",IFERROR(LOOKUP(2,1/(($A$4:$A$810=$A528)*($E$4:$E$810="Win")),$D$4:$D$810),"(no winner)"))</f>
        <v>0</v>
      </c>
      <c r="H528" s="121">
        <f>IF($D528="",0,IFERROR(LOOKUP(2,1/(($D$3:D527=$D528)*($A$3:A527&lt;$A528)),$N$3:N527),'Guide &amp; Settings'!$C$41))</f>
        <v>0</v>
      </c>
      <c r="I528" s="122">
        <f>IF($D528="",0,IF($S528=0,0,$R528/$S528))</f>
        <v>0</v>
      </c>
      <c r="J528" s="123">
        <f>IF($D528="",0,IF($F528&lt;2,0,IF($E528="Win",('Guide &amp; Settings'!$C$42/(($F528-1)*COUNTIFS($A$4:$A$810,$A528,$E$4:$E$810,"Win")))*SUMIFS($X$4:$X$810,$A$4:$A$810,$A528,$E$4:$E$810,"Loss"),-('Guide &amp; Settings'!$C$42/($F528-1))*$X528)))</f>
        <v>0</v>
      </c>
      <c r="K528" s="123">
        <f>IF($D528="",0,'Guide &amp; Settings'!$C$43*(IF($E528="Win",1,0)-$I528))</f>
        <v>0</v>
      </c>
      <c r="L528" s="124">
        <f>IF($D528="",0,'Guide &amp; Settings'!$C$44*IF($F528&gt;=3,$F528+IF($E528="Win",$F528,0),0))</f>
        <v>0</v>
      </c>
      <c r="M528" s="123">
        <f>IF($D528="",0,$J528+$K528+$L528)</f>
        <v>0</v>
      </c>
      <c r="N528" s="121">
        <f>IF($D528="",0,$H528+$M528)</f>
        <v>0</v>
      </c>
      <c r="O528" s="120" t="str">
        <f>IF($D528="","",IF(COUNTIFS($A$4:$A$810,$A528,$E$4:$E$810,"Win")=0,"need a winner",IF(COUNTIFS($A$4:$A$810,$A528,$E$4:$E$810,"Loss")=0,"need a loser",IF(COUNTIFS($A$4:$A$810,$A528,$D$4:$D$810,$D528)&gt;1,"duplicate player","OK"))))</f>
      </c>
      <c r="P528">
        <f>IF($D528="",0,IFERROR(SUMIFS($H$4:$H$810,$A$4:$A$810,$A528,$E$4:$E$810,"Win")/COUNTIFS($A$4:$A$810,$A528,$E$4:$E$810,"Win"),0))</f>
        <v>0</v>
      </c>
      <c r="Q528">
        <f>IF($D528="",0,1/(1+10^(($P528-$H528)/400)))</f>
        <v>0</v>
      </c>
      <c r="R528">
        <f>IF($D528="",0,(COUNTIFS($D$4:$D$810,$D528,$C$4:$C$810,$C528,$E$4:$E$810,"Win",$A$4:$A$810,"&lt;"&amp;$A528)+1)/(COUNTIFS($D$4:$D$810,$D528,$C$4:$C$810,$C528,$A$4:$A$810,"&lt;"&amp;$A528)+2))</f>
        <v>0</v>
      </c>
      <c r="S528">
        <f>IF($D528="",0,SUMIFS($R$4:$R$810,$A$4:$A$810,$A528))</f>
        <v>0</v>
      </c>
      <c r="T528" s="88">
        <f>IF($D528="",0,COUNTIFS($D$4:$D$810,$D528,$C$4:$C$810,$C528,$A$4:$A$810,"&lt;"&amp;$A528))</f>
        <v>0</v>
      </c>
      <c r="U528" s="125">
        <f>IF($D528="",0,IFERROR(LOOKUP(2,1/(($D$3:D527=$D528)*($C$3:C527=$C528)*($A$3:A527&lt;$A528)),$AB$3:AB527),1000))</f>
        <v>0</v>
      </c>
      <c r="V528" s="125">
        <f>IF($D528="",0,$U528*($T528/($T528+5))+$H528*(1-$T528/($T528+5)))</f>
        <v>0</v>
      </c>
      <c r="W528">
        <f>IF($D528="",0,IFERROR(SUMIFS($V$4:$V$810,$A$4:$A$810,$A528,$E$4:$E$810,"Win")/COUNTIFS($A$4:$A$810,$A528,$E$4:$E$810,"Win"),0))</f>
        <v>0</v>
      </c>
      <c r="X528">
        <f>IF($D528="",0,1/(1+10^(($W528-$V528)/400)))</f>
        <v>0</v>
      </c>
      <c r="Y528">
        <f>IF($D528="",0,IFERROR(SUMIFS($U$4:$U$810,$A$4:$A$810,$A528,$E$4:$E$810,"Win")/COUNTIFS($A$4:$A$810,$A528,$E$4:$E$810,"Win"),0))</f>
        <v>0</v>
      </c>
      <c r="Z528">
        <f>IF($D528="",0,1/(1+10^(($Y528-$U528)/400)))</f>
        <v>0</v>
      </c>
      <c r="AA528">
        <f>IF($D528="",0,IF($F528&lt;2,0,IF($E528="Win",('Guide &amp; Settings'!$C$42/(($F528-1)*COUNTIFS($A$4:$A$810,$A528,$E$4:$E$810,"Win")))*SUMIFS($Z$4:$Z$810,$A$4:$A$810,$A528,$E$4:$E$810,"Loss"),-('Guide &amp; Settings'!$C$42/($F528-1))*$Z528)))</f>
        <v>0</v>
      </c>
      <c r="AB528" s="125">
        <f>IF($D528="",0,$U528+$AA528)</f>
        <v>0</v>
      </c>
      <c r="AC528" s="125" t="str">
        <f>IF($D528="","",IF(SUMPRODUCT(MAX(($D$4:$D$810=$D528)*($B$4:$B$810&lt;$B528)*$B$4:$B$810))=0,0,MAX(($B528-MAX(SUMPRODUCT(MAX(($D$4:$D$810=$D528)*($B$4:$B$810&lt;$B528)*$B$4:$B$810)),'Guide &amp; Settings'!$C$50))/7-'Guide &amp; Settings'!$C$48,0)*'Guide &amp; Settings'!$C$49))</f>
      </c>
    </row>
    <row r="529" spans="1:29">
      <c r="A529" s="116"/>
      <c r="B529" s="117"/>
      <c r="C529" s="118"/>
      <c r="D529" s="118"/>
      <c r="E529" s="116"/>
      <c r="F529" s="119">
        <f>IF($D529="",0,COUNTIF($A$4:$A$810,$A529))</f>
        <v>0</v>
      </c>
      <c r="G529" s="120">
        <f>IF($D529="","",IFERROR(LOOKUP(2,1/(($A$4:$A$810=$A529)*($E$4:$E$810="Win")),$D$4:$D$810),"(no winner)"))</f>
        <v>0</v>
      </c>
      <c r="H529" s="121">
        <f>IF($D529="",0,IFERROR(LOOKUP(2,1/(($D$3:D528=$D529)*($A$3:A528&lt;$A529)),$N$3:N528),'Guide &amp; Settings'!$C$41))</f>
        <v>0</v>
      </c>
      <c r="I529" s="122">
        <f>IF($D529="",0,IF($S529=0,0,$R529/$S529))</f>
        <v>0</v>
      </c>
      <c r="J529" s="123">
        <f>IF($D529="",0,IF($F529&lt;2,0,IF($E529="Win",('Guide &amp; Settings'!$C$42/(($F529-1)*COUNTIFS($A$4:$A$810,$A529,$E$4:$E$810,"Win")))*SUMIFS($X$4:$X$810,$A$4:$A$810,$A529,$E$4:$E$810,"Loss"),-('Guide &amp; Settings'!$C$42/($F529-1))*$X529)))</f>
        <v>0</v>
      </c>
      <c r="K529" s="123">
        <f>IF($D529="",0,'Guide &amp; Settings'!$C$43*(IF($E529="Win",1,0)-$I529))</f>
        <v>0</v>
      </c>
      <c r="L529" s="124">
        <f>IF($D529="",0,'Guide &amp; Settings'!$C$44*IF($F529&gt;=3,$F529+IF($E529="Win",$F529,0),0))</f>
        <v>0</v>
      </c>
      <c r="M529" s="123">
        <f>IF($D529="",0,$J529+$K529+$L529)</f>
        <v>0</v>
      </c>
      <c r="N529" s="121">
        <f>IF($D529="",0,$H529+$M529)</f>
        <v>0</v>
      </c>
      <c r="O529" s="120" t="str">
        <f>IF($D529="","",IF(COUNTIFS($A$4:$A$810,$A529,$E$4:$E$810,"Win")=0,"need a winner",IF(COUNTIFS($A$4:$A$810,$A529,$E$4:$E$810,"Loss")=0,"need a loser",IF(COUNTIFS($A$4:$A$810,$A529,$D$4:$D$810,$D529)&gt;1,"duplicate player","OK"))))</f>
      </c>
      <c r="P529">
        <f>IF($D529="",0,IFERROR(SUMIFS($H$4:$H$810,$A$4:$A$810,$A529,$E$4:$E$810,"Win")/COUNTIFS($A$4:$A$810,$A529,$E$4:$E$810,"Win"),0))</f>
        <v>0</v>
      </c>
      <c r="Q529">
        <f>IF($D529="",0,1/(1+10^(($P529-$H529)/400)))</f>
        <v>0</v>
      </c>
      <c r="R529">
        <f>IF($D529="",0,(COUNTIFS($D$4:$D$810,$D529,$C$4:$C$810,$C529,$E$4:$E$810,"Win",$A$4:$A$810,"&lt;"&amp;$A529)+1)/(COUNTIFS($D$4:$D$810,$D529,$C$4:$C$810,$C529,$A$4:$A$810,"&lt;"&amp;$A529)+2))</f>
        <v>0</v>
      </c>
      <c r="S529">
        <f>IF($D529="",0,SUMIFS($R$4:$R$810,$A$4:$A$810,$A529))</f>
        <v>0</v>
      </c>
      <c r="T529" s="88">
        <f>IF($D529="",0,COUNTIFS($D$4:$D$810,$D529,$C$4:$C$810,$C529,$A$4:$A$810,"&lt;"&amp;$A529))</f>
        <v>0</v>
      </c>
      <c r="U529" s="125">
        <f>IF($D529="",0,IFERROR(LOOKUP(2,1/(($D$3:D528=$D529)*($C$3:C528=$C529)*($A$3:A528&lt;$A529)),$AB$3:AB528),1000))</f>
        <v>0</v>
      </c>
      <c r="V529" s="125">
        <f>IF($D529="",0,$U529*($T529/($T529+5))+$H529*(1-$T529/($T529+5)))</f>
        <v>0</v>
      </c>
      <c r="W529">
        <f>IF($D529="",0,IFERROR(SUMIFS($V$4:$V$810,$A$4:$A$810,$A529,$E$4:$E$810,"Win")/COUNTIFS($A$4:$A$810,$A529,$E$4:$E$810,"Win"),0))</f>
        <v>0</v>
      </c>
      <c r="X529">
        <f>IF($D529="",0,1/(1+10^(($W529-$V529)/400)))</f>
        <v>0</v>
      </c>
      <c r="Y529">
        <f>IF($D529="",0,IFERROR(SUMIFS($U$4:$U$810,$A$4:$A$810,$A529,$E$4:$E$810,"Win")/COUNTIFS($A$4:$A$810,$A529,$E$4:$E$810,"Win"),0))</f>
        <v>0</v>
      </c>
      <c r="Z529">
        <f>IF($D529="",0,1/(1+10^(($Y529-$U529)/400)))</f>
        <v>0</v>
      </c>
      <c r="AA529">
        <f>IF($D529="",0,IF($F529&lt;2,0,IF($E529="Win",('Guide &amp; Settings'!$C$42/(($F529-1)*COUNTIFS($A$4:$A$810,$A529,$E$4:$E$810,"Win")))*SUMIFS($Z$4:$Z$810,$A$4:$A$810,$A529,$E$4:$E$810,"Loss"),-('Guide &amp; Settings'!$C$42/($F529-1))*$Z529)))</f>
        <v>0</v>
      </c>
      <c r="AB529" s="125">
        <f>IF($D529="",0,$U529+$AA529)</f>
        <v>0</v>
      </c>
      <c r="AC529" s="125" t="str">
        <f>IF($D529="","",IF(SUMPRODUCT(MAX(($D$4:$D$810=$D529)*($B$4:$B$810&lt;$B529)*$B$4:$B$810))=0,0,MAX(($B529-MAX(SUMPRODUCT(MAX(($D$4:$D$810=$D529)*($B$4:$B$810&lt;$B529)*$B$4:$B$810)),'Guide &amp; Settings'!$C$50))/7-'Guide &amp; Settings'!$C$48,0)*'Guide &amp; Settings'!$C$49))</f>
      </c>
    </row>
    <row r="530" spans="1:29">
      <c r="A530" s="116"/>
      <c r="B530" s="117"/>
      <c r="C530" s="118"/>
      <c r="D530" s="118"/>
      <c r="E530" s="116"/>
      <c r="F530" s="119">
        <f>IF($D530="",0,COUNTIF($A$4:$A$810,$A530))</f>
        <v>0</v>
      </c>
      <c r="G530" s="120">
        <f>IF($D530="","",IFERROR(LOOKUP(2,1/(($A$4:$A$810=$A530)*($E$4:$E$810="Win")),$D$4:$D$810),"(no winner)"))</f>
        <v>0</v>
      </c>
      <c r="H530" s="121">
        <f>IF($D530="",0,IFERROR(LOOKUP(2,1/(($D$3:D529=$D530)*($A$3:A529&lt;$A530)),$N$3:N529),'Guide &amp; Settings'!$C$41))</f>
        <v>0</v>
      </c>
      <c r="I530" s="122">
        <f>IF($D530="",0,IF($S530=0,0,$R530/$S530))</f>
        <v>0</v>
      </c>
      <c r="J530" s="123">
        <f>IF($D530="",0,IF($F530&lt;2,0,IF($E530="Win",('Guide &amp; Settings'!$C$42/(($F530-1)*COUNTIFS($A$4:$A$810,$A530,$E$4:$E$810,"Win")))*SUMIFS($X$4:$X$810,$A$4:$A$810,$A530,$E$4:$E$810,"Loss"),-('Guide &amp; Settings'!$C$42/($F530-1))*$X530)))</f>
        <v>0</v>
      </c>
      <c r="K530" s="123">
        <f>IF($D530="",0,'Guide &amp; Settings'!$C$43*(IF($E530="Win",1,0)-$I530))</f>
        <v>0</v>
      </c>
      <c r="L530" s="124">
        <f>IF($D530="",0,'Guide &amp; Settings'!$C$44*IF($F530&gt;=3,$F530+IF($E530="Win",$F530,0),0))</f>
        <v>0</v>
      </c>
      <c r="M530" s="123">
        <f>IF($D530="",0,$J530+$K530+$L530)</f>
        <v>0</v>
      </c>
      <c r="N530" s="121">
        <f>IF($D530="",0,$H530+$M530)</f>
        <v>0</v>
      </c>
      <c r="O530" s="120" t="str">
        <f>IF($D530="","",IF(COUNTIFS($A$4:$A$810,$A530,$E$4:$E$810,"Win")=0,"need a winner",IF(COUNTIFS($A$4:$A$810,$A530,$E$4:$E$810,"Loss")=0,"need a loser",IF(COUNTIFS($A$4:$A$810,$A530,$D$4:$D$810,$D530)&gt;1,"duplicate player","OK"))))</f>
      </c>
      <c r="P530">
        <f>IF($D530="",0,IFERROR(SUMIFS($H$4:$H$810,$A$4:$A$810,$A530,$E$4:$E$810,"Win")/COUNTIFS($A$4:$A$810,$A530,$E$4:$E$810,"Win"),0))</f>
        <v>0</v>
      </c>
      <c r="Q530">
        <f>IF($D530="",0,1/(1+10^(($P530-$H530)/400)))</f>
        <v>0</v>
      </c>
      <c r="R530">
        <f>IF($D530="",0,(COUNTIFS($D$4:$D$810,$D530,$C$4:$C$810,$C530,$E$4:$E$810,"Win",$A$4:$A$810,"&lt;"&amp;$A530)+1)/(COUNTIFS($D$4:$D$810,$D530,$C$4:$C$810,$C530,$A$4:$A$810,"&lt;"&amp;$A530)+2))</f>
        <v>0</v>
      </c>
      <c r="S530">
        <f>IF($D530="",0,SUMIFS($R$4:$R$810,$A$4:$A$810,$A530))</f>
        <v>0</v>
      </c>
      <c r="T530" s="88">
        <f>IF($D530="",0,COUNTIFS($D$4:$D$810,$D530,$C$4:$C$810,$C530,$A$4:$A$810,"&lt;"&amp;$A530))</f>
        <v>0</v>
      </c>
      <c r="U530" s="125">
        <f>IF($D530="",0,IFERROR(LOOKUP(2,1/(($D$3:D529=$D530)*($C$3:C529=$C530)*($A$3:A529&lt;$A530)),$AB$3:AB529),1000))</f>
        <v>0</v>
      </c>
      <c r="V530" s="125">
        <f>IF($D530="",0,$U530*($T530/($T530+5))+$H530*(1-$T530/($T530+5)))</f>
        <v>0</v>
      </c>
      <c r="W530">
        <f>IF($D530="",0,IFERROR(SUMIFS($V$4:$V$810,$A$4:$A$810,$A530,$E$4:$E$810,"Win")/COUNTIFS($A$4:$A$810,$A530,$E$4:$E$810,"Win"),0))</f>
        <v>0</v>
      </c>
      <c r="X530">
        <f>IF($D530="",0,1/(1+10^(($W530-$V530)/400)))</f>
        <v>0</v>
      </c>
      <c r="Y530">
        <f>IF($D530="",0,IFERROR(SUMIFS($U$4:$U$810,$A$4:$A$810,$A530,$E$4:$E$810,"Win")/COUNTIFS($A$4:$A$810,$A530,$E$4:$E$810,"Win"),0))</f>
        <v>0</v>
      </c>
      <c r="Z530">
        <f>IF($D530="",0,1/(1+10^(($Y530-$U530)/400)))</f>
        <v>0</v>
      </c>
      <c r="AA530">
        <f>IF($D530="",0,IF($F530&lt;2,0,IF($E530="Win",('Guide &amp; Settings'!$C$42/(($F530-1)*COUNTIFS($A$4:$A$810,$A530,$E$4:$E$810,"Win")))*SUMIFS($Z$4:$Z$810,$A$4:$A$810,$A530,$E$4:$E$810,"Loss"),-('Guide &amp; Settings'!$C$42/($F530-1))*$Z530)))</f>
        <v>0</v>
      </c>
      <c r="AB530" s="125">
        <f>IF($D530="",0,$U530+$AA530)</f>
        <v>0</v>
      </c>
      <c r="AC530" s="125" t="str">
        <f>IF($D530="","",IF(SUMPRODUCT(MAX(($D$4:$D$810=$D530)*($B$4:$B$810&lt;$B530)*$B$4:$B$810))=0,0,MAX(($B530-MAX(SUMPRODUCT(MAX(($D$4:$D$810=$D530)*($B$4:$B$810&lt;$B530)*$B$4:$B$810)),'Guide &amp; Settings'!$C$50))/7-'Guide &amp; Settings'!$C$48,0)*'Guide &amp; Settings'!$C$49))</f>
      </c>
    </row>
    <row r="531" spans="1:29">
      <c r="A531" s="116"/>
      <c r="B531" s="117"/>
      <c r="C531" s="118"/>
      <c r="D531" s="118"/>
      <c r="E531" s="116"/>
      <c r="F531" s="119">
        <f>IF($D531="",0,COUNTIF($A$4:$A$810,$A531))</f>
        <v>0</v>
      </c>
      <c r="G531" s="120">
        <f>IF($D531="","",IFERROR(LOOKUP(2,1/(($A$4:$A$810=$A531)*($E$4:$E$810="Win")),$D$4:$D$810),"(no winner)"))</f>
        <v>0</v>
      </c>
      <c r="H531" s="121">
        <f>IF($D531="",0,IFERROR(LOOKUP(2,1/(($D$3:D530=$D531)*($A$3:A530&lt;$A531)),$N$3:N530),'Guide &amp; Settings'!$C$41))</f>
        <v>0</v>
      </c>
      <c r="I531" s="122">
        <f>IF($D531="",0,IF($S531=0,0,$R531/$S531))</f>
        <v>0</v>
      </c>
      <c r="J531" s="123">
        <f>IF($D531="",0,IF($F531&lt;2,0,IF($E531="Win",('Guide &amp; Settings'!$C$42/(($F531-1)*COUNTIFS($A$4:$A$810,$A531,$E$4:$E$810,"Win")))*SUMIFS($X$4:$X$810,$A$4:$A$810,$A531,$E$4:$E$810,"Loss"),-('Guide &amp; Settings'!$C$42/($F531-1))*$X531)))</f>
        <v>0</v>
      </c>
      <c r="K531" s="123">
        <f>IF($D531="",0,'Guide &amp; Settings'!$C$43*(IF($E531="Win",1,0)-$I531))</f>
        <v>0</v>
      </c>
      <c r="L531" s="124">
        <f>IF($D531="",0,'Guide &amp; Settings'!$C$44*IF($F531&gt;=3,$F531+IF($E531="Win",$F531,0),0))</f>
        <v>0</v>
      </c>
      <c r="M531" s="123">
        <f>IF($D531="",0,$J531+$K531+$L531)</f>
        <v>0</v>
      </c>
      <c r="N531" s="121">
        <f>IF($D531="",0,$H531+$M531)</f>
        <v>0</v>
      </c>
      <c r="O531" s="120" t="str">
        <f>IF($D531="","",IF(COUNTIFS($A$4:$A$810,$A531,$E$4:$E$810,"Win")=0,"need a winner",IF(COUNTIFS($A$4:$A$810,$A531,$E$4:$E$810,"Loss")=0,"need a loser",IF(COUNTIFS($A$4:$A$810,$A531,$D$4:$D$810,$D531)&gt;1,"duplicate player","OK"))))</f>
      </c>
      <c r="P531">
        <f>IF($D531="",0,IFERROR(SUMIFS($H$4:$H$810,$A$4:$A$810,$A531,$E$4:$E$810,"Win")/COUNTIFS($A$4:$A$810,$A531,$E$4:$E$810,"Win"),0))</f>
        <v>0</v>
      </c>
      <c r="Q531">
        <f>IF($D531="",0,1/(1+10^(($P531-$H531)/400)))</f>
        <v>0</v>
      </c>
      <c r="R531">
        <f>IF($D531="",0,(COUNTIFS($D$4:$D$810,$D531,$C$4:$C$810,$C531,$E$4:$E$810,"Win",$A$4:$A$810,"&lt;"&amp;$A531)+1)/(COUNTIFS($D$4:$D$810,$D531,$C$4:$C$810,$C531,$A$4:$A$810,"&lt;"&amp;$A531)+2))</f>
        <v>0</v>
      </c>
      <c r="S531">
        <f>IF($D531="",0,SUMIFS($R$4:$R$810,$A$4:$A$810,$A531))</f>
        <v>0</v>
      </c>
      <c r="T531" s="88">
        <f>IF($D531="",0,COUNTIFS($D$4:$D$810,$D531,$C$4:$C$810,$C531,$A$4:$A$810,"&lt;"&amp;$A531))</f>
        <v>0</v>
      </c>
      <c r="U531" s="125">
        <f>IF($D531="",0,IFERROR(LOOKUP(2,1/(($D$3:D530=$D531)*($C$3:C530=$C531)*($A$3:A530&lt;$A531)),$AB$3:AB530),1000))</f>
        <v>0</v>
      </c>
      <c r="V531" s="125">
        <f>IF($D531="",0,$U531*($T531/($T531+5))+$H531*(1-$T531/($T531+5)))</f>
        <v>0</v>
      </c>
      <c r="W531">
        <f>IF($D531="",0,IFERROR(SUMIFS($V$4:$V$810,$A$4:$A$810,$A531,$E$4:$E$810,"Win")/COUNTIFS($A$4:$A$810,$A531,$E$4:$E$810,"Win"),0))</f>
        <v>0</v>
      </c>
      <c r="X531">
        <f>IF($D531="",0,1/(1+10^(($W531-$V531)/400)))</f>
        <v>0</v>
      </c>
      <c r="Y531">
        <f>IF($D531="",0,IFERROR(SUMIFS($U$4:$U$810,$A$4:$A$810,$A531,$E$4:$E$810,"Win")/COUNTIFS($A$4:$A$810,$A531,$E$4:$E$810,"Win"),0))</f>
        <v>0</v>
      </c>
      <c r="Z531">
        <f>IF($D531="",0,1/(1+10^(($Y531-$U531)/400)))</f>
        <v>0</v>
      </c>
      <c r="AA531">
        <f>IF($D531="",0,IF($F531&lt;2,0,IF($E531="Win",('Guide &amp; Settings'!$C$42/(($F531-1)*COUNTIFS($A$4:$A$810,$A531,$E$4:$E$810,"Win")))*SUMIFS($Z$4:$Z$810,$A$4:$A$810,$A531,$E$4:$E$810,"Loss"),-('Guide &amp; Settings'!$C$42/($F531-1))*$Z531)))</f>
        <v>0</v>
      </c>
      <c r="AB531" s="125">
        <f>IF($D531="",0,$U531+$AA531)</f>
        <v>0</v>
      </c>
      <c r="AC531" s="125" t="str">
        <f>IF($D531="","",IF(SUMPRODUCT(MAX(($D$4:$D$810=$D531)*($B$4:$B$810&lt;$B531)*$B$4:$B$810))=0,0,MAX(($B531-MAX(SUMPRODUCT(MAX(($D$4:$D$810=$D531)*($B$4:$B$810&lt;$B531)*$B$4:$B$810)),'Guide &amp; Settings'!$C$50))/7-'Guide &amp; Settings'!$C$48,0)*'Guide &amp; Settings'!$C$49))</f>
      </c>
    </row>
    <row r="532" spans="1:29">
      <c r="A532" s="116"/>
      <c r="B532" s="117"/>
      <c r="C532" s="118"/>
      <c r="D532" s="118"/>
      <c r="E532" s="116"/>
      <c r="F532" s="119">
        <f>IF($D532="",0,COUNTIF($A$4:$A$810,$A532))</f>
        <v>0</v>
      </c>
      <c r="G532" s="120">
        <f>IF($D532="","",IFERROR(LOOKUP(2,1/(($A$4:$A$810=$A532)*($E$4:$E$810="Win")),$D$4:$D$810),"(no winner)"))</f>
        <v>0</v>
      </c>
      <c r="H532" s="121">
        <f>IF($D532="",0,IFERROR(LOOKUP(2,1/(($D$3:D531=$D532)*($A$3:A531&lt;$A532)),$N$3:N531),'Guide &amp; Settings'!$C$41))</f>
        <v>0</v>
      </c>
      <c r="I532" s="122">
        <f>IF($D532="",0,IF($S532=0,0,$R532/$S532))</f>
        <v>0</v>
      </c>
      <c r="J532" s="123">
        <f>IF($D532="",0,IF($F532&lt;2,0,IF($E532="Win",('Guide &amp; Settings'!$C$42/(($F532-1)*COUNTIFS($A$4:$A$810,$A532,$E$4:$E$810,"Win")))*SUMIFS($X$4:$X$810,$A$4:$A$810,$A532,$E$4:$E$810,"Loss"),-('Guide &amp; Settings'!$C$42/($F532-1))*$X532)))</f>
        <v>0</v>
      </c>
      <c r="K532" s="123">
        <f>IF($D532="",0,'Guide &amp; Settings'!$C$43*(IF($E532="Win",1,0)-$I532))</f>
        <v>0</v>
      </c>
      <c r="L532" s="124">
        <f>IF($D532="",0,'Guide &amp; Settings'!$C$44*IF($F532&gt;=3,$F532+IF($E532="Win",$F532,0),0))</f>
        <v>0</v>
      </c>
      <c r="M532" s="123">
        <f>IF($D532="",0,$J532+$K532+$L532)</f>
        <v>0</v>
      </c>
      <c r="N532" s="121">
        <f>IF($D532="",0,$H532+$M532)</f>
        <v>0</v>
      </c>
      <c r="O532" s="120" t="str">
        <f>IF($D532="","",IF(COUNTIFS($A$4:$A$810,$A532,$E$4:$E$810,"Win")=0,"need a winner",IF(COUNTIFS($A$4:$A$810,$A532,$E$4:$E$810,"Loss")=0,"need a loser",IF(COUNTIFS($A$4:$A$810,$A532,$D$4:$D$810,$D532)&gt;1,"duplicate player","OK"))))</f>
      </c>
      <c r="P532">
        <f>IF($D532="",0,IFERROR(SUMIFS($H$4:$H$810,$A$4:$A$810,$A532,$E$4:$E$810,"Win")/COUNTIFS($A$4:$A$810,$A532,$E$4:$E$810,"Win"),0))</f>
        <v>0</v>
      </c>
      <c r="Q532">
        <f>IF($D532="",0,1/(1+10^(($P532-$H532)/400)))</f>
        <v>0</v>
      </c>
      <c r="R532">
        <f>IF($D532="",0,(COUNTIFS($D$4:$D$810,$D532,$C$4:$C$810,$C532,$E$4:$E$810,"Win",$A$4:$A$810,"&lt;"&amp;$A532)+1)/(COUNTIFS($D$4:$D$810,$D532,$C$4:$C$810,$C532,$A$4:$A$810,"&lt;"&amp;$A532)+2))</f>
        <v>0</v>
      </c>
      <c r="S532">
        <f>IF($D532="",0,SUMIFS($R$4:$R$810,$A$4:$A$810,$A532))</f>
        <v>0</v>
      </c>
      <c r="T532" s="88">
        <f>IF($D532="",0,COUNTIFS($D$4:$D$810,$D532,$C$4:$C$810,$C532,$A$4:$A$810,"&lt;"&amp;$A532))</f>
        <v>0</v>
      </c>
      <c r="U532" s="125">
        <f>IF($D532="",0,IFERROR(LOOKUP(2,1/(($D$3:D531=$D532)*($C$3:C531=$C532)*($A$3:A531&lt;$A532)),$AB$3:AB531),1000))</f>
        <v>0</v>
      </c>
      <c r="V532" s="125">
        <f>IF($D532="",0,$U532*($T532/($T532+5))+$H532*(1-$T532/($T532+5)))</f>
        <v>0</v>
      </c>
      <c r="W532">
        <f>IF($D532="",0,IFERROR(SUMIFS($V$4:$V$810,$A$4:$A$810,$A532,$E$4:$E$810,"Win")/COUNTIFS($A$4:$A$810,$A532,$E$4:$E$810,"Win"),0))</f>
        <v>0</v>
      </c>
      <c r="X532">
        <f>IF($D532="",0,1/(1+10^(($W532-$V532)/400)))</f>
        <v>0</v>
      </c>
      <c r="Y532">
        <f>IF($D532="",0,IFERROR(SUMIFS($U$4:$U$810,$A$4:$A$810,$A532,$E$4:$E$810,"Win")/COUNTIFS($A$4:$A$810,$A532,$E$4:$E$810,"Win"),0))</f>
        <v>0</v>
      </c>
      <c r="Z532">
        <f>IF($D532="",0,1/(1+10^(($Y532-$U532)/400)))</f>
        <v>0</v>
      </c>
      <c r="AA532">
        <f>IF($D532="",0,IF($F532&lt;2,0,IF($E532="Win",('Guide &amp; Settings'!$C$42/(($F532-1)*COUNTIFS($A$4:$A$810,$A532,$E$4:$E$810,"Win")))*SUMIFS($Z$4:$Z$810,$A$4:$A$810,$A532,$E$4:$E$810,"Loss"),-('Guide &amp; Settings'!$C$42/($F532-1))*$Z532)))</f>
        <v>0</v>
      </c>
      <c r="AB532" s="125">
        <f>IF($D532="",0,$U532+$AA532)</f>
        <v>0</v>
      </c>
      <c r="AC532" s="125" t="str">
        <f>IF($D532="","",IF(SUMPRODUCT(MAX(($D$4:$D$810=$D532)*($B$4:$B$810&lt;$B532)*$B$4:$B$810))=0,0,MAX(($B532-MAX(SUMPRODUCT(MAX(($D$4:$D$810=$D532)*($B$4:$B$810&lt;$B532)*$B$4:$B$810)),'Guide &amp; Settings'!$C$50))/7-'Guide &amp; Settings'!$C$48,0)*'Guide &amp; Settings'!$C$49))</f>
      </c>
    </row>
    <row r="533" spans="1:29">
      <c r="A533" s="116"/>
      <c r="B533" s="117"/>
      <c r="C533" s="118"/>
      <c r="D533" s="118"/>
      <c r="E533" s="116"/>
      <c r="F533" s="119">
        <f>IF($D533="",0,COUNTIF($A$4:$A$810,$A533))</f>
        <v>0</v>
      </c>
      <c r="G533" s="120">
        <f>IF($D533="","",IFERROR(LOOKUP(2,1/(($A$4:$A$810=$A533)*($E$4:$E$810="Win")),$D$4:$D$810),"(no winner)"))</f>
        <v>0</v>
      </c>
      <c r="H533" s="121">
        <f>IF($D533="",0,IFERROR(LOOKUP(2,1/(($D$3:D532=$D533)*($A$3:A532&lt;$A533)),$N$3:N532),'Guide &amp; Settings'!$C$41))</f>
        <v>0</v>
      </c>
      <c r="I533" s="122">
        <f>IF($D533="",0,IF($S533=0,0,$R533/$S533))</f>
        <v>0</v>
      </c>
      <c r="J533" s="123">
        <f>IF($D533="",0,IF($F533&lt;2,0,IF($E533="Win",('Guide &amp; Settings'!$C$42/(($F533-1)*COUNTIFS($A$4:$A$810,$A533,$E$4:$E$810,"Win")))*SUMIFS($X$4:$X$810,$A$4:$A$810,$A533,$E$4:$E$810,"Loss"),-('Guide &amp; Settings'!$C$42/($F533-1))*$X533)))</f>
        <v>0</v>
      </c>
      <c r="K533" s="123">
        <f>IF($D533="",0,'Guide &amp; Settings'!$C$43*(IF($E533="Win",1,0)-$I533))</f>
        <v>0</v>
      </c>
      <c r="L533" s="124">
        <f>IF($D533="",0,'Guide &amp; Settings'!$C$44*IF($F533&gt;=3,$F533+IF($E533="Win",$F533,0),0))</f>
        <v>0</v>
      </c>
      <c r="M533" s="123">
        <f>IF($D533="",0,$J533+$K533+$L533)</f>
        <v>0</v>
      </c>
      <c r="N533" s="121">
        <f>IF($D533="",0,$H533+$M533)</f>
        <v>0</v>
      </c>
      <c r="O533" s="120" t="str">
        <f>IF($D533="","",IF(COUNTIFS($A$4:$A$810,$A533,$E$4:$E$810,"Win")=0,"need a winner",IF(COUNTIFS($A$4:$A$810,$A533,$E$4:$E$810,"Loss")=0,"need a loser",IF(COUNTIFS($A$4:$A$810,$A533,$D$4:$D$810,$D533)&gt;1,"duplicate player","OK"))))</f>
      </c>
      <c r="P533">
        <f>IF($D533="",0,IFERROR(SUMIFS($H$4:$H$810,$A$4:$A$810,$A533,$E$4:$E$810,"Win")/COUNTIFS($A$4:$A$810,$A533,$E$4:$E$810,"Win"),0))</f>
        <v>0</v>
      </c>
      <c r="Q533">
        <f>IF($D533="",0,1/(1+10^(($P533-$H533)/400)))</f>
        <v>0</v>
      </c>
      <c r="R533">
        <f>IF($D533="",0,(COUNTIFS($D$4:$D$810,$D533,$C$4:$C$810,$C533,$E$4:$E$810,"Win",$A$4:$A$810,"&lt;"&amp;$A533)+1)/(COUNTIFS($D$4:$D$810,$D533,$C$4:$C$810,$C533,$A$4:$A$810,"&lt;"&amp;$A533)+2))</f>
        <v>0</v>
      </c>
      <c r="S533">
        <f>IF($D533="",0,SUMIFS($R$4:$R$810,$A$4:$A$810,$A533))</f>
        <v>0</v>
      </c>
      <c r="T533" s="88">
        <f>IF($D533="",0,COUNTIFS($D$4:$D$810,$D533,$C$4:$C$810,$C533,$A$4:$A$810,"&lt;"&amp;$A533))</f>
        <v>0</v>
      </c>
      <c r="U533" s="125">
        <f>IF($D533="",0,IFERROR(LOOKUP(2,1/(($D$3:D532=$D533)*($C$3:C532=$C533)*($A$3:A532&lt;$A533)),$AB$3:AB532),1000))</f>
        <v>0</v>
      </c>
      <c r="V533" s="125">
        <f>IF($D533="",0,$U533*($T533/($T533+5))+$H533*(1-$T533/($T533+5)))</f>
        <v>0</v>
      </c>
      <c r="W533">
        <f>IF($D533="",0,IFERROR(SUMIFS($V$4:$V$810,$A$4:$A$810,$A533,$E$4:$E$810,"Win")/COUNTIFS($A$4:$A$810,$A533,$E$4:$E$810,"Win"),0))</f>
        <v>0</v>
      </c>
      <c r="X533">
        <f>IF($D533="",0,1/(1+10^(($W533-$V533)/400)))</f>
        <v>0</v>
      </c>
      <c r="Y533">
        <f>IF($D533="",0,IFERROR(SUMIFS($U$4:$U$810,$A$4:$A$810,$A533,$E$4:$E$810,"Win")/COUNTIFS($A$4:$A$810,$A533,$E$4:$E$810,"Win"),0))</f>
        <v>0</v>
      </c>
      <c r="Z533">
        <f>IF($D533="",0,1/(1+10^(($Y533-$U533)/400)))</f>
        <v>0</v>
      </c>
      <c r="AA533">
        <f>IF($D533="",0,IF($F533&lt;2,0,IF($E533="Win",('Guide &amp; Settings'!$C$42/(($F533-1)*COUNTIFS($A$4:$A$810,$A533,$E$4:$E$810,"Win")))*SUMIFS($Z$4:$Z$810,$A$4:$A$810,$A533,$E$4:$E$810,"Loss"),-('Guide &amp; Settings'!$C$42/($F533-1))*$Z533)))</f>
        <v>0</v>
      </c>
      <c r="AB533" s="125">
        <f>IF($D533="",0,$U533+$AA533)</f>
        <v>0</v>
      </c>
      <c r="AC533" s="125" t="str">
        <f>IF($D533="","",IF(SUMPRODUCT(MAX(($D$4:$D$810=$D533)*($B$4:$B$810&lt;$B533)*$B$4:$B$810))=0,0,MAX(($B533-MAX(SUMPRODUCT(MAX(($D$4:$D$810=$D533)*($B$4:$B$810&lt;$B533)*$B$4:$B$810)),'Guide &amp; Settings'!$C$50))/7-'Guide &amp; Settings'!$C$48,0)*'Guide &amp; Settings'!$C$49))</f>
      </c>
    </row>
    <row r="534" spans="1:29">
      <c r="A534" s="116"/>
      <c r="B534" s="117"/>
      <c r="C534" s="118"/>
      <c r="D534" s="118"/>
      <c r="E534" s="116"/>
      <c r="F534" s="119">
        <f>IF($D534="",0,COUNTIF($A$4:$A$810,$A534))</f>
        <v>0</v>
      </c>
      <c r="G534" s="120">
        <f>IF($D534="","",IFERROR(LOOKUP(2,1/(($A$4:$A$810=$A534)*($E$4:$E$810="Win")),$D$4:$D$810),"(no winner)"))</f>
        <v>0</v>
      </c>
      <c r="H534" s="121">
        <f>IF($D534="",0,IFERROR(LOOKUP(2,1/(($D$3:D533=$D534)*($A$3:A533&lt;$A534)),$N$3:N533),'Guide &amp; Settings'!$C$41))</f>
        <v>0</v>
      </c>
      <c r="I534" s="122">
        <f>IF($D534="",0,IF($S534=0,0,$R534/$S534))</f>
        <v>0</v>
      </c>
      <c r="J534" s="123">
        <f>IF($D534="",0,IF($F534&lt;2,0,IF($E534="Win",('Guide &amp; Settings'!$C$42/(($F534-1)*COUNTIFS($A$4:$A$810,$A534,$E$4:$E$810,"Win")))*SUMIFS($X$4:$X$810,$A$4:$A$810,$A534,$E$4:$E$810,"Loss"),-('Guide &amp; Settings'!$C$42/($F534-1))*$X534)))</f>
        <v>0</v>
      </c>
      <c r="K534" s="123">
        <f>IF($D534="",0,'Guide &amp; Settings'!$C$43*(IF($E534="Win",1,0)-$I534))</f>
        <v>0</v>
      </c>
      <c r="L534" s="124">
        <f>IF($D534="",0,'Guide &amp; Settings'!$C$44*IF($F534&gt;=3,$F534+IF($E534="Win",$F534,0),0))</f>
        <v>0</v>
      </c>
      <c r="M534" s="123">
        <f>IF($D534="",0,$J534+$K534+$L534)</f>
        <v>0</v>
      </c>
      <c r="N534" s="121">
        <f>IF($D534="",0,$H534+$M534)</f>
        <v>0</v>
      </c>
      <c r="O534" s="120" t="str">
        <f>IF($D534="","",IF(COUNTIFS($A$4:$A$810,$A534,$E$4:$E$810,"Win")=0,"need a winner",IF(COUNTIFS($A$4:$A$810,$A534,$E$4:$E$810,"Loss")=0,"need a loser",IF(COUNTIFS($A$4:$A$810,$A534,$D$4:$D$810,$D534)&gt;1,"duplicate player","OK"))))</f>
      </c>
      <c r="P534">
        <f>IF($D534="",0,IFERROR(SUMIFS($H$4:$H$810,$A$4:$A$810,$A534,$E$4:$E$810,"Win")/COUNTIFS($A$4:$A$810,$A534,$E$4:$E$810,"Win"),0))</f>
        <v>0</v>
      </c>
      <c r="Q534">
        <f>IF($D534="",0,1/(1+10^(($P534-$H534)/400)))</f>
        <v>0</v>
      </c>
      <c r="R534">
        <f>IF($D534="",0,(COUNTIFS($D$4:$D$810,$D534,$C$4:$C$810,$C534,$E$4:$E$810,"Win",$A$4:$A$810,"&lt;"&amp;$A534)+1)/(COUNTIFS($D$4:$D$810,$D534,$C$4:$C$810,$C534,$A$4:$A$810,"&lt;"&amp;$A534)+2))</f>
        <v>0</v>
      </c>
      <c r="S534">
        <f>IF($D534="",0,SUMIFS($R$4:$R$810,$A$4:$A$810,$A534))</f>
        <v>0</v>
      </c>
      <c r="T534" s="88">
        <f>IF($D534="",0,COUNTIFS($D$4:$D$810,$D534,$C$4:$C$810,$C534,$A$4:$A$810,"&lt;"&amp;$A534))</f>
        <v>0</v>
      </c>
      <c r="U534" s="125">
        <f>IF($D534="",0,IFERROR(LOOKUP(2,1/(($D$3:D533=$D534)*($C$3:C533=$C534)*($A$3:A533&lt;$A534)),$AB$3:AB533),1000))</f>
        <v>0</v>
      </c>
      <c r="V534" s="125">
        <f>IF($D534="",0,$U534*($T534/($T534+5))+$H534*(1-$T534/($T534+5)))</f>
        <v>0</v>
      </c>
      <c r="W534">
        <f>IF($D534="",0,IFERROR(SUMIFS($V$4:$V$810,$A$4:$A$810,$A534,$E$4:$E$810,"Win")/COUNTIFS($A$4:$A$810,$A534,$E$4:$E$810,"Win"),0))</f>
        <v>0</v>
      </c>
      <c r="X534">
        <f>IF($D534="",0,1/(1+10^(($W534-$V534)/400)))</f>
        <v>0</v>
      </c>
      <c r="Y534">
        <f>IF($D534="",0,IFERROR(SUMIFS($U$4:$U$810,$A$4:$A$810,$A534,$E$4:$E$810,"Win")/COUNTIFS($A$4:$A$810,$A534,$E$4:$E$810,"Win"),0))</f>
        <v>0</v>
      </c>
      <c r="Z534">
        <f>IF($D534="",0,1/(1+10^(($Y534-$U534)/400)))</f>
        <v>0</v>
      </c>
      <c r="AA534">
        <f>IF($D534="",0,IF($F534&lt;2,0,IF($E534="Win",('Guide &amp; Settings'!$C$42/(($F534-1)*COUNTIFS($A$4:$A$810,$A534,$E$4:$E$810,"Win")))*SUMIFS($Z$4:$Z$810,$A$4:$A$810,$A534,$E$4:$E$810,"Loss"),-('Guide &amp; Settings'!$C$42/($F534-1))*$Z534)))</f>
        <v>0</v>
      </c>
      <c r="AB534" s="125">
        <f>IF($D534="",0,$U534+$AA534)</f>
        <v>0</v>
      </c>
      <c r="AC534" s="125" t="str">
        <f>IF($D534="","",IF(SUMPRODUCT(MAX(($D$4:$D$810=$D534)*($B$4:$B$810&lt;$B534)*$B$4:$B$810))=0,0,MAX(($B534-MAX(SUMPRODUCT(MAX(($D$4:$D$810=$D534)*($B$4:$B$810&lt;$B534)*$B$4:$B$810)),'Guide &amp; Settings'!$C$50))/7-'Guide &amp; Settings'!$C$48,0)*'Guide &amp; Settings'!$C$49))</f>
      </c>
    </row>
    <row r="535" spans="1:29">
      <c r="A535" s="116"/>
      <c r="B535" s="117"/>
      <c r="C535" s="118"/>
      <c r="D535" s="118"/>
      <c r="E535" s="116"/>
      <c r="F535" s="119">
        <f>IF($D535="",0,COUNTIF($A$4:$A$810,$A535))</f>
        <v>0</v>
      </c>
      <c r="G535" s="120">
        <f>IF($D535="","",IFERROR(LOOKUP(2,1/(($A$4:$A$810=$A535)*($E$4:$E$810="Win")),$D$4:$D$810),"(no winner)"))</f>
        <v>0</v>
      </c>
      <c r="H535" s="121">
        <f>IF($D535="",0,IFERROR(LOOKUP(2,1/(($D$3:D534=$D535)*($A$3:A534&lt;$A535)),$N$3:N534),'Guide &amp; Settings'!$C$41))</f>
        <v>0</v>
      </c>
      <c r="I535" s="122">
        <f>IF($D535="",0,IF($S535=0,0,$R535/$S535))</f>
        <v>0</v>
      </c>
      <c r="J535" s="123">
        <f>IF($D535="",0,IF($F535&lt;2,0,IF($E535="Win",('Guide &amp; Settings'!$C$42/(($F535-1)*COUNTIFS($A$4:$A$810,$A535,$E$4:$E$810,"Win")))*SUMIFS($X$4:$X$810,$A$4:$A$810,$A535,$E$4:$E$810,"Loss"),-('Guide &amp; Settings'!$C$42/($F535-1))*$X535)))</f>
        <v>0</v>
      </c>
      <c r="K535" s="123">
        <f>IF($D535="",0,'Guide &amp; Settings'!$C$43*(IF($E535="Win",1,0)-$I535))</f>
        <v>0</v>
      </c>
      <c r="L535" s="124">
        <f>IF($D535="",0,'Guide &amp; Settings'!$C$44*IF($F535&gt;=3,$F535+IF($E535="Win",$F535,0),0))</f>
        <v>0</v>
      </c>
      <c r="M535" s="123">
        <f>IF($D535="",0,$J535+$K535+$L535)</f>
        <v>0</v>
      </c>
      <c r="N535" s="121">
        <f>IF($D535="",0,$H535+$M535)</f>
        <v>0</v>
      </c>
      <c r="O535" s="120" t="str">
        <f>IF($D535="","",IF(COUNTIFS($A$4:$A$810,$A535,$E$4:$E$810,"Win")=0,"need a winner",IF(COUNTIFS($A$4:$A$810,$A535,$E$4:$E$810,"Loss")=0,"need a loser",IF(COUNTIFS($A$4:$A$810,$A535,$D$4:$D$810,$D535)&gt;1,"duplicate player","OK"))))</f>
      </c>
      <c r="P535">
        <f>IF($D535="",0,IFERROR(SUMIFS($H$4:$H$810,$A$4:$A$810,$A535,$E$4:$E$810,"Win")/COUNTIFS($A$4:$A$810,$A535,$E$4:$E$810,"Win"),0))</f>
        <v>0</v>
      </c>
      <c r="Q535">
        <f>IF($D535="",0,1/(1+10^(($P535-$H535)/400)))</f>
        <v>0</v>
      </c>
      <c r="R535">
        <f>IF($D535="",0,(COUNTIFS($D$4:$D$810,$D535,$C$4:$C$810,$C535,$E$4:$E$810,"Win",$A$4:$A$810,"&lt;"&amp;$A535)+1)/(COUNTIFS($D$4:$D$810,$D535,$C$4:$C$810,$C535,$A$4:$A$810,"&lt;"&amp;$A535)+2))</f>
        <v>0</v>
      </c>
      <c r="S535">
        <f>IF($D535="",0,SUMIFS($R$4:$R$810,$A$4:$A$810,$A535))</f>
        <v>0</v>
      </c>
      <c r="T535" s="88">
        <f>IF($D535="",0,COUNTIFS($D$4:$D$810,$D535,$C$4:$C$810,$C535,$A$4:$A$810,"&lt;"&amp;$A535))</f>
        <v>0</v>
      </c>
      <c r="U535" s="125">
        <f>IF($D535="",0,IFERROR(LOOKUP(2,1/(($D$3:D534=$D535)*($C$3:C534=$C535)*($A$3:A534&lt;$A535)),$AB$3:AB534),1000))</f>
        <v>0</v>
      </c>
      <c r="V535" s="125">
        <f>IF($D535="",0,$U535*($T535/($T535+5))+$H535*(1-$T535/($T535+5)))</f>
        <v>0</v>
      </c>
      <c r="W535">
        <f>IF($D535="",0,IFERROR(SUMIFS($V$4:$V$810,$A$4:$A$810,$A535,$E$4:$E$810,"Win")/COUNTIFS($A$4:$A$810,$A535,$E$4:$E$810,"Win"),0))</f>
        <v>0</v>
      </c>
      <c r="X535">
        <f>IF($D535="",0,1/(1+10^(($W535-$V535)/400)))</f>
        <v>0</v>
      </c>
      <c r="Y535">
        <f>IF($D535="",0,IFERROR(SUMIFS($U$4:$U$810,$A$4:$A$810,$A535,$E$4:$E$810,"Win")/COUNTIFS($A$4:$A$810,$A535,$E$4:$E$810,"Win"),0))</f>
        <v>0</v>
      </c>
      <c r="Z535">
        <f>IF($D535="",0,1/(1+10^(($Y535-$U535)/400)))</f>
        <v>0</v>
      </c>
      <c r="AA535">
        <f>IF($D535="",0,IF($F535&lt;2,0,IF($E535="Win",('Guide &amp; Settings'!$C$42/(($F535-1)*COUNTIFS($A$4:$A$810,$A535,$E$4:$E$810,"Win")))*SUMIFS($Z$4:$Z$810,$A$4:$A$810,$A535,$E$4:$E$810,"Loss"),-('Guide &amp; Settings'!$C$42/($F535-1))*$Z535)))</f>
        <v>0</v>
      </c>
      <c r="AB535" s="125">
        <f>IF($D535="",0,$U535+$AA535)</f>
        <v>0</v>
      </c>
      <c r="AC535" s="125" t="str">
        <f>IF($D535="","",IF(SUMPRODUCT(MAX(($D$4:$D$810=$D535)*($B$4:$B$810&lt;$B535)*$B$4:$B$810))=0,0,MAX(($B535-MAX(SUMPRODUCT(MAX(($D$4:$D$810=$D535)*($B$4:$B$810&lt;$B535)*$B$4:$B$810)),'Guide &amp; Settings'!$C$50))/7-'Guide &amp; Settings'!$C$48,0)*'Guide &amp; Settings'!$C$49))</f>
      </c>
    </row>
    <row r="536" spans="1:29">
      <c r="A536" s="116"/>
      <c r="B536" s="117"/>
      <c r="C536" s="118"/>
      <c r="D536" s="118"/>
      <c r="E536" s="116"/>
      <c r="F536" s="119">
        <f>IF($D536="",0,COUNTIF($A$4:$A$810,$A536))</f>
        <v>0</v>
      </c>
      <c r="G536" s="120">
        <f>IF($D536="","",IFERROR(LOOKUP(2,1/(($A$4:$A$810=$A536)*($E$4:$E$810="Win")),$D$4:$D$810),"(no winner)"))</f>
        <v>0</v>
      </c>
      <c r="H536" s="121">
        <f>IF($D536="",0,IFERROR(LOOKUP(2,1/(($D$3:D535=$D536)*($A$3:A535&lt;$A536)),$N$3:N535),'Guide &amp; Settings'!$C$41))</f>
        <v>0</v>
      </c>
      <c r="I536" s="122">
        <f>IF($D536="",0,IF($S536=0,0,$R536/$S536))</f>
        <v>0</v>
      </c>
      <c r="J536" s="123">
        <f>IF($D536="",0,IF($F536&lt;2,0,IF($E536="Win",('Guide &amp; Settings'!$C$42/(($F536-1)*COUNTIFS($A$4:$A$810,$A536,$E$4:$E$810,"Win")))*SUMIFS($X$4:$X$810,$A$4:$A$810,$A536,$E$4:$E$810,"Loss"),-('Guide &amp; Settings'!$C$42/($F536-1))*$X536)))</f>
        <v>0</v>
      </c>
      <c r="K536" s="123">
        <f>IF($D536="",0,'Guide &amp; Settings'!$C$43*(IF($E536="Win",1,0)-$I536))</f>
        <v>0</v>
      </c>
      <c r="L536" s="124">
        <f>IF($D536="",0,'Guide &amp; Settings'!$C$44*IF($F536&gt;=3,$F536+IF($E536="Win",$F536,0),0))</f>
        <v>0</v>
      </c>
      <c r="M536" s="123">
        <f>IF($D536="",0,$J536+$K536+$L536)</f>
        <v>0</v>
      </c>
      <c r="N536" s="121">
        <f>IF($D536="",0,$H536+$M536)</f>
        <v>0</v>
      </c>
      <c r="O536" s="120" t="str">
        <f>IF($D536="","",IF(COUNTIFS($A$4:$A$810,$A536,$E$4:$E$810,"Win")=0,"need a winner",IF(COUNTIFS($A$4:$A$810,$A536,$E$4:$E$810,"Loss")=0,"need a loser",IF(COUNTIFS($A$4:$A$810,$A536,$D$4:$D$810,$D536)&gt;1,"duplicate player","OK"))))</f>
      </c>
      <c r="P536">
        <f>IF($D536="",0,IFERROR(SUMIFS($H$4:$H$810,$A$4:$A$810,$A536,$E$4:$E$810,"Win")/COUNTIFS($A$4:$A$810,$A536,$E$4:$E$810,"Win"),0))</f>
        <v>0</v>
      </c>
      <c r="Q536">
        <f>IF($D536="",0,1/(1+10^(($P536-$H536)/400)))</f>
        <v>0</v>
      </c>
      <c r="R536">
        <f>IF($D536="",0,(COUNTIFS($D$4:$D$810,$D536,$C$4:$C$810,$C536,$E$4:$E$810,"Win",$A$4:$A$810,"&lt;"&amp;$A536)+1)/(COUNTIFS($D$4:$D$810,$D536,$C$4:$C$810,$C536,$A$4:$A$810,"&lt;"&amp;$A536)+2))</f>
        <v>0</v>
      </c>
      <c r="S536">
        <f>IF($D536="",0,SUMIFS($R$4:$R$810,$A$4:$A$810,$A536))</f>
        <v>0</v>
      </c>
      <c r="T536" s="88">
        <f>IF($D536="",0,COUNTIFS($D$4:$D$810,$D536,$C$4:$C$810,$C536,$A$4:$A$810,"&lt;"&amp;$A536))</f>
        <v>0</v>
      </c>
      <c r="U536" s="125">
        <f>IF($D536="",0,IFERROR(LOOKUP(2,1/(($D$3:D535=$D536)*($C$3:C535=$C536)*($A$3:A535&lt;$A536)),$AB$3:AB535),1000))</f>
        <v>0</v>
      </c>
      <c r="V536" s="125">
        <f>IF($D536="",0,$U536*($T536/($T536+5))+$H536*(1-$T536/($T536+5)))</f>
        <v>0</v>
      </c>
      <c r="W536">
        <f>IF($D536="",0,IFERROR(SUMIFS($V$4:$V$810,$A$4:$A$810,$A536,$E$4:$E$810,"Win")/COUNTIFS($A$4:$A$810,$A536,$E$4:$E$810,"Win"),0))</f>
        <v>0</v>
      </c>
      <c r="X536">
        <f>IF($D536="",0,1/(1+10^(($W536-$V536)/400)))</f>
        <v>0</v>
      </c>
      <c r="Y536">
        <f>IF($D536="",0,IFERROR(SUMIFS($U$4:$U$810,$A$4:$A$810,$A536,$E$4:$E$810,"Win")/COUNTIFS($A$4:$A$810,$A536,$E$4:$E$810,"Win"),0))</f>
        <v>0</v>
      </c>
      <c r="Z536">
        <f>IF($D536="",0,1/(1+10^(($Y536-$U536)/400)))</f>
        <v>0</v>
      </c>
      <c r="AA536">
        <f>IF($D536="",0,IF($F536&lt;2,0,IF($E536="Win",('Guide &amp; Settings'!$C$42/(($F536-1)*COUNTIFS($A$4:$A$810,$A536,$E$4:$E$810,"Win")))*SUMIFS($Z$4:$Z$810,$A$4:$A$810,$A536,$E$4:$E$810,"Loss"),-('Guide &amp; Settings'!$C$42/($F536-1))*$Z536)))</f>
        <v>0</v>
      </c>
      <c r="AB536" s="125">
        <f>IF($D536="",0,$U536+$AA536)</f>
        <v>0</v>
      </c>
      <c r="AC536" s="125" t="str">
        <f>IF($D536="","",IF(SUMPRODUCT(MAX(($D$4:$D$810=$D536)*($B$4:$B$810&lt;$B536)*$B$4:$B$810))=0,0,MAX(($B536-MAX(SUMPRODUCT(MAX(($D$4:$D$810=$D536)*($B$4:$B$810&lt;$B536)*$B$4:$B$810)),'Guide &amp; Settings'!$C$50))/7-'Guide &amp; Settings'!$C$48,0)*'Guide &amp; Settings'!$C$49))</f>
      </c>
    </row>
    <row r="537" spans="1:29">
      <c r="A537" s="116"/>
      <c r="B537" s="117"/>
      <c r="C537" s="118"/>
      <c r="D537" s="118"/>
      <c r="E537" s="116"/>
      <c r="F537" s="119">
        <f>IF($D537="",0,COUNTIF($A$4:$A$810,$A537))</f>
        <v>0</v>
      </c>
      <c r="G537" s="120">
        <f>IF($D537="","",IFERROR(LOOKUP(2,1/(($A$4:$A$810=$A537)*($E$4:$E$810="Win")),$D$4:$D$810),"(no winner)"))</f>
        <v>0</v>
      </c>
      <c r="H537" s="121">
        <f>IF($D537="",0,IFERROR(LOOKUP(2,1/(($D$3:D536=$D537)*($A$3:A536&lt;$A537)),$N$3:N536),'Guide &amp; Settings'!$C$41))</f>
        <v>0</v>
      </c>
      <c r="I537" s="122">
        <f>IF($D537="",0,IF($S537=0,0,$R537/$S537))</f>
        <v>0</v>
      </c>
      <c r="J537" s="123">
        <f>IF($D537="",0,IF($F537&lt;2,0,IF($E537="Win",('Guide &amp; Settings'!$C$42/(($F537-1)*COUNTIFS($A$4:$A$810,$A537,$E$4:$E$810,"Win")))*SUMIFS($X$4:$X$810,$A$4:$A$810,$A537,$E$4:$E$810,"Loss"),-('Guide &amp; Settings'!$C$42/($F537-1))*$X537)))</f>
        <v>0</v>
      </c>
      <c r="K537" s="123">
        <f>IF($D537="",0,'Guide &amp; Settings'!$C$43*(IF($E537="Win",1,0)-$I537))</f>
        <v>0</v>
      </c>
      <c r="L537" s="124">
        <f>IF($D537="",0,'Guide &amp; Settings'!$C$44*IF($F537&gt;=3,$F537+IF($E537="Win",$F537,0),0))</f>
        <v>0</v>
      </c>
      <c r="M537" s="123">
        <f>IF($D537="",0,$J537+$K537+$L537)</f>
        <v>0</v>
      </c>
      <c r="N537" s="121">
        <f>IF($D537="",0,$H537+$M537)</f>
        <v>0</v>
      </c>
      <c r="O537" s="120" t="str">
        <f>IF($D537="","",IF(COUNTIFS($A$4:$A$810,$A537,$E$4:$E$810,"Win")=0,"need a winner",IF(COUNTIFS($A$4:$A$810,$A537,$E$4:$E$810,"Loss")=0,"need a loser",IF(COUNTIFS($A$4:$A$810,$A537,$D$4:$D$810,$D537)&gt;1,"duplicate player","OK"))))</f>
      </c>
      <c r="P537">
        <f>IF($D537="",0,IFERROR(SUMIFS($H$4:$H$810,$A$4:$A$810,$A537,$E$4:$E$810,"Win")/COUNTIFS($A$4:$A$810,$A537,$E$4:$E$810,"Win"),0))</f>
        <v>0</v>
      </c>
      <c r="Q537">
        <f>IF($D537="",0,1/(1+10^(($P537-$H537)/400)))</f>
        <v>0</v>
      </c>
      <c r="R537">
        <f>IF($D537="",0,(COUNTIFS($D$4:$D$810,$D537,$C$4:$C$810,$C537,$E$4:$E$810,"Win",$A$4:$A$810,"&lt;"&amp;$A537)+1)/(COUNTIFS($D$4:$D$810,$D537,$C$4:$C$810,$C537,$A$4:$A$810,"&lt;"&amp;$A537)+2))</f>
        <v>0</v>
      </c>
      <c r="S537">
        <f>IF($D537="",0,SUMIFS($R$4:$R$810,$A$4:$A$810,$A537))</f>
        <v>0</v>
      </c>
      <c r="T537" s="88">
        <f>IF($D537="",0,COUNTIFS($D$4:$D$810,$D537,$C$4:$C$810,$C537,$A$4:$A$810,"&lt;"&amp;$A537))</f>
        <v>0</v>
      </c>
      <c r="U537" s="125">
        <f>IF($D537="",0,IFERROR(LOOKUP(2,1/(($D$3:D536=$D537)*($C$3:C536=$C537)*($A$3:A536&lt;$A537)),$AB$3:AB536),1000))</f>
        <v>0</v>
      </c>
      <c r="V537" s="125">
        <f>IF($D537="",0,$U537*($T537/($T537+5))+$H537*(1-$T537/($T537+5)))</f>
        <v>0</v>
      </c>
      <c r="W537">
        <f>IF($D537="",0,IFERROR(SUMIFS($V$4:$V$810,$A$4:$A$810,$A537,$E$4:$E$810,"Win")/COUNTIFS($A$4:$A$810,$A537,$E$4:$E$810,"Win"),0))</f>
        <v>0</v>
      </c>
      <c r="X537">
        <f>IF($D537="",0,1/(1+10^(($W537-$V537)/400)))</f>
        <v>0</v>
      </c>
      <c r="Y537">
        <f>IF($D537="",0,IFERROR(SUMIFS($U$4:$U$810,$A$4:$A$810,$A537,$E$4:$E$810,"Win")/COUNTIFS($A$4:$A$810,$A537,$E$4:$E$810,"Win"),0))</f>
        <v>0</v>
      </c>
      <c r="Z537">
        <f>IF($D537="",0,1/(1+10^(($Y537-$U537)/400)))</f>
        <v>0</v>
      </c>
      <c r="AA537">
        <f>IF($D537="",0,IF($F537&lt;2,0,IF($E537="Win",('Guide &amp; Settings'!$C$42/(($F537-1)*COUNTIFS($A$4:$A$810,$A537,$E$4:$E$810,"Win")))*SUMIFS($Z$4:$Z$810,$A$4:$A$810,$A537,$E$4:$E$810,"Loss"),-('Guide &amp; Settings'!$C$42/($F537-1))*$Z537)))</f>
        <v>0</v>
      </c>
      <c r="AB537" s="125">
        <f>IF($D537="",0,$U537+$AA537)</f>
        <v>0</v>
      </c>
      <c r="AC537" s="125" t="str">
        <f>IF($D537="","",IF(SUMPRODUCT(MAX(($D$4:$D$810=$D537)*($B$4:$B$810&lt;$B537)*$B$4:$B$810))=0,0,MAX(($B537-MAX(SUMPRODUCT(MAX(($D$4:$D$810=$D537)*($B$4:$B$810&lt;$B537)*$B$4:$B$810)),'Guide &amp; Settings'!$C$50))/7-'Guide &amp; Settings'!$C$48,0)*'Guide &amp; Settings'!$C$49))</f>
      </c>
    </row>
    <row r="538" spans="1:29">
      <c r="A538" s="116"/>
      <c r="B538" s="117"/>
      <c r="C538" s="118"/>
      <c r="D538" s="118"/>
      <c r="E538" s="116"/>
      <c r="F538" s="119">
        <f>IF($D538="",0,COUNTIF($A$4:$A$810,$A538))</f>
        <v>0</v>
      </c>
      <c r="G538" s="120">
        <f>IF($D538="","",IFERROR(LOOKUP(2,1/(($A$4:$A$810=$A538)*($E$4:$E$810="Win")),$D$4:$D$810),"(no winner)"))</f>
        <v>0</v>
      </c>
      <c r="H538" s="121">
        <f>IF($D538="",0,IFERROR(LOOKUP(2,1/(($D$3:D537=$D538)*($A$3:A537&lt;$A538)),$N$3:N537),'Guide &amp; Settings'!$C$41))</f>
        <v>0</v>
      </c>
      <c r="I538" s="122">
        <f>IF($D538="",0,IF($S538=0,0,$R538/$S538))</f>
        <v>0</v>
      </c>
      <c r="J538" s="123">
        <f>IF($D538="",0,IF($F538&lt;2,0,IF($E538="Win",('Guide &amp; Settings'!$C$42/(($F538-1)*COUNTIFS($A$4:$A$810,$A538,$E$4:$E$810,"Win")))*SUMIFS($X$4:$X$810,$A$4:$A$810,$A538,$E$4:$E$810,"Loss"),-('Guide &amp; Settings'!$C$42/($F538-1))*$X538)))</f>
        <v>0</v>
      </c>
      <c r="K538" s="123">
        <f>IF($D538="",0,'Guide &amp; Settings'!$C$43*(IF($E538="Win",1,0)-$I538))</f>
        <v>0</v>
      </c>
      <c r="L538" s="124">
        <f>IF($D538="",0,'Guide &amp; Settings'!$C$44*IF($F538&gt;=3,$F538+IF($E538="Win",$F538,0),0))</f>
        <v>0</v>
      </c>
      <c r="M538" s="123">
        <f>IF($D538="",0,$J538+$K538+$L538)</f>
        <v>0</v>
      </c>
      <c r="N538" s="121">
        <f>IF($D538="",0,$H538+$M538)</f>
        <v>0</v>
      </c>
      <c r="O538" s="120" t="str">
        <f>IF($D538="","",IF(COUNTIFS($A$4:$A$810,$A538,$E$4:$E$810,"Win")=0,"need a winner",IF(COUNTIFS($A$4:$A$810,$A538,$E$4:$E$810,"Loss")=0,"need a loser",IF(COUNTIFS($A$4:$A$810,$A538,$D$4:$D$810,$D538)&gt;1,"duplicate player","OK"))))</f>
      </c>
      <c r="P538">
        <f>IF($D538="",0,IFERROR(SUMIFS($H$4:$H$810,$A$4:$A$810,$A538,$E$4:$E$810,"Win")/COUNTIFS($A$4:$A$810,$A538,$E$4:$E$810,"Win"),0))</f>
        <v>0</v>
      </c>
      <c r="Q538">
        <f>IF($D538="",0,1/(1+10^(($P538-$H538)/400)))</f>
        <v>0</v>
      </c>
      <c r="R538">
        <f>IF($D538="",0,(COUNTIFS($D$4:$D$810,$D538,$C$4:$C$810,$C538,$E$4:$E$810,"Win",$A$4:$A$810,"&lt;"&amp;$A538)+1)/(COUNTIFS($D$4:$D$810,$D538,$C$4:$C$810,$C538,$A$4:$A$810,"&lt;"&amp;$A538)+2))</f>
        <v>0</v>
      </c>
      <c r="S538">
        <f>IF($D538="",0,SUMIFS($R$4:$R$810,$A$4:$A$810,$A538))</f>
        <v>0</v>
      </c>
      <c r="T538" s="88">
        <f>IF($D538="",0,COUNTIFS($D$4:$D$810,$D538,$C$4:$C$810,$C538,$A$4:$A$810,"&lt;"&amp;$A538))</f>
        <v>0</v>
      </c>
      <c r="U538" s="125">
        <f>IF($D538="",0,IFERROR(LOOKUP(2,1/(($D$3:D537=$D538)*($C$3:C537=$C538)*($A$3:A537&lt;$A538)),$AB$3:AB537),1000))</f>
        <v>0</v>
      </c>
      <c r="V538" s="125">
        <f>IF($D538="",0,$U538*($T538/($T538+5))+$H538*(1-$T538/($T538+5)))</f>
        <v>0</v>
      </c>
      <c r="W538">
        <f>IF($D538="",0,IFERROR(SUMIFS($V$4:$V$810,$A$4:$A$810,$A538,$E$4:$E$810,"Win")/COUNTIFS($A$4:$A$810,$A538,$E$4:$E$810,"Win"),0))</f>
        <v>0</v>
      </c>
      <c r="X538">
        <f>IF($D538="",0,1/(1+10^(($W538-$V538)/400)))</f>
        <v>0</v>
      </c>
      <c r="Y538">
        <f>IF($D538="",0,IFERROR(SUMIFS($U$4:$U$810,$A$4:$A$810,$A538,$E$4:$E$810,"Win")/COUNTIFS($A$4:$A$810,$A538,$E$4:$E$810,"Win"),0))</f>
        <v>0</v>
      </c>
      <c r="Z538">
        <f>IF($D538="",0,1/(1+10^(($Y538-$U538)/400)))</f>
        <v>0</v>
      </c>
      <c r="AA538">
        <f>IF($D538="",0,IF($F538&lt;2,0,IF($E538="Win",('Guide &amp; Settings'!$C$42/(($F538-1)*COUNTIFS($A$4:$A$810,$A538,$E$4:$E$810,"Win")))*SUMIFS($Z$4:$Z$810,$A$4:$A$810,$A538,$E$4:$E$810,"Loss"),-('Guide &amp; Settings'!$C$42/($F538-1))*$Z538)))</f>
        <v>0</v>
      </c>
      <c r="AB538" s="125">
        <f>IF($D538="",0,$U538+$AA538)</f>
        <v>0</v>
      </c>
      <c r="AC538" s="125" t="str">
        <f>IF($D538="","",IF(SUMPRODUCT(MAX(($D$4:$D$810=$D538)*($B$4:$B$810&lt;$B538)*$B$4:$B$810))=0,0,MAX(($B538-MAX(SUMPRODUCT(MAX(($D$4:$D$810=$D538)*($B$4:$B$810&lt;$B538)*$B$4:$B$810)),'Guide &amp; Settings'!$C$50))/7-'Guide &amp; Settings'!$C$48,0)*'Guide &amp; Settings'!$C$49))</f>
      </c>
    </row>
    <row r="539" spans="1:29">
      <c r="A539" s="116"/>
      <c r="B539" s="117"/>
      <c r="C539" s="118"/>
      <c r="D539" s="118"/>
      <c r="E539" s="116"/>
      <c r="F539" s="119">
        <f>IF($D539="",0,COUNTIF($A$4:$A$810,$A539))</f>
        <v>0</v>
      </c>
      <c r="G539" s="120">
        <f>IF($D539="","",IFERROR(LOOKUP(2,1/(($A$4:$A$810=$A539)*($E$4:$E$810="Win")),$D$4:$D$810),"(no winner)"))</f>
        <v>0</v>
      </c>
      <c r="H539" s="121">
        <f>IF($D539="",0,IFERROR(LOOKUP(2,1/(($D$3:D538=$D539)*($A$3:A538&lt;$A539)),$N$3:N538),'Guide &amp; Settings'!$C$41))</f>
        <v>0</v>
      </c>
      <c r="I539" s="122">
        <f>IF($D539="",0,IF($S539=0,0,$R539/$S539))</f>
        <v>0</v>
      </c>
      <c r="J539" s="123">
        <f>IF($D539="",0,IF($F539&lt;2,0,IF($E539="Win",('Guide &amp; Settings'!$C$42/(($F539-1)*COUNTIFS($A$4:$A$810,$A539,$E$4:$E$810,"Win")))*SUMIFS($X$4:$X$810,$A$4:$A$810,$A539,$E$4:$E$810,"Loss"),-('Guide &amp; Settings'!$C$42/($F539-1))*$X539)))</f>
        <v>0</v>
      </c>
      <c r="K539" s="123">
        <f>IF($D539="",0,'Guide &amp; Settings'!$C$43*(IF($E539="Win",1,0)-$I539))</f>
        <v>0</v>
      </c>
      <c r="L539" s="124">
        <f>IF($D539="",0,'Guide &amp; Settings'!$C$44*IF($F539&gt;=3,$F539+IF($E539="Win",$F539,0),0))</f>
        <v>0</v>
      </c>
      <c r="M539" s="123">
        <f>IF($D539="",0,$J539+$K539+$L539)</f>
        <v>0</v>
      </c>
      <c r="N539" s="121">
        <f>IF($D539="",0,$H539+$M539)</f>
        <v>0</v>
      </c>
      <c r="O539" s="120" t="str">
        <f>IF($D539="","",IF(COUNTIFS($A$4:$A$810,$A539,$E$4:$E$810,"Win")=0,"need a winner",IF(COUNTIFS($A$4:$A$810,$A539,$E$4:$E$810,"Loss")=0,"need a loser",IF(COUNTIFS($A$4:$A$810,$A539,$D$4:$D$810,$D539)&gt;1,"duplicate player","OK"))))</f>
      </c>
      <c r="P539">
        <f>IF($D539="",0,IFERROR(SUMIFS($H$4:$H$810,$A$4:$A$810,$A539,$E$4:$E$810,"Win")/COUNTIFS($A$4:$A$810,$A539,$E$4:$E$810,"Win"),0))</f>
        <v>0</v>
      </c>
      <c r="Q539">
        <f>IF($D539="",0,1/(1+10^(($P539-$H539)/400)))</f>
        <v>0</v>
      </c>
      <c r="R539">
        <f>IF($D539="",0,(COUNTIFS($D$4:$D$810,$D539,$C$4:$C$810,$C539,$E$4:$E$810,"Win",$A$4:$A$810,"&lt;"&amp;$A539)+1)/(COUNTIFS($D$4:$D$810,$D539,$C$4:$C$810,$C539,$A$4:$A$810,"&lt;"&amp;$A539)+2))</f>
        <v>0</v>
      </c>
      <c r="S539">
        <f>IF($D539="",0,SUMIFS($R$4:$R$810,$A$4:$A$810,$A539))</f>
        <v>0</v>
      </c>
      <c r="T539" s="88">
        <f>IF($D539="",0,COUNTIFS($D$4:$D$810,$D539,$C$4:$C$810,$C539,$A$4:$A$810,"&lt;"&amp;$A539))</f>
        <v>0</v>
      </c>
      <c r="U539" s="125">
        <f>IF($D539="",0,IFERROR(LOOKUP(2,1/(($D$3:D538=$D539)*($C$3:C538=$C539)*($A$3:A538&lt;$A539)),$AB$3:AB538),1000))</f>
        <v>0</v>
      </c>
      <c r="V539" s="125">
        <f>IF($D539="",0,$U539*($T539/($T539+5))+$H539*(1-$T539/($T539+5)))</f>
        <v>0</v>
      </c>
      <c r="W539">
        <f>IF($D539="",0,IFERROR(SUMIFS($V$4:$V$810,$A$4:$A$810,$A539,$E$4:$E$810,"Win")/COUNTIFS($A$4:$A$810,$A539,$E$4:$E$810,"Win"),0))</f>
        <v>0</v>
      </c>
      <c r="X539">
        <f>IF($D539="",0,1/(1+10^(($W539-$V539)/400)))</f>
        <v>0</v>
      </c>
      <c r="Y539">
        <f>IF($D539="",0,IFERROR(SUMIFS($U$4:$U$810,$A$4:$A$810,$A539,$E$4:$E$810,"Win")/COUNTIFS($A$4:$A$810,$A539,$E$4:$E$810,"Win"),0))</f>
        <v>0</v>
      </c>
      <c r="Z539">
        <f>IF($D539="",0,1/(1+10^(($Y539-$U539)/400)))</f>
        <v>0</v>
      </c>
      <c r="AA539">
        <f>IF($D539="",0,IF($F539&lt;2,0,IF($E539="Win",('Guide &amp; Settings'!$C$42/(($F539-1)*COUNTIFS($A$4:$A$810,$A539,$E$4:$E$810,"Win")))*SUMIFS($Z$4:$Z$810,$A$4:$A$810,$A539,$E$4:$E$810,"Loss"),-('Guide &amp; Settings'!$C$42/($F539-1))*$Z539)))</f>
        <v>0</v>
      </c>
      <c r="AB539" s="125">
        <f>IF($D539="",0,$U539+$AA539)</f>
        <v>0</v>
      </c>
      <c r="AC539" s="125" t="str">
        <f>IF($D539="","",IF(SUMPRODUCT(MAX(($D$4:$D$810=$D539)*($B$4:$B$810&lt;$B539)*$B$4:$B$810))=0,0,MAX(($B539-MAX(SUMPRODUCT(MAX(($D$4:$D$810=$D539)*($B$4:$B$810&lt;$B539)*$B$4:$B$810)),'Guide &amp; Settings'!$C$50))/7-'Guide &amp; Settings'!$C$48,0)*'Guide &amp; Settings'!$C$49))</f>
      </c>
    </row>
    <row r="540" spans="1:29">
      <c r="A540" s="116"/>
      <c r="B540" s="117"/>
      <c r="C540" s="118"/>
      <c r="D540" s="118"/>
      <c r="E540" s="116"/>
      <c r="F540" s="119">
        <f>IF($D540="",0,COUNTIF($A$4:$A$810,$A540))</f>
        <v>0</v>
      </c>
      <c r="G540" s="120">
        <f>IF($D540="","",IFERROR(LOOKUP(2,1/(($A$4:$A$810=$A540)*($E$4:$E$810="Win")),$D$4:$D$810),"(no winner)"))</f>
        <v>0</v>
      </c>
      <c r="H540" s="121">
        <f>IF($D540="",0,IFERROR(LOOKUP(2,1/(($D$3:D539=$D540)*($A$3:A539&lt;$A540)),$N$3:N539),'Guide &amp; Settings'!$C$41))</f>
        <v>0</v>
      </c>
      <c r="I540" s="122">
        <f>IF($D540="",0,IF($S540=0,0,$R540/$S540))</f>
        <v>0</v>
      </c>
      <c r="J540" s="123">
        <f>IF($D540="",0,IF($F540&lt;2,0,IF($E540="Win",('Guide &amp; Settings'!$C$42/(($F540-1)*COUNTIFS($A$4:$A$810,$A540,$E$4:$E$810,"Win")))*SUMIFS($X$4:$X$810,$A$4:$A$810,$A540,$E$4:$E$810,"Loss"),-('Guide &amp; Settings'!$C$42/($F540-1))*$X540)))</f>
        <v>0</v>
      </c>
      <c r="K540" s="123">
        <f>IF($D540="",0,'Guide &amp; Settings'!$C$43*(IF($E540="Win",1,0)-$I540))</f>
        <v>0</v>
      </c>
      <c r="L540" s="124">
        <f>IF($D540="",0,'Guide &amp; Settings'!$C$44*IF($F540&gt;=3,$F540+IF($E540="Win",$F540,0),0))</f>
        <v>0</v>
      </c>
      <c r="M540" s="123">
        <f>IF($D540="",0,$J540+$K540+$L540)</f>
        <v>0</v>
      </c>
      <c r="N540" s="121">
        <f>IF($D540="",0,$H540+$M540)</f>
        <v>0</v>
      </c>
      <c r="O540" s="120" t="str">
        <f>IF($D540="","",IF(COUNTIFS($A$4:$A$810,$A540,$E$4:$E$810,"Win")=0,"need a winner",IF(COUNTIFS($A$4:$A$810,$A540,$E$4:$E$810,"Loss")=0,"need a loser",IF(COUNTIFS($A$4:$A$810,$A540,$D$4:$D$810,$D540)&gt;1,"duplicate player","OK"))))</f>
      </c>
      <c r="P540">
        <f>IF($D540="",0,IFERROR(SUMIFS($H$4:$H$810,$A$4:$A$810,$A540,$E$4:$E$810,"Win")/COUNTIFS($A$4:$A$810,$A540,$E$4:$E$810,"Win"),0))</f>
        <v>0</v>
      </c>
      <c r="Q540">
        <f>IF($D540="",0,1/(1+10^(($P540-$H540)/400)))</f>
        <v>0</v>
      </c>
      <c r="R540">
        <f>IF($D540="",0,(COUNTIFS($D$4:$D$810,$D540,$C$4:$C$810,$C540,$E$4:$E$810,"Win",$A$4:$A$810,"&lt;"&amp;$A540)+1)/(COUNTIFS($D$4:$D$810,$D540,$C$4:$C$810,$C540,$A$4:$A$810,"&lt;"&amp;$A540)+2))</f>
        <v>0</v>
      </c>
      <c r="S540">
        <f>IF($D540="",0,SUMIFS($R$4:$R$810,$A$4:$A$810,$A540))</f>
        <v>0</v>
      </c>
      <c r="T540" s="88">
        <f>IF($D540="",0,COUNTIFS($D$4:$D$810,$D540,$C$4:$C$810,$C540,$A$4:$A$810,"&lt;"&amp;$A540))</f>
        <v>0</v>
      </c>
      <c r="U540" s="125">
        <f>IF($D540="",0,IFERROR(LOOKUP(2,1/(($D$3:D539=$D540)*($C$3:C539=$C540)*($A$3:A539&lt;$A540)),$AB$3:AB539),1000))</f>
        <v>0</v>
      </c>
      <c r="V540" s="125">
        <f>IF($D540="",0,$U540*($T540/($T540+5))+$H540*(1-$T540/($T540+5)))</f>
        <v>0</v>
      </c>
      <c r="W540">
        <f>IF($D540="",0,IFERROR(SUMIFS($V$4:$V$810,$A$4:$A$810,$A540,$E$4:$E$810,"Win")/COUNTIFS($A$4:$A$810,$A540,$E$4:$E$810,"Win"),0))</f>
        <v>0</v>
      </c>
      <c r="X540">
        <f>IF($D540="",0,1/(1+10^(($W540-$V540)/400)))</f>
        <v>0</v>
      </c>
      <c r="Y540">
        <f>IF($D540="",0,IFERROR(SUMIFS($U$4:$U$810,$A$4:$A$810,$A540,$E$4:$E$810,"Win")/COUNTIFS($A$4:$A$810,$A540,$E$4:$E$810,"Win"),0))</f>
        <v>0</v>
      </c>
      <c r="Z540">
        <f>IF($D540="",0,1/(1+10^(($Y540-$U540)/400)))</f>
        <v>0</v>
      </c>
      <c r="AA540">
        <f>IF($D540="",0,IF($F540&lt;2,0,IF($E540="Win",('Guide &amp; Settings'!$C$42/(($F540-1)*COUNTIFS($A$4:$A$810,$A540,$E$4:$E$810,"Win")))*SUMIFS($Z$4:$Z$810,$A$4:$A$810,$A540,$E$4:$E$810,"Loss"),-('Guide &amp; Settings'!$C$42/($F540-1))*$Z540)))</f>
        <v>0</v>
      </c>
      <c r="AB540" s="125">
        <f>IF($D540="",0,$U540+$AA540)</f>
        <v>0</v>
      </c>
      <c r="AC540" s="125" t="str">
        <f>IF($D540="","",IF(SUMPRODUCT(MAX(($D$4:$D$810=$D540)*($B$4:$B$810&lt;$B540)*$B$4:$B$810))=0,0,MAX(($B540-MAX(SUMPRODUCT(MAX(($D$4:$D$810=$D540)*($B$4:$B$810&lt;$B540)*$B$4:$B$810)),'Guide &amp; Settings'!$C$50))/7-'Guide &amp; Settings'!$C$48,0)*'Guide &amp; Settings'!$C$49))</f>
      </c>
    </row>
    <row r="541" spans="1:29">
      <c r="A541" s="116"/>
      <c r="B541" s="117"/>
      <c r="C541" s="118"/>
      <c r="D541" s="118"/>
      <c r="E541" s="116"/>
      <c r="F541" s="119">
        <f>IF($D541="",0,COUNTIF($A$4:$A$810,$A541))</f>
        <v>0</v>
      </c>
      <c r="G541" s="120">
        <f>IF($D541="","",IFERROR(LOOKUP(2,1/(($A$4:$A$810=$A541)*($E$4:$E$810="Win")),$D$4:$D$810),"(no winner)"))</f>
        <v>0</v>
      </c>
      <c r="H541" s="121">
        <f>IF($D541="",0,IFERROR(LOOKUP(2,1/(($D$3:D540=$D541)*($A$3:A540&lt;$A541)),$N$3:N540),'Guide &amp; Settings'!$C$41))</f>
        <v>0</v>
      </c>
      <c r="I541" s="122">
        <f>IF($D541="",0,IF($S541=0,0,$R541/$S541))</f>
        <v>0</v>
      </c>
      <c r="J541" s="123">
        <f>IF($D541="",0,IF($F541&lt;2,0,IF($E541="Win",('Guide &amp; Settings'!$C$42/(($F541-1)*COUNTIFS($A$4:$A$810,$A541,$E$4:$E$810,"Win")))*SUMIFS($X$4:$X$810,$A$4:$A$810,$A541,$E$4:$E$810,"Loss"),-('Guide &amp; Settings'!$C$42/($F541-1))*$X541)))</f>
        <v>0</v>
      </c>
      <c r="K541" s="123">
        <f>IF($D541="",0,'Guide &amp; Settings'!$C$43*(IF($E541="Win",1,0)-$I541))</f>
        <v>0</v>
      </c>
      <c r="L541" s="124">
        <f>IF($D541="",0,'Guide &amp; Settings'!$C$44*IF($F541&gt;=3,$F541+IF($E541="Win",$F541,0),0))</f>
        <v>0</v>
      </c>
      <c r="M541" s="123">
        <f>IF($D541="",0,$J541+$K541+$L541)</f>
        <v>0</v>
      </c>
      <c r="N541" s="121">
        <f>IF($D541="",0,$H541+$M541)</f>
        <v>0</v>
      </c>
      <c r="O541" s="120" t="str">
        <f>IF($D541="","",IF(COUNTIFS($A$4:$A$810,$A541,$E$4:$E$810,"Win")=0,"need a winner",IF(COUNTIFS($A$4:$A$810,$A541,$E$4:$E$810,"Loss")=0,"need a loser",IF(COUNTIFS($A$4:$A$810,$A541,$D$4:$D$810,$D541)&gt;1,"duplicate player","OK"))))</f>
      </c>
      <c r="P541">
        <f>IF($D541="",0,IFERROR(SUMIFS($H$4:$H$810,$A$4:$A$810,$A541,$E$4:$E$810,"Win")/COUNTIFS($A$4:$A$810,$A541,$E$4:$E$810,"Win"),0))</f>
        <v>0</v>
      </c>
      <c r="Q541">
        <f>IF($D541="",0,1/(1+10^(($P541-$H541)/400)))</f>
        <v>0</v>
      </c>
      <c r="R541">
        <f>IF($D541="",0,(COUNTIFS($D$4:$D$810,$D541,$C$4:$C$810,$C541,$E$4:$E$810,"Win",$A$4:$A$810,"&lt;"&amp;$A541)+1)/(COUNTIFS($D$4:$D$810,$D541,$C$4:$C$810,$C541,$A$4:$A$810,"&lt;"&amp;$A541)+2))</f>
        <v>0</v>
      </c>
      <c r="S541">
        <f>IF($D541="",0,SUMIFS($R$4:$R$810,$A$4:$A$810,$A541))</f>
        <v>0</v>
      </c>
      <c r="T541" s="88">
        <f>IF($D541="",0,COUNTIFS($D$4:$D$810,$D541,$C$4:$C$810,$C541,$A$4:$A$810,"&lt;"&amp;$A541))</f>
        <v>0</v>
      </c>
      <c r="U541" s="125">
        <f>IF($D541="",0,IFERROR(LOOKUP(2,1/(($D$3:D540=$D541)*($C$3:C540=$C541)*($A$3:A540&lt;$A541)),$AB$3:AB540),1000))</f>
        <v>0</v>
      </c>
      <c r="V541" s="125">
        <f>IF($D541="",0,$U541*($T541/($T541+5))+$H541*(1-$T541/($T541+5)))</f>
        <v>0</v>
      </c>
      <c r="W541">
        <f>IF($D541="",0,IFERROR(SUMIFS($V$4:$V$810,$A$4:$A$810,$A541,$E$4:$E$810,"Win")/COUNTIFS($A$4:$A$810,$A541,$E$4:$E$810,"Win"),0))</f>
        <v>0</v>
      </c>
      <c r="X541">
        <f>IF($D541="",0,1/(1+10^(($W541-$V541)/400)))</f>
        <v>0</v>
      </c>
      <c r="Y541">
        <f>IF($D541="",0,IFERROR(SUMIFS($U$4:$U$810,$A$4:$A$810,$A541,$E$4:$E$810,"Win")/COUNTIFS($A$4:$A$810,$A541,$E$4:$E$810,"Win"),0))</f>
        <v>0</v>
      </c>
      <c r="Z541">
        <f>IF($D541="",0,1/(1+10^(($Y541-$U541)/400)))</f>
        <v>0</v>
      </c>
      <c r="AA541">
        <f>IF($D541="",0,IF($F541&lt;2,0,IF($E541="Win",('Guide &amp; Settings'!$C$42/(($F541-1)*COUNTIFS($A$4:$A$810,$A541,$E$4:$E$810,"Win")))*SUMIFS($Z$4:$Z$810,$A$4:$A$810,$A541,$E$4:$E$810,"Loss"),-('Guide &amp; Settings'!$C$42/($F541-1))*$Z541)))</f>
        <v>0</v>
      </c>
      <c r="AB541" s="125">
        <f>IF($D541="",0,$U541+$AA541)</f>
        <v>0</v>
      </c>
      <c r="AC541" s="125" t="str">
        <f>IF($D541="","",IF(SUMPRODUCT(MAX(($D$4:$D$810=$D541)*($B$4:$B$810&lt;$B541)*$B$4:$B$810))=0,0,MAX(($B541-MAX(SUMPRODUCT(MAX(($D$4:$D$810=$D541)*($B$4:$B$810&lt;$B541)*$B$4:$B$810)),'Guide &amp; Settings'!$C$50))/7-'Guide &amp; Settings'!$C$48,0)*'Guide &amp; Settings'!$C$49))</f>
      </c>
    </row>
    <row r="542" spans="1:29">
      <c r="A542" s="116"/>
      <c r="B542" s="117"/>
      <c r="C542" s="118"/>
      <c r="D542" s="118"/>
      <c r="E542" s="116"/>
      <c r="F542" s="119">
        <f>IF($D542="",0,COUNTIF($A$4:$A$810,$A542))</f>
        <v>0</v>
      </c>
      <c r="G542" s="120">
        <f>IF($D542="","",IFERROR(LOOKUP(2,1/(($A$4:$A$810=$A542)*($E$4:$E$810="Win")),$D$4:$D$810),"(no winner)"))</f>
        <v>0</v>
      </c>
      <c r="H542" s="121">
        <f>IF($D542="",0,IFERROR(LOOKUP(2,1/(($D$3:D541=$D542)*($A$3:A541&lt;$A542)),$N$3:N541),'Guide &amp; Settings'!$C$41))</f>
        <v>0</v>
      </c>
      <c r="I542" s="122">
        <f>IF($D542="",0,IF($S542=0,0,$R542/$S542))</f>
        <v>0</v>
      </c>
      <c r="J542" s="123">
        <f>IF($D542="",0,IF($F542&lt;2,0,IF($E542="Win",('Guide &amp; Settings'!$C$42/(($F542-1)*COUNTIFS($A$4:$A$810,$A542,$E$4:$E$810,"Win")))*SUMIFS($X$4:$X$810,$A$4:$A$810,$A542,$E$4:$E$810,"Loss"),-('Guide &amp; Settings'!$C$42/($F542-1))*$X542)))</f>
        <v>0</v>
      </c>
      <c r="K542" s="123">
        <f>IF($D542="",0,'Guide &amp; Settings'!$C$43*(IF($E542="Win",1,0)-$I542))</f>
        <v>0</v>
      </c>
      <c r="L542" s="124">
        <f>IF($D542="",0,'Guide &amp; Settings'!$C$44*IF($F542&gt;=3,$F542+IF($E542="Win",$F542,0),0))</f>
        <v>0</v>
      </c>
      <c r="M542" s="123">
        <f>IF($D542="",0,$J542+$K542+$L542)</f>
        <v>0</v>
      </c>
      <c r="N542" s="121">
        <f>IF($D542="",0,$H542+$M542)</f>
        <v>0</v>
      </c>
      <c r="O542" s="120" t="str">
        <f>IF($D542="","",IF(COUNTIFS($A$4:$A$810,$A542,$E$4:$E$810,"Win")=0,"need a winner",IF(COUNTIFS($A$4:$A$810,$A542,$E$4:$E$810,"Loss")=0,"need a loser",IF(COUNTIFS($A$4:$A$810,$A542,$D$4:$D$810,$D542)&gt;1,"duplicate player","OK"))))</f>
      </c>
      <c r="P542">
        <f>IF($D542="",0,IFERROR(SUMIFS($H$4:$H$810,$A$4:$A$810,$A542,$E$4:$E$810,"Win")/COUNTIFS($A$4:$A$810,$A542,$E$4:$E$810,"Win"),0))</f>
        <v>0</v>
      </c>
      <c r="Q542">
        <f>IF($D542="",0,1/(1+10^(($P542-$H542)/400)))</f>
        <v>0</v>
      </c>
      <c r="R542">
        <f>IF($D542="",0,(COUNTIFS($D$4:$D$810,$D542,$C$4:$C$810,$C542,$E$4:$E$810,"Win",$A$4:$A$810,"&lt;"&amp;$A542)+1)/(COUNTIFS($D$4:$D$810,$D542,$C$4:$C$810,$C542,$A$4:$A$810,"&lt;"&amp;$A542)+2))</f>
        <v>0</v>
      </c>
      <c r="S542">
        <f>IF($D542="",0,SUMIFS($R$4:$R$810,$A$4:$A$810,$A542))</f>
        <v>0</v>
      </c>
      <c r="T542" s="88">
        <f>IF($D542="",0,COUNTIFS($D$4:$D$810,$D542,$C$4:$C$810,$C542,$A$4:$A$810,"&lt;"&amp;$A542))</f>
        <v>0</v>
      </c>
      <c r="U542" s="125">
        <f>IF($D542="",0,IFERROR(LOOKUP(2,1/(($D$3:D541=$D542)*($C$3:C541=$C542)*($A$3:A541&lt;$A542)),$AB$3:AB541),1000))</f>
        <v>0</v>
      </c>
      <c r="V542" s="125">
        <f>IF($D542="",0,$U542*($T542/($T542+5))+$H542*(1-$T542/($T542+5)))</f>
        <v>0</v>
      </c>
      <c r="W542">
        <f>IF($D542="",0,IFERROR(SUMIFS($V$4:$V$810,$A$4:$A$810,$A542,$E$4:$E$810,"Win")/COUNTIFS($A$4:$A$810,$A542,$E$4:$E$810,"Win"),0))</f>
        <v>0</v>
      </c>
      <c r="X542">
        <f>IF($D542="",0,1/(1+10^(($W542-$V542)/400)))</f>
        <v>0</v>
      </c>
      <c r="Y542">
        <f>IF($D542="",0,IFERROR(SUMIFS($U$4:$U$810,$A$4:$A$810,$A542,$E$4:$E$810,"Win")/COUNTIFS($A$4:$A$810,$A542,$E$4:$E$810,"Win"),0))</f>
        <v>0</v>
      </c>
      <c r="Z542">
        <f>IF($D542="",0,1/(1+10^(($Y542-$U542)/400)))</f>
        <v>0</v>
      </c>
      <c r="AA542">
        <f>IF($D542="",0,IF($F542&lt;2,0,IF($E542="Win",('Guide &amp; Settings'!$C$42/(($F542-1)*COUNTIFS($A$4:$A$810,$A542,$E$4:$E$810,"Win")))*SUMIFS($Z$4:$Z$810,$A$4:$A$810,$A542,$E$4:$E$810,"Loss"),-('Guide &amp; Settings'!$C$42/($F542-1))*$Z542)))</f>
        <v>0</v>
      </c>
      <c r="AB542" s="125">
        <f>IF($D542="",0,$U542+$AA542)</f>
        <v>0</v>
      </c>
      <c r="AC542" s="125" t="str">
        <f>IF($D542="","",IF(SUMPRODUCT(MAX(($D$4:$D$810=$D542)*($B$4:$B$810&lt;$B542)*$B$4:$B$810))=0,0,MAX(($B542-MAX(SUMPRODUCT(MAX(($D$4:$D$810=$D542)*($B$4:$B$810&lt;$B542)*$B$4:$B$810)),'Guide &amp; Settings'!$C$50))/7-'Guide &amp; Settings'!$C$48,0)*'Guide &amp; Settings'!$C$49))</f>
      </c>
    </row>
    <row r="543" spans="1:29">
      <c r="A543" s="116"/>
      <c r="B543" s="117"/>
      <c r="C543" s="118"/>
      <c r="D543" s="118"/>
      <c r="E543" s="116"/>
      <c r="F543" s="119">
        <f>IF($D543="",0,COUNTIF($A$4:$A$810,$A543))</f>
        <v>0</v>
      </c>
      <c r="G543" s="120">
        <f>IF($D543="","",IFERROR(LOOKUP(2,1/(($A$4:$A$810=$A543)*($E$4:$E$810="Win")),$D$4:$D$810),"(no winner)"))</f>
        <v>0</v>
      </c>
      <c r="H543" s="121">
        <f>IF($D543="",0,IFERROR(LOOKUP(2,1/(($D$3:D542=$D543)*($A$3:A542&lt;$A543)),$N$3:N542),'Guide &amp; Settings'!$C$41))</f>
        <v>0</v>
      </c>
      <c r="I543" s="122">
        <f>IF($D543="",0,IF($S543=0,0,$R543/$S543))</f>
        <v>0</v>
      </c>
      <c r="J543" s="123">
        <f>IF($D543="",0,IF($F543&lt;2,0,IF($E543="Win",('Guide &amp; Settings'!$C$42/(($F543-1)*COUNTIFS($A$4:$A$810,$A543,$E$4:$E$810,"Win")))*SUMIFS($X$4:$X$810,$A$4:$A$810,$A543,$E$4:$E$810,"Loss"),-('Guide &amp; Settings'!$C$42/($F543-1))*$X543)))</f>
        <v>0</v>
      </c>
      <c r="K543" s="123">
        <f>IF($D543="",0,'Guide &amp; Settings'!$C$43*(IF($E543="Win",1,0)-$I543))</f>
        <v>0</v>
      </c>
      <c r="L543" s="124">
        <f>IF($D543="",0,'Guide &amp; Settings'!$C$44*IF($F543&gt;=3,$F543+IF($E543="Win",$F543,0),0))</f>
        <v>0</v>
      </c>
      <c r="M543" s="123">
        <f>IF($D543="",0,$J543+$K543+$L543)</f>
        <v>0</v>
      </c>
      <c r="N543" s="121">
        <f>IF($D543="",0,$H543+$M543)</f>
        <v>0</v>
      </c>
      <c r="O543" s="120" t="str">
        <f>IF($D543="","",IF(COUNTIFS($A$4:$A$810,$A543,$E$4:$E$810,"Win")=0,"need a winner",IF(COUNTIFS($A$4:$A$810,$A543,$E$4:$E$810,"Loss")=0,"need a loser",IF(COUNTIFS($A$4:$A$810,$A543,$D$4:$D$810,$D543)&gt;1,"duplicate player","OK"))))</f>
      </c>
      <c r="P543">
        <f>IF($D543="",0,IFERROR(SUMIFS($H$4:$H$810,$A$4:$A$810,$A543,$E$4:$E$810,"Win")/COUNTIFS($A$4:$A$810,$A543,$E$4:$E$810,"Win"),0))</f>
        <v>0</v>
      </c>
      <c r="Q543">
        <f>IF($D543="",0,1/(1+10^(($P543-$H543)/400)))</f>
        <v>0</v>
      </c>
      <c r="R543">
        <f>IF($D543="",0,(COUNTIFS($D$4:$D$810,$D543,$C$4:$C$810,$C543,$E$4:$E$810,"Win",$A$4:$A$810,"&lt;"&amp;$A543)+1)/(COUNTIFS($D$4:$D$810,$D543,$C$4:$C$810,$C543,$A$4:$A$810,"&lt;"&amp;$A543)+2))</f>
        <v>0</v>
      </c>
      <c r="S543">
        <f>IF($D543="",0,SUMIFS($R$4:$R$810,$A$4:$A$810,$A543))</f>
        <v>0</v>
      </c>
      <c r="T543" s="88">
        <f>IF($D543="",0,COUNTIFS($D$4:$D$810,$D543,$C$4:$C$810,$C543,$A$4:$A$810,"&lt;"&amp;$A543))</f>
        <v>0</v>
      </c>
      <c r="U543" s="125">
        <f>IF($D543="",0,IFERROR(LOOKUP(2,1/(($D$3:D542=$D543)*($C$3:C542=$C543)*($A$3:A542&lt;$A543)),$AB$3:AB542),1000))</f>
        <v>0</v>
      </c>
      <c r="V543" s="125">
        <f>IF($D543="",0,$U543*($T543/($T543+5))+$H543*(1-$T543/($T543+5)))</f>
        <v>0</v>
      </c>
      <c r="W543">
        <f>IF($D543="",0,IFERROR(SUMIFS($V$4:$V$810,$A$4:$A$810,$A543,$E$4:$E$810,"Win")/COUNTIFS($A$4:$A$810,$A543,$E$4:$E$810,"Win"),0))</f>
        <v>0</v>
      </c>
      <c r="X543">
        <f>IF($D543="",0,1/(1+10^(($W543-$V543)/400)))</f>
        <v>0</v>
      </c>
      <c r="Y543">
        <f>IF($D543="",0,IFERROR(SUMIFS($U$4:$U$810,$A$4:$A$810,$A543,$E$4:$E$810,"Win")/COUNTIFS($A$4:$A$810,$A543,$E$4:$E$810,"Win"),0))</f>
        <v>0</v>
      </c>
      <c r="Z543">
        <f>IF($D543="",0,1/(1+10^(($Y543-$U543)/400)))</f>
        <v>0</v>
      </c>
      <c r="AA543">
        <f>IF($D543="",0,IF($F543&lt;2,0,IF($E543="Win",('Guide &amp; Settings'!$C$42/(($F543-1)*COUNTIFS($A$4:$A$810,$A543,$E$4:$E$810,"Win")))*SUMIFS($Z$4:$Z$810,$A$4:$A$810,$A543,$E$4:$E$810,"Loss"),-('Guide &amp; Settings'!$C$42/($F543-1))*$Z543)))</f>
        <v>0</v>
      </c>
      <c r="AB543" s="125">
        <f>IF($D543="",0,$U543+$AA543)</f>
        <v>0</v>
      </c>
      <c r="AC543" s="125" t="str">
        <f>IF($D543="","",IF(SUMPRODUCT(MAX(($D$4:$D$810=$D543)*($B$4:$B$810&lt;$B543)*$B$4:$B$810))=0,0,MAX(($B543-MAX(SUMPRODUCT(MAX(($D$4:$D$810=$D543)*($B$4:$B$810&lt;$B543)*$B$4:$B$810)),'Guide &amp; Settings'!$C$50))/7-'Guide &amp; Settings'!$C$48,0)*'Guide &amp; Settings'!$C$49))</f>
      </c>
    </row>
    <row r="544" spans="1:29">
      <c r="A544" s="116"/>
      <c r="B544" s="117"/>
      <c r="C544" s="118"/>
      <c r="D544" s="118"/>
      <c r="E544" s="116"/>
      <c r="F544" s="119">
        <f>IF($D544="",0,COUNTIF($A$4:$A$810,$A544))</f>
        <v>0</v>
      </c>
      <c r="G544" s="120">
        <f>IF($D544="","",IFERROR(LOOKUP(2,1/(($A$4:$A$810=$A544)*($E$4:$E$810="Win")),$D$4:$D$810),"(no winner)"))</f>
        <v>0</v>
      </c>
      <c r="H544" s="121">
        <f>IF($D544="",0,IFERROR(LOOKUP(2,1/(($D$3:D543=$D544)*($A$3:A543&lt;$A544)),$N$3:N543),'Guide &amp; Settings'!$C$41))</f>
        <v>0</v>
      </c>
      <c r="I544" s="122">
        <f>IF($D544="",0,IF($S544=0,0,$R544/$S544))</f>
        <v>0</v>
      </c>
      <c r="J544" s="123">
        <f>IF($D544="",0,IF($F544&lt;2,0,IF($E544="Win",('Guide &amp; Settings'!$C$42/(($F544-1)*COUNTIFS($A$4:$A$810,$A544,$E$4:$E$810,"Win")))*SUMIFS($X$4:$X$810,$A$4:$A$810,$A544,$E$4:$E$810,"Loss"),-('Guide &amp; Settings'!$C$42/($F544-1))*$X544)))</f>
        <v>0</v>
      </c>
      <c r="K544" s="123">
        <f>IF($D544="",0,'Guide &amp; Settings'!$C$43*(IF($E544="Win",1,0)-$I544))</f>
        <v>0</v>
      </c>
      <c r="L544" s="124">
        <f>IF($D544="",0,'Guide &amp; Settings'!$C$44*IF($F544&gt;=3,$F544+IF($E544="Win",$F544,0),0))</f>
        <v>0</v>
      </c>
      <c r="M544" s="123">
        <f>IF($D544="",0,$J544+$K544+$L544)</f>
        <v>0</v>
      </c>
      <c r="N544" s="121">
        <f>IF($D544="",0,$H544+$M544)</f>
        <v>0</v>
      </c>
      <c r="O544" s="120" t="str">
        <f>IF($D544="","",IF(COUNTIFS($A$4:$A$810,$A544,$E$4:$E$810,"Win")=0,"need a winner",IF(COUNTIFS($A$4:$A$810,$A544,$E$4:$E$810,"Loss")=0,"need a loser",IF(COUNTIFS($A$4:$A$810,$A544,$D$4:$D$810,$D544)&gt;1,"duplicate player","OK"))))</f>
      </c>
      <c r="P544">
        <f>IF($D544="",0,IFERROR(SUMIFS($H$4:$H$810,$A$4:$A$810,$A544,$E$4:$E$810,"Win")/COUNTIFS($A$4:$A$810,$A544,$E$4:$E$810,"Win"),0))</f>
        <v>0</v>
      </c>
      <c r="Q544">
        <f>IF($D544="",0,1/(1+10^(($P544-$H544)/400)))</f>
        <v>0</v>
      </c>
      <c r="R544">
        <f>IF($D544="",0,(COUNTIFS($D$4:$D$810,$D544,$C$4:$C$810,$C544,$E$4:$E$810,"Win",$A$4:$A$810,"&lt;"&amp;$A544)+1)/(COUNTIFS($D$4:$D$810,$D544,$C$4:$C$810,$C544,$A$4:$A$810,"&lt;"&amp;$A544)+2))</f>
        <v>0</v>
      </c>
      <c r="S544">
        <f>IF($D544="",0,SUMIFS($R$4:$R$810,$A$4:$A$810,$A544))</f>
        <v>0</v>
      </c>
      <c r="T544" s="88">
        <f>IF($D544="",0,COUNTIFS($D$4:$D$810,$D544,$C$4:$C$810,$C544,$A$4:$A$810,"&lt;"&amp;$A544))</f>
        <v>0</v>
      </c>
      <c r="U544" s="125">
        <f>IF($D544="",0,IFERROR(LOOKUP(2,1/(($D$3:D543=$D544)*($C$3:C543=$C544)*($A$3:A543&lt;$A544)),$AB$3:AB543),1000))</f>
        <v>0</v>
      </c>
      <c r="V544" s="125">
        <f>IF($D544="",0,$U544*($T544/($T544+5))+$H544*(1-$T544/($T544+5)))</f>
        <v>0</v>
      </c>
      <c r="W544">
        <f>IF($D544="",0,IFERROR(SUMIFS($V$4:$V$810,$A$4:$A$810,$A544,$E$4:$E$810,"Win")/COUNTIFS($A$4:$A$810,$A544,$E$4:$E$810,"Win"),0))</f>
        <v>0</v>
      </c>
      <c r="X544">
        <f>IF($D544="",0,1/(1+10^(($W544-$V544)/400)))</f>
        <v>0</v>
      </c>
      <c r="Y544">
        <f>IF($D544="",0,IFERROR(SUMIFS($U$4:$U$810,$A$4:$A$810,$A544,$E$4:$E$810,"Win")/COUNTIFS($A$4:$A$810,$A544,$E$4:$E$810,"Win"),0))</f>
        <v>0</v>
      </c>
      <c r="Z544">
        <f>IF($D544="",0,1/(1+10^(($Y544-$U544)/400)))</f>
        <v>0</v>
      </c>
      <c r="AA544">
        <f>IF($D544="",0,IF($F544&lt;2,0,IF($E544="Win",('Guide &amp; Settings'!$C$42/(($F544-1)*COUNTIFS($A$4:$A$810,$A544,$E$4:$E$810,"Win")))*SUMIFS($Z$4:$Z$810,$A$4:$A$810,$A544,$E$4:$E$810,"Loss"),-('Guide &amp; Settings'!$C$42/($F544-1))*$Z544)))</f>
        <v>0</v>
      </c>
      <c r="AB544" s="125">
        <f>IF($D544="",0,$U544+$AA544)</f>
        <v>0</v>
      </c>
      <c r="AC544" s="125" t="str">
        <f>IF($D544="","",IF(SUMPRODUCT(MAX(($D$4:$D$810=$D544)*($B$4:$B$810&lt;$B544)*$B$4:$B$810))=0,0,MAX(($B544-MAX(SUMPRODUCT(MAX(($D$4:$D$810=$D544)*($B$4:$B$810&lt;$B544)*$B$4:$B$810)),'Guide &amp; Settings'!$C$50))/7-'Guide &amp; Settings'!$C$48,0)*'Guide &amp; Settings'!$C$49))</f>
      </c>
    </row>
    <row r="545" spans="1:29">
      <c r="A545" s="116"/>
      <c r="B545" s="117"/>
      <c r="C545" s="118"/>
      <c r="D545" s="118"/>
      <c r="E545" s="116"/>
      <c r="F545" s="119">
        <f>IF($D545="",0,COUNTIF($A$4:$A$810,$A545))</f>
        <v>0</v>
      </c>
      <c r="G545" s="120">
        <f>IF($D545="","",IFERROR(LOOKUP(2,1/(($A$4:$A$810=$A545)*($E$4:$E$810="Win")),$D$4:$D$810),"(no winner)"))</f>
        <v>0</v>
      </c>
      <c r="H545" s="121">
        <f>IF($D545="",0,IFERROR(LOOKUP(2,1/(($D$3:D544=$D545)*($A$3:A544&lt;$A545)),$N$3:N544),'Guide &amp; Settings'!$C$41))</f>
        <v>0</v>
      </c>
      <c r="I545" s="122">
        <f>IF($D545="",0,IF($S545=0,0,$R545/$S545))</f>
        <v>0</v>
      </c>
      <c r="J545" s="123">
        <f>IF($D545="",0,IF($F545&lt;2,0,IF($E545="Win",('Guide &amp; Settings'!$C$42/(($F545-1)*COUNTIFS($A$4:$A$810,$A545,$E$4:$E$810,"Win")))*SUMIFS($X$4:$X$810,$A$4:$A$810,$A545,$E$4:$E$810,"Loss"),-('Guide &amp; Settings'!$C$42/($F545-1))*$X545)))</f>
        <v>0</v>
      </c>
      <c r="K545" s="123">
        <f>IF($D545="",0,'Guide &amp; Settings'!$C$43*(IF($E545="Win",1,0)-$I545))</f>
        <v>0</v>
      </c>
      <c r="L545" s="124">
        <f>IF($D545="",0,'Guide &amp; Settings'!$C$44*IF($F545&gt;=3,$F545+IF($E545="Win",$F545,0),0))</f>
        <v>0</v>
      </c>
      <c r="M545" s="123">
        <f>IF($D545="",0,$J545+$K545+$L545)</f>
        <v>0</v>
      </c>
      <c r="N545" s="121">
        <f>IF($D545="",0,$H545+$M545)</f>
        <v>0</v>
      </c>
      <c r="O545" s="120" t="str">
        <f>IF($D545="","",IF(COUNTIFS($A$4:$A$810,$A545,$E$4:$E$810,"Win")=0,"need a winner",IF(COUNTIFS($A$4:$A$810,$A545,$E$4:$E$810,"Loss")=0,"need a loser",IF(COUNTIFS($A$4:$A$810,$A545,$D$4:$D$810,$D545)&gt;1,"duplicate player","OK"))))</f>
      </c>
      <c r="P545">
        <f>IF($D545="",0,IFERROR(SUMIFS($H$4:$H$810,$A$4:$A$810,$A545,$E$4:$E$810,"Win")/COUNTIFS($A$4:$A$810,$A545,$E$4:$E$810,"Win"),0))</f>
        <v>0</v>
      </c>
      <c r="Q545">
        <f>IF($D545="",0,1/(1+10^(($P545-$H545)/400)))</f>
        <v>0</v>
      </c>
      <c r="R545">
        <f>IF($D545="",0,(COUNTIFS($D$4:$D$810,$D545,$C$4:$C$810,$C545,$E$4:$E$810,"Win",$A$4:$A$810,"&lt;"&amp;$A545)+1)/(COUNTIFS($D$4:$D$810,$D545,$C$4:$C$810,$C545,$A$4:$A$810,"&lt;"&amp;$A545)+2))</f>
        <v>0</v>
      </c>
      <c r="S545">
        <f>IF($D545="",0,SUMIFS($R$4:$R$810,$A$4:$A$810,$A545))</f>
        <v>0</v>
      </c>
      <c r="T545" s="88">
        <f>IF($D545="",0,COUNTIFS($D$4:$D$810,$D545,$C$4:$C$810,$C545,$A$4:$A$810,"&lt;"&amp;$A545))</f>
        <v>0</v>
      </c>
      <c r="U545" s="125">
        <f>IF($D545="",0,IFERROR(LOOKUP(2,1/(($D$3:D544=$D545)*($C$3:C544=$C545)*($A$3:A544&lt;$A545)),$AB$3:AB544),1000))</f>
        <v>0</v>
      </c>
      <c r="V545" s="125">
        <f>IF($D545="",0,$U545*($T545/($T545+5))+$H545*(1-$T545/($T545+5)))</f>
        <v>0</v>
      </c>
      <c r="W545">
        <f>IF($D545="",0,IFERROR(SUMIFS($V$4:$V$810,$A$4:$A$810,$A545,$E$4:$E$810,"Win")/COUNTIFS($A$4:$A$810,$A545,$E$4:$E$810,"Win"),0))</f>
        <v>0</v>
      </c>
      <c r="X545">
        <f>IF($D545="",0,1/(1+10^(($W545-$V545)/400)))</f>
        <v>0</v>
      </c>
      <c r="Y545">
        <f>IF($D545="",0,IFERROR(SUMIFS($U$4:$U$810,$A$4:$A$810,$A545,$E$4:$E$810,"Win")/COUNTIFS($A$4:$A$810,$A545,$E$4:$E$810,"Win"),0))</f>
        <v>0</v>
      </c>
      <c r="Z545">
        <f>IF($D545="",0,1/(1+10^(($Y545-$U545)/400)))</f>
        <v>0</v>
      </c>
      <c r="AA545">
        <f>IF($D545="",0,IF($F545&lt;2,0,IF($E545="Win",('Guide &amp; Settings'!$C$42/(($F545-1)*COUNTIFS($A$4:$A$810,$A545,$E$4:$E$810,"Win")))*SUMIFS($Z$4:$Z$810,$A$4:$A$810,$A545,$E$4:$E$810,"Loss"),-('Guide &amp; Settings'!$C$42/($F545-1))*$Z545)))</f>
        <v>0</v>
      </c>
      <c r="AB545" s="125">
        <f>IF($D545="",0,$U545+$AA545)</f>
        <v>0</v>
      </c>
      <c r="AC545" s="125" t="str">
        <f>IF($D545="","",IF(SUMPRODUCT(MAX(($D$4:$D$810=$D545)*($B$4:$B$810&lt;$B545)*$B$4:$B$810))=0,0,MAX(($B545-MAX(SUMPRODUCT(MAX(($D$4:$D$810=$D545)*($B$4:$B$810&lt;$B545)*$B$4:$B$810)),'Guide &amp; Settings'!$C$50))/7-'Guide &amp; Settings'!$C$48,0)*'Guide &amp; Settings'!$C$49))</f>
      </c>
    </row>
    <row r="546" spans="1:29">
      <c r="A546" s="116"/>
      <c r="B546" s="117"/>
      <c r="C546" s="118"/>
      <c r="D546" s="118"/>
      <c r="E546" s="116"/>
      <c r="F546" s="119">
        <f>IF($D546="",0,COUNTIF($A$4:$A$810,$A546))</f>
        <v>0</v>
      </c>
      <c r="G546" s="120">
        <f>IF($D546="","",IFERROR(LOOKUP(2,1/(($A$4:$A$810=$A546)*($E$4:$E$810="Win")),$D$4:$D$810),"(no winner)"))</f>
        <v>0</v>
      </c>
      <c r="H546" s="121">
        <f>IF($D546="",0,IFERROR(LOOKUP(2,1/(($D$3:D545=$D546)*($A$3:A545&lt;$A546)),$N$3:N545),'Guide &amp; Settings'!$C$41))</f>
        <v>0</v>
      </c>
      <c r="I546" s="122">
        <f>IF($D546="",0,IF($S546=0,0,$R546/$S546))</f>
        <v>0</v>
      </c>
      <c r="J546" s="123">
        <f>IF($D546="",0,IF($F546&lt;2,0,IF($E546="Win",('Guide &amp; Settings'!$C$42/(($F546-1)*COUNTIFS($A$4:$A$810,$A546,$E$4:$E$810,"Win")))*SUMIFS($X$4:$X$810,$A$4:$A$810,$A546,$E$4:$E$810,"Loss"),-('Guide &amp; Settings'!$C$42/($F546-1))*$X546)))</f>
        <v>0</v>
      </c>
      <c r="K546" s="123">
        <f>IF($D546="",0,'Guide &amp; Settings'!$C$43*(IF($E546="Win",1,0)-$I546))</f>
        <v>0</v>
      </c>
      <c r="L546" s="124">
        <f>IF($D546="",0,'Guide &amp; Settings'!$C$44*IF($F546&gt;=3,$F546+IF($E546="Win",$F546,0),0))</f>
        <v>0</v>
      </c>
      <c r="M546" s="123">
        <f>IF($D546="",0,$J546+$K546+$L546)</f>
        <v>0</v>
      </c>
      <c r="N546" s="121">
        <f>IF($D546="",0,$H546+$M546)</f>
        <v>0</v>
      </c>
      <c r="O546" s="120" t="str">
        <f>IF($D546="","",IF(COUNTIFS($A$4:$A$810,$A546,$E$4:$E$810,"Win")=0,"need a winner",IF(COUNTIFS($A$4:$A$810,$A546,$E$4:$E$810,"Loss")=0,"need a loser",IF(COUNTIFS($A$4:$A$810,$A546,$D$4:$D$810,$D546)&gt;1,"duplicate player","OK"))))</f>
      </c>
      <c r="P546">
        <f>IF($D546="",0,IFERROR(SUMIFS($H$4:$H$810,$A$4:$A$810,$A546,$E$4:$E$810,"Win")/COUNTIFS($A$4:$A$810,$A546,$E$4:$E$810,"Win"),0))</f>
        <v>0</v>
      </c>
      <c r="Q546">
        <f>IF($D546="",0,1/(1+10^(($P546-$H546)/400)))</f>
        <v>0</v>
      </c>
      <c r="R546">
        <f>IF($D546="",0,(COUNTIFS($D$4:$D$810,$D546,$C$4:$C$810,$C546,$E$4:$E$810,"Win",$A$4:$A$810,"&lt;"&amp;$A546)+1)/(COUNTIFS($D$4:$D$810,$D546,$C$4:$C$810,$C546,$A$4:$A$810,"&lt;"&amp;$A546)+2))</f>
        <v>0</v>
      </c>
      <c r="S546">
        <f>IF($D546="",0,SUMIFS($R$4:$R$810,$A$4:$A$810,$A546))</f>
        <v>0</v>
      </c>
      <c r="T546" s="88">
        <f>IF($D546="",0,COUNTIFS($D$4:$D$810,$D546,$C$4:$C$810,$C546,$A$4:$A$810,"&lt;"&amp;$A546))</f>
        <v>0</v>
      </c>
      <c r="U546" s="125">
        <f>IF($D546="",0,IFERROR(LOOKUP(2,1/(($D$3:D545=$D546)*($C$3:C545=$C546)*($A$3:A545&lt;$A546)),$AB$3:AB545),1000))</f>
        <v>0</v>
      </c>
      <c r="V546" s="125">
        <f>IF($D546="",0,$U546*($T546/($T546+5))+$H546*(1-$T546/($T546+5)))</f>
        <v>0</v>
      </c>
      <c r="W546">
        <f>IF($D546="",0,IFERROR(SUMIFS($V$4:$V$810,$A$4:$A$810,$A546,$E$4:$E$810,"Win")/COUNTIFS($A$4:$A$810,$A546,$E$4:$E$810,"Win"),0))</f>
        <v>0</v>
      </c>
      <c r="X546">
        <f>IF($D546="",0,1/(1+10^(($W546-$V546)/400)))</f>
        <v>0</v>
      </c>
      <c r="Y546">
        <f>IF($D546="",0,IFERROR(SUMIFS($U$4:$U$810,$A$4:$A$810,$A546,$E$4:$E$810,"Win")/COUNTIFS($A$4:$A$810,$A546,$E$4:$E$810,"Win"),0))</f>
        <v>0</v>
      </c>
      <c r="Z546">
        <f>IF($D546="",0,1/(1+10^(($Y546-$U546)/400)))</f>
        <v>0</v>
      </c>
      <c r="AA546">
        <f>IF($D546="",0,IF($F546&lt;2,0,IF($E546="Win",('Guide &amp; Settings'!$C$42/(($F546-1)*COUNTIFS($A$4:$A$810,$A546,$E$4:$E$810,"Win")))*SUMIFS($Z$4:$Z$810,$A$4:$A$810,$A546,$E$4:$E$810,"Loss"),-('Guide &amp; Settings'!$C$42/($F546-1))*$Z546)))</f>
        <v>0</v>
      </c>
      <c r="AB546" s="125">
        <f>IF($D546="",0,$U546+$AA546)</f>
        <v>0</v>
      </c>
      <c r="AC546" s="125" t="str">
        <f>IF($D546="","",IF(SUMPRODUCT(MAX(($D$4:$D$810=$D546)*($B$4:$B$810&lt;$B546)*$B$4:$B$810))=0,0,MAX(($B546-MAX(SUMPRODUCT(MAX(($D$4:$D$810=$D546)*($B$4:$B$810&lt;$B546)*$B$4:$B$810)),'Guide &amp; Settings'!$C$50))/7-'Guide &amp; Settings'!$C$48,0)*'Guide &amp; Settings'!$C$49))</f>
      </c>
    </row>
    <row r="547" spans="1:29">
      <c r="A547" s="116"/>
      <c r="B547" s="117"/>
      <c r="C547" s="118"/>
      <c r="D547" s="118"/>
      <c r="E547" s="116"/>
      <c r="F547" s="119">
        <f>IF($D547="",0,COUNTIF($A$4:$A$810,$A547))</f>
        <v>0</v>
      </c>
      <c r="G547" s="120">
        <f>IF($D547="","",IFERROR(LOOKUP(2,1/(($A$4:$A$810=$A547)*($E$4:$E$810="Win")),$D$4:$D$810),"(no winner)"))</f>
        <v>0</v>
      </c>
      <c r="H547" s="121">
        <f>IF($D547="",0,IFERROR(LOOKUP(2,1/(($D$3:D546=$D547)*($A$3:A546&lt;$A547)),$N$3:N546),'Guide &amp; Settings'!$C$41))</f>
        <v>0</v>
      </c>
      <c r="I547" s="122">
        <f>IF($D547="",0,IF($S547=0,0,$R547/$S547))</f>
        <v>0</v>
      </c>
      <c r="J547" s="123">
        <f>IF($D547="",0,IF($F547&lt;2,0,IF($E547="Win",('Guide &amp; Settings'!$C$42/(($F547-1)*COUNTIFS($A$4:$A$810,$A547,$E$4:$E$810,"Win")))*SUMIFS($X$4:$X$810,$A$4:$A$810,$A547,$E$4:$E$810,"Loss"),-('Guide &amp; Settings'!$C$42/($F547-1))*$X547)))</f>
        <v>0</v>
      </c>
      <c r="K547" s="123">
        <f>IF($D547="",0,'Guide &amp; Settings'!$C$43*(IF($E547="Win",1,0)-$I547))</f>
        <v>0</v>
      </c>
      <c r="L547" s="124">
        <f>IF($D547="",0,'Guide &amp; Settings'!$C$44*IF($F547&gt;=3,$F547+IF($E547="Win",$F547,0),0))</f>
        <v>0</v>
      </c>
      <c r="M547" s="123">
        <f>IF($D547="",0,$J547+$K547+$L547)</f>
        <v>0</v>
      </c>
      <c r="N547" s="121">
        <f>IF($D547="",0,$H547+$M547)</f>
        <v>0</v>
      </c>
      <c r="O547" s="120" t="str">
        <f>IF($D547="","",IF(COUNTIFS($A$4:$A$810,$A547,$E$4:$E$810,"Win")=0,"need a winner",IF(COUNTIFS($A$4:$A$810,$A547,$E$4:$E$810,"Loss")=0,"need a loser",IF(COUNTIFS($A$4:$A$810,$A547,$D$4:$D$810,$D547)&gt;1,"duplicate player","OK"))))</f>
      </c>
      <c r="P547">
        <f>IF($D547="",0,IFERROR(SUMIFS($H$4:$H$810,$A$4:$A$810,$A547,$E$4:$E$810,"Win")/COUNTIFS($A$4:$A$810,$A547,$E$4:$E$810,"Win"),0))</f>
        <v>0</v>
      </c>
      <c r="Q547">
        <f>IF($D547="",0,1/(1+10^(($P547-$H547)/400)))</f>
        <v>0</v>
      </c>
      <c r="R547">
        <f>IF($D547="",0,(COUNTIFS($D$4:$D$810,$D547,$C$4:$C$810,$C547,$E$4:$E$810,"Win",$A$4:$A$810,"&lt;"&amp;$A547)+1)/(COUNTIFS($D$4:$D$810,$D547,$C$4:$C$810,$C547,$A$4:$A$810,"&lt;"&amp;$A547)+2))</f>
        <v>0</v>
      </c>
      <c r="S547">
        <f>IF($D547="",0,SUMIFS($R$4:$R$810,$A$4:$A$810,$A547))</f>
        <v>0</v>
      </c>
      <c r="T547" s="88">
        <f>IF($D547="",0,COUNTIFS($D$4:$D$810,$D547,$C$4:$C$810,$C547,$A$4:$A$810,"&lt;"&amp;$A547))</f>
        <v>0</v>
      </c>
      <c r="U547" s="125">
        <f>IF($D547="",0,IFERROR(LOOKUP(2,1/(($D$3:D546=$D547)*($C$3:C546=$C547)*($A$3:A546&lt;$A547)),$AB$3:AB546),1000))</f>
        <v>0</v>
      </c>
      <c r="V547" s="125">
        <f>IF($D547="",0,$U547*($T547/($T547+5))+$H547*(1-$T547/($T547+5)))</f>
        <v>0</v>
      </c>
      <c r="W547">
        <f>IF($D547="",0,IFERROR(SUMIFS($V$4:$V$810,$A$4:$A$810,$A547,$E$4:$E$810,"Win")/COUNTIFS($A$4:$A$810,$A547,$E$4:$E$810,"Win"),0))</f>
        <v>0</v>
      </c>
      <c r="X547">
        <f>IF($D547="",0,1/(1+10^(($W547-$V547)/400)))</f>
        <v>0</v>
      </c>
      <c r="Y547">
        <f>IF($D547="",0,IFERROR(SUMIFS($U$4:$U$810,$A$4:$A$810,$A547,$E$4:$E$810,"Win")/COUNTIFS($A$4:$A$810,$A547,$E$4:$E$810,"Win"),0))</f>
        <v>0</v>
      </c>
      <c r="Z547">
        <f>IF($D547="",0,1/(1+10^(($Y547-$U547)/400)))</f>
        <v>0</v>
      </c>
      <c r="AA547">
        <f>IF($D547="",0,IF($F547&lt;2,0,IF($E547="Win",('Guide &amp; Settings'!$C$42/(($F547-1)*COUNTIFS($A$4:$A$810,$A547,$E$4:$E$810,"Win")))*SUMIFS($Z$4:$Z$810,$A$4:$A$810,$A547,$E$4:$E$810,"Loss"),-('Guide &amp; Settings'!$C$42/($F547-1))*$Z547)))</f>
        <v>0</v>
      </c>
      <c r="AB547" s="125">
        <f>IF($D547="",0,$U547+$AA547)</f>
        <v>0</v>
      </c>
      <c r="AC547" s="125" t="str">
        <f>IF($D547="","",IF(SUMPRODUCT(MAX(($D$4:$D$810=$D547)*($B$4:$B$810&lt;$B547)*$B$4:$B$810))=0,0,MAX(($B547-MAX(SUMPRODUCT(MAX(($D$4:$D$810=$D547)*($B$4:$B$810&lt;$B547)*$B$4:$B$810)),'Guide &amp; Settings'!$C$50))/7-'Guide &amp; Settings'!$C$48,0)*'Guide &amp; Settings'!$C$49))</f>
      </c>
    </row>
    <row r="548" spans="1:29">
      <c r="A548" s="116"/>
      <c r="B548" s="117"/>
      <c r="C548" s="118"/>
      <c r="D548" s="118"/>
      <c r="E548" s="116"/>
      <c r="F548" s="119">
        <f>IF($D548="",0,COUNTIF($A$4:$A$810,$A548))</f>
        <v>0</v>
      </c>
      <c r="G548" s="120">
        <f>IF($D548="","",IFERROR(LOOKUP(2,1/(($A$4:$A$810=$A548)*($E$4:$E$810="Win")),$D$4:$D$810),"(no winner)"))</f>
        <v>0</v>
      </c>
      <c r="H548" s="121">
        <f>IF($D548="",0,IFERROR(LOOKUP(2,1/(($D$3:D547=$D548)*($A$3:A547&lt;$A548)),$N$3:N547),'Guide &amp; Settings'!$C$41))</f>
        <v>0</v>
      </c>
      <c r="I548" s="122">
        <f>IF($D548="",0,IF($S548=0,0,$R548/$S548))</f>
        <v>0</v>
      </c>
      <c r="J548" s="123">
        <f>IF($D548="",0,IF($F548&lt;2,0,IF($E548="Win",('Guide &amp; Settings'!$C$42/(($F548-1)*COUNTIFS($A$4:$A$810,$A548,$E$4:$E$810,"Win")))*SUMIFS($X$4:$X$810,$A$4:$A$810,$A548,$E$4:$E$810,"Loss"),-('Guide &amp; Settings'!$C$42/($F548-1))*$X548)))</f>
        <v>0</v>
      </c>
      <c r="K548" s="123">
        <f>IF($D548="",0,'Guide &amp; Settings'!$C$43*(IF($E548="Win",1,0)-$I548))</f>
        <v>0</v>
      </c>
      <c r="L548" s="124">
        <f>IF($D548="",0,'Guide &amp; Settings'!$C$44*IF($F548&gt;=3,$F548+IF($E548="Win",$F548,0),0))</f>
        <v>0</v>
      </c>
      <c r="M548" s="123">
        <f>IF($D548="",0,$J548+$K548+$L548)</f>
        <v>0</v>
      </c>
      <c r="N548" s="121">
        <f>IF($D548="",0,$H548+$M548)</f>
        <v>0</v>
      </c>
      <c r="O548" s="120" t="str">
        <f>IF($D548="","",IF(COUNTIFS($A$4:$A$810,$A548,$E$4:$E$810,"Win")=0,"need a winner",IF(COUNTIFS($A$4:$A$810,$A548,$E$4:$E$810,"Loss")=0,"need a loser",IF(COUNTIFS($A$4:$A$810,$A548,$D$4:$D$810,$D548)&gt;1,"duplicate player","OK"))))</f>
      </c>
      <c r="P548">
        <f>IF($D548="",0,IFERROR(SUMIFS($H$4:$H$810,$A$4:$A$810,$A548,$E$4:$E$810,"Win")/COUNTIFS($A$4:$A$810,$A548,$E$4:$E$810,"Win"),0))</f>
        <v>0</v>
      </c>
      <c r="Q548">
        <f>IF($D548="",0,1/(1+10^(($P548-$H548)/400)))</f>
        <v>0</v>
      </c>
      <c r="R548">
        <f>IF($D548="",0,(COUNTIFS($D$4:$D$810,$D548,$C$4:$C$810,$C548,$E$4:$E$810,"Win",$A$4:$A$810,"&lt;"&amp;$A548)+1)/(COUNTIFS($D$4:$D$810,$D548,$C$4:$C$810,$C548,$A$4:$A$810,"&lt;"&amp;$A548)+2))</f>
        <v>0</v>
      </c>
      <c r="S548">
        <f>IF($D548="",0,SUMIFS($R$4:$R$810,$A$4:$A$810,$A548))</f>
        <v>0</v>
      </c>
      <c r="T548" s="88">
        <f>IF($D548="",0,COUNTIFS($D$4:$D$810,$D548,$C$4:$C$810,$C548,$A$4:$A$810,"&lt;"&amp;$A548))</f>
        <v>0</v>
      </c>
      <c r="U548" s="125">
        <f>IF($D548="",0,IFERROR(LOOKUP(2,1/(($D$3:D547=$D548)*($C$3:C547=$C548)*($A$3:A547&lt;$A548)),$AB$3:AB547),1000))</f>
        <v>0</v>
      </c>
      <c r="V548" s="125">
        <f>IF($D548="",0,$U548*($T548/($T548+5))+$H548*(1-$T548/($T548+5)))</f>
        <v>0</v>
      </c>
      <c r="W548">
        <f>IF($D548="",0,IFERROR(SUMIFS($V$4:$V$810,$A$4:$A$810,$A548,$E$4:$E$810,"Win")/COUNTIFS($A$4:$A$810,$A548,$E$4:$E$810,"Win"),0))</f>
        <v>0</v>
      </c>
      <c r="X548">
        <f>IF($D548="",0,1/(1+10^(($W548-$V548)/400)))</f>
        <v>0</v>
      </c>
      <c r="Y548">
        <f>IF($D548="",0,IFERROR(SUMIFS($U$4:$U$810,$A$4:$A$810,$A548,$E$4:$E$810,"Win")/COUNTIFS($A$4:$A$810,$A548,$E$4:$E$810,"Win"),0))</f>
        <v>0</v>
      </c>
      <c r="Z548">
        <f>IF($D548="",0,1/(1+10^(($Y548-$U548)/400)))</f>
        <v>0</v>
      </c>
      <c r="AA548">
        <f>IF($D548="",0,IF($F548&lt;2,0,IF($E548="Win",('Guide &amp; Settings'!$C$42/(($F548-1)*COUNTIFS($A$4:$A$810,$A548,$E$4:$E$810,"Win")))*SUMIFS($Z$4:$Z$810,$A$4:$A$810,$A548,$E$4:$E$810,"Loss"),-('Guide &amp; Settings'!$C$42/($F548-1))*$Z548)))</f>
        <v>0</v>
      </c>
      <c r="AB548" s="125">
        <f>IF($D548="",0,$U548+$AA548)</f>
        <v>0</v>
      </c>
      <c r="AC548" s="125" t="str">
        <f>IF($D548="","",IF(SUMPRODUCT(MAX(($D$4:$D$810=$D548)*($B$4:$B$810&lt;$B548)*$B$4:$B$810))=0,0,MAX(($B548-MAX(SUMPRODUCT(MAX(($D$4:$D$810=$D548)*($B$4:$B$810&lt;$B548)*$B$4:$B$810)),'Guide &amp; Settings'!$C$50))/7-'Guide &amp; Settings'!$C$48,0)*'Guide &amp; Settings'!$C$49))</f>
      </c>
    </row>
    <row r="549" spans="1:29">
      <c r="A549" s="116"/>
      <c r="B549" s="117"/>
      <c r="C549" s="118"/>
      <c r="D549" s="118"/>
      <c r="E549" s="116"/>
      <c r="F549" s="119">
        <f>IF($D549="",0,COUNTIF($A$4:$A$810,$A549))</f>
        <v>0</v>
      </c>
      <c r="G549" s="120">
        <f>IF($D549="","",IFERROR(LOOKUP(2,1/(($A$4:$A$810=$A549)*($E$4:$E$810="Win")),$D$4:$D$810),"(no winner)"))</f>
        <v>0</v>
      </c>
      <c r="H549" s="121">
        <f>IF($D549="",0,IFERROR(LOOKUP(2,1/(($D$3:D548=$D549)*($A$3:A548&lt;$A549)),$N$3:N548),'Guide &amp; Settings'!$C$41))</f>
        <v>0</v>
      </c>
      <c r="I549" s="122">
        <f>IF($D549="",0,IF($S549=0,0,$R549/$S549))</f>
        <v>0</v>
      </c>
      <c r="J549" s="123">
        <f>IF($D549="",0,IF($F549&lt;2,0,IF($E549="Win",('Guide &amp; Settings'!$C$42/(($F549-1)*COUNTIFS($A$4:$A$810,$A549,$E$4:$E$810,"Win")))*SUMIFS($X$4:$X$810,$A$4:$A$810,$A549,$E$4:$E$810,"Loss"),-('Guide &amp; Settings'!$C$42/($F549-1))*$X549)))</f>
        <v>0</v>
      </c>
      <c r="K549" s="123">
        <f>IF($D549="",0,'Guide &amp; Settings'!$C$43*(IF($E549="Win",1,0)-$I549))</f>
        <v>0</v>
      </c>
      <c r="L549" s="124">
        <f>IF($D549="",0,'Guide &amp; Settings'!$C$44*IF($F549&gt;=3,$F549+IF($E549="Win",$F549,0),0))</f>
        <v>0</v>
      </c>
      <c r="M549" s="123">
        <f>IF($D549="",0,$J549+$K549+$L549)</f>
        <v>0</v>
      </c>
      <c r="N549" s="121">
        <f>IF($D549="",0,$H549+$M549)</f>
        <v>0</v>
      </c>
      <c r="O549" s="120" t="str">
        <f>IF($D549="","",IF(COUNTIFS($A$4:$A$810,$A549,$E$4:$E$810,"Win")=0,"need a winner",IF(COUNTIFS($A$4:$A$810,$A549,$E$4:$E$810,"Loss")=0,"need a loser",IF(COUNTIFS($A$4:$A$810,$A549,$D$4:$D$810,$D549)&gt;1,"duplicate player","OK"))))</f>
      </c>
      <c r="P549">
        <f>IF($D549="",0,IFERROR(SUMIFS($H$4:$H$810,$A$4:$A$810,$A549,$E$4:$E$810,"Win")/COUNTIFS($A$4:$A$810,$A549,$E$4:$E$810,"Win"),0))</f>
        <v>0</v>
      </c>
      <c r="Q549">
        <f>IF($D549="",0,1/(1+10^(($P549-$H549)/400)))</f>
        <v>0</v>
      </c>
      <c r="R549">
        <f>IF($D549="",0,(COUNTIFS($D$4:$D$810,$D549,$C$4:$C$810,$C549,$E$4:$E$810,"Win",$A$4:$A$810,"&lt;"&amp;$A549)+1)/(COUNTIFS($D$4:$D$810,$D549,$C$4:$C$810,$C549,$A$4:$A$810,"&lt;"&amp;$A549)+2))</f>
        <v>0</v>
      </c>
      <c r="S549">
        <f>IF($D549="",0,SUMIFS($R$4:$R$810,$A$4:$A$810,$A549))</f>
        <v>0</v>
      </c>
      <c r="T549" s="88">
        <f>IF($D549="",0,COUNTIFS($D$4:$D$810,$D549,$C$4:$C$810,$C549,$A$4:$A$810,"&lt;"&amp;$A549))</f>
        <v>0</v>
      </c>
      <c r="U549" s="125">
        <f>IF($D549="",0,IFERROR(LOOKUP(2,1/(($D$3:D548=$D549)*($C$3:C548=$C549)*($A$3:A548&lt;$A549)),$AB$3:AB548),1000))</f>
        <v>0</v>
      </c>
      <c r="V549" s="125">
        <f>IF($D549="",0,$U549*($T549/($T549+5))+$H549*(1-$T549/($T549+5)))</f>
        <v>0</v>
      </c>
      <c r="W549">
        <f>IF($D549="",0,IFERROR(SUMIFS($V$4:$V$810,$A$4:$A$810,$A549,$E$4:$E$810,"Win")/COUNTIFS($A$4:$A$810,$A549,$E$4:$E$810,"Win"),0))</f>
        <v>0</v>
      </c>
      <c r="X549">
        <f>IF($D549="",0,1/(1+10^(($W549-$V549)/400)))</f>
        <v>0</v>
      </c>
      <c r="Y549">
        <f>IF($D549="",0,IFERROR(SUMIFS($U$4:$U$810,$A$4:$A$810,$A549,$E$4:$E$810,"Win")/COUNTIFS($A$4:$A$810,$A549,$E$4:$E$810,"Win"),0))</f>
        <v>0</v>
      </c>
      <c r="Z549">
        <f>IF($D549="",0,1/(1+10^(($Y549-$U549)/400)))</f>
        <v>0</v>
      </c>
      <c r="AA549">
        <f>IF($D549="",0,IF($F549&lt;2,0,IF($E549="Win",('Guide &amp; Settings'!$C$42/(($F549-1)*COUNTIFS($A$4:$A$810,$A549,$E$4:$E$810,"Win")))*SUMIFS($Z$4:$Z$810,$A$4:$A$810,$A549,$E$4:$E$810,"Loss"),-('Guide &amp; Settings'!$C$42/($F549-1))*$Z549)))</f>
        <v>0</v>
      </c>
      <c r="AB549" s="125">
        <f>IF($D549="",0,$U549+$AA549)</f>
        <v>0</v>
      </c>
      <c r="AC549" s="125" t="str">
        <f>IF($D549="","",IF(SUMPRODUCT(MAX(($D$4:$D$810=$D549)*($B$4:$B$810&lt;$B549)*$B$4:$B$810))=0,0,MAX(($B549-MAX(SUMPRODUCT(MAX(($D$4:$D$810=$D549)*($B$4:$B$810&lt;$B549)*$B$4:$B$810)),'Guide &amp; Settings'!$C$50))/7-'Guide &amp; Settings'!$C$48,0)*'Guide &amp; Settings'!$C$49))</f>
      </c>
    </row>
    <row r="550" spans="1:29">
      <c r="A550" s="116"/>
      <c r="B550" s="117"/>
      <c r="C550" s="118"/>
      <c r="D550" s="118"/>
      <c r="E550" s="116"/>
      <c r="F550" s="119">
        <f>IF($D550="",0,COUNTIF($A$4:$A$810,$A550))</f>
        <v>0</v>
      </c>
      <c r="G550" s="120">
        <f>IF($D550="","",IFERROR(LOOKUP(2,1/(($A$4:$A$810=$A550)*($E$4:$E$810="Win")),$D$4:$D$810),"(no winner)"))</f>
        <v>0</v>
      </c>
      <c r="H550" s="121">
        <f>IF($D550="",0,IFERROR(LOOKUP(2,1/(($D$3:D549=$D550)*($A$3:A549&lt;$A550)),$N$3:N549),'Guide &amp; Settings'!$C$41))</f>
        <v>0</v>
      </c>
      <c r="I550" s="122">
        <f>IF($D550="",0,IF($S550=0,0,$R550/$S550))</f>
        <v>0</v>
      </c>
      <c r="J550" s="123">
        <f>IF($D550="",0,IF($F550&lt;2,0,IF($E550="Win",('Guide &amp; Settings'!$C$42/(($F550-1)*COUNTIFS($A$4:$A$810,$A550,$E$4:$E$810,"Win")))*SUMIFS($X$4:$X$810,$A$4:$A$810,$A550,$E$4:$E$810,"Loss"),-('Guide &amp; Settings'!$C$42/($F550-1))*$X550)))</f>
        <v>0</v>
      </c>
      <c r="K550" s="123">
        <f>IF($D550="",0,'Guide &amp; Settings'!$C$43*(IF($E550="Win",1,0)-$I550))</f>
        <v>0</v>
      </c>
      <c r="L550" s="124">
        <f>IF($D550="",0,'Guide &amp; Settings'!$C$44*IF($F550&gt;=3,$F550+IF($E550="Win",$F550,0),0))</f>
        <v>0</v>
      </c>
      <c r="M550" s="123">
        <f>IF($D550="",0,$J550+$K550+$L550)</f>
        <v>0</v>
      </c>
      <c r="N550" s="121">
        <f>IF($D550="",0,$H550+$M550)</f>
        <v>0</v>
      </c>
      <c r="O550" s="120" t="str">
        <f>IF($D550="","",IF(COUNTIFS($A$4:$A$810,$A550,$E$4:$E$810,"Win")=0,"need a winner",IF(COUNTIFS($A$4:$A$810,$A550,$E$4:$E$810,"Loss")=0,"need a loser",IF(COUNTIFS($A$4:$A$810,$A550,$D$4:$D$810,$D550)&gt;1,"duplicate player","OK"))))</f>
      </c>
      <c r="P550">
        <f>IF($D550="",0,IFERROR(SUMIFS($H$4:$H$810,$A$4:$A$810,$A550,$E$4:$E$810,"Win")/COUNTIFS($A$4:$A$810,$A550,$E$4:$E$810,"Win"),0))</f>
        <v>0</v>
      </c>
      <c r="Q550">
        <f>IF($D550="",0,1/(1+10^(($P550-$H550)/400)))</f>
        <v>0</v>
      </c>
      <c r="R550">
        <f>IF($D550="",0,(COUNTIFS($D$4:$D$810,$D550,$C$4:$C$810,$C550,$E$4:$E$810,"Win",$A$4:$A$810,"&lt;"&amp;$A550)+1)/(COUNTIFS($D$4:$D$810,$D550,$C$4:$C$810,$C550,$A$4:$A$810,"&lt;"&amp;$A550)+2))</f>
        <v>0</v>
      </c>
      <c r="S550">
        <f>IF($D550="",0,SUMIFS($R$4:$R$810,$A$4:$A$810,$A550))</f>
        <v>0</v>
      </c>
      <c r="T550" s="88">
        <f>IF($D550="",0,COUNTIFS($D$4:$D$810,$D550,$C$4:$C$810,$C550,$A$4:$A$810,"&lt;"&amp;$A550))</f>
        <v>0</v>
      </c>
      <c r="U550" s="125">
        <f>IF($D550="",0,IFERROR(LOOKUP(2,1/(($D$3:D549=$D550)*($C$3:C549=$C550)*($A$3:A549&lt;$A550)),$AB$3:AB549),1000))</f>
        <v>0</v>
      </c>
      <c r="V550" s="125">
        <f>IF($D550="",0,$U550*($T550/($T550+5))+$H550*(1-$T550/($T550+5)))</f>
        <v>0</v>
      </c>
      <c r="W550">
        <f>IF($D550="",0,IFERROR(SUMIFS($V$4:$V$810,$A$4:$A$810,$A550,$E$4:$E$810,"Win")/COUNTIFS($A$4:$A$810,$A550,$E$4:$E$810,"Win"),0))</f>
        <v>0</v>
      </c>
      <c r="X550">
        <f>IF($D550="",0,1/(1+10^(($W550-$V550)/400)))</f>
        <v>0</v>
      </c>
      <c r="Y550">
        <f>IF($D550="",0,IFERROR(SUMIFS($U$4:$U$810,$A$4:$A$810,$A550,$E$4:$E$810,"Win")/COUNTIFS($A$4:$A$810,$A550,$E$4:$E$810,"Win"),0))</f>
        <v>0</v>
      </c>
      <c r="Z550">
        <f>IF($D550="",0,1/(1+10^(($Y550-$U550)/400)))</f>
        <v>0</v>
      </c>
      <c r="AA550">
        <f>IF($D550="",0,IF($F550&lt;2,0,IF($E550="Win",('Guide &amp; Settings'!$C$42/(($F550-1)*COUNTIFS($A$4:$A$810,$A550,$E$4:$E$810,"Win")))*SUMIFS($Z$4:$Z$810,$A$4:$A$810,$A550,$E$4:$E$810,"Loss"),-('Guide &amp; Settings'!$C$42/($F550-1))*$Z550)))</f>
        <v>0</v>
      </c>
      <c r="AB550" s="125">
        <f>IF($D550="",0,$U550+$AA550)</f>
        <v>0</v>
      </c>
      <c r="AC550" s="125" t="str">
        <f>IF($D550="","",IF(SUMPRODUCT(MAX(($D$4:$D$810=$D550)*($B$4:$B$810&lt;$B550)*$B$4:$B$810))=0,0,MAX(($B550-MAX(SUMPRODUCT(MAX(($D$4:$D$810=$D550)*($B$4:$B$810&lt;$B550)*$B$4:$B$810)),'Guide &amp; Settings'!$C$50))/7-'Guide &amp; Settings'!$C$48,0)*'Guide &amp; Settings'!$C$49))</f>
      </c>
    </row>
    <row r="551" spans="1:29">
      <c r="A551" s="116"/>
      <c r="B551" s="117"/>
      <c r="C551" s="118"/>
      <c r="D551" s="118"/>
      <c r="E551" s="116"/>
      <c r="F551" s="119">
        <f>IF($D551="",0,COUNTIF($A$4:$A$810,$A551))</f>
        <v>0</v>
      </c>
      <c r="G551" s="120">
        <f>IF($D551="","",IFERROR(LOOKUP(2,1/(($A$4:$A$810=$A551)*($E$4:$E$810="Win")),$D$4:$D$810),"(no winner)"))</f>
        <v>0</v>
      </c>
      <c r="H551" s="121">
        <f>IF($D551="",0,IFERROR(LOOKUP(2,1/(($D$3:D550=$D551)*($A$3:A550&lt;$A551)),$N$3:N550),'Guide &amp; Settings'!$C$41))</f>
        <v>0</v>
      </c>
      <c r="I551" s="122">
        <f>IF($D551="",0,IF($S551=0,0,$R551/$S551))</f>
        <v>0</v>
      </c>
      <c r="J551" s="123">
        <f>IF($D551="",0,IF($F551&lt;2,0,IF($E551="Win",('Guide &amp; Settings'!$C$42/(($F551-1)*COUNTIFS($A$4:$A$810,$A551,$E$4:$E$810,"Win")))*SUMIFS($X$4:$X$810,$A$4:$A$810,$A551,$E$4:$E$810,"Loss"),-('Guide &amp; Settings'!$C$42/($F551-1))*$X551)))</f>
        <v>0</v>
      </c>
      <c r="K551" s="123">
        <f>IF($D551="",0,'Guide &amp; Settings'!$C$43*(IF($E551="Win",1,0)-$I551))</f>
        <v>0</v>
      </c>
      <c r="L551" s="124">
        <f>IF($D551="",0,'Guide &amp; Settings'!$C$44*IF($F551&gt;=3,$F551+IF($E551="Win",$F551,0),0))</f>
        <v>0</v>
      </c>
      <c r="M551" s="123">
        <f>IF($D551="",0,$J551+$K551+$L551)</f>
        <v>0</v>
      </c>
      <c r="N551" s="121">
        <f>IF($D551="",0,$H551+$M551)</f>
        <v>0</v>
      </c>
      <c r="O551" s="120" t="str">
        <f>IF($D551="","",IF(COUNTIFS($A$4:$A$810,$A551,$E$4:$E$810,"Win")=0,"need a winner",IF(COUNTIFS($A$4:$A$810,$A551,$E$4:$E$810,"Loss")=0,"need a loser",IF(COUNTIFS($A$4:$A$810,$A551,$D$4:$D$810,$D551)&gt;1,"duplicate player","OK"))))</f>
      </c>
      <c r="P551">
        <f>IF($D551="",0,IFERROR(SUMIFS($H$4:$H$810,$A$4:$A$810,$A551,$E$4:$E$810,"Win")/COUNTIFS($A$4:$A$810,$A551,$E$4:$E$810,"Win"),0))</f>
        <v>0</v>
      </c>
      <c r="Q551">
        <f>IF($D551="",0,1/(1+10^(($P551-$H551)/400)))</f>
        <v>0</v>
      </c>
      <c r="R551">
        <f>IF($D551="",0,(COUNTIFS($D$4:$D$810,$D551,$C$4:$C$810,$C551,$E$4:$E$810,"Win",$A$4:$A$810,"&lt;"&amp;$A551)+1)/(COUNTIFS($D$4:$D$810,$D551,$C$4:$C$810,$C551,$A$4:$A$810,"&lt;"&amp;$A551)+2))</f>
        <v>0</v>
      </c>
      <c r="S551">
        <f>IF($D551="",0,SUMIFS($R$4:$R$810,$A$4:$A$810,$A551))</f>
        <v>0</v>
      </c>
      <c r="T551" s="88">
        <f>IF($D551="",0,COUNTIFS($D$4:$D$810,$D551,$C$4:$C$810,$C551,$A$4:$A$810,"&lt;"&amp;$A551))</f>
        <v>0</v>
      </c>
      <c r="U551" s="125">
        <f>IF($D551="",0,IFERROR(LOOKUP(2,1/(($D$3:D550=$D551)*($C$3:C550=$C551)*($A$3:A550&lt;$A551)),$AB$3:AB550),1000))</f>
        <v>0</v>
      </c>
      <c r="V551" s="125">
        <f>IF($D551="",0,$U551*($T551/($T551+5))+$H551*(1-$T551/($T551+5)))</f>
        <v>0</v>
      </c>
      <c r="W551">
        <f>IF($D551="",0,IFERROR(SUMIFS($V$4:$V$810,$A$4:$A$810,$A551,$E$4:$E$810,"Win")/COUNTIFS($A$4:$A$810,$A551,$E$4:$E$810,"Win"),0))</f>
        <v>0</v>
      </c>
      <c r="X551">
        <f>IF($D551="",0,1/(1+10^(($W551-$V551)/400)))</f>
        <v>0</v>
      </c>
      <c r="Y551">
        <f>IF($D551="",0,IFERROR(SUMIFS($U$4:$U$810,$A$4:$A$810,$A551,$E$4:$E$810,"Win")/COUNTIFS($A$4:$A$810,$A551,$E$4:$E$810,"Win"),0))</f>
        <v>0</v>
      </c>
      <c r="Z551">
        <f>IF($D551="",0,1/(1+10^(($Y551-$U551)/400)))</f>
        <v>0</v>
      </c>
      <c r="AA551">
        <f>IF($D551="",0,IF($F551&lt;2,0,IF($E551="Win",('Guide &amp; Settings'!$C$42/(($F551-1)*COUNTIFS($A$4:$A$810,$A551,$E$4:$E$810,"Win")))*SUMIFS($Z$4:$Z$810,$A$4:$A$810,$A551,$E$4:$E$810,"Loss"),-('Guide &amp; Settings'!$C$42/($F551-1))*$Z551)))</f>
        <v>0</v>
      </c>
      <c r="AB551" s="125">
        <f>IF($D551="",0,$U551+$AA551)</f>
        <v>0</v>
      </c>
      <c r="AC551" s="125" t="str">
        <f>IF($D551="","",IF(SUMPRODUCT(MAX(($D$4:$D$810=$D551)*($B$4:$B$810&lt;$B551)*$B$4:$B$810))=0,0,MAX(($B551-MAX(SUMPRODUCT(MAX(($D$4:$D$810=$D551)*($B$4:$B$810&lt;$B551)*$B$4:$B$810)),'Guide &amp; Settings'!$C$50))/7-'Guide &amp; Settings'!$C$48,0)*'Guide &amp; Settings'!$C$49))</f>
      </c>
    </row>
    <row r="552" spans="1:29">
      <c r="A552" s="116"/>
      <c r="B552" s="117"/>
      <c r="C552" s="118"/>
      <c r="D552" s="118"/>
      <c r="E552" s="116"/>
      <c r="F552" s="119">
        <f>IF($D552="",0,COUNTIF($A$4:$A$810,$A552))</f>
        <v>0</v>
      </c>
      <c r="G552" s="120">
        <f>IF($D552="","",IFERROR(LOOKUP(2,1/(($A$4:$A$810=$A552)*($E$4:$E$810="Win")),$D$4:$D$810),"(no winner)"))</f>
        <v>0</v>
      </c>
      <c r="H552" s="121">
        <f>IF($D552="",0,IFERROR(LOOKUP(2,1/(($D$3:D551=$D552)*($A$3:A551&lt;$A552)),$N$3:N551),'Guide &amp; Settings'!$C$41))</f>
        <v>0</v>
      </c>
      <c r="I552" s="122">
        <f>IF($D552="",0,IF($S552=0,0,$R552/$S552))</f>
        <v>0</v>
      </c>
      <c r="J552" s="123">
        <f>IF($D552="",0,IF($F552&lt;2,0,IF($E552="Win",('Guide &amp; Settings'!$C$42/(($F552-1)*COUNTIFS($A$4:$A$810,$A552,$E$4:$E$810,"Win")))*SUMIFS($X$4:$X$810,$A$4:$A$810,$A552,$E$4:$E$810,"Loss"),-('Guide &amp; Settings'!$C$42/($F552-1))*$X552)))</f>
        <v>0</v>
      </c>
      <c r="K552" s="123">
        <f>IF($D552="",0,'Guide &amp; Settings'!$C$43*(IF($E552="Win",1,0)-$I552))</f>
        <v>0</v>
      </c>
      <c r="L552" s="124">
        <f>IF($D552="",0,'Guide &amp; Settings'!$C$44*IF($F552&gt;=3,$F552+IF($E552="Win",$F552,0),0))</f>
        <v>0</v>
      </c>
      <c r="M552" s="123">
        <f>IF($D552="",0,$J552+$K552+$L552)</f>
        <v>0</v>
      </c>
      <c r="N552" s="121">
        <f>IF($D552="",0,$H552+$M552)</f>
        <v>0</v>
      </c>
      <c r="O552" s="120" t="str">
        <f>IF($D552="","",IF(COUNTIFS($A$4:$A$810,$A552,$E$4:$E$810,"Win")=0,"need a winner",IF(COUNTIFS($A$4:$A$810,$A552,$E$4:$E$810,"Loss")=0,"need a loser",IF(COUNTIFS($A$4:$A$810,$A552,$D$4:$D$810,$D552)&gt;1,"duplicate player","OK"))))</f>
      </c>
      <c r="P552">
        <f>IF($D552="",0,IFERROR(SUMIFS($H$4:$H$810,$A$4:$A$810,$A552,$E$4:$E$810,"Win")/COUNTIFS($A$4:$A$810,$A552,$E$4:$E$810,"Win"),0))</f>
        <v>0</v>
      </c>
      <c r="Q552">
        <f>IF($D552="",0,1/(1+10^(($P552-$H552)/400)))</f>
        <v>0</v>
      </c>
      <c r="R552">
        <f>IF($D552="",0,(COUNTIFS($D$4:$D$810,$D552,$C$4:$C$810,$C552,$E$4:$E$810,"Win",$A$4:$A$810,"&lt;"&amp;$A552)+1)/(COUNTIFS($D$4:$D$810,$D552,$C$4:$C$810,$C552,$A$4:$A$810,"&lt;"&amp;$A552)+2))</f>
        <v>0</v>
      </c>
      <c r="S552">
        <f>IF($D552="",0,SUMIFS($R$4:$R$810,$A$4:$A$810,$A552))</f>
        <v>0</v>
      </c>
      <c r="T552" s="88">
        <f>IF($D552="",0,COUNTIFS($D$4:$D$810,$D552,$C$4:$C$810,$C552,$A$4:$A$810,"&lt;"&amp;$A552))</f>
        <v>0</v>
      </c>
      <c r="U552" s="125">
        <f>IF($D552="",0,IFERROR(LOOKUP(2,1/(($D$3:D551=$D552)*($C$3:C551=$C552)*($A$3:A551&lt;$A552)),$AB$3:AB551),1000))</f>
        <v>0</v>
      </c>
      <c r="V552" s="125">
        <f>IF($D552="",0,$U552*($T552/($T552+5))+$H552*(1-$T552/($T552+5)))</f>
        <v>0</v>
      </c>
      <c r="W552">
        <f>IF($D552="",0,IFERROR(SUMIFS($V$4:$V$810,$A$4:$A$810,$A552,$E$4:$E$810,"Win")/COUNTIFS($A$4:$A$810,$A552,$E$4:$E$810,"Win"),0))</f>
        <v>0</v>
      </c>
      <c r="X552">
        <f>IF($D552="",0,1/(1+10^(($W552-$V552)/400)))</f>
        <v>0</v>
      </c>
      <c r="Y552">
        <f>IF($D552="",0,IFERROR(SUMIFS($U$4:$U$810,$A$4:$A$810,$A552,$E$4:$E$810,"Win")/COUNTIFS($A$4:$A$810,$A552,$E$4:$E$810,"Win"),0))</f>
        <v>0</v>
      </c>
      <c r="Z552">
        <f>IF($D552="",0,1/(1+10^(($Y552-$U552)/400)))</f>
        <v>0</v>
      </c>
      <c r="AA552">
        <f>IF($D552="",0,IF($F552&lt;2,0,IF($E552="Win",('Guide &amp; Settings'!$C$42/(($F552-1)*COUNTIFS($A$4:$A$810,$A552,$E$4:$E$810,"Win")))*SUMIFS($Z$4:$Z$810,$A$4:$A$810,$A552,$E$4:$E$810,"Loss"),-('Guide &amp; Settings'!$C$42/($F552-1))*$Z552)))</f>
        <v>0</v>
      </c>
      <c r="AB552" s="125">
        <f>IF($D552="",0,$U552+$AA552)</f>
        <v>0</v>
      </c>
      <c r="AC552" s="125" t="str">
        <f>IF($D552="","",IF(SUMPRODUCT(MAX(($D$4:$D$810=$D552)*($B$4:$B$810&lt;$B552)*$B$4:$B$810))=0,0,MAX(($B552-MAX(SUMPRODUCT(MAX(($D$4:$D$810=$D552)*($B$4:$B$810&lt;$B552)*$B$4:$B$810)),'Guide &amp; Settings'!$C$50))/7-'Guide &amp; Settings'!$C$48,0)*'Guide &amp; Settings'!$C$49))</f>
      </c>
    </row>
    <row r="553" spans="1:29">
      <c r="A553" s="116"/>
      <c r="B553" s="117"/>
      <c r="C553" s="118"/>
      <c r="D553" s="118"/>
      <c r="E553" s="116"/>
      <c r="F553" s="119">
        <f>IF($D553="",0,COUNTIF($A$4:$A$810,$A553))</f>
        <v>0</v>
      </c>
      <c r="G553" s="120">
        <f>IF($D553="","",IFERROR(LOOKUP(2,1/(($A$4:$A$810=$A553)*($E$4:$E$810="Win")),$D$4:$D$810),"(no winner)"))</f>
        <v>0</v>
      </c>
      <c r="H553" s="121">
        <f>IF($D553="",0,IFERROR(LOOKUP(2,1/(($D$3:D552=$D553)*($A$3:A552&lt;$A553)),$N$3:N552),'Guide &amp; Settings'!$C$41))</f>
        <v>0</v>
      </c>
      <c r="I553" s="122">
        <f>IF($D553="",0,IF($S553=0,0,$R553/$S553))</f>
        <v>0</v>
      </c>
      <c r="J553" s="123">
        <f>IF($D553="",0,IF($F553&lt;2,0,IF($E553="Win",('Guide &amp; Settings'!$C$42/(($F553-1)*COUNTIFS($A$4:$A$810,$A553,$E$4:$E$810,"Win")))*SUMIFS($X$4:$X$810,$A$4:$A$810,$A553,$E$4:$E$810,"Loss"),-('Guide &amp; Settings'!$C$42/($F553-1))*$X553)))</f>
        <v>0</v>
      </c>
      <c r="K553" s="123">
        <f>IF($D553="",0,'Guide &amp; Settings'!$C$43*(IF($E553="Win",1,0)-$I553))</f>
        <v>0</v>
      </c>
      <c r="L553" s="124">
        <f>IF($D553="",0,'Guide &amp; Settings'!$C$44*IF($F553&gt;=3,$F553+IF($E553="Win",$F553,0),0))</f>
        <v>0</v>
      </c>
      <c r="M553" s="123">
        <f>IF($D553="",0,$J553+$K553+$L553)</f>
        <v>0</v>
      </c>
      <c r="N553" s="121">
        <f>IF($D553="",0,$H553+$M553)</f>
        <v>0</v>
      </c>
      <c r="O553" s="120" t="str">
        <f>IF($D553="","",IF(COUNTIFS($A$4:$A$810,$A553,$E$4:$E$810,"Win")=0,"need a winner",IF(COUNTIFS($A$4:$A$810,$A553,$E$4:$E$810,"Loss")=0,"need a loser",IF(COUNTIFS($A$4:$A$810,$A553,$D$4:$D$810,$D553)&gt;1,"duplicate player","OK"))))</f>
      </c>
      <c r="P553">
        <f>IF($D553="",0,IFERROR(SUMIFS($H$4:$H$810,$A$4:$A$810,$A553,$E$4:$E$810,"Win")/COUNTIFS($A$4:$A$810,$A553,$E$4:$E$810,"Win"),0))</f>
        <v>0</v>
      </c>
      <c r="Q553">
        <f>IF($D553="",0,1/(1+10^(($P553-$H553)/400)))</f>
        <v>0</v>
      </c>
      <c r="R553">
        <f>IF($D553="",0,(COUNTIFS($D$4:$D$810,$D553,$C$4:$C$810,$C553,$E$4:$E$810,"Win",$A$4:$A$810,"&lt;"&amp;$A553)+1)/(COUNTIFS($D$4:$D$810,$D553,$C$4:$C$810,$C553,$A$4:$A$810,"&lt;"&amp;$A553)+2))</f>
        <v>0</v>
      </c>
      <c r="S553">
        <f>IF($D553="",0,SUMIFS($R$4:$R$810,$A$4:$A$810,$A553))</f>
        <v>0</v>
      </c>
      <c r="T553" s="88">
        <f>IF($D553="",0,COUNTIFS($D$4:$D$810,$D553,$C$4:$C$810,$C553,$A$4:$A$810,"&lt;"&amp;$A553))</f>
        <v>0</v>
      </c>
      <c r="U553" s="125">
        <f>IF($D553="",0,IFERROR(LOOKUP(2,1/(($D$3:D552=$D553)*($C$3:C552=$C553)*($A$3:A552&lt;$A553)),$AB$3:AB552),1000))</f>
        <v>0</v>
      </c>
      <c r="V553" s="125">
        <f>IF($D553="",0,$U553*($T553/($T553+5))+$H553*(1-$T553/($T553+5)))</f>
        <v>0</v>
      </c>
      <c r="W553">
        <f>IF($D553="",0,IFERROR(SUMIFS($V$4:$V$810,$A$4:$A$810,$A553,$E$4:$E$810,"Win")/COUNTIFS($A$4:$A$810,$A553,$E$4:$E$810,"Win"),0))</f>
        <v>0</v>
      </c>
      <c r="X553">
        <f>IF($D553="",0,1/(1+10^(($W553-$V553)/400)))</f>
        <v>0</v>
      </c>
      <c r="Y553">
        <f>IF($D553="",0,IFERROR(SUMIFS($U$4:$U$810,$A$4:$A$810,$A553,$E$4:$E$810,"Win")/COUNTIFS($A$4:$A$810,$A553,$E$4:$E$810,"Win"),0))</f>
        <v>0</v>
      </c>
      <c r="Z553">
        <f>IF($D553="",0,1/(1+10^(($Y553-$U553)/400)))</f>
        <v>0</v>
      </c>
      <c r="AA553">
        <f>IF($D553="",0,IF($F553&lt;2,0,IF($E553="Win",('Guide &amp; Settings'!$C$42/(($F553-1)*COUNTIFS($A$4:$A$810,$A553,$E$4:$E$810,"Win")))*SUMIFS($Z$4:$Z$810,$A$4:$A$810,$A553,$E$4:$E$810,"Loss"),-('Guide &amp; Settings'!$C$42/($F553-1))*$Z553)))</f>
        <v>0</v>
      </c>
      <c r="AB553" s="125">
        <f>IF($D553="",0,$U553+$AA553)</f>
        <v>0</v>
      </c>
      <c r="AC553" s="125" t="str">
        <f>IF($D553="","",IF(SUMPRODUCT(MAX(($D$4:$D$810=$D553)*($B$4:$B$810&lt;$B553)*$B$4:$B$810))=0,0,MAX(($B553-MAX(SUMPRODUCT(MAX(($D$4:$D$810=$D553)*($B$4:$B$810&lt;$B553)*$B$4:$B$810)),'Guide &amp; Settings'!$C$50))/7-'Guide &amp; Settings'!$C$48,0)*'Guide &amp; Settings'!$C$49))</f>
      </c>
    </row>
    <row r="554" spans="1:29">
      <c r="A554" s="116"/>
      <c r="B554" s="117"/>
      <c r="C554" s="118"/>
      <c r="D554" s="118"/>
      <c r="E554" s="116"/>
      <c r="F554" s="119">
        <f>IF($D554="",0,COUNTIF($A$4:$A$810,$A554))</f>
        <v>0</v>
      </c>
      <c r="G554" s="120">
        <f>IF($D554="","",IFERROR(LOOKUP(2,1/(($A$4:$A$810=$A554)*($E$4:$E$810="Win")),$D$4:$D$810),"(no winner)"))</f>
        <v>0</v>
      </c>
      <c r="H554" s="121">
        <f>IF($D554="",0,IFERROR(LOOKUP(2,1/(($D$3:D553=$D554)*($A$3:A553&lt;$A554)),$N$3:N553),'Guide &amp; Settings'!$C$41))</f>
        <v>0</v>
      </c>
      <c r="I554" s="122">
        <f>IF($D554="",0,IF($S554=0,0,$R554/$S554))</f>
        <v>0</v>
      </c>
      <c r="J554" s="123">
        <f>IF($D554="",0,IF($F554&lt;2,0,IF($E554="Win",('Guide &amp; Settings'!$C$42/(($F554-1)*COUNTIFS($A$4:$A$810,$A554,$E$4:$E$810,"Win")))*SUMIFS($X$4:$X$810,$A$4:$A$810,$A554,$E$4:$E$810,"Loss"),-('Guide &amp; Settings'!$C$42/($F554-1))*$X554)))</f>
        <v>0</v>
      </c>
      <c r="K554" s="123">
        <f>IF($D554="",0,'Guide &amp; Settings'!$C$43*(IF($E554="Win",1,0)-$I554))</f>
        <v>0</v>
      </c>
      <c r="L554" s="124">
        <f>IF($D554="",0,'Guide &amp; Settings'!$C$44*IF($F554&gt;=3,$F554+IF($E554="Win",$F554,0),0))</f>
        <v>0</v>
      </c>
      <c r="M554" s="123">
        <f>IF($D554="",0,$J554+$K554+$L554)</f>
        <v>0</v>
      </c>
      <c r="N554" s="121">
        <f>IF($D554="",0,$H554+$M554)</f>
        <v>0</v>
      </c>
      <c r="O554" s="120" t="str">
        <f>IF($D554="","",IF(COUNTIFS($A$4:$A$810,$A554,$E$4:$E$810,"Win")=0,"need a winner",IF(COUNTIFS($A$4:$A$810,$A554,$E$4:$E$810,"Loss")=0,"need a loser",IF(COUNTIFS($A$4:$A$810,$A554,$D$4:$D$810,$D554)&gt;1,"duplicate player","OK"))))</f>
      </c>
      <c r="P554">
        <f>IF($D554="",0,IFERROR(SUMIFS($H$4:$H$810,$A$4:$A$810,$A554,$E$4:$E$810,"Win")/COUNTIFS($A$4:$A$810,$A554,$E$4:$E$810,"Win"),0))</f>
        <v>0</v>
      </c>
      <c r="Q554">
        <f>IF($D554="",0,1/(1+10^(($P554-$H554)/400)))</f>
        <v>0</v>
      </c>
      <c r="R554">
        <f>IF($D554="",0,(COUNTIFS($D$4:$D$810,$D554,$C$4:$C$810,$C554,$E$4:$E$810,"Win",$A$4:$A$810,"&lt;"&amp;$A554)+1)/(COUNTIFS($D$4:$D$810,$D554,$C$4:$C$810,$C554,$A$4:$A$810,"&lt;"&amp;$A554)+2))</f>
        <v>0</v>
      </c>
      <c r="S554">
        <f>IF($D554="",0,SUMIFS($R$4:$R$810,$A$4:$A$810,$A554))</f>
        <v>0</v>
      </c>
      <c r="T554" s="88">
        <f>IF($D554="",0,COUNTIFS($D$4:$D$810,$D554,$C$4:$C$810,$C554,$A$4:$A$810,"&lt;"&amp;$A554))</f>
        <v>0</v>
      </c>
      <c r="U554" s="125">
        <f>IF($D554="",0,IFERROR(LOOKUP(2,1/(($D$3:D553=$D554)*($C$3:C553=$C554)*($A$3:A553&lt;$A554)),$AB$3:AB553),1000))</f>
        <v>0</v>
      </c>
      <c r="V554" s="125">
        <f>IF($D554="",0,$U554*($T554/($T554+5))+$H554*(1-$T554/($T554+5)))</f>
        <v>0</v>
      </c>
      <c r="W554">
        <f>IF($D554="",0,IFERROR(SUMIFS($V$4:$V$810,$A$4:$A$810,$A554,$E$4:$E$810,"Win")/COUNTIFS($A$4:$A$810,$A554,$E$4:$E$810,"Win"),0))</f>
        <v>0</v>
      </c>
      <c r="X554">
        <f>IF($D554="",0,1/(1+10^(($W554-$V554)/400)))</f>
        <v>0</v>
      </c>
      <c r="Y554">
        <f>IF($D554="",0,IFERROR(SUMIFS($U$4:$U$810,$A$4:$A$810,$A554,$E$4:$E$810,"Win")/COUNTIFS($A$4:$A$810,$A554,$E$4:$E$810,"Win"),0))</f>
        <v>0</v>
      </c>
      <c r="Z554">
        <f>IF($D554="",0,1/(1+10^(($Y554-$U554)/400)))</f>
        <v>0</v>
      </c>
      <c r="AA554">
        <f>IF($D554="",0,IF($F554&lt;2,0,IF($E554="Win",('Guide &amp; Settings'!$C$42/(($F554-1)*COUNTIFS($A$4:$A$810,$A554,$E$4:$E$810,"Win")))*SUMIFS($Z$4:$Z$810,$A$4:$A$810,$A554,$E$4:$E$810,"Loss"),-('Guide &amp; Settings'!$C$42/($F554-1))*$Z554)))</f>
        <v>0</v>
      </c>
      <c r="AB554" s="125">
        <f>IF($D554="",0,$U554+$AA554)</f>
        <v>0</v>
      </c>
      <c r="AC554" s="125" t="str">
        <f>IF($D554="","",IF(SUMPRODUCT(MAX(($D$4:$D$810=$D554)*($B$4:$B$810&lt;$B554)*$B$4:$B$810))=0,0,MAX(($B554-MAX(SUMPRODUCT(MAX(($D$4:$D$810=$D554)*($B$4:$B$810&lt;$B554)*$B$4:$B$810)),'Guide &amp; Settings'!$C$50))/7-'Guide &amp; Settings'!$C$48,0)*'Guide &amp; Settings'!$C$49))</f>
      </c>
    </row>
    <row r="555" spans="1:29">
      <c r="A555" s="116"/>
      <c r="B555" s="117"/>
      <c r="C555" s="118"/>
      <c r="D555" s="118"/>
      <c r="E555" s="116"/>
      <c r="F555" s="119">
        <f>IF($D555="",0,COUNTIF($A$4:$A$810,$A555))</f>
        <v>0</v>
      </c>
      <c r="G555" s="120">
        <f>IF($D555="","",IFERROR(LOOKUP(2,1/(($A$4:$A$810=$A555)*($E$4:$E$810="Win")),$D$4:$D$810),"(no winner)"))</f>
        <v>0</v>
      </c>
      <c r="H555" s="121">
        <f>IF($D555="",0,IFERROR(LOOKUP(2,1/(($D$3:D554=$D555)*($A$3:A554&lt;$A555)),$N$3:N554),'Guide &amp; Settings'!$C$41))</f>
        <v>0</v>
      </c>
      <c r="I555" s="122">
        <f>IF($D555="",0,IF($S555=0,0,$R555/$S555))</f>
        <v>0</v>
      </c>
      <c r="J555" s="123">
        <f>IF($D555="",0,IF($F555&lt;2,0,IF($E555="Win",('Guide &amp; Settings'!$C$42/(($F555-1)*COUNTIFS($A$4:$A$810,$A555,$E$4:$E$810,"Win")))*SUMIFS($X$4:$X$810,$A$4:$A$810,$A555,$E$4:$E$810,"Loss"),-('Guide &amp; Settings'!$C$42/($F555-1))*$X555)))</f>
        <v>0</v>
      </c>
      <c r="K555" s="123">
        <f>IF($D555="",0,'Guide &amp; Settings'!$C$43*(IF($E555="Win",1,0)-$I555))</f>
        <v>0</v>
      </c>
      <c r="L555" s="124">
        <f>IF($D555="",0,'Guide &amp; Settings'!$C$44*IF($F555&gt;=3,$F555+IF($E555="Win",$F555,0),0))</f>
        <v>0</v>
      </c>
      <c r="M555" s="123">
        <f>IF($D555="",0,$J555+$K555+$L555)</f>
        <v>0</v>
      </c>
      <c r="N555" s="121">
        <f>IF($D555="",0,$H555+$M555)</f>
        <v>0</v>
      </c>
      <c r="O555" s="120" t="str">
        <f>IF($D555="","",IF(COUNTIFS($A$4:$A$810,$A555,$E$4:$E$810,"Win")=0,"need a winner",IF(COUNTIFS($A$4:$A$810,$A555,$E$4:$E$810,"Loss")=0,"need a loser",IF(COUNTIFS($A$4:$A$810,$A555,$D$4:$D$810,$D555)&gt;1,"duplicate player","OK"))))</f>
      </c>
      <c r="P555">
        <f>IF($D555="",0,IFERROR(SUMIFS($H$4:$H$810,$A$4:$A$810,$A555,$E$4:$E$810,"Win")/COUNTIFS($A$4:$A$810,$A555,$E$4:$E$810,"Win"),0))</f>
        <v>0</v>
      </c>
      <c r="Q555">
        <f>IF($D555="",0,1/(1+10^(($P555-$H555)/400)))</f>
        <v>0</v>
      </c>
      <c r="R555">
        <f>IF($D555="",0,(COUNTIFS($D$4:$D$810,$D555,$C$4:$C$810,$C555,$E$4:$E$810,"Win",$A$4:$A$810,"&lt;"&amp;$A555)+1)/(COUNTIFS($D$4:$D$810,$D555,$C$4:$C$810,$C555,$A$4:$A$810,"&lt;"&amp;$A555)+2))</f>
        <v>0</v>
      </c>
      <c r="S555">
        <f>IF($D555="",0,SUMIFS($R$4:$R$810,$A$4:$A$810,$A555))</f>
        <v>0</v>
      </c>
      <c r="T555" s="88">
        <f>IF($D555="",0,COUNTIFS($D$4:$D$810,$D555,$C$4:$C$810,$C555,$A$4:$A$810,"&lt;"&amp;$A555))</f>
        <v>0</v>
      </c>
      <c r="U555" s="125">
        <f>IF($D555="",0,IFERROR(LOOKUP(2,1/(($D$3:D554=$D555)*($C$3:C554=$C555)*($A$3:A554&lt;$A555)),$AB$3:AB554),1000))</f>
        <v>0</v>
      </c>
      <c r="V555" s="125">
        <f>IF($D555="",0,$U555*($T555/($T555+5))+$H555*(1-$T555/($T555+5)))</f>
        <v>0</v>
      </c>
      <c r="W555">
        <f>IF($D555="",0,IFERROR(SUMIFS($V$4:$V$810,$A$4:$A$810,$A555,$E$4:$E$810,"Win")/COUNTIFS($A$4:$A$810,$A555,$E$4:$E$810,"Win"),0))</f>
        <v>0</v>
      </c>
      <c r="X555">
        <f>IF($D555="",0,1/(1+10^(($W555-$V555)/400)))</f>
        <v>0</v>
      </c>
      <c r="Y555">
        <f>IF($D555="",0,IFERROR(SUMIFS($U$4:$U$810,$A$4:$A$810,$A555,$E$4:$E$810,"Win")/COUNTIFS($A$4:$A$810,$A555,$E$4:$E$810,"Win"),0))</f>
        <v>0</v>
      </c>
      <c r="Z555">
        <f>IF($D555="",0,1/(1+10^(($Y555-$U555)/400)))</f>
        <v>0</v>
      </c>
      <c r="AA555">
        <f>IF($D555="",0,IF($F555&lt;2,0,IF($E555="Win",('Guide &amp; Settings'!$C$42/(($F555-1)*COUNTIFS($A$4:$A$810,$A555,$E$4:$E$810,"Win")))*SUMIFS($Z$4:$Z$810,$A$4:$A$810,$A555,$E$4:$E$810,"Loss"),-('Guide &amp; Settings'!$C$42/($F555-1))*$Z555)))</f>
        <v>0</v>
      </c>
      <c r="AB555" s="125">
        <f>IF($D555="",0,$U555+$AA555)</f>
        <v>0</v>
      </c>
      <c r="AC555" s="125" t="str">
        <f>IF($D555="","",IF(SUMPRODUCT(MAX(($D$4:$D$810=$D555)*($B$4:$B$810&lt;$B555)*$B$4:$B$810))=0,0,MAX(($B555-MAX(SUMPRODUCT(MAX(($D$4:$D$810=$D555)*($B$4:$B$810&lt;$B555)*$B$4:$B$810)),'Guide &amp; Settings'!$C$50))/7-'Guide &amp; Settings'!$C$48,0)*'Guide &amp; Settings'!$C$49))</f>
      </c>
    </row>
    <row r="556" spans="1:29">
      <c r="A556" s="116"/>
      <c r="B556" s="117"/>
      <c r="C556" s="118"/>
      <c r="D556" s="118"/>
      <c r="E556" s="116"/>
      <c r="F556" s="119">
        <f>IF($D556="",0,COUNTIF($A$4:$A$810,$A556))</f>
        <v>0</v>
      </c>
      <c r="G556" s="120">
        <f>IF($D556="","",IFERROR(LOOKUP(2,1/(($A$4:$A$810=$A556)*($E$4:$E$810="Win")),$D$4:$D$810),"(no winner)"))</f>
        <v>0</v>
      </c>
      <c r="H556" s="121">
        <f>IF($D556="",0,IFERROR(LOOKUP(2,1/(($D$3:D555=$D556)*($A$3:A555&lt;$A556)),$N$3:N555),'Guide &amp; Settings'!$C$41))</f>
        <v>0</v>
      </c>
      <c r="I556" s="122">
        <f>IF($D556="",0,IF($S556=0,0,$R556/$S556))</f>
        <v>0</v>
      </c>
      <c r="J556" s="123">
        <f>IF($D556="",0,IF($F556&lt;2,0,IF($E556="Win",('Guide &amp; Settings'!$C$42/(($F556-1)*COUNTIFS($A$4:$A$810,$A556,$E$4:$E$810,"Win")))*SUMIFS($X$4:$X$810,$A$4:$A$810,$A556,$E$4:$E$810,"Loss"),-('Guide &amp; Settings'!$C$42/($F556-1))*$X556)))</f>
        <v>0</v>
      </c>
      <c r="K556" s="123">
        <f>IF($D556="",0,'Guide &amp; Settings'!$C$43*(IF($E556="Win",1,0)-$I556))</f>
        <v>0</v>
      </c>
      <c r="L556" s="124">
        <f>IF($D556="",0,'Guide &amp; Settings'!$C$44*IF($F556&gt;=3,$F556+IF($E556="Win",$F556,0),0))</f>
        <v>0</v>
      </c>
      <c r="M556" s="123">
        <f>IF($D556="",0,$J556+$K556+$L556)</f>
        <v>0</v>
      </c>
      <c r="N556" s="121">
        <f>IF($D556="",0,$H556+$M556)</f>
        <v>0</v>
      </c>
      <c r="O556" s="120" t="str">
        <f>IF($D556="","",IF(COUNTIFS($A$4:$A$810,$A556,$E$4:$E$810,"Win")=0,"need a winner",IF(COUNTIFS($A$4:$A$810,$A556,$E$4:$E$810,"Loss")=0,"need a loser",IF(COUNTIFS($A$4:$A$810,$A556,$D$4:$D$810,$D556)&gt;1,"duplicate player","OK"))))</f>
      </c>
      <c r="P556">
        <f>IF($D556="",0,IFERROR(SUMIFS($H$4:$H$810,$A$4:$A$810,$A556,$E$4:$E$810,"Win")/COUNTIFS($A$4:$A$810,$A556,$E$4:$E$810,"Win"),0))</f>
        <v>0</v>
      </c>
      <c r="Q556">
        <f>IF($D556="",0,1/(1+10^(($P556-$H556)/400)))</f>
        <v>0</v>
      </c>
      <c r="R556">
        <f>IF($D556="",0,(COUNTIFS($D$4:$D$810,$D556,$C$4:$C$810,$C556,$E$4:$E$810,"Win",$A$4:$A$810,"&lt;"&amp;$A556)+1)/(COUNTIFS($D$4:$D$810,$D556,$C$4:$C$810,$C556,$A$4:$A$810,"&lt;"&amp;$A556)+2))</f>
        <v>0</v>
      </c>
      <c r="S556">
        <f>IF($D556="",0,SUMIFS($R$4:$R$810,$A$4:$A$810,$A556))</f>
        <v>0</v>
      </c>
      <c r="T556" s="88">
        <f>IF($D556="",0,COUNTIFS($D$4:$D$810,$D556,$C$4:$C$810,$C556,$A$4:$A$810,"&lt;"&amp;$A556))</f>
        <v>0</v>
      </c>
      <c r="U556" s="125">
        <f>IF($D556="",0,IFERROR(LOOKUP(2,1/(($D$3:D555=$D556)*($C$3:C555=$C556)*($A$3:A555&lt;$A556)),$AB$3:AB555),1000))</f>
        <v>0</v>
      </c>
      <c r="V556" s="125">
        <f>IF($D556="",0,$U556*($T556/($T556+5))+$H556*(1-$T556/($T556+5)))</f>
        <v>0</v>
      </c>
      <c r="W556">
        <f>IF($D556="",0,IFERROR(SUMIFS($V$4:$V$810,$A$4:$A$810,$A556,$E$4:$E$810,"Win")/COUNTIFS($A$4:$A$810,$A556,$E$4:$E$810,"Win"),0))</f>
        <v>0</v>
      </c>
      <c r="X556">
        <f>IF($D556="",0,1/(1+10^(($W556-$V556)/400)))</f>
        <v>0</v>
      </c>
      <c r="Y556">
        <f>IF($D556="",0,IFERROR(SUMIFS($U$4:$U$810,$A$4:$A$810,$A556,$E$4:$E$810,"Win")/COUNTIFS($A$4:$A$810,$A556,$E$4:$E$810,"Win"),0))</f>
        <v>0</v>
      </c>
      <c r="Z556">
        <f>IF($D556="",0,1/(1+10^(($Y556-$U556)/400)))</f>
        <v>0</v>
      </c>
      <c r="AA556">
        <f>IF($D556="",0,IF($F556&lt;2,0,IF($E556="Win",('Guide &amp; Settings'!$C$42/(($F556-1)*COUNTIFS($A$4:$A$810,$A556,$E$4:$E$810,"Win")))*SUMIFS($Z$4:$Z$810,$A$4:$A$810,$A556,$E$4:$E$810,"Loss"),-('Guide &amp; Settings'!$C$42/($F556-1))*$Z556)))</f>
        <v>0</v>
      </c>
      <c r="AB556" s="125">
        <f>IF($D556="",0,$U556+$AA556)</f>
        <v>0</v>
      </c>
      <c r="AC556" s="125" t="str">
        <f>IF($D556="","",IF(SUMPRODUCT(MAX(($D$4:$D$810=$D556)*($B$4:$B$810&lt;$B556)*$B$4:$B$810))=0,0,MAX(($B556-MAX(SUMPRODUCT(MAX(($D$4:$D$810=$D556)*($B$4:$B$810&lt;$B556)*$B$4:$B$810)),'Guide &amp; Settings'!$C$50))/7-'Guide &amp; Settings'!$C$48,0)*'Guide &amp; Settings'!$C$49))</f>
      </c>
    </row>
    <row r="557" spans="1:29">
      <c r="A557" s="116"/>
      <c r="B557" s="117"/>
      <c r="C557" s="118"/>
      <c r="D557" s="118"/>
      <c r="E557" s="116"/>
      <c r="F557" s="119">
        <f>IF($D557="",0,COUNTIF($A$4:$A$810,$A557))</f>
        <v>0</v>
      </c>
      <c r="G557" s="120">
        <f>IF($D557="","",IFERROR(LOOKUP(2,1/(($A$4:$A$810=$A557)*($E$4:$E$810="Win")),$D$4:$D$810),"(no winner)"))</f>
        <v>0</v>
      </c>
      <c r="H557" s="121">
        <f>IF($D557="",0,IFERROR(LOOKUP(2,1/(($D$3:D556=$D557)*($A$3:A556&lt;$A557)),$N$3:N556),'Guide &amp; Settings'!$C$41))</f>
        <v>0</v>
      </c>
      <c r="I557" s="122">
        <f>IF($D557="",0,IF($S557=0,0,$R557/$S557))</f>
        <v>0</v>
      </c>
      <c r="J557" s="123">
        <f>IF($D557="",0,IF($F557&lt;2,0,IF($E557="Win",('Guide &amp; Settings'!$C$42/(($F557-1)*COUNTIFS($A$4:$A$810,$A557,$E$4:$E$810,"Win")))*SUMIFS($X$4:$X$810,$A$4:$A$810,$A557,$E$4:$E$810,"Loss"),-('Guide &amp; Settings'!$C$42/($F557-1))*$X557)))</f>
        <v>0</v>
      </c>
      <c r="K557" s="123">
        <f>IF($D557="",0,'Guide &amp; Settings'!$C$43*(IF($E557="Win",1,0)-$I557))</f>
        <v>0</v>
      </c>
      <c r="L557" s="124">
        <f>IF($D557="",0,'Guide &amp; Settings'!$C$44*IF($F557&gt;=3,$F557+IF($E557="Win",$F557,0),0))</f>
        <v>0</v>
      </c>
      <c r="M557" s="123">
        <f>IF($D557="",0,$J557+$K557+$L557)</f>
        <v>0</v>
      </c>
      <c r="N557" s="121">
        <f>IF($D557="",0,$H557+$M557)</f>
        <v>0</v>
      </c>
      <c r="O557" s="120" t="str">
        <f>IF($D557="","",IF(COUNTIFS($A$4:$A$810,$A557,$E$4:$E$810,"Win")=0,"need a winner",IF(COUNTIFS($A$4:$A$810,$A557,$E$4:$E$810,"Loss")=0,"need a loser",IF(COUNTIFS($A$4:$A$810,$A557,$D$4:$D$810,$D557)&gt;1,"duplicate player","OK"))))</f>
      </c>
      <c r="P557">
        <f>IF($D557="",0,IFERROR(SUMIFS($H$4:$H$810,$A$4:$A$810,$A557,$E$4:$E$810,"Win")/COUNTIFS($A$4:$A$810,$A557,$E$4:$E$810,"Win"),0))</f>
        <v>0</v>
      </c>
      <c r="Q557">
        <f>IF($D557="",0,1/(1+10^(($P557-$H557)/400)))</f>
        <v>0</v>
      </c>
      <c r="R557">
        <f>IF($D557="",0,(COUNTIFS($D$4:$D$810,$D557,$C$4:$C$810,$C557,$E$4:$E$810,"Win",$A$4:$A$810,"&lt;"&amp;$A557)+1)/(COUNTIFS($D$4:$D$810,$D557,$C$4:$C$810,$C557,$A$4:$A$810,"&lt;"&amp;$A557)+2))</f>
        <v>0</v>
      </c>
      <c r="S557">
        <f>IF($D557="",0,SUMIFS($R$4:$R$810,$A$4:$A$810,$A557))</f>
        <v>0</v>
      </c>
      <c r="T557" s="88">
        <f>IF($D557="",0,COUNTIFS($D$4:$D$810,$D557,$C$4:$C$810,$C557,$A$4:$A$810,"&lt;"&amp;$A557))</f>
        <v>0</v>
      </c>
      <c r="U557" s="125">
        <f>IF($D557="",0,IFERROR(LOOKUP(2,1/(($D$3:D556=$D557)*($C$3:C556=$C557)*($A$3:A556&lt;$A557)),$AB$3:AB556),1000))</f>
        <v>0</v>
      </c>
      <c r="V557" s="125">
        <f>IF($D557="",0,$U557*($T557/($T557+5))+$H557*(1-$T557/($T557+5)))</f>
        <v>0</v>
      </c>
      <c r="W557">
        <f>IF($D557="",0,IFERROR(SUMIFS($V$4:$V$810,$A$4:$A$810,$A557,$E$4:$E$810,"Win")/COUNTIFS($A$4:$A$810,$A557,$E$4:$E$810,"Win"),0))</f>
        <v>0</v>
      </c>
      <c r="X557">
        <f>IF($D557="",0,1/(1+10^(($W557-$V557)/400)))</f>
        <v>0</v>
      </c>
      <c r="Y557">
        <f>IF($D557="",0,IFERROR(SUMIFS($U$4:$U$810,$A$4:$A$810,$A557,$E$4:$E$810,"Win")/COUNTIFS($A$4:$A$810,$A557,$E$4:$E$810,"Win"),0))</f>
        <v>0</v>
      </c>
      <c r="Z557">
        <f>IF($D557="",0,1/(1+10^(($Y557-$U557)/400)))</f>
        <v>0</v>
      </c>
      <c r="AA557">
        <f>IF($D557="",0,IF($F557&lt;2,0,IF($E557="Win",('Guide &amp; Settings'!$C$42/(($F557-1)*COUNTIFS($A$4:$A$810,$A557,$E$4:$E$810,"Win")))*SUMIFS($Z$4:$Z$810,$A$4:$A$810,$A557,$E$4:$E$810,"Loss"),-('Guide &amp; Settings'!$C$42/($F557-1))*$Z557)))</f>
        <v>0</v>
      </c>
      <c r="AB557" s="125">
        <f>IF($D557="",0,$U557+$AA557)</f>
        <v>0</v>
      </c>
      <c r="AC557" s="125" t="str">
        <f>IF($D557="","",IF(SUMPRODUCT(MAX(($D$4:$D$810=$D557)*($B$4:$B$810&lt;$B557)*$B$4:$B$810))=0,0,MAX(($B557-MAX(SUMPRODUCT(MAX(($D$4:$D$810=$D557)*($B$4:$B$810&lt;$B557)*$B$4:$B$810)),'Guide &amp; Settings'!$C$50))/7-'Guide &amp; Settings'!$C$48,0)*'Guide &amp; Settings'!$C$49))</f>
      </c>
    </row>
    <row r="558" spans="1:29">
      <c r="A558" s="116"/>
      <c r="B558" s="117"/>
      <c r="C558" s="118"/>
      <c r="D558" s="118"/>
      <c r="E558" s="116"/>
      <c r="F558" s="119">
        <f>IF($D558="",0,COUNTIF($A$4:$A$810,$A558))</f>
        <v>0</v>
      </c>
      <c r="G558" s="120">
        <f>IF($D558="","",IFERROR(LOOKUP(2,1/(($A$4:$A$810=$A558)*($E$4:$E$810="Win")),$D$4:$D$810),"(no winner)"))</f>
        <v>0</v>
      </c>
      <c r="H558" s="121">
        <f>IF($D558="",0,IFERROR(LOOKUP(2,1/(($D$3:D557=$D558)*($A$3:A557&lt;$A558)),$N$3:N557),'Guide &amp; Settings'!$C$41))</f>
        <v>0</v>
      </c>
      <c r="I558" s="122">
        <f>IF($D558="",0,IF($S558=0,0,$R558/$S558))</f>
        <v>0</v>
      </c>
      <c r="J558" s="123">
        <f>IF($D558="",0,IF($F558&lt;2,0,IF($E558="Win",('Guide &amp; Settings'!$C$42/(($F558-1)*COUNTIFS($A$4:$A$810,$A558,$E$4:$E$810,"Win")))*SUMIFS($X$4:$X$810,$A$4:$A$810,$A558,$E$4:$E$810,"Loss"),-('Guide &amp; Settings'!$C$42/($F558-1))*$X558)))</f>
        <v>0</v>
      </c>
      <c r="K558" s="123">
        <f>IF($D558="",0,'Guide &amp; Settings'!$C$43*(IF($E558="Win",1,0)-$I558))</f>
        <v>0</v>
      </c>
      <c r="L558" s="124">
        <f>IF($D558="",0,'Guide &amp; Settings'!$C$44*IF($F558&gt;=3,$F558+IF($E558="Win",$F558,0),0))</f>
        <v>0</v>
      </c>
      <c r="M558" s="123">
        <f>IF($D558="",0,$J558+$K558+$L558)</f>
        <v>0</v>
      </c>
      <c r="N558" s="121">
        <f>IF($D558="",0,$H558+$M558)</f>
        <v>0</v>
      </c>
      <c r="O558" s="120" t="str">
        <f>IF($D558="","",IF(COUNTIFS($A$4:$A$810,$A558,$E$4:$E$810,"Win")=0,"need a winner",IF(COUNTIFS($A$4:$A$810,$A558,$E$4:$E$810,"Loss")=0,"need a loser",IF(COUNTIFS($A$4:$A$810,$A558,$D$4:$D$810,$D558)&gt;1,"duplicate player","OK"))))</f>
      </c>
      <c r="P558">
        <f>IF($D558="",0,IFERROR(SUMIFS($H$4:$H$810,$A$4:$A$810,$A558,$E$4:$E$810,"Win")/COUNTIFS($A$4:$A$810,$A558,$E$4:$E$810,"Win"),0))</f>
        <v>0</v>
      </c>
      <c r="Q558">
        <f>IF($D558="",0,1/(1+10^(($P558-$H558)/400)))</f>
        <v>0</v>
      </c>
      <c r="R558">
        <f>IF($D558="",0,(COUNTIFS($D$4:$D$810,$D558,$C$4:$C$810,$C558,$E$4:$E$810,"Win",$A$4:$A$810,"&lt;"&amp;$A558)+1)/(COUNTIFS($D$4:$D$810,$D558,$C$4:$C$810,$C558,$A$4:$A$810,"&lt;"&amp;$A558)+2))</f>
        <v>0</v>
      </c>
      <c r="S558">
        <f>IF($D558="",0,SUMIFS($R$4:$R$810,$A$4:$A$810,$A558))</f>
        <v>0</v>
      </c>
      <c r="T558" s="88">
        <f>IF($D558="",0,COUNTIFS($D$4:$D$810,$D558,$C$4:$C$810,$C558,$A$4:$A$810,"&lt;"&amp;$A558))</f>
        <v>0</v>
      </c>
      <c r="U558" s="125">
        <f>IF($D558="",0,IFERROR(LOOKUP(2,1/(($D$3:D557=$D558)*($C$3:C557=$C558)*($A$3:A557&lt;$A558)),$AB$3:AB557),1000))</f>
        <v>0</v>
      </c>
      <c r="V558" s="125">
        <f>IF($D558="",0,$U558*($T558/($T558+5))+$H558*(1-$T558/($T558+5)))</f>
        <v>0</v>
      </c>
      <c r="W558">
        <f>IF($D558="",0,IFERROR(SUMIFS($V$4:$V$810,$A$4:$A$810,$A558,$E$4:$E$810,"Win")/COUNTIFS($A$4:$A$810,$A558,$E$4:$E$810,"Win"),0))</f>
        <v>0</v>
      </c>
      <c r="X558">
        <f>IF($D558="",0,1/(1+10^(($W558-$V558)/400)))</f>
        <v>0</v>
      </c>
      <c r="Y558">
        <f>IF($D558="",0,IFERROR(SUMIFS($U$4:$U$810,$A$4:$A$810,$A558,$E$4:$E$810,"Win")/COUNTIFS($A$4:$A$810,$A558,$E$4:$E$810,"Win"),0))</f>
        <v>0</v>
      </c>
      <c r="Z558">
        <f>IF($D558="",0,1/(1+10^(($Y558-$U558)/400)))</f>
        <v>0</v>
      </c>
      <c r="AA558">
        <f>IF($D558="",0,IF($F558&lt;2,0,IF($E558="Win",('Guide &amp; Settings'!$C$42/(($F558-1)*COUNTIFS($A$4:$A$810,$A558,$E$4:$E$810,"Win")))*SUMIFS($Z$4:$Z$810,$A$4:$A$810,$A558,$E$4:$E$810,"Loss"),-('Guide &amp; Settings'!$C$42/($F558-1))*$Z558)))</f>
        <v>0</v>
      </c>
      <c r="AB558" s="125">
        <f>IF($D558="",0,$U558+$AA558)</f>
        <v>0</v>
      </c>
      <c r="AC558" s="125" t="str">
        <f>IF($D558="","",IF(SUMPRODUCT(MAX(($D$4:$D$810=$D558)*($B$4:$B$810&lt;$B558)*$B$4:$B$810))=0,0,MAX(($B558-MAX(SUMPRODUCT(MAX(($D$4:$D$810=$D558)*($B$4:$B$810&lt;$B558)*$B$4:$B$810)),'Guide &amp; Settings'!$C$50))/7-'Guide &amp; Settings'!$C$48,0)*'Guide &amp; Settings'!$C$49))</f>
      </c>
    </row>
    <row r="559" spans="1:29">
      <c r="A559" s="116"/>
      <c r="B559" s="117"/>
      <c r="C559" s="118"/>
      <c r="D559" s="118"/>
      <c r="E559" s="116"/>
      <c r="F559" s="119">
        <f>IF($D559="",0,COUNTIF($A$4:$A$810,$A559))</f>
        <v>0</v>
      </c>
      <c r="G559" s="120">
        <f>IF($D559="","",IFERROR(LOOKUP(2,1/(($A$4:$A$810=$A559)*($E$4:$E$810="Win")),$D$4:$D$810),"(no winner)"))</f>
        <v>0</v>
      </c>
      <c r="H559" s="121">
        <f>IF($D559="",0,IFERROR(LOOKUP(2,1/(($D$3:D558=$D559)*($A$3:A558&lt;$A559)),$N$3:N558),'Guide &amp; Settings'!$C$41))</f>
        <v>0</v>
      </c>
      <c r="I559" s="122">
        <f>IF($D559="",0,IF($S559=0,0,$R559/$S559))</f>
        <v>0</v>
      </c>
      <c r="J559" s="123">
        <f>IF($D559="",0,IF($F559&lt;2,0,IF($E559="Win",('Guide &amp; Settings'!$C$42/(($F559-1)*COUNTIFS($A$4:$A$810,$A559,$E$4:$E$810,"Win")))*SUMIFS($X$4:$X$810,$A$4:$A$810,$A559,$E$4:$E$810,"Loss"),-('Guide &amp; Settings'!$C$42/($F559-1))*$X559)))</f>
        <v>0</v>
      </c>
      <c r="K559" s="123">
        <f>IF($D559="",0,'Guide &amp; Settings'!$C$43*(IF($E559="Win",1,0)-$I559))</f>
        <v>0</v>
      </c>
      <c r="L559" s="124">
        <f>IF($D559="",0,'Guide &amp; Settings'!$C$44*IF($F559&gt;=3,$F559+IF($E559="Win",$F559,0),0))</f>
        <v>0</v>
      </c>
      <c r="M559" s="123">
        <f>IF($D559="",0,$J559+$K559+$L559)</f>
        <v>0</v>
      </c>
      <c r="N559" s="121">
        <f>IF($D559="",0,$H559+$M559)</f>
        <v>0</v>
      </c>
      <c r="O559" s="120" t="str">
        <f>IF($D559="","",IF(COUNTIFS($A$4:$A$810,$A559,$E$4:$E$810,"Win")=0,"need a winner",IF(COUNTIFS($A$4:$A$810,$A559,$E$4:$E$810,"Loss")=0,"need a loser",IF(COUNTIFS($A$4:$A$810,$A559,$D$4:$D$810,$D559)&gt;1,"duplicate player","OK"))))</f>
      </c>
      <c r="P559">
        <f>IF($D559="",0,IFERROR(SUMIFS($H$4:$H$810,$A$4:$A$810,$A559,$E$4:$E$810,"Win")/COUNTIFS($A$4:$A$810,$A559,$E$4:$E$810,"Win"),0))</f>
        <v>0</v>
      </c>
      <c r="Q559">
        <f>IF($D559="",0,1/(1+10^(($P559-$H559)/400)))</f>
        <v>0</v>
      </c>
      <c r="R559">
        <f>IF($D559="",0,(COUNTIFS($D$4:$D$810,$D559,$C$4:$C$810,$C559,$E$4:$E$810,"Win",$A$4:$A$810,"&lt;"&amp;$A559)+1)/(COUNTIFS($D$4:$D$810,$D559,$C$4:$C$810,$C559,$A$4:$A$810,"&lt;"&amp;$A559)+2))</f>
        <v>0</v>
      </c>
      <c r="S559">
        <f>IF($D559="",0,SUMIFS($R$4:$R$810,$A$4:$A$810,$A559))</f>
        <v>0</v>
      </c>
      <c r="T559" s="88">
        <f>IF($D559="",0,COUNTIFS($D$4:$D$810,$D559,$C$4:$C$810,$C559,$A$4:$A$810,"&lt;"&amp;$A559))</f>
        <v>0</v>
      </c>
      <c r="U559" s="125">
        <f>IF($D559="",0,IFERROR(LOOKUP(2,1/(($D$3:D558=$D559)*($C$3:C558=$C559)*($A$3:A558&lt;$A559)),$AB$3:AB558),1000))</f>
        <v>0</v>
      </c>
      <c r="V559" s="125">
        <f>IF($D559="",0,$U559*($T559/($T559+5))+$H559*(1-$T559/($T559+5)))</f>
        <v>0</v>
      </c>
      <c r="W559">
        <f>IF($D559="",0,IFERROR(SUMIFS($V$4:$V$810,$A$4:$A$810,$A559,$E$4:$E$810,"Win")/COUNTIFS($A$4:$A$810,$A559,$E$4:$E$810,"Win"),0))</f>
        <v>0</v>
      </c>
      <c r="X559">
        <f>IF($D559="",0,1/(1+10^(($W559-$V559)/400)))</f>
        <v>0</v>
      </c>
      <c r="Y559">
        <f>IF($D559="",0,IFERROR(SUMIFS($U$4:$U$810,$A$4:$A$810,$A559,$E$4:$E$810,"Win")/COUNTIFS($A$4:$A$810,$A559,$E$4:$E$810,"Win"),0))</f>
        <v>0</v>
      </c>
      <c r="Z559">
        <f>IF($D559="",0,1/(1+10^(($Y559-$U559)/400)))</f>
        <v>0</v>
      </c>
      <c r="AA559">
        <f>IF($D559="",0,IF($F559&lt;2,0,IF($E559="Win",('Guide &amp; Settings'!$C$42/(($F559-1)*COUNTIFS($A$4:$A$810,$A559,$E$4:$E$810,"Win")))*SUMIFS($Z$4:$Z$810,$A$4:$A$810,$A559,$E$4:$E$810,"Loss"),-('Guide &amp; Settings'!$C$42/($F559-1))*$Z559)))</f>
        <v>0</v>
      </c>
      <c r="AB559" s="125">
        <f>IF($D559="",0,$U559+$AA559)</f>
        <v>0</v>
      </c>
      <c r="AC559" s="125" t="str">
        <f>IF($D559="","",IF(SUMPRODUCT(MAX(($D$4:$D$810=$D559)*($B$4:$B$810&lt;$B559)*$B$4:$B$810))=0,0,MAX(($B559-MAX(SUMPRODUCT(MAX(($D$4:$D$810=$D559)*($B$4:$B$810&lt;$B559)*$B$4:$B$810)),'Guide &amp; Settings'!$C$50))/7-'Guide &amp; Settings'!$C$48,0)*'Guide &amp; Settings'!$C$49))</f>
      </c>
    </row>
    <row r="560" spans="1:29">
      <c r="A560" s="116"/>
      <c r="B560" s="117"/>
      <c r="C560" s="118"/>
      <c r="D560" s="118"/>
      <c r="E560" s="116"/>
      <c r="F560" s="119">
        <f>IF($D560="",0,COUNTIF($A$4:$A$810,$A560))</f>
        <v>0</v>
      </c>
      <c r="G560" s="120">
        <f>IF($D560="","",IFERROR(LOOKUP(2,1/(($A$4:$A$810=$A560)*($E$4:$E$810="Win")),$D$4:$D$810),"(no winner)"))</f>
        <v>0</v>
      </c>
      <c r="H560" s="121">
        <f>IF($D560="",0,IFERROR(LOOKUP(2,1/(($D$3:D559=$D560)*($A$3:A559&lt;$A560)),$N$3:N559),'Guide &amp; Settings'!$C$41))</f>
        <v>0</v>
      </c>
      <c r="I560" s="122">
        <f>IF($D560="",0,IF($S560=0,0,$R560/$S560))</f>
        <v>0</v>
      </c>
      <c r="J560" s="123">
        <f>IF($D560="",0,IF($F560&lt;2,0,IF($E560="Win",('Guide &amp; Settings'!$C$42/(($F560-1)*COUNTIFS($A$4:$A$810,$A560,$E$4:$E$810,"Win")))*SUMIFS($X$4:$X$810,$A$4:$A$810,$A560,$E$4:$E$810,"Loss"),-('Guide &amp; Settings'!$C$42/($F560-1))*$X560)))</f>
        <v>0</v>
      </c>
      <c r="K560" s="123">
        <f>IF($D560="",0,'Guide &amp; Settings'!$C$43*(IF($E560="Win",1,0)-$I560))</f>
        <v>0</v>
      </c>
      <c r="L560" s="124">
        <f>IF($D560="",0,'Guide &amp; Settings'!$C$44*IF($F560&gt;=3,$F560+IF($E560="Win",$F560,0),0))</f>
        <v>0</v>
      </c>
      <c r="M560" s="123">
        <f>IF($D560="",0,$J560+$K560+$L560)</f>
        <v>0</v>
      </c>
      <c r="N560" s="121">
        <f>IF($D560="",0,$H560+$M560)</f>
        <v>0</v>
      </c>
      <c r="O560" s="120" t="str">
        <f>IF($D560="","",IF(COUNTIFS($A$4:$A$810,$A560,$E$4:$E$810,"Win")=0,"need a winner",IF(COUNTIFS($A$4:$A$810,$A560,$E$4:$E$810,"Loss")=0,"need a loser",IF(COUNTIFS($A$4:$A$810,$A560,$D$4:$D$810,$D560)&gt;1,"duplicate player","OK"))))</f>
      </c>
      <c r="P560">
        <f>IF($D560="",0,IFERROR(SUMIFS($H$4:$H$810,$A$4:$A$810,$A560,$E$4:$E$810,"Win")/COUNTIFS($A$4:$A$810,$A560,$E$4:$E$810,"Win"),0))</f>
        <v>0</v>
      </c>
      <c r="Q560">
        <f>IF($D560="",0,1/(1+10^(($P560-$H560)/400)))</f>
        <v>0</v>
      </c>
      <c r="R560">
        <f>IF($D560="",0,(COUNTIFS($D$4:$D$810,$D560,$C$4:$C$810,$C560,$E$4:$E$810,"Win",$A$4:$A$810,"&lt;"&amp;$A560)+1)/(COUNTIFS($D$4:$D$810,$D560,$C$4:$C$810,$C560,$A$4:$A$810,"&lt;"&amp;$A560)+2))</f>
        <v>0</v>
      </c>
      <c r="S560">
        <f>IF($D560="",0,SUMIFS($R$4:$R$810,$A$4:$A$810,$A560))</f>
        <v>0</v>
      </c>
      <c r="T560" s="88">
        <f>IF($D560="",0,COUNTIFS($D$4:$D$810,$D560,$C$4:$C$810,$C560,$A$4:$A$810,"&lt;"&amp;$A560))</f>
        <v>0</v>
      </c>
      <c r="U560" s="125">
        <f>IF($D560="",0,IFERROR(LOOKUP(2,1/(($D$3:D559=$D560)*($C$3:C559=$C560)*($A$3:A559&lt;$A560)),$AB$3:AB559),1000))</f>
        <v>0</v>
      </c>
      <c r="V560" s="125">
        <f>IF($D560="",0,$U560*($T560/($T560+5))+$H560*(1-$T560/($T560+5)))</f>
        <v>0</v>
      </c>
      <c r="W560">
        <f>IF($D560="",0,IFERROR(SUMIFS($V$4:$V$810,$A$4:$A$810,$A560,$E$4:$E$810,"Win")/COUNTIFS($A$4:$A$810,$A560,$E$4:$E$810,"Win"),0))</f>
        <v>0</v>
      </c>
      <c r="X560">
        <f>IF($D560="",0,1/(1+10^(($W560-$V560)/400)))</f>
        <v>0</v>
      </c>
      <c r="Y560">
        <f>IF($D560="",0,IFERROR(SUMIFS($U$4:$U$810,$A$4:$A$810,$A560,$E$4:$E$810,"Win")/COUNTIFS($A$4:$A$810,$A560,$E$4:$E$810,"Win"),0))</f>
        <v>0</v>
      </c>
      <c r="Z560">
        <f>IF($D560="",0,1/(1+10^(($Y560-$U560)/400)))</f>
        <v>0</v>
      </c>
      <c r="AA560">
        <f>IF($D560="",0,IF($F560&lt;2,0,IF($E560="Win",('Guide &amp; Settings'!$C$42/(($F560-1)*COUNTIFS($A$4:$A$810,$A560,$E$4:$E$810,"Win")))*SUMIFS($Z$4:$Z$810,$A$4:$A$810,$A560,$E$4:$E$810,"Loss"),-('Guide &amp; Settings'!$C$42/($F560-1))*$Z560)))</f>
        <v>0</v>
      </c>
      <c r="AB560" s="125">
        <f>IF($D560="",0,$U560+$AA560)</f>
        <v>0</v>
      </c>
      <c r="AC560" s="125" t="str">
        <f>IF($D560="","",IF(SUMPRODUCT(MAX(($D$4:$D$810=$D560)*($B$4:$B$810&lt;$B560)*$B$4:$B$810))=0,0,MAX(($B560-MAX(SUMPRODUCT(MAX(($D$4:$D$810=$D560)*($B$4:$B$810&lt;$B560)*$B$4:$B$810)),'Guide &amp; Settings'!$C$50))/7-'Guide &amp; Settings'!$C$48,0)*'Guide &amp; Settings'!$C$49))</f>
      </c>
    </row>
    <row r="561" spans="1:29">
      <c r="A561" s="116"/>
      <c r="B561" s="117"/>
      <c r="C561" s="118"/>
      <c r="D561" s="118"/>
      <c r="E561" s="116"/>
      <c r="F561" s="119">
        <f>IF($D561="",0,COUNTIF($A$4:$A$810,$A561))</f>
        <v>0</v>
      </c>
      <c r="G561" s="120">
        <f>IF($D561="","",IFERROR(LOOKUP(2,1/(($A$4:$A$810=$A561)*($E$4:$E$810="Win")),$D$4:$D$810),"(no winner)"))</f>
        <v>0</v>
      </c>
      <c r="H561" s="121">
        <f>IF($D561="",0,IFERROR(LOOKUP(2,1/(($D$3:D560=$D561)*($A$3:A560&lt;$A561)),$N$3:N560),'Guide &amp; Settings'!$C$41))</f>
        <v>0</v>
      </c>
      <c r="I561" s="122">
        <f>IF($D561="",0,IF($S561=0,0,$R561/$S561))</f>
        <v>0</v>
      </c>
      <c r="J561" s="123">
        <f>IF($D561="",0,IF($F561&lt;2,0,IF($E561="Win",('Guide &amp; Settings'!$C$42/(($F561-1)*COUNTIFS($A$4:$A$810,$A561,$E$4:$E$810,"Win")))*SUMIFS($X$4:$X$810,$A$4:$A$810,$A561,$E$4:$E$810,"Loss"),-('Guide &amp; Settings'!$C$42/($F561-1))*$X561)))</f>
        <v>0</v>
      </c>
      <c r="K561" s="123">
        <f>IF($D561="",0,'Guide &amp; Settings'!$C$43*(IF($E561="Win",1,0)-$I561))</f>
        <v>0</v>
      </c>
      <c r="L561" s="124">
        <f>IF($D561="",0,'Guide &amp; Settings'!$C$44*IF($F561&gt;=3,$F561+IF($E561="Win",$F561,0),0))</f>
        <v>0</v>
      </c>
      <c r="M561" s="123">
        <f>IF($D561="",0,$J561+$K561+$L561)</f>
        <v>0</v>
      </c>
      <c r="N561" s="121">
        <f>IF($D561="",0,$H561+$M561)</f>
        <v>0</v>
      </c>
      <c r="O561" s="120" t="str">
        <f>IF($D561="","",IF(COUNTIFS($A$4:$A$810,$A561,$E$4:$E$810,"Win")=0,"need a winner",IF(COUNTIFS($A$4:$A$810,$A561,$E$4:$E$810,"Loss")=0,"need a loser",IF(COUNTIFS($A$4:$A$810,$A561,$D$4:$D$810,$D561)&gt;1,"duplicate player","OK"))))</f>
      </c>
      <c r="P561">
        <f>IF($D561="",0,IFERROR(SUMIFS($H$4:$H$810,$A$4:$A$810,$A561,$E$4:$E$810,"Win")/COUNTIFS($A$4:$A$810,$A561,$E$4:$E$810,"Win"),0))</f>
        <v>0</v>
      </c>
      <c r="Q561">
        <f>IF($D561="",0,1/(1+10^(($P561-$H561)/400)))</f>
        <v>0</v>
      </c>
      <c r="R561">
        <f>IF($D561="",0,(COUNTIFS($D$4:$D$810,$D561,$C$4:$C$810,$C561,$E$4:$E$810,"Win",$A$4:$A$810,"&lt;"&amp;$A561)+1)/(COUNTIFS($D$4:$D$810,$D561,$C$4:$C$810,$C561,$A$4:$A$810,"&lt;"&amp;$A561)+2))</f>
        <v>0</v>
      </c>
      <c r="S561">
        <f>IF($D561="",0,SUMIFS($R$4:$R$810,$A$4:$A$810,$A561))</f>
        <v>0</v>
      </c>
      <c r="T561" s="88">
        <f>IF($D561="",0,COUNTIFS($D$4:$D$810,$D561,$C$4:$C$810,$C561,$A$4:$A$810,"&lt;"&amp;$A561))</f>
        <v>0</v>
      </c>
      <c r="U561" s="125">
        <f>IF($D561="",0,IFERROR(LOOKUP(2,1/(($D$3:D560=$D561)*($C$3:C560=$C561)*($A$3:A560&lt;$A561)),$AB$3:AB560),1000))</f>
        <v>0</v>
      </c>
      <c r="V561" s="125">
        <f>IF($D561="",0,$U561*($T561/($T561+5))+$H561*(1-$T561/($T561+5)))</f>
        <v>0</v>
      </c>
      <c r="W561">
        <f>IF($D561="",0,IFERROR(SUMIFS($V$4:$V$810,$A$4:$A$810,$A561,$E$4:$E$810,"Win")/COUNTIFS($A$4:$A$810,$A561,$E$4:$E$810,"Win"),0))</f>
        <v>0</v>
      </c>
      <c r="X561">
        <f>IF($D561="",0,1/(1+10^(($W561-$V561)/400)))</f>
        <v>0</v>
      </c>
      <c r="Y561">
        <f>IF($D561="",0,IFERROR(SUMIFS($U$4:$U$810,$A$4:$A$810,$A561,$E$4:$E$810,"Win")/COUNTIFS($A$4:$A$810,$A561,$E$4:$E$810,"Win"),0))</f>
        <v>0</v>
      </c>
      <c r="Z561">
        <f>IF($D561="",0,1/(1+10^(($Y561-$U561)/400)))</f>
        <v>0</v>
      </c>
      <c r="AA561">
        <f>IF($D561="",0,IF($F561&lt;2,0,IF($E561="Win",('Guide &amp; Settings'!$C$42/(($F561-1)*COUNTIFS($A$4:$A$810,$A561,$E$4:$E$810,"Win")))*SUMIFS($Z$4:$Z$810,$A$4:$A$810,$A561,$E$4:$E$810,"Loss"),-('Guide &amp; Settings'!$C$42/($F561-1))*$Z561)))</f>
        <v>0</v>
      </c>
      <c r="AB561" s="125">
        <f>IF($D561="",0,$U561+$AA561)</f>
        <v>0</v>
      </c>
      <c r="AC561" s="125" t="str">
        <f>IF($D561="","",IF(SUMPRODUCT(MAX(($D$4:$D$810=$D561)*($B$4:$B$810&lt;$B561)*$B$4:$B$810))=0,0,MAX(($B561-MAX(SUMPRODUCT(MAX(($D$4:$D$810=$D561)*($B$4:$B$810&lt;$B561)*$B$4:$B$810)),'Guide &amp; Settings'!$C$50))/7-'Guide &amp; Settings'!$C$48,0)*'Guide &amp; Settings'!$C$49))</f>
      </c>
    </row>
    <row r="562" spans="1:29">
      <c r="A562" s="116"/>
      <c r="B562" s="117"/>
      <c r="C562" s="118"/>
      <c r="D562" s="118"/>
      <c r="E562" s="116"/>
      <c r="F562" s="119">
        <f>IF($D562="",0,COUNTIF($A$4:$A$810,$A562))</f>
        <v>0</v>
      </c>
      <c r="G562" s="120">
        <f>IF($D562="","",IFERROR(LOOKUP(2,1/(($A$4:$A$810=$A562)*($E$4:$E$810="Win")),$D$4:$D$810),"(no winner)"))</f>
        <v>0</v>
      </c>
      <c r="H562" s="121">
        <f>IF($D562="",0,IFERROR(LOOKUP(2,1/(($D$3:D561=$D562)*($A$3:A561&lt;$A562)),$N$3:N561),'Guide &amp; Settings'!$C$41))</f>
        <v>0</v>
      </c>
      <c r="I562" s="122">
        <f>IF($D562="",0,IF($S562=0,0,$R562/$S562))</f>
        <v>0</v>
      </c>
      <c r="J562" s="123">
        <f>IF($D562="",0,IF($F562&lt;2,0,IF($E562="Win",('Guide &amp; Settings'!$C$42/(($F562-1)*COUNTIFS($A$4:$A$810,$A562,$E$4:$E$810,"Win")))*SUMIFS($X$4:$X$810,$A$4:$A$810,$A562,$E$4:$E$810,"Loss"),-('Guide &amp; Settings'!$C$42/($F562-1))*$X562)))</f>
        <v>0</v>
      </c>
      <c r="K562" s="123">
        <f>IF($D562="",0,'Guide &amp; Settings'!$C$43*(IF($E562="Win",1,0)-$I562))</f>
        <v>0</v>
      </c>
      <c r="L562" s="124">
        <f>IF($D562="",0,'Guide &amp; Settings'!$C$44*IF($F562&gt;=3,$F562+IF($E562="Win",$F562,0),0))</f>
        <v>0</v>
      </c>
      <c r="M562" s="123">
        <f>IF($D562="",0,$J562+$K562+$L562)</f>
        <v>0</v>
      </c>
      <c r="N562" s="121">
        <f>IF($D562="",0,$H562+$M562)</f>
        <v>0</v>
      </c>
      <c r="O562" s="120" t="str">
        <f>IF($D562="","",IF(COUNTIFS($A$4:$A$810,$A562,$E$4:$E$810,"Win")=0,"need a winner",IF(COUNTIFS($A$4:$A$810,$A562,$E$4:$E$810,"Loss")=0,"need a loser",IF(COUNTIFS($A$4:$A$810,$A562,$D$4:$D$810,$D562)&gt;1,"duplicate player","OK"))))</f>
      </c>
      <c r="P562">
        <f>IF($D562="",0,IFERROR(SUMIFS($H$4:$H$810,$A$4:$A$810,$A562,$E$4:$E$810,"Win")/COUNTIFS($A$4:$A$810,$A562,$E$4:$E$810,"Win"),0))</f>
        <v>0</v>
      </c>
      <c r="Q562">
        <f>IF($D562="",0,1/(1+10^(($P562-$H562)/400)))</f>
        <v>0</v>
      </c>
      <c r="R562">
        <f>IF($D562="",0,(COUNTIFS($D$4:$D$810,$D562,$C$4:$C$810,$C562,$E$4:$E$810,"Win",$A$4:$A$810,"&lt;"&amp;$A562)+1)/(COUNTIFS($D$4:$D$810,$D562,$C$4:$C$810,$C562,$A$4:$A$810,"&lt;"&amp;$A562)+2))</f>
        <v>0</v>
      </c>
      <c r="S562">
        <f>IF($D562="",0,SUMIFS($R$4:$R$810,$A$4:$A$810,$A562))</f>
        <v>0</v>
      </c>
      <c r="T562" s="88">
        <f>IF($D562="",0,COUNTIFS($D$4:$D$810,$D562,$C$4:$C$810,$C562,$A$4:$A$810,"&lt;"&amp;$A562))</f>
        <v>0</v>
      </c>
      <c r="U562" s="125">
        <f>IF($D562="",0,IFERROR(LOOKUP(2,1/(($D$3:D561=$D562)*($C$3:C561=$C562)*($A$3:A561&lt;$A562)),$AB$3:AB561),1000))</f>
        <v>0</v>
      </c>
      <c r="V562" s="125">
        <f>IF($D562="",0,$U562*($T562/($T562+5))+$H562*(1-$T562/($T562+5)))</f>
        <v>0</v>
      </c>
      <c r="W562">
        <f>IF($D562="",0,IFERROR(SUMIFS($V$4:$V$810,$A$4:$A$810,$A562,$E$4:$E$810,"Win")/COUNTIFS($A$4:$A$810,$A562,$E$4:$E$810,"Win"),0))</f>
        <v>0</v>
      </c>
      <c r="X562">
        <f>IF($D562="",0,1/(1+10^(($W562-$V562)/400)))</f>
        <v>0</v>
      </c>
      <c r="Y562">
        <f>IF($D562="",0,IFERROR(SUMIFS($U$4:$U$810,$A$4:$A$810,$A562,$E$4:$E$810,"Win")/COUNTIFS($A$4:$A$810,$A562,$E$4:$E$810,"Win"),0))</f>
        <v>0</v>
      </c>
      <c r="Z562">
        <f>IF($D562="",0,1/(1+10^(($Y562-$U562)/400)))</f>
        <v>0</v>
      </c>
      <c r="AA562">
        <f>IF($D562="",0,IF($F562&lt;2,0,IF($E562="Win",('Guide &amp; Settings'!$C$42/(($F562-1)*COUNTIFS($A$4:$A$810,$A562,$E$4:$E$810,"Win")))*SUMIFS($Z$4:$Z$810,$A$4:$A$810,$A562,$E$4:$E$810,"Loss"),-('Guide &amp; Settings'!$C$42/($F562-1))*$Z562)))</f>
        <v>0</v>
      </c>
      <c r="AB562" s="125">
        <f>IF($D562="",0,$U562+$AA562)</f>
        <v>0</v>
      </c>
      <c r="AC562" s="125" t="str">
        <f>IF($D562="","",IF(SUMPRODUCT(MAX(($D$4:$D$810=$D562)*($B$4:$B$810&lt;$B562)*$B$4:$B$810))=0,0,MAX(($B562-MAX(SUMPRODUCT(MAX(($D$4:$D$810=$D562)*($B$4:$B$810&lt;$B562)*$B$4:$B$810)),'Guide &amp; Settings'!$C$50))/7-'Guide &amp; Settings'!$C$48,0)*'Guide &amp; Settings'!$C$49))</f>
      </c>
    </row>
    <row r="563" spans="1:29">
      <c r="A563" s="116"/>
      <c r="B563" s="117"/>
      <c r="C563" s="118"/>
      <c r="D563" s="118"/>
      <c r="E563" s="116"/>
      <c r="F563" s="119">
        <f>IF($D563="",0,COUNTIF($A$4:$A$810,$A563))</f>
        <v>0</v>
      </c>
      <c r="G563" s="120">
        <f>IF($D563="","",IFERROR(LOOKUP(2,1/(($A$4:$A$810=$A563)*($E$4:$E$810="Win")),$D$4:$D$810),"(no winner)"))</f>
        <v>0</v>
      </c>
      <c r="H563" s="121">
        <f>IF($D563="",0,IFERROR(LOOKUP(2,1/(($D$3:D562=$D563)*($A$3:A562&lt;$A563)),$N$3:N562),'Guide &amp; Settings'!$C$41))</f>
        <v>0</v>
      </c>
      <c r="I563" s="122">
        <f>IF($D563="",0,IF($S563=0,0,$R563/$S563))</f>
        <v>0</v>
      </c>
      <c r="J563" s="123">
        <f>IF($D563="",0,IF($F563&lt;2,0,IF($E563="Win",('Guide &amp; Settings'!$C$42/(($F563-1)*COUNTIFS($A$4:$A$810,$A563,$E$4:$E$810,"Win")))*SUMIFS($X$4:$X$810,$A$4:$A$810,$A563,$E$4:$E$810,"Loss"),-('Guide &amp; Settings'!$C$42/($F563-1))*$X563)))</f>
        <v>0</v>
      </c>
      <c r="K563" s="123">
        <f>IF($D563="",0,'Guide &amp; Settings'!$C$43*(IF($E563="Win",1,0)-$I563))</f>
        <v>0</v>
      </c>
      <c r="L563" s="124">
        <f>IF($D563="",0,'Guide &amp; Settings'!$C$44*IF($F563&gt;=3,$F563+IF($E563="Win",$F563,0),0))</f>
        <v>0</v>
      </c>
      <c r="M563" s="123">
        <f>IF($D563="",0,$J563+$K563+$L563)</f>
        <v>0</v>
      </c>
      <c r="N563" s="121">
        <f>IF($D563="",0,$H563+$M563)</f>
        <v>0</v>
      </c>
      <c r="O563" s="120" t="str">
        <f>IF($D563="","",IF(COUNTIFS($A$4:$A$810,$A563,$E$4:$E$810,"Win")=0,"need a winner",IF(COUNTIFS($A$4:$A$810,$A563,$E$4:$E$810,"Loss")=0,"need a loser",IF(COUNTIFS($A$4:$A$810,$A563,$D$4:$D$810,$D563)&gt;1,"duplicate player","OK"))))</f>
      </c>
      <c r="P563">
        <f>IF($D563="",0,IFERROR(SUMIFS($H$4:$H$810,$A$4:$A$810,$A563,$E$4:$E$810,"Win")/COUNTIFS($A$4:$A$810,$A563,$E$4:$E$810,"Win"),0))</f>
        <v>0</v>
      </c>
      <c r="Q563">
        <f>IF($D563="",0,1/(1+10^(($P563-$H563)/400)))</f>
        <v>0</v>
      </c>
      <c r="R563">
        <f>IF($D563="",0,(COUNTIFS($D$4:$D$810,$D563,$C$4:$C$810,$C563,$E$4:$E$810,"Win",$A$4:$A$810,"&lt;"&amp;$A563)+1)/(COUNTIFS($D$4:$D$810,$D563,$C$4:$C$810,$C563,$A$4:$A$810,"&lt;"&amp;$A563)+2))</f>
        <v>0</v>
      </c>
      <c r="S563">
        <f>IF($D563="",0,SUMIFS($R$4:$R$810,$A$4:$A$810,$A563))</f>
        <v>0</v>
      </c>
      <c r="T563" s="88">
        <f>IF($D563="",0,COUNTIFS($D$4:$D$810,$D563,$C$4:$C$810,$C563,$A$4:$A$810,"&lt;"&amp;$A563))</f>
        <v>0</v>
      </c>
      <c r="U563" s="125">
        <f>IF($D563="",0,IFERROR(LOOKUP(2,1/(($D$3:D562=$D563)*($C$3:C562=$C563)*($A$3:A562&lt;$A563)),$AB$3:AB562),1000))</f>
        <v>0</v>
      </c>
      <c r="V563" s="125">
        <f>IF($D563="",0,$U563*($T563/($T563+5))+$H563*(1-$T563/($T563+5)))</f>
        <v>0</v>
      </c>
      <c r="W563">
        <f>IF($D563="",0,IFERROR(SUMIFS($V$4:$V$810,$A$4:$A$810,$A563,$E$4:$E$810,"Win")/COUNTIFS($A$4:$A$810,$A563,$E$4:$E$810,"Win"),0))</f>
        <v>0</v>
      </c>
      <c r="X563">
        <f>IF($D563="",0,1/(1+10^(($W563-$V563)/400)))</f>
        <v>0</v>
      </c>
      <c r="Y563">
        <f>IF($D563="",0,IFERROR(SUMIFS($U$4:$U$810,$A$4:$A$810,$A563,$E$4:$E$810,"Win")/COUNTIFS($A$4:$A$810,$A563,$E$4:$E$810,"Win"),0))</f>
        <v>0</v>
      </c>
      <c r="Z563">
        <f>IF($D563="",0,1/(1+10^(($Y563-$U563)/400)))</f>
        <v>0</v>
      </c>
      <c r="AA563">
        <f>IF($D563="",0,IF($F563&lt;2,0,IF($E563="Win",('Guide &amp; Settings'!$C$42/(($F563-1)*COUNTIFS($A$4:$A$810,$A563,$E$4:$E$810,"Win")))*SUMIFS($Z$4:$Z$810,$A$4:$A$810,$A563,$E$4:$E$810,"Loss"),-('Guide &amp; Settings'!$C$42/($F563-1))*$Z563)))</f>
        <v>0</v>
      </c>
      <c r="AB563" s="125">
        <f>IF($D563="",0,$U563+$AA563)</f>
        <v>0</v>
      </c>
      <c r="AC563" s="125" t="str">
        <f>IF($D563="","",IF(SUMPRODUCT(MAX(($D$4:$D$810=$D563)*($B$4:$B$810&lt;$B563)*$B$4:$B$810))=0,0,MAX(($B563-MAX(SUMPRODUCT(MAX(($D$4:$D$810=$D563)*($B$4:$B$810&lt;$B563)*$B$4:$B$810)),'Guide &amp; Settings'!$C$50))/7-'Guide &amp; Settings'!$C$48,0)*'Guide &amp; Settings'!$C$49))</f>
      </c>
    </row>
    <row r="564" spans="1:29">
      <c r="A564" s="116"/>
      <c r="B564" s="117"/>
      <c r="C564" s="118"/>
      <c r="D564" s="118"/>
      <c r="E564" s="116"/>
      <c r="F564" s="119">
        <f>IF($D564="",0,COUNTIF($A$4:$A$810,$A564))</f>
        <v>0</v>
      </c>
      <c r="G564" s="120">
        <f>IF($D564="","",IFERROR(LOOKUP(2,1/(($A$4:$A$810=$A564)*($E$4:$E$810="Win")),$D$4:$D$810),"(no winner)"))</f>
        <v>0</v>
      </c>
      <c r="H564" s="121">
        <f>IF($D564="",0,IFERROR(LOOKUP(2,1/(($D$3:D563=$D564)*($A$3:A563&lt;$A564)),$N$3:N563),'Guide &amp; Settings'!$C$41))</f>
        <v>0</v>
      </c>
      <c r="I564" s="122">
        <f>IF($D564="",0,IF($S564=0,0,$R564/$S564))</f>
        <v>0</v>
      </c>
      <c r="J564" s="123">
        <f>IF($D564="",0,IF($F564&lt;2,0,IF($E564="Win",('Guide &amp; Settings'!$C$42/(($F564-1)*COUNTIFS($A$4:$A$810,$A564,$E$4:$E$810,"Win")))*SUMIFS($X$4:$X$810,$A$4:$A$810,$A564,$E$4:$E$810,"Loss"),-('Guide &amp; Settings'!$C$42/($F564-1))*$X564)))</f>
        <v>0</v>
      </c>
      <c r="K564" s="123">
        <f>IF($D564="",0,'Guide &amp; Settings'!$C$43*(IF($E564="Win",1,0)-$I564))</f>
        <v>0</v>
      </c>
      <c r="L564" s="124">
        <f>IF($D564="",0,'Guide &amp; Settings'!$C$44*IF($F564&gt;=3,$F564+IF($E564="Win",$F564,0),0))</f>
        <v>0</v>
      </c>
      <c r="M564" s="123">
        <f>IF($D564="",0,$J564+$K564+$L564)</f>
        <v>0</v>
      </c>
      <c r="N564" s="121">
        <f>IF($D564="",0,$H564+$M564)</f>
        <v>0</v>
      </c>
      <c r="O564" s="120" t="str">
        <f>IF($D564="","",IF(COUNTIFS($A$4:$A$810,$A564,$E$4:$E$810,"Win")=0,"need a winner",IF(COUNTIFS($A$4:$A$810,$A564,$E$4:$E$810,"Loss")=0,"need a loser",IF(COUNTIFS($A$4:$A$810,$A564,$D$4:$D$810,$D564)&gt;1,"duplicate player","OK"))))</f>
      </c>
      <c r="P564">
        <f>IF($D564="",0,IFERROR(SUMIFS($H$4:$H$810,$A$4:$A$810,$A564,$E$4:$E$810,"Win")/COUNTIFS($A$4:$A$810,$A564,$E$4:$E$810,"Win"),0))</f>
        <v>0</v>
      </c>
      <c r="Q564">
        <f>IF($D564="",0,1/(1+10^(($P564-$H564)/400)))</f>
        <v>0</v>
      </c>
      <c r="R564">
        <f>IF($D564="",0,(COUNTIFS($D$4:$D$810,$D564,$C$4:$C$810,$C564,$E$4:$E$810,"Win",$A$4:$A$810,"&lt;"&amp;$A564)+1)/(COUNTIFS($D$4:$D$810,$D564,$C$4:$C$810,$C564,$A$4:$A$810,"&lt;"&amp;$A564)+2))</f>
        <v>0</v>
      </c>
      <c r="S564">
        <f>IF($D564="",0,SUMIFS($R$4:$R$810,$A$4:$A$810,$A564))</f>
        <v>0</v>
      </c>
      <c r="T564" s="88">
        <f>IF($D564="",0,COUNTIFS($D$4:$D$810,$D564,$C$4:$C$810,$C564,$A$4:$A$810,"&lt;"&amp;$A564))</f>
        <v>0</v>
      </c>
      <c r="U564" s="125">
        <f>IF($D564="",0,IFERROR(LOOKUP(2,1/(($D$3:D563=$D564)*($C$3:C563=$C564)*($A$3:A563&lt;$A564)),$AB$3:AB563),1000))</f>
        <v>0</v>
      </c>
      <c r="V564" s="125">
        <f>IF($D564="",0,$U564*($T564/($T564+5))+$H564*(1-$T564/($T564+5)))</f>
        <v>0</v>
      </c>
      <c r="W564">
        <f>IF($D564="",0,IFERROR(SUMIFS($V$4:$V$810,$A$4:$A$810,$A564,$E$4:$E$810,"Win")/COUNTIFS($A$4:$A$810,$A564,$E$4:$E$810,"Win"),0))</f>
        <v>0</v>
      </c>
      <c r="X564">
        <f>IF($D564="",0,1/(1+10^(($W564-$V564)/400)))</f>
        <v>0</v>
      </c>
      <c r="Y564">
        <f>IF($D564="",0,IFERROR(SUMIFS($U$4:$U$810,$A$4:$A$810,$A564,$E$4:$E$810,"Win")/COUNTIFS($A$4:$A$810,$A564,$E$4:$E$810,"Win"),0))</f>
        <v>0</v>
      </c>
      <c r="Z564">
        <f>IF($D564="",0,1/(1+10^(($Y564-$U564)/400)))</f>
        <v>0</v>
      </c>
      <c r="AA564">
        <f>IF($D564="",0,IF($F564&lt;2,0,IF($E564="Win",('Guide &amp; Settings'!$C$42/(($F564-1)*COUNTIFS($A$4:$A$810,$A564,$E$4:$E$810,"Win")))*SUMIFS($Z$4:$Z$810,$A$4:$A$810,$A564,$E$4:$E$810,"Loss"),-('Guide &amp; Settings'!$C$42/($F564-1))*$Z564)))</f>
        <v>0</v>
      </c>
      <c r="AB564" s="125">
        <f>IF($D564="",0,$U564+$AA564)</f>
        <v>0</v>
      </c>
      <c r="AC564" s="125" t="str">
        <f>IF($D564="","",IF(SUMPRODUCT(MAX(($D$4:$D$810=$D564)*($B$4:$B$810&lt;$B564)*$B$4:$B$810))=0,0,MAX(($B564-MAX(SUMPRODUCT(MAX(($D$4:$D$810=$D564)*($B$4:$B$810&lt;$B564)*$B$4:$B$810)),'Guide &amp; Settings'!$C$50))/7-'Guide &amp; Settings'!$C$48,0)*'Guide &amp; Settings'!$C$49))</f>
      </c>
    </row>
    <row r="565" spans="1:29">
      <c r="A565" s="116"/>
      <c r="B565" s="117"/>
      <c r="C565" s="118"/>
      <c r="D565" s="118"/>
      <c r="E565" s="116"/>
      <c r="F565" s="119">
        <f>IF($D565="",0,COUNTIF($A$4:$A$810,$A565))</f>
        <v>0</v>
      </c>
      <c r="G565" s="120">
        <f>IF($D565="","",IFERROR(LOOKUP(2,1/(($A$4:$A$810=$A565)*($E$4:$E$810="Win")),$D$4:$D$810),"(no winner)"))</f>
        <v>0</v>
      </c>
      <c r="H565" s="121">
        <f>IF($D565="",0,IFERROR(LOOKUP(2,1/(($D$3:D564=$D565)*($A$3:A564&lt;$A565)),$N$3:N564),'Guide &amp; Settings'!$C$41))</f>
        <v>0</v>
      </c>
      <c r="I565" s="122">
        <f>IF($D565="",0,IF($S565=0,0,$R565/$S565))</f>
        <v>0</v>
      </c>
      <c r="J565" s="123">
        <f>IF($D565="",0,IF($F565&lt;2,0,IF($E565="Win",('Guide &amp; Settings'!$C$42/(($F565-1)*COUNTIFS($A$4:$A$810,$A565,$E$4:$E$810,"Win")))*SUMIFS($X$4:$X$810,$A$4:$A$810,$A565,$E$4:$E$810,"Loss"),-('Guide &amp; Settings'!$C$42/($F565-1))*$X565)))</f>
        <v>0</v>
      </c>
      <c r="K565" s="123">
        <f>IF($D565="",0,'Guide &amp; Settings'!$C$43*(IF($E565="Win",1,0)-$I565))</f>
        <v>0</v>
      </c>
      <c r="L565" s="124">
        <f>IF($D565="",0,'Guide &amp; Settings'!$C$44*IF($F565&gt;=3,$F565+IF($E565="Win",$F565,0),0))</f>
        <v>0</v>
      </c>
      <c r="M565" s="123">
        <f>IF($D565="",0,$J565+$K565+$L565)</f>
        <v>0</v>
      </c>
      <c r="N565" s="121">
        <f>IF($D565="",0,$H565+$M565)</f>
        <v>0</v>
      </c>
      <c r="O565" s="120" t="str">
        <f>IF($D565="","",IF(COUNTIFS($A$4:$A$810,$A565,$E$4:$E$810,"Win")=0,"need a winner",IF(COUNTIFS($A$4:$A$810,$A565,$E$4:$E$810,"Loss")=0,"need a loser",IF(COUNTIFS($A$4:$A$810,$A565,$D$4:$D$810,$D565)&gt;1,"duplicate player","OK"))))</f>
      </c>
      <c r="P565">
        <f>IF($D565="",0,IFERROR(SUMIFS($H$4:$H$810,$A$4:$A$810,$A565,$E$4:$E$810,"Win")/COUNTIFS($A$4:$A$810,$A565,$E$4:$E$810,"Win"),0))</f>
        <v>0</v>
      </c>
      <c r="Q565">
        <f>IF($D565="",0,1/(1+10^(($P565-$H565)/400)))</f>
        <v>0</v>
      </c>
      <c r="R565">
        <f>IF($D565="",0,(COUNTIFS($D$4:$D$810,$D565,$C$4:$C$810,$C565,$E$4:$E$810,"Win",$A$4:$A$810,"&lt;"&amp;$A565)+1)/(COUNTIFS($D$4:$D$810,$D565,$C$4:$C$810,$C565,$A$4:$A$810,"&lt;"&amp;$A565)+2))</f>
        <v>0</v>
      </c>
      <c r="S565">
        <f>IF($D565="",0,SUMIFS($R$4:$R$810,$A$4:$A$810,$A565))</f>
        <v>0</v>
      </c>
      <c r="T565" s="88">
        <f>IF($D565="",0,COUNTIFS($D$4:$D$810,$D565,$C$4:$C$810,$C565,$A$4:$A$810,"&lt;"&amp;$A565))</f>
        <v>0</v>
      </c>
      <c r="U565" s="125">
        <f>IF($D565="",0,IFERROR(LOOKUP(2,1/(($D$3:D564=$D565)*($C$3:C564=$C565)*($A$3:A564&lt;$A565)),$AB$3:AB564),1000))</f>
        <v>0</v>
      </c>
      <c r="V565" s="125">
        <f>IF($D565="",0,$U565*($T565/($T565+5))+$H565*(1-$T565/($T565+5)))</f>
        <v>0</v>
      </c>
      <c r="W565">
        <f>IF($D565="",0,IFERROR(SUMIFS($V$4:$V$810,$A$4:$A$810,$A565,$E$4:$E$810,"Win")/COUNTIFS($A$4:$A$810,$A565,$E$4:$E$810,"Win"),0))</f>
        <v>0</v>
      </c>
      <c r="X565">
        <f>IF($D565="",0,1/(1+10^(($W565-$V565)/400)))</f>
        <v>0</v>
      </c>
      <c r="Y565">
        <f>IF($D565="",0,IFERROR(SUMIFS($U$4:$U$810,$A$4:$A$810,$A565,$E$4:$E$810,"Win")/COUNTIFS($A$4:$A$810,$A565,$E$4:$E$810,"Win"),0))</f>
        <v>0</v>
      </c>
      <c r="Z565">
        <f>IF($D565="",0,1/(1+10^(($Y565-$U565)/400)))</f>
        <v>0</v>
      </c>
      <c r="AA565">
        <f>IF($D565="",0,IF($F565&lt;2,0,IF($E565="Win",('Guide &amp; Settings'!$C$42/(($F565-1)*COUNTIFS($A$4:$A$810,$A565,$E$4:$E$810,"Win")))*SUMIFS($Z$4:$Z$810,$A$4:$A$810,$A565,$E$4:$E$810,"Loss"),-('Guide &amp; Settings'!$C$42/($F565-1))*$Z565)))</f>
        <v>0</v>
      </c>
      <c r="AB565" s="125">
        <f>IF($D565="",0,$U565+$AA565)</f>
        <v>0</v>
      </c>
      <c r="AC565" s="125" t="str">
        <f>IF($D565="","",IF(SUMPRODUCT(MAX(($D$4:$D$810=$D565)*($B$4:$B$810&lt;$B565)*$B$4:$B$810))=0,0,MAX(($B565-MAX(SUMPRODUCT(MAX(($D$4:$D$810=$D565)*($B$4:$B$810&lt;$B565)*$B$4:$B$810)),'Guide &amp; Settings'!$C$50))/7-'Guide &amp; Settings'!$C$48,0)*'Guide &amp; Settings'!$C$49))</f>
      </c>
    </row>
    <row r="566" spans="1:29">
      <c r="A566" s="116"/>
      <c r="B566" s="117"/>
      <c r="C566" s="118"/>
      <c r="D566" s="118"/>
      <c r="E566" s="116"/>
      <c r="F566" s="119">
        <f>IF($D566="",0,COUNTIF($A$4:$A$810,$A566))</f>
        <v>0</v>
      </c>
      <c r="G566" s="120">
        <f>IF($D566="","",IFERROR(LOOKUP(2,1/(($A$4:$A$810=$A566)*($E$4:$E$810="Win")),$D$4:$D$810),"(no winner)"))</f>
        <v>0</v>
      </c>
      <c r="H566" s="121">
        <f>IF($D566="",0,IFERROR(LOOKUP(2,1/(($D$3:D565=$D566)*($A$3:A565&lt;$A566)),$N$3:N565),'Guide &amp; Settings'!$C$41))</f>
        <v>0</v>
      </c>
      <c r="I566" s="122">
        <f>IF($D566="",0,IF($S566=0,0,$R566/$S566))</f>
        <v>0</v>
      </c>
      <c r="J566" s="123">
        <f>IF($D566="",0,IF($F566&lt;2,0,IF($E566="Win",('Guide &amp; Settings'!$C$42/(($F566-1)*COUNTIFS($A$4:$A$810,$A566,$E$4:$E$810,"Win")))*SUMIFS($X$4:$X$810,$A$4:$A$810,$A566,$E$4:$E$810,"Loss"),-('Guide &amp; Settings'!$C$42/($F566-1))*$X566)))</f>
        <v>0</v>
      </c>
      <c r="K566" s="123">
        <f>IF($D566="",0,'Guide &amp; Settings'!$C$43*(IF($E566="Win",1,0)-$I566))</f>
        <v>0</v>
      </c>
      <c r="L566" s="124">
        <f>IF($D566="",0,'Guide &amp; Settings'!$C$44*IF($F566&gt;=3,$F566+IF($E566="Win",$F566,0),0))</f>
        <v>0</v>
      </c>
      <c r="M566" s="123">
        <f>IF($D566="",0,$J566+$K566+$L566)</f>
        <v>0</v>
      </c>
      <c r="N566" s="121">
        <f>IF($D566="",0,$H566+$M566)</f>
        <v>0</v>
      </c>
      <c r="O566" s="120" t="str">
        <f>IF($D566="","",IF(COUNTIFS($A$4:$A$810,$A566,$E$4:$E$810,"Win")=0,"need a winner",IF(COUNTIFS($A$4:$A$810,$A566,$E$4:$E$810,"Loss")=0,"need a loser",IF(COUNTIFS($A$4:$A$810,$A566,$D$4:$D$810,$D566)&gt;1,"duplicate player","OK"))))</f>
      </c>
      <c r="P566">
        <f>IF($D566="",0,IFERROR(SUMIFS($H$4:$H$810,$A$4:$A$810,$A566,$E$4:$E$810,"Win")/COUNTIFS($A$4:$A$810,$A566,$E$4:$E$810,"Win"),0))</f>
        <v>0</v>
      </c>
      <c r="Q566">
        <f>IF($D566="",0,1/(1+10^(($P566-$H566)/400)))</f>
        <v>0</v>
      </c>
      <c r="R566">
        <f>IF($D566="",0,(COUNTIFS($D$4:$D$810,$D566,$C$4:$C$810,$C566,$E$4:$E$810,"Win",$A$4:$A$810,"&lt;"&amp;$A566)+1)/(COUNTIFS($D$4:$D$810,$D566,$C$4:$C$810,$C566,$A$4:$A$810,"&lt;"&amp;$A566)+2))</f>
        <v>0</v>
      </c>
      <c r="S566">
        <f>IF($D566="",0,SUMIFS($R$4:$R$810,$A$4:$A$810,$A566))</f>
        <v>0</v>
      </c>
      <c r="T566" s="88">
        <f>IF($D566="",0,COUNTIFS($D$4:$D$810,$D566,$C$4:$C$810,$C566,$A$4:$A$810,"&lt;"&amp;$A566))</f>
        <v>0</v>
      </c>
      <c r="U566" s="125">
        <f>IF($D566="",0,IFERROR(LOOKUP(2,1/(($D$3:D565=$D566)*($C$3:C565=$C566)*($A$3:A565&lt;$A566)),$AB$3:AB565),1000))</f>
        <v>0</v>
      </c>
      <c r="V566" s="125">
        <f>IF($D566="",0,$U566*($T566/($T566+5))+$H566*(1-$T566/($T566+5)))</f>
        <v>0</v>
      </c>
      <c r="W566">
        <f>IF($D566="",0,IFERROR(SUMIFS($V$4:$V$810,$A$4:$A$810,$A566,$E$4:$E$810,"Win")/COUNTIFS($A$4:$A$810,$A566,$E$4:$E$810,"Win"),0))</f>
        <v>0</v>
      </c>
      <c r="X566">
        <f>IF($D566="",0,1/(1+10^(($W566-$V566)/400)))</f>
        <v>0</v>
      </c>
      <c r="Y566">
        <f>IF($D566="",0,IFERROR(SUMIFS($U$4:$U$810,$A$4:$A$810,$A566,$E$4:$E$810,"Win")/COUNTIFS($A$4:$A$810,$A566,$E$4:$E$810,"Win"),0))</f>
        <v>0</v>
      </c>
      <c r="Z566">
        <f>IF($D566="",0,1/(1+10^(($Y566-$U566)/400)))</f>
        <v>0</v>
      </c>
      <c r="AA566">
        <f>IF($D566="",0,IF($F566&lt;2,0,IF($E566="Win",('Guide &amp; Settings'!$C$42/(($F566-1)*COUNTIFS($A$4:$A$810,$A566,$E$4:$E$810,"Win")))*SUMIFS($Z$4:$Z$810,$A$4:$A$810,$A566,$E$4:$E$810,"Loss"),-('Guide &amp; Settings'!$C$42/($F566-1))*$Z566)))</f>
        <v>0</v>
      </c>
      <c r="AB566" s="125">
        <f>IF($D566="",0,$U566+$AA566)</f>
        <v>0</v>
      </c>
      <c r="AC566" s="125" t="str">
        <f>IF($D566="","",IF(SUMPRODUCT(MAX(($D$4:$D$810=$D566)*($B$4:$B$810&lt;$B566)*$B$4:$B$810))=0,0,MAX(($B566-MAX(SUMPRODUCT(MAX(($D$4:$D$810=$D566)*($B$4:$B$810&lt;$B566)*$B$4:$B$810)),'Guide &amp; Settings'!$C$50))/7-'Guide &amp; Settings'!$C$48,0)*'Guide &amp; Settings'!$C$49))</f>
      </c>
    </row>
    <row r="567" spans="1:29">
      <c r="A567" s="116"/>
      <c r="B567" s="117"/>
      <c r="C567" s="118"/>
      <c r="D567" s="118"/>
      <c r="E567" s="116"/>
      <c r="F567" s="119">
        <f>IF($D567="",0,COUNTIF($A$4:$A$810,$A567))</f>
        <v>0</v>
      </c>
      <c r="G567" s="120">
        <f>IF($D567="","",IFERROR(LOOKUP(2,1/(($A$4:$A$810=$A567)*($E$4:$E$810="Win")),$D$4:$D$810),"(no winner)"))</f>
        <v>0</v>
      </c>
      <c r="H567" s="121">
        <f>IF($D567="",0,IFERROR(LOOKUP(2,1/(($D$3:D566=$D567)*($A$3:A566&lt;$A567)),$N$3:N566),'Guide &amp; Settings'!$C$41))</f>
        <v>0</v>
      </c>
      <c r="I567" s="122">
        <f>IF($D567="",0,IF($S567=0,0,$R567/$S567))</f>
        <v>0</v>
      </c>
      <c r="J567" s="123">
        <f>IF($D567="",0,IF($F567&lt;2,0,IF($E567="Win",('Guide &amp; Settings'!$C$42/(($F567-1)*COUNTIFS($A$4:$A$810,$A567,$E$4:$E$810,"Win")))*SUMIFS($X$4:$X$810,$A$4:$A$810,$A567,$E$4:$E$810,"Loss"),-('Guide &amp; Settings'!$C$42/($F567-1))*$X567)))</f>
        <v>0</v>
      </c>
      <c r="K567" s="123">
        <f>IF($D567="",0,'Guide &amp; Settings'!$C$43*(IF($E567="Win",1,0)-$I567))</f>
        <v>0</v>
      </c>
      <c r="L567" s="124">
        <f>IF($D567="",0,'Guide &amp; Settings'!$C$44*IF($F567&gt;=3,$F567+IF($E567="Win",$F567,0),0))</f>
        <v>0</v>
      </c>
      <c r="M567" s="123">
        <f>IF($D567="",0,$J567+$K567+$L567)</f>
        <v>0</v>
      </c>
      <c r="N567" s="121">
        <f>IF($D567="",0,$H567+$M567)</f>
        <v>0</v>
      </c>
      <c r="O567" s="120" t="str">
        <f>IF($D567="","",IF(COUNTIFS($A$4:$A$810,$A567,$E$4:$E$810,"Win")=0,"need a winner",IF(COUNTIFS($A$4:$A$810,$A567,$E$4:$E$810,"Loss")=0,"need a loser",IF(COUNTIFS($A$4:$A$810,$A567,$D$4:$D$810,$D567)&gt;1,"duplicate player","OK"))))</f>
      </c>
      <c r="P567">
        <f>IF($D567="",0,IFERROR(SUMIFS($H$4:$H$810,$A$4:$A$810,$A567,$E$4:$E$810,"Win")/COUNTIFS($A$4:$A$810,$A567,$E$4:$E$810,"Win"),0))</f>
        <v>0</v>
      </c>
      <c r="Q567">
        <f>IF($D567="",0,1/(1+10^(($P567-$H567)/400)))</f>
        <v>0</v>
      </c>
      <c r="R567">
        <f>IF($D567="",0,(COUNTIFS($D$4:$D$810,$D567,$C$4:$C$810,$C567,$E$4:$E$810,"Win",$A$4:$A$810,"&lt;"&amp;$A567)+1)/(COUNTIFS($D$4:$D$810,$D567,$C$4:$C$810,$C567,$A$4:$A$810,"&lt;"&amp;$A567)+2))</f>
        <v>0</v>
      </c>
      <c r="S567">
        <f>IF($D567="",0,SUMIFS($R$4:$R$810,$A$4:$A$810,$A567))</f>
        <v>0</v>
      </c>
      <c r="T567" s="88">
        <f>IF($D567="",0,COUNTIFS($D$4:$D$810,$D567,$C$4:$C$810,$C567,$A$4:$A$810,"&lt;"&amp;$A567))</f>
        <v>0</v>
      </c>
      <c r="U567" s="125">
        <f>IF($D567="",0,IFERROR(LOOKUP(2,1/(($D$3:D566=$D567)*($C$3:C566=$C567)*($A$3:A566&lt;$A567)),$AB$3:AB566),1000))</f>
        <v>0</v>
      </c>
      <c r="V567" s="125">
        <f>IF($D567="",0,$U567*($T567/($T567+5))+$H567*(1-$T567/($T567+5)))</f>
        <v>0</v>
      </c>
      <c r="W567">
        <f>IF($D567="",0,IFERROR(SUMIFS($V$4:$V$810,$A$4:$A$810,$A567,$E$4:$E$810,"Win")/COUNTIFS($A$4:$A$810,$A567,$E$4:$E$810,"Win"),0))</f>
        <v>0</v>
      </c>
      <c r="X567">
        <f>IF($D567="",0,1/(1+10^(($W567-$V567)/400)))</f>
        <v>0</v>
      </c>
      <c r="Y567">
        <f>IF($D567="",0,IFERROR(SUMIFS($U$4:$U$810,$A$4:$A$810,$A567,$E$4:$E$810,"Win")/COUNTIFS($A$4:$A$810,$A567,$E$4:$E$810,"Win"),0))</f>
        <v>0</v>
      </c>
      <c r="Z567">
        <f>IF($D567="",0,1/(1+10^(($Y567-$U567)/400)))</f>
        <v>0</v>
      </c>
      <c r="AA567">
        <f>IF($D567="",0,IF($F567&lt;2,0,IF($E567="Win",('Guide &amp; Settings'!$C$42/(($F567-1)*COUNTIFS($A$4:$A$810,$A567,$E$4:$E$810,"Win")))*SUMIFS($Z$4:$Z$810,$A$4:$A$810,$A567,$E$4:$E$810,"Loss"),-('Guide &amp; Settings'!$C$42/($F567-1))*$Z567)))</f>
        <v>0</v>
      </c>
      <c r="AB567" s="125">
        <f>IF($D567="",0,$U567+$AA567)</f>
        <v>0</v>
      </c>
      <c r="AC567" s="125" t="str">
        <f>IF($D567="","",IF(SUMPRODUCT(MAX(($D$4:$D$810=$D567)*($B$4:$B$810&lt;$B567)*$B$4:$B$810))=0,0,MAX(($B567-MAX(SUMPRODUCT(MAX(($D$4:$D$810=$D567)*($B$4:$B$810&lt;$B567)*$B$4:$B$810)),'Guide &amp; Settings'!$C$50))/7-'Guide &amp; Settings'!$C$48,0)*'Guide &amp; Settings'!$C$49))</f>
      </c>
    </row>
    <row r="568" spans="1:29">
      <c r="A568" s="116"/>
      <c r="B568" s="117"/>
      <c r="C568" s="118"/>
      <c r="D568" s="118"/>
      <c r="E568" s="116"/>
      <c r="F568" s="119">
        <f>IF($D568="",0,COUNTIF($A$4:$A$810,$A568))</f>
        <v>0</v>
      </c>
      <c r="G568" s="120">
        <f>IF($D568="","",IFERROR(LOOKUP(2,1/(($A$4:$A$810=$A568)*($E$4:$E$810="Win")),$D$4:$D$810),"(no winner)"))</f>
        <v>0</v>
      </c>
      <c r="H568" s="121">
        <f>IF($D568="",0,IFERROR(LOOKUP(2,1/(($D$3:D567=$D568)*($A$3:A567&lt;$A568)),$N$3:N567),'Guide &amp; Settings'!$C$41))</f>
        <v>0</v>
      </c>
      <c r="I568" s="122">
        <f>IF($D568="",0,IF($S568=0,0,$R568/$S568))</f>
        <v>0</v>
      </c>
      <c r="J568" s="123">
        <f>IF($D568="",0,IF($F568&lt;2,0,IF($E568="Win",('Guide &amp; Settings'!$C$42/(($F568-1)*COUNTIFS($A$4:$A$810,$A568,$E$4:$E$810,"Win")))*SUMIFS($X$4:$X$810,$A$4:$A$810,$A568,$E$4:$E$810,"Loss"),-('Guide &amp; Settings'!$C$42/($F568-1))*$X568)))</f>
        <v>0</v>
      </c>
      <c r="K568" s="123">
        <f>IF($D568="",0,'Guide &amp; Settings'!$C$43*(IF($E568="Win",1,0)-$I568))</f>
        <v>0</v>
      </c>
      <c r="L568" s="124">
        <f>IF($D568="",0,'Guide &amp; Settings'!$C$44*IF($F568&gt;=3,$F568+IF($E568="Win",$F568,0),0))</f>
        <v>0</v>
      </c>
      <c r="M568" s="123">
        <f>IF($D568="",0,$J568+$K568+$L568)</f>
        <v>0</v>
      </c>
      <c r="N568" s="121">
        <f>IF($D568="",0,$H568+$M568)</f>
        <v>0</v>
      </c>
      <c r="O568" s="120" t="str">
        <f>IF($D568="","",IF(COUNTIFS($A$4:$A$810,$A568,$E$4:$E$810,"Win")=0,"need a winner",IF(COUNTIFS($A$4:$A$810,$A568,$E$4:$E$810,"Loss")=0,"need a loser",IF(COUNTIFS($A$4:$A$810,$A568,$D$4:$D$810,$D568)&gt;1,"duplicate player","OK"))))</f>
      </c>
      <c r="P568">
        <f>IF($D568="",0,IFERROR(SUMIFS($H$4:$H$810,$A$4:$A$810,$A568,$E$4:$E$810,"Win")/COUNTIFS($A$4:$A$810,$A568,$E$4:$E$810,"Win"),0))</f>
        <v>0</v>
      </c>
      <c r="Q568">
        <f>IF($D568="",0,1/(1+10^(($P568-$H568)/400)))</f>
        <v>0</v>
      </c>
      <c r="R568">
        <f>IF($D568="",0,(COUNTIFS($D$4:$D$810,$D568,$C$4:$C$810,$C568,$E$4:$E$810,"Win",$A$4:$A$810,"&lt;"&amp;$A568)+1)/(COUNTIFS($D$4:$D$810,$D568,$C$4:$C$810,$C568,$A$4:$A$810,"&lt;"&amp;$A568)+2))</f>
        <v>0</v>
      </c>
      <c r="S568">
        <f>IF($D568="",0,SUMIFS($R$4:$R$810,$A$4:$A$810,$A568))</f>
        <v>0</v>
      </c>
      <c r="T568" s="88">
        <f>IF($D568="",0,COUNTIFS($D$4:$D$810,$D568,$C$4:$C$810,$C568,$A$4:$A$810,"&lt;"&amp;$A568))</f>
        <v>0</v>
      </c>
      <c r="U568" s="125">
        <f>IF($D568="",0,IFERROR(LOOKUP(2,1/(($D$3:D567=$D568)*($C$3:C567=$C568)*($A$3:A567&lt;$A568)),$AB$3:AB567),1000))</f>
        <v>0</v>
      </c>
      <c r="V568" s="125">
        <f>IF($D568="",0,$U568*($T568/($T568+5))+$H568*(1-$T568/($T568+5)))</f>
        <v>0</v>
      </c>
      <c r="W568">
        <f>IF($D568="",0,IFERROR(SUMIFS($V$4:$V$810,$A$4:$A$810,$A568,$E$4:$E$810,"Win")/COUNTIFS($A$4:$A$810,$A568,$E$4:$E$810,"Win"),0))</f>
        <v>0</v>
      </c>
      <c r="X568">
        <f>IF($D568="",0,1/(1+10^(($W568-$V568)/400)))</f>
        <v>0</v>
      </c>
      <c r="Y568">
        <f>IF($D568="",0,IFERROR(SUMIFS($U$4:$U$810,$A$4:$A$810,$A568,$E$4:$E$810,"Win")/COUNTIFS($A$4:$A$810,$A568,$E$4:$E$810,"Win"),0))</f>
        <v>0</v>
      </c>
      <c r="Z568">
        <f>IF($D568="",0,1/(1+10^(($Y568-$U568)/400)))</f>
        <v>0</v>
      </c>
      <c r="AA568">
        <f>IF($D568="",0,IF($F568&lt;2,0,IF($E568="Win",('Guide &amp; Settings'!$C$42/(($F568-1)*COUNTIFS($A$4:$A$810,$A568,$E$4:$E$810,"Win")))*SUMIFS($Z$4:$Z$810,$A$4:$A$810,$A568,$E$4:$E$810,"Loss"),-('Guide &amp; Settings'!$C$42/($F568-1))*$Z568)))</f>
        <v>0</v>
      </c>
      <c r="AB568" s="125">
        <f>IF($D568="",0,$U568+$AA568)</f>
        <v>0</v>
      </c>
      <c r="AC568" s="125" t="str">
        <f>IF($D568="","",IF(SUMPRODUCT(MAX(($D$4:$D$810=$D568)*($B$4:$B$810&lt;$B568)*$B$4:$B$810))=0,0,MAX(($B568-MAX(SUMPRODUCT(MAX(($D$4:$D$810=$D568)*($B$4:$B$810&lt;$B568)*$B$4:$B$810)),'Guide &amp; Settings'!$C$50))/7-'Guide &amp; Settings'!$C$48,0)*'Guide &amp; Settings'!$C$49))</f>
      </c>
    </row>
    <row r="569" spans="1:29">
      <c r="A569" s="116"/>
      <c r="B569" s="117"/>
      <c r="C569" s="118"/>
      <c r="D569" s="118"/>
      <c r="E569" s="116"/>
      <c r="F569" s="119">
        <f>IF($D569="",0,COUNTIF($A$4:$A$810,$A569))</f>
        <v>0</v>
      </c>
      <c r="G569" s="120">
        <f>IF($D569="","",IFERROR(LOOKUP(2,1/(($A$4:$A$810=$A569)*($E$4:$E$810="Win")),$D$4:$D$810),"(no winner)"))</f>
        <v>0</v>
      </c>
      <c r="H569" s="121">
        <f>IF($D569="",0,IFERROR(LOOKUP(2,1/(($D$3:D568=$D569)*($A$3:A568&lt;$A569)),$N$3:N568),'Guide &amp; Settings'!$C$41))</f>
        <v>0</v>
      </c>
      <c r="I569" s="122">
        <f>IF($D569="",0,IF($S569=0,0,$R569/$S569))</f>
        <v>0</v>
      </c>
      <c r="J569" s="123">
        <f>IF($D569="",0,IF($F569&lt;2,0,IF($E569="Win",('Guide &amp; Settings'!$C$42/(($F569-1)*COUNTIFS($A$4:$A$810,$A569,$E$4:$E$810,"Win")))*SUMIFS($X$4:$X$810,$A$4:$A$810,$A569,$E$4:$E$810,"Loss"),-('Guide &amp; Settings'!$C$42/($F569-1))*$X569)))</f>
        <v>0</v>
      </c>
      <c r="K569" s="123">
        <f>IF($D569="",0,'Guide &amp; Settings'!$C$43*(IF($E569="Win",1,0)-$I569))</f>
        <v>0</v>
      </c>
      <c r="L569" s="124">
        <f>IF($D569="",0,'Guide &amp; Settings'!$C$44*IF($F569&gt;=3,$F569+IF($E569="Win",$F569,0),0))</f>
        <v>0</v>
      </c>
      <c r="M569" s="123">
        <f>IF($D569="",0,$J569+$K569+$L569)</f>
        <v>0</v>
      </c>
      <c r="N569" s="121">
        <f>IF($D569="",0,$H569+$M569)</f>
        <v>0</v>
      </c>
      <c r="O569" s="120" t="str">
        <f>IF($D569="","",IF(COUNTIFS($A$4:$A$810,$A569,$E$4:$E$810,"Win")=0,"need a winner",IF(COUNTIFS($A$4:$A$810,$A569,$E$4:$E$810,"Loss")=0,"need a loser",IF(COUNTIFS($A$4:$A$810,$A569,$D$4:$D$810,$D569)&gt;1,"duplicate player","OK"))))</f>
      </c>
      <c r="P569">
        <f>IF($D569="",0,IFERROR(SUMIFS($H$4:$H$810,$A$4:$A$810,$A569,$E$4:$E$810,"Win")/COUNTIFS($A$4:$A$810,$A569,$E$4:$E$810,"Win"),0))</f>
        <v>0</v>
      </c>
      <c r="Q569">
        <f>IF($D569="",0,1/(1+10^(($P569-$H569)/400)))</f>
        <v>0</v>
      </c>
      <c r="R569">
        <f>IF($D569="",0,(COUNTIFS($D$4:$D$810,$D569,$C$4:$C$810,$C569,$E$4:$E$810,"Win",$A$4:$A$810,"&lt;"&amp;$A569)+1)/(COUNTIFS($D$4:$D$810,$D569,$C$4:$C$810,$C569,$A$4:$A$810,"&lt;"&amp;$A569)+2))</f>
        <v>0</v>
      </c>
      <c r="S569">
        <f>IF($D569="",0,SUMIFS($R$4:$R$810,$A$4:$A$810,$A569))</f>
        <v>0</v>
      </c>
      <c r="T569" s="88">
        <f>IF($D569="",0,COUNTIFS($D$4:$D$810,$D569,$C$4:$C$810,$C569,$A$4:$A$810,"&lt;"&amp;$A569))</f>
        <v>0</v>
      </c>
      <c r="U569" s="125">
        <f>IF($D569="",0,IFERROR(LOOKUP(2,1/(($D$3:D568=$D569)*($C$3:C568=$C569)*($A$3:A568&lt;$A569)),$AB$3:AB568),1000))</f>
        <v>0</v>
      </c>
      <c r="V569" s="125">
        <f>IF($D569="",0,$U569*($T569/($T569+5))+$H569*(1-$T569/($T569+5)))</f>
        <v>0</v>
      </c>
      <c r="W569">
        <f>IF($D569="",0,IFERROR(SUMIFS($V$4:$V$810,$A$4:$A$810,$A569,$E$4:$E$810,"Win")/COUNTIFS($A$4:$A$810,$A569,$E$4:$E$810,"Win"),0))</f>
        <v>0</v>
      </c>
      <c r="X569">
        <f>IF($D569="",0,1/(1+10^(($W569-$V569)/400)))</f>
        <v>0</v>
      </c>
      <c r="Y569">
        <f>IF($D569="",0,IFERROR(SUMIFS($U$4:$U$810,$A$4:$A$810,$A569,$E$4:$E$810,"Win")/COUNTIFS($A$4:$A$810,$A569,$E$4:$E$810,"Win"),0))</f>
        <v>0</v>
      </c>
      <c r="Z569">
        <f>IF($D569="",0,1/(1+10^(($Y569-$U569)/400)))</f>
        <v>0</v>
      </c>
      <c r="AA569">
        <f>IF($D569="",0,IF($F569&lt;2,0,IF($E569="Win",('Guide &amp; Settings'!$C$42/(($F569-1)*COUNTIFS($A$4:$A$810,$A569,$E$4:$E$810,"Win")))*SUMIFS($Z$4:$Z$810,$A$4:$A$810,$A569,$E$4:$E$810,"Loss"),-('Guide &amp; Settings'!$C$42/($F569-1))*$Z569)))</f>
        <v>0</v>
      </c>
      <c r="AB569" s="125">
        <f>IF($D569="",0,$U569+$AA569)</f>
        <v>0</v>
      </c>
      <c r="AC569" s="125" t="str">
        <f>IF($D569="","",IF(SUMPRODUCT(MAX(($D$4:$D$810=$D569)*($B$4:$B$810&lt;$B569)*$B$4:$B$810))=0,0,MAX(($B569-MAX(SUMPRODUCT(MAX(($D$4:$D$810=$D569)*($B$4:$B$810&lt;$B569)*$B$4:$B$810)),'Guide &amp; Settings'!$C$50))/7-'Guide &amp; Settings'!$C$48,0)*'Guide &amp; Settings'!$C$49))</f>
      </c>
    </row>
    <row r="570" spans="1:29">
      <c r="A570" s="116"/>
      <c r="B570" s="117"/>
      <c r="C570" s="118"/>
      <c r="D570" s="118"/>
      <c r="E570" s="116"/>
      <c r="F570" s="119">
        <f>IF($D570="",0,COUNTIF($A$4:$A$810,$A570))</f>
        <v>0</v>
      </c>
      <c r="G570" s="120">
        <f>IF($D570="","",IFERROR(LOOKUP(2,1/(($A$4:$A$810=$A570)*($E$4:$E$810="Win")),$D$4:$D$810),"(no winner)"))</f>
        <v>0</v>
      </c>
      <c r="H570" s="121">
        <f>IF($D570="",0,IFERROR(LOOKUP(2,1/(($D$3:D569=$D570)*($A$3:A569&lt;$A570)),$N$3:N569),'Guide &amp; Settings'!$C$41))</f>
        <v>0</v>
      </c>
      <c r="I570" s="122">
        <f>IF($D570="",0,IF($S570=0,0,$R570/$S570))</f>
        <v>0</v>
      </c>
      <c r="J570" s="123">
        <f>IF($D570="",0,IF($F570&lt;2,0,IF($E570="Win",('Guide &amp; Settings'!$C$42/(($F570-1)*COUNTIFS($A$4:$A$810,$A570,$E$4:$E$810,"Win")))*SUMIFS($X$4:$X$810,$A$4:$A$810,$A570,$E$4:$E$810,"Loss"),-('Guide &amp; Settings'!$C$42/($F570-1))*$X570)))</f>
        <v>0</v>
      </c>
      <c r="K570" s="123">
        <f>IF($D570="",0,'Guide &amp; Settings'!$C$43*(IF($E570="Win",1,0)-$I570))</f>
        <v>0</v>
      </c>
      <c r="L570" s="124">
        <f>IF($D570="",0,'Guide &amp; Settings'!$C$44*IF($F570&gt;=3,$F570+IF($E570="Win",$F570,0),0))</f>
        <v>0</v>
      </c>
      <c r="M570" s="123">
        <f>IF($D570="",0,$J570+$K570+$L570)</f>
        <v>0</v>
      </c>
      <c r="N570" s="121">
        <f>IF($D570="",0,$H570+$M570)</f>
        <v>0</v>
      </c>
      <c r="O570" s="120" t="str">
        <f>IF($D570="","",IF(COUNTIFS($A$4:$A$810,$A570,$E$4:$E$810,"Win")=0,"need a winner",IF(COUNTIFS($A$4:$A$810,$A570,$E$4:$E$810,"Loss")=0,"need a loser",IF(COUNTIFS($A$4:$A$810,$A570,$D$4:$D$810,$D570)&gt;1,"duplicate player","OK"))))</f>
      </c>
      <c r="P570">
        <f>IF($D570="",0,IFERROR(SUMIFS($H$4:$H$810,$A$4:$A$810,$A570,$E$4:$E$810,"Win")/COUNTIFS($A$4:$A$810,$A570,$E$4:$E$810,"Win"),0))</f>
        <v>0</v>
      </c>
      <c r="Q570">
        <f>IF($D570="",0,1/(1+10^(($P570-$H570)/400)))</f>
        <v>0</v>
      </c>
      <c r="R570">
        <f>IF($D570="",0,(COUNTIFS($D$4:$D$810,$D570,$C$4:$C$810,$C570,$E$4:$E$810,"Win",$A$4:$A$810,"&lt;"&amp;$A570)+1)/(COUNTIFS($D$4:$D$810,$D570,$C$4:$C$810,$C570,$A$4:$A$810,"&lt;"&amp;$A570)+2))</f>
        <v>0</v>
      </c>
      <c r="S570">
        <f>IF($D570="",0,SUMIFS($R$4:$R$810,$A$4:$A$810,$A570))</f>
        <v>0</v>
      </c>
      <c r="T570" s="88">
        <f>IF($D570="",0,COUNTIFS($D$4:$D$810,$D570,$C$4:$C$810,$C570,$A$4:$A$810,"&lt;"&amp;$A570))</f>
        <v>0</v>
      </c>
      <c r="U570" s="125">
        <f>IF($D570="",0,IFERROR(LOOKUP(2,1/(($D$3:D569=$D570)*($C$3:C569=$C570)*($A$3:A569&lt;$A570)),$AB$3:AB569),1000))</f>
        <v>0</v>
      </c>
      <c r="V570" s="125">
        <f>IF($D570="",0,$U570*($T570/($T570+5))+$H570*(1-$T570/($T570+5)))</f>
        <v>0</v>
      </c>
      <c r="W570">
        <f>IF($D570="",0,IFERROR(SUMIFS($V$4:$V$810,$A$4:$A$810,$A570,$E$4:$E$810,"Win")/COUNTIFS($A$4:$A$810,$A570,$E$4:$E$810,"Win"),0))</f>
        <v>0</v>
      </c>
      <c r="X570">
        <f>IF($D570="",0,1/(1+10^(($W570-$V570)/400)))</f>
        <v>0</v>
      </c>
      <c r="Y570">
        <f>IF($D570="",0,IFERROR(SUMIFS($U$4:$U$810,$A$4:$A$810,$A570,$E$4:$E$810,"Win")/COUNTIFS($A$4:$A$810,$A570,$E$4:$E$810,"Win"),0))</f>
        <v>0</v>
      </c>
      <c r="Z570">
        <f>IF($D570="",0,1/(1+10^(($Y570-$U570)/400)))</f>
        <v>0</v>
      </c>
      <c r="AA570">
        <f>IF($D570="",0,IF($F570&lt;2,0,IF($E570="Win",('Guide &amp; Settings'!$C$42/(($F570-1)*COUNTIFS($A$4:$A$810,$A570,$E$4:$E$810,"Win")))*SUMIFS($Z$4:$Z$810,$A$4:$A$810,$A570,$E$4:$E$810,"Loss"),-('Guide &amp; Settings'!$C$42/($F570-1))*$Z570)))</f>
        <v>0</v>
      </c>
      <c r="AB570" s="125">
        <f>IF($D570="",0,$U570+$AA570)</f>
        <v>0</v>
      </c>
      <c r="AC570" s="125" t="str">
        <f>IF($D570="","",IF(SUMPRODUCT(MAX(($D$4:$D$810=$D570)*($B$4:$B$810&lt;$B570)*$B$4:$B$810))=0,0,MAX(($B570-MAX(SUMPRODUCT(MAX(($D$4:$D$810=$D570)*($B$4:$B$810&lt;$B570)*$B$4:$B$810)),'Guide &amp; Settings'!$C$50))/7-'Guide &amp; Settings'!$C$48,0)*'Guide &amp; Settings'!$C$49))</f>
      </c>
    </row>
    <row r="571" spans="1:29">
      <c r="A571" s="116"/>
      <c r="B571" s="117"/>
      <c r="C571" s="118"/>
      <c r="D571" s="118"/>
      <c r="E571" s="116"/>
      <c r="F571" s="119">
        <f>IF($D571="",0,COUNTIF($A$4:$A$810,$A571))</f>
        <v>0</v>
      </c>
      <c r="G571" s="120">
        <f>IF($D571="","",IFERROR(LOOKUP(2,1/(($A$4:$A$810=$A571)*($E$4:$E$810="Win")),$D$4:$D$810),"(no winner)"))</f>
        <v>0</v>
      </c>
      <c r="H571" s="121">
        <f>IF($D571="",0,IFERROR(LOOKUP(2,1/(($D$3:D570=$D571)*($A$3:A570&lt;$A571)),$N$3:N570),'Guide &amp; Settings'!$C$41))</f>
        <v>0</v>
      </c>
      <c r="I571" s="122">
        <f>IF($D571="",0,IF($S571=0,0,$R571/$S571))</f>
        <v>0</v>
      </c>
      <c r="J571" s="123">
        <f>IF($D571="",0,IF($F571&lt;2,0,IF($E571="Win",('Guide &amp; Settings'!$C$42/(($F571-1)*COUNTIFS($A$4:$A$810,$A571,$E$4:$E$810,"Win")))*SUMIFS($X$4:$X$810,$A$4:$A$810,$A571,$E$4:$E$810,"Loss"),-('Guide &amp; Settings'!$C$42/($F571-1))*$X571)))</f>
        <v>0</v>
      </c>
      <c r="K571" s="123">
        <f>IF($D571="",0,'Guide &amp; Settings'!$C$43*(IF($E571="Win",1,0)-$I571))</f>
        <v>0</v>
      </c>
      <c r="L571" s="124">
        <f>IF($D571="",0,'Guide &amp; Settings'!$C$44*IF($F571&gt;=3,$F571+IF($E571="Win",$F571,0),0))</f>
        <v>0</v>
      </c>
      <c r="M571" s="123">
        <f>IF($D571="",0,$J571+$K571+$L571)</f>
        <v>0</v>
      </c>
      <c r="N571" s="121">
        <f>IF($D571="",0,$H571+$M571)</f>
        <v>0</v>
      </c>
      <c r="O571" s="120" t="str">
        <f>IF($D571="","",IF(COUNTIFS($A$4:$A$810,$A571,$E$4:$E$810,"Win")=0,"need a winner",IF(COUNTIFS($A$4:$A$810,$A571,$E$4:$E$810,"Loss")=0,"need a loser",IF(COUNTIFS($A$4:$A$810,$A571,$D$4:$D$810,$D571)&gt;1,"duplicate player","OK"))))</f>
      </c>
      <c r="P571">
        <f>IF($D571="",0,IFERROR(SUMIFS($H$4:$H$810,$A$4:$A$810,$A571,$E$4:$E$810,"Win")/COUNTIFS($A$4:$A$810,$A571,$E$4:$E$810,"Win"),0))</f>
        <v>0</v>
      </c>
      <c r="Q571">
        <f>IF($D571="",0,1/(1+10^(($P571-$H571)/400)))</f>
        <v>0</v>
      </c>
      <c r="R571">
        <f>IF($D571="",0,(COUNTIFS($D$4:$D$810,$D571,$C$4:$C$810,$C571,$E$4:$E$810,"Win",$A$4:$A$810,"&lt;"&amp;$A571)+1)/(COUNTIFS($D$4:$D$810,$D571,$C$4:$C$810,$C571,$A$4:$A$810,"&lt;"&amp;$A571)+2))</f>
        <v>0</v>
      </c>
      <c r="S571">
        <f>IF($D571="",0,SUMIFS($R$4:$R$810,$A$4:$A$810,$A571))</f>
        <v>0</v>
      </c>
      <c r="T571" s="88">
        <f>IF($D571="",0,COUNTIFS($D$4:$D$810,$D571,$C$4:$C$810,$C571,$A$4:$A$810,"&lt;"&amp;$A571))</f>
        <v>0</v>
      </c>
      <c r="U571" s="125">
        <f>IF($D571="",0,IFERROR(LOOKUP(2,1/(($D$3:D570=$D571)*($C$3:C570=$C571)*($A$3:A570&lt;$A571)),$AB$3:AB570),1000))</f>
        <v>0</v>
      </c>
      <c r="V571" s="125">
        <f>IF($D571="",0,$U571*($T571/($T571+5))+$H571*(1-$T571/($T571+5)))</f>
        <v>0</v>
      </c>
      <c r="W571">
        <f>IF($D571="",0,IFERROR(SUMIFS($V$4:$V$810,$A$4:$A$810,$A571,$E$4:$E$810,"Win")/COUNTIFS($A$4:$A$810,$A571,$E$4:$E$810,"Win"),0))</f>
        <v>0</v>
      </c>
      <c r="X571">
        <f>IF($D571="",0,1/(1+10^(($W571-$V571)/400)))</f>
        <v>0</v>
      </c>
      <c r="Y571">
        <f>IF($D571="",0,IFERROR(SUMIFS($U$4:$U$810,$A$4:$A$810,$A571,$E$4:$E$810,"Win")/COUNTIFS($A$4:$A$810,$A571,$E$4:$E$810,"Win"),0))</f>
        <v>0</v>
      </c>
      <c r="Z571">
        <f>IF($D571="",0,1/(1+10^(($Y571-$U571)/400)))</f>
        <v>0</v>
      </c>
      <c r="AA571">
        <f>IF($D571="",0,IF($F571&lt;2,0,IF($E571="Win",('Guide &amp; Settings'!$C$42/(($F571-1)*COUNTIFS($A$4:$A$810,$A571,$E$4:$E$810,"Win")))*SUMIFS($Z$4:$Z$810,$A$4:$A$810,$A571,$E$4:$E$810,"Loss"),-('Guide &amp; Settings'!$C$42/($F571-1))*$Z571)))</f>
        <v>0</v>
      </c>
      <c r="AB571" s="125">
        <f>IF($D571="",0,$U571+$AA571)</f>
        <v>0</v>
      </c>
      <c r="AC571" s="125" t="str">
        <f>IF($D571="","",IF(SUMPRODUCT(MAX(($D$4:$D$810=$D571)*($B$4:$B$810&lt;$B571)*$B$4:$B$810))=0,0,MAX(($B571-MAX(SUMPRODUCT(MAX(($D$4:$D$810=$D571)*($B$4:$B$810&lt;$B571)*$B$4:$B$810)),'Guide &amp; Settings'!$C$50))/7-'Guide &amp; Settings'!$C$48,0)*'Guide &amp; Settings'!$C$49))</f>
      </c>
    </row>
    <row r="572" spans="1:29">
      <c r="A572" s="116"/>
      <c r="B572" s="117"/>
      <c r="C572" s="118"/>
      <c r="D572" s="118"/>
      <c r="E572" s="116"/>
      <c r="F572" s="119">
        <f>IF($D572="",0,COUNTIF($A$4:$A$810,$A572))</f>
        <v>0</v>
      </c>
      <c r="G572" s="120">
        <f>IF($D572="","",IFERROR(LOOKUP(2,1/(($A$4:$A$810=$A572)*($E$4:$E$810="Win")),$D$4:$D$810),"(no winner)"))</f>
        <v>0</v>
      </c>
      <c r="H572" s="121">
        <f>IF($D572="",0,IFERROR(LOOKUP(2,1/(($D$3:D571=$D572)*($A$3:A571&lt;$A572)),$N$3:N571),'Guide &amp; Settings'!$C$41))</f>
        <v>0</v>
      </c>
      <c r="I572" s="122">
        <f>IF($D572="",0,IF($S572=0,0,$R572/$S572))</f>
        <v>0</v>
      </c>
      <c r="J572" s="123">
        <f>IF($D572="",0,IF($F572&lt;2,0,IF($E572="Win",('Guide &amp; Settings'!$C$42/(($F572-1)*COUNTIFS($A$4:$A$810,$A572,$E$4:$E$810,"Win")))*SUMIFS($X$4:$X$810,$A$4:$A$810,$A572,$E$4:$E$810,"Loss"),-('Guide &amp; Settings'!$C$42/($F572-1))*$X572)))</f>
        <v>0</v>
      </c>
      <c r="K572" s="123">
        <f>IF($D572="",0,'Guide &amp; Settings'!$C$43*(IF($E572="Win",1,0)-$I572))</f>
        <v>0</v>
      </c>
      <c r="L572" s="124">
        <f>IF($D572="",0,'Guide &amp; Settings'!$C$44*IF($F572&gt;=3,$F572+IF($E572="Win",$F572,0),0))</f>
        <v>0</v>
      </c>
      <c r="M572" s="123">
        <f>IF($D572="",0,$J572+$K572+$L572)</f>
        <v>0</v>
      </c>
      <c r="N572" s="121">
        <f>IF($D572="",0,$H572+$M572)</f>
        <v>0</v>
      </c>
      <c r="O572" s="120" t="str">
        <f>IF($D572="","",IF(COUNTIFS($A$4:$A$810,$A572,$E$4:$E$810,"Win")=0,"need a winner",IF(COUNTIFS($A$4:$A$810,$A572,$E$4:$E$810,"Loss")=0,"need a loser",IF(COUNTIFS($A$4:$A$810,$A572,$D$4:$D$810,$D572)&gt;1,"duplicate player","OK"))))</f>
      </c>
      <c r="P572">
        <f>IF($D572="",0,IFERROR(SUMIFS($H$4:$H$810,$A$4:$A$810,$A572,$E$4:$E$810,"Win")/COUNTIFS($A$4:$A$810,$A572,$E$4:$E$810,"Win"),0))</f>
        <v>0</v>
      </c>
      <c r="Q572">
        <f>IF($D572="",0,1/(1+10^(($P572-$H572)/400)))</f>
        <v>0</v>
      </c>
      <c r="R572">
        <f>IF($D572="",0,(COUNTIFS($D$4:$D$810,$D572,$C$4:$C$810,$C572,$E$4:$E$810,"Win",$A$4:$A$810,"&lt;"&amp;$A572)+1)/(COUNTIFS($D$4:$D$810,$D572,$C$4:$C$810,$C572,$A$4:$A$810,"&lt;"&amp;$A572)+2))</f>
        <v>0</v>
      </c>
      <c r="S572">
        <f>IF($D572="",0,SUMIFS($R$4:$R$810,$A$4:$A$810,$A572))</f>
        <v>0</v>
      </c>
      <c r="T572" s="88">
        <f>IF($D572="",0,COUNTIFS($D$4:$D$810,$D572,$C$4:$C$810,$C572,$A$4:$A$810,"&lt;"&amp;$A572))</f>
        <v>0</v>
      </c>
      <c r="U572" s="125">
        <f>IF($D572="",0,IFERROR(LOOKUP(2,1/(($D$3:D571=$D572)*($C$3:C571=$C572)*($A$3:A571&lt;$A572)),$AB$3:AB571),1000))</f>
        <v>0</v>
      </c>
      <c r="V572" s="125">
        <f>IF($D572="",0,$U572*($T572/($T572+5))+$H572*(1-$T572/($T572+5)))</f>
        <v>0</v>
      </c>
      <c r="W572">
        <f>IF($D572="",0,IFERROR(SUMIFS($V$4:$V$810,$A$4:$A$810,$A572,$E$4:$E$810,"Win")/COUNTIFS($A$4:$A$810,$A572,$E$4:$E$810,"Win"),0))</f>
        <v>0</v>
      </c>
      <c r="X572">
        <f>IF($D572="",0,1/(1+10^(($W572-$V572)/400)))</f>
        <v>0</v>
      </c>
      <c r="Y572">
        <f>IF($D572="",0,IFERROR(SUMIFS($U$4:$U$810,$A$4:$A$810,$A572,$E$4:$E$810,"Win")/COUNTIFS($A$4:$A$810,$A572,$E$4:$E$810,"Win"),0))</f>
        <v>0</v>
      </c>
      <c r="Z572">
        <f>IF($D572="",0,1/(1+10^(($Y572-$U572)/400)))</f>
        <v>0</v>
      </c>
      <c r="AA572">
        <f>IF($D572="",0,IF($F572&lt;2,0,IF($E572="Win",('Guide &amp; Settings'!$C$42/(($F572-1)*COUNTIFS($A$4:$A$810,$A572,$E$4:$E$810,"Win")))*SUMIFS($Z$4:$Z$810,$A$4:$A$810,$A572,$E$4:$E$810,"Loss"),-('Guide &amp; Settings'!$C$42/($F572-1))*$Z572)))</f>
        <v>0</v>
      </c>
      <c r="AB572" s="125">
        <f>IF($D572="",0,$U572+$AA572)</f>
        <v>0</v>
      </c>
      <c r="AC572" s="125" t="str">
        <f>IF($D572="","",IF(SUMPRODUCT(MAX(($D$4:$D$810=$D572)*($B$4:$B$810&lt;$B572)*$B$4:$B$810))=0,0,MAX(($B572-MAX(SUMPRODUCT(MAX(($D$4:$D$810=$D572)*($B$4:$B$810&lt;$B572)*$B$4:$B$810)),'Guide &amp; Settings'!$C$50))/7-'Guide &amp; Settings'!$C$48,0)*'Guide &amp; Settings'!$C$49))</f>
      </c>
    </row>
    <row r="573" spans="1:29">
      <c r="A573" s="116"/>
      <c r="B573" s="117"/>
      <c r="C573" s="118"/>
      <c r="D573" s="118"/>
      <c r="E573" s="116"/>
      <c r="F573" s="119">
        <f>IF($D573="",0,COUNTIF($A$4:$A$810,$A573))</f>
        <v>0</v>
      </c>
      <c r="G573" s="120">
        <f>IF($D573="","",IFERROR(LOOKUP(2,1/(($A$4:$A$810=$A573)*($E$4:$E$810="Win")),$D$4:$D$810),"(no winner)"))</f>
        <v>0</v>
      </c>
      <c r="H573" s="121">
        <f>IF($D573="",0,IFERROR(LOOKUP(2,1/(($D$3:D572=$D573)*($A$3:A572&lt;$A573)),$N$3:N572),'Guide &amp; Settings'!$C$41))</f>
        <v>0</v>
      </c>
      <c r="I573" s="122">
        <f>IF($D573="",0,IF($S573=0,0,$R573/$S573))</f>
        <v>0</v>
      </c>
      <c r="J573" s="123">
        <f>IF($D573="",0,IF($F573&lt;2,0,IF($E573="Win",('Guide &amp; Settings'!$C$42/(($F573-1)*COUNTIFS($A$4:$A$810,$A573,$E$4:$E$810,"Win")))*SUMIFS($X$4:$X$810,$A$4:$A$810,$A573,$E$4:$E$810,"Loss"),-('Guide &amp; Settings'!$C$42/($F573-1))*$X573)))</f>
        <v>0</v>
      </c>
      <c r="K573" s="123">
        <f>IF($D573="",0,'Guide &amp; Settings'!$C$43*(IF($E573="Win",1,0)-$I573))</f>
        <v>0</v>
      </c>
      <c r="L573" s="124">
        <f>IF($D573="",0,'Guide &amp; Settings'!$C$44*IF($F573&gt;=3,$F573+IF($E573="Win",$F573,0),0))</f>
        <v>0</v>
      </c>
      <c r="M573" s="123">
        <f>IF($D573="",0,$J573+$K573+$L573)</f>
        <v>0</v>
      </c>
      <c r="N573" s="121">
        <f>IF($D573="",0,$H573+$M573)</f>
        <v>0</v>
      </c>
      <c r="O573" s="120" t="str">
        <f>IF($D573="","",IF(COUNTIFS($A$4:$A$810,$A573,$E$4:$E$810,"Win")=0,"need a winner",IF(COUNTIFS($A$4:$A$810,$A573,$E$4:$E$810,"Loss")=0,"need a loser",IF(COUNTIFS($A$4:$A$810,$A573,$D$4:$D$810,$D573)&gt;1,"duplicate player","OK"))))</f>
      </c>
      <c r="P573">
        <f>IF($D573="",0,IFERROR(SUMIFS($H$4:$H$810,$A$4:$A$810,$A573,$E$4:$E$810,"Win")/COUNTIFS($A$4:$A$810,$A573,$E$4:$E$810,"Win"),0))</f>
        <v>0</v>
      </c>
      <c r="Q573">
        <f>IF($D573="",0,1/(1+10^(($P573-$H573)/400)))</f>
        <v>0</v>
      </c>
      <c r="R573">
        <f>IF($D573="",0,(COUNTIFS($D$4:$D$810,$D573,$C$4:$C$810,$C573,$E$4:$E$810,"Win",$A$4:$A$810,"&lt;"&amp;$A573)+1)/(COUNTIFS($D$4:$D$810,$D573,$C$4:$C$810,$C573,$A$4:$A$810,"&lt;"&amp;$A573)+2))</f>
        <v>0</v>
      </c>
      <c r="S573">
        <f>IF($D573="",0,SUMIFS($R$4:$R$810,$A$4:$A$810,$A573))</f>
        <v>0</v>
      </c>
      <c r="T573" s="88">
        <f>IF($D573="",0,COUNTIFS($D$4:$D$810,$D573,$C$4:$C$810,$C573,$A$4:$A$810,"&lt;"&amp;$A573))</f>
        <v>0</v>
      </c>
      <c r="U573" s="125">
        <f>IF($D573="",0,IFERROR(LOOKUP(2,1/(($D$3:D572=$D573)*($C$3:C572=$C573)*($A$3:A572&lt;$A573)),$AB$3:AB572),1000))</f>
        <v>0</v>
      </c>
      <c r="V573" s="125">
        <f>IF($D573="",0,$U573*($T573/($T573+5))+$H573*(1-$T573/($T573+5)))</f>
        <v>0</v>
      </c>
      <c r="W573">
        <f>IF($D573="",0,IFERROR(SUMIFS($V$4:$V$810,$A$4:$A$810,$A573,$E$4:$E$810,"Win")/COUNTIFS($A$4:$A$810,$A573,$E$4:$E$810,"Win"),0))</f>
        <v>0</v>
      </c>
      <c r="X573">
        <f>IF($D573="",0,1/(1+10^(($W573-$V573)/400)))</f>
        <v>0</v>
      </c>
      <c r="Y573">
        <f>IF($D573="",0,IFERROR(SUMIFS($U$4:$U$810,$A$4:$A$810,$A573,$E$4:$E$810,"Win")/COUNTIFS($A$4:$A$810,$A573,$E$4:$E$810,"Win"),0))</f>
        <v>0</v>
      </c>
      <c r="Z573">
        <f>IF($D573="",0,1/(1+10^(($Y573-$U573)/400)))</f>
        <v>0</v>
      </c>
      <c r="AA573">
        <f>IF($D573="",0,IF($F573&lt;2,0,IF($E573="Win",('Guide &amp; Settings'!$C$42/(($F573-1)*COUNTIFS($A$4:$A$810,$A573,$E$4:$E$810,"Win")))*SUMIFS($Z$4:$Z$810,$A$4:$A$810,$A573,$E$4:$E$810,"Loss"),-('Guide &amp; Settings'!$C$42/($F573-1))*$Z573)))</f>
        <v>0</v>
      </c>
      <c r="AB573" s="125">
        <f>IF($D573="",0,$U573+$AA573)</f>
        <v>0</v>
      </c>
      <c r="AC573" s="125" t="str">
        <f>IF($D573="","",IF(SUMPRODUCT(MAX(($D$4:$D$810=$D573)*($B$4:$B$810&lt;$B573)*$B$4:$B$810))=0,0,MAX(($B573-MAX(SUMPRODUCT(MAX(($D$4:$D$810=$D573)*($B$4:$B$810&lt;$B573)*$B$4:$B$810)),'Guide &amp; Settings'!$C$50))/7-'Guide &amp; Settings'!$C$48,0)*'Guide &amp; Settings'!$C$49))</f>
      </c>
    </row>
    <row r="574" spans="1:29">
      <c r="A574" s="116"/>
      <c r="B574" s="117"/>
      <c r="C574" s="118"/>
      <c r="D574" s="118"/>
      <c r="E574" s="116"/>
      <c r="F574" s="119">
        <f>IF($D574="",0,COUNTIF($A$4:$A$810,$A574))</f>
        <v>0</v>
      </c>
      <c r="G574" s="120">
        <f>IF($D574="","",IFERROR(LOOKUP(2,1/(($A$4:$A$810=$A574)*($E$4:$E$810="Win")),$D$4:$D$810),"(no winner)"))</f>
        <v>0</v>
      </c>
      <c r="H574" s="121">
        <f>IF($D574="",0,IFERROR(LOOKUP(2,1/(($D$3:D573=$D574)*($A$3:A573&lt;$A574)),$N$3:N573),'Guide &amp; Settings'!$C$41))</f>
        <v>0</v>
      </c>
      <c r="I574" s="122">
        <f>IF($D574="",0,IF($S574=0,0,$R574/$S574))</f>
        <v>0</v>
      </c>
      <c r="J574" s="123">
        <f>IF($D574="",0,IF($F574&lt;2,0,IF($E574="Win",('Guide &amp; Settings'!$C$42/(($F574-1)*COUNTIFS($A$4:$A$810,$A574,$E$4:$E$810,"Win")))*SUMIFS($X$4:$X$810,$A$4:$A$810,$A574,$E$4:$E$810,"Loss"),-('Guide &amp; Settings'!$C$42/($F574-1))*$X574)))</f>
        <v>0</v>
      </c>
      <c r="K574" s="123">
        <f>IF($D574="",0,'Guide &amp; Settings'!$C$43*(IF($E574="Win",1,0)-$I574))</f>
        <v>0</v>
      </c>
      <c r="L574" s="124">
        <f>IF($D574="",0,'Guide &amp; Settings'!$C$44*IF($F574&gt;=3,$F574+IF($E574="Win",$F574,0),0))</f>
        <v>0</v>
      </c>
      <c r="M574" s="123">
        <f>IF($D574="",0,$J574+$K574+$L574)</f>
        <v>0</v>
      </c>
      <c r="N574" s="121">
        <f>IF($D574="",0,$H574+$M574)</f>
        <v>0</v>
      </c>
      <c r="O574" s="120" t="str">
        <f>IF($D574="","",IF(COUNTIFS($A$4:$A$810,$A574,$E$4:$E$810,"Win")=0,"need a winner",IF(COUNTIFS($A$4:$A$810,$A574,$E$4:$E$810,"Loss")=0,"need a loser",IF(COUNTIFS($A$4:$A$810,$A574,$D$4:$D$810,$D574)&gt;1,"duplicate player","OK"))))</f>
      </c>
      <c r="P574">
        <f>IF($D574="",0,IFERROR(SUMIFS($H$4:$H$810,$A$4:$A$810,$A574,$E$4:$E$810,"Win")/COUNTIFS($A$4:$A$810,$A574,$E$4:$E$810,"Win"),0))</f>
        <v>0</v>
      </c>
      <c r="Q574">
        <f>IF($D574="",0,1/(1+10^(($P574-$H574)/400)))</f>
        <v>0</v>
      </c>
      <c r="R574">
        <f>IF($D574="",0,(COUNTIFS($D$4:$D$810,$D574,$C$4:$C$810,$C574,$E$4:$E$810,"Win",$A$4:$A$810,"&lt;"&amp;$A574)+1)/(COUNTIFS($D$4:$D$810,$D574,$C$4:$C$810,$C574,$A$4:$A$810,"&lt;"&amp;$A574)+2))</f>
        <v>0</v>
      </c>
      <c r="S574">
        <f>IF($D574="",0,SUMIFS($R$4:$R$810,$A$4:$A$810,$A574))</f>
        <v>0</v>
      </c>
      <c r="T574" s="88">
        <f>IF($D574="",0,COUNTIFS($D$4:$D$810,$D574,$C$4:$C$810,$C574,$A$4:$A$810,"&lt;"&amp;$A574))</f>
        <v>0</v>
      </c>
      <c r="U574" s="125">
        <f>IF($D574="",0,IFERROR(LOOKUP(2,1/(($D$3:D573=$D574)*($C$3:C573=$C574)*($A$3:A573&lt;$A574)),$AB$3:AB573),1000))</f>
        <v>0</v>
      </c>
      <c r="V574" s="125">
        <f>IF($D574="",0,$U574*($T574/($T574+5))+$H574*(1-$T574/($T574+5)))</f>
        <v>0</v>
      </c>
      <c r="W574">
        <f>IF($D574="",0,IFERROR(SUMIFS($V$4:$V$810,$A$4:$A$810,$A574,$E$4:$E$810,"Win")/COUNTIFS($A$4:$A$810,$A574,$E$4:$E$810,"Win"),0))</f>
        <v>0</v>
      </c>
      <c r="X574">
        <f>IF($D574="",0,1/(1+10^(($W574-$V574)/400)))</f>
        <v>0</v>
      </c>
      <c r="Y574">
        <f>IF($D574="",0,IFERROR(SUMIFS($U$4:$U$810,$A$4:$A$810,$A574,$E$4:$E$810,"Win")/COUNTIFS($A$4:$A$810,$A574,$E$4:$E$810,"Win"),0))</f>
        <v>0</v>
      </c>
      <c r="Z574">
        <f>IF($D574="",0,1/(1+10^(($Y574-$U574)/400)))</f>
        <v>0</v>
      </c>
      <c r="AA574">
        <f>IF($D574="",0,IF($F574&lt;2,0,IF($E574="Win",('Guide &amp; Settings'!$C$42/(($F574-1)*COUNTIFS($A$4:$A$810,$A574,$E$4:$E$810,"Win")))*SUMIFS($Z$4:$Z$810,$A$4:$A$810,$A574,$E$4:$E$810,"Loss"),-('Guide &amp; Settings'!$C$42/($F574-1))*$Z574)))</f>
        <v>0</v>
      </c>
      <c r="AB574" s="125">
        <f>IF($D574="",0,$U574+$AA574)</f>
        <v>0</v>
      </c>
      <c r="AC574" s="125" t="str">
        <f>IF($D574="","",IF(SUMPRODUCT(MAX(($D$4:$D$810=$D574)*($B$4:$B$810&lt;$B574)*$B$4:$B$810))=0,0,MAX(($B574-MAX(SUMPRODUCT(MAX(($D$4:$D$810=$D574)*($B$4:$B$810&lt;$B574)*$B$4:$B$810)),'Guide &amp; Settings'!$C$50))/7-'Guide &amp; Settings'!$C$48,0)*'Guide &amp; Settings'!$C$49))</f>
      </c>
    </row>
    <row r="575" spans="1:29">
      <c r="A575" s="116"/>
      <c r="B575" s="117"/>
      <c r="C575" s="118"/>
      <c r="D575" s="118"/>
      <c r="E575" s="116"/>
      <c r="F575" s="119">
        <f>IF($D575="",0,COUNTIF($A$4:$A$810,$A575))</f>
        <v>0</v>
      </c>
      <c r="G575" s="120">
        <f>IF($D575="","",IFERROR(LOOKUP(2,1/(($A$4:$A$810=$A575)*($E$4:$E$810="Win")),$D$4:$D$810),"(no winner)"))</f>
        <v>0</v>
      </c>
      <c r="H575" s="121">
        <f>IF($D575="",0,IFERROR(LOOKUP(2,1/(($D$3:D574=$D575)*($A$3:A574&lt;$A575)),$N$3:N574),'Guide &amp; Settings'!$C$41))</f>
        <v>0</v>
      </c>
      <c r="I575" s="122">
        <f>IF($D575="",0,IF($S575=0,0,$R575/$S575))</f>
        <v>0</v>
      </c>
      <c r="J575" s="123">
        <f>IF($D575="",0,IF($F575&lt;2,0,IF($E575="Win",('Guide &amp; Settings'!$C$42/(($F575-1)*COUNTIFS($A$4:$A$810,$A575,$E$4:$E$810,"Win")))*SUMIFS($X$4:$X$810,$A$4:$A$810,$A575,$E$4:$E$810,"Loss"),-('Guide &amp; Settings'!$C$42/($F575-1))*$X575)))</f>
        <v>0</v>
      </c>
      <c r="K575" s="123">
        <f>IF($D575="",0,'Guide &amp; Settings'!$C$43*(IF($E575="Win",1,0)-$I575))</f>
        <v>0</v>
      </c>
      <c r="L575" s="124">
        <f>IF($D575="",0,'Guide &amp; Settings'!$C$44*IF($F575&gt;=3,$F575+IF($E575="Win",$F575,0),0))</f>
        <v>0</v>
      </c>
      <c r="M575" s="123">
        <f>IF($D575="",0,$J575+$K575+$L575)</f>
        <v>0</v>
      </c>
      <c r="N575" s="121">
        <f>IF($D575="",0,$H575+$M575)</f>
        <v>0</v>
      </c>
      <c r="O575" s="120" t="str">
        <f>IF($D575="","",IF(COUNTIFS($A$4:$A$810,$A575,$E$4:$E$810,"Win")=0,"need a winner",IF(COUNTIFS($A$4:$A$810,$A575,$E$4:$E$810,"Loss")=0,"need a loser",IF(COUNTIFS($A$4:$A$810,$A575,$D$4:$D$810,$D575)&gt;1,"duplicate player","OK"))))</f>
      </c>
      <c r="P575">
        <f>IF($D575="",0,IFERROR(SUMIFS($H$4:$H$810,$A$4:$A$810,$A575,$E$4:$E$810,"Win")/COUNTIFS($A$4:$A$810,$A575,$E$4:$E$810,"Win"),0))</f>
        <v>0</v>
      </c>
      <c r="Q575">
        <f>IF($D575="",0,1/(1+10^(($P575-$H575)/400)))</f>
        <v>0</v>
      </c>
      <c r="R575">
        <f>IF($D575="",0,(COUNTIFS($D$4:$D$810,$D575,$C$4:$C$810,$C575,$E$4:$E$810,"Win",$A$4:$A$810,"&lt;"&amp;$A575)+1)/(COUNTIFS($D$4:$D$810,$D575,$C$4:$C$810,$C575,$A$4:$A$810,"&lt;"&amp;$A575)+2))</f>
        <v>0</v>
      </c>
      <c r="S575">
        <f>IF($D575="",0,SUMIFS($R$4:$R$810,$A$4:$A$810,$A575))</f>
        <v>0</v>
      </c>
      <c r="T575" s="88">
        <f>IF($D575="",0,COUNTIFS($D$4:$D$810,$D575,$C$4:$C$810,$C575,$A$4:$A$810,"&lt;"&amp;$A575))</f>
        <v>0</v>
      </c>
      <c r="U575" s="125">
        <f>IF($D575="",0,IFERROR(LOOKUP(2,1/(($D$3:D574=$D575)*($C$3:C574=$C575)*($A$3:A574&lt;$A575)),$AB$3:AB574),1000))</f>
        <v>0</v>
      </c>
      <c r="V575" s="125">
        <f>IF($D575="",0,$U575*($T575/($T575+5))+$H575*(1-$T575/($T575+5)))</f>
        <v>0</v>
      </c>
      <c r="W575">
        <f>IF($D575="",0,IFERROR(SUMIFS($V$4:$V$810,$A$4:$A$810,$A575,$E$4:$E$810,"Win")/COUNTIFS($A$4:$A$810,$A575,$E$4:$E$810,"Win"),0))</f>
        <v>0</v>
      </c>
      <c r="X575">
        <f>IF($D575="",0,1/(1+10^(($W575-$V575)/400)))</f>
        <v>0</v>
      </c>
      <c r="Y575">
        <f>IF($D575="",0,IFERROR(SUMIFS($U$4:$U$810,$A$4:$A$810,$A575,$E$4:$E$810,"Win")/COUNTIFS($A$4:$A$810,$A575,$E$4:$E$810,"Win"),0))</f>
        <v>0</v>
      </c>
      <c r="Z575">
        <f>IF($D575="",0,1/(1+10^(($Y575-$U575)/400)))</f>
        <v>0</v>
      </c>
      <c r="AA575">
        <f>IF($D575="",0,IF($F575&lt;2,0,IF($E575="Win",('Guide &amp; Settings'!$C$42/(($F575-1)*COUNTIFS($A$4:$A$810,$A575,$E$4:$E$810,"Win")))*SUMIFS($Z$4:$Z$810,$A$4:$A$810,$A575,$E$4:$E$810,"Loss"),-('Guide &amp; Settings'!$C$42/($F575-1))*$Z575)))</f>
        <v>0</v>
      </c>
      <c r="AB575" s="125">
        <f>IF($D575="",0,$U575+$AA575)</f>
        <v>0</v>
      </c>
      <c r="AC575" s="125" t="str">
        <f>IF($D575="","",IF(SUMPRODUCT(MAX(($D$4:$D$810=$D575)*($B$4:$B$810&lt;$B575)*$B$4:$B$810))=0,0,MAX(($B575-MAX(SUMPRODUCT(MAX(($D$4:$D$810=$D575)*($B$4:$B$810&lt;$B575)*$B$4:$B$810)),'Guide &amp; Settings'!$C$50))/7-'Guide &amp; Settings'!$C$48,0)*'Guide &amp; Settings'!$C$49))</f>
      </c>
    </row>
    <row r="576" spans="1:29">
      <c r="A576" s="116"/>
      <c r="B576" s="117"/>
      <c r="C576" s="118"/>
      <c r="D576" s="118"/>
      <c r="E576" s="116"/>
      <c r="F576" s="119">
        <f>IF($D576="",0,COUNTIF($A$4:$A$810,$A576))</f>
        <v>0</v>
      </c>
      <c r="G576" s="120">
        <f>IF($D576="","",IFERROR(LOOKUP(2,1/(($A$4:$A$810=$A576)*($E$4:$E$810="Win")),$D$4:$D$810),"(no winner)"))</f>
        <v>0</v>
      </c>
      <c r="H576" s="121">
        <f>IF($D576="",0,IFERROR(LOOKUP(2,1/(($D$3:D575=$D576)*($A$3:A575&lt;$A576)),$N$3:N575),'Guide &amp; Settings'!$C$41))</f>
        <v>0</v>
      </c>
      <c r="I576" s="122">
        <f>IF($D576="",0,IF($S576=0,0,$R576/$S576))</f>
        <v>0</v>
      </c>
      <c r="J576" s="123">
        <f>IF($D576="",0,IF($F576&lt;2,0,IF($E576="Win",('Guide &amp; Settings'!$C$42/(($F576-1)*COUNTIFS($A$4:$A$810,$A576,$E$4:$E$810,"Win")))*SUMIFS($X$4:$X$810,$A$4:$A$810,$A576,$E$4:$E$810,"Loss"),-('Guide &amp; Settings'!$C$42/($F576-1))*$X576)))</f>
        <v>0</v>
      </c>
      <c r="K576" s="123">
        <f>IF($D576="",0,'Guide &amp; Settings'!$C$43*(IF($E576="Win",1,0)-$I576))</f>
        <v>0</v>
      </c>
      <c r="L576" s="124">
        <f>IF($D576="",0,'Guide &amp; Settings'!$C$44*IF($F576&gt;=3,$F576+IF($E576="Win",$F576,0),0))</f>
        <v>0</v>
      </c>
      <c r="M576" s="123">
        <f>IF($D576="",0,$J576+$K576+$L576)</f>
        <v>0</v>
      </c>
      <c r="N576" s="121">
        <f>IF($D576="",0,$H576+$M576)</f>
        <v>0</v>
      </c>
      <c r="O576" s="120" t="str">
        <f>IF($D576="","",IF(COUNTIFS($A$4:$A$810,$A576,$E$4:$E$810,"Win")=0,"need a winner",IF(COUNTIFS($A$4:$A$810,$A576,$E$4:$E$810,"Loss")=0,"need a loser",IF(COUNTIFS($A$4:$A$810,$A576,$D$4:$D$810,$D576)&gt;1,"duplicate player","OK"))))</f>
      </c>
      <c r="P576">
        <f>IF($D576="",0,IFERROR(SUMIFS($H$4:$H$810,$A$4:$A$810,$A576,$E$4:$E$810,"Win")/COUNTIFS($A$4:$A$810,$A576,$E$4:$E$810,"Win"),0))</f>
        <v>0</v>
      </c>
      <c r="Q576">
        <f>IF($D576="",0,1/(1+10^(($P576-$H576)/400)))</f>
        <v>0</v>
      </c>
      <c r="R576">
        <f>IF($D576="",0,(COUNTIFS($D$4:$D$810,$D576,$C$4:$C$810,$C576,$E$4:$E$810,"Win",$A$4:$A$810,"&lt;"&amp;$A576)+1)/(COUNTIFS($D$4:$D$810,$D576,$C$4:$C$810,$C576,$A$4:$A$810,"&lt;"&amp;$A576)+2))</f>
        <v>0</v>
      </c>
      <c r="S576">
        <f>IF($D576="",0,SUMIFS($R$4:$R$810,$A$4:$A$810,$A576))</f>
        <v>0</v>
      </c>
      <c r="T576" s="88">
        <f>IF($D576="",0,COUNTIFS($D$4:$D$810,$D576,$C$4:$C$810,$C576,$A$4:$A$810,"&lt;"&amp;$A576))</f>
        <v>0</v>
      </c>
      <c r="U576" s="125">
        <f>IF($D576="",0,IFERROR(LOOKUP(2,1/(($D$3:D575=$D576)*($C$3:C575=$C576)*($A$3:A575&lt;$A576)),$AB$3:AB575),1000))</f>
        <v>0</v>
      </c>
      <c r="V576" s="125">
        <f>IF($D576="",0,$U576*($T576/($T576+5))+$H576*(1-$T576/($T576+5)))</f>
        <v>0</v>
      </c>
      <c r="W576">
        <f>IF($D576="",0,IFERROR(SUMIFS($V$4:$V$810,$A$4:$A$810,$A576,$E$4:$E$810,"Win")/COUNTIFS($A$4:$A$810,$A576,$E$4:$E$810,"Win"),0))</f>
        <v>0</v>
      </c>
      <c r="X576">
        <f>IF($D576="",0,1/(1+10^(($W576-$V576)/400)))</f>
        <v>0</v>
      </c>
      <c r="Y576">
        <f>IF($D576="",0,IFERROR(SUMIFS($U$4:$U$810,$A$4:$A$810,$A576,$E$4:$E$810,"Win")/COUNTIFS($A$4:$A$810,$A576,$E$4:$E$810,"Win"),0))</f>
        <v>0</v>
      </c>
      <c r="Z576">
        <f>IF($D576="",0,1/(1+10^(($Y576-$U576)/400)))</f>
        <v>0</v>
      </c>
      <c r="AA576">
        <f>IF($D576="",0,IF($F576&lt;2,0,IF($E576="Win",('Guide &amp; Settings'!$C$42/(($F576-1)*COUNTIFS($A$4:$A$810,$A576,$E$4:$E$810,"Win")))*SUMIFS($Z$4:$Z$810,$A$4:$A$810,$A576,$E$4:$E$810,"Loss"),-('Guide &amp; Settings'!$C$42/($F576-1))*$Z576)))</f>
        <v>0</v>
      </c>
      <c r="AB576" s="125">
        <f>IF($D576="",0,$U576+$AA576)</f>
        <v>0</v>
      </c>
      <c r="AC576" s="125" t="str">
        <f>IF($D576="","",IF(SUMPRODUCT(MAX(($D$4:$D$810=$D576)*($B$4:$B$810&lt;$B576)*$B$4:$B$810))=0,0,MAX(($B576-MAX(SUMPRODUCT(MAX(($D$4:$D$810=$D576)*($B$4:$B$810&lt;$B576)*$B$4:$B$810)),'Guide &amp; Settings'!$C$50))/7-'Guide &amp; Settings'!$C$48,0)*'Guide &amp; Settings'!$C$49))</f>
      </c>
    </row>
    <row r="577" spans="1:29">
      <c r="A577" s="116"/>
      <c r="B577" s="117"/>
      <c r="C577" s="118"/>
      <c r="D577" s="118"/>
      <c r="E577" s="116"/>
      <c r="F577" s="119">
        <f>IF($D577="",0,COUNTIF($A$4:$A$810,$A577))</f>
        <v>0</v>
      </c>
      <c r="G577" s="120">
        <f>IF($D577="","",IFERROR(LOOKUP(2,1/(($A$4:$A$810=$A577)*($E$4:$E$810="Win")),$D$4:$D$810),"(no winner)"))</f>
        <v>0</v>
      </c>
      <c r="H577" s="121">
        <f>IF($D577="",0,IFERROR(LOOKUP(2,1/(($D$3:D576=$D577)*($A$3:A576&lt;$A577)),$N$3:N576),'Guide &amp; Settings'!$C$41))</f>
        <v>0</v>
      </c>
      <c r="I577" s="122">
        <f>IF($D577="",0,IF($S577=0,0,$R577/$S577))</f>
        <v>0</v>
      </c>
      <c r="J577" s="123">
        <f>IF($D577="",0,IF($F577&lt;2,0,IF($E577="Win",('Guide &amp; Settings'!$C$42/(($F577-1)*COUNTIFS($A$4:$A$810,$A577,$E$4:$E$810,"Win")))*SUMIFS($X$4:$X$810,$A$4:$A$810,$A577,$E$4:$E$810,"Loss"),-('Guide &amp; Settings'!$C$42/($F577-1))*$X577)))</f>
        <v>0</v>
      </c>
      <c r="K577" s="123">
        <f>IF($D577="",0,'Guide &amp; Settings'!$C$43*(IF($E577="Win",1,0)-$I577))</f>
        <v>0</v>
      </c>
      <c r="L577" s="124">
        <f>IF($D577="",0,'Guide &amp; Settings'!$C$44*IF($F577&gt;=3,$F577+IF($E577="Win",$F577,0),0))</f>
        <v>0</v>
      </c>
      <c r="M577" s="123">
        <f>IF($D577="",0,$J577+$K577+$L577)</f>
        <v>0</v>
      </c>
      <c r="N577" s="121">
        <f>IF($D577="",0,$H577+$M577)</f>
        <v>0</v>
      </c>
      <c r="O577" s="120" t="str">
        <f>IF($D577="","",IF(COUNTIFS($A$4:$A$810,$A577,$E$4:$E$810,"Win")=0,"need a winner",IF(COUNTIFS($A$4:$A$810,$A577,$E$4:$E$810,"Loss")=0,"need a loser",IF(COUNTIFS($A$4:$A$810,$A577,$D$4:$D$810,$D577)&gt;1,"duplicate player","OK"))))</f>
      </c>
      <c r="P577">
        <f>IF($D577="",0,IFERROR(SUMIFS($H$4:$H$810,$A$4:$A$810,$A577,$E$4:$E$810,"Win")/COUNTIFS($A$4:$A$810,$A577,$E$4:$E$810,"Win"),0))</f>
        <v>0</v>
      </c>
      <c r="Q577">
        <f>IF($D577="",0,1/(1+10^(($P577-$H577)/400)))</f>
        <v>0</v>
      </c>
      <c r="R577">
        <f>IF($D577="",0,(COUNTIFS($D$4:$D$810,$D577,$C$4:$C$810,$C577,$E$4:$E$810,"Win",$A$4:$A$810,"&lt;"&amp;$A577)+1)/(COUNTIFS($D$4:$D$810,$D577,$C$4:$C$810,$C577,$A$4:$A$810,"&lt;"&amp;$A577)+2))</f>
        <v>0</v>
      </c>
      <c r="S577">
        <f>IF($D577="",0,SUMIFS($R$4:$R$810,$A$4:$A$810,$A577))</f>
        <v>0</v>
      </c>
      <c r="T577" s="88">
        <f>IF($D577="",0,COUNTIFS($D$4:$D$810,$D577,$C$4:$C$810,$C577,$A$4:$A$810,"&lt;"&amp;$A577))</f>
        <v>0</v>
      </c>
      <c r="U577" s="125">
        <f>IF($D577="",0,IFERROR(LOOKUP(2,1/(($D$3:D576=$D577)*($C$3:C576=$C577)*($A$3:A576&lt;$A577)),$AB$3:AB576),1000))</f>
        <v>0</v>
      </c>
      <c r="V577" s="125">
        <f>IF($D577="",0,$U577*($T577/($T577+5))+$H577*(1-$T577/($T577+5)))</f>
        <v>0</v>
      </c>
      <c r="W577">
        <f>IF($D577="",0,IFERROR(SUMIFS($V$4:$V$810,$A$4:$A$810,$A577,$E$4:$E$810,"Win")/COUNTIFS($A$4:$A$810,$A577,$E$4:$E$810,"Win"),0))</f>
        <v>0</v>
      </c>
      <c r="X577">
        <f>IF($D577="",0,1/(1+10^(($W577-$V577)/400)))</f>
        <v>0</v>
      </c>
      <c r="Y577">
        <f>IF($D577="",0,IFERROR(SUMIFS($U$4:$U$810,$A$4:$A$810,$A577,$E$4:$E$810,"Win")/COUNTIFS($A$4:$A$810,$A577,$E$4:$E$810,"Win"),0))</f>
        <v>0</v>
      </c>
      <c r="Z577">
        <f>IF($D577="",0,1/(1+10^(($Y577-$U577)/400)))</f>
        <v>0</v>
      </c>
      <c r="AA577">
        <f>IF($D577="",0,IF($F577&lt;2,0,IF($E577="Win",('Guide &amp; Settings'!$C$42/(($F577-1)*COUNTIFS($A$4:$A$810,$A577,$E$4:$E$810,"Win")))*SUMIFS($Z$4:$Z$810,$A$4:$A$810,$A577,$E$4:$E$810,"Loss"),-('Guide &amp; Settings'!$C$42/($F577-1))*$Z577)))</f>
        <v>0</v>
      </c>
      <c r="AB577" s="125">
        <f>IF($D577="",0,$U577+$AA577)</f>
        <v>0</v>
      </c>
      <c r="AC577" s="125" t="str">
        <f>IF($D577="","",IF(SUMPRODUCT(MAX(($D$4:$D$810=$D577)*($B$4:$B$810&lt;$B577)*$B$4:$B$810))=0,0,MAX(($B577-MAX(SUMPRODUCT(MAX(($D$4:$D$810=$D577)*($B$4:$B$810&lt;$B577)*$B$4:$B$810)),'Guide &amp; Settings'!$C$50))/7-'Guide &amp; Settings'!$C$48,0)*'Guide &amp; Settings'!$C$49))</f>
      </c>
    </row>
    <row r="578" spans="1:29">
      <c r="A578" s="116"/>
      <c r="B578" s="117"/>
      <c r="C578" s="118"/>
      <c r="D578" s="118"/>
      <c r="E578" s="116"/>
      <c r="F578" s="119">
        <f>IF($D578="",0,COUNTIF($A$4:$A$810,$A578))</f>
        <v>0</v>
      </c>
      <c r="G578" s="120">
        <f>IF($D578="","",IFERROR(LOOKUP(2,1/(($A$4:$A$810=$A578)*($E$4:$E$810="Win")),$D$4:$D$810),"(no winner)"))</f>
        <v>0</v>
      </c>
      <c r="H578" s="121">
        <f>IF($D578="",0,IFERROR(LOOKUP(2,1/(($D$3:D577=$D578)*($A$3:A577&lt;$A578)),$N$3:N577),'Guide &amp; Settings'!$C$41))</f>
        <v>0</v>
      </c>
      <c r="I578" s="122">
        <f>IF($D578="",0,IF($S578=0,0,$R578/$S578))</f>
        <v>0</v>
      </c>
      <c r="J578" s="123">
        <f>IF($D578="",0,IF($F578&lt;2,0,IF($E578="Win",('Guide &amp; Settings'!$C$42/(($F578-1)*COUNTIFS($A$4:$A$810,$A578,$E$4:$E$810,"Win")))*SUMIFS($X$4:$X$810,$A$4:$A$810,$A578,$E$4:$E$810,"Loss"),-('Guide &amp; Settings'!$C$42/($F578-1))*$X578)))</f>
        <v>0</v>
      </c>
      <c r="K578" s="123">
        <f>IF($D578="",0,'Guide &amp; Settings'!$C$43*(IF($E578="Win",1,0)-$I578))</f>
        <v>0</v>
      </c>
      <c r="L578" s="124">
        <f>IF($D578="",0,'Guide &amp; Settings'!$C$44*IF($F578&gt;=3,$F578+IF($E578="Win",$F578,0),0))</f>
        <v>0</v>
      </c>
      <c r="M578" s="123">
        <f>IF($D578="",0,$J578+$K578+$L578)</f>
        <v>0</v>
      </c>
      <c r="N578" s="121">
        <f>IF($D578="",0,$H578+$M578)</f>
        <v>0</v>
      </c>
      <c r="O578" s="120" t="str">
        <f>IF($D578="","",IF(COUNTIFS($A$4:$A$810,$A578,$E$4:$E$810,"Win")=0,"need a winner",IF(COUNTIFS($A$4:$A$810,$A578,$E$4:$E$810,"Loss")=0,"need a loser",IF(COUNTIFS($A$4:$A$810,$A578,$D$4:$D$810,$D578)&gt;1,"duplicate player","OK"))))</f>
      </c>
      <c r="P578">
        <f>IF($D578="",0,IFERROR(SUMIFS($H$4:$H$810,$A$4:$A$810,$A578,$E$4:$E$810,"Win")/COUNTIFS($A$4:$A$810,$A578,$E$4:$E$810,"Win"),0))</f>
        <v>0</v>
      </c>
      <c r="Q578">
        <f>IF($D578="",0,1/(1+10^(($P578-$H578)/400)))</f>
        <v>0</v>
      </c>
      <c r="R578">
        <f>IF($D578="",0,(COUNTIFS($D$4:$D$810,$D578,$C$4:$C$810,$C578,$E$4:$E$810,"Win",$A$4:$A$810,"&lt;"&amp;$A578)+1)/(COUNTIFS($D$4:$D$810,$D578,$C$4:$C$810,$C578,$A$4:$A$810,"&lt;"&amp;$A578)+2))</f>
        <v>0</v>
      </c>
      <c r="S578">
        <f>IF($D578="",0,SUMIFS($R$4:$R$810,$A$4:$A$810,$A578))</f>
        <v>0</v>
      </c>
      <c r="T578" s="88">
        <f>IF($D578="",0,COUNTIFS($D$4:$D$810,$D578,$C$4:$C$810,$C578,$A$4:$A$810,"&lt;"&amp;$A578))</f>
        <v>0</v>
      </c>
      <c r="U578" s="125">
        <f>IF($D578="",0,IFERROR(LOOKUP(2,1/(($D$3:D577=$D578)*($C$3:C577=$C578)*($A$3:A577&lt;$A578)),$AB$3:AB577),1000))</f>
        <v>0</v>
      </c>
      <c r="V578" s="125">
        <f>IF($D578="",0,$U578*($T578/($T578+5))+$H578*(1-$T578/($T578+5)))</f>
        <v>0</v>
      </c>
      <c r="W578">
        <f>IF($D578="",0,IFERROR(SUMIFS($V$4:$V$810,$A$4:$A$810,$A578,$E$4:$E$810,"Win")/COUNTIFS($A$4:$A$810,$A578,$E$4:$E$810,"Win"),0))</f>
        <v>0</v>
      </c>
      <c r="X578">
        <f>IF($D578="",0,1/(1+10^(($W578-$V578)/400)))</f>
        <v>0</v>
      </c>
      <c r="Y578">
        <f>IF($D578="",0,IFERROR(SUMIFS($U$4:$U$810,$A$4:$A$810,$A578,$E$4:$E$810,"Win")/COUNTIFS($A$4:$A$810,$A578,$E$4:$E$810,"Win"),0))</f>
        <v>0</v>
      </c>
      <c r="Z578">
        <f>IF($D578="",0,1/(1+10^(($Y578-$U578)/400)))</f>
        <v>0</v>
      </c>
      <c r="AA578">
        <f>IF($D578="",0,IF($F578&lt;2,0,IF($E578="Win",('Guide &amp; Settings'!$C$42/(($F578-1)*COUNTIFS($A$4:$A$810,$A578,$E$4:$E$810,"Win")))*SUMIFS($Z$4:$Z$810,$A$4:$A$810,$A578,$E$4:$E$810,"Loss"),-('Guide &amp; Settings'!$C$42/($F578-1))*$Z578)))</f>
        <v>0</v>
      </c>
      <c r="AB578" s="125">
        <f>IF($D578="",0,$U578+$AA578)</f>
        <v>0</v>
      </c>
      <c r="AC578" s="125" t="str">
        <f>IF($D578="","",IF(SUMPRODUCT(MAX(($D$4:$D$810=$D578)*($B$4:$B$810&lt;$B578)*$B$4:$B$810))=0,0,MAX(($B578-MAX(SUMPRODUCT(MAX(($D$4:$D$810=$D578)*($B$4:$B$810&lt;$B578)*$B$4:$B$810)),'Guide &amp; Settings'!$C$50))/7-'Guide &amp; Settings'!$C$48,0)*'Guide &amp; Settings'!$C$49))</f>
      </c>
    </row>
    <row r="579" spans="1:29">
      <c r="A579" s="116"/>
      <c r="B579" s="117"/>
      <c r="C579" s="118"/>
      <c r="D579" s="118"/>
      <c r="E579" s="116"/>
      <c r="F579" s="119">
        <f>IF($D579="",0,COUNTIF($A$4:$A$810,$A579))</f>
        <v>0</v>
      </c>
      <c r="G579" s="120">
        <f>IF($D579="","",IFERROR(LOOKUP(2,1/(($A$4:$A$810=$A579)*($E$4:$E$810="Win")),$D$4:$D$810),"(no winner)"))</f>
        <v>0</v>
      </c>
      <c r="H579" s="121">
        <f>IF($D579="",0,IFERROR(LOOKUP(2,1/(($D$3:D578=$D579)*($A$3:A578&lt;$A579)),$N$3:N578),'Guide &amp; Settings'!$C$41))</f>
        <v>0</v>
      </c>
      <c r="I579" s="122">
        <f>IF($D579="",0,IF($S579=0,0,$R579/$S579))</f>
        <v>0</v>
      </c>
      <c r="J579" s="123">
        <f>IF($D579="",0,IF($F579&lt;2,0,IF($E579="Win",('Guide &amp; Settings'!$C$42/(($F579-1)*COUNTIFS($A$4:$A$810,$A579,$E$4:$E$810,"Win")))*SUMIFS($X$4:$X$810,$A$4:$A$810,$A579,$E$4:$E$810,"Loss"),-('Guide &amp; Settings'!$C$42/($F579-1))*$X579)))</f>
        <v>0</v>
      </c>
      <c r="K579" s="123">
        <f>IF($D579="",0,'Guide &amp; Settings'!$C$43*(IF($E579="Win",1,0)-$I579))</f>
        <v>0</v>
      </c>
      <c r="L579" s="124">
        <f>IF($D579="",0,'Guide &amp; Settings'!$C$44*IF($F579&gt;=3,$F579+IF($E579="Win",$F579,0),0))</f>
        <v>0</v>
      </c>
      <c r="M579" s="123">
        <f>IF($D579="",0,$J579+$K579+$L579)</f>
        <v>0</v>
      </c>
      <c r="N579" s="121">
        <f>IF($D579="",0,$H579+$M579)</f>
        <v>0</v>
      </c>
      <c r="O579" s="120" t="str">
        <f>IF($D579="","",IF(COUNTIFS($A$4:$A$810,$A579,$E$4:$E$810,"Win")=0,"need a winner",IF(COUNTIFS($A$4:$A$810,$A579,$E$4:$E$810,"Loss")=0,"need a loser",IF(COUNTIFS($A$4:$A$810,$A579,$D$4:$D$810,$D579)&gt;1,"duplicate player","OK"))))</f>
      </c>
      <c r="P579">
        <f>IF($D579="",0,IFERROR(SUMIFS($H$4:$H$810,$A$4:$A$810,$A579,$E$4:$E$810,"Win")/COUNTIFS($A$4:$A$810,$A579,$E$4:$E$810,"Win"),0))</f>
        <v>0</v>
      </c>
      <c r="Q579">
        <f>IF($D579="",0,1/(1+10^(($P579-$H579)/400)))</f>
        <v>0</v>
      </c>
      <c r="R579">
        <f>IF($D579="",0,(COUNTIFS($D$4:$D$810,$D579,$C$4:$C$810,$C579,$E$4:$E$810,"Win",$A$4:$A$810,"&lt;"&amp;$A579)+1)/(COUNTIFS($D$4:$D$810,$D579,$C$4:$C$810,$C579,$A$4:$A$810,"&lt;"&amp;$A579)+2))</f>
        <v>0</v>
      </c>
      <c r="S579">
        <f>IF($D579="",0,SUMIFS($R$4:$R$810,$A$4:$A$810,$A579))</f>
        <v>0</v>
      </c>
      <c r="T579" s="88">
        <f>IF($D579="",0,COUNTIFS($D$4:$D$810,$D579,$C$4:$C$810,$C579,$A$4:$A$810,"&lt;"&amp;$A579))</f>
        <v>0</v>
      </c>
      <c r="U579" s="125">
        <f>IF($D579="",0,IFERROR(LOOKUP(2,1/(($D$3:D578=$D579)*($C$3:C578=$C579)*($A$3:A578&lt;$A579)),$AB$3:AB578),1000))</f>
        <v>0</v>
      </c>
      <c r="V579" s="125">
        <f>IF($D579="",0,$U579*($T579/($T579+5))+$H579*(1-$T579/($T579+5)))</f>
        <v>0</v>
      </c>
      <c r="W579">
        <f>IF($D579="",0,IFERROR(SUMIFS($V$4:$V$810,$A$4:$A$810,$A579,$E$4:$E$810,"Win")/COUNTIFS($A$4:$A$810,$A579,$E$4:$E$810,"Win"),0))</f>
        <v>0</v>
      </c>
      <c r="X579">
        <f>IF($D579="",0,1/(1+10^(($W579-$V579)/400)))</f>
        <v>0</v>
      </c>
      <c r="Y579">
        <f>IF($D579="",0,IFERROR(SUMIFS($U$4:$U$810,$A$4:$A$810,$A579,$E$4:$E$810,"Win")/COUNTIFS($A$4:$A$810,$A579,$E$4:$E$810,"Win"),0))</f>
        <v>0</v>
      </c>
      <c r="Z579">
        <f>IF($D579="",0,1/(1+10^(($Y579-$U579)/400)))</f>
        <v>0</v>
      </c>
      <c r="AA579">
        <f>IF($D579="",0,IF($F579&lt;2,0,IF($E579="Win",('Guide &amp; Settings'!$C$42/(($F579-1)*COUNTIFS($A$4:$A$810,$A579,$E$4:$E$810,"Win")))*SUMIFS($Z$4:$Z$810,$A$4:$A$810,$A579,$E$4:$E$810,"Loss"),-('Guide &amp; Settings'!$C$42/($F579-1))*$Z579)))</f>
        <v>0</v>
      </c>
      <c r="AB579" s="125">
        <f>IF($D579="",0,$U579+$AA579)</f>
        <v>0</v>
      </c>
      <c r="AC579" s="125" t="str">
        <f>IF($D579="","",IF(SUMPRODUCT(MAX(($D$4:$D$810=$D579)*($B$4:$B$810&lt;$B579)*$B$4:$B$810))=0,0,MAX(($B579-MAX(SUMPRODUCT(MAX(($D$4:$D$810=$D579)*($B$4:$B$810&lt;$B579)*$B$4:$B$810)),'Guide &amp; Settings'!$C$50))/7-'Guide &amp; Settings'!$C$48,0)*'Guide &amp; Settings'!$C$49))</f>
      </c>
    </row>
    <row r="580" spans="1:29">
      <c r="A580" s="116"/>
      <c r="B580" s="117"/>
      <c r="C580" s="118"/>
      <c r="D580" s="118"/>
      <c r="E580" s="116"/>
      <c r="F580" s="119">
        <f>IF($D580="",0,COUNTIF($A$4:$A$810,$A580))</f>
        <v>0</v>
      </c>
      <c r="G580" s="120">
        <f>IF($D580="","",IFERROR(LOOKUP(2,1/(($A$4:$A$810=$A580)*($E$4:$E$810="Win")),$D$4:$D$810),"(no winner)"))</f>
        <v>0</v>
      </c>
      <c r="H580" s="121">
        <f>IF($D580="",0,IFERROR(LOOKUP(2,1/(($D$3:D579=$D580)*($A$3:A579&lt;$A580)),$N$3:N579),'Guide &amp; Settings'!$C$41))</f>
        <v>0</v>
      </c>
      <c r="I580" s="122">
        <f>IF($D580="",0,IF($S580=0,0,$R580/$S580))</f>
        <v>0</v>
      </c>
      <c r="J580" s="123">
        <f>IF($D580="",0,IF($F580&lt;2,0,IF($E580="Win",('Guide &amp; Settings'!$C$42/(($F580-1)*COUNTIFS($A$4:$A$810,$A580,$E$4:$E$810,"Win")))*SUMIFS($X$4:$X$810,$A$4:$A$810,$A580,$E$4:$E$810,"Loss"),-('Guide &amp; Settings'!$C$42/($F580-1))*$X580)))</f>
        <v>0</v>
      </c>
      <c r="K580" s="123">
        <f>IF($D580="",0,'Guide &amp; Settings'!$C$43*(IF($E580="Win",1,0)-$I580))</f>
        <v>0</v>
      </c>
      <c r="L580" s="124">
        <f>IF($D580="",0,'Guide &amp; Settings'!$C$44*IF($F580&gt;=3,$F580+IF($E580="Win",$F580,0),0))</f>
        <v>0</v>
      </c>
      <c r="M580" s="123">
        <f>IF($D580="",0,$J580+$K580+$L580)</f>
        <v>0</v>
      </c>
      <c r="N580" s="121">
        <f>IF($D580="",0,$H580+$M580)</f>
        <v>0</v>
      </c>
      <c r="O580" s="120" t="str">
        <f>IF($D580="","",IF(COUNTIFS($A$4:$A$810,$A580,$E$4:$E$810,"Win")=0,"need a winner",IF(COUNTIFS($A$4:$A$810,$A580,$E$4:$E$810,"Loss")=0,"need a loser",IF(COUNTIFS($A$4:$A$810,$A580,$D$4:$D$810,$D580)&gt;1,"duplicate player","OK"))))</f>
      </c>
      <c r="P580">
        <f>IF($D580="",0,IFERROR(SUMIFS($H$4:$H$810,$A$4:$A$810,$A580,$E$4:$E$810,"Win")/COUNTIFS($A$4:$A$810,$A580,$E$4:$E$810,"Win"),0))</f>
        <v>0</v>
      </c>
      <c r="Q580">
        <f>IF($D580="",0,1/(1+10^(($P580-$H580)/400)))</f>
        <v>0</v>
      </c>
      <c r="R580">
        <f>IF($D580="",0,(COUNTIFS($D$4:$D$810,$D580,$C$4:$C$810,$C580,$E$4:$E$810,"Win",$A$4:$A$810,"&lt;"&amp;$A580)+1)/(COUNTIFS($D$4:$D$810,$D580,$C$4:$C$810,$C580,$A$4:$A$810,"&lt;"&amp;$A580)+2))</f>
        <v>0</v>
      </c>
      <c r="S580">
        <f>IF($D580="",0,SUMIFS($R$4:$R$810,$A$4:$A$810,$A580))</f>
        <v>0</v>
      </c>
      <c r="T580" s="88">
        <f>IF($D580="",0,COUNTIFS($D$4:$D$810,$D580,$C$4:$C$810,$C580,$A$4:$A$810,"&lt;"&amp;$A580))</f>
        <v>0</v>
      </c>
      <c r="U580" s="125">
        <f>IF($D580="",0,IFERROR(LOOKUP(2,1/(($D$3:D579=$D580)*($C$3:C579=$C580)*($A$3:A579&lt;$A580)),$AB$3:AB579),1000))</f>
        <v>0</v>
      </c>
      <c r="V580" s="125">
        <f>IF($D580="",0,$U580*($T580/($T580+5))+$H580*(1-$T580/($T580+5)))</f>
        <v>0</v>
      </c>
      <c r="W580">
        <f>IF($D580="",0,IFERROR(SUMIFS($V$4:$V$810,$A$4:$A$810,$A580,$E$4:$E$810,"Win")/COUNTIFS($A$4:$A$810,$A580,$E$4:$E$810,"Win"),0))</f>
        <v>0</v>
      </c>
      <c r="X580">
        <f>IF($D580="",0,1/(1+10^(($W580-$V580)/400)))</f>
        <v>0</v>
      </c>
      <c r="Y580">
        <f>IF($D580="",0,IFERROR(SUMIFS($U$4:$U$810,$A$4:$A$810,$A580,$E$4:$E$810,"Win")/COUNTIFS($A$4:$A$810,$A580,$E$4:$E$810,"Win"),0))</f>
        <v>0</v>
      </c>
      <c r="Z580">
        <f>IF($D580="",0,1/(1+10^(($Y580-$U580)/400)))</f>
        <v>0</v>
      </c>
      <c r="AA580">
        <f>IF($D580="",0,IF($F580&lt;2,0,IF($E580="Win",('Guide &amp; Settings'!$C$42/(($F580-1)*COUNTIFS($A$4:$A$810,$A580,$E$4:$E$810,"Win")))*SUMIFS($Z$4:$Z$810,$A$4:$A$810,$A580,$E$4:$E$810,"Loss"),-('Guide &amp; Settings'!$C$42/($F580-1))*$Z580)))</f>
        <v>0</v>
      </c>
      <c r="AB580" s="125">
        <f>IF($D580="",0,$U580+$AA580)</f>
        <v>0</v>
      </c>
      <c r="AC580" s="125" t="str">
        <f>IF($D580="","",IF(SUMPRODUCT(MAX(($D$4:$D$810=$D580)*($B$4:$B$810&lt;$B580)*$B$4:$B$810))=0,0,MAX(($B580-MAX(SUMPRODUCT(MAX(($D$4:$D$810=$D580)*($B$4:$B$810&lt;$B580)*$B$4:$B$810)),'Guide &amp; Settings'!$C$50))/7-'Guide &amp; Settings'!$C$48,0)*'Guide &amp; Settings'!$C$49))</f>
      </c>
    </row>
    <row r="581" spans="1:29">
      <c r="A581" s="116"/>
      <c r="B581" s="117"/>
      <c r="C581" s="118"/>
      <c r="D581" s="118"/>
      <c r="E581" s="116"/>
      <c r="F581" s="119">
        <f>IF($D581="",0,COUNTIF($A$4:$A$810,$A581))</f>
        <v>0</v>
      </c>
      <c r="G581" s="120">
        <f>IF($D581="","",IFERROR(LOOKUP(2,1/(($A$4:$A$810=$A581)*($E$4:$E$810="Win")),$D$4:$D$810),"(no winner)"))</f>
        <v>0</v>
      </c>
      <c r="H581" s="121">
        <f>IF($D581="",0,IFERROR(LOOKUP(2,1/(($D$3:D580=$D581)*($A$3:A580&lt;$A581)),$N$3:N580),'Guide &amp; Settings'!$C$41))</f>
        <v>0</v>
      </c>
      <c r="I581" s="122">
        <f>IF($D581="",0,IF($S581=0,0,$R581/$S581))</f>
        <v>0</v>
      </c>
      <c r="J581" s="123">
        <f>IF($D581="",0,IF($F581&lt;2,0,IF($E581="Win",('Guide &amp; Settings'!$C$42/(($F581-1)*COUNTIFS($A$4:$A$810,$A581,$E$4:$E$810,"Win")))*SUMIFS($X$4:$X$810,$A$4:$A$810,$A581,$E$4:$E$810,"Loss"),-('Guide &amp; Settings'!$C$42/($F581-1))*$X581)))</f>
        <v>0</v>
      </c>
      <c r="K581" s="123">
        <f>IF($D581="",0,'Guide &amp; Settings'!$C$43*(IF($E581="Win",1,0)-$I581))</f>
        <v>0</v>
      </c>
      <c r="L581" s="124">
        <f>IF($D581="",0,'Guide &amp; Settings'!$C$44*IF($F581&gt;=3,$F581+IF($E581="Win",$F581,0),0))</f>
        <v>0</v>
      </c>
      <c r="M581" s="123">
        <f>IF($D581="",0,$J581+$K581+$L581)</f>
        <v>0</v>
      </c>
      <c r="N581" s="121">
        <f>IF($D581="",0,$H581+$M581)</f>
        <v>0</v>
      </c>
      <c r="O581" s="120" t="str">
        <f>IF($D581="","",IF(COUNTIFS($A$4:$A$810,$A581,$E$4:$E$810,"Win")=0,"need a winner",IF(COUNTIFS($A$4:$A$810,$A581,$E$4:$E$810,"Loss")=0,"need a loser",IF(COUNTIFS($A$4:$A$810,$A581,$D$4:$D$810,$D581)&gt;1,"duplicate player","OK"))))</f>
      </c>
      <c r="P581">
        <f>IF($D581="",0,IFERROR(SUMIFS($H$4:$H$810,$A$4:$A$810,$A581,$E$4:$E$810,"Win")/COUNTIFS($A$4:$A$810,$A581,$E$4:$E$810,"Win"),0))</f>
        <v>0</v>
      </c>
      <c r="Q581">
        <f>IF($D581="",0,1/(1+10^(($P581-$H581)/400)))</f>
        <v>0</v>
      </c>
      <c r="R581">
        <f>IF($D581="",0,(COUNTIFS($D$4:$D$810,$D581,$C$4:$C$810,$C581,$E$4:$E$810,"Win",$A$4:$A$810,"&lt;"&amp;$A581)+1)/(COUNTIFS($D$4:$D$810,$D581,$C$4:$C$810,$C581,$A$4:$A$810,"&lt;"&amp;$A581)+2))</f>
        <v>0</v>
      </c>
      <c r="S581">
        <f>IF($D581="",0,SUMIFS($R$4:$R$810,$A$4:$A$810,$A581))</f>
        <v>0</v>
      </c>
      <c r="T581" s="88">
        <f>IF($D581="",0,COUNTIFS($D$4:$D$810,$D581,$C$4:$C$810,$C581,$A$4:$A$810,"&lt;"&amp;$A581))</f>
        <v>0</v>
      </c>
      <c r="U581" s="125">
        <f>IF($D581="",0,IFERROR(LOOKUP(2,1/(($D$3:D580=$D581)*($C$3:C580=$C581)*($A$3:A580&lt;$A581)),$AB$3:AB580),1000))</f>
        <v>0</v>
      </c>
      <c r="V581" s="125">
        <f>IF($D581="",0,$U581*($T581/($T581+5))+$H581*(1-$T581/($T581+5)))</f>
        <v>0</v>
      </c>
      <c r="W581">
        <f>IF($D581="",0,IFERROR(SUMIFS($V$4:$V$810,$A$4:$A$810,$A581,$E$4:$E$810,"Win")/COUNTIFS($A$4:$A$810,$A581,$E$4:$E$810,"Win"),0))</f>
        <v>0</v>
      </c>
      <c r="X581">
        <f>IF($D581="",0,1/(1+10^(($W581-$V581)/400)))</f>
        <v>0</v>
      </c>
      <c r="Y581">
        <f>IF($D581="",0,IFERROR(SUMIFS($U$4:$U$810,$A$4:$A$810,$A581,$E$4:$E$810,"Win")/COUNTIFS($A$4:$A$810,$A581,$E$4:$E$810,"Win"),0))</f>
        <v>0</v>
      </c>
      <c r="Z581">
        <f>IF($D581="",0,1/(1+10^(($Y581-$U581)/400)))</f>
        <v>0</v>
      </c>
      <c r="AA581">
        <f>IF($D581="",0,IF($F581&lt;2,0,IF($E581="Win",('Guide &amp; Settings'!$C$42/(($F581-1)*COUNTIFS($A$4:$A$810,$A581,$E$4:$E$810,"Win")))*SUMIFS($Z$4:$Z$810,$A$4:$A$810,$A581,$E$4:$E$810,"Loss"),-('Guide &amp; Settings'!$C$42/($F581-1))*$Z581)))</f>
        <v>0</v>
      </c>
      <c r="AB581" s="125">
        <f>IF($D581="",0,$U581+$AA581)</f>
        <v>0</v>
      </c>
      <c r="AC581" s="125" t="str">
        <f>IF($D581="","",IF(SUMPRODUCT(MAX(($D$4:$D$810=$D581)*($B$4:$B$810&lt;$B581)*$B$4:$B$810))=0,0,MAX(($B581-MAX(SUMPRODUCT(MAX(($D$4:$D$810=$D581)*($B$4:$B$810&lt;$B581)*$B$4:$B$810)),'Guide &amp; Settings'!$C$50))/7-'Guide &amp; Settings'!$C$48,0)*'Guide &amp; Settings'!$C$49))</f>
      </c>
    </row>
    <row r="582" spans="1:29">
      <c r="A582" s="116"/>
      <c r="B582" s="117"/>
      <c r="C582" s="118"/>
      <c r="D582" s="118"/>
      <c r="E582" s="116"/>
      <c r="F582" s="119">
        <f>IF($D582="",0,COUNTIF($A$4:$A$810,$A582))</f>
        <v>0</v>
      </c>
      <c r="G582" s="120">
        <f>IF($D582="","",IFERROR(LOOKUP(2,1/(($A$4:$A$810=$A582)*($E$4:$E$810="Win")),$D$4:$D$810),"(no winner)"))</f>
        <v>0</v>
      </c>
      <c r="H582" s="121">
        <f>IF($D582="",0,IFERROR(LOOKUP(2,1/(($D$3:D581=$D582)*($A$3:A581&lt;$A582)),$N$3:N581),'Guide &amp; Settings'!$C$41))</f>
        <v>0</v>
      </c>
      <c r="I582" s="122">
        <f>IF($D582="",0,IF($S582=0,0,$R582/$S582))</f>
        <v>0</v>
      </c>
      <c r="J582" s="123">
        <f>IF($D582="",0,IF($F582&lt;2,0,IF($E582="Win",('Guide &amp; Settings'!$C$42/(($F582-1)*COUNTIFS($A$4:$A$810,$A582,$E$4:$E$810,"Win")))*SUMIFS($X$4:$X$810,$A$4:$A$810,$A582,$E$4:$E$810,"Loss"),-('Guide &amp; Settings'!$C$42/($F582-1))*$X582)))</f>
        <v>0</v>
      </c>
      <c r="K582" s="123">
        <f>IF($D582="",0,'Guide &amp; Settings'!$C$43*(IF($E582="Win",1,0)-$I582))</f>
        <v>0</v>
      </c>
      <c r="L582" s="124">
        <f>IF($D582="",0,'Guide &amp; Settings'!$C$44*IF($F582&gt;=3,$F582+IF($E582="Win",$F582,0),0))</f>
        <v>0</v>
      </c>
      <c r="M582" s="123">
        <f>IF($D582="",0,$J582+$K582+$L582)</f>
        <v>0</v>
      </c>
      <c r="N582" s="121">
        <f>IF($D582="",0,$H582+$M582)</f>
        <v>0</v>
      </c>
      <c r="O582" s="120" t="str">
        <f>IF($D582="","",IF(COUNTIFS($A$4:$A$810,$A582,$E$4:$E$810,"Win")=0,"need a winner",IF(COUNTIFS($A$4:$A$810,$A582,$E$4:$E$810,"Loss")=0,"need a loser",IF(COUNTIFS($A$4:$A$810,$A582,$D$4:$D$810,$D582)&gt;1,"duplicate player","OK"))))</f>
      </c>
      <c r="P582">
        <f>IF($D582="",0,IFERROR(SUMIFS($H$4:$H$810,$A$4:$A$810,$A582,$E$4:$E$810,"Win")/COUNTIFS($A$4:$A$810,$A582,$E$4:$E$810,"Win"),0))</f>
        <v>0</v>
      </c>
      <c r="Q582">
        <f>IF($D582="",0,1/(1+10^(($P582-$H582)/400)))</f>
        <v>0</v>
      </c>
      <c r="R582">
        <f>IF($D582="",0,(COUNTIFS($D$4:$D$810,$D582,$C$4:$C$810,$C582,$E$4:$E$810,"Win",$A$4:$A$810,"&lt;"&amp;$A582)+1)/(COUNTIFS($D$4:$D$810,$D582,$C$4:$C$810,$C582,$A$4:$A$810,"&lt;"&amp;$A582)+2))</f>
        <v>0</v>
      </c>
      <c r="S582">
        <f>IF($D582="",0,SUMIFS($R$4:$R$810,$A$4:$A$810,$A582))</f>
        <v>0</v>
      </c>
      <c r="T582" s="88">
        <f>IF($D582="",0,COUNTIFS($D$4:$D$810,$D582,$C$4:$C$810,$C582,$A$4:$A$810,"&lt;"&amp;$A582))</f>
        <v>0</v>
      </c>
      <c r="U582" s="125">
        <f>IF($D582="",0,IFERROR(LOOKUP(2,1/(($D$3:D581=$D582)*($C$3:C581=$C582)*($A$3:A581&lt;$A582)),$AB$3:AB581),1000))</f>
        <v>0</v>
      </c>
      <c r="V582" s="125">
        <f>IF($D582="",0,$U582*($T582/($T582+5))+$H582*(1-$T582/($T582+5)))</f>
        <v>0</v>
      </c>
      <c r="W582">
        <f>IF($D582="",0,IFERROR(SUMIFS($V$4:$V$810,$A$4:$A$810,$A582,$E$4:$E$810,"Win")/COUNTIFS($A$4:$A$810,$A582,$E$4:$E$810,"Win"),0))</f>
        <v>0</v>
      </c>
      <c r="X582">
        <f>IF($D582="",0,1/(1+10^(($W582-$V582)/400)))</f>
        <v>0</v>
      </c>
      <c r="Y582">
        <f>IF($D582="",0,IFERROR(SUMIFS($U$4:$U$810,$A$4:$A$810,$A582,$E$4:$E$810,"Win")/COUNTIFS($A$4:$A$810,$A582,$E$4:$E$810,"Win"),0))</f>
        <v>0</v>
      </c>
      <c r="Z582">
        <f>IF($D582="",0,1/(1+10^(($Y582-$U582)/400)))</f>
        <v>0</v>
      </c>
      <c r="AA582">
        <f>IF($D582="",0,IF($F582&lt;2,0,IF($E582="Win",('Guide &amp; Settings'!$C$42/(($F582-1)*COUNTIFS($A$4:$A$810,$A582,$E$4:$E$810,"Win")))*SUMIFS($Z$4:$Z$810,$A$4:$A$810,$A582,$E$4:$E$810,"Loss"),-('Guide &amp; Settings'!$C$42/($F582-1))*$Z582)))</f>
        <v>0</v>
      </c>
      <c r="AB582" s="125">
        <f>IF($D582="",0,$U582+$AA582)</f>
        <v>0</v>
      </c>
      <c r="AC582" s="125" t="str">
        <f>IF($D582="","",IF(SUMPRODUCT(MAX(($D$4:$D$810=$D582)*($B$4:$B$810&lt;$B582)*$B$4:$B$810))=0,0,MAX(($B582-MAX(SUMPRODUCT(MAX(($D$4:$D$810=$D582)*($B$4:$B$810&lt;$B582)*$B$4:$B$810)),'Guide &amp; Settings'!$C$50))/7-'Guide &amp; Settings'!$C$48,0)*'Guide &amp; Settings'!$C$49))</f>
      </c>
    </row>
    <row r="583" spans="1:29">
      <c r="A583" s="116"/>
      <c r="B583" s="117"/>
      <c r="C583" s="118"/>
      <c r="D583" s="118"/>
      <c r="E583" s="116"/>
      <c r="F583" s="119">
        <f>IF($D583="",0,COUNTIF($A$4:$A$810,$A583))</f>
        <v>0</v>
      </c>
      <c r="G583" s="120">
        <f>IF($D583="","",IFERROR(LOOKUP(2,1/(($A$4:$A$810=$A583)*($E$4:$E$810="Win")),$D$4:$D$810),"(no winner)"))</f>
        <v>0</v>
      </c>
      <c r="H583" s="121">
        <f>IF($D583="",0,IFERROR(LOOKUP(2,1/(($D$3:D582=$D583)*($A$3:A582&lt;$A583)),$N$3:N582),'Guide &amp; Settings'!$C$41))</f>
        <v>0</v>
      </c>
      <c r="I583" s="122">
        <f>IF($D583="",0,IF($S583=0,0,$R583/$S583))</f>
        <v>0</v>
      </c>
      <c r="J583" s="123">
        <f>IF($D583="",0,IF($F583&lt;2,0,IF($E583="Win",('Guide &amp; Settings'!$C$42/(($F583-1)*COUNTIFS($A$4:$A$810,$A583,$E$4:$E$810,"Win")))*SUMIFS($X$4:$X$810,$A$4:$A$810,$A583,$E$4:$E$810,"Loss"),-('Guide &amp; Settings'!$C$42/($F583-1))*$X583)))</f>
        <v>0</v>
      </c>
      <c r="K583" s="123">
        <f>IF($D583="",0,'Guide &amp; Settings'!$C$43*(IF($E583="Win",1,0)-$I583))</f>
        <v>0</v>
      </c>
      <c r="L583" s="124">
        <f>IF($D583="",0,'Guide &amp; Settings'!$C$44*IF($F583&gt;=3,$F583+IF($E583="Win",$F583,0),0))</f>
        <v>0</v>
      </c>
      <c r="M583" s="123">
        <f>IF($D583="",0,$J583+$K583+$L583)</f>
        <v>0</v>
      </c>
      <c r="N583" s="121">
        <f>IF($D583="",0,$H583+$M583)</f>
        <v>0</v>
      </c>
      <c r="O583" s="120" t="str">
        <f>IF($D583="","",IF(COUNTIFS($A$4:$A$810,$A583,$E$4:$E$810,"Win")=0,"need a winner",IF(COUNTIFS($A$4:$A$810,$A583,$E$4:$E$810,"Loss")=0,"need a loser",IF(COUNTIFS($A$4:$A$810,$A583,$D$4:$D$810,$D583)&gt;1,"duplicate player","OK"))))</f>
      </c>
      <c r="P583">
        <f>IF($D583="",0,IFERROR(SUMIFS($H$4:$H$810,$A$4:$A$810,$A583,$E$4:$E$810,"Win")/COUNTIFS($A$4:$A$810,$A583,$E$4:$E$810,"Win"),0))</f>
        <v>0</v>
      </c>
      <c r="Q583">
        <f>IF($D583="",0,1/(1+10^(($P583-$H583)/400)))</f>
        <v>0</v>
      </c>
      <c r="R583">
        <f>IF($D583="",0,(COUNTIFS($D$4:$D$810,$D583,$C$4:$C$810,$C583,$E$4:$E$810,"Win",$A$4:$A$810,"&lt;"&amp;$A583)+1)/(COUNTIFS($D$4:$D$810,$D583,$C$4:$C$810,$C583,$A$4:$A$810,"&lt;"&amp;$A583)+2))</f>
        <v>0</v>
      </c>
      <c r="S583">
        <f>IF($D583="",0,SUMIFS($R$4:$R$810,$A$4:$A$810,$A583))</f>
        <v>0</v>
      </c>
      <c r="T583" s="88">
        <f>IF($D583="",0,COUNTIFS($D$4:$D$810,$D583,$C$4:$C$810,$C583,$A$4:$A$810,"&lt;"&amp;$A583))</f>
        <v>0</v>
      </c>
      <c r="U583" s="125">
        <f>IF($D583="",0,IFERROR(LOOKUP(2,1/(($D$3:D582=$D583)*($C$3:C582=$C583)*($A$3:A582&lt;$A583)),$AB$3:AB582),1000))</f>
        <v>0</v>
      </c>
      <c r="V583" s="125">
        <f>IF($D583="",0,$U583*($T583/($T583+5))+$H583*(1-$T583/($T583+5)))</f>
        <v>0</v>
      </c>
      <c r="W583">
        <f>IF($D583="",0,IFERROR(SUMIFS($V$4:$V$810,$A$4:$A$810,$A583,$E$4:$E$810,"Win")/COUNTIFS($A$4:$A$810,$A583,$E$4:$E$810,"Win"),0))</f>
        <v>0</v>
      </c>
      <c r="X583">
        <f>IF($D583="",0,1/(1+10^(($W583-$V583)/400)))</f>
        <v>0</v>
      </c>
      <c r="Y583">
        <f>IF($D583="",0,IFERROR(SUMIFS($U$4:$U$810,$A$4:$A$810,$A583,$E$4:$E$810,"Win")/COUNTIFS($A$4:$A$810,$A583,$E$4:$E$810,"Win"),0))</f>
        <v>0</v>
      </c>
      <c r="Z583">
        <f>IF($D583="",0,1/(1+10^(($Y583-$U583)/400)))</f>
        <v>0</v>
      </c>
      <c r="AA583">
        <f>IF($D583="",0,IF($F583&lt;2,0,IF($E583="Win",('Guide &amp; Settings'!$C$42/(($F583-1)*COUNTIFS($A$4:$A$810,$A583,$E$4:$E$810,"Win")))*SUMIFS($Z$4:$Z$810,$A$4:$A$810,$A583,$E$4:$E$810,"Loss"),-('Guide &amp; Settings'!$C$42/($F583-1))*$Z583)))</f>
        <v>0</v>
      </c>
      <c r="AB583" s="125">
        <f>IF($D583="",0,$U583+$AA583)</f>
        <v>0</v>
      </c>
      <c r="AC583" s="125" t="str">
        <f>IF($D583="","",IF(SUMPRODUCT(MAX(($D$4:$D$810=$D583)*($B$4:$B$810&lt;$B583)*$B$4:$B$810))=0,0,MAX(($B583-MAX(SUMPRODUCT(MAX(($D$4:$D$810=$D583)*($B$4:$B$810&lt;$B583)*$B$4:$B$810)),'Guide &amp; Settings'!$C$50))/7-'Guide &amp; Settings'!$C$48,0)*'Guide &amp; Settings'!$C$49))</f>
      </c>
    </row>
    <row r="584" spans="1:29">
      <c r="A584" s="116"/>
      <c r="B584" s="117"/>
      <c r="C584" s="118"/>
      <c r="D584" s="118"/>
      <c r="E584" s="116"/>
      <c r="F584" s="119">
        <f>IF($D584="",0,COUNTIF($A$4:$A$810,$A584))</f>
        <v>0</v>
      </c>
      <c r="G584" s="120">
        <f>IF($D584="","",IFERROR(LOOKUP(2,1/(($A$4:$A$810=$A584)*($E$4:$E$810="Win")),$D$4:$D$810),"(no winner)"))</f>
        <v>0</v>
      </c>
      <c r="H584" s="121">
        <f>IF($D584="",0,IFERROR(LOOKUP(2,1/(($D$3:D583=$D584)*($A$3:A583&lt;$A584)),$N$3:N583),'Guide &amp; Settings'!$C$41))</f>
        <v>0</v>
      </c>
      <c r="I584" s="122">
        <f>IF($D584="",0,IF($S584=0,0,$R584/$S584))</f>
        <v>0</v>
      </c>
      <c r="J584" s="123">
        <f>IF($D584="",0,IF($F584&lt;2,0,IF($E584="Win",('Guide &amp; Settings'!$C$42/(($F584-1)*COUNTIFS($A$4:$A$810,$A584,$E$4:$E$810,"Win")))*SUMIFS($X$4:$X$810,$A$4:$A$810,$A584,$E$4:$E$810,"Loss"),-('Guide &amp; Settings'!$C$42/($F584-1))*$X584)))</f>
        <v>0</v>
      </c>
      <c r="K584" s="123">
        <f>IF($D584="",0,'Guide &amp; Settings'!$C$43*(IF($E584="Win",1,0)-$I584))</f>
        <v>0</v>
      </c>
      <c r="L584" s="124">
        <f>IF($D584="",0,'Guide &amp; Settings'!$C$44*IF($F584&gt;=3,$F584+IF($E584="Win",$F584,0),0))</f>
        <v>0</v>
      </c>
      <c r="M584" s="123">
        <f>IF($D584="",0,$J584+$K584+$L584)</f>
        <v>0</v>
      </c>
      <c r="N584" s="121">
        <f>IF($D584="",0,$H584+$M584)</f>
        <v>0</v>
      </c>
      <c r="O584" s="120" t="str">
        <f>IF($D584="","",IF(COUNTIFS($A$4:$A$810,$A584,$E$4:$E$810,"Win")=0,"need a winner",IF(COUNTIFS($A$4:$A$810,$A584,$E$4:$E$810,"Loss")=0,"need a loser",IF(COUNTIFS($A$4:$A$810,$A584,$D$4:$D$810,$D584)&gt;1,"duplicate player","OK"))))</f>
      </c>
      <c r="P584">
        <f>IF($D584="",0,IFERROR(SUMIFS($H$4:$H$810,$A$4:$A$810,$A584,$E$4:$E$810,"Win")/COUNTIFS($A$4:$A$810,$A584,$E$4:$E$810,"Win"),0))</f>
        <v>0</v>
      </c>
      <c r="Q584">
        <f>IF($D584="",0,1/(1+10^(($P584-$H584)/400)))</f>
        <v>0</v>
      </c>
      <c r="R584">
        <f>IF($D584="",0,(COUNTIFS($D$4:$D$810,$D584,$C$4:$C$810,$C584,$E$4:$E$810,"Win",$A$4:$A$810,"&lt;"&amp;$A584)+1)/(COUNTIFS($D$4:$D$810,$D584,$C$4:$C$810,$C584,$A$4:$A$810,"&lt;"&amp;$A584)+2))</f>
        <v>0</v>
      </c>
      <c r="S584">
        <f>IF($D584="",0,SUMIFS($R$4:$R$810,$A$4:$A$810,$A584))</f>
        <v>0</v>
      </c>
      <c r="T584" s="88">
        <f>IF($D584="",0,COUNTIFS($D$4:$D$810,$D584,$C$4:$C$810,$C584,$A$4:$A$810,"&lt;"&amp;$A584))</f>
        <v>0</v>
      </c>
      <c r="U584" s="125">
        <f>IF($D584="",0,IFERROR(LOOKUP(2,1/(($D$3:D583=$D584)*($C$3:C583=$C584)*($A$3:A583&lt;$A584)),$AB$3:AB583),1000))</f>
        <v>0</v>
      </c>
      <c r="V584" s="125">
        <f>IF($D584="",0,$U584*($T584/($T584+5))+$H584*(1-$T584/($T584+5)))</f>
        <v>0</v>
      </c>
      <c r="W584">
        <f>IF($D584="",0,IFERROR(SUMIFS($V$4:$V$810,$A$4:$A$810,$A584,$E$4:$E$810,"Win")/COUNTIFS($A$4:$A$810,$A584,$E$4:$E$810,"Win"),0))</f>
        <v>0</v>
      </c>
      <c r="X584">
        <f>IF($D584="",0,1/(1+10^(($W584-$V584)/400)))</f>
        <v>0</v>
      </c>
      <c r="Y584">
        <f>IF($D584="",0,IFERROR(SUMIFS($U$4:$U$810,$A$4:$A$810,$A584,$E$4:$E$810,"Win")/COUNTIFS($A$4:$A$810,$A584,$E$4:$E$810,"Win"),0))</f>
        <v>0</v>
      </c>
      <c r="Z584">
        <f>IF($D584="",0,1/(1+10^(($Y584-$U584)/400)))</f>
        <v>0</v>
      </c>
      <c r="AA584">
        <f>IF($D584="",0,IF($F584&lt;2,0,IF($E584="Win",('Guide &amp; Settings'!$C$42/(($F584-1)*COUNTIFS($A$4:$A$810,$A584,$E$4:$E$810,"Win")))*SUMIFS($Z$4:$Z$810,$A$4:$A$810,$A584,$E$4:$E$810,"Loss"),-('Guide &amp; Settings'!$C$42/($F584-1))*$Z584)))</f>
        <v>0</v>
      </c>
      <c r="AB584" s="125">
        <f>IF($D584="",0,$U584+$AA584)</f>
        <v>0</v>
      </c>
      <c r="AC584" s="125" t="str">
        <f>IF($D584="","",IF(SUMPRODUCT(MAX(($D$4:$D$810=$D584)*($B$4:$B$810&lt;$B584)*$B$4:$B$810))=0,0,MAX(($B584-MAX(SUMPRODUCT(MAX(($D$4:$D$810=$D584)*($B$4:$B$810&lt;$B584)*$B$4:$B$810)),'Guide &amp; Settings'!$C$50))/7-'Guide &amp; Settings'!$C$48,0)*'Guide &amp; Settings'!$C$49))</f>
      </c>
    </row>
    <row r="585" spans="1:29">
      <c r="A585" s="116"/>
      <c r="B585" s="117"/>
      <c r="C585" s="118"/>
      <c r="D585" s="118"/>
      <c r="E585" s="116"/>
      <c r="F585" s="119">
        <f>IF($D585="",0,COUNTIF($A$4:$A$810,$A585))</f>
        <v>0</v>
      </c>
      <c r="G585" s="120">
        <f>IF($D585="","",IFERROR(LOOKUP(2,1/(($A$4:$A$810=$A585)*($E$4:$E$810="Win")),$D$4:$D$810),"(no winner)"))</f>
        <v>0</v>
      </c>
      <c r="H585" s="121">
        <f>IF($D585="",0,IFERROR(LOOKUP(2,1/(($D$3:D584=$D585)*($A$3:A584&lt;$A585)),$N$3:N584),'Guide &amp; Settings'!$C$41))</f>
        <v>0</v>
      </c>
      <c r="I585" s="122">
        <f>IF($D585="",0,IF($S585=0,0,$R585/$S585))</f>
        <v>0</v>
      </c>
      <c r="J585" s="123">
        <f>IF($D585="",0,IF($F585&lt;2,0,IF($E585="Win",('Guide &amp; Settings'!$C$42/(($F585-1)*COUNTIFS($A$4:$A$810,$A585,$E$4:$E$810,"Win")))*SUMIFS($X$4:$X$810,$A$4:$A$810,$A585,$E$4:$E$810,"Loss"),-('Guide &amp; Settings'!$C$42/($F585-1))*$X585)))</f>
        <v>0</v>
      </c>
      <c r="K585" s="123">
        <f>IF($D585="",0,'Guide &amp; Settings'!$C$43*(IF($E585="Win",1,0)-$I585))</f>
        <v>0</v>
      </c>
      <c r="L585" s="124">
        <f>IF($D585="",0,'Guide &amp; Settings'!$C$44*IF($F585&gt;=3,$F585+IF($E585="Win",$F585,0),0))</f>
        <v>0</v>
      </c>
      <c r="M585" s="123">
        <f>IF($D585="",0,$J585+$K585+$L585)</f>
        <v>0</v>
      </c>
      <c r="N585" s="121">
        <f>IF($D585="",0,$H585+$M585)</f>
        <v>0</v>
      </c>
      <c r="O585" s="120" t="str">
        <f>IF($D585="","",IF(COUNTIFS($A$4:$A$810,$A585,$E$4:$E$810,"Win")=0,"need a winner",IF(COUNTIFS($A$4:$A$810,$A585,$E$4:$E$810,"Loss")=0,"need a loser",IF(COUNTIFS($A$4:$A$810,$A585,$D$4:$D$810,$D585)&gt;1,"duplicate player","OK"))))</f>
      </c>
      <c r="P585">
        <f>IF($D585="",0,IFERROR(SUMIFS($H$4:$H$810,$A$4:$A$810,$A585,$E$4:$E$810,"Win")/COUNTIFS($A$4:$A$810,$A585,$E$4:$E$810,"Win"),0))</f>
        <v>0</v>
      </c>
      <c r="Q585">
        <f>IF($D585="",0,1/(1+10^(($P585-$H585)/400)))</f>
        <v>0</v>
      </c>
      <c r="R585">
        <f>IF($D585="",0,(COUNTIFS($D$4:$D$810,$D585,$C$4:$C$810,$C585,$E$4:$E$810,"Win",$A$4:$A$810,"&lt;"&amp;$A585)+1)/(COUNTIFS($D$4:$D$810,$D585,$C$4:$C$810,$C585,$A$4:$A$810,"&lt;"&amp;$A585)+2))</f>
        <v>0</v>
      </c>
      <c r="S585">
        <f>IF($D585="",0,SUMIFS($R$4:$R$810,$A$4:$A$810,$A585))</f>
        <v>0</v>
      </c>
      <c r="T585" s="88">
        <f>IF($D585="",0,COUNTIFS($D$4:$D$810,$D585,$C$4:$C$810,$C585,$A$4:$A$810,"&lt;"&amp;$A585))</f>
        <v>0</v>
      </c>
      <c r="U585" s="125">
        <f>IF($D585="",0,IFERROR(LOOKUP(2,1/(($D$3:D584=$D585)*($C$3:C584=$C585)*($A$3:A584&lt;$A585)),$AB$3:AB584),1000))</f>
        <v>0</v>
      </c>
      <c r="V585" s="125">
        <f>IF($D585="",0,$U585*($T585/($T585+5))+$H585*(1-$T585/($T585+5)))</f>
        <v>0</v>
      </c>
      <c r="W585">
        <f>IF($D585="",0,IFERROR(SUMIFS($V$4:$V$810,$A$4:$A$810,$A585,$E$4:$E$810,"Win")/COUNTIFS($A$4:$A$810,$A585,$E$4:$E$810,"Win"),0))</f>
        <v>0</v>
      </c>
      <c r="X585">
        <f>IF($D585="",0,1/(1+10^(($W585-$V585)/400)))</f>
        <v>0</v>
      </c>
      <c r="Y585">
        <f>IF($D585="",0,IFERROR(SUMIFS($U$4:$U$810,$A$4:$A$810,$A585,$E$4:$E$810,"Win")/COUNTIFS($A$4:$A$810,$A585,$E$4:$E$810,"Win"),0))</f>
        <v>0</v>
      </c>
      <c r="Z585">
        <f>IF($D585="",0,1/(1+10^(($Y585-$U585)/400)))</f>
        <v>0</v>
      </c>
      <c r="AA585">
        <f>IF($D585="",0,IF($F585&lt;2,0,IF($E585="Win",('Guide &amp; Settings'!$C$42/(($F585-1)*COUNTIFS($A$4:$A$810,$A585,$E$4:$E$810,"Win")))*SUMIFS($Z$4:$Z$810,$A$4:$A$810,$A585,$E$4:$E$810,"Loss"),-('Guide &amp; Settings'!$C$42/($F585-1))*$Z585)))</f>
        <v>0</v>
      </c>
      <c r="AB585" s="125">
        <f>IF($D585="",0,$U585+$AA585)</f>
        <v>0</v>
      </c>
      <c r="AC585" s="125" t="str">
        <f>IF($D585="","",IF(SUMPRODUCT(MAX(($D$4:$D$810=$D585)*($B$4:$B$810&lt;$B585)*$B$4:$B$810))=0,0,MAX(($B585-MAX(SUMPRODUCT(MAX(($D$4:$D$810=$D585)*($B$4:$B$810&lt;$B585)*$B$4:$B$810)),'Guide &amp; Settings'!$C$50))/7-'Guide &amp; Settings'!$C$48,0)*'Guide &amp; Settings'!$C$49))</f>
      </c>
    </row>
    <row r="586" spans="1:29">
      <c r="A586" s="116"/>
      <c r="B586" s="117"/>
      <c r="C586" s="118"/>
      <c r="D586" s="118"/>
      <c r="E586" s="116"/>
      <c r="F586" s="119">
        <f>IF($D586="",0,COUNTIF($A$4:$A$810,$A586))</f>
        <v>0</v>
      </c>
      <c r="G586" s="120">
        <f>IF($D586="","",IFERROR(LOOKUP(2,1/(($A$4:$A$810=$A586)*($E$4:$E$810="Win")),$D$4:$D$810),"(no winner)"))</f>
        <v>0</v>
      </c>
      <c r="H586" s="121">
        <f>IF($D586="",0,IFERROR(LOOKUP(2,1/(($D$3:D585=$D586)*($A$3:A585&lt;$A586)),$N$3:N585),'Guide &amp; Settings'!$C$41))</f>
        <v>0</v>
      </c>
      <c r="I586" s="122">
        <f>IF($D586="",0,IF($S586=0,0,$R586/$S586))</f>
        <v>0</v>
      </c>
      <c r="J586" s="123">
        <f>IF($D586="",0,IF($F586&lt;2,0,IF($E586="Win",('Guide &amp; Settings'!$C$42/(($F586-1)*COUNTIFS($A$4:$A$810,$A586,$E$4:$E$810,"Win")))*SUMIFS($X$4:$X$810,$A$4:$A$810,$A586,$E$4:$E$810,"Loss"),-('Guide &amp; Settings'!$C$42/($F586-1))*$X586)))</f>
        <v>0</v>
      </c>
      <c r="K586" s="123">
        <f>IF($D586="",0,'Guide &amp; Settings'!$C$43*(IF($E586="Win",1,0)-$I586))</f>
        <v>0</v>
      </c>
      <c r="L586" s="124">
        <f>IF($D586="",0,'Guide &amp; Settings'!$C$44*IF($F586&gt;=3,$F586+IF($E586="Win",$F586,0),0))</f>
        <v>0</v>
      </c>
      <c r="M586" s="123">
        <f>IF($D586="",0,$J586+$K586+$L586)</f>
        <v>0</v>
      </c>
      <c r="N586" s="121">
        <f>IF($D586="",0,$H586+$M586)</f>
        <v>0</v>
      </c>
      <c r="O586" s="120" t="str">
        <f>IF($D586="","",IF(COUNTIFS($A$4:$A$810,$A586,$E$4:$E$810,"Win")=0,"need a winner",IF(COUNTIFS($A$4:$A$810,$A586,$E$4:$E$810,"Loss")=0,"need a loser",IF(COUNTIFS($A$4:$A$810,$A586,$D$4:$D$810,$D586)&gt;1,"duplicate player","OK"))))</f>
      </c>
      <c r="P586">
        <f>IF($D586="",0,IFERROR(SUMIFS($H$4:$H$810,$A$4:$A$810,$A586,$E$4:$E$810,"Win")/COUNTIFS($A$4:$A$810,$A586,$E$4:$E$810,"Win"),0))</f>
        <v>0</v>
      </c>
      <c r="Q586">
        <f>IF($D586="",0,1/(1+10^(($P586-$H586)/400)))</f>
        <v>0</v>
      </c>
      <c r="R586">
        <f>IF($D586="",0,(COUNTIFS($D$4:$D$810,$D586,$C$4:$C$810,$C586,$E$4:$E$810,"Win",$A$4:$A$810,"&lt;"&amp;$A586)+1)/(COUNTIFS($D$4:$D$810,$D586,$C$4:$C$810,$C586,$A$4:$A$810,"&lt;"&amp;$A586)+2))</f>
        <v>0</v>
      </c>
      <c r="S586">
        <f>IF($D586="",0,SUMIFS($R$4:$R$810,$A$4:$A$810,$A586))</f>
        <v>0</v>
      </c>
      <c r="T586" s="88">
        <f>IF($D586="",0,COUNTIFS($D$4:$D$810,$D586,$C$4:$C$810,$C586,$A$4:$A$810,"&lt;"&amp;$A586))</f>
        <v>0</v>
      </c>
      <c r="U586" s="125">
        <f>IF($D586="",0,IFERROR(LOOKUP(2,1/(($D$3:D585=$D586)*($C$3:C585=$C586)*($A$3:A585&lt;$A586)),$AB$3:AB585),1000))</f>
        <v>0</v>
      </c>
      <c r="V586" s="125">
        <f>IF($D586="",0,$U586*($T586/($T586+5))+$H586*(1-$T586/($T586+5)))</f>
        <v>0</v>
      </c>
      <c r="W586">
        <f>IF($D586="",0,IFERROR(SUMIFS($V$4:$V$810,$A$4:$A$810,$A586,$E$4:$E$810,"Win")/COUNTIFS($A$4:$A$810,$A586,$E$4:$E$810,"Win"),0))</f>
        <v>0</v>
      </c>
      <c r="X586">
        <f>IF($D586="",0,1/(1+10^(($W586-$V586)/400)))</f>
        <v>0</v>
      </c>
      <c r="Y586">
        <f>IF($D586="",0,IFERROR(SUMIFS($U$4:$U$810,$A$4:$A$810,$A586,$E$4:$E$810,"Win")/COUNTIFS($A$4:$A$810,$A586,$E$4:$E$810,"Win"),0))</f>
        <v>0</v>
      </c>
      <c r="Z586">
        <f>IF($D586="",0,1/(1+10^(($Y586-$U586)/400)))</f>
        <v>0</v>
      </c>
      <c r="AA586">
        <f>IF($D586="",0,IF($F586&lt;2,0,IF($E586="Win",('Guide &amp; Settings'!$C$42/(($F586-1)*COUNTIFS($A$4:$A$810,$A586,$E$4:$E$810,"Win")))*SUMIFS($Z$4:$Z$810,$A$4:$A$810,$A586,$E$4:$E$810,"Loss"),-('Guide &amp; Settings'!$C$42/($F586-1))*$Z586)))</f>
        <v>0</v>
      </c>
      <c r="AB586" s="125">
        <f>IF($D586="",0,$U586+$AA586)</f>
        <v>0</v>
      </c>
      <c r="AC586" s="125" t="str">
        <f>IF($D586="","",IF(SUMPRODUCT(MAX(($D$4:$D$810=$D586)*($B$4:$B$810&lt;$B586)*$B$4:$B$810))=0,0,MAX(($B586-MAX(SUMPRODUCT(MAX(($D$4:$D$810=$D586)*($B$4:$B$810&lt;$B586)*$B$4:$B$810)),'Guide &amp; Settings'!$C$50))/7-'Guide &amp; Settings'!$C$48,0)*'Guide &amp; Settings'!$C$49))</f>
      </c>
    </row>
    <row r="587" spans="1:29">
      <c r="A587" s="116"/>
      <c r="B587" s="117"/>
      <c r="C587" s="118"/>
      <c r="D587" s="118"/>
      <c r="E587" s="116"/>
      <c r="F587" s="119">
        <f>IF($D587="",0,COUNTIF($A$4:$A$810,$A587))</f>
        <v>0</v>
      </c>
      <c r="G587" s="120">
        <f>IF($D587="","",IFERROR(LOOKUP(2,1/(($A$4:$A$810=$A587)*($E$4:$E$810="Win")),$D$4:$D$810),"(no winner)"))</f>
        <v>0</v>
      </c>
      <c r="H587" s="121">
        <f>IF($D587="",0,IFERROR(LOOKUP(2,1/(($D$3:D586=$D587)*($A$3:A586&lt;$A587)),$N$3:N586),'Guide &amp; Settings'!$C$41))</f>
        <v>0</v>
      </c>
      <c r="I587" s="122">
        <f>IF($D587="",0,IF($S587=0,0,$R587/$S587))</f>
        <v>0</v>
      </c>
      <c r="J587" s="123">
        <f>IF($D587="",0,IF($F587&lt;2,0,IF($E587="Win",('Guide &amp; Settings'!$C$42/(($F587-1)*COUNTIFS($A$4:$A$810,$A587,$E$4:$E$810,"Win")))*SUMIFS($X$4:$X$810,$A$4:$A$810,$A587,$E$4:$E$810,"Loss"),-('Guide &amp; Settings'!$C$42/($F587-1))*$X587)))</f>
        <v>0</v>
      </c>
      <c r="K587" s="123">
        <f>IF($D587="",0,'Guide &amp; Settings'!$C$43*(IF($E587="Win",1,0)-$I587))</f>
        <v>0</v>
      </c>
      <c r="L587" s="124">
        <f>IF($D587="",0,'Guide &amp; Settings'!$C$44*IF($F587&gt;=3,$F587+IF($E587="Win",$F587,0),0))</f>
        <v>0</v>
      </c>
      <c r="M587" s="123">
        <f>IF($D587="",0,$J587+$K587+$L587)</f>
        <v>0</v>
      </c>
      <c r="N587" s="121">
        <f>IF($D587="",0,$H587+$M587)</f>
        <v>0</v>
      </c>
      <c r="O587" s="120" t="str">
        <f>IF($D587="","",IF(COUNTIFS($A$4:$A$810,$A587,$E$4:$E$810,"Win")=0,"need a winner",IF(COUNTIFS($A$4:$A$810,$A587,$E$4:$E$810,"Loss")=0,"need a loser",IF(COUNTIFS($A$4:$A$810,$A587,$D$4:$D$810,$D587)&gt;1,"duplicate player","OK"))))</f>
      </c>
      <c r="P587">
        <f>IF($D587="",0,IFERROR(SUMIFS($H$4:$H$810,$A$4:$A$810,$A587,$E$4:$E$810,"Win")/COUNTIFS($A$4:$A$810,$A587,$E$4:$E$810,"Win"),0))</f>
        <v>0</v>
      </c>
      <c r="Q587">
        <f>IF($D587="",0,1/(1+10^(($P587-$H587)/400)))</f>
        <v>0</v>
      </c>
      <c r="R587">
        <f>IF($D587="",0,(COUNTIFS($D$4:$D$810,$D587,$C$4:$C$810,$C587,$E$4:$E$810,"Win",$A$4:$A$810,"&lt;"&amp;$A587)+1)/(COUNTIFS($D$4:$D$810,$D587,$C$4:$C$810,$C587,$A$4:$A$810,"&lt;"&amp;$A587)+2))</f>
        <v>0</v>
      </c>
      <c r="S587">
        <f>IF($D587="",0,SUMIFS($R$4:$R$810,$A$4:$A$810,$A587))</f>
        <v>0</v>
      </c>
      <c r="T587" s="88">
        <f>IF($D587="",0,COUNTIFS($D$4:$D$810,$D587,$C$4:$C$810,$C587,$A$4:$A$810,"&lt;"&amp;$A587))</f>
        <v>0</v>
      </c>
      <c r="U587" s="125">
        <f>IF($D587="",0,IFERROR(LOOKUP(2,1/(($D$3:D586=$D587)*($C$3:C586=$C587)*($A$3:A586&lt;$A587)),$AB$3:AB586),1000))</f>
        <v>0</v>
      </c>
      <c r="V587" s="125">
        <f>IF($D587="",0,$U587*($T587/($T587+5))+$H587*(1-$T587/($T587+5)))</f>
        <v>0</v>
      </c>
      <c r="W587">
        <f>IF($D587="",0,IFERROR(SUMIFS($V$4:$V$810,$A$4:$A$810,$A587,$E$4:$E$810,"Win")/COUNTIFS($A$4:$A$810,$A587,$E$4:$E$810,"Win"),0))</f>
        <v>0</v>
      </c>
      <c r="X587">
        <f>IF($D587="",0,1/(1+10^(($W587-$V587)/400)))</f>
        <v>0</v>
      </c>
      <c r="Y587">
        <f>IF($D587="",0,IFERROR(SUMIFS($U$4:$U$810,$A$4:$A$810,$A587,$E$4:$E$810,"Win")/COUNTIFS($A$4:$A$810,$A587,$E$4:$E$810,"Win"),0))</f>
        <v>0</v>
      </c>
      <c r="Z587">
        <f>IF($D587="",0,1/(1+10^(($Y587-$U587)/400)))</f>
        <v>0</v>
      </c>
      <c r="AA587">
        <f>IF($D587="",0,IF($F587&lt;2,0,IF($E587="Win",('Guide &amp; Settings'!$C$42/(($F587-1)*COUNTIFS($A$4:$A$810,$A587,$E$4:$E$810,"Win")))*SUMIFS($Z$4:$Z$810,$A$4:$A$810,$A587,$E$4:$E$810,"Loss"),-('Guide &amp; Settings'!$C$42/($F587-1))*$Z587)))</f>
        <v>0</v>
      </c>
      <c r="AB587" s="125">
        <f>IF($D587="",0,$U587+$AA587)</f>
        <v>0</v>
      </c>
      <c r="AC587" s="125" t="str">
        <f>IF($D587="","",IF(SUMPRODUCT(MAX(($D$4:$D$810=$D587)*($B$4:$B$810&lt;$B587)*$B$4:$B$810))=0,0,MAX(($B587-MAX(SUMPRODUCT(MAX(($D$4:$D$810=$D587)*($B$4:$B$810&lt;$B587)*$B$4:$B$810)),'Guide &amp; Settings'!$C$50))/7-'Guide &amp; Settings'!$C$48,0)*'Guide &amp; Settings'!$C$49))</f>
      </c>
    </row>
    <row r="588" spans="1:29">
      <c r="A588" s="116"/>
      <c r="B588" s="117"/>
      <c r="C588" s="118"/>
      <c r="D588" s="118"/>
      <c r="E588" s="116"/>
      <c r="F588" s="119">
        <f>IF($D588="",0,COUNTIF($A$4:$A$810,$A588))</f>
        <v>0</v>
      </c>
      <c r="G588" s="120">
        <f>IF($D588="","",IFERROR(LOOKUP(2,1/(($A$4:$A$810=$A588)*($E$4:$E$810="Win")),$D$4:$D$810),"(no winner)"))</f>
        <v>0</v>
      </c>
      <c r="H588" s="121">
        <f>IF($D588="",0,IFERROR(LOOKUP(2,1/(($D$3:D587=$D588)*($A$3:A587&lt;$A588)),$N$3:N587),'Guide &amp; Settings'!$C$41))</f>
        <v>0</v>
      </c>
      <c r="I588" s="122">
        <f>IF($D588="",0,IF($S588=0,0,$R588/$S588))</f>
        <v>0</v>
      </c>
      <c r="J588" s="123">
        <f>IF($D588="",0,IF($F588&lt;2,0,IF($E588="Win",('Guide &amp; Settings'!$C$42/(($F588-1)*COUNTIFS($A$4:$A$810,$A588,$E$4:$E$810,"Win")))*SUMIFS($X$4:$X$810,$A$4:$A$810,$A588,$E$4:$E$810,"Loss"),-('Guide &amp; Settings'!$C$42/($F588-1))*$X588)))</f>
        <v>0</v>
      </c>
      <c r="K588" s="123">
        <f>IF($D588="",0,'Guide &amp; Settings'!$C$43*(IF($E588="Win",1,0)-$I588))</f>
        <v>0</v>
      </c>
      <c r="L588" s="124">
        <f>IF($D588="",0,'Guide &amp; Settings'!$C$44*IF($F588&gt;=3,$F588+IF($E588="Win",$F588,0),0))</f>
        <v>0</v>
      </c>
      <c r="M588" s="123">
        <f>IF($D588="",0,$J588+$K588+$L588)</f>
        <v>0</v>
      </c>
      <c r="N588" s="121">
        <f>IF($D588="",0,$H588+$M588)</f>
        <v>0</v>
      </c>
      <c r="O588" s="120" t="str">
        <f>IF($D588="","",IF(COUNTIFS($A$4:$A$810,$A588,$E$4:$E$810,"Win")=0,"need a winner",IF(COUNTIFS($A$4:$A$810,$A588,$E$4:$E$810,"Loss")=0,"need a loser",IF(COUNTIFS($A$4:$A$810,$A588,$D$4:$D$810,$D588)&gt;1,"duplicate player","OK"))))</f>
      </c>
      <c r="P588">
        <f>IF($D588="",0,IFERROR(SUMIFS($H$4:$H$810,$A$4:$A$810,$A588,$E$4:$E$810,"Win")/COUNTIFS($A$4:$A$810,$A588,$E$4:$E$810,"Win"),0))</f>
        <v>0</v>
      </c>
      <c r="Q588">
        <f>IF($D588="",0,1/(1+10^(($P588-$H588)/400)))</f>
        <v>0</v>
      </c>
      <c r="R588">
        <f>IF($D588="",0,(COUNTIFS($D$4:$D$810,$D588,$C$4:$C$810,$C588,$E$4:$E$810,"Win",$A$4:$A$810,"&lt;"&amp;$A588)+1)/(COUNTIFS($D$4:$D$810,$D588,$C$4:$C$810,$C588,$A$4:$A$810,"&lt;"&amp;$A588)+2))</f>
        <v>0</v>
      </c>
      <c r="S588">
        <f>IF($D588="",0,SUMIFS($R$4:$R$810,$A$4:$A$810,$A588))</f>
        <v>0</v>
      </c>
      <c r="T588" s="88">
        <f>IF($D588="",0,COUNTIFS($D$4:$D$810,$D588,$C$4:$C$810,$C588,$A$4:$A$810,"&lt;"&amp;$A588))</f>
        <v>0</v>
      </c>
      <c r="U588" s="125">
        <f>IF($D588="",0,IFERROR(LOOKUP(2,1/(($D$3:D587=$D588)*($C$3:C587=$C588)*($A$3:A587&lt;$A588)),$AB$3:AB587),1000))</f>
        <v>0</v>
      </c>
      <c r="V588" s="125">
        <f>IF($D588="",0,$U588*($T588/($T588+5))+$H588*(1-$T588/($T588+5)))</f>
        <v>0</v>
      </c>
      <c r="W588">
        <f>IF($D588="",0,IFERROR(SUMIFS($V$4:$V$810,$A$4:$A$810,$A588,$E$4:$E$810,"Win")/COUNTIFS($A$4:$A$810,$A588,$E$4:$E$810,"Win"),0))</f>
        <v>0</v>
      </c>
      <c r="X588">
        <f>IF($D588="",0,1/(1+10^(($W588-$V588)/400)))</f>
        <v>0</v>
      </c>
      <c r="Y588">
        <f>IF($D588="",0,IFERROR(SUMIFS($U$4:$U$810,$A$4:$A$810,$A588,$E$4:$E$810,"Win")/COUNTIFS($A$4:$A$810,$A588,$E$4:$E$810,"Win"),0))</f>
        <v>0</v>
      </c>
      <c r="Z588">
        <f>IF($D588="",0,1/(1+10^(($Y588-$U588)/400)))</f>
        <v>0</v>
      </c>
      <c r="AA588">
        <f>IF($D588="",0,IF($F588&lt;2,0,IF($E588="Win",('Guide &amp; Settings'!$C$42/(($F588-1)*COUNTIFS($A$4:$A$810,$A588,$E$4:$E$810,"Win")))*SUMIFS($Z$4:$Z$810,$A$4:$A$810,$A588,$E$4:$E$810,"Loss"),-('Guide &amp; Settings'!$C$42/($F588-1))*$Z588)))</f>
        <v>0</v>
      </c>
      <c r="AB588" s="125">
        <f>IF($D588="",0,$U588+$AA588)</f>
        <v>0</v>
      </c>
      <c r="AC588" s="125" t="str">
        <f>IF($D588="","",IF(SUMPRODUCT(MAX(($D$4:$D$810=$D588)*($B$4:$B$810&lt;$B588)*$B$4:$B$810))=0,0,MAX(($B588-MAX(SUMPRODUCT(MAX(($D$4:$D$810=$D588)*($B$4:$B$810&lt;$B588)*$B$4:$B$810)),'Guide &amp; Settings'!$C$50))/7-'Guide &amp; Settings'!$C$48,0)*'Guide &amp; Settings'!$C$49))</f>
      </c>
    </row>
    <row r="589" spans="1:29">
      <c r="A589" s="116"/>
      <c r="B589" s="117"/>
      <c r="C589" s="118"/>
      <c r="D589" s="118"/>
      <c r="E589" s="116"/>
      <c r="F589" s="119">
        <f>IF($D589="",0,COUNTIF($A$4:$A$810,$A589))</f>
        <v>0</v>
      </c>
      <c r="G589" s="120">
        <f>IF($D589="","",IFERROR(LOOKUP(2,1/(($A$4:$A$810=$A589)*($E$4:$E$810="Win")),$D$4:$D$810),"(no winner)"))</f>
        <v>0</v>
      </c>
      <c r="H589" s="121">
        <f>IF($D589="",0,IFERROR(LOOKUP(2,1/(($D$3:D588=$D589)*($A$3:A588&lt;$A589)),$N$3:N588),'Guide &amp; Settings'!$C$41))</f>
        <v>0</v>
      </c>
      <c r="I589" s="122">
        <f>IF($D589="",0,IF($S589=0,0,$R589/$S589))</f>
        <v>0</v>
      </c>
      <c r="J589" s="123">
        <f>IF($D589="",0,IF($F589&lt;2,0,IF($E589="Win",('Guide &amp; Settings'!$C$42/(($F589-1)*COUNTIFS($A$4:$A$810,$A589,$E$4:$E$810,"Win")))*SUMIFS($X$4:$X$810,$A$4:$A$810,$A589,$E$4:$E$810,"Loss"),-('Guide &amp; Settings'!$C$42/($F589-1))*$X589)))</f>
        <v>0</v>
      </c>
      <c r="K589" s="123">
        <f>IF($D589="",0,'Guide &amp; Settings'!$C$43*(IF($E589="Win",1,0)-$I589))</f>
        <v>0</v>
      </c>
      <c r="L589" s="124">
        <f>IF($D589="",0,'Guide &amp; Settings'!$C$44*IF($F589&gt;=3,$F589+IF($E589="Win",$F589,0),0))</f>
        <v>0</v>
      </c>
      <c r="M589" s="123">
        <f>IF($D589="",0,$J589+$K589+$L589)</f>
        <v>0</v>
      </c>
      <c r="N589" s="121">
        <f>IF($D589="",0,$H589+$M589)</f>
        <v>0</v>
      </c>
      <c r="O589" s="120" t="str">
        <f>IF($D589="","",IF(COUNTIFS($A$4:$A$810,$A589,$E$4:$E$810,"Win")=0,"need a winner",IF(COUNTIFS($A$4:$A$810,$A589,$E$4:$E$810,"Loss")=0,"need a loser",IF(COUNTIFS($A$4:$A$810,$A589,$D$4:$D$810,$D589)&gt;1,"duplicate player","OK"))))</f>
      </c>
      <c r="P589">
        <f>IF($D589="",0,IFERROR(SUMIFS($H$4:$H$810,$A$4:$A$810,$A589,$E$4:$E$810,"Win")/COUNTIFS($A$4:$A$810,$A589,$E$4:$E$810,"Win"),0))</f>
        <v>0</v>
      </c>
      <c r="Q589">
        <f>IF($D589="",0,1/(1+10^(($P589-$H589)/400)))</f>
        <v>0</v>
      </c>
      <c r="R589">
        <f>IF($D589="",0,(COUNTIFS($D$4:$D$810,$D589,$C$4:$C$810,$C589,$E$4:$E$810,"Win",$A$4:$A$810,"&lt;"&amp;$A589)+1)/(COUNTIFS($D$4:$D$810,$D589,$C$4:$C$810,$C589,$A$4:$A$810,"&lt;"&amp;$A589)+2))</f>
        <v>0</v>
      </c>
      <c r="S589">
        <f>IF($D589="",0,SUMIFS($R$4:$R$810,$A$4:$A$810,$A589))</f>
        <v>0</v>
      </c>
      <c r="T589" s="88">
        <f>IF($D589="",0,COUNTIFS($D$4:$D$810,$D589,$C$4:$C$810,$C589,$A$4:$A$810,"&lt;"&amp;$A589))</f>
        <v>0</v>
      </c>
      <c r="U589" s="125">
        <f>IF($D589="",0,IFERROR(LOOKUP(2,1/(($D$3:D588=$D589)*($C$3:C588=$C589)*($A$3:A588&lt;$A589)),$AB$3:AB588),1000))</f>
        <v>0</v>
      </c>
      <c r="V589" s="125">
        <f>IF($D589="",0,$U589*($T589/($T589+5))+$H589*(1-$T589/($T589+5)))</f>
        <v>0</v>
      </c>
      <c r="W589">
        <f>IF($D589="",0,IFERROR(SUMIFS($V$4:$V$810,$A$4:$A$810,$A589,$E$4:$E$810,"Win")/COUNTIFS($A$4:$A$810,$A589,$E$4:$E$810,"Win"),0))</f>
        <v>0</v>
      </c>
      <c r="X589">
        <f>IF($D589="",0,1/(1+10^(($W589-$V589)/400)))</f>
        <v>0</v>
      </c>
      <c r="Y589">
        <f>IF($D589="",0,IFERROR(SUMIFS($U$4:$U$810,$A$4:$A$810,$A589,$E$4:$E$810,"Win")/COUNTIFS($A$4:$A$810,$A589,$E$4:$E$810,"Win"),0))</f>
        <v>0</v>
      </c>
      <c r="Z589">
        <f>IF($D589="",0,1/(1+10^(($Y589-$U589)/400)))</f>
        <v>0</v>
      </c>
      <c r="AA589">
        <f>IF($D589="",0,IF($F589&lt;2,0,IF($E589="Win",('Guide &amp; Settings'!$C$42/(($F589-1)*COUNTIFS($A$4:$A$810,$A589,$E$4:$E$810,"Win")))*SUMIFS($Z$4:$Z$810,$A$4:$A$810,$A589,$E$4:$E$810,"Loss"),-('Guide &amp; Settings'!$C$42/($F589-1))*$Z589)))</f>
        <v>0</v>
      </c>
      <c r="AB589" s="125">
        <f>IF($D589="",0,$U589+$AA589)</f>
        <v>0</v>
      </c>
      <c r="AC589" s="125" t="str">
        <f>IF($D589="","",IF(SUMPRODUCT(MAX(($D$4:$D$810=$D589)*($B$4:$B$810&lt;$B589)*$B$4:$B$810))=0,0,MAX(($B589-MAX(SUMPRODUCT(MAX(($D$4:$D$810=$D589)*($B$4:$B$810&lt;$B589)*$B$4:$B$810)),'Guide &amp; Settings'!$C$50))/7-'Guide &amp; Settings'!$C$48,0)*'Guide &amp; Settings'!$C$49))</f>
      </c>
    </row>
    <row r="590" spans="1:29">
      <c r="A590" s="116"/>
      <c r="B590" s="117"/>
      <c r="C590" s="118"/>
      <c r="D590" s="118"/>
      <c r="E590" s="116"/>
      <c r="F590" s="119">
        <f>IF($D590="",0,COUNTIF($A$4:$A$810,$A590))</f>
        <v>0</v>
      </c>
      <c r="G590" s="120">
        <f>IF($D590="","",IFERROR(LOOKUP(2,1/(($A$4:$A$810=$A590)*($E$4:$E$810="Win")),$D$4:$D$810),"(no winner)"))</f>
        <v>0</v>
      </c>
      <c r="H590" s="121">
        <f>IF($D590="",0,IFERROR(LOOKUP(2,1/(($D$3:D589=$D590)*($A$3:A589&lt;$A590)),$N$3:N589),'Guide &amp; Settings'!$C$41))</f>
        <v>0</v>
      </c>
      <c r="I590" s="122">
        <f>IF($D590="",0,IF($S590=0,0,$R590/$S590))</f>
        <v>0</v>
      </c>
      <c r="J590" s="123">
        <f>IF($D590="",0,IF($F590&lt;2,0,IF($E590="Win",('Guide &amp; Settings'!$C$42/(($F590-1)*COUNTIFS($A$4:$A$810,$A590,$E$4:$E$810,"Win")))*SUMIFS($X$4:$X$810,$A$4:$A$810,$A590,$E$4:$E$810,"Loss"),-('Guide &amp; Settings'!$C$42/($F590-1))*$X590)))</f>
        <v>0</v>
      </c>
      <c r="K590" s="123">
        <f>IF($D590="",0,'Guide &amp; Settings'!$C$43*(IF($E590="Win",1,0)-$I590))</f>
        <v>0</v>
      </c>
      <c r="L590" s="124">
        <f>IF($D590="",0,'Guide &amp; Settings'!$C$44*IF($F590&gt;=3,$F590+IF($E590="Win",$F590,0),0))</f>
        <v>0</v>
      </c>
      <c r="M590" s="123">
        <f>IF($D590="",0,$J590+$K590+$L590)</f>
        <v>0</v>
      </c>
      <c r="N590" s="121">
        <f>IF($D590="",0,$H590+$M590)</f>
        <v>0</v>
      </c>
      <c r="O590" s="120" t="str">
        <f>IF($D590="","",IF(COUNTIFS($A$4:$A$810,$A590,$E$4:$E$810,"Win")=0,"need a winner",IF(COUNTIFS($A$4:$A$810,$A590,$E$4:$E$810,"Loss")=0,"need a loser",IF(COUNTIFS($A$4:$A$810,$A590,$D$4:$D$810,$D590)&gt;1,"duplicate player","OK"))))</f>
      </c>
      <c r="P590">
        <f>IF($D590="",0,IFERROR(SUMIFS($H$4:$H$810,$A$4:$A$810,$A590,$E$4:$E$810,"Win")/COUNTIFS($A$4:$A$810,$A590,$E$4:$E$810,"Win"),0))</f>
        <v>0</v>
      </c>
      <c r="Q590">
        <f>IF($D590="",0,1/(1+10^(($P590-$H590)/400)))</f>
        <v>0</v>
      </c>
      <c r="R590">
        <f>IF($D590="",0,(COUNTIFS($D$4:$D$810,$D590,$C$4:$C$810,$C590,$E$4:$E$810,"Win",$A$4:$A$810,"&lt;"&amp;$A590)+1)/(COUNTIFS($D$4:$D$810,$D590,$C$4:$C$810,$C590,$A$4:$A$810,"&lt;"&amp;$A590)+2))</f>
        <v>0</v>
      </c>
      <c r="S590">
        <f>IF($D590="",0,SUMIFS($R$4:$R$810,$A$4:$A$810,$A590))</f>
        <v>0</v>
      </c>
      <c r="T590" s="88">
        <f>IF($D590="",0,COUNTIFS($D$4:$D$810,$D590,$C$4:$C$810,$C590,$A$4:$A$810,"&lt;"&amp;$A590))</f>
        <v>0</v>
      </c>
      <c r="U590" s="125">
        <f>IF($D590="",0,IFERROR(LOOKUP(2,1/(($D$3:D589=$D590)*($C$3:C589=$C590)*($A$3:A589&lt;$A590)),$AB$3:AB589),1000))</f>
        <v>0</v>
      </c>
      <c r="V590" s="125">
        <f>IF($D590="",0,$U590*($T590/($T590+5))+$H590*(1-$T590/($T590+5)))</f>
        <v>0</v>
      </c>
      <c r="W590">
        <f>IF($D590="",0,IFERROR(SUMIFS($V$4:$V$810,$A$4:$A$810,$A590,$E$4:$E$810,"Win")/COUNTIFS($A$4:$A$810,$A590,$E$4:$E$810,"Win"),0))</f>
        <v>0</v>
      </c>
      <c r="X590">
        <f>IF($D590="",0,1/(1+10^(($W590-$V590)/400)))</f>
        <v>0</v>
      </c>
      <c r="Y590">
        <f>IF($D590="",0,IFERROR(SUMIFS($U$4:$U$810,$A$4:$A$810,$A590,$E$4:$E$810,"Win")/COUNTIFS($A$4:$A$810,$A590,$E$4:$E$810,"Win"),0))</f>
        <v>0</v>
      </c>
      <c r="Z590">
        <f>IF($D590="",0,1/(1+10^(($Y590-$U590)/400)))</f>
        <v>0</v>
      </c>
      <c r="AA590">
        <f>IF($D590="",0,IF($F590&lt;2,0,IF($E590="Win",('Guide &amp; Settings'!$C$42/(($F590-1)*COUNTIFS($A$4:$A$810,$A590,$E$4:$E$810,"Win")))*SUMIFS($Z$4:$Z$810,$A$4:$A$810,$A590,$E$4:$E$810,"Loss"),-('Guide &amp; Settings'!$C$42/($F590-1))*$Z590)))</f>
        <v>0</v>
      </c>
      <c r="AB590" s="125">
        <f>IF($D590="",0,$U590+$AA590)</f>
        <v>0</v>
      </c>
      <c r="AC590" s="125" t="str">
        <f>IF($D590="","",IF(SUMPRODUCT(MAX(($D$4:$D$810=$D590)*($B$4:$B$810&lt;$B590)*$B$4:$B$810))=0,0,MAX(($B590-MAX(SUMPRODUCT(MAX(($D$4:$D$810=$D590)*($B$4:$B$810&lt;$B590)*$B$4:$B$810)),'Guide &amp; Settings'!$C$50))/7-'Guide &amp; Settings'!$C$48,0)*'Guide &amp; Settings'!$C$49))</f>
      </c>
    </row>
    <row r="591" spans="1:29">
      <c r="A591" s="116"/>
      <c r="B591" s="117"/>
      <c r="C591" s="118"/>
      <c r="D591" s="118"/>
      <c r="E591" s="116"/>
      <c r="F591" s="119">
        <f>IF($D591="",0,COUNTIF($A$4:$A$810,$A591))</f>
        <v>0</v>
      </c>
      <c r="G591" s="120">
        <f>IF($D591="","",IFERROR(LOOKUP(2,1/(($A$4:$A$810=$A591)*($E$4:$E$810="Win")),$D$4:$D$810),"(no winner)"))</f>
        <v>0</v>
      </c>
      <c r="H591" s="121">
        <f>IF($D591="",0,IFERROR(LOOKUP(2,1/(($D$3:D590=$D591)*($A$3:A590&lt;$A591)),$N$3:N590),'Guide &amp; Settings'!$C$41))</f>
        <v>0</v>
      </c>
      <c r="I591" s="122">
        <f>IF($D591="",0,IF($S591=0,0,$R591/$S591))</f>
        <v>0</v>
      </c>
      <c r="J591" s="123">
        <f>IF($D591="",0,IF($F591&lt;2,0,IF($E591="Win",('Guide &amp; Settings'!$C$42/(($F591-1)*COUNTIFS($A$4:$A$810,$A591,$E$4:$E$810,"Win")))*SUMIFS($X$4:$X$810,$A$4:$A$810,$A591,$E$4:$E$810,"Loss"),-('Guide &amp; Settings'!$C$42/($F591-1))*$X591)))</f>
        <v>0</v>
      </c>
      <c r="K591" s="123">
        <f>IF($D591="",0,'Guide &amp; Settings'!$C$43*(IF($E591="Win",1,0)-$I591))</f>
        <v>0</v>
      </c>
      <c r="L591" s="124">
        <f>IF($D591="",0,'Guide &amp; Settings'!$C$44*IF($F591&gt;=3,$F591+IF($E591="Win",$F591,0),0))</f>
        <v>0</v>
      </c>
      <c r="M591" s="123">
        <f>IF($D591="",0,$J591+$K591+$L591)</f>
        <v>0</v>
      </c>
      <c r="N591" s="121">
        <f>IF($D591="",0,$H591+$M591)</f>
        <v>0</v>
      </c>
      <c r="O591" s="120" t="str">
        <f>IF($D591="","",IF(COUNTIFS($A$4:$A$810,$A591,$E$4:$E$810,"Win")=0,"need a winner",IF(COUNTIFS($A$4:$A$810,$A591,$E$4:$E$810,"Loss")=0,"need a loser",IF(COUNTIFS($A$4:$A$810,$A591,$D$4:$D$810,$D591)&gt;1,"duplicate player","OK"))))</f>
      </c>
      <c r="P591">
        <f>IF($D591="",0,IFERROR(SUMIFS($H$4:$H$810,$A$4:$A$810,$A591,$E$4:$E$810,"Win")/COUNTIFS($A$4:$A$810,$A591,$E$4:$E$810,"Win"),0))</f>
        <v>0</v>
      </c>
      <c r="Q591">
        <f>IF($D591="",0,1/(1+10^(($P591-$H591)/400)))</f>
        <v>0</v>
      </c>
      <c r="R591">
        <f>IF($D591="",0,(COUNTIFS($D$4:$D$810,$D591,$C$4:$C$810,$C591,$E$4:$E$810,"Win",$A$4:$A$810,"&lt;"&amp;$A591)+1)/(COUNTIFS($D$4:$D$810,$D591,$C$4:$C$810,$C591,$A$4:$A$810,"&lt;"&amp;$A591)+2))</f>
        <v>0</v>
      </c>
      <c r="S591">
        <f>IF($D591="",0,SUMIFS($R$4:$R$810,$A$4:$A$810,$A591))</f>
        <v>0</v>
      </c>
      <c r="T591" s="88">
        <f>IF($D591="",0,COUNTIFS($D$4:$D$810,$D591,$C$4:$C$810,$C591,$A$4:$A$810,"&lt;"&amp;$A591))</f>
        <v>0</v>
      </c>
      <c r="U591" s="125">
        <f>IF($D591="",0,IFERROR(LOOKUP(2,1/(($D$3:D590=$D591)*($C$3:C590=$C591)*($A$3:A590&lt;$A591)),$AB$3:AB590),1000))</f>
        <v>0</v>
      </c>
      <c r="V591" s="125">
        <f>IF($D591="",0,$U591*($T591/($T591+5))+$H591*(1-$T591/($T591+5)))</f>
        <v>0</v>
      </c>
      <c r="W591">
        <f>IF($D591="",0,IFERROR(SUMIFS($V$4:$V$810,$A$4:$A$810,$A591,$E$4:$E$810,"Win")/COUNTIFS($A$4:$A$810,$A591,$E$4:$E$810,"Win"),0))</f>
        <v>0</v>
      </c>
      <c r="X591">
        <f>IF($D591="",0,1/(1+10^(($W591-$V591)/400)))</f>
        <v>0</v>
      </c>
      <c r="Y591">
        <f>IF($D591="",0,IFERROR(SUMIFS($U$4:$U$810,$A$4:$A$810,$A591,$E$4:$E$810,"Win")/COUNTIFS($A$4:$A$810,$A591,$E$4:$E$810,"Win"),0))</f>
        <v>0</v>
      </c>
      <c r="Z591">
        <f>IF($D591="",0,1/(1+10^(($Y591-$U591)/400)))</f>
        <v>0</v>
      </c>
      <c r="AA591">
        <f>IF($D591="",0,IF($F591&lt;2,0,IF($E591="Win",('Guide &amp; Settings'!$C$42/(($F591-1)*COUNTIFS($A$4:$A$810,$A591,$E$4:$E$810,"Win")))*SUMIFS($Z$4:$Z$810,$A$4:$A$810,$A591,$E$4:$E$810,"Loss"),-('Guide &amp; Settings'!$C$42/($F591-1))*$Z591)))</f>
        <v>0</v>
      </c>
      <c r="AB591" s="125">
        <f>IF($D591="",0,$U591+$AA591)</f>
        <v>0</v>
      </c>
      <c r="AC591" s="125" t="str">
        <f>IF($D591="","",IF(SUMPRODUCT(MAX(($D$4:$D$810=$D591)*($B$4:$B$810&lt;$B591)*$B$4:$B$810))=0,0,MAX(($B591-MAX(SUMPRODUCT(MAX(($D$4:$D$810=$D591)*($B$4:$B$810&lt;$B591)*$B$4:$B$810)),'Guide &amp; Settings'!$C$50))/7-'Guide &amp; Settings'!$C$48,0)*'Guide &amp; Settings'!$C$49))</f>
      </c>
    </row>
    <row r="592" spans="1:29">
      <c r="A592" s="116"/>
      <c r="B592" s="117"/>
      <c r="C592" s="118"/>
      <c r="D592" s="118"/>
      <c r="E592" s="116"/>
      <c r="F592" s="119">
        <f>IF($D592="",0,COUNTIF($A$4:$A$810,$A592))</f>
        <v>0</v>
      </c>
      <c r="G592" s="120">
        <f>IF($D592="","",IFERROR(LOOKUP(2,1/(($A$4:$A$810=$A592)*($E$4:$E$810="Win")),$D$4:$D$810),"(no winner)"))</f>
        <v>0</v>
      </c>
      <c r="H592" s="121">
        <f>IF($D592="",0,IFERROR(LOOKUP(2,1/(($D$3:D591=$D592)*($A$3:A591&lt;$A592)),$N$3:N591),'Guide &amp; Settings'!$C$41))</f>
        <v>0</v>
      </c>
      <c r="I592" s="122">
        <f>IF($D592="",0,IF($S592=0,0,$R592/$S592))</f>
        <v>0</v>
      </c>
      <c r="J592" s="123">
        <f>IF($D592="",0,IF($F592&lt;2,0,IF($E592="Win",('Guide &amp; Settings'!$C$42/(($F592-1)*COUNTIFS($A$4:$A$810,$A592,$E$4:$E$810,"Win")))*SUMIFS($X$4:$X$810,$A$4:$A$810,$A592,$E$4:$E$810,"Loss"),-('Guide &amp; Settings'!$C$42/($F592-1))*$X592)))</f>
        <v>0</v>
      </c>
      <c r="K592" s="123">
        <f>IF($D592="",0,'Guide &amp; Settings'!$C$43*(IF($E592="Win",1,0)-$I592))</f>
        <v>0</v>
      </c>
      <c r="L592" s="124">
        <f>IF($D592="",0,'Guide &amp; Settings'!$C$44*IF($F592&gt;=3,$F592+IF($E592="Win",$F592,0),0))</f>
        <v>0</v>
      </c>
      <c r="M592" s="123">
        <f>IF($D592="",0,$J592+$K592+$L592)</f>
        <v>0</v>
      </c>
      <c r="N592" s="121">
        <f>IF($D592="",0,$H592+$M592)</f>
        <v>0</v>
      </c>
      <c r="O592" s="120" t="str">
        <f>IF($D592="","",IF(COUNTIFS($A$4:$A$810,$A592,$E$4:$E$810,"Win")=0,"need a winner",IF(COUNTIFS($A$4:$A$810,$A592,$E$4:$E$810,"Loss")=0,"need a loser",IF(COUNTIFS($A$4:$A$810,$A592,$D$4:$D$810,$D592)&gt;1,"duplicate player","OK"))))</f>
      </c>
      <c r="P592">
        <f>IF($D592="",0,IFERROR(SUMIFS($H$4:$H$810,$A$4:$A$810,$A592,$E$4:$E$810,"Win")/COUNTIFS($A$4:$A$810,$A592,$E$4:$E$810,"Win"),0))</f>
        <v>0</v>
      </c>
      <c r="Q592">
        <f>IF($D592="",0,1/(1+10^(($P592-$H592)/400)))</f>
        <v>0</v>
      </c>
      <c r="R592">
        <f>IF($D592="",0,(COUNTIFS($D$4:$D$810,$D592,$C$4:$C$810,$C592,$E$4:$E$810,"Win",$A$4:$A$810,"&lt;"&amp;$A592)+1)/(COUNTIFS($D$4:$D$810,$D592,$C$4:$C$810,$C592,$A$4:$A$810,"&lt;"&amp;$A592)+2))</f>
        <v>0</v>
      </c>
      <c r="S592">
        <f>IF($D592="",0,SUMIFS($R$4:$R$810,$A$4:$A$810,$A592))</f>
        <v>0</v>
      </c>
      <c r="T592" s="88">
        <f>IF($D592="",0,COUNTIFS($D$4:$D$810,$D592,$C$4:$C$810,$C592,$A$4:$A$810,"&lt;"&amp;$A592))</f>
        <v>0</v>
      </c>
      <c r="U592" s="125">
        <f>IF($D592="",0,IFERROR(LOOKUP(2,1/(($D$3:D591=$D592)*($C$3:C591=$C592)*($A$3:A591&lt;$A592)),$AB$3:AB591),1000))</f>
        <v>0</v>
      </c>
      <c r="V592" s="125">
        <f>IF($D592="",0,$U592*($T592/($T592+5))+$H592*(1-$T592/($T592+5)))</f>
        <v>0</v>
      </c>
      <c r="W592">
        <f>IF($D592="",0,IFERROR(SUMIFS($V$4:$V$810,$A$4:$A$810,$A592,$E$4:$E$810,"Win")/COUNTIFS($A$4:$A$810,$A592,$E$4:$E$810,"Win"),0))</f>
        <v>0</v>
      </c>
      <c r="X592">
        <f>IF($D592="",0,1/(1+10^(($W592-$V592)/400)))</f>
        <v>0</v>
      </c>
      <c r="Y592">
        <f>IF($D592="",0,IFERROR(SUMIFS($U$4:$U$810,$A$4:$A$810,$A592,$E$4:$E$810,"Win")/COUNTIFS($A$4:$A$810,$A592,$E$4:$E$810,"Win"),0))</f>
        <v>0</v>
      </c>
      <c r="Z592">
        <f>IF($D592="",0,1/(1+10^(($Y592-$U592)/400)))</f>
        <v>0</v>
      </c>
      <c r="AA592">
        <f>IF($D592="",0,IF($F592&lt;2,0,IF($E592="Win",('Guide &amp; Settings'!$C$42/(($F592-1)*COUNTIFS($A$4:$A$810,$A592,$E$4:$E$810,"Win")))*SUMIFS($Z$4:$Z$810,$A$4:$A$810,$A592,$E$4:$E$810,"Loss"),-('Guide &amp; Settings'!$C$42/($F592-1))*$Z592)))</f>
        <v>0</v>
      </c>
      <c r="AB592" s="125">
        <f>IF($D592="",0,$U592+$AA592)</f>
        <v>0</v>
      </c>
      <c r="AC592" s="125" t="str">
        <f>IF($D592="","",IF(SUMPRODUCT(MAX(($D$4:$D$810=$D592)*($B$4:$B$810&lt;$B592)*$B$4:$B$810))=0,0,MAX(($B592-MAX(SUMPRODUCT(MAX(($D$4:$D$810=$D592)*($B$4:$B$810&lt;$B592)*$B$4:$B$810)),'Guide &amp; Settings'!$C$50))/7-'Guide &amp; Settings'!$C$48,0)*'Guide &amp; Settings'!$C$49))</f>
      </c>
    </row>
    <row r="593" spans="1:29">
      <c r="A593" s="116"/>
      <c r="B593" s="117"/>
      <c r="C593" s="118"/>
      <c r="D593" s="118"/>
      <c r="E593" s="116"/>
      <c r="F593" s="119">
        <f>IF($D593="",0,COUNTIF($A$4:$A$810,$A593))</f>
        <v>0</v>
      </c>
      <c r="G593" s="120">
        <f>IF($D593="","",IFERROR(LOOKUP(2,1/(($A$4:$A$810=$A593)*($E$4:$E$810="Win")),$D$4:$D$810),"(no winner)"))</f>
        <v>0</v>
      </c>
      <c r="H593" s="121">
        <f>IF($D593="",0,IFERROR(LOOKUP(2,1/(($D$3:D592=$D593)*($A$3:A592&lt;$A593)),$N$3:N592),'Guide &amp; Settings'!$C$41))</f>
        <v>0</v>
      </c>
      <c r="I593" s="122">
        <f>IF($D593="",0,IF($S593=0,0,$R593/$S593))</f>
        <v>0</v>
      </c>
      <c r="J593" s="123">
        <f>IF($D593="",0,IF($F593&lt;2,0,IF($E593="Win",('Guide &amp; Settings'!$C$42/(($F593-1)*COUNTIFS($A$4:$A$810,$A593,$E$4:$E$810,"Win")))*SUMIFS($X$4:$X$810,$A$4:$A$810,$A593,$E$4:$E$810,"Loss"),-('Guide &amp; Settings'!$C$42/($F593-1))*$X593)))</f>
        <v>0</v>
      </c>
      <c r="K593" s="123">
        <f>IF($D593="",0,'Guide &amp; Settings'!$C$43*(IF($E593="Win",1,0)-$I593))</f>
        <v>0</v>
      </c>
      <c r="L593" s="124">
        <f>IF($D593="",0,'Guide &amp; Settings'!$C$44*IF($F593&gt;=3,$F593+IF($E593="Win",$F593,0),0))</f>
        <v>0</v>
      </c>
      <c r="M593" s="123">
        <f>IF($D593="",0,$J593+$K593+$L593)</f>
        <v>0</v>
      </c>
      <c r="N593" s="121">
        <f>IF($D593="",0,$H593+$M593)</f>
        <v>0</v>
      </c>
      <c r="O593" s="120" t="str">
        <f>IF($D593="","",IF(COUNTIFS($A$4:$A$810,$A593,$E$4:$E$810,"Win")=0,"need a winner",IF(COUNTIFS($A$4:$A$810,$A593,$E$4:$E$810,"Loss")=0,"need a loser",IF(COUNTIFS($A$4:$A$810,$A593,$D$4:$D$810,$D593)&gt;1,"duplicate player","OK"))))</f>
      </c>
      <c r="P593">
        <f>IF($D593="",0,IFERROR(SUMIFS($H$4:$H$810,$A$4:$A$810,$A593,$E$4:$E$810,"Win")/COUNTIFS($A$4:$A$810,$A593,$E$4:$E$810,"Win"),0))</f>
        <v>0</v>
      </c>
      <c r="Q593">
        <f>IF($D593="",0,1/(1+10^(($P593-$H593)/400)))</f>
        <v>0</v>
      </c>
      <c r="R593">
        <f>IF($D593="",0,(COUNTIFS($D$4:$D$810,$D593,$C$4:$C$810,$C593,$E$4:$E$810,"Win",$A$4:$A$810,"&lt;"&amp;$A593)+1)/(COUNTIFS($D$4:$D$810,$D593,$C$4:$C$810,$C593,$A$4:$A$810,"&lt;"&amp;$A593)+2))</f>
        <v>0</v>
      </c>
      <c r="S593">
        <f>IF($D593="",0,SUMIFS($R$4:$R$810,$A$4:$A$810,$A593))</f>
        <v>0</v>
      </c>
      <c r="T593" s="88">
        <f>IF($D593="",0,COUNTIFS($D$4:$D$810,$D593,$C$4:$C$810,$C593,$A$4:$A$810,"&lt;"&amp;$A593))</f>
        <v>0</v>
      </c>
      <c r="U593" s="125">
        <f>IF($D593="",0,IFERROR(LOOKUP(2,1/(($D$3:D592=$D593)*($C$3:C592=$C593)*($A$3:A592&lt;$A593)),$AB$3:AB592),1000))</f>
        <v>0</v>
      </c>
      <c r="V593" s="125">
        <f>IF($D593="",0,$U593*($T593/($T593+5))+$H593*(1-$T593/($T593+5)))</f>
        <v>0</v>
      </c>
      <c r="W593">
        <f>IF($D593="",0,IFERROR(SUMIFS($V$4:$V$810,$A$4:$A$810,$A593,$E$4:$E$810,"Win")/COUNTIFS($A$4:$A$810,$A593,$E$4:$E$810,"Win"),0))</f>
        <v>0</v>
      </c>
      <c r="X593">
        <f>IF($D593="",0,1/(1+10^(($W593-$V593)/400)))</f>
        <v>0</v>
      </c>
      <c r="Y593">
        <f>IF($D593="",0,IFERROR(SUMIFS($U$4:$U$810,$A$4:$A$810,$A593,$E$4:$E$810,"Win")/COUNTIFS($A$4:$A$810,$A593,$E$4:$E$810,"Win"),0))</f>
        <v>0</v>
      </c>
      <c r="Z593">
        <f>IF($D593="",0,1/(1+10^(($Y593-$U593)/400)))</f>
        <v>0</v>
      </c>
      <c r="AA593">
        <f>IF($D593="",0,IF($F593&lt;2,0,IF($E593="Win",('Guide &amp; Settings'!$C$42/(($F593-1)*COUNTIFS($A$4:$A$810,$A593,$E$4:$E$810,"Win")))*SUMIFS($Z$4:$Z$810,$A$4:$A$810,$A593,$E$4:$E$810,"Loss"),-('Guide &amp; Settings'!$C$42/($F593-1))*$Z593)))</f>
        <v>0</v>
      </c>
      <c r="AB593" s="125">
        <f>IF($D593="",0,$U593+$AA593)</f>
        <v>0</v>
      </c>
      <c r="AC593" s="125" t="str">
        <f>IF($D593="","",IF(SUMPRODUCT(MAX(($D$4:$D$810=$D593)*($B$4:$B$810&lt;$B593)*$B$4:$B$810))=0,0,MAX(($B593-MAX(SUMPRODUCT(MAX(($D$4:$D$810=$D593)*($B$4:$B$810&lt;$B593)*$B$4:$B$810)),'Guide &amp; Settings'!$C$50))/7-'Guide &amp; Settings'!$C$48,0)*'Guide &amp; Settings'!$C$49))</f>
      </c>
    </row>
    <row r="594" spans="1:29">
      <c r="A594" s="116"/>
      <c r="B594" s="117"/>
      <c r="C594" s="118"/>
      <c r="D594" s="118"/>
      <c r="E594" s="116"/>
      <c r="F594" s="119">
        <f>IF($D594="",0,COUNTIF($A$4:$A$810,$A594))</f>
        <v>0</v>
      </c>
      <c r="G594" s="120">
        <f>IF($D594="","",IFERROR(LOOKUP(2,1/(($A$4:$A$810=$A594)*($E$4:$E$810="Win")),$D$4:$D$810),"(no winner)"))</f>
        <v>0</v>
      </c>
      <c r="H594" s="121">
        <f>IF($D594="",0,IFERROR(LOOKUP(2,1/(($D$3:D593=$D594)*($A$3:A593&lt;$A594)),$N$3:N593),'Guide &amp; Settings'!$C$41))</f>
        <v>0</v>
      </c>
      <c r="I594" s="122">
        <f>IF($D594="",0,IF($S594=0,0,$R594/$S594))</f>
        <v>0</v>
      </c>
      <c r="J594" s="123">
        <f>IF($D594="",0,IF($F594&lt;2,0,IF($E594="Win",('Guide &amp; Settings'!$C$42/(($F594-1)*COUNTIFS($A$4:$A$810,$A594,$E$4:$E$810,"Win")))*SUMIFS($X$4:$X$810,$A$4:$A$810,$A594,$E$4:$E$810,"Loss"),-('Guide &amp; Settings'!$C$42/($F594-1))*$X594)))</f>
        <v>0</v>
      </c>
      <c r="K594" s="123">
        <f>IF($D594="",0,'Guide &amp; Settings'!$C$43*(IF($E594="Win",1,0)-$I594))</f>
        <v>0</v>
      </c>
      <c r="L594" s="124">
        <f>IF($D594="",0,'Guide &amp; Settings'!$C$44*IF($F594&gt;=3,$F594+IF($E594="Win",$F594,0),0))</f>
        <v>0</v>
      </c>
      <c r="M594" s="123">
        <f>IF($D594="",0,$J594+$K594+$L594)</f>
        <v>0</v>
      </c>
      <c r="N594" s="121">
        <f>IF($D594="",0,$H594+$M594)</f>
        <v>0</v>
      </c>
      <c r="O594" s="120" t="str">
        <f>IF($D594="","",IF(COUNTIFS($A$4:$A$810,$A594,$E$4:$E$810,"Win")=0,"need a winner",IF(COUNTIFS($A$4:$A$810,$A594,$E$4:$E$810,"Loss")=0,"need a loser",IF(COUNTIFS($A$4:$A$810,$A594,$D$4:$D$810,$D594)&gt;1,"duplicate player","OK"))))</f>
      </c>
      <c r="P594">
        <f>IF($D594="",0,IFERROR(SUMIFS($H$4:$H$810,$A$4:$A$810,$A594,$E$4:$E$810,"Win")/COUNTIFS($A$4:$A$810,$A594,$E$4:$E$810,"Win"),0))</f>
        <v>0</v>
      </c>
      <c r="Q594">
        <f>IF($D594="",0,1/(1+10^(($P594-$H594)/400)))</f>
        <v>0</v>
      </c>
      <c r="R594">
        <f>IF($D594="",0,(COUNTIFS($D$4:$D$810,$D594,$C$4:$C$810,$C594,$E$4:$E$810,"Win",$A$4:$A$810,"&lt;"&amp;$A594)+1)/(COUNTIFS($D$4:$D$810,$D594,$C$4:$C$810,$C594,$A$4:$A$810,"&lt;"&amp;$A594)+2))</f>
        <v>0</v>
      </c>
      <c r="S594">
        <f>IF($D594="",0,SUMIFS($R$4:$R$810,$A$4:$A$810,$A594))</f>
        <v>0</v>
      </c>
      <c r="T594" s="88">
        <f>IF($D594="",0,COUNTIFS($D$4:$D$810,$D594,$C$4:$C$810,$C594,$A$4:$A$810,"&lt;"&amp;$A594))</f>
        <v>0</v>
      </c>
      <c r="U594" s="125">
        <f>IF($D594="",0,IFERROR(LOOKUP(2,1/(($D$3:D593=$D594)*($C$3:C593=$C594)*($A$3:A593&lt;$A594)),$AB$3:AB593),1000))</f>
        <v>0</v>
      </c>
      <c r="V594" s="125">
        <f>IF($D594="",0,$U594*($T594/($T594+5))+$H594*(1-$T594/($T594+5)))</f>
        <v>0</v>
      </c>
      <c r="W594">
        <f>IF($D594="",0,IFERROR(SUMIFS($V$4:$V$810,$A$4:$A$810,$A594,$E$4:$E$810,"Win")/COUNTIFS($A$4:$A$810,$A594,$E$4:$E$810,"Win"),0))</f>
        <v>0</v>
      </c>
      <c r="X594">
        <f>IF($D594="",0,1/(1+10^(($W594-$V594)/400)))</f>
        <v>0</v>
      </c>
      <c r="Y594">
        <f>IF($D594="",0,IFERROR(SUMIFS($U$4:$U$810,$A$4:$A$810,$A594,$E$4:$E$810,"Win")/COUNTIFS($A$4:$A$810,$A594,$E$4:$E$810,"Win"),0))</f>
        <v>0</v>
      </c>
      <c r="Z594">
        <f>IF($D594="",0,1/(1+10^(($Y594-$U594)/400)))</f>
        <v>0</v>
      </c>
      <c r="AA594">
        <f>IF($D594="",0,IF($F594&lt;2,0,IF($E594="Win",('Guide &amp; Settings'!$C$42/(($F594-1)*COUNTIFS($A$4:$A$810,$A594,$E$4:$E$810,"Win")))*SUMIFS($Z$4:$Z$810,$A$4:$A$810,$A594,$E$4:$E$810,"Loss"),-('Guide &amp; Settings'!$C$42/($F594-1))*$Z594)))</f>
        <v>0</v>
      </c>
      <c r="AB594" s="125">
        <f>IF($D594="",0,$U594+$AA594)</f>
        <v>0</v>
      </c>
      <c r="AC594" s="125" t="str">
        <f>IF($D594="","",IF(SUMPRODUCT(MAX(($D$4:$D$810=$D594)*($B$4:$B$810&lt;$B594)*$B$4:$B$810))=0,0,MAX(($B594-MAX(SUMPRODUCT(MAX(($D$4:$D$810=$D594)*($B$4:$B$810&lt;$B594)*$B$4:$B$810)),'Guide &amp; Settings'!$C$50))/7-'Guide &amp; Settings'!$C$48,0)*'Guide &amp; Settings'!$C$49))</f>
      </c>
    </row>
    <row r="595" spans="1:29">
      <c r="A595" s="116"/>
      <c r="B595" s="117"/>
      <c r="C595" s="118"/>
      <c r="D595" s="118"/>
      <c r="E595" s="116"/>
      <c r="F595" s="119">
        <f>IF($D595="",0,COUNTIF($A$4:$A$810,$A595))</f>
        <v>0</v>
      </c>
      <c r="G595" s="120">
        <f>IF($D595="","",IFERROR(LOOKUP(2,1/(($A$4:$A$810=$A595)*($E$4:$E$810="Win")),$D$4:$D$810),"(no winner)"))</f>
        <v>0</v>
      </c>
      <c r="H595" s="121">
        <f>IF($D595="",0,IFERROR(LOOKUP(2,1/(($D$3:D594=$D595)*($A$3:A594&lt;$A595)),$N$3:N594),'Guide &amp; Settings'!$C$41))</f>
        <v>0</v>
      </c>
      <c r="I595" s="122">
        <f>IF($D595="",0,IF($S595=0,0,$R595/$S595))</f>
        <v>0</v>
      </c>
      <c r="J595" s="123">
        <f>IF($D595="",0,IF($F595&lt;2,0,IF($E595="Win",('Guide &amp; Settings'!$C$42/(($F595-1)*COUNTIFS($A$4:$A$810,$A595,$E$4:$E$810,"Win")))*SUMIFS($X$4:$X$810,$A$4:$A$810,$A595,$E$4:$E$810,"Loss"),-('Guide &amp; Settings'!$C$42/($F595-1))*$X595)))</f>
        <v>0</v>
      </c>
      <c r="K595" s="123">
        <f>IF($D595="",0,'Guide &amp; Settings'!$C$43*(IF($E595="Win",1,0)-$I595))</f>
        <v>0</v>
      </c>
      <c r="L595" s="124">
        <f>IF($D595="",0,'Guide &amp; Settings'!$C$44*IF($F595&gt;=3,$F595+IF($E595="Win",$F595,0),0))</f>
        <v>0</v>
      </c>
      <c r="M595" s="123">
        <f>IF($D595="",0,$J595+$K595+$L595)</f>
        <v>0</v>
      </c>
      <c r="N595" s="121">
        <f>IF($D595="",0,$H595+$M595)</f>
        <v>0</v>
      </c>
      <c r="O595" s="120" t="str">
        <f>IF($D595="","",IF(COUNTIFS($A$4:$A$810,$A595,$E$4:$E$810,"Win")=0,"need a winner",IF(COUNTIFS($A$4:$A$810,$A595,$E$4:$E$810,"Loss")=0,"need a loser",IF(COUNTIFS($A$4:$A$810,$A595,$D$4:$D$810,$D595)&gt;1,"duplicate player","OK"))))</f>
      </c>
      <c r="P595">
        <f>IF($D595="",0,IFERROR(SUMIFS($H$4:$H$810,$A$4:$A$810,$A595,$E$4:$E$810,"Win")/COUNTIFS($A$4:$A$810,$A595,$E$4:$E$810,"Win"),0))</f>
        <v>0</v>
      </c>
      <c r="Q595">
        <f>IF($D595="",0,1/(1+10^(($P595-$H595)/400)))</f>
        <v>0</v>
      </c>
      <c r="R595">
        <f>IF($D595="",0,(COUNTIFS($D$4:$D$810,$D595,$C$4:$C$810,$C595,$E$4:$E$810,"Win",$A$4:$A$810,"&lt;"&amp;$A595)+1)/(COUNTIFS($D$4:$D$810,$D595,$C$4:$C$810,$C595,$A$4:$A$810,"&lt;"&amp;$A595)+2))</f>
        <v>0</v>
      </c>
      <c r="S595">
        <f>IF($D595="",0,SUMIFS($R$4:$R$810,$A$4:$A$810,$A595))</f>
        <v>0</v>
      </c>
      <c r="T595" s="88">
        <f>IF($D595="",0,COUNTIFS($D$4:$D$810,$D595,$C$4:$C$810,$C595,$A$4:$A$810,"&lt;"&amp;$A595))</f>
        <v>0</v>
      </c>
      <c r="U595" s="125">
        <f>IF($D595="",0,IFERROR(LOOKUP(2,1/(($D$3:D594=$D595)*($C$3:C594=$C595)*($A$3:A594&lt;$A595)),$AB$3:AB594),1000))</f>
        <v>0</v>
      </c>
      <c r="V595" s="125">
        <f>IF($D595="",0,$U595*($T595/($T595+5))+$H595*(1-$T595/($T595+5)))</f>
        <v>0</v>
      </c>
      <c r="W595">
        <f>IF($D595="",0,IFERROR(SUMIFS($V$4:$V$810,$A$4:$A$810,$A595,$E$4:$E$810,"Win")/COUNTIFS($A$4:$A$810,$A595,$E$4:$E$810,"Win"),0))</f>
        <v>0</v>
      </c>
      <c r="X595">
        <f>IF($D595="",0,1/(1+10^(($W595-$V595)/400)))</f>
        <v>0</v>
      </c>
      <c r="Y595">
        <f>IF($D595="",0,IFERROR(SUMIFS($U$4:$U$810,$A$4:$A$810,$A595,$E$4:$E$810,"Win")/COUNTIFS($A$4:$A$810,$A595,$E$4:$E$810,"Win"),0))</f>
        <v>0</v>
      </c>
      <c r="Z595">
        <f>IF($D595="",0,1/(1+10^(($Y595-$U595)/400)))</f>
        <v>0</v>
      </c>
      <c r="AA595">
        <f>IF($D595="",0,IF($F595&lt;2,0,IF($E595="Win",('Guide &amp; Settings'!$C$42/(($F595-1)*COUNTIFS($A$4:$A$810,$A595,$E$4:$E$810,"Win")))*SUMIFS($Z$4:$Z$810,$A$4:$A$810,$A595,$E$4:$E$810,"Loss"),-('Guide &amp; Settings'!$C$42/($F595-1))*$Z595)))</f>
        <v>0</v>
      </c>
      <c r="AB595" s="125">
        <f>IF($D595="",0,$U595+$AA595)</f>
        <v>0</v>
      </c>
      <c r="AC595" s="125" t="str">
        <f>IF($D595="","",IF(SUMPRODUCT(MAX(($D$4:$D$810=$D595)*($B$4:$B$810&lt;$B595)*$B$4:$B$810))=0,0,MAX(($B595-MAX(SUMPRODUCT(MAX(($D$4:$D$810=$D595)*($B$4:$B$810&lt;$B595)*$B$4:$B$810)),'Guide &amp; Settings'!$C$50))/7-'Guide &amp; Settings'!$C$48,0)*'Guide &amp; Settings'!$C$49))</f>
      </c>
    </row>
    <row r="596" spans="1:29">
      <c r="A596" s="116"/>
      <c r="B596" s="117"/>
      <c r="C596" s="118"/>
      <c r="D596" s="118"/>
      <c r="E596" s="116"/>
      <c r="F596" s="119">
        <f>IF($D596="",0,COUNTIF($A$4:$A$810,$A596))</f>
        <v>0</v>
      </c>
      <c r="G596" s="120">
        <f>IF($D596="","",IFERROR(LOOKUP(2,1/(($A$4:$A$810=$A596)*($E$4:$E$810="Win")),$D$4:$D$810),"(no winner)"))</f>
        <v>0</v>
      </c>
      <c r="H596" s="121">
        <f>IF($D596="",0,IFERROR(LOOKUP(2,1/(($D$3:D595=$D596)*($A$3:A595&lt;$A596)),$N$3:N595),'Guide &amp; Settings'!$C$41))</f>
        <v>0</v>
      </c>
      <c r="I596" s="122">
        <f>IF($D596="",0,IF($S596=0,0,$R596/$S596))</f>
        <v>0</v>
      </c>
      <c r="J596" s="123">
        <f>IF($D596="",0,IF($F596&lt;2,0,IF($E596="Win",('Guide &amp; Settings'!$C$42/(($F596-1)*COUNTIFS($A$4:$A$810,$A596,$E$4:$E$810,"Win")))*SUMIFS($X$4:$X$810,$A$4:$A$810,$A596,$E$4:$E$810,"Loss"),-('Guide &amp; Settings'!$C$42/($F596-1))*$X596)))</f>
        <v>0</v>
      </c>
      <c r="K596" s="123">
        <f>IF($D596="",0,'Guide &amp; Settings'!$C$43*(IF($E596="Win",1,0)-$I596))</f>
        <v>0</v>
      </c>
      <c r="L596" s="124">
        <f>IF($D596="",0,'Guide &amp; Settings'!$C$44*IF($F596&gt;=3,$F596+IF($E596="Win",$F596,0),0))</f>
        <v>0</v>
      </c>
      <c r="M596" s="123">
        <f>IF($D596="",0,$J596+$K596+$L596)</f>
        <v>0</v>
      </c>
      <c r="N596" s="121">
        <f>IF($D596="",0,$H596+$M596)</f>
        <v>0</v>
      </c>
      <c r="O596" s="120" t="str">
        <f>IF($D596="","",IF(COUNTIFS($A$4:$A$810,$A596,$E$4:$E$810,"Win")=0,"need a winner",IF(COUNTIFS($A$4:$A$810,$A596,$E$4:$E$810,"Loss")=0,"need a loser",IF(COUNTIFS($A$4:$A$810,$A596,$D$4:$D$810,$D596)&gt;1,"duplicate player","OK"))))</f>
      </c>
      <c r="P596">
        <f>IF($D596="",0,IFERROR(SUMIFS($H$4:$H$810,$A$4:$A$810,$A596,$E$4:$E$810,"Win")/COUNTIFS($A$4:$A$810,$A596,$E$4:$E$810,"Win"),0))</f>
        <v>0</v>
      </c>
      <c r="Q596">
        <f>IF($D596="",0,1/(1+10^(($P596-$H596)/400)))</f>
        <v>0</v>
      </c>
      <c r="R596">
        <f>IF($D596="",0,(COUNTIFS($D$4:$D$810,$D596,$C$4:$C$810,$C596,$E$4:$E$810,"Win",$A$4:$A$810,"&lt;"&amp;$A596)+1)/(COUNTIFS($D$4:$D$810,$D596,$C$4:$C$810,$C596,$A$4:$A$810,"&lt;"&amp;$A596)+2))</f>
        <v>0</v>
      </c>
      <c r="S596">
        <f>IF($D596="",0,SUMIFS($R$4:$R$810,$A$4:$A$810,$A596))</f>
        <v>0</v>
      </c>
      <c r="T596" s="88">
        <f>IF($D596="",0,COUNTIFS($D$4:$D$810,$D596,$C$4:$C$810,$C596,$A$4:$A$810,"&lt;"&amp;$A596))</f>
        <v>0</v>
      </c>
      <c r="U596" s="125">
        <f>IF($D596="",0,IFERROR(LOOKUP(2,1/(($D$3:D595=$D596)*($C$3:C595=$C596)*($A$3:A595&lt;$A596)),$AB$3:AB595),1000))</f>
        <v>0</v>
      </c>
      <c r="V596" s="125">
        <f>IF($D596="",0,$U596*($T596/($T596+5))+$H596*(1-$T596/($T596+5)))</f>
        <v>0</v>
      </c>
      <c r="W596">
        <f>IF($D596="",0,IFERROR(SUMIFS($V$4:$V$810,$A$4:$A$810,$A596,$E$4:$E$810,"Win")/COUNTIFS($A$4:$A$810,$A596,$E$4:$E$810,"Win"),0))</f>
        <v>0</v>
      </c>
      <c r="X596">
        <f>IF($D596="",0,1/(1+10^(($W596-$V596)/400)))</f>
        <v>0</v>
      </c>
      <c r="Y596">
        <f>IF($D596="",0,IFERROR(SUMIFS($U$4:$U$810,$A$4:$A$810,$A596,$E$4:$E$810,"Win")/COUNTIFS($A$4:$A$810,$A596,$E$4:$E$810,"Win"),0))</f>
        <v>0</v>
      </c>
      <c r="Z596">
        <f>IF($D596="",0,1/(1+10^(($Y596-$U596)/400)))</f>
        <v>0</v>
      </c>
      <c r="AA596">
        <f>IF($D596="",0,IF($F596&lt;2,0,IF($E596="Win",('Guide &amp; Settings'!$C$42/(($F596-1)*COUNTIFS($A$4:$A$810,$A596,$E$4:$E$810,"Win")))*SUMIFS($Z$4:$Z$810,$A$4:$A$810,$A596,$E$4:$E$810,"Loss"),-('Guide &amp; Settings'!$C$42/($F596-1))*$Z596)))</f>
        <v>0</v>
      </c>
      <c r="AB596" s="125">
        <f>IF($D596="",0,$U596+$AA596)</f>
        <v>0</v>
      </c>
      <c r="AC596" s="125" t="str">
        <f>IF($D596="","",IF(SUMPRODUCT(MAX(($D$4:$D$810=$D596)*($B$4:$B$810&lt;$B596)*$B$4:$B$810))=0,0,MAX(($B596-MAX(SUMPRODUCT(MAX(($D$4:$D$810=$D596)*($B$4:$B$810&lt;$B596)*$B$4:$B$810)),'Guide &amp; Settings'!$C$50))/7-'Guide &amp; Settings'!$C$48,0)*'Guide &amp; Settings'!$C$49))</f>
      </c>
    </row>
    <row r="597" spans="1:29">
      <c r="A597" s="116"/>
      <c r="B597" s="117"/>
      <c r="C597" s="118"/>
      <c r="D597" s="118"/>
      <c r="E597" s="116"/>
      <c r="F597" s="119">
        <f>IF($D597="",0,COUNTIF($A$4:$A$810,$A597))</f>
        <v>0</v>
      </c>
      <c r="G597" s="120">
        <f>IF($D597="","",IFERROR(LOOKUP(2,1/(($A$4:$A$810=$A597)*($E$4:$E$810="Win")),$D$4:$D$810),"(no winner)"))</f>
        <v>0</v>
      </c>
      <c r="H597" s="121">
        <f>IF($D597="",0,IFERROR(LOOKUP(2,1/(($D$3:D596=$D597)*($A$3:A596&lt;$A597)),$N$3:N596),'Guide &amp; Settings'!$C$41))</f>
        <v>0</v>
      </c>
      <c r="I597" s="122">
        <f>IF($D597="",0,IF($S597=0,0,$R597/$S597))</f>
        <v>0</v>
      </c>
      <c r="J597" s="123">
        <f>IF($D597="",0,IF($F597&lt;2,0,IF($E597="Win",('Guide &amp; Settings'!$C$42/(($F597-1)*COUNTIFS($A$4:$A$810,$A597,$E$4:$E$810,"Win")))*SUMIFS($X$4:$X$810,$A$4:$A$810,$A597,$E$4:$E$810,"Loss"),-('Guide &amp; Settings'!$C$42/($F597-1))*$X597)))</f>
        <v>0</v>
      </c>
      <c r="K597" s="123">
        <f>IF($D597="",0,'Guide &amp; Settings'!$C$43*(IF($E597="Win",1,0)-$I597))</f>
        <v>0</v>
      </c>
      <c r="L597" s="124">
        <f>IF($D597="",0,'Guide &amp; Settings'!$C$44*IF($F597&gt;=3,$F597+IF($E597="Win",$F597,0),0))</f>
        <v>0</v>
      </c>
      <c r="M597" s="123">
        <f>IF($D597="",0,$J597+$K597+$L597)</f>
        <v>0</v>
      </c>
      <c r="N597" s="121">
        <f>IF($D597="",0,$H597+$M597)</f>
        <v>0</v>
      </c>
      <c r="O597" s="120" t="str">
        <f>IF($D597="","",IF(COUNTIFS($A$4:$A$810,$A597,$E$4:$E$810,"Win")=0,"need a winner",IF(COUNTIFS($A$4:$A$810,$A597,$E$4:$E$810,"Loss")=0,"need a loser",IF(COUNTIFS($A$4:$A$810,$A597,$D$4:$D$810,$D597)&gt;1,"duplicate player","OK"))))</f>
      </c>
      <c r="P597">
        <f>IF($D597="",0,IFERROR(SUMIFS($H$4:$H$810,$A$4:$A$810,$A597,$E$4:$E$810,"Win")/COUNTIFS($A$4:$A$810,$A597,$E$4:$E$810,"Win"),0))</f>
        <v>0</v>
      </c>
      <c r="Q597">
        <f>IF($D597="",0,1/(1+10^(($P597-$H597)/400)))</f>
        <v>0</v>
      </c>
      <c r="R597">
        <f>IF($D597="",0,(COUNTIFS($D$4:$D$810,$D597,$C$4:$C$810,$C597,$E$4:$E$810,"Win",$A$4:$A$810,"&lt;"&amp;$A597)+1)/(COUNTIFS($D$4:$D$810,$D597,$C$4:$C$810,$C597,$A$4:$A$810,"&lt;"&amp;$A597)+2))</f>
        <v>0</v>
      </c>
      <c r="S597">
        <f>IF($D597="",0,SUMIFS($R$4:$R$810,$A$4:$A$810,$A597))</f>
        <v>0</v>
      </c>
      <c r="T597" s="88">
        <f>IF($D597="",0,COUNTIFS($D$4:$D$810,$D597,$C$4:$C$810,$C597,$A$4:$A$810,"&lt;"&amp;$A597))</f>
        <v>0</v>
      </c>
      <c r="U597" s="125">
        <f>IF($D597="",0,IFERROR(LOOKUP(2,1/(($D$3:D596=$D597)*($C$3:C596=$C597)*($A$3:A596&lt;$A597)),$AB$3:AB596),1000))</f>
        <v>0</v>
      </c>
      <c r="V597" s="125">
        <f>IF($D597="",0,$U597*($T597/($T597+5))+$H597*(1-$T597/($T597+5)))</f>
        <v>0</v>
      </c>
      <c r="W597">
        <f>IF($D597="",0,IFERROR(SUMIFS($V$4:$V$810,$A$4:$A$810,$A597,$E$4:$E$810,"Win")/COUNTIFS($A$4:$A$810,$A597,$E$4:$E$810,"Win"),0))</f>
        <v>0</v>
      </c>
      <c r="X597">
        <f>IF($D597="",0,1/(1+10^(($W597-$V597)/400)))</f>
        <v>0</v>
      </c>
      <c r="Y597">
        <f>IF($D597="",0,IFERROR(SUMIFS($U$4:$U$810,$A$4:$A$810,$A597,$E$4:$E$810,"Win")/COUNTIFS($A$4:$A$810,$A597,$E$4:$E$810,"Win"),0))</f>
        <v>0</v>
      </c>
      <c r="Z597">
        <f>IF($D597="",0,1/(1+10^(($Y597-$U597)/400)))</f>
        <v>0</v>
      </c>
      <c r="AA597">
        <f>IF($D597="",0,IF($F597&lt;2,0,IF($E597="Win",('Guide &amp; Settings'!$C$42/(($F597-1)*COUNTIFS($A$4:$A$810,$A597,$E$4:$E$810,"Win")))*SUMIFS($Z$4:$Z$810,$A$4:$A$810,$A597,$E$4:$E$810,"Loss"),-('Guide &amp; Settings'!$C$42/($F597-1))*$Z597)))</f>
        <v>0</v>
      </c>
      <c r="AB597" s="125">
        <f>IF($D597="",0,$U597+$AA597)</f>
        <v>0</v>
      </c>
      <c r="AC597" s="125" t="str">
        <f>IF($D597="","",IF(SUMPRODUCT(MAX(($D$4:$D$810=$D597)*($B$4:$B$810&lt;$B597)*$B$4:$B$810))=0,0,MAX(($B597-MAX(SUMPRODUCT(MAX(($D$4:$D$810=$D597)*($B$4:$B$810&lt;$B597)*$B$4:$B$810)),'Guide &amp; Settings'!$C$50))/7-'Guide &amp; Settings'!$C$48,0)*'Guide &amp; Settings'!$C$49))</f>
      </c>
    </row>
    <row r="598" spans="1:29">
      <c r="A598" s="116"/>
      <c r="B598" s="117"/>
      <c r="C598" s="118"/>
      <c r="D598" s="118"/>
      <c r="E598" s="116"/>
      <c r="F598" s="119">
        <f>IF($D598="",0,COUNTIF($A$4:$A$810,$A598))</f>
        <v>0</v>
      </c>
      <c r="G598" s="120">
        <f>IF($D598="","",IFERROR(LOOKUP(2,1/(($A$4:$A$810=$A598)*($E$4:$E$810="Win")),$D$4:$D$810),"(no winner)"))</f>
        <v>0</v>
      </c>
      <c r="H598" s="121">
        <f>IF($D598="",0,IFERROR(LOOKUP(2,1/(($D$3:D597=$D598)*($A$3:A597&lt;$A598)),$N$3:N597),'Guide &amp; Settings'!$C$41))</f>
        <v>0</v>
      </c>
      <c r="I598" s="122">
        <f>IF($D598="",0,IF($S598=0,0,$R598/$S598))</f>
        <v>0</v>
      </c>
      <c r="J598" s="123">
        <f>IF($D598="",0,IF($F598&lt;2,0,IF($E598="Win",('Guide &amp; Settings'!$C$42/(($F598-1)*COUNTIFS($A$4:$A$810,$A598,$E$4:$E$810,"Win")))*SUMIFS($X$4:$X$810,$A$4:$A$810,$A598,$E$4:$E$810,"Loss"),-('Guide &amp; Settings'!$C$42/($F598-1))*$X598)))</f>
        <v>0</v>
      </c>
      <c r="K598" s="123">
        <f>IF($D598="",0,'Guide &amp; Settings'!$C$43*(IF($E598="Win",1,0)-$I598))</f>
        <v>0</v>
      </c>
      <c r="L598" s="124">
        <f>IF($D598="",0,'Guide &amp; Settings'!$C$44*IF($F598&gt;=3,$F598+IF($E598="Win",$F598,0),0))</f>
        <v>0</v>
      </c>
      <c r="M598" s="123">
        <f>IF($D598="",0,$J598+$K598+$L598)</f>
        <v>0</v>
      </c>
      <c r="N598" s="121">
        <f>IF($D598="",0,$H598+$M598)</f>
        <v>0</v>
      </c>
      <c r="O598" s="120" t="str">
        <f>IF($D598="","",IF(COUNTIFS($A$4:$A$810,$A598,$E$4:$E$810,"Win")=0,"need a winner",IF(COUNTIFS($A$4:$A$810,$A598,$E$4:$E$810,"Loss")=0,"need a loser",IF(COUNTIFS($A$4:$A$810,$A598,$D$4:$D$810,$D598)&gt;1,"duplicate player","OK"))))</f>
      </c>
      <c r="P598">
        <f>IF($D598="",0,IFERROR(SUMIFS($H$4:$H$810,$A$4:$A$810,$A598,$E$4:$E$810,"Win")/COUNTIFS($A$4:$A$810,$A598,$E$4:$E$810,"Win"),0))</f>
        <v>0</v>
      </c>
      <c r="Q598">
        <f>IF($D598="",0,1/(1+10^(($P598-$H598)/400)))</f>
        <v>0</v>
      </c>
      <c r="R598">
        <f>IF($D598="",0,(COUNTIFS($D$4:$D$810,$D598,$C$4:$C$810,$C598,$E$4:$E$810,"Win",$A$4:$A$810,"&lt;"&amp;$A598)+1)/(COUNTIFS($D$4:$D$810,$D598,$C$4:$C$810,$C598,$A$4:$A$810,"&lt;"&amp;$A598)+2))</f>
        <v>0</v>
      </c>
      <c r="S598">
        <f>IF($D598="",0,SUMIFS($R$4:$R$810,$A$4:$A$810,$A598))</f>
        <v>0</v>
      </c>
      <c r="T598" s="88">
        <f>IF($D598="",0,COUNTIFS($D$4:$D$810,$D598,$C$4:$C$810,$C598,$A$4:$A$810,"&lt;"&amp;$A598))</f>
        <v>0</v>
      </c>
      <c r="U598" s="125">
        <f>IF($D598="",0,IFERROR(LOOKUP(2,1/(($D$3:D597=$D598)*($C$3:C597=$C598)*($A$3:A597&lt;$A598)),$AB$3:AB597),1000))</f>
        <v>0</v>
      </c>
      <c r="V598" s="125">
        <f>IF($D598="",0,$U598*($T598/($T598+5))+$H598*(1-$T598/($T598+5)))</f>
        <v>0</v>
      </c>
      <c r="W598">
        <f>IF($D598="",0,IFERROR(SUMIFS($V$4:$V$810,$A$4:$A$810,$A598,$E$4:$E$810,"Win")/COUNTIFS($A$4:$A$810,$A598,$E$4:$E$810,"Win"),0))</f>
        <v>0</v>
      </c>
      <c r="X598">
        <f>IF($D598="",0,1/(1+10^(($W598-$V598)/400)))</f>
        <v>0</v>
      </c>
      <c r="Y598">
        <f>IF($D598="",0,IFERROR(SUMIFS($U$4:$U$810,$A$4:$A$810,$A598,$E$4:$E$810,"Win")/COUNTIFS($A$4:$A$810,$A598,$E$4:$E$810,"Win"),0))</f>
        <v>0</v>
      </c>
      <c r="Z598">
        <f>IF($D598="",0,1/(1+10^(($Y598-$U598)/400)))</f>
        <v>0</v>
      </c>
      <c r="AA598">
        <f>IF($D598="",0,IF($F598&lt;2,0,IF($E598="Win",('Guide &amp; Settings'!$C$42/(($F598-1)*COUNTIFS($A$4:$A$810,$A598,$E$4:$E$810,"Win")))*SUMIFS($Z$4:$Z$810,$A$4:$A$810,$A598,$E$4:$E$810,"Loss"),-('Guide &amp; Settings'!$C$42/($F598-1))*$Z598)))</f>
        <v>0</v>
      </c>
      <c r="AB598" s="125">
        <f>IF($D598="",0,$U598+$AA598)</f>
        <v>0</v>
      </c>
      <c r="AC598" s="125" t="str">
        <f>IF($D598="","",IF(SUMPRODUCT(MAX(($D$4:$D$810=$D598)*($B$4:$B$810&lt;$B598)*$B$4:$B$810))=0,0,MAX(($B598-MAX(SUMPRODUCT(MAX(($D$4:$D$810=$D598)*($B$4:$B$810&lt;$B598)*$B$4:$B$810)),'Guide &amp; Settings'!$C$50))/7-'Guide &amp; Settings'!$C$48,0)*'Guide &amp; Settings'!$C$49))</f>
      </c>
    </row>
    <row r="599" spans="1:29">
      <c r="A599" s="116"/>
      <c r="B599" s="117"/>
      <c r="C599" s="118"/>
      <c r="D599" s="118"/>
      <c r="E599" s="116"/>
      <c r="F599" s="119">
        <f>IF($D599="",0,COUNTIF($A$4:$A$810,$A599))</f>
        <v>0</v>
      </c>
      <c r="G599" s="120">
        <f>IF($D599="","",IFERROR(LOOKUP(2,1/(($A$4:$A$810=$A599)*($E$4:$E$810="Win")),$D$4:$D$810),"(no winner)"))</f>
        <v>0</v>
      </c>
      <c r="H599" s="121">
        <f>IF($D599="",0,IFERROR(LOOKUP(2,1/(($D$3:D598=$D599)*($A$3:A598&lt;$A599)),$N$3:N598),'Guide &amp; Settings'!$C$41))</f>
        <v>0</v>
      </c>
      <c r="I599" s="122">
        <f>IF($D599="",0,IF($S599=0,0,$R599/$S599))</f>
        <v>0</v>
      </c>
      <c r="J599" s="123">
        <f>IF($D599="",0,IF($F599&lt;2,0,IF($E599="Win",('Guide &amp; Settings'!$C$42/(($F599-1)*COUNTIFS($A$4:$A$810,$A599,$E$4:$E$810,"Win")))*SUMIFS($X$4:$X$810,$A$4:$A$810,$A599,$E$4:$E$810,"Loss"),-('Guide &amp; Settings'!$C$42/($F599-1))*$X599)))</f>
        <v>0</v>
      </c>
      <c r="K599" s="123">
        <f>IF($D599="",0,'Guide &amp; Settings'!$C$43*(IF($E599="Win",1,0)-$I599))</f>
        <v>0</v>
      </c>
      <c r="L599" s="124">
        <f>IF($D599="",0,'Guide &amp; Settings'!$C$44*IF($F599&gt;=3,$F599+IF($E599="Win",$F599,0),0))</f>
        <v>0</v>
      </c>
      <c r="M599" s="123">
        <f>IF($D599="",0,$J599+$K599+$L599)</f>
        <v>0</v>
      </c>
      <c r="N599" s="121">
        <f>IF($D599="",0,$H599+$M599)</f>
        <v>0</v>
      </c>
      <c r="O599" s="120" t="str">
        <f>IF($D599="","",IF(COUNTIFS($A$4:$A$810,$A599,$E$4:$E$810,"Win")=0,"need a winner",IF(COUNTIFS($A$4:$A$810,$A599,$E$4:$E$810,"Loss")=0,"need a loser",IF(COUNTIFS($A$4:$A$810,$A599,$D$4:$D$810,$D599)&gt;1,"duplicate player","OK"))))</f>
      </c>
      <c r="P599">
        <f>IF($D599="",0,IFERROR(SUMIFS($H$4:$H$810,$A$4:$A$810,$A599,$E$4:$E$810,"Win")/COUNTIFS($A$4:$A$810,$A599,$E$4:$E$810,"Win"),0))</f>
        <v>0</v>
      </c>
      <c r="Q599">
        <f>IF($D599="",0,1/(1+10^(($P599-$H599)/400)))</f>
        <v>0</v>
      </c>
      <c r="R599">
        <f>IF($D599="",0,(COUNTIFS($D$4:$D$810,$D599,$C$4:$C$810,$C599,$E$4:$E$810,"Win",$A$4:$A$810,"&lt;"&amp;$A599)+1)/(COUNTIFS($D$4:$D$810,$D599,$C$4:$C$810,$C599,$A$4:$A$810,"&lt;"&amp;$A599)+2))</f>
        <v>0</v>
      </c>
      <c r="S599">
        <f>IF($D599="",0,SUMIFS($R$4:$R$810,$A$4:$A$810,$A599))</f>
        <v>0</v>
      </c>
      <c r="T599" s="88">
        <f>IF($D599="",0,COUNTIFS($D$4:$D$810,$D599,$C$4:$C$810,$C599,$A$4:$A$810,"&lt;"&amp;$A599))</f>
        <v>0</v>
      </c>
      <c r="U599" s="125">
        <f>IF($D599="",0,IFERROR(LOOKUP(2,1/(($D$3:D598=$D599)*($C$3:C598=$C599)*($A$3:A598&lt;$A599)),$AB$3:AB598),1000))</f>
        <v>0</v>
      </c>
      <c r="V599" s="125">
        <f>IF($D599="",0,$U599*($T599/($T599+5))+$H599*(1-$T599/($T599+5)))</f>
        <v>0</v>
      </c>
      <c r="W599">
        <f>IF($D599="",0,IFERROR(SUMIFS($V$4:$V$810,$A$4:$A$810,$A599,$E$4:$E$810,"Win")/COUNTIFS($A$4:$A$810,$A599,$E$4:$E$810,"Win"),0))</f>
        <v>0</v>
      </c>
      <c r="X599">
        <f>IF($D599="",0,1/(1+10^(($W599-$V599)/400)))</f>
        <v>0</v>
      </c>
      <c r="Y599">
        <f>IF($D599="",0,IFERROR(SUMIFS($U$4:$U$810,$A$4:$A$810,$A599,$E$4:$E$810,"Win")/COUNTIFS($A$4:$A$810,$A599,$E$4:$E$810,"Win"),0))</f>
        <v>0</v>
      </c>
      <c r="Z599">
        <f>IF($D599="",0,1/(1+10^(($Y599-$U599)/400)))</f>
        <v>0</v>
      </c>
      <c r="AA599">
        <f>IF($D599="",0,IF($F599&lt;2,0,IF($E599="Win",('Guide &amp; Settings'!$C$42/(($F599-1)*COUNTIFS($A$4:$A$810,$A599,$E$4:$E$810,"Win")))*SUMIFS($Z$4:$Z$810,$A$4:$A$810,$A599,$E$4:$E$810,"Loss"),-('Guide &amp; Settings'!$C$42/($F599-1))*$Z599)))</f>
        <v>0</v>
      </c>
      <c r="AB599" s="125">
        <f>IF($D599="",0,$U599+$AA599)</f>
        <v>0</v>
      </c>
      <c r="AC599" s="125" t="str">
        <f>IF($D599="","",IF(SUMPRODUCT(MAX(($D$4:$D$810=$D599)*($B$4:$B$810&lt;$B599)*$B$4:$B$810))=0,0,MAX(($B599-MAX(SUMPRODUCT(MAX(($D$4:$D$810=$D599)*($B$4:$B$810&lt;$B599)*$B$4:$B$810)),'Guide &amp; Settings'!$C$50))/7-'Guide &amp; Settings'!$C$48,0)*'Guide &amp; Settings'!$C$49))</f>
      </c>
    </row>
    <row r="600" spans="1:29">
      <c r="A600" s="116"/>
      <c r="B600" s="117"/>
      <c r="C600" s="118"/>
      <c r="D600" s="118"/>
      <c r="E600" s="116"/>
      <c r="F600" s="119">
        <f>IF($D600="",0,COUNTIF($A$4:$A$810,$A600))</f>
        <v>0</v>
      </c>
      <c r="G600" s="120">
        <f>IF($D600="","",IFERROR(LOOKUP(2,1/(($A$4:$A$810=$A600)*($E$4:$E$810="Win")),$D$4:$D$810),"(no winner)"))</f>
        <v>0</v>
      </c>
      <c r="H600" s="121">
        <f>IF($D600="",0,IFERROR(LOOKUP(2,1/(($D$3:D599=$D600)*($A$3:A599&lt;$A600)),$N$3:N599),'Guide &amp; Settings'!$C$41))</f>
        <v>0</v>
      </c>
      <c r="I600" s="122">
        <f>IF($D600="",0,IF($S600=0,0,$R600/$S600))</f>
        <v>0</v>
      </c>
      <c r="J600" s="123">
        <f>IF($D600="",0,IF($F600&lt;2,0,IF($E600="Win",('Guide &amp; Settings'!$C$42/(($F600-1)*COUNTIFS($A$4:$A$810,$A600,$E$4:$E$810,"Win")))*SUMIFS($X$4:$X$810,$A$4:$A$810,$A600,$E$4:$E$810,"Loss"),-('Guide &amp; Settings'!$C$42/($F600-1))*$X600)))</f>
        <v>0</v>
      </c>
      <c r="K600" s="123">
        <f>IF($D600="",0,'Guide &amp; Settings'!$C$43*(IF($E600="Win",1,0)-$I600))</f>
        <v>0</v>
      </c>
      <c r="L600" s="124">
        <f>IF($D600="",0,'Guide &amp; Settings'!$C$44*IF($F600&gt;=3,$F600+IF($E600="Win",$F600,0),0))</f>
        <v>0</v>
      </c>
      <c r="M600" s="123">
        <f>IF($D600="",0,$J600+$K600+$L600)</f>
        <v>0</v>
      </c>
      <c r="N600" s="121">
        <f>IF($D600="",0,$H600+$M600)</f>
        <v>0</v>
      </c>
      <c r="O600" s="120" t="str">
        <f>IF($D600="","",IF(COUNTIFS($A$4:$A$810,$A600,$E$4:$E$810,"Win")=0,"need a winner",IF(COUNTIFS($A$4:$A$810,$A600,$E$4:$E$810,"Loss")=0,"need a loser",IF(COUNTIFS($A$4:$A$810,$A600,$D$4:$D$810,$D600)&gt;1,"duplicate player","OK"))))</f>
      </c>
      <c r="P600">
        <f>IF($D600="",0,IFERROR(SUMIFS($H$4:$H$810,$A$4:$A$810,$A600,$E$4:$E$810,"Win")/COUNTIFS($A$4:$A$810,$A600,$E$4:$E$810,"Win"),0))</f>
        <v>0</v>
      </c>
      <c r="Q600">
        <f>IF($D600="",0,1/(1+10^(($P600-$H600)/400)))</f>
        <v>0</v>
      </c>
      <c r="R600">
        <f>IF($D600="",0,(COUNTIFS($D$4:$D$810,$D600,$C$4:$C$810,$C600,$E$4:$E$810,"Win",$A$4:$A$810,"&lt;"&amp;$A600)+1)/(COUNTIFS($D$4:$D$810,$D600,$C$4:$C$810,$C600,$A$4:$A$810,"&lt;"&amp;$A600)+2))</f>
        <v>0</v>
      </c>
      <c r="S600">
        <f>IF($D600="",0,SUMIFS($R$4:$R$810,$A$4:$A$810,$A600))</f>
        <v>0</v>
      </c>
      <c r="T600" s="88">
        <f>IF($D600="",0,COUNTIFS($D$4:$D$810,$D600,$C$4:$C$810,$C600,$A$4:$A$810,"&lt;"&amp;$A600))</f>
        <v>0</v>
      </c>
      <c r="U600" s="125">
        <f>IF($D600="",0,IFERROR(LOOKUP(2,1/(($D$3:D599=$D600)*($C$3:C599=$C600)*($A$3:A599&lt;$A600)),$AB$3:AB599),1000))</f>
        <v>0</v>
      </c>
      <c r="V600" s="125">
        <f>IF($D600="",0,$U600*($T600/($T600+5))+$H600*(1-$T600/($T600+5)))</f>
        <v>0</v>
      </c>
      <c r="W600">
        <f>IF($D600="",0,IFERROR(SUMIFS($V$4:$V$810,$A$4:$A$810,$A600,$E$4:$E$810,"Win")/COUNTIFS($A$4:$A$810,$A600,$E$4:$E$810,"Win"),0))</f>
        <v>0</v>
      </c>
      <c r="X600">
        <f>IF($D600="",0,1/(1+10^(($W600-$V600)/400)))</f>
        <v>0</v>
      </c>
      <c r="Y600">
        <f>IF($D600="",0,IFERROR(SUMIFS($U$4:$U$810,$A$4:$A$810,$A600,$E$4:$E$810,"Win")/COUNTIFS($A$4:$A$810,$A600,$E$4:$E$810,"Win"),0))</f>
        <v>0</v>
      </c>
      <c r="Z600">
        <f>IF($D600="",0,1/(1+10^(($Y600-$U600)/400)))</f>
        <v>0</v>
      </c>
      <c r="AA600">
        <f>IF($D600="",0,IF($F600&lt;2,0,IF($E600="Win",('Guide &amp; Settings'!$C$42/(($F600-1)*COUNTIFS($A$4:$A$810,$A600,$E$4:$E$810,"Win")))*SUMIFS($Z$4:$Z$810,$A$4:$A$810,$A600,$E$4:$E$810,"Loss"),-('Guide &amp; Settings'!$C$42/($F600-1))*$Z600)))</f>
        <v>0</v>
      </c>
      <c r="AB600" s="125">
        <f>IF($D600="",0,$U600+$AA600)</f>
        <v>0</v>
      </c>
      <c r="AC600" s="125" t="str">
        <f>IF($D600="","",IF(SUMPRODUCT(MAX(($D$4:$D$810=$D600)*($B$4:$B$810&lt;$B600)*$B$4:$B$810))=0,0,MAX(($B600-MAX(SUMPRODUCT(MAX(($D$4:$D$810=$D600)*($B$4:$B$810&lt;$B600)*$B$4:$B$810)),'Guide &amp; Settings'!$C$50))/7-'Guide &amp; Settings'!$C$48,0)*'Guide &amp; Settings'!$C$49))</f>
      </c>
    </row>
    <row r="601" spans="1:29">
      <c r="A601" s="116"/>
      <c r="B601" s="117"/>
      <c r="C601" s="118"/>
      <c r="D601" s="118"/>
      <c r="E601" s="116"/>
      <c r="F601" s="119">
        <f>IF($D601="",0,COUNTIF($A$4:$A$810,$A601))</f>
        <v>0</v>
      </c>
      <c r="G601" s="120">
        <f>IF($D601="","",IFERROR(LOOKUP(2,1/(($A$4:$A$810=$A601)*($E$4:$E$810="Win")),$D$4:$D$810),"(no winner)"))</f>
        <v>0</v>
      </c>
      <c r="H601" s="121">
        <f>IF($D601="",0,IFERROR(LOOKUP(2,1/(($D$3:D600=$D601)*($A$3:A600&lt;$A601)),$N$3:N600),'Guide &amp; Settings'!$C$41))</f>
        <v>0</v>
      </c>
      <c r="I601" s="122">
        <f>IF($D601="",0,IF($S601=0,0,$R601/$S601))</f>
        <v>0</v>
      </c>
      <c r="J601" s="123">
        <f>IF($D601="",0,IF($F601&lt;2,0,IF($E601="Win",('Guide &amp; Settings'!$C$42/(($F601-1)*COUNTIFS($A$4:$A$810,$A601,$E$4:$E$810,"Win")))*SUMIFS($X$4:$X$810,$A$4:$A$810,$A601,$E$4:$E$810,"Loss"),-('Guide &amp; Settings'!$C$42/($F601-1))*$X601)))</f>
        <v>0</v>
      </c>
      <c r="K601" s="123">
        <f>IF($D601="",0,'Guide &amp; Settings'!$C$43*(IF($E601="Win",1,0)-$I601))</f>
        <v>0</v>
      </c>
      <c r="L601" s="124">
        <f>IF($D601="",0,'Guide &amp; Settings'!$C$44*IF($F601&gt;=3,$F601+IF($E601="Win",$F601,0),0))</f>
        <v>0</v>
      </c>
      <c r="M601" s="123">
        <f>IF($D601="",0,$J601+$K601+$L601)</f>
        <v>0</v>
      </c>
      <c r="N601" s="121">
        <f>IF($D601="",0,$H601+$M601)</f>
        <v>0</v>
      </c>
      <c r="O601" s="120" t="str">
        <f>IF($D601="","",IF(COUNTIFS($A$4:$A$810,$A601,$E$4:$E$810,"Win")=0,"need a winner",IF(COUNTIFS($A$4:$A$810,$A601,$E$4:$E$810,"Loss")=0,"need a loser",IF(COUNTIFS($A$4:$A$810,$A601,$D$4:$D$810,$D601)&gt;1,"duplicate player","OK"))))</f>
      </c>
      <c r="P601">
        <f>IF($D601="",0,IFERROR(SUMIFS($H$4:$H$810,$A$4:$A$810,$A601,$E$4:$E$810,"Win")/COUNTIFS($A$4:$A$810,$A601,$E$4:$E$810,"Win"),0))</f>
        <v>0</v>
      </c>
      <c r="Q601">
        <f>IF($D601="",0,1/(1+10^(($P601-$H601)/400)))</f>
        <v>0</v>
      </c>
      <c r="R601">
        <f>IF($D601="",0,(COUNTIFS($D$4:$D$810,$D601,$C$4:$C$810,$C601,$E$4:$E$810,"Win",$A$4:$A$810,"&lt;"&amp;$A601)+1)/(COUNTIFS($D$4:$D$810,$D601,$C$4:$C$810,$C601,$A$4:$A$810,"&lt;"&amp;$A601)+2))</f>
        <v>0</v>
      </c>
      <c r="S601">
        <f>IF($D601="",0,SUMIFS($R$4:$R$810,$A$4:$A$810,$A601))</f>
        <v>0</v>
      </c>
      <c r="T601" s="88">
        <f>IF($D601="",0,COUNTIFS($D$4:$D$810,$D601,$C$4:$C$810,$C601,$A$4:$A$810,"&lt;"&amp;$A601))</f>
        <v>0</v>
      </c>
      <c r="U601" s="125">
        <f>IF($D601="",0,IFERROR(LOOKUP(2,1/(($D$3:D600=$D601)*($C$3:C600=$C601)*($A$3:A600&lt;$A601)),$AB$3:AB600),1000))</f>
        <v>0</v>
      </c>
      <c r="V601" s="125">
        <f>IF($D601="",0,$U601*($T601/($T601+5))+$H601*(1-$T601/($T601+5)))</f>
        <v>0</v>
      </c>
      <c r="W601">
        <f>IF($D601="",0,IFERROR(SUMIFS($V$4:$V$810,$A$4:$A$810,$A601,$E$4:$E$810,"Win")/COUNTIFS($A$4:$A$810,$A601,$E$4:$E$810,"Win"),0))</f>
        <v>0</v>
      </c>
      <c r="X601">
        <f>IF($D601="",0,1/(1+10^(($W601-$V601)/400)))</f>
        <v>0</v>
      </c>
      <c r="Y601">
        <f>IF($D601="",0,IFERROR(SUMIFS($U$4:$U$810,$A$4:$A$810,$A601,$E$4:$E$810,"Win")/COUNTIFS($A$4:$A$810,$A601,$E$4:$E$810,"Win"),0))</f>
        <v>0</v>
      </c>
      <c r="Z601">
        <f>IF($D601="",0,1/(1+10^(($Y601-$U601)/400)))</f>
        <v>0</v>
      </c>
      <c r="AA601">
        <f>IF($D601="",0,IF($F601&lt;2,0,IF($E601="Win",('Guide &amp; Settings'!$C$42/(($F601-1)*COUNTIFS($A$4:$A$810,$A601,$E$4:$E$810,"Win")))*SUMIFS($Z$4:$Z$810,$A$4:$A$810,$A601,$E$4:$E$810,"Loss"),-('Guide &amp; Settings'!$C$42/($F601-1))*$Z601)))</f>
        <v>0</v>
      </c>
      <c r="AB601" s="125">
        <f>IF($D601="",0,$U601+$AA601)</f>
        <v>0</v>
      </c>
      <c r="AC601" s="125" t="str">
        <f>IF($D601="","",IF(SUMPRODUCT(MAX(($D$4:$D$810=$D601)*($B$4:$B$810&lt;$B601)*$B$4:$B$810))=0,0,MAX(($B601-MAX(SUMPRODUCT(MAX(($D$4:$D$810=$D601)*($B$4:$B$810&lt;$B601)*$B$4:$B$810)),'Guide &amp; Settings'!$C$50))/7-'Guide &amp; Settings'!$C$48,0)*'Guide &amp; Settings'!$C$49))</f>
      </c>
    </row>
    <row r="602" spans="1:29">
      <c r="A602" s="116"/>
      <c r="B602" s="117"/>
      <c r="C602" s="118"/>
      <c r="D602" s="118"/>
      <c r="E602" s="116"/>
      <c r="F602" s="119">
        <f>IF($D602="",0,COUNTIF($A$4:$A$810,$A602))</f>
        <v>0</v>
      </c>
      <c r="G602" s="120">
        <f>IF($D602="","",IFERROR(LOOKUP(2,1/(($A$4:$A$810=$A602)*($E$4:$E$810="Win")),$D$4:$D$810),"(no winner)"))</f>
        <v>0</v>
      </c>
      <c r="H602" s="121">
        <f>IF($D602="",0,IFERROR(LOOKUP(2,1/(($D$3:D601=$D602)*($A$3:A601&lt;$A602)),$N$3:N601),'Guide &amp; Settings'!$C$41))</f>
        <v>0</v>
      </c>
      <c r="I602" s="122">
        <f>IF($D602="",0,IF($S602=0,0,$R602/$S602))</f>
        <v>0</v>
      </c>
      <c r="J602" s="123">
        <f>IF($D602="",0,IF($F602&lt;2,0,IF($E602="Win",('Guide &amp; Settings'!$C$42/(($F602-1)*COUNTIFS($A$4:$A$810,$A602,$E$4:$E$810,"Win")))*SUMIFS($X$4:$X$810,$A$4:$A$810,$A602,$E$4:$E$810,"Loss"),-('Guide &amp; Settings'!$C$42/($F602-1))*$X602)))</f>
        <v>0</v>
      </c>
      <c r="K602" s="123">
        <f>IF($D602="",0,'Guide &amp; Settings'!$C$43*(IF($E602="Win",1,0)-$I602))</f>
        <v>0</v>
      </c>
      <c r="L602" s="124">
        <f>IF($D602="",0,'Guide &amp; Settings'!$C$44*IF($F602&gt;=3,$F602+IF($E602="Win",$F602,0),0))</f>
        <v>0</v>
      </c>
      <c r="M602" s="123">
        <f>IF($D602="",0,$J602+$K602+$L602)</f>
        <v>0</v>
      </c>
      <c r="N602" s="121">
        <f>IF($D602="",0,$H602+$M602)</f>
        <v>0</v>
      </c>
      <c r="O602" s="120" t="str">
        <f>IF($D602="","",IF(COUNTIFS($A$4:$A$810,$A602,$E$4:$E$810,"Win")=0,"need a winner",IF(COUNTIFS($A$4:$A$810,$A602,$E$4:$E$810,"Loss")=0,"need a loser",IF(COUNTIFS($A$4:$A$810,$A602,$D$4:$D$810,$D602)&gt;1,"duplicate player","OK"))))</f>
      </c>
      <c r="P602">
        <f>IF($D602="",0,IFERROR(SUMIFS($H$4:$H$810,$A$4:$A$810,$A602,$E$4:$E$810,"Win")/COUNTIFS($A$4:$A$810,$A602,$E$4:$E$810,"Win"),0))</f>
        <v>0</v>
      </c>
      <c r="Q602">
        <f>IF($D602="",0,1/(1+10^(($P602-$H602)/400)))</f>
        <v>0</v>
      </c>
      <c r="R602">
        <f>IF($D602="",0,(COUNTIFS($D$4:$D$810,$D602,$C$4:$C$810,$C602,$E$4:$E$810,"Win",$A$4:$A$810,"&lt;"&amp;$A602)+1)/(COUNTIFS($D$4:$D$810,$D602,$C$4:$C$810,$C602,$A$4:$A$810,"&lt;"&amp;$A602)+2))</f>
        <v>0</v>
      </c>
      <c r="S602">
        <f>IF($D602="",0,SUMIFS($R$4:$R$810,$A$4:$A$810,$A602))</f>
        <v>0</v>
      </c>
      <c r="T602" s="88">
        <f>IF($D602="",0,COUNTIFS($D$4:$D$810,$D602,$C$4:$C$810,$C602,$A$4:$A$810,"&lt;"&amp;$A602))</f>
        <v>0</v>
      </c>
      <c r="U602" s="125">
        <f>IF($D602="",0,IFERROR(LOOKUP(2,1/(($D$3:D601=$D602)*($C$3:C601=$C602)*($A$3:A601&lt;$A602)),$AB$3:AB601),1000))</f>
        <v>0</v>
      </c>
      <c r="V602" s="125">
        <f>IF($D602="",0,$U602*($T602/($T602+5))+$H602*(1-$T602/($T602+5)))</f>
        <v>0</v>
      </c>
      <c r="W602">
        <f>IF($D602="",0,IFERROR(SUMIFS($V$4:$V$810,$A$4:$A$810,$A602,$E$4:$E$810,"Win")/COUNTIFS($A$4:$A$810,$A602,$E$4:$E$810,"Win"),0))</f>
        <v>0</v>
      </c>
      <c r="X602">
        <f>IF($D602="",0,1/(1+10^(($W602-$V602)/400)))</f>
        <v>0</v>
      </c>
      <c r="Y602">
        <f>IF($D602="",0,IFERROR(SUMIFS($U$4:$U$810,$A$4:$A$810,$A602,$E$4:$E$810,"Win")/COUNTIFS($A$4:$A$810,$A602,$E$4:$E$810,"Win"),0))</f>
        <v>0</v>
      </c>
      <c r="Z602">
        <f>IF($D602="",0,1/(1+10^(($Y602-$U602)/400)))</f>
        <v>0</v>
      </c>
      <c r="AA602">
        <f>IF($D602="",0,IF($F602&lt;2,0,IF($E602="Win",('Guide &amp; Settings'!$C$42/(($F602-1)*COUNTIFS($A$4:$A$810,$A602,$E$4:$E$810,"Win")))*SUMIFS($Z$4:$Z$810,$A$4:$A$810,$A602,$E$4:$E$810,"Loss"),-('Guide &amp; Settings'!$C$42/($F602-1))*$Z602)))</f>
        <v>0</v>
      </c>
      <c r="AB602" s="125">
        <f>IF($D602="",0,$U602+$AA602)</f>
        <v>0</v>
      </c>
      <c r="AC602" s="125" t="str">
        <f>IF($D602="","",IF(SUMPRODUCT(MAX(($D$4:$D$810=$D602)*($B$4:$B$810&lt;$B602)*$B$4:$B$810))=0,0,MAX(($B602-MAX(SUMPRODUCT(MAX(($D$4:$D$810=$D602)*($B$4:$B$810&lt;$B602)*$B$4:$B$810)),'Guide &amp; Settings'!$C$50))/7-'Guide &amp; Settings'!$C$48,0)*'Guide &amp; Settings'!$C$49))</f>
      </c>
    </row>
    <row r="603" spans="1:29">
      <c r="A603" s="116"/>
      <c r="B603" s="117"/>
      <c r="C603" s="118"/>
      <c r="D603" s="118"/>
      <c r="E603" s="116"/>
      <c r="F603" s="119">
        <f>IF($D603="",0,COUNTIF($A$4:$A$810,$A603))</f>
        <v>0</v>
      </c>
      <c r="G603" s="120">
        <f>IF($D603="","",IFERROR(LOOKUP(2,1/(($A$4:$A$810=$A603)*($E$4:$E$810="Win")),$D$4:$D$810),"(no winner)"))</f>
        <v>0</v>
      </c>
      <c r="H603" s="121">
        <f>IF($D603="",0,IFERROR(LOOKUP(2,1/(($D$3:D602=$D603)*($A$3:A602&lt;$A603)),$N$3:N602),'Guide &amp; Settings'!$C$41))</f>
        <v>0</v>
      </c>
      <c r="I603" s="122">
        <f>IF($D603="",0,IF($S603=0,0,$R603/$S603))</f>
        <v>0</v>
      </c>
      <c r="J603" s="123">
        <f>IF($D603="",0,IF($F603&lt;2,0,IF($E603="Win",('Guide &amp; Settings'!$C$42/(($F603-1)*COUNTIFS($A$4:$A$810,$A603,$E$4:$E$810,"Win")))*SUMIFS($X$4:$X$810,$A$4:$A$810,$A603,$E$4:$E$810,"Loss"),-('Guide &amp; Settings'!$C$42/($F603-1))*$X603)))</f>
        <v>0</v>
      </c>
      <c r="K603" s="123">
        <f>IF($D603="",0,'Guide &amp; Settings'!$C$43*(IF($E603="Win",1,0)-$I603))</f>
        <v>0</v>
      </c>
      <c r="L603" s="124">
        <f>IF($D603="",0,'Guide &amp; Settings'!$C$44*IF($F603&gt;=3,$F603+IF($E603="Win",$F603,0),0))</f>
        <v>0</v>
      </c>
      <c r="M603" s="123">
        <f>IF($D603="",0,$J603+$K603+$L603)</f>
        <v>0</v>
      </c>
      <c r="N603" s="121">
        <f>IF($D603="",0,$H603+$M603)</f>
        <v>0</v>
      </c>
      <c r="O603" s="120" t="str">
        <f>IF($D603="","",IF(COUNTIFS($A$4:$A$810,$A603,$E$4:$E$810,"Win")=0,"need a winner",IF(COUNTIFS($A$4:$A$810,$A603,$E$4:$E$810,"Loss")=0,"need a loser",IF(COUNTIFS($A$4:$A$810,$A603,$D$4:$D$810,$D603)&gt;1,"duplicate player","OK"))))</f>
      </c>
      <c r="P603">
        <f>IF($D603="",0,IFERROR(SUMIFS($H$4:$H$810,$A$4:$A$810,$A603,$E$4:$E$810,"Win")/COUNTIFS($A$4:$A$810,$A603,$E$4:$E$810,"Win"),0))</f>
        <v>0</v>
      </c>
      <c r="Q603">
        <f>IF($D603="",0,1/(1+10^(($P603-$H603)/400)))</f>
        <v>0</v>
      </c>
      <c r="R603">
        <f>IF($D603="",0,(COUNTIFS($D$4:$D$810,$D603,$C$4:$C$810,$C603,$E$4:$E$810,"Win",$A$4:$A$810,"&lt;"&amp;$A603)+1)/(COUNTIFS($D$4:$D$810,$D603,$C$4:$C$810,$C603,$A$4:$A$810,"&lt;"&amp;$A603)+2))</f>
        <v>0</v>
      </c>
      <c r="S603">
        <f>IF($D603="",0,SUMIFS($R$4:$R$810,$A$4:$A$810,$A603))</f>
        <v>0</v>
      </c>
      <c r="T603" s="88">
        <f>IF($D603="",0,COUNTIFS($D$4:$D$810,$D603,$C$4:$C$810,$C603,$A$4:$A$810,"&lt;"&amp;$A603))</f>
        <v>0</v>
      </c>
      <c r="U603" s="125">
        <f>IF($D603="",0,IFERROR(LOOKUP(2,1/(($D$3:D602=$D603)*($C$3:C602=$C603)*($A$3:A602&lt;$A603)),$AB$3:AB602),1000))</f>
        <v>0</v>
      </c>
      <c r="V603" s="125">
        <f>IF($D603="",0,$U603*($T603/($T603+5))+$H603*(1-$T603/($T603+5)))</f>
        <v>0</v>
      </c>
      <c r="W603">
        <f>IF($D603="",0,IFERROR(SUMIFS($V$4:$V$810,$A$4:$A$810,$A603,$E$4:$E$810,"Win")/COUNTIFS($A$4:$A$810,$A603,$E$4:$E$810,"Win"),0))</f>
        <v>0</v>
      </c>
      <c r="X603">
        <f>IF($D603="",0,1/(1+10^(($W603-$V603)/400)))</f>
        <v>0</v>
      </c>
      <c r="Y603">
        <f>IF($D603="",0,IFERROR(SUMIFS($U$4:$U$810,$A$4:$A$810,$A603,$E$4:$E$810,"Win")/COUNTIFS($A$4:$A$810,$A603,$E$4:$E$810,"Win"),0))</f>
        <v>0</v>
      </c>
      <c r="Z603">
        <f>IF($D603="",0,1/(1+10^(($Y603-$U603)/400)))</f>
        <v>0</v>
      </c>
      <c r="AA603">
        <f>IF($D603="",0,IF($F603&lt;2,0,IF($E603="Win",('Guide &amp; Settings'!$C$42/(($F603-1)*COUNTIFS($A$4:$A$810,$A603,$E$4:$E$810,"Win")))*SUMIFS($Z$4:$Z$810,$A$4:$A$810,$A603,$E$4:$E$810,"Loss"),-('Guide &amp; Settings'!$C$42/($F603-1))*$Z603)))</f>
        <v>0</v>
      </c>
      <c r="AB603" s="125">
        <f>IF($D603="",0,$U603+$AA603)</f>
        <v>0</v>
      </c>
      <c r="AC603" s="125" t="str">
        <f>IF($D603="","",IF(SUMPRODUCT(MAX(($D$4:$D$810=$D603)*($B$4:$B$810&lt;$B603)*$B$4:$B$810))=0,0,MAX(($B603-MAX(SUMPRODUCT(MAX(($D$4:$D$810=$D603)*($B$4:$B$810&lt;$B603)*$B$4:$B$810)),'Guide &amp; Settings'!$C$50))/7-'Guide &amp; Settings'!$C$48,0)*'Guide &amp; Settings'!$C$49))</f>
      </c>
    </row>
    <row r="604" spans="1:29">
      <c r="A604" s="116"/>
      <c r="B604" s="117"/>
      <c r="C604" s="118"/>
      <c r="D604" s="118"/>
      <c r="E604" s="116"/>
      <c r="F604" s="119">
        <f>IF($D604="",0,COUNTIF($A$4:$A$810,$A604))</f>
        <v>0</v>
      </c>
      <c r="G604" s="120">
        <f>IF($D604="","",IFERROR(LOOKUP(2,1/(($A$4:$A$810=$A604)*($E$4:$E$810="Win")),$D$4:$D$810),"(no winner)"))</f>
        <v>0</v>
      </c>
      <c r="H604" s="121">
        <f>IF($D604="",0,IFERROR(LOOKUP(2,1/(($D$3:D603=$D604)*($A$3:A603&lt;$A604)),$N$3:N603),'Guide &amp; Settings'!$C$41))</f>
        <v>0</v>
      </c>
      <c r="I604" s="122">
        <f>IF($D604="",0,IF($S604=0,0,$R604/$S604))</f>
        <v>0</v>
      </c>
      <c r="J604" s="123">
        <f>IF($D604="",0,IF($F604&lt;2,0,IF($E604="Win",('Guide &amp; Settings'!$C$42/(($F604-1)*COUNTIFS($A$4:$A$810,$A604,$E$4:$E$810,"Win")))*SUMIFS($X$4:$X$810,$A$4:$A$810,$A604,$E$4:$E$810,"Loss"),-('Guide &amp; Settings'!$C$42/($F604-1))*$X604)))</f>
        <v>0</v>
      </c>
      <c r="K604" s="123">
        <f>IF($D604="",0,'Guide &amp; Settings'!$C$43*(IF($E604="Win",1,0)-$I604))</f>
        <v>0</v>
      </c>
      <c r="L604" s="124">
        <f>IF($D604="",0,'Guide &amp; Settings'!$C$44*IF($F604&gt;=3,$F604+IF($E604="Win",$F604,0),0))</f>
        <v>0</v>
      </c>
      <c r="M604" s="123">
        <f>IF($D604="",0,$J604+$K604+$L604)</f>
        <v>0</v>
      </c>
      <c r="N604" s="121">
        <f>IF($D604="",0,$H604+$M604)</f>
        <v>0</v>
      </c>
      <c r="O604" s="120" t="str">
        <f>IF($D604="","",IF(COUNTIFS($A$4:$A$810,$A604,$E$4:$E$810,"Win")=0,"need a winner",IF(COUNTIFS($A$4:$A$810,$A604,$E$4:$E$810,"Loss")=0,"need a loser",IF(COUNTIFS($A$4:$A$810,$A604,$D$4:$D$810,$D604)&gt;1,"duplicate player","OK"))))</f>
      </c>
      <c r="P604">
        <f>IF($D604="",0,IFERROR(SUMIFS($H$4:$H$810,$A$4:$A$810,$A604,$E$4:$E$810,"Win")/COUNTIFS($A$4:$A$810,$A604,$E$4:$E$810,"Win"),0))</f>
        <v>0</v>
      </c>
      <c r="Q604">
        <f>IF($D604="",0,1/(1+10^(($P604-$H604)/400)))</f>
        <v>0</v>
      </c>
      <c r="R604">
        <f>IF($D604="",0,(COUNTIFS($D$4:$D$810,$D604,$C$4:$C$810,$C604,$E$4:$E$810,"Win",$A$4:$A$810,"&lt;"&amp;$A604)+1)/(COUNTIFS($D$4:$D$810,$D604,$C$4:$C$810,$C604,$A$4:$A$810,"&lt;"&amp;$A604)+2))</f>
        <v>0</v>
      </c>
      <c r="S604">
        <f>IF($D604="",0,SUMIFS($R$4:$R$810,$A$4:$A$810,$A604))</f>
        <v>0</v>
      </c>
      <c r="T604" s="88">
        <f>IF($D604="",0,COUNTIFS($D$4:$D$810,$D604,$C$4:$C$810,$C604,$A$4:$A$810,"&lt;"&amp;$A604))</f>
        <v>0</v>
      </c>
      <c r="U604" s="125">
        <f>IF($D604="",0,IFERROR(LOOKUP(2,1/(($D$3:D603=$D604)*($C$3:C603=$C604)*($A$3:A603&lt;$A604)),$AB$3:AB603),1000))</f>
        <v>0</v>
      </c>
      <c r="V604" s="125">
        <f>IF($D604="",0,$U604*($T604/($T604+5))+$H604*(1-$T604/($T604+5)))</f>
        <v>0</v>
      </c>
      <c r="W604">
        <f>IF($D604="",0,IFERROR(SUMIFS($V$4:$V$810,$A$4:$A$810,$A604,$E$4:$E$810,"Win")/COUNTIFS($A$4:$A$810,$A604,$E$4:$E$810,"Win"),0))</f>
        <v>0</v>
      </c>
      <c r="X604">
        <f>IF($D604="",0,1/(1+10^(($W604-$V604)/400)))</f>
        <v>0</v>
      </c>
      <c r="Y604">
        <f>IF($D604="",0,IFERROR(SUMIFS($U$4:$U$810,$A$4:$A$810,$A604,$E$4:$E$810,"Win")/COUNTIFS($A$4:$A$810,$A604,$E$4:$E$810,"Win"),0))</f>
        <v>0</v>
      </c>
      <c r="Z604">
        <f>IF($D604="",0,1/(1+10^(($Y604-$U604)/400)))</f>
        <v>0</v>
      </c>
      <c r="AA604">
        <f>IF($D604="",0,IF($F604&lt;2,0,IF($E604="Win",('Guide &amp; Settings'!$C$42/(($F604-1)*COUNTIFS($A$4:$A$810,$A604,$E$4:$E$810,"Win")))*SUMIFS($Z$4:$Z$810,$A$4:$A$810,$A604,$E$4:$E$810,"Loss"),-('Guide &amp; Settings'!$C$42/($F604-1))*$Z604)))</f>
        <v>0</v>
      </c>
      <c r="AB604" s="125">
        <f>IF($D604="",0,$U604+$AA604)</f>
        <v>0</v>
      </c>
      <c r="AC604" s="125" t="str">
        <f>IF($D604="","",IF(SUMPRODUCT(MAX(($D$4:$D$810=$D604)*($B$4:$B$810&lt;$B604)*$B$4:$B$810))=0,0,MAX(($B604-MAX(SUMPRODUCT(MAX(($D$4:$D$810=$D604)*($B$4:$B$810&lt;$B604)*$B$4:$B$810)),'Guide &amp; Settings'!$C$50))/7-'Guide &amp; Settings'!$C$48,0)*'Guide &amp; Settings'!$C$49))</f>
      </c>
    </row>
    <row r="605" spans="1:29">
      <c r="A605" s="116"/>
      <c r="B605" s="117"/>
      <c r="C605" s="118"/>
      <c r="D605" s="118"/>
      <c r="E605" s="116"/>
      <c r="F605" s="119">
        <f>IF($D605="",0,COUNTIF($A$4:$A$810,$A605))</f>
        <v>0</v>
      </c>
      <c r="G605" s="120">
        <f>IF($D605="","",IFERROR(LOOKUP(2,1/(($A$4:$A$810=$A605)*($E$4:$E$810="Win")),$D$4:$D$810),"(no winner)"))</f>
        <v>0</v>
      </c>
      <c r="H605" s="121">
        <f>IF($D605="",0,IFERROR(LOOKUP(2,1/(($D$3:D604=$D605)*($A$3:A604&lt;$A605)),$N$3:N604),'Guide &amp; Settings'!$C$41))</f>
        <v>0</v>
      </c>
      <c r="I605" s="122">
        <f>IF($D605="",0,IF($S605=0,0,$R605/$S605))</f>
        <v>0</v>
      </c>
      <c r="J605" s="123">
        <f>IF($D605="",0,IF($F605&lt;2,0,IF($E605="Win",('Guide &amp; Settings'!$C$42/(($F605-1)*COUNTIFS($A$4:$A$810,$A605,$E$4:$E$810,"Win")))*SUMIFS($X$4:$X$810,$A$4:$A$810,$A605,$E$4:$E$810,"Loss"),-('Guide &amp; Settings'!$C$42/($F605-1))*$X605)))</f>
        <v>0</v>
      </c>
      <c r="K605" s="123">
        <f>IF($D605="",0,'Guide &amp; Settings'!$C$43*(IF($E605="Win",1,0)-$I605))</f>
        <v>0</v>
      </c>
      <c r="L605" s="124">
        <f>IF($D605="",0,'Guide &amp; Settings'!$C$44*IF($F605&gt;=3,$F605+IF($E605="Win",$F605,0),0))</f>
        <v>0</v>
      </c>
      <c r="M605" s="123">
        <f>IF($D605="",0,$J605+$K605+$L605)</f>
        <v>0</v>
      </c>
      <c r="N605" s="121">
        <f>IF($D605="",0,$H605+$M605)</f>
        <v>0</v>
      </c>
      <c r="O605" s="120" t="str">
        <f>IF($D605="","",IF(COUNTIFS($A$4:$A$810,$A605,$E$4:$E$810,"Win")=0,"need a winner",IF(COUNTIFS($A$4:$A$810,$A605,$E$4:$E$810,"Loss")=0,"need a loser",IF(COUNTIFS($A$4:$A$810,$A605,$D$4:$D$810,$D605)&gt;1,"duplicate player","OK"))))</f>
      </c>
      <c r="P605">
        <f>IF($D605="",0,IFERROR(SUMIFS($H$4:$H$810,$A$4:$A$810,$A605,$E$4:$E$810,"Win")/COUNTIFS($A$4:$A$810,$A605,$E$4:$E$810,"Win"),0))</f>
        <v>0</v>
      </c>
      <c r="Q605">
        <f>IF($D605="",0,1/(1+10^(($P605-$H605)/400)))</f>
        <v>0</v>
      </c>
      <c r="R605">
        <f>IF($D605="",0,(COUNTIFS($D$4:$D$810,$D605,$C$4:$C$810,$C605,$E$4:$E$810,"Win",$A$4:$A$810,"&lt;"&amp;$A605)+1)/(COUNTIFS($D$4:$D$810,$D605,$C$4:$C$810,$C605,$A$4:$A$810,"&lt;"&amp;$A605)+2))</f>
        <v>0</v>
      </c>
      <c r="S605">
        <f>IF($D605="",0,SUMIFS($R$4:$R$810,$A$4:$A$810,$A605))</f>
        <v>0</v>
      </c>
      <c r="T605" s="88">
        <f>IF($D605="",0,COUNTIFS($D$4:$D$810,$D605,$C$4:$C$810,$C605,$A$4:$A$810,"&lt;"&amp;$A605))</f>
        <v>0</v>
      </c>
      <c r="U605" s="125">
        <f>IF($D605="",0,IFERROR(LOOKUP(2,1/(($D$3:D604=$D605)*($C$3:C604=$C605)*($A$3:A604&lt;$A605)),$AB$3:AB604),1000))</f>
        <v>0</v>
      </c>
      <c r="V605" s="125">
        <f>IF($D605="",0,$U605*($T605/($T605+5))+$H605*(1-$T605/($T605+5)))</f>
        <v>0</v>
      </c>
      <c r="W605">
        <f>IF($D605="",0,IFERROR(SUMIFS($V$4:$V$810,$A$4:$A$810,$A605,$E$4:$E$810,"Win")/COUNTIFS($A$4:$A$810,$A605,$E$4:$E$810,"Win"),0))</f>
        <v>0</v>
      </c>
      <c r="X605">
        <f>IF($D605="",0,1/(1+10^(($W605-$V605)/400)))</f>
        <v>0</v>
      </c>
      <c r="Y605">
        <f>IF($D605="",0,IFERROR(SUMIFS($U$4:$U$810,$A$4:$A$810,$A605,$E$4:$E$810,"Win")/COUNTIFS($A$4:$A$810,$A605,$E$4:$E$810,"Win"),0))</f>
        <v>0</v>
      </c>
      <c r="Z605">
        <f>IF($D605="",0,1/(1+10^(($Y605-$U605)/400)))</f>
        <v>0</v>
      </c>
      <c r="AA605">
        <f>IF($D605="",0,IF($F605&lt;2,0,IF($E605="Win",('Guide &amp; Settings'!$C$42/(($F605-1)*COUNTIFS($A$4:$A$810,$A605,$E$4:$E$810,"Win")))*SUMIFS($Z$4:$Z$810,$A$4:$A$810,$A605,$E$4:$E$810,"Loss"),-('Guide &amp; Settings'!$C$42/($F605-1))*$Z605)))</f>
        <v>0</v>
      </c>
      <c r="AB605" s="125">
        <f>IF($D605="",0,$U605+$AA605)</f>
        <v>0</v>
      </c>
      <c r="AC605" s="125" t="str">
        <f>IF($D605="","",IF(SUMPRODUCT(MAX(($D$4:$D$810=$D605)*($B$4:$B$810&lt;$B605)*$B$4:$B$810))=0,0,MAX(($B605-MAX(SUMPRODUCT(MAX(($D$4:$D$810=$D605)*($B$4:$B$810&lt;$B605)*$B$4:$B$810)),'Guide &amp; Settings'!$C$50))/7-'Guide &amp; Settings'!$C$48,0)*'Guide &amp; Settings'!$C$49))</f>
      </c>
    </row>
    <row r="606" spans="1:29">
      <c r="A606" s="116"/>
      <c r="B606" s="117"/>
      <c r="C606" s="118"/>
      <c r="D606" s="118"/>
      <c r="E606" s="116"/>
      <c r="F606" s="119">
        <f>IF($D606="",0,COUNTIF($A$4:$A$810,$A606))</f>
        <v>0</v>
      </c>
      <c r="G606" s="120">
        <f>IF($D606="","",IFERROR(LOOKUP(2,1/(($A$4:$A$810=$A606)*($E$4:$E$810="Win")),$D$4:$D$810),"(no winner)"))</f>
        <v>0</v>
      </c>
      <c r="H606" s="121">
        <f>IF($D606="",0,IFERROR(LOOKUP(2,1/(($D$3:D605=$D606)*($A$3:A605&lt;$A606)),$N$3:N605),'Guide &amp; Settings'!$C$41))</f>
        <v>0</v>
      </c>
      <c r="I606" s="122">
        <f>IF($D606="",0,IF($S606=0,0,$R606/$S606))</f>
        <v>0</v>
      </c>
      <c r="J606" s="123">
        <f>IF($D606="",0,IF($F606&lt;2,0,IF($E606="Win",('Guide &amp; Settings'!$C$42/(($F606-1)*COUNTIFS($A$4:$A$810,$A606,$E$4:$E$810,"Win")))*SUMIFS($X$4:$X$810,$A$4:$A$810,$A606,$E$4:$E$810,"Loss"),-('Guide &amp; Settings'!$C$42/($F606-1))*$X606)))</f>
        <v>0</v>
      </c>
      <c r="K606" s="123">
        <f>IF($D606="",0,'Guide &amp; Settings'!$C$43*(IF($E606="Win",1,0)-$I606))</f>
        <v>0</v>
      </c>
      <c r="L606" s="124">
        <f>IF($D606="",0,'Guide &amp; Settings'!$C$44*IF($F606&gt;=3,$F606+IF($E606="Win",$F606,0),0))</f>
        <v>0</v>
      </c>
      <c r="M606" s="123">
        <f>IF($D606="",0,$J606+$K606+$L606)</f>
        <v>0</v>
      </c>
      <c r="N606" s="121">
        <f>IF($D606="",0,$H606+$M606)</f>
        <v>0</v>
      </c>
      <c r="O606" s="120" t="str">
        <f>IF($D606="","",IF(COUNTIFS($A$4:$A$810,$A606,$E$4:$E$810,"Win")=0,"need a winner",IF(COUNTIFS($A$4:$A$810,$A606,$E$4:$E$810,"Loss")=0,"need a loser",IF(COUNTIFS($A$4:$A$810,$A606,$D$4:$D$810,$D606)&gt;1,"duplicate player","OK"))))</f>
      </c>
      <c r="P606">
        <f>IF($D606="",0,IFERROR(SUMIFS($H$4:$H$810,$A$4:$A$810,$A606,$E$4:$E$810,"Win")/COUNTIFS($A$4:$A$810,$A606,$E$4:$E$810,"Win"),0))</f>
        <v>0</v>
      </c>
      <c r="Q606">
        <f>IF($D606="",0,1/(1+10^(($P606-$H606)/400)))</f>
        <v>0</v>
      </c>
      <c r="R606">
        <f>IF($D606="",0,(COUNTIFS($D$4:$D$810,$D606,$C$4:$C$810,$C606,$E$4:$E$810,"Win",$A$4:$A$810,"&lt;"&amp;$A606)+1)/(COUNTIFS($D$4:$D$810,$D606,$C$4:$C$810,$C606,$A$4:$A$810,"&lt;"&amp;$A606)+2))</f>
        <v>0</v>
      </c>
      <c r="S606">
        <f>IF($D606="",0,SUMIFS($R$4:$R$810,$A$4:$A$810,$A606))</f>
        <v>0</v>
      </c>
      <c r="T606" s="88">
        <f>IF($D606="",0,COUNTIFS($D$4:$D$810,$D606,$C$4:$C$810,$C606,$A$4:$A$810,"&lt;"&amp;$A606))</f>
        <v>0</v>
      </c>
      <c r="U606" s="125">
        <f>IF($D606="",0,IFERROR(LOOKUP(2,1/(($D$3:D605=$D606)*($C$3:C605=$C606)*($A$3:A605&lt;$A606)),$AB$3:AB605),1000))</f>
        <v>0</v>
      </c>
      <c r="V606" s="125">
        <f>IF($D606="",0,$U606*($T606/($T606+5))+$H606*(1-$T606/($T606+5)))</f>
        <v>0</v>
      </c>
      <c r="W606">
        <f>IF($D606="",0,IFERROR(SUMIFS($V$4:$V$810,$A$4:$A$810,$A606,$E$4:$E$810,"Win")/COUNTIFS($A$4:$A$810,$A606,$E$4:$E$810,"Win"),0))</f>
        <v>0</v>
      </c>
      <c r="X606">
        <f>IF($D606="",0,1/(1+10^(($W606-$V606)/400)))</f>
        <v>0</v>
      </c>
      <c r="Y606">
        <f>IF($D606="",0,IFERROR(SUMIFS($U$4:$U$810,$A$4:$A$810,$A606,$E$4:$E$810,"Win")/COUNTIFS($A$4:$A$810,$A606,$E$4:$E$810,"Win"),0))</f>
        <v>0</v>
      </c>
      <c r="Z606">
        <f>IF($D606="",0,1/(1+10^(($Y606-$U606)/400)))</f>
        <v>0</v>
      </c>
      <c r="AA606">
        <f>IF($D606="",0,IF($F606&lt;2,0,IF($E606="Win",('Guide &amp; Settings'!$C$42/(($F606-1)*COUNTIFS($A$4:$A$810,$A606,$E$4:$E$810,"Win")))*SUMIFS($Z$4:$Z$810,$A$4:$A$810,$A606,$E$4:$E$810,"Loss"),-('Guide &amp; Settings'!$C$42/($F606-1))*$Z606)))</f>
        <v>0</v>
      </c>
      <c r="AB606" s="125">
        <f>IF($D606="",0,$U606+$AA606)</f>
        <v>0</v>
      </c>
      <c r="AC606" s="125" t="str">
        <f>IF($D606="","",IF(SUMPRODUCT(MAX(($D$4:$D$810=$D606)*($B$4:$B$810&lt;$B606)*$B$4:$B$810))=0,0,MAX(($B606-MAX(SUMPRODUCT(MAX(($D$4:$D$810=$D606)*($B$4:$B$810&lt;$B606)*$B$4:$B$810)),'Guide &amp; Settings'!$C$50))/7-'Guide &amp; Settings'!$C$48,0)*'Guide &amp; Settings'!$C$49))</f>
      </c>
    </row>
    <row r="607" spans="1:29">
      <c r="A607" s="116"/>
      <c r="B607" s="117"/>
      <c r="C607" s="118"/>
      <c r="D607" s="118"/>
      <c r="E607" s="116"/>
      <c r="F607" s="119">
        <f>IF($D607="",0,COUNTIF($A$4:$A$810,$A607))</f>
        <v>0</v>
      </c>
      <c r="G607" s="120">
        <f>IF($D607="","",IFERROR(LOOKUP(2,1/(($A$4:$A$810=$A607)*($E$4:$E$810="Win")),$D$4:$D$810),"(no winner)"))</f>
        <v>0</v>
      </c>
      <c r="H607" s="121">
        <f>IF($D607="",0,IFERROR(LOOKUP(2,1/(($D$3:D606=$D607)*($A$3:A606&lt;$A607)),$N$3:N606),'Guide &amp; Settings'!$C$41))</f>
        <v>0</v>
      </c>
      <c r="I607" s="122">
        <f>IF($D607="",0,IF($S607=0,0,$R607/$S607))</f>
        <v>0</v>
      </c>
      <c r="J607" s="123">
        <f>IF($D607="",0,IF($F607&lt;2,0,IF($E607="Win",('Guide &amp; Settings'!$C$42/(($F607-1)*COUNTIFS($A$4:$A$810,$A607,$E$4:$E$810,"Win")))*SUMIFS($X$4:$X$810,$A$4:$A$810,$A607,$E$4:$E$810,"Loss"),-('Guide &amp; Settings'!$C$42/($F607-1))*$X607)))</f>
        <v>0</v>
      </c>
      <c r="K607" s="123">
        <f>IF($D607="",0,'Guide &amp; Settings'!$C$43*(IF($E607="Win",1,0)-$I607))</f>
        <v>0</v>
      </c>
      <c r="L607" s="124">
        <f>IF($D607="",0,'Guide &amp; Settings'!$C$44*IF($F607&gt;=3,$F607+IF($E607="Win",$F607,0),0))</f>
        <v>0</v>
      </c>
      <c r="M607" s="123">
        <f>IF($D607="",0,$J607+$K607+$L607)</f>
        <v>0</v>
      </c>
      <c r="N607" s="121">
        <f>IF($D607="",0,$H607+$M607)</f>
        <v>0</v>
      </c>
      <c r="O607" s="120" t="str">
        <f>IF($D607="","",IF(COUNTIFS($A$4:$A$810,$A607,$E$4:$E$810,"Win")=0,"need a winner",IF(COUNTIFS($A$4:$A$810,$A607,$E$4:$E$810,"Loss")=0,"need a loser",IF(COUNTIFS($A$4:$A$810,$A607,$D$4:$D$810,$D607)&gt;1,"duplicate player","OK"))))</f>
      </c>
      <c r="P607">
        <f>IF($D607="",0,IFERROR(SUMIFS($H$4:$H$810,$A$4:$A$810,$A607,$E$4:$E$810,"Win")/COUNTIFS($A$4:$A$810,$A607,$E$4:$E$810,"Win"),0))</f>
        <v>0</v>
      </c>
      <c r="Q607">
        <f>IF($D607="",0,1/(1+10^(($P607-$H607)/400)))</f>
        <v>0</v>
      </c>
      <c r="R607">
        <f>IF($D607="",0,(COUNTIFS($D$4:$D$810,$D607,$C$4:$C$810,$C607,$E$4:$E$810,"Win",$A$4:$A$810,"&lt;"&amp;$A607)+1)/(COUNTIFS($D$4:$D$810,$D607,$C$4:$C$810,$C607,$A$4:$A$810,"&lt;"&amp;$A607)+2))</f>
        <v>0</v>
      </c>
      <c r="S607">
        <f>IF($D607="",0,SUMIFS($R$4:$R$810,$A$4:$A$810,$A607))</f>
        <v>0</v>
      </c>
      <c r="T607" s="88">
        <f>IF($D607="",0,COUNTIFS($D$4:$D$810,$D607,$C$4:$C$810,$C607,$A$4:$A$810,"&lt;"&amp;$A607))</f>
        <v>0</v>
      </c>
      <c r="U607" s="125">
        <f>IF($D607="",0,IFERROR(LOOKUP(2,1/(($D$3:D606=$D607)*($C$3:C606=$C607)*($A$3:A606&lt;$A607)),$AB$3:AB606),1000))</f>
        <v>0</v>
      </c>
      <c r="V607" s="125">
        <f>IF($D607="",0,$U607*($T607/($T607+5))+$H607*(1-$T607/($T607+5)))</f>
        <v>0</v>
      </c>
      <c r="W607">
        <f>IF($D607="",0,IFERROR(SUMIFS($V$4:$V$810,$A$4:$A$810,$A607,$E$4:$E$810,"Win")/COUNTIFS($A$4:$A$810,$A607,$E$4:$E$810,"Win"),0))</f>
        <v>0</v>
      </c>
      <c r="X607">
        <f>IF($D607="",0,1/(1+10^(($W607-$V607)/400)))</f>
        <v>0</v>
      </c>
      <c r="Y607">
        <f>IF($D607="",0,IFERROR(SUMIFS($U$4:$U$810,$A$4:$A$810,$A607,$E$4:$E$810,"Win")/COUNTIFS($A$4:$A$810,$A607,$E$4:$E$810,"Win"),0))</f>
        <v>0</v>
      </c>
      <c r="Z607">
        <f>IF($D607="",0,1/(1+10^(($Y607-$U607)/400)))</f>
        <v>0</v>
      </c>
      <c r="AA607">
        <f>IF($D607="",0,IF($F607&lt;2,0,IF($E607="Win",('Guide &amp; Settings'!$C$42/(($F607-1)*COUNTIFS($A$4:$A$810,$A607,$E$4:$E$810,"Win")))*SUMIFS($Z$4:$Z$810,$A$4:$A$810,$A607,$E$4:$E$810,"Loss"),-('Guide &amp; Settings'!$C$42/($F607-1))*$Z607)))</f>
        <v>0</v>
      </c>
      <c r="AB607" s="125">
        <f>IF($D607="",0,$U607+$AA607)</f>
        <v>0</v>
      </c>
      <c r="AC607" s="125" t="str">
        <f>IF($D607="","",IF(SUMPRODUCT(MAX(($D$4:$D$810=$D607)*($B$4:$B$810&lt;$B607)*$B$4:$B$810))=0,0,MAX(($B607-MAX(SUMPRODUCT(MAX(($D$4:$D$810=$D607)*($B$4:$B$810&lt;$B607)*$B$4:$B$810)),'Guide &amp; Settings'!$C$50))/7-'Guide &amp; Settings'!$C$48,0)*'Guide &amp; Settings'!$C$49))</f>
      </c>
    </row>
    <row r="608" spans="1:29">
      <c r="A608" s="116"/>
      <c r="B608" s="117"/>
      <c r="C608" s="118"/>
      <c r="D608" s="118"/>
      <c r="E608" s="116"/>
      <c r="F608" s="119">
        <f>IF($D608="",0,COUNTIF($A$4:$A$810,$A608))</f>
        <v>0</v>
      </c>
      <c r="G608" s="120">
        <f>IF($D608="","",IFERROR(LOOKUP(2,1/(($A$4:$A$810=$A608)*($E$4:$E$810="Win")),$D$4:$D$810),"(no winner)"))</f>
        <v>0</v>
      </c>
      <c r="H608" s="121">
        <f>IF($D608="",0,IFERROR(LOOKUP(2,1/(($D$3:D607=$D608)*($A$3:A607&lt;$A608)),$N$3:N607),'Guide &amp; Settings'!$C$41))</f>
        <v>0</v>
      </c>
      <c r="I608" s="122">
        <f>IF($D608="",0,IF($S608=0,0,$R608/$S608))</f>
        <v>0</v>
      </c>
      <c r="J608" s="123">
        <f>IF($D608="",0,IF($F608&lt;2,0,IF($E608="Win",('Guide &amp; Settings'!$C$42/(($F608-1)*COUNTIFS($A$4:$A$810,$A608,$E$4:$E$810,"Win")))*SUMIFS($X$4:$X$810,$A$4:$A$810,$A608,$E$4:$E$810,"Loss"),-('Guide &amp; Settings'!$C$42/($F608-1))*$X608)))</f>
        <v>0</v>
      </c>
      <c r="K608" s="123">
        <f>IF($D608="",0,'Guide &amp; Settings'!$C$43*(IF($E608="Win",1,0)-$I608))</f>
        <v>0</v>
      </c>
      <c r="L608" s="124">
        <f>IF($D608="",0,'Guide &amp; Settings'!$C$44*IF($F608&gt;=3,$F608+IF($E608="Win",$F608,0),0))</f>
        <v>0</v>
      </c>
      <c r="M608" s="123">
        <f>IF($D608="",0,$J608+$K608+$L608)</f>
        <v>0</v>
      </c>
      <c r="N608" s="121">
        <f>IF($D608="",0,$H608+$M608)</f>
        <v>0</v>
      </c>
      <c r="O608" s="120" t="str">
        <f>IF($D608="","",IF(COUNTIFS($A$4:$A$810,$A608,$E$4:$E$810,"Win")=0,"need a winner",IF(COUNTIFS($A$4:$A$810,$A608,$E$4:$E$810,"Loss")=0,"need a loser",IF(COUNTIFS($A$4:$A$810,$A608,$D$4:$D$810,$D608)&gt;1,"duplicate player","OK"))))</f>
      </c>
      <c r="P608">
        <f>IF($D608="",0,IFERROR(SUMIFS($H$4:$H$810,$A$4:$A$810,$A608,$E$4:$E$810,"Win")/COUNTIFS($A$4:$A$810,$A608,$E$4:$E$810,"Win"),0))</f>
        <v>0</v>
      </c>
      <c r="Q608">
        <f>IF($D608="",0,1/(1+10^(($P608-$H608)/400)))</f>
        <v>0</v>
      </c>
      <c r="R608">
        <f>IF($D608="",0,(COUNTIFS($D$4:$D$810,$D608,$C$4:$C$810,$C608,$E$4:$E$810,"Win",$A$4:$A$810,"&lt;"&amp;$A608)+1)/(COUNTIFS($D$4:$D$810,$D608,$C$4:$C$810,$C608,$A$4:$A$810,"&lt;"&amp;$A608)+2))</f>
        <v>0</v>
      </c>
      <c r="S608">
        <f>IF($D608="",0,SUMIFS($R$4:$R$810,$A$4:$A$810,$A608))</f>
        <v>0</v>
      </c>
      <c r="T608" s="88">
        <f>IF($D608="",0,COUNTIFS($D$4:$D$810,$D608,$C$4:$C$810,$C608,$A$4:$A$810,"&lt;"&amp;$A608))</f>
        <v>0</v>
      </c>
      <c r="U608" s="125">
        <f>IF($D608="",0,IFERROR(LOOKUP(2,1/(($D$3:D607=$D608)*($C$3:C607=$C608)*($A$3:A607&lt;$A608)),$AB$3:AB607),1000))</f>
        <v>0</v>
      </c>
      <c r="V608" s="125">
        <f>IF($D608="",0,$U608*($T608/($T608+5))+$H608*(1-$T608/($T608+5)))</f>
        <v>0</v>
      </c>
      <c r="W608">
        <f>IF($D608="",0,IFERROR(SUMIFS($V$4:$V$810,$A$4:$A$810,$A608,$E$4:$E$810,"Win")/COUNTIFS($A$4:$A$810,$A608,$E$4:$E$810,"Win"),0))</f>
        <v>0</v>
      </c>
      <c r="X608">
        <f>IF($D608="",0,1/(1+10^(($W608-$V608)/400)))</f>
        <v>0</v>
      </c>
      <c r="Y608">
        <f>IF($D608="",0,IFERROR(SUMIFS($U$4:$U$810,$A$4:$A$810,$A608,$E$4:$E$810,"Win")/COUNTIFS($A$4:$A$810,$A608,$E$4:$E$810,"Win"),0))</f>
        <v>0</v>
      </c>
      <c r="Z608">
        <f>IF($D608="",0,1/(1+10^(($Y608-$U608)/400)))</f>
        <v>0</v>
      </c>
      <c r="AA608">
        <f>IF($D608="",0,IF($F608&lt;2,0,IF($E608="Win",('Guide &amp; Settings'!$C$42/(($F608-1)*COUNTIFS($A$4:$A$810,$A608,$E$4:$E$810,"Win")))*SUMIFS($Z$4:$Z$810,$A$4:$A$810,$A608,$E$4:$E$810,"Loss"),-('Guide &amp; Settings'!$C$42/($F608-1))*$Z608)))</f>
        <v>0</v>
      </c>
      <c r="AB608" s="125">
        <f>IF($D608="",0,$U608+$AA608)</f>
        <v>0</v>
      </c>
      <c r="AC608" s="125" t="str">
        <f>IF($D608="","",IF(SUMPRODUCT(MAX(($D$4:$D$810=$D608)*($B$4:$B$810&lt;$B608)*$B$4:$B$810))=0,0,MAX(($B608-MAX(SUMPRODUCT(MAX(($D$4:$D$810=$D608)*($B$4:$B$810&lt;$B608)*$B$4:$B$810)),'Guide &amp; Settings'!$C$50))/7-'Guide &amp; Settings'!$C$48,0)*'Guide &amp; Settings'!$C$49))</f>
      </c>
    </row>
    <row r="609" spans="1:29">
      <c r="A609" s="116"/>
      <c r="B609" s="117"/>
      <c r="C609" s="118"/>
      <c r="D609" s="118"/>
      <c r="E609" s="116"/>
      <c r="F609" s="119">
        <f>IF($D609="",0,COUNTIF($A$4:$A$810,$A609))</f>
        <v>0</v>
      </c>
      <c r="G609" s="120">
        <f>IF($D609="","",IFERROR(LOOKUP(2,1/(($A$4:$A$810=$A609)*($E$4:$E$810="Win")),$D$4:$D$810),"(no winner)"))</f>
        <v>0</v>
      </c>
      <c r="H609" s="121">
        <f>IF($D609="",0,IFERROR(LOOKUP(2,1/(($D$3:D608=$D609)*($A$3:A608&lt;$A609)),$N$3:N608),'Guide &amp; Settings'!$C$41))</f>
        <v>0</v>
      </c>
      <c r="I609" s="122">
        <f>IF($D609="",0,IF($S609=0,0,$R609/$S609))</f>
        <v>0</v>
      </c>
      <c r="J609" s="123">
        <f>IF($D609="",0,IF($F609&lt;2,0,IF($E609="Win",('Guide &amp; Settings'!$C$42/(($F609-1)*COUNTIFS($A$4:$A$810,$A609,$E$4:$E$810,"Win")))*SUMIFS($X$4:$X$810,$A$4:$A$810,$A609,$E$4:$E$810,"Loss"),-('Guide &amp; Settings'!$C$42/($F609-1))*$X609)))</f>
        <v>0</v>
      </c>
      <c r="K609" s="123">
        <f>IF($D609="",0,'Guide &amp; Settings'!$C$43*(IF($E609="Win",1,0)-$I609))</f>
        <v>0</v>
      </c>
      <c r="L609" s="124">
        <f>IF($D609="",0,'Guide &amp; Settings'!$C$44*IF($F609&gt;=3,$F609+IF($E609="Win",$F609,0),0))</f>
        <v>0</v>
      </c>
      <c r="M609" s="123">
        <f>IF($D609="",0,$J609+$K609+$L609)</f>
        <v>0</v>
      </c>
      <c r="N609" s="121">
        <f>IF($D609="",0,$H609+$M609)</f>
        <v>0</v>
      </c>
      <c r="O609" s="120" t="str">
        <f>IF($D609="","",IF(COUNTIFS($A$4:$A$810,$A609,$E$4:$E$810,"Win")=0,"need a winner",IF(COUNTIFS($A$4:$A$810,$A609,$E$4:$E$810,"Loss")=0,"need a loser",IF(COUNTIFS($A$4:$A$810,$A609,$D$4:$D$810,$D609)&gt;1,"duplicate player","OK"))))</f>
      </c>
      <c r="P609">
        <f>IF($D609="",0,IFERROR(SUMIFS($H$4:$H$810,$A$4:$A$810,$A609,$E$4:$E$810,"Win")/COUNTIFS($A$4:$A$810,$A609,$E$4:$E$810,"Win"),0))</f>
        <v>0</v>
      </c>
      <c r="Q609">
        <f>IF($D609="",0,1/(1+10^(($P609-$H609)/400)))</f>
        <v>0</v>
      </c>
      <c r="R609">
        <f>IF($D609="",0,(COUNTIFS($D$4:$D$810,$D609,$C$4:$C$810,$C609,$E$4:$E$810,"Win",$A$4:$A$810,"&lt;"&amp;$A609)+1)/(COUNTIFS($D$4:$D$810,$D609,$C$4:$C$810,$C609,$A$4:$A$810,"&lt;"&amp;$A609)+2))</f>
        <v>0</v>
      </c>
      <c r="S609">
        <f>IF($D609="",0,SUMIFS($R$4:$R$810,$A$4:$A$810,$A609))</f>
        <v>0</v>
      </c>
      <c r="T609" s="88">
        <f>IF($D609="",0,COUNTIFS($D$4:$D$810,$D609,$C$4:$C$810,$C609,$A$4:$A$810,"&lt;"&amp;$A609))</f>
        <v>0</v>
      </c>
      <c r="U609" s="125">
        <f>IF($D609="",0,IFERROR(LOOKUP(2,1/(($D$3:D608=$D609)*($C$3:C608=$C609)*($A$3:A608&lt;$A609)),$AB$3:AB608),1000))</f>
        <v>0</v>
      </c>
      <c r="V609" s="125">
        <f>IF($D609="",0,$U609*($T609/($T609+5))+$H609*(1-$T609/($T609+5)))</f>
        <v>0</v>
      </c>
      <c r="W609">
        <f>IF($D609="",0,IFERROR(SUMIFS($V$4:$V$810,$A$4:$A$810,$A609,$E$4:$E$810,"Win")/COUNTIFS($A$4:$A$810,$A609,$E$4:$E$810,"Win"),0))</f>
        <v>0</v>
      </c>
      <c r="X609">
        <f>IF($D609="",0,1/(1+10^(($W609-$V609)/400)))</f>
        <v>0</v>
      </c>
      <c r="Y609">
        <f>IF($D609="",0,IFERROR(SUMIFS($U$4:$U$810,$A$4:$A$810,$A609,$E$4:$E$810,"Win")/COUNTIFS($A$4:$A$810,$A609,$E$4:$E$810,"Win"),0))</f>
        <v>0</v>
      </c>
      <c r="Z609">
        <f>IF($D609="",0,1/(1+10^(($Y609-$U609)/400)))</f>
        <v>0</v>
      </c>
      <c r="AA609">
        <f>IF($D609="",0,IF($F609&lt;2,0,IF($E609="Win",('Guide &amp; Settings'!$C$42/(($F609-1)*COUNTIFS($A$4:$A$810,$A609,$E$4:$E$810,"Win")))*SUMIFS($Z$4:$Z$810,$A$4:$A$810,$A609,$E$4:$E$810,"Loss"),-('Guide &amp; Settings'!$C$42/($F609-1))*$Z609)))</f>
        <v>0</v>
      </c>
      <c r="AB609" s="125">
        <f>IF($D609="",0,$U609+$AA609)</f>
        <v>0</v>
      </c>
      <c r="AC609" s="125" t="str">
        <f>IF($D609="","",IF(SUMPRODUCT(MAX(($D$4:$D$810=$D609)*($B$4:$B$810&lt;$B609)*$B$4:$B$810))=0,0,MAX(($B609-MAX(SUMPRODUCT(MAX(($D$4:$D$810=$D609)*($B$4:$B$810&lt;$B609)*$B$4:$B$810)),'Guide &amp; Settings'!$C$50))/7-'Guide &amp; Settings'!$C$48,0)*'Guide &amp; Settings'!$C$49))</f>
      </c>
    </row>
    <row r="610" spans="1:29">
      <c r="A610" s="116"/>
      <c r="B610" s="117"/>
      <c r="C610" s="118"/>
      <c r="D610" s="118"/>
      <c r="E610" s="116"/>
      <c r="F610" s="119">
        <f>IF($D610="",0,COUNTIF($A$4:$A$810,$A610))</f>
        <v>0</v>
      </c>
      <c r="G610" s="120">
        <f>IF($D610="","",IFERROR(LOOKUP(2,1/(($A$4:$A$810=$A610)*($E$4:$E$810="Win")),$D$4:$D$810),"(no winner)"))</f>
        <v>0</v>
      </c>
      <c r="H610" s="121">
        <f>IF($D610="",0,IFERROR(LOOKUP(2,1/(($D$3:D609=$D610)*($A$3:A609&lt;$A610)),$N$3:N609),'Guide &amp; Settings'!$C$41))</f>
        <v>0</v>
      </c>
      <c r="I610" s="122">
        <f>IF($D610="",0,IF($S610=0,0,$R610/$S610))</f>
        <v>0</v>
      </c>
      <c r="J610" s="123">
        <f>IF($D610="",0,IF($F610&lt;2,0,IF($E610="Win",('Guide &amp; Settings'!$C$42/(($F610-1)*COUNTIFS($A$4:$A$810,$A610,$E$4:$E$810,"Win")))*SUMIFS($X$4:$X$810,$A$4:$A$810,$A610,$E$4:$E$810,"Loss"),-('Guide &amp; Settings'!$C$42/($F610-1))*$X610)))</f>
        <v>0</v>
      </c>
      <c r="K610" s="123">
        <f>IF($D610="",0,'Guide &amp; Settings'!$C$43*(IF($E610="Win",1,0)-$I610))</f>
        <v>0</v>
      </c>
      <c r="L610" s="124">
        <f>IF($D610="",0,'Guide &amp; Settings'!$C$44*IF($F610&gt;=3,$F610+IF($E610="Win",$F610,0),0))</f>
        <v>0</v>
      </c>
      <c r="M610" s="123">
        <f>IF($D610="",0,$J610+$K610+$L610)</f>
        <v>0</v>
      </c>
      <c r="N610" s="121">
        <f>IF($D610="",0,$H610+$M610)</f>
        <v>0</v>
      </c>
      <c r="O610" s="120" t="str">
        <f>IF($D610="","",IF(COUNTIFS($A$4:$A$810,$A610,$E$4:$E$810,"Win")=0,"need a winner",IF(COUNTIFS($A$4:$A$810,$A610,$E$4:$E$810,"Loss")=0,"need a loser",IF(COUNTIFS($A$4:$A$810,$A610,$D$4:$D$810,$D610)&gt;1,"duplicate player","OK"))))</f>
      </c>
      <c r="P610">
        <f>IF($D610="",0,IFERROR(SUMIFS($H$4:$H$810,$A$4:$A$810,$A610,$E$4:$E$810,"Win")/COUNTIFS($A$4:$A$810,$A610,$E$4:$E$810,"Win"),0))</f>
        <v>0</v>
      </c>
      <c r="Q610">
        <f>IF($D610="",0,1/(1+10^(($P610-$H610)/400)))</f>
        <v>0</v>
      </c>
      <c r="R610">
        <f>IF($D610="",0,(COUNTIFS($D$4:$D$810,$D610,$C$4:$C$810,$C610,$E$4:$E$810,"Win",$A$4:$A$810,"&lt;"&amp;$A610)+1)/(COUNTIFS($D$4:$D$810,$D610,$C$4:$C$810,$C610,$A$4:$A$810,"&lt;"&amp;$A610)+2))</f>
        <v>0</v>
      </c>
      <c r="S610">
        <f>IF($D610="",0,SUMIFS($R$4:$R$810,$A$4:$A$810,$A610))</f>
        <v>0</v>
      </c>
      <c r="T610" s="88">
        <f>IF($D610="",0,COUNTIFS($D$4:$D$810,$D610,$C$4:$C$810,$C610,$A$4:$A$810,"&lt;"&amp;$A610))</f>
        <v>0</v>
      </c>
      <c r="U610" s="125">
        <f>IF($D610="",0,IFERROR(LOOKUP(2,1/(($D$3:D609=$D610)*($C$3:C609=$C610)*($A$3:A609&lt;$A610)),$AB$3:AB609),1000))</f>
        <v>0</v>
      </c>
      <c r="V610" s="125">
        <f>IF($D610="",0,$U610*($T610/($T610+5))+$H610*(1-$T610/($T610+5)))</f>
        <v>0</v>
      </c>
      <c r="W610">
        <f>IF($D610="",0,IFERROR(SUMIFS($V$4:$V$810,$A$4:$A$810,$A610,$E$4:$E$810,"Win")/COUNTIFS($A$4:$A$810,$A610,$E$4:$E$810,"Win"),0))</f>
        <v>0</v>
      </c>
      <c r="X610">
        <f>IF($D610="",0,1/(1+10^(($W610-$V610)/400)))</f>
        <v>0</v>
      </c>
      <c r="Y610">
        <f>IF($D610="",0,IFERROR(SUMIFS($U$4:$U$810,$A$4:$A$810,$A610,$E$4:$E$810,"Win")/COUNTIFS($A$4:$A$810,$A610,$E$4:$E$810,"Win"),0))</f>
        <v>0</v>
      </c>
      <c r="Z610">
        <f>IF($D610="",0,1/(1+10^(($Y610-$U610)/400)))</f>
        <v>0</v>
      </c>
      <c r="AA610">
        <f>IF($D610="",0,IF($F610&lt;2,0,IF($E610="Win",('Guide &amp; Settings'!$C$42/(($F610-1)*COUNTIFS($A$4:$A$810,$A610,$E$4:$E$810,"Win")))*SUMIFS($Z$4:$Z$810,$A$4:$A$810,$A610,$E$4:$E$810,"Loss"),-('Guide &amp; Settings'!$C$42/($F610-1))*$Z610)))</f>
        <v>0</v>
      </c>
      <c r="AB610" s="125">
        <f>IF($D610="",0,$U610+$AA610)</f>
        <v>0</v>
      </c>
      <c r="AC610" s="125" t="str">
        <f>IF($D610="","",IF(SUMPRODUCT(MAX(($D$4:$D$810=$D610)*($B$4:$B$810&lt;$B610)*$B$4:$B$810))=0,0,MAX(($B610-MAX(SUMPRODUCT(MAX(($D$4:$D$810=$D610)*($B$4:$B$810&lt;$B610)*$B$4:$B$810)),'Guide &amp; Settings'!$C$50))/7-'Guide &amp; Settings'!$C$48,0)*'Guide &amp; Settings'!$C$49))</f>
      </c>
    </row>
    <row r="611" spans="1:29">
      <c r="A611" s="116"/>
      <c r="B611" s="117"/>
      <c r="C611" s="118"/>
      <c r="D611" s="118"/>
      <c r="E611" s="116"/>
      <c r="F611" s="119">
        <f>IF($D611="",0,COUNTIF($A$4:$A$810,$A611))</f>
        <v>0</v>
      </c>
      <c r="G611" s="120">
        <f>IF($D611="","",IFERROR(LOOKUP(2,1/(($A$4:$A$810=$A611)*($E$4:$E$810="Win")),$D$4:$D$810),"(no winner)"))</f>
        <v>0</v>
      </c>
      <c r="H611" s="121">
        <f>IF($D611="",0,IFERROR(LOOKUP(2,1/(($D$3:D610=$D611)*($A$3:A610&lt;$A611)),$N$3:N610),'Guide &amp; Settings'!$C$41))</f>
        <v>0</v>
      </c>
      <c r="I611" s="122">
        <f>IF($D611="",0,IF($S611=0,0,$R611/$S611))</f>
        <v>0</v>
      </c>
      <c r="J611" s="123">
        <f>IF($D611="",0,IF($F611&lt;2,0,IF($E611="Win",('Guide &amp; Settings'!$C$42/(($F611-1)*COUNTIFS($A$4:$A$810,$A611,$E$4:$E$810,"Win")))*SUMIFS($X$4:$X$810,$A$4:$A$810,$A611,$E$4:$E$810,"Loss"),-('Guide &amp; Settings'!$C$42/($F611-1))*$X611)))</f>
        <v>0</v>
      </c>
      <c r="K611" s="123">
        <f>IF($D611="",0,'Guide &amp; Settings'!$C$43*(IF($E611="Win",1,0)-$I611))</f>
        <v>0</v>
      </c>
      <c r="L611" s="124">
        <f>IF($D611="",0,'Guide &amp; Settings'!$C$44*IF($F611&gt;=3,$F611+IF($E611="Win",$F611,0),0))</f>
        <v>0</v>
      </c>
      <c r="M611" s="123">
        <f>IF($D611="",0,$J611+$K611+$L611)</f>
        <v>0</v>
      </c>
      <c r="N611" s="121">
        <f>IF($D611="",0,$H611+$M611)</f>
        <v>0</v>
      </c>
      <c r="O611" s="120" t="str">
        <f>IF($D611="","",IF(COUNTIFS($A$4:$A$810,$A611,$E$4:$E$810,"Win")=0,"need a winner",IF(COUNTIFS($A$4:$A$810,$A611,$E$4:$E$810,"Loss")=0,"need a loser",IF(COUNTIFS($A$4:$A$810,$A611,$D$4:$D$810,$D611)&gt;1,"duplicate player","OK"))))</f>
      </c>
      <c r="P611">
        <f>IF($D611="",0,IFERROR(SUMIFS($H$4:$H$810,$A$4:$A$810,$A611,$E$4:$E$810,"Win")/COUNTIFS($A$4:$A$810,$A611,$E$4:$E$810,"Win"),0))</f>
        <v>0</v>
      </c>
      <c r="Q611">
        <f>IF($D611="",0,1/(1+10^(($P611-$H611)/400)))</f>
        <v>0</v>
      </c>
      <c r="R611">
        <f>IF($D611="",0,(COUNTIFS($D$4:$D$810,$D611,$C$4:$C$810,$C611,$E$4:$E$810,"Win",$A$4:$A$810,"&lt;"&amp;$A611)+1)/(COUNTIFS($D$4:$D$810,$D611,$C$4:$C$810,$C611,$A$4:$A$810,"&lt;"&amp;$A611)+2))</f>
        <v>0</v>
      </c>
      <c r="S611">
        <f>IF($D611="",0,SUMIFS($R$4:$R$810,$A$4:$A$810,$A611))</f>
        <v>0</v>
      </c>
      <c r="T611" s="88">
        <f>IF($D611="",0,COUNTIFS($D$4:$D$810,$D611,$C$4:$C$810,$C611,$A$4:$A$810,"&lt;"&amp;$A611))</f>
        <v>0</v>
      </c>
      <c r="U611" s="125">
        <f>IF($D611="",0,IFERROR(LOOKUP(2,1/(($D$3:D610=$D611)*($C$3:C610=$C611)*($A$3:A610&lt;$A611)),$AB$3:AB610),1000))</f>
        <v>0</v>
      </c>
      <c r="V611" s="125">
        <f>IF($D611="",0,$U611*($T611/($T611+5))+$H611*(1-$T611/($T611+5)))</f>
        <v>0</v>
      </c>
      <c r="W611">
        <f>IF($D611="",0,IFERROR(SUMIFS($V$4:$V$810,$A$4:$A$810,$A611,$E$4:$E$810,"Win")/COUNTIFS($A$4:$A$810,$A611,$E$4:$E$810,"Win"),0))</f>
        <v>0</v>
      </c>
      <c r="X611">
        <f>IF($D611="",0,1/(1+10^(($W611-$V611)/400)))</f>
        <v>0</v>
      </c>
      <c r="Y611">
        <f>IF($D611="",0,IFERROR(SUMIFS($U$4:$U$810,$A$4:$A$810,$A611,$E$4:$E$810,"Win")/COUNTIFS($A$4:$A$810,$A611,$E$4:$E$810,"Win"),0))</f>
        <v>0</v>
      </c>
      <c r="Z611">
        <f>IF($D611="",0,1/(1+10^(($Y611-$U611)/400)))</f>
        <v>0</v>
      </c>
      <c r="AA611">
        <f>IF($D611="",0,IF($F611&lt;2,0,IF($E611="Win",('Guide &amp; Settings'!$C$42/(($F611-1)*COUNTIFS($A$4:$A$810,$A611,$E$4:$E$810,"Win")))*SUMIFS($Z$4:$Z$810,$A$4:$A$810,$A611,$E$4:$E$810,"Loss"),-('Guide &amp; Settings'!$C$42/($F611-1))*$Z611)))</f>
        <v>0</v>
      </c>
      <c r="AB611" s="125">
        <f>IF($D611="",0,$U611+$AA611)</f>
        <v>0</v>
      </c>
      <c r="AC611" s="125" t="str">
        <f>IF($D611="","",IF(SUMPRODUCT(MAX(($D$4:$D$810=$D611)*($B$4:$B$810&lt;$B611)*$B$4:$B$810))=0,0,MAX(($B611-MAX(SUMPRODUCT(MAX(($D$4:$D$810=$D611)*($B$4:$B$810&lt;$B611)*$B$4:$B$810)),'Guide &amp; Settings'!$C$50))/7-'Guide &amp; Settings'!$C$48,0)*'Guide &amp; Settings'!$C$49))</f>
      </c>
    </row>
    <row r="612" spans="1:29">
      <c r="A612" s="116"/>
      <c r="B612" s="117"/>
      <c r="C612" s="118"/>
      <c r="D612" s="118"/>
      <c r="E612" s="116"/>
      <c r="F612" s="119">
        <f>IF($D612="",0,COUNTIF($A$4:$A$810,$A612))</f>
        <v>0</v>
      </c>
      <c r="G612" s="120">
        <f>IF($D612="","",IFERROR(LOOKUP(2,1/(($A$4:$A$810=$A612)*($E$4:$E$810="Win")),$D$4:$D$810),"(no winner)"))</f>
        <v>0</v>
      </c>
      <c r="H612" s="121">
        <f>IF($D612="",0,IFERROR(LOOKUP(2,1/(($D$3:D611=$D612)*($A$3:A611&lt;$A612)),$N$3:N611),'Guide &amp; Settings'!$C$41))</f>
        <v>0</v>
      </c>
      <c r="I612" s="122">
        <f>IF($D612="",0,IF($S612=0,0,$R612/$S612))</f>
        <v>0</v>
      </c>
      <c r="J612" s="123">
        <f>IF($D612="",0,IF($F612&lt;2,0,IF($E612="Win",('Guide &amp; Settings'!$C$42/(($F612-1)*COUNTIFS($A$4:$A$810,$A612,$E$4:$E$810,"Win")))*SUMIFS($X$4:$X$810,$A$4:$A$810,$A612,$E$4:$E$810,"Loss"),-('Guide &amp; Settings'!$C$42/($F612-1))*$X612)))</f>
        <v>0</v>
      </c>
      <c r="K612" s="123">
        <f>IF($D612="",0,'Guide &amp; Settings'!$C$43*(IF($E612="Win",1,0)-$I612))</f>
        <v>0</v>
      </c>
      <c r="L612" s="124">
        <f>IF($D612="",0,'Guide &amp; Settings'!$C$44*IF($F612&gt;=3,$F612+IF($E612="Win",$F612,0),0))</f>
        <v>0</v>
      </c>
      <c r="M612" s="123">
        <f>IF($D612="",0,$J612+$K612+$L612)</f>
        <v>0</v>
      </c>
      <c r="N612" s="121">
        <f>IF($D612="",0,$H612+$M612)</f>
        <v>0</v>
      </c>
      <c r="O612" s="120" t="str">
        <f>IF($D612="","",IF(COUNTIFS($A$4:$A$810,$A612,$E$4:$E$810,"Win")=0,"need a winner",IF(COUNTIFS($A$4:$A$810,$A612,$E$4:$E$810,"Loss")=0,"need a loser",IF(COUNTIFS($A$4:$A$810,$A612,$D$4:$D$810,$D612)&gt;1,"duplicate player","OK"))))</f>
      </c>
      <c r="P612">
        <f>IF($D612="",0,IFERROR(SUMIFS($H$4:$H$810,$A$4:$A$810,$A612,$E$4:$E$810,"Win")/COUNTIFS($A$4:$A$810,$A612,$E$4:$E$810,"Win"),0))</f>
        <v>0</v>
      </c>
      <c r="Q612">
        <f>IF($D612="",0,1/(1+10^(($P612-$H612)/400)))</f>
        <v>0</v>
      </c>
      <c r="R612">
        <f>IF($D612="",0,(COUNTIFS($D$4:$D$810,$D612,$C$4:$C$810,$C612,$E$4:$E$810,"Win",$A$4:$A$810,"&lt;"&amp;$A612)+1)/(COUNTIFS($D$4:$D$810,$D612,$C$4:$C$810,$C612,$A$4:$A$810,"&lt;"&amp;$A612)+2))</f>
        <v>0</v>
      </c>
      <c r="S612">
        <f>IF($D612="",0,SUMIFS($R$4:$R$810,$A$4:$A$810,$A612))</f>
        <v>0</v>
      </c>
      <c r="T612" s="88">
        <f>IF($D612="",0,COUNTIFS($D$4:$D$810,$D612,$C$4:$C$810,$C612,$A$4:$A$810,"&lt;"&amp;$A612))</f>
        <v>0</v>
      </c>
      <c r="U612" s="125">
        <f>IF($D612="",0,IFERROR(LOOKUP(2,1/(($D$3:D611=$D612)*($C$3:C611=$C612)*($A$3:A611&lt;$A612)),$AB$3:AB611),1000))</f>
        <v>0</v>
      </c>
      <c r="V612" s="125">
        <f>IF($D612="",0,$U612*($T612/($T612+5))+$H612*(1-$T612/($T612+5)))</f>
        <v>0</v>
      </c>
      <c r="W612">
        <f>IF($D612="",0,IFERROR(SUMIFS($V$4:$V$810,$A$4:$A$810,$A612,$E$4:$E$810,"Win")/COUNTIFS($A$4:$A$810,$A612,$E$4:$E$810,"Win"),0))</f>
        <v>0</v>
      </c>
      <c r="X612">
        <f>IF($D612="",0,1/(1+10^(($W612-$V612)/400)))</f>
        <v>0</v>
      </c>
      <c r="Y612">
        <f>IF($D612="",0,IFERROR(SUMIFS($U$4:$U$810,$A$4:$A$810,$A612,$E$4:$E$810,"Win")/COUNTIFS($A$4:$A$810,$A612,$E$4:$E$810,"Win"),0))</f>
        <v>0</v>
      </c>
      <c r="Z612">
        <f>IF($D612="",0,1/(1+10^(($Y612-$U612)/400)))</f>
        <v>0</v>
      </c>
      <c r="AA612">
        <f>IF($D612="",0,IF($F612&lt;2,0,IF($E612="Win",('Guide &amp; Settings'!$C$42/(($F612-1)*COUNTIFS($A$4:$A$810,$A612,$E$4:$E$810,"Win")))*SUMIFS($Z$4:$Z$810,$A$4:$A$810,$A612,$E$4:$E$810,"Loss"),-('Guide &amp; Settings'!$C$42/($F612-1))*$Z612)))</f>
        <v>0</v>
      </c>
      <c r="AB612" s="125">
        <f>IF($D612="",0,$U612+$AA612)</f>
        <v>0</v>
      </c>
      <c r="AC612" s="125" t="str">
        <f>IF($D612="","",IF(SUMPRODUCT(MAX(($D$4:$D$810=$D612)*($B$4:$B$810&lt;$B612)*$B$4:$B$810))=0,0,MAX(($B612-MAX(SUMPRODUCT(MAX(($D$4:$D$810=$D612)*($B$4:$B$810&lt;$B612)*$B$4:$B$810)),'Guide &amp; Settings'!$C$50))/7-'Guide &amp; Settings'!$C$48,0)*'Guide &amp; Settings'!$C$49))</f>
      </c>
    </row>
    <row r="613" spans="1:29">
      <c r="A613" s="116"/>
      <c r="B613" s="117"/>
      <c r="C613" s="118"/>
      <c r="D613" s="118"/>
      <c r="E613" s="116"/>
      <c r="F613" s="119">
        <f>IF($D613="",0,COUNTIF($A$4:$A$810,$A613))</f>
        <v>0</v>
      </c>
      <c r="G613" s="120">
        <f>IF($D613="","",IFERROR(LOOKUP(2,1/(($A$4:$A$810=$A613)*($E$4:$E$810="Win")),$D$4:$D$810),"(no winner)"))</f>
        <v>0</v>
      </c>
      <c r="H613" s="121">
        <f>IF($D613="",0,IFERROR(LOOKUP(2,1/(($D$3:D612=$D613)*($A$3:A612&lt;$A613)),$N$3:N612),'Guide &amp; Settings'!$C$41))</f>
        <v>0</v>
      </c>
      <c r="I613" s="122">
        <f>IF($D613="",0,IF($S613=0,0,$R613/$S613))</f>
        <v>0</v>
      </c>
      <c r="J613" s="123">
        <f>IF($D613="",0,IF($F613&lt;2,0,IF($E613="Win",('Guide &amp; Settings'!$C$42/(($F613-1)*COUNTIFS($A$4:$A$810,$A613,$E$4:$E$810,"Win")))*SUMIFS($X$4:$X$810,$A$4:$A$810,$A613,$E$4:$E$810,"Loss"),-('Guide &amp; Settings'!$C$42/($F613-1))*$X613)))</f>
        <v>0</v>
      </c>
      <c r="K613" s="123">
        <f>IF($D613="",0,'Guide &amp; Settings'!$C$43*(IF($E613="Win",1,0)-$I613))</f>
        <v>0</v>
      </c>
      <c r="L613" s="124">
        <f>IF($D613="",0,'Guide &amp; Settings'!$C$44*IF($F613&gt;=3,$F613+IF($E613="Win",$F613,0),0))</f>
        <v>0</v>
      </c>
      <c r="M613" s="123">
        <f>IF($D613="",0,$J613+$K613+$L613)</f>
        <v>0</v>
      </c>
      <c r="N613" s="121">
        <f>IF($D613="",0,$H613+$M613)</f>
        <v>0</v>
      </c>
      <c r="O613" s="120" t="str">
        <f>IF($D613="","",IF(COUNTIFS($A$4:$A$810,$A613,$E$4:$E$810,"Win")=0,"need a winner",IF(COUNTIFS($A$4:$A$810,$A613,$E$4:$E$810,"Loss")=0,"need a loser",IF(COUNTIFS($A$4:$A$810,$A613,$D$4:$D$810,$D613)&gt;1,"duplicate player","OK"))))</f>
      </c>
      <c r="P613">
        <f>IF($D613="",0,IFERROR(SUMIFS($H$4:$H$810,$A$4:$A$810,$A613,$E$4:$E$810,"Win")/COUNTIFS($A$4:$A$810,$A613,$E$4:$E$810,"Win"),0))</f>
        <v>0</v>
      </c>
      <c r="Q613">
        <f>IF($D613="",0,1/(1+10^(($P613-$H613)/400)))</f>
        <v>0</v>
      </c>
      <c r="R613">
        <f>IF($D613="",0,(COUNTIFS($D$4:$D$810,$D613,$C$4:$C$810,$C613,$E$4:$E$810,"Win",$A$4:$A$810,"&lt;"&amp;$A613)+1)/(COUNTIFS($D$4:$D$810,$D613,$C$4:$C$810,$C613,$A$4:$A$810,"&lt;"&amp;$A613)+2))</f>
        <v>0</v>
      </c>
      <c r="S613">
        <f>IF($D613="",0,SUMIFS($R$4:$R$810,$A$4:$A$810,$A613))</f>
        <v>0</v>
      </c>
      <c r="T613" s="88">
        <f>IF($D613="",0,COUNTIFS($D$4:$D$810,$D613,$C$4:$C$810,$C613,$A$4:$A$810,"&lt;"&amp;$A613))</f>
        <v>0</v>
      </c>
      <c r="U613" s="125">
        <f>IF($D613="",0,IFERROR(LOOKUP(2,1/(($D$3:D612=$D613)*($C$3:C612=$C613)*($A$3:A612&lt;$A613)),$AB$3:AB612),1000))</f>
        <v>0</v>
      </c>
      <c r="V613" s="125">
        <f>IF($D613="",0,$U613*($T613/($T613+5))+$H613*(1-$T613/($T613+5)))</f>
        <v>0</v>
      </c>
      <c r="W613">
        <f>IF($D613="",0,IFERROR(SUMIFS($V$4:$V$810,$A$4:$A$810,$A613,$E$4:$E$810,"Win")/COUNTIFS($A$4:$A$810,$A613,$E$4:$E$810,"Win"),0))</f>
        <v>0</v>
      </c>
      <c r="X613">
        <f>IF($D613="",0,1/(1+10^(($W613-$V613)/400)))</f>
        <v>0</v>
      </c>
      <c r="Y613">
        <f>IF($D613="",0,IFERROR(SUMIFS($U$4:$U$810,$A$4:$A$810,$A613,$E$4:$E$810,"Win")/COUNTIFS($A$4:$A$810,$A613,$E$4:$E$810,"Win"),0))</f>
        <v>0</v>
      </c>
      <c r="Z613">
        <f>IF($D613="",0,1/(1+10^(($Y613-$U613)/400)))</f>
        <v>0</v>
      </c>
      <c r="AA613">
        <f>IF($D613="",0,IF($F613&lt;2,0,IF($E613="Win",('Guide &amp; Settings'!$C$42/(($F613-1)*COUNTIFS($A$4:$A$810,$A613,$E$4:$E$810,"Win")))*SUMIFS($Z$4:$Z$810,$A$4:$A$810,$A613,$E$4:$E$810,"Loss"),-('Guide &amp; Settings'!$C$42/($F613-1))*$Z613)))</f>
        <v>0</v>
      </c>
      <c r="AB613" s="125">
        <f>IF($D613="",0,$U613+$AA613)</f>
        <v>0</v>
      </c>
      <c r="AC613" s="125" t="str">
        <f>IF($D613="","",IF(SUMPRODUCT(MAX(($D$4:$D$810=$D613)*($B$4:$B$810&lt;$B613)*$B$4:$B$810))=0,0,MAX(($B613-MAX(SUMPRODUCT(MAX(($D$4:$D$810=$D613)*($B$4:$B$810&lt;$B613)*$B$4:$B$810)),'Guide &amp; Settings'!$C$50))/7-'Guide &amp; Settings'!$C$48,0)*'Guide &amp; Settings'!$C$49))</f>
      </c>
    </row>
    <row r="614" spans="1:29">
      <c r="A614" s="116"/>
      <c r="B614" s="117"/>
      <c r="C614" s="118"/>
      <c r="D614" s="118"/>
      <c r="E614" s="116"/>
      <c r="F614" s="119">
        <f>IF($D614="",0,COUNTIF($A$4:$A$810,$A614))</f>
        <v>0</v>
      </c>
      <c r="G614" s="120">
        <f>IF($D614="","",IFERROR(LOOKUP(2,1/(($A$4:$A$810=$A614)*($E$4:$E$810="Win")),$D$4:$D$810),"(no winner)"))</f>
        <v>0</v>
      </c>
      <c r="H614" s="121">
        <f>IF($D614="",0,IFERROR(LOOKUP(2,1/(($D$3:D613=$D614)*($A$3:A613&lt;$A614)),$N$3:N613),'Guide &amp; Settings'!$C$41))</f>
        <v>0</v>
      </c>
      <c r="I614" s="122">
        <f>IF($D614="",0,IF($S614=0,0,$R614/$S614))</f>
        <v>0</v>
      </c>
      <c r="J614" s="123">
        <f>IF($D614="",0,IF($F614&lt;2,0,IF($E614="Win",('Guide &amp; Settings'!$C$42/(($F614-1)*COUNTIFS($A$4:$A$810,$A614,$E$4:$E$810,"Win")))*SUMIFS($X$4:$X$810,$A$4:$A$810,$A614,$E$4:$E$810,"Loss"),-('Guide &amp; Settings'!$C$42/($F614-1))*$X614)))</f>
        <v>0</v>
      </c>
      <c r="K614" s="123">
        <f>IF($D614="",0,'Guide &amp; Settings'!$C$43*(IF($E614="Win",1,0)-$I614))</f>
        <v>0</v>
      </c>
      <c r="L614" s="124">
        <f>IF($D614="",0,'Guide &amp; Settings'!$C$44*IF($F614&gt;=3,$F614+IF($E614="Win",$F614,0),0))</f>
        <v>0</v>
      </c>
      <c r="M614" s="123">
        <f>IF($D614="",0,$J614+$K614+$L614)</f>
        <v>0</v>
      </c>
      <c r="N614" s="121">
        <f>IF($D614="",0,$H614+$M614)</f>
        <v>0</v>
      </c>
      <c r="O614" s="120" t="str">
        <f>IF($D614="","",IF(COUNTIFS($A$4:$A$810,$A614,$E$4:$E$810,"Win")=0,"need a winner",IF(COUNTIFS($A$4:$A$810,$A614,$E$4:$E$810,"Loss")=0,"need a loser",IF(COUNTIFS($A$4:$A$810,$A614,$D$4:$D$810,$D614)&gt;1,"duplicate player","OK"))))</f>
      </c>
      <c r="P614">
        <f>IF($D614="",0,IFERROR(SUMIFS($H$4:$H$810,$A$4:$A$810,$A614,$E$4:$E$810,"Win")/COUNTIFS($A$4:$A$810,$A614,$E$4:$E$810,"Win"),0))</f>
        <v>0</v>
      </c>
      <c r="Q614">
        <f>IF($D614="",0,1/(1+10^(($P614-$H614)/400)))</f>
        <v>0</v>
      </c>
      <c r="R614">
        <f>IF($D614="",0,(COUNTIFS($D$4:$D$810,$D614,$C$4:$C$810,$C614,$E$4:$E$810,"Win",$A$4:$A$810,"&lt;"&amp;$A614)+1)/(COUNTIFS($D$4:$D$810,$D614,$C$4:$C$810,$C614,$A$4:$A$810,"&lt;"&amp;$A614)+2))</f>
        <v>0</v>
      </c>
      <c r="S614">
        <f>IF($D614="",0,SUMIFS($R$4:$R$810,$A$4:$A$810,$A614))</f>
        <v>0</v>
      </c>
      <c r="T614" s="88">
        <f>IF($D614="",0,COUNTIFS($D$4:$D$810,$D614,$C$4:$C$810,$C614,$A$4:$A$810,"&lt;"&amp;$A614))</f>
        <v>0</v>
      </c>
      <c r="U614" s="125">
        <f>IF($D614="",0,IFERROR(LOOKUP(2,1/(($D$3:D613=$D614)*($C$3:C613=$C614)*($A$3:A613&lt;$A614)),$AB$3:AB613),1000))</f>
        <v>0</v>
      </c>
      <c r="V614" s="125">
        <f>IF($D614="",0,$U614*($T614/($T614+5))+$H614*(1-$T614/($T614+5)))</f>
        <v>0</v>
      </c>
      <c r="W614">
        <f>IF($D614="",0,IFERROR(SUMIFS($V$4:$V$810,$A$4:$A$810,$A614,$E$4:$E$810,"Win")/COUNTIFS($A$4:$A$810,$A614,$E$4:$E$810,"Win"),0))</f>
        <v>0</v>
      </c>
      <c r="X614">
        <f>IF($D614="",0,1/(1+10^(($W614-$V614)/400)))</f>
        <v>0</v>
      </c>
      <c r="Y614">
        <f>IF($D614="",0,IFERROR(SUMIFS($U$4:$U$810,$A$4:$A$810,$A614,$E$4:$E$810,"Win")/COUNTIFS($A$4:$A$810,$A614,$E$4:$E$810,"Win"),0))</f>
        <v>0</v>
      </c>
      <c r="Z614">
        <f>IF($D614="",0,1/(1+10^(($Y614-$U614)/400)))</f>
        <v>0</v>
      </c>
      <c r="AA614">
        <f>IF($D614="",0,IF($F614&lt;2,0,IF($E614="Win",('Guide &amp; Settings'!$C$42/(($F614-1)*COUNTIFS($A$4:$A$810,$A614,$E$4:$E$810,"Win")))*SUMIFS($Z$4:$Z$810,$A$4:$A$810,$A614,$E$4:$E$810,"Loss"),-('Guide &amp; Settings'!$C$42/($F614-1))*$Z614)))</f>
        <v>0</v>
      </c>
      <c r="AB614" s="125">
        <f>IF($D614="",0,$U614+$AA614)</f>
        <v>0</v>
      </c>
      <c r="AC614" s="125" t="str">
        <f>IF($D614="","",IF(SUMPRODUCT(MAX(($D$4:$D$810=$D614)*($B$4:$B$810&lt;$B614)*$B$4:$B$810))=0,0,MAX(($B614-MAX(SUMPRODUCT(MAX(($D$4:$D$810=$D614)*($B$4:$B$810&lt;$B614)*$B$4:$B$810)),'Guide &amp; Settings'!$C$50))/7-'Guide &amp; Settings'!$C$48,0)*'Guide &amp; Settings'!$C$49))</f>
      </c>
    </row>
    <row r="615" spans="1:29">
      <c r="A615" s="116"/>
      <c r="B615" s="117"/>
      <c r="C615" s="118"/>
      <c r="D615" s="118"/>
      <c r="E615" s="116"/>
      <c r="F615" s="119">
        <f>IF($D615="",0,COUNTIF($A$4:$A$810,$A615))</f>
        <v>0</v>
      </c>
      <c r="G615" s="120">
        <f>IF($D615="","",IFERROR(LOOKUP(2,1/(($A$4:$A$810=$A615)*($E$4:$E$810="Win")),$D$4:$D$810),"(no winner)"))</f>
        <v>0</v>
      </c>
      <c r="H615" s="121">
        <f>IF($D615="",0,IFERROR(LOOKUP(2,1/(($D$3:D614=$D615)*($A$3:A614&lt;$A615)),$N$3:N614),'Guide &amp; Settings'!$C$41))</f>
        <v>0</v>
      </c>
      <c r="I615" s="122">
        <f>IF($D615="",0,IF($S615=0,0,$R615/$S615))</f>
        <v>0</v>
      </c>
      <c r="J615" s="123">
        <f>IF($D615="",0,IF($F615&lt;2,0,IF($E615="Win",('Guide &amp; Settings'!$C$42/(($F615-1)*COUNTIFS($A$4:$A$810,$A615,$E$4:$E$810,"Win")))*SUMIFS($X$4:$X$810,$A$4:$A$810,$A615,$E$4:$E$810,"Loss"),-('Guide &amp; Settings'!$C$42/($F615-1))*$X615)))</f>
        <v>0</v>
      </c>
      <c r="K615" s="123">
        <f>IF($D615="",0,'Guide &amp; Settings'!$C$43*(IF($E615="Win",1,0)-$I615))</f>
        <v>0</v>
      </c>
      <c r="L615" s="124">
        <f>IF($D615="",0,'Guide &amp; Settings'!$C$44*IF($F615&gt;=3,$F615+IF($E615="Win",$F615,0),0))</f>
        <v>0</v>
      </c>
      <c r="M615" s="123">
        <f>IF($D615="",0,$J615+$K615+$L615)</f>
        <v>0</v>
      </c>
      <c r="N615" s="121">
        <f>IF($D615="",0,$H615+$M615)</f>
        <v>0</v>
      </c>
      <c r="O615" s="120" t="str">
        <f>IF($D615="","",IF(COUNTIFS($A$4:$A$810,$A615,$E$4:$E$810,"Win")=0,"need a winner",IF(COUNTIFS($A$4:$A$810,$A615,$E$4:$E$810,"Loss")=0,"need a loser",IF(COUNTIFS($A$4:$A$810,$A615,$D$4:$D$810,$D615)&gt;1,"duplicate player","OK"))))</f>
      </c>
      <c r="P615">
        <f>IF($D615="",0,IFERROR(SUMIFS($H$4:$H$810,$A$4:$A$810,$A615,$E$4:$E$810,"Win")/COUNTIFS($A$4:$A$810,$A615,$E$4:$E$810,"Win"),0))</f>
        <v>0</v>
      </c>
      <c r="Q615">
        <f>IF($D615="",0,1/(1+10^(($P615-$H615)/400)))</f>
        <v>0</v>
      </c>
      <c r="R615">
        <f>IF($D615="",0,(COUNTIFS($D$4:$D$810,$D615,$C$4:$C$810,$C615,$E$4:$E$810,"Win",$A$4:$A$810,"&lt;"&amp;$A615)+1)/(COUNTIFS($D$4:$D$810,$D615,$C$4:$C$810,$C615,$A$4:$A$810,"&lt;"&amp;$A615)+2))</f>
        <v>0</v>
      </c>
      <c r="S615">
        <f>IF($D615="",0,SUMIFS($R$4:$R$810,$A$4:$A$810,$A615))</f>
        <v>0</v>
      </c>
      <c r="T615" s="88">
        <f>IF($D615="",0,COUNTIFS($D$4:$D$810,$D615,$C$4:$C$810,$C615,$A$4:$A$810,"&lt;"&amp;$A615))</f>
        <v>0</v>
      </c>
      <c r="U615" s="125">
        <f>IF($D615="",0,IFERROR(LOOKUP(2,1/(($D$3:D614=$D615)*($C$3:C614=$C615)*($A$3:A614&lt;$A615)),$AB$3:AB614),1000))</f>
        <v>0</v>
      </c>
      <c r="V615" s="125">
        <f>IF($D615="",0,$U615*($T615/($T615+5))+$H615*(1-$T615/($T615+5)))</f>
        <v>0</v>
      </c>
      <c r="W615">
        <f>IF($D615="",0,IFERROR(SUMIFS($V$4:$V$810,$A$4:$A$810,$A615,$E$4:$E$810,"Win")/COUNTIFS($A$4:$A$810,$A615,$E$4:$E$810,"Win"),0))</f>
        <v>0</v>
      </c>
      <c r="X615">
        <f>IF($D615="",0,1/(1+10^(($W615-$V615)/400)))</f>
        <v>0</v>
      </c>
      <c r="Y615">
        <f>IF($D615="",0,IFERROR(SUMIFS($U$4:$U$810,$A$4:$A$810,$A615,$E$4:$E$810,"Win")/COUNTIFS($A$4:$A$810,$A615,$E$4:$E$810,"Win"),0))</f>
        <v>0</v>
      </c>
      <c r="Z615">
        <f>IF($D615="",0,1/(1+10^(($Y615-$U615)/400)))</f>
        <v>0</v>
      </c>
      <c r="AA615">
        <f>IF($D615="",0,IF($F615&lt;2,0,IF($E615="Win",('Guide &amp; Settings'!$C$42/(($F615-1)*COUNTIFS($A$4:$A$810,$A615,$E$4:$E$810,"Win")))*SUMIFS($Z$4:$Z$810,$A$4:$A$810,$A615,$E$4:$E$810,"Loss"),-('Guide &amp; Settings'!$C$42/($F615-1))*$Z615)))</f>
        <v>0</v>
      </c>
      <c r="AB615" s="125">
        <f>IF($D615="",0,$U615+$AA615)</f>
        <v>0</v>
      </c>
      <c r="AC615" s="125" t="str">
        <f>IF($D615="","",IF(SUMPRODUCT(MAX(($D$4:$D$810=$D615)*($B$4:$B$810&lt;$B615)*$B$4:$B$810))=0,0,MAX(($B615-MAX(SUMPRODUCT(MAX(($D$4:$D$810=$D615)*($B$4:$B$810&lt;$B615)*$B$4:$B$810)),'Guide &amp; Settings'!$C$50))/7-'Guide &amp; Settings'!$C$48,0)*'Guide &amp; Settings'!$C$49))</f>
      </c>
    </row>
    <row r="616" spans="1:29">
      <c r="A616" s="116"/>
      <c r="B616" s="117"/>
      <c r="C616" s="118"/>
      <c r="D616" s="118"/>
      <c r="E616" s="116"/>
      <c r="F616" s="119">
        <f>IF($D616="",0,COUNTIF($A$4:$A$810,$A616))</f>
        <v>0</v>
      </c>
      <c r="G616" s="120">
        <f>IF($D616="","",IFERROR(LOOKUP(2,1/(($A$4:$A$810=$A616)*($E$4:$E$810="Win")),$D$4:$D$810),"(no winner)"))</f>
        <v>0</v>
      </c>
      <c r="H616" s="121">
        <f>IF($D616="",0,IFERROR(LOOKUP(2,1/(($D$3:D615=$D616)*($A$3:A615&lt;$A616)),$N$3:N615),'Guide &amp; Settings'!$C$41))</f>
        <v>0</v>
      </c>
      <c r="I616" s="122">
        <f>IF($D616="",0,IF($S616=0,0,$R616/$S616))</f>
        <v>0</v>
      </c>
      <c r="J616" s="123">
        <f>IF($D616="",0,IF($F616&lt;2,0,IF($E616="Win",('Guide &amp; Settings'!$C$42/(($F616-1)*COUNTIFS($A$4:$A$810,$A616,$E$4:$E$810,"Win")))*SUMIFS($X$4:$X$810,$A$4:$A$810,$A616,$E$4:$E$810,"Loss"),-('Guide &amp; Settings'!$C$42/($F616-1))*$X616)))</f>
        <v>0</v>
      </c>
      <c r="K616" s="123">
        <f>IF($D616="",0,'Guide &amp; Settings'!$C$43*(IF($E616="Win",1,0)-$I616))</f>
        <v>0</v>
      </c>
      <c r="L616" s="124">
        <f>IF($D616="",0,'Guide &amp; Settings'!$C$44*IF($F616&gt;=3,$F616+IF($E616="Win",$F616,0),0))</f>
        <v>0</v>
      </c>
      <c r="M616" s="123">
        <f>IF($D616="",0,$J616+$K616+$L616)</f>
        <v>0</v>
      </c>
      <c r="N616" s="121">
        <f>IF($D616="",0,$H616+$M616)</f>
        <v>0</v>
      </c>
      <c r="O616" s="120" t="str">
        <f>IF($D616="","",IF(COUNTIFS($A$4:$A$810,$A616,$E$4:$E$810,"Win")=0,"need a winner",IF(COUNTIFS($A$4:$A$810,$A616,$E$4:$E$810,"Loss")=0,"need a loser",IF(COUNTIFS($A$4:$A$810,$A616,$D$4:$D$810,$D616)&gt;1,"duplicate player","OK"))))</f>
      </c>
      <c r="P616">
        <f>IF($D616="",0,IFERROR(SUMIFS($H$4:$H$810,$A$4:$A$810,$A616,$E$4:$E$810,"Win")/COUNTIFS($A$4:$A$810,$A616,$E$4:$E$810,"Win"),0))</f>
        <v>0</v>
      </c>
      <c r="Q616">
        <f>IF($D616="",0,1/(1+10^(($P616-$H616)/400)))</f>
        <v>0</v>
      </c>
      <c r="R616">
        <f>IF($D616="",0,(COUNTIFS($D$4:$D$810,$D616,$C$4:$C$810,$C616,$E$4:$E$810,"Win",$A$4:$A$810,"&lt;"&amp;$A616)+1)/(COUNTIFS($D$4:$D$810,$D616,$C$4:$C$810,$C616,$A$4:$A$810,"&lt;"&amp;$A616)+2))</f>
        <v>0</v>
      </c>
      <c r="S616">
        <f>IF($D616="",0,SUMIFS($R$4:$R$810,$A$4:$A$810,$A616))</f>
        <v>0</v>
      </c>
      <c r="T616" s="88">
        <f>IF($D616="",0,COUNTIFS($D$4:$D$810,$D616,$C$4:$C$810,$C616,$A$4:$A$810,"&lt;"&amp;$A616))</f>
        <v>0</v>
      </c>
      <c r="U616" s="125">
        <f>IF($D616="",0,IFERROR(LOOKUP(2,1/(($D$3:D615=$D616)*($C$3:C615=$C616)*($A$3:A615&lt;$A616)),$AB$3:AB615),1000))</f>
        <v>0</v>
      </c>
      <c r="V616" s="125">
        <f>IF($D616="",0,$U616*($T616/($T616+5))+$H616*(1-$T616/($T616+5)))</f>
        <v>0</v>
      </c>
      <c r="W616">
        <f>IF($D616="",0,IFERROR(SUMIFS($V$4:$V$810,$A$4:$A$810,$A616,$E$4:$E$810,"Win")/COUNTIFS($A$4:$A$810,$A616,$E$4:$E$810,"Win"),0))</f>
        <v>0</v>
      </c>
      <c r="X616">
        <f>IF($D616="",0,1/(1+10^(($W616-$V616)/400)))</f>
        <v>0</v>
      </c>
      <c r="Y616">
        <f>IF($D616="",0,IFERROR(SUMIFS($U$4:$U$810,$A$4:$A$810,$A616,$E$4:$E$810,"Win")/COUNTIFS($A$4:$A$810,$A616,$E$4:$E$810,"Win"),0))</f>
        <v>0</v>
      </c>
      <c r="Z616">
        <f>IF($D616="",0,1/(1+10^(($Y616-$U616)/400)))</f>
        <v>0</v>
      </c>
      <c r="AA616">
        <f>IF($D616="",0,IF($F616&lt;2,0,IF($E616="Win",('Guide &amp; Settings'!$C$42/(($F616-1)*COUNTIFS($A$4:$A$810,$A616,$E$4:$E$810,"Win")))*SUMIFS($Z$4:$Z$810,$A$4:$A$810,$A616,$E$4:$E$810,"Loss"),-('Guide &amp; Settings'!$C$42/($F616-1))*$Z616)))</f>
        <v>0</v>
      </c>
      <c r="AB616" s="125">
        <f>IF($D616="",0,$U616+$AA616)</f>
        <v>0</v>
      </c>
      <c r="AC616" s="125" t="str">
        <f>IF($D616="","",IF(SUMPRODUCT(MAX(($D$4:$D$810=$D616)*($B$4:$B$810&lt;$B616)*$B$4:$B$810))=0,0,MAX(($B616-MAX(SUMPRODUCT(MAX(($D$4:$D$810=$D616)*($B$4:$B$810&lt;$B616)*$B$4:$B$810)),'Guide &amp; Settings'!$C$50))/7-'Guide &amp; Settings'!$C$48,0)*'Guide &amp; Settings'!$C$49))</f>
      </c>
    </row>
    <row r="617" spans="1:29">
      <c r="A617" s="116"/>
      <c r="B617" s="117"/>
      <c r="C617" s="118"/>
      <c r="D617" s="118"/>
      <c r="E617" s="116"/>
      <c r="F617" s="119">
        <f>IF($D617="",0,COUNTIF($A$4:$A$810,$A617))</f>
        <v>0</v>
      </c>
      <c r="G617" s="120">
        <f>IF($D617="","",IFERROR(LOOKUP(2,1/(($A$4:$A$810=$A617)*($E$4:$E$810="Win")),$D$4:$D$810),"(no winner)"))</f>
        <v>0</v>
      </c>
      <c r="H617" s="121">
        <f>IF($D617="",0,IFERROR(LOOKUP(2,1/(($D$3:D616=$D617)*($A$3:A616&lt;$A617)),$N$3:N616),'Guide &amp; Settings'!$C$41))</f>
        <v>0</v>
      </c>
      <c r="I617" s="122">
        <f>IF($D617="",0,IF($S617=0,0,$R617/$S617))</f>
        <v>0</v>
      </c>
      <c r="J617" s="123">
        <f>IF($D617="",0,IF($F617&lt;2,0,IF($E617="Win",('Guide &amp; Settings'!$C$42/(($F617-1)*COUNTIFS($A$4:$A$810,$A617,$E$4:$E$810,"Win")))*SUMIFS($X$4:$X$810,$A$4:$A$810,$A617,$E$4:$E$810,"Loss"),-('Guide &amp; Settings'!$C$42/($F617-1))*$X617)))</f>
        <v>0</v>
      </c>
      <c r="K617" s="123">
        <f>IF($D617="",0,'Guide &amp; Settings'!$C$43*(IF($E617="Win",1,0)-$I617))</f>
        <v>0</v>
      </c>
      <c r="L617" s="124">
        <f>IF($D617="",0,'Guide &amp; Settings'!$C$44*IF($F617&gt;=3,$F617+IF($E617="Win",$F617,0),0))</f>
        <v>0</v>
      </c>
      <c r="M617" s="123">
        <f>IF($D617="",0,$J617+$K617+$L617)</f>
        <v>0</v>
      </c>
      <c r="N617" s="121">
        <f>IF($D617="",0,$H617+$M617)</f>
        <v>0</v>
      </c>
      <c r="O617" s="120" t="str">
        <f>IF($D617="","",IF(COUNTIFS($A$4:$A$810,$A617,$E$4:$E$810,"Win")=0,"need a winner",IF(COUNTIFS($A$4:$A$810,$A617,$E$4:$E$810,"Loss")=0,"need a loser",IF(COUNTIFS($A$4:$A$810,$A617,$D$4:$D$810,$D617)&gt;1,"duplicate player","OK"))))</f>
      </c>
      <c r="P617">
        <f>IF($D617="",0,IFERROR(SUMIFS($H$4:$H$810,$A$4:$A$810,$A617,$E$4:$E$810,"Win")/COUNTIFS($A$4:$A$810,$A617,$E$4:$E$810,"Win"),0))</f>
        <v>0</v>
      </c>
      <c r="Q617">
        <f>IF($D617="",0,1/(1+10^(($P617-$H617)/400)))</f>
        <v>0</v>
      </c>
      <c r="R617">
        <f>IF($D617="",0,(COUNTIFS($D$4:$D$810,$D617,$C$4:$C$810,$C617,$E$4:$E$810,"Win",$A$4:$A$810,"&lt;"&amp;$A617)+1)/(COUNTIFS($D$4:$D$810,$D617,$C$4:$C$810,$C617,$A$4:$A$810,"&lt;"&amp;$A617)+2))</f>
        <v>0</v>
      </c>
      <c r="S617">
        <f>IF($D617="",0,SUMIFS($R$4:$R$810,$A$4:$A$810,$A617))</f>
        <v>0</v>
      </c>
      <c r="T617" s="88">
        <f>IF($D617="",0,COUNTIFS($D$4:$D$810,$D617,$C$4:$C$810,$C617,$A$4:$A$810,"&lt;"&amp;$A617))</f>
        <v>0</v>
      </c>
      <c r="U617" s="125">
        <f>IF($D617="",0,IFERROR(LOOKUP(2,1/(($D$3:D616=$D617)*($C$3:C616=$C617)*($A$3:A616&lt;$A617)),$AB$3:AB616),1000))</f>
        <v>0</v>
      </c>
      <c r="V617" s="125">
        <f>IF($D617="",0,$U617*($T617/($T617+5))+$H617*(1-$T617/($T617+5)))</f>
        <v>0</v>
      </c>
      <c r="W617">
        <f>IF($D617="",0,IFERROR(SUMIFS($V$4:$V$810,$A$4:$A$810,$A617,$E$4:$E$810,"Win")/COUNTIFS($A$4:$A$810,$A617,$E$4:$E$810,"Win"),0))</f>
        <v>0</v>
      </c>
      <c r="X617">
        <f>IF($D617="",0,1/(1+10^(($W617-$V617)/400)))</f>
        <v>0</v>
      </c>
      <c r="Y617">
        <f>IF($D617="",0,IFERROR(SUMIFS($U$4:$U$810,$A$4:$A$810,$A617,$E$4:$E$810,"Win")/COUNTIFS($A$4:$A$810,$A617,$E$4:$E$810,"Win"),0))</f>
        <v>0</v>
      </c>
      <c r="Z617">
        <f>IF($D617="",0,1/(1+10^(($Y617-$U617)/400)))</f>
        <v>0</v>
      </c>
      <c r="AA617">
        <f>IF($D617="",0,IF($F617&lt;2,0,IF($E617="Win",('Guide &amp; Settings'!$C$42/(($F617-1)*COUNTIFS($A$4:$A$810,$A617,$E$4:$E$810,"Win")))*SUMIFS($Z$4:$Z$810,$A$4:$A$810,$A617,$E$4:$E$810,"Loss"),-('Guide &amp; Settings'!$C$42/($F617-1))*$Z617)))</f>
        <v>0</v>
      </c>
      <c r="AB617" s="125">
        <f>IF($D617="",0,$U617+$AA617)</f>
        <v>0</v>
      </c>
      <c r="AC617" s="125" t="str">
        <f>IF($D617="","",IF(SUMPRODUCT(MAX(($D$4:$D$810=$D617)*($B$4:$B$810&lt;$B617)*$B$4:$B$810))=0,0,MAX(($B617-MAX(SUMPRODUCT(MAX(($D$4:$D$810=$D617)*($B$4:$B$810&lt;$B617)*$B$4:$B$810)),'Guide &amp; Settings'!$C$50))/7-'Guide &amp; Settings'!$C$48,0)*'Guide &amp; Settings'!$C$49))</f>
      </c>
    </row>
    <row r="618" spans="1:29">
      <c r="A618" s="116"/>
      <c r="B618" s="117"/>
      <c r="C618" s="118"/>
      <c r="D618" s="118"/>
      <c r="E618" s="116"/>
      <c r="F618" s="119">
        <f>IF($D618="",0,COUNTIF($A$4:$A$810,$A618))</f>
        <v>0</v>
      </c>
      <c r="G618" s="120">
        <f>IF($D618="","",IFERROR(LOOKUP(2,1/(($A$4:$A$810=$A618)*($E$4:$E$810="Win")),$D$4:$D$810),"(no winner)"))</f>
        <v>0</v>
      </c>
      <c r="H618" s="121">
        <f>IF($D618="",0,IFERROR(LOOKUP(2,1/(($D$3:D617=$D618)*($A$3:A617&lt;$A618)),$N$3:N617),'Guide &amp; Settings'!$C$41))</f>
        <v>0</v>
      </c>
      <c r="I618" s="122">
        <f>IF($D618="",0,IF($S618=0,0,$R618/$S618))</f>
        <v>0</v>
      </c>
      <c r="J618" s="123">
        <f>IF($D618="",0,IF($F618&lt;2,0,IF($E618="Win",('Guide &amp; Settings'!$C$42/(($F618-1)*COUNTIFS($A$4:$A$810,$A618,$E$4:$E$810,"Win")))*SUMIFS($X$4:$X$810,$A$4:$A$810,$A618,$E$4:$E$810,"Loss"),-('Guide &amp; Settings'!$C$42/($F618-1))*$X618)))</f>
        <v>0</v>
      </c>
      <c r="K618" s="123">
        <f>IF($D618="",0,'Guide &amp; Settings'!$C$43*(IF($E618="Win",1,0)-$I618))</f>
        <v>0</v>
      </c>
      <c r="L618" s="124">
        <f>IF($D618="",0,'Guide &amp; Settings'!$C$44*IF($F618&gt;=3,$F618+IF($E618="Win",$F618,0),0))</f>
        <v>0</v>
      </c>
      <c r="M618" s="123">
        <f>IF($D618="",0,$J618+$K618+$L618)</f>
        <v>0</v>
      </c>
      <c r="N618" s="121">
        <f>IF($D618="",0,$H618+$M618)</f>
        <v>0</v>
      </c>
      <c r="O618" s="120" t="str">
        <f>IF($D618="","",IF(COUNTIFS($A$4:$A$810,$A618,$E$4:$E$810,"Win")=0,"need a winner",IF(COUNTIFS($A$4:$A$810,$A618,$E$4:$E$810,"Loss")=0,"need a loser",IF(COUNTIFS($A$4:$A$810,$A618,$D$4:$D$810,$D618)&gt;1,"duplicate player","OK"))))</f>
      </c>
      <c r="P618">
        <f>IF($D618="",0,IFERROR(SUMIFS($H$4:$H$810,$A$4:$A$810,$A618,$E$4:$E$810,"Win")/COUNTIFS($A$4:$A$810,$A618,$E$4:$E$810,"Win"),0))</f>
        <v>0</v>
      </c>
      <c r="Q618">
        <f>IF($D618="",0,1/(1+10^(($P618-$H618)/400)))</f>
        <v>0</v>
      </c>
      <c r="R618">
        <f>IF($D618="",0,(COUNTIFS($D$4:$D$810,$D618,$C$4:$C$810,$C618,$E$4:$E$810,"Win",$A$4:$A$810,"&lt;"&amp;$A618)+1)/(COUNTIFS($D$4:$D$810,$D618,$C$4:$C$810,$C618,$A$4:$A$810,"&lt;"&amp;$A618)+2))</f>
        <v>0</v>
      </c>
      <c r="S618">
        <f>IF($D618="",0,SUMIFS($R$4:$R$810,$A$4:$A$810,$A618))</f>
        <v>0</v>
      </c>
      <c r="T618" s="88">
        <f>IF($D618="",0,COUNTIFS($D$4:$D$810,$D618,$C$4:$C$810,$C618,$A$4:$A$810,"&lt;"&amp;$A618))</f>
        <v>0</v>
      </c>
      <c r="U618" s="125">
        <f>IF($D618="",0,IFERROR(LOOKUP(2,1/(($D$3:D617=$D618)*($C$3:C617=$C618)*($A$3:A617&lt;$A618)),$AB$3:AB617),1000))</f>
        <v>0</v>
      </c>
      <c r="V618" s="125">
        <f>IF($D618="",0,$U618*($T618/($T618+5))+$H618*(1-$T618/($T618+5)))</f>
        <v>0</v>
      </c>
      <c r="W618">
        <f>IF($D618="",0,IFERROR(SUMIFS($V$4:$V$810,$A$4:$A$810,$A618,$E$4:$E$810,"Win")/COUNTIFS($A$4:$A$810,$A618,$E$4:$E$810,"Win"),0))</f>
        <v>0</v>
      </c>
      <c r="X618">
        <f>IF($D618="",0,1/(1+10^(($W618-$V618)/400)))</f>
        <v>0</v>
      </c>
      <c r="Y618">
        <f>IF($D618="",0,IFERROR(SUMIFS($U$4:$U$810,$A$4:$A$810,$A618,$E$4:$E$810,"Win")/COUNTIFS($A$4:$A$810,$A618,$E$4:$E$810,"Win"),0))</f>
        <v>0</v>
      </c>
      <c r="Z618">
        <f>IF($D618="",0,1/(1+10^(($Y618-$U618)/400)))</f>
        <v>0</v>
      </c>
      <c r="AA618">
        <f>IF($D618="",0,IF($F618&lt;2,0,IF($E618="Win",('Guide &amp; Settings'!$C$42/(($F618-1)*COUNTIFS($A$4:$A$810,$A618,$E$4:$E$810,"Win")))*SUMIFS($Z$4:$Z$810,$A$4:$A$810,$A618,$E$4:$E$810,"Loss"),-('Guide &amp; Settings'!$C$42/($F618-1))*$Z618)))</f>
        <v>0</v>
      </c>
      <c r="AB618" s="125">
        <f>IF($D618="",0,$U618+$AA618)</f>
        <v>0</v>
      </c>
      <c r="AC618" s="125" t="str">
        <f>IF($D618="","",IF(SUMPRODUCT(MAX(($D$4:$D$810=$D618)*($B$4:$B$810&lt;$B618)*$B$4:$B$810))=0,0,MAX(($B618-MAX(SUMPRODUCT(MAX(($D$4:$D$810=$D618)*($B$4:$B$810&lt;$B618)*$B$4:$B$810)),'Guide &amp; Settings'!$C$50))/7-'Guide &amp; Settings'!$C$48,0)*'Guide &amp; Settings'!$C$49))</f>
      </c>
    </row>
    <row r="619" spans="1:29">
      <c r="A619" s="116"/>
      <c r="B619" s="117"/>
      <c r="C619" s="118"/>
      <c r="D619" s="118"/>
      <c r="E619" s="116"/>
      <c r="F619" s="119">
        <f>IF($D619="",0,COUNTIF($A$4:$A$810,$A619))</f>
        <v>0</v>
      </c>
      <c r="G619" s="120">
        <f>IF($D619="","",IFERROR(LOOKUP(2,1/(($A$4:$A$810=$A619)*($E$4:$E$810="Win")),$D$4:$D$810),"(no winner)"))</f>
        <v>0</v>
      </c>
      <c r="H619" s="121">
        <f>IF($D619="",0,IFERROR(LOOKUP(2,1/(($D$3:D618=$D619)*($A$3:A618&lt;$A619)),$N$3:N618),'Guide &amp; Settings'!$C$41))</f>
        <v>0</v>
      </c>
      <c r="I619" s="122">
        <f>IF($D619="",0,IF($S619=0,0,$R619/$S619))</f>
        <v>0</v>
      </c>
      <c r="J619" s="123">
        <f>IF($D619="",0,IF($F619&lt;2,0,IF($E619="Win",('Guide &amp; Settings'!$C$42/(($F619-1)*COUNTIFS($A$4:$A$810,$A619,$E$4:$E$810,"Win")))*SUMIFS($X$4:$X$810,$A$4:$A$810,$A619,$E$4:$E$810,"Loss"),-('Guide &amp; Settings'!$C$42/($F619-1))*$X619)))</f>
        <v>0</v>
      </c>
      <c r="K619" s="123">
        <f>IF($D619="",0,'Guide &amp; Settings'!$C$43*(IF($E619="Win",1,0)-$I619))</f>
        <v>0</v>
      </c>
      <c r="L619" s="124">
        <f>IF($D619="",0,'Guide &amp; Settings'!$C$44*IF($F619&gt;=3,$F619+IF($E619="Win",$F619,0),0))</f>
        <v>0</v>
      </c>
      <c r="M619" s="123">
        <f>IF($D619="",0,$J619+$K619+$L619)</f>
        <v>0</v>
      </c>
      <c r="N619" s="121">
        <f>IF($D619="",0,$H619+$M619)</f>
        <v>0</v>
      </c>
      <c r="O619" s="120" t="str">
        <f>IF($D619="","",IF(COUNTIFS($A$4:$A$810,$A619,$E$4:$E$810,"Win")=0,"need a winner",IF(COUNTIFS($A$4:$A$810,$A619,$E$4:$E$810,"Loss")=0,"need a loser",IF(COUNTIFS($A$4:$A$810,$A619,$D$4:$D$810,$D619)&gt;1,"duplicate player","OK"))))</f>
      </c>
      <c r="P619">
        <f>IF($D619="",0,IFERROR(SUMIFS($H$4:$H$810,$A$4:$A$810,$A619,$E$4:$E$810,"Win")/COUNTIFS($A$4:$A$810,$A619,$E$4:$E$810,"Win"),0))</f>
        <v>0</v>
      </c>
      <c r="Q619">
        <f>IF($D619="",0,1/(1+10^(($P619-$H619)/400)))</f>
        <v>0</v>
      </c>
      <c r="R619">
        <f>IF($D619="",0,(COUNTIFS($D$4:$D$810,$D619,$C$4:$C$810,$C619,$E$4:$E$810,"Win",$A$4:$A$810,"&lt;"&amp;$A619)+1)/(COUNTIFS($D$4:$D$810,$D619,$C$4:$C$810,$C619,$A$4:$A$810,"&lt;"&amp;$A619)+2))</f>
        <v>0</v>
      </c>
      <c r="S619">
        <f>IF($D619="",0,SUMIFS($R$4:$R$810,$A$4:$A$810,$A619))</f>
        <v>0</v>
      </c>
      <c r="T619" s="88">
        <f>IF($D619="",0,COUNTIFS($D$4:$D$810,$D619,$C$4:$C$810,$C619,$A$4:$A$810,"&lt;"&amp;$A619))</f>
        <v>0</v>
      </c>
      <c r="U619" s="125">
        <f>IF($D619="",0,IFERROR(LOOKUP(2,1/(($D$3:D618=$D619)*($C$3:C618=$C619)*($A$3:A618&lt;$A619)),$AB$3:AB618),1000))</f>
        <v>0</v>
      </c>
      <c r="V619" s="125">
        <f>IF($D619="",0,$U619*($T619/($T619+5))+$H619*(1-$T619/($T619+5)))</f>
        <v>0</v>
      </c>
      <c r="W619">
        <f>IF($D619="",0,IFERROR(SUMIFS($V$4:$V$810,$A$4:$A$810,$A619,$E$4:$E$810,"Win")/COUNTIFS($A$4:$A$810,$A619,$E$4:$E$810,"Win"),0))</f>
        <v>0</v>
      </c>
      <c r="X619">
        <f>IF($D619="",0,1/(1+10^(($W619-$V619)/400)))</f>
        <v>0</v>
      </c>
      <c r="Y619">
        <f>IF($D619="",0,IFERROR(SUMIFS($U$4:$U$810,$A$4:$A$810,$A619,$E$4:$E$810,"Win")/COUNTIFS($A$4:$A$810,$A619,$E$4:$E$810,"Win"),0))</f>
        <v>0</v>
      </c>
      <c r="Z619">
        <f>IF($D619="",0,1/(1+10^(($Y619-$U619)/400)))</f>
        <v>0</v>
      </c>
      <c r="AA619">
        <f>IF($D619="",0,IF($F619&lt;2,0,IF($E619="Win",('Guide &amp; Settings'!$C$42/(($F619-1)*COUNTIFS($A$4:$A$810,$A619,$E$4:$E$810,"Win")))*SUMIFS($Z$4:$Z$810,$A$4:$A$810,$A619,$E$4:$E$810,"Loss"),-('Guide &amp; Settings'!$C$42/($F619-1))*$Z619)))</f>
        <v>0</v>
      </c>
      <c r="AB619" s="125">
        <f>IF($D619="",0,$U619+$AA619)</f>
        <v>0</v>
      </c>
      <c r="AC619" s="125" t="str">
        <f>IF($D619="","",IF(SUMPRODUCT(MAX(($D$4:$D$810=$D619)*($B$4:$B$810&lt;$B619)*$B$4:$B$810))=0,0,MAX(($B619-MAX(SUMPRODUCT(MAX(($D$4:$D$810=$D619)*($B$4:$B$810&lt;$B619)*$B$4:$B$810)),'Guide &amp; Settings'!$C$50))/7-'Guide &amp; Settings'!$C$48,0)*'Guide &amp; Settings'!$C$49))</f>
      </c>
    </row>
    <row r="620" spans="1:29">
      <c r="A620" s="116"/>
      <c r="B620" s="117"/>
      <c r="C620" s="118"/>
      <c r="D620" s="118"/>
      <c r="E620" s="116"/>
      <c r="F620" s="119">
        <f>IF($D620="",0,COUNTIF($A$4:$A$810,$A620))</f>
        <v>0</v>
      </c>
      <c r="G620" s="120">
        <f>IF($D620="","",IFERROR(LOOKUP(2,1/(($A$4:$A$810=$A620)*($E$4:$E$810="Win")),$D$4:$D$810),"(no winner)"))</f>
        <v>0</v>
      </c>
      <c r="H620" s="121">
        <f>IF($D620="",0,IFERROR(LOOKUP(2,1/(($D$3:D619=$D620)*($A$3:A619&lt;$A620)),$N$3:N619),'Guide &amp; Settings'!$C$41))</f>
        <v>0</v>
      </c>
      <c r="I620" s="122">
        <f>IF($D620="",0,IF($S620=0,0,$R620/$S620))</f>
        <v>0</v>
      </c>
      <c r="J620" s="123">
        <f>IF($D620="",0,IF($F620&lt;2,0,IF($E620="Win",('Guide &amp; Settings'!$C$42/(($F620-1)*COUNTIFS($A$4:$A$810,$A620,$E$4:$E$810,"Win")))*SUMIFS($X$4:$X$810,$A$4:$A$810,$A620,$E$4:$E$810,"Loss"),-('Guide &amp; Settings'!$C$42/($F620-1))*$X620)))</f>
        <v>0</v>
      </c>
      <c r="K620" s="123">
        <f>IF($D620="",0,'Guide &amp; Settings'!$C$43*(IF($E620="Win",1,0)-$I620))</f>
        <v>0</v>
      </c>
      <c r="L620" s="124">
        <f>IF($D620="",0,'Guide &amp; Settings'!$C$44*IF($F620&gt;=3,$F620+IF($E620="Win",$F620,0),0))</f>
        <v>0</v>
      </c>
      <c r="M620" s="123">
        <f>IF($D620="",0,$J620+$K620+$L620)</f>
        <v>0</v>
      </c>
      <c r="N620" s="121">
        <f>IF($D620="",0,$H620+$M620)</f>
        <v>0</v>
      </c>
      <c r="O620" s="120" t="str">
        <f>IF($D620="","",IF(COUNTIFS($A$4:$A$810,$A620,$E$4:$E$810,"Win")=0,"need a winner",IF(COUNTIFS($A$4:$A$810,$A620,$E$4:$E$810,"Loss")=0,"need a loser",IF(COUNTIFS($A$4:$A$810,$A620,$D$4:$D$810,$D620)&gt;1,"duplicate player","OK"))))</f>
      </c>
      <c r="P620">
        <f>IF($D620="",0,IFERROR(SUMIFS($H$4:$H$810,$A$4:$A$810,$A620,$E$4:$E$810,"Win")/COUNTIFS($A$4:$A$810,$A620,$E$4:$E$810,"Win"),0))</f>
        <v>0</v>
      </c>
      <c r="Q620">
        <f>IF($D620="",0,1/(1+10^(($P620-$H620)/400)))</f>
        <v>0</v>
      </c>
      <c r="R620">
        <f>IF($D620="",0,(COUNTIFS($D$4:$D$810,$D620,$C$4:$C$810,$C620,$E$4:$E$810,"Win",$A$4:$A$810,"&lt;"&amp;$A620)+1)/(COUNTIFS($D$4:$D$810,$D620,$C$4:$C$810,$C620,$A$4:$A$810,"&lt;"&amp;$A620)+2))</f>
        <v>0</v>
      </c>
      <c r="S620">
        <f>IF($D620="",0,SUMIFS($R$4:$R$810,$A$4:$A$810,$A620))</f>
        <v>0</v>
      </c>
      <c r="T620" s="88">
        <f>IF($D620="",0,COUNTIFS($D$4:$D$810,$D620,$C$4:$C$810,$C620,$A$4:$A$810,"&lt;"&amp;$A620))</f>
        <v>0</v>
      </c>
      <c r="U620" s="125">
        <f>IF($D620="",0,IFERROR(LOOKUP(2,1/(($D$3:D619=$D620)*($C$3:C619=$C620)*($A$3:A619&lt;$A620)),$AB$3:AB619),1000))</f>
        <v>0</v>
      </c>
      <c r="V620" s="125">
        <f>IF($D620="",0,$U620*($T620/($T620+5))+$H620*(1-$T620/($T620+5)))</f>
        <v>0</v>
      </c>
      <c r="W620">
        <f>IF($D620="",0,IFERROR(SUMIFS($V$4:$V$810,$A$4:$A$810,$A620,$E$4:$E$810,"Win")/COUNTIFS($A$4:$A$810,$A620,$E$4:$E$810,"Win"),0))</f>
        <v>0</v>
      </c>
      <c r="X620">
        <f>IF($D620="",0,1/(1+10^(($W620-$V620)/400)))</f>
        <v>0</v>
      </c>
      <c r="Y620">
        <f>IF($D620="",0,IFERROR(SUMIFS($U$4:$U$810,$A$4:$A$810,$A620,$E$4:$E$810,"Win")/COUNTIFS($A$4:$A$810,$A620,$E$4:$E$810,"Win"),0))</f>
        <v>0</v>
      </c>
      <c r="Z620">
        <f>IF($D620="",0,1/(1+10^(($Y620-$U620)/400)))</f>
        <v>0</v>
      </c>
      <c r="AA620">
        <f>IF($D620="",0,IF($F620&lt;2,0,IF($E620="Win",('Guide &amp; Settings'!$C$42/(($F620-1)*COUNTIFS($A$4:$A$810,$A620,$E$4:$E$810,"Win")))*SUMIFS($Z$4:$Z$810,$A$4:$A$810,$A620,$E$4:$E$810,"Loss"),-('Guide &amp; Settings'!$C$42/($F620-1))*$Z620)))</f>
        <v>0</v>
      </c>
      <c r="AB620" s="125">
        <f>IF($D620="",0,$U620+$AA620)</f>
        <v>0</v>
      </c>
      <c r="AC620" s="125" t="str">
        <f>IF($D620="","",IF(SUMPRODUCT(MAX(($D$4:$D$810=$D620)*($B$4:$B$810&lt;$B620)*$B$4:$B$810))=0,0,MAX(($B620-MAX(SUMPRODUCT(MAX(($D$4:$D$810=$D620)*($B$4:$B$810&lt;$B620)*$B$4:$B$810)),'Guide &amp; Settings'!$C$50))/7-'Guide &amp; Settings'!$C$48,0)*'Guide &amp; Settings'!$C$49))</f>
      </c>
    </row>
    <row r="621" spans="1:29">
      <c r="A621" s="116"/>
      <c r="B621" s="117"/>
      <c r="C621" s="118"/>
      <c r="D621" s="118"/>
      <c r="E621" s="116"/>
      <c r="F621" s="119">
        <f>IF($D621="",0,COUNTIF($A$4:$A$810,$A621))</f>
        <v>0</v>
      </c>
      <c r="G621" s="120">
        <f>IF($D621="","",IFERROR(LOOKUP(2,1/(($A$4:$A$810=$A621)*($E$4:$E$810="Win")),$D$4:$D$810),"(no winner)"))</f>
        <v>0</v>
      </c>
      <c r="H621" s="121">
        <f>IF($D621="",0,IFERROR(LOOKUP(2,1/(($D$3:D620=$D621)*($A$3:A620&lt;$A621)),$N$3:N620),'Guide &amp; Settings'!$C$41))</f>
        <v>0</v>
      </c>
      <c r="I621" s="122">
        <f>IF($D621="",0,IF($S621=0,0,$R621/$S621))</f>
        <v>0</v>
      </c>
      <c r="J621" s="123">
        <f>IF($D621="",0,IF($F621&lt;2,0,IF($E621="Win",('Guide &amp; Settings'!$C$42/(($F621-1)*COUNTIFS($A$4:$A$810,$A621,$E$4:$E$810,"Win")))*SUMIFS($X$4:$X$810,$A$4:$A$810,$A621,$E$4:$E$810,"Loss"),-('Guide &amp; Settings'!$C$42/($F621-1))*$X621)))</f>
        <v>0</v>
      </c>
      <c r="K621" s="123">
        <f>IF($D621="",0,'Guide &amp; Settings'!$C$43*(IF($E621="Win",1,0)-$I621))</f>
        <v>0</v>
      </c>
      <c r="L621" s="124">
        <f>IF($D621="",0,'Guide &amp; Settings'!$C$44*IF($F621&gt;=3,$F621+IF($E621="Win",$F621,0),0))</f>
        <v>0</v>
      </c>
      <c r="M621" s="123">
        <f>IF($D621="",0,$J621+$K621+$L621)</f>
        <v>0</v>
      </c>
      <c r="N621" s="121">
        <f>IF($D621="",0,$H621+$M621)</f>
        <v>0</v>
      </c>
      <c r="O621" s="120" t="str">
        <f>IF($D621="","",IF(COUNTIFS($A$4:$A$810,$A621,$E$4:$E$810,"Win")=0,"need a winner",IF(COUNTIFS($A$4:$A$810,$A621,$E$4:$E$810,"Loss")=0,"need a loser",IF(COUNTIFS($A$4:$A$810,$A621,$D$4:$D$810,$D621)&gt;1,"duplicate player","OK"))))</f>
      </c>
      <c r="P621">
        <f>IF($D621="",0,IFERROR(SUMIFS($H$4:$H$810,$A$4:$A$810,$A621,$E$4:$E$810,"Win")/COUNTIFS($A$4:$A$810,$A621,$E$4:$E$810,"Win"),0))</f>
        <v>0</v>
      </c>
      <c r="Q621">
        <f>IF($D621="",0,1/(1+10^(($P621-$H621)/400)))</f>
        <v>0</v>
      </c>
      <c r="R621">
        <f>IF($D621="",0,(COUNTIFS($D$4:$D$810,$D621,$C$4:$C$810,$C621,$E$4:$E$810,"Win",$A$4:$A$810,"&lt;"&amp;$A621)+1)/(COUNTIFS($D$4:$D$810,$D621,$C$4:$C$810,$C621,$A$4:$A$810,"&lt;"&amp;$A621)+2))</f>
        <v>0</v>
      </c>
      <c r="S621">
        <f>IF($D621="",0,SUMIFS($R$4:$R$810,$A$4:$A$810,$A621))</f>
        <v>0</v>
      </c>
      <c r="T621" s="88">
        <f>IF($D621="",0,COUNTIFS($D$4:$D$810,$D621,$C$4:$C$810,$C621,$A$4:$A$810,"&lt;"&amp;$A621))</f>
        <v>0</v>
      </c>
      <c r="U621" s="125">
        <f>IF($D621="",0,IFERROR(LOOKUP(2,1/(($D$3:D620=$D621)*($C$3:C620=$C621)*($A$3:A620&lt;$A621)),$AB$3:AB620),1000))</f>
        <v>0</v>
      </c>
      <c r="V621" s="125">
        <f>IF($D621="",0,$U621*($T621/($T621+5))+$H621*(1-$T621/($T621+5)))</f>
        <v>0</v>
      </c>
      <c r="W621">
        <f>IF($D621="",0,IFERROR(SUMIFS($V$4:$V$810,$A$4:$A$810,$A621,$E$4:$E$810,"Win")/COUNTIFS($A$4:$A$810,$A621,$E$4:$E$810,"Win"),0))</f>
        <v>0</v>
      </c>
      <c r="X621">
        <f>IF($D621="",0,1/(1+10^(($W621-$V621)/400)))</f>
        <v>0</v>
      </c>
      <c r="Y621">
        <f>IF($D621="",0,IFERROR(SUMIFS($U$4:$U$810,$A$4:$A$810,$A621,$E$4:$E$810,"Win")/COUNTIFS($A$4:$A$810,$A621,$E$4:$E$810,"Win"),0))</f>
        <v>0</v>
      </c>
      <c r="Z621">
        <f>IF($D621="",0,1/(1+10^(($Y621-$U621)/400)))</f>
        <v>0</v>
      </c>
      <c r="AA621">
        <f>IF($D621="",0,IF($F621&lt;2,0,IF($E621="Win",('Guide &amp; Settings'!$C$42/(($F621-1)*COUNTIFS($A$4:$A$810,$A621,$E$4:$E$810,"Win")))*SUMIFS($Z$4:$Z$810,$A$4:$A$810,$A621,$E$4:$E$810,"Loss"),-('Guide &amp; Settings'!$C$42/($F621-1))*$Z621)))</f>
        <v>0</v>
      </c>
      <c r="AB621" s="125">
        <f>IF($D621="",0,$U621+$AA621)</f>
        <v>0</v>
      </c>
      <c r="AC621" s="125" t="str">
        <f>IF($D621="","",IF(SUMPRODUCT(MAX(($D$4:$D$810=$D621)*($B$4:$B$810&lt;$B621)*$B$4:$B$810))=0,0,MAX(($B621-MAX(SUMPRODUCT(MAX(($D$4:$D$810=$D621)*($B$4:$B$810&lt;$B621)*$B$4:$B$810)),'Guide &amp; Settings'!$C$50))/7-'Guide &amp; Settings'!$C$48,0)*'Guide &amp; Settings'!$C$49))</f>
      </c>
    </row>
    <row r="622" spans="1:29">
      <c r="A622" s="116"/>
      <c r="B622" s="117"/>
      <c r="C622" s="118"/>
      <c r="D622" s="118"/>
      <c r="E622" s="116"/>
      <c r="F622" s="119">
        <f>IF($D622="",0,COUNTIF($A$4:$A$810,$A622))</f>
        <v>0</v>
      </c>
      <c r="G622" s="120">
        <f>IF($D622="","",IFERROR(LOOKUP(2,1/(($A$4:$A$810=$A622)*($E$4:$E$810="Win")),$D$4:$D$810),"(no winner)"))</f>
        <v>0</v>
      </c>
      <c r="H622" s="121">
        <f>IF($D622="",0,IFERROR(LOOKUP(2,1/(($D$3:D621=$D622)*($A$3:A621&lt;$A622)),$N$3:N621),'Guide &amp; Settings'!$C$41))</f>
        <v>0</v>
      </c>
      <c r="I622" s="122">
        <f>IF($D622="",0,IF($S622=0,0,$R622/$S622))</f>
        <v>0</v>
      </c>
      <c r="J622" s="123">
        <f>IF($D622="",0,IF($F622&lt;2,0,IF($E622="Win",('Guide &amp; Settings'!$C$42/(($F622-1)*COUNTIFS($A$4:$A$810,$A622,$E$4:$E$810,"Win")))*SUMIFS($X$4:$X$810,$A$4:$A$810,$A622,$E$4:$E$810,"Loss"),-('Guide &amp; Settings'!$C$42/($F622-1))*$X622)))</f>
        <v>0</v>
      </c>
      <c r="K622" s="123">
        <f>IF($D622="",0,'Guide &amp; Settings'!$C$43*(IF($E622="Win",1,0)-$I622))</f>
        <v>0</v>
      </c>
      <c r="L622" s="124">
        <f>IF($D622="",0,'Guide &amp; Settings'!$C$44*IF($F622&gt;=3,$F622+IF($E622="Win",$F622,0),0))</f>
        <v>0</v>
      </c>
      <c r="M622" s="123">
        <f>IF($D622="",0,$J622+$K622+$L622)</f>
        <v>0</v>
      </c>
      <c r="N622" s="121">
        <f>IF($D622="",0,$H622+$M622)</f>
        <v>0</v>
      </c>
      <c r="O622" s="120" t="str">
        <f>IF($D622="","",IF(COUNTIFS($A$4:$A$810,$A622,$E$4:$E$810,"Win")=0,"need a winner",IF(COUNTIFS($A$4:$A$810,$A622,$E$4:$E$810,"Loss")=0,"need a loser",IF(COUNTIFS($A$4:$A$810,$A622,$D$4:$D$810,$D622)&gt;1,"duplicate player","OK"))))</f>
      </c>
      <c r="P622">
        <f>IF($D622="",0,IFERROR(SUMIFS($H$4:$H$810,$A$4:$A$810,$A622,$E$4:$E$810,"Win")/COUNTIFS($A$4:$A$810,$A622,$E$4:$E$810,"Win"),0))</f>
        <v>0</v>
      </c>
      <c r="Q622">
        <f>IF($D622="",0,1/(1+10^(($P622-$H622)/400)))</f>
        <v>0</v>
      </c>
      <c r="R622">
        <f>IF($D622="",0,(COUNTIFS($D$4:$D$810,$D622,$C$4:$C$810,$C622,$E$4:$E$810,"Win",$A$4:$A$810,"&lt;"&amp;$A622)+1)/(COUNTIFS($D$4:$D$810,$D622,$C$4:$C$810,$C622,$A$4:$A$810,"&lt;"&amp;$A622)+2))</f>
        <v>0</v>
      </c>
      <c r="S622">
        <f>IF($D622="",0,SUMIFS($R$4:$R$810,$A$4:$A$810,$A622))</f>
        <v>0</v>
      </c>
      <c r="T622" s="88">
        <f>IF($D622="",0,COUNTIFS($D$4:$D$810,$D622,$C$4:$C$810,$C622,$A$4:$A$810,"&lt;"&amp;$A622))</f>
        <v>0</v>
      </c>
      <c r="U622" s="125">
        <f>IF($D622="",0,IFERROR(LOOKUP(2,1/(($D$3:D621=$D622)*($C$3:C621=$C622)*($A$3:A621&lt;$A622)),$AB$3:AB621),1000))</f>
        <v>0</v>
      </c>
      <c r="V622" s="125">
        <f>IF($D622="",0,$U622*($T622/($T622+5))+$H622*(1-$T622/($T622+5)))</f>
        <v>0</v>
      </c>
      <c r="W622">
        <f>IF($D622="",0,IFERROR(SUMIFS($V$4:$V$810,$A$4:$A$810,$A622,$E$4:$E$810,"Win")/COUNTIFS($A$4:$A$810,$A622,$E$4:$E$810,"Win"),0))</f>
        <v>0</v>
      </c>
      <c r="X622">
        <f>IF($D622="",0,1/(1+10^(($W622-$V622)/400)))</f>
        <v>0</v>
      </c>
      <c r="Y622">
        <f>IF($D622="",0,IFERROR(SUMIFS($U$4:$U$810,$A$4:$A$810,$A622,$E$4:$E$810,"Win")/COUNTIFS($A$4:$A$810,$A622,$E$4:$E$810,"Win"),0))</f>
        <v>0</v>
      </c>
      <c r="Z622">
        <f>IF($D622="",0,1/(1+10^(($Y622-$U622)/400)))</f>
        <v>0</v>
      </c>
      <c r="AA622">
        <f>IF($D622="",0,IF($F622&lt;2,0,IF($E622="Win",('Guide &amp; Settings'!$C$42/(($F622-1)*COUNTIFS($A$4:$A$810,$A622,$E$4:$E$810,"Win")))*SUMIFS($Z$4:$Z$810,$A$4:$A$810,$A622,$E$4:$E$810,"Loss"),-('Guide &amp; Settings'!$C$42/($F622-1))*$Z622)))</f>
        <v>0</v>
      </c>
      <c r="AB622" s="125">
        <f>IF($D622="",0,$U622+$AA622)</f>
        <v>0</v>
      </c>
      <c r="AC622" s="125" t="str">
        <f>IF($D622="","",IF(SUMPRODUCT(MAX(($D$4:$D$810=$D622)*($B$4:$B$810&lt;$B622)*$B$4:$B$810))=0,0,MAX(($B622-MAX(SUMPRODUCT(MAX(($D$4:$D$810=$D622)*($B$4:$B$810&lt;$B622)*$B$4:$B$810)),'Guide &amp; Settings'!$C$50))/7-'Guide &amp; Settings'!$C$48,0)*'Guide &amp; Settings'!$C$49))</f>
      </c>
    </row>
    <row r="623" spans="1:29">
      <c r="A623" s="116"/>
      <c r="B623" s="117"/>
      <c r="C623" s="118"/>
      <c r="D623" s="118"/>
      <c r="E623" s="116"/>
      <c r="F623" s="119">
        <f>IF($D623="",0,COUNTIF($A$4:$A$810,$A623))</f>
        <v>0</v>
      </c>
      <c r="G623" s="120">
        <f>IF($D623="","",IFERROR(LOOKUP(2,1/(($A$4:$A$810=$A623)*($E$4:$E$810="Win")),$D$4:$D$810),"(no winner)"))</f>
        <v>0</v>
      </c>
      <c r="H623" s="121">
        <f>IF($D623="",0,IFERROR(LOOKUP(2,1/(($D$3:D622=$D623)*($A$3:A622&lt;$A623)),$N$3:N622),'Guide &amp; Settings'!$C$41))</f>
        <v>0</v>
      </c>
      <c r="I623" s="122">
        <f>IF($D623="",0,IF($S623=0,0,$R623/$S623))</f>
        <v>0</v>
      </c>
      <c r="J623" s="123">
        <f>IF($D623="",0,IF($F623&lt;2,0,IF($E623="Win",('Guide &amp; Settings'!$C$42/(($F623-1)*COUNTIFS($A$4:$A$810,$A623,$E$4:$E$810,"Win")))*SUMIFS($X$4:$X$810,$A$4:$A$810,$A623,$E$4:$E$810,"Loss"),-('Guide &amp; Settings'!$C$42/($F623-1))*$X623)))</f>
        <v>0</v>
      </c>
      <c r="K623" s="123">
        <f>IF($D623="",0,'Guide &amp; Settings'!$C$43*(IF($E623="Win",1,0)-$I623))</f>
        <v>0</v>
      </c>
      <c r="L623" s="124">
        <f>IF($D623="",0,'Guide &amp; Settings'!$C$44*IF($F623&gt;=3,$F623+IF($E623="Win",$F623,0),0))</f>
        <v>0</v>
      </c>
      <c r="M623" s="123">
        <f>IF($D623="",0,$J623+$K623+$L623)</f>
        <v>0</v>
      </c>
      <c r="N623" s="121">
        <f>IF($D623="",0,$H623+$M623)</f>
        <v>0</v>
      </c>
      <c r="O623" s="120" t="str">
        <f>IF($D623="","",IF(COUNTIFS($A$4:$A$810,$A623,$E$4:$E$810,"Win")=0,"need a winner",IF(COUNTIFS($A$4:$A$810,$A623,$E$4:$E$810,"Loss")=0,"need a loser",IF(COUNTIFS($A$4:$A$810,$A623,$D$4:$D$810,$D623)&gt;1,"duplicate player","OK"))))</f>
      </c>
      <c r="P623">
        <f>IF($D623="",0,IFERROR(SUMIFS($H$4:$H$810,$A$4:$A$810,$A623,$E$4:$E$810,"Win")/COUNTIFS($A$4:$A$810,$A623,$E$4:$E$810,"Win"),0))</f>
        <v>0</v>
      </c>
      <c r="Q623">
        <f>IF($D623="",0,1/(1+10^(($P623-$H623)/400)))</f>
        <v>0</v>
      </c>
      <c r="R623">
        <f>IF($D623="",0,(COUNTIFS($D$4:$D$810,$D623,$C$4:$C$810,$C623,$E$4:$E$810,"Win",$A$4:$A$810,"&lt;"&amp;$A623)+1)/(COUNTIFS($D$4:$D$810,$D623,$C$4:$C$810,$C623,$A$4:$A$810,"&lt;"&amp;$A623)+2))</f>
        <v>0</v>
      </c>
      <c r="S623">
        <f>IF($D623="",0,SUMIFS($R$4:$R$810,$A$4:$A$810,$A623))</f>
        <v>0</v>
      </c>
      <c r="T623" s="88">
        <f>IF($D623="",0,COUNTIFS($D$4:$D$810,$D623,$C$4:$C$810,$C623,$A$4:$A$810,"&lt;"&amp;$A623))</f>
        <v>0</v>
      </c>
      <c r="U623" s="125">
        <f>IF($D623="",0,IFERROR(LOOKUP(2,1/(($D$3:D622=$D623)*($C$3:C622=$C623)*($A$3:A622&lt;$A623)),$AB$3:AB622),1000))</f>
        <v>0</v>
      </c>
      <c r="V623" s="125">
        <f>IF($D623="",0,$U623*($T623/($T623+5))+$H623*(1-$T623/($T623+5)))</f>
        <v>0</v>
      </c>
      <c r="W623">
        <f>IF($D623="",0,IFERROR(SUMIFS($V$4:$V$810,$A$4:$A$810,$A623,$E$4:$E$810,"Win")/COUNTIFS($A$4:$A$810,$A623,$E$4:$E$810,"Win"),0))</f>
        <v>0</v>
      </c>
      <c r="X623">
        <f>IF($D623="",0,1/(1+10^(($W623-$V623)/400)))</f>
        <v>0</v>
      </c>
      <c r="Y623">
        <f>IF($D623="",0,IFERROR(SUMIFS($U$4:$U$810,$A$4:$A$810,$A623,$E$4:$E$810,"Win")/COUNTIFS($A$4:$A$810,$A623,$E$4:$E$810,"Win"),0))</f>
        <v>0</v>
      </c>
      <c r="Z623">
        <f>IF($D623="",0,1/(1+10^(($Y623-$U623)/400)))</f>
        <v>0</v>
      </c>
      <c r="AA623">
        <f>IF($D623="",0,IF($F623&lt;2,0,IF($E623="Win",('Guide &amp; Settings'!$C$42/(($F623-1)*COUNTIFS($A$4:$A$810,$A623,$E$4:$E$810,"Win")))*SUMIFS($Z$4:$Z$810,$A$4:$A$810,$A623,$E$4:$E$810,"Loss"),-('Guide &amp; Settings'!$C$42/($F623-1))*$Z623)))</f>
        <v>0</v>
      </c>
      <c r="AB623" s="125">
        <f>IF($D623="",0,$U623+$AA623)</f>
        <v>0</v>
      </c>
      <c r="AC623" s="125" t="str">
        <f>IF($D623="","",IF(SUMPRODUCT(MAX(($D$4:$D$810=$D623)*($B$4:$B$810&lt;$B623)*$B$4:$B$810))=0,0,MAX(($B623-MAX(SUMPRODUCT(MAX(($D$4:$D$810=$D623)*($B$4:$B$810&lt;$B623)*$B$4:$B$810)),'Guide &amp; Settings'!$C$50))/7-'Guide &amp; Settings'!$C$48,0)*'Guide &amp; Settings'!$C$49))</f>
      </c>
    </row>
    <row r="624" spans="1:29">
      <c r="A624" s="116"/>
      <c r="B624" s="117"/>
      <c r="C624" s="118"/>
      <c r="D624" s="118"/>
      <c r="E624" s="116"/>
      <c r="F624" s="119">
        <f>IF($D624="",0,COUNTIF($A$4:$A$810,$A624))</f>
        <v>0</v>
      </c>
      <c r="G624" s="120">
        <f>IF($D624="","",IFERROR(LOOKUP(2,1/(($A$4:$A$810=$A624)*($E$4:$E$810="Win")),$D$4:$D$810),"(no winner)"))</f>
        <v>0</v>
      </c>
      <c r="H624" s="121">
        <f>IF($D624="",0,IFERROR(LOOKUP(2,1/(($D$3:D623=$D624)*($A$3:A623&lt;$A624)),$N$3:N623),'Guide &amp; Settings'!$C$41))</f>
        <v>0</v>
      </c>
      <c r="I624" s="122">
        <f>IF($D624="",0,IF($S624=0,0,$R624/$S624))</f>
        <v>0</v>
      </c>
      <c r="J624" s="123">
        <f>IF($D624="",0,IF($F624&lt;2,0,IF($E624="Win",('Guide &amp; Settings'!$C$42/(($F624-1)*COUNTIFS($A$4:$A$810,$A624,$E$4:$E$810,"Win")))*SUMIFS($X$4:$X$810,$A$4:$A$810,$A624,$E$4:$E$810,"Loss"),-('Guide &amp; Settings'!$C$42/($F624-1))*$X624)))</f>
        <v>0</v>
      </c>
      <c r="K624" s="123">
        <f>IF($D624="",0,'Guide &amp; Settings'!$C$43*(IF($E624="Win",1,0)-$I624))</f>
        <v>0</v>
      </c>
      <c r="L624" s="124">
        <f>IF($D624="",0,'Guide &amp; Settings'!$C$44*IF($F624&gt;=3,$F624+IF($E624="Win",$F624,0),0))</f>
        <v>0</v>
      </c>
      <c r="M624" s="123">
        <f>IF($D624="",0,$J624+$K624+$L624)</f>
        <v>0</v>
      </c>
      <c r="N624" s="121">
        <f>IF($D624="",0,$H624+$M624)</f>
        <v>0</v>
      </c>
      <c r="O624" s="120" t="str">
        <f>IF($D624="","",IF(COUNTIFS($A$4:$A$810,$A624,$E$4:$E$810,"Win")=0,"need a winner",IF(COUNTIFS($A$4:$A$810,$A624,$E$4:$E$810,"Loss")=0,"need a loser",IF(COUNTIFS($A$4:$A$810,$A624,$D$4:$D$810,$D624)&gt;1,"duplicate player","OK"))))</f>
      </c>
      <c r="P624">
        <f>IF($D624="",0,IFERROR(SUMIFS($H$4:$H$810,$A$4:$A$810,$A624,$E$4:$E$810,"Win")/COUNTIFS($A$4:$A$810,$A624,$E$4:$E$810,"Win"),0))</f>
        <v>0</v>
      </c>
      <c r="Q624">
        <f>IF($D624="",0,1/(1+10^(($P624-$H624)/400)))</f>
        <v>0</v>
      </c>
      <c r="R624">
        <f>IF($D624="",0,(COUNTIFS($D$4:$D$810,$D624,$C$4:$C$810,$C624,$E$4:$E$810,"Win",$A$4:$A$810,"&lt;"&amp;$A624)+1)/(COUNTIFS($D$4:$D$810,$D624,$C$4:$C$810,$C624,$A$4:$A$810,"&lt;"&amp;$A624)+2))</f>
        <v>0</v>
      </c>
      <c r="S624">
        <f>IF($D624="",0,SUMIFS($R$4:$R$810,$A$4:$A$810,$A624))</f>
        <v>0</v>
      </c>
      <c r="T624" s="88">
        <f>IF($D624="",0,COUNTIFS($D$4:$D$810,$D624,$C$4:$C$810,$C624,$A$4:$A$810,"&lt;"&amp;$A624))</f>
        <v>0</v>
      </c>
      <c r="U624" s="125">
        <f>IF($D624="",0,IFERROR(LOOKUP(2,1/(($D$3:D623=$D624)*($C$3:C623=$C624)*($A$3:A623&lt;$A624)),$AB$3:AB623),1000))</f>
        <v>0</v>
      </c>
      <c r="V624" s="125">
        <f>IF($D624="",0,$U624*($T624/($T624+5))+$H624*(1-$T624/($T624+5)))</f>
        <v>0</v>
      </c>
      <c r="W624">
        <f>IF($D624="",0,IFERROR(SUMIFS($V$4:$V$810,$A$4:$A$810,$A624,$E$4:$E$810,"Win")/COUNTIFS($A$4:$A$810,$A624,$E$4:$E$810,"Win"),0))</f>
        <v>0</v>
      </c>
      <c r="X624">
        <f>IF($D624="",0,1/(1+10^(($W624-$V624)/400)))</f>
        <v>0</v>
      </c>
      <c r="Y624">
        <f>IF($D624="",0,IFERROR(SUMIFS($U$4:$U$810,$A$4:$A$810,$A624,$E$4:$E$810,"Win")/COUNTIFS($A$4:$A$810,$A624,$E$4:$E$810,"Win"),0))</f>
        <v>0</v>
      </c>
      <c r="Z624">
        <f>IF($D624="",0,1/(1+10^(($Y624-$U624)/400)))</f>
        <v>0</v>
      </c>
      <c r="AA624">
        <f>IF($D624="",0,IF($F624&lt;2,0,IF($E624="Win",('Guide &amp; Settings'!$C$42/(($F624-1)*COUNTIFS($A$4:$A$810,$A624,$E$4:$E$810,"Win")))*SUMIFS($Z$4:$Z$810,$A$4:$A$810,$A624,$E$4:$E$810,"Loss"),-('Guide &amp; Settings'!$C$42/($F624-1))*$Z624)))</f>
        <v>0</v>
      </c>
      <c r="AB624" s="125">
        <f>IF($D624="",0,$U624+$AA624)</f>
        <v>0</v>
      </c>
      <c r="AC624" s="125" t="str">
        <f>IF($D624="","",IF(SUMPRODUCT(MAX(($D$4:$D$810=$D624)*($B$4:$B$810&lt;$B624)*$B$4:$B$810))=0,0,MAX(($B624-MAX(SUMPRODUCT(MAX(($D$4:$D$810=$D624)*($B$4:$B$810&lt;$B624)*$B$4:$B$810)),'Guide &amp; Settings'!$C$50))/7-'Guide &amp; Settings'!$C$48,0)*'Guide &amp; Settings'!$C$49))</f>
      </c>
    </row>
    <row r="625" spans="1:29">
      <c r="A625" s="116"/>
      <c r="B625" s="117"/>
      <c r="C625" s="118"/>
      <c r="D625" s="118"/>
      <c r="E625" s="116"/>
      <c r="F625" s="119">
        <f>IF($D625="",0,COUNTIF($A$4:$A$810,$A625))</f>
        <v>0</v>
      </c>
      <c r="G625" s="120">
        <f>IF($D625="","",IFERROR(LOOKUP(2,1/(($A$4:$A$810=$A625)*($E$4:$E$810="Win")),$D$4:$D$810),"(no winner)"))</f>
        <v>0</v>
      </c>
      <c r="H625" s="121">
        <f>IF($D625="",0,IFERROR(LOOKUP(2,1/(($D$3:D624=$D625)*($A$3:A624&lt;$A625)),$N$3:N624),'Guide &amp; Settings'!$C$41))</f>
        <v>0</v>
      </c>
      <c r="I625" s="122">
        <f>IF($D625="",0,IF($S625=0,0,$R625/$S625))</f>
        <v>0</v>
      </c>
      <c r="J625" s="123">
        <f>IF($D625="",0,IF($F625&lt;2,0,IF($E625="Win",('Guide &amp; Settings'!$C$42/(($F625-1)*COUNTIFS($A$4:$A$810,$A625,$E$4:$E$810,"Win")))*SUMIFS($X$4:$X$810,$A$4:$A$810,$A625,$E$4:$E$810,"Loss"),-('Guide &amp; Settings'!$C$42/($F625-1))*$X625)))</f>
        <v>0</v>
      </c>
      <c r="K625" s="123">
        <f>IF($D625="",0,'Guide &amp; Settings'!$C$43*(IF($E625="Win",1,0)-$I625))</f>
        <v>0</v>
      </c>
      <c r="L625" s="124">
        <f>IF($D625="",0,'Guide &amp; Settings'!$C$44*IF($F625&gt;=3,$F625+IF($E625="Win",$F625,0),0))</f>
        <v>0</v>
      </c>
      <c r="M625" s="123">
        <f>IF($D625="",0,$J625+$K625+$L625)</f>
        <v>0</v>
      </c>
      <c r="N625" s="121">
        <f>IF($D625="",0,$H625+$M625)</f>
        <v>0</v>
      </c>
      <c r="O625" s="120" t="str">
        <f>IF($D625="","",IF(COUNTIFS($A$4:$A$810,$A625,$E$4:$E$810,"Win")=0,"need a winner",IF(COUNTIFS($A$4:$A$810,$A625,$E$4:$E$810,"Loss")=0,"need a loser",IF(COUNTIFS($A$4:$A$810,$A625,$D$4:$D$810,$D625)&gt;1,"duplicate player","OK"))))</f>
      </c>
      <c r="P625">
        <f>IF($D625="",0,IFERROR(SUMIFS($H$4:$H$810,$A$4:$A$810,$A625,$E$4:$E$810,"Win")/COUNTIFS($A$4:$A$810,$A625,$E$4:$E$810,"Win"),0))</f>
        <v>0</v>
      </c>
      <c r="Q625">
        <f>IF($D625="",0,1/(1+10^(($P625-$H625)/400)))</f>
        <v>0</v>
      </c>
      <c r="R625">
        <f>IF($D625="",0,(COUNTIFS($D$4:$D$810,$D625,$C$4:$C$810,$C625,$E$4:$E$810,"Win",$A$4:$A$810,"&lt;"&amp;$A625)+1)/(COUNTIFS($D$4:$D$810,$D625,$C$4:$C$810,$C625,$A$4:$A$810,"&lt;"&amp;$A625)+2))</f>
        <v>0</v>
      </c>
      <c r="S625">
        <f>IF($D625="",0,SUMIFS($R$4:$R$810,$A$4:$A$810,$A625))</f>
        <v>0</v>
      </c>
      <c r="T625" s="88">
        <f>IF($D625="",0,COUNTIFS($D$4:$D$810,$D625,$C$4:$C$810,$C625,$A$4:$A$810,"&lt;"&amp;$A625))</f>
        <v>0</v>
      </c>
      <c r="U625" s="125">
        <f>IF($D625="",0,IFERROR(LOOKUP(2,1/(($D$3:D624=$D625)*($C$3:C624=$C625)*($A$3:A624&lt;$A625)),$AB$3:AB624),1000))</f>
        <v>0</v>
      </c>
      <c r="V625" s="125">
        <f>IF($D625="",0,$U625*($T625/($T625+5))+$H625*(1-$T625/($T625+5)))</f>
        <v>0</v>
      </c>
      <c r="W625">
        <f>IF($D625="",0,IFERROR(SUMIFS($V$4:$V$810,$A$4:$A$810,$A625,$E$4:$E$810,"Win")/COUNTIFS($A$4:$A$810,$A625,$E$4:$E$810,"Win"),0))</f>
        <v>0</v>
      </c>
      <c r="X625">
        <f>IF($D625="",0,1/(1+10^(($W625-$V625)/400)))</f>
        <v>0</v>
      </c>
      <c r="Y625">
        <f>IF($D625="",0,IFERROR(SUMIFS($U$4:$U$810,$A$4:$A$810,$A625,$E$4:$E$810,"Win")/COUNTIFS($A$4:$A$810,$A625,$E$4:$E$810,"Win"),0))</f>
        <v>0</v>
      </c>
      <c r="Z625">
        <f>IF($D625="",0,1/(1+10^(($Y625-$U625)/400)))</f>
        <v>0</v>
      </c>
      <c r="AA625">
        <f>IF($D625="",0,IF($F625&lt;2,0,IF($E625="Win",('Guide &amp; Settings'!$C$42/(($F625-1)*COUNTIFS($A$4:$A$810,$A625,$E$4:$E$810,"Win")))*SUMIFS($Z$4:$Z$810,$A$4:$A$810,$A625,$E$4:$E$810,"Loss"),-('Guide &amp; Settings'!$C$42/($F625-1))*$Z625)))</f>
        <v>0</v>
      </c>
      <c r="AB625" s="125">
        <f>IF($D625="",0,$U625+$AA625)</f>
        <v>0</v>
      </c>
      <c r="AC625" s="125" t="str">
        <f>IF($D625="","",IF(SUMPRODUCT(MAX(($D$4:$D$810=$D625)*($B$4:$B$810&lt;$B625)*$B$4:$B$810))=0,0,MAX(($B625-MAX(SUMPRODUCT(MAX(($D$4:$D$810=$D625)*($B$4:$B$810&lt;$B625)*$B$4:$B$810)),'Guide &amp; Settings'!$C$50))/7-'Guide &amp; Settings'!$C$48,0)*'Guide &amp; Settings'!$C$49))</f>
      </c>
    </row>
    <row r="626" spans="1:29">
      <c r="A626" s="116"/>
      <c r="B626" s="117"/>
      <c r="C626" s="118"/>
      <c r="D626" s="118"/>
      <c r="E626" s="116"/>
      <c r="F626" s="119">
        <f>IF($D626="",0,COUNTIF($A$4:$A$810,$A626))</f>
        <v>0</v>
      </c>
      <c r="G626" s="120">
        <f>IF($D626="","",IFERROR(LOOKUP(2,1/(($A$4:$A$810=$A626)*($E$4:$E$810="Win")),$D$4:$D$810),"(no winner)"))</f>
        <v>0</v>
      </c>
      <c r="H626" s="121">
        <f>IF($D626="",0,IFERROR(LOOKUP(2,1/(($D$3:D625=$D626)*($A$3:A625&lt;$A626)),$N$3:N625),'Guide &amp; Settings'!$C$41))</f>
        <v>0</v>
      </c>
      <c r="I626" s="122">
        <f>IF($D626="",0,IF($S626=0,0,$R626/$S626))</f>
        <v>0</v>
      </c>
      <c r="J626" s="123">
        <f>IF($D626="",0,IF($F626&lt;2,0,IF($E626="Win",('Guide &amp; Settings'!$C$42/(($F626-1)*COUNTIFS($A$4:$A$810,$A626,$E$4:$E$810,"Win")))*SUMIFS($X$4:$X$810,$A$4:$A$810,$A626,$E$4:$E$810,"Loss"),-('Guide &amp; Settings'!$C$42/($F626-1))*$X626)))</f>
        <v>0</v>
      </c>
      <c r="K626" s="123">
        <f>IF($D626="",0,'Guide &amp; Settings'!$C$43*(IF($E626="Win",1,0)-$I626))</f>
        <v>0</v>
      </c>
      <c r="L626" s="124">
        <f>IF($D626="",0,'Guide &amp; Settings'!$C$44*IF($F626&gt;=3,$F626+IF($E626="Win",$F626,0),0))</f>
        <v>0</v>
      </c>
      <c r="M626" s="123">
        <f>IF($D626="",0,$J626+$K626+$L626)</f>
        <v>0</v>
      </c>
      <c r="N626" s="121">
        <f>IF($D626="",0,$H626+$M626)</f>
        <v>0</v>
      </c>
      <c r="O626" s="120" t="str">
        <f>IF($D626="","",IF(COUNTIFS($A$4:$A$810,$A626,$E$4:$E$810,"Win")=0,"need a winner",IF(COUNTIFS($A$4:$A$810,$A626,$E$4:$E$810,"Loss")=0,"need a loser",IF(COUNTIFS($A$4:$A$810,$A626,$D$4:$D$810,$D626)&gt;1,"duplicate player","OK"))))</f>
      </c>
      <c r="P626">
        <f>IF($D626="",0,IFERROR(SUMIFS($H$4:$H$810,$A$4:$A$810,$A626,$E$4:$E$810,"Win")/COUNTIFS($A$4:$A$810,$A626,$E$4:$E$810,"Win"),0))</f>
        <v>0</v>
      </c>
      <c r="Q626">
        <f>IF($D626="",0,1/(1+10^(($P626-$H626)/400)))</f>
        <v>0</v>
      </c>
      <c r="R626">
        <f>IF($D626="",0,(COUNTIFS($D$4:$D$810,$D626,$C$4:$C$810,$C626,$E$4:$E$810,"Win",$A$4:$A$810,"&lt;"&amp;$A626)+1)/(COUNTIFS($D$4:$D$810,$D626,$C$4:$C$810,$C626,$A$4:$A$810,"&lt;"&amp;$A626)+2))</f>
        <v>0</v>
      </c>
      <c r="S626">
        <f>IF($D626="",0,SUMIFS($R$4:$R$810,$A$4:$A$810,$A626))</f>
        <v>0</v>
      </c>
      <c r="T626" s="88">
        <f>IF($D626="",0,COUNTIFS($D$4:$D$810,$D626,$C$4:$C$810,$C626,$A$4:$A$810,"&lt;"&amp;$A626))</f>
        <v>0</v>
      </c>
      <c r="U626" s="125">
        <f>IF($D626="",0,IFERROR(LOOKUP(2,1/(($D$3:D625=$D626)*($C$3:C625=$C626)*($A$3:A625&lt;$A626)),$AB$3:AB625),1000))</f>
        <v>0</v>
      </c>
      <c r="V626" s="125">
        <f>IF($D626="",0,$U626*($T626/($T626+5))+$H626*(1-$T626/($T626+5)))</f>
        <v>0</v>
      </c>
      <c r="W626">
        <f>IF($D626="",0,IFERROR(SUMIFS($V$4:$V$810,$A$4:$A$810,$A626,$E$4:$E$810,"Win")/COUNTIFS($A$4:$A$810,$A626,$E$4:$E$810,"Win"),0))</f>
        <v>0</v>
      </c>
      <c r="X626">
        <f>IF($D626="",0,1/(1+10^(($W626-$V626)/400)))</f>
        <v>0</v>
      </c>
      <c r="Y626">
        <f>IF($D626="",0,IFERROR(SUMIFS($U$4:$U$810,$A$4:$A$810,$A626,$E$4:$E$810,"Win")/COUNTIFS($A$4:$A$810,$A626,$E$4:$E$810,"Win"),0))</f>
        <v>0</v>
      </c>
      <c r="Z626">
        <f>IF($D626="",0,1/(1+10^(($Y626-$U626)/400)))</f>
        <v>0</v>
      </c>
      <c r="AA626">
        <f>IF($D626="",0,IF($F626&lt;2,0,IF($E626="Win",('Guide &amp; Settings'!$C$42/(($F626-1)*COUNTIFS($A$4:$A$810,$A626,$E$4:$E$810,"Win")))*SUMIFS($Z$4:$Z$810,$A$4:$A$810,$A626,$E$4:$E$810,"Loss"),-('Guide &amp; Settings'!$C$42/($F626-1))*$Z626)))</f>
        <v>0</v>
      </c>
      <c r="AB626" s="125">
        <f>IF($D626="",0,$U626+$AA626)</f>
        <v>0</v>
      </c>
      <c r="AC626" s="125" t="str">
        <f>IF($D626="","",IF(SUMPRODUCT(MAX(($D$4:$D$810=$D626)*($B$4:$B$810&lt;$B626)*$B$4:$B$810))=0,0,MAX(($B626-MAX(SUMPRODUCT(MAX(($D$4:$D$810=$D626)*($B$4:$B$810&lt;$B626)*$B$4:$B$810)),'Guide &amp; Settings'!$C$50))/7-'Guide &amp; Settings'!$C$48,0)*'Guide &amp; Settings'!$C$49))</f>
      </c>
    </row>
    <row r="627" spans="1:29">
      <c r="A627" s="116"/>
      <c r="B627" s="117"/>
      <c r="C627" s="118"/>
      <c r="D627" s="118"/>
      <c r="E627" s="116"/>
      <c r="F627" s="119">
        <f>IF($D627="",0,COUNTIF($A$4:$A$810,$A627))</f>
        <v>0</v>
      </c>
      <c r="G627" s="120">
        <f>IF($D627="","",IFERROR(LOOKUP(2,1/(($A$4:$A$810=$A627)*($E$4:$E$810="Win")),$D$4:$D$810),"(no winner)"))</f>
        <v>0</v>
      </c>
      <c r="H627" s="121">
        <f>IF($D627="",0,IFERROR(LOOKUP(2,1/(($D$3:D626=$D627)*($A$3:A626&lt;$A627)),$N$3:N626),'Guide &amp; Settings'!$C$41))</f>
        <v>0</v>
      </c>
      <c r="I627" s="122">
        <f>IF($D627="",0,IF($S627=0,0,$R627/$S627))</f>
        <v>0</v>
      </c>
      <c r="J627" s="123">
        <f>IF($D627="",0,IF($F627&lt;2,0,IF($E627="Win",('Guide &amp; Settings'!$C$42/(($F627-1)*COUNTIFS($A$4:$A$810,$A627,$E$4:$E$810,"Win")))*SUMIFS($X$4:$X$810,$A$4:$A$810,$A627,$E$4:$E$810,"Loss"),-('Guide &amp; Settings'!$C$42/($F627-1))*$X627)))</f>
        <v>0</v>
      </c>
      <c r="K627" s="123">
        <f>IF($D627="",0,'Guide &amp; Settings'!$C$43*(IF($E627="Win",1,0)-$I627))</f>
        <v>0</v>
      </c>
      <c r="L627" s="124">
        <f>IF($D627="",0,'Guide &amp; Settings'!$C$44*IF($F627&gt;=3,$F627+IF($E627="Win",$F627,0),0))</f>
        <v>0</v>
      </c>
      <c r="M627" s="123">
        <f>IF($D627="",0,$J627+$K627+$L627)</f>
        <v>0</v>
      </c>
      <c r="N627" s="121">
        <f>IF($D627="",0,$H627+$M627)</f>
        <v>0</v>
      </c>
      <c r="O627" s="120" t="str">
        <f>IF($D627="","",IF(COUNTIFS($A$4:$A$810,$A627,$E$4:$E$810,"Win")=0,"need a winner",IF(COUNTIFS($A$4:$A$810,$A627,$E$4:$E$810,"Loss")=0,"need a loser",IF(COUNTIFS($A$4:$A$810,$A627,$D$4:$D$810,$D627)&gt;1,"duplicate player","OK"))))</f>
      </c>
      <c r="P627">
        <f>IF($D627="",0,IFERROR(SUMIFS($H$4:$H$810,$A$4:$A$810,$A627,$E$4:$E$810,"Win")/COUNTIFS($A$4:$A$810,$A627,$E$4:$E$810,"Win"),0))</f>
        <v>0</v>
      </c>
      <c r="Q627">
        <f>IF($D627="",0,1/(1+10^(($P627-$H627)/400)))</f>
        <v>0</v>
      </c>
      <c r="R627">
        <f>IF($D627="",0,(COUNTIFS($D$4:$D$810,$D627,$C$4:$C$810,$C627,$E$4:$E$810,"Win",$A$4:$A$810,"&lt;"&amp;$A627)+1)/(COUNTIFS($D$4:$D$810,$D627,$C$4:$C$810,$C627,$A$4:$A$810,"&lt;"&amp;$A627)+2))</f>
        <v>0</v>
      </c>
      <c r="S627">
        <f>IF($D627="",0,SUMIFS($R$4:$R$810,$A$4:$A$810,$A627))</f>
        <v>0</v>
      </c>
      <c r="T627" s="88">
        <f>IF($D627="",0,COUNTIFS($D$4:$D$810,$D627,$C$4:$C$810,$C627,$A$4:$A$810,"&lt;"&amp;$A627))</f>
        <v>0</v>
      </c>
      <c r="U627" s="125">
        <f>IF($D627="",0,IFERROR(LOOKUP(2,1/(($D$3:D626=$D627)*($C$3:C626=$C627)*($A$3:A626&lt;$A627)),$AB$3:AB626),1000))</f>
        <v>0</v>
      </c>
      <c r="V627" s="125">
        <f>IF($D627="",0,$U627*($T627/($T627+5))+$H627*(1-$T627/($T627+5)))</f>
        <v>0</v>
      </c>
      <c r="W627">
        <f>IF($D627="",0,IFERROR(SUMIFS($V$4:$V$810,$A$4:$A$810,$A627,$E$4:$E$810,"Win")/COUNTIFS($A$4:$A$810,$A627,$E$4:$E$810,"Win"),0))</f>
        <v>0</v>
      </c>
      <c r="X627">
        <f>IF($D627="",0,1/(1+10^(($W627-$V627)/400)))</f>
        <v>0</v>
      </c>
      <c r="Y627">
        <f>IF($D627="",0,IFERROR(SUMIFS($U$4:$U$810,$A$4:$A$810,$A627,$E$4:$E$810,"Win")/COUNTIFS($A$4:$A$810,$A627,$E$4:$E$810,"Win"),0))</f>
        <v>0</v>
      </c>
      <c r="Z627">
        <f>IF($D627="",0,1/(1+10^(($Y627-$U627)/400)))</f>
        <v>0</v>
      </c>
      <c r="AA627">
        <f>IF($D627="",0,IF($F627&lt;2,0,IF($E627="Win",('Guide &amp; Settings'!$C$42/(($F627-1)*COUNTIFS($A$4:$A$810,$A627,$E$4:$E$810,"Win")))*SUMIFS($Z$4:$Z$810,$A$4:$A$810,$A627,$E$4:$E$810,"Loss"),-('Guide &amp; Settings'!$C$42/($F627-1))*$Z627)))</f>
        <v>0</v>
      </c>
      <c r="AB627" s="125">
        <f>IF($D627="",0,$U627+$AA627)</f>
        <v>0</v>
      </c>
      <c r="AC627" s="125" t="str">
        <f>IF($D627="","",IF(SUMPRODUCT(MAX(($D$4:$D$810=$D627)*($B$4:$B$810&lt;$B627)*$B$4:$B$810))=0,0,MAX(($B627-MAX(SUMPRODUCT(MAX(($D$4:$D$810=$D627)*($B$4:$B$810&lt;$B627)*$B$4:$B$810)),'Guide &amp; Settings'!$C$50))/7-'Guide &amp; Settings'!$C$48,0)*'Guide &amp; Settings'!$C$49))</f>
      </c>
    </row>
    <row r="628" spans="1:29">
      <c r="A628" s="116"/>
      <c r="B628" s="117"/>
      <c r="C628" s="118"/>
      <c r="D628" s="118"/>
      <c r="E628" s="116"/>
      <c r="F628" s="119">
        <f>IF($D628="",0,COUNTIF($A$4:$A$810,$A628))</f>
        <v>0</v>
      </c>
      <c r="G628" s="120">
        <f>IF($D628="","",IFERROR(LOOKUP(2,1/(($A$4:$A$810=$A628)*($E$4:$E$810="Win")),$D$4:$D$810),"(no winner)"))</f>
        <v>0</v>
      </c>
      <c r="H628" s="121">
        <f>IF($D628="",0,IFERROR(LOOKUP(2,1/(($D$3:D627=$D628)*($A$3:A627&lt;$A628)),$N$3:N627),'Guide &amp; Settings'!$C$41))</f>
        <v>0</v>
      </c>
      <c r="I628" s="122">
        <f>IF($D628="",0,IF($S628=0,0,$R628/$S628))</f>
        <v>0</v>
      </c>
      <c r="J628" s="123">
        <f>IF($D628="",0,IF($F628&lt;2,0,IF($E628="Win",('Guide &amp; Settings'!$C$42/(($F628-1)*COUNTIFS($A$4:$A$810,$A628,$E$4:$E$810,"Win")))*SUMIFS($X$4:$X$810,$A$4:$A$810,$A628,$E$4:$E$810,"Loss"),-('Guide &amp; Settings'!$C$42/($F628-1))*$X628)))</f>
        <v>0</v>
      </c>
      <c r="K628" s="123">
        <f>IF($D628="",0,'Guide &amp; Settings'!$C$43*(IF($E628="Win",1,0)-$I628))</f>
        <v>0</v>
      </c>
      <c r="L628" s="124">
        <f>IF($D628="",0,'Guide &amp; Settings'!$C$44*IF($F628&gt;=3,$F628+IF($E628="Win",$F628,0),0))</f>
        <v>0</v>
      </c>
      <c r="M628" s="123">
        <f>IF($D628="",0,$J628+$K628+$L628)</f>
        <v>0</v>
      </c>
      <c r="N628" s="121">
        <f>IF($D628="",0,$H628+$M628)</f>
        <v>0</v>
      </c>
      <c r="O628" s="120" t="str">
        <f>IF($D628="","",IF(COUNTIFS($A$4:$A$810,$A628,$E$4:$E$810,"Win")=0,"need a winner",IF(COUNTIFS($A$4:$A$810,$A628,$E$4:$E$810,"Loss")=0,"need a loser",IF(COUNTIFS($A$4:$A$810,$A628,$D$4:$D$810,$D628)&gt;1,"duplicate player","OK"))))</f>
      </c>
      <c r="P628">
        <f>IF($D628="",0,IFERROR(SUMIFS($H$4:$H$810,$A$4:$A$810,$A628,$E$4:$E$810,"Win")/COUNTIFS($A$4:$A$810,$A628,$E$4:$E$810,"Win"),0))</f>
        <v>0</v>
      </c>
      <c r="Q628">
        <f>IF($D628="",0,1/(1+10^(($P628-$H628)/400)))</f>
        <v>0</v>
      </c>
      <c r="R628">
        <f>IF($D628="",0,(COUNTIFS($D$4:$D$810,$D628,$C$4:$C$810,$C628,$E$4:$E$810,"Win",$A$4:$A$810,"&lt;"&amp;$A628)+1)/(COUNTIFS($D$4:$D$810,$D628,$C$4:$C$810,$C628,$A$4:$A$810,"&lt;"&amp;$A628)+2))</f>
        <v>0</v>
      </c>
      <c r="S628">
        <f>IF($D628="",0,SUMIFS($R$4:$R$810,$A$4:$A$810,$A628))</f>
        <v>0</v>
      </c>
      <c r="T628" s="88">
        <f>IF($D628="",0,COUNTIFS($D$4:$D$810,$D628,$C$4:$C$810,$C628,$A$4:$A$810,"&lt;"&amp;$A628))</f>
        <v>0</v>
      </c>
      <c r="U628" s="125">
        <f>IF($D628="",0,IFERROR(LOOKUP(2,1/(($D$3:D627=$D628)*($C$3:C627=$C628)*($A$3:A627&lt;$A628)),$AB$3:AB627),1000))</f>
        <v>0</v>
      </c>
      <c r="V628" s="125">
        <f>IF($D628="",0,$U628*($T628/($T628+5))+$H628*(1-$T628/($T628+5)))</f>
        <v>0</v>
      </c>
      <c r="W628">
        <f>IF($D628="",0,IFERROR(SUMIFS($V$4:$V$810,$A$4:$A$810,$A628,$E$4:$E$810,"Win")/COUNTIFS($A$4:$A$810,$A628,$E$4:$E$810,"Win"),0))</f>
        <v>0</v>
      </c>
      <c r="X628">
        <f>IF($D628="",0,1/(1+10^(($W628-$V628)/400)))</f>
        <v>0</v>
      </c>
      <c r="Y628">
        <f>IF($D628="",0,IFERROR(SUMIFS($U$4:$U$810,$A$4:$A$810,$A628,$E$4:$E$810,"Win")/COUNTIFS($A$4:$A$810,$A628,$E$4:$E$810,"Win"),0))</f>
        <v>0</v>
      </c>
      <c r="Z628">
        <f>IF($D628="",0,1/(1+10^(($Y628-$U628)/400)))</f>
        <v>0</v>
      </c>
      <c r="AA628">
        <f>IF($D628="",0,IF($F628&lt;2,0,IF($E628="Win",('Guide &amp; Settings'!$C$42/(($F628-1)*COUNTIFS($A$4:$A$810,$A628,$E$4:$E$810,"Win")))*SUMIFS($Z$4:$Z$810,$A$4:$A$810,$A628,$E$4:$E$810,"Loss"),-('Guide &amp; Settings'!$C$42/($F628-1))*$Z628)))</f>
        <v>0</v>
      </c>
      <c r="AB628" s="125">
        <f>IF($D628="",0,$U628+$AA628)</f>
        <v>0</v>
      </c>
      <c r="AC628" s="125" t="str">
        <f>IF($D628="","",IF(SUMPRODUCT(MAX(($D$4:$D$810=$D628)*($B$4:$B$810&lt;$B628)*$B$4:$B$810))=0,0,MAX(($B628-MAX(SUMPRODUCT(MAX(($D$4:$D$810=$D628)*($B$4:$B$810&lt;$B628)*$B$4:$B$810)),'Guide &amp; Settings'!$C$50))/7-'Guide &amp; Settings'!$C$48,0)*'Guide &amp; Settings'!$C$49))</f>
      </c>
    </row>
    <row r="629" spans="1:29">
      <c r="A629" s="116"/>
      <c r="B629" s="117"/>
      <c r="C629" s="118"/>
      <c r="D629" s="118"/>
      <c r="E629" s="116"/>
      <c r="F629" s="119">
        <f>IF($D629="",0,COUNTIF($A$4:$A$810,$A629))</f>
        <v>0</v>
      </c>
      <c r="G629" s="120">
        <f>IF($D629="","",IFERROR(LOOKUP(2,1/(($A$4:$A$810=$A629)*($E$4:$E$810="Win")),$D$4:$D$810),"(no winner)"))</f>
        <v>0</v>
      </c>
      <c r="H629" s="121">
        <f>IF($D629="",0,IFERROR(LOOKUP(2,1/(($D$3:D628=$D629)*($A$3:A628&lt;$A629)),$N$3:N628),'Guide &amp; Settings'!$C$41))</f>
        <v>0</v>
      </c>
      <c r="I629" s="122">
        <f>IF($D629="",0,IF($S629=0,0,$R629/$S629))</f>
        <v>0</v>
      </c>
      <c r="J629" s="123">
        <f>IF($D629="",0,IF($F629&lt;2,0,IF($E629="Win",('Guide &amp; Settings'!$C$42/(($F629-1)*COUNTIFS($A$4:$A$810,$A629,$E$4:$E$810,"Win")))*SUMIFS($X$4:$X$810,$A$4:$A$810,$A629,$E$4:$E$810,"Loss"),-('Guide &amp; Settings'!$C$42/($F629-1))*$X629)))</f>
        <v>0</v>
      </c>
      <c r="K629" s="123">
        <f>IF($D629="",0,'Guide &amp; Settings'!$C$43*(IF($E629="Win",1,0)-$I629))</f>
        <v>0</v>
      </c>
      <c r="L629" s="124">
        <f>IF($D629="",0,'Guide &amp; Settings'!$C$44*IF($F629&gt;=3,$F629+IF($E629="Win",$F629,0),0))</f>
        <v>0</v>
      </c>
      <c r="M629" s="123">
        <f>IF($D629="",0,$J629+$K629+$L629)</f>
        <v>0</v>
      </c>
      <c r="N629" s="121">
        <f>IF($D629="",0,$H629+$M629)</f>
        <v>0</v>
      </c>
      <c r="O629" s="120" t="str">
        <f>IF($D629="","",IF(COUNTIFS($A$4:$A$810,$A629,$E$4:$E$810,"Win")=0,"need a winner",IF(COUNTIFS($A$4:$A$810,$A629,$E$4:$E$810,"Loss")=0,"need a loser",IF(COUNTIFS($A$4:$A$810,$A629,$D$4:$D$810,$D629)&gt;1,"duplicate player","OK"))))</f>
      </c>
      <c r="P629">
        <f>IF($D629="",0,IFERROR(SUMIFS($H$4:$H$810,$A$4:$A$810,$A629,$E$4:$E$810,"Win")/COUNTIFS($A$4:$A$810,$A629,$E$4:$E$810,"Win"),0))</f>
        <v>0</v>
      </c>
      <c r="Q629">
        <f>IF($D629="",0,1/(1+10^(($P629-$H629)/400)))</f>
        <v>0</v>
      </c>
      <c r="R629">
        <f>IF($D629="",0,(COUNTIFS($D$4:$D$810,$D629,$C$4:$C$810,$C629,$E$4:$E$810,"Win",$A$4:$A$810,"&lt;"&amp;$A629)+1)/(COUNTIFS($D$4:$D$810,$D629,$C$4:$C$810,$C629,$A$4:$A$810,"&lt;"&amp;$A629)+2))</f>
        <v>0</v>
      </c>
      <c r="S629">
        <f>IF($D629="",0,SUMIFS($R$4:$R$810,$A$4:$A$810,$A629))</f>
        <v>0</v>
      </c>
      <c r="T629" s="88">
        <f>IF($D629="",0,COUNTIFS($D$4:$D$810,$D629,$C$4:$C$810,$C629,$A$4:$A$810,"&lt;"&amp;$A629))</f>
        <v>0</v>
      </c>
      <c r="U629" s="125">
        <f>IF($D629="",0,IFERROR(LOOKUP(2,1/(($D$3:D628=$D629)*($C$3:C628=$C629)*($A$3:A628&lt;$A629)),$AB$3:AB628),1000))</f>
        <v>0</v>
      </c>
      <c r="V629" s="125">
        <f>IF($D629="",0,$U629*($T629/($T629+5))+$H629*(1-$T629/($T629+5)))</f>
        <v>0</v>
      </c>
      <c r="W629">
        <f>IF($D629="",0,IFERROR(SUMIFS($V$4:$V$810,$A$4:$A$810,$A629,$E$4:$E$810,"Win")/COUNTIFS($A$4:$A$810,$A629,$E$4:$E$810,"Win"),0))</f>
        <v>0</v>
      </c>
      <c r="X629">
        <f>IF($D629="",0,1/(1+10^(($W629-$V629)/400)))</f>
        <v>0</v>
      </c>
      <c r="Y629">
        <f>IF($D629="",0,IFERROR(SUMIFS($U$4:$U$810,$A$4:$A$810,$A629,$E$4:$E$810,"Win")/COUNTIFS($A$4:$A$810,$A629,$E$4:$E$810,"Win"),0))</f>
        <v>0</v>
      </c>
      <c r="Z629">
        <f>IF($D629="",0,1/(1+10^(($Y629-$U629)/400)))</f>
        <v>0</v>
      </c>
      <c r="AA629">
        <f>IF($D629="",0,IF($F629&lt;2,0,IF($E629="Win",('Guide &amp; Settings'!$C$42/(($F629-1)*COUNTIFS($A$4:$A$810,$A629,$E$4:$E$810,"Win")))*SUMIFS($Z$4:$Z$810,$A$4:$A$810,$A629,$E$4:$E$810,"Loss"),-('Guide &amp; Settings'!$C$42/($F629-1))*$Z629)))</f>
        <v>0</v>
      </c>
      <c r="AB629" s="125">
        <f>IF($D629="",0,$U629+$AA629)</f>
        <v>0</v>
      </c>
      <c r="AC629" s="125" t="str">
        <f>IF($D629="","",IF(SUMPRODUCT(MAX(($D$4:$D$810=$D629)*($B$4:$B$810&lt;$B629)*$B$4:$B$810))=0,0,MAX(($B629-MAX(SUMPRODUCT(MAX(($D$4:$D$810=$D629)*($B$4:$B$810&lt;$B629)*$B$4:$B$810)),'Guide &amp; Settings'!$C$50))/7-'Guide &amp; Settings'!$C$48,0)*'Guide &amp; Settings'!$C$49))</f>
      </c>
    </row>
    <row r="630" spans="1:29">
      <c r="A630" s="116"/>
      <c r="B630" s="117"/>
      <c r="C630" s="118"/>
      <c r="D630" s="118"/>
      <c r="E630" s="116"/>
      <c r="F630" s="119">
        <f>IF($D630="",0,COUNTIF($A$4:$A$810,$A630))</f>
        <v>0</v>
      </c>
      <c r="G630" s="120">
        <f>IF($D630="","",IFERROR(LOOKUP(2,1/(($A$4:$A$810=$A630)*($E$4:$E$810="Win")),$D$4:$D$810),"(no winner)"))</f>
        <v>0</v>
      </c>
      <c r="H630" s="121">
        <f>IF($D630="",0,IFERROR(LOOKUP(2,1/(($D$3:D629=$D630)*($A$3:A629&lt;$A630)),$N$3:N629),'Guide &amp; Settings'!$C$41))</f>
        <v>0</v>
      </c>
      <c r="I630" s="122">
        <f>IF($D630="",0,IF($S630=0,0,$R630/$S630))</f>
        <v>0</v>
      </c>
      <c r="J630" s="123">
        <f>IF($D630="",0,IF($F630&lt;2,0,IF($E630="Win",('Guide &amp; Settings'!$C$42/(($F630-1)*COUNTIFS($A$4:$A$810,$A630,$E$4:$E$810,"Win")))*SUMIFS($X$4:$X$810,$A$4:$A$810,$A630,$E$4:$E$810,"Loss"),-('Guide &amp; Settings'!$C$42/($F630-1))*$X630)))</f>
        <v>0</v>
      </c>
      <c r="K630" s="123">
        <f>IF($D630="",0,'Guide &amp; Settings'!$C$43*(IF($E630="Win",1,0)-$I630))</f>
        <v>0</v>
      </c>
      <c r="L630" s="124">
        <f>IF($D630="",0,'Guide &amp; Settings'!$C$44*IF($F630&gt;=3,$F630+IF($E630="Win",$F630,0),0))</f>
        <v>0</v>
      </c>
      <c r="M630" s="123">
        <f>IF($D630="",0,$J630+$K630+$L630)</f>
        <v>0</v>
      </c>
      <c r="N630" s="121">
        <f>IF($D630="",0,$H630+$M630)</f>
        <v>0</v>
      </c>
      <c r="O630" s="120" t="str">
        <f>IF($D630="","",IF(COUNTIFS($A$4:$A$810,$A630,$E$4:$E$810,"Win")=0,"need a winner",IF(COUNTIFS($A$4:$A$810,$A630,$E$4:$E$810,"Loss")=0,"need a loser",IF(COUNTIFS($A$4:$A$810,$A630,$D$4:$D$810,$D630)&gt;1,"duplicate player","OK"))))</f>
      </c>
      <c r="P630">
        <f>IF($D630="",0,IFERROR(SUMIFS($H$4:$H$810,$A$4:$A$810,$A630,$E$4:$E$810,"Win")/COUNTIFS($A$4:$A$810,$A630,$E$4:$E$810,"Win"),0))</f>
        <v>0</v>
      </c>
      <c r="Q630">
        <f>IF($D630="",0,1/(1+10^(($P630-$H630)/400)))</f>
        <v>0</v>
      </c>
      <c r="R630">
        <f>IF($D630="",0,(COUNTIFS($D$4:$D$810,$D630,$C$4:$C$810,$C630,$E$4:$E$810,"Win",$A$4:$A$810,"&lt;"&amp;$A630)+1)/(COUNTIFS($D$4:$D$810,$D630,$C$4:$C$810,$C630,$A$4:$A$810,"&lt;"&amp;$A630)+2))</f>
        <v>0</v>
      </c>
      <c r="S630">
        <f>IF($D630="",0,SUMIFS($R$4:$R$810,$A$4:$A$810,$A630))</f>
        <v>0</v>
      </c>
      <c r="T630" s="88">
        <f>IF($D630="",0,COUNTIFS($D$4:$D$810,$D630,$C$4:$C$810,$C630,$A$4:$A$810,"&lt;"&amp;$A630))</f>
        <v>0</v>
      </c>
      <c r="U630" s="125">
        <f>IF($D630="",0,IFERROR(LOOKUP(2,1/(($D$3:D629=$D630)*($C$3:C629=$C630)*($A$3:A629&lt;$A630)),$AB$3:AB629),1000))</f>
        <v>0</v>
      </c>
      <c r="V630" s="125">
        <f>IF($D630="",0,$U630*($T630/($T630+5))+$H630*(1-$T630/($T630+5)))</f>
        <v>0</v>
      </c>
      <c r="W630">
        <f>IF($D630="",0,IFERROR(SUMIFS($V$4:$V$810,$A$4:$A$810,$A630,$E$4:$E$810,"Win")/COUNTIFS($A$4:$A$810,$A630,$E$4:$E$810,"Win"),0))</f>
        <v>0</v>
      </c>
      <c r="X630">
        <f>IF($D630="",0,1/(1+10^(($W630-$V630)/400)))</f>
        <v>0</v>
      </c>
      <c r="Y630">
        <f>IF($D630="",0,IFERROR(SUMIFS($U$4:$U$810,$A$4:$A$810,$A630,$E$4:$E$810,"Win")/COUNTIFS($A$4:$A$810,$A630,$E$4:$E$810,"Win"),0))</f>
        <v>0</v>
      </c>
      <c r="Z630">
        <f>IF($D630="",0,1/(1+10^(($Y630-$U630)/400)))</f>
        <v>0</v>
      </c>
      <c r="AA630">
        <f>IF($D630="",0,IF($F630&lt;2,0,IF($E630="Win",('Guide &amp; Settings'!$C$42/(($F630-1)*COUNTIFS($A$4:$A$810,$A630,$E$4:$E$810,"Win")))*SUMIFS($Z$4:$Z$810,$A$4:$A$810,$A630,$E$4:$E$810,"Loss"),-('Guide &amp; Settings'!$C$42/($F630-1))*$Z630)))</f>
        <v>0</v>
      </c>
      <c r="AB630" s="125">
        <f>IF($D630="",0,$U630+$AA630)</f>
        <v>0</v>
      </c>
      <c r="AC630" s="125" t="str">
        <f>IF($D630="","",IF(SUMPRODUCT(MAX(($D$4:$D$810=$D630)*($B$4:$B$810&lt;$B630)*$B$4:$B$810))=0,0,MAX(($B630-MAX(SUMPRODUCT(MAX(($D$4:$D$810=$D630)*($B$4:$B$810&lt;$B630)*$B$4:$B$810)),'Guide &amp; Settings'!$C$50))/7-'Guide &amp; Settings'!$C$48,0)*'Guide &amp; Settings'!$C$49))</f>
      </c>
    </row>
    <row r="631" spans="1:29">
      <c r="A631" s="116"/>
      <c r="B631" s="117"/>
      <c r="C631" s="118"/>
      <c r="D631" s="118"/>
      <c r="E631" s="116"/>
      <c r="F631" s="119">
        <f>IF($D631="",0,COUNTIF($A$4:$A$810,$A631))</f>
        <v>0</v>
      </c>
      <c r="G631" s="120">
        <f>IF($D631="","",IFERROR(LOOKUP(2,1/(($A$4:$A$810=$A631)*($E$4:$E$810="Win")),$D$4:$D$810),"(no winner)"))</f>
        <v>0</v>
      </c>
      <c r="H631" s="121">
        <f>IF($D631="",0,IFERROR(LOOKUP(2,1/(($D$3:D630=$D631)*($A$3:A630&lt;$A631)),$N$3:N630),'Guide &amp; Settings'!$C$41))</f>
        <v>0</v>
      </c>
      <c r="I631" s="122">
        <f>IF($D631="",0,IF($S631=0,0,$R631/$S631))</f>
        <v>0</v>
      </c>
      <c r="J631" s="123">
        <f>IF($D631="",0,IF($F631&lt;2,0,IF($E631="Win",('Guide &amp; Settings'!$C$42/(($F631-1)*COUNTIFS($A$4:$A$810,$A631,$E$4:$E$810,"Win")))*SUMIFS($X$4:$X$810,$A$4:$A$810,$A631,$E$4:$E$810,"Loss"),-('Guide &amp; Settings'!$C$42/($F631-1))*$X631)))</f>
        <v>0</v>
      </c>
      <c r="K631" s="123">
        <f>IF($D631="",0,'Guide &amp; Settings'!$C$43*(IF($E631="Win",1,0)-$I631))</f>
        <v>0</v>
      </c>
      <c r="L631" s="124">
        <f>IF($D631="",0,'Guide &amp; Settings'!$C$44*IF($F631&gt;=3,$F631+IF($E631="Win",$F631,0),0))</f>
        <v>0</v>
      </c>
      <c r="M631" s="123">
        <f>IF($D631="",0,$J631+$K631+$L631)</f>
        <v>0</v>
      </c>
      <c r="N631" s="121">
        <f>IF($D631="",0,$H631+$M631)</f>
        <v>0</v>
      </c>
      <c r="O631" s="120" t="str">
        <f>IF($D631="","",IF(COUNTIFS($A$4:$A$810,$A631,$E$4:$E$810,"Win")=0,"need a winner",IF(COUNTIFS($A$4:$A$810,$A631,$E$4:$E$810,"Loss")=0,"need a loser",IF(COUNTIFS($A$4:$A$810,$A631,$D$4:$D$810,$D631)&gt;1,"duplicate player","OK"))))</f>
      </c>
      <c r="P631">
        <f>IF($D631="",0,IFERROR(SUMIFS($H$4:$H$810,$A$4:$A$810,$A631,$E$4:$E$810,"Win")/COUNTIFS($A$4:$A$810,$A631,$E$4:$E$810,"Win"),0))</f>
        <v>0</v>
      </c>
      <c r="Q631">
        <f>IF($D631="",0,1/(1+10^(($P631-$H631)/400)))</f>
        <v>0</v>
      </c>
      <c r="R631">
        <f>IF($D631="",0,(COUNTIFS($D$4:$D$810,$D631,$C$4:$C$810,$C631,$E$4:$E$810,"Win",$A$4:$A$810,"&lt;"&amp;$A631)+1)/(COUNTIFS($D$4:$D$810,$D631,$C$4:$C$810,$C631,$A$4:$A$810,"&lt;"&amp;$A631)+2))</f>
        <v>0</v>
      </c>
      <c r="S631">
        <f>IF($D631="",0,SUMIFS($R$4:$R$810,$A$4:$A$810,$A631))</f>
        <v>0</v>
      </c>
      <c r="T631" s="88">
        <f>IF($D631="",0,COUNTIFS($D$4:$D$810,$D631,$C$4:$C$810,$C631,$A$4:$A$810,"&lt;"&amp;$A631))</f>
        <v>0</v>
      </c>
      <c r="U631" s="125">
        <f>IF($D631="",0,IFERROR(LOOKUP(2,1/(($D$3:D630=$D631)*($C$3:C630=$C631)*($A$3:A630&lt;$A631)),$AB$3:AB630),1000))</f>
        <v>0</v>
      </c>
      <c r="V631" s="125">
        <f>IF($D631="",0,$U631*($T631/($T631+5))+$H631*(1-$T631/($T631+5)))</f>
        <v>0</v>
      </c>
      <c r="W631">
        <f>IF($D631="",0,IFERROR(SUMIFS($V$4:$V$810,$A$4:$A$810,$A631,$E$4:$E$810,"Win")/COUNTIFS($A$4:$A$810,$A631,$E$4:$E$810,"Win"),0))</f>
        <v>0</v>
      </c>
      <c r="X631">
        <f>IF($D631="",0,1/(1+10^(($W631-$V631)/400)))</f>
        <v>0</v>
      </c>
      <c r="Y631">
        <f>IF($D631="",0,IFERROR(SUMIFS($U$4:$U$810,$A$4:$A$810,$A631,$E$4:$E$810,"Win")/COUNTIFS($A$4:$A$810,$A631,$E$4:$E$810,"Win"),0))</f>
        <v>0</v>
      </c>
      <c r="Z631">
        <f>IF($D631="",0,1/(1+10^(($Y631-$U631)/400)))</f>
        <v>0</v>
      </c>
      <c r="AA631">
        <f>IF($D631="",0,IF($F631&lt;2,0,IF($E631="Win",('Guide &amp; Settings'!$C$42/(($F631-1)*COUNTIFS($A$4:$A$810,$A631,$E$4:$E$810,"Win")))*SUMIFS($Z$4:$Z$810,$A$4:$A$810,$A631,$E$4:$E$810,"Loss"),-('Guide &amp; Settings'!$C$42/($F631-1))*$Z631)))</f>
        <v>0</v>
      </c>
      <c r="AB631" s="125">
        <f>IF($D631="",0,$U631+$AA631)</f>
        <v>0</v>
      </c>
      <c r="AC631" s="125" t="str">
        <f>IF($D631="","",IF(SUMPRODUCT(MAX(($D$4:$D$810=$D631)*($B$4:$B$810&lt;$B631)*$B$4:$B$810))=0,0,MAX(($B631-MAX(SUMPRODUCT(MAX(($D$4:$D$810=$D631)*($B$4:$B$810&lt;$B631)*$B$4:$B$810)),'Guide &amp; Settings'!$C$50))/7-'Guide &amp; Settings'!$C$48,0)*'Guide &amp; Settings'!$C$49))</f>
      </c>
    </row>
    <row r="632" spans="1:29">
      <c r="A632" s="116"/>
      <c r="B632" s="117"/>
      <c r="C632" s="118"/>
      <c r="D632" s="118"/>
      <c r="E632" s="116"/>
      <c r="F632" s="119">
        <f>IF($D632="",0,COUNTIF($A$4:$A$810,$A632))</f>
        <v>0</v>
      </c>
      <c r="G632" s="120">
        <f>IF($D632="","",IFERROR(LOOKUP(2,1/(($A$4:$A$810=$A632)*($E$4:$E$810="Win")),$D$4:$D$810),"(no winner)"))</f>
        <v>0</v>
      </c>
      <c r="H632" s="121">
        <f>IF($D632="",0,IFERROR(LOOKUP(2,1/(($D$3:D631=$D632)*($A$3:A631&lt;$A632)),$N$3:N631),'Guide &amp; Settings'!$C$41))</f>
        <v>0</v>
      </c>
      <c r="I632" s="122">
        <f>IF($D632="",0,IF($S632=0,0,$R632/$S632))</f>
        <v>0</v>
      </c>
      <c r="J632" s="123">
        <f>IF($D632="",0,IF($F632&lt;2,0,IF($E632="Win",('Guide &amp; Settings'!$C$42/(($F632-1)*COUNTIFS($A$4:$A$810,$A632,$E$4:$E$810,"Win")))*SUMIFS($X$4:$X$810,$A$4:$A$810,$A632,$E$4:$E$810,"Loss"),-('Guide &amp; Settings'!$C$42/($F632-1))*$X632)))</f>
        <v>0</v>
      </c>
      <c r="K632" s="123">
        <f>IF($D632="",0,'Guide &amp; Settings'!$C$43*(IF($E632="Win",1,0)-$I632))</f>
        <v>0</v>
      </c>
      <c r="L632" s="124">
        <f>IF($D632="",0,'Guide &amp; Settings'!$C$44*IF($F632&gt;=3,$F632+IF($E632="Win",$F632,0),0))</f>
        <v>0</v>
      </c>
      <c r="M632" s="123">
        <f>IF($D632="",0,$J632+$K632+$L632)</f>
        <v>0</v>
      </c>
      <c r="N632" s="121">
        <f>IF($D632="",0,$H632+$M632)</f>
        <v>0</v>
      </c>
      <c r="O632" s="120" t="str">
        <f>IF($D632="","",IF(COUNTIFS($A$4:$A$810,$A632,$E$4:$E$810,"Win")=0,"need a winner",IF(COUNTIFS($A$4:$A$810,$A632,$E$4:$E$810,"Loss")=0,"need a loser",IF(COUNTIFS($A$4:$A$810,$A632,$D$4:$D$810,$D632)&gt;1,"duplicate player","OK"))))</f>
      </c>
      <c r="P632">
        <f>IF($D632="",0,IFERROR(SUMIFS($H$4:$H$810,$A$4:$A$810,$A632,$E$4:$E$810,"Win")/COUNTIFS($A$4:$A$810,$A632,$E$4:$E$810,"Win"),0))</f>
        <v>0</v>
      </c>
      <c r="Q632">
        <f>IF($D632="",0,1/(1+10^(($P632-$H632)/400)))</f>
        <v>0</v>
      </c>
      <c r="R632">
        <f>IF($D632="",0,(COUNTIFS($D$4:$D$810,$D632,$C$4:$C$810,$C632,$E$4:$E$810,"Win",$A$4:$A$810,"&lt;"&amp;$A632)+1)/(COUNTIFS($D$4:$D$810,$D632,$C$4:$C$810,$C632,$A$4:$A$810,"&lt;"&amp;$A632)+2))</f>
        <v>0</v>
      </c>
      <c r="S632">
        <f>IF($D632="",0,SUMIFS($R$4:$R$810,$A$4:$A$810,$A632))</f>
        <v>0</v>
      </c>
      <c r="T632" s="88">
        <f>IF($D632="",0,COUNTIFS($D$4:$D$810,$D632,$C$4:$C$810,$C632,$A$4:$A$810,"&lt;"&amp;$A632))</f>
        <v>0</v>
      </c>
      <c r="U632" s="125">
        <f>IF($D632="",0,IFERROR(LOOKUP(2,1/(($D$3:D631=$D632)*($C$3:C631=$C632)*($A$3:A631&lt;$A632)),$AB$3:AB631),1000))</f>
        <v>0</v>
      </c>
      <c r="V632" s="125">
        <f>IF($D632="",0,$U632*($T632/($T632+5))+$H632*(1-$T632/($T632+5)))</f>
        <v>0</v>
      </c>
      <c r="W632">
        <f>IF($D632="",0,IFERROR(SUMIFS($V$4:$V$810,$A$4:$A$810,$A632,$E$4:$E$810,"Win")/COUNTIFS($A$4:$A$810,$A632,$E$4:$E$810,"Win"),0))</f>
        <v>0</v>
      </c>
      <c r="X632">
        <f>IF($D632="",0,1/(1+10^(($W632-$V632)/400)))</f>
        <v>0</v>
      </c>
      <c r="Y632">
        <f>IF($D632="",0,IFERROR(SUMIFS($U$4:$U$810,$A$4:$A$810,$A632,$E$4:$E$810,"Win")/COUNTIFS($A$4:$A$810,$A632,$E$4:$E$810,"Win"),0))</f>
        <v>0</v>
      </c>
      <c r="Z632">
        <f>IF($D632="",0,1/(1+10^(($Y632-$U632)/400)))</f>
        <v>0</v>
      </c>
      <c r="AA632">
        <f>IF($D632="",0,IF($F632&lt;2,0,IF($E632="Win",('Guide &amp; Settings'!$C$42/(($F632-1)*COUNTIFS($A$4:$A$810,$A632,$E$4:$E$810,"Win")))*SUMIFS($Z$4:$Z$810,$A$4:$A$810,$A632,$E$4:$E$810,"Loss"),-('Guide &amp; Settings'!$C$42/($F632-1))*$Z632)))</f>
        <v>0</v>
      </c>
      <c r="AB632" s="125">
        <f>IF($D632="",0,$U632+$AA632)</f>
        <v>0</v>
      </c>
      <c r="AC632" s="125" t="str">
        <f>IF($D632="","",IF(SUMPRODUCT(MAX(($D$4:$D$810=$D632)*($B$4:$B$810&lt;$B632)*$B$4:$B$810))=0,0,MAX(($B632-MAX(SUMPRODUCT(MAX(($D$4:$D$810=$D632)*($B$4:$B$810&lt;$B632)*$B$4:$B$810)),'Guide &amp; Settings'!$C$50))/7-'Guide &amp; Settings'!$C$48,0)*'Guide &amp; Settings'!$C$49))</f>
      </c>
    </row>
    <row r="633" spans="1:29">
      <c r="A633" s="116"/>
      <c r="B633" s="117"/>
      <c r="C633" s="118"/>
      <c r="D633" s="118"/>
      <c r="E633" s="116"/>
      <c r="F633" s="119">
        <f>IF($D633="",0,COUNTIF($A$4:$A$810,$A633))</f>
        <v>0</v>
      </c>
      <c r="G633" s="120">
        <f>IF($D633="","",IFERROR(LOOKUP(2,1/(($A$4:$A$810=$A633)*($E$4:$E$810="Win")),$D$4:$D$810),"(no winner)"))</f>
        <v>0</v>
      </c>
      <c r="H633" s="121">
        <f>IF($D633="",0,IFERROR(LOOKUP(2,1/(($D$3:D632=$D633)*($A$3:A632&lt;$A633)),$N$3:N632),'Guide &amp; Settings'!$C$41))</f>
        <v>0</v>
      </c>
      <c r="I633" s="122">
        <f>IF($D633="",0,IF($S633=0,0,$R633/$S633))</f>
        <v>0</v>
      </c>
      <c r="J633" s="123">
        <f>IF($D633="",0,IF($F633&lt;2,0,IF($E633="Win",('Guide &amp; Settings'!$C$42/(($F633-1)*COUNTIFS($A$4:$A$810,$A633,$E$4:$E$810,"Win")))*SUMIFS($X$4:$X$810,$A$4:$A$810,$A633,$E$4:$E$810,"Loss"),-('Guide &amp; Settings'!$C$42/($F633-1))*$X633)))</f>
        <v>0</v>
      </c>
      <c r="K633" s="123">
        <f>IF($D633="",0,'Guide &amp; Settings'!$C$43*(IF($E633="Win",1,0)-$I633))</f>
        <v>0</v>
      </c>
      <c r="L633" s="124">
        <f>IF($D633="",0,'Guide &amp; Settings'!$C$44*IF($F633&gt;=3,$F633+IF($E633="Win",$F633,0),0))</f>
        <v>0</v>
      </c>
      <c r="M633" s="123">
        <f>IF($D633="",0,$J633+$K633+$L633)</f>
        <v>0</v>
      </c>
      <c r="N633" s="121">
        <f>IF($D633="",0,$H633+$M633)</f>
        <v>0</v>
      </c>
      <c r="O633" s="120" t="str">
        <f>IF($D633="","",IF(COUNTIFS($A$4:$A$810,$A633,$E$4:$E$810,"Win")=0,"need a winner",IF(COUNTIFS($A$4:$A$810,$A633,$E$4:$E$810,"Loss")=0,"need a loser",IF(COUNTIFS($A$4:$A$810,$A633,$D$4:$D$810,$D633)&gt;1,"duplicate player","OK"))))</f>
      </c>
      <c r="P633">
        <f>IF($D633="",0,IFERROR(SUMIFS($H$4:$H$810,$A$4:$A$810,$A633,$E$4:$E$810,"Win")/COUNTIFS($A$4:$A$810,$A633,$E$4:$E$810,"Win"),0))</f>
        <v>0</v>
      </c>
      <c r="Q633">
        <f>IF($D633="",0,1/(1+10^(($P633-$H633)/400)))</f>
        <v>0</v>
      </c>
      <c r="R633">
        <f>IF($D633="",0,(COUNTIFS($D$4:$D$810,$D633,$C$4:$C$810,$C633,$E$4:$E$810,"Win",$A$4:$A$810,"&lt;"&amp;$A633)+1)/(COUNTIFS($D$4:$D$810,$D633,$C$4:$C$810,$C633,$A$4:$A$810,"&lt;"&amp;$A633)+2))</f>
        <v>0</v>
      </c>
      <c r="S633">
        <f>IF($D633="",0,SUMIFS($R$4:$R$810,$A$4:$A$810,$A633))</f>
        <v>0</v>
      </c>
      <c r="T633" s="88">
        <f>IF($D633="",0,COUNTIFS($D$4:$D$810,$D633,$C$4:$C$810,$C633,$A$4:$A$810,"&lt;"&amp;$A633))</f>
        <v>0</v>
      </c>
      <c r="U633" s="125">
        <f>IF($D633="",0,IFERROR(LOOKUP(2,1/(($D$3:D632=$D633)*($C$3:C632=$C633)*($A$3:A632&lt;$A633)),$AB$3:AB632),1000))</f>
        <v>0</v>
      </c>
      <c r="V633" s="125">
        <f>IF($D633="",0,$U633*($T633/($T633+5))+$H633*(1-$T633/($T633+5)))</f>
        <v>0</v>
      </c>
      <c r="W633">
        <f>IF($D633="",0,IFERROR(SUMIFS($V$4:$V$810,$A$4:$A$810,$A633,$E$4:$E$810,"Win")/COUNTIFS($A$4:$A$810,$A633,$E$4:$E$810,"Win"),0))</f>
        <v>0</v>
      </c>
      <c r="X633">
        <f>IF($D633="",0,1/(1+10^(($W633-$V633)/400)))</f>
        <v>0</v>
      </c>
      <c r="Y633">
        <f>IF($D633="",0,IFERROR(SUMIFS($U$4:$U$810,$A$4:$A$810,$A633,$E$4:$E$810,"Win")/COUNTIFS($A$4:$A$810,$A633,$E$4:$E$810,"Win"),0))</f>
        <v>0</v>
      </c>
      <c r="Z633">
        <f>IF($D633="",0,1/(1+10^(($Y633-$U633)/400)))</f>
        <v>0</v>
      </c>
      <c r="AA633">
        <f>IF($D633="",0,IF($F633&lt;2,0,IF($E633="Win",('Guide &amp; Settings'!$C$42/(($F633-1)*COUNTIFS($A$4:$A$810,$A633,$E$4:$E$810,"Win")))*SUMIFS($Z$4:$Z$810,$A$4:$A$810,$A633,$E$4:$E$810,"Loss"),-('Guide &amp; Settings'!$C$42/($F633-1))*$Z633)))</f>
        <v>0</v>
      </c>
      <c r="AB633" s="125">
        <f>IF($D633="",0,$U633+$AA633)</f>
        <v>0</v>
      </c>
      <c r="AC633" s="125" t="str">
        <f>IF($D633="","",IF(SUMPRODUCT(MAX(($D$4:$D$810=$D633)*($B$4:$B$810&lt;$B633)*$B$4:$B$810))=0,0,MAX(($B633-MAX(SUMPRODUCT(MAX(($D$4:$D$810=$D633)*($B$4:$B$810&lt;$B633)*$B$4:$B$810)),'Guide &amp; Settings'!$C$50))/7-'Guide &amp; Settings'!$C$48,0)*'Guide &amp; Settings'!$C$49))</f>
      </c>
    </row>
    <row r="634" spans="1:29">
      <c r="A634" s="116"/>
      <c r="B634" s="117"/>
      <c r="C634" s="118"/>
      <c r="D634" s="118"/>
      <c r="E634" s="116"/>
      <c r="F634" s="119">
        <f>IF($D634="",0,COUNTIF($A$4:$A$810,$A634))</f>
        <v>0</v>
      </c>
      <c r="G634" s="120">
        <f>IF($D634="","",IFERROR(LOOKUP(2,1/(($A$4:$A$810=$A634)*($E$4:$E$810="Win")),$D$4:$D$810),"(no winner)"))</f>
        <v>0</v>
      </c>
      <c r="H634" s="121">
        <f>IF($D634="",0,IFERROR(LOOKUP(2,1/(($D$3:D633=$D634)*($A$3:A633&lt;$A634)),$N$3:N633),'Guide &amp; Settings'!$C$41))</f>
        <v>0</v>
      </c>
      <c r="I634" s="122">
        <f>IF($D634="",0,IF($S634=0,0,$R634/$S634))</f>
        <v>0</v>
      </c>
      <c r="J634" s="123">
        <f>IF($D634="",0,IF($F634&lt;2,0,IF($E634="Win",('Guide &amp; Settings'!$C$42/(($F634-1)*COUNTIFS($A$4:$A$810,$A634,$E$4:$E$810,"Win")))*SUMIFS($X$4:$X$810,$A$4:$A$810,$A634,$E$4:$E$810,"Loss"),-('Guide &amp; Settings'!$C$42/($F634-1))*$X634)))</f>
        <v>0</v>
      </c>
      <c r="K634" s="123">
        <f>IF($D634="",0,'Guide &amp; Settings'!$C$43*(IF($E634="Win",1,0)-$I634))</f>
        <v>0</v>
      </c>
      <c r="L634" s="124">
        <f>IF($D634="",0,'Guide &amp; Settings'!$C$44*IF($F634&gt;=3,$F634+IF($E634="Win",$F634,0),0))</f>
        <v>0</v>
      </c>
      <c r="M634" s="123">
        <f>IF($D634="",0,$J634+$K634+$L634)</f>
        <v>0</v>
      </c>
      <c r="N634" s="121">
        <f>IF($D634="",0,$H634+$M634)</f>
        <v>0</v>
      </c>
      <c r="O634" s="120" t="str">
        <f>IF($D634="","",IF(COUNTIFS($A$4:$A$810,$A634,$E$4:$E$810,"Win")=0,"need a winner",IF(COUNTIFS($A$4:$A$810,$A634,$E$4:$E$810,"Loss")=0,"need a loser",IF(COUNTIFS($A$4:$A$810,$A634,$D$4:$D$810,$D634)&gt;1,"duplicate player","OK"))))</f>
      </c>
      <c r="P634">
        <f>IF($D634="",0,IFERROR(SUMIFS($H$4:$H$810,$A$4:$A$810,$A634,$E$4:$E$810,"Win")/COUNTIFS($A$4:$A$810,$A634,$E$4:$E$810,"Win"),0))</f>
        <v>0</v>
      </c>
      <c r="Q634">
        <f>IF($D634="",0,1/(1+10^(($P634-$H634)/400)))</f>
        <v>0</v>
      </c>
      <c r="R634">
        <f>IF($D634="",0,(COUNTIFS($D$4:$D$810,$D634,$C$4:$C$810,$C634,$E$4:$E$810,"Win",$A$4:$A$810,"&lt;"&amp;$A634)+1)/(COUNTIFS($D$4:$D$810,$D634,$C$4:$C$810,$C634,$A$4:$A$810,"&lt;"&amp;$A634)+2))</f>
        <v>0</v>
      </c>
      <c r="S634">
        <f>IF($D634="",0,SUMIFS($R$4:$R$810,$A$4:$A$810,$A634))</f>
        <v>0</v>
      </c>
      <c r="T634" s="88">
        <f>IF($D634="",0,COUNTIFS($D$4:$D$810,$D634,$C$4:$C$810,$C634,$A$4:$A$810,"&lt;"&amp;$A634))</f>
        <v>0</v>
      </c>
      <c r="U634" s="125">
        <f>IF($D634="",0,IFERROR(LOOKUP(2,1/(($D$3:D633=$D634)*($C$3:C633=$C634)*($A$3:A633&lt;$A634)),$AB$3:AB633),1000))</f>
        <v>0</v>
      </c>
      <c r="V634" s="125">
        <f>IF($D634="",0,$U634*($T634/($T634+5))+$H634*(1-$T634/($T634+5)))</f>
        <v>0</v>
      </c>
      <c r="W634">
        <f>IF($D634="",0,IFERROR(SUMIFS($V$4:$V$810,$A$4:$A$810,$A634,$E$4:$E$810,"Win")/COUNTIFS($A$4:$A$810,$A634,$E$4:$E$810,"Win"),0))</f>
        <v>0</v>
      </c>
      <c r="X634">
        <f>IF($D634="",0,1/(1+10^(($W634-$V634)/400)))</f>
        <v>0</v>
      </c>
      <c r="Y634">
        <f>IF($D634="",0,IFERROR(SUMIFS($U$4:$U$810,$A$4:$A$810,$A634,$E$4:$E$810,"Win")/COUNTIFS($A$4:$A$810,$A634,$E$4:$E$810,"Win"),0))</f>
        <v>0</v>
      </c>
      <c r="Z634">
        <f>IF($D634="",0,1/(1+10^(($Y634-$U634)/400)))</f>
        <v>0</v>
      </c>
      <c r="AA634">
        <f>IF($D634="",0,IF($F634&lt;2,0,IF($E634="Win",('Guide &amp; Settings'!$C$42/(($F634-1)*COUNTIFS($A$4:$A$810,$A634,$E$4:$E$810,"Win")))*SUMIFS($Z$4:$Z$810,$A$4:$A$810,$A634,$E$4:$E$810,"Loss"),-('Guide &amp; Settings'!$C$42/($F634-1))*$Z634)))</f>
        <v>0</v>
      </c>
      <c r="AB634" s="125">
        <f>IF($D634="",0,$U634+$AA634)</f>
        <v>0</v>
      </c>
      <c r="AC634" s="125" t="str">
        <f>IF($D634="","",IF(SUMPRODUCT(MAX(($D$4:$D$810=$D634)*($B$4:$B$810&lt;$B634)*$B$4:$B$810))=0,0,MAX(($B634-MAX(SUMPRODUCT(MAX(($D$4:$D$810=$D634)*($B$4:$B$810&lt;$B634)*$B$4:$B$810)),'Guide &amp; Settings'!$C$50))/7-'Guide &amp; Settings'!$C$48,0)*'Guide &amp; Settings'!$C$49))</f>
      </c>
    </row>
    <row r="635" spans="1:29">
      <c r="A635" s="116"/>
      <c r="B635" s="117"/>
      <c r="C635" s="118"/>
      <c r="D635" s="118"/>
      <c r="E635" s="116"/>
      <c r="F635" s="119">
        <f>IF($D635="",0,COUNTIF($A$4:$A$810,$A635))</f>
        <v>0</v>
      </c>
      <c r="G635" s="120">
        <f>IF($D635="","",IFERROR(LOOKUP(2,1/(($A$4:$A$810=$A635)*($E$4:$E$810="Win")),$D$4:$D$810),"(no winner)"))</f>
        <v>0</v>
      </c>
      <c r="H635" s="121">
        <f>IF($D635="",0,IFERROR(LOOKUP(2,1/(($D$3:D634=$D635)*($A$3:A634&lt;$A635)),$N$3:N634),'Guide &amp; Settings'!$C$41))</f>
        <v>0</v>
      </c>
      <c r="I635" s="122">
        <f>IF($D635="",0,IF($S635=0,0,$R635/$S635))</f>
        <v>0</v>
      </c>
      <c r="J635" s="123">
        <f>IF($D635="",0,IF($F635&lt;2,0,IF($E635="Win",('Guide &amp; Settings'!$C$42/(($F635-1)*COUNTIFS($A$4:$A$810,$A635,$E$4:$E$810,"Win")))*SUMIFS($X$4:$X$810,$A$4:$A$810,$A635,$E$4:$E$810,"Loss"),-('Guide &amp; Settings'!$C$42/($F635-1))*$X635)))</f>
        <v>0</v>
      </c>
      <c r="K635" s="123">
        <f>IF($D635="",0,'Guide &amp; Settings'!$C$43*(IF($E635="Win",1,0)-$I635))</f>
        <v>0</v>
      </c>
      <c r="L635" s="124">
        <f>IF($D635="",0,'Guide &amp; Settings'!$C$44*IF($F635&gt;=3,$F635+IF($E635="Win",$F635,0),0))</f>
        <v>0</v>
      </c>
      <c r="M635" s="123">
        <f>IF($D635="",0,$J635+$K635+$L635)</f>
        <v>0</v>
      </c>
      <c r="N635" s="121">
        <f>IF($D635="",0,$H635+$M635)</f>
        <v>0</v>
      </c>
      <c r="O635" s="120" t="str">
        <f>IF($D635="","",IF(COUNTIFS($A$4:$A$810,$A635,$E$4:$E$810,"Win")=0,"need a winner",IF(COUNTIFS($A$4:$A$810,$A635,$E$4:$E$810,"Loss")=0,"need a loser",IF(COUNTIFS($A$4:$A$810,$A635,$D$4:$D$810,$D635)&gt;1,"duplicate player","OK"))))</f>
      </c>
      <c r="P635">
        <f>IF($D635="",0,IFERROR(SUMIFS($H$4:$H$810,$A$4:$A$810,$A635,$E$4:$E$810,"Win")/COUNTIFS($A$4:$A$810,$A635,$E$4:$E$810,"Win"),0))</f>
        <v>0</v>
      </c>
      <c r="Q635">
        <f>IF($D635="",0,1/(1+10^(($P635-$H635)/400)))</f>
        <v>0</v>
      </c>
      <c r="R635">
        <f>IF($D635="",0,(COUNTIFS($D$4:$D$810,$D635,$C$4:$C$810,$C635,$E$4:$E$810,"Win",$A$4:$A$810,"&lt;"&amp;$A635)+1)/(COUNTIFS($D$4:$D$810,$D635,$C$4:$C$810,$C635,$A$4:$A$810,"&lt;"&amp;$A635)+2))</f>
        <v>0</v>
      </c>
      <c r="S635">
        <f>IF($D635="",0,SUMIFS($R$4:$R$810,$A$4:$A$810,$A635))</f>
        <v>0</v>
      </c>
      <c r="T635" s="88">
        <f>IF($D635="",0,COUNTIFS($D$4:$D$810,$D635,$C$4:$C$810,$C635,$A$4:$A$810,"&lt;"&amp;$A635))</f>
        <v>0</v>
      </c>
      <c r="U635" s="125">
        <f>IF($D635="",0,IFERROR(LOOKUP(2,1/(($D$3:D634=$D635)*($C$3:C634=$C635)*($A$3:A634&lt;$A635)),$AB$3:AB634),1000))</f>
        <v>0</v>
      </c>
      <c r="V635" s="125">
        <f>IF($D635="",0,$U635*($T635/($T635+5))+$H635*(1-$T635/($T635+5)))</f>
        <v>0</v>
      </c>
      <c r="W635">
        <f>IF($D635="",0,IFERROR(SUMIFS($V$4:$V$810,$A$4:$A$810,$A635,$E$4:$E$810,"Win")/COUNTIFS($A$4:$A$810,$A635,$E$4:$E$810,"Win"),0))</f>
        <v>0</v>
      </c>
      <c r="X635">
        <f>IF($D635="",0,1/(1+10^(($W635-$V635)/400)))</f>
        <v>0</v>
      </c>
      <c r="Y635">
        <f>IF($D635="",0,IFERROR(SUMIFS($U$4:$U$810,$A$4:$A$810,$A635,$E$4:$E$810,"Win")/COUNTIFS($A$4:$A$810,$A635,$E$4:$E$810,"Win"),0))</f>
        <v>0</v>
      </c>
      <c r="Z635">
        <f>IF($D635="",0,1/(1+10^(($Y635-$U635)/400)))</f>
        <v>0</v>
      </c>
      <c r="AA635">
        <f>IF($D635="",0,IF($F635&lt;2,0,IF($E635="Win",('Guide &amp; Settings'!$C$42/(($F635-1)*COUNTIFS($A$4:$A$810,$A635,$E$4:$E$810,"Win")))*SUMIFS($Z$4:$Z$810,$A$4:$A$810,$A635,$E$4:$E$810,"Loss"),-('Guide &amp; Settings'!$C$42/($F635-1))*$Z635)))</f>
        <v>0</v>
      </c>
      <c r="AB635" s="125">
        <f>IF($D635="",0,$U635+$AA635)</f>
        <v>0</v>
      </c>
      <c r="AC635" s="125" t="str">
        <f>IF($D635="","",IF(SUMPRODUCT(MAX(($D$4:$D$810=$D635)*($B$4:$B$810&lt;$B635)*$B$4:$B$810))=0,0,MAX(($B635-MAX(SUMPRODUCT(MAX(($D$4:$D$810=$D635)*($B$4:$B$810&lt;$B635)*$B$4:$B$810)),'Guide &amp; Settings'!$C$50))/7-'Guide &amp; Settings'!$C$48,0)*'Guide &amp; Settings'!$C$49))</f>
      </c>
    </row>
    <row r="636" spans="1:29">
      <c r="A636" s="116"/>
      <c r="B636" s="117"/>
      <c r="C636" s="118"/>
      <c r="D636" s="118"/>
      <c r="E636" s="116"/>
      <c r="F636" s="119">
        <f>IF($D636="",0,COUNTIF($A$4:$A$810,$A636))</f>
        <v>0</v>
      </c>
      <c r="G636" s="120">
        <f>IF($D636="","",IFERROR(LOOKUP(2,1/(($A$4:$A$810=$A636)*($E$4:$E$810="Win")),$D$4:$D$810),"(no winner)"))</f>
        <v>0</v>
      </c>
      <c r="H636" s="121">
        <f>IF($D636="",0,IFERROR(LOOKUP(2,1/(($D$3:D635=$D636)*($A$3:A635&lt;$A636)),$N$3:N635),'Guide &amp; Settings'!$C$41))</f>
        <v>0</v>
      </c>
      <c r="I636" s="122">
        <f>IF($D636="",0,IF($S636=0,0,$R636/$S636))</f>
        <v>0</v>
      </c>
      <c r="J636" s="123">
        <f>IF($D636="",0,IF($F636&lt;2,0,IF($E636="Win",('Guide &amp; Settings'!$C$42/(($F636-1)*COUNTIFS($A$4:$A$810,$A636,$E$4:$E$810,"Win")))*SUMIFS($X$4:$X$810,$A$4:$A$810,$A636,$E$4:$E$810,"Loss"),-('Guide &amp; Settings'!$C$42/($F636-1))*$X636)))</f>
        <v>0</v>
      </c>
      <c r="K636" s="123">
        <f>IF($D636="",0,'Guide &amp; Settings'!$C$43*(IF($E636="Win",1,0)-$I636))</f>
        <v>0</v>
      </c>
      <c r="L636" s="124">
        <f>IF($D636="",0,'Guide &amp; Settings'!$C$44*IF($F636&gt;=3,$F636+IF($E636="Win",$F636,0),0))</f>
        <v>0</v>
      </c>
      <c r="M636" s="123">
        <f>IF($D636="",0,$J636+$K636+$L636)</f>
        <v>0</v>
      </c>
      <c r="N636" s="121">
        <f>IF($D636="",0,$H636+$M636)</f>
        <v>0</v>
      </c>
      <c r="O636" s="120" t="str">
        <f>IF($D636="","",IF(COUNTIFS($A$4:$A$810,$A636,$E$4:$E$810,"Win")=0,"need a winner",IF(COUNTIFS($A$4:$A$810,$A636,$E$4:$E$810,"Loss")=0,"need a loser",IF(COUNTIFS($A$4:$A$810,$A636,$D$4:$D$810,$D636)&gt;1,"duplicate player","OK"))))</f>
      </c>
      <c r="P636">
        <f>IF($D636="",0,IFERROR(SUMIFS($H$4:$H$810,$A$4:$A$810,$A636,$E$4:$E$810,"Win")/COUNTIFS($A$4:$A$810,$A636,$E$4:$E$810,"Win"),0))</f>
        <v>0</v>
      </c>
      <c r="Q636">
        <f>IF($D636="",0,1/(1+10^(($P636-$H636)/400)))</f>
        <v>0</v>
      </c>
      <c r="R636">
        <f>IF($D636="",0,(COUNTIFS($D$4:$D$810,$D636,$C$4:$C$810,$C636,$E$4:$E$810,"Win",$A$4:$A$810,"&lt;"&amp;$A636)+1)/(COUNTIFS($D$4:$D$810,$D636,$C$4:$C$810,$C636,$A$4:$A$810,"&lt;"&amp;$A636)+2))</f>
        <v>0</v>
      </c>
      <c r="S636">
        <f>IF($D636="",0,SUMIFS($R$4:$R$810,$A$4:$A$810,$A636))</f>
        <v>0</v>
      </c>
      <c r="T636" s="88">
        <f>IF($D636="",0,COUNTIFS($D$4:$D$810,$D636,$C$4:$C$810,$C636,$A$4:$A$810,"&lt;"&amp;$A636))</f>
        <v>0</v>
      </c>
      <c r="U636" s="125">
        <f>IF($D636="",0,IFERROR(LOOKUP(2,1/(($D$3:D635=$D636)*($C$3:C635=$C636)*($A$3:A635&lt;$A636)),$AB$3:AB635),1000))</f>
        <v>0</v>
      </c>
      <c r="V636" s="125">
        <f>IF($D636="",0,$U636*($T636/($T636+5))+$H636*(1-$T636/($T636+5)))</f>
        <v>0</v>
      </c>
      <c r="W636">
        <f>IF($D636="",0,IFERROR(SUMIFS($V$4:$V$810,$A$4:$A$810,$A636,$E$4:$E$810,"Win")/COUNTIFS($A$4:$A$810,$A636,$E$4:$E$810,"Win"),0))</f>
        <v>0</v>
      </c>
      <c r="X636">
        <f>IF($D636="",0,1/(1+10^(($W636-$V636)/400)))</f>
        <v>0</v>
      </c>
      <c r="Y636">
        <f>IF($D636="",0,IFERROR(SUMIFS($U$4:$U$810,$A$4:$A$810,$A636,$E$4:$E$810,"Win")/COUNTIFS($A$4:$A$810,$A636,$E$4:$E$810,"Win"),0))</f>
        <v>0</v>
      </c>
      <c r="Z636">
        <f>IF($D636="",0,1/(1+10^(($Y636-$U636)/400)))</f>
        <v>0</v>
      </c>
      <c r="AA636">
        <f>IF($D636="",0,IF($F636&lt;2,0,IF($E636="Win",('Guide &amp; Settings'!$C$42/(($F636-1)*COUNTIFS($A$4:$A$810,$A636,$E$4:$E$810,"Win")))*SUMIFS($Z$4:$Z$810,$A$4:$A$810,$A636,$E$4:$E$810,"Loss"),-('Guide &amp; Settings'!$C$42/($F636-1))*$Z636)))</f>
        <v>0</v>
      </c>
      <c r="AB636" s="125">
        <f>IF($D636="",0,$U636+$AA636)</f>
        <v>0</v>
      </c>
      <c r="AC636" s="125" t="str">
        <f>IF($D636="","",IF(SUMPRODUCT(MAX(($D$4:$D$810=$D636)*($B$4:$B$810&lt;$B636)*$B$4:$B$810))=0,0,MAX(($B636-MAX(SUMPRODUCT(MAX(($D$4:$D$810=$D636)*($B$4:$B$810&lt;$B636)*$B$4:$B$810)),'Guide &amp; Settings'!$C$50))/7-'Guide &amp; Settings'!$C$48,0)*'Guide &amp; Settings'!$C$49))</f>
      </c>
    </row>
    <row r="637" spans="1:29">
      <c r="A637" s="116"/>
      <c r="B637" s="117"/>
      <c r="C637" s="118"/>
      <c r="D637" s="118"/>
      <c r="E637" s="116"/>
      <c r="F637" s="119">
        <f>IF($D637="",0,COUNTIF($A$4:$A$810,$A637))</f>
        <v>0</v>
      </c>
      <c r="G637" s="120">
        <f>IF($D637="","",IFERROR(LOOKUP(2,1/(($A$4:$A$810=$A637)*($E$4:$E$810="Win")),$D$4:$D$810),"(no winner)"))</f>
        <v>0</v>
      </c>
      <c r="H637" s="121">
        <f>IF($D637="",0,IFERROR(LOOKUP(2,1/(($D$3:D636=$D637)*($A$3:A636&lt;$A637)),$N$3:N636),'Guide &amp; Settings'!$C$41))</f>
        <v>0</v>
      </c>
      <c r="I637" s="122">
        <f>IF($D637="",0,IF($S637=0,0,$R637/$S637))</f>
        <v>0</v>
      </c>
      <c r="J637" s="123">
        <f>IF($D637="",0,IF($F637&lt;2,0,IF($E637="Win",('Guide &amp; Settings'!$C$42/(($F637-1)*COUNTIFS($A$4:$A$810,$A637,$E$4:$E$810,"Win")))*SUMIFS($X$4:$X$810,$A$4:$A$810,$A637,$E$4:$E$810,"Loss"),-('Guide &amp; Settings'!$C$42/($F637-1))*$X637)))</f>
        <v>0</v>
      </c>
      <c r="K637" s="123">
        <f>IF($D637="",0,'Guide &amp; Settings'!$C$43*(IF($E637="Win",1,0)-$I637))</f>
        <v>0</v>
      </c>
      <c r="L637" s="124">
        <f>IF($D637="",0,'Guide &amp; Settings'!$C$44*IF($F637&gt;=3,$F637+IF($E637="Win",$F637,0),0))</f>
        <v>0</v>
      </c>
      <c r="M637" s="123">
        <f>IF($D637="",0,$J637+$K637+$L637)</f>
        <v>0</v>
      </c>
      <c r="N637" s="121">
        <f>IF($D637="",0,$H637+$M637)</f>
        <v>0</v>
      </c>
      <c r="O637" s="120" t="str">
        <f>IF($D637="","",IF(COUNTIFS($A$4:$A$810,$A637,$E$4:$E$810,"Win")=0,"need a winner",IF(COUNTIFS($A$4:$A$810,$A637,$E$4:$E$810,"Loss")=0,"need a loser",IF(COUNTIFS($A$4:$A$810,$A637,$D$4:$D$810,$D637)&gt;1,"duplicate player","OK"))))</f>
      </c>
      <c r="P637">
        <f>IF($D637="",0,IFERROR(SUMIFS($H$4:$H$810,$A$4:$A$810,$A637,$E$4:$E$810,"Win")/COUNTIFS($A$4:$A$810,$A637,$E$4:$E$810,"Win"),0))</f>
        <v>0</v>
      </c>
      <c r="Q637">
        <f>IF($D637="",0,1/(1+10^(($P637-$H637)/400)))</f>
        <v>0</v>
      </c>
      <c r="R637">
        <f>IF($D637="",0,(COUNTIFS($D$4:$D$810,$D637,$C$4:$C$810,$C637,$E$4:$E$810,"Win",$A$4:$A$810,"&lt;"&amp;$A637)+1)/(COUNTIFS($D$4:$D$810,$D637,$C$4:$C$810,$C637,$A$4:$A$810,"&lt;"&amp;$A637)+2))</f>
        <v>0</v>
      </c>
      <c r="S637">
        <f>IF($D637="",0,SUMIFS($R$4:$R$810,$A$4:$A$810,$A637))</f>
        <v>0</v>
      </c>
      <c r="T637" s="88">
        <f>IF($D637="",0,COUNTIFS($D$4:$D$810,$D637,$C$4:$C$810,$C637,$A$4:$A$810,"&lt;"&amp;$A637))</f>
        <v>0</v>
      </c>
      <c r="U637" s="125">
        <f>IF($D637="",0,IFERROR(LOOKUP(2,1/(($D$3:D636=$D637)*($C$3:C636=$C637)*($A$3:A636&lt;$A637)),$AB$3:AB636),1000))</f>
        <v>0</v>
      </c>
      <c r="V637" s="125">
        <f>IF($D637="",0,$U637*($T637/($T637+5))+$H637*(1-$T637/($T637+5)))</f>
        <v>0</v>
      </c>
      <c r="W637">
        <f>IF($D637="",0,IFERROR(SUMIFS($V$4:$V$810,$A$4:$A$810,$A637,$E$4:$E$810,"Win")/COUNTIFS($A$4:$A$810,$A637,$E$4:$E$810,"Win"),0))</f>
        <v>0</v>
      </c>
      <c r="X637">
        <f>IF($D637="",0,1/(1+10^(($W637-$V637)/400)))</f>
        <v>0</v>
      </c>
      <c r="Y637">
        <f>IF($D637="",0,IFERROR(SUMIFS($U$4:$U$810,$A$4:$A$810,$A637,$E$4:$E$810,"Win")/COUNTIFS($A$4:$A$810,$A637,$E$4:$E$810,"Win"),0))</f>
        <v>0</v>
      </c>
      <c r="Z637">
        <f>IF($D637="",0,1/(1+10^(($Y637-$U637)/400)))</f>
        <v>0</v>
      </c>
      <c r="AA637">
        <f>IF($D637="",0,IF($F637&lt;2,0,IF($E637="Win",('Guide &amp; Settings'!$C$42/(($F637-1)*COUNTIFS($A$4:$A$810,$A637,$E$4:$E$810,"Win")))*SUMIFS($Z$4:$Z$810,$A$4:$A$810,$A637,$E$4:$E$810,"Loss"),-('Guide &amp; Settings'!$C$42/($F637-1))*$Z637)))</f>
        <v>0</v>
      </c>
      <c r="AB637" s="125">
        <f>IF($D637="",0,$U637+$AA637)</f>
        <v>0</v>
      </c>
      <c r="AC637" s="125" t="str">
        <f>IF($D637="","",IF(SUMPRODUCT(MAX(($D$4:$D$810=$D637)*($B$4:$B$810&lt;$B637)*$B$4:$B$810))=0,0,MAX(($B637-MAX(SUMPRODUCT(MAX(($D$4:$D$810=$D637)*($B$4:$B$810&lt;$B637)*$B$4:$B$810)),'Guide &amp; Settings'!$C$50))/7-'Guide &amp; Settings'!$C$48,0)*'Guide &amp; Settings'!$C$49))</f>
      </c>
    </row>
    <row r="638" spans="1:29">
      <c r="A638" s="116"/>
      <c r="B638" s="117"/>
      <c r="C638" s="118"/>
      <c r="D638" s="118"/>
      <c r="E638" s="116"/>
      <c r="F638" s="119">
        <f>IF($D638="",0,COUNTIF($A$4:$A$810,$A638))</f>
        <v>0</v>
      </c>
      <c r="G638" s="120">
        <f>IF($D638="","",IFERROR(LOOKUP(2,1/(($A$4:$A$810=$A638)*($E$4:$E$810="Win")),$D$4:$D$810),"(no winner)"))</f>
        <v>0</v>
      </c>
      <c r="H638" s="121">
        <f>IF($D638="",0,IFERROR(LOOKUP(2,1/(($D$3:D637=$D638)*($A$3:A637&lt;$A638)),$N$3:N637),'Guide &amp; Settings'!$C$41))</f>
        <v>0</v>
      </c>
      <c r="I638" s="122">
        <f>IF($D638="",0,IF($S638=0,0,$R638/$S638))</f>
        <v>0</v>
      </c>
      <c r="J638" s="123">
        <f>IF($D638="",0,IF($F638&lt;2,0,IF($E638="Win",('Guide &amp; Settings'!$C$42/(($F638-1)*COUNTIFS($A$4:$A$810,$A638,$E$4:$E$810,"Win")))*SUMIFS($X$4:$X$810,$A$4:$A$810,$A638,$E$4:$E$810,"Loss"),-('Guide &amp; Settings'!$C$42/($F638-1))*$X638)))</f>
        <v>0</v>
      </c>
      <c r="K638" s="123">
        <f>IF($D638="",0,'Guide &amp; Settings'!$C$43*(IF($E638="Win",1,0)-$I638))</f>
        <v>0</v>
      </c>
      <c r="L638" s="124">
        <f>IF($D638="",0,'Guide &amp; Settings'!$C$44*IF($F638&gt;=3,$F638+IF($E638="Win",$F638,0),0))</f>
        <v>0</v>
      </c>
      <c r="M638" s="123">
        <f>IF($D638="",0,$J638+$K638+$L638)</f>
        <v>0</v>
      </c>
      <c r="N638" s="121">
        <f>IF($D638="",0,$H638+$M638)</f>
        <v>0</v>
      </c>
      <c r="O638" s="120" t="str">
        <f>IF($D638="","",IF(COUNTIFS($A$4:$A$810,$A638,$E$4:$E$810,"Win")=0,"need a winner",IF(COUNTIFS($A$4:$A$810,$A638,$E$4:$E$810,"Loss")=0,"need a loser",IF(COUNTIFS($A$4:$A$810,$A638,$D$4:$D$810,$D638)&gt;1,"duplicate player","OK"))))</f>
      </c>
      <c r="P638">
        <f>IF($D638="",0,IFERROR(SUMIFS($H$4:$H$810,$A$4:$A$810,$A638,$E$4:$E$810,"Win")/COUNTIFS($A$4:$A$810,$A638,$E$4:$E$810,"Win"),0))</f>
        <v>0</v>
      </c>
      <c r="Q638">
        <f>IF($D638="",0,1/(1+10^(($P638-$H638)/400)))</f>
        <v>0</v>
      </c>
      <c r="R638">
        <f>IF($D638="",0,(COUNTIFS($D$4:$D$810,$D638,$C$4:$C$810,$C638,$E$4:$E$810,"Win",$A$4:$A$810,"&lt;"&amp;$A638)+1)/(COUNTIFS($D$4:$D$810,$D638,$C$4:$C$810,$C638,$A$4:$A$810,"&lt;"&amp;$A638)+2))</f>
        <v>0</v>
      </c>
      <c r="S638">
        <f>IF($D638="",0,SUMIFS($R$4:$R$810,$A$4:$A$810,$A638))</f>
        <v>0</v>
      </c>
      <c r="T638" s="88">
        <f>IF($D638="",0,COUNTIFS($D$4:$D$810,$D638,$C$4:$C$810,$C638,$A$4:$A$810,"&lt;"&amp;$A638))</f>
        <v>0</v>
      </c>
      <c r="U638" s="125">
        <f>IF($D638="",0,IFERROR(LOOKUP(2,1/(($D$3:D637=$D638)*($C$3:C637=$C638)*($A$3:A637&lt;$A638)),$AB$3:AB637),1000))</f>
        <v>0</v>
      </c>
      <c r="V638" s="125">
        <f>IF($D638="",0,$U638*($T638/($T638+5))+$H638*(1-$T638/($T638+5)))</f>
        <v>0</v>
      </c>
      <c r="W638">
        <f>IF($D638="",0,IFERROR(SUMIFS($V$4:$V$810,$A$4:$A$810,$A638,$E$4:$E$810,"Win")/COUNTIFS($A$4:$A$810,$A638,$E$4:$E$810,"Win"),0))</f>
        <v>0</v>
      </c>
      <c r="X638">
        <f>IF($D638="",0,1/(1+10^(($W638-$V638)/400)))</f>
        <v>0</v>
      </c>
      <c r="Y638">
        <f>IF($D638="",0,IFERROR(SUMIFS($U$4:$U$810,$A$4:$A$810,$A638,$E$4:$E$810,"Win")/COUNTIFS($A$4:$A$810,$A638,$E$4:$E$810,"Win"),0))</f>
        <v>0</v>
      </c>
      <c r="Z638">
        <f>IF($D638="",0,1/(1+10^(($Y638-$U638)/400)))</f>
        <v>0</v>
      </c>
      <c r="AA638">
        <f>IF($D638="",0,IF($F638&lt;2,0,IF($E638="Win",('Guide &amp; Settings'!$C$42/(($F638-1)*COUNTIFS($A$4:$A$810,$A638,$E$4:$E$810,"Win")))*SUMIFS($Z$4:$Z$810,$A$4:$A$810,$A638,$E$4:$E$810,"Loss"),-('Guide &amp; Settings'!$C$42/($F638-1))*$Z638)))</f>
        <v>0</v>
      </c>
      <c r="AB638" s="125">
        <f>IF($D638="",0,$U638+$AA638)</f>
        <v>0</v>
      </c>
      <c r="AC638" s="125" t="str">
        <f>IF($D638="","",IF(SUMPRODUCT(MAX(($D$4:$D$810=$D638)*($B$4:$B$810&lt;$B638)*$B$4:$B$810))=0,0,MAX(($B638-MAX(SUMPRODUCT(MAX(($D$4:$D$810=$D638)*($B$4:$B$810&lt;$B638)*$B$4:$B$810)),'Guide &amp; Settings'!$C$50))/7-'Guide &amp; Settings'!$C$48,0)*'Guide &amp; Settings'!$C$49))</f>
      </c>
    </row>
    <row r="639" spans="1:29">
      <c r="A639" s="116"/>
      <c r="B639" s="117"/>
      <c r="C639" s="118"/>
      <c r="D639" s="118"/>
      <c r="E639" s="116"/>
      <c r="F639" s="119">
        <f>IF($D639="",0,COUNTIF($A$4:$A$810,$A639))</f>
        <v>0</v>
      </c>
      <c r="G639" s="120">
        <f>IF($D639="","",IFERROR(LOOKUP(2,1/(($A$4:$A$810=$A639)*($E$4:$E$810="Win")),$D$4:$D$810),"(no winner)"))</f>
        <v>0</v>
      </c>
      <c r="H639" s="121">
        <f>IF($D639="",0,IFERROR(LOOKUP(2,1/(($D$3:D638=$D639)*($A$3:A638&lt;$A639)),$N$3:N638),'Guide &amp; Settings'!$C$41))</f>
        <v>0</v>
      </c>
      <c r="I639" s="122">
        <f>IF($D639="",0,IF($S639=0,0,$R639/$S639))</f>
        <v>0</v>
      </c>
      <c r="J639" s="123">
        <f>IF($D639="",0,IF($F639&lt;2,0,IF($E639="Win",('Guide &amp; Settings'!$C$42/(($F639-1)*COUNTIFS($A$4:$A$810,$A639,$E$4:$E$810,"Win")))*SUMIFS($X$4:$X$810,$A$4:$A$810,$A639,$E$4:$E$810,"Loss"),-('Guide &amp; Settings'!$C$42/($F639-1))*$X639)))</f>
        <v>0</v>
      </c>
      <c r="K639" s="123">
        <f>IF($D639="",0,'Guide &amp; Settings'!$C$43*(IF($E639="Win",1,0)-$I639))</f>
        <v>0</v>
      </c>
      <c r="L639" s="124">
        <f>IF($D639="",0,'Guide &amp; Settings'!$C$44*IF($F639&gt;=3,$F639+IF($E639="Win",$F639,0),0))</f>
        <v>0</v>
      </c>
      <c r="M639" s="123">
        <f>IF($D639="",0,$J639+$K639+$L639)</f>
        <v>0</v>
      </c>
      <c r="N639" s="121">
        <f>IF($D639="",0,$H639+$M639)</f>
        <v>0</v>
      </c>
      <c r="O639" s="120" t="str">
        <f>IF($D639="","",IF(COUNTIFS($A$4:$A$810,$A639,$E$4:$E$810,"Win")=0,"need a winner",IF(COUNTIFS($A$4:$A$810,$A639,$E$4:$E$810,"Loss")=0,"need a loser",IF(COUNTIFS($A$4:$A$810,$A639,$D$4:$D$810,$D639)&gt;1,"duplicate player","OK"))))</f>
      </c>
      <c r="P639">
        <f>IF($D639="",0,IFERROR(SUMIFS($H$4:$H$810,$A$4:$A$810,$A639,$E$4:$E$810,"Win")/COUNTIFS($A$4:$A$810,$A639,$E$4:$E$810,"Win"),0))</f>
        <v>0</v>
      </c>
      <c r="Q639">
        <f>IF($D639="",0,1/(1+10^(($P639-$H639)/400)))</f>
        <v>0</v>
      </c>
      <c r="R639">
        <f>IF($D639="",0,(COUNTIFS($D$4:$D$810,$D639,$C$4:$C$810,$C639,$E$4:$E$810,"Win",$A$4:$A$810,"&lt;"&amp;$A639)+1)/(COUNTIFS($D$4:$D$810,$D639,$C$4:$C$810,$C639,$A$4:$A$810,"&lt;"&amp;$A639)+2))</f>
        <v>0</v>
      </c>
      <c r="S639">
        <f>IF($D639="",0,SUMIFS($R$4:$R$810,$A$4:$A$810,$A639))</f>
        <v>0</v>
      </c>
      <c r="T639" s="88">
        <f>IF($D639="",0,COUNTIFS($D$4:$D$810,$D639,$C$4:$C$810,$C639,$A$4:$A$810,"&lt;"&amp;$A639))</f>
        <v>0</v>
      </c>
      <c r="U639" s="125">
        <f>IF($D639="",0,IFERROR(LOOKUP(2,1/(($D$3:D638=$D639)*($C$3:C638=$C639)*($A$3:A638&lt;$A639)),$AB$3:AB638),1000))</f>
        <v>0</v>
      </c>
      <c r="V639" s="125">
        <f>IF($D639="",0,$U639*($T639/($T639+5))+$H639*(1-$T639/($T639+5)))</f>
        <v>0</v>
      </c>
      <c r="W639">
        <f>IF($D639="",0,IFERROR(SUMIFS($V$4:$V$810,$A$4:$A$810,$A639,$E$4:$E$810,"Win")/COUNTIFS($A$4:$A$810,$A639,$E$4:$E$810,"Win"),0))</f>
        <v>0</v>
      </c>
      <c r="X639">
        <f>IF($D639="",0,1/(1+10^(($W639-$V639)/400)))</f>
        <v>0</v>
      </c>
      <c r="Y639">
        <f>IF($D639="",0,IFERROR(SUMIFS($U$4:$U$810,$A$4:$A$810,$A639,$E$4:$E$810,"Win")/COUNTIFS($A$4:$A$810,$A639,$E$4:$E$810,"Win"),0))</f>
        <v>0</v>
      </c>
      <c r="Z639">
        <f>IF($D639="",0,1/(1+10^(($Y639-$U639)/400)))</f>
        <v>0</v>
      </c>
      <c r="AA639">
        <f>IF($D639="",0,IF($F639&lt;2,0,IF($E639="Win",('Guide &amp; Settings'!$C$42/(($F639-1)*COUNTIFS($A$4:$A$810,$A639,$E$4:$E$810,"Win")))*SUMIFS($Z$4:$Z$810,$A$4:$A$810,$A639,$E$4:$E$810,"Loss"),-('Guide &amp; Settings'!$C$42/($F639-1))*$Z639)))</f>
        <v>0</v>
      </c>
      <c r="AB639" s="125">
        <f>IF($D639="",0,$U639+$AA639)</f>
        <v>0</v>
      </c>
      <c r="AC639" s="125" t="str">
        <f>IF($D639="","",IF(SUMPRODUCT(MAX(($D$4:$D$810=$D639)*($B$4:$B$810&lt;$B639)*$B$4:$B$810))=0,0,MAX(($B639-MAX(SUMPRODUCT(MAX(($D$4:$D$810=$D639)*($B$4:$B$810&lt;$B639)*$B$4:$B$810)),'Guide &amp; Settings'!$C$50))/7-'Guide &amp; Settings'!$C$48,0)*'Guide &amp; Settings'!$C$49))</f>
      </c>
    </row>
    <row r="640" spans="1:29">
      <c r="A640" s="116"/>
      <c r="B640" s="117"/>
      <c r="C640" s="118"/>
      <c r="D640" s="118"/>
      <c r="E640" s="116"/>
      <c r="F640" s="119">
        <f>IF($D640="",0,COUNTIF($A$4:$A$810,$A640))</f>
        <v>0</v>
      </c>
      <c r="G640" s="120">
        <f>IF($D640="","",IFERROR(LOOKUP(2,1/(($A$4:$A$810=$A640)*($E$4:$E$810="Win")),$D$4:$D$810),"(no winner)"))</f>
        <v>0</v>
      </c>
      <c r="H640" s="121">
        <f>IF($D640="",0,IFERROR(LOOKUP(2,1/(($D$3:D639=$D640)*($A$3:A639&lt;$A640)),$N$3:N639),'Guide &amp; Settings'!$C$41))</f>
        <v>0</v>
      </c>
      <c r="I640" s="122">
        <f>IF($D640="",0,IF($S640=0,0,$R640/$S640))</f>
        <v>0</v>
      </c>
      <c r="J640" s="123">
        <f>IF($D640="",0,IF($F640&lt;2,0,IF($E640="Win",('Guide &amp; Settings'!$C$42/(($F640-1)*COUNTIFS($A$4:$A$810,$A640,$E$4:$E$810,"Win")))*SUMIFS($X$4:$X$810,$A$4:$A$810,$A640,$E$4:$E$810,"Loss"),-('Guide &amp; Settings'!$C$42/($F640-1))*$X640)))</f>
        <v>0</v>
      </c>
      <c r="K640" s="123">
        <f>IF($D640="",0,'Guide &amp; Settings'!$C$43*(IF($E640="Win",1,0)-$I640))</f>
        <v>0</v>
      </c>
      <c r="L640" s="124">
        <f>IF($D640="",0,'Guide &amp; Settings'!$C$44*IF($F640&gt;=3,$F640+IF($E640="Win",$F640,0),0))</f>
        <v>0</v>
      </c>
      <c r="M640" s="123">
        <f>IF($D640="",0,$J640+$K640+$L640)</f>
        <v>0</v>
      </c>
      <c r="N640" s="121">
        <f>IF($D640="",0,$H640+$M640)</f>
        <v>0</v>
      </c>
      <c r="O640" s="120" t="str">
        <f>IF($D640="","",IF(COUNTIFS($A$4:$A$810,$A640,$E$4:$E$810,"Win")=0,"need a winner",IF(COUNTIFS($A$4:$A$810,$A640,$E$4:$E$810,"Loss")=0,"need a loser",IF(COUNTIFS($A$4:$A$810,$A640,$D$4:$D$810,$D640)&gt;1,"duplicate player","OK"))))</f>
      </c>
      <c r="P640">
        <f>IF($D640="",0,IFERROR(SUMIFS($H$4:$H$810,$A$4:$A$810,$A640,$E$4:$E$810,"Win")/COUNTIFS($A$4:$A$810,$A640,$E$4:$E$810,"Win"),0))</f>
        <v>0</v>
      </c>
      <c r="Q640">
        <f>IF($D640="",0,1/(1+10^(($P640-$H640)/400)))</f>
        <v>0</v>
      </c>
      <c r="R640">
        <f>IF($D640="",0,(COUNTIFS($D$4:$D$810,$D640,$C$4:$C$810,$C640,$E$4:$E$810,"Win",$A$4:$A$810,"&lt;"&amp;$A640)+1)/(COUNTIFS($D$4:$D$810,$D640,$C$4:$C$810,$C640,$A$4:$A$810,"&lt;"&amp;$A640)+2))</f>
        <v>0</v>
      </c>
      <c r="S640">
        <f>IF($D640="",0,SUMIFS($R$4:$R$810,$A$4:$A$810,$A640))</f>
        <v>0</v>
      </c>
      <c r="T640" s="88">
        <f>IF($D640="",0,COUNTIFS($D$4:$D$810,$D640,$C$4:$C$810,$C640,$A$4:$A$810,"&lt;"&amp;$A640))</f>
        <v>0</v>
      </c>
      <c r="U640" s="125">
        <f>IF($D640="",0,IFERROR(LOOKUP(2,1/(($D$3:D639=$D640)*($C$3:C639=$C640)*($A$3:A639&lt;$A640)),$AB$3:AB639),1000))</f>
        <v>0</v>
      </c>
      <c r="V640" s="125">
        <f>IF($D640="",0,$U640*($T640/($T640+5))+$H640*(1-$T640/($T640+5)))</f>
        <v>0</v>
      </c>
      <c r="W640">
        <f>IF($D640="",0,IFERROR(SUMIFS($V$4:$V$810,$A$4:$A$810,$A640,$E$4:$E$810,"Win")/COUNTIFS($A$4:$A$810,$A640,$E$4:$E$810,"Win"),0))</f>
        <v>0</v>
      </c>
      <c r="X640">
        <f>IF($D640="",0,1/(1+10^(($W640-$V640)/400)))</f>
        <v>0</v>
      </c>
      <c r="Y640">
        <f>IF($D640="",0,IFERROR(SUMIFS($U$4:$U$810,$A$4:$A$810,$A640,$E$4:$E$810,"Win")/COUNTIFS($A$4:$A$810,$A640,$E$4:$E$810,"Win"),0))</f>
        <v>0</v>
      </c>
      <c r="Z640">
        <f>IF($D640="",0,1/(1+10^(($Y640-$U640)/400)))</f>
        <v>0</v>
      </c>
      <c r="AA640">
        <f>IF($D640="",0,IF($F640&lt;2,0,IF($E640="Win",('Guide &amp; Settings'!$C$42/(($F640-1)*COUNTIFS($A$4:$A$810,$A640,$E$4:$E$810,"Win")))*SUMIFS($Z$4:$Z$810,$A$4:$A$810,$A640,$E$4:$E$810,"Loss"),-('Guide &amp; Settings'!$C$42/($F640-1))*$Z640)))</f>
        <v>0</v>
      </c>
      <c r="AB640" s="125">
        <f>IF($D640="",0,$U640+$AA640)</f>
        <v>0</v>
      </c>
      <c r="AC640" s="125" t="str">
        <f>IF($D640="","",IF(SUMPRODUCT(MAX(($D$4:$D$810=$D640)*($B$4:$B$810&lt;$B640)*$B$4:$B$810))=0,0,MAX(($B640-MAX(SUMPRODUCT(MAX(($D$4:$D$810=$D640)*($B$4:$B$810&lt;$B640)*$B$4:$B$810)),'Guide &amp; Settings'!$C$50))/7-'Guide &amp; Settings'!$C$48,0)*'Guide &amp; Settings'!$C$49))</f>
      </c>
    </row>
    <row r="641" spans="1:29">
      <c r="A641" s="116"/>
      <c r="B641" s="117"/>
      <c r="C641" s="118"/>
      <c r="D641" s="118"/>
      <c r="E641" s="116"/>
      <c r="F641" s="119">
        <f>IF($D641="",0,COUNTIF($A$4:$A$810,$A641))</f>
        <v>0</v>
      </c>
      <c r="G641" s="120">
        <f>IF($D641="","",IFERROR(LOOKUP(2,1/(($A$4:$A$810=$A641)*($E$4:$E$810="Win")),$D$4:$D$810),"(no winner)"))</f>
        <v>0</v>
      </c>
      <c r="H641" s="121">
        <f>IF($D641="",0,IFERROR(LOOKUP(2,1/(($D$3:D640=$D641)*($A$3:A640&lt;$A641)),$N$3:N640),'Guide &amp; Settings'!$C$41))</f>
        <v>0</v>
      </c>
      <c r="I641" s="122">
        <f>IF($D641="",0,IF($S641=0,0,$R641/$S641))</f>
        <v>0</v>
      </c>
      <c r="J641" s="123">
        <f>IF($D641="",0,IF($F641&lt;2,0,IF($E641="Win",('Guide &amp; Settings'!$C$42/(($F641-1)*COUNTIFS($A$4:$A$810,$A641,$E$4:$E$810,"Win")))*SUMIFS($X$4:$X$810,$A$4:$A$810,$A641,$E$4:$E$810,"Loss"),-('Guide &amp; Settings'!$C$42/($F641-1))*$X641)))</f>
        <v>0</v>
      </c>
      <c r="K641" s="123">
        <f>IF($D641="",0,'Guide &amp; Settings'!$C$43*(IF($E641="Win",1,0)-$I641))</f>
        <v>0</v>
      </c>
      <c r="L641" s="124">
        <f>IF($D641="",0,'Guide &amp; Settings'!$C$44*IF($F641&gt;=3,$F641+IF($E641="Win",$F641,0),0))</f>
        <v>0</v>
      </c>
      <c r="M641" s="123">
        <f>IF($D641="",0,$J641+$K641+$L641)</f>
        <v>0</v>
      </c>
      <c r="N641" s="121">
        <f>IF($D641="",0,$H641+$M641)</f>
        <v>0</v>
      </c>
      <c r="O641" s="120" t="str">
        <f>IF($D641="","",IF(COUNTIFS($A$4:$A$810,$A641,$E$4:$E$810,"Win")=0,"need a winner",IF(COUNTIFS($A$4:$A$810,$A641,$E$4:$E$810,"Loss")=0,"need a loser",IF(COUNTIFS($A$4:$A$810,$A641,$D$4:$D$810,$D641)&gt;1,"duplicate player","OK"))))</f>
      </c>
      <c r="P641">
        <f>IF($D641="",0,IFERROR(SUMIFS($H$4:$H$810,$A$4:$A$810,$A641,$E$4:$E$810,"Win")/COUNTIFS($A$4:$A$810,$A641,$E$4:$E$810,"Win"),0))</f>
        <v>0</v>
      </c>
      <c r="Q641">
        <f>IF($D641="",0,1/(1+10^(($P641-$H641)/400)))</f>
        <v>0</v>
      </c>
      <c r="R641">
        <f>IF($D641="",0,(COUNTIFS($D$4:$D$810,$D641,$C$4:$C$810,$C641,$E$4:$E$810,"Win",$A$4:$A$810,"&lt;"&amp;$A641)+1)/(COUNTIFS($D$4:$D$810,$D641,$C$4:$C$810,$C641,$A$4:$A$810,"&lt;"&amp;$A641)+2))</f>
        <v>0</v>
      </c>
      <c r="S641">
        <f>IF($D641="",0,SUMIFS($R$4:$R$810,$A$4:$A$810,$A641))</f>
        <v>0</v>
      </c>
      <c r="T641" s="88">
        <f>IF($D641="",0,COUNTIFS($D$4:$D$810,$D641,$C$4:$C$810,$C641,$A$4:$A$810,"&lt;"&amp;$A641))</f>
        <v>0</v>
      </c>
      <c r="U641" s="125">
        <f>IF($D641="",0,IFERROR(LOOKUP(2,1/(($D$3:D640=$D641)*($C$3:C640=$C641)*($A$3:A640&lt;$A641)),$AB$3:AB640),1000))</f>
        <v>0</v>
      </c>
      <c r="V641" s="125">
        <f>IF($D641="",0,$U641*($T641/($T641+5))+$H641*(1-$T641/($T641+5)))</f>
        <v>0</v>
      </c>
      <c r="W641">
        <f>IF($D641="",0,IFERROR(SUMIFS($V$4:$V$810,$A$4:$A$810,$A641,$E$4:$E$810,"Win")/COUNTIFS($A$4:$A$810,$A641,$E$4:$E$810,"Win"),0))</f>
        <v>0</v>
      </c>
      <c r="X641">
        <f>IF($D641="",0,1/(1+10^(($W641-$V641)/400)))</f>
        <v>0</v>
      </c>
      <c r="Y641">
        <f>IF($D641="",0,IFERROR(SUMIFS($U$4:$U$810,$A$4:$A$810,$A641,$E$4:$E$810,"Win")/COUNTIFS($A$4:$A$810,$A641,$E$4:$E$810,"Win"),0))</f>
        <v>0</v>
      </c>
      <c r="Z641">
        <f>IF($D641="",0,1/(1+10^(($Y641-$U641)/400)))</f>
        <v>0</v>
      </c>
      <c r="AA641">
        <f>IF($D641="",0,IF($F641&lt;2,0,IF($E641="Win",('Guide &amp; Settings'!$C$42/(($F641-1)*COUNTIFS($A$4:$A$810,$A641,$E$4:$E$810,"Win")))*SUMIFS($Z$4:$Z$810,$A$4:$A$810,$A641,$E$4:$E$810,"Loss"),-('Guide &amp; Settings'!$C$42/($F641-1))*$Z641)))</f>
        <v>0</v>
      </c>
      <c r="AB641" s="125">
        <f>IF($D641="",0,$U641+$AA641)</f>
        <v>0</v>
      </c>
      <c r="AC641" s="125" t="str">
        <f>IF($D641="","",IF(SUMPRODUCT(MAX(($D$4:$D$810=$D641)*($B$4:$B$810&lt;$B641)*$B$4:$B$810))=0,0,MAX(($B641-MAX(SUMPRODUCT(MAX(($D$4:$D$810=$D641)*($B$4:$B$810&lt;$B641)*$B$4:$B$810)),'Guide &amp; Settings'!$C$50))/7-'Guide &amp; Settings'!$C$48,0)*'Guide &amp; Settings'!$C$49))</f>
      </c>
    </row>
    <row r="642" spans="1:29">
      <c r="A642" s="116"/>
      <c r="B642" s="117"/>
      <c r="C642" s="118"/>
      <c r="D642" s="118"/>
      <c r="E642" s="116"/>
      <c r="F642" s="119">
        <f>IF($D642="",0,COUNTIF($A$4:$A$810,$A642))</f>
        <v>0</v>
      </c>
      <c r="G642" s="120">
        <f>IF($D642="","",IFERROR(LOOKUP(2,1/(($A$4:$A$810=$A642)*($E$4:$E$810="Win")),$D$4:$D$810),"(no winner)"))</f>
        <v>0</v>
      </c>
      <c r="H642" s="121">
        <f>IF($D642="",0,IFERROR(LOOKUP(2,1/(($D$3:D641=$D642)*($A$3:A641&lt;$A642)),$N$3:N641),'Guide &amp; Settings'!$C$41))</f>
        <v>0</v>
      </c>
      <c r="I642" s="122">
        <f>IF($D642="",0,IF($S642=0,0,$R642/$S642))</f>
        <v>0</v>
      </c>
      <c r="J642" s="123">
        <f>IF($D642="",0,IF($F642&lt;2,0,IF($E642="Win",('Guide &amp; Settings'!$C$42/(($F642-1)*COUNTIFS($A$4:$A$810,$A642,$E$4:$E$810,"Win")))*SUMIFS($X$4:$X$810,$A$4:$A$810,$A642,$E$4:$E$810,"Loss"),-('Guide &amp; Settings'!$C$42/($F642-1))*$X642)))</f>
        <v>0</v>
      </c>
      <c r="K642" s="123">
        <f>IF($D642="",0,'Guide &amp; Settings'!$C$43*(IF($E642="Win",1,0)-$I642))</f>
        <v>0</v>
      </c>
      <c r="L642" s="124">
        <f>IF($D642="",0,'Guide &amp; Settings'!$C$44*IF($F642&gt;=3,$F642+IF($E642="Win",$F642,0),0))</f>
        <v>0</v>
      </c>
      <c r="M642" s="123">
        <f>IF($D642="",0,$J642+$K642+$L642)</f>
        <v>0</v>
      </c>
      <c r="N642" s="121">
        <f>IF($D642="",0,$H642+$M642)</f>
        <v>0</v>
      </c>
      <c r="O642" s="120" t="str">
        <f>IF($D642="","",IF(COUNTIFS($A$4:$A$810,$A642,$E$4:$E$810,"Win")=0,"need a winner",IF(COUNTIFS($A$4:$A$810,$A642,$E$4:$E$810,"Loss")=0,"need a loser",IF(COUNTIFS($A$4:$A$810,$A642,$D$4:$D$810,$D642)&gt;1,"duplicate player","OK"))))</f>
      </c>
      <c r="P642">
        <f>IF($D642="",0,IFERROR(SUMIFS($H$4:$H$810,$A$4:$A$810,$A642,$E$4:$E$810,"Win")/COUNTIFS($A$4:$A$810,$A642,$E$4:$E$810,"Win"),0))</f>
        <v>0</v>
      </c>
      <c r="Q642">
        <f>IF($D642="",0,1/(1+10^(($P642-$H642)/400)))</f>
        <v>0</v>
      </c>
      <c r="R642">
        <f>IF($D642="",0,(COUNTIFS($D$4:$D$810,$D642,$C$4:$C$810,$C642,$E$4:$E$810,"Win",$A$4:$A$810,"&lt;"&amp;$A642)+1)/(COUNTIFS($D$4:$D$810,$D642,$C$4:$C$810,$C642,$A$4:$A$810,"&lt;"&amp;$A642)+2))</f>
        <v>0</v>
      </c>
      <c r="S642">
        <f>IF($D642="",0,SUMIFS($R$4:$R$810,$A$4:$A$810,$A642))</f>
        <v>0</v>
      </c>
      <c r="T642" s="88">
        <f>IF($D642="",0,COUNTIFS($D$4:$D$810,$D642,$C$4:$C$810,$C642,$A$4:$A$810,"&lt;"&amp;$A642))</f>
        <v>0</v>
      </c>
      <c r="U642" s="125">
        <f>IF($D642="",0,IFERROR(LOOKUP(2,1/(($D$3:D641=$D642)*($C$3:C641=$C642)*($A$3:A641&lt;$A642)),$AB$3:AB641),1000))</f>
        <v>0</v>
      </c>
      <c r="V642" s="125">
        <f>IF($D642="",0,$U642*($T642/($T642+5))+$H642*(1-$T642/($T642+5)))</f>
        <v>0</v>
      </c>
      <c r="W642">
        <f>IF($D642="",0,IFERROR(SUMIFS($V$4:$V$810,$A$4:$A$810,$A642,$E$4:$E$810,"Win")/COUNTIFS($A$4:$A$810,$A642,$E$4:$E$810,"Win"),0))</f>
        <v>0</v>
      </c>
      <c r="X642">
        <f>IF($D642="",0,1/(1+10^(($W642-$V642)/400)))</f>
        <v>0</v>
      </c>
      <c r="Y642">
        <f>IF($D642="",0,IFERROR(SUMIFS($U$4:$U$810,$A$4:$A$810,$A642,$E$4:$E$810,"Win")/COUNTIFS($A$4:$A$810,$A642,$E$4:$E$810,"Win"),0))</f>
        <v>0</v>
      </c>
      <c r="Z642">
        <f>IF($D642="",0,1/(1+10^(($Y642-$U642)/400)))</f>
        <v>0</v>
      </c>
      <c r="AA642">
        <f>IF($D642="",0,IF($F642&lt;2,0,IF($E642="Win",('Guide &amp; Settings'!$C$42/(($F642-1)*COUNTIFS($A$4:$A$810,$A642,$E$4:$E$810,"Win")))*SUMIFS($Z$4:$Z$810,$A$4:$A$810,$A642,$E$4:$E$810,"Loss"),-('Guide &amp; Settings'!$C$42/($F642-1))*$Z642)))</f>
        <v>0</v>
      </c>
      <c r="AB642" s="125">
        <f>IF($D642="",0,$U642+$AA642)</f>
        <v>0</v>
      </c>
      <c r="AC642" s="125" t="str">
        <f>IF($D642="","",IF(SUMPRODUCT(MAX(($D$4:$D$810=$D642)*($B$4:$B$810&lt;$B642)*$B$4:$B$810))=0,0,MAX(($B642-MAX(SUMPRODUCT(MAX(($D$4:$D$810=$D642)*($B$4:$B$810&lt;$B642)*$B$4:$B$810)),'Guide &amp; Settings'!$C$50))/7-'Guide &amp; Settings'!$C$48,0)*'Guide &amp; Settings'!$C$49))</f>
      </c>
    </row>
    <row r="643" spans="1:29">
      <c r="A643" s="116"/>
      <c r="B643" s="117"/>
      <c r="C643" s="118"/>
      <c r="D643" s="118"/>
      <c r="E643" s="116"/>
      <c r="F643" s="119">
        <f>IF($D643="",0,COUNTIF($A$4:$A$810,$A643))</f>
        <v>0</v>
      </c>
      <c r="G643" s="120">
        <f>IF($D643="","",IFERROR(LOOKUP(2,1/(($A$4:$A$810=$A643)*($E$4:$E$810="Win")),$D$4:$D$810),"(no winner)"))</f>
        <v>0</v>
      </c>
      <c r="H643" s="121">
        <f>IF($D643="",0,IFERROR(LOOKUP(2,1/(($D$3:D642=$D643)*($A$3:A642&lt;$A643)),$N$3:N642),'Guide &amp; Settings'!$C$41))</f>
        <v>0</v>
      </c>
      <c r="I643" s="122">
        <f>IF($D643="",0,IF($S643=0,0,$R643/$S643))</f>
        <v>0</v>
      </c>
      <c r="J643" s="123">
        <f>IF($D643="",0,IF($F643&lt;2,0,IF($E643="Win",('Guide &amp; Settings'!$C$42/(($F643-1)*COUNTIFS($A$4:$A$810,$A643,$E$4:$E$810,"Win")))*SUMIFS($X$4:$X$810,$A$4:$A$810,$A643,$E$4:$E$810,"Loss"),-('Guide &amp; Settings'!$C$42/($F643-1))*$X643)))</f>
        <v>0</v>
      </c>
      <c r="K643" s="123">
        <f>IF($D643="",0,'Guide &amp; Settings'!$C$43*(IF($E643="Win",1,0)-$I643))</f>
        <v>0</v>
      </c>
      <c r="L643" s="124">
        <f>IF($D643="",0,'Guide &amp; Settings'!$C$44*IF($F643&gt;=3,$F643+IF($E643="Win",$F643,0),0))</f>
        <v>0</v>
      </c>
      <c r="M643" s="123">
        <f>IF($D643="",0,$J643+$K643+$L643)</f>
        <v>0</v>
      </c>
      <c r="N643" s="121">
        <f>IF($D643="",0,$H643+$M643)</f>
        <v>0</v>
      </c>
      <c r="O643" s="120" t="str">
        <f>IF($D643="","",IF(COUNTIFS($A$4:$A$810,$A643,$E$4:$E$810,"Win")=0,"need a winner",IF(COUNTIFS($A$4:$A$810,$A643,$E$4:$E$810,"Loss")=0,"need a loser",IF(COUNTIFS($A$4:$A$810,$A643,$D$4:$D$810,$D643)&gt;1,"duplicate player","OK"))))</f>
      </c>
      <c r="P643">
        <f>IF($D643="",0,IFERROR(SUMIFS($H$4:$H$810,$A$4:$A$810,$A643,$E$4:$E$810,"Win")/COUNTIFS($A$4:$A$810,$A643,$E$4:$E$810,"Win"),0))</f>
        <v>0</v>
      </c>
      <c r="Q643">
        <f>IF($D643="",0,1/(1+10^(($P643-$H643)/400)))</f>
        <v>0</v>
      </c>
      <c r="R643">
        <f>IF($D643="",0,(COUNTIFS($D$4:$D$810,$D643,$C$4:$C$810,$C643,$E$4:$E$810,"Win",$A$4:$A$810,"&lt;"&amp;$A643)+1)/(COUNTIFS($D$4:$D$810,$D643,$C$4:$C$810,$C643,$A$4:$A$810,"&lt;"&amp;$A643)+2))</f>
        <v>0</v>
      </c>
      <c r="S643">
        <f>IF($D643="",0,SUMIFS($R$4:$R$810,$A$4:$A$810,$A643))</f>
        <v>0</v>
      </c>
      <c r="T643" s="88">
        <f>IF($D643="",0,COUNTIFS($D$4:$D$810,$D643,$C$4:$C$810,$C643,$A$4:$A$810,"&lt;"&amp;$A643))</f>
        <v>0</v>
      </c>
      <c r="U643" s="125">
        <f>IF($D643="",0,IFERROR(LOOKUP(2,1/(($D$3:D642=$D643)*($C$3:C642=$C643)*($A$3:A642&lt;$A643)),$AB$3:AB642),1000))</f>
        <v>0</v>
      </c>
      <c r="V643" s="125">
        <f>IF($D643="",0,$U643*($T643/($T643+5))+$H643*(1-$T643/($T643+5)))</f>
        <v>0</v>
      </c>
      <c r="W643">
        <f>IF($D643="",0,IFERROR(SUMIFS($V$4:$V$810,$A$4:$A$810,$A643,$E$4:$E$810,"Win")/COUNTIFS($A$4:$A$810,$A643,$E$4:$E$810,"Win"),0))</f>
        <v>0</v>
      </c>
      <c r="X643">
        <f>IF($D643="",0,1/(1+10^(($W643-$V643)/400)))</f>
        <v>0</v>
      </c>
      <c r="Y643">
        <f>IF($D643="",0,IFERROR(SUMIFS($U$4:$U$810,$A$4:$A$810,$A643,$E$4:$E$810,"Win")/COUNTIFS($A$4:$A$810,$A643,$E$4:$E$810,"Win"),0))</f>
        <v>0</v>
      </c>
      <c r="Z643">
        <f>IF($D643="",0,1/(1+10^(($Y643-$U643)/400)))</f>
        <v>0</v>
      </c>
      <c r="AA643">
        <f>IF($D643="",0,IF($F643&lt;2,0,IF($E643="Win",('Guide &amp; Settings'!$C$42/(($F643-1)*COUNTIFS($A$4:$A$810,$A643,$E$4:$E$810,"Win")))*SUMIFS($Z$4:$Z$810,$A$4:$A$810,$A643,$E$4:$E$810,"Loss"),-('Guide &amp; Settings'!$C$42/($F643-1))*$Z643)))</f>
        <v>0</v>
      </c>
      <c r="AB643" s="125">
        <f>IF($D643="",0,$U643+$AA643)</f>
        <v>0</v>
      </c>
      <c r="AC643" s="125" t="str">
        <f>IF($D643="","",IF(SUMPRODUCT(MAX(($D$4:$D$810=$D643)*($B$4:$B$810&lt;$B643)*$B$4:$B$810))=0,0,MAX(($B643-MAX(SUMPRODUCT(MAX(($D$4:$D$810=$D643)*($B$4:$B$810&lt;$B643)*$B$4:$B$810)),'Guide &amp; Settings'!$C$50))/7-'Guide &amp; Settings'!$C$48,0)*'Guide &amp; Settings'!$C$49))</f>
      </c>
    </row>
    <row r="644" spans="1:29">
      <c r="A644" s="116"/>
      <c r="B644" s="117"/>
      <c r="C644" s="118"/>
      <c r="D644" s="118"/>
      <c r="E644" s="116"/>
      <c r="F644" s="119">
        <f>IF($D644="",0,COUNTIF($A$4:$A$810,$A644))</f>
        <v>0</v>
      </c>
      <c r="G644" s="120">
        <f>IF($D644="","",IFERROR(LOOKUP(2,1/(($A$4:$A$810=$A644)*($E$4:$E$810="Win")),$D$4:$D$810),"(no winner)"))</f>
        <v>0</v>
      </c>
      <c r="H644" s="121">
        <f>IF($D644="",0,IFERROR(LOOKUP(2,1/(($D$3:D643=$D644)*($A$3:A643&lt;$A644)),$N$3:N643),'Guide &amp; Settings'!$C$41))</f>
        <v>0</v>
      </c>
      <c r="I644" s="122">
        <f>IF($D644="",0,IF($S644=0,0,$R644/$S644))</f>
        <v>0</v>
      </c>
      <c r="J644" s="123">
        <f>IF($D644="",0,IF($F644&lt;2,0,IF($E644="Win",('Guide &amp; Settings'!$C$42/(($F644-1)*COUNTIFS($A$4:$A$810,$A644,$E$4:$E$810,"Win")))*SUMIFS($X$4:$X$810,$A$4:$A$810,$A644,$E$4:$E$810,"Loss"),-('Guide &amp; Settings'!$C$42/($F644-1))*$X644)))</f>
        <v>0</v>
      </c>
      <c r="K644" s="123">
        <f>IF($D644="",0,'Guide &amp; Settings'!$C$43*(IF($E644="Win",1,0)-$I644))</f>
        <v>0</v>
      </c>
      <c r="L644" s="124">
        <f>IF($D644="",0,'Guide &amp; Settings'!$C$44*IF($F644&gt;=3,$F644+IF($E644="Win",$F644,0),0))</f>
        <v>0</v>
      </c>
      <c r="M644" s="123">
        <f>IF($D644="",0,$J644+$K644+$L644)</f>
        <v>0</v>
      </c>
      <c r="N644" s="121">
        <f>IF($D644="",0,$H644+$M644)</f>
        <v>0</v>
      </c>
      <c r="O644" s="120" t="str">
        <f>IF($D644="","",IF(COUNTIFS($A$4:$A$810,$A644,$E$4:$E$810,"Win")=0,"need a winner",IF(COUNTIFS($A$4:$A$810,$A644,$E$4:$E$810,"Loss")=0,"need a loser",IF(COUNTIFS($A$4:$A$810,$A644,$D$4:$D$810,$D644)&gt;1,"duplicate player","OK"))))</f>
      </c>
      <c r="P644">
        <f>IF($D644="",0,IFERROR(SUMIFS($H$4:$H$810,$A$4:$A$810,$A644,$E$4:$E$810,"Win")/COUNTIFS($A$4:$A$810,$A644,$E$4:$E$810,"Win"),0))</f>
        <v>0</v>
      </c>
      <c r="Q644">
        <f>IF($D644="",0,1/(1+10^(($P644-$H644)/400)))</f>
        <v>0</v>
      </c>
      <c r="R644">
        <f>IF($D644="",0,(COUNTIFS($D$4:$D$810,$D644,$C$4:$C$810,$C644,$E$4:$E$810,"Win",$A$4:$A$810,"&lt;"&amp;$A644)+1)/(COUNTIFS($D$4:$D$810,$D644,$C$4:$C$810,$C644,$A$4:$A$810,"&lt;"&amp;$A644)+2))</f>
        <v>0</v>
      </c>
      <c r="S644">
        <f>IF($D644="",0,SUMIFS($R$4:$R$810,$A$4:$A$810,$A644))</f>
        <v>0</v>
      </c>
      <c r="T644" s="88">
        <f>IF($D644="",0,COUNTIFS($D$4:$D$810,$D644,$C$4:$C$810,$C644,$A$4:$A$810,"&lt;"&amp;$A644))</f>
        <v>0</v>
      </c>
      <c r="U644" s="125">
        <f>IF($D644="",0,IFERROR(LOOKUP(2,1/(($D$3:D643=$D644)*($C$3:C643=$C644)*($A$3:A643&lt;$A644)),$AB$3:AB643),1000))</f>
        <v>0</v>
      </c>
      <c r="V644" s="125">
        <f>IF($D644="",0,$U644*($T644/($T644+5))+$H644*(1-$T644/($T644+5)))</f>
        <v>0</v>
      </c>
      <c r="W644">
        <f>IF($D644="",0,IFERROR(SUMIFS($V$4:$V$810,$A$4:$A$810,$A644,$E$4:$E$810,"Win")/COUNTIFS($A$4:$A$810,$A644,$E$4:$E$810,"Win"),0))</f>
        <v>0</v>
      </c>
      <c r="X644">
        <f>IF($D644="",0,1/(1+10^(($W644-$V644)/400)))</f>
        <v>0</v>
      </c>
      <c r="Y644">
        <f>IF($D644="",0,IFERROR(SUMIFS($U$4:$U$810,$A$4:$A$810,$A644,$E$4:$E$810,"Win")/COUNTIFS($A$4:$A$810,$A644,$E$4:$E$810,"Win"),0))</f>
        <v>0</v>
      </c>
      <c r="Z644">
        <f>IF($D644="",0,1/(1+10^(($Y644-$U644)/400)))</f>
        <v>0</v>
      </c>
      <c r="AA644">
        <f>IF($D644="",0,IF($F644&lt;2,0,IF($E644="Win",('Guide &amp; Settings'!$C$42/(($F644-1)*COUNTIFS($A$4:$A$810,$A644,$E$4:$E$810,"Win")))*SUMIFS($Z$4:$Z$810,$A$4:$A$810,$A644,$E$4:$E$810,"Loss"),-('Guide &amp; Settings'!$C$42/($F644-1))*$Z644)))</f>
        <v>0</v>
      </c>
      <c r="AB644" s="125">
        <f>IF($D644="",0,$U644+$AA644)</f>
        <v>0</v>
      </c>
      <c r="AC644" s="125" t="str">
        <f>IF($D644="","",IF(SUMPRODUCT(MAX(($D$4:$D$810=$D644)*($B$4:$B$810&lt;$B644)*$B$4:$B$810))=0,0,MAX(($B644-MAX(SUMPRODUCT(MAX(($D$4:$D$810=$D644)*($B$4:$B$810&lt;$B644)*$B$4:$B$810)),'Guide &amp; Settings'!$C$50))/7-'Guide &amp; Settings'!$C$48,0)*'Guide &amp; Settings'!$C$49))</f>
      </c>
    </row>
    <row r="645" spans="1:29">
      <c r="A645" s="116"/>
      <c r="B645" s="117"/>
      <c r="C645" s="118"/>
      <c r="D645" s="118"/>
      <c r="E645" s="116"/>
      <c r="F645" s="119">
        <f>IF($D645="",0,COUNTIF($A$4:$A$810,$A645))</f>
        <v>0</v>
      </c>
      <c r="G645" s="120">
        <f>IF($D645="","",IFERROR(LOOKUP(2,1/(($A$4:$A$810=$A645)*($E$4:$E$810="Win")),$D$4:$D$810),"(no winner)"))</f>
        <v>0</v>
      </c>
      <c r="H645" s="121">
        <f>IF($D645="",0,IFERROR(LOOKUP(2,1/(($D$3:D644=$D645)*($A$3:A644&lt;$A645)),$N$3:N644),'Guide &amp; Settings'!$C$41))</f>
        <v>0</v>
      </c>
      <c r="I645" s="122">
        <f>IF($D645="",0,IF($S645=0,0,$R645/$S645))</f>
        <v>0</v>
      </c>
      <c r="J645" s="123">
        <f>IF($D645="",0,IF($F645&lt;2,0,IF($E645="Win",('Guide &amp; Settings'!$C$42/(($F645-1)*COUNTIFS($A$4:$A$810,$A645,$E$4:$E$810,"Win")))*SUMIFS($X$4:$X$810,$A$4:$A$810,$A645,$E$4:$E$810,"Loss"),-('Guide &amp; Settings'!$C$42/($F645-1))*$X645)))</f>
        <v>0</v>
      </c>
      <c r="K645" s="123">
        <f>IF($D645="",0,'Guide &amp; Settings'!$C$43*(IF($E645="Win",1,0)-$I645))</f>
        <v>0</v>
      </c>
      <c r="L645" s="124">
        <f>IF($D645="",0,'Guide &amp; Settings'!$C$44*IF($F645&gt;=3,$F645+IF($E645="Win",$F645,0),0))</f>
        <v>0</v>
      </c>
      <c r="M645" s="123">
        <f>IF($D645="",0,$J645+$K645+$L645)</f>
        <v>0</v>
      </c>
      <c r="N645" s="121">
        <f>IF($D645="",0,$H645+$M645)</f>
        <v>0</v>
      </c>
      <c r="O645" s="120" t="str">
        <f>IF($D645="","",IF(COUNTIFS($A$4:$A$810,$A645,$E$4:$E$810,"Win")=0,"need a winner",IF(COUNTIFS($A$4:$A$810,$A645,$E$4:$E$810,"Loss")=0,"need a loser",IF(COUNTIFS($A$4:$A$810,$A645,$D$4:$D$810,$D645)&gt;1,"duplicate player","OK"))))</f>
      </c>
      <c r="P645">
        <f>IF($D645="",0,IFERROR(SUMIFS($H$4:$H$810,$A$4:$A$810,$A645,$E$4:$E$810,"Win")/COUNTIFS($A$4:$A$810,$A645,$E$4:$E$810,"Win"),0))</f>
        <v>0</v>
      </c>
      <c r="Q645">
        <f>IF($D645="",0,1/(1+10^(($P645-$H645)/400)))</f>
        <v>0</v>
      </c>
      <c r="R645">
        <f>IF($D645="",0,(COUNTIFS($D$4:$D$810,$D645,$C$4:$C$810,$C645,$E$4:$E$810,"Win",$A$4:$A$810,"&lt;"&amp;$A645)+1)/(COUNTIFS($D$4:$D$810,$D645,$C$4:$C$810,$C645,$A$4:$A$810,"&lt;"&amp;$A645)+2))</f>
        <v>0</v>
      </c>
      <c r="S645">
        <f>IF($D645="",0,SUMIFS($R$4:$R$810,$A$4:$A$810,$A645))</f>
        <v>0</v>
      </c>
      <c r="T645" s="88">
        <f>IF($D645="",0,COUNTIFS($D$4:$D$810,$D645,$C$4:$C$810,$C645,$A$4:$A$810,"&lt;"&amp;$A645))</f>
        <v>0</v>
      </c>
      <c r="U645" s="125">
        <f>IF($D645="",0,IFERROR(LOOKUP(2,1/(($D$3:D644=$D645)*($C$3:C644=$C645)*($A$3:A644&lt;$A645)),$AB$3:AB644),1000))</f>
        <v>0</v>
      </c>
      <c r="V645" s="125">
        <f>IF($D645="",0,$U645*($T645/($T645+5))+$H645*(1-$T645/($T645+5)))</f>
        <v>0</v>
      </c>
      <c r="W645">
        <f>IF($D645="",0,IFERROR(SUMIFS($V$4:$V$810,$A$4:$A$810,$A645,$E$4:$E$810,"Win")/COUNTIFS($A$4:$A$810,$A645,$E$4:$E$810,"Win"),0))</f>
        <v>0</v>
      </c>
      <c r="X645">
        <f>IF($D645="",0,1/(1+10^(($W645-$V645)/400)))</f>
        <v>0</v>
      </c>
      <c r="Y645">
        <f>IF($D645="",0,IFERROR(SUMIFS($U$4:$U$810,$A$4:$A$810,$A645,$E$4:$E$810,"Win")/COUNTIFS($A$4:$A$810,$A645,$E$4:$E$810,"Win"),0))</f>
        <v>0</v>
      </c>
      <c r="Z645">
        <f>IF($D645="",0,1/(1+10^(($Y645-$U645)/400)))</f>
        <v>0</v>
      </c>
      <c r="AA645">
        <f>IF($D645="",0,IF($F645&lt;2,0,IF($E645="Win",('Guide &amp; Settings'!$C$42/(($F645-1)*COUNTIFS($A$4:$A$810,$A645,$E$4:$E$810,"Win")))*SUMIFS($Z$4:$Z$810,$A$4:$A$810,$A645,$E$4:$E$810,"Loss"),-('Guide &amp; Settings'!$C$42/($F645-1))*$Z645)))</f>
        <v>0</v>
      </c>
      <c r="AB645" s="125">
        <f>IF($D645="",0,$U645+$AA645)</f>
        <v>0</v>
      </c>
      <c r="AC645" s="125" t="str">
        <f>IF($D645="","",IF(SUMPRODUCT(MAX(($D$4:$D$810=$D645)*($B$4:$B$810&lt;$B645)*$B$4:$B$810))=0,0,MAX(($B645-MAX(SUMPRODUCT(MAX(($D$4:$D$810=$D645)*($B$4:$B$810&lt;$B645)*$B$4:$B$810)),'Guide &amp; Settings'!$C$50))/7-'Guide &amp; Settings'!$C$48,0)*'Guide &amp; Settings'!$C$49))</f>
      </c>
    </row>
    <row r="646" spans="1:29">
      <c r="A646" s="116"/>
      <c r="B646" s="117"/>
      <c r="C646" s="118"/>
      <c r="D646" s="118"/>
      <c r="E646" s="116"/>
      <c r="F646" s="119">
        <f>IF($D646="",0,COUNTIF($A$4:$A$810,$A646))</f>
        <v>0</v>
      </c>
      <c r="G646" s="120">
        <f>IF($D646="","",IFERROR(LOOKUP(2,1/(($A$4:$A$810=$A646)*($E$4:$E$810="Win")),$D$4:$D$810),"(no winner)"))</f>
        <v>0</v>
      </c>
      <c r="H646" s="121">
        <f>IF($D646="",0,IFERROR(LOOKUP(2,1/(($D$3:D645=$D646)*($A$3:A645&lt;$A646)),$N$3:N645),'Guide &amp; Settings'!$C$41))</f>
        <v>0</v>
      </c>
      <c r="I646" s="122">
        <f>IF($D646="",0,IF($S646=0,0,$R646/$S646))</f>
        <v>0</v>
      </c>
      <c r="J646" s="123">
        <f>IF($D646="",0,IF($F646&lt;2,0,IF($E646="Win",('Guide &amp; Settings'!$C$42/(($F646-1)*COUNTIFS($A$4:$A$810,$A646,$E$4:$E$810,"Win")))*SUMIFS($X$4:$X$810,$A$4:$A$810,$A646,$E$4:$E$810,"Loss"),-('Guide &amp; Settings'!$C$42/($F646-1))*$X646)))</f>
        <v>0</v>
      </c>
      <c r="K646" s="123">
        <f>IF($D646="",0,'Guide &amp; Settings'!$C$43*(IF($E646="Win",1,0)-$I646))</f>
        <v>0</v>
      </c>
      <c r="L646" s="124">
        <f>IF($D646="",0,'Guide &amp; Settings'!$C$44*IF($F646&gt;=3,$F646+IF($E646="Win",$F646,0),0))</f>
        <v>0</v>
      </c>
      <c r="M646" s="123">
        <f>IF($D646="",0,$J646+$K646+$L646)</f>
        <v>0</v>
      </c>
      <c r="N646" s="121">
        <f>IF($D646="",0,$H646+$M646)</f>
        <v>0</v>
      </c>
      <c r="O646" s="120" t="str">
        <f>IF($D646="","",IF(COUNTIFS($A$4:$A$810,$A646,$E$4:$E$810,"Win")=0,"need a winner",IF(COUNTIFS($A$4:$A$810,$A646,$E$4:$E$810,"Loss")=0,"need a loser",IF(COUNTIFS($A$4:$A$810,$A646,$D$4:$D$810,$D646)&gt;1,"duplicate player","OK"))))</f>
      </c>
      <c r="P646">
        <f>IF($D646="",0,IFERROR(SUMIFS($H$4:$H$810,$A$4:$A$810,$A646,$E$4:$E$810,"Win")/COUNTIFS($A$4:$A$810,$A646,$E$4:$E$810,"Win"),0))</f>
        <v>0</v>
      </c>
      <c r="Q646">
        <f>IF($D646="",0,1/(1+10^(($P646-$H646)/400)))</f>
        <v>0</v>
      </c>
      <c r="R646">
        <f>IF($D646="",0,(COUNTIFS($D$4:$D$810,$D646,$C$4:$C$810,$C646,$E$4:$E$810,"Win",$A$4:$A$810,"&lt;"&amp;$A646)+1)/(COUNTIFS($D$4:$D$810,$D646,$C$4:$C$810,$C646,$A$4:$A$810,"&lt;"&amp;$A646)+2))</f>
        <v>0</v>
      </c>
      <c r="S646">
        <f>IF($D646="",0,SUMIFS($R$4:$R$810,$A$4:$A$810,$A646))</f>
        <v>0</v>
      </c>
      <c r="T646" s="88">
        <f>IF($D646="",0,COUNTIFS($D$4:$D$810,$D646,$C$4:$C$810,$C646,$A$4:$A$810,"&lt;"&amp;$A646))</f>
        <v>0</v>
      </c>
      <c r="U646" s="125">
        <f>IF($D646="",0,IFERROR(LOOKUP(2,1/(($D$3:D645=$D646)*($C$3:C645=$C646)*($A$3:A645&lt;$A646)),$AB$3:AB645),1000))</f>
        <v>0</v>
      </c>
      <c r="V646" s="125">
        <f>IF($D646="",0,$U646*($T646/($T646+5))+$H646*(1-$T646/($T646+5)))</f>
        <v>0</v>
      </c>
      <c r="W646">
        <f>IF($D646="",0,IFERROR(SUMIFS($V$4:$V$810,$A$4:$A$810,$A646,$E$4:$E$810,"Win")/COUNTIFS($A$4:$A$810,$A646,$E$4:$E$810,"Win"),0))</f>
        <v>0</v>
      </c>
      <c r="X646">
        <f>IF($D646="",0,1/(1+10^(($W646-$V646)/400)))</f>
        <v>0</v>
      </c>
      <c r="Y646">
        <f>IF($D646="",0,IFERROR(SUMIFS($U$4:$U$810,$A$4:$A$810,$A646,$E$4:$E$810,"Win")/COUNTIFS($A$4:$A$810,$A646,$E$4:$E$810,"Win"),0))</f>
        <v>0</v>
      </c>
      <c r="Z646">
        <f>IF($D646="",0,1/(1+10^(($Y646-$U646)/400)))</f>
        <v>0</v>
      </c>
      <c r="AA646">
        <f>IF($D646="",0,IF($F646&lt;2,0,IF($E646="Win",('Guide &amp; Settings'!$C$42/(($F646-1)*COUNTIFS($A$4:$A$810,$A646,$E$4:$E$810,"Win")))*SUMIFS($Z$4:$Z$810,$A$4:$A$810,$A646,$E$4:$E$810,"Loss"),-('Guide &amp; Settings'!$C$42/($F646-1))*$Z646)))</f>
        <v>0</v>
      </c>
      <c r="AB646" s="125">
        <f>IF($D646="",0,$U646+$AA646)</f>
        <v>0</v>
      </c>
      <c r="AC646" s="125" t="str">
        <f>IF($D646="","",IF(SUMPRODUCT(MAX(($D$4:$D$810=$D646)*($B$4:$B$810&lt;$B646)*$B$4:$B$810))=0,0,MAX(($B646-MAX(SUMPRODUCT(MAX(($D$4:$D$810=$D646)*($B$4:$B$810&lt;$B646)*$B$4:$B$810)),'Guide &amp; Settings'!$C$50))/7-'Guide &amp; Settings'!$C$48,0)*'Guide &amp; Settings'!$C$49))</f>
      </c>
    </row>
    <row r="647" spans="1:29">
      <c r="A647" s="116"/>
      <c r="B647" s="117"/>
      <c r="C647" s="118"/>
      <c r="D647" s="118"/>
      <c r="E647" s="116"/>
      <c r="F647" s="119">
        <f>IF($D647="",0,COUNTIF($A$4:$A$810,$A647))</f>
        <v>0</v>
      </c>
      <c r="G647" s="120">
        <f>IF($D647="","",IFERROR(LOOKUP(2,1/(($A$4:$A$810=$A647)*($E$4:$E$810="Win")),$D$4:$D$810),"(no winner)"))</f>
        <v>0</v>
      </c>
      <c r="H647" s="121">
        <f>IF($D647="",0,IFERROR(LOOKUP(2,1/(($D$3:D646=$D647)*($A$3:A646&lt;$A647)),$N$3:N646),'Guide &amp; Settings'!$C$41))</f>
        <v>0</v>
      </c>
      <c r="I647" s="122">
        <f>IF($D647="",0,IF($S647=0,0,$R647/$S647))</f>
        <v>0</v>
      </c>
      <c r="J647" s="123">
        <f>IF($D647="",0,IF($F647&lt;2,0,IF($E647="Win",('Guide &amp; Settings'!$C$42/(($F647-1)*COUNTIFS($A$4:$A$810,$A647,$E$4:$E$810,"Win")))*SUMIFS($X$4:$X$810,$A$4:$A$810,$A647,$E$4:$E$810,"Loss"),-('Guide &amp; Settings'!$C$42/($F647-1))*$X647)))</f>
        <v>0</v>
      </c>
      <c r="K647" s="123">
        <f>IF($D647="",0,'Guide &amp; Settings'!$C$43*(IF($E647="Win",1,0)-$I647))</f>
        <v>0</v>
      </c>
      <c r="L647" s="124">
        <f>IF($D647="",0,'Guide &amp; Settings'!$C$44*IF($F647&gt;=3,$F647+IF($E647="Win",$F647,0),0))</f>
        <v>0</v>
      </c>
      <c r="M647" s="123">
        <f>IF($D647="",0,$J647+$K647+$L647)</f>
        <v>0</v>
      </c>
      <c r="N647" s="121">
        <f>IF($D647="",0,$H647+$M647)</f>
        <v>0</v>
      </c>
      <c r="O647" s="120" t="str">
        <f>IF($D647="","",IF(COUNTIFS($A$4:$A$810,$A647,$E$4:$E$810,"Win")=0,"need a winner",IF(COUNTIFS($A$4:$A$810,$A647,$E$4:$E$810,"Loss")=0,"need a loser",IF(COUNTIFS($A$4:$A$810,$A647,$D$4:$D$810,$D647)&gt;1,"duplicate player","OK"))))</f>
      </c>
      <c r="P647">
        <f>IF($D647="",0,IFERROR(SUMIFS($H$4:$H$810,$A$4:$A$810,$A647,$E$4:$E$810,"Win")/COUNTIFS($A$4:$A$810,$A647,$E$4:$E$810,"Win"),0))</f>
        <v>0</v>
      </c>
      <c r="Q647">
        <f>IF($D647="",0,1/(1+10^(($P647-$H647)/400)))</f>
        <v>0</v>
      </c>
      <c r="R647">
        <f>IF($D647="",0,(COUNTIFS($D$4:$D$810,$D647,$C$4:$C$810,$C647,$E$4:$E$810,"Win",$A$4:$A$810,"&lt;"&amp;$A647)+1)/(COUNTIFS($D$4:$D$810,$D647,$C$4:$C$810,$C647,$A$4:$A$810,"&lt;"&amp;$A647)+2))</f>
        <v>0</v>
      </c>
      <c r="S647">
        <f>IF($D647="",0,SUMIFS($R$4:$R$810,$A$4:$A$810,$A647))</f>
        <v>0</v>
      </c>
      <c r="T647" s="88">
        <f>IF($D647="",0,COUNTIFS($D$4:$D$810,$D647,$C$4:$C$810,$C647,$A$4:$A$810,"&lt;"&amp;$A647))</f>
        <v>0</v>
      </c>
      <c r="U647" s="125">
        <f>IF($D647="",0,IFERROR(LOOKUP(2,1/(($D$3:D646=$D647)*($C$3:C646=$C647)*($A$3:A646&lt;$A647)),$AB$3:AB646),1000))</f>
        <v>0</v>
      </c>
      <c r="V647" s="125">
        <f>IF($D647="",0,$U647*($T647/($T647+5))+$H647*(1-$T647/($T647+5)))</f>
        <v>0</v>
      </c>
      <c r="W647">
        <f>IF($D647="",0,IFERROR(SUMIFS($V$4:$V$810,$A$4:$A$810,$A647,$E$4:$E$810,"Win")/COUNTIFS($A$4:$A$810,$A647,$E$4:$E$810,"Win"),0))</f>
        <v>0</v>
      </c>
      <c r="X647">
        <f>IF($D647="",0,1/(1+10^(($W647-$V647)/400)))</f>
        <v>0</v>
      </c>
      <c r="Y647">
        <f>IF($D647="",0,IFERROR(SUMIFS($U$4:$U$810,$A$4:$A$810,$A647,$E$4:$E$810,"Win")/COUNTIFS($A$4:$A$810,$A647,$E$4:$E$810,"Win"),0))</f>
        <v>0</v>
      </c>
      <c r="Z647">
        <f>IF($D647="",0,1/(1+10^(($Y647-$U647)/400)))</f>
        <v>0</v>
      </c>
      <c r="AA647">
        <f>IF($D647="",0,IF($F647&lt;2,0,IF($E647="Win",('Guide &amp; Settings'!$C$42/(($F647-1)*COUNTIFS($A$4:$A$810,$A647,$E$4:$E$810,"Win")))*SUMIFS($Z$4:$Z$810,$A$4:$A$810,$A647,$E$4:$E$810,"Loss"),-('Guide &amp; Settings'!$C$42/($F647-1))*$Z647)))</f>
        <v>0</v>
      </c>
      <c r="AB647" s="125">
        <f>IF($D647="",0,$U647+$AA647)</f>
        <v>0</v>
      </c>
      <c r="AC647" s="125" t="str">
        <f>IF($D647="","",IF(SUMPRODUCT(MAX(($D$4:$D$810=$D647)*($B$4:$B$810&lt;$B647)*$B$4:$B$810))=0,0,MAX(($B647-MAX(SUMPRODUCT(MAX(($D$4:$D$810=$D647)*($B$4:$B$810&lt;$B647)*$B$4:$B$810)),'Guide &amp; Settings'!$C$50))/7-'Guide &amp; Settings'!$C$48,0)*'Guide &amp; Settings'!$C$49))</f>
      </c>
    </row>
    <row r="648" spans="1:29">
      <c r="A648" s="116"/>
      <c r="B648" s="117"/>
      <c r="C648" s="118"/>
      <c r="D648" s="118"/>
      <c r="E648" s="116"/>
      <c r="F648" s="119">
        <f>IF($D648="",0,COUNTIF($A$4:$A$810,$A648))</f>
        <v>0</v>
      </c>
      <c r="G648" s="120">
        <f>IF($D648="","",IFERROR(LOOKUP(2,1/(($A$4:$A$810=$A648)*($E$4:$E$810="Win")),$D$4:$D$810),"(no winner)"))</f>
        <v>0</v>
      </c>
      <c r="H648" s="121">
        <f>IF($D648="",0,IFERROR(LOOKUP(2,1/(($D$3:D647=$D648)*($A$3:A647&lt;$A648)),$N$3:N647),'Guide &amp; Settings'!$C$41))</f>
        <v>0</v>
      </c>
      <c r="I648" s="122">
        <f>IF($D648="",0,IF($S648=0,0,$R648/$S648))</f>
        <v>0</v>
      </c>
      <c r="J648" s="123">
        <f>IF($D648="",0,IF($F648&lt;2,0,IF($E648="Win",('Guide &amp; Settings'!$C$42/(($F648-1)*COUNTIFS($A$4:$A$810,$A648,$E$4:$E$810,"Win")))*SUMIFS($X$4:$X$810,$A$4:$A$810,$A648,$E$4:$E$810,"Loss"),-('Guide &amp; Settings'!$C$42/($F648-1))*$X648)))</f>
        <v>0</v>
      </c>
      <c r="K648" s="123">
        <f>IF($D648="",0,'Guide &amp; Settings'!$C$43*(IF($E648="Win",1,0)-$I648))</f>
        <v>0</v>
      </c>
      <c r="L648" s="124">
        <f>IF($D648="",0,'Guide &amp; Settings'!$C$44*IF($F648&gt;=3,$F648+IF($E648="Win",$F648,0),0))</f>
        <v>0</v>
      </c>
      <c r="M648" s="123">
        <f>IF($D648="",0,$J648+$K648+$L648)</f>
        <v>0</v>
      </c>
      <c r="N648" s="121">
        <f>IF($D648="",0,$H648+$M648)</f>
        <v>0</v>
      </c>
      <c r="O648" s="120" t="str">
        <f>IF($D648="","",IF(COUNTIFS($A$4:$A$810,$A648,$E$4:$E$810,"Win")=0,"need a winner",IF(COUNTIFS($A$4:$A$810,$A648,$E$4:$E$810,"Loss")=0,"need a loser",IF(COUNTIFS($A$4:$A$810,$A648,$D$4:$D$810,$D648)&gt;1,"duplicate player","OK"))))</f>
      </c>
      <c r="P648">
        <f>IF($D648="",0,IFERROR(SUMIFS($H$4:$H$810,$A$4:$A$810,$A648,$E$4:$E$810,"Win")/COUNTIFS($A$4:$A$810,$A648,$E$4:$E$810,"Win"),0))</f>
        <v>0</v>
      </c>
      <c r="Q648">
        <f>IF($D648="",0,1/(1+10^(($P648-$H648)/400)))</f>
        <v>0</v>
      </c>
      <c r="R648">
        <f>IF($D648="",0,(COUNTIFS($D$4:$D$810,$D648,$C$4:$C$810,$C648,$E$4:$E$810,"Win",$A$4:$A$810,"&lt;"&amp;$A648)+1)/(COUNTIFS($D$4:$D$810,$D648,$C$4:$C$810,$C648,$A$4:$A$810,"&lt;"&amp;$A648)+2))</f>
        <v>0</v>
      </c>
      <c r="S648">
        <f>IF($D648="",0,SUMIFS($R$4:$R$810,$A$4:$A$810,$A648))</f>
        <v>0</v>
      </c>
      <c r="T648" s="88">
        <f>IF($D648="",0,COUNTIFS($D$4:$D$810,$D648,$C$4:$C$810,$C648,$A$4:$A$810,"&lt;"&amp;$A648))</f>
        <v>0</v>
      </c>
      <c r="U648" s="125">
        <f>IF($D648="",0,IFERROR(LOOKUP(2,1/(($D$3:D647=$D648)*($C$3:C647=$C648)*($A$3:A647&lt;$A648)),$AB$3:AB647),1000))</f>
        <v>0</v>
      </c>
      <c r="V648" s="125">
        <f>IF($D648="",0,$U648*($T648/($T648+5))+$H648*(1-$T648/($T648+5)))</f>
        <v>0</v>
      </c>
      <c r="W648">
        <f>IF($D648="",0,IFERROR(SUMIFS($V$4:$V$810,$A$4:$A$810,$A648,$E$4:$E$810,"Win")/COUNTIFS($A$4:$A$810,$A648,$E$4:$E$810,"Win"),0))</f>
        <v>0</v>
      </c>
      <c r="X648">
        <f>IF($D648="",0,1/(1+10^(($W648-$V648)/400)))</f>
        <v>0</v>
      </c>
      <c r="Y648">
        <f>IF($D648="",0,IFERROR(SUMIFS($U$4:$U$810,$A$4:$A$810,$A648,$E$4:$E$810,"Win")/COUNTIFS($A$4:$A$810,$A648,$E$4:$E$810,"Win"),0))</f>
        <v>0</v>
      </c>
      <c r="Z648">
        <f>IF($D648="",0,1/(1+10^(($Y648-$U648)/400)))</f>
        <v>0</v>
      </c>
      <c r="AA648">
        <f>IF($D648="",0,IF($F648&lt;2,0,IF($E648="Win",('Guide &amp; Settings'!$C$42/(($F648-1)*COUNTIFS($A$4:$A$810,$A648,$E$4:$E$810,"Win")))*SUMIFS($Z$4:$Z$810,$A$4:$A$810,$A648,$E$4:$E$810,"Loss"),-('Guide &amp; Settings'!$C$42/($F648-1))*$Z648)))</f>
        <v>0</v>
      </c>
      <c r="AB648" s="125">
        <f>IF($D648="",0,$U648+$AA648)</f>
        <v>0</v>
      </c>
      <c r="AC648" s="125" t="str">
        <f>IF($D648="","",IF(SUMPRODUCT(MAX(($D$4:$D$810=$D648)*($B$4:$B$810&lt;$B648)*$B$4:$B$810))=0,0,MAX(($B648-MAX(SUMPRODUCT(MAX(($D$4:$D$810=$D648)*($B$4:$B$810&lt;$B648)*$B$4:$B$810)),'Guide &amp; Settings'!$C$50))/7-'Guide &amp; Settings'!$C$48,0)*'Guide &amp; Settings'!$C$49))</f>
      </c>
    </row>
    <row r="649" spans="1:29">
      <c r="A649" s="116"/>
      <c r="B649" s="117"/>
      <c r="C649" s="118"/>
      <c r="D649" s="118"/>
      <c r="E649" s="116"/>
      <c r="F649" s="119">
        <f>IF($D649="",0,COUNTIF($A$4:$A$810,$A649))</f>
        <v>0</v>
      </c>
      <c r="G649" s="120">
        <f>IF($D649="","",IFERROR(LOOKUP(2,1/(($A$4:$A$810=$A649)*($E$4:$E$810="Win")),$D$4:$D$810),"(no winner)"))</f>
        <v>0</v>
      </c>
      <c r="H649" s="121">
        <f>IF($D649="",0,IFERROR(LOOKUP(2,1/(($D$3:D648=$D649)*($A$3:A648&lt;$A649)),$N$3:N648),'Guide &amp; Settings'!$C$41))</f>
        <v>0</v>
      </c>
      <c r="I649" s="122">
        <f>IF($D649="",0,IF($S649=0,0,$R649/$S649))</f>
        <v>0</v>
      </c>
      <c r="J649" s="123">
        <f>IF($D649="",0,IF($F649&lt;2,0,IF($E649="Win",('Guide &amp; Settings'!$C$42/(($F649-1)*COUNTIFS($A$4:$A$810,$A649,$E$4:$E$810,"Win")))*SUMIFS($X$4:$X$810,$A$4:$A$810,$A649,$E$4:$E$810,"Loss"),-('Guide &amp; Settings'!$C$42/($F649-1))*$X649)))</f>
        <v>0</v>
      </c>
      <c r="K649" s="123">
        <f>IF($D649="",0,'Guide &amp; Settings'!$C$43*(IF($E649="Win",1,0)-$I649))</f>
        <v>0</v>
      </c>
      <c r="L649" s="124">
        <f>IF($D649="",0,'Guide &amp; Settings'!$C$44*IF($F649&gt;=3,$F649+IF($E649="Win",$F649,0),0))</f>
        <v>0</v>
      </c>
      <c r="M649" s="123">
        <f>IF($D649="",0,$J649+$K649+$L649)</f>
        <v>0</v>
      </c>
      <c r="N649" s="121">
        <f>IF($D649="",0,$H649+$M649)</f>
        <v>0</v>
      </c>
      <c r="O649" s="120" t="str">
        <f>IF($D649="","",IF(COUNTIFS($A$4:$A$810,$A649,$E$4:$E$810,"Win")=0,"need a winner",IF(COUNTIFS($A$4:$A$810,$A649,$E$4:$E$810,"Loss")=0,"need a loser",IF(COUNTIFS($A$4:$A$810,$A649,$D$4:$D$810,$D649)&gt;1,"duplicate player","OK"))))</f>
      </c>
      <c r="P649">
        <f>IF($D649="",0,IFERROR(SUMIFS($H$4:$H$810,$A$4:$A$810,$A649,$E$4:$E$810,"Win")/COUNTIFS($A$4:$A$810,$A649,$E$4:$E$810,"Win"),0))</f>
        <v>0</v>
      </c>
      <c r="Q649">
        <f>IF($D649="",0,1/(1+10^(($P649-$H649)/400)))</f>
        <v>0</v>
      </c>
      <c r="R649">
        <f>IF($D649="",0,(COUNTIFS($D$4:$D$810,$D649,$C$4:$C$810,$C649,$E$4:$E$810,"Win",$A$4:$A$810,"&lt;"&amp;$A649)+1)/(COUNTIFS($D$4:$D$810,$D649,$C$4:$C$810,$C649,$A$4:$A$810,"&lt;"&amp;$A649)+2))</f>
        <v>0</v>
      </c>
      <c r="S649">
        <f>IF($D649="",0,SUMIFS($R$4:$R$810,$A$4:$A$810,$A649))</f>
        <v>0</v>
      </c>
      <c r="T649" s="88">
        <f>IF($D649="",0,COUNTIFS($D$4:$D$810,$D649,$C$4:$C$810,$C649,$A$4:$A$810,"&lt;"&amp;$A649))</f>
        <v>0</v>
      </c>
      <c r="U649" s="125">
        <f>IF($D649="",0,IFERROR(LOOKUP(2,1/(($D$3:D648=$D649)*($C$3:C648=$C649)*($A$3:A648&lt;$A649)),$AB$3:AB648),1000))</f>
        <v>0</v>
      </c>
      <c r="V649" s="125">
        <f>IF($D649="",0,$U649*($T649/($T649+5))+$H649*(1-$T649/($T649+5)))</f>
        <v>0</v>
      </c>
      <c r="W649">
        <f>IF($D649="",0,IFERROR(SUMIFS($V$4:$V$810,$A$4:$A$810,$A649,$E$4:$E$810,"Win")/COUNTIFS($A$4:$A$810,$A649,$E$4:$E$810,"Win"),0))</f>
        <v>0</v>
      </c>
      <c r="X649">
        <f>IF($D649="",0,1/(1+10^(($W649-$V649)/400)))</f>
        <v>0</v>
      </c>
      <c r="Y649">
        <f>IF($D649="",0,IFERROR(SUMIFS($U$4:$U$810,$A$4:$A$810,$A649,$E$4:$E$810,"Win")/COUNTIFS($A$4:$A$810,$A649,$E$4:$E$810,"Win"),0))</f>
        <v>0</v>
      </c>
      <c r="Z649">
        <f>IF($D649="",0,1/(1+10^(($Y649-$U649)/400)))</f>
        <v>0</v>
      </c>
      <c r="AA649">
        <f>IF($D649="",0,IF($F649&lt;2,0,IF($E649="Win",('Guide &amp; Settings'!$C$42/(($F649-1)*COUNTIFS($A$4:$A$810,$A649,$E$4:$E$810,"Win")))*SUMIFS($Z$4:$Z$810,$A$4:$A$810,$A649,$E$4:$E$810,"Loss"),-('Guide &amp; Settings'!$C$42/($F649-1))*$Z649)))</f>
        <v>0</v>
      </c>
      <c r="AB649" s="125">
        <f>IF($D649="",0,$U649+$AA649)</f>
        <v>0</v>
      </c>
      <c r="AC649" s="125" t="str">
        <f>IF($D649="","",IF(SUMPRODUCT(MAX(($D$4:$D$810=$D649)*($B$4:$B$810&lt;$B649)*$B$4:$B$810))=0,0,MAX(($B649-MAX(SUMPRODUCT(MAX(($D$4:$D$810=$D649)*($B$4:$B$810&lt;$B649)*$B$4:$B$810)),'Guide &amp; Settings'!$C$50))/7-'Guide &amp; Settings'!$C$48,0)*'Guide &amp; Settings'!$C$49))</f>
      </c>
    </row>
    <row r="650" spans="1:29">
      <c r="A650" s="116"/>
      <c r="B650" s="117"/>
      <c r="C650" s="118"/>
      <c r="D650" s="118"/>
      <c r="E650" s="116"/>
      <c r="F650" s="119">
        <f>IF($D650="",0,COUNTIF($A$4:$A$810,$A650))</f>
        <v>0</v>
      </c>
      <c r="G650" s="120">
        <f>IF($D650="","",IFERROR(LOOKUP(2,1/(($A$4:$A$810=$A650)*($E$4:$E$810="Win")),$D$4:$D$810),"(no winner)"))</f>
        <v>0</v>
      </c>
      <c r="H650" s="121">
        <f>IF($D650="",0,IFERROR(LOOKUP(2,1/(($D$3:D649=$D650)*($A$3:A649&lt;$A650)),$N$3:N649),'Guide &amp; Settings'!$C$41))</f>
        <v>0</v>
      </c>
      <c r="I650" s="122">
        <f>IF($D650="",0,IF($S650=0,0,$R650/$S650))</f>
        <v>0</v>
      </c>
      <c r="J650" s="123">
        <f>IF($D650="",0,IF($F650&lt;2,0,IF($E650="Win",('Guide &amp; Settings'!$C$42/(($F650-1)*COUNTIFS($A$4:$A$810,$A650,$E$4:$E$810,"Win")))*SUMIFS($X$4:$X$810,$A$4:$A$810,$A650,$E$4:$E$810,"Loss"),-('Guide &amp; Settings'!$C$42/($F650-1))*$X650)))</f>
        <v>0</v>
      </c>
      <c r="K650" s="123">
        <f>IF($D650="",0,'Guide &amp; Settings'!$C$43*(IF($E650="Win",1,0)-$I650))</f>
        <v>0</v>
      </c>
      <c r="L650" s="124">
        <f>IF($D650="",0,'Guide &amp; Settings'!$C$44*IF($F650&gt;=3,$F650+IF($E650="Win",$F650,0),0))</f>
        <v>0</v>
      </c>
      <c r="M650" s="123">
        <f>IF($D650="",0,$J650+$K650+$L650)</f>
        <v>0</v>
      </c>
      <c r="N650" s="121">
        <f>IF($D650="",0,$H650+$M650)</f>
        <v>0</v>
      </c>
      <c r="O650" s="120" t="str">
        <f>IF($D650="","",IF(COUNTIFS($A$4:$A$810,$A650,$E$4:$E$810,"Win")=0,"need a winner",IF(COUNTIFS($A$4:$A$810,$A650,$E$4:$E$810,"Loss")=0,"need a loser",IF(COUNTIFS($A$4:$A$810,$A650,$D$4:$D$810,$D650)&gt;1,"duplicate player","OK"))))</f>
      </c>
      <c r="P650">
        <f>IF($D650="",0,IFERROR(SUMIFS($H$4:$H$810,$A$4:$A$810,$A650,$E$4:$E$810,"Win")/COUNTIFS($A$4:$A$810,$A650,$E$4:$E$810,"Win"),0))</f>
        <v>0</v>
      </c>
      <c r="Q650">
        <f>IF($D650="",0,1/(1+10^(($P650-$H650)/400)))</f>
        <v>0</v>
      </c>
      <c r="R650">
        <f>IF($D650="",0,(COUNTIFS($D$4:$D$810,$D650,$C$4:$C$810,$C650,$E$4:$E$810,"Win",$A$4:$A$810,"&lt;"&amp;$A650)+1)/(COUNTIFS($D$4:$D$810,$D650,$C$4:$C$810,$C650,$A$4:$A$810,"&lt;"&amp;$A650)+2))</f>
        <v>0</v>
      </c>
      <c r="S650">
        <f>IF($D650="",0,SUMIFS($R$4:$R$810,$A$4:$A$810,$A650))</f>
        <v>0</v>
      </c>
      <c r="T650" s="88">
        <f>IF($D650="",0,COUNTIFS($D$4:$D$810,$D650,$C$4:$C$810,$C650,$A$4:$A$810,"&lt;"&amp;$A650))</f>
        <v>0</v>
      </c>
      <c r="U650" s="125">
        <f>IF($D650="",0,IFERROR(LOOKUP(2,1/(($D$3:D649=$D650)*($C$3:C649=$C650)*($A$3:A649&lt;$A650)),$AB$3:AB649),1000))</f>
        <v>0</v>
      </c>
      <c r="V650" s="125">
        <f>IF($D650="",0,$U650*($T650/($T650+5))+$H650*(1-$T650/($T650+5)))</f>
        <v>0</v>
      </c>
      <c r="W650">
        <f>IF($D650="",0,IFERROR(SUMIFS($V$4:$V$810,$A$4:$A$810,$A650,$E$4:$E$810,"Win")/COUNTIFS($A$4:$A$810,$A650,$E$4:$E$810,"Win"),0))</f>
        <v>0</v>
      </c>
      <c r="X650">
        <f>IF($D650="",0,1/(1+10^(($W650-$V650)/400)))</f>
        <v>0</v>
      </c>
      <c r="Y650">
        <f>IF($D650="",0,IFERROR(SUMIFS($U$4:$U$810,$A$4:$A$810,$A650,$E$4:$E$810,"Win")/COUNTIFS($A$4:$A$810,$A650,$E$4:$E$810,"Win"),0))</f>
        <v>0</v>
      </c>
      <c r="Z650">
        <f>IF($D650="",0,1/(1+10^(($Y650-$U650)/400)))</f>
        <v>0</v>
      </c>
      <c r="AA650">
        <f>IF($D650="",0,IF($F650&lt;2,0,IF($E650="Win",('Guide &amp; Settings'!$C$42/(($F650-1)*COUNTIFS($A$4:$A$810,$A650,$E$4:$E$810,"Win")))*SUMIFS($Z$4:$Z$810,$A$4:$A$810,$A650,$E$4:$E$810,"Loss"),-('Guide &amp; Settings'!$C$42/($F650-1))*$Z650)))</f>
        <v>0</v>
      </c>
      <c r="AB650" s="125">
        <f>IF($D650="",0,$U650+$AA650)</f>
        <v>0</v>
      </c>
      <c r="AC650" s="125" t="str">
        <f>IF($D650="","",IF(SUMPRODUCT(MAX(($D$4:$D$810=$D650)*($B$4:$B$810&lt;$B650)*$B$4:$B$810))=0,0,MAX(($B650-MAX(SUMPRODUCT(MAX(($D$4:$D$810=$D650)*($B$4:$B$810&lt;$B650)*$B$4:$B$810)),'Guide &amp; Settings'!$C$50))/7-'Guide &amp; Settings'!$C$48,0)*'Guide &amp; Settings'!$C$49))</f>
      </c>
    </row>
    <row r="651" spans="1:29">
      <c r="A651" s="116"/>
      <c r="B651" s="117"/>
      <c r="C651" s="118"/>
      <c r="D651" s="118"/>
      <c r="E651" s="116"/>
      <c r="F651" s="119">
        <f>IF($D651="",0,COUNTIF($A$4:$A$810,$A651))</f>
        <v>0</v>
      </c>
      <c r="G651" s="120">
        <f>IF($D651="","",IFERROR(LOOKUP(2,1/(($A$4:$A$810=$A651)*($E$4:$E$810="Win")),$D$4:$D$810),"(no winner)"))</f>
        <v>0</v>
      </c>
      <c r="H651" s="121">
        <f>IF($D651="",0,IFERROR(LOOKUP(2,1/(($D$3:D650=$D651)*($A$3:A650&lt;$A651)),$N$3:N650),'Guide &amp; Settings'!$C$41))</f>
        <v>0</v>
      </c>
      <c r="I651" s="122">
        <f>IF($D651="",0,IF($S651=0,0,$R651/$S651))</f>
        <v>0</v>
      </c>
      <c r="J651" s="123">
        <f>IF($D651="",0,IF($F651&lt;2,0,IF($E651="Win",('Guide &amp; Settings'!$C$42/(($F651-1)*COUNTIFS($A$4:$A$810,$A651,$E$4:$E$810,"Win")))*SUMIFS($X$4:$X$810,$A$4:$A$810,$A651,$E$4:$E$810,"Loss"),-('Guide &amp; Settings'!$C$42/($F651-1))*$X651)))</f>
        <v>0</v>
      </c>
      <c r="K651" s="123">
        <f>IF($D651="",0,'Guide &amp; Settings'!$C$43*(IF($E651="Win",1,0)-$I651))</f>
        <v>0</v>
      </c>
      <c r="L651" s="124">
        <f>IF($D651="",0,'Guide &amp; Settings'!$C$44*IF($F651&gt;=3,$F651+IF($E651="Win",$F651,0),0))</f>
        <v>0</v>
      </c>
      <c r="M651" s="123">
        <f>IF($D651="",0,$J651+$K651+$L651)</f>
        <v>0</v>
      </c>
      <c r="N651" s="121">
        <f>IF($D651="",0,$H651+$M651)</f>
        <v>0</v>
      </c>
      <c r="O651" s="120" t="str">
        <f>IF($D651="","",IF(COUNTIFS($A$4:$A$810,$A651,$E$4:$E$810,"Win")=0,"need a winner",IF(COUNTIFS($A$4:$A$810,$A651,$E$4:$E$810,"Loss")=0,"need a loser",IF(COUNTIFS($A$4:$A$810,$A651,$D$4:$D$810,$D651)&gt;1,"duplicate player","OK"))))</f>
      </c>
      <c r="P651">
        <f>IF($D651="",0,IFERROR(SUMIFS($H$4:$H$810,$A$4:$A$810,$A651,$E$4:$E$810,"Win")/COUNTIFS($A$4:$A$810,$A651,$E$4:$E$810,"Win"),0))</f>
        <v>0</v>
      </c>
      <c r="Q651">
        <f>IF($D651="",0,1/(1+10^(($P651-$H651)/400)))</f>
        <v>0</v>
      </c>
      <c r="R651">
        <f>IF($D651="",0,(COUNTIFS($D$4:$D$810,$D651,$C$4:$C$810,$C651,$E$4:$E$810,"Win",$A$4:$A$810,"&lt;"&amp;$A651)+1)/(COUNTIFS($D$4:$D$810,$D651,$C$4:$C$810,$C651,$A$4:$A$810,"&lt;"&amp;$A651)+2))</f>
        <v>0</v>
      </c>
      <c r="S651">
        <f>IF($D651="",0,SUMIFS($R$4:$R$810,$A$4:$A$810,$A651))</f>
        <v>0</v>
      </c>
      <c r="T651" s="88">
        <f>IF($D651="",0,COUNTIFS($D$4:$D$810,$D651,$C$4:$C$810,$C651,$A$4:$A$810,"&lt;"&amp;$A651))</f>
        <v>0</v>
      </c>
      <c r="U651" s="125">
        <f>IF($D651="",0,IFERROR(LOOKUP(2,1/(($D$3:D650=$D651)*($C$3:C650=$C651)*($A$3:A650&lt;$A651)),$AB$3:AB650),1000))</f>
        <v>0</v>
      </c>
      <c r="V651" s="125">
        <f>IF($D651="",0,$U651*($T651/($T651+5))+$H651*(1-$T651/($T651+5)))</f>
        <v>0</v>
      </c>
      <c r="W651">
        <f>IF($D651="",0,IFERROR(SUMIFS($V$4:$V$810,$A$4:$A$810,$A651,$E$4:$E$810,"Win")/COUNTIFS($A$4:$A$810,$A651,$E$4:$E$810,"Win"),0))</f>
        <v>0</v>
      </c>
      <c r="X651">
        <f>IF($D651="",0,1/(1+10^(($W651-$V651)/400)))</f>
        <v>0</v>
      </c>
      <c r="Y651">
        <f>IF($D651="",0,IFERROR(SUMIFS($U$4:$U$810,$A$4:$A$810,$A651,$E$4:$E$810,"Win")/COUNTIFS($A$4:$A$810,$A651,$E$4:$E$810,"Win"),0))</f>
        <v>0</v>
      </c>
      <c r="Z651">
        <f>IF($D651="",0,1/(1+10^(($Y651-$U651)/400)))</f>
        <v>0</v>
      </c>
      <c r="AA651">
        <f>IF($D651="",0,IF($F651&lt;2,0,IF($E651="Win",('Guide &amp; Settings'!$C$42/(($F651-1)*COUNTIFS($A$4:$A$810,$A651,$E$4:$E$810,"Win")))*SUMIFS($Z$4:$Z$810,$A$4:$A$810,$A651,$E$4:$E$810,"Loss"),-('Guide &amp; Settings'!$C$42/($F651-1))*$Z651)))</f>
        <v>0</v>
      </c>
      <c r="AB651" s="125">
        <f>IF($D651="",0,$U651+$AA651)</f>
        <v>0</v>
      </c>
      <c r="AC651" s="125" t="str">
        <f>IF($D651="","",IF(SUMPRODUCT(MAX(($D$4:$D$810=$D651)*($B$4:$B$810&lt;$B651)*$B$4:$B$810))=0,0,MAX(($B651-MAX(SUMPRODUCT(MAX(($D$4:$D$810=$D651)*($B$4:$B$810&lt;$B651)*$B$4:$B$810)),'Guide &amp; Settings'!$C$50))/7-'Guide &amp; Settings'!$C$48,0)*'Guide &amp; Settings'!$C$49))</f>
      </c>
    </row>
    <row r="652" spans="1:29">
      <c r="A652" s="116"/>
      <c r="B652" s="117"/>
      <c r="C652" s="118"/>
      <c r="D652" s="118"/>
      <c r="E652" s="116"/>
      <c r="F652" s="119">
        <f>IF($D652="",0,COUNTIF($A$4:$A$810,$A652))</f>
        <v>0</v>
      </c>
      <c r="G652" s="120">
        <f>IF($D652="","",IFERROR(LOOKUP(2,1/(($A$4:$A$810=$A652)*($E$4:$E$810="Win")),$D$4:$D$810),"(no winner)"))</f>
        <v>0</v>
      </c>
      <c r="H652" s="121">
        <f>IF($D652="",0,IFERROR(LOOKUP(2,1/(($D$3:D651=$D652)*($A$3:A651&lt;$A652)),$N$3:N651),'Guide &amp; Settings'!$C$41))</f>
        <v>0</v>
      </c>
      <c r="I652" s="122">
        <f>IF($D652="",0,IF($S652=0,0,$R652/$S652))</f>
        <v>0</v>
      </c>
      <c r="J652" s="123">
        <f>IF($D652="",0,IF($F652&lt;2,0,IF($E652="Win",('Guide &amp; Settings'!$C$42/(($F652-1)*COUNTIFS($A$4:$A$810,$A652,$E$4:$E$810,"Win")))*SUMIFS($X$4:$X$810,$A$4:$A$810,$A652,$E$4:$E$810,"Loss"),-('Guide &amp; Settings'!$C$42/($F652-1))*$X652)))</f>
        <v>0</v>
      </c>
      <c r="K652" s="123">
        <f>IF($D652="",0,'Guide &amp; Settings'!$C$43*(IF($E652="Win",1,0)-$I652))</f>
        <v>0</v>
      </c>
      <c r="L652" s="124">
        <f>IF($D652="",0,'Guide &amp; Settings'!$C$44*IF($F652&gt;=3,$F652+IF($E652="Win",$F652,0),0))</f>
        <v>0</v>
      </c>
      <c r="M652" s="123">
        <f>IF($D652="",0,$J652+$K652+$L652)</f>
        <v>0</v>
      </c>
      <c r="N652" s="121">
        <f>IF($D652="",0,$H652+$M652)</f>
        <v>0</v>
      </c>
      <c r="O652" s="120" t="str">
        <f>IF($D652="","",IF(COUNTIFS($A$4:$A$810,$A652,$E$4:$E$810,"Win")=0,"need a winner",IF(COUNTIFS($A$4:$A$810,$A652,$E$4:$E$810,"Loss")=0,"need a loser",IF(COUNTIFS($A$4:$A$810,$A652,$D$4:$D$810,$D652)&gt;1,"duplicate player","OK"))))</f>
      </c>
      <c r="P652">
        <f>IF($D652="",0,IFERROR(SUMIFS($H$4:$H$810,$A$4:$A$810,$A652,$E$4:$E$810,"Win")/COUNTIFS($A$4:$A$810,$A652,$E$4:$E$810,"Win"),0))</f>
        <v>0</v>
      </c>
      <c r="Q652">
        <f>IF($D652="",0,1/(1+10^(($P652-$H652)/400)))</f>
        <v>0</v>
      </c>
      <c r="R652">
        <f>IF($D652="",0,(COUNTIFS($D$4:$D$810,$D652,$C$4:$C$810,$C652,$E$4:$E$810,"Win",$A$4:$A$810,"&lt;"&amp;$A652)+1)/(COUNTIFS($D$4:$D$810,$D652,$C$4:$C$810,$C652,$A$4:$A$810,"&lt;"&amp;$A652)+2))</f>
        <v>0</v>
      </c>
      <c r="S652">
        <f>IF($D652="",0,SUMIFS($R$4:$R$810,$A$4:$A$810,$A652))</f>
        <v>0</v>
      </c>
      <c r="T652" s="88">
        <f>IF($D652="",0,COUNTIFS($D$4:$D$810,$D652,$C$4:$C$810,$C652,$A$4:$A$810,"&lt;"&amp;$A652))</f>
        <v>0</v>
      </c>
      <c r="U652" s="125">
        <f>IF($D652="",0,IFERROR(LOOKUP(2,1/(($D$3:D651=$D652)*($C$3:C651=$C652)*($A$3:A651&lt;$A652)),$AB$3:AB651),1000))</f>
        <v>0</v>
      </c>
      <c r="V652" s="125">
        <f>IF($D652="",0,$U652*($T652/($T652+5))+$H652*(1-$T652/($T652+5)))</f>
        <v>0</v>
      </c>
      <c r="W652">
        <f>IF($D652="",0,IFERROR(SUMIFS($V$4:$V$810,$A$4:$A$810,$A652,$E$4:$E$810,"Win")/COUNTIFS($A$4:$A$810,$A652,$E$4:$E$810,"Win"),0))</f>
        <v>0</v>
      </c>
      <c r="X652">
        <f>IF($D652="",0,1/(1+10^(($W652-$V652)/400)))</f>
        <v>0</v>
      </c>
      <c r="Y652">
        <f>IF($D652="",0,IFERROR(SUMIFS($U$4:$U$810,$A$4:$A$810,$A652,$E$4:$E$810,"Win")/COUNTIFS($A$4:$A$810,$A652,$E$4:$E$810,"Win"),0))</f>
        <v>0</v>
      </c>
      <c r="Z652">
        <f>IF($D652="",0,1/(1+10^(($Y652-$U652)/400)))</f>
        <v>0</v>
      </c>
      <c r="AA652">
        <f>IF($D652="",0,IF($F652&lt;2,0,IF($E652="Win",('Guide &amp; Settings'!$C$42/(($F652-1)*COUNTIFS($A$4:$A$810,$A652,$E$4:$E$810,"Win")))*SUMIFS($Z$4:$Z$810,$A$4:$A$810,$A652,$E$4:$E$810,"Loss"),-('Guide &amp; Settings'!$C$42/($F652-1))*$Z652)))</f>
        <v>0</v>
      </c>
      <c r="AB652" s="125">
        <f>IF($D652="",0,$U652+$AA652)</f>
        <v>0</v>
      </c>
      <c r="AC652" s="125" t="str">
        <f>IF($D652="","",IF(SUMPRODUCT(MAX(($D$4:$D$810=$D652)*($B$4:$B$810&lt;$B652)*$B$4:$B$810))=0,0,MAX(($B652-MAX(SUMPRODUCT(MAX(($D$4:$D$810=$D652)*($B$4:$B$810&lt;$B652)*$B$4:$B$810)),'Guide &amp; Settings'!$C$50))/7-'Guide &amp; Settings'!$C$48,0)*'Guide &amp; Settings'!$C$49))</f>
      </c>
    </row>
    <row r="653" spans="1:29">
      <c r="A653" s="116"/>
      <c r="B653" s="117"/>
      <c r="C653" s="118"/>
      <c r="D653" s="118"/>
      <c r="E653" s="116"/>
      <c r="F653" s="119">
        <f>IF($D653="",0,COUNTIF($A$4:$A$810,$A653))</f>
        <v>0</v>
      </c>
      <c r="G653" s="120">
        <f>IF($D653="","",IFERROR(LOOKUP(2,1/(($A$4:$A$810=$A653)*($E$4:$E$810="Win")),$D$4:$D$810),"(no winner)"))</f>
        <v>0</v>
      </c>
      <c r="H653" s="121">
        <f>IF($D653="",0,IFERROR(LOOKUP(2,1/(($D$3:D652=$D653)*($A$3:A652&lt;$A653)),$N$3:N652),'Guide &amp; Settings'!$C$41))</f>
        <v>0</v>
      </c>
      <c r="I653" s="122">
        <f>IF($D653="",0,IF($S653=0,0,$R653/$S653))</f>
        <v>0</v>
      </c>
      <c r="J653" s="123">
        <f>IF($D653="",0,IF($F653&lt;2,0,IF($E653="Win",('Guide &amp; Settings'!$C$42/(($F653-1)*COUNTIFS($A$4:$A$810,$A653,$E$4:$E$810,"Win")))*SUMIFS($X$4:$X$810,$A$4:$A$810,$A653,$E$4:$E$810,"Loss"),-('Guide &amp; Settings'!$C$42/($F653-1))*$X653)))</f>
        <v>0</v>
      </c>
      <c r="K653" s="123">
        <f>IF($D653="",0,'Guide &amp; Settings'!$C$43*(IF($E653="Win",1,0)-$I653))</f>
        <v>0</v>
      </c>
      <c r="L653" s="124">
        <f>IF($D653="",0,'Guide &amp; Settings'!$C$44*IF($F653&gt;=3,$F653+IF($E653="Win",$F653,0),0))</f>
        <v>0</v>
      </c>
      <c r="M653" s="123">
        <f>IF($D653="",0,$J653+$K653+$L653)</f>
        <v>0</v>
      </c>
      <c r="N653" s="121">
        <f>IF($D653="",0,$H653+$M653)</f>
        <v>0</v>
      </c>
      <c r="O653" s="120" t="str">
        <f>IF($D653="","",IF(COUNTIFS($A$4:$A$810,$A653,$E$4:$E$810,"Win")=0,"need a winner",IF(COUNTIFS($A$4:$A$810,$A653,$E$4:$E$810,"Loss")=0,"need a loser",IF(COUNTIFS($A$4:$A$810,$A653,$D$4:$D$810,$D653)&gt;1,"duplicate player","OK"))))</f>
      </c>
      <c r="P653">
        <f>IF($D653="",0,IFERROR(SUMIFS($H$4:$H$810,$A$4:$A$810,$A653,$E$4:$E$810,"Win")/COUNTIFS($A$4:$A$810,$A653,$E$4:$E$810,"Win"),0))</f>
        <v>0</v>
      </c>
      <c r="Q653">
        <f>IF($D653="",0,1/(1+10^(($P653-$H653)/400)))</f>
        <v>0</v>
      </c>
      <c r="R653">
        <f>IF($D653="",0,(COUNTIFS($D$4:$D$810,$D653,$C$4:$C$810,$C653,$E$4:$E$810,"Win",$A$4:$A$810,"&lt;"&amp;$A653)+1)/(COUNTIFS($D$4:$D$810,$D653,$C$4:$C$810,$C653,$A$4:$A$810,"&lt;"&amp;$A653)+2))</f>
        <v>0</v>
      </c>
      <c r="S653">
        <f>IF($D653="",0,SUMIFS($R$4:$R$810,$A$4:$A$810,$A653))</f>
        <v>0</v>
      </c>
      <c r="T653" s="88">
        <f>IF($D653="",0,COUNTIFS($D$4:$D$810,$D653,$C$4:$C$810,$C653,$A$4:$A$810,"&lt;"&amp;$A653))</f>
        <v>0</v>
      </c>
      <c r="U653" s="125">
        <f>IF($D653="",0,IFERROR(LOOKUP(2,1/(($D$3:D652=$D653)*($C$3:C652=$C653)*($A$3:A652&lt;$A653)),$AB$3:AB652),1000))</f>
        <v>0</v>
      </c>
      <c r="V653" s="125">
        <f>IF($D653="",0,$U653*($T653/($T653+5))+$H653*(1-$T653/($T653+5)))</f>
        <v>0</v>
      </c>
      <c r="W653">
        <f>IF($D653="",0,IFERROR(SUMIFS($V$4:$V$810,$A$4:$A$810,$A653,$E$4:$E$810,"Win")/COUNTIFS($A$4:$A$810,$A653,$E$4:$E$810,"Win"),0))</f>
        <v>0</v>
      </c>
      <c r="X653">
        <f>IF($D653="",0,1/(1+10^(($W653-$V653)/400)))</f>
        <v>0</v>
      </c>
      <c r="Y653">
        <f>IF($D653="",0,IFERROR(SUMIFS($U$4:$U$810,$A$4:$A$810,$A653,$E$4:$E$810,"Win")/COUNTIFS($A$4:$A$810,$A653,$E$4:$E$810,"Win"),0))</f>
        <v>0</v>
      </c>
      <c r="Z653">
        <f>IF($D653="",0,1/(1+10^(($Y653-$U653)/400)))</f>
        <v>0</v>
      </c>
      <c r="AA653">
        <f>IF($D653="",0,IF($F653&lt;2,0,IF($E653="Win",('Guide &amp; Settings'!$C$42/(($F653-1)*COUNTIFS($A$4:$A$810,$A653,$E$4:$E$810,"Win")))*SUMIFS($Z$4:$Z$810,$A$4:$A$810,$A653,$E$4:$E$810,"Loss"),-('Guide &amp; Settings'!$C$42/($F653-1))*$Z653)))</f>
        <v>0</v>
      </c>
      <c r="AB653" s="125">
        <f>IF($D653="",0,$U653+$AA653)</f>
        <v>0</v>
      </c>
      <c r="AC653" s="125" t="str">
        <f>IF($D653="","",IF(SUMPRODUCT(MAX(($D$4:$D$810=$D653)*($B$4:$B$810&lt;$B653)*$B$4:$B$810))=0,0,MAX(($B653-MAX(SUMPRODUCT(MAX(($D$4:$D$810=$D653)*($B$4:$B$810&lt;$B653)*$B$4:$B$810)),'Guide &amp; Settings'!$C$50))/7-'Guide &amp; Settings'!$C$48,0)*'Guide &amp; Settings'!$C$49))</f>
      </c>
    </row>
    <row r="654" spans="1:29">
      <c r="A654" s="116"/>
      <c r="B654" s="117"/>
      <c r="C654" s="118"/>
      <c r="D654" s="118"/>
      <c r="E654" s="116"/>
      <c r="F654" s="119">
        <f>IF($D654="",0,COUNTIF($A$4:$A$810,$A654))</f>
        <v>0</v>
      </c>
      <c r="G654" s="120">
        <f>IF($D654="","",IFERROR(LOOKUP(2,1/(($A$4:$A$810=$A654)*($E$4:$E$810="Win")),$D$4:$D$810),"(no winner)"))</f>
        <v>0</v>
      </c>
      <c r="H654" s="121">
        <f>IF($D654="",0,IFERROR(LOOKUP(2,1/(($D$3:D653=$D654)*($A$3:A653&lt;$A654)),$N$3:N653),'Guide &amp; Settings'!$C$41))</f>
        <v>0</v>
      </c>
      <c r="I654" s="122">
        <f>IF($D654="",0,IF($S654=0,0,$R654/$S654))</f>
        <v>0</v>
      </c>
      <c r="J654" s="123">
        <f>IF($D654="",0,IF($F654&lt;2,0,IF($E654="Win",('Guide &amp; Settings'!$C$42/(($F654-1)*COUNTIFS($A$4:$A$810,$A654,$E$4:$E$810,"Win")))*SUMIFS($X$4:$X$810,$A$4:$A$810,$A654,$E$4:$E$810,"Loss"),-('Guide &amp; Settings'!$C$42/($F654-1))*$X654)))</f>
        <v>0</v>
      </c>
      <c r="K654" s="123">
        <f>IF($D654="",0,'Guide &amp; Settings'!$C$43*(IF($E654="Win",1,0)-$I654))</f>
        <v>0</v>
      </c>
      <c r="L654" s="124">
        <f>IF($D654="",0,'Guide &amp; Settings'!$C$44*IF($F654&gt;=3,$F654+IF($E654="Win",$F654,0),0))</f>
        <v>0</v>
      </c>
      <c r="M654" s="123">
        <f>IF($D654="",0,$J654+$K654+$L654)</f>
        <v>0</v>
      </c>
      <c r="N654" s="121">
        <f>IF($D654="",0,$H654+$M654)</f>
        <v>0</v>
      </c>
      <c r="O654" s="120" t="str">
        <f>IF($D654="","",IF(COUNTIFS($A$4:$A$810,$A654,$E$4:$E$810,"Win")=0,"need a winner",IF(COUNTIFS($A$4:$A$810,$A654,$E$4:$E$810,"Loss")=0,"need a loser",IF(COUNTIFS($A$4:$A$810,$A654,$D$4:$D$810,$D654)&gt;1,"duplicate player","OK"))))</f>
      </c>
      <c r="P654">
        <f>IF($D654="",0,IFERROR(SUMIFS($H$4:$H$810,$A$4:$A$810,$A654,$E$4:$E$810,"Win")/COUNTIFS($A$4:$A$810,$A654,$E$4:$E$810,"Win"),0))</f>
        <v>0</v>
      </c>
      <c r="Q654">
        <f>IF($D654="",0,1/(1+10^(($P654-$H654)/400)))</f>
        <v>0</v>
      </c>
      <c r="R654">
        <f>IF($D654="",0,(COUNTIFS($D$4:$D$810,$D654,$C$4:$C$810,$C654,$E$4:$E$810,"Win",$A$4:$A$810,"&lt;"&amp;$A654)+1)/(COUNTIFS($D$4:$D$810,$D654,$C$4:$C$810,$C654,$A$4:$A$810,"&lt;"&amp;$A654)+2))</f>
        <v>0</v>
      </c>
      <c r="S654">
        <f>IF($D654="",0,SUMIFS($R$4:$R$810,$A$4:$A$810,$A654))</f>
        <v>0</v>
      </c>
      <c r="T654" s="88">
        <f>IF($D654="",0,COUNTIFS($D$4:$D$810,$D654,$C$4:$C$810,$C654,$A$4:$A$810,"&lt;"&amp;$A654))</f>
        <v>0</v>
      </c>
      <c r="U654" s="125">
        <f>IF($D654="",0,IFERROR(LOOKUP(2,1/(($D$3:D653=$D654)*($C$3:C653=$C654)*($A$3:A653&lt;$A654)),$AB$3:AB653),1000))</f>
        <v>0</v>
      </c>
      <c r="V654" s="125">
        <f>IF($D654="",0,$U654*($T654/($T654+5))+$H654*(1-$T654/($T654+5)))</f>
        <v>0</v>
      </c>
      <c r="W654">
        <f>IF($D654="",0,IFERROR(SUMIFS($V$4:$V$810,$A$4:$A$810,$A654,$E$4:$E$810,"Win")/COUNTIFS($A$4:$A$810,$A654,$E$4:$E$810,"Win"),0))</f>
        <v>0</v>
      </c>
      <c r="X654">
        <f>IF($D654="",0,1/(1+10^(($W654-$V654)/400)))</f>
        <v>0</v>
      </c>
      <c r="Y654">
        <f>IF($D654="",0,IFERROR(SUMIFS($U$4:$U$810,$A$4:$A$810,$A654,$E$4:$E$810,"Win")/COUNTIFS($A$4:$A$810,$A654,$E$4:$E$810,"Win"),0))</f>
        <v>0</v>
      </c>
      <c r="Z654">
        <f>IF($D654="",0,1/(1+10^(($Y654-$U654)/400)))</f>
        <v>0</v>
      </c>
      <c r="AA654">
        <f>IF($D654="",0,IF($F654&lt;2,0,IF($E654="Win",('Guide &amp; Settings'!$C$42/(($F654-1)*COUNTIFS($A$4:$A$810,$A654,$E$4:$E$810,"Win")))*SUMIFS($Z$4:$Z$810,$A$4:$A$810,$A654,$E$4:$E$810,"Loss"),-('Guide &amp; Settings'!$C$42/($F654-1))*$Z654)))</f>
        <v>0</v>
      </c>
      <c r="AB654" s="125">
        <f>IF($D654="",0,$U654+$AA654)</f>
        <v>0</v>
      </c>
      <c r="AC654" s="125" t="str">
        <f>IF($D654="","",IF(SUMPRODUCT(MAX(($D$4:$D$810=$D654)*($B$4:$B$810&lt;$B654)*$B$4:$B$810))=0,0,MAX(($B654-MAX(SUMPRODUCT(MAX(($D$4:$D$810=$D654)*($B$4:$B$810&lt;$B654)*$B$4:$B$810)),'Guide &amp; Settings'!$C$50))/7-'Guide &amp; Settings'!$C$48,0)*'Guide &amp; Settings'!$C$49))</f>
      </c>
    </row>
    <row r="655" spans="1:29">
      <c r="A655" s="116"/>
      <c r="B655" s="117"/>
      <c r="C655" s="118"/>
      <c r="D655" s="118"/>
      <c r="E655" s="116"/>
      <c r="F655" s="119">
        <f>IF($D655="",0,COUNTIF($A$4:$A$810,$A655))</f>
        <v>0</v>
      </c>
      <c r="G655" s="120">
        <f>IF($D655="","",IFERROR(LOOKUP(2,1/(($A$4:$A$810=$A655)*($E$4:$E$810="Win")),$D$4:$D$810),"(no winner)"))</f>
        <v>0</v>
      </c>
      <c r="H655" s="121">
        <f>IF($D655="",0,IFERROR(LOOKUP(2,1/(($D$3:D654=$D655)*($A$3:A654&lt;$A655)),$N$3:N654),'Guide &amp; Settings'!$C$41))</f>
        <v>0</v>
      </c>
      <c r="I655" s="122">
        <f>IF($D655="",0,IF($S655=0,0,$R655/$S655))</f>
        <v>0</v>
      </c>
      <c r="J655" s="123">
        <f>IF($D655="",0,IF($F655&lt;2,0,IF($E655="Win",('Guide &amp; Settings'!$C$42/(($F655-1)*COUNTIFS($A$4:$A$810,$A655,$E$4:$E$810,"Win")))*SUMIFS($X$4:$X$810,$A$4:$A$810,$A655,$E$4:$E$810,"Loss"),-('Guide &amp; Settings'!$C$42/($F655-1))*$X655)))</f>
        <v>0</v>
      </c>
      <c r="K655" s="123">
        <f>IF($D655="",0,'Guide &amp; Settings'!$C$43*(IF($E655="Win",1,0)-$I655))</f>
        <v>0</v>
      </c>
      <c r="L655" s="124">
        <f>IF($D655="",0,'Guide &amp; Settings'!$C$44*IF($F655&gt;=3,$F655+IF($E655="Win",$F655,0),0))</f>
        <v>0</v>
      </c>
      <c r="M655" s="123">
        <f>IF($D655="",0,$J655+$K655+$L655)</f>
        <v>0</v>
      </c>
      <c r="N655" s="121">
        <f>IF($D655="",0,$H655+$M655)</f>
        <v>0</v>
      </c>
      <c r="O655" s="120" t="str">
        <f>IF($D655="","",IF(COUNTIFS($A$4:$A$810,$A655,$E$4:$E$810,"Win")=0,"need a winner",IF(COUNTIFS($A$4:$A$810,$A655,$E$4:$E$810,"Loss")=0,"need a loser",IF(COUNTIFS($A$4:$A$810,$A655,$D$4:$D$810,$D655)&gt;1,"duplicate player","OK"))))</f>
      </c>
      <c r="P655">
        <f>IF($D655="",0,IFERROR(SUMIFS($H$4:$H$810,$A$4:$A$810,$A655,$E$4:$E$810,"Win")/COUNTIFS($A$4:$A$810,$A655,$E$4:$E$810,"Win"),0))</f>
        <v>0</v>
      </c>
      <c r="Q655">
        <f>IF($D655="",0,1/(1+10^(($P655-$H655)/400)))</f>
        <v>0</v>
      </c>
      <c r="R655">
        <f>IF($D655="",0,(COUNTIFS($D$4:$D$810,$D655,$C$4:$C$810,$C655,$E$4:$E$810,"Win",$A$4:$A$810,"&lt;"&amp;$A655)+1)/(COUNTIFS($D$4:$D$810,$D655,$C$4:$C$810,$C655,$A$4:$A$810,"&lt;"&amp;$A655)+2))</f>
        <v>0</v>
      </c>
      <c r="S655">
        <f>IF($D655="",0,SUMIFS($R$4:$R$810,$A$4:$A$810,$A655))</f>
        <v>0</v>
      </c>
      <c r="T655" s="88">
        <f>IF($D655="",0,COUNTIFS($D$4:$D$810,$D655,$C$4:$C$810,$C655,$A$4:$A$810,"&lt;"&amp;$A655))</f>
        <v>0</v>
      </c>
      <c r="U655" s="125">
        <f>IF($D655="",0,IFERROR(LOOKUP(2,1/(($D$3:D654=$D655)*($C$3:C654=$C655)*($A$3:A654&lt;$A655)),$AB$3:AB654),1000))</f>
        <v>0</v>
      </c>
      <c r="V655" s="125">
        <f>IF($D655="",0,$U655*($T655/($T655+5))+$H655*(1-$T655/($T655+5)))</f>
        <v>0</v>
      </c>
      <c r="W655">
        <f>IF($D655="",0,IFERROR(SUMIFS($V$4:$V$810,$A$4:$A$810,$A655,$E$4:$E$810,"Win")/COUNTIFS($A$4:$A$810,$A655,$E$4:$E$810,"Win"),0))</f>
        <v>0</v>
      </c>
      <c r="X655">
        <f>IF($D655="",0,1/(1+10^(($W655-$V655)/400)))</f>
        <v>0</v>
      </c>
      <c r="Y655">
        <f>IF($D655="",0,IFERROR(SUMIFS($U$4:$U$810,$A$4:$A$810,$A655,$E$4:$E$810,"Win")/COUNTIFS($A$4:$A$810,$A655,$E$4:$E$810,"Win"),0))</f>
        <v>0</v>
      </c>
      <c r="Z655">
        <f>IF($D655="",0,1/(1+10^(($Y655-$U655)/400)))</f>
        <v>0</v>
      </c>
      <c r="AA655">
        <f>IF($D655="",0,IF($F655&lt;2,0,IF($E655="Win",('Guide &amp; Settings'!$C$42/(($F655-1)*COUNTIFS($A$4:$A$810,$A655,$E$4:$E$810,"Win")))*SUMIFS($Z$4:$Z$810,$A$4:$A$810,$A655,$E$4:$E$810,"Loss"),-('Guide &amp; Settings'!$C$42/($F655-1))*$Z655)))</f>
        <v>0</v>
      </c>
      <c r="AB655" s="125">
        <f>IF($D655="",0,$U655+$AA655)</f>
        <v>0</v>
      </c>
      <c r="AC655" s="125" t="str">
        <f>IF($D655="","",IF(SUMPRODUCT(MAX(($D$4:$D$810=$D655)*($B$4:$B$810&lt;$B655)*$B$4:$B$810))=0,0,MAX(($B655-MAX(SUMPRODUCT(MAX(($D$4:$D$810=$D655)*($B$4:$B$810&lt;$B655)*$B$4:$B$810)),'Guide &amp; Settings'!$C$50))/7-'Guide &amp; Settings'!$C$48,0)*'Guide &amp; Settings'!$C$49))</f>
      </c>
    </row>
    <row r="656" spans="1:29">
      <c r="A656" s="116"/>
      <c r="B656" s="117"/>
      <c r="C656" s="118"/>
      <c r="D656" s="118"/>
      <c r="E656" s="116"/>
      <c r="F656" s="119">
        <f>IF($D656="",0,COUNTIF($A$4:$A$810,$A656))</f>
        <v>0</v>
      </c>
      <c r="G656" s="120">
        <f>IF($D656="","",IFERROR(LOOKUP(2,1/(($A$4:$A$810=$A656)*($E$4:$E$810="Win")),$D$4:$D$810),"(no winner)"))</f>
        <v>0</v>
      </c>
      <c r="H656" s="121">
        <f>IF($D656="",0,IFERROR(LOOKUP(2,1/(($D$3:D655=$D656)*($A$3:A655&lt;$A656)),$N$3:N655),'Guide &amp; Settings'!$C$41))</f>
        <v>0</v>
      </c>
      <c r="I656" s="122">
        <f>IF($D656="",0,IF($S656=0,0,$R656/$S656))</f>
        <v>0</v>
      </c>
      <c r="J656" s="123">
        <f>IF($D656="",0,IF($F656&lt;2,0,IF($E656="Win",('Guide &amp; Settings'!$C$42/(($F656-1)*COUNTIFS($A$4:$A$810,$A656,$E$4:$E$810,"Win")))*SUMIFS($X$4:$X$810,$A$4:$A$810,$A656,$E$4:$E$810,"Loss"),-('Guide &amp; Settings'!$C$42/($F656-1))*$X656)))</f>
        <v>0</v>
      </c>
      <c r="K656" s="123">
        <f>IF($D656="",0,'Guide &amp; Settings'!$C$43*(IF($E656="Win",1,0)-$I656))</f>
        <v>0</v>
      </c>
      <c r="L656" s="124">
        <f>IF($D656="",0,'Guide &amp; Settings'!$C$44*IF($F656&gt;=3,$F656+IF($E656="Win",$F656,0),0))</f>
        <v>0</v>
      </c>
      <c r="M656" s="123">
        <f>IF($D656="",0,$J656+$K656+$L656)</f>
        <v>0</v>
      </c>
      <c r="N656" s="121">
        <f>IF($D656="",0,$H656+$M656)</f>
        <v>0</v>
      </c>
      <c r="O656" s="120" t="str">
        <f>IF($D656="","",IF(COUNTIFS($A$4:$A$810,$A656,$E$4:$E$810,"Win")=0,"need a winner",IF(COUNTIFS($A$4:$A$810,$A656,$E$4:$E$810,"Loss")=0,"need a loser",IF(COUNTIFS($A$4:$A$810,$A656,$D$4:$D$810,$D656)&gt;1,"duplicate player","OK"))))</f>
      </c>
      <c r="P656">
        <f>IF($D656="",0,IFERROR(SUMIFS($H$4:$H$810,$A$4:$A$810,$A656,$E$4:$E$810,"Win")/COUNTIFS($A$4:$A$810,$A656,$E$4:$E$810,"Win"),0))</f>
        <v>0</v>
      </c>
      <c r="Q656">
        <f>IF($D656="",0,1/(1+10^(($P656-$H656)/400)))</f>
        <v>0</v>
      </c>
      <c r="R656">
        <f>IF($D656="",0,(COUNTIFS($D$4:$D$810,$D656,$C$4:$C$810,$C656,$E$4:$E$810,"Win",$A$4:$A$810,"&lt;"&amp;$A656)+1)/(COUNTIFS($D$4:$D$810,$D656,$C$4:$C$810,$C656,$A$4:$A$810,"&lt;"&amp;$A656)+2))</f>
        <v>0</v>
      </c>
      <c r="S656">
        <f>IF($D656="",0,SUMIFS($R$4:$R$810,$A$4:$A$810,$A656))</f>
        <v>0</v>
      </c>
      <c r="T656" s="88">
        <f>IF($D656="",0,COUNTIFS($D$4:$D$810,$D656,$C$4:$C$810,$C656,$A$4:$A$810,"&lt;"&amp;$A656))</f>
        <v>0</v>
      </c>
      <c r="U656" s="125">
        <f>IF($D656="",0,IFERROR(LOOKUP(2,1/(($D$3:D655=$D656)*($C$3:C655=$C656)*($A$3:A655&lt;$A656)),$AB$3:AB655),1000))</f>
        <v>0</v>
      </c>
      <c r="V656" s="125">
        <f>IF($D656="",0,$U656*($T656/($T656+5))+$H656*(1-$T656/($T656+5)))</f>
        <v>0</v>
      </c>
      <c r="W656">
        <f>IF($D656="",0,IFERROR(SUMIFS($V$4:$V$810,$A$4:$A$810,$A656,$E$4:$E$810,"Win")/COUNTIFS($A$4:$A$810,$A656,$E$4:$E$810,"Win"),0))</f>
        <v>0</v>
      </c>
      <c r="X656">
        <f>IF($D656="",0,1/(1+10^(($W656-$V656)/400)))</f>
        <v>0</v>
      </c>
      <c r="Y656">
        <f>IF($D656="",0,IFERROR(SUMIFS($U$4:$U$810,$A$4:$A$810,$A656,$E$4:$E$810,"Win")/COUNTIFS($A$4:$A$810,$A656,$E$4:$E$810,"Win"),0))</f>
        <v>0</v>
      </c>
      <c r="Z656">
        <f>IF($D656="",0,1/(1+10^(($Y656-$U656)/400)))</f>
        <v>0</v>
      </c>
      <c r="AA656">
        <f>IF($D656="",0,IF($F656&lt;2,0,IF($E656="Win",('Guide &amp; Settings'!$C$42/(($F656-1)*COUNTIFS($A$4:$A$810,$A656,$E$4:$E$810,"Win")))*SUMIFS($Z$4:$Z$810,$A$4:$A$810,$A656,$E$4:$E$810,"Loss"),-('Guide &amp; Settings'!$C$42/($F656-1))*$Z656)))</f>
        <v>0</v>
      </c>
      <c r="AB656" s="125">
        <f>IF($D656="",0,$U656+$AA656)</f>
        <v>0</v>
      </c>
      <c r="AC656" s="125" t="str">
        <f>IF($D656="","",IF(SUMPRODUCT(MAX(($D$4:$D$810=$D656)*($B$4:$B$810&lt;$B656)*$B$4:$B$810))=0,0,MAX(($B656-MAX(SUMPRODUCT(MAX(($D$4:$D$810=$D656)*($B$4:$B$810&lt;$B656)*$B$4:$B$810)),'Guide &amp; Settings'!$C$50))/7-'Guide &amp; Settings'!$C$48,0)*'Guide &amp; Settings'!$C$49))</f>
      </c>
    </row>
    <row r="657" spans="1:29">
      <c r="A657" s="116"/>
      <c r="B657" s="117"/>
      <c r="C657" s="118"/>
      <c r="D657" s="118"/>
      <c r="E657" s="116"/>
      <c r="F657" s="119">
        <f>IF($D657="",0,COUNTIF($A$4:$A$810,$A657))</f>
        <v>0</v>
      </c>
      <c r="G657" s="120">
        <f>IF($D657="","",IFERROR(LOOKUP(2,1/(($A$4:$A$810=$A657)*($E$4:$E$810="Win")),$D$4:$D$810),"(no winner)"))</f>
        <v>0</v>
      </c>
      <c r="H657" s="121">
        <f>IF($D657="",0,IFERROR(LOOKUP(2,1/(($D$3:D656=$D657)*($A$3:A656&lt;$A657)),$N$3:N656),'Guide &amp; Settings'!$C$41))</f>
        <v>0</v>
      </c>
      <c r="I657" s="122">
        <f>IF($D657="",0,IF($S657=0,0,$R657/$S657))</f>
        <v>0</v>
      </c>
      <c r="J657" s="123">
        <f>IF($D657="",0,IF($F657&lt;2,0,IF($E657="Win",('Guide &amp; Settings'!$C$42/(($F657-1)*COUNTIFS($A$4:$A$810,$A657,$E$4:$E$810,"Win")))*SUMIFS($X$4:$X$810,$A$4:$A$810,$A657,$E$4:$E$810,"Loss"),-('Guide &amp; Settings'!$C$42/($F657-1))*$X657)))</f>
        <v>0</v>
      </c>
      <c r="K657" s="123">
        <f>IF($D657="",0,'Guide &amp; Settings'!$C$43*(IF($E657="Win",1,0)-$I657))</f>
        <v>0</v>
      </c>
      <c r="L657" s="124">
        <f>IF($D657="",0,'Guide &amp; Settings'!$C$44*IF($F657&gt;=3,$F657+IF($E657="Win",$F657,0),0))</f>
        <v>0</v>
      </c>
      <c r="M657" s="123">
        <f>IF($D657="",0,$J657+$K657+$L657)</f>
        <v>0</v>
      </c>
      <c r="N657" s="121">
        <f>IF($D657="",0,$H657+$M657)</f>
        <v>0</v>
      </c>
      <c r="O657" s="120" t="str">
        <f>IF($D657="","",IF(COUNTIFS($A$4:$A$810,$A657,$E$4:$E$810,"Win")=0,"need a winner",IF(COUNTIFS($A$4:$A$810,$A657,$E$4:$E$810,"Loss")=0,"need a loser",IF(COUNTIFS($A$4:$A$810,$A657,$D$4:$D$810,$D657)&gt;1,"duplicate player","OK"))))</f>
      </c>
      <c r="P657">
        <f>IF($D657="",0,IFERROR(SUMIFS($H$4:$H$810,$A$4:$A$810,$A657,$E$4:$E$810,"Win")/COUNTIFS($A$4:$A$810,$A657,$E$4:$E$810,"Win"),0))</f>
        <v>0</v>
      </c>
      <c r="Q657">
        <f>IF($D657="",0,1/(1+10^(($P657-$H657)/400)))</f>
        <v>0</v>
      </c>
      <c r="R657">
        <f>IF($D657="",0,(COUNTIFS($D$4:$D$810,$D657,$C$4:$C$810,$C657,$E$4:$E$810,"Win",$A$4:$A$810,"&lt;"&amp;$A657)+1)/(COUNTIFS($D$4:$D$810,$D657,$C$4:$C$810,$C657,$A$4:$A$810,"&lt;"&amp;$A657)+2))</f>
        <v>0</v>
      </c>
      <c r="S657">
        <f>IF($D657="",0,SUMIFS($R$4:$R$810,$A$4:$A$810,$A657))</f>
        <v>0</v>
      </c>
      <c r="T657" s="88">
        <f>IF($D657="",0,COUNTIFS($D$4:$D$810,$D657,$C$4:$C$810,$C657,$A$4:$A$810,"&lt;"&amp;$A657))</f>
        <v>0</v>
      </c>
      <c r="U657" s="125">
        <f>IF($D657="",0,IFERROR(LOOKUP(2,1/(($D$3:D656=$D657)*($C$3:C656=$C657)*($A$3:A656&lt;$A657)),$AB$3:AB656),1000))</f>
        <v>0</v>
      </c>
      <c r="V657" s="125">
        <f>IF($D657="",0,$U657*($T657/($T657+5))+$H657*(1-$T657/($T657+5)))</f>
        <v>0</v>
      </c>
      <c r="W657">
        <f>IF($D657="",0,IFERROR(SUMIFS($V$4:$V$810,$A$4:$A$810,$A657,$E$4:$E$810,"Win")/COUNTIFS($A$4:$A$810,$A657,$E$4:$E$810,"Win"),0))</f>
        <v>0</v>
      </c>
      <c r="X657">
        <f>IF($D657="",0,1/(1+10^(($W657-$V657)/400)))</f>
        <v>0</v>
      </c>
      <c r="Y657">
        <f>IF($D657="",0,IFERROR(SUMIFS($U$4:$U$810,$A$4:$A$810,$A657,$E$4:$E$810,"Win")/COUNTIFS($A$4:$A$810,$A657,$E$4:$E$810,"Win"),0))</f>
        <v>0</v>
      </c>
      <c r="Z657">
        <f>IF($D657="",0,1/(1+10^(($Y657-$U657)/400)))</f>
        <v>0</v>
      </c>
      <c r="AA657">
        <f>IF($D657="",0,IF($F657&lt;2,0,IF($E657="Win",('Guide &amp; Settings'!$C$42/(($F657-1)*COUNTIFS($A$4:$A$810,$A657,$E$4:$E$810,"Win")))*SUMIFS($Z$4:$Z$810,$A$4:$A$810,$A657,$E$4:$E$810,"Loss"),-('Guide &amp; Settings'!$C$42/($F657-1))*$Z657)))</f>
        <v>0</v>
      </c>
      <c r="AB657" s="125">
        <f>IF($D657="",0,$U657+$AA657)</f>
        <v>0</v>
      </c>
      <c r="AC657" s="125" t="str">
        <f>IF($D657="","",IF(SUMPRODUCT(MAX(($D$4:$D$810=$D657)*($B$4:$B$810&lt;$B657)*$B$4:$B$810))=0,0,MAX(($B657-MAX(SUMPRODUCT(MAX(($D$4:$D$810=$D657)*($B$4:$B$810&lt;$B657)*$B$4:$B$810)),'Guide &amp; Settings'!$C$50))/7-'Guide &amp; Settings'!$C$48,0)*'Guide &amp; Settings'!$C$49))</f>
      </c>
    </row>
    <row r="658" spans="1:29">
      <c r="A658" s="116"/>
      <c r="B658" s="117"/>
      <c r="C658" s="118"/>
      <c r="D658" s="118"/>
      <c r="E658" s="116"/>
      <c r="F658" s="119">
        <f>IF($D658="",0,COUNTIF($A$4:$A$810,$A658))</f>
        <v>0</v>
      </c>
      <c r="G658" s="120">
        <f>IF($D658="","",IFERROR(LOOKUP(2,1/(($A$4:$A$810=$A658)*($E$4:$E$810="Win")),$D$4:$D$810),"(no winner)"))</f>
        <v>0</v>
      </c>
      <c r="H658" s="121">
        <f>IF($D658="",0,IFERROR(LOOKUP(2,1/(($D$3:D657=$D658)*($A$3:A657&lt;$A658)),$N$3:N657),'Guide &amp; Settings'!$C$41))</f>
        <v>0</v>
      </c>
      <c r="I658" s="122">
        <f>IF($D658="",0,IF($S658=0,0,$R658/$S658))</f>
        <v>0</v>
      </c>
      <c r="J658" s="123">
        <f>IF($D658="",0,IF($F658&lt;2,0,IF($E658="Win",('Guide &amp; Settings'!$C$42/(($F658-1)*COUNTIFS($A$4:$A$810,$A658,$E$4:$E$810,"Win")))*SUMIFS($X$4:$X$810,$A$4:$A$810,$A658,$E$4:$E$810,"Loss"),-('Guide &amp; Settings'!$C$42/($F658-1))*$X658)))</f>
        <v>0</v>
      </c>
      <c r="K658" s="123">
        <f>IF($D658="",0,'Guide &amp; Settings'!$C$43*(IF($E658="Win",1,0)-$I658))</f>
        <v>0</v>
      </c>
      <c r="L658" s="124">
        <f>IF($D658="",0,'Guide &amp; Settings'!$C$44*IF($F658&gt;=3,$F658+IF($E658="Win",$F658,0),0))</f>
        <v>0</v>
      </c>
      <c r="M658" s="123">
        <f>IF($D658="",0,$J658+$K658+$L658)</f>
        <v>0</v>
      </c>
      <c r="N658" s="121">
        <f>IF($D658="",0,$H658+$M658)</f>
        <v>0</v>
      </c>
      <c r="O658" s="120" t="str">
        <f>IF($D658="","",IF(COUNTIFS($A$4:$A$810,$A658,$E$4:$E$810,"Win")=0,"need a winner",IF(COUNTIFS($A$4:$A$810,$A658,$E$4:$E$810,"Loss")=0,"need a loser",IF(COUNTIFS($A$4:$A$810,$A658,$D$4:$D$810,$D658)&gt;1,"duplicate player","OK"))))</f>
      </c>
      <c r="P658">
        <f>IF($D658="",0,IFERROR(SUMIFS($H$4:$H$810,$A$4:$A$810,$A658,$E$4:$E$810,"Win")/COUNTIFS($A$4:$A$810,$A658,$E$4:$E$810,"Win"),0))</f>
        <v>0</v>
      </c>
      <c r="Q658">
        <f>IF($D658="",0,1/(1+10^(($P658-$H658)/400)))</f>
        <v>0</v>
      </c>
      <c r="R658">
        <f>IF($D658="",0,(COUNTIFS($D$4:$D$810,$D658,$C$4:$C$810,$C658,$E$4:$E$810,"Win",$A$4:$A$810,"&lt;"&amp;$A658)+1)/(COUNTIFS($D$4:$D$810,$D658,$C$4:$C$810,$C658,$A$4:$A$810,"&lt;"&amp;$A658)+2))</f>
        <v>0</v>
      </c>
      <c r="S658">
        <f>IF($D658="",0,SUMIFS($R$4:$R$810,$A$4:$A$810,$A658))</f>
        <v>0</v>
      </c>
      <c r="T658" s="88">
        <f>IF($D658="",0,COUNTIFS($D$4:$D$810,$D658,$C$4:$C$810,$C658,$A$4:$A$810,"&lt;"&amp;$A658))</f>
        <v>0</v>
      </c>
      <c r="U658" s="125">
        <f>IF($D658="",0,IFERROR(LOOKUP(2,1/(($D$3:D657=$D658)*($C$3:C657=$C658)*($A$3:A657&lt;$A658)),$AB$3:AB657),1000))</f>
        <v>0</v>
      </c>
      <c r="V658" s="125">
        <f>IF($D658="",0,$U658*($T658/($T658+5))+$H658*(1-$T658/($T658+5)))</f>
        <v>0</v>
      </c>
      <c r="W658">
        <f>IF($D658="",0,IFERROR(SUMIFS($V$4:$V$810,$A$4:$A$810,$A658,$E$4:$E$810,"Win")/COUNTIFS($A$4:$A$810,$A658,$E$4:$E$810,"Win"),0))</f>
        <v>0</v>
      </c>
      <c r="X658">
        <f>IF($D658="",0,1/(1+10^(($W658-$V658)/400)))</f>
        <v>0</v>
      </c>
      <c r="Y658">
        <f>IF($D658="",0,IFERROR(SUMIFS($U$4:$U$810,$A$4:$A$810,$A658,$E$4:$E$810,"Win")/COUNTIFS($A$4:$A$810,$A658,$E$4:$E$810,"Win"),0))</f>
        <v>0</v>
      </c>
      <c r="Z658">
        <f>IF($D658="",0,1/(1+10^(($Y658-$U658)/400)))</f>
        <v>0</v>
      </c>
      <c r="AA658">
        <f>IF($D658="",0,IF($F658&lt;2,0,IF($E658="Win",('Guide &amp; Settings'!$C$42/(($F658-1)*COUNTIFS($A$4:$A$810,$A658,$E$4:$E$810,"Win")))*SUMIFS($Z$4:$Z$810,$A$4:$A$810,$A658,$E$4:$E$810,"Loss"),-('Guide &amp; Settings'!$C$42/($F658-1))*$Z658)))</f>
        <v>0</v>
      </c>
      <c r="AB658" s="125">
        <f>IF($D658="",0,$U658+$AA658)</f>
        <v>0</v>
      </c>
      <c r="AC658" s="125" t="str">
        <f>IF($D658="","",IF(SUMPRODUCT(MAX(($D$4:$D$810=$D658)*($B$4:$B$810&lt;$B658)*$B$4:$B$810))=0,0,MAX(($B658-MAX(SUMPRODUCT(MAX(($D$4:$D$810=$D658)*($B$4:$B$810&lt;$B658)*$B$4:$B$810)),'Guide &amp; Settings'!$C$50))/7-'Guide &amp; Settings'!$C$48,0)*'Guide &amp; Settings'!$C$49))</f>
      </c>
    </row>
    <row r="659" spans="1:29">
      <c r="A659" s="116"/>
      <c r="B659" s="117"/>
      <c r="C659" s="118"/>
      <c r="D659" s="118"/>
      <c r="E659" s="116"/>
      <c r="F659" s="119">
        <f>IF($D659="",0,COUNTIF($A$4:$A$810,$A659))</f>
        <v>0</v>
      </c>
      <c r="G659" s="120">
        <f>IF($D659="","",IFERROR(LOOKUP(2,1/(($A$4:$A$810=$A659)*($E$4:$E$810="Win")),$D$4:$D$810),"(no winner)"))</f>
        <v>0</v>
      </c>
      <c r="H659" s="121">
        <f>IF($D659="",0,IFERROR(LOOKUP(2,1/(($D$3:D658=$D659)*($A$3:A658&lt;$A659)),$N$3:N658),'Guide &amp; Settings'!$C$41))</f>
        <v>0</v>
      </c>
      <c r="I659" s="122">
        <f>IF($D659="",0,IF($S659=0,0,$R659/$S659))</f>
        <v>0</v>
      </c>
      <c r="J659" s="123">
        <f>IF($D659="",0,IF($F659&lt;2,0,IF($E659="Win",('Guide &amp; Settings'!$C$42/(($F659-1)*COUNTIFS($A$4:$A$810,$A659,$E$4:$E$810,"Win")))*SUMIFS($X$4:$X$810,$A$4:$A$810,$A659,$E$4:$E$810,"Loss"),-('Guide &amp; Settings'!$C$42/($F659-1))*$X659)))</f>
        <v>0</v>
      </c>
      <c r="K659" s="123">
        <f>IF($D659="",0,'Guide &amp; Settings'!$C$43*(IF($E659="Win",1,0)-$I659))</f>
        <v>0</v>
      </c>
      <c r="L659" s="124">
        <f>IF($D659="",0,'Guide &amp; Settings'!$C$44*IF($F659&gt;=3,$F659+IF($E659="Win",$F659,0),0))</f>
        <v>0</v>
      </c>
      <c r="M659" s="123">
        <f>IF($D659="",0,$J659+$K659+$L659)</f>
        <v>0</v>
      </c>
      <c r="N659" s="121">
        <f>IF($D659="",0,$H659+$M659)</f>
        <v>0</v>
      </c>
      <c r="O659" s="120" t="str">
        <f>IF($D659="","",IF(COUNTIFS($A$4:$A$810,$A659,$E$4:$E$810,"Win")=0,"need a winner",IF(COUNTIFS($A$4:$A$810,$A659,$E$4:$E$810,"Loss")=0,"need a loser",IF(COUNTIFS($A$4:$A$810,$A659,$D$4:$D$810,$D659)&gt;1,"duplicate player","OK"))))</f>
      </c>
      <c r="P659">
        <f>IF($D659="",0,IFERROR(SUMIFS($H$4:$H$810,$A$4:$A$810,$A659,$E$4:$E$810,"Win")/COUNTIFS($A$4:$A$810,$A659,$E$4:$E$810,"Win"),0))</f>
        <v>0</v>
      </c>
      <c r="Q659">
        <f>IF($D659="",0,1/(1+10^(($P659-$H659)/400)))</f>
        <v>0</v>
      </c>
      <c r="R659">
        <f>IF($D659="",0,(COUNTIFS($D$4:$D$810,$D659,$C$4:$C$810,$C659,$E$4:$E$810,"Win",$A$4:$A$810,"&lt;"&amp;$A659)+1)/(COUNTIFS($D$4:$D$810,$D659,$C$4:$C$810,$C659,$A$4:$A$810,"&lt;"&amp;$A659)+2))</f>
        <v>0</v>
      </c>
      <c r="S659">
        <f>IF($D659="",0,SUMIFS($R$4:$R$810,$A$4:$A$810,$A659))</f>
        <v>0</v>
      </c>
      <c r="T659" s="88">
        <f>IF($D659="",0,COUNTIFS($D$4:$D$810,$D659,$C$4:$C$810,$C659,$A$4:$A$810,"&lt;"&amp;$A659))</f>
        <v>0</v>
      </c>
      <c r="U659" s="125">
        <f>IF($D659="",0,IFERROR(LOOKUP(2,1/(($D$3:D658=$D659)*($C$3:C658=$C659)*($A$3:A658&lt;$A659)),$AB$3:AB658),1000))</f>
        <v>0</v>
      </c>
      <c r="V659" s="125">
        <f>IF($D659="",0,$U659*($T659/($T659+5))+$H659*(1-$T659/($T659+5)))</f>
        <v>0</v>
      </c>
      <c r="W659">
        <f>IF($D659="",0,IFERROR(SUMIFS($V$4:$V$810,$A$4:$A$810,$A659,$E$4:$E$810,"Win")/COUNTIFS($A$4:$A$810,$A659,$E$4:$E$810,"Win"),0))</f>
        <v>0</v>
      </c>
      <c r="X659">
        <f>IF($D659="",0,1/(1+10^(($W659-$V659)/400)))</f>
        <v>0</v>
      </c>
      <c r="Y659">
        <f>IF($D659="",0,IFERROR(SUMIFS($U$4:$U$810,$A$4:$A$810,$A659,$E$4:$E$810,"Win")/COUNTIFS($A$4:$A$810,$A659,$E$4:$E$810,"Win"),0))</f>
        <v>0</v>
      </c>
      <c r="Z659">
        <f>IF($D659="",0,1/(1+10^(($Y659-$U659)/400)))</f>
        <v>0</v>
      </c>
      <c r="AA659">
        <f>IF($D659="",0,IF($F659&lt;2,0,IF($E659="Win",('Guide &amp; Settings'!$C$42/(($F659-1)*COUNTIFS($A$4:$A$810,$A659,$E$4:$E$810,"Win")))*SUMIFS($Z$4:$Z$810,$A$4:$A$810,$A659,$E$4:$E$810,"Loss"),-('Guide &amp; Settings'!$C$42/($F659-1))*$Z659)))</f>
        <v>0</v>
      </c>
      <c r="AB659" s="125">
        <f>IF($D659="",0,$U659+$AA659)</f>
        <v>0</v>
      </c>
      <c r="AC659" s="125" t="str">
        <f>IF($D659="","",IF(SUMPRODUCT(MAX(($D$4:$D$810=$D659)*($B$4:$B$810&lt;$B659)*$B$4:$B$810))=0,0,MAX(($B659-MAX(SUMPRODUCT(MAX(($D$4:$D$810=$D659)*($B$4:$B$810&lt;$B659)*$B$4:$B$810)),'Guide &amp; Settings'!$C$50))/7-'Guide &amp; Settings'!$C$48,0)*'Guide &amp; Settings'!$C$49))</f>
      </c>
    </row>
    <row r="660" spans="1:29">
      <c r="A660" s="116"/>
      <c r="B660" s="117"/>
      <c r="C660" s="118"/>
      <c r="D660" s="118"/>
      <c r="E660" s="116"/>
      <c r="F660" s="119">
        <f>IF($D660="",0,COUNTIF($A$4:$A$810,$A660))</f>
        <v>0</v>
      </c>
      <c r="G660" s="120">
        <f>IF($D660="","",IFERROR(LOOKUP(2,1/(($A$4:$A$810=$A660)*($E$4:$E$810="Win")),$D$4:$D$810),"(no winner)"))</f>
        <v>0</v>
      </c>
      <c r="H660" s="121">
        <f>IF($D660="",0,IFERROR(LOOKUP(2,1/(($D$3:D659=$D660)*($A$3:A659&lt;$A660)),$N$3:N659),'Guide &amp; Settings'!$C$41))</f>
        <v>0</v>
      </c>
      <c r="I660" s="122">
        <f>IF($D660="",0,IF($S660=0,0,$R660/$S660))</f>
        <v>0</v>
      </c>
      <c r="J660" s="123">
        <f>IF($D660="",0,IF($F660&lt;2,0,IF($E660="Win",('Guide &amp; Settings'!$C$42/(($F660-1)*COUNTIFS($A$4:$A$810,$A660,$E$4:$E$810,"Win")))*SUMIFS($X$4:$X$810,$A$4:$A$810,$A660,$E$4:$E$810,"Loss"),-('Guide &amp; Settings'!$C$42/($F660-1))*$X660)))</f>
        <v>0</v>
      </c>
      <c r="K660" s="123">
        <f>IF($D660="",0,'Guide &amp; Settings'!$C$43*(IF($E660="Win",1,0)-$I660))</f>
        <v>0</v>
      </c>
      <c r="L660" s="124">
        <f>IF($D660="",0,'Guide &amp; Settings'!$C$44*IF($F660&gt;=3,$F660+IF($E660="Win",$F660,0),0))</f>
        <v>0</v>
      </c>
      <c r="M660" s="123">
        <f>IF($D660="",0,$J660+$K660+$L660)</f>
        <v>0</v>
      </c>
      <c r="N660" s="121">
        <f>IF($D660="",0,$H660+$M660)</f>
        <v>0</v>
      </c>
      <c r="O660" s="120" t="str">
        <f>IF($D660="","",IF(COUNTIFS($A$4:$A$810,$A660,$E$4:$E$810,"Win")=0,"need a winner",IF(COUNTIFS($A$4:$A$810,$A660,$E$4:$E$810,"Loss")=0,"need a loser",IF(COUNTIFS($A$4:$A$810,$A660,$D$4:$D$810,$D660)&gt;1,"duplicate player","OK"))))</f>
      </c>
      <c r="P660">
        <f>IF($D660="",0,IFERROR(SUMIFS($H$4:$H$810,$A$4:$A$810,$A660,$E$4:$E$810,"Win")/COUNTIFS($A$4:$A$810,$A660,$E$4:$E$810,"Win"),0))</f>
        <v>0</v>
      </c>
      <c r="Q660">
        <f>IF($D660="",0,1/(1+10^(($P660-$H660)/400)))</f>
        <v>0</v>
      </c>
      <c r="R660">
        <f>IF($D660="",0,(COUNTIFS($D$4:$D$810,$D660,$C$4:$C$810,$C660,$E$4:$E$810,"Win",$A$4:$A$810,"&lt;"&amp;$A660)+1)/(COUNTIFS($D$4:$D$810,$D660,$C$4:$C$810,$C660,$A$4:$A$810,"&lt;"&amp;$A660)+2))</f>
        <v>0</v>
      </c>
      <c r="S660">
        <f>IF($D660="",0,SUMIFS($R$4:$R$810,$A$4:$A$810,$A660))</f>
        <v>0</v>
      </c>
      <c r="T660" s="88">
        <f>IF($D660="",0,COUNTIFS($D$4:$D$810,$D660,$C$4:$C$810,$C660,$A$4:$A$810,"&lt;"&amp;$A660))</f>
        <v>0</v>
      </c>
      <c r="U660" s="125">
        <f>IF($D660="",0,IFERROR(LOOKUP(2,1/(($D$3:D659=$D660)*($C$3:C659=$C660)*($A$3:A659&lt;$A660)),$AB$3:AB659),1000))</f>
        <v>0</v>
      </c>
      <c r="V660" s="125">
        <f>IF($D660="",0,$U660*($T660/($T660+5))+$H660*(1-$T660/($T660+5)))</f>
        <v>0</v>
      </c>
      <c r="W660">
        <f>IF($D660="",0,IFERROR(SUMIFS($V$4:$V$810,$A$4:$A$810,$A660,$E$4:$E$810,"Win")/COUNTIFS($A$4:$A$810,$A660,$E$4:$E$810,"Win"),0))</f>
        <v>0</v>
      </c>
      <c r="X660">
        <f>IF($D660="",0,1/(1+10^(($W660-$V660)/400)))</f>
        <v>0</v>
      </c>
      <c r="Y660">
        <f>IF($D660="",0,IFERROR(SUMIFS($U$4:$U$810,$A$4:$A$810,$A660,$E$4:$E$810,"Win")/COUNTIFS($A$4:$A$810,$A660,$E$4:$E$810,"Win"),0))</f>
        <v>0</v>
      </c>
      <c r="Z660">
        <f>IF($D660="",0,1/(1+10^(($Y660-$U660)/400)))</f>
        <v>0</v>
      </c>
      <c r="AA660">
        <f>IF($D660="",0,IF($F660&lt;2,0,IF($E660="Win",('Guide &amp; Settings'!$C$42/(($F660-1)*COUNTIFS($A$4:$A$810,$A660,$E$4:$E$810,"Win")))*SUMIFS($Z$4:$Z$810,$A$4:$A$810,$A660,$E$4:$E$810,"Loss"),-('Guide &amp; Settings'!$C$42/($F660-1))*$Z660)))</f>
        <v>0</v>
      </c>
      <c r="AB660" s="125">
        <f>IF($D660="",0,$U660+$AA660)</f>
        <v>0</v>
      </c>
      <c r="AC660" s="125" t="str">
        <f>IF($D660="","",IF(SUMPRODUCT(MAX(($D$4:$D$810=$D660)*($B$4:$B$810&lt;$B660)*$B$4:$B$810))=0,0,MAX(($B660-MAX(SUMPRODUCT(MAX(($D$4:$D$810=$D660)*($B$4:$B$810&lt;$B660)*$B$4:$B$810)),'Guide &amp; Settings'!$C$50))/7-'Guide &amp; Settings'!$C$48,0)*'Guide &amp; Settings'!$C$49))</f>
      </c>
    </row>
    <row r="661" spans="1:29">
      <c r="A661" s="116"/>
      <c r="B661" s="117"/>
      <c r="C661" s="118"/>
      <c r="D661" s="118"/>
      <c r="E661" s="116"/>
      <c r="F661" s="119">
        <f>IF($D661="",0,COUNTIF($A$4:$A$810,$A661))</f>
        <v>0</v>
      </c>
      <c r="G661" s="120">
        <f>IF($D661="","",IFERROR(LOOKUP(2,1/(($A$4:$A$810=$A661)*($E$4:$E$810="Win")),$D$4:$D$810),"(no winner)"))</f>
        <v>0</v>
      </c>
      <c r="H661" s="121">
        <f>IF($D661="",0,IFERROR(LOOKUP(2,1/(($D$3:D660=$D661)*($A$3:A660&lt;$A661)),$N$3:N660),'Guide &amp; Settings'!$C$41))</f>
        <v>0</v>
      </c>
      <c r="I661" s="122">
        <f>IF($D661="",0,IF($S661=0,0,$R661/$S661))</f>
        <v>0</v>
      </c>
      <c r="J661" s="123">
        <f>IF($D661="",0,IF($F661&lt;2,0,IF($E661="Win",('Guide &amp; Settings'!$C$42/(($F661-1)*COUNTIFS($A$4:$A$810,$A661,$E$4:$E$810,"Win")))*SUMIFS($X$4:$X$810,$A$4:$A$810,$A661,$E$4:$E$810,"Loss"),-('Guide &amp; Settings'!$C$42/($F661-1))*$X661)))</f>
        <v>0</v>
      </c>
      <c r="K661" s="123">
        <f>IF($D661="",0,'Guide &amp; Settings'!$C$43*(IF($E661="Win",1,0)-$I661))</f>
        <v>0</v>
      </c>
      <c r="L661" s="124">
        <f>IF($D661="",0,'Guide &amp; Settings'!$C$44*IF($F661&gt;=3,$F661+IF($E661="Win",$F661,0),0))</f>
        <v>0</v>
      </c>
      <c r="M661" s="123">
        <f>IF($D661="",0,$J661+$K661+$L661)</f>
        <v>0</v>
      </c>
      <c r="N661" s="121">
        <f>IF($D661="",0,$H661+$M661)</f>
        <v>0</v>
      </c>
      <c r="O661" s="120" t="str">
        <f>IF($D661="","",IF(COUNTIFS($A$4:$A$810,$A661,$E$4:$E$810,"Win")=0,"need a winner",IF(COUNTIFS($A$4:$A$810,$A661,$E$4:$E$810,"Loss")=0,"need a loser",IF(COUNTIFS($A$4:$A$810,$A661,$D$4:$D$810,$D661)&gt;1,"duplicate player","OK"))))</f>
      </c>
      <c r="P661">
        <f>IF($D661="",0,IFERROR(SUMIFS($H$4:$H$810,$A$4:$A$810,$A661,$E$4:$E$810,"Win")/COUNTIFS($A$4:$A$810,$A661,$E$4:$E$810,"Win"),0))</f>
        <v>0</v>
      </c>
      <c r="Q661">
        <f>IF($D661="",0,1/(1+10^(($P661-$H661)/400)))</f>
        <v>0</v>
      </c>
      <c r="R661">
        <f>IF($D661="",0,(COUNTIFS($D$4:$D$810,$D661,$C$4:$C$810,$C661,$E$4:$E$810,"Win",$A$4:$A$810,"&lt;"&amp;$A661)+1)/(COUNTIFS($D$4:$D$810,$D661,$C$4:$C$810,$C661,$A$4:$A$810,"&lt;"&amp;$A661)+2))</f>
        <v>0</v>
      </c>
      <c r="S661">
        <f>IF($D661="",0,SUMIFS($R$4:$R$810,$A$4:$A$810,$A661))</f>
        <v>0</v>
      </c>
      <c r="T661" s="88">
        <f>IF($D661="",0,COUNTIFS($D$4:$D$810,$D661,$C$4:$C$810,$C661,$A$4:$A$810,"&lt;"&amp;$A661))</f>
        <v>0</v>
      </c>
      <c r="U661" s="125">
        <f>IF($D661="",0,IFERROR(LOOKUP(2,1/(($D$3:D660=$D661)*($C$3:C660=$C661)*($A$3:A660&lt;$A661)),$AB$3:AB660),1000))</f>
        <v>0</v>
      </c>
      <c r="V661" s="125">
        <f>IF($D661="",0,$U661*($T661/($T661+5))+$H661*(1-$T661/($T661+5)))</f>
        <v>0</v>
      </c>
      <c r="W661">
        <f>IF($D661="",0,IFERROR(SUMIFS($V$4:$V$810,$A$4:$A$810,$A661,$E$4:$E$810,"Win")/COUNTIFS($A$4:$A$810,$A661,$E$4:$E$810,"Win"),0))</f>
        <v>0</v>
      </c>
      <c r="X661">
        <f>IF($D661="",0,1/(1+10^(($W661-$V661)/400)))</f>
        <v>0</v>
      </c>
      <c r="Y661">
        <f>IF($D661="",0,IFERROR(SUMIFS($U$4:$U$810,$A$4:$A$810,$A661,$E$4:$E$810,"Win")/COUNTIFS($A$4:$A$810,$A661,$E$4:$E$810,"Win"),0))</f>
        <v>0</v>
      </c>
      <c r="Z661">
        <f>IF($D661="",0,1/(1+10^(($Y661-$U661)/400)))</f>
        <v>0</v>
      </c>
      <c r="AA661">
        <f>IF($D661="",0,IF($F661&lt;2,0,IF($E661="Win",('Guide &amp; Settings'!$C$42/(($F661-1)*COUNTIFS($A$4:$A$810,$A661,$E$4:$E$810,"Win")))*SUMIFS($Z$4:$Z$810,$A$4:$A$810,$A661,$E$4:$E$810,"Loss"),-('Guide &amp; Settings'!$C$42/($F661-1))*$Z661)))</f>
        <v>0</v>
      </c>
      <c r="AB661" s="125">
        <f>IF($D661="",0,$U661+$AA661)</f>
        <v>0</v>
      </c>
      <c r="AC661" s="125" t="str">
        <f>IF($D661="","",IF(SUMPRODUCT(MAX(($D$4:$D$810=$D661)*($B$4:$B$810&lt;$B661)*$B$4:$B$810))=0,0,MAX(($B661-MAX(SUMPRODUCT(MAX(($D$4:$D$810=$D661)*($B$4:$B$810&lt;$B661)*$B$4:$B$810)),'Guide &amp; Settings'!$C$50))/7-'Guide &amp; Settings'!$C$48,0)*'Guide &amp; Settings'!$C$49))</f>
      </c>
    </row>
    <row r="662" spans="1:29">
      <c r="A662" s="116"/>
      <c r="B662" s="117"/>
      <c r="C662" s="118"/>
      <c r="D662" s="118"/>
      <c r="E662" s="116"/>
      <c r="F662" s="119">
        <f>IF($D662="",0,COUNTIF($A$4:$A$810,$A662))</f>
        <v>0</v>
      </c>
      <c r="G662" s="120">
        <f>IF($D662="","",IFERROR(LOOKUP(2,1/(($A$4:$A$810=$A662)*($E$4:$E$810="Win")),$D$4:$D$810),"(no winner)"))</f>
        <v>0</v>
      </c>
      <c r="H662" s="121">
        <f>IF($D662="",0,IFERROR(LOOKUP(2,1/(($D$3:D661=$D662)*($A$3:A661&lt;$A662)),$N$3:N661),'Guide &amp; Settings'!$C$41))</f>
        <v>0</v>
      </c>
      <c r="I662" s="122">
        <f>IF($D662="",0,IF($S662=0,0,$R662/$S662))</f>
        <v>0</v>
      </c>
      <c r="J662" s="123">
        <f>IF($D662="",0,IF($F662&lt;2,0,IF($E662="Win",('Guide &amp; Settings'!$C$42/(($F662-1)*COUNTIFS($A$4:$A$810,$A662,$E$4:$E$810,"Win")))*SUMIFS($X$4:$X$810,$A$4:$A$810,$A662,$E$4:$E$810,"Loss"),-('Guide &amp; Settings'!$C$42/($F662-1))*$X662)))</f>
        <v>0</v>
      </c>
      <c r="K662" s="123">
        <f>IF($D662="",0,'Guide &amp; Settings'!$C$43*(IF($E662="Win",1,0)-$I662))</f>
        <v>0</v>
      </c>
      <c r="L662" s="124">
        <f>IF($D662="",0,'Guide &amp; Settings'!$C$44*IF($F662&gt;=3,$F662+IF($E662="Win",$F662,0),0))</f>
        <v>0</v>
      </c>
      <c r="M662" s="123">
        <f>IF($D662="",0,$J662+$K662+$L662)</f>
        <v>0</v>
      </c>
      <c r="N662" s="121">
        <f>IF($D662="",0,$H662+$M662)</f>
        <v>0</v>
      </c>
      <c r="O662" s="120" t="str">
        <f>IF($D662="","",IF(COUNTIFS($A$4:$A$810,$A662,$E$4:$E$810,"Win")=0,"need a winner",IF(COUNTIFS($A$4:$A$810,$A662,$E$4:$E$810,"Loss")=0,"need a loser",IF(COUNTIFS($A$4:$A$810,$A662,$D$4:$D$810,$D662)&gt;1,"duplicate player","OK"))))</f>
      </c>
      <c r="P662">
        <f>IF($D662="",0,IFERROR(SUMIFS($H$4:$H$810,$A$4:$A$810,$A662,$E$4:$E$810,"Win")/COUNTIFS($A$4:$A$810,$A662,$E$4:$E$810,"Win"),0))</f>
        <v>0</v>
      </c>
      <c r="Q662">
        <f>IF($D662="",0,1/(1+10^(($P662-$H662)/400)))</f>
        <v>0</v>
      </c>
      <c r="R662">
        <f>IF($D662="",0,(COUNTIFS($D$4:$D$810,$D662,$C$4:$C$810,$C662,$E$4:$E$810,"Win",$A$4:$A$810,"&lt;"&amp;$A662)+1)/(COUNTIFS($D$4:$D$810,$D662,$C$4:$C$810,$C662,$A$4:$A$810,"&lt;"&amp;$A662)+2))</f>
        <v>0</v>
      </c>
      <c r="S662">
        <f>IF($D662="",0,SUMIFS($R$4:$R$810,$A$4:$A$810,$A662))</f>
        <v>0</v>
      </c>
      <c r="T662" s="88">
        <f>IF($D662="",0,COUNTIFS($D$4:$D$810,$D662,$C$4:$C$810,$C662,$A$4:$A$810,"&lt;"&amp;$A662))</f>
        <v>0</v>
      </c>
      <c r="U662" s="125">
        <f>IF($D662="",0,IFERROR(LOOKUP(2,1/(($D$3:D661=$D662)*($C$3:C661=$C662)*($A$3:A661&lt;$A662)),$AB$3:AB661),1000))</f>
        <v>0</v>
      </c>
      <c r="V662" s="125">
        <f>IF($D662="",0,$U662*($T662/($T662+5))+$H662*(1-$T662/($T662+5)))</f>
        <v>0</v>
      </c>
      <c r="W662">
        <f>IF($D662="",0,IFERROR(SUMIFS($V$4:$V$810,$A$4:$A$810,$A662,$E$4:$E$810,"Win")/COUNTIFS($A$4:$A$810,$A662,$E$4:$E$810,"Win"),0))</f>
        <v>0</v>
      </c>
      <c r="X662">
        <f>IF($D662="",0,1/(1+10^(($W662-$V662)/400)))</f>
        <v>0</v>
      </c>
      <c r="Y662">
        <f>IF($D662="",0,IFERROR(SUMIFS($U$4:$U$810,$A$4:$A$810,$A662,$E$4:$E$810,"Win")/COUNTIFS($A$4:$A$810,$A662,$E$4:$E$810,"Win"),0))</f>
        <v>0</v>
      </c>
      <c r="Z662">
        <f>IF($D662="",0,1/(1+10^(($Y662-$U662)/400)))</f>
        <v>0</v>
      </c>
      <c r="AA662">
        <f>IF($D662="",0,IF($F662&lt;2,0,IF($E662="Win",('Guide &amp; Settings'!$C$42/(($F662-1)*COUNTIFS($A$4:$A$810,$A662,$E$4:$E$810,"Win")))*SUMIFS($Z$4:$Z$810,$A$4:$A$810,$A662,$E$4:$E$810,"Loss"),-('Guide &amp; Settings'!$C$42/($F662-1))*$Z662)))</f>
        <v>0</v>
      </c>
      <c r="AB662" s="125">
        <f>IF($D662="",0,$U662+$AA662)</f>
        <v>0</v>
      </c>
      <c r="AC662" s="125" t="str">
        <f>IF($D662="","",IF(SUMPRODUCT(MAX(($D$4:$D$810=$D662)*($B$4:$B$810&lt;$B662)*$B$4:$B$810))=0,0,MAX(($B662-MAX(SUMPRODUCT(MAX(($D$4:$D$810=$D662)*($B$4:$B$810&lt;$B662)*$B$4:$B$810)),'Guide &amp; Settings'!$C$50))/7-'Guide &amp; Settings'!$C$48,0)*'Guide &amp; Settings'!$C$49))</f>
      </c>
    </row>
    <row r="663" spans="1:29">
      <c r="A663" s="116"/>
      <c r="B663" s="117"/>
      <c r="C663" s="118"/>
      <c r="D663" s="118"/>
      <c r="E663" s="116"/>
      <c r="F663" s="119">
        <f>IF($D663="",0,COUNTIF($A$4:$A$810,$A663))</f>
        <v>0</v>
      </c>
      <c r="G663" s="120">
        <f>IF($D663="","",IFERROR(LOOKUP(2,1/(($A$4:$A$810=$A663)*($E$4:$E$810="Win")),$D$4:$D$810),"(no winner)"))</f>
        <v>0</v>
      </c>
      <c r="H663" s="121">
        <f>IF($D663="",0,IFERROR(LOOKUP(2,1/(($D$3:D662=$D663)*($A$3:A662&lt;$A663)),$N$3:N662),'Guide &amp; Settings'!$C$41))</f>
        <v>0</v>
      </c>
      <c r="I663" s="122">
        <f>IF($D663="",0,IF($S663=0,0,$R663/$S663))</f>
        <v>0</v>
      </c>
      <c r="J663" s="123">
        <f>IF($D663="",0,IF($F663&lt;2,0,IF($E663="Win",('Guide &amp; Settings'!$C$42/(($F663-1)*COUNTIFS($A$4:$A$810,$A663,$E$4:$E$810,"Win")))*SUMIFS($X$4:$X$810,$A$4:$A$810,$A663,$E$4:$E$810,"Loss"),-('Guide &amp; Settings'!$C$42/($F663-1))*$X663)))</f>
        <v>0</v>
      </c>
      <c r="K663" s="123">
        <f>IF($D663="",0,'Guide &amp; Settings'!$C$43*(IF($E663="Win",1,0)-$I663))</f>
        <v>0</v>
      </c>
      <c r="L663" s="124">
        <f>IF($D663="",0,'Guide &amp; Settings'!$C$44*IF($F663&gt;=3,$F663+IF($E663="Win",$F663,0),0))</f>
        <v>0</v>
      </c>
      <c r="M663" s="123">
        <f>IF($D663="",0,$J663+$K663+$L663)</f>
        <v>0</v>
      </c>
      <c r="N663" s="121">
        <f>IF($D663="",0,$H663+$M663)</f>
        <v>0</v>
      </c>
      <c r="O663" s="120" t="str">
        <f>IF($D663="","",IF(COUNTIFS($A$4:$A$810,$A663,$E$4:$E$810,"Win")=0,"need a winner",IF(COUNTIFS($A$4:$A$810,$A663,$E$4:$E$810,"Loss")=0,"need a loser",IF(COUNTIFS($A$4:$A$810,$A663,$D$4:$D$810,$D663)&gt;1,"duplicate player","OK"))))</f>
      </c>
      <c r="P663">
        <f>IF($D663="",0,IFERROR(SUMIFS($H$4:$H$810,$A$4:$A$810,$A663,$E$4:$E$810,"Win")/COUNTIFS($A$4:$A$810,$A663,$E$4:$E$810,"Win"),0))</f>
        <v>0</v>
      </c>
      <c r="Q663">
        <f>IF($D663="",0,1/(1+10^(($P663-$H663)/400)))</f>
        <v>0</v>
      </c>
      <c r="R663">
        <f>IF($D663="",0,(COUNTIFS($D$4:$D$810,$D663,$C$4:$C$810,$C663,$E$4:$E$810,"Win",$A$4:$A$810,"&lt;"&amp;$A663)+1)/(COUNTIFS($D$4:$D$810,$D663,$C$4:$C$810,$C663,$A$4:$A$810,"&lt;"&amp;$A663)+2))</f>
        <v>0</v>
      </c>
      <c r="S663">
        <f>IF($D663="",0,SUMIFS($R$4:$R$810,$A$4:$A$810,$A663))</f>
        <v>0</v>
      </c>
      <c r="T663" s="88">
        <f>IF($D663="",0,COUNTIFS($D$4:$D$810,$D663,$C$4:$C$810,$C663,$A$4:$A$810,"&lt;"&amp;$A663))</f>
        <v>0</v>
      </c>
      <c r="U663" s="125">
        <f>IF($D663="",0,IFERROR(LOOKUP(2,1/(($D$3:D662=$D663)*($C$3:C662=$C663)*($A$3:A662&lt;$A663)),$AB$3:AB662),1000))</f>
        <v>0</v>
      </c>
      <c r="V663" s="125">
        <f>IF($D663="",0,$U663*($T663/($T663+5))+$H663*(1-$T663/($T663+5)))</f>
        <v>0</v>
      </c>
      <c r="W663">
        <f>IF($D663="",0,IFERROR(SUMIFS($V$4:$V$810,$A$4:$A$810,$A663,$E$4:$E$810,"Win")/COUNTIFS($A$4:$A$810,$A663,$E$4:$E$810,"Win"),0))</f>
        <v>0</v>
      </c>
      <c r="X663">
        <f>IF($D663="",0,1/(1+10^(($W663-$V663)/400)))</f>
        <v>0</v>
      </c>
      <c r="Y663">
        <f>IF($D663="",0,IFERROR(SUMIFS($U$4:$U$810,$A$4:$A$810,$A663,$E$4:$E$810,"Win")/COUNTIFS($A$4:$A$810,$A663,$E$4:$E$810,"Win"),0))</f>
        <v>0</v>
      </c>
      <c r="Z663">
        <f>IF($D663="",0,1/(1+10^(($Y663-$U663)/400)))</f>
        <v>0</v>
      </c>
      <c r="AA663">
        <f>IF($D663="",0,IF($F663&lt;2,0,IF($E663="Win",('Guide &amp; Settings'!$C$42/(($F663-1)*COUNTIFS($A$4:$A$810,$A663,$E$4:$E$810,"Win")))*SUMIFS($Z$4:$Z$810,$A$4:$A$810,$A663,$E$4:$E$810,"Loss"),-('Guide &amp; Settings'!$C$42/($F663-1))*$Z663)))</f>
        <v>0</v>
      </c>
      <c r="AB663" s="125">
        <f>IF($D663="",0,$U663+$AA663)</f>
        <v>0</v>
      </c>
      <c r="AC663" s="125" t="str">
        <f>IF($D663="","",IF(SUMPRODUCT(MAX(($D$4:$D$810=$D663)*($B$4:$B$810&lt;$B663)*$B$4:$B$810))=0,0,MAX(($B663-MAX(SUMPRODUCT(MAX(($D$4:$D$810=$D663)*($B$4:$B$810&lt;$B663)*$B$4:$B$810)),'Guide &amp; Settings'!$C$50))/7-'Guide &amp; Settings'!$C$48,0)*'Guide &amp; Settings'!$C$49))</f>
      </c>
    </row>
    <row r="664" spans="1:29">
      <c r="A664" s="116"/>
      <c r="B664" s="117"/>
      <c r="C664" s="118"/>
      <c r="D664" s="118"/>
      <c r="E664" s="116"/>
      <c r="F664" s="119">
        <f>IF($D664="",0,COUNTIF($A$4:$A$810,$A664))</f>
        <v>0</v>
      </c>
      <c r="G664" s="120">
        <f>IF($D664="","",IFERROR(LOOKUP(2,1/(($A$4:$A$810=$A664)*($E$4:$E$810="Win")),$D$4:$D$810),"(no winner)"))</f>
        <v>0</v>
      </c>
      <c r="H664" s="121">
        <f>IF($D664="",0,IFERROR(LOOKUP(2,1/(($D$3:D663=$D664)*($A$3:A663&lt;$A664)),$N$3:N663),'Guide &amp; Settings'!$C$41))</f>
        <v>0</v>
      </c>
      <c r="I664" s="122">
        <f>IF($D664="",0,IF($S664=0,0,$R664/$S664))</f>
        <v>0</v>
      </c>
      <c r="J664" s="123">
        <f>IF($D664="",0,IF($F664&lt;2,0,IF($E664="Win",('Guide &amp; Settings'!$C$42/(($F664-1)*COUNTIFS($A$4:$A$810,$A664,$E$4:$E$810,"Win")))*SUMIFS($X$4:$X$810,$A$4:$A$810,$A664,$E$4:$E$810,"Loss"),-('Guide &amp; Settings'!$C$42/($F664-1))*$X664)))</f>
        <v>0</v>
      </c>
      <c r="K664" s="123">
        <f>IF($D664="",0,'Guide &amp; Settings'!$C$43*(IF($E664="Win",1,0)-$I664))</f>
        <v>0</v>
      </c>
      <c r="L664" s="124">
        <f>IF($D664="",0,'Guide &amp; Settings'!$C$44*IF($F664&gt;=3,$F664+IF($E664="Win",$F664,0),0))</f>
        <v>0</v>
      </c>
      <c r="M664" s="123">
        <f>IF($D664="",0,$J664+$K664+$L664)</f>
        <v>0</v>
      </c>
      <c r="N664" s="121">
        <f>IF($D664="",0,$H664+$M664)</f>
        <v>0</v>
      </c>
      <c r="O664" s="120" t="str">
        <f>IF($D664="","",IF(COUNTIFS($A$4:$A$810,$A664,$E$4:$E$810,"Win")=0,"need a winner",IF(COUNTIFS($A$4:$A$810,$A664,$E$4:$E$810,"Loss")=0,"need a loser",IF(COUNTIFS($A$4:$A$810,$A664,$D$4:$D$810,$D664)&gt;1,"duplicate player","OK"))))</f>
      </c>
      <c r="P664">
        <f>IF($D664="",0,IFERROR(SUMIFS($H$4:$H$810,$A$4:$A$810,$A664,$E$4:$E$810,"Win")/COUNTIFS($A$4:$A$810,$A664,$E$4:$E$810,"Win"),0))</f>
        <v>0</v>
      </c>
      <c r="Q664">
        <f>IF($D664="",0,1/(1+10^(($P664-$H664)/400)))</f>
        <v>0</v>
      </c>
      <c r="R664">
        <f>IF($D664="",0,(COUNTIFS($D$4:$D$810,$D664,$C$4:$C$810,$C664,$E$4:$E$810,"Win",$A$4:$A$810,"&lt;"&amp;$A664)+1)/(COUNTIFS($D$4:$D$810,$D664,$C$4:$C$810,$C664,$A$4:$A$810,"&lt;"&amp;$A664)+2))</f>
        <v>0</v>
      </c>
      <c r="S664">
        <f>IF($D664="",0,SUMIFS($R$4:$R$810,$A$4:$A$810,$A664))</f>
        <v>0</v>
      </c>
      <c r="T664" s="88">
        <f>IF($D664="",0,COUNTIFS($D$4:$D$810,$D664,$C$4:$C$810,$C664,$A$4:$A$810,"&lt;"&amp;$A664))</f>
        <v>0</v>
      </c>
      <c r="U664" s="125">
        <f>IF($D664="",0,IFERROR(LOOKUP(2,1/(($D$3:D663=$D664)*($C$3:C663=$C664)*($A$3:A663&lt;$A664)),$AB$3:AB663),1000))</f>
        <v>0</v>
      </c>
      <c r="V664" s="125">
        <f>IF($D664="",0,$U664*($T664/($T664+5))+$H664*(1-$T664/($T664+5)))</f>
        <v>0</v>
      </c>
      <c r="W664">
        <f>IF($D664="",0,IFERROR(SUMIFS($V$4:$V$810,$A$4:$A$810,$A664,$E$4:$E$810,"Win")/COUNTIFS($A$4:$A$810,$A664,$E$4:$E$810,"Win"),0))</f>
        <v>0</v>
      </c>
      <c r="X664">
        <f>IF($D664="",0,1/(1+10^(($W664-$V664)/400)))</f>
        <v>0</v>
      </c>
      <c r="Y664">
        <f>IF($D664="",0,IFERROR(SUMIFS($U$4:$U$810,$A$4:$A$810,$A664,$E$4:$E$810,"Win")/COUNTIFS($A$4:$A$810,$A664,$E$4:$E$810,"Win"),0))</f>
        <v>0</v>
      </c>
      <c r="Z664">
        <f>IF($D664="",0,1/(1+10^(($Y664-$U664)/400)))</f>
        <v>0</v>
      </c>
      <c r="AA664">
        <f>IF($D664="",0,IF($F664&lt;2,0,IF($E664="Win",('Guide &amp; Settings'!$C$42/(($F664-1)*COUNTIFS($A$4:$A$810,$A664,$E$4:$E$810,"Win")))*SUMIFS($Z$4:$Z$810,$A$4:$A$810,$A664,$E$4:$E$810,"Loss"),-('Guide &amp; Settings'!$C$42/($F664-1))*$Z664)))</f>
        <v>0</v>
      </c>
      <c r="AB664" s="125">
        <f>IF($D664="",0,$U664+$AA664)</f>
        <v>0</v>
      </c>
      <c r="AC664" s="125" t="str">
        <f>IF($D664="","",IF(SUMPRODUCT(MAX(($D$4:$D$810=$D664)*($B$4:$B$810&lt;$B664)*$B$4:$B$810))=0,0,MAX(($B664-MAX(SUMPRODUCT(MAX(($D$4:$D$810=$D664)*($B$4:$B$810&lt;$B664)*$B$4:$B$810)),'Guide &amp; Settings'!$C$50))/7-'Guide &amp; Settings'!$C$48,0)*'Guide &amp; Settings'!$C$49))</f>
      </c>
    </row>
    <row r="665" spans="1:29">
      <c r="A665" s="116"/>
      <c r="B665" s="117"/>
      <c r="C665" s="118"/>
      <c r="D665" s="118"/>
      <c r="E665" s="116"/>
      <c r="F665" s="119">
        <f>IF($D665="",0,COUNTIF($A$4:$A$810,$A665))</f>
        <v>0</v>
      </c>
      <c r="G665" s="120">
        <f>IF($D665="","",IFERROR(LOOKUP(2,1/(($A$4:$A$810=$A665)*($E$4:$E$810="Win")),$D$4:$D$810),"(no winner)"))</f>
        <v>0</v>
      </c>
      <c r="H665" s="121">
        <f>IF($D665="",0,IFERROR(LOOKUP(2,1/(($D$3:D664=$D665)*($A$3:A664&lt;$A665)),$N$3:N664),'Guide &amp; Settings'!$C$41))</f>
        <v>0</v>
      </c>
      <c r="I665" s="122">
        <f>IF($D665="",0,IF($S665=0,0,$R665/$S665))</f>
        <v>0</v>
      </c>
      <c r="J665" s="123">
        <f>IF($D665="",0,IF($F665&lt;2,0,IF($E665="Win",('Guide &amp; Settings'!$C$42/(($F665-1)*COUNTIFS($A$4:$A$810,$A665,$E$4:$E$810,"Win")))*SUMIFS($X$4:$X$810,$A$4:$A$810,$A665,$E$4:$E$810,"Loss"),-('Guide &amp; Settings'!$C$42/($F665-1))*$X665)))</f>
        <v>0</v>
      </c>
      <c r="K665" s="123">
        <f>IF($D665="",0,'Guide &amp; Settings'!$C$43*(IF($E665="Win",1,0)-$I665))</f>
        <v>0</v>
      </c>
      <c r="L665" s="124">
        <f>IF($D665="",0,'Guide &amp; Settings'!$C$44*IF($F665&gt;=3,$F665+IF($E665="Win",$F665,0),0))</f>
        <v>0</v>
      </c>
      <c r="M665" s="123">
        <f>IF($D665="",0,$J665+$K665+$L665)</f>
        <v>0</v>
      </c>
      <c r="N665" s="121">
        <f>IF($D665="",0,$H665+$M665)</f>
        <v>0</v>
      </c>
      <c r="O665" s="120" t="str">
        <f>IF($D665="","",IF(COUNTIFS($A$4:$A$810,$A665,$E$4:$E$810,"Win")=0,"need a winner",IF(COUNTIFS($A$4:$A$810,$A665,$E$4:$E$810,"Loss")=0,"need a loser",IF(COUNTIFS($A$4:$A$810,$A665,$D$4:$D$810,$D665)&gt;1,"duplicate player","OK"))))</f>
      </c>
      <c r="P665">
        <f>IF($D665="",0,IFERROR(SUMIFS($H$4:$H$810,$A$4:$A$810,$A665,$E$4:$E$810,"Win")/COUNTIFS($A$4:$A$810,$A665,$E$4:$E$810,"Win"),0))</f>
        <v>0</v>
      </c>
      <c r="Q665">
        <f>IF($D665="",0,1/(1+10^(($P665-$H665)/400)))</f>
        <v>0</v>
      </c>
      <c r="R665">
        <f>IF($D665="",0,(COUNTIFS($D$4:$D$810,$D665,$C$4:$C$810,$C665,$E$4:$E$810,"Win",$A$4:$A$810,"&lt;"&amp;$A665)+1)/(COUNTIFS($D$4:$D$810,$D665,$C$4:$C$810,$C665,$A$4:$A$810,"&lt;"&amp;$A665)+2))</f>
        <v>0</v>
      </c>
      <c r="S665">
        <f>IF($D665="",0,SUMIFS($R$4:$R$810,$A$4:$A$810,$A665))</f>
        <v>0</v>
      </c>
      <c r="T665" s="88">
        <f>IF($D665="",0,COUNTIFS($D$4:$D$810,$D665,$C$4:$C$810,$C665,$A$4:$A$810,"&lt;"&amp;$A665))</f>
        <v>0</v>
      </c>
      <c r="U665" s="125">
        <f>IF($D665="",0,IFERROR(LOOKUP(2,1/(($D$3:D664=$D665)*($C$3:C664=$C665)*($A$3:A664&lt;$A665)),$AB$3:AB664),1000))</f>
        <v>0</v>
      </c>
      <c r="V665" s="125">
        <f>IF($D665="",0,$U665*($T665/($T665+5))+$H665*(1-$T665/($T665+5)))</f>
        <v>0</v>
      </c>
      <c r="W665">
        <f>IF($D665="",0,IFERROR(SUMIFS($V$4:$V$810,$A$4:$A$810,$A665,$E$4:$E$810,"Win")/COUNTIFS($A$4:$A$810,$A665,$E$4:$E$810,"Win"),0))</f>
        <v>0</v>
      </c>
      <c r="X665">
        <f>IF($D665="",0,1/(1+10^(($W665-$V665)/400)))</f>
        <v>0</v>
      </c>
      <c r="Y665">
        <f>IF($D665="",0,IFERROR(SUMIFS($U$4:$U$810,$A$4:$A$810,$A665,$E$4:$E$810,"Win")/COUNTIFS($A$4:$A$810,$A665,$E$4:$E$810,"Win"),0))</f>
        <v>0</v>
      </c>
      <c r="Z665">
        <f>IF($D665="",0,1/(1+10^(($Y665-$U665)/400)))</f>
        <v>0</v>
      </c>
      <c r="AA665">
        <f>IF($D665="",0,IF($F665&lt;2,0,IF($E665="Win",('Guide &amp; Settings'!$C$42/(($F665-1)*COUNTIFS($A$4:$A$810,$A665,$E$4:$E$810,"Win")))*SUMIFS($Z$4:$Z$810,$A$4:$A$810,$A665,$E$4:$E$810,"Loss"),-('Guide &amp; Settings'!$C$42/($F665-1))*$Z665)))</f>
        <v>0</v>
      </c>
      <c r="AB665" s="125">
        <f>IF($D665="",0,$U665+$AA665)</f>
        <v>0</v>
      </c>
      <c r="AC665" s="125" t="str">
        <f>IF($D665="","",IF(SUMPRODUCT(MAX(($D$4:$D$810=$D665)*($B$4:$B$810&lt;$B665)*$B$4:$B$810))=0,0,MAX(($B665-MAX(SUMPRODUCT(MAX(($D$4:$D$810=$D665)*($B$4:$B$810&lt;$B665)*$B$4:$B$810)),'Guide &amp; Settings'!$C$50))/7-'Guide &amp; Settings'!$C$48,0)*'Guide &amp; Settings'!$C$49))</f>
      </c>
    </row>
    <row r="666" spans="1:29">
      <c r="A666" s="116"/>
      <c r="B666" s="117"/>
      <c r="C666" s="118"/>
      <c r="D666" s="118"/>
      <c r="E666" s="116"/>
      <c r="F666" s="119">
        <f>IF($D666="",0,COUNTIF($A$4:$A$810,$A666))</f>
        <v>0</v>
      </c>
      <c r="G666" s="120">
        <f>IF($D666="","",IFERROR(LOOKUP(2,1/(($A$4:$A$810=$A666)*($E$4:$E$810="Win")),$D$4:$D$810),"(no winner)"))</f>
        <v>0</v>
      </c>
      <c r="H666" s="121">
        <f>IF($D666="",0,IFERROR(LOOKUP(2,1/(($D$3:D665=$D666)*($A$3:A665&lt;$A666)),$N$3:N665),'Guide &amp; Settings'!$C$41))</f>
        <v>0</v>
      </c>
      <c r="I666" s="122">
        <f>IF($D666="",0,IF($S666=0,0,$R666/$S666))</f>
        <v>0</v>
      </c>
      <c r="J666" s="123">
        <f>IF($D666="",0,IF($F666&lt;2,0,IF($E666="Win",('Guide &amp; Settings'!$C$42/(($F666-1)*COUNTIFS($A$4:$A$810,$A666,$E$4:$E$810,"Win")))*SUMIFS($X$4:$X$810,$A$4:$A$810,$A666,$E$4:$E$810,"Loss"),-('Guide &amp; Settings'!$C$42/($F666-1))*$X666)))</f>
        <v>0</v>
      </c>
      <c r="K666" s="123">
        <f>IF($D666="",0,'Guide &amp; Settings'!$C$43*(IF($E666="Win",1,0)-$I666))</f>
        <v>0</v>
      </c>
      <c r="L666" s="124">
        <f>IF($D666="",0,'Guide &amp; Settings'!$C$44*IF($F666&gt;=3,$F666+IF($E666="Win",$F666,0),0))</f>
        <v>0</v>
      </c>
      <c r="M666" s="123">
        <f>IF($D666="",0,$J666+$K666+$L666)</f>
        <v>0</v>
      </c>
      <c r="N666" s="121">
        <f>IF($D666="",0,$H666+$M666)</f>
        <v>0</v>
      </c>
      <c r="O666" s="120" t="str">
        <f>IF($D666="","",IF(COUNTIFS($A$4:$A$810,$A666,$E$4:$E$810,"Win")=0,"need a winner",IF(COUNTIFS($A$4:$A$810,$A666,$E$4:$E$810,"Loss")=0,"need a loser",IF(COUNTIFS($A$4:$A$810,$A666,$D$4:$D$810,$D666)&gt;1,"duplicate player","OK"))))</f>
      </c>
      <c r="P666">
        <f>IF($D666="",0,IFERROR(SUMIFS($H$4:$H$810,$A$4:$A$810,$A666,$E$4:$E$810,"Win")/COUNTIFS($A$4:$A$810,$A666,$E$4:$E$810,"Win"),0))</f>
        <v>0</v>
      </c>
      <c r="Q666">
        <f>IF($D666="",0,1/(1+10^(($P666-$H666)/400)))</f>
        <v>0</v>
      </c>
      <c r="R666">
        <f>IF($D666="",0,(COUNTIFS($D$4:$D$810,$D666,$C$4:$C$810,$C666,$E$4:$E$810,"Win",$A$4:$A$810,"&lt;"&amp;$A666)+1)/(COUNTIFS($D$4:$D$810,$D666,$C$4:$C$810,$C666,$A$4:$A$810,"&lt;"&amp;$A666)+2))</f>
        <v>0</v>
      </c>
      <c r="S666">
        <f>IF($D666="",0,SUMIFS($R$4:$R$810,$A$4:$A$810,$A666))</f>
        <v>0</v>
      </c>
      <c r="T666" s="88">
        <f>IF($D666="",0,COUNTIFS($D$4:$D$810,$D666,$C$4:$C$810,$C666,$A$4:$A$810,"&lt;"&amp;$A666))</f>
        <v>0</v>
      </c>
      <c r="U666" s="125">
        <f>IF($D666="",0,IFERROR(LOOKUP(2,1/(($D$3:D665=$D666)*($C$3:C665=$C666)*($A$3:A665&lt;$A666)),$AB$3:AB665),1000))</f>
        <v>0</v>
      </c>
      <c r="V666" s="125">
        <f>IF($D666="",0,$U666*($T666/($T666+5))+$H666*(1-$T666/($T666+5)))</f>
        <v>0</v>
      </c>
      <c r="W666">
        <f>IF($D666="",0,IFERROR(SUMIFS($V$4:$V$810,$A$4:$A$810,$A666,$E$4:$E$810,"Win")/COUNTIFS($A$4:$A$810,$A666,$E$4:$E$810,"Win"),0))</f>
        <v>0</v>
      </c>
      <c r="X666">
        <f>IF($D666="",0,1/(1+10^(($W666-$V666)/400)))</f>
        <v>0</v>
      </c>
      <c r="Y666">
        <f>IF($D666="",0,IFERROR(SUMIFS($U$4:$U$810,$A$4:$A$810,$A666,$E$4:$E$810,"Win")/COUNTIFS($A$4:$A$810,$A666,$E$4:$E$810,"Win"),0))</f>
        <v>0</v>
      </c>
      <c r="Z666">
        <f>IF($D666="",0,1/(1+10^(($Y666-$U666)/400)))</f>
        <v>0</v>
      </c>
      <c r="AA666">
        <f>IF($D666="",0,IF($F666&lt;2,0,IF($E666="Win",('Guide &amp; Settings'!$C$42/(($F666-1)*COUNTIFS($A$4:$A$810,$A666,$E$4:$E$810,"Win")))*SUMIFS($Z$4:$Z$810,$A$4:$A$810,$A666,$E$4:$E$810,"Loss"),-('Guide &amp; Settings'!$C$42/($F666-1))*$Z666)))</f>
        <v>0</v>
      </c>
      <c r="AB666" s="125">
        <f>IF($D666="",0,$U666+$AA666)</f>
        <v>0</v>
      </c>
      <c r="AC666" s="125" t="str">
        <f>IF($D666="","",IF(SUMPRODUCT(MAX(($D$4:$D$810=$D666)*($B$4:$B$810&lt;$B666)*$B$4:$B$810))=0,0,MAX(($B666-MAX(SUMPRODUCT(MAX(($D$4:$D$810=$D666)*($B$4:$B$810&lt;$B666)*$B$4:$B$810)),'Guide &amp; Settings'!$C$50))/7-'Guide &amp; Settings'!$C$48,0)*'Guide &amp; Settings'!$C$49))</f>
      </c>
    </row>
    <row r="667" spans="1:29">
      <c r="A667" s="116"/>
      <c r="B667" s="117"/>
      <c r="C667" s="118"/>
      <c r="D667" s="118"/>
      <c r="E667" s="116"/>
      <c r="F667" s="119">
        <f>IF($D667="",0,COUNTIF($A$4:$A$810,$A667))</f>
        <v>0</v>
      </c>
      <c r="G667" s="120">
        <f>IF($D667="","",IFERROR(LOOKUP(2,1/(($A$4:$A$810=$A667)*($E$4:$E$810="Win")),$D$4:$D$810),"(no winner)"))</f>
        <v>0</v>
      </c>
      <c r="H667" s="121">
        <f>IF($D667="",0,IFERROR(LOOKUP(2,1/(($D$3:D666=$D667)*($A$3:A666&lt;$A667)),$N$3:N666),'Guide &amp; Settings'!$C$41))</f>
        <v>0</v>
      </c>
      <c r="I667" s="122">
        <f>IF($D667="",0,IF($S667=0,0,$R667/$S667))</f>
        <v>0</v>
      </c>
      <c r="J667" s="123">
        <f>IF($D667="",0,IF($F667&lt;2,0,IF($E667="Win",('Guide &amp; Settings'!$C$42/(($F667-1)*COUNTIFS($A$4:$A$810,$A667,$E$4:$E$810,"Win")))*SUMIFS($X$4:$X$810,$A$4:$A$810,$A667,$E$4:$E$810,"Loss"),-('Guide &amp; Settings'!$C$42/($F667-1))*$X667)))</f>
        <v>0</v>
      </c>
      <c r="K667" s="123">
        <f>IF($D667="",0,'Guide &amp; Settings'!$C$43*(IF($E667="Win",1,0)-$I667))</f>
        <v>0</v>
      </c>
      <c r="L667" s="124">
        <f>IF($D667="",0,'Guide &amp; Settings'!$C$44*IF($F667&gt;=3,$F667+IF($E667="Win",$F667,0),0))</f>
        <v>0</v>
      </c>
      <c r="M667" s="123">
        <f>IF($D667="",0,$J667+$K667+$L667)</f>
        <v>0</v>
      </c>
      <c r="N667" s="121">
        <f>IF($D667="",0,$H667+$M667)</f>
        <v>0</v>
      </c>
      <c r="O667" s="120" t="str">
        <f>IF($D667="","",IF(COUNTIFS($A$4:$A$810,$A667,$E$4:$E$810,"Win")=0,"need a winner",IF(COUNTIFS($A$4:$A$810,$A667,$E$4:$E$810,"Loss")=0,"need a loser",IF(COUNTIFS($A$4:$A$810,$A667,$D$4:$D$810,$D667)&gt;1,"duplicate player","OK"))))</f>
      </c>
      <c r="P667">
        <f>IF($D667="",0,IFERROR(SUMIFS($H$4:$H$810,$A$4:$A$810,$A667,$E$4:$E$810,"Win")/COUNTIFS($A$4:$A$810,$A667,$E$4:$E$810,"Win"),0))</f>
        <v>0</v>
      </c>
      <c r="Q667">
        <f>IF($D667="",0,1/(1+10^(($P667-$H667)/400)))</f>
        <v>0</v>
      </c>
      <c r="R667">
        <f>IF($D667="",0,(COUNTIFS($D$4:$D$810,$D667,$C$4:$C$810,$C667,$E$4:$E$810,"Win",$A$4:$A$810,"&lt;"&amp;$A667)+1)/(COUNTIFS($D$4:$D$810,$D667,$C$4:$C$810,$C667,$A$4:$A$810,"&lt;"&amp;$A667)+2))</f>
        <v>0</v>
      </c>
      <c r="S667">
        <f>IF($D667="",0,SUMIFS($R$4:$R$810,$A$4:$A$810,$A667))</f>
        <v>0</v>
      </c>
      <c r="T667" s="88">
        <f>IF($D667="",0,COUNTIFS($D$4:$D$810,$D667,$C$4:$C$810,$C667,$A$4:$A$810,"&lt;"&amp;$A667))</f>
        <v>0</v>
      </c>
      <c r="U667" s="125">
        <f>IF($D667="",0,IFERROR(LOOKUP(2,1/(($D$3:D666=$D667)*($C$3:C666=$C667)*($A$3:A666&lt;$A667)),$AB$3:AB666),1000))</f>
        <v>0</v>
      </c>
      <c r="V667" s="125">
        <f>IF($D667="",0,$U667*($T667/($T667+5))+$H667*(1-$T667/($T667+5)))</f>
        <v>0</v>
      </c>
      <c r="W667">
        <f>IF($D667="",0,IFERROR(SUMIFS($V$4:$V$810,$A$4:$A$810,$A667,$E$4:$E$810,"Win")/COUNTIFS($A$4:$A$810,$A667,$E$4:$E$810,"Win"),0))</f>
        <v>0</v>
      </c>
      <c r="X667">
        <f>IF($D667="",0,1/(1+10^(($W667-$V667)/400)))</f>
        <v>0</v>
      </c>
      <c r="Y667">
        <f>IF($D667="",0,IFERROR(SUMIFS($U$4:$U$810,$A$4:$A$810,$A667,$E$4:$E$810,"Win")/COUNTIFS($A$4:$A$810,$A667,$E$4:$E$810,"Win"),0))</f>
        <v>0</v>
      </c>
      <c r="Z667">
        <f>IF($D667="",0,1/(1+10^(($Y667-$U667)/400)))</f>
        <v>0</v>
      </c>
      <c r="AA667">
        <f>IF($D667="",0,IF($F667&lt;2,0,IF($E667="Win",('Guide &amp; Settings'!$C$42/(($F667-1)*COUNTIFS($A$4:$A$810,$A667,$E$4:$E$810,"Win")))*SUMIFS($Z$4:$Z$810,$A$4:$A$810,$A667,$E$4:$E$810,"Loss"),-('Guide &amp; Settings'!$C$42/($F667-1))*$Z667)))</f>
        <v>0</v>
      </c>
      <c r="AB667" s="125">
        <f>IF($D667="",0,$U667+$AA667)</f>
        <v>0</v>
      </c>
      <c r="AC667" s="125" t="str">
        <f>IF($D667="","",IF(SUMPRODUCT(MAX(($D$4:$D$810=$D667)*($B$4:$B$810&lt;$B667)*$B$4:$B$810))=0,0,MAX(($B667-MAX(SUMPRODUCT(MAX(($D$4:$D$810=$D667)*($B$4:$B$810&lt;$B667)*$B$4:$B$810)),'Guide &amp; Settings'!$C$50))/7-'Guide &amp; Settings'!$C$48,0)*'Guide &amp; Settings'!$C$49))</f>
      </c>
    </row>
    <row r="668" spans="1:29">
      <c r="A668" s="116"/>
      <c r="B668" s="117"/>
      <c r="C668" s="118"/>
      <c r="D668" s="118"/>
      <c r="E668" s="116"/>
      <c r="F668" s="119">
        <f>IF($D668="",0,COUNTIF($A$4:$A$810,$A668))</f>
        <v>0</v>
      </c>
      <c r="G668" s="120">
        <f>IF($D668="","",IFERROR(LOOKUP(2,1/(($A$4:$A$810=$A668)*($E$4:$E$810="Win")),$D$4:$D$810),"(no winner)"))</f>
        <v>0</v>
      </c>
      <c r="H668" s="121">
        <f>IF($D668="",0,IFERROR(LOOKUP(2,1/(($D$3:D667=$D668)*($A$3:A667&lt;$A668)),$N$3:N667),'Guide &amp; Settings'!$C$41))</f>
        <v>0</v>
      </c>
      <c r="I668" s="122">
        <f>IF($D668="",0,IF($S668=0,0,$R668/$S668))</f>
        <v>0</v>
      </c>
      <c r="J668" s="123">
        <f>IF($D668="",0,IF($F668&lt;2,0,IF($E668="Win",('Guide &amp; Settings'!$C$42/(($F668-1)*COUNTIFS($A$4:$A$810,$A668,$E$4:$E$810,"Win")))*SUMIFS($X$4:$X$810,$A$4:$A$810,$A668,$E$4:$E$810,"Loss"),-('Guide &amp; Settings'!$C$42/($F668-1))*$X668)))</f>
        <v>0</v>
      </c>
      <c r="K668" s="123">
        <f>IF($D668="",0,'Guide &amp; Settings'!$C$43*(IF($E668="Win",1,0)-$I668))</f>
        <v>0</v>
      </c>
      <c r="L668" s="124">
        <f>IF($D668="",0,'Guide &amp; Settings'!$C$44*IF($F668&gt;=3,$F668+IF($E668="Win",$F668,0),0))</f>
        <v>0</v>
      </c>
      <c r="M668" s="123">
        <f>IF($D668="",0,$J668+$K668+$L668)</f>
        <v>0</v>
      </c>
      <c r="N668" s="121">
        <f>IF($D668="",0,$H668+$M668)</f>
        <v>0</v>
      </c>
      <c r="O668" s="120" t="str">
        <f>IF($D668="","",IF(COUNTIFS($A$4:$A$810,$A668,$E$4:$E$810,"Win")=0,"need a winner",IF(COUNTIFS($A$4:$A$810,$A668,$E$4:$E$810,"Loss")=0,"need a loser",IF(COUNTIFS($A$4:$A$810,$A668,$D$4:$D$810,$D668)&gt;1,"duplicate player","OK"))))</f>
      </c>
      <c r="P668">
        <f>IF($D668="",0,IFERROR(SUMIFS($H$4:$H$810,$A$4:$A$810,$A668,$E$4:$E$810,"Win")/COUNTIFS($A$4:$A$810,$A668,$E$4:$E$810,"Win"),0))</f>
        <v>0</v>
      </c>
      <c r="Q668">
        <f>IF($D668="",0,1/(1+10^(($P668-$H668)/400)))</f>
        <v>0</v>
      </c>
      <c r="R668">
        <f>IF($D668="",0,(COUNTIFS($D$4:$D$810,$D668,$C$4:$C$810,$C668,$E$4:$E$810,"Win",$A$4:$A$810,"&lt;"&amp;$A668)+1)/(COUNTIFS($D$4:$D$810,$D668,$C$4:$C$810,$C668,$A$4:$A$810,"&lt;"&amp;$A668)+2))</f>
        <v>0</v>
      </c>
      <c r="S668">
        <f>IF($D668="",0,SUMIFS($R$4:$R$810,$A$4:$A$810,$A668))</f>
        <v>0</v>
      </c>
      <c r="T668" s="88">
        <f>IF($D668="",0,COUNTIFS($D$4:$D$810,$D668,$C$4:$C$810,$C668,$A$4:$A$810,"&lt;"&amp;$A668))</f>
        <v>0</v>
      </c>
      <c r="U668" s="125">
        <f>IF($D668="",0,IFERROR(LOOKUP(2,1/(($D$3:D667=$D668)*($C$3:C667=$C668)*($A$3:A667&lt;$A668)),$AB$3:AB667),1000))</f>
        <v>0</v>
      </c>
      <c r="V668" s="125">
        <f>IF($D668="",0,$U668*($T668/($T668+5))+$H668*(1-$T668/($T668+5)))</f>
        <v>0</v>
      </c>
      <c r="W668">
        <f>IF($D668="",0,IFERROR(SUMIFS($V$4:$V$810,$A$4:$A$810,$A668,$E$4:$E$810,"Win")/COUNTIFS($A$4:$A$810,$A668,$E$4:$E$810,"Win"),0))</f>
        <v>0</v>
      </c>
      <c r="X668">
        <f>IF($D668="",0,1/(1+10^(($W668-$V668)/400)))</f>
        <v>0</v>
      </c>
      <c r="Y668">
        <f>IF($D668="",0,IFERROR(SUMIFS($U$4:$U$810,$A$4:$A$810,$A668,$E$4:$E$810,"Win")/COUNTIFS($A$4:$A$810,$A668,$E$4:$E$810,"Win"),0))</f>
        <v>0</v>
      </c>
      <c r="Z668">
        <f>IF($D668="",0,1/(1+10^(($Y668-$U668)/400)))</f>
        <v>0</v>
      </c>
      <c r="AA668">
        <f>IF($D668="",0,IF($F668&lt;2,0,IF($E668="Win",('Guide &amp; Settings'!$C$42/(($F668-1)*COUNTIFS($A$4:$A$810,$A668,$E$4:$E$810,"Win")))*SUMIFS($Z$4:$Z$810,$A$4:$A$810,$A668,$E$4:$E$810,"Loss"),-('Guide &amp; Settings'!$C$42/($F668-1))*$Z668)))</f>
        <v>0</v>
      </c>
      <c r="AB668" s="125">
        <f>IF($D668="",0,$U668+$AA668)</f>
        <v>0</v>
      </c>
      <c r="AC668" s="125" t="str">
        <f>IF($D668="","",IF(SUMPRODUCT(MAX(($D$4:$D$810=$D668)*($B$4:$B$810&lt;$B668)*$B$4:$B$810))=0,0,MAX(($B668-MAX(SUMPRODUCT(MAX(($D$4:$D$810=$D668)*($B$4:$B$810&lt;$B668)*$B$4:$B$810)),'Guide &amp; Settings'!$C$50))/7-'Guide &amp; Settings'!$C$48,0)*'Guide &amp; Settings'!$C$49))</f>
      </c>
    </row>
    <row r="669" spans="1:29">
      <c r="A669" s="116"/>
      <c r="B669" s="117"/>
      <c r="C669" s="118"/>
      <c r="D669" s="118"/>
      <c r="E669" s="116"/>
      <c r="F669" s="119">
        <f>IF($D669="",0,COUNTIF($A$4:$A$810,$A669))</f>
        <v>0</v>
      </c>
      <c r="G669" s="120">
        <f>IF($D669="","",IFERROR(LOOKUP(2,1/(($A$4:$A$810=$A669)*($E$4:$E$810="Win")),$D$4:$D$810),"(no winner)"))</f>
        <v>0</v>
      </c>
      <c r="H669" s="121">
        <f>IF($D669="",0,IFERROR(LOOKUP(2,1/(($D$3:D668=$D669)*($A$3:A668&lt;$A669)),$N$3:N668),'Guide &amp; Settings'!$C$41))</f>
        <v>0</v>
      </c>
      <c r="I669" s="122">
        <f>IF($D669="",0,IF($S669=0,0,$R669/$S669))</f>
        <v>0</v>
      </c>
      <c r="J669" s="123">
        <f>IF($D669="",0,IF($F669&lt;2,0,IF($E669="Win",('Guide &amp; Settings'!$C$42/(($F669-1)*COUNTIFS($A$4:$A$810,$A669,$E$4:$E$810,"Win")))*SUMIFS($X$4:$X$810,$A$4:$A$810,$A669,$E$4:$E$810,"Loss"),-('Guide &amp; Settings'!$C$42/($F669-1))*$X669)))</f>
        <v>0</v>
      </c>
      <c r="K669" s="123">
        <f>IF($D669="",0,'Guide &amp; Settings'!$C$43*(IF($E669="Win",1,0)-$I669))</f>
        <v>0</v>
      </c>
      <c r="L669" s="124">
        <f>IF($D669="",0,'Guide &amp; Settings'!$C$44*IF($F669&gt;=3,$F669+IF($E669="Win",$F669,0),0))</f>
        <v>0</v>
      </c>
      <c r="M669" s="123">
        <f>IF($D669="",0,$J669+$K669+$L669)</f>
        <v>0</v>
      </c>
      <c r="N669" s="121">
        <f>IF($D669="",0,$H669+$M669)</f>
        <v>0</v>
      </c>
      <c r="O669" s="120" t="str">
        <f>IF($D669="","",IF(COUNTIFS($A$4:$A$810,$A669,$E$4:$E$810,"Win")=0,"need a winner",IF(COUNTIFS($A$4:$A$810,$A669,$E$4:$E$810,"Loss")=0,"need a loser",IF(COUNTIFS($A$4:$A$810,$A669,$D$4:$D$810,$D669)&gt;1,"duplicate player","OK"))))</f>
      </c>
      <c r="P669">
        <f>IF($D669="",0,IFERROR(SUMIFS($H$4:$H$810,$A$4:$A$810,$A669,$E$4:$E$810,"Win")/COUNTIFS($A$4:$A$810,$A669,$E$4:$E$810,"Win"),0))</f>
        <v>0</v>
      </c>
      <c r="Q669">
        <f>IF($D669="",0,1/(1+10^(($P669-$H669)/400)))</f>
        <v>0</v>
      </c>
      <c r="R669">
        <f>IF($D669="",0,(COUNTIFS($D$4:$D$810,$D669,$C$4:$C$810,$C669,$E$4:$E$810,"Win",$A$4:$A$810,"&lt;"&amp;$A669)+1)/(COUNTIFS($D$4:$D$810,$D669,$C$4:$C$810,$C669,$A$4:$A$810,"&lt;"&amp;$A669)+2))</f>
        <v>0</v>
      </c>
      <c r="S669">
        <f>IF($D669="",0,SUMIFS($R$4:$R$810,$A$4:$A$810,$A669))</f>
        <v>0</v>
      </c>
      <c r="T669" s="88">
        <f>IF($D669="",0,COUNTIFS($D$4:$D$810,$D669,$C$4:$C$810,$C669,$A$4:$A$810,"&lt;"&amp;$A669))</f>
        <v>0</v>
      </c>
      <c r="U669" s="125">
        <f>IF($D669="",0,IFERROR(LOOKUP(2,1/(($D$3:D668=$D669)*($C$3:C668=$C669)*($A$3:A668&lt;$A669)),$AB$3:AB668),1000))</f>
        <v>0</v>
      </c>
      <c r="V669" s="125">
        <f>IF($D669="",0,$U669*($T669/($T669+5))+$H669*(1-$T669/($T669+5)))</f>
        <v>0</v>
      </c>
      <c r="W669">
        <f>IF($D669="",0,IFERROR(SUMIFS($V$4:$V$810,$A$4:$A$810,$A669,$E$4:$E$810,"Win")/COUNTIFS($A$4:$A$810,$A669,$E$4:$E$810,"Win"),0))</f>
        <v>0</v>
      </c>
      <c r="X669">
        <f>IF($D669="",0,1/(1+10^(($W669-$V669)/400)))</f>
        <v>0</v>
      </c>
      <c r="Y669">
        <f>IF($D669="",0,IFERROR(SUMIFS($U$4:$U$810,$A$4:$A$810,$A669,$E$4:$E$810,"Win")/COUNTIFS($A$4:$A$810,$A669,$E$4:$E$810,"Win"),0))</f>
        <v>0</v>
      </c>
      <c r="Z669">
        <f>IF($D669="",0,1/(1+10^(($Y669-$U669)/400)))</f>
        <v>0</v>
      </c>
      <c r="AA669">
        <f>IF($D669="",0,IF($F669&lt;2,0,IF($E669="Win",('Guide &amp; Settings'!$C$42/(($F669-1)*COUNTIFS($A$4:$A$810,$A669,$E$4:$E$810,"Win")))*SUMIFS($Z$4:$Z$810,$A$4:$A$810,$A669,$E$4:$E$810,"Loss"),-('Guide &amp; Settings'!$C$42/($F669-1))*$Z669)))</f>
        <v>0</v>
      </c>
      <c r="AB669" s="125">
        <f>IF($D669="",0,$U669+$AA669)</f>
        <v>0</v>
      </c>
      <c r="AC669" s="125" t="str">
        <f>IF($D669="","",IF(SUMPRODUCT(MAX(($D$4:$D$810=$D669)*($B$4:$B$810&lt;$B669)*$B$4:$B$810))=0,0,MAX(($B669-MAX(SUMPRODUCT(MAX(($D$4:$D$810=$D669)*($B$4:$B$810&lt;$B669)*$B$4:$B$810)),'Guide &amp; Settings'!$C$50))/7-'Guide &amp; Settings'!$C$48,0)*'Guide &amp; Settings'!$C$49))</f>
      </c>
    </row>
    <row r="670" spans="1:29">
      <c r="A670" s="116"/>
      <c r="B670" s="117"/>
      <c r="C670" s="118"/>
      <c r="D670" s="118"/>
      <c r="E670" s="116"/>
      <c r="F670" s="119">
        <f>IF($D670="",0,COUNTIF($A$4:$A$810,$A670))</f>
        <v>0</v>
      </c>
      <c r="G670" s="120">
        <f>IF($D670="","",IFERROR(LOOKUP(2,1/(($A$4:$A$810=$A670)*($E$4:$E$810="Win")),$D$4:$D$810),"(no winner)"))</f>
        <v>0</v>
      </c>
      <c r="H670" s="121">
        <f>IF($D670="",0,IFERROR(LOOKUP(2,1/(($D$3:D669=$D670)*($A$3:A669&lt;$A670)),$N$3:N669),'Guide &amp; Settings'!$C$41))</f>
        <v>0</v>
      </c>
      <c r="I670" s="122">
        <f>IF($D670="",0,IF($S670=0,0,$R670/$S670))</f>
        <v>0</v>
      </c>
      <c r="J670" s="123">
        <f>IF($D670="",0,IF($F670&lt;2,0,IF($E670="Win",('Guide &amp; Settings'!$C$42/(($F670-1)*COUNTIFS($A$4:$A$810,$A670,$E$4:$E$810,"Win")))*SUMIFS($X$4:$X$810,$A$4:$A$810,$A670,$E$4:$E$810,"Loss"),-('Guide &amp; Settings'!$C$42/($F670-1))*$X670)))</f>
        <v>0</v>
      </c>
      <c r="K670" s="123">
        <f>IF($D670="",0,'Guide &amp; Settings'!$C$43*(IF($E670="Win",1,0)-$I670))</f>
        <v>0</v>
      </c>
      <c r="L670" s="124">
        <f>IF($D670="",0,'Guide &amp; Settings'!$C$44*IF($F670&gt;=3,$F670+IF($E670="Win",$F670,0),0))</f>
        <v>0</v>
      </c>
      <c r="M670" s="123">
        <f>IF($D670="",0,$J670+$K670+$L670)</f>
        <v>0</v>
      </c>
      <c r="N670" s="121">
        <f>IF($D670="",0,$H670+$M670)</f>
        <v>0</v>
      </c>
      <c r="O670" s="120" t="str">
        <f>IF($D670="","",IF(COUNTIFS($A$4:$A$810,$A670,$E$4:$E$810,"Win")=0,"need a winner",IF(COUNTIFS($A$4:$A$810,$A670,$E$4:$E$810,"Loss")=0,"need a loser",IF(COUNTIFS($A$4:$A$810,$A670,$D$4:$D$810,$D670)&gt;1,"duplicate player","OK"))))</f>
      </c>
      <c r="P670">
        <f>IF($D670="",0,IFERROR(SUMIFS($H$4:$H$810,$A$4:$A$810,$A670,$E$4:$E$810,"Win")/COUNTIFS($A$4:$A$810,$A670,$E$4:$E$810,"Win"),0))</f>
        <v>0</v>
      </c>
      <c r="Q670">
        <f>IF($D670="",0,1/(1+10^(($P670-$H670)/400)))</f>
        <v>0</v>
      </c>
      <c r="R670">
        <f>IF($D670="",0,(COUNTIFS($D$4:$D$810,$D670,$C$4:$C$810,$C670,$E$4:$E$810,"Win",$A$4:$A$810,"&lt;"&amp;$A670)+1)/(COUNTIFS($D$4:$D$810,$D670,$C$4:$C$810,$C670,$A$4:$A$810,"&lt;"&amp;$A670)+2))</f>
        <v>0</v>
      </c>
      <c r="S670">
        <f>IF($D670="",0,SUMIFS($R$4:$R$810,$A$4:$A$810,$A670))</f>
        <v>0</v>
      </c>
      <c r="T670" s="88">
        <f>IF($D670="",0,COUNTIFS($D$4:$D$810,$D670,$C$4:$C$810,$C670,$A$4:$A$810,"&lt;"&amp;$A670))</f>
        <v>0</v>
      </c>
      <c r="U670" s="125">
        <f>IF($D670="",0,IFERROR(LOOKUP(2,1/(($D$3:D669=$D670)*($C$3:C669=$C670)*($A$3:A669&lt;$A670)),$AB$3:AB669),1000))</f>
        <v>0</v>
      </c>
      <c r="V670" s="125">
        <f>IF($D670="",0,$U670*($T670/($T670+5))+$H670*(1-$T670/($T670+5)))</f>
        <v>0</v>
      </c>
      <c r="W670">
        <f>IF($D670="",0,IFERROR(SUMIFS($V$4:$V$810,$A$4:$A$810,$A670,$E$4:$E$810,"Win")/COUNTIFS($A$4:$A$810,$A670,$E$4:$E$810,"Win"),0))</f>
        <v>0</v>
      </c>
      <c r="X670">
        <f>IF($D670="",0,1/(1+10^(($W670-$V670)/400)))</f>
        <v>0</v>
      </c>
      <c r="Y670">
        <f>IF($D670="",0,IFERROR(SUMIFS($U$4:$U$810,$A$4:$A$810,$A670,$E$4:$E$810,"Win")/COUNTIFS($A$4:$A$810,$A670,$E$4:$E$810,"Win"),0))</f>
        <v>0</v>
      </c>
      <c r="Z670">
        <f>IF($D670="",0,1/(1+10^(($Y670-$U670)/400)))</f>
        <v>0</v>
      </c>
      <c r="AA670">
        <f>IF($D670="",0,IF($F670&lt;2,0,IF($E670="Win",('Guide &amp; Settings'!$C$42/(($F670-1)*COUNTIFS($A$4:$A$810,$A670,$E$4:$E$810,"Win")))*SUMIFS($Z$4:$Z$810,$A$4:$A$810,$A670,$E$4:$E$810,"Loss"),-('Guide &amp; Settings'!$C$42/($F670-1))*$Z670)))</f>
        <v>0</v>
      </c>
      <c r="AB670" s="125">
        <f>IF($D670="",0,$U670+$AA670)</f>
        <v>0</v>
      </c>
      <c r="AC670" s="125" t="str">
        <f>IF($D670="","",IF(SUMPRODUCT(MAX(($D$4:$D$810=$D670)*($B$4:$B$810&lt;$B670)*$B$4:$B$810))=0,0,MAX(($B670-MAX(SUMPRODUCT(MAX(($D$4:$D$810=$D670)*($B$4:$B$810&lt;$B670)*$B$4:$B$810)),'Guide &amp; Settings'!$C$50))/7-'Guide &amp; Settings'!$C$48,0)*'Guide &amp; Settings'!$C$49))</f>
      </c>
    </row>
    <row r="671" spans="1:29">
      <c r="A671" s="116"/>
      <c r="B671" s="117"/>
      <c r="C671" s="118"/>
      <c r="D671" s="118"/>
      <c r="E671" s="116"/>
      <c r="F671" s="119">
        <f>IF($D671="",0,COUNTIF($A$4:$A$810,$A671))</f>
        <v>0</v>
      </c>
      <c r="G671" s="120">
        <f>IF($D671="","",IFERROR(LOOKUP(2,1/(($A$4:$A$810=$A671)*($E$4:$E$810="Win")),$D$4:$D$810),"(no winner)"))</f>
        <v>0</v>
      </c>
      <c r="H671" s="121">
        <f>IF($D671="",0,IFERROR(LOOKUP(2,1/(($D$3:D670=$D671)*($A$3:A670&lt;$A671)),$N$3:N670),'Guide &amp; Settings'!$C$41))</f>
        <v>0</v>
      </c>
      <c r="I671" s="122">
        <f>IF($D671="",0,IF($S671=0,0,$R671/$S671))</f>
        <v>0</v>
      </c>
      <c r="J671" s="123">
        <f>IF($D671="",0,IF($F671&lt;2,0,IF($E671="Win",('Guide &amp; Settings'!$C$42/(($F671-1)*COUNTIFS($A$4:$A$810,$A671,$E$4:$E$810,"Win")))*SUMIFS($X$4:$X$810,$A$4:$A$810,$A671,$E$4:$E$810,"Loss"),-('Guide &amp; Settings'!$C$42/($F671-1))*$X671)))</f>
        <v>0</v>
      </c>
      <c r="K671" s="123">
        <f>IF($D671="",0,'Guide &amp; Settings'!$C$43*(IF($E671="Win",1,0)-$I671))</f>
        <v>0</v>
      </c>
      <c r="L671" s="124">
        <f>IF($D671="",0,'Guide &amp; Settings'!$C$44*IF($F671&gt;=3,$F671+IF($E671="Win",$F671,0),0))</f>
        <v>0</v>
      </c>
      <c r="M671" s="123">
        <f>IF($D671="",0,$J671+$K671+$L671)</f>
        <v>0</v>
      </c>
      <c r="N671" s="121">
        <f>IF($D671="",0,$H671+$M671)</f>
        <v>0</v>
      </c>
      <c r="O671" s="120" t="str">
        <f>IF($D671="","",IF(COUNTIFS($A$4:$A$810,$A671,$E$4:$E$810,"Win")=0,"need a winner",IF(COUNTIFS($A$4:$A$810,$A671,$E$4:$E$810,"Loss")=0,"need a loser",IF(COUNTIFS($A$4:$A$810,$A671,$D$4:$D$810,$D671)&gt;1,"duplicate player","OK"))))</f>
      </c>
      <c r="P671">
        <f>IF($D671="",0,IFERROR(SUMIFS($H$4:$H$810,$A$4:$A$810,$A671,$E$4:$E$810,"Win")/COUNTIFS($A$4:$A$810,$A671,$E$4:$E$810,"Win"),0))</f>
        <v>0</v>
      </c>
      <c r="Q671">
        <f>IF($D671="",0,1/(1+10^(($P671-$H671)/400)))</f>
        <v>0</v>
      </c>
      <c r="R671">
        <f>IF($D671="",0,(COUNTIFS($D$4:$D$810,$D671,$C$4:$C$810,$C671,$E$4:$E$810,"Win",$A$4:$A$810,"&lt;"&amp;$A671)+1)/(COUNTIFS($D$4:$D$810,$D671,$C$4:$C$810,$C671,$A$4:$A$810,"&lt;"&amp;$A671)+2))</f>
        <v>0</v>
      </c>
      <c r="S671">
        <f>IF($D671="",0,SUMIFS($R$4:$R$810,$A$4:$A$810,$A671))</f>
        <v>0</v>
      </c>
      <c r="T671" s="88">
        <f>IF($D671="",0,COUNTIFS($D$4:$D$810,$D671,$C$4:$C$810,$C671,$A$4:$A$810,"&lt;"&amp;$A671))</f>
        <v>0</v>
      </c>
      <c r="U671" s="125">
        <f>IF($D671="",0,IFERROR(LOOKUP(2,1/(($D$3:D670=$D671)*($C$3:C670=$C671)*($A$3:A670&lt;$A671)),$AB$3:AB670),1000))</f>
        <v>0</v>
      </c>
      <c r="V671" s="125">
        <f>IF($D671="",0,$U671*($T671/($T671+5))+$H671*(1-$T671/($T671+5)))</f>
        <v>0</v>
      </c>
      <c r="W671">
        <f>IF($D671="",0,IFERROR(SUMIFS($V$4:$V$810,$A$4:$A$810,$A671,$E$4:$E$810,"Win")/COUNTIFS($A$4:$A$810,$A671,$E$4:$E$810,"Win"),0))</f>
        <v>0</v>
      </c>
      <c r="X671">
        <f>IF($D671="",0,1/(1+10^(($W671-$V671)/400)))</f>
        <v>0</v>
      </c>
      <c r="Y671">
        <f>IF($D671="",0,IFERROR(SUMIFS($U$4:$U$810,$A$4:$A$810,$A671,$E$4:$E$810,"Win")/COUNTIFS($A$4:$A$810,$A671,$E$4:$E$810,"Win"),0))</f>
        <v>0</v>
      </c>
      <c r="Z671">
        <f>IF($D671="",0,1/(1+10^(($Y671-$U671)/400)))</f>
        <v>0</v>
      </c>
      <c r="AA671">
        <f>IF($D671="",0,IF($F671&lt;2,0,IF($E671="Win",('Guide &amp; Settings'!$C$42/(($F671-1)*COUNTIFS($A$4:$A$810,$A671,$E$4:$E$810,"Win")))*SUMIFS($Z$4:$Z$810,$A$4:$A$810,$A671,$E$4:$E$810,"Loss"),-('Guide &amp; Settings'!$C$42/($F671-1))*$Z671)))</f>
        <v>0</v>
      </c>
      <c r="AB671" s="125">
        <f>IF($D671="",0,$U671+$AA671)</f>
        <v>0</v>
      </c>
      <c r="AC671" s="125" t="str">
        <f>IF($D671="","",IF(SUMPRODUCT(MAX(($D$4:$D$810=$D671)*($B$4:$B$810&lt;$B671)*$B$4:$B$810))=0,0,MAX(($B671-MAX(SUMPRODUCT(MAX(($D$4:$D$810=$D671)*($B$4:$B$810&lt;$B671)*$B$4:$B$810)),'Guide &amp; Settings'!$C$50))/7-'Guide &amp; Settings'!$C$48,0)*'Guide &amp; Settings'!$C$49))</f>
      </c>
    </row>
    <row r="672" spans="1:29">
      <c r="A672" s="116"/>
      <c r="B672" s="117"/>
      <c r="C672" s="118"/>
      <c r="D672" s="118"/>
      <c r="E672" s="116"/>
      <c r="F672" s="119">
        <f>IF($D672="",0,COUNTIF($A$4:$A$810,$A672))</f>
        <v>0</v>
      </c>
      <c r="G672" s="120">
        <f>IF($D672="","",IFERROR(LOOKUP(2,1/(($A$4:$A$810=$A672)*($E$4:$E$810="Win")),$D$4:$D$810),"(no winner)"))</f>
        <v>0</v>
      </c>
      <c r="H672" s="121">
        <f>IF($D672="",0,IFERROR(LOOKUP(2,1/(($D$3:D671=$D672)*($A$3:A671&lt;$A672)),$N$3:N671),'Guide &amp; Settings'!$C$41))</f>
        <v>0</v>
      </c>
      <c r="I672" s="122">
        <f>IF($D672="",0,IF($S672=0,0,$R672/$S672))</f>
        <v>0</v>
      </c>
      <c r="J672" s="123">
        <f>IF($D672="",0,IF($F672&lt;2,0,IF($E672="Win",('Guide &amp; Settings'!$C$42/(($F672-1)*COUNTIFS($A$4:$A$810,$A672,$E$4:$E$810,"Win")))*SUMIFS($X$4:$X$810,$A$4:$A$810,$A672,$E$4:$E$810,"Loss"),-('Guide &amp; Settings'!$C$42/($F672-1))*$X672)))</f>
        <v>0</v>
      </c>
      <c r="K672" s="123">
        <f>IF($D672="",0,'Guide &amp; Settings'!$C$43*(IF($E672="Win",1,0)-$I672))</f>
        <v>0</v>
      </c>
      <c r="L672" s="124">
        <f>IF($D672="",0,'Guide &amp; Settings'!$C$44*IF($F672&gt;=3,$F672+IF($E672="Win",$F672,0),0))</f>
        <v>0</v>
      </c>
      <c r="M672" s="123">
        <f>IF($D672="",0,$J672+$K672+$L672)</f>
        <v>0</v>
      </c>
      <c r="N672" s="121">
        <f>IF($D672="",0,$H672+$M672)</f>
        <v>0</v>
      </c>
      <c r="O672" s="120" t="str">
        <f>IF($D672="","",IF(COUNTIFS($A$4:$A$810,$A672,$E$4:$E$810,"Win")=0,"need a winner",IF(COUNTIFS($A$4:$A$810,$A672,$E$4:$E$810,"Loss")=0,"need a loser",IF(COUNTIFS($A$4:$A$810,$A672,$D$4:$D$810,$D672)&gt;1,"duplicate player","OK"))))</f>
      </c>
      <c r="P672">
        <f>IF($D672="",0,IFERROR(SUMIFS($H$4:$H$810,$A$4:$A$810,$A672,$E$4:$E$810,"Win")/COUNTIFS($A$4:$A$810,$A672,$E$4:$E$810,"Win"),0))</f>
        <v>0</v>
      </c>
      <c r="Q672">
        <f>IF($D672="",0,1/(1+10^(($P672-$H672)/400)))</f>
        <v>0</v>
      </c>
      <c r="R672">
        <f>IF($D672="",0,(COUNTIFS($D$4:$D$810,$D672,$C$4:$C$810,$C672,$E$4:$E$810,"Win",$A$4:$A$810,"&lt;"&amp;$A672)+1)/(COUNTIFS($D$4:$D$810,$D672,$C$4:$C$810,$C672,$A$4:$A$810,"&lt;"&amp;$A672)+2))</f>
        <v>0</v>
      </c>
      <c r="S672">
        <f>IF($D672="",0,SUMIFS($R$4:$R$810,$A$4:$A$810,$A672))</f>
        <v>0</v>
      </c>
      <c r="T672" s="88">
        <f>IF($D672="",0,COUNTIFS($D$4:$D$810,$D672,$C$4:$C$810,$C672,$A$4:$A$810,"&lt;"&amp;$A672))</f>
        <v>0</v>
      </c>
      <c r="U672" s="125">
        <f>IF($D672="",0,IFERROR(LOOKUP(2,1/(($D$3:D671=$D672)*($C$3:C671=$C672)*($A$3:A671&lt;$A672)),$AB$3:AB671),1000))</f>
        <v>0</v>
      </c>
      <c r="V672" s="125">
        <f>IF($D672="",0,$U672*($T672/($T672+5))+$H672*(1-$T672/($T672+5)))</f>
        <v>0</v>
      </c>
      <c r="W672">
        <f>IF($D672="",0,IFERROR(SUMIFS($V$4:$V$810,$A$4:$A$810,$A672,$E$4:$E$810,"Win")/COUNTIFS($A$4:$A$810,$A672,$E$4:$E$810,"Win"),0))</f>
        <v>0</v>
      </c>
      <c r="X672">
        <f>IF($D672="",0,1/(1+10^(($W672-$V672)/400)))</f>
        <v>0</v>
      </c>
      <c r="Y672">
        <f>IF($D672="",0,IFERROR(SUMIFS($U$4:$U$810,$A$4:$A$810,$A672,$E$4:$E$810,"Win")/COUNTIFS($A$4:$A$810,$A672,$E$4:$E$810,"Win"),0))</f>
        <v>0</v>
      </c>
      <c r="Z672">
        <f>IF($D672="",0,1/(1+10^(($Y672-$U672)/400)))</f>
        <v>0</v>
      </c>
      <c r="AA672">
        <f>IF($D672="",0,IF($F672&lt;2,0,IF($E672="Win",('Guide &amp; Settings'!$C$42/(($F672-1)*COUNTIFS($A$4:$A$810,$A672,$E$4:$E$810,"Win")))*SUMIFS($Z$4:$Z$810,$A$4:$A$810,$A672,$E$4:$E$810,"Loss"),-('Guide &amp; Settings'!$C$42/($F672-1))*$Z672)))</f>
        <v>0</v>
      </c>
      <c r="AB672" s="125">
        <f>IF($D672="",0,$U672+$AA672)</f>
        <v>0</v>
      </c>
      <c r="AC672" s="125" t="str">
        <f>IF($D672="","",IF(SUMPRODUCT(MAX(($D$4:$D$810=$D672)*($B$4:$B$810&lt;$B672)*$B$4:$B$810))=0,0,MAX(($B672-MAX(SUMPRODUCT(MAX(($D$4:$D$810=$D672)*($B$4:$B$810&lt;$B672)*$B$4:$B$810)),'Guide &amp; Settings'!$C$50))/7-'Guide &amp; Settings'!$C$48,0)*'Guide &amp; Settings'!$C$49))</f>
      </c>
    </row>
    <row r="673" spans="1:29">
      <c r="A673" s="116"/>
      <c r="B673" s="117"/>
      <c r="C673" s="118"/>
      <c r="D673" s="118"/>
      <c r="E673" s="116"/>
      <c r="F673" s="119">
        <f>IF($D673="",0,COUNTIF($A$4:$A$810,$A673))</f>
        <v>0</v>
      </c>
      <c r="G673" s="120">
        <f>IF($D673="","",IFERROR(LOOKUP(2,1/(($A$4:$A$810=$A673)*($E$4:$E$810="Win")),$D$4:$D$810),"(no winner)"))</f>
        <v>0</v>
      </c>
      <c r="H673" s="121">
        <f>IF($D673="",0,IFERROR(LOOKUP(2,1/(($D$3:D672=$D673)*($A$3:A672&lt;$A673)),$N$3:N672),'Guide &amp; Settings'!$C$41))</f>
        <v>0</v>
      </c>
      <c r="I673" s="122">
        <f>IF($D673="",0,IF($S673=0,0,$R673/$S673))</f>
        <v>0</v>
      </c>
      <c r="J673" s="123">
        <f>IF($D673="",0,IF($F673&lt;2,0,IF($E673="Win",('Guide &amp; Settings'!$C$42/(($F673-1)*COUNTIFS($A$4:$A$810,$A673,$E$4:$E$810,"Win")))*SUMIFS($X$4:$X$810,$A$4:$A$810,$A673,$E$4:$E$810,"Loss"),-('Guide &amp; Settings'!$C$42/($F673-1))*$X673)))</f>
        <v>0</v>
      </c>
      <c r="K673" s="123">
        <f>IF($D673="",0,'Guide &amp; Settings'!$C$43*(IF($E673="Win",1,0)-$I673))</f>
        <v>0</v>
      </c>
      <c r="L673" s="124">
        <f>IF($D673="",0,'Guide &amp; Settings'!$C$44*IF($F673&gt;=3,$F673+IF($E673="Win",$F673,0),0))</f>
        <v>0</v>
      </c>
      <c r="M673" s="123">
        <f>IF($D673="",0,$J673+$K673+$L673)</f>
        <v>0</v>
      </c>
      <c r="N673" s="121">
        <f>IF($D673="",0,$H673+$M673)</f>
        <v>0</v>
      </c>
      <c r="O673" s="120" t="str">
        <f>IF($D673="","",IF(COUNTIFS($A$4:$A$810,$A673,$E$4:$E$810,"Win")=0,"need a winner",IF(COUNTIFS($A$4:$A$810,$A673,$E$4:$E$810,"Loss")=0,"need a loser",IF(COUNTIFS($A$4:$A$810,$A673,$D$4:$D$810,$D673)&gt;1,"duplicate player","OK"))))</f>
      </c>
      <c r="P673">
        <f>IF($D673="",0,IFERROR(SUMIFS($H$4:$H$810,$A$4:$A$810,$A673,$E$4:$E$810,"Win")/COUNTIFS($A$4:$A$810,$A673,$E$4:$E$810,"Win"),0))</f>
        <v>0</v>
      </c>
      <c r="Q673">
        <f>IF($D673="",0,1/(1+10^(($P673-$H673)/400)))</f>
        <v>0</v>
      </c>
      <c r="R673">
        <f>IF($D673="",0,(COUNTIFS($D$4:$D$810,$D673,$C$4:$C$810,$C673,$E$4:$E$810,"Win",$A$4:$A$810,"&lt;"&amp;$A673)+1)/(COUNTIFS($D$4:$D$810,$D673,$C$4:$C$810,$C673,$A$4:$A$810,"&lt;"&amp;$A673)+2))</f>
        <v>0</v>
      </c>
      <c r="S673">
        <f>IF($D673="",0,SUMIFS($R$4:$R$810,$A$4:$A$810,$A673))</f>
        <v>0</v>
      </c>
      <c r="T673" s="88">
        <f>IF($D673="",0,COUNTIFS($D$4:$D$810,$D673,$C$4:$C$810,$C673,$A$4:$A$810,"&lt;"&amp;$A673))</f>
        <v>0</v>
      </c>
      <c r="U673" s="125">
        <f>IF($D673="",0,IFERROR(LOOKUP(2,1/(($D$3:D672=$D673)*($C$3:C672=$C673)*($A$3:A672&lt;$A673)),$AB$3:AB672),1000))</f>
        <v>0</v>
      </c>
      <c r="V673" s="125">
        <f>IF($D673="",0,$U673*($T673/($T673+5))+$H673*(1-$T673/($T673+5)))</f>
        <v>0</v>
      </c>
      <c r="W673">
        <f>IF($D673="",0,IFERROR(SUMIFS($V$4:$V$810,$A$4:$A$810,$A673,$E$4:$E$810,"Win")/COUNTIFS($A$4:$A$810,$A673,$E$4:$E$810,"Win"),0))</f>
        <v>0</v>
      </c>
      <c r="X673">
        <f>IF($D673="",0,1/(1+10^(($W673-$V673)/400)))</f>
        <v>0</v>
      </c>
      <c r="Y673">
        <f>IF($D673="",0,IFERROR(SUMIFS($U$4:$U$810,$A$4:$A$810,$A673,$E$4:$E$810,"Win")/COUNTIFS($A$4:$A$810,$A673,$E$4:$E$810,"Win"),0))</f>
        <v>0</v>
      </c>
      <c r="Z673">
        <f>IF($D673="",0,1/(1+10^(($Y673-$U673)/400)))</f>
        <v>0</v>
      </c>
      <c r="AA673">
        <f>IF($D673="",0,IF($F673&lt;2,0,IF($E673="Win",('Guide &amp; Settings'!$C$42/(($F673-1)*COUNTIFS($A$4:$A$810,$A673,$E$4:$E$810,"Win")))*SUMIFS($Z$4:$Z$810,$A$4:$A$810,$A673,$E$4:$E$810,"Loss"),-('Guide &amp; Settings'!$C$42/($F673-1))*$Z673)))</f>
        <v>0</v>
      </c>
      <c r="AB673" s="125">
        <f>IF($D673="",0,$U673+$AA673)</f>
        <v>0</v>
      </c>
      <c r="AC673" s="125" t="str">
        <f>IF($D673="","",IF(SUMPRODUCT(MAX(($D$4:$D$810=$D673)*($B$4:$B$810&lt;$B673)*$B$4:$B$810))=0,0,MAX(($B673-MAX(SUMPRODUCT(MAX(($D$4:$D$810=$D673)*($B$4:$B$810&lt;$B673)*$B$4:$B$810)),'Guide &amp; Settings'!$C$50))/7-'Guide &amp; Settings'!$C$48,0)*'Guide &amp; Settings'!$C$49))</f>
      </c>
    </row>
    <row r="674" spans="1:29">
      <c r="A674" s="116"/>
      <c r="B674" s="117"/>
      <c r="C674" s="118"/>
      <c r="D674" s="118"/>
      <c r="E674" s="116"/>
      <c r="F674" s="119">
        <f>IF($D674="",0,COUNTIF($A$4:$A$810,$A674))</f>
        <v>0</v>
      </c>
      <c r="G674" s="120">
        <f>IF($D674="","",IFERROR(LOOKUP(2,1/(($A$4:$A$810=$A674)*($E$4:$E$810="Win")),$D$4:$D$810),"(no winner)"))</f>
        <v>0</v>
      </c>
      <c r="H674" s="121">
        <f>IF($D674="",0,IFERROR(LOOKUP(2,1/(($D$3:D673=$D674)*($A$3:A673&lt;$A674)),$N$3:N673),'Guide &amp; Settings'!$C$41))</f>
        <v>0</v>
      </c>
      <c r="I674" s="122">
        <f>IF($D674="",0,IF($S674=0,0,$R674/$S674))</f>
        <v>0</v>
      </c>
      <c r="J674" s="123">
        <f>IF($D674="",0,IF($F674&lt;2,0,IF($E674="Win",('Guide &amp; Settings'!$C$42/(($F674-1)*COUNTIFS($A$4:$A$810,$A674,$E$4:$E$810,"Win")))*SUMIFS($X$4:$X$810,$A$4:$A$810,$A674,$E$4:$E$810,"Loss"),-('Guide &amp; Settings'!$C$42/($F674-1))*$X674)))</f>
        <v>0</v>
      </c>
      <c r="K674" s="123">
        <f>IF($D674="",0,'Guide &amp; Settings'!$C$43*(IF($E674="Win",1,0)-$I674))</f>
        <v>0</v>
      </c>
      <c r="L674" s="124">
        <f>IF($D674="",0,'Guide &amp; Settings'!$C$44*IF($F674&gt;=3,$F674+IF($E674="Win",$F674,0),0))</f>
        <v>0</v>
      </c>
      <c r="M674" s="123">
        <f>IF($D674="",0,$J674+$K674+$L674)</f>
        <v>0</v>
      </c>
      <c r="N674" s="121">
        <f>IF($D674="",0,$H674+$M674)</f>
        <v>0</v>
      </c>
      <c r="O674" s="120" t="str">
        <f>IF($D674="","",IF(COUNTIFS($A$4:$A$810,$A674,$E$4:$E$810,"Win")=0,"need a winner",IF(COUNTIFS($A$4:$A$810,$A674,$E$4:$E$810,"Loss")=0,"need a loser",IF(COUNTIFS($A$4:$A$810,$A674,$D$4:$D$810,$D674)&gt;1,"duplicate player","OK"))))</f>
      </c>
      <c r="P674">
        <f>IF($D674="",0,IFERROR(SUMIFS($H$4:$H$810,$A$4:$A$810,$A674,$E$4:$E$810,"Win")/COUNTIFS($A$4:$A$810,$A674,$E$4:$E$810,"Win"),0))</f>
        <v>0</v>
      </c>
      <c r="Q674">
        <f>IF($D674="",0,1/(1+10^(($P674-$H674)/400)))</f>
        <v>0</v>
      </c>
      <c r="R674">
        <f>IF($D674="",0,(COUNTIFS($D$4:$D$810,$D674,$C$4:$C$810,$C674,$E$4:$E$810,"Win",$A$4:$A$810,"&lt;"&amp;$A674)+1)/(COUNTIFS($D$4:$D$810,$D674,$C$4:$C$810,$C674,$A$4:$A$810,"&lt;"&amp;$A674)+2))</f>
        <v>0</v>
      </c>
      <c r="S674">
        <f>IF($D674="",0,SUMIFS($R$4:$R$810,$A$4:$A$810,$A674))</f>
        <v>0</v>
      </c>
      <c r="T674" s="88">
        <f>IF($D674="",0,COUNTIFS($D$4:$D$810,$D674,$C$4:$C$810,$C674,$A$4:$A$810,"&lt;"&amp;$A674))</f>
        <v>0</v>
      </c>
      <c r="U674" s="125">
        <f>IF($D674="",0,IFERROR(LOOKUP(2,1/(($D$3:D673=$D674)*($C$3:C673=$C674)*($A$3:A673&lt;$A674)),$AB$3:AB673),1000))</f>
        <v>0</v>
      </c>
      <c r="V674" s="125">
        <f>IF($D674="",0,$U674*($T674/($T674+5))+$H674*(1-$T674/($T674+5)))</f>
        <v>0</v>
      </c>
      <c r="W674">
        <f>IF($D674="",0,IFERROR(SUMIFS($V$4:$V$810,$A$4:$A$810,$A674,$E$4:$E$810,"Win")/COUNTIFS($A$4:$A$810,$A674,$E$4:$E$810,"Win"),0))</f>
        <v>0</v>
      </c>
      <c r="X674">
        <f>IF($D674="",0,1/(1+10^(($W674-$V674)/400)))</f>
        <v>0</v>
      </c>
      <c r="Y674">
        <f>IF($D674="",0,IFERROR(SUMIFS($U$4:$U$810,$A$4:$A$810,$A674,$E$4:$E$810,"Win")/COUNTIFS($A$4:$A$810,$A674,$E$4:$E$810,"Win"),0))</f>
        <v>0</v>
      </c>
      <c r="Z674">
        <f>IF($D674="",0,1/(1+10^(($Y674-$U674)/400)))</f>
        <v>0</v>
      </c>
      <c r="AA674">
        <f>IF($D674="",0,IF($F674&lt;2,0,IF($E674="Win",('Guide &amp; Settings'!$C$42/(($F674-1)*COUNTIFS($A$4:$A$810,$A674,$E$4:$E$810,"Win")))*SUMIFS($Z$4:$Z$810,$A$4:$A$810,$A674,$E$4:$E$810,"Loss"),-('Guide &amp; Settings'!$C$42/($F674-1))*$Z674)))</f>
        <v>0</v>
      </c>
      <c r="AB674" s="125">
        <f>IF($D674="",0,$U674+$AA674)</f>
        <v>0</v>
      </c>
      <c r="AC674" s="125" t="str">
        <f>IF($D674="","",IF(SUMPRODUCT(MAX(($D$4:$D$810=$D674)*($B$4:$B$810&lt;$B674)*$B$4:$B$810))=0,0,MAX(($B674-MAX(SUMPRODUCT(MAX(($D$4:$D$810=$D674)*($B$4:$B$810&lt;$B674)*$B$4:$B$810)),'Guide &amp; Settings'!$C$50))/7-'Guide &amp; Settings'!$C$48,0)*'Guide &amp; Settings'!$C$49))</f>
      </c>
    </row>
    <row r="675" spans="1:29">
      <c r="A675" s="116"/>
      <c r="B675" s="117"/>
      <c r="C675" s="118"/>
      <c r="D675" s="118"/>
      <c r="E675" s="116"/>
      <c r="F675" s="119">
        <f>IF($D675="",0,COUNTIF($A$4:$A$810,$A675))</f>
        <v>0</v>
      </c>
      <c r="G675" s="120">
        <f>IF($D675="","",IFERROR(LOOKUP(2,1/(($A$4:$A$810=$A675)*($E$4:$E$810="Win")),$D$4:$D$810),"(no winner)"))</f>
        <v>0</v>
      </c>
      <c r="H675" s="121">
        <f>IF($D675="",0,IFERROR(LOOKUP(2,1/(($D$3:D674=$D675)*($A$3:A674&lt;$A675)),$N$3:N674),'Guide &amp; Settings'!$C$41))</f>
        <v>0</v>
      </c>
      <c r="I675" s="122">
        <f>IF($D675="",0,IF($S675=0,0,$R675/$S675))</f>
        <v>0</v>
      </c>
      <c r="J675" s="123">
        <f>IF($D675="",0,IF($F675&lt;2,0,IF($E675="Win",('Guide &amp; Settings'!$C$42/(($F675-1)*COUNTIFS($A$4:$A$810,$A675,$E$4:$E$810,"Win")))*SUMIFS($X$4:$X$810,$A$4:$A$810,$A675,$E$4:$E$810,"Loss"),-('Guide &amp; Settings'!$C$42/($F675-1))*$X675)))</f>
        <v>0</v>
      </c>
      <c r="K675" s="123">
        <f>IF($D675="",0,'Guide &amp; Settings'!$C$43*(IF($E675="Win",1,0)-$I675))</f>
        <v>0</v>
      </c>
      <c r="L675" s="124">
        <f>IF($D675="",0,'Guide &amp; Settings'!$C$44*IF($F675&gt;=3,$F675+IF($E675="Win",$F675,0),0))</f>
        <v>0</v>
      </c>
      <c r="M675" s="123">
        <f>IF($D675="",0,$J675+$K675+$L675)</f>
        <v>0</v>
      </c>
      <c r="N675" s="121">
        <f>IF($D675="",0,$H675+$M675)</f>
        <v>0</v>
      </c>
      <c r="O675" s="120" t="str">
        <f>IF($D675="","",IF(COUNTIFS($A$4:$A$810,$A675,$E$4:$E$810,"Win")=0,"need a winner",IF(COUNTIFS($A$4:$A$810,$A675,$E$4:$E$810,"Loss")=0,"need a loser",IF(COUNTIFS($A$4:$A$810,$A675,$D$4:$D$810,$D675)&gt;1,"duplicate player","OK"))))</f>
      </c>
      <c r="P675">
        <f>IF($D675="",0,IFERROR(SUMIFS($H$4:$H$810,$A$4:$A$810,$A675,$E$4:$E$810,"Win")/COUNTIFS($A$4:$A$810,$A675,$E$4:$E$810,"Win"),0))</f>
        <v>0</v>
      </c>
      <c r="Q675">
        <f>IF($D675="",0,1/(1+10^(($P675-$H675)/400)))</f>
        <v>0</v>
      </c>
      <c r="R675">
        <f>IF($D675="",0,(COUNTIFS($D$4:$D$810,$D675,$C$4:$C$810,$C675,$E$4:$E$810,"Win",$A$4:$A$810,"&lt;"&amp;$A675)+1)/(COUNTIFS($D$4:$D$810,$D675,$C$4:$C$810,$C675,$A$4:$A$810,"&lt;"&amp;$A675)+2))</f>
        <v>0</v>
      </c>
      <c r="S675">
        <f>IF($D675="",0,SUMIFS($R$4:$R$810,$A$4:$A$810,$A675))</f>
        <v>0</v>
      </c>
      <c r="T675" s="88">
        <f>IF($D675="",0,COUNTIFS($D$4:$D$810,$D675,$C$4:$C$810,$C675,$A$4:$A$810,"&lt;"&amp;$A675))</f>
        <v>0</v>
      </c>
      <c r="U675" s="125">
        <f>IF($D675="",0,IFERROR(LOOKUP(2,1/(($D$3:D674=$D675)*($C$3:C674=$C675)*($A$3:A674&lt;$A675)),$AB$3:AB674),1000))</f>
        <v>0</v>
      </c>
      <c r="V675" s="125">
        <f>IF($D675="",0,$U675*($T675/($T675+5))+$H675*(1-$T675/($T675+5)))</f>
        <v>0</v>
      </c>
      <c r="W675">
        <f>IF($D675="",0,IFERROR(SUMIFS($V$4:$V$810,$A$4:$A$810,$A675,$E$4:$E$810,"Win")/COUNTIFS($A$4:$A$810,$A675,$E$4:$E$810,"Win"),0))</f>
        <v>0</v>
      </c>
      <c r="X675">
        <f>IF($D675="",0,1/(1+10^(($W675-$V675)/400)))</f>
        <v>0</v>
      </c>
      <c r="Y675">
        <f>IF($D675="",0,IFERROR(SUMIFS($U$4:$U$810,$A$4:$A$810,$A675,$E$4:$E$810,"Win")/COUNTIFS($A$4:$A$810,$A675,$E$4:$E$810,"Win"),0))</f>
        <v>0</v>
      </c>
      <c r="Z675">
        <f>IF($D675="",0,1/(1+10^(($Y675-$U675)/400)))</f>
        <v>0</v>
      </c>
      <c r="AA675">
        <f>IF($D675="",0,IF($F675&lt;2,0,IF($E675="Win",('Guide &amp; Settings'!$C$42/(($F675-1)*COUNTIFS($A$4:$A$810,$A675,$E$4:$E$810,"Win")))*SUMIFS($Z$4:$Z$810,$A$4:$A$810,$A675,$E$4:$E$810,"Loss"),-('Guide &amp; Settings'!$C$42/($F675-1))*$Z675)))</f>
        <v>0</v>
      </c>
      <c r="AB675" s="125">
        <f>IF($D675="",0,$U675+$AA675)</f>
        <v>0</v>
      </c>
      <c r="AC675" s="125" t="str">
        <f>IF($D675="","",IF(SUMPRODUCT(MAX(($D$4:$D$810=$D675)*($B$4:$B$810&lt;$B675)*$B$4:$B$810))=0,0,MAX(($B675-MAX(SUMPRODUCT(MAX(($D$4:$D$810=$D675)*($B$4:$B$810&lt;$B675)*$B$4:$B$810)),'Guide &amp; Settings'!$C$50))/7-'Guide &amp; Settings'!$C$48,0)*'Guide &amp; Settings'!$C$49))</f>
      </c>
    </row>
    <row r="676" spans="1:29">
      <c r="A676" s="116"/>
      <c r="B676" s="117"/>
      <c r="C676" s="118"/>
      <c r="D676" s="118"/>
      <c r="E676" s="116"/>
      <c r="F676" s="119">
        <f>IF($D676="",0,COUNTIF($A$4:$A$810,$A676))</f>
        <v>0</v>
      </c>
      <c r="G676" s="120">
        <f>IF($D676="","",IFERROR(LOOKUP(2,1/(($A$4:$A$810=$A676)*($E$4:$E$810="Win")),$D$4:$D$810),"(no winner)"))</f>
        <v>0</v>
      </c>
      <c r="H676" s="121">
        <f>IF($D676="",0,IFERROR(LOOKUP(2,1/(($D$3:D675=$D676)*($A$3:A675&lt;$A676)),$N$3:N675),'Guide &amp; Settings'!$C$41))</f>
        <v>0</v>
      </c>
      <c r="I676" s="122">
        <f>IF($D676="",0,IF($S676=0,0,$R676/$S676))</f>
        <v>0</v>
      </c>
      <c r="J676" s="123">
        <f>IF($D676="",0,IF($F676&lt;2,0,IF($E676="Win",('Guide &amp; Settings'!$C$42/(($F676-1)*COUNTIFS($A$4:$A$810,$A676,$E$4:$E$810,"Win")))*SUMIFS($X$4:$X$810,$A$4:$A$810,$A676,$E$4:$E$810,"Loss"),-('Guide &amp; Settings'!$C$42/($F676-1))*$X676)))</f>
        <v>0</v>
      </c>
      <c r="K676" s="123">
        <f>IF($D676="",0,'Guide &amp; Settings'!$C$43*(IF($E676="Win",1,0)-$I676))</f>
        <v>0</v>
      </c>
      <c r="L676" s="124">
        <f>IF($D676="",0,'Guide &amp; Settings'!$C$44*IF($F676&gt;=3,$F676+IF($E676="Win",$F676,0),0))</f>
        <v>0</v>
      </c>
      <c r="M676" s="123">
        <f>IF($D676="",0,$J676+$K676+$L676)</f>
        <v>0</v>
      </c>
      <c r="N676" s="121">
        <f>IF($D676="",0,$H676+$M676)</f>
        <v>0</v>
      </c>
      <c r="O676" s="120" t="str">
        <f>IF($D676="","",IF(COUNTIFS($A$4:$A$810,$A676,$E$4:$E$810,"Win")=0,"need a winner",IF(COUNTIFS($A$4:$A$810,$A676,$E$4:$E$810,"Loss")=0,"need a loser",IF(COUNTIFS($A$4:$A$810,$A676,$D$4:$D$810,$D676)&gt;1,"duplicate player","OK"))))</f>
      </c>
      <c r="P676">
        <f>IF($D676="",0,IFERROR(SUMIFS($H$4:$H$810,$A$4:$A$810,$A676,$E$4:$E$810,"Win")/COUNTIFS($A$4:$A$810,$A676,$E$4:$E$810,"Win"),0))</f>
        <v>0</v>
      </c>
      <c r="Q676">
        <f>IF($D676="",0,1/(1+10^(($P676-$H676)/400)))</f>
        <v>0</v>
      </c>
      <c r="R676">
        <f>IF($D676="",0,(COUNTIFS($D$4:$D$810,$D676,$C$4:$C$810,$C676,$E$4:$E$810,"Win",$A$4:$A$810,"&lt;"&amp;$A676)+1)/(COUNTIFS($D$4:$D$810,$D676,$C$4:$C$810,$C676,$A$4:$A$810,"&lt;"&amp;$A676)+2))</f>
        <v>0</v>
      </c>
      <c r="S676">
        <f>IF($D676="",0,SUMIFS($R$4:$R$810,$A$4:$A$810,$A676))</f>
        <v>0</v>
      </c>
      <c r="T676" s="88">
        <f>IF($D676="",0,COUNTIFS($D$4:$D$810,$D676,$C$4:$C$810,$C676,$A$4:$A$810,"&lt;"&amp;$A676))</f>
        <v>0</v>
      </c>
      <c r="U676" s="125">
        <f>IF($D676="",0,IFERROR(LOOKUP(2,1/(($D$3:D675=$D676)*($C$3:C675=$C676)*($A$3:A675&lt;$A676)),$AB$3:AB675),1000))</f>
        <v>0</v>
      </c>
      <c r="V676" s="125">
        <f>IF($D676="",0,$U676*($T676/($T676+5))+$H676*(1-$T676/($T676+5)))</f>
        <v>0</v>
      </c>
      <c r="W676">
        <f>IF($D676="",0,IFERROR(SUMIFS($V$4:$V$810,$A$4:$A$810,$A676,$E$4:$E$810,"Win")/COUNTIFS($A$4:$A$810,$A676,$E$4:$E$810,"Win"),0))</f>
        <v>0</v>
      </c>
      <c r="X676">
        <f>IF($D676="",0,1/(1+10^(($W676-$V676)/400)))</f>
        <v>0</v>
      </c>
      <c r="Y676">
        <f>IF($D676="",0,IFERROR(SUMIFS($U$4:$U$810,$A$4:$A$810,$A676,$E$4:$E$810,"Win")/COUNTIFS($A$4:$A$810,$A676,$E$4:$E$810,"Win"),0))</f>
        <v>0</v>
      </c>
      <c r="Z676">
        <f>IF($D676="",0,1/(1+10^(($Y676-$U676)/400)))</f>
        <v>0</v>
      </c>
      <c r="AA676">
        <f>IF($D676="",0,IF($F676&lt;2,0,IF($E676="Win",('Guide &amp; Settings'!$C$42/(($F676-1)*COUNTIFS($A$4:$A$810,$A676,$E$4:$E$810,"Win")))*SUMIFS($Z$4:$Z$810,$A$4:$A$810,$A676,$E$4:$E$810,"Loss"),-('Guide &amp; Settings'!$C$42/($F676-1))*$Z676)))</f>
        <v>0</v>
      </c>
      <c r="AB676" s="125">
        <f>IF($D676="",0,$U676+$AA676)</f>
        <v>0</v>
      </c>
      <c r="AC676" s="125" t="str">
        <f>IF($D676="","",IF(SUMPRODUCT(MAX(($D$4:$D$810=$D676)*($B$4:$B$810&lt;$B676)*$B$4:$B$810))=0,0,MAX(($B676-MAX(SUMPRODUCT(MAX(($D$4:$D$810=$D676)*($B$4:$B$810&lt;$B676)*$B$4:$B$810)),'Guide &amp; Settings'!$C$50))/7-'Guide &amp; Settings'!$C$48,0)*'Guide &amp; Settings'!$C$49))</f>
      </c>
    </row>
    <row r="677" spans="1:29">
      <c r="A677" s="116"/>
      <c r="B677" s="117"/>
      <c r="C677" s="118"/>
      <c r="D677" s="118"/>
      <c r="E677" s="116"/>
      <c r="F677" s="119">
        <f>IF($D677="",0,COUNTIF($A$4:$A$810,$A677))</f>
        <v>0</v>
      </c>
      <c r="G677" s="120">
        <f>IF($D677="","",IFERROR(LOOKUP(2,1/(($A$4:$A$810=$A677)*($E$4:$E$810="Win")),$D$4:$D$810),"(no winner)"))</f>
        <v>0</v>
      </c>
      <c r="H677" s="121">
        <f>IF($D677="",0,IFERROR(LOOKUP(2,1/(($D$3:D676=$D677)*($A$3:A676&lt;$A677)),$N$3:N676),'Guide &amp; Settings'!$C$41))</f>
        <v>0</v>
      </c>
      <c r="I677" s="122">
        <f>IF($D677="",0,IF($S677=0,0,$R677/$S677))</f>
        <v>0</v>
      </c>
      <c r="J677" s="123">
        <f>IF($D677="",0,IF($F677&lt;2,0,IF($E677="Win",('Guide &amp; Settings'!$C$42/(($F677-1)*COUNTIFS($A$4:$A$810,$A677,$E$4:$E$810,"Win")))*SUMIFS($X$4:$X$810,$A$4:$A$810,$A677,$E$4:$E$810,"Loss"),-('Guide &amp; Settings'!$C$42/($F677-1))*$X677)))</f>
        <v>0</v>
      </c>
      <c r="K677" s="123">
        <f>IF($D677="",0,'Guide &amp; Settings'!$C$43*(IF($E677="Win",1,0)-$I677))</f>
        <v>0</v>
      </c>
      <c r="L677" s="124">
        <f>IF($D677="",0,'Guide &amp; Settings'!$C$44*IF($F677&gt;=3,$F677+IF($E677="Win",$F677,0),0))</f>
        <v>0</v>
      </c>
      <c r="M677" s="123">
        <f>IF($D677="",0,$J677+$K677+$L677)</f>
        <v>0</v>
      </c>
      <c r="N677" s="121">
        <f>IF($D677="",0,$H677+$M677)</f>
        <v>0</v>
      </c>
      <c r="O677" s="120" t="str">
        <f>IF($D677="","",IF(COUNTIFS($A$4:$A$810,$A677,$E$4:$E$810,"Win")=0,"need a winner",IF(COUNTIFS($A$4:$A$810,$A677,$E$4:$E$810,"Loss")=0,"need a loser",IF(COUNTIFS($A$4:$A$810,$A677,$D$4:$D$810,$D677)&gt;1,"duplicate player","OK"))))</f>
      </c>
      <c r="P677">
        <f>IF($D677="",0,IFERROR(SUMIFS($H$4:$H$810,$A$4:$A$810,$A677,$E$4:$E$810,"Win")/COUNTIFS($A$4:$A$810,$A677,$E$4:$E$810,"Win"),0))</f>
        <v>0</v>
      </c>
      <c r="Q677">
        <f>IF($D677="",0,1/(1+10^(($P677-$H677)/400)))</f>
        <v>0</v>
      </c>
      <c r="R677">
        <f>IF($D677="",0,(COUNTIFS($D$4:$D$810,$D677,$C$4:$C$810,$C677,$E$4:$E$810,"Win",$A$4:$A$810,"&lt;"&amp;$A677)+1)/(COUNTIFS($D$4:$D$810,$D677,$C$4:$C$810,$C677,$A$4:$A$810,"&lt;"&amp;$A677)+2))</f>
        <v>0</v>
      </c>
      <c r="S677">
        <f>IF($D677="",0,SUMIFS($R$4:$R$810,$A$4:$A$810,$A677))</f>
        <v>0</v>
      </c>
      <c r="T677" s="88">
        <f>IF($D677="",0,COUNTIFS($D$4:$D$810,$D677,$C$4:$C$810,$C677,$A$4:$A$810,"&lt;"&amp;$A677))</f>
        <v>0</v>
      </c>
      <c r="U677" s="125">
        <f>IF($D677="",0,IFERROR(LOOKUP(2,1/(($D$3:D676=$D677)*($C$3:C676=$C677)*($A$3:A676&lt;$A677)),$AB$3:AB676),1000))</f>
        <v>0</v>
      </c>
      <c r="V677" s="125">
        <f>IF($D677="",0,$U677*($T677/($T677+5))+$H677*(1-$T677/($T677+5)))</f>
        <v>0</v>
      </c>
      <c r="W677">
        <f>IF($D677="",0,IFERROR(SUMIFS($V$4:$V$810,$A$4:$A$810,$A677,$E$4:$E$810,"Win")/COUNTIFS($A$4:$A$810,$A677,$E$4:$E$810,"Win"),0))</f>
        <v>0</v>
      </c>
      <c r="X677">
        <f>IF($D677="",0,1/(1+10^(($W677-$V677)/400)))</f>
        <v>0</v>
      </c>
      <c r="Y677">
        <f>IF($D677="",0,IFERROR(SUMIFS($U$4:$U$810,$A$4:$A$810,$A677,$E$4:$E$810,"Win")/COUNTIFS($A$4:$A$810,$A677,$E$4:$E$810,"Win"),0))</f>
        <v>0</v>
      </c>
      <c r="Z677">
        <f>IF($D677="",0,1/(1+10^(($Y677-$U677)/400)))</f>
        <v>0</v>
      </c>
      <c r="AA677">
        <f>IF($D677="",0,IF($F677&lt;2,0,IF($E677="Win",('Guide &amp; Settings'!$C$42/(($F677-1)*COUNTIFS($A$4:$A$810,$A677,$E$4:$E$810,"Win")))*SUMIFS($Z$4:$Z$810,$A$4:$A$810,$A677,$E$4:$E$810,"Loss"),-('Guide &amp; Settings'!$C$42/($F677-1))*$Z677)))</f>
        <v>0</v>
      </c>
      <c r="AB677" s="125">
        <f>IF($D677="",0,$U677+$AA677)</f>
        <v>0</v>
      </c>
      <c r="AC677" s="125" t="str">
        <f>IF($D677="","",IF(SUMPRODUCT(MAX(($D$4:$D$810=$D677)*($B$4:$B$810&lt;$B677)*$B$4:$B$810))=0,0,MAX(($B677-MAX(SUMPRODUCT(MAX(($D$4:$D$810=$D677)*($B$4:$B$810&lt;$B677)*$B$4:$B$810)),'Guide &amp; Settings'!$C$50))/7-'Guide &amp; Settings'!$C$48,0)*'Guide &amp; Settings'!$C$49))</f>
      </c>
    </row>
    <row r="678" spans="1:29">
      <c r="A678" s="116"/>
      <c r="B678" s="117"/>
      <c r="C678" s="118"/>
      <c r="D678" s="118"/>
      <c r="E678" s="116"/>
      <c r="F678" s="119">
        <f>IF($D678="",0,COUNTIF($A$4:$A$810,$A678))</f>
        <v>0</v>
      </c>
      <c r="G678" s="120">
        <f>IF($D678="","",IFERROR(LOOKUP(2,1/(($A$4:$A$810=$A678)*($E$4:$E$810="Win")),$D$4:$D$810),"(no winner)"))</f>
        <v>0</v>
      </c>
      <c r="H678" s="121">
        <f>IF($D678="",0,IFERROR(LOOKUP(2,1/(($D$3:D677=$D678)*($A$3:A677&lt;$A678)),$N$3:N677),'Guide &amp; Settings'!$C$41))</f>
        <v>0</v>
      </c>
      <c r="I678" s="122">
        <f>IF($D678="",0,IF($S678=0,0,$R678/$S678))</f>
        <v>0</v>
      </c>
      <c r="J678" s="123">
        <f>IF($D678="",0,IF($F678&lt;2,0,IF($E678="Win",('Guide &amp; Settings'!$C$42/(($F678-1)*COUNTIFS($A$4:$A$810,$A678,$E$4:$E$810,"Win")))*SUMIFS($X$4:$X$810,$A$4:$A$810,$A678,$E$4:$E$810,"Loss"),-('Guide &amp; Settings'!$C$42/($F678-1))*$X678)))</f>
        <v>0</v>
      </c>
      <c r="K678" s="123">
        <f>IF($D678="",0,'Guide &amp; Settings'!$C$43*(IF($E678="Win",1,0)-$I678))</f>
        <v>0</v>
      </c>
      <c r="L678" s="124">
        <f>IF($D678="",0,'Guide &amp; Settings'!$C$44*IF($F678&gt;=3,$F678+IF($E678="Win",$F678,0),0))</f>
        <v>0</v>
      </c>
      <c r="M678" s="123">
        <f>IF($D678="",0,$J678+$K678+$L678)</f>
        <v>0</v>
      </c>
      <c r="N678" s="121">
        <f>IF($D678="",0,$H678+$M678)</f>
        <v>0</v>
      </c>
      <c r="O678" s="120" t="str">
        <f>IF($D678="","",IF(COUNTIFS($A$4:$A$810,$A678,$E$4:$E$810,"Win")=0,"need a winner",IF(COUNTIFS($A$4:$A$810,$A678,$E$4:$E$810,"Loss")=0,"need a loser",IF(COUNTIFS($A$4:$A$810,$A678,$D$4:$D$810,$D678)&gt;1,"duplicate player","OK"))))</f>
      </c>
      <c r="P678">
        <f>IF($D678="",0,IFERROR(SUMIFS($H$4:$H$810,$A$4:$A$810,$A678,$E$4:$E$810,"Win")/COUNTIFS($A$4:$A$810,$A678,$E$4:$E$810,"Win"),0))</f>
        <v>0</v>
      </c>
      <c r="Q678">
        <f>IF($D678="",0,1/(1+10^(($P678-$H678)/400)))</f>
        <v>0</v>
      </c>
      <c r="R678">
        <f>IF($D678="",0,(COUNTIFS($D$4:$D$810,$D678,$C$4:$C$810,$C678,$E$4:$E$810,"Win",$A$4:$A$810,"&lt;"&amp;$A678)+1)/(COUNTIFS($D$4:$D$810,$D678,$C$4:$C$810,$C678,$A$4:$A$810,"&lt;"&amp;$A678)+2))</f>
        <v>0</v>
      </c>
      <c r="S678">
        <f>IF($D678="",0,SUMIFS($R$4:$R$810,$A$4:$A$810,$A678))</f>
        <v>0</v>
      </c>
      <c r="T678" s="88">
        <f>IF($D678="",0,COUNTIFS($D$4:$D$810,$D678,$C$4:$C$810,$C678,$A$4:$A$810,"&lt;"&amp;$A678))</f>
        <v>0</v>
      </c>
      <c r="U678" s="125">
        <f>IF($D678="",0,IFERROR(LOOKUP(2,1/(($D$3:D677=$D678)*($C$3:C677=$C678)*($A$3:A677&lt;$A678)),$AB$3:AB677),1000))</f>
        <v>0</v>
      </c>
      <c r="V678" s="125">
        <f>IF($D678="",0,$U678*($T678/($T678+5))+$H678*(1-$T678/($T678+5)))</f>
        <v>0</v>
      </c>
      <c r="W678">
        <f>IF($D678="",0,IFERROR(SUMIFS($V$4:$V$810,$A$4:$A$810,$A678,$E$4:$E$810,"Win")/COUNTIFS($A$4:$A$810,$A678,$E$4:$E$810,"Win"),0))</f>
        <v>0</v>
      </c>
      <c r="X678">
        <f>IF($D678="",0,1/(1+10^(($W678-$V678)/400)))</f>
        <v>0</v>
      </c>
      <c r="Y678">
        <f>IF($D678="",0,IFERROR(SUMIFS($U$4:$U$810,$A$4:$A$810,$A678,$E$4:$E$810,"Win")/COUNTIFS($A$4:$A$810,$A678,$E$4:$E$810,"Win"),0))</f>
        <v>0</v>
      </c>
      <c r="Z678">
        <f>IF($D678="",0,1/(1+10^(($Y678-$U678)/400)))</f>
        <v>0</v>
      </c>
      <c r="AA678">
        <f>IF($D678="",0,IF($F678&lt;2,0,IF($E678="Win",('Guide &amp; Settings'!$C$42/(($F678-1)*COUNTIFS($A$4:$A$810,$A678,$E$4:$E$810,"Win")))*SUMIFS($Z$4:$Z$810,$A$4:$A$810,$A678,$E$4:$E$810,"Loss"),-('Guide &amp; Settings'!$C$42/($F678-1))*$Z678)))</f>
        <v>0</v>
      </c>
      <c r="AB678" s="125">
        <f>IF($D678="",0,$U678+$AA678)</f>
        <v>0</v>
      </c>
      <c r="AC678" s="125" t="str">
        <f>IF($D678="","",IF(SUMPRODUCT(MAX(($D$4:$D$810=$D678)*($B$4:$B$810&lt;$B678)*$B$4:$B$810))=0,0,MAX(($B678-MAX(SUMPRODUCT(MAX(($D$4:$D$810=$D678)*($B$4:$B$810&lt;$B678)*$B$4:$B$810)),'Guide &amp; Settings'!$C$50))/7-'Guide &amp; Settings'!$C$48,0)*'Guide &amp; Settings'!$C$49))</f>
      </c>
    </row>
    <row r="679" spans="1:29">
      <c r="A679" s="116"/>
      <c r="B679" s="117"/>
      <c r="C679" s="118"/>
      <c r="D679" s="118"/>
      <c r="E679" s="116"/>
      <c r="F679" s="119">
        <f>IF($D679="",0,COUNTIF($A$4:$A$810,$A679))</f>
        <v>0</v>
      </c>
      <c r="G679" s="120">
        <f>IF($D679="","",IFERROR(LOOKUP(2,1/(($A$4:$A$810=$A679)*($E$4:$E$810="Win")),$D$4:$D$810),"(no winner)"))</f>
        <v>0</v>
      </c>
      <c r="H679" s="121">
        <f>IF($D679="",0,IFERROR(LOOKUP(2,1/(($D$3:D678=$D679)*($A$3:A678&lt;$A679)),$N$3:N678),'Guide &amp; Settings'!$C$41))</f>
        <v>0</v>
      </c>
      <c r="I679" s="122">
        <f>IF($D679="",0,IF($S679=0,0,$R679/$S679))</f>
        <v>0</v>
      </c>
      <c r="J679" s="123">
        <f>IF($D679="",0,IF($F679&lt;2,0,IF($E679="Win",('Guide &amp; Settings'!$C$42/(($F679-1)*COUNTIFS($A$4:$A$810,$A679,$E$4:$E$810,"Win")))*SUMIFS($X$4:$X$810,$A$4:$A$810,$A679,$E$4:$E$810,"Loss"),-('Guide &amp; Settings'!$C$42/($F679-1))*$X679)))</f>
        <v>0</v>
      </c>
      <c r="K679" s="123">
        <f>IF($D679="",0,'Guide &amp; Settings'!$C$43*(IF($E679="Win",1,0)-$I679))</f>
        <v>0</v>
      </c>
      <c r="L679" s="124">
        <f>IF($D679="",0,'Guide &amp; Settings'!$C$44*IF($F679&gt;=3,$F679+IF($E679="Win",$F679,0),0))</f>
        <v>0</v>
      </c>
      <c r="M679" s="123">
        <f>IF($D679="",0,$J679+$K679+$L679)</f>
        <v>0</v>
      </c>
      <c r="N679" s="121">
        <f>IF($D679="",0,$H679+$M679)</f>
        <v>0</v>
      </c>
      <c r="O679" s="120" t="str">
        <f>IF($D679="","",IF(COUNTIFS($A$4:$A$810,$A679,$E$4:$E$810,"Win")=0,"need a winner",IF(COUNTIFS($A$4:$A$810,$A679,$E$4:$E$810,"Loss")=0,"need a loser",IF(COUNTIFS($A$4:$A$810,$A679,$D$4:$D$810,$D679)&gt;1,"duplicate player","OK"))))</f>
      </c>
      <c r="P679">
        <f>IF($D679="",0,IFERROR(SUMIFS($H$4:$H$810,$A$4:$A$810,$A679,$E$4:$E$810,"Win")/COUNTIFS($A$4:$A$810,$A679,$E$4:$E$810,"Win"),0))</f>
        <v>0</v>
      </c>
      <c r="Q679">
        <f>IF($D679="",0,1/(1+10^(($P679-$H679)/400)))</f>
        <v>0</v>
      </c>
      <c r="R679">
        <f>IF($D679="",0,(COUNTIFS($D$4:$D$810,$D679,$C$4:$C$810,$C679,$E$4:$E$810,"Win",$A$4:$A$810,"&lt;"&amp;$A679)+1)/(COUNTIFS($D$4:$D$810,$D679,$C$4:$C$810,$C679,$A$4:$A$810,"&lt;"&amp;$A679)+2))</f>
        <v>0</v>
      </c>
      <c r="S679">
        <f>IF($D679="",0,SUMIFS($R$4:$R$810,$A$4:$A$810,$A679))</f>
        <v>0</v>
      </c>
      <c r="T679" s="88">
        <f>IF($D679="",0,COUNTIFS($D$4:$D$810,$D679,$C$4:$C$810,$C679,$A$4:$A$810,"&lt;"&amp;$A679))</f>
        <v>0</v>
      </c>
      <c r="U679" s="125">
        <f>IF($D679="",0,IFERROR(LOOKUP(2,1/(($D$3:D678=$D679)*($C$3:C678=$C679)*($A$3:A678&lt;$A679)),$AB$3:AB678),1000))</f>
        <v>0</v>
      </c>
      <c r="V679" s="125">
        <f>IF($D679="",0,$U679*($T679/($T679+5))+$H679*(1-$T679/($T679+5)))</f>
        <v>0</v>
      </c>
      <c r="W679">
        <f>IF($D679="",0,IFERROR(SUMIFS($V$4:$V$810,$A$4:$A$810,$A679,$E$4:$E$810,"Win")/COUNTIFS($A$4:$A$810,$A679,$E$4:$E$810,"Win"),0))</f>
        <v>0</v>
      </c>
      <c r="X679">
        <f>IF($D679="",0,1/(1+10^(($W679-$V679)/400)))</f>
        <v>0</v>
      </c>
      <c r="Y679">
        <f>IF($D679="",0,IFERROR(SUMIFS($U$4:$U$810,$A$4:$A$810,$A679,$E$4:$E$810,"Win")/COUNTIFS($A$4:$A$810,$A679,$E$4:$E$810,"Win"),0))</f>
        <v>0</v>
      </c>
      <c r="Z679">
        <f>IF($D679="",0,1/(1+10^(($Y679-$U679)/400)))</f>
        <v>0</v>
      </c>
      <c r="AA679">
        <f>IF($D679="",0,IF($F679&lt;2,0,IF($E679="Win",('Guide &amp; Settings'!$C$42/(($F679-1)*COUNTIFS($A$4:$A$810,$A679,$E$4:$E$810,"Win")))*SUMIFS($Z$4:$Z$810,$A$4:$A$810,$A679,$E$4:$E$810,"Loss"),-('Guide &amp; Settings'!$C$42/($F679-1))*$Z679)))</f>
        <v>0</v>
      </c>
      <c r="AB679" s="125">
        <f>IF($D679="",0,$U679+$AA679)</f>
        <v>0</v>
      </c>
      <c r="AC679" s="125" t="str">
        <f>IF($D679="","",IF(SUMPRODUCT(MAX(($D$4:$D$810=$D679)*($B$4:$B$810&lt;$B679)*$B$4:$B$810))=0,0,MAX(($B679-MAX(SUMPRODUCT(MAX(($D$4:$D$810=$D679)*($B$4:$B$810&lt;$B679)*$B$4:$B$810)),'Guide &amp; Settings'!$C$50))/7-'Guide &amp; Settings'!$C$48,0)*'Guide &amp; Settings'!$C$49))</f>
      </c>
    </row>
    <row r="680" spans="1:29">
      <c r="A680" s="116"/>
      <c r="B680" s="117"/>
      <c r="C680" s="118"/>
      <c r="D680" s="118"/>
      <c r="E680" s="116"/>
      <c r="F680" s="119">
        <f>IF($D680="",0,COUNTIF($A$4:$A$810,$A680))</f>
        <v>0</v>
      </c>
      <c r="G680" s="120">
        <f>IF($D680="","",IFERROR(LOOKUP(2,1/(($A$4:$A$810=$A680)*($E$4:$E$810="Win")),$D$4:$D$810),"(no winner)"))</f>
        <v>0</v>
      </c>
      <c r="H680" s="121">
        <f>IF($D680="",0,IFERROR(LOOKUP(2,1/(($D$3:D679=$D680)*($A$3:A679&lt;$A680)),$N$3:N679),'Guide &amp; Settings'!$C$41))</f>
        <v>0</v>
      </c>
      <c r="I680" s="122">
        <f>IF($D680="",0,IF($S680=0,0,$R680/$S680))</f>
        <v>0</v>
      </c>
      <c r="J680" s="123">
        <f>IF($D680="",0,IF($F680&lt;2,0,IF($E680="Win",('Guide &amp; Settings'!$C$42/(($F680-1)*COUNTIFS($A$4:$A$810,$A680,$E$4:$E$810,"Win")))*SUMIFS($X$4:$X$810,$A$4:$A$810,$A680,$E$4:$E$810,"Loss"),-('Guide &amp; Settings'!$C$42/($F680-1))*$X680)))</f>
        <v>0</v>
      </c>
      <c r="K680" s="123">
        <f>IF($D680="",0,'Guide &amp; Settings'!$C$43*(IF($E680="Win",1,0)-$I680))</f>
        <v>0</v>
      </c>
      <c r="L680" s="124">
        <f>IF($D680="",0,'Guide &amp; Settings'!$C$44*IF($F680&gt;=3,$F680+IF($E680="Win",$F680,0),0))</f>
        <v>0</v>
      </c>
      <c r="M680" s="123">
        <f>IF($D680="",0,$J680+$K680+$L680)</f>
        <v>0</v>
      </c>
      <c r="N680" s="121">
        <f>IF($D680="",0,$H680+$M680)</f>
        <v>0</v>
      </c>
      <c r="O680" s="120" t="str">
        <f>IF($D680="","",IF(COUNTIFS($A$4:$A$810,$A680,$E$4:$E$810,"Win")=0,"need a winner",IF(COUNTIFS($A$4:$A$810,$A680,$E$4:$E$810,"Loss")=0,"need a loser",IF(COUNTIFS($A$4:$A$810,$A680,$D$4:$D$810,$D680)&gt;1,"duplicate player","OK"))))</f>
      </c>
      <c r="P680">
        <f>IF($D680="",0,IFERROR(SUMIFS($H$4:$H$810,$A$4:$A$810,$A680,$E$4:$E$810,"Win")/COUNTIFS($A$4:$A$810,$A680,$E$4:$E$810,"Win"),0))</f>
        <v>0</v>
      </c>
      <c r="Q680">
        <f>IF($D680="",0,1/(1+10^(($P680-$H680)/400)))</f>
        <v>0</v>
      </c>
      <c r="R680">
        <f>IF($D680="",0,(COUNTIFS($D$4:$D$810,$D680,$C$4:$C$810,$C680,$E$4:$E$810,"Win",$A$4:$A$810,"&lt;"&amp;$A680)+1)/(COUNTIFS($D$4:$D$810,$D680,$C$4:$C$810,$C680,$A$4:$A$810,"&lt;"&amp;$A680)+2))</f>
        <v>0</v>
      </c>
      <c r="S680">
        <f>IF($D680="",0,SUMIFS($R$4:$R$810,$A$4:$A$810,$A680))</f>
        <v>0</v>
      </c>
      <c r="T680" s="88">
        <f>IF($D680="",0,COUNTIFS($D$4:$D$810,$D680,$C$4:$C$810,$C680,$A$4:$A$810,"&lt;"&amp;$A680))</f>
        <v>0</v>
      </c>
      <c r="U680" s="125">
        <f>IF($D680="",0,IFERROR(LOOKUP(2,1/(($D$3:D679=$D680)*($C$3:C679=$C680)*($A$3:A679&lt;$A680)),$AB$3:AB679),1000))</f>
        <v>0</v>
      </c>
      <c r="V680" s="125">
        <f>IF($D680="",0,$U680*($T680/($T680+5))+$H680*(1-$T680/($T680+5)))</f>
        <v>0</v>
      </c>
      <c r="W680">
        <f>IF($D680="",0,IFERROR(SUMIFS($V$4:$V$810,$A$4:$A$810,$A680,$E$4:$E$810,"Win")/COUNTIFS($A$4:$A$810,$A680,$E$4:$E$810,"Win"),0))</f>
        <v>0</v>
      </c>
      <c r="X680">
        <f>IF($D680="",0,1/(1+10^(($W680-$V680)/400)))</f>
        <v>0</v>
      </c>
      <c r="Y680">
        <f>IF($D680="",0,IFERROR(SUMIFS($U$4:$U$810,$A$4:$A$810,$A680,$E$4:$E$810,"Win")/COUNTIFS($A$4:$A$810,$A680,$E$4:$E$810,"Win"),0))</f>
        <v>0</v>
      </c>
      <c r="Z680">
        <f>IF($D680="",0,1/(1+10^(($Y680-$U680)/400)))</f>
        <v>0</v>
      </c>
      <c r="AA680">
        <f>IF($D680="",0,IF($F680&lt;2,0,IF($E680="Win",('Guide &amp; Settings'!$C$42/(($F680-1)*COUNTIFS($A$4:$A$810,$A680,$E$4:$E$810,"Win")))*SUMIFS($Z$4:$Z$810,$A$4:$A$810,$A680,$E$4:$E$810,"Loss"),-('Guide &amp; Settings'!$C$42/($F680-1))*$Z680)))</f>
        <v>0</v>
      </c>
      <c r="AB680" s="125">
        <f>IF($D680="",0,$U680+$AA680)</f>
        <v>0</v>
      </c>
      <c r="AC680" s="125" t="str">
        <f>IF($D680="","",IF(SUMPRODUCT(MAX(($D$4:$D$810=$D680)*($B$4:$B$810&lt;$B680)*$B$4:$B$810))=0,0,MAX(($B680-MAX(SUMPRODUCT(MAX(($D$4:$D$810=$D680)*($B$4:$B$810&lt;$B680)*$B$4:$B$810)),'Guide &amp; Settings'!$C$50))/7-'Guide &amp; Settings'!$C$48,0)*'Guide &amp; Settings'!$C$49))</f>
      </c>
    </row>
    <row r="681" spans="1:29">
      <c r="A681" s="116"/>
      <c r="B681" s="117"/>
      <c r="C681" s="118"/>
      <c r="D681" s="118"/>
      <c r="E681" s="116"/>
      <c r="F681" s="119">
        <f>IF($D681="",0,COUNTIF($A$4:$A$810,$A681))</f>
        <v>0</v>
      </c>
      <c r="G681" s="120">
        <f>IF($D681="","",IFERROR(LOOKUP(2,1/(($A$4:$A$810=$A681)*($E$4:$E$810="Win")),$D$4:$D$810),"(no winner)"))</f>
        <v>0</v>
      </c>
      <c r="H681" s="121">
        <f>IF($D681="",0,IFERROR(LOOKUP(2,1/(($D$3:D680=$D681)*($A$3:A680&lt;$A681)),$N$3:N680),'Guide &amp; Settings'!$C$41))</f>
        <v>0</v>
      </c>
      <c r="I681" s="122">
        <f>IF($D681="",0,IF($S681=0,0,$R681/$S681))</f>
        <v>0</v>
      </c>
      <c r="J681" s="123">
        <f>IF($D681="",0,IF($F681&lt;2,0,IF($E681="Win",('Guide &amp; Settings'!$C$42/(($F681-1)*COUNTIFS($A$4:$A$810,$A681,$E$4:$E$810,"Win")))*SUMIFS($X$4:$X$810,$A$4:$A$810,$A681,$E$4:$E$810,"Loss"),-('Guide &amp; Settings'!$C$42/($F681-1))*$X681)))</f>
        <v>0</v>
      </c>
      <c r="K681" s="123">
        <f>IF($D681="",0,'Guide &amp; Settings'!$C$43*(IF($E681="Win",1,0)-$I681))</f>
        <v>0</v>
      </c>
      <c r="L681" s="124">
        <f>IF($D681="",0,'Guide &amp; Settings'!$C$44*IF($F681&gt;=3,$F681+IF($E681="Win",$F681,0),0))</f>
        <v>0</v>
      </c>
      <c r="M681" s="123">
        <f>IF($D681="",0,$J681+$K681+$L681)</f>
        <v>0</v>
      </c>
      <c r="N681" s="121">
        <f>IF($D681="",0,$H681+$M681)</f>
        <v>0</v>
      </c>
      <c r="O681" s="120" t="str">
        <f>IF($D681="","",IF(COUNTIFS($A$4:$A$810,$A681,$E$4:$E$810,"Win")=0,"need a winner",IF(COUNTIFS($A$4:$A$810,$A681,$E$4:$E$810,"Loss")=0,"need a loser",IF(COUNTIFS($A$4:$A$810,$A681,$D$4:$D$810,$D681)&gt;1,"duplicate player","OK"))))</f>
      </c>
      <c r="P681">
        <f>IF($D681="",0,IFERROR(SUMIFS($H$4:$H$810,$A$4:$A$810,$A681,$E$4:$E$810,"Win")/COUNTIFS($A$4:$A$810,$A681,$E$4:$E$810,"Win"),0))</f>
        <v>0</v>
      </c>
      <c r="Q681">
        <f>IF($D681="",0,1/(1+10^(($P681-$H681)/400)))</f>
        <v>0</v>
      </c>
      <c r="R681">
        <f>IF($D681="",0,(COUNTIFS($D$4:$D$810,$D681,$C$4:$C$810,$C681,$E$4:$E$810,"Win",$A$4:$A$810,"&lt;"&amp;$A681)+1)/(COUNTIFS($D$4:$D$810,$D681,$C$4:$C$810,$C681,$A$4:$A$810,"&lt;"&amp;$A681)+2))</f>
        <v>0</v>
      </c>
      <c r="S681">
        <f>IF($D681="",0,SUMIFS($R$4:$R$810,$A$4:$A$810,$A681))</f>
        <v>0</v>
      </c>
      <c r="T681" s="88">
        <f>IF($D681="",0,COUNTIFS($D$4:$D$810,$D681,$C$4:$C$810,$C681,$A$4:$A$810,"&lt;"&amp;$A681))</f>
        <v>0</v>
      </c>
      <c r="U681" s="125">
        <f>IF($D681="",0,IFERROR(LOOKUP(2,1/(($D$3:D680=$D681)*($C$3:C680=$C681)*($A$3:A680&lt;$A681)),$AB$3:AB680),1000))</f>
        <v>0</v>
      </c>
      <c r="V681" s="125">
        <f>IF($D681="",0,$U681*($T681/($T681+5))+$H681*(1-$T681/($T681+5)))</f>
        <v>0</v>
      </c>
      <c r="W681">
        <f>IF($D681="",0,IFERROR(SUMIFS($V$4:$V$810,$A$4:$A$810,$A681,$E$4:$E$810,"Win")/COUNTIFS($A$4:$A$810,$A681,$E$4:$E$810,"Win"),0))</f>
        <v>0</v>
      </c>
      <c r="X681">
        <f>IF($D681="",0,1/(1+10^(($W681-$V681)/400)))</f>
        <v>0</v>
      </c>
      <c r="Y681">
        <f>IF($D681="",0,IFERROR(SUMIFS($U$4:$U$810,$A$4:$A$810,$A681,$E$4:$E$810,"Win")/COUNTIFS($A$4:$A$810,$A681,$E$4:$E$810,"Win"),0))</f>
        <v>0</v>
      </c>
      <c r="Z681">
        <f>IF($D681="",0,1/(1+10^(($Y681-$U681)/400)))</f>
        <v>0</v>
      </c>
      <c r="AA681">
        <f>IF($D681="",0,IF($F681&lt;2,0,IF($E681="Win",('Guide &amp; Settings'!$C$42/(($F681-1)*COUNTIFS($A$4:$A$810,$A681,$E$4:$E$810,"Win")))*SUMIFS($Z$4:$Z$810,$A$4:$A$810,$A681,$E$4:$E$810,"Loss"),-('Guide &amp; Settings'!$C$42/($F681-1))*$Z681)))</f>
        <v>0</v>
      </c>
      <c r="AB681" s="125">
        <f>IF($D681="",0,$U681+$AA681)</f>
        <v>0</v>
      </c>
      <c r="AC681" s="125" t="str">
        <f>IF($D681="","",IF(SUMPRODUCT(MAX(($D$4:$D$810=$D681)*($B$4:$B$810&lt;$B681)*$B$4:$B$810))=0,0,MAX(($B681-MAX(SUMPRODUCT(MAX(($D$4:$D$810=$D681)*($B$4:$B$810&lt;$B681)*$B$4:$B$810)),'Guide &amp; Settings'!$C$50))/7-'Guide &amp; Settings'!$C$48,0)*'Guide &amp; Settings'!$C$49))</f>
      </c>
    </row>
    <row r="682" spans="1:29">
      <c r="A682" s="116"/>
      <c r="B682" s="117"/>
      <c r="C682" s="118"/>
      <c r="D682" s="118"/>
      <c r="E682" s="116"/>
      <c r="F682" s="119">
        <f>IF($D682="",0,COUNTIF($A$4:$A$810,$A682))</f>
        <v>0</v>
      </c>
      <c r="G682" s="120">
        <f>IF($D682="","",IFERROR(LOOKUP(2,1/(($A$4:$A$810=$A682)*($E$4:$E$810="Win")),$D$4:$D$810),"(no winner)"))</f>
        <v>0</v>
      </c>
      <c r="H682" s="121">
        <f>IF($D682="",0,IFERROR(LOOKUP(2,1/(($D$3:D681=$D682)*($A$3:A681&lt;$A682)),$N$3:N681),'Guide &amp; Settings'!$C$41))</f>
        <v>0</v>
      </c>
      <c r="I682" s="122">
        <f>IF($D682="",0,IF($S682=0,0,$R682/$S682))</f>
        <v>0</v>
      </c>
      <c r="J682" s="123">
        <f>IF($D682="",0,IF($F682&lt;2,0,IF($E682="Win",('Guide &amp; Settings'!$C$42/(($F682-1)*COUNTIFS($A$4:$A$810,$A682,$E$4:$E$810,"Win")))*SUMIFS($X$4:$X$810,$A$4:$A$810,$A682,$E$4:$E$810,"Loss"),-('Guide &amp; Settings'!$C$42/($F682-1))*$X682)))</f>
        <v>0</v>
      </c>
      <c r="K682" s="123">
        <f>IF($D682="",0,'Guide &amp; Settings'!$C$43*(IF($E682="Win",1,0)-$I682))</f>
        <v>0</v>
      </c>
      <c r="L682" s="124">
        <f>IF($D682="",0,'Guide &amp; Settings'!$C$44*IF($F682&gt;=3,$F682+IF($E682="Win",$F682,0),0))</f>
        <v>0</v>
      </c>
      <c r="M682" s="123">
        <f>IF($D682="",0,$J682+$K682+$L682)</f>
        <v>0</v>
      </c>
      <c r="N682" s="121">
        <f>IF($D682="",0,$H682+$M682)</f>
        <v>0</v>
      </c>
      <c r="O682" s="120" t="str">
        <f>IF($D682="","",IF(COUNTIFS($A$4:$A$810,$A682,$E$4:$E$810,"Win")=0,"need a winner",IF(COUNTIFS($A$4:$A$810,$A682,$E$4:$E$810,"Loss")=0,"need a loser",IF(COUNTIFS($A$4:$A$810,$A682,$D$4:$D$810,$D682)&gt;1,"duplicate player","OK"))))</f>
      </c>
      <c r="P682">
        <f>IF($D682="",0,IFERROR(SUMIFS($H$4:$H$810,$A$4:$A$810,$A682,$E$4:$E$810,"Win")/COUNTIFS($A$4:$A$810,$A682,$E$4:$E$810,"Win"),0))</f>
        <v>0</v>
      </c>
      <c r="Q682">
        <f>IF($D682="",0,1/(1+10^(($P682-$H682)/400)))</f>
        <v>0</v>
      </c>
      <c r="R682">
        <f>IF($D682="",0,(COUNTIFS($D$4:$D$810,$D682,$C$4:$C$810,$C682,$E$4:$E$810,"Win",$A$4:$A$810,"&lt;"&amp;$A682)+1)/(COUNTIFS($D$4:$D$810,$D682,$C$4:$C$810,$C682,$A$4:$A$810,"&lt;"&amp;$A682)+2))</f>
        <v>0</v>
      </c>
      <c r="S682">
        <f>IF($D682="",0,SUMIFS($R$4:$R$810,$A$4:$A$810,$A682))</f>
        <v>0</v>
      </c>
      <c r="T682" s="88">
        <f>IF($D682="",0,COUNTIFS($D$4:$D$810,$D682,$C$4:$C$810,$C682,$A$4:$A$810,"&lt;"&amp;$A682))</f>
        <v>0</v>
      </c>
      <c r="U682" s="125">
        <f>IF($D682="",0,IFERROR(LOOKUP(2,1/(($D$3:D681=$D682)*($C$3:C681=$C682)*($A$3:A681&lt;$A682)),$AB$3:AB681),1000))</f>
        <v>0</v>
      </c>
      <c r="V682" s="125">
        <f>IF($D682="",0,$U682*($T682/($T682+5))+$H682*(1-$T682/($T682+5)))</f>
        <v>0</v>
      </c>
      <c r="W682">
        <f>IF($D682="",0,IFERROR(SUMIFS($V$4:$V$810,$A$4:$A$810,$A682,$E$4:$E$810,"Win")/COUNTIFS($A$4:$A$810,$A682,$E$4:$E$810,"Win"),0))</f>
        <v>0</v>
      </c>
      <c r="X682">
        <f>IF($D682="",0,1/(1+10^(($W682-$V682)/400)))</f>
        <v>0</v>
      </c>
      <c r="Y682">
        <f>IF($D682="",0,IFERROR(SUMIFS($U$4:$U$810,$A$4:$A$810,$A682,$E$4:$E$810,"Win")/COUNTIFS($A$4:$A$810,$A682,$E$4:$E$810,"Win"),0))</f>
        <v>0</v>
      </c>
      <c r="Z682">
        <f>IF($D682="",0,1/(1+10^(($Y682-$U682)/400)))</f>
        <v>0</v>
      </c>
      <c r="AA682">
        <f>IF($D682="",0,IF($F682&lt;2,0,IF($E682="Win",('Guide &amp; Settings'!$C$42/(($F682-1)*COUNTIFS($A$4:$A$810,$A682,$E$4:$E$810,"Win")))*SUMIFS($Z$4:$Z$810,$A$4:$A$810,$A682,$E$4:$E$810,"Loss"),-('Guide &amp; Settings'!$C$42/($F682-1))*$Z682)))</f>
        <v>0</v>
      </c>
      <c r="AB682" s="125">
        <f>IF($D682="",0,$U682+$AA682)</f>
        <v>0</v>
      </c>
      <c r="AC682" s="125" t="str">
        <f>IF($D682="","",IF(SUMPRODUCT(MAX(($D$4:$D$810=$D682)*($B$4:$B$810&lt;$B682)*$B$4:$B$810))=0,0,MAX(($B682-MAX(SUMPRODUCT(MAX(($D$4:$D$810=$D682)*($B$4:$B$810&lt;$B682)*$B$4:$B$810)),'Guide &amp; Settings'!$C$50))/7-'Guide &amp; Settings'!$C$48,0)*'Guide &amp; Settings'!$C$49))</f>
      </c>
    </row>
    <row r="683" spans="1:29">
      <c r="A683" s="116"/>
      <c r="B683" s="117"/>
      <c r="C683" s="118"/>
      <c r="D683" s="118"/>
      <c r="E683" s="116"/>
      <c r="F683" s="119">
        <f>IF($D683="",0,COUNTIF($A$4:$A$810,$A683))</f>
        <v>0</v>
      </c>
      <c r="G683" s="120">
        <f>IF($D683="","",IFERROR(LOOKUP(2,1/(($A$4:$A$810=$A683)*($E$4:$E$810="Win")),$D$4:$D$810),"(no winner)"))</f>
        <v>0</v>
      </c>
      <c r="H683" s="121">
        <f>IF($D683="",0,IFERROR(LOOKUP(2,1/(($D$3:D682=$D683)*($A$3:A682&lt;$A683)),$N$3:N682),'Guide &amp; Settings'!$C$41))</f>
        <v>0</v>
      </c>
      <c r="I683" s="122">
        <f>IF($D683="",0,IF($S683=0,0,$R683/$S683))</f>
        <v>0</v>
      </c>
      <c r="J683" s="123">
        <f>IF($D683="",0,IF($F683&lt;2,0,IF($E683="Win",('Guide &amp; Settings'!$C$42/(($F683-1)*COUNTIFS($A$4:$A$810,$A683,$E$4:$E$810,"Win")))*SUMIFS($X$4:$X$810,$A$4:$A$810,$A683,$E$4:$E$810,"Loss"),-('Guide &amp; Settings'!$C$42/($F683-1))*$X683)))</f>
        <v>0</v>
      </c>
      <c r="K683" s="123">
        <f>IF($D683="",0,'Guide &amp; Settings'!$C$43*(IF($E683="Win",1,0)-$I683))</f>
        <v>0</v>
      </c>
      <c r="L683" s="124">
        <f>IF($D683="",0,'Guide &amp; Settings'!$C$44*IF($F683&gt;=3,$F683+IF($E683="Win",$F683,0),0))</f>
        <v>0</v>
      </c>
      <c r="M683" s="123">
        <f>IF($D683="",0,$J683+$K683+$L683)</f>
        <v>0</v>
      </c>
      <c r="N683" s="121">
        <f>IF($D683="",0,$H683+$M683)</f>
        <v>0</v>
      </c>
      <c r="O683" s="120" t="str">
        <f>IF($D683="","",IF(COUNTIFS($A$4:$A$810,$A683,$E$4:$E$810,"Win")=0,"need a winner",IF(COUNTIFS($A$4:$A$810,$A683,$E$4:$E$810,"Loss")=0,"need a loser",IF(COUNTIFS($A$4:$A$810,$A683,$D$4:$D$810,$D683)&gt;1,"duplicate player","OK"))))</f>
      </c>
      <c r="P683">
        <f>IF($D683="",0,IFERROR(SUMIFS($H$4:$H$810,$A$4:$A$810,$A683,$E$4:$E$810,"Win")/COUNTIFS($A$4:$A$810,$A683,$E$4:$E$810,"Win"),0))</f>
        <v>0</v>
      </c>
      <c r="Q683">
        <f>IF($D683="",0,1/(1+10^(($P683-$H683)/400)))</f>
        <v>0</v>
      </c>
      <c r="R683">
        <f>IF($D683="",0,(COUNTIFS($D$4:$D$810,$D683,$C$4:$C$810,$C683,$E$4:$E$810,"Win",$A$4:$A$810,"&lt;"&amp;$A683)+1)/(COUNTIFS($D$4:$D$810,$D683,$C$4:$C$810,$C683,$A$4:$A$810,"&lt;"&amp;$A683)+2))</f>
        <v>0</v>
      </c>
      <c r="S683">
        <f>IF($D683="",0,SUMIFS($R$4:$R$810,$A$4:$A$810,$A683))</f>
        <v>0</v>
      </c>
      <c r="T683" s="88">
        <f>IF($D683="",0,COUNTIFS($D$4:$D$810,$D683,$C$4:$C$810,$C683,$A$4:$A$810,"&lt;"&amp;$A683))</f>
        <v>0</v>
      </c>
      <c r="U683" s="125">
        <f>IF($D683="",0,IFERROR(LOOKUP(2,1/(($D$3:D682=$D683)*($C$3:C682=$C683)*($A$3:A682&lt;$A683)),$AB$3:AB682),1000))</f>
        <v>0</v>
      </c>
      <c r="V683" s="125">
        <f>IF($D683="",0,$U683*($T683/($T683+5))+$H683*(1-$T683/($T683+5)))</f>
        <v>0</v>
      </c>
      <c r="W683">
        <f>IF($D683="",0,IFERROR(SUMIFS($V$4:$V$810,$A$4:$A$810,$A683,$E$4:$E$810,"Win")/COUNTIFS($A$4:$A$810,$A683,$E$4:$E$810,"Win"),0))</f>
        <v>0</v>
      </c>
      <c r="X683">
        <f>IF($D683="",0,1/(1+10^(($W683-$V683)/400)))</f>
        <v>0</v>
      </c>
      <c r="Y683">
        <f>IF($D683="",0,IFERROR(SUMIFS($U$4:$U$810,$A$4:$A$810,$A683,$E$4:$E$810,"Win")/COUNTIFS($A$4:$A$810,$A683,$E$4:$E$810,"Win"),0))</f>
        <v>0</v>
      </c>
      <c r="Z683">
        <f>IF($D683="",0,1/(1+10^(($Y683-$U683)/400)))</f>
        <v>0</v>
      </c>
      <c r="AA683">
        <f>IF($D683="",0,IF($F683&lt;2,0,IF($E683="Win",('Guide &amp; Settings'!$C$42/(($F683-1)*COUNTIFS($A$4:$A$810,$A683,$E$4:$E$810,"Win")))*SUMIFS($Z$4:$Z$810,$A$4:$A$810,$A683,$E$4:$E$810,"Loss"),-('Guide &amp; Settings'!$C$42/($F683-1))*$Z683)))</f>
        <v>0</v>
      </c>
      <c r="AB683" s="125">
        <f>IF($D683="",0,$U683+$AA683)</f>
        <v>0</v>
      </c>
      <c r="AC683" s="125" t="str">
        <f>IF($D683="","",IF(SUMPRODUCT(MAX(($D$4:$D$810=$D683)*($B$4:$B$810&lt;$B683)*$B$4:$B$810))=0,0,MAX(($B683-MAX(SUMPRODUCT(MAX(($D$4:$D$810=$D683)*($B$4:$B$810&lt;$B683)*$B$4:$B$810)),'Guide &amp; Settings'!$C$50))/7-'Guide &amp; Settings'!$C$48,0)*'Guide &amp; Settings'!$C$49))</f>
      </c>
    </row>
    <row r="684" spans="1:29">
      <c r="A684" s="116"/>
      <c r="B684" s="117"/>
      <c r="C684" s="118"/>
      <c r="D684" s="118"/>
      <c r="E684" s="116"/>
      <c r="F684" s="119">
        <f>IF($D684="",0,COUNTIF($A$4:$A$810,$A684))</f>
        <v>0</v>
      </c>
      <c r="G684" s="120">
        <f>IF($D684="","",IFERROR(LOOKUP(2,1/(($A$4:$A$810=$A684)*($E$4:$E$810="Win")),$D$4:$D$810),"(no winner)"))</f>
        <v>0</v>
      </c>
      <c r="H684" s="121">
        <f>IF($D684="",0,IFERROR(LOOKUP(2,1/(($D$3:D683=$D684)*($A$3:A683&lt;$A684)),$N$3:N683),'Guide &amp; Settings'!$C$41))</f>
        <v>0</v>
      </c>
      <c r="I684" s="122">
        <f>IF($D684="",0,IF($S684=0,0,$R684/$S684))</f>
        <v>0</v>
      </c>
      <c r="J684" s="123">
        <f>IF($D684="",0,IF($F684&lt;2,0,IF($E684="Win",('Guide &amp; Settings'!$C$42/(($F684-1)*COUNTIFS($A$4:$A$810,$A684,$E$4:$E$810,"Win")))*SUMIFS($X$4:$X$810,$A$4:$A$810,$A684,$E$4:$E$810,"Loss"),-('Guide &amp; Settings'!$C$42/($F684-1))*$X684)))</f>
        <v>0</v>
      </c>
      <c r="K684" s="123">
        <f>IF($D684="",0,'Guide &amp; Settings'!$C$43*(IF($E684="Win",1,0)-$I684))</f>
        <v>0</v>
      </c>
      <c r="L684" s="124">
        <f>IF($D684="",0,'Guide &amp; Settings'!$C$44*IF($F684&gt;=3,$F684+IF($E684="Win",$F684,0),0))</f>
        <v>0</v>
      </c>
      <c r="M684" s="123">
        <f>IF($D684="",0,$J684+$K684+$L684)</f>
        <v>0</v>
      </c>
      <c r="N684" s="121">
        <f>IF($D684="",0,$H684+$M684)</f>
        <v>0</v>
      </c>
      <c r="O684" s="120" t="str">
        <f>IF($D684="","",IF(COUNTIFS($A$4:$A$810,$A684,$E$4:$E$810,"Win")=0,"need a winner",IF(COUNTIFS($A$4:$A$810,$A684,$E$4:$E$810,"Loss")=0,"need a loser",IF(COUNTIFS($A$4:$A$810,$A684,$D$4:$D$810,$D684)&gt;1,"duplicate player","OK"))))</f>
      </c>
      <c r="P684">
        <f>IF($D684="",0,IFERROR(SUMIFS($H$4:$H$810,$A$4:$A$810,$A684,$E$4:$E$810,"Win")/COUNTIFS($A$4:$A$810,$A684,$E$4:$E$810,"Win"),0))</f>
        <v>0</v>
      </c>
      <c r="Q684">
        <f>IF($D684="",0,1/(1+10^(($P684-$H684)/400)))</f>
        <v>0</v>
      </c>
      <c r="R684">
        <f>IF($D684="",0,(COUNTIFS($D$4:$D$810,$D684,$C$4:$C$810,$C684,$E$4:$E$810,"Win",$A$4:$A$810,"&lt;"&amp;$A684)+1)/(COUNTIFS($D$4:$D$810,$D684,$C$4:$C$810,$C684,$A$4:$A$810,"&lt;"&amp;$A684)+2))</f>
        <v>0</v>
      </c>
      <c r="S684">
        <f>IF($D684="",0,SUMIFS($R$4:$R$810,$A$4:$A$810,$A684))</f>
        <v>0</v>
      </c>
      <c r="T684" s="88">
        <f>IF($D684="",0,COUNTIFS($D$4:$D$810,$D684,$C$4:$C$810,$C684,$A$4:$A$810,"&lt;"&amp;$A684))</f>
        <v>0</v>
      </c>
      <c r="U684" s="125">
        <f>IF($D684="",0,IFERROR(LOOKUP(2,1/(($D$3:D683=$D684)*($C$3:C683=$C684)*($A$3:A683&lt;$A684)),$AB$3:AB683),1000))</f>
        <v>0</v>
      </c>
      <c r="V684" s="125">
        <f>IF($D684="",0,$U684*($T684/($T684+5))+$H684*(1-$T684/($T684+5)))</f>
        <v>0</v>
      </c>
      <c r="W684">
        <f>IF($D684="",0,IFERROR(SUMIFS($V$4:$V$810,$A$4:$A$810,$A684,$E$4:$E$810,"Win")/COUNTIFS($A$4:$A$810,$A684,$E$4:$E$810,"Win"),0))</f>
        <v>0</v>
      </c>
      <c r="X684">
        <f>IF($D684="",0,1/(1+10^(($W684-$V684)/400)))</f>
        <v>0</v>
      </c>
      <c r="Y684">
        <f>IF($D684="",0,IFERROR(SUMIFS($U$4:$U$810,$A$4:$A$810,$A684,$E$4:$E$810,"Win")/COUNTIFS($A$4:$A$810,$A684,$E$4:$E$810,"Win"),0))</f>
        <v>0</v>
      </c>
      <c r="Z684">
        <f>IF($D684="",0,1/(1+10^(($Y684-$U684)/400)))</f>
        <v>0</v>
      </c>
      <c r="AA684">
        <f>IF($D684="",0,IF($F684&lt;2,0,IF($E684="Win",('Guide &amp; Settings'!$C$42/(($F684-1)*COUNTIFS($A$4:$A$810,$A684,$E$4:$E$810,"Win")))*SUMIFS($Z$4:$Z$810,$A$4:$A$810,$A684,$E$4:$E$810,"Loss"),-('Guide &amp; Settings'!$C$42/($F684-1))*$Z684)))</f>
        <v>0</v>
      </c>
      <c r="AB684" s="125">
        <f>IF($D684="",0,$U684+$AA684)</f>
        <v>0</v>
      </c>
      <c r="AC684" s="125" t="str">
        <f>IF($D684="","",IF(SUMPRODUCT(MAX(($D$4:$D$810=$D684)*($B$4:$B$810&lt;$B684)*$B$4:$B$810))=0,0,MAX(($B684-MAX(SUMPRODUCT(MAX(($D$4:$D$810=$D684)*($B$4:$B$810&lt;$B684)*$B$4:$B$810)),'Guide &amp; Settings'!$C$50))/7-'Guide &amp; Settings'!$C$48,0)*'Guide &amp; Settings'!$C$49))</f>
      </c>
    </row>
    <row r="685" spans="1:29">
      <c r="A685" s="116"/>
      <c r="B685" s="117"/>
      <c r="C685" s="118"/>
      <c r="D685" s="118"/>
      <c r="E685" s="116"/>
      <c r="F685" s="119">
        <f>IF($D685="",0,COUNTIF($A$4:$A$810,$A685))</f>
        <v>0</v>
      </c>
      <c r="G685" s="120">
        <f>IF($D685="","",IFERROR(LOOKUP(2,1/(($A$4:$A$810=$A685)*($E$4:$E$810="Win")),$D$4:$D$810),"(no winner)"))</f>
        <v>0</v>
      </c>
      <c r="H685" s="121">
        <f>IF($D685="",0,IFERROR(LOOKUP(2,1/(($D$3:D684=$D685)*($A$3:A684&lt;$A685)),$N$3:N684),'Guide &amp; Settings'!$C$41))</f>
        <v>0</v>
      </c>
      <c r="I685" s="122">
        <f>IF($D685="",0,IF($S685=0,0,$R685/$S685))</f>
        <v>0</v>
      </c>
      <c r="J685" s="123">
        <f>IF($D685="",0,IF($F685&lt;2,0,IF($E685="Win",('Guide &amp; Settings'!$C$42/(($F685-1)*COUNTIFS($A$4:$A$810,$A685,$E$4:$E$810,"Win")))*SUMIFS($X$4:$X$810,$A$4:$A$810,$A685,$E$4:$E$810,"Loss"),-('Guide &amp; Settings'!$C$42/($F685-1))*$X685)))</f>
        <v>0</v>
      </c>
      <c r="K685" s="123">
        <f>IF($D685="",0,'Guide &amp; Settings'!$C$43*(IF($E685="Win",1,0)-$I685))</f>
        <v>0</v>
      </c>
      <c r="L685" s="124">
        <f>IF($D685="",0,'Guide &amp; Settings'!$C$44*IF($F685&gt;=3,$F685+IF($E685="Win",$F685,0),0))</f>
        <v>0</v>
      </c>
      <c r="M685" s="123">
        <f>IF($D685="",0,$J685+$K685+$L685)</f>
        <v>0</v>
      </c>
      <c r="N685" s="121">
        <f>IF($D685="",0,$H685+$M685)</f>
        <v>0</v>
      </c>
      <c r="O685" s="120" t="str">
        <f>IF($D685="","",IF(COUNTIFS($A$4:$A$810,$A685,$E$4:$E$810,"Win")=0,"need a winner",IF(COUNTIFS($A$4:$A$810,$A685,$E$4:$E$810,"Loss")=0,"need a loser",IF(COUNTIFS($A$4:$A$810,$A685,$D$4:$D$810,$D685)&gt;1,"duplicate player","OK"))))</f>
      </c>
      <c r="P685">
        <f>IF($D685="",0,IFERROR(SUMIFS($H$4:$H$810,$A$4:$A$810,$A685,$E$4:$E$810,"Win")/COUNTIFS($A$4:$A$810,$A685,$E$4:$E$810,"Win"),0))</f>
        <v>0</v>
      </c>
      <c r="Q685">
        <f>IF($D685="",0,1/(1+10^(($P685-$H685)/400)))</f>
        <v>0</v>
      </c>
      <c r="R685">
        <f>IF($D685="",0,(COUNTIFS($D$4:$D$810,$D685,$C$4:$C$810,$C685,$E$4:$E$810,"Win",$A$4:$A$810,"&lt;"&amp;$A685)+1)/(COUNTIFS($D$4:$D$810,$D685,$C$4:$C$810,$C685,$A$4:$A$810,"&lt;"&amp;$A685)+2))</f>
        <v>0</v>
      </c>
      <c r="S685">
        <f>IF($D685="",0,SUMIFS($R$4:$R$810,$A$4:$A$810,$A685))</f>
        <v>0</v>
      </c>
      <c r="T685" s="88">
        <f>IF($D685="",0,COUNTIFS($D$4:$D$810,$D685,$C$4:$C$810,$C685,$A$4:$A$810,"&lt;"&amp;$A685))</f>
        <v>0</v>
      </c>
      <c r="U685" s="125">
        <f>IF($D685="",0,IFERROR(LOOKUP(2,1/(($D$3:D684=$D685)*($C$3:C684=$C685)*($A$3:A684&lt;$A685)),$AB$3:AB684),1000))</f>
        <v>0</v>
      </c>
      <c r="V685" s="125">
        <f>IF($D685="",0,$U685*($T685/($T685+5))+$H685*(1-$T685/($T685+5)))</f>
        <v>0</v>
      </c>
      <c r="W685">
        <f>IF($D685="",0,IFERROR(SUMIFS($V$4:$V$810,$A$4:$A$810,$A685,$E$4:$E$810,"Win")/COUNTIFS($A$4:$A$810,$A685,$E$4:$E$810,"Win"),0))</f>
        <v>0</v>
      </c>
      <c r="X685">
        <f>IF($D685="",0,1/(1+10^(($W685-$V685)/400)))</f>
        <v>0</v>
      </c>
      <c r="Y685">
        <f>IF($D685="",0,IFERROR(SUMIFS($U$4:$U$810,$A$4:$A$810,$A685,$E$4:$E$810,"Win")/COUNTIFS($A$4:$A$810,$A685,$E$4:$E$810,"Win"),0))</f>
        <v>0</v>
      </c>
      <c r="Z685">
        <f>IF($D685="",0,1/(1+10^(($Y685-$U685)/400)))</f>
        <v>0</v>
      </c>
      <c r="AA685">
        <f>IF($D685="",0,IF($F685&lt;2,0,IF($E685="Win",('Guide &amp; Settings'!$C$42/(($F685-1)*COUNTIFS($A$4:$A$810,$A685,$E$4:$E$810,"Win")))*SUMIFS($Z$4:$Z$810,$A$4:$A$810,$A685,$E$4:$E$810,"Loss"),-('Guide &amp; Settings'!$C$42/($F685-1))*$Z685)))</f>
        <v>0</v>
      </c>
      <c r="AB685" s="125">
        <f>IF($D685="",0,$U685+$AA685)</f>
        <v>0</v>
      </c>
      <c r="AC685" s="125" t="str">
        <f>IF($D685="","",IF(SUMPRODUCT(MAX(($D$4:$D$810=$D685)*($B$4:$B$810&lt;$B685)*$B$4:$B$810))=0,0,MAX(($B685-MAX(SUMPRODUCT(MAX(($D$4:$D$810=$D685)*($B$4:$B$810&lt;$B685)*$B$4:$B$810)),'Guide &amp; Settings'!$C$50))/7-'Guide &amp; Settings'!$C$48,0)*'Guide &amp; Settings'!$C$49))</f>
      </c>
    </row>
    <row r="686" spans="1:29">
      <c r="A686" s="116"/>
      <c r="B686" s="117"/>
      <c r="C686" s="118"/>
      <c r="D686" s="118"/>
      <c r="E686" s="116"/>
      <c r="F686" s="119">
        <f>IF($D686="",0,COUNTIF($A$4:$A$810,$A686))</f>
        <v>0</v>
      </c>
      <c r="G686" s="120">
        <f>IF($D686="","",IFERROR(LOOKUP(2,1/(($A$4:$A$810=$A686)*($E$4:$E$810="Win")),$D$4:$D$810),"(no winner)"))</f>
        <v>0</v>
      </c>
      <c r="H686" s="121">
        <f>IF($D686="",0,IFERROR(LOOKUP(2,1/(($D$3:D685=$D686)*($A$3:A685&lt;$A686)),$N$3:N685),'Guide &amp; Settings'!$C$41))</f>
        <v>0</v>
      </c>
      <c r="I686" s="122">
        <f>IF($D686="",0,IF($S686=0,0,$R686/$S686))</f>
        <v>0</v>
      </c>
      <c r="J686" s="123">
        <f>IF($D686="",0,IF($F686&lt;2,0,IF($E686="Win",('Guide &amp; Settings'!$C$42/(($F686-1)*COUNTIFS($A$4:$A$810,$A686,$E$4:$E$810,"Win")))*SUMIFS($X$4:$X$810,$A$4:$A$810,$A686,$E$4:$E$810,"Loss"),-('Guide &amp; Settings'!$C$42/($F686-1))*$X686)))</f>
        <v>0</v>
      </c>
      <c r="K686" s="123">
        <f>IF($D686="",0,'Guide &amp; Settings'!$C$43*(IF($E686="Win",1,0)-$I686))</f>
        <v>0</v>
      </c>
      <c r="L686" s="124">
        <f>IF($D686="",0,'Guide &amp; Settings'!$C$44*IF($F686&gt;=3,$F686+IF($E686="Win",$F686,0),0))</f>
        <v>0</v>
      </c>
      <c r="M686" s="123">
        <f>IF($D686="",0,$J686+$K686+$L686)</f>
        <v>0</v>
      </c>
      <c r="N686" s="121">
        <f>IF($D686="",0,$H686+$M686)</f>
        <v>0</v>
      </c>
      <c r="O686" s="120" t="str">
        <f>IF($D686="","",IF(COUNTIFS($A$4:$A$810,$A686,$E$4:$E$810,"Win")=0,"need a winner",IF(COUNTIFS($A$4:$A$810,$A686,$E$4:$E$810,"Loss")=0,"need a loser",IF(COUNTIFS($A$4:$A$810,$A686,$D$4:$D$810,$D686)&gt;1,"duplicate player","OK"))))</f>
      </c>
      <c r="P686">
        <f>IF($D686="",0,IFERROR(SUMIFS($H$4:$H$810,$A$4:$A$810,$A686,$E$4:$E$810,"Win")/COUNTIFS($A$4:$A$810,$A686,$E$4:$E$810,"Win"),0))</f>
        <v>0</v>
      </c>
      <c r="Q686">
        <f>IF($D686="",0,1/(1+10^(($P686-$H686)/400)))</f>
        <v>0</v>
      </c>
      <c r="R686">
        <f>IF($D686="",0,(COUNTIFS($D$4:$D$810,$D686,$C$4:$C$810,$C686,$E$4:$E$810,"Win",$A$4:$A$810,"&lt;"&amp;$A686)+1)/(COUNTIFS($D$4:$D$810,$D686,$C$4:$C$810,$C686,$A$4:$A$810,"&lt;"&amp;$A686)+2))</f>
        <v>0</v>
      </c>
      <c r="S686">
        <f>IF($D686="",0,SUMIFS($R$4:$R$810,$A$4:$A$810,$A686))</f>
        <v>0</v>
      </c>
      <c r="T686" s="88">
        <f>IF($D686="",0,COUNTIFS($D$4:$D$810,$D686,$C$4:$C$810,$C686,$A$4:$A$810,"&lt;"&amp;$A686))</f>
        <v>0</v>
      </c>
      <c r="U686" s="125">
        <f>IF($D686="",0,IFERROR(LOOKUP(2,1/(($D$3:D685=$D686)*($C$3:C685=$C686)*($A$3:A685&lt;$A686)),$AB$3:AB685),1000))</f>
        <v>0</v>
      </c>
      <c r="V686" s="125">
        <f>IF($D686="",0,$U686*($T686/($T686+5))+$H686*(1-$T686/($T686+5)))</f>
        <v>0</v>
      </c>
      <c r="W686">
        <f>IF($D686="",0,IFERROR(SUMIFS($V$4:$V$810,$A$4:$A$810,$A686,$E$4:$E$810,"Win")/COUNTIFS($A$4:$A$810,$A686,$E$4:$E$810,"Win"),0))</f>
        <v>0</v>
      </c>
      <c r="X686">
        <f>IF($D686="",0,1/(1+10^(($W686-$V686)/400)))</f>
        <v>0</v>
      </c>
      <c r="Y686">
        <f>IF($D686="",0,IFERROR(SUMIFS($U$4:$U$810,$A$4:$A$810,$A686,$E$4:$E$810,"Win")/COUNTIFS($A$4:$A$810,$A686,$E$4:$E$810,"Win"),0))</f>
        <v>0</v>
      </c>
      <c r="Z686">
        <f>IF($D686="",0,1/(1+10^(($Y686-$U686)/400)))</f>
        <v>0</v>
      </c>
      <c r="AA686">
        <f>IF($D686="",0,IF($F686&lt;2,0,IF($E686="Win",('Guide &amp; Settings'!$C$42/(($F686-1)*COUNTIFS($A$4:$A$810,$A686,$E$4:$E$810,"Win")))*SUMIFS($Z$4:$Z$810,$A$4:$A$810,$A686,$E$4:$E$810,"Loss"),-('Guide &amp; Settings'!$C$42/($F686-1))*$Z686)))</f>
        <v>0</v>
      </c>
      <c r="AB686" s="125">
        <f>IF($D686="",0,$U686+$AA686)</f>
        <v>0</v>
      </c>
      <c r="AC686" s="125" t="str">
        <f>IF($D686="","",IF(SUMPRODUCT(MAX(($D$4:$D$810=$D686)*($B$4:$B$810&lt;$B686)*$B$4:$B$810))=0,0,MAX(($B686-MAX(SUMPRODUCT(MAX(($D$4:$D$810=$D686)*($B$4:$B$810&lt;$B686)*$B$4:$B$810)),'Guide &amp; Settings'!$C$50))/7-'Guide &amp; Settings'!$C$48,0)*'Guide &amp; Settings'!$C$49))</f>
      </c>
    </row>
    <row r="687" spans="1:29">
      <c r="A687" s="116"/>
      <c r="B687" s="117"/>
      <c r="C687" s="118"/>
      <c r="D687" s="118"/>
      <c r="E687" s="116"/>
      <c r="F687" s="119">
        <f>IF($D687="",0,COUNTIF($A$4:$A$810,$A687))</f>
        <v>0</v>
      </c>
      <c r="G687" s="120">
        <f>IF($D687="","",IFERROR(LOOKUP(2,1/(($A$4:$A$810=$A687)*($E$4:$E$810="Win")),$D$4:$D$810),"(no winner)"))</f>
        <v>0</v>
      </c>
      <c r="H687" s="121">
        <f>IF($D687="",0,IFERROR(LOOKUP(2,1/(($D$3:D686=$D687)*($A$3:A686&lt;$A687)),$N$3:N686),'Guide &amp; Settings'!$C$41))</f>
        <v>0</v>
      </c>
      <c r="I687" s="122">
        <f>IF($D687="",0,IF($S687=0,0,$R687/$S687))</f>
        <v>0</v>
      </c>
      <c r="J687" s="123">
        <f>IF($D687="",0,IF($F687&lt;2,0,IF($E687="Win",('Guide &amp; Settings'!$C$42/(($F687-1)*COUNTIFS($A$4:$A$810,$A687,$E$4:$E$810,"Win")))*SUMIFS($X$4:$X$810,$A$4:$A$810,$A687,$E$4:$E$810,"Loss"),-('Guide &amp; Settings'!$C$42/($F687-1))*$X687)))</f>
        <v>0</v>
      </c>
      <c r="K687" s="123">
        <f>IF($D687="",0,'Guide &amp; Settings'!$C$43*(IF($E687="Win",1,0)-$I687))</f>
        <v>0</v>
      </c>
      <c r="L687" s="124">
        <f>IF($D687="",0,'Guide &amp; Settings'!$C$44*IF($F687&gt;=3,$F687+IF($E687="Win",$F687,0),0))</f>
        <v>0</v>
      </c>
      <c r="M687" s="123">
        <f>IF($D687="",0,$J687+$K687+$L687)</f>
        <v>0</v>
      </c>
      <c r="N687" s="121">
        <f>IF($D687="",0,$H687+$M687)</f>
        <v>0</v>
      </c>
      <c r="O687" s="120" t="str">
        <f>IF($D687="","",IF(COUNTIFS($A$4:$A$810,$A687,$E$4:$E$810,"Win")=0,"need a winner",IF(COUNTIFS($A$4:$A$810,$A687,$E$4:$E$810,"Loss")=0,"need a loser",IF(COUNTIFS($A$4:$A$810,$A687,$D$4:$D$810,$D687)&gt;1,"duplicate player","OK"))))</f>
      </c>
      <c r="P687">
        <f>IF($D687="",0,IFERROR(SUMIFS($H$4:$H$810,$A$4:$A$810,$A687,$E$4:$E$810,"Win")/COUNTIFS($A$4:$A$810,$A687,$E$4:$E$810,"Win"),0))</f>
        <v>0</v>
      </c>
      <c r="Q687">
        <f>IF($D687="",0,1/(1+10^(($P687-$H687)/400)))</f>
        <v>0</v>
      </c>
      <c r="R687">
        <f>IF($D687="",0,(COUNTIFS($D$4:$D$810,$D687,$C$4:$C$810,$C687,$E$4:$E$810,"Win",$A$4:$A$810,"&lt;"&amp;$A687)+1)/(COUNTIFS($D$4:$D$810,$D687,$C$4:$C$810,$C687,$A$4:$A$810,"&lt;"&amp;$A687)+2))</f>
        <v>0</v>
      </c>
      <c r="S687">
        <f>IF($D687="",0,SUMIFS($R$4:$R$810,$A$4:$A$810,$A687))</f>
        <v>0</v>
      </c>
      <c r="T687" s="88">
        <f>IF($D687="",0,COUNTIFS($D$4:$D$810,$D687,$C$4:$C$810,$C687,$A$4:$A$810,"&lt;"&amp;$A687))</f>
        <v>0</v>
      </c>
      <c r="U687" s="125">
        <f>IF($D687="",0,IFERROR(LOOKUP(2,1/(($D$3:D686=$D687)*($C$3:C686=$C687)*($A$3:A686&lt;$A687)),$AB$3:AB686),1000))</f>
        <v>0</v>
      </c>
      <c r="V687" s="125">
        <f>IF($D687="",0,$U687*($T687/($T687+5))+$H687*(1-$T687/($T687+5)))</f>
        <v>0</v>
      </c>
      <c r="W687">
        <f>IF($D687="",0,IFERROR(SUMIFS($V$4:$V$810,$A$4:$A$810,$A687,$E$4:$E$810,"Win")/COUNTIFS($A$4:$A$810,$A687,$E$4:$E$810,"Win"),0))</f>
        <v>0</v>
      </c>
      <c r="X687">
        <f>IF($D687="",0,1/(1+10^(($W687-$V687)/400)))</f>
        <v>0</v>
      </c>
      <c r="Y687">
        <f>IF($D687="",0,IFERROR(SUMIFS($U$4:$U$810,$A$4:$A$810,$A687,$E$4:$E$810,"Win")/COUNTIFS($A$4:$A$810,$A687,$E$4:$E$810,"Win"),0))</f>
        <v>0</v>
      </c>
      <c r="Z687">
        <f>IF($D687="",0,1/(1+10^(($Y687-$U687)/400)))</f>
        <v>0</v>
      </c>
      <c r="AA687">
        <f>IF($D687="",0,IF($F687&lt;2,0,IF($E687="Win",('Guide &amp; Settings'!$C$42/(($F687-1)*COUNTIFS($A$4:$A$810,$A687,$E$4:$E$810,"Win")))*SUMIFS($Z$4:$Z$810,$A$4:$A$810,$A687,$E$4:$E$810,"Loss"),-('Guide &amp; Settings'!$C$42/($F687-1))*$Z687)))</f>
        <v>0</v>
      </c>
      <c r="AB687" s="125">
        <f>IF($D687="",0,$U687+$AA687)</f>
        <v>0</v>
      </c>
      <c r="AC687" s="125" t="str">
        <f>IF($D687="","",IF(SUMPRODUCT(MAX(($D$4:$D$810=$D687)*($B$4:$B$810&lt;$B687)*$B$4:$B$810))=0,0,MAX(($B687-MAX(SUMPRODUCT(MAX(($D$4:$D$810=$D687)*($B$4:$B$810&lt;$B687)*$B$4:$B$810)),'Guide &amp; Settings'!$C$50))/7-'Guide &amp; Settings'!$C$48,0)*'Guide &amp; Settings'!$C$49))</f>
      </c>
    </row>
    <row r="688" spans="1:29">
      <c r="A688" s="116"/>
      <c r="B688" s="117"/>
      <c r="C688" s="118"/>
      <c r="D688" s="118"/>
      <c r="E688" s="116"/>
      <c r="F688" s="119">
        <f>IF($D688="",0,COUNTIF($A$4:$A$810,$A688))</f>
        <v>0</v>
      </c>
      <c r="G688" s="120">
        <f>IF($D688="","",IFERROR(LOOKUP(2,1/(($A$4:$A$810=$A688)*($E$4:$E$810="Win")),$D$4:$D$810),"(no winner)"))</f>
        <v>0</v>
      </c>
      <c r="H688" s="121">
        <f>IF($D688="",0,IFERROR(LOOKUP(2,1/(($D$3:D687=$D688)*($A$3:A687&lt;$A688)),$N$3:N687),'Guide &amp; Settings'!$C$41))</f>
        <v>0</v>
      </c>
      <c r="I688" s="122">
        <f>IF($D688="",0,IF($S688=0,0,$R688/$S688))</f>
        <v>0</v>
      </c>
      <c r="J688" s="123">
        <f>IF($D688="",0,IF($F688&lt;2,0,IF($E688="Win",('Guide &amp; Settings'!$C$42/(($F688-1)*COUNTIFS($A$4:$A$810,$A688,$E$4:$E$810,"Win")))*SUMIFS($X$4:$X$810,$A$4:$A$810,$A688,$E$4:$E$810,"Loss"),-('Guide &amp; Settings'!$C$42/($F688-1))*$X688)))</f>
        <v>0</v>
      </c>
      <c r="K688" s="123">
        <f>IF($D688="",0,'Guide &amp; Settings'!$C$43*(IF($E688="Win",1,0)-$I688))</f>
        <v>0</v>
      </c>
      <c r="L688" s="124">
        <f>IF($D688="",0,'Guide &amp; Settings'!$C$44*IF($F688&gt;=3,$F688+IF($E688="Win",$F688,0),0))</f>
        <v>0</v>
      </c>
      <c r="M688" s="123">
        <f>IF($D688="",0,$J688+$K688+$L688)</f>
        <v>0</v>
      </c>
      <c r="N688" s="121">
        <f>IF($D688="",0,$H688+$M688)</f>
        <v>0</v>
      </c>
      <c r="O688" s="120" t="str">
        <f>IF($D688="","",IF(COUNTIFS($A$4:$A$810,$A688,$E$4:$E$810,"Win")=0,"need a winner",IF(COUNTIFS($A$4:$A$810,$A688,$E$4:$E$810,"Loss")=0,"need a loser",IF(COUNTIFS($A$4:$A$810,$A688,$D$4:$D$810,$D688)&gt;1,"duplicate player","OK"))))</f>
      </c>
      <c r="P688">
        <f>IF($D688="",0,IFERROR(SUMIFS($H$4:$H$810,$A$4:$A$810,$A688,$E$4:$E$810,"Win")/COUNTIFS($A$4:$A$810,$A688,$E$4:$E$810,"Win"),0))</f>
        <v>0</v>
      </c>
      <c r="Q688">
        <f>IF($D688="",0,1/(1+10^(($P688-$H688)/400)))</f>
        <v>0</v>
      </c>
      <c r="R688">
        <f>IF($D688="",0,(COUNTIFS($D$4:$D$810,$D688,$C$4:$C$810,$C688,$E$4:$E$810,"Win",$A$4:$A$810,"&lt;"&amp;$A688)+1)/(COUNTIFS($D$4:$D$810,$D688,$C$4:$C$810,$C688,$A$4:$A$810,"&lt;"&amp;$A688)+2))</f>
        <v>0</v>
      </c>
      <c r="S688">
        <f>IF($D688="",0,SUMIFS($R$4:$R$810,$A$4:$A$810,$A688))</f>
        <v>0</v>
      </c>
      <c r="T688" s="88">
        <f>IF($D688="",0,COUNTIFS($D$4:$D$810,$D688,$C$4:$C$810,$C688,$A$4:$A$810,"&lt;"&amp;$A688))</f>
        <v>0</v>
      </c>
      <c r="U688" s="125">
        <f>IF($D688="",0,IFERROR(LOOKUP(2,1/(($D$3:D687=$D688)*($C$3:C687=$C688)*($A$3:A687&lt;$A688)),$AB$3:AB687),1000))</f>
        <v>0</v>
      </c>
      <c r="V688" s="125">
        <f>IF($D688="",0,$U688*($T688/($T688+5))+$H688*(1-$T688/($T688+5)))</f>
        <v>0</v>
      </c>
      <c r="W688">
        <f>IF($D688="",0,IFERROR(SUMIFS($V$4:$V$810,$A$4:$A$810,$A688,$E$4:$E$810,"Win")/COUNTIFS($A$4:$A$810,$A688,$E$4:$E$810,"Win"),0))</f>
        <v>0</v>
      </c>
      <c r="X688">
        <f>IF($D688="",0,1/(1+10^(($W688-$V688)/400)))</f>
        <v>0</v>
      </c>
      <c r="Y688">
        <f>IF($D688="",0,IFERROR(SUMIFS($U$4:$U$810,$A$4:$A$810,$A688,$E$4:$E$810,"Win")/COUNTIFS($A$4:$A$810,$A688,$E$4:$E$810,"Win"),0))</f>
        <v>0</v>
      </c>
      <c r="Z688">
        <f>IF($D688="",0,1/(1+10^(($Y688-$U688)/400)))</f>
        <v>0</v>
      </c>
      <c r="AA688">
        <f>IF($D688="",0,IF($F688&lt;2,0,IF($E688="Win",('Guide &amp; Settings'!$C$42/(($F688-1)*COUNTIFS($A$4:$A$810,$A688,$E$4:$E$810,"Win")))*SUMIFS($Z$4:$Z$810,$A$4:$A$810,$A688,$E$4:$E$810,"Loss"),-('Guide &amp; Settings'!$C$42/($F688-1))*$Z688)))</f>
        <v>0</v>
      </c>
      <c r="AB688" s="125">
        <f>IF($D688="",0,$U688+$AA688)</f>
        <v>0</v>
      </c>
      <c r="AC688" s="125" t="str">
        <f>IF($D688="","",IF(SUMPRODUCT(MAX(($D$4:$D$810=$D688)*($B$4:$B$810&lt;$B688)*$B$4:$B$810))=0,0,MAX(($B688-MAX(SUMPRODUCT(MAX(($D$4:$D$810=$D688)*($B$4:$B$810&lt;$B688)*$B$4:$B$810)),'Guide &amp; Settings'!$C$50))/7-'Guide &amp; Settings'!$C$48,0)*'Guide &amp; Settings'!$C$49))</f>
      </c>
    </row>
    <row r="689" spans="1:29">
      <c r="A689" s="116"/>
      <c r="B689" s="117"/>
      <c r="C689" s="118"/>
      <c r="D689" s="118"/>
      <c r="E689" s="116"/>
      <c r="F689" s="119">
        <f>IF($D689="",0,COUNTIF($A$4:$A$810,$A689))</f>
        <v>0</v>
      </c>
      <c r="G689" s="120">
        <f>IF($D689="","",IFERROR(LOOKUP(2,1/(($A$4:$A$810=$A689)*($E$4:$E$810="Win")),$D$4:$D$810),"(no winner)"))</f>
        <v>0</v>
      </c>
      <c r="H689" s="121">
        <f>IF($D689="",0,IFERROR(LOOKUP(2,1/(($D$3:D688=$D689)*($A$3:A688&lt;$A689)),$N$3:N688),'Guide &amp; Settings'!$C$41))</f>
        <v>0</v>
      </c>
      <c r="I689" s="122">
        <f>IF($D689="",0,IF($S689=0,0,$R689/$S689))</f>
        <v>0</v>
      </c>
      <c r="J689" s="123">
        <f>IF($D689="",0,IF($F689&lt;2,0,IF($E689="Win",('Guide &amp; Settings'!$C$42/(($F689-1)*COUNTIFS($A$4:$A$810,$A689,$E$4:$E$810,"Win")))*SUMIFS($X$4:$X$810,$A$4:$A$810,$A689,$E$4:$E$810,"Loss"),-('Guide &amp; Settings'!$C$42/($F689-1))*$X689)))</f>
        <v>0</v>
      </c>
      <c r="K689" s="123">
        <f>IF($D689="",0,'Guide &amp; Settings'!$C$43*(IF($E689="Win",1,0)-$I689))</f>
        <v>0</v>
      </c>
      <c r="L689" s="124">
        <f>IF($D689="",0,'Guide &amp; Settings'!$C$44*IF($F689&gt;=3,$F689+IF($E689="Win",$F689,0),0))</f>
        <v>0</v>
      </c>
      <c r="M689" s="123">
        <f>IF($D689="",0,$J689+$K689+$L689)</f>
        <v>0</v>
      </c>
      <c r="N689" s="121">
        <f>IF($D689="",0,$H689+$M689)</f>
        <v>0</v>
      </c>
      <c r="O689" s="120" t="str">
        <f>IF($D689="","",IF(COUNTIFS($A$4:$A$810,$A689,$E$4:$E$810,"Win")=0,"need a winner",IF(COUNTIFS($A$4:$A$810,$A689,$E$4:$E$810,"Loss")=0,"need a loser",IF(COUNTIFS($A$4:$A$810,$A689,$D$4:$D$810,$D689)&gt;1,"duplicate player","OK"))))</f>
      </c>
      <c r="P689">
        <f>IF($D689="",0,IFERROR(SUMIFS($H$4:$H$810,$A$4:$A$810,$A689,$E$4:$E$810,"Win")/COUNTIFS($A$4:$A$810,$A689,$E$4:$E$810,"Win"),0))</f>
        <v>0</v>
      </c>
      <c r="Q689">
        <f>IF($D689="",0,1/(1+10^(($P689-$H689)/400)))</f>
        <v>0</v>
      </c>
      <c r="R689">
        <f>IF($D689="",0,(COUNTIFS($D$4:$D$810,$D689,$C$4:$C$810,$C689,$E$4:$E$810,"Win",$A$4:$A$810,"&lt;"&amp;$A689)+1)/(COUNTIFS($D$4:$D$810,$D689,$C$4:$C$810,$C689,$A$4:$A$810,"&lt;"&amp;$A689)+2))</f>
        <v>0</v>
      </c>
      <c r="S689">
        <f>IF($D689="",0,SUMIFS($R$4:$R$810,$A$4:$A$810,$A689))</f>
        <v>0</v>
      </c>
      <c r="T689" s="88">
        <f>IF($D689="",0,COUNTIFS($D$4:$D$810,$D689,$C$4:$C$810,$C689,$A$4:$A$810,"&lt;"&amp;$A689))</f>
        <v>0</v>
      </c>
      <c r="U689" s="125">
        <f>IF($D689="",0,IFERROR(LOOKUP(2,1/(($D$3:D688=$D689)*($C$3:C688=$C689)*($A$3:A688&lt;$A689)),$AB$3:AB688),1000))</f>
        <v>0</v>
      </c>
      <c r="V689" s="125">
        <f>IF($D689="",0,$U689*($T689/($T689+5))+$H689*(1-$T689/($T689+5)))</f>
        <v>0</v>
      </c>
      <c r="W689">
        <f>IF($D689="",0,IFERROR(SUMIFS($V$4:$V$810,$A$4:$A$810,$A689,$E$4:$E$810,"Win")/COUNTIFS($A$4:$A$810,$A689,$E$4:$E$810,"Win"),0))</f>
        <v>0</v>
      </c>
      <c r="X689">
        <f>IF($D689="",0,1/(1+10^(($W689-$V689)/400)))</f>
        <v>0</v>
      </c>
      <c r="Y689">
        <f>IF($D689="",0,IFERROR(SUMIFS($U$4:$U$810,$A$4:$A$810,$A689,$E$4:$E$810,"Win")/COUNTIFS($A$4:$A$810,$A689,$E$4:$E$810,"Win"),0))</f>
        <v>0</v>
      </c>
      <c r="Z689">
        <f>IF($D689="",0,1/(1+10^(($Y689-$U689)/400)))</f>
        <v>0</v>
      </c>
      <c r="AA689">
        <f>IF($D689="",0,IF($F689&lt;2,0,IF($E689="Win",('Guide &amp; Settings'!$C$42/(($F689-1)*COUNTIFS($A$4:$A$810,$A689,$E$4:$E$810,"Win")))*SUMIFS($Z$4:$Z$810,$A$4:$A$810,$A689,$E$4:$E$810,"Loss"),-('Guide &amp; Settings'!$C$42/($F689-1))*$Z689)))</f>
        <v>0</v>
      </c>
      <c r="AB689" s="125">
        <f>IF($D689="",0,$U689+$AA689)</f>
        <v>0</v>
      </c>
      <c r="AC689" s="125" t="str">
        <f>IF($D689="","",IF(SUMPRODUCT(MAX(($D$4:$D$810=$D689)*($B$4:$B$810&lt;$B689)*$B$4:$B$810))=0,0,MAX(($B689-MAX(SUMPRODUCT(MAX(($D$4:$D$810=$D689)*($B$4:$B$810&lt;$B689)*$B$4:$B$810)),'Guide &amp; Settings'!$C$50))/7-'Guide &amp; Settings'!$C$48,0)*'Guide &amp; Settings'!$C$49))</f>
      </c>
    </row>
    <row r="690" spans="1:29">
      <c r="A690" s="116"/>
      <c r="B690" s="117"/>
      <c r="C690" s="118"/>
      <c r="D690" s="118"/>
      <c r="E690" s="116"/>
      <c r="F690" s="119">
        <f>IF($D690="",0,COUNTIF($A$4:$A$810,$A690))</f>
        <v>0</v>
      </c>
      <c r="G690" s="120">
        <f>IF($D690="","",IFERROR(LOOKUP(2,1/(($A$4:$A$810=$A690)*($E$4:$E$810="Win")),$D$4:$D$810),"(no winner)"))</f>
        <v>0</v>
      </c>
      <c r="H690" s="121">
        <f>IF($D690="",0,IFERROR(LOOKUP(2,1/(($D$3:D689=$D690)*($A$3:A689&lt;$A690)),$N$3:N689),'Guide &amp; Settings'!$C$41))</f>
        <v>0</v>
      </c>
      <c r="I690" s="122">
        <f>IF($D690="",0,IF($S690=0,0,$R690/$S690))</f>
        <v>0</v>
      </c>
      <c r="J690" s="123">
        <f>IF($D690="",0,IF($F690&lt;2,0,IF($E690="Win",('Guide &amp; Settings'!$C$42/(($F690-1)*COUNTIFS($A$4:$A$810,$A690,$E$4:$E$810,"Win")))*SUMIFS($X$4:$X$810,$A$4:$A$810,$A690,$E$4:$E$810,"Loss"),-('Guide &amp; Settings'!$C$42/($F690-1))*$X690)))</f>
        <v>0</v>
      </c>
      <c r="K690" s="123">
        <f>IF($D690="",0,'Guide &amp; Settings'!$C$43*(IF($E690="Win",1,0)-$I690))</f>
        <v>0</v>
      </c>
      <c r="L690" s="124">
        <f>IF($D690="",0,'Guide &amp; Settings'!$C$44*IF($F690&gt;=3,$F690+IF($E690="Win",$F690,0),0))</f>
        <v>0</v>
      </c>
      <c r="M690" s="123">
        <f>IF($D690="",0,$J690+$K690+$L690)</f>
        <v>0</v>
      </c>
      <c r="N690" s="121">
        <f>IF($D690="",0,$H690+$M690)</f>
        <v>0</v>
      </c>
      <c r="O690" s="120" t="str">
        <f>IF($D690="","",IF(COUNTIFS($A$4:$A$810,$A690,$E$4:$E$810,"Win")=0,"need a winner",IF(COUNTIFS($A$4:$A$810,$A690,$E$4:$E$810,"Loss")=0,"need a loser",IF(COUNTIFS($A$4:$A$810,$A690,$D$4:$D$810,$D690)&gt;1,"duplicate player","OK"))))</f>
      </c>
      <c r="P690">
        <f>IF($D690="",0,IFERROR(SUMIFS($H$4:$H$810,$A$4:$A$810,$A690,$E$4:$E$810,"Win")/COUNTIFS($A$4:$A$810,$A690,$E$4:$E$810,"Win"),0))</f>
        <v>0</v>
      </c>
      <c r="Q690">
        <f>IF($D690="",0,1/(1+10^(($P690-$H690)/400)))</f>
        <v>0</v>
      </c>
      <c r="R690">
        <f>IF($D690="",0,(COUNTIFS($D$4:$D$810,$D690,$C$4:$C$810,$C690,$E$4:$E$810,"Win",$A$4:$A$810,"&lt;"&amp;$A690)+1)/(COUNTIFS($D$4:$D$810,$D690,$C$4:$C$810,$C690,$A$4:$A$810,"&lt;"&amp;$A690)+2))</f>
        <v>0</v>
      </c>
      <c r="S690">
        <f>IF($D690="",0,SUMIFS($R$4:$R$810,$A$4:$A$810,$A690))</f>
        <v>0</v>
      </c>
      <c r="T690" s="88">
        <f>IF($D690="",0,COUNTIFS($D$4:$D$810,$D690,$C$4:$C$810,$C690,$A$4:$A$810,"&lt;"&amp;$A690))</f>
        <v>0</v>
      </c>
      <c r="U690" s="125">
        <f>IF($D690="",0,IFERROR(LOOKUP(2,1/(($D$3:D689=$D690)*($C$3:C689=$C690)*($A$3:A689&lt;$A690)),$AB$3:AB689),1000))</f>
        <v>0</v>
      </c>
      <c r="V690" s="125">
        <f>IF($D690="",0,$U690*($T690/($T690+5))+$H690*(1-$T690/($T690+5)))</f>
        <v>0</v>
      </c>
      <c r="W690">
        <f>IF($D690="",0,IFERROR(SUMIFS($V$4:$V$810,$A$4:$A$810,$A690,$E$4:$E$810,"Win")/COUNTIFS($A$4:$A$810,$A690,$E$4:$E$810,"Win"),0))</f>
        <v>0</v>
      </c>
      <c r="X690">
        <f>IF($D690="",0,1/(1+10^(($W690-$V690)/400)))</f>
        <v>0</v>
      </c>
      <c r="Y690">
        <f>IF($D690="",0,IFERROR(SUMIFS($U$4:$U$810,$A$4:$A$810,$A690,$E$4:$E$810,"Win")/COUNTIFS($A$4:$A$810,$A690,$E$4:$E$810,"Win"),0))</f>
        <v>0</v>
      </c>
      <c r="Z690">
        <f>IF($D690="",0,1/(1+10^(($Y690-$U690)/400)))</f>
        <v>0</v>
      </c>
      <c r="AA690">
        <f>IF($D690="",0,IF($F690&lt;2,0,IF($E690="Win",('Guide &amp; Settings'!$C$42/(($F690-1)*COUNTIFS($A$4:$A$810,$A690,$E$4:$E$810,"Win")))*SUMIFS($Z$4:$Z$810,$A$4:$A$810,$A690,$E$4:$E$810,"Loss"),-('Guide &amp; Settings'!$C$42/($F690-1))*$Z690)))</f>
        <v>0</v>
      </c>
      <c r="AB690" s="125">
        <f>IF($D690="",0,$U690+$AA690)</f>
        <v>0</v>
      </c>
      <c r="AC690" s="125" t="str">
        <f>IF($D690="","",IF(SUMPRODUCT(MAX(($D$4:$D$810=$D690)*($B$4:$B$810&lt;$B690)*$B$4:$B$810))=0,0,MAX(($B690-MAX(SUMPRODUCT(MAX(($D$4:$D$810=$D690)*($B$4:$B$810&lt;$B690)*$B$4:$B$810)),'Guide &amp; Settings'!$C$50))/7-'Guide &amp; Settings'!$C$48,0)*'Guide &amp; Settings'!$C$49))</f>
      </c>
    </row>
    <row r="691" spans="1:29">
      <c r="A691" s="116"/>
      <c r="B691" s="117"/>
      <c r="C691" s="118"/>
      <c r="D691" s="118"/>
      <c r="E691" s="116"/>
      <c r="F691" s="119">
        <f>IF($D691="",0,COUNTIF($A$4:$A$810,$A691))</f>
        <v>0</v>
      </c>
      <c r="G691" s="120">
        <f>IF($D691="","",IFERROR(LOOKUP(2,1/(($A$4:$A$810=$A691)*($E$4:$E$810="Win")),$D$4:$D$810),"(no winner)"))</f>
        <v>0</v>
      </c>
      <c r="H691" s="121">
        <f>IF($D691="",0,IFERROR(LOOKUP(2,1/(($D$3:D690=$D691)*($A$3:A690&lt;$A691)),$N$3:N690),'Guide &amp; Settings'!$C$41))</f>
        <v>0</v>
      </c>
      <c r="I691" s="122">
        <f>IF($D691="",0,IF($S691=0,0,$R691/$S691))</f>
        <v>0</v>
      </c>
      <c r="J691" s="123">
        <f>IF($D691="",0,IF($F691&lt;2,0,IF($E691="Win",('Guide &amp; Settings'!$C$42/(($F691-1)*COUNTIFS($A$4:$A$810,$A691,$E$4:$E$810,"Win")))*SUMIFS($X$4:$X$810,$A$4:$A$810,$A691,$E$4:$E$810,"Loss"),-('Guide &amp; Settings'!$C$42/($F691-1))*$X691)))</f>
        <v>0</v>
      </c>
      <c r="K691" s="123">
        <f>IF($D691="",0,'Guide &amp; Settings'!$C$43*(IF($E691="Win",1,0)-$I691))</f>
        <v>0</v>
      </c>
      <c r="L691" s="124">
        <f>IF($D691="",0,'Guide &amp; Settings'!$C$44*IF($F691&gt;=3,$F691+IF($E691="Win",$F691,0),0))</f>
        <v>0</v>
      </c>
      <c r="M691" s="123">
        <f>IF($D691="",0,$J691+$K691+$L691)</f>
        <v>0</v>
      </c>
      <c r="N691" s="121">
        <f>IF($D691="",0,$H691+$M691)</f>
        <v>0</v>
      </c>
      <c r="O691" s="120" t="str">
        <f>IF($D691="","",IF(COUNTIFS($A$4:$A$810,$A691,$E$4:$E$810,"Win")=0,"need a winner",IF(COUNTIFS($A$4:$A$810,$A691,$E$4:$E$810,"Loss")=0,"need a loser",IF(COUNTIFS($A$4:$A$810,$A691,$D$4:$D$810,$D691)&gt;1,"duplicate player","OK"))))</f>
      </c>
      <c r="P691">
        <f>IF($D691="",0,IFERROR(SUMIFS($H$4:$H$810,$A$4:$A$810,$A691,$E$4:$E$810,"Win")/COUNTIFS($A$4:$A$810,$A691,$E$4:$E$810,"Win"),0))</f>
        <v>0</v>
      </c>
      <c r="Q691">
        <f>IF($D691="",0,1/(1+10^(($P691-$H691)/400)))</f>
        <v>0</v>
      </c>
      <c r="R691">
        <f>IF($D691="",0,(COUNTIFS($D$4:$D$810,$D691,$C$4:$C$810,$C691,$E$4:$E$810,"Win",$A$4:$A$810,"&lt;"&amp;$A691)+1)/(COUNTIFS($D$4:$D$810,$D691,$C$4:$C$810,$C691,$A$4:$A$810,"&lt;"&amp;$A691)+2))</f>
        <v>0</v>
      </c>
      <c r="S691">
        <f>IF($D691="",0,SUMIFS($R$4:$R$810,$A$4:$A$810,$A691))</f>
        <v>0</v>
      </c>
      <c r="T691" s="88">
        <f>IF($D691="",0,COUNTIFS($D$4:$D$810,$D691,$C$4:$C$810,$C691,$A$4:$A$810,"&lt;"&amp;$A691))</f>
        <v>0</v>
      </c>
      <c r="U691" s="125">
        <f>IF($D691="",0,IFERROR(LOOKUP(2,1/(($D$3:D690=$D691)*($C$3:C690=$C691)*($A$3:A690&lt;$A691)),$AB$3:AB690),1000))</f>
        <v>0</v>
      </c>
      <c r="V691" s="125">
        <f>IF($D691="",0,$U691*($T691/($T691+5))+$H691*(1-$T691/($T691+5)))</f>
        <v>0</v>
      </c>
      <c r="W691">
        <f>IF($D691="",0,IFERROR(SUMIFS($V$4:$V$810,$A$4:$A$810,$A691,$E$4:$E$810,"Win")/COUNTIFS($A$4:$A$810,$A691,$E$4:$E$810,"Win"),0))</f>
        <v>0</v>
      </c>
      <c r="X691">
        <f>IF($D691="",0,1/(1+10^(($W691-$V691)/400)))</f>
        <v>0</v>
      </c>
      <c r="Y691">
        <f>IF($D691="",0,IFERROR(SUMIFS($U$4:$U$810,$A$4:$A$810,$A691,$E$4:$E$810,"Win")/COUNTIFS($A$4:$A$810,$A691,$E$4:$E$810,"Win"),0))</f>
        <v>0</v>
      </c>
      <c r="Z691">
        <f>IF($D691="",0,1/(1+10^(($Y691-$U691)/400)))</f>
        <v>0</v>
      </c>
      <c r="AA691">
        <f>IF($D691="",0,IF($F691&lt;2,0,IF($E691="Win",('Guide &amp; Settings'!$C$42/(($F691-1)*COUNTIFS($A$4:$A$810,$A691,$E$4:$E$810,"Win")))*SUMIFS($Z$4:$Z$810,$A$4:$A$810,$A691,$E$4:$E$810,"Loss"),-('Guide &amp; Settings'!$C$42/($F691-1))*$Z691)))</f>
        <v>0</v>
      </c>
      <c r="AB691" s="125">
        <f>IF($D691="",0,$U691+$AA691)</f>
        <v>0</v>
      </c>
      <c r="AC691" s="125" t="str">
        <f>IF($D691="","",IF(SUMPRODUCT(MAX(($D$4:$D$810=$D691)*($B$4:$B$810&lt;$B691)*$B$4:$B$810))=0,0,MAX(($B691-MAX(SUMPRODUCT(MAX(($D$4:$D$810=$D691)*($B$4:$B$810&lt;$B691)*$B$4:$B$810)),'Guide &amp; Settings'!$C$50))/7-'Guide &amp; Settings'!$C$48,0)*'Guide &amp; Settings'!$C$49))</f>
      </c>
    </row>
    <row r="692" spans="1:29">
      <c r="A692" s="116"/>
      <c r="B692" s="117"/>
      <c r="C692" s="118"/>
      <c r="D692" s="118"/>
      <c r="E692" s="116"/>
      <c r="F692" s="119">
        <f>IF($D692="",0,COUNTIF($A$4:$A$810,$A692))</f>
        <v>0</v>
      </c>
      <c r="G692" s="120">
        <f>IF($D692="","",IFERROR(LOOKUP(2,1/(($A$4:$A$810=$A692)*($E$4:$E$810="Win")),$D$4:$D$810),"(no winner)"))</f>
        <v>0</v>
      </c>
      <c r="H692" s="121">
        <f>IF($D692="",0,IFERROR(LOOKUP(2,1/(($D$3:D691=$D692)*($A$3:A691&lt;$A692)),$N$3:N691),'Guide &amp; Settings'!$C$41))</f>
        <v>0</v>
      </c>
      <c r="I692" s="122">
        <f>IF($D692="",0,IF($S692=0,0,$R692/$S692))</f>
        <v>0</v>
      </c>
      <c r="J692" s="123">
        <f>IF($D692="",0,IF($F692&lt;2,0,IF($E692="Win",('Guide &amp; Settings'!$C$42/(($F692-1)*COUNTIFS($A$4:$A$810,$A692,$E$4:$E$810,"Win")))*SUMIFS($X$4:$X$810,$A$4:$A$810,$A692,$E$4:$E$810,"Loss"),-('Guide &amp; Settings'!$C$42/($F692-1))*$X692)))</f>
        <v>0</v>
      </c>
      <c r="K692" s="123">
        <f>IF($D692="",0,'Guide &amp; Settings'!$C$43*(IF($E692="Win",1,0)-$I692))</f>
        <v>0</v>
      </c>
      <c r="L692" s="124">
        <f>IF($D692="",0,'Guide &amp; Settings'!$C$44*IF($F692&gt;=3,$F692+IF($E692="Win",$F692,0),0))</f>
        <v>0</v>
      </c>
      <c r="M692" s="123">
        <f>IF($D692="",0,$J692+$K692+$L692)</f>
        <v>0</v>
      </c>
      <c r="N692" s="121">
        <f>IF($D692="",0,$H692+$M692)</f>
        <v>0</v>
      </c>
      <c r="O692" s="120" t="str">
        <f>IF($D692="","",IF(COUNTIFS($A$4:$A$810,$A692,$E$4:$E$810,"Win")=0,"need a winner",IF(COUNTIFS($A$4:$A$810,$A692,$E$4:$E$810,"Loss")=0,"need a loser",IF(COUNTIFS($A$4:$A$810,$A692,$D$4:$D$810,$D692)&gt;1,"duplicate player","OK"))))</f>
      </c>
      <c r="P692">
        <f>IF($D692="",0,IFERROR(SUMIFS($H$4:$H$810,$A$4:$A$810,$A692,$E$4:$E$810,"Win")/COUNTIFS($A$4:$A$810,$A692,$E$4:$E$810,"Win"),0))</f>
        <v>0</v>
      </c>
      <c r="Q692">
        <f>IF($D692="",0,1/(1+10^(($P692-$H692)/400)))</f>
        <v>0</v>
      </c>
      <c r="R692">
        <f>IF($D692="",0,(COUNTIFS($D$4:$D$810,$D692,$C$4:$C$810,$C692,$E$4:$E$810,"Win",$A$4:$A$810,"&lt;"&amp;$A692)+1)/(COUNTIFS($D$4:$D$810,$D692,$C$4:$C$810,$C692,$A$4:$A$810,"&lt;"&amp;$A692)+2))</f>
        <v>0</v>
      </c>
      <c r="S692">
        <f>IF($D692="",0,SUMIFS($R$4:$R$810,$A$4:$A$810,$A692))</f>
        <v>0</v>
      </c>
      <c r="T692" s="88">
        <f>IF($D692="",0,COUNTIFS($D$4:$D$810,$D692,$C$4:$C$810,$C692,$A$4:$A$810,"&lt;"&amp;$A692))</f>
        <v>0</v>
      </c>
      <c r="U692" s="125">
        <f>IF($D692="",0,IFERROR(LOOKUP(2,1/(($D$3:D691=$D692)*($C$3:C691=$C692)*($A$3:A691&lt;$A692)),$AB$3:AB691),1000))</f>
        <v>0</v>
      </c>
      <c r="V692" s="125">
        <f>IF($D692="",0,$U692*($T692/($T692+5))+$H692*(1-$T692/($T692+5)))</f>
        <v>0</v>
      </c>
      <c r="W692">
        <f>IF($D692="",0,IFERROR(SUMIFS($V$4:$V$810,$A$4:$A$810,$A692,$E$4:$E$810,"Win")/COUNTIFS($A$4:$A$810,$A692,$E$4:$E$810,"Win"),0))</f>
        <v>0</v>
      </c>
      <c r="X692">
        <f>IF($D692="",0,1/(1+10^(($W692-$V692)/400)))</f>
        <v>0</v>
      </c>
      <c r="Y692">
        <f>IF($D692="",0,IFERROR(SUMIFS($U$4:$U$810,$A$4:$A$810,$A692,$E$4:$E$810,"Win")/COUNTIFS($A$4:$A$810,$A692,$E$4:$E$810,"Win"),0))</f>
        <v>0</v>
      </c>
      <c r="Z692">
        <f>IF($D692="",0,1/(1+10^(($Y692-$U692)/400)))</f>
        <v>0</v>
      </c>
      <c r="AA692">
        <f>IF($D692="",0,IF($F692&lt;2,0,IF($E692="Win",('Guide &amp; Settings'!$C$42/(($F692-1)*COUNTIFS($A$4:$A$810,$A692,$E$4:$E$810,"Win")))*SUMIFS($Z$4:$Z$810,$A$4:$A$810,$A692,$E$4:$E$810,"Loss"),-('Guide &amp; Settings'!$C$42/($F692-1))*$Z692)))</f>
        <v>0</v>
      </c>
      <c r="AB692" s="125">
        <f>IF($D692="",0,$U692+$AA692)</f>
        <v>0</v>
      </c>
      <c r="AC692" s="125" t="str">
        <f>IF($D692="","",IF(SUMPRODUCT(MAX(($D$4:$D$810=$D692)*($B$4:$B$810&lt;$B692)*$B$4:$B$810))=0,0,MAX(($B692-MAX(SUMPRODUCT(MAX(($D$4:$D$810=$D692)*($B$4:$B$810&lt;$B692)*$B$4:$B$810)),'Guide &amp; Settings'!$C$50))/7-'Guide &amp; Settings'!$C$48,0)*'Guide &amp; Settings'!$C$49))</f>
      </c>
    </row>
    <row r="693" spans="1:29">
      <c r="A693" s="116"/>
      <c r="B693" s="117"/>
      <c r="C693" s="118"/>
      <c r="D693" s="118"/>
      <c r="E693" s="116"/>
      <c r="F693" s="119">
        <f>IF($D693="",0,COUNTIF($A$4:$A$810,$A693))</f>
        <v>0</v>
      </c>
      <c r="G693" s="120">
        <f>IF($D693="","",IFERROR(LOOKUP(2,1/(($A$4:$A$810=$A693)*($E$4:$E$810="Win")),$D$4:$D$810),"(no winner)"))</f>
        <v>0</v>
      </c>
      <c r="H693" s="121">
        <f>IF($D693="",0,IFERROR(LOOKUP(2,1/(($D$3:D692=$D693)*($A$3:A692&lt;$A693)),$N$3:N692),'Guide &amp; Settings'!$C$41))</f>
        <v>0</v>
      </c>
      <c r="I693" s="122">
        <f>IF($D693="",0,IF($S693=0,0,$R693/$S693))</f>
        <v>0</v>
      </c>
      <c r="J693" s="123">
        <f>IF($D693="",0,IF($F693&lt;2,0,IF($E693="Win",('Guide &amp; Settings'!$C$42/(($F693-1)*COUNTIFS($A$4:$A$810,$A693,$E$4:$E$810,"Win")))*SUMIFS($X$4:$X$810,$A$4:$A$810,$A693,$E$4:$E$810,"Loss"),-('Guide &amp; Settings'!$C$42/($F693-1))*$X693)))</f>
        <v>0</v>
      </c>
      <c r="K693" s="123">
        <f>IF($D693="",0,'Guide &amp; Settings'!$C$43*(IF($E693="Win",1,0)-$I693))</f>
        <v>0</v>
      </c>
      <c r="L693" s="124">
        <f>IF($D693="",0,'Guide &amp; Settings'!$C$44*IF($F693&gt;=3,$F693+IF($E693="Win",$F693,0),0))</f>
        <v>0</v>
      </c>
      <c r="M693" s="123">
        <f>IF($D693="",0,$J693+$K693+$L693)</f>
        <v>0</v>
      </c>
      <c r="N693" s="121">
        <f>IF($D693="",0,$H693+$M693)</f>
        <v>0</v>
      </c>
      <c r="O693" s="120" t="str">
        <f>IF($D693="","",IF(COUNTIFS($A$4:$A$810,$A693,$E$4:$E$810,"Win")=0,"need a winner",IF(COUNTIFS($A$4:$A$810,$A693,$E$4:$E$810,"Loss")=0,"need a loser",IF(COUNTIFS($A$4:$A$810,$A693,$D$4:$D$810,$D693)&gt;1,"duplicate player","OK"))))</f>
      </c>
      <c r="P693">
        <f>IF($D693="",0,IFERROR(SUMIFS($H$4:$H$810,$A$4:$A$810,$A693,$E$4:$E$810,"Win")/COUNTIFS($A$4:$A$810,$A693,$E$4:$E$810,"Win"),0))</f>
        <v>0</v>
      </c>
      <c r="Q693">
        <f>IF($D693="",0,1/(1+10^(($P693-$H693)/400)))</f>
        <v>0</v>
      </c>
      <c r="R693">
        <f>IF($D693="",0,(COUNTIFS($D$4:$D$810,$D693,$C$4:$C$810,$C693,$E$4:$E$810,"Win",$A$4:$A$810,"&lt;"&amp;$A693)+1)/(COUNTIFS($D$4:$D$810,$D693,$C$4:$C$810,$C693,$A$4:$A$810,"&lt;"&amp;$A693)+2))</f>
        <v>0</v>
      </c>
      <c r="S693">
        <f>IF($D693="",0,SUMIFS($R$4:$R$810,$A$4:$A$810,$A693))</f>
        <v>0</v>
      </c>
      <c r="T693" s="88">
        <f>IF($D693="",0,COUNTIFS($D$4:$D$810,$D693,$C$4:$C$810,$C693,$A$4:$A$810,"&lt;"&amp;$A693))</f>
        <v>0</v>
      </c>
      <c r="U693" s="125">
        <f>IF($D693="",0,IFERROR(LOOKUP(2,1/(($D$3:D692=$D693)*($C$3:C692=$C693)*($A$3:A692&lt;$A693)),$AB$3:AB692),1000))</f>
        <v>0</v>
      </c>
      <c r="V693" s="125">
        <f>IF($D693="",0,$U693*($T693/($T693+5))+$H693*(1-$T693/($T693+5)))</f>
        <v>0</v>
      </c>
      <c r="W693">
        <f>IF($D693="",0,IFERROR(SUMIFS($V$4:$V$810,$A$4:$A$810,$A693,$E$4:$E$810,"Win")/COUNTIFS($A$4:$A$810,$A693,$E$4:$E$810,"Win"),0))</f>
        <v>0</v>
      </c>
      <c r="X693">
        <f>IF($D693="",0,1/(1+10^(($W693-$V693)/400)))</f>
        <v>0</v>
      </c>
      <c r="Y693">
        <f>IF($D693="",0,IFERROR(SUMIFS($U$4:$U$810,$A$4:$A$810,$A693,$E$4:$E$810,"Win")/COUNTIFS($A$4:$A$810,$A693,$E$4:$E$810,"Win"),0))</f>
        <v>0</v>
      </c>
      <c r="Z693">
        <f>IF($D693="",0,1/(1+10^(($Y693-$U693)/400)))</f>
        <v>0</v>
      </c>
      <c r="AA693">
        <f>IF($D693="",0,IF($F693&lt;2,0,IF($E693="Win",('Guide &amp; Settings'!$C$42/(($F693-1)*COUNTIFS($A$4:$A$810,$A693,$E$4:$E$810,"Win")))*SUMIFS($Z$4:$Z$810,$A$4:$A$810,$A693,$E$4:$E$810,"Loss"),-('Guide &amp; Settings'!$C$42/($F693-1))*$Z693)))</f>
        <v>0</v>
      </c>
      <c r="AB693" s="125">
        <f>IF($D693="",0,$U693+$AA693)</f>
        <v>0</v>
      </c>
      <c r="AC693" s="125" t="str">
        <f>IF($D693="","",IF(SUMPRODUCT(MAX(($D$4:$D$810=$D693)*($B$4:$B$810&lt;$B693)*$B$4:$B$810))=0,0,MAX(($B693-MAX(SUMPRODUCT(MAX(($D$4:$D$810=$D693)*($B$4:$B$810&lt;$B693)*$B$4:$B$810)),'Guide &amp; Settings'!$C$50))/7-'Guide &amp; Settings'!$C$48,0)*'Guide &amp; Settings'!$C$49))</f>
      </c>
    </row>
    <row r="694" spans="1:29">
      <c r="A694" s="116"/>
      <c r="B694" s="117"/>
      <c r="C694" s="118"/>
      <c r="D694" s="118"/>
      <c r="E694" s="116"/>
      <c r="F694" s="119">
        <f>IF($D694="",0,COUNTIF($A$4:$A$810,$A694))</f>
        <v>0</v>
      </c>
      <c r="G694" s="120">
        <f>IF($D694="","",IFERROR(LOOKUP(2,1/(($A$4:$A$810=$A694)*($E$4:$E$810="Win")),$D$4:$D$810),"(no winner)"))</f>
        <v>0</v>
      </c>
      <c r="H694" s="121">
        <f>IF($D694="",0,IFERROR(LOOKUP(2,1/(($D$3:D693=$D694)*($A$3:A693&lt;$A694)),$N$3:N693),'Guide &amp; Settings'!$C$41))</f>
        <v>0</v>
      </c>
      <c r="I694" s="122">
        <f>IF($D694="",0,IF($S694=0,0,$R694/$S694))</f>
        <v>0</v>
      </c>
      <c r="J694" s="123">
        <f>IF($D694="",0,IF($F694&lt;2,0,IF($E694="Win",('Guide &amp; Settings'!$C$42/(($F694-1)*COUNTIFS($A$4:$A$810,$A694,$E$4:$E$810,"Win")))*SUMIFS($X$4:$X$810,$A$4:$A$810,$A694,$E$4:$E$810,"Loss"),-('Guide &amp; Settings'!$C$42/($F694-1))*$X694)))</f>
        <v>0</v>
      </c>
      <c r="K694" s="123">
        <f>IF($D694="",0,'Guide &amp; Settings'!$C$43*(IF($E694="Win",1,0)-$I694))</f>
        <v>0</v>
      </c>
      <c r="L694" s="124">
        <f>IF($D694="",0,'Guide &amp; Settings'!$C$44*IF($F694&gt;=3,$F694+IF($E694="Win",$F694,0),0))</f>
        <v>0</v>
      </c>
      <c r="M694" s="123">
        <f>IF($D694="",0,$J694+$K694+$L694)</f>
        <v>0</v>
      </c>
      <c r="N694" s="121">
        <f>IF($D694="",0,$H694+$M694)</f>
        <v>0</v>
      </c>
      <c r="O694" s="120" t="str">
        <f>IF($D694="","",IF(COUNTIFS($A$4:$A$810,$A694,$E$4:$E$810,"Win")=0,"need a winner",IF(COUNTIFS($A$4:$A$810,$A694,$E$4:$E$810,"Loss")=0,"need a loser",IF(COUNTIFS($A$4:$A$810,$A694,$D$4:$D$810,$D694)&gt;1,"duplicate player","OK"))))</f>
      </c>
      <c r="P694">
        <f>IF($D694="",0,IFERROR(SUMIFS($H$4:$H$810,$A$4:$A$810,$A694,$E$4:$E$810,"Win")/COUNTIFS($A$4:$A$810,$A694,$E$4:$E$810,"Win"),0))</f>
        <v>0</v>
      </c>
      <c r="Q694">
        <f>IF($D694="",0,1/(1+10^(($P694-$H694)/400)))</f>
        <v>0</v>
      </c>
      <c r="R694">
        <f>IF($D694="",0,(COUNTIFS($D$4:$D$810,$D694,$C$4:$C$810,$C694,$E$4:$E$810,"Win",$A$4:$A$810,"&lt;"&amp;$A694)+1)/(COUNTIFS($D$4:$D$810,$D694,$C$4:$C$810,$C694,$A$4:$A$810,"&lt;"&amp;$A694)+2))</f>
        <v>0</v>
      </c>
      <c r="S694">
        <f>IF($D694="",0,SUMIFS($R$4:$R$810,$A$4:$A$810,$A694))</f>
        <v>0</v>
      </c>
      <c r="T694" s="88">
        <f>IF($D694="",0,COUNTIFS($D$4:$D$810,$D694,$C$4:$C$810,$C694,$A$4:$A$810,"&lt;"&amp;$A694))</f>
        <v>0</v>
      </c>
      <c r="U694" s="125">
        <f>IF($D694="",0,IFERROR(LOOKUP(2,1/(($D$3:D693=$D694)*($C$3:C693=$C694)*($A$3:A693&lt;$A694)),$AB$3:AB693),1000))</f>
        <v>0</v>
      </c>
      <c r="V694" s="125">
        <f>IF($D694="",0,$U694*($T694/($T694+5))+$H694*(1-$T694/($T694+5)))</f>
        <v>0</v>
      </c>
      <c r="W694">
        <f>IF($D694="",0,IFERROR(SUMIFS($V$4:$V$810,$A$4:$A$810,$A694,$E$4:$E$810,"Win")/COUNTIFS($A$4:$A$810,$A694,$E$4:$E$810,"Win"),0))</f>
        <v>0</v>
      </c>
      <c r="X694">
        <f>IF($D694="",0,1/(1+10^(($W694-$V694)/400)))</f>
        <v>0</v>
      </c>
      <c r="Y694">
        <f>IF($D694="",0,IFERROR(SUMIFS($U$4:$U$810,$A$4:$A$810,$A694,$E$4:$E$810,"Win")/COUNTIFS($A$4:$A$810,$A694,$E$4:$E$810,"Win"),0))</f>
        <v>0</v>
      </c>
      <c r="Z694">
        <f>IF($D694="",0,1/(1+10^(($Y694-$U694)/400)))</f>
        <v>0</v>
      </c>
      <c r="AA694">
        <f>IF($D694="",0,IF($F694&lt;2,0,IF($E694="Win",('Guide &amp; Settings'!$C$42/(($F694-1)*COUNTIFS($A$4:$A$810,$A694,$E$4:$E$810,"Win")))*SUMIFS($Z$4:$Z$810,$A$4:$A$810,$A694,$E$4:$E$810,"Loss"),-('Guide &amp; Settings'!$C$42/($F694-1))*$Z694)))</f>
        <v>0</v>
      </c>
      <c r="AB694" s="125">
        <f>IF($D694="",0,$U694+$AA694)</f>
        <v>0</v>
      </c>
      <c r="AC694" s="125" t="str">
        <f>IF($D694="","",IF(SUMPRODUCT(MAX(($D$4:$D$810=$D694)*($B$4:$B$810&lt;$B694)*$B$4:$B$810))=0,0,MAX(($B694-MAX(SUMPRODUCT(MAX(($D$4:$D$810=$D694)*($B$4:$B$810&lt;$B694)*$B$4:$B$810)),'Guide &amp; Settings'!$C$50))/7-'Guide &amp; Settings'!$C$48,0)*'Guide &amp; Settings'!$C$49))</f>
      </c>
    </row>
    <row r="695" spans="1:29">
      <c r="A695" s="116"/>
      <c r="B695" s="117"/>
      <c r="C695" s="118"/>
      <c r="D695" s="118"/>
      <c r="E695" s="116"/>
      <c r="F695" s="119">
        <f>IF($D695="",0,COUNTIF($A$4:$A$810,$A695))</f>
        <v>0</v>
      </c>
      <c r="G695" s="120">
        <f>IF($D695="","",IFERROR(LOOKUP(2,1/(($A$4:$A$810=$A695)*($E$4:$E$810="Win")),$D$4:$D$810),"(no winner)"))</f>
        <v>0</v>
      </c>
      <c r="H695" s="121">
        <f>IF($D695="",0,IFERROR(LOOKUP(2,1/(($D$3:D694=$D695)*($A$3:A694&lt;$A695)),$N$3:N694),'Guide &amp; Settings'!$C$41))</f>
        <v>0</v>
      </c>
      <c r="I695" s="122">
        <f>IF($D695="",0,IF($S695=0,0,$R695/$S695))</f>
        <v>0</v>
      </c>
      <c r="J695" s="123">
        <f>IF($D695="",0,IF($F695&lt;2,0,IF($E695="Win",('Guide &amp; Settings'!$C$42/(($F695-1)*COUNTIFS($A$4:$A$810,$A695,$E$4:$E$810,"Win")))*SUMIFS($X$4:$X$810,$A$4:$A$810,$A695,$E$4:$E$810,"Loss"),-('Guide &amp; Settings'!$C$42/($F695-1))*$X695)))</f>
        <v>0</v>
      </c>
      <c r="K695" s="123">
        <f>IF($D695="",0,'Guide &amp; Settings'!$C$43*(IF($E695="Win",1,0)-$I695))</f>
        <v>0</v>
      </c>
      <c r="L695" s="124">
        <f>IF($D695="",0,'Guide &amp; Settings'!$C$44*IF($F695&gt;=3,$F695+IF($E695="Win",$F695,0),0))</f>
        <v>0</v>
      </c>
      <c r="M695" s="123">
        <f>IF($D695="",0,$J695+$K695+$L695)</f>
        <v>0</v>
      </c>
      <c r="N695" s="121">
        <f>IF($D695="",0,$H695+$M695)</f>
        <v>0</v>
      </c>
      <c r="O695" s="120" t="str">
        <f>IF($D695="","",IF(COUNTIFS($A$4:$A$810,$A695,$E$4:$E$810,"Win")=0,"need a winner",IF(COUNTIFS($A$4:$A$810,$A695,$E$4:$E$810,"Loss")=0,"need a loser",IF(COUNTIFS($A$4:$A$810,$A695,$D$4:$D$810,$D695)&gt;1,"duplicate player","OK"))))</f>
      </c>
      <c r="P695">
        <f>IF($D695="",0,IFERROR(SUMIFS($H$4:$H$810,$A$4:$A$810,$A695,$E$4:$E$810,"Win")/COUNTIFS($A$4:$A$810,$A695,$E$4:$E$810,"Win"),0))</f>
        <v>0</v>
      </c>
      <c r="Q695">
        <f>IF($D695="",0,1/(1+10^(($P695-$H695)/400)))</f>
        <v>0</v>
      </c>
      <c r="R695">
        <f>IF($D695="",0,(COUNTIFS($D$4:$D$810,$D695,$C$4:$C$810,$C695,$E$4:$E$810,"Win",$A$4:$A$810,"&lt;"&amp;$A695)+1)/(COUNTIFS($D$4:$D$810,$D695,$C$4:$C$810,$C695,$A$4:$A$810,"&lt;"&amp;$A695)+2))</f>
        <v>0</v>
      </c>
      <c r="S695">
        <f>IF($D695="",0,SUMIFS($R$4:$R$810,$A$4:$A$810,$A695))</f>
        <v>0</v>
      </c>
      <c r="T695" s="88">
        <f>IF($D695="",0,COUNTIFS($D$4:$D$810,$D695,$C$4:$C$810,$C695,$A$4:$A$810,"&lt;"&amp;$A695))</f>
        <v>0</v>
      </c>
      <c r="U695" s="125">
        <f>IF($D695="",0,IFERROR(LOOKUP(2,1/(($D$3:D694=$D695)*($C$3:C694=$C695)*($A$3:A694&lt;$A695)),$AB$3:AB694),1000))</f>
        <v>0</v>
      </c>
      <c r="V695" s="125">
        <f>IF($D695="",0,$U695*($T695/($T695+5))+$H695*(1-$T695/($T695+5)))</f>
        <v>0</v>
      </c>
      <c r="W695">
        <f>IF($D695="",0,IFERROR(SUMIFS($V$4:$V$810,$A$4:$A$810,$A695,$E$4:$E$810,"Win")/COUNTIFS($A$4:$A$810,$A695,$E$4:$E$810,"Win"),0))</f>
        <v>0</v>
      </c>
      <c r="X695">
        <f>IF($D695="",0,1/(1+10^(($W695-$V695)/400)))</f>
        <v>0</v>
      </c>
      <c r="Y695">
        <f>IF($D695="",0,IFERROR(SUMIFS($U$4:$U$810,$A$4:$A$810,$A695,$E$4:$E$810,"Win")/COUNTIFS($A$4:$A$810,$A695,$E$4:$E$810,"Win"),0))</f>
        <v>0</v>
      </c>
      <c r="Z695">
        <f>IF($D695="",0,1/(1+10^(($Y695-$U695)/400)))</f>
        <v>0</v>
      </c>
      <c r="AA695">
        <f>IF($D695="",0,IF($F695&lt;2,0,IF($E695="Win",('Guide &amp; Settings'!$C$42/(($F695-1)*COUNTIFS($A$4:$A$810,$A695,$E$4:$E$810,"Win")))*SUMIFS($Z$4:$Z$810,$A$4:$A$810,$A695,$E$4:$E$810,"Loss"),-('Guide &amp; Settings'!$C$42/($F695-1))*$Z695)))</f>
        <v>0</v>
      </c>
      <c r="AB695" s="125">
        <f>IF($D695="",0,$U695+$AA695)</f>
        <v>0</v>
      </c>
      <c r="AC695" s="125" t="str">
        <f>IF($D695="","",IF(SUMPRODUCT(MAX(($D$4:$D$810=$D695)*($B$4:$B$810&lt;$B695)*$B$4:$B$810))=0,0,MAX(($B695-MAX(SUMPRODUCT(MAX(($D$4:$D$810=$D695)*($B$4:$B$810&lt;$B695)*$B$4:$B$810)),'Guide &amp; Settings'!$C$50))/7-'Guide &amp; Settings'!$C$48,0)*'Guide &amp; Settings'!$C$49))</f>
      </c>
    </row>
    <row r="696" spans="1:29">
      <c r="A696" s="116"/>
      <c r="B696" s="117"/>
      <c r="C696" s="118"/>
      <c r="D696" s="118"/>
      <c r="E696" s="116"/>
      <c r="F696" s="119">
        <f>IF($D696="",0,COUNTIF($A$4:$A$810,$A696))</f>
        <v>0</v>
      </c>
      <c r="G696" s="120">
        <f>IF($D696="","",IFERROR(LOOKUP(2,1/(($A$4:$A$810=$A696)*($E$4:$E$810="Win")),$D$4:$D$810),"(no winner)"))</f>
        <v>0</v>
      </c>
      <c r="H696" s="121">
        <f>IF($D696="",0,IFERROR(LOOKUP(2,1/(($D$3:D695=$D696)*($A$3:A695&lt;$A696)),$N$3:N695),'Guide &amp; Settings'!$C$41))</f>
        <v>0</v>
      </c>
      <c r="I696" s="122">
        <f>IF($D696="",0,IF($S696=0,0,$R696/$S696))</f>
        <v>0</v>
      </c>
      <c r="J696" s="123">
        <f>IF($D696="",0,IF($F696&lt;2,0,IF($E696="Win",('Guide &amp; Settings'!$C$42/(($F696-1)*COUNTIFS($A$4:$A$810,$A696,$E$4:$E$810,"Win")))*SUMIFS($X$4:$X$810,$A$4:$A$810,$A696,$E$4:$E$810,"Loss"),-('Guide &amp; Settings'!$C$42/($F696-1))*$X696)))</f>
        <v>0</v>
      </c>
      <c r="K696" s="123">
        <f>IF($D696="",0,'Guide &amp; Settings'!$C$43*(IF($E696="Win",1,0)-$I696))</f>
        <v>0</v>
      </c>
      <c r="L696" s="124">
        <f>IF($D696="",0,'Guide &amp; Settings'!$C$44*IF($F696&gt;=3,$F696+IF($E696="Win",$F696,0),0))</f>
        <v>0</v>
      </c>
      <c r="M696" s="123">
        <f>IF($D696="",0,$J696+$K696+$L696)</f>
        <v>0</v>
      </c>
      <c r="N696" s="121">
        <f>IF($D696="",0,$H696+$M696)</f>
        <v>0</v>
      </c>
      <c r="O696" s="120" t="str">
        <f>IF($D696="","",IF(COUNTIFS($A$4:$A$810,$A696,$E$4:$E$810,"Win")=0,"need a winner",IF(COUNTIFS($A$4:$A$810,$A696,$E$4:$E$810,"Loss")=0,"need a loser",IF(COUNTIFS($A$4:$A$810,$A696,$D$4:$D$810,$D696)&gt;1,"duplicate player","OK"))))</f>
      </c>
      <c r="P696">
        <f>IF($D696="",0,IFERROR(SUMIFS($H$4:$H$810,$A$4:$A$810,$A696,$E$4:$E$810,"Win")/COUNTIFS($A$4:$A$810,$A696,$E$4:$E$810,"Win"),0))</f>
        <v>0</v>
      </c>
      <c r="Q696">
        <f>IF($D696="",0,1/(1+10^(($P696-$H696)/400)))</f>
        <v>0</v>
      </c>
      <c r="R696">
        <f>IF($D696="",0,(COUNTIFS($D$4:$D$810,$D696,$C$4:$C$810,$C696,$E$4:$E$810,"Win",$A$4:$A$810,"&lt;"&amp;$A696)+1)/(COUNTIFS($D$4:$D$810,$D696,$C$4:$C$810,$C696,$A$4:$A$810,"&lt;"&amp;$A696)+2))</f>
        <v>0</v>
      </c>
      <c r="S696">
        <f>IF($D696="",0,SUMIFS($R$4:$R$810,$A$4:$A$810,$A696))</f>
        <v>0</v>
      </c>
      <c r="T696" s="88">
        <f>IF($D696="",0,COUNTIFS($D$4:$D$810,$D696,$C$4:$C$810,$C696,$A$4:$A$810,"&lt;"&amp;$A696))</f>
        <v>0</v>
      </c>
      <c r="U696" s="125">
        <f>IF($D696="",0,IFERROR(LOOKUP(2,1/(($D$3:D695=$D696)*($C$3:C695=$C696)*($A$3:A695&lt;$A696)),$AB$3:AB695),1000))</f>
        <v>0</v>
      </c>
      <c r="V696" s="125">
        <f>IF($D696="",0,$U696*($T696/($T696+5))+$H696*(1-$T696/($T696+5)))</f>
        <v>0</v>
      </c>
      <c r="W696">
        <f>IF($D696="",0,IFERROR(SUMIFS($V$4:$V$810,$A$4:$A$810,$A696,$E$4:$E$810,"Win")/COUNTIFS($A$4:$A$810,$A696,$E$4:$E$810,"Win"),0))</f>
        <v>0</v>
      </c>
      <c r="X696">
        <f>IF($D696="",0,1/(1+10^(($W696-$V696)/400)))</f>
        <v>0</v>
      </c>
      <c r="Y696">
        <f>IF($D696="",0,IFERROR(SUMIFS($U$4:$U$810,$A$4:$A$810,$A696,$E$4:$E$810,"Win")/COUNTIFS($A$4:$A$810,$A696,$E$4:$E$810,"Win"),0))</f>
        <v>0</v>
      </c>
      <c r="Z696">
        <f>IF($D696="",0,1/(1+10^(($Y696-$U696)/400)))</f>
        <v>0</v>
      </c>
      <c r="AA696">
        <f>IF($D696="",0,IF($F696&lt;2,0,IF($E696="Win",('Guide &amp; Settings'!$C$42/(($F696-1)*COUNTIFS($A$4:$A$810,$A696,$E$4:$E$810,"Win")))*SUMIFS($Z$4:$Z$810,$A$4:$A$810,$A696,$E$4:$E$810,"Loss"),-('Guide &amp; Settings'!$C$42/($F696-1))*$Z696)))</f>
        <v>0</v>
      </c>
      <c r="AB696" s="125">
        <f>IF($D696="",0,$U696+$AA696)</f>
        <v>0</v>
      </c>
      <c r="AC696" s="125" t="str">
        <f>IF($D696="","",IF(SUMPRODUCT(MAX(($D$4:$D$810=$D696)*($B$4:$B$810&lt;$B696)*$B$4:$B$810))=0,0,MAX(($B696-MAX(SUMPRODUCT(MAX(($D$4:$D$810=$D696)*($B$4:$B$810&lt;$B696)*$B$4:$B$810)),'Guide &amp; Settings'!$C$50))/7-'Guide &amp; Settings'!$C$48,0)*'Guide &amp; Settings'!$C$49))</f>
      </c>
    </row>
    <row r="697" spans="1:29">
      <c r="A697" s="116"/>
      <c r="B697" s="117"/>
      <c r="C697" s="118"/>
      <c r="D697" s="118"/>
      <c r="E697" s="116"/>
      <c r="F697" s="119">
        <f>IF($D697="",0,COUNTIF($A$4:$A$810,$A697))</f>
        <v>0</v>
      </c>
      <c r="G697" s="120">
        <f>IF($D697="","",IFERROR(LOOKUP(2,1/(($A$4:$A$810=$A697)*($E$4:$E$810="Win")),$D$4:$D$810),"(no winner)"))</f>
        <v>0</v>
      </c>
      <c r="H697" s="121">
        <f>IF($D697="",0,IFERROR(LOOKUP(2,1/(($D$3:D696=$D697)*($A$3:A696&lt;$A697)),$N$3:N696),'Guide &amp; Settings'!$C$41))</f>
        <v>0</v>
      </c>
      <c r="I697" s="122">
        <f>IF($D697="",0,IF($S697=0,0,$R697/$S697))</f>
        <v>0</v>
      </c>
      <c r="J697" s="123">
        <f>IF($D697="",0,IF($F697&lt;2,0,IF($E697="Win",('Guide &amp; Settings'!$C$42/(($F697-1)*COUNTIFS($A$4:$A$810,$A697,$E$4:$E$810,"Win")))*SUMIFS($X$4:$X$810,$A$4:$A$810,$A697,$E$4:$E$810,"Loss"),-('Guide &amp; Settings'!$C$42/($F697-1))*$X697)))</f>
        <v>0</v>
      </c>
      <c r="K697" s="123">
        <f>IF($D697="",0,'Guide &amp; Settings'!$C$43*(IF($E697="Win",1,0)-$I697))</f>
        <v>0</v>
      </c>
      <c r="L697" s="124">
        <f>IF($D697="",0,'Guide &amp; Settings'!$C$44*IF($F697&gt;=3,$F697+IF($E697="Win",$F697,0),0))</f>
        <v>0</v>
      </c>
      <c r="M697" s="123">
        <f>IF($D697="",0,$J697+$K697+$L697)</f>
        <v>0</v>
      </c>
      <c r="N697" s="121">
        <f>IF($D697="",0,$H697+$M697)</f>
        <v>0</v>
      </c>
      <c r="O697" s="120" t="str">
        <f>IF($D697="","",IF(COUNTIFS($A$4:$A$810,$A697,$E$4:$E$810,"Win")=0,"need a winner",IF(COUNTIFS($A$4:$A$810,$A697,$E$4:$E$810,"Loss")=0,"need a loser",IF(COUNTIFS($A$4:$A$810,$A697,$D$4:$D$810,$D697)&gt;1,"duplicate player","OK"))))</f>
      </c>
      <c r="P697">
        <f>IF($D697="",0,IFERROR(SUMIFS($H$4:$H$810,$A$4:$A$810,$A697,$E$4:$E$810,"Win")/COUNTIFS($A$4:$A$810,$A697,$E$4:$E$810,"Win"),0))</f>
        <v>0</v>
      </c>
      <c r="Q697">
        <f>IF($D697="",0,1/(1+10^(($P697-$H697)/400)))</f>
        <v>0</v>
      </c>
      <c r="R697">
        <f>IF($D697="",0,(COUNTIFS($D$4:$D$810,$D697,$C$4:$C$810,$C697,$E$4:$E$810,"Win",$A$4:$A$810,"&lt;"&amp;$A697)+1)/(COUNTIFS($D$4:$D$810,$D697,$C$4:$C$810,$C697,$A$4:$A$810,"&lt;"&amp;$A697)+2))</f>
        <v>0</v>
      </c>
      <c r="S697">
        <f>IF($D697="",0,SUMIFS($R$4:$R$810,$A$4:$A$810,$A697))</f>
        <v>0</v>
      </c>
      <c r="T697" s="88">
        <f>IF($D697="",0,COUNTIFS($D$4:$D$810,$D697,$C$4:$C$810,$C697,$A$4:$A$810,"&lt;"&amp;$A697))</f>
        <v>0</v>
      </c>
      <c r="U697" s="125">
        <f>IF($D697="",0,IFERROR(LOOKUP(2,1/(($D$3:D696=$D697)*($C$3:C696=$C697)*($A$3:A696&lt;$A697)),$AB$3:AB696),1000))</f>
        <v>0</v>
      </c>
      <c r="V697" s="125">
        <f>IF($D697="",0,$U697*($T697/($T697+5))+$H697*(1-$T697/($T697+5)))</f>
        <v>0</v>
      </c>
      <c r="W697">
        <f>IF($D697="",0,IFERROR(SUMIFS($V$4:$V$810,$A$4:$A$810,$A697,$E$4:$E$810,"Win")/COUNTIFS($A$4:$A$810,$A697,$E$4:$E$810,"Win"),0))</f>
        <v>0</v>
      </c>
      <c r="X697">
        <f>IF($D697="",0,1/(1+10^(($W697-$V697)/400)))</f>
        <v>0</v>
      </c>
      <c r="Y697">
        <f>IF($D697="",0,IFERROR(SUMIFS($U$4:$U$810,$A$4:$A$810,$A697,$E$4:$E$810,"Win")/COUNTIFS($A$4:$A$810,$A697,$E$4:$E$810,"Win"),0))</f>
        <v>0</v>
      </c>
      <c r="Z697">
        <f>IF($D697="",0,1/(1+10^(($Y697-$U697)/400)))</f>
        <v>0</v>
      </c>
      <c r="AA697">
        <f>IF($D697="",0,IF($F697&lt;2,0,IF($E697="Win",('Guide &amp; Settings'!$C$42/(($F697-1)*COUNTIFS($A$4:$A$810,$A697,$E$4:$E$810,"Win")))*SUMIFS($Z$4:$Z$810,$A$4:$A$810,$A697,$E$4:$E$810,"Loss"),-('Guide &amp; Settings'!$C$42/($F697-1))*$Z697)))</f>
        <v>0</v>
      </c>
      <c r="AB697" s="125">
        <f>IF($D697="",0,$U697+$AA697)</f>
        <v>0</v>
      </c>
      <c r="AC697" s="125" t="str">
        <f>IF($D697="","",IF(SUMPRODUCT(MAX(($D$4:$D$810=$D697)*($B$4:$B$810&lt;$B697)*$B$4:$B$810))=0,0,MAX(($B697-MAX(SUMPRODUCT(MAX(($D$4:$D$810=$D697)*($B$4:$B$810&lt;$B697)*$B$4:$B$810)),'Guide &amp; Settings'!$C$50))/7-'Guide &amp; Settings'!$C$48,0)*'Guide &amp; Settings'!$C$49))</f>
      </c>
    </row>
    <row r="698" spans="1:29">
      <c r="A698" s="116"/>
      <c r="B698" s="117"/>
      <c r="C698" s="118"/>
      <c r="D698" s="118"/>
      <c r="E698" s="116"/>
      <c r="F698" s="119">
        <f>IF($D698="",0,COUNTIF($A$4:$A$810,$A698))</f>
        <v>0</v>
      </c>
      <c r="G698" s="120">
        <f>IF($D698="","",IFERROR(LOOKUP(2,1/(($A$4:$A$810=$A698)*($E$4:$E$810="Win")),$D$4:$D$810),"(no winner)"))</f>
        <v>0</v>
      </c>
      <c r="H698" s="121">
        <f>IF($D698="",0,IFERROR(LOOKUP(2,1/(($D$3:D697=$D698)*($A$3:A697&lt;$A698)),$N$3:N697),'Guide &amp; Settings'!$C$41))</f>
        <v>0</v>
      </c>
      <c r="I698" s="122">
        <f>IF($D698="",0,IF($S698=0,0,$R698/$S698))</f>
        <v>0</v>
      </c>
      <c r="J698" s="123">
        <f>IF($D698="",0,IF($F698&lt;2,0,IF($E698="Win",('Guide &amp; Settings'!$C$42/(($F698-1)*COUNTIFS($A$4:$A$810,$A698,$E$4:$E$810,"Win")))*SUMIFS($X$4:$X$810,$A$4:$A$810,$A698,$E$4:$E$810,"Loss"),-('Guide &amp; Settings'!$C$42/($F698-1))*$X698)))</f>
        <v>0</v>
      </c>
      <c r="K698" s="123">
        <f>IF($D698="",0,'Guide &amp; Settings'!$C$43*(IF($E698="Win",1,0)-$I698))</f>
        <v>0</v>
      </c>
      <c r="L698" s="124">
        <f>IF($D698="",0,'Guide &amp; Settings'!$C$44*IF($F698&gt;=3,$F698+IF($E698="Win",$F698,0),0))</f>
        <v>0</v>
      </c>
      <c r="M698" s="123">
        <f>IF($D698="",0,$J698+$K698+$L698)</f>
        <v>0</v>
      </c>
      <c r="N698" s="121">
        <f>IF($D698="",0,$H698+$M698)</f>
        <v>0</v>
      </c>
      <c r="O698" s="120" t="str">
        <f>IF($D698="","",IF(COUNTIFS($A$4:$A$810,$A698,$E$4:$E$810,"Win")=0,"need a winner",IF(COUNTIFS($A$4:$A$810,$A698,$E$4:$E$810,"Loss")=0,"need a loser",IF(COUNTIFS($A$4:$A$810,$A698,$D$4:$D$810,$D698)&gt;1,"duplicate player","OK"))))</f>
      </c>
      <c r="P698">
        <f>IF($D698="",0,IFERROR(SUMIFS($H$4:$H$810,$A$4:$A$810,$A698,$E$4:$E$810,"Win")/COUNTIFS($A$4:$A$810,$A698,$E$4:$E$810,"Win"),0))</f>
        <v>0</v>
      </c>
      <c r="Q698">
        <f>IF($D698="",0,1/(1+10^(($P698-$H698)/400)))</f>
        <v>0</v>
      </c>
      <c r="R698">
        <f>IF($D698="",0,(COUNTIFS($D$4:$D$810,$D698,$C$4:$C$810,$C698,$E$4:$E$810,"Win",$A$4:$A$810,"&lt;"&amp;$A698)+1)/(COUNTIFS($D$4:$D$810,$D698,$C$4:$C$810,$C698,$A$4:$A$810,"&lt;"&amp;$A698)+2))</f>
        <v>0</v>
      </c>
      <c r="S698">
        <f>IF($D698="",0,SUMIFS($R$4:$R$810,$A$4:$A$810,$A698))</f>
        <v>0</v>
      </c>
      <c r="T698" s="88">
        <f>IF($D698="",0,COUNTIFS($D$4:$D$810,$D698,$C$4:$C$810,$C698,$A$4:$A$810,"&lt;"&amp;$A698))</f>
        <v>0</v>
      </c>
      <c r="U698" s="125">
        <f>IF($D698="",0,IFERROR(LOOKUP(2,1/(($D$3:D697=$D698)*($C$3:C697=$C698)*($A$3:A697&lt;$A698)),$AB$3:AB697),1000))</f>
        <v>0</v>
      </c>
      <c r="V698" s="125">
        <f>IF($D698="",0,$U698*($T698/($T698+5))+$H698*(1-$T698/($T698+5)))</f>
        <v>0</v>
      </c>
      <c r="W698">
        <f>IF($D698="",0,IFERROR(SUMIFS($V$4:$V$810,$A$4:$A$810,$A698,$E$4:$E$810,"Win")/COUNTIFS($A$4:$A$810,$A698,$E$4:$E$810,"Win"),0))</f>
        <v>0</v>
      </c>
      <c r="X698">
        <f>IF($D698="",0,1/(1+10^(($W698-$V698)/400)))</f>
        <v>0</v>
      </c>
      <c r="Y698">
        <f>IF($D698="",0,IFERROR(SUMIFS($U$4:$U$810,$A$4:$A$810,$A698,$E$4:$E$810,"Win")/COUNTIFS($A$4:$A$810,$A698,$E$4:$E$810,"Win"),0))</f>
        <v>0</v>
      </c>
      <c r="Z698">
        <f>IF($D698="",0,1/(1+10^(($Y698-$U698)/400)))</f>
        <v>0</v>
      </c>
      <c r="AA698">
        <f>IF($D698="",0,IF($F698&lt;2,0,IF($E698="Win",('Guide &amp; Settings'!$C$42/(($F698-1)*COUNTIFS($A$4:$A$810,$A698,$E$4:$E$810,"Win")))*SUMIFS($Z$4:$Z$810,$A$4:$A$810,$A698,$E$4:$E$810,"Loss"),-('Guide &amp; Settings'!$C$42/($F698-1))*$Z698)))</f>
        <v>0</v>
      </c>
      <c r="AB698" s="125">
        <f>IF($D698="",0,$U698+$AA698)</f>
        <v>0</v>
      </c>
      <c r="AC698" s="125" t="str">
        <f>IF($D698="","",IF(SUMPRODUCT(MAX(($D$4:$D$810=$D698)*($B$4:$B$810&lt;$B698)*$B$4:$B$810))=0,0,MAX(($B698-MAX(SUMPRODUCT(MAX(($D$4:$D$810=$D698)*($B$4:$B$810&lt;$B698)*$B$4:$B$810)),'Guide &amp; Settings'!$C$50))/7-'Guide &amp; Settings'!$C$48,0)*'Guide &amp; Settings'!$C$49))</f>
      </c>
    </row>
    <row r="699" spans="1:29">
      <c r="A699" s="116"/>
      <c r="B699" s="117"/>
      <c r="C699" s="118"/>
      <c r="D699" s="118"/>
      <c r="E699" s="116"/>
      <c r="F699" s="119">
        <f>IF($D699="",0,COUNTIF($A$4:$A$810,$A699))</f>
        <v>0</v>
      </c>
      <c r="G699" s="120">
        <f>IF($D699="","",IFERROR(LOOKUP(2,1/(($A$4:$A$810=$A699)*($E$4:$E$810="Win")),$D$4:$D$810),"(no winner)"))</f>
        <v>0</v>
      </c>
      <c r="H699" s="121">
        <f>IF($D699="",0,IFERROR(LOOKUP(2,1/(($D$3:D698=$D699)*($A$3:A698&lt;$A699)),$N$3:N698),'Guide &amp; Settings'!$C$41))</f>
        <v>0</v>
      </c>
      <c r="I699" s="122">
        <f>IF($D699="",0,IF($S699=0,0,$R699/$S699))</f>
        <v>0</v>
      </c>
      <c r="J699" s="123">
        <f>IF($D699="",0,IF($F699&lt;2,0,IF($E699="Win",('Guide &amp; Settings'!$C$42/(($F699-1)*COUNTIFS($A$4:$A$810,$A699,$E$4:$E$810,"Win")))*SUMIFS($X$4:$X$810,$A$4:$A$810,$A699,$E$4:$E$810,"Loss"),-('Guide &amp; Settings'!$C$42/($F699-1))*$X699)))</f>
        <v>0</v>
      </c>
      <c r="K699" s="123">
        <f>IF($D699="",0,'Guide &amp; Settings'!$C$43*(IF($E699="Win",1,0)-$I699))</f>
        <v>0</v>
      </c>
      <c r="L699" s="124">
        <f>IF($D699="",0,'Guide &amp; Settings'!$C$44*IF($F699&gt;=3,$F699+IF($E699="Win",$F699,0),0))</f>
        <v>0</v>
      </c>
      <c r="M699" s="123">
        <f>IF($D699="",0,$J699+$K699+$L699)</f>
        <v>0</v>
      </c>
      <c r="N699" s="121">
        <f>IF($D699="",0,$H699+$M699)</f>
        <v>0</v>
      </c>
      <c r="O699" s="120" t="str">
        <f>IF($D699="","",IF(COUNTIFS($A$4:$A$810,$A699,$E$4:$E$810,"Win")=0,"need a winner",IF(COUNTIFS($A$4:$A$810,$A699,$E$4:$E$810,"Loss")=0,"need a loser",IF(COUNTIFS($A$4:$A$810,$A699,$D$4:$D$810,$D699)&gt;1,"duplicate player","OK"))))</f>
      </c>
      <c r="P699">
        <f>IF($D699="",0,IFERROR(SUMIFS($H$4:$H$810,$A$4:$A$810,$A699,$E$4:$E$810,"Win")/COUNTIFS($A$4:$A$810,$A699,$E$4:$E$810,"Win"),0))</f>
        <v>0</v>
      </c>
      <c r="Q699">
        <f>IF($D699="",0,1/(1+10^(($P699-$H699)/400)))</f>
        <v>0</v>
      </c>
      <c r="R699">
        <f>IF($D699="",0,(COUNTIFS($D$4:$D$810,$D699,$C$4:$C$810,$C699,$E$4:$E$810,"Win",$A$4:$A$810,"&lt;"&amp;$A699)+1)/(COUNTIFS($D$4:$D$810,$D699,$C$4:$C$810,$C699,$A$4:$A$810,"&lt;"&amp;$A699)+2))</f>
        <v>0</v>
      </c>
      <c r="S699">
        <f>IF($D699="",0,SUMIFS($R$4:$R$810,$A$4:$A$810,$A699))</f>
        <v>0</v>
      </c>
      <c r="T699" s="88">
        <f>IF($D699="",0,COUNTIFS($D$4:$D$810,$D699,$C$4:$C$810,$C699,$A$4:$A$810,"&lt;"&amp;$A699))</f>
        <v>0</v>
      </c>
      <c r="U699" s="125">
        <f>IF($D699="",0,IFERROR(LOOKUP(2,1/(($D$3:D698=$D699)*($C$3:C698=$C699)*($A$3:A698&lt;$A699)),$AB$3:AB698),1000))</f>
        <v>0</v>
      </c>
      <c r="V699" s="125">
        <f>IF($D699="",0,$U699*($T699/($T699+5))+$H699*(1-$T699/($T699+5)))</f>
        <v>0</v>
      </c>
      <c r="W699">
        <f>IF($D699="",0,IFERROR(SUMIFS($V$4:$V$810,$A$4:$A$810,$A699,$E$4:$E$810,"Win")/COUNTIFS($A$4:$A$810,$A699,$E$4:$E$810,"Win"),0))</f>
        <v>0</v>
      </c>
      <c r="X699">
        <f>IF($D699="",0,1/(1+10^(($W699-$V699)/400)))</f>
        <v>0</v>
      </c>
      <c r="Y699">
        <f>IF($D699="",0,IFERROR(SUMIFS($U$4:$U$810,$A$4:$A$810,$A699,$E$4:$E$810,"Win")/COUNTIFS($A$4:$A$810,$A699,$E$4:$E$810,"Win"),0))</f>
        <v>0</v>
      </c>
      <c r="Z699">
        <f>IF($D699="",0,1/(1+10^(($Y699-$U699)/400)))</f>
        <v>0</v>
      </c>
      <c r="AA699">
        <f>IF($D699="",0,IF($F699&lt;2,0,IF($E699="Win",('Guide &amp; Settings'!$C$42/(($F699-1)*COUNTIFS($A$4:$A$810,$A699,$E$4:$E$810,"Win")))*SUMIFS($Z$4:$Z$810,$A$4:$A$810,$A699,$E$4:$E$810,"Loss"),-('Guide &amp; Settings'!$C$42/($F699-1))*$Z699)))</f>
        <v>0</v>
      </c>
      <c r="AB699" s="125">
        <f>IF($D699="",0,$U699+$AA699)</f>
        <v>0</v>
      </c>
      <c r="AC699" s="125" t="str">
        <f>IF($D699="","",IF(SUMPRODUCT(MAX(($D$4:$D$810=$D699)*($B$4:$B$810&lt;$B699)*$B$4:$B$810))=0,0,MAX(($B699-MAX(SUMPRODUCT(MAX(($D$4:$D$810=$D699)*($B$4:$B$810&lt;$B699)*$B$4:$B$810)),'Guide &amp; Settings'!$C$50))/7-'Guide &amp; Settings'!$C$48,0)*'Guide &amp; Settings'!$C$49))</f>
      </c>
    </row>
    <row r="700" spans="1:29">
      <c r="A700" s="116"/>
      <c r="B700" s="117"/>
      <c r="C700" s="118"/>
      <c r="D700" s="118"/>
      <c r="E700" s="116"/>
      <c r="F700" s="119">
        <f>IF($D700="",0,COUNTIF($A$4:$A$810,$A700))</f>
        <v>0</v>
      </c>
      <c r="G700" s="120">
        <f>IF($D700="","",IFERROR(LOOKUP(2,1/(($A$4:$A$810=$A700)*($E$4:$E$810="Win")),$D$4:$D$810),"(no winner)"))</f>
        <v>0</v>
      </c>
      <c r="H700" s="121">
        <f>IF($D700="",0,IFERROR(LOOKUP(2,1/(($D$3:D699=$D700)*($A$3:A699&lt;$A700)),$N$3:N699),'Guide &amp; Settings'!$C$41))</f>
        <v>0</v>
      </c>
      <c r="I700" s="122">
        <f>IF($D700="",0,IF($S700=0,0,$R700/$S700))</f>
        <v>0</v>
      </c>
      <c r="J700" s="123">
        <f>IF($D700="",0,IF($F700&lt;2,0,IF($E700="Win",('Guide &amp; Settings'!$C$42/(($F700-1)*COUNTIFS($A$4:$A$810,$A700,$E$4:$E$810,"Win")))*SUMIFS($X$4:$X$810,$A$4:$A$810,$A700,$E$4:$E$810,"Loss"),-('Guide &amp; Settings'!$C$42/($F700-1))*$X700)))</f>
        <v>0</v>
      </c>
      <c r="K700" s="123">
        <f>IF($D700="",0,'Guide &amp; Settings'!$C$43*(IF($E700="Win",1,0)-$I700))</f>
        <v>0</v>
      </c>
      <c r="L700" s="124">
        <f>IF($D700="",0,'Guide &amp; Settings'!$C$44*IF($F700&gt;=3,$F700+IF($E700="Win",$F700,0),0))</f>
        <v>0</v>
      </c>
      <c r="M700" s="123">
        <f>IF($D700="",0,$J700+$K700+$L700)</f>
        <v>0</v>
      </c>
      <c r="N700" s="121">
        <f>IF($D700="",0,$H700+$M700)</f>
        <v>0</v>
      </c>
      <c r="O700" s="120" t="str">
        <f>IF($D700="","",IF(COUNTIFS($A$4:$A$810,$A700,$E$4:$E$810,"Win")=0,"need a winner",IF(COUNTIFS($A$4:$A$810,$A700,$E$4:$E$810,"Loss")=0,"need a loser",IF(COUNTIFS($A$4:$A$810,$A700,$D$4:$D$810,$D700)&gt;1,"duplicate player","OK"))))</f>
      </c>
      <c r="P700">
        <f>IF($D700="",0,IFERROR(SUMIFS($H$4:$H$810,$A$4:$A$810,$A700,$E$4:$E$810,"Win")/COUNTIFS($A$4:$A$810,$A700,$E$4:$E$810,"Win"),0))</f>
        <v>0</v>
      </c>
      <c r="Q700">
        <f>IF($D700="",0,1/(1+10^(($P700-$H700)/400)))</f>
        <v>0</v>
      </c>
      <c r="R700">
        <f>IF($D700="",0,(COUNTIFS($D$4:$D$810,$D700,$C$4:$C$810,$C700,$E$4:$E$810,"Win",$A$4:$A$810,"&lt;"&amp;$A700)+1)/(COUNTIFS($D$4:$D$810,$D700,$C$4:$C$810,$C700,$A$4:$A$810,"&lt;"&amp;$A700)+2))</f>
        <v>0</v>
      </c>
      <c r="S700">
        <f>IF($D700="",0,SUMIFS($R$4:$R$810,$A$4:$A$810,$A700))</f>
        <v>0</v>
      </c>
      <c r="T700" s="88">
        <f>IF($D700="",0,COUNTIFS($D$4:$D$810,$D700,$C$4:$C$810,$C700,$A$4:$A$810,"&lt;"&amp;$A700))</f>
        <v>0</v>
      </c>
      <c r="U700" s="125">
        <f>IF($D700="",0,IFERROR(LOOKUP(2,1/(($D$3:D699=$D700)*($C$3:C699=$C700)*($A$3:A699&lt;$A700)),$AB$3:AB699),1000))</f>
        <v>0</v>
      </c>
      <c r="V700" s="125">
        <f>IF($D700="",0,$U700*($T700/($T700+5))+$H700*(1-$T700/($T700+5)))</f>
        <v>0</v>
      </c>
      <c r="W700">
        <f>IF($D700="",0,IFERROR(SUMIFS($V$4:$V$810,$A$4:$A$810,$A700,$E$4:$E$810,"Win")/COUNTIFS($A$4:$A$810,$A700,$E$4:$E$810,"Win"),0))</f>
        <v>0</v>
      </c>
      <c r="X700">
        <f>IF($D700="",0,1/(1+10^(($W700-$V700)/400)))</f>
        <v>0</v>
      </c>
      <c r="Y700">
        <f>IF($D700="",0,IFERROR(SUMIFS($U$4:$U$810,$A$4:$A$810,$A700,$E$4:$E$810,"Win")/COUNTIFS($A$4:$A$810,$A700,$E$4:$E$810,"Win"),0))</f>
        <v>0</v>
      </c>
      <c r="Z700">
        <f>IF($D700="",0,1/(1+10^(($Y700-$U700)/400)))</f>
        <v>0</v>
      </c>
      <c r="AA700">
        <f>IF($D700="",0,IF($F700&lt;2,0,IF($E700="Win",('Guide &amp; Settings'!$C$42/(($F700-1)*COUNTIFS($A$4:$A$810,$A700,$E$4:$E$810,"Win")))*SUMIFS($Z$4:$Z$810,$A$4:$A$810,$A700,$E$4:$E$810,"Loss"),-('Guide &amp; Settings'!$C$42/($F700-1))*$Z700)))</f>
        <v>0</v>
      </c>
      <c r="AB700" s="125">
        <f>IF($D700="",0,$U700+$AA700)</f>
        <v>0</v>
      </c>
      <c r="AC700" s="125" t="str">
        <f>IF($D700="","",IF(SUMPRODUCT(MAX(($D$4:$D$810=$D700)*($B$4:$B$810&lt;$B700)*$B$4:$B$810))=0,0,MAX(($B700-MAX(SUMPRODUCT(MAX(($D$4:$D$810=$D700)*($B$4:$B$810&lt;$B700)*$B$4:$B$810)),'Guide &amp; Settings'!$C$50))/7-'Guide &amp; Settings'!$C$48,0)*'Guide &amp; Settings'!$C$49))</f>
      </c>
    </row>
    <row r="701" spans="1:29">
      <c r="A701" s="116"/>
      <c r="B701" s="117"/>
      <c r="C701" s="118"/>
      <c r="D701" s="118"/>
      <c r="E701" s="116"/>
      <c r="F701" s="119">
        <f>IF($D701="",0,COUNTIF($A$4:$A$810,$A701))</f>
        <v>0</v>
      </c>
      <c r="G701" s="120">
        <f>IF($D701="","",IFERROR(LOOKUP(2,1/(($A$4:$A$810=$A701)*($E$4:$E$810="Win")),$D$4:$D$810),"(no winner)"))</f>
        <v>0</v>
      </c>
      <c r="H701" s="121">
        <f>IF($D701="",0,IFERROR(LOOKUP(2,1/(($D$3:D700=$D701)*($A$3:A700&lt;$A701)),$N$3:N700),'Guide &amp; Settings'!$C$41))</f>
        <v>0</v>
      </c>
      <c r="I701" s="122">
        <f>IF($D701="",0,IF($S701=0,0,$R701/$S701))</f>
        <v>0</v>
      </c>
      <c r="J701" s="123">
        <f>IF($D701="",0,IF($F701&lt;2,0,IF($E701="Win",('Guide &amp; Settings'!$C$42/(($F701-1)*COUNTIFS($A$4:$A$810,$A701,$E$4:$E$810,"Win")))*SUMIFS($X$4:$X$810,$A$4:$A$810,$A701,$E$4:$E$810,"Loss"),-('Guide &amp; Settings'!$C$42/($F701-1))*$X701)))</f>
        <v>0</v>
      </c>
      <c r="K701" s="123">
        <f>IF($D701="",0,'Guide &amp; Settings'!$C$43*(IF($E701="Win",1,0)-$I701))</f>
        <v>0</v>
      </c>
      <c r="L701" s="124">
        <f>IF($D701="",0,'Guide &amp; Settings'!$C$44*IF($F701&gt;=3,$F701+IF($E701="Win",$F701,0),0))</f>
        <v>0</v>
      </c>
      <c r="M701" s="123">
        <f>IF($D701="",0,$J701+$K701+$L701)</f>
        <v>0</v>
      </c>
      <c r="N701" s="121">
        <f>IF($D701="",0,$H701+$M701)</f>
        <v>0</v>
      </c>
      <c r="O701" s="120" t="str">
        <f>IF($D701="","",IF(COUNTIFS($A$4:$A$810,$A701,$E$4:$E$810,"Win")=0,"need a winner",IF(COUNTIFS($A$4:$A$810,$A701,$E$4:$E$810,"Loss")=0,"need a loser",IF(COUNTIFS($A$4:$A$810,$A701,$D$4:$D$810,$D701)&gt;1,"duplicate player","OK"))))</f>
      </c>
      <c r="P701">
        <f>IF($D701="",0,IFERROR(SUMIFS($H$4:$H$810,$A$4:$A$810,$A701,$E$4:$E$810,"Win")/COUNTIFS($A$4:$A$810,$A701,$E$4:$E$810,"Win"),0))</f>
        <v>0</v>
      </c>
      <c r="Q701">
        <f>IF($D701="",0,1/(1+10^(($P701-$H701)/400)))</f>
        <v>0</v>
      </c>
      <c r="R701">
        <f>IF($D701="",0,(COUNTIFS($D$4:$D$810,$D701,$C$4:$C$810,$C701,$E$4:$E$810,"Win",$A$4:$A$810,"&lt;"&amp;$A701)+1)/(COUNTIFS($D$4:$D$810,$D701,$C$4:$C$810,$C701,$A$4:$A$810,"&lt;"&amp;$A701)+2))</f>
        <v>0</v>
      </c>
      <c r="S701">
        <f>IF($D701="",0,SUMIFS($R$4:$R$810,$A$4:$A$810,$A701))</f>
        <v>0</v>
      </c>
      <c r="T701" s="88">
        <f>IF($D701="",0,COUNTIFS($D$4:$D$810,$D701,$C$4:$C$810,$C701,$A$4:$A$810,"&lt;"&amp;$A701))</f>
        <v>0</v>
      </c>
      <c r="U701" s="125">
        <f>IF($D701="",0,IFERROR(LOOKUP(2,1/(($D$3:D700=$D701)*($C$3:C700=$C701)*($A$3:A700&lt;$A701)),$AB$3:AB700),1000))</f>
        <v>0</v>
      </c>
      <c r="V701" s="125">
        <f>IF($D701="",0,$U701*($T701/($T701+5))+$H701*(1-$T701/($T701+5)))</f>
        <v>0</v>
      </c>
      <c r="W701">
        <f>IF($D701="",0,IFERROR(SUMIFS($V$4:$V$810,$A$4:$A$810,$A701,$E$4:$E$810,"Win")/COUNTIFS($A$4:$A$810,$A701,$E$4:$E$810,"Win"),0))</f>
        <v>0</v>
      </c>
      <c r="X701">
        <f>IF($D701="",0,1/(1+10^(($W701-$V701)/400)))</f>
        <v>0</v>
      </c>
      <c r="Y701">
        <f>IF($D701="",0,IFERROR(SUMIFS($U$4:$U$810,$A$4:$A$810,$A701,$E$4:$E$810,"Win")/COUNTIFS($A$4:$A$810,$A701,$E$4:$E$810,"Win"),0))</f>
        <v>0</v>
      </c>
      <c r="Z701">
        <f>IF($D701="",0,1/(1+10^(($Y701-$U701)/400)))</f>
        <v>0</v>
      </c>
      <c r="AA701">
        <f>IF($D701="",0,IF($F701&lt;2,0,IF($E701="Win",('Guide &amp; Settings'!$C$42/(($F701-1)*COUNTIFS($A$4:$A$810,$A701,$E$4:$E$810,"Win")))*SUMIFS($Z$4:$Z$810,$A$4:$A$810,$A701,$E$4:$E$810,"Loss"),-('Guide &amp; Settings'!$C$42/($F701-1))*$Z701)))</f>
        <v>0</v>
      </c>
      <c r="AB701" s="125">
        <f>IF($D701="",0,$U701+$AA701)</f>
        <v>0</v>
      </c>
      <c r="AC701" s="125" t="str">
        <f>IF($D701="","",IF(SUMPRODUCT(MAX(($D$4:$D$810=$D701)*($B$4:$B$810&lt;$B701)*$B$4:$B$810))=0,0,MAX(($B701-MAX(SUMPRODUCT(MAX(($D$4:$D$810=$D701)*($B$4:$B$810&lt;$B701)*$B$4:$B$810)),'Guide &amp; Settings'!$C$50))/7-'Guide &amp; Settings'!$C$48,0)*'Guide &amp; Settings'!$C$49))</f>
      </c>
    </row>
    <row r="702" spans="1:29">
      <c r="A702" s="116"/>
      <c r="B702" s="117"/>
      <c r="C702" s="118"/>
      <c r="D702" s="118"/>
      <c r="E702" s="116"/>
      <c r="F702" s="119">
        <f>IF($D702="",0,COUNTIF($A$4:$A$810,$A702))</f>
        <v>0</v>
      </c>
      <c r="G702" s="120">
        <f>IF($D702="","",IFERROR(LOOKUP(2,1/(($A$4:$A$810=$A702)*($E$4:$E$810="Win")),$D$4:$D$810),"(no winner)"))</f>
        <v>0</v>
      </c>
      <c r="H702" s="121">
        <f>IF($D702="",0,IFERROR(LOOKUP(2,1/(($D$3:D701=$D702)*($A$3:A701&lt;$A702)),$N$3:N701),'Guide &amp; Settings'!$C$41))</f>
        <v>0</v>
      </c>
      <c r="I702" s="122">
        <f>IF($D702="",0,IF($S702=0,0,$R702/$S702))</f>
        <v>0</v>
      </c>
      <c r="J702" s="123">
        <f>IF($D702="",0,IF($F702&lt;2,0,IF($E702="Win",('Guide &amp; Settings'!$C$42/(($F702-1)*COUNTIFS($A$4:$A$810,$A702,$E$4:$E$810,"Win")))*SUMIFS($X$4:$X$810,$A$4:$A$810,$A702,$E$4:$E$810,"Loss"),-('Guide &amp; Settings'!$C$42/($F702-1))*$X702)))</f>
        <v>0</v>
      </c>
      <c r="K702" s="123">
        <f>IF($D702="",0,'Guide &amp; Settings'!$C$43*(IF($E702="Win",1,0)-$I702))</f>
        <v>0</v>
      </c>
      <c r="L702" s="124">
        <f>IF($D702="",0,'Guide &amp; Settings'!$C$44*IF($F702&gt;=3,$F702+IF($E702="Win",$F702,0),0))</f>
        <v>0</v>
      </c>
      <c r="M702" s="123">
        <f>IF($D702="",0,$J702+$K702+$L702)</f>
        <v>0</v>
      </c>
      <c r="N702" s="121">
        <f>IF($D702="",0,$H702+$M702)</f>
        <v>0</v>
      </c>
      <c r="O702" s="120" t="str">
        <f>IF($D702="","",IF(COUNTIFS($A$4:$A$810,$A702,$E$4:$E$810,"Win")=0,"need a winner",IF(COUNTIFS($A$4:$A$810,$A702,$E$4:$E$810,"Loss")=0,"need a loser",IF(COUNTIFS($A$4:$A$810,$A702,$D$4:$D$810,$D702)&gt;1,"duplicate player","OK"))))</f>
      </c>
      <c r="P702">
        <f>IF($D702="",0,IFERROR(SUMIFS($H$4:$H$810,$A$4:$A$810,$A702,$E$4:$E$810,"Win")/COUNTIFS($A$4:$A$810,$A702,$E$4:$E$810,"Win"),0))</f>
        <v>0</v>
      </c>
      <c r="Q702">
        <f>IF($D702="",0,1/(1+10^(($P702-$H702)/400)))</f>
        <v>0</v>
      </c>
      <c r="R702">
        <f>IF($D702="",0,(COUNTIFS($D$4:$D$810,$D702,$C$4:$C$810,$C702,$E$4:$E$810,"Win",$A$4:$A$810,"&lt;"&amp;$A702)+1)/(COUNTIFS($D$4:$D$810,$D702,$C$4:$C$810,$C702,$A$4:$A$810,"&lt;"&amp;$A702)+2))</f>
        <v>0</v>
      </c>
      <c r="S702">
        <f>IF($D702="",0,SUMIFS($R$4:$R$810,$A$4:$A$810,$A702))</f>
        <v>0</v>
      </c>
      <c r="T702" s="88">
        <f>IF($D702="",0,COUNTIFS($D$4:$D$810,$D702,$C$4:$C$810,$C702,$A$4:$A$810,"&lt;"&amp;$A702))</f>
        <v>0</v>
      </c>
      <c r="U702" s="125">
        <f>IF($D702="",0,IFERROR(LOOKUP(2,1/(($D$3:D701=$D702)*($C$3:C701=$C702)*($A$3:A701&lt;$A702)),$AB$3:AB701),1000))</f>
        <v>0</v>
      </c>
      <c r="V702" s="125">
        <f>IF($D702="",0,$U702*($T702/($T702+5))+$H702*(1-$T702/($T702+5)))</f>
        <v>0</v>
      </c>
      <c r="W702">
        <f>IF($D702="",0,IFERROR(SUMIFS($V$4:$V$810,$A$4:$A$810,$A702,$E$4:$E$810,"Win")/COUNTIFS($A$4:$A$810,$A702,$E$4:$E$810,"Win"),0))</f>
        <v>0</v>
      </c>
      <c r="X702">
        <f>IF($D702="",0,1/(1+10^(($W702-$V702)/400)))</f>
        <v>0</v>
      </c>
      <c r="Y702">
        <f>IF($D702="",0,IFERROR(SUMIFS($U$4:$U$810,$A$4:$A$810,$A702,$E$4:$E$810,"Win")/COUNTIFS($A$4:$A$810,$A702,$E$4:$E$810,"Win"),0))</f>
        <v>0</v>
      </c>
      <c r="Z702">
        <f>IF($D702="",0,1/(1+10^(($Y702-$U702)/400)))</f>
        <v>0</v>
      </c>
      <c r="AA702">
        <f>IF($D702="",0,IF($F702&lt;2,0,IF($E702="Win",('Guide &amp; Settings'!$C$42/(($F702-1)*COUNTIFS($A$4:$A$810,$A702,$E$4:$E$810,"Win")))*SUMIFS($Z$4:$Z$810,$A$4:$A$810,$A702,$E$4:$E$810,"Loss"),-('Guide &amp; Settings'!$C$42/($F702-1))*$Z702)))</f>
        <v>0</v>
      </c>
      <c r="AB702" s="125">
        <f>IF($D702="",0,$U702+$AA702)</f>
        <v>0</v>
      </c>
      <c r="AC702" s="125" t="str">
        <f>IF($D702="","",IF(SUMPRODUCT(MAX(($D$4:$D$810=$D702)*($B$4:$B$810&lt;$B702)*$B$4:$B$810))=0,0,MAX(($B702-MAX(SUMPRODUCT(MAX(($D$4:$D$810=$D702)*($B$4:$B$810&lt;$B702)*$B$4:$B$810)),'Guide &amp; Settings'!$C$50))/7-'Guide &amp; Settings'!$C$48,0)*'Guide &amp; Settings'!$C$49))</f>
      </c>
    </row>
    <row r="703" spans="1:29">
      <c r="A703" s="116"/>
      <c r="B703" s="117"/>
      <c r="C703" s="118"/>
      <c r="D703" s="118"/>
      <c r="E703" s="116"/>
      <c r="F703" s="119">
        <f>IF($D703="",0,COUNTIF($A$4:$A$810,$A703))</f>
        <v>0</v>
      </c>
      <c r="G703" s="120">
        <f>IF($D703="","",IFERROR(LOOKUP(2,1/(($A$4:$A$810=$A703)*($E$4:$E$810="Win")),$D$4:$D$810),"(no winner)"))</f>
        <v>0</v>
      </c>
      <c r="H703" s="121">
        <f>IF($D703="",0,IFERROR(LOOKUP(2,1/(($D$3:D702=$D703)*($A$3:A702&lt;$A703)),$N$3:N702),'Guide &amp; Settings'!$C$41))</f>
        <v>0</v>
      </c>
      <c r="I703" s="122">
        <f>IF($D703="",0,IF($S703=0,0,$R703/$S703))</f>
        <v>0</v>
      </c>
      <c r="J703" s="123">
        <f>IF($D703="",0,IF($F703&lt;2,0,IF($E703="Win",('Guide &amp; Settings'!$C$42/(($F703-1)*COUNTIFS($A$4:$A$810,$A703,$E$4:$E$810,"Win")))*SUMIFS($X$4:$X$810,$A$4:$A$810,$A703,$E$4:$E$810,"Loss"),-('Guide &amp; Settings'!$C$42/($F703-1))*$X703)))</f>
        <v>0</v>
      </c>
      <c r="K703" s="123">
        <f>IF($D703="",0,'Guide &amp; Settings'!$C$43*(IF($E703="Win",1,0)-$I703))</f>
        <v>0</v>
      </c>
      <c r="L703" s="124">
        <f>IF($D703="",0,'Guide &amp; Settings'!$C$44*IF($F703&gt;=3,$F703+IF($E703="Win",$F703,0),0))</f>
        <v>0</v>
      </c>
      <c r="M703" s="123">
        <f>IF($D703="",0,$J703+$K703+$L703)</f>
        <v>0</v>
      </c>
      <c r="N703" s="121">
        <f>IF($D703="",0,$H703+$M703)</f>
        <v>0</v>
      </c>
      <c r="O703" s="120" t="str">
        <f>IF($D703="","",IF(COUNTIFS($A$4:$A$810,$A703,$E$4:$E$810,"Win")=0,"need a winner",IF(COUNTIFS($A$4:$A$810,$A703,$E$4:$E$810,"Loss")=0,"need a loser",IF(COUNTIFS($A$4:$A$810,$A703,$D$4:$D$810,$D703)&gt;1,"duplicate player","OK"))))</f>
      </c>
      <c r="P703">
        <f>IF($D703="",0,IFERROR(SUMIFS($H$4:$H$810,$A$4:$A$810,$A703,$E$4:$E$810,"Win")/COUNTIFS($A$4:$A$810,$A703,$E$4:$E$810,"Win"),0))</f>
        <v>0</v>
      </c>
      <c r="Q703">
        <f>IF($D703="",0,1/(1+10^(($P703-$H703)/400)))</f>
        <v>0</v>
      </c>
      <c r="R703">
        <f>IF($D703="",0,(COUNTIFS($D$4:$D$810,$D703,$C$4:$C$810,$C703,$E$4:$E$810,"Win",$A$4:$A$810,"&lt;"&amp;$A703)+1)/(COUNTIFS($D$4:$D$810,$D703,$C$4:$C$810,$C703,$A$4:$A$810,"&lt;"&amp;$A703)+2))</f>
        <v>0</v>
      </c>
      <c r="S703">
        <f>IF($D703="",0,SUMIFS($R$4:$R$810,$A$4:$A$810,$A703))</f>
        <v>0</v>
      </c>
      <c r="T703" s="88">
        <f>IF($D703="",0,COUNTIFS($D$4:$D$810,$D703,$C$4:$C$810,$C703,$A$4:$A$810,"&lt;"&amp;$A703))</f>
        <v>0</v>
      </c>
      <c r="U703" s="125">
        <f>IF($D703="",0,IFERROR(LOOKUP(2,1/(($D$3:D702=$D703)*($C$3:C702=$C703)*($A$3:A702&lt;$A703)),$AB$3:AB702),1000))</f>
        <v>0</v>
      </c>
      <c r="V703" s="125">
        <f>IF($D703="",0,$U703*($T703/($T703+5))+$H703*(1-$T703/($T703+5)))</f>
        <v>0</v>
      </c>
      <c r="W703">
        <f>IF($D703="",0,IFERROR(SUMIFS($V$4:$V$810,$A$4:$A$810,$A703,$E$4:$E$810,"Win")/COUNTIFS($A$4:$A$810,$A703,$E$4:$E$810,"Win"),0))</f>
        <v>0</v>
      </c>
      <c r="X703">
        <f>IF($D703="",0,1/(1+10^(($W703-$V703)/400)))</f>
        <v>0</v>
      </c>
      <c r="Y703">
        <f>IF($D703="",0,IFERROR(SUMIFS($U$4:$U$810,$A$4:$A$810,$A703,$E$4:$E$810,"Win")/COUNTIFS($A$4:$A$810,$A703,$E$4:$E$810,"Win"),0))</f>
        <v>0</v>
      </c>
      <c r="Z703">
        <f>IF($D703="",0,1/(1+10^(($Y703-$U703)/400)))</f>
        <v>0</v>
      </c>
      <c r="AA703">
        <f>IF($D703="",0,IF($F703&lt;2,0,IF($E703="Win",('Guide &amp; Settings'!$C$42/(($F703-1)*COUNTIFS($A$4:$A$810,$A703,$E$4:$E$810,"Win")))*SUMIFS($Z$4:$Z$810,$A$4:$A$810,$A703,$E$4:$E$810,"Loss"),-('Guide &amp; Settings'!$C$42/($F703-1))*$Z703)))</f>
        <v>0</v>
      </c>
      <c r="AB703" s="125">
        <f>IF($D703="",0,$U703+$AA703)</f>
        <v>0</v>
      </c>
      <c r="AC703" s="125" t="str">
        <f>IF($D703="","",IF(SUMPRODUCT(MAX(($D$4:$D$810=$D703)*($B$4:$B$810&lt;$B703)*$B$4:$B$810))=0,0,MAX(($B703-MAX(SUMPRODUCT(MAX(($D$4:$D$810=$D703)*($B$4:$B$810&lt;$B703)*$B$4:$B$810)),'Guide &amp; Settings'!$C$50))/7-'Guide &amp; Settings'!$C$48,0)*'Guide &amp; Settings'!$C$49))</f>
      </c>
    </row>
    <row r="704" spans="1:29">
      <c r="A704" s="116"/>
      <c r="B704" s="117"/>
      <c r="C704" s="118"/>
      <c r="D704" s="118"/>
      <c r="E704" s="116"/>
      <c r="F704" s="119">
        <f>IF($D704="",0,COUNTIF($A$4:$A$810,$A704))</f>
        <v>0</v>
      </c>
      <c r="G704" s="120">
        <f>IF($D704="","",IFERROR(LOOKUP(2,1/(($A$4:$A$810=$A704)*($E$4:$E$810="Win")),$D$4:$D$810),"(no winner)"))</f>
        <v>0</v>
      </c>
      <c r="H704" s="121">
        <f>IF($D704="",0,IFERROR(LOOKUP(2,1/(($D$3:D703=$D704)*($A$3:A703&lt;$A704)),$N$3:N703),'Guide &amp; Settings'!$C$41))</f>
        <v>0</v>
      </c>
      <c r="I704" s="122">
        <f>IF($D704="",0,IF($S704=0,0,$R704/$S704))</f>
        <v>0</v>
      </c>
      <c r="J704" s="123">
        <f>IF($D704="",0,IF($F704&lt;2,0,IF($E704="Win",('Guide &amp; Settings'!$C$42/(($F704-1)*COUNTIFS($A$4:$A$810,$A704,$E$4:$E$810,"Win")))*SUMIFS($X$4:$X$810,$A$4:$A$810,$A704,$E$4:$E$810,"Loss"),-('Guide &amp; Settings'!$C$42/($F704-1))*$X704)))</f>
        <v>0</v>
      </c>
      <c r="K704" s="123">
        <f>IF($D704="",0,'Guide &amp; Settings'!$C$43*(IF($E704="Win",1,0)-$I704))</f>
        <v>0</v>
      </c>
      <c r="L704" s="124">
        <f>IF($D704="",0,'Guide &amp; Settings'!$C$44*IF($F704&gt;=3,$F704+IF($E704="Win",$F704,0),0))</f>
        <v>0</v>
      </c>
      <c r="M704" s="123">
        <f>IF($D704="",0,$J704+$K704+$L704)</f>
        <v>0</v>
      </c>
      <c r="N704" s="121">
        <f>IF($D704="",0,$H704+$M704)</f>
        <v>0</v>
      </c>
      <c r="O704" s="120" t="str">
        <f>IF($D704="","",IF(COUNTIFS($A$4:$A$810,$A704,$E$4:$E$810,"Win")=0,"need a winner",IF(COUNTIFS($A$4:$A$810,$A704,$E$4:$E$810,"Loss")=0,"need a loser",IF(COUNTIFS($A$4:$A$810,$A704,$D$4:$D$810,$D704)&gt;1,"duplicate player","OK"))))</f>
      </c>
      <c r="P704">
        <f>IF($D704="",0,IFERROR(SUMIFS($H$4:$H$810,$A$4:$A$810,$A704,$E$4:$E$810,"Win")/COUNTIFS($A$4:$A$810,$A704,$E$4:$E$810,"Win"),0))</f>
        <v>0</v>
      </c>
      <c r="Q704">
        <f>IF($D704="",0,1/(1+10^(($P704-$H704)/400)))</f>
        <v>0</v>
      </c>
      <c r="R704">
        <f>IF($D704="",0,(COUNTIFS($D$4:$D$810,$D704,$C$4:$C$810,$C704,$E$4:$E$810,"Win",$A$4:$A$810,"&lt;"&amp;$A704)+1)/(COUNTIFS($D$4:$D$810,$D704,$C$4:$C$810,$C704,$A$4:$A$810,"&lt;"&amp;$A704)+2))</f>
        <v>0</v>
      </c>
      <c r="S704">
        <f>IF($D704="",0,SUMIFS($R$4:$R$810,$A$4:$A$810,$A704))</f>
        <v>0</v>
      </c>
      <c r="T704" s="88">
        <f>IF($D704="",0,COUNTIFS($D$4:$D$810,$D704,$C$4:$C$810,$C704,$A$4:$A$810,"&lt;"&amp;$A704))</f>
        <v>0</v>
      </c>
      <c r="U704" s="125">
        <f>IF($D704="",0,IFERROR(LOOKUP(2,1/(($D$3:D703=$D704)*($C$3:C703=$C704)*($A$3:A703&lt;$A704)),$AB$3:AB703),1000))</f>
        <v>0</v>
      </c>
      <c r="V704" s="125">
        <f>IF($D704="",0,$U704*($T704/($T704+5))+$H704*(1-$T704/($T704+5)))</f>
        <v>0</v>
      </c>
      <c r="W704">
        <f>IF($D704="",0,IFERROR(SUMIFS($V$4:$V$810,$A$4:$A$810,$A704,$E$4:$E$810,"Win")/COUNTIFS($A$4:$A$810,$A704,$E$4:$E$810,"Win"),0))</f>
        <v>0</v>
      </c>
      <c r="X704">
        <f>IF($D704="",0,1/(1+10^(($W704-$V704)/400)))</f>
        <v>0</v>
      </c>
      <c r="Y704">
        <f>IF($D704="",0,IFERROR(SUMIFS($U$4:$U$810,$A$4:$A$810,$A704,$E$4:$E$810,"Win")/COUNTIFS($A$4:$A$810,$A704,$E$4:$E$810,"Win"),0))</f>
        <v>0</v>
      </c>
      <c r="Z704">
        <f>IF($D704="",0,1/(1+10^(($Y704-$U704)/400)))</f>
        <v>0</v>
      </c>
      <c r="AA704">
        <f>IF($D704="",0,IF($F704&lt;2,0,IF($E704="Win",('Guide &amp; Settings'!$C$42/(($F704-1)*COUNTIFS($A$4:$A$810,$A704,$E$4:$E$810,"Win")))*SUMIFS($Z$4:$Z$810,$A$4:$A$810,$A704,$E$4:$E$810,"Loss"),-('Guide &amp; Settings'!$C$42/($F704-1))*$Z704)))</f>
        <v>0</v>
      </c>
      <c r="AB704" s="125">
        <f>IF($D704="",0,$U704+$AA704)</f>
        <v>0</v>
      </c>
      <c r="AC704" s="125" t="str">
        <f>IF($D704="","",IF(SUMPRODUCT(MAX(($D$4:$D$810=$D704)*($B$4:$B$810&lt;$B704)*$B$4:$B$810))=0,0,MAX(($B704-MAX(SUMPRODUCT(MAX(($D$4:$D$810=$D704)*($B$4:$B$810&lt;$B704)*$B$4:$B$810)),'Guide &amp; Settings'!$C$50))/7-'Guide &amp; Settings'!$C$48,0)*'Guide &amp; Settings'!$C$49))</f>
      </c>
    </row>
    <row r="705" spans="1:29">
      <c r="A705" s="116"/>
      <c r="B705" s="117"/>
      <c r="C705" s="118"/>
      <c r="D705" s="118"/>
      <c r="E705" s="116"/>
      <c r="F705" s="119">
        <f>IF($D705="",0,COUNTIF($A$4:$A$810,$A705))</f>
        <v>0</v>
      </c>
      <c r="G705" s="120">
        <f>IF($D705="","",IFERROR(LOOKUP(2,1/(($A$4:$A$810=$A705)*($E$4:$E$810="Win")),$D$4:$D$810),"(no winner)"))</f>
        <v>0</v>
      </c>
      <c r="H705" s="121">
        <f>IF($D705="",0,IFERROR(LOOKUP(2,1/(($D$3:D704=$D705)*($A$3:A704&lt;$A705)),$N$3:N704),'Guide &amp; Settings'!$C$41))</f>
        <v>0</v>
      </c>
      <c r="I705" s="122">
        <f>IF($D705="",0,IF($S705=0,0,$R705/$S705))</f>
        <v>0</v>
      </c>
      <c r="J705" s="123">
        <f>IF($D705="",0,IF($F705&lt;2,0,IF($E705="Win",('Guide &amp; Settings'!$C$42/(($F705-1)*COUNTIFS($A$4:$A$810,$A705,$E$4:$E$810,"Win")))*SUMIFS($X$4:$X$810,$A$4:$A$810,$A705,$E$4:$E$810,"Loss"),-('Guide &amp; Settings'!$C$42/($F705-1))*$X705)))</f>
        <v>0</v>
      </c>
      <c r="K705" s="123">
        <f>IF($D705="",0,'Guide &amp; Settings'!$C$43*(IF($E705="Win",1,0)-$I705))</f>
        <v>0</v>
      </c>
      <c r="L705" s="124">
        <f>IF($D705="",0,'Guide &amp; Settings'!$C$44*IF($F705&gt;=3,$F705+IF($E705="Win",$F705,0),0))</f>
        <v>0</v>
      </c>
      <c r="M705" s="123">
        <f>IF($D705="",0,$J705+$K705+$L705)</f>
        <v>0</v>
      </c>
      <c r="N705" s="121">
        <f>IF($D705="",0,$H705+$M705)</f>
        <v>0</v>
      </c>
      <c r="O705" s="120" t="str">
        <f>IF($D705="","",IF(COUNTIFS($A$4:$A$810,$A705,$E$4:$E$810,"Win")=0,"need a winner",IF(COUNTIFS($A$4:$A$810,$A705,$E$4:$E$810,"Loss")=0,"need a loser",IF(COUNTIFS($A$4:$A$810,$A705,$D$4:$D$810,$D705)&gt;1,"duplicate player","OK"))))</f>
      </c>
      <c r="P705">
        <f>IF($D705="",0,IFERROR(SUMIFS($H$4:$H$810,$A$4:$A$810,$A705,$E$4:$E$810,"Win")/COUNTIFS($A$4:$A$810,$A705,$E$4:$E$810,"Win"),0))</f>
        <v>0</v>
      </c>
      <c r="Q705">
        <f>IF($D705="",0,1/(1+10^(($P705-$H705)/400)))</f>
        <v>0</v>
      </c>
      <c r="R705">
        <f>IF($D705="",0,(COUNTIFS($D$4:$D$810,$D705,$C$4:$C$810,$C705,$E$4:$E$810,"Win",$A$4:$A$810,"&lt;"&amp;$A705)+1)/(COUNTIFS($D$4:$D$810,$D705,$C$4:$C$810,$C705,$A$4:$A$810,"&lt;"&amp;$A705)+2))</f>
        <v>0</v>
      </c>
      <c r="S705">
        <f>IF($D705="",0,SUMIFS($R$4:$R$810,$A$4:$A$810,$A705))</f>
        <v>0</v>
      </c>
      <c r="T705" s="88">
        <f>IF($D705="",0,COUNTIFS($D$4:$D$810,$D705,$C$4:$C$810,$C705,$A$4:$A$810,"&lt;"&amp;$A705))</f>
        <v>0</v>
      </c>
      <c r="U705" s="125">
        <f>IF($D705="",0,IFERROR(LOOKUP(2,1/(($D$3:D704=$D705)*($C$3:C704=$C705)*($A$3:A704&lt;$A705)),$AB$3:AB704),1000))</f>
        <v>0</v>
      </c>
      <c r="V705" s="125">
        <f>IF($D705="",0,$U705*($T705/($T705+5))+$H705*(1-$T705/($T705+5)))</f>
        <v>0</v>
      </c>
      <c r="W705">
        <f>IF($D705="",0,IFERROR(SUMIFS($V$4:$V$810,$A$4:$A$810,$A705,$E$4:$E$810,"Win")/COUNTIFS($A$4:$A$810,$A705,$E$4:$E$810,"Win"),0))</f>
        <v>0</v>
      </c>
      <c r="X705">
        <f>IF($D705="",0,1/(1+10^(($W705-$V705)/400)))</f>
        <v>0</v>
      </c>
      <c r="Y705">
        <f>IF($D705="",0,IFERROR(SUMIFS($U$4:$U$810,$A$4:$A$810,$A705,$E$4:$E$810,"Win")/COUNTIFS($A$4:$A$810,$A705,$E$4:$E$810,"Win"),0))</f>
        <v>0</v>
      </c>
      <c r="Z705">
        <f>IF($D705="",0,1/(1+10^(($Y705-$U705)/400)))</f>
        <v>0</v>
      </c>
      <c r="AA705">
        <f>IF($D705="",0,IF($F705&lt;2,0,IF($E705="Win",('Guide &amp; Settings'!$C$42/(($F705-1)*COUNTIFS($A$4:$A$810,$A705,$E$4:$E$810,"Win")))*SUMIFS($Z$4:$Z$810,$A$4:$A$810,$A705,$E$4:$E$810,"Loss"),-('Guide &amp; Settings'!$C$42/($F705-1))*$Z705)))</f>
        <v>0</v>
      </c>
      <c r="AB705" s="125">
        <f>IF($D705="",0,$U705+$AA705)</f>
        <v>0</v>
      </c>
      <c r="AC705" s="125" t="str">
        <f>IF($D705="","",IF(SUMPRODUCT(MAX(($D$4:$D$810=$D705)*($B$4:$B$810&lt;$B705)*$B$4:$B$810))=0,0,MAX(($B705-MAX(SUMPRODUCT(MAX(($D$4:$D$810=$D705)*($B$4:$B$810&lt;$B705)*$B$4:$B$810)),'Guide &amp; Settings'!$C$50))/7-'Guide &amp; Settings'!$C$48,0)*'Guide &amp; Settings'!$C$49))</f>
      </c>
    </row>
    <row r="706" spans="1:29">
      <c r="A706" s="116"/>
      <c r="B706" s="117"/>
      <c r="C706" s="118"/>
      <c r="D706" s="118"/>
      <c r="E706" s="116"/>
      <c r="F706" s="119">
        <f>IF($D706="",0,COUNTIF($A$4:$A$810,$A706))</f>
        <v>0</v>
      </c>
      <c r="G706" s="120">
        <f>IF($D706="","",IFERROR(LOOKUP(2,1/(($A$4:$A$810=$A706)*($E$4:$E$810="Win")),$D$4:$D$810),"(no winner)"))</f>
        <v>0</v>
      </c>
      <c r="H706" s="121">
        <f>IF($D706="",0,IFERROR(LOOKUP(2,1/(($D$3:D705=$D706)*($A$3:A705&lt;$A706)),$N$3:N705),'Guide &amp; Settings'!$C$41))</f>
        <v>0</v>
      </c>
      <c r="I706" s="122">
        <f>IF($D706="",0,IF($S706=0,0,$R706/$S706))</f>
        <v>0</v>
      </c>
      <c r="J706" s="123">
        <f>IF($D706="",0,IF($F706&lt;2,0,IF($E706="Win",('Guide &amp; Settings'!$C$42/(($F706-1)*COUNTIFS($A$4:$A$810,$A706,$E$4:$E$810,"Win")))*SUMIFS($X$4:$X$810,$A$4:$A$810,$A706,$E$4:$E$810,"Loss"),-('Guide &amp; Settings'!$C$42/($F706-1))*$X706)))</f>
        <v>0</v>
      </c>
      <c r="K706" s="123">
        <f>IF($D706="",0,'Guide &amp; Settings'!$C$43*(IF($E706="Win",1,0)-$I706))</f>
        <v>0</v>
      </c>
      <c r="L706" s="124">
        <f>IF($D706="",0,'Guide &amp; Settings'!$C$44*IF($F706&gt;=3,$F706+IF($E706="Win",$F706,0),0))</f>
        <v>0</v>
      </c>
      <c r="M706" s="123">
        <f>IF($D706="",0,$J706+$K706+$L706)</f>
        <v>0</v>
      </c>
      <c r="N706" s="121">
        <f>IF($D706="",0,$H706+$M706)</f>
        <v>0</v>
      </c>
      <c r="O706" s="120" t="str">
        <f>IF($D706="","",IF(COUNTIFS($A$4:$A$810,$A706,$E$4:$E$810,"Win")=0,"need a winner",IF(COUNTIFS($A$4:$A$810,$A706,$E$4:$E$810,"Loss")=0,"need a loser",IF(COUNTIFS($A$4:$A$810,$A706,$D$4:$D$810,$D706)&gt;1,"duplicate player","OK"))))</f>
      </c>
      <c r="P706">
        <f>IF($D706="",0,IFERROR(SUMIFS($H$4:$H$810,$A$4:$A$810,$A706,$E$4:$E$810,"Win")/COUNTIFS($A$4:$A$810,$A706,$E$4:$E$810,"Win"),0))</f>
        <v>0</v>
      </c>
      <c r="Q706">
        <f>IF($D706="",0,1/(1+10^(($P706-$H706)/400)))</f>
        <v>0</v>
      </c>
      <c r="R706">
        <f>IF($D706="",0,(COUNTIFS($D$4:$D$810,$D706,$C$4:$C$810,$C706,$E$4:$E$810,"Win",$A$4:$A$810,"&lt;"&amp;$A706)+1)/(COUNTIFS($D$4:$D$810,$D706,$C$4:$C$810,$C706,$A$4:$A$810,"&lt;"&amp;$A706)+2))</f>
        <v>0</v>
      </c>
      <c r="S706">
        <f>IF($D706="",0,SUMIFS($R$4:$R$810,$A$4:$A$810,$A706))</f>
        <v>0</v>
      </c>
      <c r="T706" s="88">
        <f>IF($D706="",0,COUNTIFS($D$4:$D$810,$D706,$C$4:$C$810,$C706,$A$4:$A$810,"&lt;"&amp;$A706))</f>
        <v>0</v>
      </c>
      <c r="U706" s="125">
        <f>IF($D706="",0,IFERROR(LOOKUP(2,1/(($D$3:D705=$D706)*($C$3:C705=$C706)*($A$3:A705&lt;$A706)),$AB$3:AB705),1000))</f>
        <v>0</v>
      </c>
      <c r="V706" s="125">
        <f>IF($D706="",0,$U706*($T706/($T706+5))+$H706*(1-$T706/($T706+5)))</f>
        <v>0</v>
      </c>
      <c r="W706">
        <f>IF($D706="",0,IFERROR(SUMIFS($V$4:$V$810,$A$4:$A$810,$A706,$E$4:$E$810,"Win")/COUNTIFS($A$4:$A$810,$A706,$E$4:$E$810,"Win"),0))</f>
        <v>0</v>
      </c>
      <c r="X706">
        <f>IF($D706="",0,1/(1+10^(($W706-$V706)/400)))</f>
        <v>0</v>
      </c>
      <c r="Y706">
        <f>IF($D706="",0,IFERROR(SUMIFS($U$4:$U$810,$A$4:$A$810,$A706,$E$4:$E$810,"Win")/COUNTIFS($A$4:$A$810,$A706,$E$4:$E$810,"Win"),0))</f>
        <v>0</v>
      </c>
      <c r="Z706">
        <f>IF($D706="",0,1/(1+10^(($Y706-$U706)/400)))</f>
        <v>0</v>
      </c>
      <c r="AA706">
        <f>IF($D706="",0,IF($F706&lt;2,0,IF($E706="Win",('Guide &amp; Settings'!$C$42/(($F706-1)*COUNTIFS($A$4:$A$810,$A706,$E$4:$E$810,"Win")))*SUMIFS($Z$4:$Z$810,$A$4:$A$810,$A706,$E$4:$E$810,"Loss"),-('Guide &amp; Settings'!$C$42/($F706-1))*$Z706)))</f>
        <v>0</v>
      </c>
      <c r="AB706" s="125">
        <f>IF($D706="",0,$U706+$AA706)</f>
        <v>0</v>
      </c>
      <c r="AC706" s="125" t="str">
        <f>IF($D706="","",IF(SUMPRODUCT(MAX(($D$4:$D$810=$D706)*($B$4:$B$810&lt;$B706)*$B$4:$B$810))=0,0,MAX(($B706-MAX(SUMPRODUCT(MAX(($D$4:$D$810=$D706)*($B$4:$B$810&lt;$B706)*$B$4:$B$810)),'Guide &amp; Settings'!$C$50))/7-'Guide &amp; Settings'!$C$48,0)*'Guide &amp; Settings'!$C$49))</f>
      </c>
    </row>
    <row r="707" spans="1:29">
      <c r="A707" s="116"/>
      <c r="B707" s="117"/>
      <c r="C707" s="118"/>
      <c r="D707" s="118"/>
      <c r="E707" s="116"/>
      <c r="F707" s="119">
        <f>IF($D707="",0,COUNTIF($A$4:$A$810,$A707))</f>
        <v>0</v>
      </c>
      <c r="G707" s="120">
        <f>IF($D707="","",IFERROR(LOOKUP(2,1/(($A$4:$A$810=$A707)*($E$4:$E$810="Win")),$D$4:$D$810),"(no winner)"))</f>
        <v>0</v>
      </c>
      <c r="H707" s="121">
        <f>IF($D707="",0,IFERROR(LOOKUP(2,1/(($D$3:D706=$D707)*($A$3:A706&lt;$A707)),$N$3:N706),'Guide &amp; Settings'!$C$41))</f>
        <v>0</v>
      </c>
      <c r="I707" s="122">
        <f>IF($D707="",0,IF($S707=0,0,$R707/$S707))</f>
        <v>0</v>
      </c>
      <c r="J707" s="123">
        <f>IF($D707="",0,IF($F707&lt;2,0,IF($E707="Win",('Guide &amp; Settings'!$C$42/(($F707-1)*COUNTIFS($A$4:$A$810,$A707,$E$4:$E$810,"Win")))*SUMIFS($X$4:$X$810,$A$4:$A$810,$A707,$E$4:$E$810,"Loss"),-('Guide &amp; Settings'!$C$42/($F707-1))*$X707)))</f>
        <v>0</v>
      </c>
      <c r="K707" s="123">
        <f>IF($D707="",0,'Guide &amp; Settings'!$C$43*(IF($E707="Win",1,0)-$I707))</f>
        <v>0</v>
      </c>
      <c r="L707" s="124">
        <f>IF($D707="",0,'Guide &amp; Settings'!$C$44*IF($F707&gt;=3,$F707+IF($E707="Win",$F707,0),0))</f>
        <v>0</v>
      </c>
      <c r="M707" s="123">
        <f>IF($D707="",0,$J707+$K707+$L707)</f>
        <v>0</v>
      </c>
      <c r="N707" s="121">
        <f>IF($D707="",0,$H707+$M707)</f>
        <v>0</v>
      </c>
      <c r="O707" s="120" t="str">
        <f>IF($D707="","",IF(COUNTIFS($A$4:$A$810,$A707,$E$4:$E$810,"Win")=0,"need a winner",IF(COUNTIFS($A$4:$A$810,$A707,$E$4:$E$810,"Loss")=0,"need a loser",IF(COUNTIFS($A$4:$A$810,$A707,$D$4:$D$810,$D707)&gt;1,"duplicate player","OK"))))</f>
      </c>
      <c r="P707">
        <f>IF($D707="",0,IFERROR(SUMIFS($H$4:$H$810,$A$4:$A$810,$A707,$E$4:$E$810,"Win")/COUNTIFS($A$4:$A$810,$A707,$E$4:$E$810,"Win"),0))</f>
        <v>0</v>
      </c>
      <c r="Q707">
        <f>IF($D707="",0,1/(1+10^(($P707-$H707)/400)))</f>
        <v>0</v>
      </c>
      <c r="R707">
        <f>IF($D707="",0,(COUNTIFS($D$4:$D$810,$D707,$C$4:$C$810,$C707,$E$4:$E$810,"Win",$A$4:$A$810,"&lt;"&amp;$A707)+1)/(COUNTIFS($D$4:$D$810,$D707,$C$4:$C$810,$C707,$A$4:$A$810,"&lt;"&amp;$A707)+2))</f>
        <v>0</v>
      </c>
      <c r="S707">
        <f>IF($D707="",0,SUMIFS($R$4:$R$810,$A$4:$A$810,$A707))</f>
        <v>0</v>
      </c>
      <c r="T707" s="88">
        <f>IF($D707="",0,COUNTIFS($D$4:$D$810,$D707,$C$4:$C$810,$C707,$A$4:$A$810,"&lt;"&amp;$A707))</f>
        <v>0</v>
      </c>
      <c r="U707" s="125">
        <f>IF($D707="",0,IFERROR(LOOKUP(2,1/(($D$3:D706=$D707)*($C$3:C706=$C707)*($A$3:A706&lt;$A707)),$AB$3:AB706),1000))</f>
        <v>0</v>
      </c>
      <c r="V707" s="125">
        <f>IF($D707="",0,$U707*($T707/($T707+5))+$H707*(1-$T707/($T707+5)))</f>
        <v>0</v>
      </c>
      <c r="W707">
        <f>IF($D707="",0,IFERROR(SUMIFS($V$4:$V$810,$A$4:$A$810,$A707,$E$4:$E$810,"Win")/COUNTIFS($A$4:$A$810,$A707,$E$4:$E$810,"Win"),0))</f>
        <v>0</v>
      </c>
      <c r="X707">
        <f>IF($D707="",0,1/(1+10^(($W707-$V707)/400)))</f>
        <v>0</v>
      </c>
      <c r="Y707">
        <f>IF($D707="",0,IFERROR(SUMIFS($U$4:$U$810,$A$4:$A$810,$A707,$E$4:$E$810,"Win")/COUNTIFS($A$4:$A$810,$A707,$E$4:$E$810,"Win"),0))</f>
        <v>0</v>
      </c>
      <c r="Z707">
        <f>IF($D707="",0,1/(1+10^(($Y707-$U707)/400)))</f>
        <v>0</v>
      </c>
      <c r="AA707">
        <f>IF($D707="",0,IF($F707&lt;2,0,IF($E707="Win",('Guide &amp; Settings'!$C$42/(($F707-1)*COUNTIFS($A$4:$A$810,$A707,$E$4:$E$810,"Win")))*SUMIFS($Z$4:$Z$810,$A$4:$A$810,$A707,$E$4:$E$810,"Loss"),-('Guide &amp; Settings'!$C$42/($F707-1))*$Z707)))</f>
        <v>0</v>
      </c>
      <c r="AB707" s="125">
        <f>IF($D707="",0,$U707+$AA707)</f>
        <v>0</v>
      </c>
      <c r="AC707" s="125" t="str">
        <f>IF($D707="","",IF(SUMPRODUCT(MAX(($D$4:$D$810=$D707)*($B$4:$B$810&lt;$B707)*$B$4:$B$810))=0,0,MAX(($B707-MAX(SUMPRODUCT(MAX(($D$4:$D$810=$D707)*($B$4:$B$810&lt;$B707)*$B$4:$B$810)),'Guide &amp; Settings'!$C$50))/7-'Guide &amp; Settings'!$C$48,0)*'Guide &amp; Settings'!$C$49))</f>
      </c>
    </row>
    <row r="708" spans="1:29">
      <c r="A708" s="116"/>
      <c r="B708" s="117"/>
      <c r="C708" s="118"/>
      <c r="D708" s="118"/>
      <c r="E708" s="116"/>
      <c r="F708" s="119">
        <f>IF($D708="",0,COUNTIF($A$4:$A$810,$A708))</f>
        <v>0</v>
      </c>
      <c r="G708" s="120">
        <f>IF($D708="","",IFERROR(LOOKUP(2,1/(($A$4:$A$810=$A708)*($E$4:$E$810="Win")),$D$4:$D$810),"(no winner)"))</f>
        <v>0</v>
      </c>
      <c r="H708" s="121">
        <f>IF($D708="",0,IFERROR(LOOKUP(2,1/(($D$3:D707=$D708)*($A$3:A707&lt;$A708)),$N$3:N707),'Guide &amp; Settings'!$C$41))</f>
        <v>0</v>
      </c>
      <c r="I708" s="122">
        <f>IF($D708="",0,IF($S708=0,0,$R708/$S708))</f>
        <v>0</v>
      </c>
      <c r="J708" s="123">
        <f>IF($D708="",0,IF($F708&lt;2,0,IF($E708="Win",('Guide &amp; Settings'!$C$42/(($F708-1)*COUNTIFS($A$4:$A$810,$A708,$E$4:$E$810,"Win")))*SUMIFS($X$4:$X$810,$A$4:$A$810,$A708,$E$4:$E$810,"Loss"),-('Guide &amp; Settings'!$C$42/($F708-1))*$X708)))</f>
        <v>0</v>
      </c>
      <c r="K708" s="123">
        <f>IF($D708="",0,'Guide &amp; Settings'!$C$43*(IF($E708="Win",1,0)-$I708))</f>
        <v>0</v>
      </c>
      <c r="L708" s="124">
        <f>IF($D708="",0,'Guide &amp; Settings'!$C$44*IF($F708&gt;=3,$F708+IF($E708="Win",$F708,0),0))</f>
        <v>0</v>
      </c>
      <c r="M708" s="123">
        <f>IF($D708="",0,$J708+$K708+$L708)</f>
        <v>0</v>
      </c>
      <c r="N708" s="121">
        <f>IF($D708="",0,$H708+$M708)</f>
        <v>0</v>
      </c>
      <c r="O708" s="120" t="str">
        <f>IF($D708="","",IF(COUNTIFS($A$4:$A$810,$A708,$E$4:$E$810,"Win")=0,"need a winner",IF(COUNTIFS($A$4:$A$810,$A708,$E$4:$E$810,"Loss")=0,"need a loser",IF(COUNTIFS($A$4:$A$810,$A708,$D$4:$D$810,$D708)&gt;1,"duplicate player","OK"))))</f>
      </c>
      <c r="P708">
        <f>IF($D708="",0,IFERROR(SUMIFS($H$4:$H$810,$A$4:$A$810,$A708,$E$4:$E$810,"Win")/COUNTIFS($A$4:$A$810,$A708,$E$4:$E$810,"Win"),0))</f>
        <v>0</v>
      </c>
      <c r="Q708">
        <f>IF($D708="",0,1/(1+10^(($P708-$H708)/400)))</f>
        <v>0</v>
      </c>
      <c r="R708">
        <f>IF($D708="",0,(COUNTIFS($D$4:$D$810,$D708,$C$4:$C$810,$C708,$E$4:$E$810,"Win",$A$4:$A$810,"&lt;"&amp;$A708)+1)/(COUNTIFS($D$4:$D$810,$D708,$C$4:$C$810,$C708,$A$4:$A$810,"&lt;"&amp;$A708)+2))</f>
        <v>0</v>
      </c>
      <c r="S708">
        <f>IF($D708="",0,SUMIFS($R$4:$R$810,$A$4:$A$810,$A708))</f>
        <v>0</v>
      </c>
      <c r="T708" s="88">
        <f>IF($D708="",0,COUNTIFS($D$4:$D$810,$D708,$C$4:$C$810,$C708,$A$4:$A$810,"&lt;"&amp;$A708))</f>
        <v>0</v>
      </c>
      <c r="U708" s="125">
        <f>IF($D708="",0,IFERROR(LOOKUP(2,1/(($D$3:D707=$D708)*($C$3:C707=$C708)*($A$3:A707&lt;$A708)),$AB$3:AB707),1000))</f>
        <v>0</v>
      </c>
      <c r="V708" s="125">
        <f>IF($D708="",0,$U708*($T708/($T708+5))+$H708*(1-$T708/($T708+5)))</f>
        <v>0</v>
      </c>
      <c r="W708">
        <f>IF($D708="",0,IFERROR(SUMIFS($V$4:$V$810,$A$4:$A$810,$A708,$E$4:$E$810,"Win")/COUNTIFS($A$4:$A$810,$A708,$E$4:$E$810,"Win"),0))</f>
        <v>0</v>
      </c>
      <c r="X708">
        <f>IF($D708="",0,1/(1+10^(($W708-$V708)/400)))</f>
        <v>0</v>
      </c>
      <c r="Y708">
        <f>IF($D708="",0,IFERROR(SUMIFS($U$4:$U$810,$A$4:$A$810,$A708,$E$4:$E$810,"Win")/COUNTIFS($A$4:$A$810,$A708,$E$4:$E$810,"Win"),0))</f>
        <v>0</v>
      </c>
      <c r="Z708">
        <f>IF($D708="",0,1/(1+10^(($Y708-$U708)/400)))</f>
        <v>0</v>
      </c>
      <c r="AA708">
        <f>IF($D708="",0,IF($F708&lt;2,0,IF($E708="Win",('Guide &amp; Settings'!$C$42/(($F708-1)*COUNTIFS($A$4:$A$810,$A708,$E$4:$E$810,"Win")))*SUMIFS($Z$4:$Z$810,$A$4:$A$810,$A708,$E$4:$E$810,"Loss"),-('Guide &amp; Settings'!$C$42/($F708-1))*$Z708)))</f>
        <v>0</v>
      </c>
      <c r="AB708" s="125">
        <f>IF($D708="",0,$U708+$AA708)</f>
        <v>0</v>
      </c>
      <c r="AC708" s="125" t="str">
        <f>IF($D708="","",IF(SUMPRODUCT(MAX(($D$4:$D$810=$D708)*($B$4:$B$810&lt;$B708)*$B$4:$B$810))=0,0,MAX(($B708-MAX(SUMPRODUCT(MAX(($D$4:$D$810=$D708)*($B$4:$B$810&lt;$B708)*$B$4:$B$810)),'Guide &amp; Settings'!$C$50))/7-'Guide &amp; Settings'!$C$48,0)*'Guide &amp; Settings'!$C$49))</f>
      </c>
    </row>
    <row r="709" spans="1:29">
      <c r="A709" s="116"/>
      <c r="B709" s="117"/>
      <c r="C709" s="118"/>
      <c r="D709" s="118"/>
      <c r="E709" s="116"/>
      <c r="F709" s="119">
        <f>IF($D709="",0,COUNTIF($A$4:$A$810,$A709))</f>
        <v>0</v>
      </c>
      <c r="G709" s="120">
        <f>IF($D709="","",IFERROR(LOOKUP(2,1/(($A$4:$A$810=$A709)*($E$4:$E$810="Win")),$D$4:$D$810),"(no winner)"))</f>
        <v>0</v>
      </c>
      <c r="H709" s="121">
        <f>IF($D709="",0,IFERROR(LOOKUP(2,1/(($D$3:D708=$D709)*($A$3:A708&lt;$A709)),$N$3:N708),'Guide &amp; Settings'!$C$41))</f>
        <v>0</v>
      </c>
      <c r="I709" s="122">
        <f>IF($D709="",0,IF($S709=0,0,$R709/$S709))</f>
        <v>0</v>
      </c>
      <c r="J709" s="123">
        <f>IF($D709="",0,IF($F709&lt;2,0,IF($E709="Win",('Guide &amp; Settings'!$C$42/(($F709-1)*COUNTIFS($A$4:$A$810,$A709,$E$4:$E$810,"Win")))*SUMIFS($X$4:$X$810,$A$4:$A$810,$A709,$E$4:$E$810,"Loss"),-('Guide &amp; Settings'!$C$42/($F709-1))*$X709)))</f>
        <v>0</v>
      </c>
      <c r="K709" s="123">
        <f>IF($D709="",0,'Guide &amp; Settings'!$C$43*(IF($E709="Win",1,0)-$I709))</f>
        <v>0</v>
      </c>
      <c r="L709" s="124">
        <f>IF($D709="",0,'Guide &amp; Settings'!$C$44*IF($F709&gt;=3,$F709+IF($E709="Win",$F709,0),0))</f>
        <v>0</v>
      </c>
      <c r="M709" s="123">
        <f>IF($D709="",0,$J709+$K709+$L709)</f>
        <v>0</v>
      </c>
      <c r="N709" s="121">
        <f>IF($D709="",0,$H709+$M709)</f>
        <v>0</v>
      </c>
      <c r="O709" s="120" t="str">
        <f>IF($D709="","",IF(COUNTIFS($A$4:$A$810,$A709,$E$4:$E$810,"Win")=0,"need a winner",IF(COUNTIFS($A$4:$A$810,$A709,$E$4:$E$810,"Loss")=0,"need a loser",IF(COUNTIFS($A$4:$A$810,$A709,$D$4:$D$810,$D709)&gt;1,"duplicate player","OK"))))</f>
      </c>
      <c r="P709">
        <f>IF($D709="",0,IFERROR(SUMIFS($H$4:$H$810,$A$4:$A$810,$A709,$E$4:$E$810,"Win")/COUNTIFS($A$4:$A$810,$A709,$E$4:$E$810,"Win"),0))</f>
        <v>0</v>
      </c>
      <c r="Q709">
        <f>IF($D709="",0,1/(1+10^(($P709-$H709)/400)))</f>
        <v>0</v>
      </c>
      <c r="R709">
        <f>IF($D709="",0,(COUNTIFS($D$4:$D$810,$D709,$C$4:$C$810,$C709,$E$4:$E$810,"Win",$A$4:$A$810,"&lt;"&amp;$A709)+1)/(COUNTIFS($D$4:$D$810,$D709,$C$4:$C$810,$C709,$A$4:$A$810,"&lt;"&amp;$A709)+2))</f>
        <v>0</v>
      </c>
      <c r="S709">
        <f>IF($D709="",0,SUMIFS($R$4:$R$810,$A$4:$A$810,$A709))</f>
        <v>0</v>
      </c>
      <c r="T709" s="88">
        <f>IF($D709="",0,COUNTIFS($D$4:$D$810,$D709,$C$4:$C$810,$C709,$A$4:$A$810,"&lt;"&amp;$A709))</f>
        <v>0</v>
      </c>
      <c r="U709" s="125">
        <f>IF($D709="",0,IFERROR(LOOKUP(2,1/(($D$3:D708=$D709)*($C$3:C708=$C709)*($A$3:A708&lt;$A709)),$AB$3:AB708),1000))</f>
        <v>0</v>
      </c>
      <c r="V709" s="125">
        <f>IF($D709="",0,$U709*($T709/($T709+5))+$H709*(1-$T709/($T709+5)))</f>
        <v>0</v>
      </c>
      <c r="W709">
        <f>IF($D709="",0,IFERROR(SUMIFS($V$4:$V$810,$A$4:$A$810,$A709,$E$4:$E$810,"Win")/COUNTIFS($A$4:$A$810,$A709,$E$4:$E$810,"Win"),0))</f>
        <v>0</v>
      </c>
      <c r="X709">
        <f>IF($D709="",0,1/(1+10^(($W709-$V709)/400)))</f>
        <v>0</v>
      </c>
      <c r="Y709">
        <f>IF($D709="",0,IFERROR(SUMIFS($U$4:$U$810,$A$4:$A$810,$A709,$E$4:$E$810,"Win")/COUNTIFS($A$4:$A$810,$A709,$E$4:$E$810,"Win"),0))</f>
        <v>0</v>
      </c>
      <c r="Z709">
        <f>IF($D709="",0,1/(1+10^(($Y709-$U709)/400)))</f>
        <v>0</v>
      </c>
      <c r="AA709">
        <f>IF($D709="",0,IF($F709&lt;2,0,IF($E709="Win",('Guide &amp; Settings'!$C$42/(($F709-1)*COUNTIFS($A$4:$A$810,$A709,$E$4:$E$810,"Win")))*SUMIFS($Z$4:$Z$810,$A$4:$A$810,$A709,$E$4:$E$810,"Loss"),-('Guide &amp; Settings'!$C$42/($F709-1))*$Z709)))</f>
        <v>0</v>
      </c>
      <c r="AB709" s="125">
        <f>IF($D709="",0,$U709+$AA709)</f>
        <v>0</v>
      </c>
      <c r="AC709" s="125" t="str">
        <f>IF($D709="","",IF(SUMPRODUCT(MAX(($D$4:$D$810=$D709)*($B$4:$B$810&lt;$B709)*$B$4:$B$810))=0,0,MAX(($B709-MAX(SUMPRODUCT(MAX(($D$4:$D$810=$D709)*($B$4:$B$810&lt;$B709)*$B$4:$B$810)),'Guide &amp; Settings'!$C$50))/7-'Guide &amp; Settings'!$C$48,0)*'Guide &amp; Settings'!$C$49))</f>
      </c>
    </row>
    <row r="710" spans="1:29">
      <c r="A710" s="116"/>
      <c r="B710" s="117"/>
      <c r="C710" s="118"/>
      <c r="D710" s="118"/>
      <c r="E710" s="116"/>
      <c r="F710" s="119">
        <f>IF($D710="",0,COUNTIF($A$4:$A$810,$A710))</f>
        <v>0</v>
      </c>
      <c r="G710" s="120">
        <f>IF($D710="","",IFERROR(LOOKUP(2,1/(($A$4:$A$810=$A710)*($E$4:$E$810="Win")),$D$4:$D$810),"(no winner)"))</f>
        <v>0</v>
      </c>
      <c r="H710" s="121">
        <f>IF($D710="",0,IFERROR(LOOKUP(2,1/(($D$3:D709=$D710)*($A$3:A709&lt;$A710)),$N$3:N709),'Guide &amp; Settings'!$C$41))</f>
        <v>0</v>
      </c>
      <c r="I710" s="122">
        <f>IF($D710="",0,IF($S710=0,0,$R710/$S710))</f>
        <v>0</v>
      </c>
      <c r="J710" s="123">
        <f>IF($D710="",0,IF($F710&lt;2,0,IF($E710="Win",('Guide &amp; Settings'!$C$42/(($F710-1)*COUNTIFS($A$4:$A$810,$A710,$E$4:$E$810,"Win")))*SUMIFS($X$4:$X$810,$A$4:$A$810,$A710,$E$4:$E$810,"Loss"),-('Guide &amp; Settings'!$C$42/($F710-1))*$X710)))</f>
        <v>0</v>
      </c>
      <c r="K710" s="123">
        <f>IF($D710="",0,'Guide &amp; Settings'!$C$43*(IF($E710="Win",1,0)-$I710))</f>
        <v>0</v>
      </c>
      <c r="L710" s="124">
        <f>IF($D710="",0,'Guide &amp; Settings'!$C$44*IF($F710&gt;=3,$F710+IF($E710="Win",$F710,0),0))</f>
        <v>0</v>
      </c>
      <c r="M710" s="123">
        <f>IF($D710="",0,$J710+$K710+$L710)</f>
        <v>0</v>
      </c>
      <c r="N710" s="121">
        <f>IF($D710="",0,$H710+$M710)</f>
        <v>0</v>
      </c>
      <c r="O710" s="120" t="str">
        <f>IF($D710="","",IF(COUNTIFS($A$4:$A$810,$A710,$E$4:$E$810,"Win")=0,"need a winner",IF(COUNTIFS($A$4:$A$810,$A710,$E$4:$E$810,"Loss")=0,"need a loser",IF(COUNTIFS($A$4:$A$810,$A710,$D$4:$D$810,$D710)&gt;1,"duplicate player","OK"))))</f>
      </c>
      <c r="P710">
        <f>IF($D710="",0,IFERROR(SUMIFS($H$4:$H$810,$A$4:$A$810,$A710,$E$4:$E$810,"Win")/COUNTIFS($A$4:$A$810,$A710,$E$4:$E$810,"Win"),0))</f>
        <v>0</v>
      </c>
      <c r="Q710">
        <f>IF($D710="",0,1/(1+10^(($P710-$H710)/400)))</f>
        <v>0</v>
      </c>
      <c r="R710">
        <f>IF($D710="",0,(COUNTIFS($D$4:$D$810,$D710,$C$4:$C$810,$C710,$E$4:$E$810,"Win",$A$4:$A$810,"&lt;"&amp;$A710)+1)/(COUNTIFS($D$4:$D$810,$D710,$C$4:$C$810,$C710,$A$4:$A$810,"&lt;"&amp;$A710)+2))</f>
        <v>0</v>
      </c>
      <c r="S710">
        <f>IF($D710="",0,SUMIFS($R$4:$R$810,$A$4:$A$810,$A710))</f>
        <v>0</v>
      </c>
      <c r="T710" s="88">
        <f>IF($D710="",0,COUNTIFS($D$4:$D$810,$D710,$C$4:$C$810,$C710,$A$4:$A$810,"&lt;"&amp;$A710))</f>
        <v>0</v>
      </c>
      <c r="U710" s="125">
        <f>IF($D710="",0,IFERROR(LOOKUP(2,1/(($D$3:D709=$D710)*($C$3:C709=$C710)*($A$3:A709&lt;$A710)),$AB$3:AB709),1000))</f>
        <v>0</v>
      </c>
      <c r="V710" s="125">
        <f>IF($D710="",0,$U710*($T710/($T710+5))+$H710*(1-$T710/($T710+5)))</f>
        <v>0</v>
      </c>
      <c r="W710">
        <f>IF($D710="",0,IFERROR(SUMIFS($V$4:$V$810,$A$4:$A$810,$A710,$E$4:$E$810,"Win")/COUNTIFS($A$4:$A$810,$A710,$E$4:$E$810,"Win"),0))</f>
        <v>0</v>
      </c>
      <c r="X710">
        <f>IF($D710="",0,1/(1+10^(($W710-$V710)/400)))</f>
        <v>0</v>
      </c>
      <c r="Y710">
        <f>IF($D710="",0,IFERROR(SUMIFS($U$4:$U$810,$A$4:$A$810,$A710,$E$4:$E$810,"Win")/COUNTIFS($A$4:$A$810,$A710,$E$4:$E$810,"Win"),0))</f>
        <v>0</v>
      </c>
      <c r="Z710">
        <f>IF($D710="",0,1/(1+10^(($Y710-$U710)/400)))</f>
        <v>0</v>
      </c>
      <c r="AA710">
        <f>IF($D710="",0,IF($F710&lt;2,0,IF($E710="Win",('Guide &amp; Settings'!$C$42/(($F710-1)*COUNTIFS($A$4:$A$810,$A710,$E$4:$E$810,"Win")))*SUMIFS($Z$4:$Z$810,$A$4:$A$810,$A710,$E$4:$E$810,"Loss"),-('Guide &amp; Settings'!$C$42/($F710-1))*$Z710)))</f>
        <v>0</v>
      </c>
      <c r="AB710" s="125">
        <f>IF($D710="",0,$U710+$AA710)</f>
        <v>0</v>
      </c>
      <c r="AC710" s="125" t="str">
        <f>IF($D710="","",IF(SUMPRODUCT(MAX(($D$4:$D$810=$D710)*($B$4:$B$810&lt;$B710)*$B$4:$B$810))=0,0,MAX(($B710-MAX(SUMPRODUCT(MAX(($D$4:$D$810=$D710)*($B$4:$B$810&lt;$B710)*$B$4:$B$810)),'Guide &amp; Settings'!$C$50))/7-'Guide &amp; Settings'!$C$48,0)*'Guide &amp; Settings'!$C$49))</f>
      </c>
    </row>
    <row r="711" spans="1:29">
      <c r="A711" s="116"/>
      <c r="B711" s="117"/>
      <c r="C711" s="118"/>
      <c r="D711" s="118"/>
      <c r="E711" s="116"/>
      <c r="F711" s="119">
        <f>IF($D711="",0,COUNTIF($A$4:$A$810,$A711))</f>
        <v>0</v>
      </c>
      <c r="G711" s="120">
        <f>IF($D711="","",IFERROR(LOOKUP(2,1/(($A$4:$A$810=$A711)*($E$4:$E$810="Win")),$D$4:$D$810),"(no winner)"))</f>
        <v>0</v>
      </c>
      <c r="H711" s="121">
        <f>IF($D711="",0,IFERROR(LOOKUP(2,1/(($D$3:D710=$D711)*($A$3:A710&lt;$A711)),$N$3:N710),'Guide &amp; Settings'!$C$41))</f>
        <v>0</v>
      </c>
      <c r="I711" s="122">
        <f>IF($D711="",0,IF($S711=0,0,$R711/$S711))</f>
        <v>0</v>
      </c>
      <c r="J711" s="123">
        <f>IF($D711="",0,IF($F711&lt;2,0,IF($E711="Win",('Guide &amp; Settings'!$C$42/(($F711-1)*COUNTIFS($A$4:$A$810,$A711,$E$4:$E$810,"Win")))*SUMIFS($X$4:$X$810,$A$4:$A$810,$A711,$E$4:$E$810,"Loss"),-('Guide &amp; Settings'!$C$42/($F711-1))*$X711)))</f>
        <v>0</v>
      </c>
      <c r="K711" s="123">
        <f>IF($D711="",0,'Guide &amp; Settings'!$C$43*(IF($E711="Win",1,0)-$I711))</f>
        <v>0</v>
      </c>
      <c r="L711" s="124">
        <f>IF($D711="",0,'Guide &amp; Settings'!$C$44*IF($F711&gt;=3,$F711+IF($E711="Win",$F711,0),0))</f>
        <v>0</v>
      </c>
      <c r="M711" s="123">
        <f>IF($D711="",0,$J711+$K711+$L711)</f>
        <v>0</v>
      </c>
      <c r="N711" s="121">
        <f>IF($D711="",0,$H711+$M711)</f>
        <v>0</v>
      </c>
      <c r="O711" s="120" t="str">
        <f>IF($D711="","",IF(COUNTIFS($A$4:$A$810,$A711,$E$4:$E$810,"Win")=0,"need a winner",IF(COUNTIFS($A$4:$A$810,$A711,$E$4:$E$810,"Loss")=0,"need a loser",IF(COUNTIFS($A$4:$A$810,$A711,$D$4:$D$810,$D711)&gt;1,"duplicate player","OK"))))</f>
      </c>
      <c r="P711">
        <f>IF($D711="",0,IFERROR(SUMIFS($H$4:$H$810,$A$4:$A$810,$A711,$E$4:$E$810,"Win")/COUNTIFS($A$4:$A$810,$A711,$E$4:$E$810,"Win"),0))</f>
        <v>0</v>
      </c>
      <c r="Q711">
        <f>IF($D711="",0,1/(1+10^(($P711-$H711)/400)))</f>
        <v>0</v>
      </c>
      <c r="R711">
        <f>IF($D711="",0,(COUNTIFS($D$4:$D$810,$D711,$C$4:$C$810,$C711,$E$4:$E$810,"Win",$A$4:$A$810,"&lt;"&amp;$A711)+1)/(COUNTIFS($D$4:$D$810,$D711,$C$4:$C$810,$C711,$A$4:$A$810,"&lt;"&amp;$A711)+2))</f>
        <v>0</v>
      </c>
      <c r="S711">
        <f>IF($D711="",0,SUMIFS($R$4:$R$810,$A$4:$A$810,$A711))</f>
        <v>0</v>
      </c>
      <c r="T711" s="88">
        <f>IF($D711="",0,COUNTIFS($D$4:$D$810,$D711,$C$4:$C$810,$C711,$A$4:$A$810,"&lt;"&amp;$A711))</f>
        <v>0</v>
      </c>
      <c r="U711" s="125">
        <f>IF($D711="",0,IFERROR(LOOKUP(2,1/(($D$3:D710=$D711)*($C$3:C710=$C711)*($A$3:A710&lt;$A711)),$AB$3:AB710),1000))</f>
        <v>0</v>
      </c>
      <c r="V711" s="125">
        <f>IF($D711="",0,$U711*($T711/($T711+5))+$H711*(1-$T711/($T711+5)))</f>
        <v>0</v>
      </c>
      <c r="W711">
        <f>IF($D711="",0,IFERROR(SUMIFS($V$4:$V$810,$A$4:$A$810,$A711,$E$4:$E$810,"Win")/COUNTIFS($A$4:$A$810,$A711,$E$4:$E$810,"Win"),0))</f>
        <v>0</v>
      </c>
      <c r="X711">
        <f>IF($D711="",0,1/(1+10^(($W711-$V711)/400)))</f>
        <v>0</v>
      </c>
      <c r="Y711">
        <f>IF($D711="",0,IFERROR(SUMIFS($U$4:$U$810,$A$4:$A$810,$A711,$E$4:$E$810,"Win")/COUNTIFS($A$4:$A$810,$A711,$E$4:$E$810,"Win"),0))</f>
        <v>0</v>
      </c>
      <c r="Z711">
        <f>IF($D711="",0,1/(1+10^(($Y711-$U711)/400)))</f>
        <v>0</v>
      </c>
      <c r="AA711">
        <f>IF($D711="",0,IF($F711&lt;2,0,IF($E711="Win",('Guide &amp; Settings'!$C$42/(($F711-1)*COUNTIFS($A$4:$A$810,$A711,$E$4:$E$810,"Win")))*SUMIFS($Z$4:$Z$810,$A$4:$A$810,$A711,$E$4:$E$810,"Loss"),-('Guide &amp; Settings'!$C$42/($F711-1))*$Z711)))</f>
        <v>0</v>
      </c>
      <c r="AB711" s="125">
        <f>IF($D711="",0,$U711+$AA711)</f>
        <v>0</v>
      </c>
      <c r="AC711" s="125" t="str">
        <f>IF($D711="","",IF(SUMPRODUCT(MAX(($D$4:$D$810=$D711)*($B$4:$B$810&lt;$B711)*$B$4:$B$810))=0,0,MAX(($B711-MAX(SUMPRODUCT(MAX(($D$4:$D$810=$D711)*($B$4:$B$810&lt;$B711)*$B$4:$B$810)),'Guide &amp; Settings'!$C$50))/7-'Guide &amp; Settings'!$C$48,0)*'Guide &amp; Settings'!$C$49))</f>
      </c>
    </row>
    <row r="712" spans="1:29">
      <c r="A712" s="116"/>
      <c r="B712" s="117"/>
      <c r="C712" s="118"/>
      <c r="D712" s="118"/>
      <c r="E712" s="116"/>
      <c r="F712" s="119">
        <f>IF($D712="",0,COUNTIF($A$4:$A$810,$A712))</f>
        <v>0</v>
      </c>
      <c r="G712" s="120">
        <f>IF($D712="","",IFERROR(LOOKUP(2,1/(($A$4:$A$810=$A712)*($E$4:$E$810="Win")),$D$4:$D$810),"(no winner)"))</f>
        <v>0</v>
      </c>
      <c r="H712" s="121">
        <f>IF($D712="",0,IFERROR(LOOKUP(2,1/(($D$3:D711=$D712)*($A$3:A711&lt;$A712)),$N$3:N711),'Guide &amp; Settings'!$C$41))</f>
        <v>0</v>
      </c>
      <c r="I712" s="122">
        <f>IF($D712="",0,IF($S712=0,0,$R712/$S712))</f>
        <v>0</v>
      </c>
      <c r="J712" s="123">
        <f>IF($D712="",0,IF($F712&lt;2,0,IF($E712="Win",('Guide &amp; Settings'!$C$42/(($F712-1)*COUNTIFS($A$4:$A$810,$A712,$E$4:$E$810,"Win")))*SUMIFS($X$4:$X$810,$A$4:$A$810,$A712,$E$4:$E$810,"Loss"),-('Guide &amp; Settings'!$C$42/($F712-1))*$X712)))</f>
        <v>0</v>
      </c>
      <c r="K712" s="123">
        <f>IF($D712="",0,'Guide &amp; Settings'!$C$43*(IF($E712="Win",1,0)-$I712))</f>
        <v>0</v>
      </c>
      <c r="L712" s="124">
        <f>IF($D712="",0,'Guide &amp; Settings'!$C$44*IF($F712&gt;=3,$F712+IF($E712="Win",$F712,0),0))</f>
        <v>0</v>
      </c>
      <c r="M712" s="123">
        <f>IF($D712="",0,$J712+$K712+$L712)</f>
        <v>0</v>
      </c>
      <c r="N712" s="121">
        <f>IF($D712="",0,$H712+$M712)</f>
        <v>0</v>
      </c>
      <c r="O712" s="120" t="str">
        <f>IF($D712="","",IF(COUNTIFS($A$4:$A$810,$A712,$E$4:$E$810,"Win")=0,"need a winner",IF(COUNTIFS($A$4:$A$810,$A712,$E$4:$E$810,"Loss")=0,"need a loser",IF(COUNTIFS($A$4:$A$810,$A712,$D$4:$D$810,$D712)&gt;1,"duplicate player","OK"))))</f>
      </c>
      <c r="P712">
        <f>IF($D712="",0,IFERROR(SUMIFS($H$4:$H$810,$A$4:$A$810,$A712,$E$4:$E$810,"Win")/COUNTIFS($A$4:$A$810,$A712,$E$4:$E$810,"Win"),0))</f>
        <v>0</v>
      </c>
      <c r="Q712">
        <f>IF($D712="",0,1/(1+10^(($P712-$H712)/400)))</f>
        <v>0</v>
      </c>
      <c r="R712">
        <f>IF($D712="",0,(COUNTIFS($D$4:$D$810,$D712,$C$4:$C$810,$C712,$E$4:$E$810,"Win",$A$4:$A$810,"&lt;"&amp;$A712)+1)/(COUNTIFS($D$4:$D$810,$D712,$C$4:$C$810,$C712,$A$4:$A$810,"&lt;"&amp;$A712)+2))</f>
        <v>0</v>
      </c>
      <c r="S712">
        <f>IF($D712="",0,SUMIFS($R$4:$R$810,$A$4:$A$810,$A712))</f>
        <v>0</v>
      </c>
      <c r="T712" s="88">
        <f>IF($D712="",0,COUNTIFS($D$4:$D$810,$D712,$C$4:$C$810,$C712,$A$4:$A$810,"&lt;"&amp;$A712))</f>
        <v>0</v>
      </c>
      <c r="U712" s="125">
        <f>IF($D712="",0,IFERROR(LOOKUP(2,1/(($D$3:D711=$D712)*($C$3:C711=$C712)*($A$3:A711&lt;$A712)),$AB$3:AB711),1000))</f>
        <v>0</v>
      </c>
      <c r="V712" s="125">
        <f>IF($D712="",0,$U712*($T712/($T712+5))+$H712*(1-$T712/($T712+5)))</f>
        <v>0</v>
      </c>
      <c r="W712">
        <f>IF($D712="",0,IFERROR(SUMIFS($V$4:$V$810,$A$4:$A$810,$A712,$E$4:$E$810,"Win")/COUNTIFS($A$4:$A$810,$A712,$E$4:$E$810,"Win"),0))</f>
        <v>0</v>
      </c>
      <c r="X712">
        <f>IF($D712="",0,1/(1+10^(($W712-$V712)/400)))</f>
        <v>0</v>
      </c>
      <c r="Y712">
        <f>IF($D712="",0,IFERROR(SUMIFS($U$4:$U$810,$A$4:$A$810,$A712,$E$4:$E$810,"Win")/COUNTIFS($A$4:$A$810,$A712,$E$4:$E$810,"Win"),0))</f>
        <v>0</v>
      </c>
      <c r="Z712">
        <f>IF($D712="",0,1/(1+10^(($Y712-$U712)/400)))</f>
        <v>0</v>
      </c>
      <c r="AA712">
        <f>IF($D712="",0,IF($F712&lt;2,0,IF($E712="Win",('Guide &amp; Settings'!$C$42/(($F712-1)*COUNTIFS($A$4:$A$810,$A712,$E$4:$E$810,"Win")))*SUMIFS($Z$4:$Z$810,$A$4:$A$810,$A712,$E$4:$E$810,"Loss"),-('Guide &amp; Settings'!$C$42/($F712-1))*$Z712)))</f>
        <v>0</v>
      </c>
      <c r="AB712" s="125">
        <f>IF($D712="",0,$U712+$AA712)</f>
        <v>0</v>
      </c>
      <c r="AC712" s="125" t="str">
        <f>IF($D712="","",IF(SUMPRODUCT(MAX(($D$4:$D$810=$D712)*($B$4:$B$810&lt;$B712)*$B$4:$B$810))=0,0,MAX(($B712-MAX(SUMPRODUCT(MAX(($D$4:$D$810=$D712)*($B$4:$B$810&lt;$B712)*$B$4:$B$810)),'Guide &amp; Settings'!$C$50))/7-'Guide &amp; Settings'!$C$48,0)*'Guide &amp; Settings'!$C$49))</f>
      </c>
    </row>
    <row r="713" spans="1:29">
      <c r="A713" s="116"/>
      <c r="B713" s="117"/>
      <c r="C713" s="118"/>
      <c r="D713" s="118"/>
      <c r="E713" s="116"/>
      <c r="F713" s="119">
        <f>IF($D713="",0,COUNTIF($A$4:$A$810,$A713))</f>
        <v>0</v>
      </c>
      <c r="G713" s="120">
        <f>IF($D713="","",IFERROR(LOOKUP(2,1/(($A$4:$A$810=$A713)*($E$4:$E$810="Win")),$D$4:$D$810),"(no winner)"))</f>
        <v>0</v>
      </c>
      <c r="H713" s="121">
        <f>IF($D713="",0,IFERROR(LOOKUP(2,1/(($D$3:D712=$D713)*($A$3:A712&lt;$A713)),$N$3:N712),'Guide &amp; Settings'!$C$41))</f>
        <v>0</v>
      </c>
      <c r="I713" s="122">
        <f>IF($D713="",0,IF($S713=0,0,$R713/$S713))</f>
        <v>0</v>
      </c>
      <c r="J713" s="123">
        <f>IF($D713="",0,IF($F713&lt;2,0,IF($E713="Win",('Guide &amp; Settings'!$C$42/(($F713-1)*COUNTIFS($A$4:$A$810,$A713,$E$4:$E$810,"Win")))*SUMIFS($X$4:$X$810,$A$4:$A$810,$A713,$E$4:$E$810,"Loss"),-('Guide &amp; Settings'!$C$42/($F713-1))*$X713)))</f>
        <v>0</v>
      </c>
      <c r="K713" s="123">
        <f>IF($D713="",0,'Guide &amp; Settings'!$C$43*(IF($E713="Win",1,0)-$I713))</f>
        <v>0</v>
      </c>
      <c r="L713" s="124">
        <f>IF($D713="",0,'Guide &amp; Settings'!$C$44*IF($F713&gt;=3,$F713+IF($E713="Win",$F713,0),0))</f>
        <v>0</v>
      </c>
      <c r="M713" s="123">
        <f>IF($D713="",0,$J713+$K713+$L713)</f>
        <v>0</v>
      </c>
      <c r="N713" s="121">
        <f>IF($D713="",0,$H713+$M713)</f>
        <v>0</v>
      </c>
      <c r="O713" s="120" t="str">
        <f>IF($D713="","",IF(COUNTIFS($A$4:$A$810,$A713,$E$4:$E$810,"Win")=0,"need a winner",IF(COUNTIFS($A$4:$A$810,$A713,$E$4:$E$810,"Loss")=0,"need a loser",IF(COUNTIFS($A$4:$A$810,$A713,$D$4:$D$810,$D713)&gt;1,"duplicate player","OK"))))</f>
      </c>
      <c r="P713">
        <f>IF($D713="",0,IFERROR(SUMIFS($H$4:$H$810,$A$4:$A$810,$A713,$E$4:$E$810,"Win")/COUNTIFS($A$4:$A$810,$A713,$E$4:$E$810,"Win"),0))</f>
        <v>0</v>
      </c>
      <c r="Q713">
        <f>IF($D713="",0,1/(1+10^(($P713-$H713)/400)))</f>
        <v>0</v>
      </c>
      <c r="R713">
        <f>IF($D713="",0,(COUNTIFS($D$4:$D$810,$D713,$C$4:$C$810,$C713,$E$4:$E$810,"Win",$A$4:$A$810,"&lt;"&amp;$A713)+1)/(COUNTIFS($D$4:$D$810,$D713,$C$4:$C$810,$C713,$A$4:$A$810,"&lt;"&amp;$A713)+2))</f>
        <v>0</v>
      </c>
      <c r="S713">
        <f>IF($D713="",0,SUMIFS($R$4:$R$810,$A$4:$A$810,$A713))</f>
        <v>0</v>
      </c>
      <c r="T713" s="88">
        <f>IF($D713="",0,COUNTIFS($D$4:$D$810,$D713,$C$4:$C$810,$C713,$A$4:$A$810,"&lt;"&amp;$A713))</f>
        <v>0</v>
      </c>
      <c r="U713" s="125">
        <f>IF($D713="",0,IFERROR(LOOKUP(2,1/(($D$3:D712=$D713)*($C$3:C712=$C713)*($A$3:A712&lt;$A713)),$AB$3:AB712),1000))</f>
        <v>0</v>
      </c>
      <c r="V713" s="125">
        <f>IF($D713="",0,$U713*($T713/($T713+5))+$H713*(1-$T713/($T713+5)))</f>
        <v>0</v>
      </c>
      <c r="W713">
        <f>IF($D713="",0,IFERROR(SUMIFS($V$4:$V$810,$A$4:$A$810,$A713,$E$4:$E$810,"Win")/COUNTIFS($A$4:$A$810,$A713,$E$4:$E$810,"Win"),0))</f>
        <v>0</v>
      </c>
      <c r="X713">
        <f>IF($D713="",0,1/(1+10^(($W713-$V713)/400)))</f>
        <v>0</v>
      </c>
      <c r="Y713">
        <f>IF($D713="",0,IFERROR(SUMIFS($U$4:$U$810,$A$4:$A$810,$A713,$E$4:$E$810,"Win")/COUNTIFS($A$4:$A$810,$A713,$E$4:$E$810,"Win"),0))</f>
        <v>0</v>
      </c>
      <c r="Z713">
        <f>IF($D713="",0,1/(1+10^(($Y713-$U713)/400)))</f>
        <v>0</v>
      </c>
      <c r="AA713">
        <f>IF($D713="",0,IF($F713&lt;2,0,IF($E713="Win",('Guide &amp; Settings'!$C$42/(($F713-1)*COUNTIFS($A$4:$A$810,$A713,$E$4:$E$810,"Win")))*SUMIFS($Z$4:$Z$810,$A$4:$A$810,$A713,$E$4:$E$810,"Loss"),-('Guide &amp; Settings'!$C$42/($F713-1))*$Z713)))</f>
        <v>0</v>
      </c>
      <c r="AB713" s="125">
        <f>IF($D713="",0,$U713+$AA713)</f>
        <v>0</v>
      </c>
      <c r="AC713" s="125" t="str">
        <f>IF($D713="","",IF(SUMPRODUCT(MAX(($D$4:$D$810=$D713)*($B$4:$B$810&lt;$B713)*$B$4:$B$810))=0,0,MAX(($B713-MAX(SUMPRODUCT(MAX(($D$4:$D$810=$D713)*($B$4:$B$810&lt;$B713)*$B$4:$B$810)),'Guide &amp; Settings'!$C$50))/7-'Guide &amp; Settings'!$C$48,0)*'Guide &amp; Settings'!$C$49))</f>
      </c>
    </row>
    <row r="714" spans="1:29">
      <c r="A714" s="116"/>
      <c r="B714" s="117"/>
      <c r="C714" s="118"/>
      <c r="D714" s="118"/>
      <c r="E714" s="116"/>
      <c r="F714" s="119">
        <f>IF($D714="",0,COUNTIF($A$4:$A$810,$A714))</f>
        <v>0</v>
      </c>
      <c r="G714" s="120">
        <f>IF($D714="","",IFERROR(LOOKUP(2,1/(($A$4:$A$810=$A714)*($E$4:$E$810="Win")),$D$4:$D$810),"(no winner)"))</f>
        <v>0</v>
      </c>
      <c r="H714" s="121">
        <f>IF($D714="",0,IFERROR(LOOKUP(2,1/(($D$3:D713=$D714)*($A$3:A713&lt;$A714)),$N$3:N713),'Guide &amp; Settings'!$C$41))</f>
        <v>0</v>
      </c>
      <c r="I714" s="122">
        <f>IF($D714="",0,IF($S714=0,0,$R714/$S714))</f>
        <v>0</v>
      </c>
      <c r="J714" s="123">
        <f>IF($D714="",0,IF($F714&lt;2,0,IF($E714="Win",('Guide &amp; Settings'!$C$42/(($F714-1)*COUNTIFS($A$4:$A$810,$A714,$E$4:$E$810,"Win")))*SUMIFS($X$4:$X$810,$A$4:$A$810,$A714,$E$4:$E$810,"Loss"),-('Guide &amp; Settings'!$C$42/($F714-1))*$X714)))</f>
        <v>0</v>
      </c>
      <c r="K714" s="123">
        <f>IF($D714="",0,'Guide &amp; Settings'!$C$43*(IF($E714="Win",1,0)-$I714))</f>
        <v>0</v>
      </c>
      <c r="L714" s="124">
        <f>IF($D714="",0,'Guide &amp; Settings'!$C$44*IF($F714&gt;=3,$F714+IF($E714="Win",$F714,0),0))</f>
        <v>0</v>
      </c>
      <c r="M714" s="123">
        <f>IF($D714="",0,$J714+$K714+$L714)</f>
        <v>0</v>
      </c>
      <c r="N714" s="121">
        <f>IF($D714="",0,$H714+$M714)</f>
        <v>0</v>
      </c>
      <c r="O714" s="120" t="str">
        <f>IF($D714="","",IF(COUNTIFS($A$4:$A$810,$A714,$E$4:$E$810,"Win")=0,"need a winner",IF(COUNTIFS($A$4:$A$810,$A714,$E$4:$E$810,"Loss")=0,"need a loser",IF(COUNTIFS($A$4:$A$810,$A714,$D$4:$D$810,$D714)&gt;1,"duplicate player","OK"))))</f>
      </c>
      <c r="P714">
        <f>IF($D714="",0,IFERROR(SUMIFS($H$4:$H$810,$A$4:$A$810,$A714,$E$4:$E$810,"Win")/COUNTIFS($A$4:$A$810,$A714,$E$4:$E$810,"Win"),0))</f>
        <v>0</v>
      </c>
      <c r="Q714">
        <f>IF($D714="",0,1/(1+10^(($P714-$H714)/400)))</f>
        <v>0</v>
      </c>
      <c r="R714">
        <f>IF($D714="",0,(COUNTIFS($D$4:$D$810,$D714,$C$4:$C$810,$C714,$E$4:$E$810,"Win",$A$4:$A$810,"&lt;"&amp;$A714)+1)/(COUNTIFS($D$4:$D$810,$D714,$C$4:$C$810,$C714,$A$4:$A$810,"&lt;"&amp;$A714)+2))</f>
        <v>0</v>
      </c>
      <c r="S714">
        <f>IF($D714="",0,SUMIFS($R$4:$R$810,$A$4:$A$810,$A714))</f>
        <v>0</v>
      </c>
      <c r="T714" s="88">
        <f>IF($D714="",0,COUNTIFS($D$4:$D$810,$D714,$C$4:$C$810,$C714,$A$4:$A$810,"&lt;"&amp;$A714))</f>
        <v>0</v>
      </c>
      <c r="U714" s="125">
        <f>IF($D714="",0,IFERROR(LOOKUP(2,1/(($D$3:D713=$D714)*($C$3:C713=$C714)*($A$3:A713&lt;$A714)),$AB$3:AB713),1000))</f>
        <v>0</v>
      </c>
      <c r="V714" s="125">
        <f>IF($D714="",0,$U714*($T714/($T714+5))+$H714*(1-$T714/($T714+5)))</f>
        <v>0</v>
      </c>
      <c r="W714">
        <f>IF($D714="",0,IFERROR(SUMIFS($V$4:$V$810,$A$4:$A$810,$A714,$E$4:$E$810,"Win")/COUNTIFS($A$4:$A$810,$A714,$E$4:$E$810,"Win"),0))</f>
        <v>0</v>
      </c>
      <c r="X714">
        <f>IF($D714="",0,1/(1+10^(($W714-$V714)/400)))</f>
        <v>0</v>
      </c>
      <c r="Y714">
        <f>IF($D714="",0,IFERROR(SUMIFS($U$4:$U$810,$A$4:$A$810,$A714,$E$4:$E$810,"Win")/COUNTIFS($A$4:$A$810,$A714,$E$4:$E$810,"Win"),0))</f>
        <v>0</v>
      </c>
      <c r="Z714">
        <f>IF($D714="",0,1/(1+10^(($Y714-$U714)/400)))</f>
        <v>0</v>
      </c>
      <c r="AA714">
        <f>IF($D714="",0,IF($F714&lt;2,0,IF($E714="Win",('Guide &amp; Settings'!$C$42/(($F714-1)*COUNTIFS($A$4:$A$810,$A714,$E$4:$E$810,"Win")))*SUMIFS($Z$4:$Z$810,$A$4:$A$810,$A714,$E$4:$E$810,"Loss"),-('Guide &amp; Settings'!$C$42/($F714-1))*$Z714)))</f>
        <v>0</v>
      </c>
      <c r="AB714" s="125">
        <f>IF($D714="",0,$U714+$AA714)</f>
        <v>0</v>
      </c>
      <c r="AC714" s="125" t="str">
        <f>IF($D714="","",IF(SUMPRODUCT(MAX(($D$4:$D$810=$D714)*($B$4:$B$810&lt;$B714)*$B$4:$B$810))=0,0,MAX(($B714-MAX(SUMPRODUCT(MAX(($D$4:$D$810=$D714)*($B$4:$B$810&lt;$B714)*$B$4:$B$810)),'Guide &amp; Settings'!$C$50))/7-'Guide &amp; Settings'!$C$48,0)*'Guide &amp; Settings'!$C$49))</f>
      </c>
    </row>
    <row r="715" spans="1:29">
      <c r="A715" s="116"/>
      <c r="B715" s="117"/>
      <c r="C715" s="118"/>
      <c r="D715" s="118"/>
      <c r="E715" s="116"/>
      <c r="F715" s="119">
        <f>IF($D715="",0,COUNTIF($A$4:$A$810,$A715))</f>
        <v>0</v>
      </c>
      <c r="G715" s="120">
        <f>IF($D715="","",IFERROR(LOOKUP(2,1/(($A$4:$A$810=$A715)*($E$4:$E$810="Win")),$D$4:$D$810),"(no winner)"))</f>
        <v>0</v>
      </c>
      <c r="H715" s="121">
        <f>IF($D715="",0,IFERROR(LOOKUP(2,1/(($D$3:D714=$D715)*($A$3:A714&lt;$A715)),$N$3:N714),'Guide &amp; Settings'!$C$41))</f>
        <v>0</v>
      </c>
      <c r="I715" s="122">
        <f>IF($D715="",0,IF($S715=0,0,$R715/$S715))</f>
        <v>0</v>
      </c>
      <c r="J715" s="123">
        <f>IF($D715="",0,IF($F715&lt;2,0,IF($E715="Win",('Guide &amp; Settings'!$C$42/(($F715-1)*COUNTIFS($A$4:$A$810,$A715,$E$4:$E$810,"Win")))*SUMIFS($X$4:$X$810,$A$4:$A$810,$A715,$E$4:$E$810,"Loss"),-('Guide &amp; Settings'!$C$42/($F715-1))*$X715)))</f>
        <v>0</v>
      </c>
      <c r="K715" s="123">
        <f>IF($D715="",0,'Guide &amp; Settings'!$C$43*(IF($E715="Win",1,0)-$I715))</f>
        <v>0</v>
      </c>
      <c r="L715" s="124">
        <f>IF($D715="",0,'Guide &amp; Settings'!$C$44*IF($F715&gt;=3,$F715+IF($E715="Win",$F715,0),0))</f>
        <v>0</v>
      </c>
      <c r="M715" s="123">
        <f>IF($D715="",0,$J715+$K715+$L715)</f>
        <v>0</v>
      </c>
      <c r="N715" s="121">
        <f>IF($D715="",0,$H715+$M715)</f>
        <v>0</v>
      </c>
      <c r="O715" s="120" t="str">
        <f>IF($D715="","",IF(COUNTIFS($A$4:$A$810,$A715,$E$4:$E$810,"Win")=0,"need a winner",IF(COUNTIFS($A$4:$A$810,$A715,$E$4:$E$810,"Loss")=0,"need a loser",IF(COUNTIFS($A$4:$A$810,$A715,$D$4:$D$810,$D715)&gt;1,"duplicate player","OK"))))</f>
      </c>
      <c r="P715">
        <f>IF($D715="",0,IFERROR(SUMIFS($H$4:$H$810,$A$4:$A$810,$A715,$E$4:$E$810,"Win")/COUNTIFS($A$4:$A$810,$A715,$E$4:$E$810,"Win"),0))</f>
        <v>0</v>
      </c>
      <c r="Q715">
        <f>IF($D715="",0,1/(1+10^(($P715-$H715)/400)))</f>
        <v>0</v>
      </c>
      <c r="R715">
        <f>IF($D715="",0,(COUNTIFS($D$4:$D$810,$D715,$C$4:$C$810,$C715,$E$4:$E$810,"Win",$A$4:$A$810,"&lt;"&amp;$A715)+1)/(COUNTIFS($D$4:$D$810,$D715,$C$4:$C$810,$C715,$A$4:$A$810,"&lt;"&amp;$A715)+2))</f>
        <v>0</v>
      </c>
      <c r="S715">
        <f>IF($D715="",0,SUMIFS($R$4:$R$810,$A$4:$A$810,$A715))</f>
        <v>0</v>
      </c>
      <c r="T715" s="88">
        <f>IF($D715="",0,COUNTIFS($D$4:$D$810,$D715,$C$4:$C$810,$C715,$A$4:$A$810,"&lt;"&amp;$A715))</f>
        <v>0</v>
      </c>
      <c r="U715" s="125">
        <f>IF($D715="",0,IFERROR(LOOKUP(2,1/(($D$3:D714=$D715)*($C$3:C714=$C715)*($A$3:A714&lt;$A715)),$AB$3:AB714),1000))</f>
        <v>0</v>
      </c>
      <c r="V715" s="125">
        <f>IF($D715="",0,$U715*($T715/($T715+5))+$H715*(1-$T715/($T715+5)))</f>
        <v>0</v>
      </c>
      <c r="W715">
        <f>IF($D715="",0,IFERROR(SUMIFS($V$4:$V$810,$A$4:$A$810,$A715,$E$4:$E$810,"Win")/COUNTIFS($A$4:$A$810,$A715,$E$4:$E$810,"Win"),0))</f>
        <v>0</v>
      </c>
      <c r="X715">
        <f>IF($D715="",0,1/(1+10^(($W715-$V715)/400)))</f>
        <v>0</v>
      </c>
      <c r="Y715">
        <f>IF($D715="",0,IFERROR(SUMIFS($U$4:$U$810,$A$4:$A$810,$A715,$E$4:$E$810,"Win")/COUNTIFS($A$4:$A$810,$A715,$E$4:$E$810,"Win"),0))</f>
        <v>0</v>
      </c>
      <c r="Z715">
        <f>IF($D715="",0,1/(1+10^(($Y715-$U715)/400)))</f>
        <v>0</v>
      </c>
      <c r="AA715">
        <f>IF($D715="",0,IF($F715&lt;2,0,IF($E715="Win",('Guide &amp; Settings'!$C$42/(($F715-1)*COUNTIFS($A$4:$A$810,$A715,$E$4:$E$810,"Win")))*SUMIFS($Z$4:$Z$810,$A$4:$A$810,$A715,$E$4:$E$810,"Loss"),-('Guide &amp; Settings'!$C$42/($F715-1))*$Z715)))</f>
        <v>0</v>
      </c>
      <c r="AB715" s="125">
        <f>IF($D715="",0,$U715+$AA715)</f>
        <v>0</v>
      </c>
      <c r="AC715" s="125" t="str">
        <f>IF($D715="","",IF(SUMPRODUCT(MAX(($D$4:$D$810=$D715)*($B$4:$B$810&lt;$B715)*$B$4:$B$810))=0,0,MAX(($B715-MAX(SUMPRODUCT(MAX(($D$4:$D$810=$D715)*($B$4:$B$810&lt;$B715)*$B$4:$B$810)),'Guide &amp; Settings'!$C$50))/7-'Guide &amp; Settings'!$C$48,0)*'Guide &amp; Settings'!$C$49))</f>
      </c>
    </row>
    <row r="716" spans="1:29">
      <c r="A716" s="116"/>
      <c r="B716" s="117"/>
      <c r="C716" s="118"/>
      <c r="D716" s="118"/>
      <c r="E716" s="116"/>
      <c r="F716" s="119">
        <f>IF($D716="",0,COUNTIF($A$4:$A$810,$A716))</f>
        <v>0</v>
      </c>
      <c r="G716" s="120">
        <f>IF($D716="","",IFERROR(LOOKUP(2,1/(($A$4:$A$810=$A716)*($E$4:$E$810="Win")),$D$4:$D$810),"(no winner)"))</f>
        <v>0</v>
      </c>
      <c r="H716" s="121">
        <f>IF($D716="",0,IFERROR(LOOKUP(2,1/(($D$3:D715=$D716)*($A$3:A715&lt;$A716)),$N$3:N715),'Guide &amp; Settings'!$C$41))</f>
        <v>0</v>
      </c>
      <c r="I716" s="122">
        <f>IF($D716="",0,IF($S716=0,0,$R716/$S716))</f>
        <v>0</v>
      </c>
      <c r="J716" s="123">
        <f>IF($D716="",0,IF($F716&lt;2,0,IF($E716="Win",('Guide &amp; Settings'!$C$42/(($F716-1)*COUNTIFS($A$4:$A$810,$A716,$E$4:$E$810,"Win")))*SUMIFS($X$4:$X$810,$A$4:$A$810,$A716,$E$4:$E$810,"Loss"),-('Guide &amp; Settings'!$C$42/($F716-1))*$X716)))</f>
        <v>0</v>
      </c>
      <c r="K716" s="123">
        <f>IF($D716="",0,'Guide &amp; Settings'!$C$43*(IF($E716="Win",1,0)-$I716))</f>
        <v>0</v>
      </c>
      <c r="L716" s="124">
        <f>IF($D716="",0,'Guide &amp; Settings'!$C$44*IF($F716&gt;=3,$F716+IF($E716="Win",$F716,0),0))</f>
        <v>0</v>
      </c>
      <c r="M716" s="123">
        <f>IF($D716="",0,$J716+$K716+$L716)</f>
        <v>0</v>
      </c>
      <c r="N716" s="121">
        <f>IF($D716="",0,$H716+$M716)</f>
        <v>0</v>
      </c>
      <c r="O716" s="120" t="str">
        <f>IF($D716="","",IF(COUNTIFS($A$4:$A$810,$A716,$E$4:$E$810,"Win")=0,"need a winner",IF(COUNTIFS($A$4:$A$810,$A716,$E$4:$E$810,"Loss")=0,"need a loser",IF(COUNTIFS($A$4:$A$810,$A716,$D$4:$D$810,$D716)&gt;1,"duplicate player","OK"))))</f>
      </c>
      <c r="P716">
        <f>IF($D716="",0,IFERROR(SUMIFS($H$4:$H$810,$A$4:$A$810,$A716,$E$4:$E$810,"Win")/COUNTIFS($A$4:$A$810,$A716,$E$4:$E$810,"Win"),0))</f>
        <v>0</v>
      </c>
      <c r="Q716">
        <f>IF($D716="",0,1/(1+10^(($P716-$H716)/400)))</f>
        <v>0</v>
      </c>
      <c r="R716">
        <f>IF($D716="",0,(COUNTIFS($D$4:$D$810,$D716,$C$4:$C$810,$C716,$E$4:$E$810,"Win",$A$4:$A$810,"&lt;"&amp;$A716)+1)/(COUNTIFS($D$4:$D$810,$D716,$C$4:$C$810,$C716,$A$4:$A$810,"&lt;"&amp;$A716)+2))</f>
        <v>0</v>
      </c>
      <c r="S716">
        <f>IF($D716="",0,SUMIFS($R$4:$R$810,$A$4:$A$810,$A716))</f>
        <v>0</v>
      </c>
      <c r="T716" s="88">
        <f>IF($D716="",0,COUNTIFS($D$4:$D$810,$D716,$C$4:$C$810,$C716,$A$4:$A$810,"&lt;"&amp;$A716))</f>
        <v>0</v>
      </c>
      <c r="U716" s="125">
        <f>IF($D716="",0,IFERROR(LOOKUP(2,1/(($D$3:D715=$D716)*($C$3:C715=$C716)*($A$3:A715&lt;$A716)),$AB$3:AB715),1000))</f>
        <v>0</v>
      </c>
      <c r="V716" s="125">
        <f>IF($D716="",0,$U716*($T716/($T716+5))+$H716*(1-$T716/($T716+5)))</f>
        <v>0</v>
      </c>
      <c r="W716">
        <f>IF($D716="",0,IFERROR(SUMIFS($V$4:$V$810,$A$4:$A$810,$A716,$E$4:$E$810,"Win")/COUNTIFS($A$4:$A$810,$A716,$E$4:$E$810,"Win"),0))</f>
        <v>0</v>
      </c>
      <c r="X716">
        <f>IF($D716="",0,1/(1+10^(($W716-$V716)/400)))</f>
        <v>0</v>
      </c>
      <c r="Y716">
        <f>IF($D716="",0,IFERROR(SUMIFS($U$4:$U$810,$A$4:$A$810,$A716,$E$4:$E$810,"Win")/COUNTIFS($A$4:$A$810,$A716,$E$4:$E$810,"Win"),0))</f>
        <v>0</v>
      </c>
      <c r="Z716">
        <f>IF($D716="",0,1/(1+10^(($Y716-$U716)/400)))</f>
        <v>0</v>
      </c>
      <c r="AA716">
        <f>IF($D716="",0,IF($F716&lt;2,0,IF($E716="Win",('Guide &amp; Settings'!$C$42/(($F716-1)*COUNTIFS($A$4:$A$810,$A716,$E$4:$E$810,"Win")))*SUMIFS($Z$4:$Z$810,$A$4:$A$810,$A716,$E$4:$E$810,"Loss"),-('Guide &amp; Settings'!$C$42/($F716-1))*$Z716)))</f>
        <v>0</v>
      </c>
      <c r="AB716" s="125">
        <f>IF($D716="",0,$U716+$AA716)</f>
        <v>0</v>
      </c>
      <c r="AC716" s="125" t="str">
        <f>IF($D716="","",IF(SUMPRODUCT(MAX(($D$4:$D$810=$D716)*($B$4:$B$810&lt;$B716)*$B$4:$B$810))=0,0,MAX(($B716-MAX(SUMPRODUCT(MAX(($D$4:$D$810=$D716)*($B$4:$B$810&lt;$B716)*$B$4:$B$810)),'Guide &amp; Settings'!$C$50))/7-'Guide &amp; Settings'!$C$48,0)*'Guide &amp; Settings'!$C$49))</f>
      </c>
    </row>
    <row r="717" spans="1:29">
      <c r="A717" s="116"/>
      <c r="B717" s="117"/>
      <c r="C717" s="118"/>
      <c r="D717" s="118"/>
      <c r="E717" s="116"/>
      <c r="F717" s="119">
        <f>IF($D717="",0,COUNTIF($A$4:$A$810,$A717))</f>
        <v>0</v>
      </c>
      <c r="G717" s="120">
        <f>IF($D717="","",IFERROR(LOOKUP(2,1/(($A$4:$A$810=$A717)*($E$4:$E$810="Win")),$D$4:$D$810),"(no winner)"))</f>
        <v>0</v>
      </c>
      <c r="H717" s="121">
        <f>IF($D717="",0,IFERROR(LOOKUP(2,1/(($D$3:D716=$D717)*($A$3:A716&lt;$A717)),$N$3:N716),'Guide &amp; Settings'!$C$41))</f>
        <v>0</v>
      </c>
      <c r="I717" s="122">
        <f>IF($D717="",0,IF($S717=0,0,$R717/$S717))</f>
        <v>0</v>
      </c>
      <c r="J717" s="123">
        <f>IF($D717="",0,IF($F717&lt;2,0,IF($E717="Win",('Guide &amp; Settings'!$C$42/(($F717-1)*COUNTIFS($A$4:$A$810,$A717,$E$4:$E$810,"Win")))*SUMIFS($X$4:$X$810,$A$4:$A$810,$A717,$E$4:$E$810,"Loss"),-('Guide &amp; Settings'!$C$42/($F717-1))*$X717)))</f>
        <v>0</v>
      </c>
      <c r="K717" s="123">
        <f>IF($D717="",0,'Guide &amp; Settings'!$C$43*(IF($E717="Win",1,0)-$I717))</f>
        <v>0</v>
      </c>
      <c r="L717" s="124">
        <f>IF($D717="",0,'Guide &amp; Settings'!$C$44*IF($F717&gt;=3,$F717+IF($E717="Win",$F717,0),0))</f>
        <v>0</v>
      </c>
      <c r="M717" s="123">
        <f>IF($D717="",0,$J717+$K717+$L717)</f>
        <v>0</v>
      </c>
      <c r="N717" s="121">
        <f>IF($D717="",0,$H717+$M717)</f>
        <v>0</v>
      </c>
      <c r="O717" s="120" t="str">
        <f>IF($D717="","",IF(COUNTIFS($A$4:$A$810,$A717,$E$4:$E$810,"Win")=0,"need a winner",IF(COUNTIFS($A$4:$A$810,$A717,$E$4:$E$810,"Loss")=0,"need a loser",IF(COUNTIFS($A$4:$A$810,$A717,$D$4:$D$810,$D717)&gt;1,"duplicate player","OK"))))</f>
      </c>
      <c r="P717">
        <f>IF($D717="",0,IFERROR(SUMIFS($H$4:$H$810,$A$4:$A$810,$A717,$E$4:$E$810,"Win")/COUNTIFS($A$4:$A$810,$A717,$E$4:$E$810,"Win"),0))</f>
        <v>0</v>
      </c>
      <c r="Q717">
        <f>IF($D717="",0,1/(1+10^(($P717-$H717)/400)))</f>
        <v>0</v>
      </c>
      <c r="R717">
        <f>IF($D717="",0,(COUNTIFS($D$4:$D$810,$D717,$C$4:$C$810,$C717,$E$4:$E$810,"Win",$A$4:$A$810,"&lt;"&amp;$A717)+1)/(COUNTIFS($D$4:$D$810,$D717,$C$4:$C$810,$C717,$A$4:$A$810,"&lt;"&amp;$A717)+2))</f>
        <v>0</v>
      </c>
      <c r="S717">
        <f>IF($D717="",0,SUMIFS($R$4:$R$810,$A$4:$A$810,$A717))</f>
        <v>0</v>
      </c>
      <c r="T717" s="88">
        <f>IF($D717="",0,COUNTIFS($D$4:$D$810,$D717,$C$4:$C$810,$C717,$A$4:$A$810,"&lt;"&amp;$A717))</f>
        <v>0</v>
      </c>
      <c r="U717" s="125">
        <f>IF($D717="",0,IFERROR(LOOKUP(2,1/(($D$3:D716=$D717)*($C$3:C716=$C717)*($A$3:A716&lt;$A717)),$AB$3:AB716),1000))</f>
        <v>0</v>
      </c>
      <c r="V717" s="125">
        <f>IF($D717="",0,$U717*($T717/($T717+5))+$H717*(1-$T717/($T717+5)))</f>
        <v>0</v>
      </c>
      <c r="W717">
        <f>IF($D717="",0,IFERROR(SUMIFS($V$4:$V$810,$A$4:$A$810,$A717,$E$4:$E$810,"Win")/COUNTIFS($A$4:$A$810,$A717,$E$4:$E$810,"Win"),0))</f>
        <v>0</v>
      </c>
      <c r="X717">
        <f>IF($D717="",0,1/(1+10^(($W717-$V717)/400)))</f>
        <v>0</v>
      </c>
      <c r="Y717">
        <f>IF($D717="",0,IFERROR(SUMIFS($U$4:$U$810,$A$4:$A$810,$A717,$E$4:$E$810,"Win")/COUNTIFS($A$4:$A$810,$A717,$E$4:$E$810,"Win"),0))</f>
        <v>0</v>
      </c>
      <c r="Z717">
        <f>IF($D717="",0,1/(1+10^(($Y717-$U717)/400)))</f>
        <v>0</v>
      </c>
      <c r="AA717">
        <f>IF($D717="",0,IF($F717&lt;2,0,IF($E717="Win",('Guide &amp; Settings'!$C$42/(($F717-1)*COUNTIFS($A$4:$A$810,$A717,$E$4:$E$810,"Win")))*SUMIFS($Z$4:$Z$810,$A$4:$A$810,$A717,$E$4:$E$810,"Loss"),-('Guide &amp; Settings'!$C$42/($F717-1))*$Z717)))</f>
        <v>0</v>
      </c>
      <c r="AB717" s="125">
        <f>IF($D717="",0,$U717+$AA717)</f>
        <v>0</v>
      </c>
      <c r="AC717" s="125" t="str">
        <f>IF($D717="","",IF(SUMPRODUCT(MAX(($D$4:$D$810=$D717)*($B$4:$B$810&lt;$B717)*$B$4:$B$810))=0,0,MAX(($B717-MAX(SUMPRODUCT(MAX(($D$4:$D$810=$D717)*($B$4:$B$810&lt;$B717)*$B$4:$B$810)),'Guide &amp; Settings'!$C$50))/7-'Guide &amp; Settings'!$C$48,0)*'Guide &amp; Settings'!$C$49))</f>
      </c>
    </row>
    <row r="718" spans="1:29">
      <c r="A718" s="116"/>
      <c r="B718" s="117"/>
      <c r="C718" s="118"/>
      <c r="D718" s="118"/>
      <c r="E718" s="116"/>
      <c r="F718" s="119">
        <f>IF($D718="",0,COUNTIF($A$4:$A$810,$A718))</f>
        <v>0</v>
      </c>
      <c r="G718" s="120">
        <f>IF($D718="","",IFERROR(LOOKUP(2,1/(($A$4:$A$810=$A718)*($E$4:$E$810="Win")),$D$4:$D$810),"(no winner)"))</f>
        <v>0</v>
      </c>
      <c r="H718" s="121">
        <f>IF($D718="",0,IFERROR(LOOKUP(2,1/(($D$3:D717=$D718)*($A$3:A717&lt;$A718)),$N$3:N717),'Guide &amp; Settings'!$C$41))</f>
        <v>0</v>
      </c>
      <c r="I718" s="122">
        <f>IF($D718="",0,IF($S718=0,0,$R718/$S718))</f>
        <v>0</v>
      </c>
      <c r="J718" s="123">
        <f>IF($D718="",0,IF($F718&lt;2,0,IF($E718="Win",('Guide &amp; Settings'!$C$42/(($F718-1)*COUNTIFS($A$4:$A$810,$A718,$E$4:$E$810,"Win")))*SUMIFS($X$4:$X$810,$A$4:$A$810,$A718,$E$4:$E$810,"Loss"),-('Guide &amp; Settings'!$C$42/($F718-1))*$X718)))</f>
        <v>0</v>
      </c>
      <c r="K718" s="123">
        <f>IF($D718="",0,'Guide &amp; Settings'!$C$43*(IF($E718="Win",1,0)-$I718))</f>
        <v>0</v>
      </c>
      <c r="L718" s="124">
        <f>IF($D718="",0,'Guide &amp; Settings'!$C$44*IF($F718&gt;=3,$F718+IF($E718="Win",$F718,0),0))</f>
        <v>0</v>
      </c>
      <c r="M718" s="123">
        <f>IF($D718="",0,$J718+$K718+$L718)</f>
        <v>0</v>
      </c>
      <c r="N718" s="121">
        <f>IF($D718="",0,$H718+$M718)</f>
        <v>0</v>
      </c>
      <c r="O718" s="120" t="str">
        <f>IF($D718="","",IF(COUNTIFS($A$4:$A$810,$A718,$E$4:$E$810,"Win")=0,"need a winner",IF(COUNTIFS($A$4:$A$810,$A718,$E$4:$E$810,"Loss")=0,"need a loser",IF(COUNTIFS($A$4:$A$810,$A718,$D$4:$D$810,$D718)&gt;1,"duplicate player","OK"))))</f>
      </c>
      <c r="P718">
        <f>IF($D718="",0,IFERROR(SUMIFS($H$4:$H$810,$A$4:$A$810,$A718,$E$4:$E$810,"Win")/COUNTIFS($A$4:$A$810,$A718,$E$4:$E$810,"Win"),0))</f>
        <v>0</v>
      </c>
      <c r="Q718">
        <f>IF($D718="",0,1/(1+10^(($P718-$H718)/400)))</f>
        <v>0</v>
      </c>
      <c r="R718">
        <f>IF($D718="",0,(COUNTIFS($D$4:$D$810,$D718,$C$4:$C$810,$C718,$E$4:$E$810,"Win",$A$4:$A$810,"&lt;"&amp;$A718)+1)/(COUNTIFS($D$4:$D$810,$D718,$C$4:$C$810,$C718,$A$4:$A$810,"&lt;"&amp;$A718)+2))</f>
        <v>0</v>
      </c>
      <c r="S718">
        <f>IF($D718="",0,SUMIFS($R$4:$R$810,$A$4:$A$810,$A718))</f>
        <v>0</v>
      </c>
      <c r="T718" s="88">
        <f>IF($D718="",0,COUNTIFS($D$4:$D$810,$D718,$C$4:$C$810,$C718,$A$4:$A$810,"&lt;"&amp;$A718))</f>
        <v>0</v>
      </c>
      <c r="U718" s="125">
        <f>IF($D718="",0,IFERROR(LOOKUP(2,1/(($D$3:D717=$D718)*($C$3:C717=$C718)*($A$3:A717&lt;$A718)),$AB$3:AB717),1000))</f>
        <v>0</v>
      </c>
      <c r="V718" s="125">
        <f>IF($D718="",0,$U718*($T718/($T718+5))+$H718*(1-$T718/($T718+5)))</f>
        <v>0</v>
      </c>
      <c r="W718">
        <f>IF($D718="",0,IFERROR(SUMIFS($V$4:$V$810,$A$4:$A$810,$A718,$E$4:$E$810,"Win")/COUNTIFS($A$4:$A$810,$A718,$E$4:$E$810,"Win"),0))</f>
        <v>0</v>
      </c>
      <c r="X718">
        <f>IF($D718="",0,1/(1+10^(($W718-$V718)/400)))</f>
        <v>0</v>
      </c>
      <c r="Y718">
        <f>IF($D718="",0,IFERROR(SUMIFS($U$4:$U$810,$A$4:$A$810,$A718,$E$4:$E$810,"Win")/COUNTIFS($A$4:$A$810,$A718,$E$4:$E$810,"Win"),0))</f>
        <v>0</v>
      </c>
      <c r="Z718">
        <f>IF($D718="",0,1/(1+10^(($Y718-$U718)/400)))</f>
        <v>0</v>
      </c>
      <c r="AA718">
        <f>IF($D718="",0,IF($F718&lt;2,0,IF($E718="Win",('Guide &amp; Settings'!$C$42/(($F718-1)*COUNTIFS($A$4:$A$810,$A718,$E$4:$E$810,"Win")))*SUMIFS($Z$4:$Z$810,$A$4:$A$810,$A718,$E$4:$E$810,"Loss"),-('Guide &amp; Settings'!$C$42/($F718-1))*$Z718)))</f>
        <v>0</v>
      </c>
      <c r="AB718" s="125">
        <f>IF($D718="",0,$U718+$AA718)</f>
        <v>0</v>
      </c>
      <c r="AC718" s="125" t="str">
        <f>IF($D718="","",IF(SUMPRODUCT(MAX(($D$4:$D$810=$D718)*($B$4:$B$810&lt;$B718)*$B$4:$B$810))=0,0,MAX(($B718-MAX(SUMPRODUCT(MAX(($D$4:$D$810=$D718)*($B$4:$B$810&lt;$B718)*$B$4:$B$810)),'Guide &amp; Settings'!$C$50))/7-'Guide &amp; Settings'!$C$48,0)*'Guide &amp; Settings'!$C$49))</f>
      </c>
    </row>
    <row r="719" spans="1:29">
      <c r="A719" s="116"/>
      <c r="B719" s="117"/>
      <c r="C719" s="118"/>
      <c r="D719" s="118"/>
      <c r="E719" s="116"/>
      <c r="F719" s="119">
        <f>IF($D719="",0,COUNTIF($A$4:$A$810,$A719))</f>
        <v>0</v>
      </c>
      <c r="G719" s="120">
        <f>IF($D719="","",IFERROR(LOOKUP(2,1/(($A$4:$A$810=$A719)*($E$4:$E$810="Win")),$D$4:$D$810),"(no winner)"))</f>
        <v>0</v>
      </c>
      <c r="H719" s="121">
        <f>IF($D719="",0,IFERROR(LOOKUP(2,1/(($D$3:D718=$D719)*($A$3:A718&lt;$A719)),$N$3:N718),'Guide &amp; Settings'!$C$41))</f>
        <v>0</v>
      </c>
      <c r="I719" s="122">
        <f>IF($D719="",0,IF($S719=0,0,$R719/$S719))</f>
        <v>0</v>
      </c>
      <c r="J719" s="123">
        <f>IF($D719="",0,IF($F719&lt;2,0,IF($E719="Win",('Guide &amp; Settings'!$C$42/(($F719-1)*COUNTIFS($A$4:$A$810,$A719,$E$4:$E$810,"Win")))*SUMIFS($X$4:$X$810,$A$4:$A$810,$A719,$E$4:$E$810,"Loss"),-('Guide &amp; Settings'!$C$42/($F719-1))*$X719)))</f>
        <v>0</v>
      </c>
      <c r="K719" s="123">
        <f>IF($D719="",0,'Guide &amp; Settings'!$C$43*(IF($E719="Win",1,0)-$I719))</f>
        <v>0</v>
      </c>
      <c r="L719" s="124">
        <f>IF($D719="",0,'Guide &amp; Settings'!$C$44*IF($F719&gt;=3,$F719+IF($E719="Win",$F719,0),0))</f>
        <v>0</v>
      </c>
      <c r="M719" s="123">
        <f>IF($D719="",0,$J719+$K719+$L719)</f>
        <v>0</v>
      </c>
      <c r="N719" s="121">
        <f>IF($D719="",0,$H719+$M719)</f>
        <v>0</v>
      </c>
      <c r="O719" s="120" t="str">
        <f>IF($D719="","",IF(COUNTIFS($A$4:$A$810,$A719,$E$4:$E$810,"Win")=0,"need a winner",IF(COUNTIFS($A$4:$A$810,$A719,$E$4:$E$810,"Loss")=0,"need a loser",IF(COUNTIFS($A$4:$A$810,$A719,$D$4:$D$810,$D719)&gt;1,"duplicate player","OK"))))</f>
      </c>
      <c r="P719">
        <f>IF($D719="",0,IFERROR(SUMIFS($H$4:$H$810,$A$4:$A$810,$A719,$E$4:$E$810,"Win")/COUNTIFS($A$4:$A$810,$A719,$E$4:$E$810,"Win"),0))</f>
        <v>0</v>
      </c>
      <c r="Q719">
        <f>IF($D719="",0,1/(1+10^(($P719-$H719)/400)))</f>
        <v>0</v>
      </c>
      <c r="R719">
        <f>IF($D719="",0,(COUNTIFS($D$4:$D$810,$D719,$C$4:$C$810,$C719,$E$4:$E$810,"Win",$A$4:$A$810,"&lt;"&amp;$A719)+1)/(COUNTIFS($D$4:$D$810,$D719,$C$4:$C$810,$C719,$A$4:$A$810,"&lt;"&amp;$A719)+2))</f>
        <v>0</v>
      </c>
      <c r="S719">
        <f>IF($D719="",0,SUMIFS($R$4:$R$810,$A$4:$A$810,$A719))</f>
        <v>0</v>
      </c>
      <c r="T719" s="88">
        <f>IF($D719="",0,COUNTIFS($D$4:$D$810,$D719,$C$4:$C$810,$C719,$A$4:$A$810,"&lt;"&amp;$A719))</f>
        <v>0</v>
      </c>
      <c r="U719" s="125">
        <f>IF($D719="",0,IFERROR(LOOKUP(2,1/(($D$3:D718=$D719)*($C$3:C718=$C719)*($A$3:A718&lt;$A719)),$AB$3:AB718),1000))</f>
        <v>0</v>
      </c>
      <c r="V719" s="125">
        <f>IF($D719="",0,$U719*($T719/($T719+5))+$H719*(1-$T719/($T719+5)))</f>
        <v>0</v>
      </c>
      <c r="W719">
        <f>IF($D719="",0,IFERROR(SUMIFS($V$4:$V$810,$A$4:$A$810,$A719,$E$4:$E$810,"Win")/COUNTIFS($A$4:$A$810,$A719,$E$4:$E$810,"Win"),0))</f>
        <v>0</v>
      </c>
      <c r="X719">
        <f>IF($D719="",0,1/(1+10^(($W719-$V719)/400)))</f>
        <v>0</v>
      </c>
      <c r="Y719">
        <f>IF($D719="",0,IFERROR(SUMIFS($U$4:$U$810,$A$4:$A$810,$A719,$E$4:$E$810,"Win")/COUNTIFS($A$4:$A$810,$A719,$E$4:$E$810,"Win"),0))</f>
        <v>0</v>
      </c>
      <c r="Z719">
        <f>IF($D719="",0,1/(1+10^(($Y719-$U719)/400)))</f>
        <v>0</v>
      </c>
      <c r="AA719">
        <f>IF($D719="",0,IF($F719&lt;2,0,IF($E719="Win",('Guide &amp; Settings'!$C$42/(($F719-1)*COUNTIFS($A$4:$A$810,$A719,$E$4:$E$810,"Win")))*SUMIFS($Z$4:$Z$810,$A$4:$A$810,$A719,$E$4:$E$810,"Loss"),-('Guide &amp; Settings'!$C$42/($F719-1))*$Z719)))</f>
        <v>0</v>
      </c>
      <c r="AB719" s="125">
        <f>IF($D719="",0,$U719+$AA719)</f>
        <v>0</v>
      </c>
      <c r="AC719" s="125" t="str">
        <f>IF($D719="","",IF(SUMPRODUCT(MAX(($D$4:$D$810=$D719)*($B$4:$B$810&lt;$B719)*$B$4:$B$810))=0,0,MAX(($B719-MAX(SUMPRODUCT(MAX(($D$4:$D$810=$D719)*($B$4:$B$810&lt;$B719)*$B$4:$B$810)),'Guide &amp; Settings'!$C$50))/7-'Guide &amp; Settings'!$C$48,0)*'Guide &amp; Settings'!$C$49))</f>
      </c>
    </row>
    <row r="720" spans="1:29">
      <c r="A720" s="116"/>
      <c r="B720" s="117"/>
      <c r="C720" s="118"/>
      <c r="D720" s="118"/>
      <c r="E720" s="116"/>
      <c r="F720" s="119">
        <f>IF($D720="",0,COUNTIF($A$4:$A$810,$A720))</f>
        <v>0</v>
      </c>
      <c r="G720" s="120">
        <f>IF($D720="","",IFERROR(LOOKUP(2,1/(($A$4:$A$810=$A720)*($E$4:$E$810="Win")),$D$4:$D$810),"(no winner)"))</f>
        <v>0</v>
      </c>
      <c r="H720" s="121">
        <f>IF($D720="",0,IFERROR(LOOKUP(2,1/(($D$3:D719=$D720)*($A$3:A719&lt;$A720)),$N$3:N719),'Guide &amp; Settings'!$C$41))</f>
        <v>0</v>
      </c>
      <c r="I720" s="122">
        <f>IF($D720="",0,IF($S720=0,0,$R720/$S720))</f>
        <v>0</v>
      </c>
      <c r="J720" s="123">
        <f>IF($D720="",0,IF($F720&lt;2,0,IF($E720="Win",('Guide &amp; Settings'!$C$42/(($F720-1)*COUNTIFS($A$4:$A$810,$A720,$E$4:$E$810,"Win")))*SUMIFS($X$4:$X$810,$A$4:$A$810,$A720,$E$4:$E$810,"Loss"),-('Guide &amp; Settings'!$C$42/($F720-1))*$X720)))</f>
        <v>0</v>
      </c>
      <c r="K720" s="123">
        <f>IF($D720="",0,'Guide &amp; Settings'!$C$43*(IF($E720="Win",1,0)-$I720))</f>
        <v>0</v>
      </c>
      <c r="L720" s="124">
        <f>IF($D720="",0,'Guide &amp; Settings'!$C$44*IF($F720&gt;=3,$F720+IF($E720="Win",$F720,0),0))</f>
        <v>0</v>
      </c>
      <c r="M720" s="123">
        <f>IF($D720="",0,$J720+$K720+$L720)</f>
        <v>0</v>
      </c>
      <c r="N720" s="121">
        <f>IF($D720="",0,$H720+$M720)</f>
        <v>0</v>
      </c>
      <c r="O720" s="120" t="str">
        <f>IF($D720="","",IF(COUNTIFS($A$4:$A$810,$A720,$E$4:$E$810,"Win")=0,"need a winner",IF(COUNTIFS($A$4:$A$810,$A720,$E$4:$E$810,"Loss")=0,"need a loser",IF(COUNTIFS($A$4:$A$810,$A720,$D$4:$D$810,$D720)&gt;1,"duplicate player","OK"))))</f>
      </c>
      <c r="P720">
        <f>IF($D720="",0,IFERROR(SUMIFS($H$4:$H$810,$A$4:$A$810,$A720,$E$4:$E$810,"Win")/COUNTIFS($A$4:$A$810,$A720,$E$4:$E$810,"Win"),0))</f>
        <v>0</v>
      </c>
      <c r="Q720">
        <f>IF($D720="",0,1/(1+10^(($P720-$H720)/400)))</f>
        <v>0</v>
      </c>
      <c r="R720">
        <f>IF($D720="",0,(COUNTIFS($D$4:$D$810,$D720,$C$4:$C$810,$C720,$E$4:$E$810,"Win",$A$4:$A$810,"&lt;"&amp;$A720)+1)/(COUNTIFS($D$4:$D$810,$D720,$C$4:$C$810,$C720,$A$4:$A$810,"&lt;"&amp;$A720)+2))</f>
        <v>0</v>
      </c>
      <c r="S720">
        <f>IF($D720="",0,SUMIFS($R$4:$R$810,$A$4:$A$810,$A720))</f>
        <v>0</v>
      </c>
      <c r="T720" s="88">
        <f>IF($D720="",0,COUNTIFS($D$4:$D$810,$D720,$C$4:$C$810,$C720,$A$4:$A$810,"&lt;"&amp;$A720))</f>
        <v>0</v>
      </c>
      <c r="U720" s="125">
        <f>IF($D720="",0,IFERROR(LOOKUP(2,1/(($D$3:D719=$D720)*($C$3:C719=$C720)*($A$3:A719&lt;$A720)),$AB$3:AB719),1000))</f>
        <v>0</v>
      </c>
      <c r="V720" s="125">
        <f>IF($D720="",0,$U720*($T720/($T720+5))+$H720*(1-$T720/($T720+5)))</f>
        <v>0</v>
      </c>
      <c r="W720">
        <f>IF($D720="",0,IFERROR(SUMIFS($V$4:$V$810,$A$4:$A$810,$A720,$E$4:$E$810,"Win")/COUNTIFS($A$4:$A$810,$A720,$E$4:$E$810,"Win"),0))</f>
        <v>0</v>
      </c>
      <c r="X720">
        <f>IF($D720="",0,1/(1+10^(($W720-$V720)/400)))</f>
        <v>0</v>
      </c>
      <c r="Y720">
        <f>IF($D720="",0,IFERROR(SUMIFS($U$4:$U$810,$A$4:$A$810,$A720,$E$4:$E$810,"Win")/COUNTIFS($A$4:$A$810,$A720,$E$4:$E$810,"Win"),0))</f>
        <v>0</v>
      </c>
      <c r="Z720">
        <f>IF($D720="",0,1/(1+10^(($Y720-$U720)/400)))</f>
        <v>0</v>
      </c>
      <c r="AA720">
        <f>IF($D720="",0,IF($F720&lt;2,0,IF($E720="Win",('Guide &amp; Settings'!$C$42/(($F720-1)*COUNTIFS($A$4:$A$810,$A720,$E$4:$E$810,"Win")))*SUMIFS($Z$4:$Z$810,$A$4:$A$810,$A720,$E$4:$E$810,"Loss"),-('Guide &amp; Settings'!$C$42/($F720-1))*$Z720)))</f>
        <v>0</v>
      </c>
      <c r="AB720" s="125">
        <f>IF($D720="",0,$U720+$AA720)</f>
        <v>0</v>
      </c>
      <c r="AC720" s="125" t="str">
        <f>IF($D720="","",IF(SUMPRODUCT(MAX(($D$4:$D$810=$D720)*($B$4:$B$810&lt;$B720)*$B$4:$B$810))=0,0,MAX(($B720-MAX(SUMPRODUCT(MAX(($D$4:$D$810=$D720)*($B$4:$B$810&lt;$B720)*$B$4:$B$810)),'Guide &amp; Settings'!$C$50))/7-'Guide &amp; Settings'!$C$48,0)*'Guide &amp; Settings'!$C$49))</f>
      </c>
    </row>
    <row r="721" spans="1:29">
      <c r="A721" s="116"/>
      <c r="B721" s="117"/>
      <c r="C721" s="118"/>
      <c r="D721" s="118"/>
      <c r="E721" s="116"/>
      <c r="F721" s="119">
        <f>IF($D721="",0,COUNTIF($A$4:$A$810,$A721))</f>
        <v>0</v>
      </c>
      <c r="G721" s="120">
        <f>IF($D721="","",IFERROR(LOOKUP(2,1/(($A$4:$A$810=$A721)*($E$4:$E$810="Win")),$D$4:$D$810),"(no winner)"))</f>
        <v>0</v>
      </c>
      <c r="H721" s="121">
        <f>IF($D721="",0,IFERROR(LOOKUP(2,1/(($D$3:D720=$D721)*($A$3:A720&lt;$A721)),$N$3:N720),'Guide &amp; Settings'!$C$41))</f>
        <v>0</v>
      </c>
      <c r="I721" s="122">
        <f>IF($D721="",0,IF($S721=0,0,$R721/$S721))</f>
        <v>0</v>
      </c>
      <c r="J721" s="123">
        <f>IF($D721="",0,IF($F721&lt;2,0,IF($E721="Win",('Guide &amp; Settings'!$C$42/(($F721-1)*COUNTIFS($A$4:$A$810,$A721,$E$4:$E$810,"Win")))*SUMIFS($X$4:$X$810,$A$4:$A$810,$A721,$E$4:$E$810,"Loss"),-('Guide &amp; Settings'!$C$42/($F721-1))*$X721)))</f>
        <v>0</v>
      </c>
      <c r="K721" s="123">
        <f>IF($D721="",0,'Guide &amp; Settings'!$C$43*(IF($E721="Win",1,0)-$I721))</f>
        <v>0</v>
      </c>
      <c r="L721" s="124">
        <f>IF($D721="",0,'Guide &amp; Settings'!$C$44*IF($F721&gt;=3,$F721+IF($E721="Win",$F721,0),0))</f>
        <v>0</v>
      </c>
      <c r="M721" s="123">
        <f>IF($D721="",0,$J721+$K721+$L721)</f>
        <v>0</v>
      </c>
      <c r="N721" s="121">
        <f>IF($D721="",0,$H721+$M721)</f>
        <v>0</v>
      </c>
      <c r="O721" s="120" t="str">
        <f>IF($D721="","",IF(COUNTIFS($A$4:$A$810,$A721,$E$4:$E$810,"Win")=0,"need a winner",IF(COUNTIFS($A$4:$A$810,$A721,$E$4:$E$810,"Loss")=0,"need a loser",IF(COUNTIFS($A$4:$A$810,$A721,$D$4:$D$810,$D721)&gt;1,"duplicate player","OK"))))</f>
      </c>
      <c r="P721">
        <f>IF($D721="",0,IFERROR(SUMIFS($H$4:$H$810,$A$4:$A$810,$A721,$E$4:$E$810,"Win")/COUNTIFS($A$4:$A$810,$A721,$E$4:$E$810,"Win"),0))</f>
        <v>0</v>
      </c>
      <c r="Q721">
        <f>IF($D721="",0,1/(1+10^(($P721-$H721)/400)))</f>
        <v>0</v>
      </c>
      <c r="R721">
        <f>IF($D721="",0,(COUNTIFS($D$4:$D$810,$D721,$C$4:$C$810,$C721,$E$4:$E$810,"Win",$A$4:$A$810,"&lt;"&amp;$A721)+1)/(COUNTIFS($D$4:$D$810,$D721,$C$4:$C$810,$C721,$A$4:$A$810,"&lt;"&amp;$A721)+2))</f>
        <v>0</v>
      </c>
      <c r="S721">
        <f>IF($D721="",0,SUMIFS($R$4:$R$810,$A$4:$A$810,$A721))</f>
        <v>0</v>
      </c>
      <c r="T721" s="88">
        <f>IF($D721="",0,COUNTIFS($D$4:$D$810,$D721,$C$4:$C$810,$C721,$A$4:$A$810,"&lt;"&amp;$A721))</f>
        <v>0</v>
      </c>
      <c r="U721" s="125">
        <f>IF($D721="",0,IFERROR(LOOKUP(2,1/(($D$3:D720=$D721)*($C$3:C720=$C721)*($A$3:A720&lt;$A721)),$AB$3:AB720),1000))</f>
        <v>0</v>
      </c>
      <c r="V721" s="125">
        <f>IF($D721="",0,$U721*($T721/($T721+5))+$H721*(1-$T721/($T721+5)))</f>
        <v>0</v>
      </c>
      <c r="W721">
        <f>IF($D721="",0,IFERROR(SUMIFS($V$4:$V$810,$A$4:$A$810,$A721,$E$4:$E$810,"Win")/COUNTIFS($A$4:$A$810,$A721,$E$4:$E$810,"Win"),0))</f>
        <v>0</v>
      </c>
      <c r="X721">
        <f>IF($D721="",0,1/(1+10^(($W721-$V721)/400)))</f>
        <v>0</v>
      </c>
      <c r="Y721">
        <f>IF($D721="",0,IFERROR(SUMIFS($U$4:$U$810,$A$4:$A$810,$A721,$E$4:$E$810,"Win")/COUNTIFS($A$4:$A$810,$A721,$E$4:$E$810,"Win"),0))</f>
        <v>0</v>
      </c>
      <c r="Z721">
        <f>IF($D721="",0,1/(1+10^(($Y721-$U721)/400)))</f>
        <v>0</v>
      </c>
      <c r="AA721">
        <f>IF($D721="",0,IF($F721&lt;2,0,IF($E721="Win",('Guide &amp; Settings'!$C$42/(($F721-1)*COUNTIFS($A$4:$A$810,$A721,$E$4:$E$810,"Win")))*SUMIFS($Z$4:$Z$810,$A$4:$A$810,$A721,$E$4:$E$810,"Loss"),-('Guide &amp; Settings'!$C$42/($F721-1))*$Z721)))</f>
        <v>0</v>
      </c>
      <c r="AB721" s="125">
        <f>IF($D721="",0,$U721+$AA721)</f>
        <v>0</v>
      </c>
      <c r="AC721" s="125" t="str">
        <f>IF($D721="","",IF(SUMPRODUCT(MAX(($D$4:$D$810=$D721)*($B$4:$B$810&lt;$B721)*$B$4:$B$810))=0,0,MAX(($B721-MAX(SUMPRODUCT(MAX(($D$4:$D$810=$D721)*($B$4:$B$810&lt;$B721)*$B$4:$B$810)),'Guide &amp; Settings'!$C$50))/7-'Guide &amp; Settings'!$C$48,0)*'Guide &amp; Settings'!$C$49))</f>
      </c>
    </row>
    <row r="722" spans="1:29">
      <c r="A722" s="116"/>
      <c r="B722" s="117"/>
      <c r="C722" s="118"/>
      <c r="D722" s="118"/>
      <c r="E722" s="116"/>
      <c r="F722" s="119">
        <f>IF($D722="",0,COUNTIF($A$4:$A$810,$A722))</f>
        <v>0</v>
      </c>
      <c r="G722" s="120">
        <f>IF($D722="","",IFERROR(LOOKUP(2,1/(($A$4:$A$810=$A722)*($E$4:$E$810="Win")),$D$4:$D$810),"(no winner)"))</f>
        <v>0</v>
      </c>
      <c r="H722" s="121">
        <f>IF($D722="",0,IFERROR(LOOKUP(2,1/(($D$3:D721=$D722)*($A$3:A721&lt;$A722)),$N$3:N721),'Guide &amp; Settings'!$C$41))</f>
        <v>0</v>
      </c>
      <c r="I722" s="122">
        <f>IF($D722="",0,IF($S722=0,0,$R722/$S722))</f>
        <v>0</v>
      </c>
      <c r="J722" s="123">
        <f>IF($D722="",0,IF($F722&lt;2,0,IF($E722="Win",('Guide &amp; Settings'!$C$42/(($F722-1)*COUNTIFS($A$4:$A$810,$A722,$E$4:$E$810,"Win")))*SUMIFS($X$4:$X$810,$A$4:$A$810,$A722,$E$4:$E$810,"Loss"),-('Guide &amp; Settings'!$C$42/($F722-1))*$X722)))</f>
        <v>0</v>
      </c>
      <c r="K722" s="123">
        <f>IF($D722="",0,'Guide &amp; Settings'!$C$43*(IF($E722="Win",1,0)-$I722))</f>
        <v>0</v>
      </c>
      <c r="L722" s="124">
        <f>IF($D722="",0,'Guide &amp; Settings'!$C$44*IF($F722&gt;=3,$F722+IF($E722="Win",$F722,0),0))</f>
        <v>0</v>
      </c>
      <c r="M722" s="123">
        <f>IF($D722="",0,$J722+$K722+$L722)</f>
        <v>0</v>
      </c>
      <c r="N722" s="121">
        <f>IF($D722="",0,$H722+$M722)</f>
        <v>0</v>
      </c>
      <c r="O722" s="120" t="str">
        <f>IF($D722="","",IF(COUNTIFS($A$4:$A$810,$A722,$E$4:$E$810,"Win")=0,"need a winner",IF(COUNTIFS($A$4:$A$810,$A722,$E$4:$E$810,"Loss")=0,"need a loser",IF(COUNTIFS($A$4:$A$810,$A722,$D$4:$D$810,$D722)&gt;1,"duplicate player","OK"))))</f>
      </c>
      <c r="P722">
        <f>IF($D722="",0,IFERROR(SUMIFS($H$4:$H$810,$A$4:$A$810,$A722,$E$4:$E$810,"Win")/COUNTIFS($A$4:$A$810,$A722,$E$4:$E$810,"Win"),0))</f>
        <v>0</v>
      </c>
      <c r="Q722">
        <f>IF($D722="",0,1/(1+10^(($P722-$H722)/400)))</f>
        <v>0</v>
      </c>
      <c r="R722">
        <f>IF($D722="",0,(COUNTIFS($D$4:$D$810,$D722,$C$4:$C$810,$C722,$E$4:$E$810,"Win",$A$4:$A$810,"&lt;"&amp;$A722)+1)/(COUNTIFS($D$4:$D$810,$D722,$C$4:$C$810,$C722,$A$4:$A$810,"&lt;"&amp;$A722)+2))</f>
        <v>0</v>
      </c>
      <c r="S722">
        <f>IF($D722="",0,SUMIFS($R$4:$R$810,$A$4:$A$810,$A722))</f>
        <v>0</v>
      </c>
      <c r="T722" s="88">
        <f>IF($D722="",0,COUNTIFS($D$4:$D$810,$D722,$C$4:$C$810,$C722,$A$4:$A$810,"&lt;"&amp;$A722))</f>
        <v>0</v>
      </c>
      <c r="U722" s="125">
        <f>IF($D722="",0,IFERROR(LOOKUP(2,1/(($D$3:D721=$D722)*($C$3:C721=$C722)*($A$3:A721&lt;$A722)),$AB$3:AB721),1000))</f>
        <v>0</v>
      </c>
      <c r="V722" s="125">
        <f>IF($D722="",0,$U722*($T722/($T722+5))+$H722*(1-$T722/($T722+5)))</f>
        <v>0</v>
      </c>
      <c r="W722">
        <f>IF($D722="",0,IFERROR(SUMIFS($V$4:$V$810,$A$4:$A$810,$A722,$E$4:$E$810,"Win")/COUNTIFS($A$4:$A$810,$A722,$E$4:$E$810,"Win"),0))</f>
        <v>0</v>
      </c>
      <c r="X722">
        <f>IF($D722="",0,1/(1+10^(($W722-$V722)/400)))</f>
        <v>0</v>
      </c>
      <c r="Y722">
        <f>IF($D722="",0,IFERROR(SUMIFS($U$4:$U$810,$A$4:$A$810,$A722,$E$4:$E$810,"Win")/COUNTIFS($A$4:$A$810,$A722,$E$4:$E$810,"Win"),0))</f>
        <v>0</v>
      </c>
      <c r="Z722">
        <f>IF($D722="",0,1/(1+10^(($Y722-$U722)/400)))</f>
        <v>0</v>
      </c>
      <c r="AA722">
        <f>IF($D722="",0,IF($F722&lt;2,0,IF($E722="Win",('Guide &amp; Settings'!$C$42/(($F722-1)*COUNTIFS($A$4:$A$810,$A722,$E$4:$E$810,"Win")))*SUMIFS($Z$4:$Z$810,$A$4:$A$810,$A722,$E$4:$E$810,"Loss"),-('Guide &amp; Settings'!$C$42/($F722-1))*$Z722)))</f>
        <v>0</v>
      </c>
      <c r="AB722" s="125">
        <f>IF($D722="",0,$U722+$AA722)</f>
        <v>0</v>
      </c>
      <c r="AC722" s="125" t="str">
        <f>IF($D722="","",IF(SUMPRODUCT(MAX(($D$4:$D$810=$D722)*($B$4:$B$810&lt;$B722)*$B$4:$B$810))=0,0,MAX(($B722-MAX(SUMPRODUCT(MAX(($D$4:$D$810=$D722)*($B$4:$B$810&lt;$B722)*$B$4:$B$810)),'Guide &amp; Settings'!$C$50))/7-'Guide &amp; Settings'!$C$48,0)*'Guide &amp; Settings'!$C$49))</f>
      </c>
    </row>
    <row r="723" spans="1:29">
      <c r="A723" s="116"/>
      <c r="B723" s="117"/>
      <c r="C723" s="118"/>
      <c r="D723" s="118"/>
      <c r="E723" s="116"/>
      <c r="F723" s="119">
        <f>IF($D723="",0,COUNTIF($A$4:$A$810,$A723))</f>
        <v>0</v>
      </c>
      <c r="G723" s="120">
        <f>IF($D723="","",IFERROR(LOOKUP(2,1/(($A$4:$A$810=$A723)*($E$4:$E$810="Win")),$D$4:$D$810),"(no winner)"))</f>
        <v>0</v>
      </c>
      <c r="H723" s="121">
        <f>IF($D723="",0,IFERROR(LOOKUP(2,1/(($D$3:D722=$D723)*($A$3:A722&lt;$A723)),$N$3:N722),'Guide &amp; Settings'!$C$41))</f>
        <v>0</v>
      </c>
      <c r="I723" s="122">
        <f>IF($D723="",0,IF($S723=0,0,$R723/$S723))</f>
        <v>0</v>
      </c>
      <c r="J723" s="123">
        <f>IF($D723="",0,IF($F723&lt;2,0,IF($E723="Win",('Guide &amp; Settings'!$C$42/(($F723-1)*COUNTIFS($A$4:$A$810,$A723,$E$4:$E$810,"Win")))*SUMIFS($X$4:$X$810,$A$4:$A$810,$A723,$E$4:$E$810,"Loss"),-('Guide &amp; Settings'!$C$42/($F723-1))*$X723)))</f>
        <v>0</v>
      </c>
      <c r="K723" s="123">
        <f>IF($D723="",0,'Guide &amp; Settings'!$C$43*(IF($E723="Win",1,0)-$I723))</f>
        <v>0</v>
      </c>
      <c r="L723" s="124">
        <f>IF($D723="",0,'Guide &amp; Settings'!$C$44*IF($F723&gt;=3,$F723+IF($E723="Win",$F723,0),0))</f>
        <v>0</v>
      </c>
      <c r="M723" s="123">
        <f>IF($D723="",0,$J723+$K723+$L723)</f>
        <v>0</v>
      </c>
      <c r="N723" s="121">
        <f>IF($D723="",0,$H723+$M723)</f>
        <v>0</v>
      </c>
      <c r="O723" s="120" t="str">
        <f>IF($D723="","",IF(COUNTIFS($A$4:$A$810,$A723,$E$4:$E$810,"Win")=0,"need a winner",IF(COUNTIFS($A$4:$A$810,$A723,$E$4:$E$810,"Loss")=0,"need a loser",IF(COUNTIFS($A$4:$A$810,$A723,$D$4:$D$810,$D723)&gt;1,"duplicate player","OK"))))</f>
      </c>
      <c r="P723">
        <f>IF($D723="",0,IFERROR(SUMIFS($H$4:$H$810,$A$4:$A$810,$A723,$E$4:$E$810,"Win")/COUNTIFS($A$4:$A$810,$A723,$E$4:$E$810,"Win"),0))</f>
        <v>0</v>
      </c>
      <c r="Q723">
        <f>IF($D723="",0,1/(1+10^(($P723-$H723)/400)))</f>
        <v>0</v>
      </c>
      <c r="R723">
        <f>IF($D723="",0,(COUNTIFS($D$4:$D$810,$D723,$C$4:$C$810,$C723,$E$4:$E$810,"Win",$A$4:$A$810,"&lt;"&amp;$A723)+1)/(COUNTIFS($D$4:$D$810,$D723,$C$4:$C$810,$C723,$A$4:$A$810,"&lt;"&amp;$A723)+2))</f>
        <v>0</v>
      </c>
      <c r="S723">
        <f>IF($D723="",0,SUMIFS($R$4:$R$810,$A$4:$A$810,$A723))</f>
        <v>0</v>
      </c>
      <c r="T723" s="88">
        <f>IF($D723="",0,COUNTIFS($D$4:$D$810,$D723,$C$4:$C$810,$C723,$A$4:$A$810,"&lt;"&amp;$A723))</f>
        <v>0</v>
      </c>
      <c r="U723" s="125">
        <f>IF($D723="",0,IFERROR(LOOKUP(2,1/(($D$3:D722=$D723)*($C$3:C722=$C723)*($A$3:A722&lt;$A723)),$AB$3:AB722),1000))</f>
        <v>0</v>
      </c>
      <c r="V723" s="125">
        <f>IF($D723="",0,$U723*($T723/($T723+5))+$H723*(1-$T723/($T723+5)))</f>
        <v>0</v>
      </c>
      <c r="W723">
        <f>IF($D723="",0,IFERROR(SUMIFS($V$4:$V$810,$A$4:$A$810,$A723,$E$4:$E$810,"Win")/COUNTIFS($A$4:$A$810,$A723,$E$4:$E$810,"Win"),0))</f>
        <v>0</v>
      </c>
      <c r="X723">
        <f>IF($D723="",0,1/(1+10^(($W723-$V723)/400)))</f>
        <v>0</v>
      </c>
      <c r="Y723">
        <f>IF($D723="",0,IFERROR(SUMIFS($U$4:$U$810,$A$4:$A$810,$A723,$E$4:$E$810,"Win")/COUNTIFS($A$4:$A$810,$A723,$E$4:$E$810,"Win"),0))</f>
        <v>0</v>
      </c>
      <c r="Z723">
        <f>IF($D723="",0,1/(1+10^(($Y723-$U723)/400)))</f>
        <v>0</v>
      </c>
      <c r="AA723">
        <f>IF($D723="",0,IF($F723&lt;2,0,IF($E723="Win",('Guide &amp; Settings'!$C$42/(($F723-1)*COUNTIFS($A$4:$A$810,$A723,$E$4:$E$810,"Win")))*SUMIFS($Z$4:$Z$810,$A$4:$A$810,$A723,$E$4:$E$810,"Loss"),-('Guide &amp; Settings'!$C$42/($F723-1))*$Z723)))</f>
        <v>0</v>
      </c>
      <c r="AB723" s="125">
        <f>IF($D723="",0,$U723+$AA723)</f>
        <v>0</v>
      </c>
      <c r="AC723" s="125" t="str">
        <f>IF($D723="","",IF(SUMPRODUCT(MAX(($D$4:$D$810=$D723)*($B$4:$B$810&lt;$B723)*$B$4:$B$810))=0,0,MAX(($B723-MAX(SUMPRODUCT(MAX(($D$4:$D$810=$D723)*($B$4:$B$810&lt;$B723)*$B$4:$B$810)),'Guide &amp; Settings'!$C$50))/7-'Guide &amp; Settings'!$C$48,0)*'Guide &amp; Settings'!$C$49))</f>
      </c>
    </row>
    <row r="724" spans="1:29">
      <c r="A724" s="116"/>
      <c r="B724" s="117"/>
      <c r="C724" s="118"/>
      <c r="D724" s="118"/>
      <c r="E724" s="116"/>
      <c r="F724" s="119">
        <f>IF($D724="",0,COUNTIF($A$4:$A$810,$A724))</f>
        <v>0</v>
      </c>
      <c r="G724" s="120">
        <f>IF($D724="","",IFERROR(LOOKUP(2,1/(($A$4:$A$810=$A724)*($E$4:$E$810="Win")),$D$4:$D$810),"(no winner)"))</f>
        <v>0</v>
      </c>
      <c r="H724" s="121">
        <f>IF($D724="",0,IFERROR(LOOKUP(2,1/(($D$3:D723=$D724)*($A$3:A723&lt;$A724)),$N$3:N723),'Guide &amp; Settings'!$C$41))</f>
        <v>0</v>
      </c>
      <c r="I724" s="122">
        <f>IF($D724="",0,IF($S724=0,0,$R724/$S724))</f>
        <v>0</v>
      </c>
      <c r="J724" s="123">
        <f>IF($D724="",0,IF($F724&lt;2,0,IF($E724="Win",('Guide &amp; Settings'!$C$42/(($F724-1)*COUNTIFS($A$4:$A$810,$A724,$E$4:$E$810,"Win")))*SUMIFS($X$4:$X$810,$A$4:$A$810,$A724,$E$4:$E$810,"Loss"),-('Guide &amp; Settings'!$C$42/($F724-1))*$X724)))</f>
        <v>0</v>
      </c>
      <c r="K724" s="123">
        <f>IF($D724="",0,'Guide &amp; Settings'!$C$43*(IF($E724="Win",1,0)-$I724))</f>
        <v>0</v>
      </c>
      <c r="L724" s="124">
        <f>IF($D724="",0,'Guide &amp; Settings'!$C$44*IF($F724&gt;=3,$F724+IF($E724="Win",$F724,0),0))</f>
        <v>0</v>
      </c>
      <c r="M724" s="123">
        <f>IF($D724="",0,$J724+$K724+$L724)</f>
        <v>0</v>
      </c>
      <c r="N724" s="121">
        <f>IF($D724="",0,$H724+$M724)</f>
        <v>0</v>
      </c>
      <c r="O724" s="120" t="str">
        <f>IF($D724="","",IF(COUNTIFS($A$4:$A$810,$A724,$E$4:$E$810,"Win")=0,"need a winner",IF(COUNTIFS($A$4:$A$810,$A724,$E$4:$E$810,"Loss")=0,"need a loser",IF(COUNTIFS($A$4:$A$810,$A724,$D$4:$D$810,$D724)&gt;1,"duplicate player","OK"))))</f>
      </c>
      <c r="P724">
        <f>IF($D724="",0,IFERROR(SUMIFS($H$4:$H$810,$A$4:$A$810,$A724,$E$4:$E$810,"Win")/COUNTIFS($A$4:$A$810,$A724,$E$4:$E$810,"Win"),0))</f>
        <v>0</v>
      </c>
      <c r="Q724">
        <f>IF($D724="",0,1/(1+10^(($P724-$H724)/400)))</f>
        <v>0</v>
      </c>
      <c r="R724">
        <f>IF($D724="",0,(COUNTIFS($D$4:$D$810,$D724,$C$4:$C$810,$C724,$E$4:$E$810,"Win",$A$4:$A$810,"&lt;"&amp;$A724)+1)/(COUNTIFS($D$4:$D$810,$D724,$C$4:$C$810,$C724,$A$4:$A$810,"&lt;"&amp;$A724)+2))</f>
        <v>0</v>
      </c>
      <c r="S724">
        <f>IF($D724="",0,SUMIFS($R$4:$R$810,$A$4:$A$810,$A724))</f>
        <v>0</v>
      </c>
      <c r="T724" s="88">
        <f>IF($D724="",0,COUNTIFS($D$4:$D$810,$D724,$C$4:$C$810,$C724,$A$4:$A$810,"&lt;"&amp;$A724))</f>
        <v>0</v>
      </c>
      <c r="U724" s="125">
        <f>IF($D724="",0,IFERROR(LOOKUP(2,1/(($D$3:D723=$D724)*($C$3:C723=$C724)*($A$3:A723&lt;$A724)),$AB$3:AB723),1000))</f>
        <v>0</v>
      </c>
      <c r="V724" s="125">
        <f>IF($D724="",0,$U724*($T724/($T724+5))+$H724*(1-$T724/($T724+5)))</f>
        <v>0</v>
      </c>
      <c r="W724">
        <f>IF($D724="",0,IFERROR(SUMIFS($V$4:$V$810,$A$4:$A$810,$A724,$E$4:$E$810,"Win")/COUNTIFS($A$4:$A$810,$A724,$E$4:$E$810,"Win"),0))</f>
        <v>0</v>
      </c>
      <c r="X724">
        <f>IF($D724="",0,1/(1+10^(($W724-$V724)/400)))</f>
        <v>0</v>
      </c>
      <c r="Y724">
        <f>IF($D724="",0,IFERROR(SUMIFS($U$4:$U$810,$A$4:$A$810,$A724,$E$4:$E$810,"Win")/COUNTIFS($A$4:$A$810,$A724,$E$4:$E$810,"Win"),0))</f>
        <v>0</v>
      </c>
      <c r="Z724">
        <f>IF($D724="",0,1/(1+10^(($Y724-$U724)/400)))</f>
        <v>0</v>
      </c>
      <c r="AA724">
        <f>IF($D724="",0,IF($F724&lt;2,0,IF($E724="Win",('Guide &amp; Settings'!$C$42/(($F724-1)*COUNTIFS($A$4:$A$810,$A724,$E$4:$E$810,"Win")))*SUMIFS($Z$4:$Z$810,$A$4:$A$810,$A724,$E$4:$E$810,"Loss"),-('Guide &amp; Settings'!$C$42/($F724-1))*$Z724)))</f>
        <v>0</v>
      </c>
      <c r="AB724" s="125">
        <f>IF($D724="",0,$U724+$AA724)</f>
        <v>0</v>
      </c>
      <c r="AC724" s="125" t="str">
        <f>IF($D724="","",IF(SUMPRODUCT(MAX(($D$4:$D$810=$D724)*($B$4:$B$810&lt;$B724)*$B$4:$B$810))=0,0,MAX(($B724-MAX(SUMPRODUCT(MAX(($D$4:$D$810=$D724)*($B$4:$B$810&lt;$B724)*$B$4:$B$810)),'Guide &amp; Settings'!$C$50))/7-'Guide &amp; Settings'!$C$48,0)*'Guide &amp; Settings'!$C$49))</f>
      </c>
    </row>
    <row r="725" spans="1:29">
      <c r="A725" s="116"/>
      <c r="B725" s="117"/>
      <c r="C725" s="118"/>
      <c r="D725" s="118"/>
      <c r="E725" s="116"/>
      <c r="F725" s="119">
        <f>IF($D725="",0,COUNTIF($A$4:$A$810,$A725))</f>
        <v>0</v>
      </c>
      <c r="G725" s="120">
        <f>IF($D725="","",IFERROR(LOOKUP(2,1/(($A$4:$A$810=$A725)*($E$4:$E$810="Win")),$D$4:$D$810),"(no winner)"))</f>
        <v>0</v>
      </c>
      <c r="H725" s="121">
        <f>IF($D725="",0,IFERROR(LOOKUP(2,1/(($D$3:D724=$D725)*($A$3:A724&lt;$A725)),$N$3:N724),'Guide &amp; Settings'!$C$41))</f>
        <v>0</v>
      </c>
      <c r="I725" s="122">
        <f>IF($D725="",0,IF($S725=0,0,$R725/$S725))</f>
        <v>0</v>
      </c>
      <c r="J725" s="123">
        <f>IF($D725="",0,IF($F725&lt;2,0,IF($E725="Win",('Guide &amp; Settings'!$C$42/(($F725-1)*COUNTIFS($A$4:$A$810,$A725,$E$4:$E$810,"Win")))*SUMIFS($X$4:$X$810,$A$4:$A$810,$A725,$E$4:$E$810,"Loss"),-('Guide &amp; Settings'!$C$42/($F725-1))*$X725)))</f>
        <v>0</v>
      </c>
      <c r="K725" s="123">
        <f>IF($D725="",0,'Guide &amp; Settings'!$C$43*(IF($E725="Win",1,0)-$I725))</f>
        <v>0</v>
      </c>
      <c r="L725" s="124">
        <f>IF($D725="",0,'Guide &amp; Settings'!$C$44*IF($F725&gt;=3,$F725+IF($E725="Win",$F725,0),0))</f>
        <v>0</v>
      </c>
      <c r="M725" s="123">
        <f>IF($D725="",0,$J725+$K725+$L725)</f>
        <v>0</v>
      </c>
      <c r="N725" s="121">
        <f>IF($D725="",0,$H725+$M725)</f>
        <v>0</v>
      </c>
      <c r="O725" s="120" t="str">
        <f>IF($D725="","",IF(COUNTIFS($A$4:$A$810,$A725,$E$4:$E$810,"Win")=0,"need a winner",IF(COUNTIFS($A$4:$A$810,$A725,$E$4:$E$810,"Loss")=0,"need a loser",IF(COUNTIFS($A$4:$A$810,$A725,$D$4:$D$810,$D725)&gt;1,"duplicate player","OK"))))</f>
      </c>
      <c r="P725">
        <f>IF($D725="",0,IFERROR(SUMIFS($H$4:$H$810,$A$4:$A$810,$A725,$E$4:$E$810,"Win")/COUNTIFS($A$4:$A$810,$A725,$E$4:$E$810,"Win"),0))</f>
        <v>0</v>
      </c>
      <c r="Q725">
        <f>IF($D725="",0,1/(1+10^(($P725-$H725)/400)))</f>
        <v>0</v>
      </c>
      <c r="R725">
        <f>IF($D725="",0,(COUNTIFS($D$4:$D$810,$D725,$C$4:$C$810,$C725,$E$4:$E$810,"Win",$A$4:$A$810,"&lt;"&amp;$A725)+1)/(COUNTIFS($D$4:$D$810,$D725,$C$4:$C$810,$C725,$A$4:$A$810,"&lt;"&amp;$A725)+2))</f>
        <v>0</v>
      </c>
      <c r="S725">
        <f>IF($D725="",0,SUMIFS($R$4:$R$810,$A$4:$A$810,$A725))</f>
        <v>0</v>
      </c>
      <c r="T725" s="88">
        <f>IF($D725="",0,COUNTIFS($D$4:$D$810,$D725,$C$4:$C$810,$C725,$A$4:$A$810,"&lt;"&amp;$A725))</f>
        <v>0</v>
      </c>
      <c r="U725" s="125">
        <f>IF($D725="",0,IFERROR(LOOKUP(2,1/(($D$3:D724=$D725)*($C$3:C724=$C725)*($A$3:A724&lt;$A725)),$AB$3:AB724),1000))</f>
        <v>0</v>
      </c>
      <c r="V725" s="125">
        <f>IF($D725="",0,$U725*($T725/($T725+5))+$H725*(1-$T725/($T725+5)))</f>
        <v>0</v>
      </c>
      <c r="W725">
        <f>IF($D725="",0,IFERROR(SUMIFS($V$4:$V$810,$A$4:$A$810,$A725,$E$4:$E$810,"Win")/COUNTIFS($A$4:$A$810,$A725,$E$4:$E$810,"Win"),0))</f>
        <v>0</v>
      </c>
      <c r="X725">
        <f>IF($D725="",0,1/(1+10^(($W725-$V725)/400)))</f>
        <v>0</v>
      </c>
      <c r="Y725">
        <f>IF($D725="",0,IFERROR(SUMIFS($U$4:$U$810,$A$4:$A$810,$A725,$E$4:$E$810,"Win")/COUNTIFS($A$4:$A$810,$A725,$E$4:$E$810,"Win"),0))</f>
        <v>0</v>
      </c>
      <c r="Z725">
        <f>IF($D725="",0,1/(1+10^(($Y725-$U725)/400)))</f>
        <v>0</v>
      </c>
      <c r="AA725">
        <f>IF($D725="",0,IF($F725&lt;2,0,IF($E725="Win",('Guide &amp; Settings'!$C$42/(($F725-1)*COUNTIFS($A$4:$A$810,$A725,$E$4:$E$810,"Win")))*SUMIFS($Z$4:$Z$810,$A$4:$A$810,$A725,$E$4:$E$810,"Loss"),-('Guide &amp; Settings'!$C$42/($F725-1))*$Z725)))</f>
        <v>0</v>
      </c>
      <c r="AB725" s="125">
        <f>IF($D725="",0,$U725+$AA725)</f>
        <v>0</v>
      </c>
      <c r="AC725" s="125" t="str">
        <f>IF($D725="","",IF(SUMPRODUCT(MAX(($D$4:$D$810=$D725)*($B$4:$B$810&lt;$B725)*$B$4:$B$810))=0,0,MAX(($B725-MAX(SUMPRODUCT(MAX(($D$4:$D$810=$D725)*($B$4:$B$810&lt;$B725)*$B$4:$B$810)),'Guide &amp; Settings'!$C$50))/7-'Guide &amp; Settings'!$C$48,0)*'Guide &amp; Settings'!$C$49))</f>
      </c>
    </row>
    <row r="726" spans="1:29">
      <c r="A726" s="116"/>
      <c r="B726" s="117"/>
      <c r="C726" s="118"/>
      <c r="D726" s="118"/>
      <c r="E726" s="116"/>
      <c r="F726" s="119">
        <f>IF($D726="",0,COUNTIF($A$4:$A$810,$A726))</f>
        <v>0</v>
      </c>
      <c r="G726" s="120">
        <f>IF($D726="","",IFERROR(LOOKUP(2,1/(($A$4:$A$810=$A726)*($E$4:$E$810="Win")),$D$4:$D$810),"(no winner)"))</f>
        <v>0</v>
      </c>
      <c r="H726" s="121">
        <f>IF($D726="",0,IFERROR(LOOKUP(2,1/(($D$3:D725=$D726)*($A$3:A725&lt;$A726)),$N$3:N725),'Guide &amp; Settings'!$C$41))</f>
        <v>0</v>
      </c>
      <c r="I726" s="122">
        <f>IF($D726="",0,IF($S726=0,0,$R726/$S726))</f>
        <v>0</v>
      </c>
      <c r="J726" s="123">
        <f>IF($D726="",0,IF($F726&lt;2,0,IF($E726="Win",('Guide &amp; Settings'!$C$42/(($F726-1)*COUNTIFS($A$4:$A$810,$A726,$E$4:$E$810,"Win")))*SUMIFS($X$4:$X$810,$A$4:$A$810,$A726,$E$4:$E$810,"Loss"),-('Guide &amp; Settings'!$C$42/($F726-1))*$X726)))</f>
        <v>0</v>
      </c>
      <c r="K726" s="123">
        <f>IF($D726="",0,'Guide &amp; Settings'!$C$43*(IF($E726="Win",1,0)-$I726))</f>
        <v>0</v>
      </c>
      <c r="L726" s="124">
        <f>IF($D726="",0,'Guide &amp; Settings'!$C$44*IF($F726&gt;=3,$F726+IF($E726="Win",$F726,0),0))</f>
        <v>0</v>
      </c>
      <c r="M726" s="123">
        <f>IF($D726="",0,$J726+$K726+$L726)</f>
        <v>0</v>
      </c>
      <c r="N726" s="121">
        <f>IF($D726="",0,$H726+$M726)</f>
        <v>0</v>
      </c>
      <c r="O726" s="120" t="str">
        <f>IF($D726="","",IF(COUNTIFS($A$4:$A$810,$A726,$E$4:$E$810,"Win")=0,"need a winner",IF(COUNTIFS($A$4:$A$810,$A726,$E$4:$E$810,"Loss")=0,"need a loser",IF(COUNTIFS($A$4:$A$810,$A726,$D$4:$D$810,$D726)&gt;1,"duplicate player","OK"))))</f>
      </c>
      <c r="P726">
        <f>IF($D726="",0,IFERROR(SUMIFS($H$4:$H$810,$A$4:$A$810,$A726,$E$4:$E$810,"Win")/COUNTIFS($A$4:$A$810,$A726,$E$4:$E$810,"Win"),0))</f>
        <v>0</v>
      </c>
      <c r="Q726">
        <f>IF($D726="",0,1/(1+10^(($P726-$H726)/400)))</f>
        <v>0</v>
      </c>
      <c r="R726">
        <f>IF($D726="",0,(COUNTIFS($D$4:$D$810,$D726,$C$4:$C$810,$C726,$E$4:$E$810,"Win",$A$4:$A$810,"&lt;"&amp;$A726)+1)/(COUNTIFS($D$4:$D$810,$D726,$C$4:$C$810,$C726,$A$4:$A$810,"&lt;"&amp;$A726)+2))</f>
        <v>0</v>
      </c>
      <c r="S726">
        <f>IF($D726="",0,SUMIFS($R$4:$R$810,$A$4:$A$810,$A726))</f>
        <v>0</v>
      </c>
      <c r="T726" s="88">
        <f>IF($D726="",0,COUNTIFS($D$4:$D$810,$D726,$C$4:$C$810,$C726,$A$4:$A$810,"&lt;"&amp;$A726))</f>
        <v>0</v>
      </c>
      <c r="U726" s="125">
        <f>IF($D726="",0,IFERROR(LOOKUP(2,1/(($D$3:D725=$D726)*($C$3:C725=$C726)*($A$3:A725&lt;$A726)),$AB$3:AB725),1000))</f>
        <v>0</v>
      </c>
      <c r="V726" s="125">
        <f>IF($D726="",0,$U726*($T726/($T726+5))+$H726*(1-$T726/($T726+5)))</f>
        <v>0</v>
      </c>
      <c r="W726">
        <f>IF($D726="",0,IFERROR(SUMIFS($V$4:$V$810,$A$4:$A$810,$A726,$E$4:$E$810,"Win")/COUNTIFS($A$4:$A$810,$A726,$E$4:$E$810,"Win"),0))</f>
        <v>0</v>
      </c>
      <c r="X726">
        <f>IF($D726="",0,1/(1+10^(($W726-$V726)/400)))</f>
        <v>0</v>
      </c>
      <c r="Y726">
        <f>IF($D726="",0,IFERROR(SUMIFS($U$4:$U$810,$A$4:$A$810,$A726,$E$4:$E$810,"Win")/COUNTIFS($A$4:$A$810,$A726,$E$4:$E$810,"Win"),0))</f>
        <v>0</v>
      </c>
      <c r="Z726">
        <f>IF($D726="",0,1/(1+10^(($Y726-$U726)/400)))</f>
        <v>0</v>
      </c>
      <c r="AA726">
        <f>IF($D726="",0,IF($F726&lt;2,0,IF($E726="Win",('Guide &amp; Settings'!$C$42/(($F726-1)*COUNTIFS($A$4:$A$810,$A726,$E$4:$E$810,"Win")))*SUMIFS($Z$4:$Z$810,$A$4:$A$810,$A726,$E$4:$E$810,"Loss"),-('Guide &amp; Settings'!$C$42/($F726-1))*$Z726)))</f>
        <v>0</v>
      </c>
      <c r="AB726" s="125">
        <f>IF($D726="",0,$U726+$AA726)</f>
        <v>0</v>
      </c>
      <c r="AC726" s="125" t="str">
        <f>IF($D726="","",IF(SUMPRODUCT(MAX(($D$4:$D$810=$D726)*($B$4:$B$810&lt;$B726)*$B$4:$B$810))=0,0,MAX(($B726-MAX(SUMPRODUCT(MAX(($D$4:$D$810=$D726)*($B$4:$B$810&lt;$B726)*$B$4:$B$810)),'Guide &amp; Settings'!$C$50))/7-'Guide &amp; Settings'!$C$48,0)*'Guide &amp; Settings'!$C$49))</f>
      </c>
    </row>
    <row r="727" spans="1:29">
      <c r="A727" s="116"/>
      <c r="B727" s="117"/>
      <c r="C727" s="118"/>
      <c r="D727" s="118"/>
      <c r="E727" s="116"/>
      <c r="F727" s="119">
        <f>IF($D727="",0,COUNTIF($A$4:$A$810,$A727))</f>
        <v>0</v>
      </c>
      <c r="G727" s="120">
        <f>IF($D727="","",IFERROR(LOOKUP(2,1/(($A$4:$A$810=$A727)*($E$4:$E$810="Win")),$D$4:$D$810),"(no winner)"))</f>
        <v>0</v>
      </c>
      <c r="H727" s="121">
        <f>IF($D727="",0,IFERROR(LOOKUP(2,1/(($D$3:D726=$D727)*($A$3:A726&lt;$A727)),$N$3:N726),'Guide &amp; Settings'!$C$41))</f>
        <v>0</v>
      </c>
      <c r="I727" s="122">
        <f>IF($D727="",0,IF($S727=0,0,$R727/$S727))</f>
        <v>0</v>
      </c>
      <c r="J727" s="123">
        <f>IF($D727="",0,IF($F727&lt;2,0,IF($E727="Win",('Guide &amp; Settings'!$C$42/(($F727-1)*COUNTIFS($A$4:$A$810,$A727,$E$4:$E$810,"Win")))*SUMIFS($X$4:$X$810,$A$4:$A$810,$A727,$E$4:$E$810,"Loss"),-('Guide &amp; Settings'!$C$42/($F727-1))*$X727)))</f>
        <v>0</v>
      </c>
      <c r="K727" s="123">
        <f>IF($D727="",0,'Guide &amp; Settings'!$C$43*(IF($E727="Win",1,0)-$I727))</f>
        <v>0</v>
      </c>
      <c r="L727" s="124">
        <f>IF($D727="",0,'Guide &amp; Settings'!$C$44*IF($F727&gt;=3,$F727+IF($E727="Win",$F727,0),0))</f>
        <v>0</v>
      </c>
      <c r="M727" s="123">
        <f>IF($D727="",0,$J727+$K727+$L727)</f>
        <v>0</v>
      </c>
      <c r="N727" s="121">
        <f>IF($D727="",0,$H727+$M727)</f>
        <v>0</v>
      </c>
      <c r="O727" s="120" t="str">
        <f>IF($D727="","",IF(COUNTIFS($A$4:$A$810,$A727,$E$4:$E$810,"Win")=0,"need a winner",IF(COUNTIFS($A$4:$A$810,$A727,$E$4:$E$810,"Loss")=0,"need a loser",IF(COUNTIFS($A$4:$A$810,$A727,$D$4:$D$810,$D727)&gt;1,"duplicate player","OK"))))</f>
      </c>
      <c r="P727">
        <f>IF($D727="",0,IFERROR(SUMIFS($H$4:$H$810,$A$4:$A$810,$A727,$E$4:$E$810,"Win")/COUNTIFS($A$4:$A$810,$A727,$E$4:$E$810,"Win"),0))</f>
        <v>0</v>
      </c>
      <c r="Q727">
        <f>IF($D727="",0,1/(1+10^(($P727-$H727)/400)))</f>
        <v>0</v>
      </c>
      <c r="R727">
        <f>IF($D727="",0,(COUNTIFS($D$4:$D$810,$D727,$C$4:$C$810,$C727,$E$4:$E$810,"Win",$A$4:$A$810,"&lt;"&amp;$A727)+1)/(COUNTIFS($D$4:$D$810,$D727,$C$4:$C$810,$C727,$A$4:$A$810,"&lt;"&amp;$A727)+2))</f>
        <v>0</v>
      </c>
      <c r="S727">
        <f>IF($D727="",0,SUMIFS($R$4:$R$810,$A$4:$A$810,$A727))</f>
        <v>0</v>
      </c>
      <c r="T727" s="88">
        <f>IF($D727="",0,COUNTIFS($D$4:$D$810,$D727,$C$4:$C$810,$C727,$A$4:$A$810,"&lt;"&amp;$A727))</f>
        <v>0</v>
      </c>
      <c r="U727" s="125">
        <f>IF($D727="",0,IFERROR(LOOKUP(2,1/(($D$3:D726=$D727)*($C$3:C726=$C727)*($A$3:A726&lt;$A727)),$AB$3:AB726),1000))</f>
        <v>0</v>
      </c>
      <c r="V727" s="125">
        <f>IF($D727="",0,$U727*($T727/($T727+5))+$H727*(1-$T727/($T727+5)))</f>
        <v>0</v>
      </c>
      <c r="W727">
        <f>IF($D727="",0,IFERROR(SUMIFS($V$4:$V$810,$A$4:$A$810,$A727,$E$4:$E$810,"Win")/COUNTIFS($A$4:$A$810,$A727,$E$4:$E$810,"Win"),0))</f>
        <v>0</v>
      </c>
      <c r="X727">
        <f>IF($D727="",0,1/(1+10^(($W727-$V727)/400)))</f>
        <v>0</v>
      </c>
      <c r="Y727">
        <f>IF($D727="",0,IFERROR(SUMIFS($U$4:$U$810,$A$4:$A$810,$A727,$E$4:$E$810,"Win")/COUNTIFS($A$4:$A$810,$A727,$E$4:$E$810,"Win"),0))</f>
        <v>0</v>
      </c>
      <c r="Z727">
        <f>IF($D727="",0,1/(1+10^(($Y727-$U727)/400)))</f>
        <v>0</v>
      </c>
      <c r="AA727">
        <f>IF($D727="",0,IF($F727&lt;2,0,IF($E727="Win",('Guide &amp; Settings'!$C$42/(($F727-1)*COUNTIFS($A$4:$A$810,$A727,$E$4:$E$810,"Win")))*SUMIFS($Z$4:$Z$810,$A$4:$A$810,$A727,$E$4:$E$810,"Loss"),-('Guide &amp; Settings'!$C$42/($F727-1))*$Z727)))</f>
        <v>0</v>
      </c>
      <c r="AB727" s="125">
        <f>IF($D727="",0,$U727+$AA727)</f>
        <v>0</v>
      </c>
      <c r="AC727" s="125" t="str">
        <f>IF($D727="","",IF(SUMPRODUCT(MAX(($D$4:$D$810=$D727)*($B$4:$B$810&lt;$B727)*$B$4:$B$810))=0,0,MAX(($B727-MAX(SUMPRODUCT(MAX(($D$4:$D$810=$D727)*($B$4:$B$810&lt;$B727)*$B$4:$B$810)),'Guide &amp; Settings'!$C$50))/7-'Guide &amp; Settings'!$C$48,0)*'Guide &amp; Settings'!$C$49))</f>
      </c>
    </row>
    <row r="728" spans="1:29">
      <c r="A728" s="116"/>
      <c r="B728" s="117"/>
      <c r="C728" s="118"/>
      <c r="D728" s="118"/>
      <c r="E728" s="116"/>
      <c r="F728" s="119">
        <f>IF($D728="",0,COUNTIF($A$4:$A$810,$A728))</f>
        <v>0</v>
      </c>
      <c r="G728" s="120">
        <f>IF($D728="","",IFERROR(LOOKUP(2,1/(($A$4:$A$810=$A728)*($E$4:$E$810="Win")),$D$4:$D$810),"(no winner)"))</f>
        <v>0</v>
      </c>
      <c r="H728" s="121">
        <f>IF($D728="",0,IFERROR(LOOKUP(2,1/(($D$3:D727=$D728)*($A$3:A727&lt;$A728)),$N$3:N727),'Guide &amp; Settings'!$C$41))</f>
        <v>0</v>
      </c>
      <c r="I728" s="122">
        <f>IF($D728="",0,IF($S728=0,0,$R728/$S728))</f>
        <v>0</v>
      </c>
      <c r="J728" s="123">
        <f>IF($D728="",0,IF($F728&lt;2,0,IF($E728="Win",('Guide &amp; Settings'!$C$42/(($F728-1)*COUNTIFS($A$4:$A$810,$A728,$E$4:$E$810,"Win")))*SUMIFS($X$4:$X$810,$A$4:$A$810,$A728,$E$4:$E$810,"Loss"),-('Guide &amp; Settings'!$C$42/($F728-1))*$X728)))</f>
        <v>0</v>
      </c>
      <c r="K728" s="123">
        <f>IF($D728="",0,'Guide &amp; Settings'!$C$43*(IF($E728="Win",1,0)-$I728))</f>
        <v>0</v>
      </c>
      <c r="L728" s="124">
        <f>IF($D728="",0,'Guide &amp; Settings'!$C$44*IF($F728&gt;=3,$F728+IF($E728="Win",$F728,0),0))</f>
        <v>0</v>
      </c>
      <c r="M728" s="123">
        <f>IF($D728="",0,$J728+$K728+$L728)</f>
        <v>0</v>
      </c>
      <c r="N728" s="121">
        <f>IF($D728="",0,$H728+$M728)</f>
        <v>0</v>
      </c>
      <c r="O728" s="120" t="str">
        <f>IF($D728="","",IF(COUNTIFS($A$4:$A$810,$A728,$E$4:$E$810,"Win")=0,"need a winner",IF(COUNTIFS($A$4:$A$810,$A728,$E$4:$E$810,"Loss")=0,"need a loser",IF(COUNTIFS($A$4:$A$810,$A728,$D$4:$D$810,$D728)&gt;1,"duplicate player","OK"))))</f>
      </c>
      <c r="P728">
        <f>IF($D728="",0,IFERROR(SUMIFS($H$4:$H$810,$A$4:$A$810,$A728,$E$4:$E$810,"Win")/COUNTIFS($A$4:$A$810,$A728,$E$4:$E$810,"Win"),0))</f>
        <v>0</v>
      </c>
      <c r="Q728">
        <f>IF($D728="",0,1/(1+10^(($P728-$H728)/400)))</f>
        <v>0</v>
      </c>
      <c r="R728">
        <f>IF($D728="",0,(COUNTIFS($D$4:$D$810,$D728,$C$4:$C$810,$C728,$E$4:$E$810,"Win",$A$4:$A$810,"&lt;"&amp;$A728)+1)/(COUNTIFS($D$4:$D$810,$D728,$C$4:$C$810,$C728,$A$4:$A$810,"&lt;"&amp;$A728)+2))</f>
        <v>0</v>
      </c>
      <c r="S728">
        <f>IF($D728="",0,SUMIFS($R$4:$R$810,$A$4:$A$810,$A728))</f>
        <v>0</v>
      </c>
      <c r="T728" s="88">
        <f>IF($D728="",0,COUNTIFS($D$4:$D$810,$D728,$C$4:$C$810,$C728,$A$4:$A$810,"&lt;"&amp;$A728))</f>
        <v>0</v>
      </c>
      <c r="U728" s="125">
        <f>IF($D728="",0,IFERROR(LOOKUP(2,1/(($D$3:D727=$D728)*($C$3:C727=$C728)*($A$3:A727&lt;$A728)),$AB$3:AB727),1000))</f>
        <v>0</v>
      </c>
      <c r="V728" s="125">
        <f>IF($D728="",0,$U728*($T728/($T728+5))+$H728*(1-$T728/($T728+5)))</f>
        <v>0</v>
      </c>
      <c r="W728">
        <f>IF($D728="",0,IFERROR(SUMIFS($V$4:$V$810,$A$4:$A$810,$A728,$E$4:$E$810,"Win")/COUNTIFS($A$4:$A$810,$A728,$E$4:$E$810,"Win"),0))</f>
        <v>0</v>
      </c>
      <c r="X728">
        <f>IF($D728="",0,1/(1+10^(($W728-$V728)/400)))</f>
        <v>0</v>
      </c>
      <c r="Y728">
        <f>IF($D728="",0,IFERROR(SUMIFS($U$4:$U$810,$A$4:$A$810,$A728,$E$4:$E$810,"Win")/COUNTIFS($A$4:$A$810,$A728,$E$4:$E$810,"Win"),0))</f>
        <v>0</v>
      </c>
      <c r="Z728">
        <f>IF($D728="",0,1/(1+10^(($Y728-$U728)/400)))</f>
        <v>0</v>
      </c>
      <c r="AA728">
        <f>IF($D728="",0,IF($F728&lt;2,0,IF($E728="Win",('Guide &amp; Settings'!$C$42/(($F728-1)*COUNTIFS($A$4:$A$810,$A728,$E$4:$E$810,"Win")))*SUMIFS($Z$4:$Z$810,$A$4:$A$810,$A728,$E$4:$E$810,"Loss"),-('Guide &amp; Settings'!$C$42/($F728-1))*$Z728)))</f>
        <v>0</v>
      </c>
      <c r="AB728" s="125">
        <f>IF($D728="",0,$U728+$AA728)</f>
        <v>0</v>
      </c>
      <c r="AC728" s="125" t="str">
        <f>IF($D728="","",IF(SUMPRODUCT(MAX(($D$4:$D$810=$D728)*($B$4:$B$810&lt;$B728)*$B$4:$B$810))=0,0,MAX(($B728-MAX(SUMPRODUCT(MAX(($D$4:$D$810=$D728)*($B$4:$B$810&lt;$B728)*$B$4:$B$810)),'Guide &amp; Settings'!$C$50))/7-'Guide &amp; Settings'!$C$48,0)*'Guide &amp; Settings'!$C$49))</f>
      </c>
    </row>
    <row r="729" spans="1:29">
      <c r="A729" s="116"/>
      <c r="B729" s="117"/>
      <c r="C729" s="118"/>
      <c r="D729" s="118"/>
      <c r="E729" s="116"/>
      <c r="F729" s="119">
        <f>IF($D729="",0,COUNTIF($A$4:$A$810,$A729))</f>
        <v>0</v>
      </c>
      <c r="G729" s="120">
        <f>IF($D729="","",IFERROR(LOOKUP(2,1/(($A$4:$A$810=$A729)*($E$4:$E$810="Win")),$D$4:$D$810),"(no winner)"))</f>
        <v>0</v>
      </c>
      <c r="H729" s="121">
        <f>IF($D729="",0,IFERROR(LOOKUP(2,1/(($D$3:D728=$D729)*($A$3:A728&lt;$A729)),$N$3:N728),'Guide &amp; Settings'!$C$41))</f>
        <v>0</v>
      </c>
      <c r="I729" s="122">
        <f>IF($D729="",0,IF($S729=0,0,$R729/$S729))</f>
        <v>0</v>
      </c>
      <c r="J729" s="123">
        <f>IF($D729="",0,IF($F729&lt;2,0,IF($E729="Win",('Guide &amp; Settings'!$C$42/(($F729-1)*COUNTIFS($A$4:$A$810,$A729,$E$4:$E$810,"Win")))*SUMIFS($X$4:$X$810,$A$4:$A$810,$A729,$E$4:$E$810,"Loss"),-('Guide &amp; Settings'!$C$42/($F729-1))*$X729)))</f>
        <v>0</v>
      </c>
      <c r="K729" s="123">
        <f>IF($D729="",0,'Guide &amp; Settings'!$C$43*(IF($E729="Win",1,0)-$I729))</f>
        <v>0</v>
      </c>
      <c r="L729" s="124">
        <f>IF($D729="",0,'Guide &amp; Settings'!$C$44*IF($F729&gt;=3,$F729+IF($E729="Win",$F729,0),0))</f>
        <v>0</v>
      </c>
      <c r="M729" s="123">
        <f>IF($D729="",0,$J729+$K729+$L729)</f>
        <v>0</v>
      </c>
      <c r="N729" s="121">
        <f>IF($D729="",0,$H729+$M729)</f>
        <v>0</v>
      </c>
      <c r="O729" s="120" t="str">
        <f>IF($D729="","",IF(COUNTIFS($A$4:$A$810,$A729,$E$4:$E$810,"Win")=0,"need a winner",IF(COUNTIFS($A$4:$A$810,$A729,$E$4:$E$810,"Loss")=0,"need a loser",IF(COUNTIFS($A$4:$A$810,$A729,$D$4:$D$810,$D729)&gt;1,"duplicate player","OK"))))</f>
      </c>
      <c r="P729">
        <f>IF($D729="",0,IFERROR(SUMIFS($H$4:$H$810,$A$4:$A$810,$A729,$E$4:$E$810,"Win")/COUNTIFS($A$4:$A$810,$A729,$E$4:$E$810,"Win"),0))</f>
        <v>0</v>
      </c>
      <c r="Q729">
        <f>IF($D729="",0,1/(1+10^(($P729-$H729)/400)))</f>
        <v>0</v>
      </c>
      <c r="R729">
        <f>IF($D729="",0,(COUNTIFS($D$4:$D$810,$D729,$C$4:$C$810,$C729,$E$4:$E$810,"Win",$A$4:$A$810,"&lt;"&amp;$A729)+1)/(COUNTIFS($D$4:$D$810,$D729,$C$4:$C$810,$C729,$A$4:$A$810,"&lt;"&amp;$A729)+2))</f>
        <v>0</v>
      </c>
      <c r="S729">
        <f>IF($D729="",0,SUMIFS($R$4:$R$810,$A$4:$A$810,$A729))</f>
        <v>0</v>
      </c>
      <c r="T729" s="88">
        <f>IF($D729="",0,COUNTIFS($D$4:$D$810,$D729,$C$4:$C$810,$C729,$A$4:$A$810,"&lt;"&amp;$A729))</f>
        <v>0</v>
      </c>
      <c r="U729" s="125">
        <f>IF($D729="",0,IFERROR(LOOKUP(2,1/(($D$3:D728=$D729)*($C$3:C728=$C729)*($A$3:A728&lt;$A729)),$AB$3:AB728),1000))</f>
        <v>0</v>
      </c>
      <c r="V729" s="125">
        <f>IF($D729="",0,$U729*($T729/($T729+5))+$H729*(1-$T729/($T729+5)))</f>
        <v>0</v>
      </c>
      <c r="W729">
        <f>IF($D729="",0,IFERROR(SUMIFS($V$4:$V$810,$A$4:$A$810,$A729,$E$4:$E$810,"Win")/COUNTIFS($A$4:$A$810,$A729,$E$4:$E$810,"Win"),0))</f>
        <v>0</v>
      </c>
      <c r="X729">
        <f>IF($D729="",0,1/(1+10^(($W729-$V729)/400)))</f>
        <v>0</v>
      </c>
      <c r="Y729">
        <f>IF($D729="",0,IFERROR(SUMIFS($U$4:$U$810,$A$4:$A$810,$A729,$E$4:$E$810,"Win")/COUNTIFS($A$4:$A$810,$A729,$E$4:$E$810,"Win"),0))</f>
        <v>0</v>
      </c>
      <c r="Z729">
        <f>IF($D729="",0,1/(1+10^(($Y729-$U729)/400)))</f>
        <v>0</v>
      </c>
      <c r="AA729">
        <f>IF($D729="",0,IF($F729&lt;2,0,IF($E729="Win",('Guide &amp; Settings'!$C$42/(($F729-1)*COUNTIFS($A$4:$A$810,$A729,$E$4:$E$810,"Win")))*SUMIFS($Z$4:$Z$810,$A$4:$A$810,$A729,$E$4:$E$810,"Loss"),-('Guide &amp; Settings'!$C$42/($F729-1))*$Z729)))</f>
        <v>0</v>
      </c>
      <c r="AB729" s="125">
        <f>IF($D729="",0,$U729+$AA729)</f>
        <v>0</v>
      </c>
      <c r="AC729" s="125" t="str">
        <f>IF($D729="","",IF(SUMPRODUCT(MAX(($D$4:$D$810=$D729)*($B$4:$B$810&lt;$B729)*$B$4:$B$810))=0,0,MAX(($B729-MAX(SUMPRODUCT(MAX(($D$4:$D$810=$D729)*($B$4:$B$810&lt;$B729)*$B$4:$B$810)),'Guide &amp; Settings'!$C$50))/7-'Guide &amp; Settings'!$C$48,0)*'Guide &amp; Settings'!$C$49))</f>
      </c>
    </row>
    <row r="730" spans="1:29">
      <c r="A730" s="116"/>
      <c r="B730" s="117"/>
      <c r="C730" s="118"/>
      <c r="D730" s="118"/>
      <c r="E730" s="116"/>
      <c r="F730" s="119">
        <f>IF($D730="",0,COUNTIF($A$4:$A$810,$A730))</f>
        <v>0</v>
      </c>
      <c r="G730" s="120">
        <f>IF($D730="","",IFERROR(LOOKUP(2,1/(($A$4:$A$810=$A730)*($E$4:$E$810="Win")),$D$4:$D$810),"(no winner)"))</f>
        <v>0</v>
      </c>
      <c r="H730" s="121">
        <f>IF($D730="",0,IFERROR(LOOKUP(2,1/(($D$3:D729=$D730)*($A$3:A729&lt;$A730)),$N$3:N729),'Guide &amp; Settings'!$C$41))</f>
        <v>0</v>
      </c>
      <c r="I730" s="122">
        <f>IF($D730="",0,IF($S730=0,0,$R730/$S730))</f>
        <v>0</v>
      </c>
      <c r="J730" s="123">
        <f>IF($D730="",0,IF($F730&lt;2,0,IF($E730="Win",('Guide &amp; Settings'!$C$42/(($F730-1)*COUNTIFS($A$4:$A$810,$A730,$E$4:$E$810,"Win")))*SUMIFS($X$4:$X$810,$A$4:$A$810,$A730,$E$4:$E$810,"Loss"),-('Guide &amp; Settings'!$C$42/($F730-1))*$X730)))</f>
        <v>0</v>
      </c>
      <c r="K730" s="123">
        <f>IF($D730="",0,'Guide &amp; Settings'!$C$43*(IF($E730="Win",1,0)-$I730))</f>
        <v>0</v>
      </c>
      <c r="L730" s="124">
        <f>IF($D730="",0,'Guide &amp; Settings'!$C$44*IF($F730&gt;=3,$F730+IF($E730="Win",$F730,0),0))</f>
        <v>0</v>
      </c>
      <c r="M730" s="123">
        <f>IF($D730="",0,$J730+$K730+$L730)</f>
        <v>0</v>
      </c>
      <c r="N730" s="121">
        <f>IF($D730="",0,$H730+$M730)</f>
        <v>0</v>
      </c>
      <c r="O730" s="120" t="str">
        <f>IF($D730="","",IF(COUNTIFS($A$4:$A$810,$A730,$E$4:$E$810,"Win")=0,"need a winner",IF(COUNTIFS($A$4:$A$810,$A730,$E$4:$E$810,"Loss")=0,"need a loser",IF(COUNTIFS($A$4:$A$810,$A730,$D$4:$D$810,$D730)&gt;1,"duplicate player","OK"))))</f>
      </c>
      <c r="P730">
        <f>IF($D730="",0,IFERROR(SUMIFS($H$4:$H$810,$A$4:$A$810,$A730,$E$4:$E$810,"Win")/COUNTIFS($A$4:$A$810,$A730,$E$4:$E$810,"Win"),0))</f>
        <v>0</v>
      </c>
      <c r="Q730">
        <f>IF($D730="",0,1/(1+10^(($P730-$H730)/400)))</f>
        <v>0</v>
      </c>
      <c r="R730">
        <f>IF($D730="",0,(COUNTIFS($D$4:$D$810,$D730,$C$4:$C$810,$C730,$E$4:$E$810,"Win",$A$4:$A$810,"&lt;"&amp;$A730)+1)/(COUNTIFS($D$4:$D$810,$D730,$C$4:$C$810,$C730,$A$4:$A$810,"&lt;"&amp;$A730)+2))</f>
        <v>0</v>
      </c>
      <c r="S730">
        <f>IF($D730="",0,SUMIFS($R$4:$R$810,$A$4:$A$810,$A730))</f>
        <v>0</v>
      </c>
      <c r="T730" s="88">
        <f>IF($D730="",0,COUNTIFS($D$4:$D$810,$D730,$C$4:$C$810,$C730,$A$4:$A$810,"&lt;"&amp;$A730))</f>
        <v>0</v>
      </c>
      <c r="U730" s="125">
        <f>IF($D730="",0,IFERROR(LOOKUP(2,1/(($D$3:D729=$D730)*($C$3:C729=$C730)*($A$3:A729&lt;$A730)),$AB$3:AB729),1000))</f>
        <v>0</v>
      </c>
      <c r="V730" s="125">
        <f>IF($D730="",0,$U730*($T730/($T730+5))+$H730*(1-$T730/($T730+5)))</f>
        <v>0</v>
      </c>
      <c r="W730">
        <f>IF($D730="",0,IFERROR(SUMIFS($V$4:$V$810,$A$4:$A$810,$A730,$E$4:$E$810,"Win")/COUNTIFS($A$4:$A$810,$A730,$E$4:$E$810,"Win"),0))</f>
        <v>0</v>
      </c>
      <c r="X730">
        <f>IF($D730="",0,1/(1+10^(($W730-$V730)/400)))</f>
        <v>0</v>
      </c>
      <c r="Y730">
        <f>IF($D730="",0,IFERROR(SUMIFS($U$4:$U$810,$A$4:$A$810,$A730,$E$4:$E$810,"Win")/COUNTIFS($A$4:$A$810,$A730,$E$4:$E$810,"Win"),0))</f>
        <v>0</v>
      </c>
      <c r="Z730">
        <f>IF($D730="",0,1/(1+10^(($Y730-$U730)/400)))</f>
        <v>0</v>
      </c>
      <c r="AA730">
        <f>IF($D730="",0,IF($F730&lt;2,0,IF($E730="Win",('Guide &amp; Settings'!$C$42/(($F730-1)*COUNTIFS($A$4:$A$810,$A730,$E$4:$E$810,"Win")))*SUMIFS($Z$4:$Z$810,$A$4:$A$810,$A730,$E$4:$E$810,"Loss"),-('Guide &amp; Settings'!$C$42/($F730-1))*$Z730)))</f>
        <v>0</v>
      </c>
      <c r="AB730" s="125">
        <f>IF($D730="",0,$U730+$AA730)</f>
        <v>0</v>
      </c>
      <c r="AC730" s="125" t="str">
        <f>IF($D730="","",IF(SUMPRODUCT(MAX(($D$4:$D$810=$D730)*($B$4:$B$810&lt;$B730)*$B$4:$B$810))=0,0,MAX(($B730-MAX(SUMPRODUCT(MAX(($D$4:$D$810=$D730)*($B$4:$B$810&lt;$B730)*$B$4:$B$810)),'Guide &amp; Settings'!$C$50))/7-'Guide &amp; Settings'!$C$48,0)*'Guide &amp; Settings'!$C$49))</f>
      </c>
    </row>
    <row r="731" spans="1:29">
      <c r="A731" s="116"/>
      <c r="B731" s="117"/>
      <c r="C731" s="118"/>
      <c r="D731" s="118"/>
      <c r="E731" s="116"/>
      <c r="F731" s="119">
        <f>IF($D731="",0,COUNTIF($A$4:$A$810,$A731))</f>
        <v>0</v>
      </c>
      <c r="G731" s="120">
        <f>IF($D731="","",IFERROR(LOOKUP(2,1/(($A$4:$A$810=$A731)*($E$4:$E$810="Win")),$D$4:$D$810),"(no winner)"))</f>
        <v>0</v>
      </c>
      <c r="H731" s="121">
        <f>IF($D731="",0,IFERROR(LOOKUP(2,1/(($D$3:D730=$D731)*($A$3:A730&lt;$A731)),$N$3:N730),'Guide &amp; Settings'!$C$41))</f>
        <v>0</v>
      </c>
      <c r="I731" s="122">
        <f>IF($D731="",0,IF($S731=0,0,$R731/$S731))</f>
        <v>0</v>
      </c>
      <c r="J731" s="123">
        <f>IF($D731="",0,IF($F731&lt;2,0,IF($E731="Win",('Guide &amp; Settings'!$C$42/(($F731-1)*COUNTIFS($A$4:$A$810,$A731,$E$4:$E$810,"Win")))*SUMIFS($X$4:$X$810,$A$4:$A$810,$A731,$E$4:$E$810,"Loss"),-('Guide &amp; Settings'!$C$42/($F731-1))*$X731)))</f>
        <v>0</v>
      </c>
      <c r="K731" s="123">
        <f>IF($D731="",0,'Guide &amp; Settings'!$C$43*(IF($E731="Win",1,0)-$I731))</f>
        <v>0</v>
      </c>
      <c r="L731" s="124">
        <f>IF($D731="",0,'Guide &amp; Settings'!$C$44*IF($F731&gt;=3,$F731+IF($E731="Win",$F731,0),0))</f>
        <v>0</v>
      </c>
      <c r="M731" s="123">
        <f>IF($D731="",0,$J731+$K731+$L731)</f>
        <v>0</v>
      </c>
      <c r="N731" s="121">
        <f>IF($D731="",0,$H731+$M731)</f>
        <v>0</v>
      </c>
      <c r="O731" s="120" t="str">
        <f>IF($D731="","",IF(COUNTIFS($A$4:$A$810,$A731,$E$4:$E$810,"Win")=0,"need a winner",IF(COUNTIFS($A$4:$A$810,$A731,$E$4:$E$810,"Loss")=0,"need a loser",IF(COUNTIFS($A$4:$A$810,$A731,$D$4:$D$810,$D731)&gt;1,"duplicate player","OK"))))</f>
      </c>
      <c r="P731">
        <f>IF($D731="",0,IFERROR(SUMIFS($H$4:$H$810,$A$4:$A$810,$A731,$E$4:$E$810,"Win")/COUNTIFS($A$4:$A$810,$A731,$E$4:$E$810,"Win"),0))</f>
        <v>0</v>
      </c>
      <c r="Q731">
        <f>IF($D731="",0,1/(1+10^(($P731-$H731)/400)))</f>
        <v>0</v>
      </c>
      <c r="R731">
        <f>IF($D731="",0,(COUNTIFS($D$4:$D$810,$D731,$C$4:$C$810,$C731,$E$4:$E$810,"Win",$A$4:$A$810,"&lt;"&amp;$A731)+1)/(COUNTIFS($D$4:$D$810,$D731,$C$4:$C$810,$C731,$A$4:$A$810,"&lt;"&amp;$A731)+2))</f>
        <v>0</v>
      </c>
      <c r="S731">
        <f>IF($D731="",0,SUMIFS($R$4:$R$810,$A$4:$A$810,$A731))</f>
        <v>0</v>
      </c>
      <c r="T731" s="88">
        <f>IF($D731="",0,COUNTIFS($D$4:$D$810,$D731,$C$4:$C$810,$C731,$A$4:$A$810,"&lt;"&amp;$A731))</f>
        <v>0</v>
      </c>
      <c r="U731" s="125">
        <f>IF($D731="",0,IFERROR(LOOKUP(2,1/(($D$3:D730=$D731)*($C$3:C730=$C731)*($A$3:A730&lt;$A731)),$AB$3:AB730),1000))</f>
        <v>0</v>
      </c>
      <c r="V731" s="125">
        <f>IF($D731="",0,$U731*($T731/($T731+5))+$H731*(1-$T731/($T731+5)))</f>
        <v>0</v>
      </c>
      <c r="W731">
        <f>IF($D731="",0,IFERROR(SUMIFS($V$4:$V$810,$A$4:$A$810,$A731,$E$4:$E$810,"Win")/COUNTIFS($A$4:$A$810,$A731,$E$4:$E$810,"Win"),0))</f>
        <v>0</v>
      </c>
      <c r="X731">
        <f>IF($D731="",0,1/(1+10^(($W731-$V731)/400)))</f>
        <v>0</v>
      </c>
      <c r="Y731">
        <f>IF($D731="",0,IFERROR(SUMIFS($U$4:$U$810,$A$4:$A$810,$A731,$E$4:$E$810,"Win")/COUNTIFS($A$4:$A$810,$A731,$E$4:$E$810,"Win"),0))</f>
        <v>0</v>
      </c>
      <c r="Z731">
        <f>IF($D731="",0,1/(1+10^(($Y731-$U731)/400)))</f>
        <v>0</v>
      </c>
      <c r="AA731">
        <f>IF($D731="",0,IF($F731&lt;2,0,IF($E731="Win",('Guide &amp; Settings'!$C$42/(($F731-1)*COUNTIFS($A$4:$A$810,$A731,$E$4:$E$810,"Win")))*SUMIFS($Z$4:$Z$810,$A$4:$A$810,$A731,$E$4:$E$810,"Loss"),-('Guide &amp; Settings'!$C$42/($F731-1))*$Z731)))</f>
        <v>0</v>
      </c>
      <c r="AB731" s="125">
        <f>IF($D731="",0,$U731+$AA731)</f>
        <v>0</v>
      </c>
      <c r="AC731" s="125" t="str">
        <f>IF($D731="","",IF(SUMPRODUCT(MAX(($D$4:$D$810=$D731)*($B$4:$B$810&lt;$B731)*$B$4:$B$810))=0,0,MAX(($B731-MAX(SUMPRODUCT(MAX(($D$4:$D$810=$D731)*($B$4:$B$810&lt;$B731)*$B$4:$B$810)),'Guide &amp; Settings'!$C$50))/7-'Guide &amp; Settings'!$C$48,0)*'Guide &amp; Settings'!$C$49))</f>
      </c>
    </row>
    <row r="732" spans="1:29">
      <c r="A732" s="116"/>
      <c r="B732" s="117"/>
      <c r="C732" s="118"/>
      <c r="D732" s="118"/>
      <c r="E732" s="116"/>
      <c r="F732" s="119">
        <f>IF($D732="",0,COUNTIF($A$4:$A$810,$A732))</f>
        <v>0</v>
      </c>
      <c r="G732" s="120">
        <f>IF($D732="","",IFERROR(LOOKUP(2,1/(($A$4:$A$810=$A732)*($E$4:$E$810="Win")),$D$4:$D$810),"(no winner)"))</f>
        <v>0</v>
      </c>
      <c r="H732" s="121">
        <f>IF($D732="",0,IFERROR(LOOKUP(2,1/(($D$3:D731=$D732)*($A$3:A731&lt;$A732)),$N$3:N731),'Guide &amp; Settings'!$C$41))</f>
        <v>0</v>
      </c>
      <c r="I732" s="122">
        <f>IF($D732="",0,IF($S732=0,0,$R732/$S732))</f>
        <v>0</v>
      </c>
      <c r="J732" s="123">
        <f>IF($D732="",0,IF($F732&lt;2,0,IF($E732="Win",('Guide &amp; Settings'!$C$42/(($F732-1)*COUNTIFS($A$4:$A$810,$A732,$E$4:$E$810,"Win")))*SUMIFS($X$4:$X$810,$A$4:$A$810,$A732,$E$4:$E$810,"Loss"),-('Guide &amp; Settings'!$C$42/($F732-1))*$X732)))</f>
        <v>0</v>
      </c>
      <c r="K732" s="123">
        <f>IF($D732="",0,'Guide &amp; Settings'!$C$43*(IF($E732="Win",1,0)-$I732))</f>
        <v>0</v>
      </c>
      <c r="L732" s="124">
        <f>IF($D732="",0,'Guide &amp; Settings'!$C$44*IF($F732&gt;=3,$F732+IF($E732="Win",$F732,0),0))</f>
        <v>0</v>
      </c>
      <c r="M732" s="123">
        <f>IF($D732="",0,$J732+$K732+$L732)</f>
        <v>0</v>
      </c>
      <c r="N732" s="121">
        <f>IF($D732="",0,$H732+$M732)</f>
        <v>0</v>
      </c>
      <c r="O732" s="120" t="str">
        <f>IF($D732="","",IF(COUNTIFS($A$4:$A$810,$A732,$E$4:$E$810,"Win")=0,"need a winner",IF(COUNTIFS($A$4:$A$810,$A732,$E$4:$E$810,"Loss")=0,"need a loser",IF(COUNTIFS($A$4:$A$810,$A732,$D$4:$D$810,$D732)&gt;1,"duplicate player","OK"))))</f>
      </c>
      <c r="P732">
        <f>IF($D732="",0,IFERROR(SUMIFS($H$4:$H$810,$A$4:$A$810,$A732,$E$4:$E$810,"Win")/COUNTIFS($A$4:$A$810,$A732,$E$4:$E$810,"Win"),0))</f>
        <v>0</v>
      </c>
      <c r="Q732">
        <f>IF($D732="",0,1/(1+10^(($P732-$H732)/400)))</f>
        <v>0</v>
      </c>
      <c r="R732">
        <f>IF($D732="",0,(COUNTIFS($D$4:$D$810,$D732,$C$4:$C$810,$C732,$E$4:$E$810,"Win",$A$4:$A$810,"&lt;"&amp;$A732)+1)/(COUNTIFS($D$4:$D$810,$D732,$C$4:$C$810,$C732,$A$4:$A$810,"&lt;"&amp;$A732)+2))</f>
        <v>0</v>
      </c>
      <c r="S732">
        <f>IF($D732="",0,SUMIFS($R$4:$R$810,$A$4:$A$810,$A732))</f>
        <v>0</v>
      </c>
      <c r="T732" s="88">
        <f>IF($D732="",0,COUNTIFS($D$4:$D$810,$D732,$C$4:$C$810,$C732,$A$4:$A$810,"&lt;"&amp;$A732))</f>
        <v>0</v>
      </c>
      <c r="U732" s="125">
        <f>IF($D732="",0,IFERROR(LOOKUP(2,1/(($D$3:D731=$D732)*($C$3:C731=$C732)*($A$3:A731&lt;$A732)),$AB$3:AB731),1000))</f>
        <v>0</v>
      </c>
      <c r="V732" s="125">
        <f>IF($D732="",0,$U732*($T732/($T732+5))+$H732*(1-$T732/($T732+5)))</f>
        <v>0</v>
      </c>
      <c r="W732">
        <f>IF($D732="",0,IFERROR(SUMIFS($V$4:$V$810,$A$4:$A$810,$A732,$E$4:$E$810,"Win")/COUNTIFS($A$4:$A$810,$A732,$E$4:$E$810,"Win"),0))</f>
        <v>0</v>
      </c>
      <c r="X732">
        <f>IF($D732="",0,1/(1+10^(($W732-$V732)/400)))</f>
        <v>0</v>
      </c>
      <c r="Y732">
        <f>IF($D732="",0,IFERROR(SUMIFS($U$4:$U$810,$A$4:$A$810,$A732,$E$4:$E$810,"Win")/COUNTIFS($A$4:$A$810,$A732,$E$4:$E$810,"Win"),0))</f>
        <v>0</v>
      </c>
      <c r="Z732">
        <f>IF($D732="",0,1/(1+10^(($Y732-$U732)/400)))</f>
        <v>0</v>
      </c>
      <c r="AA732">
        <f>IF($D732="",0,IF($F732&lt;2,0,IF($E732="Win",('Guide &amp; Settings'!$C$42/(($F732-1)*COUNTIFS($A$4:$A$810,$A732,$E$4:$E$810,"Win")))*SUMIFS($Z$4:$Z$810,$A$4:$A$810,$A732,$E$4:$E$810,"Loss"),-('Guide &amp; Settings'!$C$42/($F732-1))*$Z732)))</f>
        <v>0</v>
      </c>
      <c r="AB732" s="125">
        <f>IF($D732="",0,$U732+$AA732)</f>
        <v>0</v>
      </c>
      <c r="AC732" s="125" t="str">
        <f>IF($D732="","",IF(SUMPRODUCT(MAX(($D$4:$D$810=$D732)*($B$4:$B$810&lt;$B732)*$B$4:$B$810))=0,0,MAX(($B732-MAX(SUMPRODUCT(MAX(($D$4:$D$810=$D732)*($B$4:$B$810&lt;$B732)*$B$4:$B$810)),'Guide &amp; Settings'!$C$50))/7-'Guide &amp; Settings'!$C$48,0)*'Guide &amp; Settings'!$C$49))</f>
      </c>
    </row>
    <row r="733" spans="1:29">
      <c r="A733" s="116"/>
      <c r="B733" s="117"/>
      <c r="C733" s="118"/>
      <c r="D733" s="118"/>
      <c r="E733" s="116"/>
      <c r="F733" s="119">
        <f>IF($D733="",0,COUNTIF($A$4:$A$810,$A733))</f>
        <v>0</v>
      </c>
      <c r="G733" s="120">
        <f>IF($D733="","",IFERROR(LOOKUP(2,1/(($A$4:$A$810=$A733)*($E$4:$E$810="Win")),$D$4:$D$810),"(no winner)"))</f>
        <v>0</v>
      </c>
      <c r="H733" s="121">
        <f>IF($D733="",0,IFERROR(LOOKUP(2,1/(($D$3:D732=$D733)*($A$3:A732&lt;$A733)),$N$3:N732),'Guide &amp; Settings'!$C$41))</f>
        <v>0</v>
      </c>
      <c r="I733" s="122">
        <f>IF($D733="",0,IF($S733=0,0,$R733/$S733))</f>
        <v>0</v>
      </c>
      <c r="J733" s="123">
        <f>IF($D733="",0,IF($F733&lt;2,0,IF($E733="Win",('Guide &amp; Settings'!$C$42/(($F733-1)*COUNTIFS($A$4:$A$810,$A733,$E$4:$E$810,"Win")))*SUMIFS($X$4:$X$810,$A$4:$A$810,$A733,$E$4:$E$810,"Loss"),-('Guide &amp; Settings'!$C$42/($F733-1))*$X733)))</f>
        <v>0</v>
      </c>
      <c r="K733" s="123">
        <f>IF($D733="",0,'Guide &amp; Settings'!$C$43*(IF($E733="Win",1,0)-$I733))</f>
        <v>0</v>
      </c>
      <c r="L733" s="124">
        <f>IF($D733="",0,'Guide &amp; Settings'!$C$44*IF($F733&gt;=3,$F733+IF($E733="Win",$F733,0),0))</f>
        <v>0</v>
      </c>
      <c r="M733" s="123">
        <f>IF($D733="",0,$J733+$K733+$L733)</f>
        <v>0</v>
      </c>
      <c r="N733" s="121">
        <f>IF($D733="",0,$H733+$M733)</f>
        <v>0</v>
      </c>
      <c r="O733" s="120" t="str">
        <f>IF($D733="","",IF(COUNTIFS($A$4:$A$810,$A733,$E$4:$E$810,"Win")=0,"need a winner",IF(COUNTIFS($A$4:$A$810,$A733,$E$4:$E$810,"Loss")=0,"need a loser",IF(COUNTIFS($A$4:$A$810,$A733,$D$4:$D$810,$D733)&gt;1,"duplicate player","OK"))))</f>
      </c>
      <c r="P733">
        <f>IF($D733="",0,IFERROR(SUMIFS($H$4:$H$810,$A$4:$A$810,$A733,$E$4:$E$810,"Win")/COUNTIFS($A$4:$A$810,$A733,$E$4:$E$810,"Win"),0))</f>
        <v>0</v>
      </c>
      <c r="Q733">
        <f>IF($D733="",0,1/(1+10^(($P733-$H733)/400)))</f>
        <v>0</v>
      </c>
      <c r="R733">
        <f>IF($D733="",0,(COUNTIFS($D$4:$D$810,$D733,$C$4:$C$810,$C733,$E$4:$E$810,"Win",$A$4:$A$810,"&lt;"&amp;$A733)+1)/(COUNTIFS($D$4:$D$810,$D733,$C$4:$C$810,$C733,$A$4:$A$810,"&lt;"&amp;$A733)+2))</f>
        <v>0</v>
      </c>
      <c r="S733">
        <f>IF($D733="",0,SUMIFS($R$4:$R$810,$A$4:$A$810,$A733))</f>
        <v>0</v>
      </c>
      <c r="T733" s="88">
        <f>IF($D733="",0,COUNTIFS($D$4:$D$810,$D733,$C$4:$C$810,$C733,$A$4:$A$810,"&lt;"&amp;$A733))</f>
        <v>0</v>
      </c>
      <c r="U733" s="125">
        <f>IF($D733="",0,IFERROR(LOOKUP(2,1/(($D$3:D732=$D733)*($C$3:C732=$C733)*($A$3:A732&lt;$A733)),$AB$3:AB732),1000))</f>
        <v>0</v>
      </c>
      <c r="V733" s="125">
        <f>IF($D733="",0,$U733*($T733/($T733+5))+$H733*(1-$T733/($T733+5)))</f>
        <v>0</v>
      </c>
      <c r="W733">
        <f>IF($D733="",0,IFERROR(SUMIFS($V$4:$V$810,$A$4:$A$810,$A733,$E$4:$E$810,"Win")/COUNTIFS($A$4:$A$810,$A733,$E$4:$E$810,"Win"),0))</f>
        <v>0</v>
      </c>
      <c r="X733">
        <f>IF($D733="",0,1/(1+10^(($W733-$V733)/400)))</f>
        <v>0</v>
      </c>
      <c r="Y733">
        <f>IF($D733="",0,IFERROR(SUMIFS($U$4:$U$810,$A$4:$A$810,$A733,$E$4:$E$810,"Win")/COUNTIFS($A$4:$A$810,$A733,$E$4:$E$810,"Win"),0))</f>
        <v>0</v>
      </c>
      <c r="Z733">
        <f>IF($D733="",0,1/(1+10^(($Y733-$U733)/400)))</f>
        <v>0</v>
      </c>
      <c r="AA733">
        <f>IF($D733="",0,IF($F733&lt;2,0,IF($E733="Win",('Guide &amp; Settings'!$C$42/(($F733-1)*COUNTIFS($A$4:$A$810,$A733,$E$4:$E$810,"Win")))*SUMIFS($Z$4:$Z$810,$A$4:$A$810,$A733,$E$4:$E$810,"Loss"),-('Guide &amp; Settings'!$C$42/($F733-1))*$Z733)))</f>
        <v>0</v>
      </c>
      <c r="AB733" s="125">
        <f>IF($D733="",0,$U733+$AA733)</f>
        <v>0</v>
      </c>
      <c r="AC733" s="125" t="str">
        <f>IF($D733="","",IF(SUMPRODUCT(MAX(($D$4:$D$810=$D733)*($B$4:$B$810&lt;$B733)*$B$4:$B$810))=0,0,MAX(($B733-MAX(SUMPRODUCT(MAX(($D$4:$D$810=$D733)*($B$4:$B$810&lt;$B733)*$B$4:$B$810)),'Guide &amp; Settings'!$C$50))/7-'Guide &amp; Settings'!$C$48,0)*'Guide &amp; Settings'!$C$49))</f>
      </c>
    </row>
    <row r="734" spans="1:29">
      <c r="A734" s="116"/>
      <c r="B734" s="117"/>
      <c r="C734" s="118"/>
      <c r="D734" s="118"/>
      <c r="E734" s="116"/>
      <c r="F734" s="119">
        <f>IF($D734="",0,COUNTIF($A$4:$A$810,$A734))</f>
        <v>0</v>
      </c>
      <c r="G734" s="120">
        <f>IF($D734="","",IFERROR(LOOKUP(2,1/(($A$4:$A$810=$A734)*($E$4:$E$810="Win")),$D$4:$D$810),"(no winner)"))</f>
        <v>0</v>
      </c>
      <c r="H734" s="121">
        <f>IF($D734="",0,IFERROR(LOOKUP(2,1/(($D$3:D733=$D734)*($A$3:A733&lt;$A734)),$N$3:N733),'Guide &amp; Settings'!$C$41))</f>
        <v>0</v>
      </c>
      <c r="I734" s="122">
        <f>IF($D734="",0,IF($S734=0,0,$R734/$S734))</f>
        <v>0</v>
      </c>
      <c r="J734" s="123">
        <f>IF($D734="",0,IF($F734&lt;2,0,IF($E734="Win",('Guide &amp; Settings'!$C$42/(($F734-1)*COUNTIFS($A$4:$A$810,$A734,$E$4:$E$810,"Win")))*SUMIFS($X$4:$X$810,$A$4:$A$810,$A734,$E$4:$E$810,"Loss"),-('Guide &amp; Settings'!$C$42/($F734-1))*$X734)))</f>
        <v>0</v>
      </c>
      <c r="K734" s="123">
        <f>IF($D734="",0,'Guide &amp; Settings'!$C$43*(IF($E734="Win",1,0)-$I734))</f>
        <v>0</v>
      </c>
      <c r="L734" s="124">
        <f>IF($D734="",0,'Guide &amp; Settings'!$C$44*IF($F734&gt;=3,$F734+IF($E734="Win",$F734,0),0))</f>
        <v>0</v>
      </c>
      <c r="M734" s="123">
        <f>IF($D734="",0,$J734+$K734+$L734)</f>
        <v>0</v>
      </c>
      <c r="N734" s="121">
        <f>IF($D734="",0,$H734+$M734)</f>
        <v>0</v>
      </c>
      <c r="O734" s="120" t="str">
        <f>IF($D734="","",IF(COUNTIFS($A$4:$A$810,$A734,$E$4:$E$810,"Win")=0,"need a winner",IF(COUNTIFS($A$4:$A$810,$A734,$E$4:$E$810,"Loss")=0,"need a loser",IF(COUNTIFS($A$4:$A$810,$A734,$D$4:$D$810,$D734)&gt;1,"duplicate player","OK"))))</f>
      </c>
      <c r="P734">
        <f>IF($D734="",0,IFERROR(SUMIFS($H$4:$H$810,$A$4:$A$810,$A734,$E$4:$E$810,"Win")/COUNTIFS($A$4:$A$810,$A734,$E$4:$E$810,"Win"),0))</f>
        <v>0</v>
      </c>
      <c r="Q734">
        <f>IF($D734="",0,1/(1+10^(($P734-$H734)/400)))</f>
        <v>0</v>
      </c>
      <c r="R734">
        <f>IF($D734="",0,(COUNTIFS($D$4:$D$810,$D734,$C$4:$C$810,$C734,$E$4:$E$810,"Win",$A$4:$A$810,"&lt;"&amp;$A734)+1)/(COUNTIFS($D$4:$D$810,$D734,$C$4:$C$810,$C734,$A$4:$A$810,"&lt;"&amp;$A734)+2))</f>
        <v>0</v>
      </c>
      <c r="S734">
        <f>IF($D734="",0,SUMIFS($R$4:$R$810,$A$4:$A$810,$A734))</f>
        <v>0</v>
      </c>
      <c r="T734" s="88">
        <f>IF($D734="",0,COUNTIFS($D$4:$D$810,$D734,$C$4:$C$810,$C734,$A$4:$A$810,"&lt;"&amp;$A734))</f>
        <v>0</v>
      </c>
      <c r="U734" s="125">
        <f>IF($D734="",0,IFERROR(LOOKUP(2,1/(($D$3:D733=$D734)*($C$3:C733=$C734)*($A$3:A733&lt;$A734)),$AB$3:AB733),1000))</f>
        <v>0</v>
      </c>
      <c r="V734" s="125">
        <f>IF($D734="",0,$U734*($T734/($T734+5))+$H734*(1-$T734/($T734+5)))</f>
        <v>0</v>
      </c>
      <c r="W734">
        <f>IF($D734="",0,IFERROR(SUMIFS($V$4:$V$810,$A$4:$A$810,$A734,$E$4:$E$810,"Win")/COUNTIFS($A$4:$A$810,$A734,$E$4:$E$810,"Win"),0))</f>
        <v>0</v>
      </c>
      <c r="X734">
        <f>IF($D734="",0,1/(1+10^(($W734-$V734)/400)))</f>
        <v>0</v>
      </c>
      <c r="Y734">
        <f>IF($D734="",0,IFERROR(SUMIFS($U$4:$U$810,$A$4:$A$810,$A734,$E$4:$E$810,"Win")/COUNTIFS($A$4:$A$810,$A734,$E$4:$E$810,"Win"),0))</f>
        <v>0</v>
      </c>
      <c r="Z734">
        <f>IF($D734="",0,1/(1+10^(($Y734-$U734)/400)))</f>
        <v>0</v>
      </c>
      <c r="AA734">
        <f>IF($D734="",0,IF($F734&lt;2,0,IF($E734="Win",('Guide &amp; Settings'!$C$42/(($F734-1)*COUNTIFS($A$4:$A$810,$A734,$E$4:$E$810,"Win")))*SUMIFS($Z$4:$Z$810,$A$4:$A$810,$A734,$E$4:$E$810,"Loss"),-('Guide &amp; Settings'!$C$42/($F734-1))*$Z734)))</f>
        <v>0</v>
      </c>
      <c r="AB734" s="125">
        <f>IF($D734="",0,$U734+$AA734)</f>
        <v>0</v>
      </c>
      <c r="AC734" s="125" t="str">
        <f>IF($D734="","",IF(SUMPRODUCT(MAX(($D$4:$D$810=$D734)*($B$4:$B$810&lt;$B734)*$B$4:$B$810))=0,0,MAX(($B734-MAX(SUMPRODUCT(MAX(($D$4:$D$810=$D734)*($B$4:$B$810&lt;$B734)*$B$4:$B$810)),'Guide &amp; Settings'!$C$50))/7-'Guide &amp; Settings'!$C$48,0)*'Guide &amp; Settings'!$C$49))</f>
      </c>
    </row>
    <row r="735" spans="1:29">
      <c r="A735" s="116"/>
      <c r="B735" s="117"/>
      <c r="C735" s="118"/>
      <c r="D735" s="118"/>
      <c r="E735" s="116"/>
      <c r="F735" s="119">
        <f>IF($D735="",0,COUNTIF($A$4:$A$810,$A735))</f>
        <v>0</v>
      </c>
      <c r="G735" s="120">
        <f>IF($D735="","",IFERROR(LOOKUP(2,1/(($A$4:$A$810=$A735)*($E$4:$E$810="Win")),$D$4:$D$810),"(no winner)"))</f>
        <v>0</v>
      </c>
      <c r="H735" s="121">
        <f>IF($D735="",0,IFERROR(LOOKUP(2,1/(($D$3:D734=$D735)*($A$3:A734&lt;$A735)),$N$3:N734),'Guide &amp; Settings'!$C$41))</f>
        <v>0</v>
      </c>
      <c r="I735" s="122">
        <f>IF($D735="",0,IF($S735=0,0,$R735/$S735))</f>
        <v>0</v>
      </c>
      <c r="J735" s="123">
        <f>IF($D735="",0,IF($F735&lt;2,0,IF($E735="Win",('Guide &amp; Settings'!$C$42/(($F735-1)*COUNTIFS($A$4:$A$810,$A735,$E$4:$E$810,"Win")))*SUMIFS($X$4:$X$810,$A$4:$A$810,$A735,$E$4:$E$810,"Loss"),-('Guide &amp; Settings'!$C$42/($F735-1))*$X735)))</f>
        <v>0</v>
      </c>
      <c r="K735" s="123">
        <f>IF($D735="",0,'Guide &amp; Settings'!$C$43*(IF($E735="Win",1,0)-$I735))</f>
        <v>0</v>
      </c>
      <c r="L735" s="124">
        <f>IF($D735="",0,'Guide &amp; Settings'!$C$44*IF($F735&gt;=3,$F735+IF($E735="Win",$F735,0),0))</f>
        <v>0</v>
      </c>
      <c r="M735" s="123">
        <f>IF($D735="",0,$J735+$K735+$L735)</f>
        <v>0</v>
      </c>
      <c r="N735" s="121">
        <f>IF($D735="",0,$H735+$M735)</f>
        <v>0</v>
      </c>
      <c r="O735" s="120" t="str">
        <f>IF($D735="","",IF(COUNTIFS($A$4:$A$810,$A735,$E$4:$E$810,"Win")=0,"need a winner",IF(COUNTIFS($A$4:$A$810,$A735,$E$4:$E$810,"Loss")=0,"need a loser",IF(COUNTIFS($A$4:$A$810,$A735,$D$4:$D$810,$D735)&gt;1,"duplicate player","OK"))))</f>
      </c>
      <c r="P735">
        <f>IF($D735="",0,IFERROR(SUMIFS($H$4:$H$810,$A$4:$A$810,$A735,$E$4:$E$810,"Win")/COUNTIFS($A$4:$A$810,$A735,$E$4:$E$810,"Win"),0))</f>
        <v>0</v>
      </c>
      <c r="Q735">
        <f>IF($D735="",0,1/(1+10^(($P735-$H735)/400)))</f>
        <v>0</v>
      </c>
      <c r="R735">
        <f>IF($D735="",0,(COUNTIFS($D$4:$D$810,$D735,$C$4:$C$810,$C735,$E$4:$E$810,"Win",$A$4:$A$810,"&lt;"&amp;$A735)+1)/(COUNTIFS($D$4:$D$810,$D735,$C$4:$C$810,$C735,$A$4:$A$810,"&lt;"&amp;$A735)+2))</f>
        <v>0</v>
      </c>
      <c r="S735">
        <f>IF($D735="",0,SUMIFS($R$4:$R$810,$A$4:$A$810,$A735))</f>
        <v>0</v>
      </c>
      <c r="T735" s="88">
        <f>IF($D735="",0,COUNTIFS($D$4:$D$810,$D735,$C$4:$C$810,$C735,$A$4:$A$810,"&lt;"&amp;$A735))</f>
        <v>0</v>
      </c>
      <c r="U735" s="125">
        <f>IF($D735="",0,IFERROR(LOOKUP(2,1/(($D$3:D734=$D735)*($C$3:C734=$C735)*($A$3:A734&lt;$A735)),$AB$3:AB734),1000))</f>
        <v>0</v>
      </c>
      <c r="V735" s="125">
        <f>IF($D735="",0,$U735*($T735/($T735+5))+$H735*(1-$T735/($T735+5)))</f>
        <v>0</v>
      </c>
      <c r="W735">
        <f>IF($D735="",0,IFERROR(SUMIFS($V$4:$V$810,$A$4:$A$810,$A735,$E$4:$E$810,"Win")/COUNTIFS($A$4:$A$810,$A735,$E$4:$E$810,"Win"),0))</f>
        <v>0</v>
      </c>
      <c r="X735">
        <f>IF($D735="",0,1/(1+10^(($W735-$V735)/400)))</f>
        <v>0</v>
      </c>
      <c r="Y735">
        <f>IF($D735="",0,IFERROR(SUMIFS($U$4:$U$810,$A$4:$A$810,$A735,$E$4:$E$810,"Win")/COUNTIFS($A$4:$A$810,$A735,$E$4:$E$810,"Win"),0))</f>
        <v>0</v>
      </c>
      <c r="Z735">
        <f>IF($D735="",0,1/(1+10^(($Y735-$U735)/400)))</f>
        <v>0</v>
      </c>
      <c r="AA735">
        <f>IF($D735="",0,IF($F735&lt;2,0,IF($E735="Win",('Guide &amp; Settings'!$C$42/(($F735-1)*COUNTIFS($A$4:$A$810,$A735,$E$4:$E$810,"Win")))*SUMIFS($Z$4:$Z$810,$A$4:$A$810,$A735,$E$4:$E$810,"Loss"),-('Guide &amp; Settings'!$C$42/($F735-1))*$Z735)))</f>
        <v>0</v>
      </c>
      <c r="AB735" s="125">
        <f>IF($D735="",0,$U735+$AA735)</f>
        <v>0</v>
      </c>
      <c r="AC735" s="125" t="str">
        <f>IF($D735="","",IF(SUMPRODUCT(MAX(($D$4:$D$810=$D735)*($B$4:$B$810&lt;$B735)*$B$4:$B$810))=0,0,MAX(($B735-MAX(SUMPRODUCT(MAX(($D$4:$D$810=$D735)*($B$4:$B$810&lt;$B735)*$B$4:$B$810)),'Guide &amp; Settings'!$C$50))/7-'Guide &amp; Settings'!$C$48,0)*'Guide &amp; Settings'!$C$49))</f>
      </c>
    </row>
    <row r="736" spans="1:29">
      <c r="A736" s="116"/>
      <c r="B736" s="117"/>
      <c r="C736" s="118"/>
      <c r="D736" s="118"/>
      <c r="E736" s="116"/>
      <c r="F736" s="119">
        <f>IF($D736="",0,COUNTIF($A$4:$A$810,$A736))</f>
        <v>0</v>
      </c>
      <c r="G736" s="120">
        <f>IF($D736="","",IFERROR(LOOKUP(2,1/(($A$4:$A$810=$A736)*($E$4:$E$810="Win")),$D$4:$D$810),"(no winner)"))</f>
        <v>0</v>
      </c>
      <c r="H736" s="121">
        <f>IF($D736="",0,IFERROR(LOOKUP(2,1/(($D$3:D735=$D736)*($A$3:A735&lt;$A736)),$N$3:N735),'Guide &amp; Settings'!$C$41))</f>
        <v>0</v>
      </c>
      <c r="I736" s="122">
        <f>IF($D736="",0,IF($S736=0,0,$R736/$S736))</f>
        <v>0</v>
      </c>
      <c r="J736" s="123">
        <f>IF($D736="",0,IF($F736&lt;2,0,IF($E736="Win",('Guide &amp; Settings'!$C$42/(($F736-1)*COUNTIFS($A$4:$A$810,$A736,$E$4:$E$810,"Win")))*SUMIFS($X$4:$X$810,$A$4:$A$810,$A736,$E$4:$E$810,"Loss"),-('Guide &amp; Settings'!$C$42/($F736-1))*$X736)))</f>
        <v>0</v>
      </c>
      <c r="K736" s="123">
        <f>IF($D736="",0,'Guide &amp; Settings'!$C$43*(IF($E736="Win",1,0)-$I736))</f>
        <v>0</v>
      </c>
      <c r="L736" s="124">
        <f>IF($D736="",0,'Guide &amp; Settings'!$C$44*IF($F736&gt;=3,$F736+IF($E736="Win",$F736,0),0))</f>
        <v>0</v>
      </c>
      <c r="M736" s="123">
        <f>IF($D736="",0,$J736+$K736+$L736)</f>
        <v>0</v>
      </c>
      <c r="N736" s="121">
        <f>IF($D736="",0,$H736+$M736)</f>
        <v>0</v>
      </c>
      <c r="O736" s="120" t="str">
        <f>IF($D736="","",IF(COUNTIFS($A$4:$A$810,$A736,$E$4:$E$810,"Win")=0,"need a winner",IF(COUNTIFS($A$4:$A$810,$A736,$E$4:$E$810,"Loss")=0,"need a loser",IF(COUNTIFS($A$4:$A$810,$A736,$D$4:$D$810,$D736)&gt;1,"duplicate player","OK"))))</f>
      </c>
      <c r="P736">
        <f>IF($D736="",0,IFERROR(SUMIFS($H$4:$H$810,$A$4:$A$810,$A736,$E$4:$E$810,"Win")/COUNTIFS($A$4:$A$810,$A736,$E$4:$E$810,"Win"),0))</f>
        <v>0</v>
      </c>
      <c r="Q736">
        <f>IF($D736="",0,1/(1+10^(($P736-$H736)/400)))</f>
        <v>0</v>
      </c>
      <c r="R736">
        <f>IF($D736="",0,(COUNTIFS($D$4:$D$810,$D736,$C$4:$C$810,$C736,$E$4:$E$810,"Win",$A$4:$A$810,"&lt;"&amp;$A736)+1)/(COUNTIFS($D$4:$D$810,$D736,$C$4:$C$810,$C736,$A$4:$A$810,"&lt;"&amp;$A736)+2))</f>
        <v>0</v>
      </c>
      <c r="S736">
        <f>IF($D736="",0,SUMIFS($R$4:$R$810,$A$4:$A$810,$A736))</f>
        <v>0</v>
      </c>
      <c r="T736" s="88">
        <f>IF($D736="",0,COUNTIFS($D$4:$D$810,$D736,$C$4:$C$810,$C736,$A$4:$A$810,"&lt;"&amp;$A736))</f>
        <v>0</v>
      </c>
      <c r="U736" s="125">
        <f>IF($D736="",0,IFERROR(LOOKUP(2,1/(($D$3:D735=$D736)*($C$3:C735=$C736)*($A$3:A735&lt;$A736)),$AB$3:AB735),1000))</f>
        <v>0</v>
      </c>
      <c r="V736" s="125">
        <f>IF($D736="",0,$U736*($T736/($T736+5))+$H736*(1-$T736/($T736+5)))</f>
        <v>0</v>
      </c>
      <c r="W736">
        <f>IF($D736="",0,IFERROR(SUMIFS($V$4:$V$810,$A$4:$A$810,$A736,$E$4:$E$810,"Win")/COUNTIFS($A$4:$A$810,$A736,$E$4:$E$810,"Win"),0))</f>
        <v>0</v>
      </c>
      <c r="X736">
        <f>IF($D736="",0,1/(1+10^(($W736-$V736)/400)))</f>
        <v>0</v>
      </c>
      <c r="Y736">
        <f>IF($D736="",0,IFERROR(SUMIFS($U$4:$U$810,$A$4:$A$810,$A736,$E$4:$E$810,"Win")/COUNTIFS($A$4:$A$810,$A736,$E$4:$E$810,"Win"),0))</f>
        <v>0</v>
      </c>
      <c r="Z736">
        <f>IF($D736="",0,1/(1+10^(($Y736-$U736)/400)))</f>
        <v>0</v>
      </c>
      <c r="AA736">
        <f>IF($D736="",0,IF($F736&lt;2,0,IF($E736="Win",('Guide &amp; Settings'!$C$42/(($F736-1)*COUNTIFS($A$4:$A$810,$A736,$E$4:$E$810,"Win")))*SUMIFS($Z$4:$Z$810,$A$4:$A$810,$A736,$E$4:$E$810,"Loss"),-('Guide &amp; Settings'!$C$42/($F736-1))*$Z736)))</f>
        <v>0</v>
      </c>
      <c r="AB736" s="125">
        <f>IF($D736="",0,$U736+$AA736)</f>
        <v>0</v>
      </c>
      <c r="AC736" s="125" t="str">
        <f>IF($D736="","",IF(SUMPRODUCT(MAX(($D$4:$D$810=$D736)*($B$4:$B$810&lt;$B736)*$B$4:$B$810))=0,0,MAX(($B736-MAX(SUMPRODUCT(MAX(($D$4:$D$810=$D736)*($B$4:$B$810&lt;$B736)*$B$4:$B$810)),'Guide &amp; Settings'!$C$50))/7-'Guide &amp; Settings'!$C$48,0)*'Guide &amp; Settings'!$C$49))</f>
      </c>
    </row>
    <row r="737" spans="1:29">
      <c r="A737" s="116"/>
      <c r="B737" s="117"/>
      <c r="C737" s="118"/>
      <c r="D737" s="118"/>
      <c r="E737" s="116"/>
      <c r="F737" s="119">
        <f>IF($D737="",0,COUNTIF($A$4:$A$810,$A737))</f>
        <v>0</v>
      </c>
      <c r="G737" s="120">
        <f>IF($D737="","",IFERROR(LOOKUP(2,1/(($A$4:$A$810=$A737)*($E$4:$E$810="Win")),$D$4:$D$810),"(no winner)"))</f>
        <v>0</v>
      </c>
      <c r="H737" s="121">
        <f>IF($D737="",0,IFERROR(LOOKUP(2,1/(($D$3:D736=$D737)*($A$3:A736&lt;$A737)),$N$3:N736),'Guide &amp; Settings'!$C$41))</f>
        <v>0</v>
      </c>
      <c r="I737" s="122">
        <f>IF($D737="",0,IF($S737=0,0,$R737/$S737))</f>
        <v>0</v>
      </c>
      <c r="J737" s="123">
        <f>IF($D737="",0,IF($F737&lt;2,0,IF($E737="Win",('Guide &amp; Settings'!$C$42/(($F737-1)*COUNTIFS($A$4:$A$810,$A737,$E$4:$E$810,"Win")))*SUMIFS($X$4:$X$810,$A$4:$A$810,$A737,$E$4:$E$810,"Loss"),-('Guide &amp; Settings'!$C$42/($F737-1))*$X737)))</f>
        <v>0</v>
      </c>
      <c r="K737" s="123">
        <f>IF($D737="",0,'Guide &amp; Settings'!$C$43*(IF($E737="Win",1,0)-$I737))</f>
        <v>0</v>
      </c>
      <c r="L737" s="124">
        <f>IF($D737="",0,'Guide &amp; Settings'!$C$44*IF($F737&gt;=3,$F737+IF($E737="Win",$F737,0),0))</f>
        <v>0</v>
      </c>
      <c r="M737" s="123">
        <f>IF($D737="",0,$J737+$K737+$L737)</f>
        <v>0</v>
      </c>
      <c r="N737" s="121">
        <f>IF($D737="",0,$H737+$M737)</f>
        <v>0</v>
      </c>
      <c r="O737" s="120" t="str">
        <f>IF($D737="","",IF(COUNTIFS($A$4:$A$810,$A737,$E$4:$E$810,"Win")=0,"need a winner",IF(COUNTIFS($A$4:$A$810,$A737,$E$4:$E$810,"Loss")=0,"need a loser",IF(COUNTIFS($A$4:$A$810,$A737,$D$4:$D$810,$D737)&gt;1,"duplicate player","OK"))))</f>
      </c>
      <c r="P737">
        <f>IF($D737="",0,IFERROR(SUMIFS($H$4:$H$810,$A$4:$A$810,$A737,$E$4:$E$810,"Win")/COUNTIFS($A$4:$A$810,$A737,$E$4:$E$810,"Win"),0))</f>
        <v>0</v>
      </c>
      <c r="Q737">
        <f>IF($D737="",0,1/(1+10^(($P737-$H737)/400)))</f>
        <v>0</v>
      </c>
      <c r="R737">
        <f>IF($D737="",0,(COUNTIFS($D$4:$D$810,$D737,$C$4:$C$810,$C737,$E$4:$E$810,"Win",$A$4:$A$810,"&lt;"&amp;$A737)+1)/(COUNTIFS($D$4:$D$810,$D737,$C$4:$C$810,$C737,$A$4:$A$810,"&lt;"&amp;$A737)+2))</f>
        <v>0</v>
      </c>
      <c r="S737">
        <f>IF($D737="",0,SUMIFS($R$4:$R$810,$A$4:$A$810,$A737))</f>
        <v>0</v>
      </c>
      <c r="T737" s="88">
        <f>IF($D737="",0,COUNTIFS($D$4:$D$810,$D737,$C$4:$C$810,$C737,$A$4:$A$810,"&lt;"&amp;$A737))</f>
        <v>0</v>
      </c>
      <c r="U737" s="125">
        <f>IF($D737="",0,IFERROR(LOOKUP(2,1/(($D$3:D736=$D737)*($C$3:C736=$C737)*($A$3:A736&lt;$A737)),$AB$3:AB736),1000))</f>
        <v>0</v>
      </c>
      <c r="V737" s="125">
        <f>IF($D737="",0,$U737*($T737/($T737+5))+$H737*(1-$T737/($T737+5)))</f>
        <v>0</v>
      </c>
      <c r="W737">
        <f>IF($D737="",0,IFERROR(SUMIFS($V$4:$V$810,$A$4:$A$810,$A737,$E$4:$E$810,"Win")/COUNTIFS($A$4:$A$810,$A737,$E$4:$E$810,"Win"),0))</f>
        <v>0</v>
      </c>
      <c r="X737">
        <f>IF($D737="",0,1/(1+10^(($W737-$V737)/400)))</f>
        <v>0</v>
      </c>
      <c r="Y737">
        <f>IF($D737="",0,IFERROR(SUMIFS($U$4:$U$810,$A$4:$A$810,$A737,$E$4:$E$810,"Win")/COUNTIFS($A$4:$A$810,$A737,$E$4:$E$810,"Win"),0))</f>
        <v>0</v>
      </c>
      <c r="Z737">
        <f>IF($D737="",0,1/(1+10^(($Y737-$U737)/400)))</f>
        <v>0</v>
      </c>
      <c r="AA737">
        <f>IF($D737="",0,IF($F737&lt;2,0,IF($E737="Win",('Guide &amp; Settings'!$C$42/(($F737-1)*COUNTIFS($A$4:$A$810,$A737,$E$4:$E$810,"Win")))*SUMIFS($Z$4:$Z$810,$A$4:$A$810,$A737,$E$4:$E$810,"Loss"),-('Guide &amp; Settings'!$C$42/($F737-1))*$Z737)))</f>
        <v>0</v>
      </c>
      <c r="AB737" s="125">
        <f>IF($D737="",0,$U737+$AA737)</f>
        <v>0</v>
      </c>
      <c r="AC737" s="125" t="str">
        <f>IF($D737="","",IF(SUMPRODUCT(MAX(($D$4:$D$810=$D737)*($B$4:$B$810&lt;$B737)*$B$4:$B$810))=0,0,MAX(($B737-MAX(SUMPRODUCT(MAX(($D$4:$D$810=$D737)*($B$4:$B$810&lt;$B737)*$B$4:$B$810)),'Guide &amp; Settings'!$C$50))/7-'Guide &amp; Settings'!$C$48,0)*'Guide &amp; Settings'!$C$49))</f>
      </c>
    </row>
    <row r="738" spans="1:29">
      <c r="A738" s="116"/>
      <c r="B738" s="117"/>
      <c r="C738" s="118"/>
      <c r="D738" s="118"/>
      <c r="E738" s="116"/>
      <c r="F738" s="119">
        <f>IF($D738="",0,COUNTIF($A$4:$A$810,$A738))</f>
        <v>0</v>
      </c>
      <c r="G738" s="120">
        <f>IF($D738="","",IFERROR(LOOKUP(2,1/(($A$4:$A$810=$A738)*($E$4:$E$810="Win")),$D$4:$D$810),"(no winner)"))</f>
        <v>0</v>
      </c>
      <c r="H738" s="121">
        <f>IF($D738="",0,IFERROR(LOOKUP(2,1/(($D$3:D737=$D738)*($A$3:A737&lt;$A738)),$N$3:N737),'Guide &amp; Settings'!$C$41))</f>
        <v>0</v>
      </c>
      <c r="I738" s="122">
        <f>IF($D738="",0,IF($S738=0,0,$R738/$S738))</f>
        <v>0</v>
      </c>
      <c r="J738" s="123">
        <f>IF($D738="",0,IF($F738&lt;2,0,IF($E738="Win",('Guide &amp; Settings'!$C$42/(($F738-1)*COUNTIFS($A$4:$A$810,$A738,$E$4:$E$810,"Win")))*SUMIFS($X$4:$X$810,$A$4:$A$810,$A738,$E$4:$E$810,"Loss"),-('Guide &amp; Settings'!$C$42/($F738-1))*$X738)))</f>
        <v>0</v>
      </c>
      <c r="K738" s="123">
        <f>IF($D738="",0,'Guide &amp; Settings'!$C$43*(IF($E738="Win",1,0)-$I738))</f>
        <v>0</v>
      </c>
      <c r="L738" s="124">
        <f>IF($D738="",0,'Guide &amp; Settings'!$C$44*IF($F738&gt;=3,$F738+IF($E738="Win",$F738,0),0))</f>
        <v>0</v>
      </c>
      <c r="M738" s="123">
        <f>IF($D738="",0,$J738+$K738+$L738)</f>
        <v>0</v>
      </c>
      <c r="N738" s="121">
        <f>IF($D738="",0,$H738+$M738)</f>
        <v>0</v>
      </c>
      <c r="O738" s="120" t="str">
        <f>IF($D738="","",IF(COUNTIFS($A$4:$A$810,$A738,$E$4:$E$810,"Win")=0,"need a winner",IF(COUNTIFS($A$4:$A$810,$A738,$E$4:$E$810,"Loss")=0,"need a loser",IF(COUNTIFS($A$4:$A$810,$A738,$D$4:$D$810,$D738)&gt;1,"duplicate player","OK"))))</f>
      </c>
      <c r="P738">
        <f>IF($D738="",0,IFERROR(SUMIFS($H$4:$H$810,$A$4:$A$810,$A738,$E$4:$E$810,"Win")/COUNTIFS($A$4:$A$810,$A738,$E$4:$E$810,"Win"),0))</f>
        <v>0</v>
      </c>
      <c r="Q738">
        <f>IF($D738="",0,1/(1+10^(($P738-$H738)/400)))</f>
        <v>0</v>
      </c>
      <c r="R738">
        <f>IF($D738="",0,(COUNTIFS($D$4:$D$810,$D738,$C$4:$C$810,$C738,$E$4:$E$810,"Win",$A$4:$A$810,"&lt;"&amp;$A738)+1)/(COUNTIFS($D$4:$D$810,$D738,$C$4:$C$810,$C738,$A$4:$A$810,"&lt;"&amp;$A738)+2))</f>
        <v>0</v>
      </c>
      <c r="S738">
        <f>IF($D738="",0,SUMIFS($R$4:$R$810,$A$4:$A$810,$A738))</f>
        <v>0</v>
      </c>
      <c r="T738" s="88">
        <f>IF($D738="",0,COUNTIFS($D$4:$D$810,$D738,$C$4:$C$810,$C738,$A$4:$A$810,"&lt;"&amp;$A738))</f>
        <v>0</v>
      </c>
      <c r="U738" s="125">
        <f>IF($D738="",0,IFERROR(LOOKUP(2,1/(($D$3:D737=$D738)*($C$3:C737=$C738)*($A$3:A737&lt;$A738)),$AB$3:AB737),1000))</f>
        <v>0</v>
      </c>
      <c r="V738" s="125">
        <f>IF($D738="",0,$U738*($T738/($T738+5))+$H738*(1-$T738/($T738+5)))</f>
        <v>0</v>
      </c>
      <c r="W738">
        <f>IF($D738="",0,IFERROR(SUMIFS($V$4:$V$810,$A$4:$A$810,$A738,$E$4:$E$810,"Win")/COUNTIFS($A$4:$A$810,$A738,$E$4:$E$810,"Win"),0))</f>
        <v>0</v>
      </c>
      <c r="X738">
        <f>IF($D738="",0,1/(1+10^(($W738-$V738)/400)))</f>
        <v>0</v>
      </c>
      <c r="Y738">
        <f>IF($D738="",0,IFERROR(SUMIFS($U$4:$U$810,$A$4:$A$810,$A738,$E$4:$E$810,"Win")/COUNTIFS($A$4:$A$810,$A738,$E$4:$E$810,"Win"),0))</f>
        <v>0</v>
      </c>
      <c r="Z738">
        <f>IF($D738="",0,1/(1+10^(($Y738-$U738)/400)))</f>
        <v>0</v>
      </c>
      <c r="AA738">
        <f>IF($D738="",0,IF($F738&lt;2,0,IF($E738="Win",('Guide &amp; Settings'!$C$42/(($F738-1)*COUNTIFS($A$4:$A$810,$A738,$E$4:$E$810,"Win")))*SUMIFS($Z$4:$Z$810,$A$4:$A$810,$A738,$E$4:$E$810,"Loss"),-('Guide &amp; Settings'!$C$42/($F738-1))*$Z738)))</f>
        <v>0</v>
      </c>
      <c r="AB738" s="125">
        <f>IF($D738="",0,$U738+$AA738)</f>
        <v>0</v>
      </c>
      <c r="AC738" s="125" t="str">
        <f>IF($D738="","",IF(SUMPRODUCT(MAX(($D$4:$D$810=$D738)*($B$4:$B$810&lt;$B738)*$B$4:$B$810))=0,0,MAX(($B738-MAX(SUMPRODUCT(MAX(($D$4:$D$810=$D738)*($B$4:$B$810&lt;$B738)*$B$4:$B$810)),'Guide &amp; Settings'!$C$50))/7-'Guide &amp; Settings'!$C$48,0)*'Guide &amp; Settings'!$C$49))</f>
      </c>
    </row>
    <row r="739" spans="1:29">
      <c r="A739" s="116"/>
      <c r="B739" s="117"/>
      <c r="C739" s="118"/>
      <c r="D739" s="118"/>
      <c r="E739" s="116"/>
      <c r="F739" s="119">
        <f>IF($D739="",0,COUNTIF($A$4:$A$810,$A739))</f>
        <v>0</v>
      </c>
      <c r="G739" s="120">
        <f>IF($D739="","",IFERROR(LOOKUP(2,1/(($A$4:$A$810=$A739)*($E$4:$E$810="Win")),$D$4:$D$810),"(no winner)"))</f>
        <v>0</v>
      </c>
      <c r="H739" s="121">
        <f>IF($D739="",0,IFERROR(LOOKUP(2,1/(($D$3:D738=$D739)*($A$3:A738&lt;$A739)),$N$3:N738),'Guide &amp; Settings'!$C$41))</f>
        <v>0</v>
      </c>
      <c r="I739" s="122">
        <f>IF($D739="",0,IF($S739=0,0,$R739/$S739))</f>
        <v>0</v>
      </c>
      <c r="J739" s="123">
        <f>IF($D739="",0,IF($F739&lt;2,0,IF($E739="Win",('Guide &amp; Settings'!$C$42/(($F739-1)*COUNTIFS($A$4:$A$810,$A739,$E$4:$E$810,"Win")))*SUMIFS($X$4:$X$810,$A$4:$A$810,$A739,$E$4:$E$810,"Loss"),-('Guide &amp; Settings'!$C$42/($F739-1))*$X739)))</f>
        <v>0</v>
      </c>
      <c r="K739" s="123">
        <f>IF($D739="",0,'Guide &amp; Settings'!$C$43*(IF($E739="Win",1,0)-$I739))</f>
        <v>0</v>
      </c>
      <c r="L739" s="124">
        <f>IF($D739="",0,'Guide &amp; Settings'!$C$44*IF($F739&gt;=3,$F739+IF($E739="Win",$F739,0),0))</f>
        <v>0</v>
      </c>
      <c r="M739" s="123">
        <f>IF($D739="",0,$J739+$K739+$L739)</f>
        <v>0</v>
      </c>
      <c r="N739" s="121">
        <f>IF($D739="",0,$H739+$M739)</f>
        <v>0</v>
      </c>
      <c r="O739" s="120" t="str">
        <f>IF($D739="","",IF(COUNTIFS($A$4:$A$810,$A739,$E$4:$E$810,"Win")=0,"need a winner",IF(COUNTIFS($A$4:$A$810,$A739,$E$4:$E$810,"Loss")=0,"need a loser",IF(COUNTIFS($A$4:$A$810,$A739,$D$4:$D$810,$D739)&gt;1,"duplicate player","OK"))))</f>
      </c>
      <c r="P739">
        <f>IF($D739="",0,IFERROR(SUMIFS($H$4:$H$810,$A$4:$A$810,$A739,$E$4:$E$810,"Win")/COUNTIFS($A$4:$A$810,$A739,$E$4:$E$810,"Win"),0))</f>
        <v>0</v>
      </c>
      <c r="Q739">
        <f>IF($D739="",0,1/(1+10^(($P739-$H739)/400)))</f>
        <v>0</v>
      </c>
      <c r="R739">
        <f>IF($D739="",0,(COUNTIFS($D$4:$D$810,$D739,$C$4:$C$810,$C739,$E$4:$E$810,"Win",$A$4:$A$810,"&lt;"&amp;$A739)+1)/(COUNTIFS($D$4:$D$810,$D739,$C$4:$C$810,$C739,$A$4:$A$810,"&lt;"&amp;$A739)+2))</f>
        <v>0</v>
      </c>
      <c r="S739">
        <f>IF($D739="",0,SUMIFS($R$4:$R$810,$A$4:$A$810,$A739))</f>
        <v>0</v>
      </c>
      <c r="T739" s="88">
        <f>IF($D739="",0,COUNTIFS($D$4:$D$810,$D739,$C$4:$C$810,$C739,$A$4:$A$810,"&lt;"&amp;$A739))</f>
        <v>0</v>
      </c>
      <c r="U739" s="125">
        <f>IF($D739="",0,IFERROR(LOOKUP(2,1/(($D$3:D738=$D739)*($C$3:C738=$C739)*($A$3:A738&lt;$A739)),$AB$3:AB738),1000))</f>
        <v>0</v>
      </c>
      <c r="V739" s="125">
        <f>IF($D739="",0,$U739*($T739/($T739+5))+$H739*(1-$T739/($T739+5)))</f>
        <v>0</v>
      </c>
      <c r="W739">
        <f>IF($D739="",0,IFERROR(SUMIFS($V$4:$V$810,$A$4:$A$810,$A739,$E$4:$E$810,"Win")/COUNTIFS($A$4:$A$810,$A739,$E$4:$E$810,"Win"),0))</f>
        <v>0</v>
      </c>
      <c r="X739">
        <f>IF($D739="",0,1/(1+10^(($W739-$V739)/400)))</f>
        <v>0</v>
      </c>
      <c r="Y739">
        <f>IF($D739="",0,IFERROR(SUMIFS($U$4:$U$810,$A$4:$A$810,$A739,$E$4:$E$810,"Win")/COUNTIFS($A$4:$A$810,$A739,$E$4:$E$810,"Win"),0))</f>
        <v>0</v>
      </c>
      <c r="Z739">
        <f>IF($D739="",0,1/(1+10^(($Y739-$U739)/400)))</f>
        <v>0</v>
      </c>
      <c r="AA739">
        <f>IF($D739="",0,IF($F739&lt;2,0,IF($E739="Win",('Guide &amp; Settings'!$C$42/(($F739-1)*COUNTIFS($A$4:$A$810,$A739,$E$4:$E$810,"Win")))*SUMIFS($Z$4:$Z$810,$A$4:$A$810,$A739,$E$4:$E$810,"Loss"),-('Guide &amp; Settings'!$C$42/($F739-1))*$Z739)))</f>
        <v>0</v>
      </c>
      <c r="AB739" s="125">
        <f>IF($D739="",0,$U739+$AA739)</f>
        <v>0</v>
      </c>
      <c r="AC739" s="125" t="str">
        <f>IF($D739="","",IF(SUMPRODUCT(MAX(($D$4:$D$810=$D739)*($B$4:$B$810&lt;$B739)*$B$4:$B$810))=0,0,MAX(($B739-MAX(SUMPRODUCT(MAX(($D$4:$D$810=$D739)*($B$4:$B$810&lt;$B739)*$B$4:$B$810)),'Guide &amp; Settings'!$C$50))/7-'Guide &amp; Settings'!$C$48,0)*'Guide &amp; Settings'!$C$49))</f>
      </c>
    </row>
    <row r="740" spans="1:29">
      <c r="A740" s="116"/>
      <c r="B740" s="117"/>
      <c r="C740" s="118"/>
      <c r="D740" s="118"/>
      <c r="E740" s="116"/>
      <c r="F740" s="119">
        <f>IF($D740="",0,COUNTIF($A$4:$A$810,$A740))</f>
        <v>0</v>
      </c>
      <c r="G740" s="120">
        <f>IF($D740="","",IFERROR(LOOKUP(2,1/(($A$4:$A$810=$A740)*($E$4:$E$810="Win")),$D$4:$D$810),"(no winner)"))</f>
        <v>0</v>
      </c>
      <c r="H740" s="121">
        <f>IF($D740="",0,IFERROR(LOOKUP(2,1/(($D$3:D739=$D740)*($A$3:A739&lt;$A740)),$N$3:N739),'Guide &amp; Settings'!$C$41))</f>
        <v>0</v>
      </c>
      <c r="I740" s="122">
        <f>IF($D740="",0,IF($S740=0,0,$R740/$S740))</f>
        <v>0</v>
      </c>
      <c r="J740" s="123">
        <f>IF($D740="",0,IF($F740&lt;2,0,IF($E740="Win",('Guide &amp; Settings'!$C$42/(($F740-1)*COUNTIFS($A$4:$A$810,$A740,$E$4:$E$810,"Win")))*SUMIFS($X$4:$X$810,$A$4:$A$810,$A740,$E$4:$E$810,"Loss"),-('Guide &amp; Settings'!$C$42/($F740-1))*$X740)))</f>
        <v>0</v>
      </c>
      <c r="K740" s="123">
        <f>IF($D740="",0,'Guide &amp; Settings'!$C$43*(IF($E740="Win",1,0)-$I740))</f>
        <v>0</v>
      </c>
      <c r="L740" s="124">
        <f>IF($D740="",0,'Guide &amp; Settings'!$C$44*IF($F740&gt;=3,$F740+IF($E740="Win",$F740,0),0))</f>
        <v>0</v>
      </c>
      <c r="M740" s="123">
        <f>IF($D740="",0,$J740+$K740+$L740)</f>
        <v>0</v>
      </c>
      <c r="N740" s="121">
        <f>IF($D740="",0,$H740+$M740)</f>
        <v>0</v>
      </c>
      <c r="O740" s="120" t="str">
        <f>IF($D740="","",IF(COUNTIFS($A$4:$A$810,$A740,$E$4:$E$810,"Win")=0,"need a winner",IF(COUNTIFS($A$4:$A$810,$A740,$E$4:$E$810,"Loss")=0,"need a loser",IF(COUNTIFS($A$4:$A$810,$A740,$D$4:$D$810,$D740)&gt;1,"duplicate player","OK"))))</f>
      </c>
      <c r="P740">
        <f>IF($D740="",0,IFERROR(SUMIFS($H$4:$H$810,$A$4:$A$810,$A740,$E$4:$E$810,"Win")/COUNTIFS($A$4:$A$810,$A740,$E$4:$E$810,"Win"),0))</f>
        <v>0</v>
      </c>
      <c r="Q740">
        <f>IF($D740="",0,1/(1+10^(($P740-$H740)/400)))</f>
        <v>0</v>
      </c>
      <c r="R740">
        <f>IF($D740="",0,(COUNTIFS($D$4:$D$810,$D740,$C$4:$C$810,$C740,$E$4:$E$810,"Win",$A$4:$A$810,"&lt;"&amp;$A740)+1)/(COUNTIFS($D$4:$D$810,$D740,$C$4:$C$810,$C740,$A$4:$A$810,"&lt;"&amp;$A740)+2))</f>
        <v>0</v>
      </c>
      <c r="S740">
        <f>IF($D740="",0,SUMIFS($R$4:$R$810,$A$4:$A$810,$A740))</f>
        <v>0</v>
      </c>
      <c r="T740" s="88">
        <f>IF($D740="",0,COUNTIFS($D$4:$D$810,$D740,$C$4:$C$810,$C740,$A$4:$A$810,"&lt;"&amp;$A740))</f>
        <v>0</v>
      </c>
      <c r="U740" s="125">
        <f>IF($D740="",0,IFERROR(LOOKUP(2,1/(($D$3:D739=$D740)*($C$3:C739=$C740)*($A$3:A739&lt;$A740)),$AB$3:AB739),1000))</f>
        <v>0</v>
      </c>
      <c r="V740" s="125">
        <f>IF($D740="",0,$U740*($T740/($T740+5))+$H740*(1-$T740/($T740+5)))</f>
        <v>0</v>
      </c>
      <c r="W740">
        <f>IF($D740="",0,IFERROR(SUMIFS($V$4:$V$810,$A$4:$A$810,$A740,$E$4:$E$810,"Win")/COUNTIFS($A$4:$A$810,$A740,$E$4:$E$810,"Win"),0))</f>
        <v>0</v>
      </c>
      <c r="X740">
        <f>IF($D740="",0,1/(1+10^(($W740-$V740)/400)))</f>
        <v>0</v>
      </c>
      <c r="Y740">
        <f>IF($D740="",0,IFERROR(SUMIFS($U$4:$U$810,$A$4:$A$810,$A740,$E$4:$E$810,"Win")/COUNTIFS($A$4:$A$810,$A740,$E$4:$E$810,"Win"),0))</f>
        <v>0</v>
      </c>
      <c r="Z740">
        <f>IF($D740="",0,1/(1+10^(($Y740-$U740)/400)))</f>
        <v>0</v>
      </c>
      <c r="AA740">
        <f>IF($D740="",0,IF($F740&lt;2,0,IF($E740="Win",('Guide &amp; Settings'!$C$42/(($F740-1)*COUNTIFS($A$4:$A$810,$A740,$E$4:$E$810,"Win")))*SUMIFS($Z$4:$Z$810,$A$4:$A$810,$A740,$E$4:$E$810,"Loss"),-('Guide &amp; Settings'!$C$42/($F740-1))*$Z740)))</f>
        <v>0</v>
      </c>
      <c r="AB740" s="125">
        <f>IF($D740="",0,$U740+$AA740)</f>
        <v>0</v>
      </c>
      <c r="AC740" s="125" t="str">
        <f>IF($D740="","",IF(SUMPRODUCT(MAX(($D$4:$D$810=$D740)*($B$4:$B$810&lt;$B740)*$B$4:$B$810))=0,0,MAX(($B740-MAX(SUMPRODUCT(MAX(($D$4:$D$810=$D740)*($B$4:$B$810&lt;$B740)*$B$4:$B$810)),'Guide &amp; Settings'!$C$50))/7-'Guide &amp; Settings'!$C$48,0)*'Guide &amp; Settings'!$C$49))</f>
      </c>
    </row>
    <row r="741" spans="1:29">
      <c r="A741" s="116"/>
      <c r="B741" s="117"/>
      <c r="C741" s="118"/>
      <c r="D741" s="118"/>
      <c r="E741" s="116"/>
      <c r="F741" s="119">
        <f>IF($D741="",0,COUNTIF($A$4:$A$810,$A741))</f>
        <v>0</v>
      </c>
      <c r="G741" s="120">
        <f>IF($D741="","",IFERROR(LOOKUP(2,1/(($A$4:$A$810=$A741)*($E$4:$E$810="Win")),$D$4:$D$810),"(no winner)"))</f>
        <v>0</v>
      </c>
      <c r="H741" s="121">
        <f>IF($D741="",0,IFERROR(LOOKUP(2,1/(($D$3:D740=$D741)*($A$3:A740&lt;$A741)),$N$3:N740),'Guide &amp; Settings'!$C$41))</f>
        <v>0</v>
      </c>
      <c r="I741" s="122">
        <f>IF($D741="",0,IF($S741=0,0,$R741/$S741))</f>
        <v>0</v>
      </c>
      <c r="J741" s="123">
        <f>IF($D741="",0,IF($F741&lt;2,0,IF($E741="Win",('Guide &amp; Settings'!$C$42/(($F741-1)*COUNTIFS($A$4:$A$810,$A741,$E$4:$E$810,"Win")))*SUMIFS($X$4:$X$810,$A$4:$A$810,$A741,$E$4:$E$810,"Loss"),-('Guide &amp; Settings'!$C$42/($F741-1))*$X741)))</f>
        <v>0</v>
      </c>
      <c r="K741" s="123">
        <f>IF($D741="",0,'Guide &amp; Settings'!$C$43*(IF($E741="Win",1,0)-$I741))</f>
        <v>0</v>
      </c>
      <c r="L741" s="124">
        <f>IF($D741="",0,'Guide &amp; Settings'!$C$44*IF($F741&gt;=3,$F741+IF($E741="Win",$F741,0),0))</f>
        <v>0</v>
      </c>
      <c r="M741" s="123">
        <f>IF($D741="",0,$J741+$K741+$L741)</f>
        <v>0</v>
      </c>
      <c r="N741" s="121">
        <f>IF($D741="",0,$H741+$M741)</f>
        <v>0</v>
      </c>
      <c r="O741" s="120" t="str">
        <f>IF($D741="","",IF(COUNTIFS($A$4:$A$810,$A741,$E$4:$E$810,"Win")=0,"need a winner",IF(COUNTIFS($A$4:$A$810,$A741,$E$4:$E$810,"Loss")=0,"need a loser",IF(COUNTIFS($A$4:$A$810,$A741,$D$4:$D$810,$D741)&gt;1,"duplicate player","OK"))))</f>
      </c>
      <c r="P741">
        <f>IF($D741="",0,IFERROR(SUMIFS($H$4:$H$810,$A$4:$A$810,$A741,$E$4:$E$810,"Win")/COUNTIFS($A$4:$A$810,$A741,$E$4:$E$810,"Win"),0))</f>
        <v>0</v>
      </c>
      <c r="Q741">
        <f>IF($D741="",0,1/(1+10^(($P741-$H741)/400)))</f>
        <v>0</v>
      </c>
      <c r="R741">
        <f>IF($D741="",0,(COUNTIFS($D$4:$D$810,$D741,$C$4:$C$810,$C741,$E$4:$E$810,"Win",$A$4:$A$810,"&lt;"&amp;$A741)+1)/(COUNTIFS($D$4:$D$810,$D741,$C$4:$C$810,$C741,$A$4:$A$810,"&lt;"&amp;$A741)+2))</f>
        <v>0</v>
      </c>
      <c r="S741">
        <f>IF($D741="",0,SUMIFS($R$4:$R$810,$A$4:$A$810,$A741))</f>
        <v>0</v>
      </c>
      <c r="T741" s="88">
        <f>IF($D741="",0,COUNTIFS($D$4:$D$810,$D741,$C$4:$C$810,$C741,$A$4:$A$810,"&lt;"&amp;$A741))</f>
        <v>0</v>
      </c>
      <c r="U741" s="125">
        <f>IF($D741="",0,IFERROR(LOOKUP(2,1/(($D$3:D740=$D741)*($C$3:C740=$C741)*($A$3:A740&lt;$A741)),$AB$3:AB740),1000))</f>
        <v>0</v>
      </c>
      <c r="V741" s="125">
        <f>IF($D741="",0,$U741*($T741/($T741+5))+$H741*(1-$T741/($T741+5)))</f>
        <v>0</v>
      </c>
      <c r="W741">
        <f>IF($D741="",0,IFERROR(SUMIFS($V$4:$V$810,$A$4:$A$810,$A741,$E$4:$E$810,"Win")/COUNTIFS($A$4:$A$810,$A741,$E$4:$E$810,"Win"),0))</f>
        <v>0</v>
      </c>
      <c r="X741">
        <f>IF($D741="",0,1/(1+10^(($W741-$V741)/400)))</f>
        <v>0</v>
      </c>
      <c r="Y741">
        <f>IF($D741="",0,IFERROR(SUMIFS($U$4:$U$810,$A$4:$A$810,$A741,$E$4:$E$810,"Win")/COUNTIFS($A$4:$A$810,$A741,$E$4:$E$810,"Win"),0))</f>
        <v>0</v>
      </c>
      <c r="Z741">
        <f>IF($D741="",0,1/(1+10^(($Y741-$U741)/400)))</f>
        <v>0</v>
      </c>
      <c r="AA741">
        <f>IF($D741="",0,IF($F741&lt;2,0,IF($E741="Win",('Guide &amp; Settings'!$C$42/(($F741-1)*COUNTIFS($A$4:$A$810,$A741,$E$4:$E$810,"Win")))*SUMIFS($Z$4:$Z$810,$A$4:$A$810,$A741,$E$4:$E$810,"Loss"),-('Guide &amp; Settings'!$C$42/($F741-1))*$Z741)))</f>
        <v>0</v>
      </c>
      <c r="AB741" s="125">
        <f>IF($D741="",0,$U741+$AA741)</f>
        <v>0</v>
      </c>
      <c r="AC741" s="125" t="str">
        <f>IF($D741="","",IF(SUMPRODUCT(MAX(($D$4:$D$810=$D741)*($B$4:$B$810&lt;$B741)*$B$4:$B$810))=0,0,MAX(($B741-MAX(SUMPRODUCT(MAX(($D$4:$D$810=$D741)*($B$4:$B$810&lt;$B741)*$B$4:$B$810)),'Guide &amp; Settings'!$C$50))/7-'Guide &amp; Settings'!$C$48,0)*'Guide &amp; Settings'!$C$49))</f>
      </c>
    </row>
    <row r="742" spans="1:29">
      <c r="A742" s="116"/>
      <c r="B742" s="117"/>
      <c r="C742" s="118"/>
      <c r="D742" s="118"/>
      <c r="E742" s="116"/>
      <c r="F742" s="119">
        <f>IF($D742="",0,COUNTIF($A$4:$A$810,$A742))</f>
        <v>0</v>
      </c>
      <c r="G742" s="120">
        <f>IF($D742="","",IFERROR(LOOKUP(2,1/(($A$4:$A$810=$A742)*($E$4:$E$810="Win")),$D$4:$D$810),"(no winner)"))</f>
        <v>0</v>
      </c>
      <c r="H742" s="121">
        <f>IF($D742="",0,IFERROR(LOOKUP(2,1/(($D$3:D741=$D742)*($A$3:A741&lt;$A742)),$N$3:N741),'Guide &amp; Settings'!$C$41))</f>
        <v>0</v>
      </c>
      <c r="I742" s="122">
        <f>IF($D742="",0,IF($S742=0,0,$R742/$S742))</f>
        <v>0</v>
      </c>
      <c r="J742" s="123">
        <f>IF($D742="",0,IF($F742&lt;2,0,IF($E742="Win",('Guide &amp; Settings'!$C$42/(($F742-1)*COUNTIFS($A$4:$A$810,$A742,$E$4:$E$810,"Win")))*SUMIFS($X$4:$X$810,$A$4:$A$810,$A742,$E$4:$E$810,"Loss"),-('Guide &amp; Settings'!$C$42/($F742-1))*$X742)))</f>
        <v>0</v>
      </c>
      <c r="K742" s="123">
        <f>IF($D742="",0,'Guide &amp; Settings'!$C$43*(IF($E742="Win",1,0)-$I742))</f>
        <v>0</v>
      </c>
      <c r="L742" s="124">
        <f>IF($D742="",0,'Guide &amp; Settings'!$C$44*IF($F742&gt;=3,$F742+IF($E742="Win",$F742,0),0))</f>
        <v>0</v>
      </c>
      <c r="M742" s="123">
        <f>IF($D742="",0,$J742+$K742+$L742)</f>
        <v>0</v>
      </c>
      <c r="N742" s="121">
        <f>IF($D742="",0,$H742+$M742)</f>
        <v>0</v>
      </c>
      <c r="O742" s="120" t="str">
        <f>IF($D742="","",IF(COUNTIFS($A$4:$A$810,$A742,$E$4:$E$810,"Win")=0,"need a winner",IF(COUNTIFS($A$4:$A$810,$A742,$E$4:$E$810,"Loss")=0,"need a loser",IF(COUNTIFS($A$4:$A$810,$A742,$D$4:$D$810,$D742)&gt;1,"duplicate player","OK"))))</f>
      </c>
      <c r="P742">
        <f>IF($D742="",0,IFERROR(SUMIFS($H$4:$H$810,$A$4:$A$810,$A742,$E$4:$E$810,"Win")/COUNTIFS($A$4:$A$810,$A742,$E$4:$E$810,"Win"),0))</f>
        <v>0</v>
      </c>
      <c r="Q742">
        <f>IF($D742="",0,1/(1+10^(($P742-$H742)/400)))</f>
        <v>0</v>
      </c>
      <c r="R742">
        <f>IF($D742="",0,(COUNTIFS($D$4:$D$810,$D742,$C$4:$C$810,$C742,$E$4:$E$810,"Win",$A$4:$A$810,"&lt;"&amp;$A742)+1)/(COUNTIFS($D$4:$D$810,$D742,$C$4:$C$810,$C742,$A$4:$A$810,"&lt;"&amp;$A742)+2))</f>
        <v>0</v>
      </c>
      <c r="S742">
        <f>IF($D742="",0,SUMIFS($R$4:$R$810,$A$4:$A$810,$A742))</f>
        <v>0</v>
      </c>
      <c r="T742" s="88">
        <f>IF($D742="",0,COUNTIFS($D$4:$D$810,$D742,$C$4:$C$810,$C742,$A$4:$A$810,"&lt;"&amp;$A742))</f>
        <v>0</v>
      </c>
      <c r="U742" s="125">
        <f>IF($D742="",0,IFERROR(LOOKUP(2,1/(($D$3:D741=$D742)*($C$3:C741=$C742)*($A$3:A741&lt;$A742)),$AB$3:AB741),1000))</f>
        <v>0</v>
      </c>
      <c r="V742" s="125">
        <f>IF($D742="",0,$U742*($T742/($T742+5))+$H742*(1-$T742/($T742+5)))</f>
        <v>0</v>
      </c>
      <c r="W742">
        <f>IF($D742="",0,IFERROR(SUMIFS($V$4:$V$810,$A$4:$A$810,$A742,$E$4:$E$810,"Win")/COUNTIFS($A$4:$A$810,$A742,$E$4:$E$810,"Win"),0))</f>
        <v>0</v>
      </c>
      <c r="X742">
        <f>IF($D742="",0,1/(1+10^(($W742-$V742)/400)))</f>
        <v>0</v>
      </c>
      <c r="Y742">
        <f>IF($D742="",0,IFERROR(SUMIFS($U$4:$U$810,$A$4:$A$810,$A742,$E$4:$E$810,"Win")/COUNTIFS($A$4:$A$810,$A742,$E$4:$E$810,"Win"),0))</f>
        <v>0</v>
      </c>
      <c r="Z742">
        <f>IF($D742="",0,1/(1+10^(($Y742-$U742)/400)))</f>
        <v>0</v>
      </c>
      <c r="AA742">
        <f>IF($D742="",0,IF($F742&lt;2,0,IF($E742="Win",('Guide &amp; Settings'!$C$42/(($F742-1)*COUNTIFS($A$4:$A$810,$A742,$E$4:$E$810,"Win")))*SUMIFS($Z$4:$Z$810,$A$4:$A$810,$A742,$E$4:$E$810,"Loss"),-('Guide &amp; Settings'!$C$42/($F742-1))*$Z742)))</f>
        <v>0</v>
      </c>
      <c r="AB742" s="125">
        <f>IF($D742="",0,$U742+$AA742)</f>
        <v>0</v>
      </c>
      <c r="AC742" s="125" t="str">
        <f>IF($D742="","",IF(SUMPRODUCT(MAX(($D$4:$D$810=$D742)*($B$4:$B$810&lt;$B742)*$B$4:$B$810))=0,0,MAX(($B742-MAX(SUMPRODUCT(MAX(($D$4:$D$810=$D742)*($B$4:$B$810&lt;$B742)*$B$4:$B$810)),'Guide &amp; Settings'!$C$50))/7-'Guide &amp; Settings'!$C$48,0)*'Guide &amp; Settings'!$C$49))</f>
      </c>
    </row>
    <row r="743" spans="1:29">
      <c r="A743" s="116"/>
      <c r="B743" s="117"/>
      <c r="C743" s="118"/>
      <c r="D743" s="118"/>
      <c r="E743" s="116"/>
      <c r="F743" s="119">
        <f>IF($D743="",0,COUNTIF($A$4:$A$810,$A743))</f>
        <v>0</v>
      </c>
      <c r="G743" s="120">
        <f>IF($D743="","",IFERROR(LOOKUP(2,1/(($A$4:$A$810=$A743)*($E$4:$E$810="Win")),$D$4:$D$810),"(no winner)"))</f>
        <v>0</v>
      </c>
      <c r="H743" s="121">
        <f>IF($D743="",0,IFERROR(LOOKUP(2,1/(($D$3:D742=$D743)*($A$3:A742&lt;$A743)),$N$3:N742),'Guide &amp; Settings'!$C$41))</f>
        <v>0</v>
      </c>
      <c r="I743" s="122">
        <f>IF($D743="",0,IF($S743=0,0,$R743/$S743))</f>
        <v>0</v>
      </c>
      <c r="J743" s="123">
        <f>IF($D743="",0,IF($F743&lt;2,0,IF($E743="Win",('Guide &amp; Settings'!$C$42/(($F743-1)*COUNTIFS($A$4:$A$810,$A743,$E$4:$E$810,"Win")))*SUMIFS($X$4:$X$810,$A$4:$A$810,$A743,$E$4:$E$810,"Loss"),-('Guide &amp; Settings'!$C$42/($F743-1))*$X743)))</f>
        <v>0</v>
      </c>
      <c r="K743" s="123">
        <f>IF($D743="",0,'Guide &amp; Settings'!$C$43*(IF($E743="Win",1,0)-$I743))</f>
        <v>0</v>
      </c>
      <c r="L743" s="124">
        <f>IF($D743="",0,'Guide &amp; Settings'!$C$44*IF($F743&gt;=3,$F743+IF($E743="Win",$F743,0),0))</f>
        <v>0</v>
      </c>
      <c r="M743" s="123">
        <f>IF($D743="",0,$J743+$K743+$L743)</f>
        <v>0</v>
      </c>
      <c r="N743" s="121">
        <f>IF($D743="",0,$H743+$M743)</f>
        <v>0</v>
      </c>
      <c r="O743" s="120" t="str">
        <f>IF($D743="","",IF(COUNTIFS($A$4:$A$810,$A743,$E$4:$E$810,"Win")=0,"need a winner",IF(COUNTIFS($A$4:$A$810,$A743,$E$4:$E$810,"Loss")=0,"need a loser",IF(COUNTIFS($A$4:$A$810,$A743,$D$4:$D$810,$D743)&gt;1,"duplicate player","OK"))))</f>
      </c>
      <c r="P743">
        <f>IF($D743="",0,IFERROR(SUMIFS($H$4:$H$810,$A$4:$A$810,$A743,$E$4:$E$810,"Win")/COUNTIFS($A$4:$A$810,$A743,$E$4:$E$810,"Win"),0))</f>
        <v>0</v>
      </c>
      <c r="Q743">
        <f>IF($D743="",0,1/(1+10^(($P743-$H743)/400)))</f>
        <v>0</v>
      </c>
      <c r="R743">
        <f>IF($D743="",0,(COUNTIFS($D$4:$D$810,$D743,$C$4:$C$810,$C743,$E$4:$E$810,"Win",$A$4:$A$810,"&lt;"&amp;$A743)+1)/(COUNTIFS($D$4:$D$810,$D743,$C$4:$C$810,$C743,$A$4:$A$810,"&lt;"&amp;$A743)+2))</f>
        <v>0</v>
      </c>
      <c r="S743">
        <f>IF($D743="",0,SUMIFS($R$4:$R$810,$A$4:$A$810,$A743))</f>
        <v>0</v>
      </c>
      <c r="T743" s="88">
        <f>IF($D743="",0,COUNTIFS($D$4:$D$810,$D743,$C$4:$C$810,$C743,$A$4:$A$810,"&lt;"&amp;$A743))</f>
        <v>0</v>
      </c>
      <c r="U743" s="125">
        <f>IF($D743="",0,IFERROR(LOOKUP(2,1/(($D$3:D742=$D743)*($C$3:C742=$C743)*($A$3:A742&lt;$A743)),$AB$3:AB742),1000))</f>
        <v>0</v>
      </c>
      <c r="V743" s="125">
        <f>IF($D743="",0,$U743*($T743/($T743+5))+$H743*(1-$T743/($T743+5)))</f>
        <v>0</v>
      </c>
      <c r="W743">
        <f>IF($D743="",0,IFERROR(SUMIFS($V$4:$V$810,$A$4:$A$810,$A743,$E$4:$E$810,"Win")/COUNTIFS($A$4:$A$810,$A743,$E$4:$E$810,"Win"),0))</f>
        <v>0</v>
      </c>
      <c r="X743">
        <f>IF($D743="",0,1/(1+10^(($W743-$V743)/400)))</f>
        <v>0</v>
      </c>
      <c r="Y743">
        <f>IF($D743="",0,IFERROR(SUMIFS($U$4:$U$810,$A$4:$A$810,$A743,$E$4:$E$810,"Win")/COUNTIFS($A$4:$A$810,$A743,$E$4:$E$810,"Win"),0))</f>
        <v>0</v>
      </c>
      <c r="Z743">
        <f>IF($D743="",0,1/(1+10^(($Y743-$U743)/400)))</f>
        <v>0</v>
      </c>
      <c r="AA743">
        <f>IF($D743="",0,IF($F743&lt;2,0,IF($E743="Win",('Guide &amp; Settings'!$C$42/(($F743-1)*COUNTIFS($A$4:$A$810,$A743,$E$4:$E$810,"Win")))*SUMIFS($Z$4:$Z$810,$A$4:$A$810,$A743,$E$4:$E$810,"Loss"),-('Guide &amp; Settings'!$C$42/($F743-1))*$Z743)))</f>
        <v>0</v>
      </c>
      <c r="AB743" s="125">
        <f>IF($D743="",0,$U743+$AA743)</f>
        <v>0</v>
      </c>
      <c r="AC743" s="125" t="str">
        <f>IF($D743="","",IF(SUMPRODUCT(MAX(($D$4:$D$810=$D743)*($B$4:$B$810&lt;$B743)*$B$4:$B$810))=0,0,MAX(($B743-MAX(SUMPRODUCT(MAX(($D$4:$D$810=$D743)*($B$4:$B$810&lt;$B743)*$B$4:$B$810)),'Guide &amp; Settings'!$C$50))/7-'Guide &amp; Settings'!$C$48,0)*'Guide &amp; Settings'!$C$49))</f>
      </c>
    </row>
    <row r="744" spans="1:29">
      <c r="A744" s="116"/>
      <c r="B744" s="117"/>
      <c r="C744" s="118"/>
      <c r="D744" s="118"/>
      <c r="E744" s="116"/>
      <c r="F744" s="119">
        <f>IF($D744="",0,COUNTIF($A$4:$A$810,$A744))</f>
        <v>0</v>
      </c>
      <c r="G744" s="120">
        <f>IF($D744="","",IFERROR(LOOKUP(2,1/(($A$4:$A$810=$A744)*($E$4:$E$810="Win")),$D$4:$D$810),"(no winner)"))</f>
        <v>0</v>
      </c>
      <c r="H744" s="121">
        <f>IF($D744="",0,IFERROR(LOOKUP(2,1/(($D$3:D743=$D744)*($A$3:A743&lt;$A744)),$N$3:N743),'Guide &amp; Settings'!$C$41))</f>
        <v>0</v>
      </c>
      <c r="I744" s="122">
        <f>IF($D744="",0,IF($S744=0,0,$R744/$S744))</f>
        <v>0</v>
      </c>
      <c r="J744" s="123">
        <f>IF($D744="",0,IF($F744&lt;2,0,IF($E744="Win",('Guide &amp; Settings'!$C$42/(($F744-1)*COUNTIFS($A$4:$A$810,$A744,$E$4:$E$810,"Win")))*SUMIFS($X$4:$X$810,$A$4:$A$810,$A744,$E$4:$E$810,"Loss"),-('Guide &amp; Settings'!$C$42/($F744-1))*$X744)))</f>
        <v>0</v>
      </c>
      <c r="K744" s="123">
        <f>IF($D744="",0,'Guide &amp; Settings'!$C$43*(IF($E744="Win",1,0)-$I744))</f>
        <v>0</v>
      </c>
      <c r="L744" s="124">
        <f>IF($D744="",0,'Guide &amp; Settings'!$C$44*IF($F744&gt;=3,$F744+IF($E744="Win",$F744,0),0))</f>
        <v>0</v>
      </c>
      <c r="M744" s="123">
        <f>IF($D744="",0,$J744+$K744+$L744)</f>
        <v>0</v>
      </c>
      <c r="N744" s="121">
        <f>IF($D744="",0,$H744+$M744)</f>
        <v>0</v>
      </c>
      <c r="O744" s="120" t="str">
        <f>IF($D744="","",IF(COUNTIFS($A$4:$A$810,$A744,$E$4:$E$810,"Win")=0,"need a winner",IF(COUNTIFS($A$4:$A$810,$A744,$E$4:$E$810,"Loss")=0,"need a loser",IF(COUNTIFS($A$4:$A$810,$A744,$D$4:$D$810,$D744)&gt;1,"duplicate player","OK"))))</f>
      </c>
      <c r="P744">
        <f>IF($D744="",0,IFERROR(SUMIFS($H$4:$H$810,$A$4:$A$810,$A744,$E$4:$E$810,"Win")/COUNTIFS($A$4:$A$810,$A744,$E$4:$E$810,"Win"),0))</f>
        <v>0</v>
      </c>
      <c r="Q744">
        <f>IF($D744="",0,1/(1+10^(($P744-$H744)/400)))</f>
        <v>0</v>
      </c>
      <c r="R744">
        <f>IF($D744="",0,(COUNTIFS($D$4:$D$810,$D744,$C$4:$C$810,$C744,$E$4:$E$810,"Win",$A$4:$A$810,"&lt;"&amp;$A744)+1)/(COUNTIFS($D$4:$D$810,$D744,$C$4:$C$810,$C744,$A$4:$A$810,"&lt;"&amp;$A744)+2))</f>
        <v>0</v>
      </c>
      <c r="S744">
        <f>IF($D744="",0,SUMIFS($R$4:$R$810,$A$4:$A$810,$A744))</f>
        <v>0</v>
      </c>
      <c r="T744" s="88">
        <f>IF($D744="",0,COUNTIFS($D$4:$D$810,$D744,$C$4:$C$810,$C744,$A$4:$A$810,"&lt;"&amp;$A744))</f>
        <v>0</v>
      </c>
      <c r="U744" s="125">
        <f>IF($D744="",0,IFERROR(LOOKUP(2,1/(($D$3:D743=$D744)*($C$3:C743=$C744)*($A$3:A743&lt;$A744)),$AB$3:AB743),1000))</f>
        <v>0</v>
      </c>
      <c r="V744" s="125">
        <f>IF($D744="",0,$U744*($T744/($T744+5))+$H744*(1-$T744/($T744+5)))</f>
        <v>0</v>
      </c>
      <c r="W744">
        <f>IF($D744="",0,IFERROR(SUMIFS($V$4:$V$810,$A$4:$A$810,$A744,$E$4:$E$810,"Win")/COUNTIFS($A$4:$A$810,$A744,$E$4:$E$810,"Win"),0))</f>
        <v>0</v>
      </c>
      <c r="X744">
        <f>IF($D744="",0,1/(1+10^(($W744-$V744)/400)))</f>
        <v>0</v>
      </c>
      <c r="Y744">
        <f>IF($D744="",0,IFERROR(SUMIFS($U$4:$U$810,$A$4:$A$810,$A744,$E$4:$E$810,"Win")/COUNTIFS($A$4:$A$810,$A744,$E$4:$E$810,"Win"),0))</f>
        <v>0</v>
      </c>
      <c r="Z744">
        <f>IF($D744="",0,1/(1+10^(($Y744-$U744)/400)))</f>
        <v>0</v>
      </c>
      <c r="AA744">
        <f>IF($D744="",0,IF($F744&lt;2,0,IF($E744="Win",('Guide &amp; Settings'!$C$42/(($F744-1)*COUNTIFS($A$4:$A$810,$A744,$E$4:$E$810,"Win")))*SUMIFS($Z$4:$Z$810,$A$4:$A$810,$A744,$E$4:$E$810,"Loss"),-('Guide &amp; Settings'!$C$42/($F744-1))*$Z744)))</f>
        <v>0</v>
      </c>
      <c r="AB744" s="125">
        <f>IF($D744="",0,$U744+$AA744)</f>
        <v>0</v>
      </c>
      <c r="AC744" s="125" t="str">
        <f>IF($D744="","",IF(SUMPRODUCT(MAX(($D$4:$D$810=$D744)*($B$4:$B$810&lt;$B744)*$B$4:$B$810))=0,0,MAX(($B744-MAX(SUMPRODUCT(MAX(($D$4:$D$810=$D744)*($B$4:$B$810&lt;$B744)*$B$4:$B$810)),'Guide &amp; Settings'!$C$50))/7-'Guide &amp; Settings'!$C$48,0)*'Guide &amp; Settings'!$C$49))</f>
      </c>
    </row>
    <row r="745" spans="1:29">
      <c r="A745" s="116"/>
      <c r="B745" s="117"/>
      <c r="C745" s="118"/>
      <c r="D745" s="118"/>
      <c r="E745" s="116"/>
      <c r="F745" s="119">
        <f>IF($D745="",0,COUNTIF($A$4:$A$810,$A745))</f>
        <v>0</v>
      </c>
      <c r="G745" s="120">
        <f>IF($D745="","",IFERROR(LOOKUP(2,1/(($A$4:$A$810=$A745)*($E$4:$E$810="Win")),$D$4:$D$810),"(no winner)"))</f>
        <v>0</v>
      </c>
      <c r="H745" s="121">
        <f>IF($D745="",0,IFERROR(LOOKUP(2,1/(($D$3:D744=$D745)*($A$3:A744&lt;$A745)),$N$3:N744),'Guide &amp; Settings'!$C$41))</f>
        <v>0</v>
      </c>
      <c r="I745" s="122">
        <f>IF($D745="",0,IF($S745=0,0,$R745/$S745))</f>
        <v>0</v>
      </c>
      <c r="J745" s="123">
        <f>IF($D745="",0,IF($F745&lt;2,0,IF($E745="Win",('Guide &amp; Settings'!$C$42/(($F745-1)*COUNTIFS($A$4:$A$810,$A745,$E$4:$E$810,"Win")))*SUMIFS($X$4:$X$810,$A$4:$A$810,$A745,$E$4:$E$810,"Loss"),-('Guide &amp; Settings'!$C$42/($F745-1))*$X745)))</f>
        <v>0</v>
      </c>
      <c r="K745" s="123">
        <f>IF($D745="",0,'Guide &amp; Settings'!$C$43*(IF($E745="Win",1,0)-$I745))</f>
        <v>0</v>
      </c>
      <c r="L745" s="124">
        <f>IF($D745="",0,'Guide &amp; Settings'!$C$44*IF($F745&gt;=3,$F745+IF($E745="Win",$F745,0),0))</f>
        <v>0</v>
      </c>
      <c r="M745" s="123">
        <f>IF($D745="",0,$J745+$K745+$L745)</f>
        <v>0</v>
      </c>
      <c r="N745" s="121">
        <f>IF($D745="",0,$H745+$M745)</f>
        <v>0</v>
      </c>
      <c r="O745" s="120" t="str">
        <f>IF($D745="","",IF(COUNTIFS($A$4:$A$810,$A745,$E$4:$E$810,"Win")=0,"need a winner",IF(COUNTIFS($A$4:$A$810,$A745,$E$4:$E$810,"Loss")=0,"need a loser",IF(COUNTIFS($A$4:$A$810,$A745,$D$4:$D$810,$D745)&gt;1,"duplicate player","OK"))))</f>
      </c>
      <c r="P745">
        <f>IF($D745="",0,IFERROR(SUMIFS($H$4:$H$810,$A$4:$A$810,$A745,$E$4:$E$810,"Win")/COUNTIFS($A$4:$A$810,$A745,$E$4:$E$810,"Win"),0))</f>
        <v>0</v>
      </c>
      <c r="Q745">
        <f>IF($D745="",0,1/(1+10^(($P745-$H745)/400)))</f>
        <v>0</v>
      </c>
      <c r="R745">
        <f>IF($D745="",0,(COUNTIFS($D$4:$D$810,$D745,$C$4:$C$810,$C745,$E$4:$E$810,"Win",$A$4:$A$810,"&lt;"&amp;$A745)+1)/(COUNTIFS($D$4:$D$810,$D745,$C$4:$C$810,$C745,$A$4:$A$810,"&lt;"&amp;$A745)+2))</f>
        <v>0</v>
      </c>
      <c r="S745">
        <f>IF($D745="",0,SUMIFS($R$4:$R$810,$A$4:$A$810,$A745))</f>
        <v>0</v>
      </c>
      <c r="T745" s="88">
        <f>IF($D745="",0,COUNTIFS($D$4:$D$810,$D745,$C$4:$C$810,$C745,$A$4:$A$810,"&lt;"&amp;$A745))</f>
        <v>0</v>
      </c>
      <c r="U745" s="125">
        <f>IF($D745="",0,IFERROR(LOOKUP(2,1/(($D$3:D744=$D745)*($C$3:C744=$C745)*($A$3:A744&lt;$A745)),$AB$3:AB744),1000))</f>
        <v>0</v>
      </c>
      <c r="V745" s="125">
        <f>IF($D745="",0,$U745*($T745/($T745+5))+$H745*(1-$T745/($T745+5)))</f>
        <v>0</v>
      </c>
      <c r="W745">
        <f>IF($D745="",0,IFERROR(SUMIFS($V$4:$V$810,$A$4:$A$810,$A745,$E$4:$E$810,"Win")/COUNTIFS($A$4:$A$810,$A745,$E$4:$E$810,"Win"),0))</f>
        <v>0</v>
      </c>
      <c r="X745">
        <f>IF($D745="",0,1/(1+10^(($W745-$V745)/400)))</f>
        <v>0</v>
      </c>
      <c r="Y745">
        <f>IF($D745="",0,IFERROR(SUMIFS($U$4:$U$810,$A$4:$A$810,$A745,$E$4:$E$810,"Win")/COUNTIFS($A$4:$A$810,$A745,$E$4:$E$810,"Win"),0))</f>
        <v>0</v>
      </c>
      <c r="Z745">
        <f>IF($D745="",0,1/(1+10^(($Y745-$U745)/400)))</f>
        <v>0</v>
      </c>
      <c r="AA745">
        <f>IF($D745="",0,IF($F745&lt;2,0,IF($E745="Win",('Guide &amp; Settings'!$C$42/(($F745-1)*COUNTIFS($A$4:$A$810,$A745,$E$4:$E$810,"Win")))*SUMIFS($Z$4:$Z$810,$A$4:$A$810,$A745,$E$4:$E$810,"Loss"),-('Guide &amp; Settings'!$C$42/($F745-1))*$Z745)))</f>
        <v>0</v>
      </c>
      <c r="AB745" s="125">
        <f>IF($D745="",0,$U745+$AA745)</f>
        <v>0</v>
      </c>
      <c r="AC745" s="125" t="str">
        <f>IF($D745="","",IF(SUMPRODUCT(MAX(($D$4:$D$810=$D745)*($B$4:$B$810&lt;$B745)*$B$4:$B$810))=0,0,MAX(($B745-MAX(SUMPRODUCT(MAX(($D$4:$D$810=$D745)*($B$4:$B$810&lt;$B745)*$B$4:$B$810)),'Guide &amp; Settings'!$C$50))/7-'Guide &amp; Settings'!$C$48,0)*'Guide &amp; Settings'!$C$49))</f>
      </c>
    </row>
    <row r="746" spans="1:29">
      <c r="A746" s="116"/>
      <c r="B746" s="117"/>
      <c r="C746" s="118"/>
      <c r="D746" s="118"/>
      <c r="E746" s="116"/>
      <c r="F746" s="119">
        <f>IF($D746="",0,COUNTIF($A$4:$A$810,$A746))</f>
        <v>0</v>
      </c>
      <c r="G746" s="120">
        <f>IF($D746="","",IFERROR(LOOKUP(2,1/(($A$4:$A$810=$A746)*($E$4:$E$810="Win")),$D$4:$D$810),"(no winner)"))</f>
        <v>0</v>
      </c>
      <c r="H746" s="121">
        <f>IF($D746="",0,IFERROR(LOOKUP(2,1/(($D$3:D745=$D746)*($A$3:A745&lt;$A746)),$N$3:N745),'Guide &amp; Settings'!$C$41))</f>
        <v>0</v>
      </c>
      <c r="I746" s="122">
        <f>IF($D746="",0,IF($S746=0,0,$R746/$S746))</f>
        <v>0</v>
      </c>
      <c r="J746" s="123">
        <f>IF($D746="",0,IF($F746&lt;2,0,IF($E746="Win",('Guide &amp; Settings'!$C$42/(($F746-1)*COUNTIFS($A$4:$A$810,$A746,$E$4:$E$810,"Win")))*SUMIFS($X$4:$X$810,$A$4:$A$810,$A746,$E$4:$E$810,"Loss"),-('Guide &amp; Settings'!$C$42/($F746-1))*$X746)))</f>
        <v>0</v>
      </c>
      <c r="K746" s="123">
        <f>IF($D746="",0,'Guide &amp; Settings'!$C$43*(IF($E746="Win",1,0)-$I746))</f>
        <v>0</v>
      </c>
      <c r="L746" s="124">
        <f>IF($D746="",0,'Guide &amp; Settings'!$C$44*IF($F746&gt;=3,$F746+IF($E746="Win",$F746,0),0))</f>
        <v>0</v>
      </c>
      <c r="M746" s="123">
        <f>IF($D746="",0,$J746+$K746+$L746)</f>
        <v>0</v>
      </c>
      <c r="N746" s="121">
        <f>IF($D746="",0,$H746+$M746)</f>
        <v>0</v>
      </c>
      <c r="O746" s="120" t="str">
        <f>IF($D746="","",IF(COUNTIFS($A$4:$A$810,$A746,$E$4:$E$810,"Win")=0,"need a winner",IF(COUNTIFS($A$4:$A$810,$A746,$E$4:$E$810,"Loss")=0,"need a loser",IF(COUNTIFS($A$4:$A$810,$A746,$D$4:$D$810,$D746)&gt;1,"duplicate player","OK"))))</f>
      </c>
      <c r="P746">
        <f>IF($D746="",0,IFERROR(SUMIFS($H$4:$H$810,$A$4:$A$810,$A746,$E$4:$E$810,"Win")/COUNTIFS($A$4:$A$810,$A746,$E$4:$E$810,"Win"),0))</f>
        <v>0</v>
      </c>
      <c r="Q746">
        <f>IF($D746="",0,1/(1+10^(($P746-$H746)/400)))</f>
        <v>0</v>
      </c>
      <c r="R746">
        <f>IF($D746="",0,(COUNTIFS($D$4:$D$810,$D746,$C$4:$C$810,$C746,$E$4:$E$810,"Win",$A$4:$A$810,"&lt;"&amp;$A746)+1)/(COUNTIFS($D$4:$D$810,$D746,$C$4:$C$810,$C746,$A$4:$A$810,"&lt;"&amp;$A746)+2))</f>
        <v>0</v>
      </c>
      <c r="S746">
        <f>IF($D746="",0,SUMIFS($R$4:$R$810,$A$4:$A$810,$A746))</f>
        <v>0</v>
      </c>
      <c r="T746" s="88">
        <f>IF($D746="",0,COUNTIFS($D$4:$D$810,$D746,$C$4:$C$810,$C746,$A$4:$A$810,"&lt;"&amp;$A746))</f>
        <v>0</v>
      </c>
      <c r="U746" s="125">
        <f>IF($D746="",0,IFERROR(LOOKUP(2,1/(($D$3:D745=$D746)*($C$3:C745=$C746)*($A$3:A745&lt;$A746)),$AB$3:AB745),1000))</f>
        <v>0</v>
      </c>
      <c r="V746" s="125">
        <f>IF($D746="",0,$U746*($T746/($T746+5))+$H746*(1-$T746/($T746+5)))</f>
        <v>0</v>
      </c>
      <c r="W746">
        <f>IF($D746="",0,IFERROR(SUMIFS($V$4:$V$810,$A$4:$A$810,$A746,$E$4:$E$810,"Win")/COUNTIFS($A$4:$A$810,$A746,$E$4:$E$810,"Win"),0))</f>
        <v>0</v>
      </c>
      <c r="X746">
        <f>IF($D746="",0,1/(1+10^(($W746-$V746)/400)))</f>
        <v>0</v>
      </c>
      <c r="Y746">
        <f>IF($D746="",0,IFERROR(SUMIFS($U$4:$U$810,$A$4:$A$810,$A746,$E$4:$E$810,"Win")/COUNTIFS($A$4:$A$810,$A746,$E$4:$E$810,"Win"),0))</f>
        <v>0</v>
      </c>
      <c r="Z746">
        <f>IF($D746="",0,1/(1+10^(($Y746-$U746)/400)))</f>
        <v>0</v>
      </c>
      <c r="AA746">
        <f>IF($D746="",0,IF($F746&lt;2,0,IF($E746="Win",('Guide &amp; Settings'!$C$42/(($F746-1)*COUNTIFS($A$4:$A$810,$A746,$E$4:$E$810,"Win")))*SUMIFS($Z$4:$Z$810,$A$4:$A$810,$A746,$E$4:$E$810,"Loss"),-('Guide &amp; Settings'!$C$42/($F746-1))*$Z746)))</f>
        <v>0</v>
      </c>
      <c r="AB746" s="125">
        <f>IF($D746="",0,$U746+$AA746)</f>
        <v>0</v>
      </c>
      <c r="AC746" s="125" t="str">
        <f>IF($D746="","",IF(SUMPRODUCT(MAX(($D$4:$D$810=$D746)*($B$4:$B$810&lt;$B746)*$B$4:$B$810))=0,0,MAX(($B746-MAX(SUMPRODUCT(MAX(($D$4:$D$810=$D746)*($B$4:$B$810&lt;$B746)*$B$4:$B$810)),'Guide &amp; Settings'!$C$50))/7-'Guide &amp; Settings'!$C$48,0)*'Guide &amp; Settings'!$C$49))</f>
      </c>
    </row>
    <row r="747" spans="1:29">
      <c r="A747" s="116"/>
      <c r="B747" s="117"/>
      <c r="C747" s="118"/>
      <c r="D747" s="118"/>
      <c r="E747" s="116"/>
      <c r="F747" s="119">
        <f>IF($D747="",0,COUNTIF($A$4:$A$810,$A747))</f>
        <v>0</v>
      </c>
      <c r="G747" s="120">
        <f>IF($D747="","",IFERROR(LOOKUP(2,1/(($A$4:$A$810=$A747)*($E$4:$E$810="Win")),$D$4:$D$810),"(no winner)"))</f>
        <v>0</v>
      </c>
      <c r="H747" s="121">
        <f>IF($D747="",0,IFERROR(LOOKUP(2,1/(($D$3:D746=$D747)*($A$3:A746&lt;$A747)),$N$3:N746),'Guide &amp; Settings'!$C$41))</f>
        <v>0</v>
      </c>
      <c r="I747" s="122">
        <f>IF($D747="",0,IF($S747=0,0,$R747/$S747))</f>
        <v>0</v>
      </c>
      <c r="J747" s="123">
        <f>IF($D747="",0,IF($F747&lt;2,0,IF($E747="Win",('Guide &amp; Settings'!$C$42/(($F747-1)*COUNTIFS($A$4:$A$810,$A747,$E$4:$E$810,"Win")))*SUMIFS($X$4:$X$810,$A$4:$A$810,$A747,$E$4:$E$810,"Loss"),-('Guide &amp; Settings'!$C$42/($F747-1))*$X747)))</f>
        <v>0</v>
      </c>
      <c r="K747" s="123">
        <f>IF($D747="",0,'Guide &amp; Settings'!$C$43*(IF($E747="Win",1,0)-$I747))</f>
        <v>0</v>
      </c>
      <c r="L747" s="124">
        <f>IF($D747="",0,'Guide &amp; Settings'!$C$44*IF($F747&gt;=3,$F747+IF($E747="Win",$F747,0),0))</f>
        <v>0</v>
      </c>
      <c r="M747" s="123">
        <f>IF($D747="",0,$J747+$K747+$L747)</f>
        <v>0</v>
      </c>
      <c r="N747" s="121">
        <f>IF($D747="",0,$H747+$M747)</f>
        <v>0</v>
      </c>
      <c r="O747" s="120" t="str">
        <f>IF($D747="","",IF(COUNTIFS($A$4:$A$810,$A747,$E$4:$E$810,"Win")=0,"need a winner",IF(COUNTIFS($A$4:$A$810,$A747,$E$4:$E$810,"Loss")=0,"need a loser",IF(COUNTIFS($A$4:$A$810,$A747,$D$4:$D$810,$D747)&gt;1,"duplicate player","OK"))))</f>
      </c>
      <c r="P747">
        <f>IF($D747="",0,IFERROR(SUMIFS($H$4:$H$810,$A$4:$A$810,$A747,$E$4:$E$810,"Win")/COUNTIFS($A$4:$A$810,$A747,$E$4:$E$810,"Win"),0))</f>
        <v>0</v>
      </c>
      <c r="Q747">
        <f>IF($D747="",0,1/(1+10^(($P747-$H747)/400)))</f>
        <v>0</v>
      </c>
      <c r="R747">
        <f>IF($D747="",0,(COUNTIFS($D$4:$D$810,$D747,$C$4:$C$810,$C747,$E$4:$E$810,"Win",$A$4:$A$810,"&lt;"&amp;$A747)+1)/(COUNTIFS($D$4:$D$810,$D747,$C$4:$C$810,$C747,$A$4:$A$810,"&lt;"&amp;$A747)+2))</f>
        <v>0</v>
      </c>
      <c r="S747">
        <f>IF($D747="",0,SUMIFS($R$4:$R$810,$A$4:$A$810,$A747))</f>
        <v>0</v>
      </c>
      <c r="T747" s="88">
        <f>IF($D747="",0,COUNTIFS($D$4:$D$810,$D747,$C$4:$C$810,$C747,$A$4:$A$810,"&lt;"&amp;$A747))</f>
        <v>0</v>
      </c>
      <c r="U747" s="125">
        <f>IF($D747="",0,IFERROR(LOOKUP(2,1/(($D$3:D746=$D747)*($C$3:C746=$C747)*($A$3:A746&lt;$A747)),$AB$3:AB746),1000))</f>
        <v>0</v>
      </c>
      <c r="V747" s="125">
        <f>IF($D747="",0,$U747*($T747/($T747+5))+$H747*(1-$T747/($T747+5)))</f>
        <v>0</v>
      </c>
      <c r="W747">
        <f>IF($D747="",0,IFERROR(SUMIFS($V$4:$V$810,$A$4:$A$810,$A747,$E$4:$E$810,"Win")/COUNTIFS($A$4:$A$810,$A747,$E$4:$E$810,"Win"),0))</f>
        <v>0</v>
      </c>
      <c r="X747">
        <f>IF($D747="",0,1/(1+10^(($W747-$V747)/400)))</f>
        <v>0</v>
      </c>
      <c r="Y747">
        <f>IF($D747="",0,IFERROR(SUMIFS($U$4:$U$810,$A$4:$A$810,$A747,$E$4:$E$810,"Win")/COUNTIFS($A$4:$A$810,$A747,$E$4:$E$810,"Win"),0))</f>
        <v>0</v>
      </c>
      <c r="Z747">
        <f>IF($D747="",0,1/(1+10^(($Y747-$U747)/400)))</f>
        <v>0</v>
      </c>
      <c r="AA747">
        <f>IF($D747="",0,IF($F747&lt;2,0,IF($E747="Win",('Guide &amp; Settings'!$C$42/(($F747-1)*COUNTIFS($A$4:$A$810,$A747,$E$4:$E$810,"Win")))*SUMIFS($Z$4:$Z$810,$A$4:$A$810,$A747,$E$4:$E$810,"Loss"),-('Guide &amp; Settings'!$C$42/($F747-1))*$Z747)))</f>
        <v>0</v>
      </c>
      <c r="AB747" s="125">
        <f>IF($D747="",0,$U747+$AA747)</f>
        <v>0</v>
      </c>
      <c r="AC747" s="125" t="str">
        <f>IF($D747="","",IF(SUMPRODUCT(MAX(($D$4:$D$810=$D747)*($B$4:$B$810&lt;$B747)*$B$4:$B$810))=0,0,MAX(($B747-MAX(SUMPRODUCT(MAX(($D$4:$D$810=$D747)*($B$4:$B$810&lt;$B747)*$B$4:$B$810)),'Guide &amp; Settings'!$C$50))/7-'Guide &amp; Settings'!$C$48,0)*'Guide &amp; Settings'!$C$49))</f>
      </c>
    </row>
    <row r="748" spans="1:29">
      <c r="A748" s="116"/>
      <c r="B748" s="117"/>
      <c r="C748" s="118"/>
      <c r="D748" s="118"/>
      <c r="E748" s="116"/>
      <c r="F748" s="119">
        <f>IF($D748="",0,COUNTIF($A$4:$A$810,$A748))</f>
        <v>0</v>
      </c>
      <c r="G748" s="120">
        <f>IF($D748="","",IFERROR(LOOKUP(2,1/(($A$4:$A$810=$A748)*($E$4:$E$810="Win")),$D$4:$D$810),"(no winner)"))</f>
        <v>0</v>
      </c>
      <c r="H748" s="121">
        <f>IF($D748="",0,IFERROR(LOOKUP(2,1/(($D$3:D747=$D748)*($A$3:A747&lt;$A748)),$N$3:N747),'Guide &amp; Settings'!$C$41))</f>
        <v>0</v>
      </c>
      <c r="I748" s="122">
        <f>IF($D748="",0,IF($S748=0,0,$R748/$S748))</f>
        <v>0</v>
      </c>
      <c r="J748" s="123">
        <f>IF($D748="",0,IF($F748&lt;2,0,IF($E748="Win",('Guide &amp; Settings'!$C$42/(($F748-1)*COUNTIFS($A$4:$A$810,$A748,$E$4:$E$810,"Win")))*SUMIFS($X$4:$X$810,$A$4:$A$810,$A748,$E$4:$E$810,"Loss"),-('Guide &amp; Settings'!$C$42/($F748-1))*$X748)))</f>
        <v>0</v>
      </c>
      <c r="K748" s="123">
        <f>IF($D748="",0,'Guide &amp; Settings'!$C$43*(IF($E748="Win",1,0)-$I748))</f>
        <v>0</v>
      </c>
      <c r="L748" s="124">
        <f>IF($D748="",0,'Guide &amp; Settings'!$C$44*IF($F748&gt;=3,$F748+IF($E748="Win",$F748,0),0))</f>
        <v>0</v>
      </c>
      <c r="M748" s="123">
        <f>IF($D748="",0,$J748+$K748+$L748)</f>
        <v>0</v>
      </c>
      <c r="N748" s="121">
        <f>IF($D748="",0,$H748+$M748)</f>
        <v>0</v>
      </c>
      <c r="O748" s="120" t="str">
        <f>IF($D748="","",IF(COUNTIFS($A$4:$A$810,$A748,$E$4:$E$810,"Win")=0,"need a winner",IF(COUNTIFS($A$4:$A$810,$A748,$E$4:$E$810,"Loss")=0,"need a loser",IF(COUNTIFS($A$4:$A$810,$A748,$D$4:$D$810,$D748)&gt;1,"duplicate player","OK"))))</f>
      </c>
      <c r="P748">
        <f>IF($D748="",0,IFERROR(SUMIFS($H$4:$H$810,$A$4:$A$810,$A748,$E$4:$E$810,"Win")/COUNTIFS($A$4:$A$810,$A748,$E$4:$E$810,"Win"),0))</f>
        <v>0</v>
      </c>
      <c r="Q748">
        <f>IF($D748="",0,1/(1+10^(($P748-$H748)/400)))</f>
        <v>0</v>
      </c>
      <c r="R748">
        <f>IF($D748="",0,(COUNTIFS($D$4:$D$810,$D748,$C$4:$C$810,$C748,$E$4:$E$810,"Win",$A$4:$A$810,"&lt;"&amp;$A748)+1)/(COUNTIFS($D$4:$D$810,$D748,$C$4:$C$810,$C748,$A$4:$A$810,"&lt;"&amp;$A748)+2))</f>
        <v>0</v>
      </c>
      <c r="S748">
        <f>IF($D748="",0,SUMIFS($R$4:$R$810,$A$4:$A$810,$A748))</f>
        <v>0</v>
      </c>
      <c r="T748" s="88">
        <f>IF($D748="",0,COUNTIFS($D$4:$D$810,$D748,$C$4:$C$810,$C748,$A$4:$A$810,"&lt;"&amp;$A748))</f>
        <v>0</v>
      </c>
      <c r="U748" s="125">
        <f>IF($D748="",0,IFERROR(LOOKUP(2,1/(($D$3:D747=$D748)*($C$3:C747=$C748)*($A$3:A747&lt;$A748)),$AB$3:AB747),1000))</f>
        <v>0</v>
      </c>
      <c r="V748" s="125">
        <f>IF($D748="",0,$U748*($T748/($T748+5))+$H748*(1-$T748/($T748+5)))</f>
        <v>0</v>
      </c>
      <c r="W748">
        <f>IF($D748="",0,IFERROR(SUMIFS($V$4:$V$810,$A$4:$A$810,$A748,$E$4:$E$810,"Win")/COUNTIFS($A$4:$A$810,$A748,$E$4:$E$810,"Win"),0))</f>
        <v>0</v>
      </c>
      <c r="X748">
        <f>IF($D748="",0,1/(1+10^(($W748-$V748)/400)))</f>
        <v>0</v>
      </c>
      <c r="Y748">
        <f>IF($D748="",0,IFERROR(SUMIFS($U$4:$U$810,$A$4:$A$810,$A748,$E$4:$E$810,"Win")/COUNTIFS($A$4:$A$810,$A748,$E$4:$E$810,"Win"),0))</f>
        <v>0</v>
      </c>
      <c r="Z748">
        <f>IF($D748="",0,1/(1+10^(($Y748-$U748)/400)))</f>
        <v>0</v>
      </c>
      <c r="AA748">
        <f>IF($D748="",0,IF($F748&lt;2,0,IF($E748="Win",('Guide &amp; Settings'!$C$42/(($F748-1)*COUNTIFS($A$4:$A$810,$A748,$E$4:$E$810,"Win")))*SUMIFS($Z$4:$Z$810,$A$4:$A$810,$A748,$E$4:$E$810,"Loss"),-('Guide &amp; Settings'!$C$42/($F748-1))*$Z748)))</f>
        <v>0</v>
      </c>
      <c r="AB748" s="125">
        <f>IF($D748="",0,$U748+$AA748)</f>
        <v>0</v>
      </c>
      <c r="AC748" s="125" t="str">
        <f>IF($D748="","",IF(SUMPRODUCT(MAX(($D$4:$D$810=$D748)*($B$4:$B$810&lt;$B748)*$B$4:$B$810))=0,0,MAX(($B748-MAX(SUMPRODUCT(MAX(($D$4:$D$810=$D748)*($B$4:$B$810&lt;$B748)*$B$4:$B$810)),'Guide &amp; Settings'!$C$50))/7-'Guide &amp; Settings'!$C$48,0)*'Guide &amp; Settings'!$C$49))</f>
      </c>
    </row>
    <row r="749" spans="1:29">
      <c r="A749" s="116"/>
      <c r="B749" s="117"/>
      <c r="C749" s="118"/>
      <c r="D749" s="118"/>
      <c r="E749" s="116"/>
      <c r="F749" s="119">
        <f>IF($D749="",0,COUNTIF($A$4:$A$810,$A749))</f>
        <v>0</v>
      </c>
      <c r="G749" s="120">
        <f>IF($D749="","",IFERROR(LOOKUP(2,1/(($A$4:$A$810=$A749)*($E$4:$E$810="Win")),$D$4:$D$810),"(no winner)"))</f>
        <v>0</v>
      </c>
      <c r="H749" s="121">
        <f>IF($D749="",0,IFERROR(LOOKUP(2,1/(($D$3:D748=$D749)*($A$3:A748&lt;$A749)),$N$3:N748),'Guide &amp; Settings'!$C$41))</f>
        <v>0</v>
      </c>
      <c r="I749" s="122">
        <f>IF($D749="",0,IF($S749=0,0,$R749/$S749))</f>
        <v>0</v>
      </c>
      <c r="J749" s="123">
        <f>IF($D749="",0,IF($F749&lt;2,0,IF($E749="Win",('Guide &amp; Settings'!$C$42/(($F749-1)*COUNTIFS($A$4:$A$810,$A749,$E$4:$E$810,"Win")))*SUMIFS($X$4:$X$810,$A$4:$A$810,$A749,$E$4:$E$810,"Loss"),-('Guide &amp; Settings'!$C$42/($F749-1))*$X749)))</f>
        <v>0</v>
      </c>
      <c r="K749" s="123">
        <f>IF($D749="",0,'Guide &amp; Settings'!$C$43*(IF($E749="Win",1,0)-$I749))</f>
        <v>0</v>
      </c>
      <c r="L749" s="124">
        <f>IF($D749="",0,'Guide &amp; Settings'!$C$44*IF($F749&gt;=3,$F749+IF($E749="Win",$F749,0),0))</f>
        <v>0</v>
      </c>
      <c r="M749" s="123">
        <f>IF($D749="",0,$J749+$K749+$L749)</f>
        <v>0</v>
      </c>
      <c r="N749" s="121">
        <f>IF($D749="",0,$H749+$M749)</f>
        <v>0</v>
      </c>
      <c r="O749" s="120" t="str">
        <f>IF($D749="","",IF(COUNTIFS($A$4:$A$810,$A749,$E$4:$E$810,"Win")=0,"need a winner",IF(COUNTIFS($A$4:$A$810,$A749,$E$4:$E$810,"Loss")=0,"need a loser",IF(COUNTIFS($A$4:$A$810,$A749,$D$4:$D$810,$D749)&gt;1,"duplicate player","OK"))))</f>
      </c>
      <c r="P749">
        <f>IF($D749="",0,IFERROR(SUMIFS($H$4:$H$810,$A$4:$A$810,$A749,$E$4:$E$810,"Win")/COUNTIFS($A$4:$A$810,$A749,$E$4:$E$810,"Win"),0))</f>
        <v>0</v>
      </c>
      <c r="Q749">
        <f>IF($D749="",0,1/(1+10^(($P749-$H749)/400)))</f>
        <v>0</v>
      </c>
      <c r="R749">
        <f>IF($D749="",0,(COUNTIFS($D$4:$D$810,$D749,$C$4:$C$810,$C749,$E$4:$E$810,"Win",$A$4:$A$810,"&lt;"&amp;$A749)+1)/(COUNTIFS($D$4:$D$810,$D749,$C$4:$C$810,$C749,$A$4:$A$810,"&lt;"&amp;$A749)+2))</f>
        <v>0</v>
      </c>
      <c r="S749">
        <f>IF($D749="",0,SUMIFS($R$4:$R$810,$A$4:$A$810,$A749))</f>
        <v>0</v>
      </c>
      <c r="T749" s="88">
        <f>IF($D749="",0,COUNTIFS($D$4:$D$810,$D749,$C$4:$C$810,$C749,$A$4:$A$810,"&lt;"&amp;$A749))</f>
        <v>0</v>
      </c>
      <c r="U749" s="125">
        <f>IF($D749="",0,IFERROR(LOOKUP(2,1/(($D$3:D748=$D749)*($C$3:C748=$C749)*($A$3:A748&lt;$A749)),$AB$3:AB748),1000))</f>
        <v>0</v>
      </c>
      <c r="V749" s="125">
        <f>IF($D749="",0,$U749*($T749/($T749+5))+$H749*(1-$T749/($T749+5)))</f>
        <v>0</v>
      </c>
      <c r="W749">
        <f>IF($D749="",0,IFERROR(SUMIFS($V$4:$V$810,$A$4:$A$810,$A749,$E$4:$E$810,"Win")/COUNTIFS($A$4:$A$810,$A749,$E$4:$E$810,"Win"),0))</f>
        <v>0</v>
      </c>
      <c r="X749">
        <f>IF($D749="",0,1/(1+10^(($W749-$V749)/400)))</f>
        <v>0</v>
      </c>
      <c r="Y749">
        <f>IF($D749="",0,IFERROR(SUMIFS($U$4:$U$810,$A$4:$A$810,$A749,$E$4:$E$810,"Win")/COUNTIFS($A$4:$A$810,$A749,$E$4:$E$810,"Win"),0))</f>
        <v>0</v>
      </c>
      <c r="Z749">
        <f>IF($D749="",0,1/(1+10^(($Y749-$U749)/400)))</f>
        <v>0</v>
      </c>
      <c r="AA749">
        <f>IF($D749="",0,IF($F749&lt;2,0,IF($E749="Win",('Guide &amp; Settings'!$C$42/(($F749-1)*COUNTIFS($A$4:$A$810,$A749,$E$4:$E$810,"Win")))*SUMIFS($Z$4:$Z$810,$A$4:$A$810,$A749,$E$4:$E$810,"Loss"),-('Guide &amp; Settings'!$C$42/($F749-1))*$Z749)))</f>
        <v>0</v>
      </c>
      <c r="AB749" s="125">
        <f>IF($D749="",0,$U749+$AA749)</f>
        <v>0</v>
      </c>
      <c r="AC749" s="125" t="str">
        <f>IF($D749="","",IF(SUMPRODUCT(MAX(($D$4:$D$810=$D749)*($B$4:$B$810&lt;$B749)*$B$4:$B$810))=0,0,MAX(($B749-MAX(SUMPRODUCT(MAX(($D$4:$D$810=$D749)*($B$4:$B$810&lt;$B749)*$B$4:$B$810)),'Guide &amp; Settings'!$C$50))/7-'Guide &amp; Settings'!$C$48,0)*'Guide &amp; Settings'!$C$49))</f>
      </c>
    </row>
    <row r="750" spans="1:29">
      <c r="A750" s="116"/>
      <c r="B750" s="117"/>
      <c r="C750" s="118"/>
      <c r="D750" s="118"/>
      <c r="E750" s="116"/>
      <c r="F750" s="119">
        <f>IF($D750="",0,COUNTIF($A$4:$A$810,$A750))</f>
        <v>0</v>
      </c>
      <c r="G750" s="120">
        <f>IF($D750="","",IFERROR(LOOKUP(2,1/(($A$4:$A$810=$A750)*($E$4:$E$810="Win")),$D$4:$D$810),"(no winner)"))</f>
        <v>0</v>
      </c>
      <c r="H750" s="121">
        <f>IF($D750="",0,IFERROR(LOOKUP(2,1/(($D$3:D749=$D750)*($A$3:A749&lt;$A750)),$N$3:N749),'Guide &amp; Settings'!$C$41))</f>
        <v>0</v>
      </c>
      <c r="I750" s="122">
        <f>IF($D750="",0,IF($S750=0,0,$R750/$S750))</f>
        <v>0</v>
      </c>
      <c r="J750" s="123">
        <f>IF($D750="",0,IF($F750&lt;2,0,IF($E750="Win",('Guide &amp; Settings'!$C$42/(($F750-1)*COUNTIFS($A$4:$A$810,$A750,$E$4:$E$810,"Win")))*SUMIFS($X$4:$X$810,$A$4:$A$810,$A750,$E$4:$E$810,"Loss"),-('Guide &amp; Settings'!$C$42/($F750-1))*$X750)))</f>
        <v>0</v>
      </c>
      <c r="K750" s="123">
        <f>IF($D750="",0,'Guide &amp; Settings'!$C$43*(IF($E750="Win",1,0)-$I750))</f>
        <v>0</v>
      </c>
      <c r="L750" s="124">
        <f>IF($D750="",0,'Guide &amp; Settings'!$C$44*IF($F750&gt;=3,$F750+IF($E750="Win",$F750,0),0))</f>
        <v>0</v>
      </c>
      <c r="M750" s="123">
        <f>IF($D750="",0,$J750+$K750+$L750)</f>
        <v>0</v>
      </c>
      <c r="N750" s="121">
        <f>IF($D750="",0,$H750+$M750)</f>
        <v>0</v>
      </c>
      <c r="O750" s="120" t="str">
        <f>IF($D750="","",IF(COUNTIFS($A$4:$A$810,$A750,$E$4:$E$810,"Win")=0,"need a winner",IF(COUNTIFS($A$4:$A$810,$A750,$E$4:$E$810,"Loss")=0,"need a loser",IF(COUNTIFS($A$4:$A$810,$A750,$D$4:$D$810,$D750)&gt;1,"duplicate player","OK"))))</f>
      </c>
      <c r="P750">
        <f>IF($D750="",0,IFERROR(SUMIFS($H$4:$H$810,$A$4:$A$810,$A750,$E$4:$E$810,"Win")/COUNTIFS($A$4:$A$810,$A750,$E$4:$E$810,"Win"),0))</f>
        <v>0</v>
      </c>
      <c r="Q750">
        <f>IF($D750="",0,1/(1+10^(($P750-$H750)/400)))</f>
        <v>0</v>
      </c>
      <c r="R750">
        <f>IF($D750="",0,(COUNTIFS($D$4:$D$810,$D750,$C$4:$C$810,$C750,$E$4:$E$810,"Win",$A$4:$A$810,"&lt;"&amp;$A750)+1)/(COUNTIFS($D$4:$D$810,$D750,$C$4:$C$810,$C750,$A$4:$A$810,"&lt;"&amp;$A750)+2))</f>
        <v>0</v>
      </c>
      <c r="S750">
        <f>IF($D750="",0,SUMIFS($R$4:$R$810,$A$4:$A$810,$A750))</f>
        <v>0</v>
      </c>
      <c r="T750" s="88">
        <f>IF($D750="",0,COUNTIFS($D$4:$D$810,$D750,$C$4:$C$810,$C750,$A$4:$A$810,"&lt;"&amp;$A750))</f>
        <v>0</v>
      </c>
      <c r="U750" s="125">
        <f>IF($D750="",0,IFERROR(LOOKUP(2,1/(($D$3:D749=$D750)*($C$3:C749=$C750)*($A$3:A749&lt;$A750)),$AB$3:AB749),1000))</f>
        <v>0</v>
      </c>
      <c r="V750" s="125">
        <f>IF($D750="",0,$U750*($T750/($T750+5))+$H750*(1-$T750/($T750+5)))</f>
        <v>0</v>
      </c>
      <c r="W750">
        <f>IF($D750="",0,IFERROR(SUMIFS($V$4:$V$810,$A$4:$A$810,$A750,$E$4:$E$810,"Win")/COUNTIFS($A$4:$A$810,$A750,$E$4:$E$810,"Win"),0))</f>
        <v>0</v>
      </c>
      <c r="X750">
        <f>IF($D750="",0,1/(1+10^(($W750-$V750)/400)))</f>
        <v>0</v>
      </c>
      <c r="Y750">
        <f>IF($D750="",0,IFERROR(SUMIFS($U$4:$U$810,$A$4:$A$810,$A750,$E$4:$E$810,"Win")/COUNTIFS($A$4:$A$810,$A750,$E$4:$E$810,"Win"),0))</f>
        <v>0</v>
      </c>
      <c r="Z750">
        <f>IF($D750="",0,1/(1+10^(($Y750-$U750)/400)))</f>
        <v>0</v>
      </c>
      <c r="AA750">
        <f>IF($D750="",0,IF($F750&lt;2,0,IF($E750="Win",('Guide &amp; Settings'!$C$42/(($F750-1)*COUNTIFS($A$4:$A$810,$A750,$E$4:$E$810,"Win")))*SUMIFS($Z$4:$Z$810,$A$4:$A$810,$A750,$E$4:$E$810,"Loss"),-('Guide &amp; Settings'!$C$42/($F750-1))*$Z750)))</f>
        <v>0</v>
      </c>
      <c r="AB750" s="125">
        <f>IF($D750="",0,$U750+$AA750)</f>
        <v>0</v>
      </c>
      <c r="AC750" s="125" t="str">
        <f>IF($D750="","",IF(SUMPRODUCT(MAX(($D$4:$D$810=$D750)*($B$4:$B$810&lt;$B750)*$B$4:$B$810))=0,0,MAX(($B750-MAX(SUMPRODUCT(MAX(($D$4:$D$810=$D750)*($B$4:$B$810&lt;$B750)*$B$4:$B$810)),'Guide &amp; Settings'!$C$50))/7-'Guide &amp; Settings'!$C$48,0)*'Guide &amp; Settings'!$C$49))</f>
      </c>
    </row>
    <row r="751" spans="1:29">
      <c r="A751" s="116"/>
      <c r="B751" s="117"/>
      <c r="C751" s="118"/>
      <c r="D751" s="118"/>
      <c r="E751" s="116"/>
      <c r="F751" s="119">
        <f>IF($D751="",0,COUNTIF($A$4:$A$810,$A751))</f>
        <v>0</v>
      </c>
      <c r="G751" s="120">
        <f>IF($D751="","",IFERROR(LOOKUP(2,1/(($A$4:$A$810=$A751)*($E$4:$E$810="Win")),$D$4:$D$810),"(no winner)"))</f>
        <v>0</v>
      </c>
      <c r="H751" s="121">
        <f>IF($D751="",0,IFERROR(LOOKUP(2,1/(($D$3:D750=$D751)*($A$3:A750&lt;$A751)),$N$3:N750),'Guide &amp; Settings'!$C$41))</f>
        <v>0</v>
      </c>
      <c r="I751" s="122">
        <f>IF($D751="",0,IF($S751=0,0,$R751/$S751))</f>
        <v>0</v>
      </c>
      <c r="J751" s="123">
        <f>IF($D751="",0,IF($F751&lt;2,0,IF($E751="Win",('Guide &amp; Settings'!$C$42/(($F751-1)*COUNTIFS($A$4:$A$810,$A751,$E$4:$E$810,"Win")))*SUMIFS($X$4:$X$810,$A$4:$A$810,$A751,$E$4:$E$810,"Loss"),-('Guide &amp; Settings'!$C$42/($F751-1))*$X751)))</f>
        <v>0</v>
      </c>
      <c r="K751" s="123">
        <f>IF($D751="",0,'Guide &amp; Settings'!$C$43*(IF($E751="Win",1,0)-$I751))</f>
        <v>0</v>
      </c>
      <c r="L751" s="124">
        <f>IF($D751="",0,'Guide &amp; Settings'!$C$44*IF($F751&gt;=3,$F751+IF($E751="Win",$F751,0),0))</f>
        <v>0</v>
      </c>
      <c r="M751" s="123">
        <f>IF($D751="",0,$J751+$K751+$L751)</f>
        <v>0</v>
      </c>
      <c r="N751" s="121">
        <f>IF($D751="",0,$H751+$M751)</f>
        <v>0</v>
      </c>
      <c r="O751" s="120" t="str">
        <f>IF($D751="","",IF(COUNTIFS($A$4:$A$810,$A751,$E$4:$E$810,"Win")=0,"need a winner",IF(COUNTIFS($A$4:$A$810,$A751,$E$4:$E$810,"Loss")=0,"need a loser",IF(COUNTIFS($A$4:$A$810,$A751,$D$4:$D$810,$D751)&gt;1,"duplicate player","OK"))))</f>
      </c>
      <c r="P751">
        <f>IF($D751="",0,IFERROR(SUMIFS($H$4:$H$810,$A$4:$A$810,$A751,$E$4:$E$810,"Win")/COUNTIFS($A$4:$A$810,$A751,$E$4:$E$810,"Win"),0))</f>
        <v>0</v>
      </c>
      <c r="Q751">
        <f>IF($D751="",0,1/(1+10^(($P751-$H751)/400)))</f>
        <v>0</v>
      </c>
      <c r="R751">
        <f>IF($D751="",0,(COUNTIFS($D$4:$D$810,$D751,$C$4:$C$810,$C751,$E$4:$E$810,"Win",$A$4:$A$810,"&lt;"&amp;$A751)+1)/(COUNTIFS($D$4:$D$810,$D751,$C$4:$C$810,$C751,$A$4:$A$810,"&lt;"&amp;$A751)+2))</f>
        <v>0</v>
      </c>
      <c r="S751">
        <f>IF($D751="",0,SUMIFS($R$4:$R$810,$A$4:$A$810,$A751))</f>
        <v>0</v>
      </c>
      <c r="T751" s="88">
        <f>IF($D751="",0,COUNTIFS($D$4:$D$810,$D751,$C$4:$C$810,$C751,$A$4:$A$810,"&lt;"&amp;$A751))</f>
        <v>0</v>
      </c>
      <c r="U751" s="125">
        <f>IF($D751="",0,IFERROR(LOOKUP(2,1/(($D$3:D750=$D751)*($C$3:C750=$C751)*($A$3:A750&lt;$A751)),$AB$3:AB750),1000))</f>
        <v>0</v>
      </c>
      <c r="V751" s="125">
        <f>IF($D751="",0,$U751*($T751/($T751+5))+$H751*(1-$T751/($T751+5)))</f>
        <v>0</v>
      </c>
      <c r="W751">
        <f>IF($D751="",0,IFERROR(SUMIFS($V$4:$V$810,$A$4:$A$810,$A751,$E$4:$E$810,"Win")/COUNTIFS($A$4:$A$810,$A751,$E$4:$E$810,"Win"),0))</f>
        <v>0</v>
      </c>
      <c r="X751">
        <f>IF($D751="",0,1/(1+10^(($W751-$V751)/400)))</f>
        <v>0</v>
      </c>
      <c r="Y751">
        <f>IF($D751="",0,IFERROR(SUMIFS($U$4:$U$810,$A$4:$A$810,$A751,$E$4:$E$810,"Win")/COUNTIFS($A$4:$A$810,$A751,$E$4:$E$810,"Win"),0))</f>
        <v>0</v>
      </c>
      <c r="Z751">
        <f>IF($D751="",0,1/(1+10^(($Y751-$U751)/400)))</f>
        <v>0</v>
      </c>
      <c r="AA751">
        <f>IF($D751="",0,IF($F751&lt;2,0,IF($E751="Win",('Guide &amp; Settings'!$C$42/(($F751-1)*COUNTIFS($A$4:$A$810,$A751,$E$4:$E$810,"Win")))*SUMIFS($Z$4:$Z$810,$A$4:$A$810,$A751,$E$4:$E$810,"Loss"),-('Guide &amp; Settings'!$C$42/($F751-1))*$Z751)))</f>
        <v>0</v>
      </c>
      <c r="AB751" s="125">
        <f>IF($D751="",0,$U751+$AA751)</f>
        <v>0</v>
      </c>
      <c r="AC751" s="125" t="str">
        <f>IF($D751="","",IF(SUMPRODUCT(MAX(($D$4:$D$810=$D751)*($B$4:$B$810&lt;$B751)*$B$4:$B$810))=0,0,MAX(($B751-MAX(SUMPRODUCT(MAX(($D$4:$D$810=$D751)*($B$4:$B$810&lt;$B751)*$B$4:$B$810)),'Guide &amp; Settings'!$C$50))/7-'Guide &amp; Settings'!$C$48,0)*'Guide &amp; Settings'!$C$49))</f>
      </c>
    </row>
    <row r="752" spans="1:29">
      <c r="A752" s="116"/>
      <c r="B752" s="117"/>
      <c r="C752" s="118"/>
      <c r="D752" s="118"/>
      <c r="E752" s="116"/>
      <c r="F752" s="119">
        <f>IF($D752="",0,COUNTIF($A$4:$A$810,$A752))</f>
        <v>0</v>
      </c>
      <c r="G752" s="120">
        <f>IF($D752="","",IFERROR(LOOKUP(2,1/(($A$4:$A$810=$A752)*($E$4:$E$810="Win")),$D$4:$D$810),"(no winner)"))</f>
        <v>0</v>
      </c>
      <c r="H752" s="121">
        <f>IF($D752="",0,IFERROR(LOOKUP(2,1/(($D$3:D751=$D752)*($A$3:A751&lt;$A752)),$N$3:N751),'Guide &amp; Settings'!$C$41))</f>
        <v>0</v>
      </c>
      <c r="I752" s="122">
        <f>IF($D752="",0,IF($S752=0,0,$R752/$S752))</f>
        <v>0</v>
      </c>
      <c r="J752" s="123">
        <f>IF($D752="",0,IF($F752&lt;2,0,IF($E752="Win",('Guide &amp; Settings'!$C$42/(($F752-1)*COUNTIFS($A$4:$A$810,$A752,$E$4:$E$810,"Win")))*SUMIFS($X$4:$X$810,$A$4:$A$810,$A752,$E$4:$E$810,"Loss"),-('Guide &amp; Settings'!$C$42/($F752-1))*$X752)))</f>
        <v>0</v>
      </c>
      <c r="K752" s="123">
        <f>IF($D752="",0,'Guide &amp; Settings'!$C$43*(IF($E752="Win",1,0)-$I752))</f>
        <v>0</v>
      </c>
      <c r="L752" s="124">
        <f>IF($D752="",0,'Guide &amp; Settings'!$C$44*IF($F752&gt;=3,$F752+IF($E752="Win",$F752,0),0))</f>
        <v>0</v>
      </c>
      <c r="M752" s="123">
        <f>IF($D752="",0,$J752+$K752+$L752)</f>
        <v>0</v>
      </c>
      <c r="N752" s="121">
        <f>IF($D752="",0,$H752+$M752)</f>
        <v>0</v>
      </c>
      <c r="O752" s="120" t="str">
        <f>IF($D752="","",IF(COUNTIFS($A$4:$A$810,$A752,$E$4:$E$810,"Win")=0,"need a winner",IF(COUNTIFS($A$4:$A$810,$A752,$E$4:$E$810,"Loss")=0,"need a loser",IF(COUNTIFS($A$4:$A$810,$A752,$D$4:$D$810,$D752)&gt;1,"duplicate player","OK"))))</f>
      </c>
      <c r="P752">
        <f>IF($D752="",0,IFERROR(SUMIFS($H$4:$H$810,$A$4:$A$810,$A752,$E$4:$E$810,"Win")/COUNTIFS($A$4:$A$810,$A752,$E$4:$E$810,"Win"),0))</f>
        <v>0</v>
      </c>
      <c r="Q752">
        <f>IF($D752="",0,1/(1+10^(($P752-$H752)/400)))</f>
        <v>0</v>
      </c>
      <c r="R752">
        <f>IF($D752="",0,(COUNTIFS($D$4:$D$810,$D752,$C$4:$C$810,$C752,$E$4:$E$810,"Win",$A$4:$A$810,"&lt;"&amp;$A752)+1)/(COUNTIFS($D$4:$D$810,$D752,$C$4:$C$810,$C752,$A$4:$A$810,"&lt;"&amp;$A752)+2))</f>
        <v>0</v>
      </c>
      <c r="S752">
        <f>IF($D752="",0,SUMIFS($R$4:$R$810,$A$4:$A$810,$A752))</f>
        <v>0</v>
      </c>
      <c r="T752" s="88">
        <f>IF($D752="",0,COUNTIFS($D$4:$D$810,$D752,$C$4:$C$810,$C752,$A$4:$A$810,"&lt;"&amp;$A752))</f>
        <v>0</v>
      </c>
      <c r="U752" s="125">
        <f>IF($D752="",0,IFERROR(LOOKUP(2,1/(($D$3:D751=$D752)*($C$3:C751=$C752)*($A$3:A751&lt;$A752)),$AB$3:AB751),1000))</f>
        <v>0</v>
      </c>
      <c r="V752" s="125">
        <f>IF($D752="",0,$U752*($T752/($T752+5))+$H752*(1-$T752/($T752+5)))</f>
        <v>0</v>
      </c>
      <c r="W752">
        <f>IF($D752="",0,IFERROR(SUMIFS($V$4:$V$810,$A$4:$A$810,$A752,$E$4:$E$810,"Win")/COUNTIFS($A$4:$A$810,$A752,$E$4:$E$810,"Win"),0))</f>
        <v>0</v>
      </c>
      <c r="X752">
        <f>IF($D752="",0,1/(1+10^(($W752-$V752)/400)))</f>
        <v>0</v>
      </c>
      <c r="Y752">
        <f>IF($D752="",0,IFERROR(SUMIFS($U$4:$U$810,$A$4:$A$810,$A752,$E$4:$E$810,"Win")/COUNTIFS($A$4:$A$810,$A752,$E$4:$E$810,"Win"),0))</f>
        <v>0</v>
      </c>
      <c r="Z752">
        <f>IF($D752="",0,1/(1+10^(($Y752-$U752)/400)))</f>
        <v>0</v>
      </c>
      <c r="AA752">
        <f>IF($D752="",0,IF($F752&lt;2,0,IF($E752="Win",('Guide &amp; Settings'!$C$42/(($F752-1)*COUNTIFS($A$4:$A$810,$A752,$E$4:$E$810,"Win")))*SUMIFS($Z$4:$Z$810,$A$4:$A$810,$A752,$E$4:$E$810,"Loss"),-('Guide &amp; Settings'!$C$42/($F752-1))*$Z752)))</f>
        <v>0</v>
      </c>
      <c r="AB752" s="125">
        <f>IF($D752="",0,$U752+$AA752)</f>
        <v>0</v>
      </c>
      <c r="AC752" s="125" t="str">
        <f>IF($D752="","",IF(SUMPRODUCT(MAX(($D$4:$D$810=$D752)*($B$4:$B$810&lt;$B752)*$B$4:$B$810))=0,0,MAX(($B752-MAX(SUMPRODUCT(MAX(($D$4:$D$810=$D752)*($B$4:$B$810&lt;$B752)*$B$4:$B$810)),'Guide &amp; Settings'!$C$50))/7-'Guide &amp; Settings'!$C$48,0)*'Guide &amp; Settings'!$C$49))</f>
      </c>
    </row>
    <row r="753" spans="1:29">
      <c r="A753" s="116"/>
      <c r="B753" s="117"/>
      <c r="C753" s="118"/>
      <c r="D753" s="118"/>
      <c r="E753" s="116"/>
      <c r="F753" s="119">
        <f>IF($D753="",0,COUNTIF($A$4:$A$810,$A753))</f>
        <v>0</v>
      </c>
      <c r="G753" s="120">
        <f>IF($D753="","",IFERROR(LOOKUP(2,1/(($A$4:$A$810=$A753)*($E$4:$E$810="Win")),$D$4:$D$810),"(no winner)"))</f>
        <v>0</v>
      </c>
      <c r="H753" s="121">
        <f>IF($D753="",0,IFERROR(LOOKUP(2,1/(($D$3:D752=$D753)*($A$3:A752&lt;$A753)),$N$3:N752),'Guide &amp; Settings'!$C$41))</f>
        <v>0</v>
      </c>
      <c r="I753" s="122">
        <f>IF($D753="",0,IF($S753=0,0,$R753/$S753))</f>
        <v>0</v>
      </c>
      <c r="J753" s="123">
        <f>IF($D753="",0,IF($F753&lt;2,0,IF($E753="Win",('Guide &amp; Settings'!$C$42/(($F753-1)*COUNTIFS($A$4:$A$810,$A753,$E$4:$E$810,"Win")))*SUMIFS($X$4:$X$810,$A$4:$A$810,$A753,$E$4:$E$810,"Loss"),-('Guide &amp; Settings'!$C$42/($F753-1))*$X753)))</f>
        <v>0</v>
      </c>
      <c r="K753" s="123">
        <f>IF($D753="",0,'Guide &amp; Settings'!$C$43*(IF($E753="Win",1,0)-$I753))</f>
        <v>0</v>
      </c>
      <c r="L753" s="124">
        <f>IF($D753="",0,'Guide &amp; Settings'!$C$44*IF($F753&gt;=3,$F753+IF($E753="Win",$F753,0),0))</f>
        <v>0</v>
      </c>
      <c r="M753" s="123">
        <f>IF($D753="",0,$J753+$K753+$L753)</f>
        <v>0</v>
      </c>
      <c r="N753" s="121">
        <f>IF($D753="",0,$H753+$M753)</f>
        <v>0</v>
      </c>
      <c r="O753" s="120" t="str">
        <f>IF($D753="","",IF(COUNTIFS($A$4:$A$810,$A753,$E$4:$E$810,"Win")=0,"need a winner",IF(COUNTIFS($A$4:$A$810,$A753,$E$4:$E$810,"Loss")=0,"need a loser",IF(COUNTIFS($A$4:$A$810,$A753,$D$4:$D$810,$D753)&gt;1,"duplicate player","OK"))))</f>
      </c>
      <c r="P753">
        <f>IF($D753="",0,IFERROR(SUMIFS($H$4:$H$810,$A$4:$A$810,$A753,$E$4:$E$810,"Win")/COUNTIFS($A$4:$A$810,$A753,$E$4:$E$810,"Win"),0))</f>
        <v>0</v>
      </c>
      <c r="Q753">
        <f>IF($D753="",0,1/(1+10^(($P753-$H753)/400)))</f>
        <v>0</v>
      </c>
      <c r="R753">
        <f>IF($D753="",0,(COUNTIFS($D$4:$D$810,$D753,$C$4:$C$810,$C753,$E$4:$E$810,"Win",$A$4:$A$810,"&lt;"&amp;$A753)+1)/(COUNTIFS($D$4:$D$810,$D753,$C$4:$C$810,$C753,$A$4:$A$810,"&lt;"&amp;$A753)+2))</f>
        <v>0</v>
      </c>
      <c r="S753">
        <f>IF($D753="",0,SUMIFS($R$4:$R$810,$A$4:$A$810,$A753))</f>
        <v>0</v>
      </c>
      <c r="T753" s="88">
        <f>IF($D753="",0,COUNTIFS($D$4:$D$810,$D753,$C$4:$C$810,$C753,$A$4:$A$810,"&lt;"&amp;$A753))</f>
        <v>0</v>
      </c>
      <c r="U753" s="125">
        <f>IF($D753="",0,IFERROR(LOOKUP(2,1/(($D$3:D752=$D753)*($C$3:C752=$C753)*($A$3:A752&lt;$A753)),$AB$3:AB752),1000))</f>
        <v>0</v>
      </c>
      <c r="V753" s="125">
        <f>IF($D753="",0,$U753*($T753/($T753+5))+$H753*(1-$T753/($T753+5)))</f>
        <v>0</v>
      </c>
      <c r="W753">
        <f>IF($D753="",0,IFERROR(SUMIFS($V$4:$V$810,$A$4:$A$810,$A753,$E$4:$E$810,"Win")/COUNTIFS($A$4:$A$810,$A753,$E$4:$E$810,"Win"),0))</f>
        <v>0</v>
      </c>
      <c r="X753">
        <f>IF($D753="",0,1/(1+10^(($W753-$V753)/400)))</f>
        <v>0</v>
      </c>
      <c r="Y753">
        <f>IF($D753="",0,IFERROR(SUMIFS($U$4:$U$810,$A$4:$A$810,$A753,$E$4:$E$810,"Win")/COUNTIFS($A$4:$A$810,$A753,$E$4:$E$810,"Win"),0))</f>
        <v>0</v>
      </c>
      <c r="Z753">
        <f>IF($D753="",0,1/(1+10^(($Y753-$U753)/400)))</f>
        <v>0</v>
      </c>
      <c r="AA753">
        <f>IF($D753="",0,IF($F753&lt;2,0,IF($E753="Win",('Guide &amp; Settings'!$C$42/(($F753-1)*COUNTIFS($A$4:$A$810,$A753,$E$4:$E$810,"Win")))*SUMIFS($Z$4:$Z$810,$A$4:$A$810,$A753,$E$4:$E$810,"Loss"),-('Guide &amp; Settings'!$C$42/($F753-1))*$Z753)))</f>
        <v>0</v>
      </c>
      <c r="AB753" s="125">
        <f>IF($D753="",0,$U753+$AA753)</f>
        <v>0</v>
      </c>
      <c r="AC753" s="125" t="str">
        <f>IF($D753="","",IF(SUMPRODUCT(MAX(($D$4:$D$810=$D753)*($B$4:$B$810&lt;$B753)*$B$4:$B$810))=0,0,MAX(($B753-MAX(SUMPRODUCT(MAX(($D$4:$D$810=$D753)*($B$4:$B$810&lt;$B753)*$B$4:$B$810)),'Guide &amp; Settings'!$C$50))/7-'Guide &amp; Settings'!$C$48,0)*'Guide &amp; Settings'!$C$49))</f>
      </c>
    </row>
    <row r="754" spans="1:29">
      <c r="A754" s="116"/>
      <c r="B754" s="117"/>
      <c r="C754" s="118"/>
      <c r="D754" s="118"/>
      <c r="E754" s="116"/>
      <c r="F754" s="119">
        <f>IF($D754="",0,COUNTIF($A$4:$A$810,$A754))</f>
        <v>0</v>
      </c>
      <c r="G754" s="120">
        <f>IF($D754="","",IFERROR(LOOKUP(2,1/(($A$4:$A$810=$A754)*($E$4:$E$810="Win")),$D$4:$D$810),"(no winner)"))</f>
        <v>0</v>
      </c>
      <c r="H754" s="121">
        <f>IF($D754="",0,IFERROR(LOOKUP(2,1/(($D$3:D753=$D754)*($A$3:A753&lt;$A754)),$N$3:N753),'Guide &amp; Settings'!$C$41))</f>
        <v>0</v>
      </c>
      <c r="I754" s="122">
        <f>IF($D754="",0,IF($S754=0,0,$R754/$S754))</f>
        <v>0</v>
      </c>
      <c r="J754" s="123">
        <f>IF($D754="",0,IF($F754&lt;2,0,IF($E754="Win",('Guide &amp; Settings'!$C$42/(($F754-1)*COUNTIFS($A$4:$A$810,$A754,$E$4:$E$810,"Win")))*SUMIFS($X$4:$X$810,$A$4:$A$810,$A754,$E$4:$E$810,"Loss"),-('Guide &amp; Settings'!$C$42/($F754-1))*$X754)))</f>
        <v>0</v>
      </c>
      <c r="K754" s="123">
        <f>IF($D754="",0,'Guide &amp; Settings'!$C$43*(IF($E754="Win",1,0)-$I754))</f>
        <v>0</v>
      </c>
      <c r="L754" s="124">
        <f>IF($D754="",0,'Guide &amp; Settings'!$C$44*IF($F754&gt;=3,$F754+IF($E754="Win",$F754,0),0))</f>
        <v>0</v>
      </c>
      <c r="M754" s="123">
        <f>IF($D754="",0,$J754+$K754+$L754)</f>
        <v>0</v>
      </c>
      <c r="N754" s="121">
        <f>IF($D754="",0,$H754+$M754)</f>
        <v>0</v>
      </c>
      <c r="O754" s="120" t="str">
        <f>IF($D754="","",IF(COUNTIFS($A$4:$A$810,$A754,$E$4:$E$810,"Win")=0,"need a winner",IF(COUNTIFS($A$4:$A$810,$A754,$E$4:$E$810,"Loss")=0,"need a loser",IF(COUNTIFS($A$4:$A$810,$A754,$D$4:$D$810,$D754)&gt;1,"duplicate player","OK"))))</f>
      </c>
      <c r="P754">
        <f>IF($D754="",0,IFERROR(SUMIFS($H$4:$H$810,$A$4:$A$810,$A754,$E$4:$E$810,"Win")/COUNTIFS($A$4:$A$810,$A754,$E$4:$E$810,"Win"),0))</f>
        <v>0</v>
      </c>
      <c r="Q754">
        <f>IF($D754="",0,1/(1+10^(($P754-$H754)/400)))</f>
        <v>0</v>
      </c>
      <c r="R754">
        <f>IF($D754="",0,(COUNTIFS($D$4:$D$810,$D754,$C$4:$C$810,$C754,$E$4:$E$810,"Win",$A$4:$A$810,"&lt;"&amp;$A754)+1)/(COUNTIFS($D$4:$D$810,$D754,$C$4:$C$810,$C754,$A$4:$A$810,"&lt;"&amp;$A754)+2))</f>
        <v>0</v>
      </c>
      <c r="S754">
        <f>IF($D754="",0,SUMIFS($R$4:$R$810,$A$4:$A$810,$A754))</f>
        <v>0</v>
      </c>
      <c r="T754" s="88">
        <f>IF($D754="",0,COUNTIFS($D$4:$D$810,$D754,$C$4:$C$810,$C754,$A$4:$A$810,"&lt;"&amp;$A754))</f>
        <v>0</v>
      </c>
      <c r="U754" s="125">
        <f>IF($D754="",0,IFERROR(LOOKUP(2,1/(($D$3:D753=$D754)*($C$3:C753=$C754)*($A$3:A753&lt;$A754)),$AB$3:AB753),1000))</f>
        <v>0</v>
      </c>
      <c r="V754" s="125">
        <f>IF($D754="",0,$U754*($T754/($T754+5))+$H754*(1-$T754/($T754+5)))</f>
        <v>0</v>
      </c>
      <c r="W754">
        <f>IF($D754="",0,IFERROR(SUMIFS($V$4:$V$810,$A$4:$A$810,$A754,$E$4:$E$810,"Win")/COUNTIFS($A$4:$A$810,$A754,$E$4:$E$810,"Win"),0))</f>
        <v>0</v>
      </c>
      <c r="X754">
        <f>IF($D754="",0,1/(1+10^(($W754-$V754)/400)))</f>
        <v>0</v>
      </c>
      <c r="Y754">
        <f>IF($D754="",0,IFERROR(SUMIFS($U$4:$U$810,$A$4:$A$810,$A754,$E$4:$E$810,"Win")/COUNTIFS($A$4:$A$810,$A754,$E$4:$E$810,"Win"),0))</f>
        <v>0</v>
      </c>
      <c r="Z754">
        <f>IF($D754="",0,1/(1+10^(($Y754-$U754)/400)))</f>
        <v>0</v>
      </c>
      <c r="AA754">
        <f>IF($D754="",0,IF($F754&lt;2,0,IF($E754="Win",('Guide &amp; Settings'!$C$42/(($F754-1)*COUNTIFS($A$4:$A$810,$A754,$E$4:$E$810,"Win")))*SUMIFS($Z$4:$Z$810,$A$4:$A$810,$A754,$E$4:$E$810,"Loss"),-('Guide &amp; Settings'!$C$42/($F754-1))*$Z754)))</f>
        <v>0</v>
      </c>
      <c r="AB754" s="125">
        <f>IF($D754="",0,$U754+$AA754)</f>
        <v>0</v>
      </c>
      <c r="AC754" s="125" t="str">
        <f>IF($D754="","",IF(SUMPRODUCT(MAX(($D$4:$D$810=$D754)*($B$4:$B$810&lt;$B754)*$B$4:$B$810))=0,0,MAX(($B754-MAX(SUMPRODUCT(MAX(($D$4:$D$810=$D754)*($B$4:$B$810&lt;$B754)*$B$4:$B$810)),'Guide &amp; Settings'!$C$50))/7-'Guide &amp; Settings'!$C$48,0)*'Guide &amp; Settings'!$C$49))</f>
      </c>
    </row>
    <row r="755" spans="1:29">
      <c r="A755" s="116"/>
      <c r="B755" s="117"/>
      <c r="C755" s="118"/>
      <c r="D755" s="118"/>
      <c r="E755" s="116"/>
      <c r="F755" s="119">
        <f>IF($D755="",0,COUNTIF($A$4:$A$810,$A755))</f>
        <v>0</v>
      </c>
      <c r="G755" s="120">
        <f>IF($D755="","",IFERROR(LOOKUP(2,1/(($A$4:$A$810=$A755)*($E$4:$E$810="Win")),$D$4:$D$810),"(no winner)"))</f>
        <v>0</v>
      </c>
      <c r="H755" s="121">
        <f>IF($D755="",0,IFERROR(LOOKUP(2,1/(($D$3:D754=$D755)*($A$3:A754&lt;$A755)),$N$3:N754),'Guide &amp; Settings'!$C$41))</f>
        <v>0</v>
      </c>
      <c r="I755" s="122">
        <f>IF($D755="",0,IF($S755=0,0,$R755/$S755))</f>
        <v>0</v>
      </c>
      <c r="J755" s="123">
        <f>IF($D755="",0,IF($F755&lt;2,0,IF($E755="Win",('Guide &amp; Settings'!$C$42/(($F755-1)*COUNTIFS($A$4:$A$810,$A755,$E$4:$E$810,"Win")))*SUMIFS($X$4:$X$810,$A$4:$A$810,$A755,$E$4:$E$810,"Loss"),-('Guide &amp; Settings'!$C$42/($F755-1))*$X755)))</f>
        <v>0</v>
      </c>
      <c r="K755" s="123">
        <f>IF($D755="",0,'Guide &amp; Settings'!$C$43*(IF($E755="Win",1,0)-$I755))</f>
        <v>0</v>
      </c>
      <c r="L755" s="124">
        <f>IF($D755="",0,'Guide &amp; Settings'!$C$44*IF($F755&gt;=3,$F755+IF($E755="Win",$F755,0),0))</f>
        <v>0</v>
      </c>
      <c r="M755" s="123">
        <f>IF($D755="",0,$J755+$K755+$L755)</f>
        <v>0</v>
      </c>
      <c r="N755" s="121">
        <f>IF($D755="",0,$H755+$M755)</f>
        <v>0</v>
      </c>
      <c r="O755" s="120" t="str">
        <f>IF($D755="","",IF(COUNTIFS($A$4:$A$810,$A755,$E$4:$E$810,"Win")=0,"need a winner",IF(COUNTIFS($A$4:$A$810,$A755,$E$4:$E$810,"Loss")=0,"need a loser",IF(COUNTIFS($A$4:$A$810,$A755,$D$4:$D$810,$D755)&gt;1,"duplicate player","OK"))))</f>
      </c>
      <c r="P755">
        <f>IF($D755="",0,IFERROR(SUMIFS($H$4:$H$810,$A$4:$A$810,$A755,$E$4:$E$810,"Win")/COUNTIFS($A$4:$A$810,$A755,$E$4:$E$810,"Win"),0))</f>
        <v>0</v>
      </c>
      <c r="Q755">
        <f>IF($D755="",0,1/(1+10^(($P755-$H755)/400)))</f>
        <v>0</v>
      </c>
      <c r="R755">
        <f>IF($D755="",0,(COUNTIFS($D$4:$D$810,$D755,$C$4:$C$810,$C755,$E$4:$E$810,"Win",$A$4:$A$810,"&lt;"&amp;$A755)+1)/(COUNTIFS($D$4:$D$810,$D755,$C$4:$C$810,$C755,$A$4:$A$810,"&lt;"&amp;$A755)+2))</f>
        <v>0</v>
      </c>
      <c r="S755">
        <f>IF($D755="",0,SUMIFS($R$4:$R$810,$A$4:$A$810,$A755))</f>
        <v>0</v>
      </c>
      <c r="T755" s="88">
        <f>IF($D755="",0,COUNTIFS($D$4:$D$810,$D755,$C$4:$C$810,$C755,$A$4:$A$810,"&lt;"&amp;$A755))</f>
        <v>0</v>
      </c>
      <c r="U755" s="125">
        <f>IF($D755="",0,IFERROR(LOOKUP(2,1/(($D$3:D754=$D755)*($C$3:C754=$C755)*($A$3:A754&lt;$A755)),$AB$3:AB754),1000))</f>
        <v>0</v>
      </c>
      <c r="V755" s="125">
        <f>IF($D755="",0,$U755*($T755/($T755+5))+$H755*(1-$T755/($T755+5)))</f>
        <v>0</v>
      </c>
      <c r="W755">
        <f>IF($D755="",0,IFERROR(SUMIFS($V$4:$V$810,$A$4:$A$810,$A755,$E$4:$E$810,"Win")/COUNTIFS($A$4:$A$810,$A755,$E$4:$E$810,"Win"),0))</f>
        <v>0</v>
      </c>
      <c r="X755">
        <f>IF($D755="",0,1/(1+10^(($W755-$V755)/400)))</f>
        <v>0</v>
      </c>
      <c r="Y755">
        <f>IF($D755="",0,IFERROR(SUMIFS($U$4:$U$810,$A$4:$A$810,$A755,$E$4:$E$810,"Win")/COUNTIFS($A$4:$A$810,$A755,$E$4:$E$810,"Win"),0))</f>
        <v>0</v>
      </c>
      <c r="Z755">
        <f>IF($D755="",0,1/(1+10^(($Y755-$U755)/400)))</f>
        <v>0</v>
      </c>
      <c r="AA755">
        <f>IF($D755="",0,IF($F755&lt;2,0,IF($E755="Win",('Guide &amp; Settings'!$C$42/(($F755-1)*COUNTIFS($A$4:$A$810,$A755,$E$4:$E$810,"Win")))*SUMIFS($Z$4:$Z$810,$A$4:$A$810,$A755,$E$4:$E$810,"Loss"),-('Guide &amp; Settings'!$C$42/($F755-1))*$Z755)))</f>
        <v>0</v>
      </c>
      <c r="AB755" s="125">
        <f>IF($D755="",0,$U755+$AA755)</f>
        <v>0</v>
      </c>
      <c r="AC755" s="125" t="str">
        <f>IF($D755="","",IF(SUMPRODUCT(MAX(($D$4:$D$810=$D755)*($B$4:$B$810&lt;$B755)*$B$4:$B$810))=0,0,MAX(($B755-MAX(SUMPRODUCT(MAX(($D$4:$D$810=$D755)*($B$4:$B$810&lt;$B755)*$B$4:$B$810)),'Guide &amp; Settings'!$C$50))/7-'Guide &amp; Settings'!$C$48,0)*'Guide &amp; Settings'!$C$49))</f>
      </c>
    </row>
    <row r="756" spans="1:29">
      <c r="A756" s="116"/>
      <c r="B756" s="117"/>
      <c r="C756" s="118"/>
      <c r="D756" s="118"/>
      <c r="E756" s="116"/>
      <c r="F756" s="119">
        <f>IF($D756="",0,COUNTIF($A$4:$A$810,$A756))</f>
        <v>0</v>
      </c>
      <c r="G756" s="120">
        <f>IF($D756="","",IFERROR(LOOKUP(2,1/(($A$4:$A$810=$A756)*($E$4:$E$810="Win")),$D$4:$D$810),"(no winner)"))</f>
        <v>0</v>
      </c>
      <c r="H756" s="121">
        <f>IF($D756="",0,IFERROR(LOOKUP(2,1/(($D$3:D755=$D756)*($A$3:A755&lt;$A756)),$N$3:N755),'Guide &amp; Settings'!$C$41))</f>
        <v>0</v>
      </c>
      <c r="I756" s="122">
        <f>IF($D756="",0,IF($S756=0,0,$R756/$S756))</f>
        <v>0</v>
      </c>
      <c r="J756" s="123">
        <f>IF($D756="",0,IF($F756&lt;2,0,IF($E756="Win",('Guide &amp; Settings'!$C$42/(($F756-1)*COUNTIFS($A$4:$A$810,$A756,$E$4:$E$810,"Win")))*SUMIFS($X$4:$X$810,$A$4:$A$810,$A756,$E$4:$E$810,"Loss"),-('Guide &amp; Settings'!$C$42/($F756-1))*$X756)))</f>
        <v>0</v>
      </c>
      <c r="K756" s="123">
        <f>IF($D756="",0,'Guide &amp; Settings'!$C$43*(IF($E756="Win",1,0)-$I756))</f>
        <v>0</v>
      </c>
      <c r="L756" s="124">
        <f>IF($D756="",0,'Guide &amp; Settings'!$C$44*IF($F756&gt;=3,$F756+IF($E756="Win",$F756,0),0))</f>
        <v>0</v>
      </c>
      <c r="M756" s="123">
        <f>IF($D756="",0,$J756+$K756+$L756)</f>
        <v>0</v>
      </c>
      <c r="N756" s="121">
        <f>IF($D756="",0,$H756+$M756)</f>
        <v>0</v>
      </c>
      <c r="O756" s="120" t="str">
        <f>IF($D756="","",IF(COUNTIFS($A$4:$A$810,$A756,$E$4:$E$810,"Win")=0,"need a winner",IF(COUNTIFS($A$4:$A$810,$A756,$E$4:$E$810,"Loss")=0,"need a loser",IF(COUNTIFS($A$4:$A$810,$A756,$D$4:$D$810,$D756)&gt;1,"duplicate player","OK"))))</f>
      </c>
      <c r="P756">
        <f>IF($D756="",0,IFERROR(SUMIFS($H$4:$H$810,$A$4:$A$810,$A756,$E$4:$E$810,"Win")/COUNTIFS($A$4:$A$810,$A756,$E$4:$E$810,"Win"),0))</f>
        <v>0</v>
      </c>
      <c r="Q756">
        <f>IF($D756="",0,1/(1+10^(($P756-$H756)/400)))</f>
        <v>0</v>
      </c>
      <c r="R756">
        <f>IF($D756="",0,(COUNTIFS($D$4:$D$810,$D756,$C$4:$C$810,$C756,$E$4:$E$810,"Win",$A$4:$A$810,"&lt;"&amp;$A756)+1)/(COUNTIFS($D$4:$D$810,$D756,$C$4:$C$810,$C756,$A$4:$A$810,"&lt;"&amp;$A756)+2))</f>
        <v>0</v>
      </c>
      <c r="S756">
        <f>IF($D756="",0,SUMIFS($R$4:$R$810,$A$4:$A$810,$A756))</f>
        <v>0</v>
      </c>
      <c r="T756" s="88">
        <f>IF($D756="",0,COUNTIFS($D$4:$D$810,$D756,$C$4:$C$810,$C756,$A$4:$A$810,"&lt;"&amp;$A756))</f>
        <v>0</v>
      </c>
      <c r="U756" s="125">
        <f>IF($D756="",0,IFERROR(LOOKUP(2,1/(($D$3:D755=$D756)*($C$3:C755=$C756)*($A$3:A755&lt;$A756)),$AB$3:AB755),1000))</f>
        <v>0</v>
      </c>
      <c r="V756" s="125">
        <f>IF($D756="",0,$U756*($T756/($T756+5))+$H756*(1-$T756/($T756+5)))</f>
        <v>0</v>
      </c>
      <c r="W756">
        <f>IF($D756="",0,IFERROR(SUMIFS($V$4:$V$810,$A$4:$A$810,$A756,$E$4:$E$810,"Win")/COUNTIFS($A$4:$A$810,$A756,$E$4:$E$810,"Win"),0))</f>
        <v>0</v>
      </c>
      <c r="X756">
        <f>IF($D756="",0,1/(1+10^(($W756-$V756)/400)))</f>
        <v>0</v>
      </c>
      <c r="Y756">
        <f>IF($D756="",0,IFERROR(SUMIFS($U$4:$U$810,$A$4:$A$810,$A756,$E$4:$E$810,"Win")/COUNTIFS($A$4:$A$810,$A756,$E$4:$E$810,"Win"),0))</f>
        <v>0</v>
      </c>
      <c r="Z756">
        <f>IF($D756="",0,1/(1+10^(($Y756-$U756)/400)))</f>
        <v>0</v>
      </c>
      <c r="AA756">
        <f>IF($D756="",0,IF($F756&lt;2,0,IF($E756="Win",('Guide &amp; Settings'!$C$42/(($F756-1)*COUNTIFS($A$4:$A$810,$A756,$E$4:$E$810,"Win")))*SUMIFS($Z$4:$Z$810,$A$4:$A$810,$A756,$E$4:$E$810,"Loss"),-('Guide &amp; Settings'!$C$42/($F756-1))*$Z756)))</f>
        <v>0</v>
      </c>
      <c r="AB756" s="125">
        <f>IF($D756="",0,$U756+$AA756)</f>
        <v>0</v>
      </c>
      <c r="AC756" s="125" t="str">
        <f>IF($D756="","",IF(SUMPRODUCT(MAX(($D$4:$D$810=$D756)*($B$4:$B$810&lt;$B756)*$B$4:$B$810))=0,0,MAX(($B756-MAX(SUMPRODUCT(MAX(($D$4:$D$810=$D756)*($B$4:$B$810&lt;$B756)*$B$4:$B$810)),'Guide &amp; Settings'!$C$50))/7-'Guide &amp; Settings'!$C$48,0)*'Guide &amp; Settings'!$C$49))</f>
      </c>
    </row>
    <row r="757" spans="1:29">
      <c r="A757" s="116"/>
      <c r="B757" s="117"/>
      <c r="C757" s="118"/>
      <c r="D757" s="118"/>
      <c r="E757" s="116"/>
      <c r="F757" s="119">
        <f>IF($D757="",0,COUNTIF($A$4:$A$810,$A757))</f>
        <v>0</v>
      </c>
      <c r="G757" s="120">
        <f>IF($D757="","",IFERROR(LOOKUP(2,1/(($A$4:$A$810=$A757)*($E$4:$E$810="Win")),$D$4:$D$810),"(no winner)"))</f>
        <v>0</v>
      </c>
      <c r="H757" s="121">
        <f>IF($D757="",0,IFERROR(LOOKUP(2,1/(($D$3:D756=$D757)*($A$3:A756&lt;$A757)),$N$3:N756),'Guide &amp; Settings'!$C$41))</f>
        <v>0</v>
      </c>
      <c r="I757" s="122">
        <f>IF($D757="",0,IF($S757=0,0,$R757/$S757))</f>
        <v>0</v>
      </c>
      <c r="J757" s="123">
        <f>IF($D757="",0,IF($F757&lt;2,0,IF($E757="Win",('Guide &amp; Settings'!$C$42/(($F757-1)*COUNTIFS($A$4:$A$810,$A757,$E$4:$E$810,"Win")))*SUMIFS($X$4:$X$810,$A$4:$A$810,$A757,$E$4:$E$810,"Loss"),-('Guide &amp; Settings'!$C$42/($F757-1))*$X757)))</f>
        <v>0</v>
      </c>
      <c r="K757" s="123">
        <f>IF($D757="",0,'Guide &amp; Settings'!$C$43*(IF($E757="Win",1,0)-$I757))</f>
        <v>0</v>
      </c>
      <c r="L757" s="124">
        <f>IF($D757="",0,'Guide &amp; Settings'!$C$44*IF($F757&gt;=3,$F757+IF($E757="Win",$F757,0),0))</f>
        <v>0</v>
      </c>
      <c r="M757" s="123">
        <f>IF($D757="",0,$J757+$K757+$L757)</f>
        <v>0</v>
      </c>
      <c r="N757" s="121">
        <f>IF($D757="",0,$H757+$M757)</f>
        <v>0</v>
      </c>
      <c r="O757" s="120" t="str">
        <f>IF($D757="","",IF(COUNTIFS($A$4:$A$810,$A757,$E$4:$E$810,"Win")=0,"need a winner",IF(COUNTIFS($A$4:$A$810,$A757,$E$4:$E$810,"Loss")=0,"need a loser",IF(COUNTIFS($A$4:$A$810,$A757,$D$4:$D$810,$D757)&gt;1,"duplicate player","OK"))))</f>
      </c>
      <c r="P757">
        <f>IF($D757="",0,IFERROR(SUMIFS($H$4:$H$810,$A$4:$A$810,$A757,$E$4:$E$810,"Win")/COUNTIFS($A$4:$A$810,$A757,$E$4:$E$810,"Win"),0))</f>
        <v>0</v>
      </c>
      <c r="Q757">
        <f>IF($D757="",0,1/(1+10^(($P757-$H757)/400)))</f>
        <v>0</v>
      </c>
      <c r="R757">
        <f>IF($D757="",0,(COUNTIFS($D$4:$D$810,$D757,$C$4:$C$810,$C757,$E$4:$E$810,"Win",$A$4:$A$810,"&lt;"&amp;$A757)+1)/(COUNTIFS($D$4:$D$810,$D757,$C$4:$C$810,$C757,$A$4:$A$810,"&lt;"&amp;$A757)+2))</f>
        <v>0</v>
      </c>
      <c r="S757">
        <f>IF($D757="",0,SUMIFS($R$4:$R$810,$A$4:$A$810,$A757))</f>
        <v>0</v>
      </c>
      <c r="T757" s="88">
        <f>IF($D757="",0,COUNTIFS($D$4:$D$810,$D757,$C$4:$C$810,$C757,$A$4:$A$810,"&lt;"&amp;$A757))</f>
        <v>0</v>
      </c>
      <c r="U757" s="125">
        <f>IF($D757="",0,IFERROR(LOOKUP(2,1/(($D$3:D756=$D757)*($C$3:C756=$C757)*($A$3:A756&lt;$A757)),$AB$3:AB756),1000))</f>
        <v>0</v>
      </c>
      <c r="V757" s="125">
        <f>IF($D757="",0,$U757*($T757/($T757+5))+$H757*(1-$T757/($T757+5)))</f>
        <v>0</v>
      </c>
      <c r="W757">
        <f>IF($D757="",0,IFERROR(SUMIFS($V$4:$V$810,$A$4:$A$810,$A757,$E$4:$E$810,"Win")/COUNTIFS($A$4:$A$810,$A757,$E$4:$E$810,"Win"),0))</f>
        <v>0</v>
      </c>
      <c r="X757">
        <f>IF($D757="",0,1/(1+10^(($W757-$V757)/400)))</f>
        <v>0</v>
      </c>
      <c r="Y757">
        <f>IF($D757="",0,IFERROR(SUMIFS($U$4:$U$810,$A$4:$A$810,$A757,$E$4:$E$810,"Win")/COUNTIFS($A$4:$A$810,$A757,$E$4:$E$810,"Win"),0))</f>
        <v>0</v>
      </c>
      <c r="Z757">
        <f>IF($D757="",0,1/(1+10^(($Y757-$U757)/400)))</f>
        <v>0</v>
      </c>
      <c r="AA757">
        <f>IF($D757="",0,IF($F757&lt;2,0,IF($E757="Win",('Guide &amp; Settings'!$C$42/(($F757-1)*COUNTIFS($A$4:$A$810,$A757,$E$4:$E$810,"Win")))*SUMIFS($Z$4:$Z$810,$A$4:$A$810,$A757,$E$4:$E$810,"Loss"),-('Guide &amp; Settings'!$C$42/($F757-1))*$Z757)))</f>
        <v>0</v>
      </c>
      <c r="AB757" s="125">
        <f>IF($D757="",0,$U757+$AA757)</f>
        <v>0</v>
      </c>
      <c r="AC757" s="125" t="str">
        <f>IF($D757="","",IF(SUMPRODUCT(MAX(($D$4:$D$810=$D757)*($B$4:$B$810&lt;$B757)*$B$4:$B$810))=0,0,MAX(($B757-MAX(SUMPRODUCT(MAX(($D$4:$D$810=$D757)*($B$4:$B$810&lt;$B757)*$B$4:$B$810)),'Guide &amp; Settings'!$C$50))/7-'Guide &amp; Settings'!$C$48,0)*'Guide &amp; Settings'!$C$49))</f>
      </c>
    </row>
    <row r="758" spans="1:29">
      <c r="A758" s="116"/>
      <c r="B758" s="117"/>
      <c r="C758" s="118"/>
      <c r="D758" s="118"/>
      <c r="E758" s="116"/>
      <c r="F758" s="119">
        <f>IF($D758="",0,COUNTIF($A$4:$A$810,$A758))</f>
        <v>0</v>
      </c>
      <c r="G758" s="120">
        <f>IF($D758="","",IFERROR(LOOKUP(2,1/(($A$4:$A$810=$A758)*($E$4:$E$810="Win")),$D$4:$D$810),"(no winner)"))</f>
        <v>0</v>
      </c>
      <c r="H758" s="121">
        <f>IF($D758="",0,IFERROR(LOOKUP(2,1/(($D$3:D757=$D758)*($A$3:A757&lt;$A758)),$N$3:N757),'Guide &amp; Settings'!$C$41))</f>
        <v>0</v>
      </c>
      <c r="I758" s="122">
        <f>IF($D758="",0,IF($S758=0,0,$R758/$S758))</f>
        <v>0</v>
      </c>
      <c r="J758" s="123">
        <f>IF($D758="",0,IF($F758&lt;2,0,IF($E758="Win",('Guide &amp; Settings'!$C$42/(($F758-1)*COUNTIFS($A$4:$A$810,$A758,$E$4:$E$810,"Win")))*SUMIFS($X$4:$X$810,$A$4:$A$810,$A758,$E$4:$E$810,"Loss"),-('Guide &amp; Settings'!$C$42/($F758-1))*$X758)))</f>
        <v>0</v>
      </c>
      <c r="K758" s="123">
        <f>IF($D758="",0,'Guide &amp; Settings'!$C$43*(IF($E758="Win",1,0)-$I758))</f>
        <v>0</v>
      </c>
      <c r="L758" s="124">
        <f>IF($D758="",0,'Guide &amp; Settings'!$C$44*IF($F758&gt;=3,$F758+IF($E758="Win",$F758,0),0))</f>
        <v>0</v>
      </c>
      <c r="M758" s="123">
        <f>IF($D758="",0,$J758+$K758+$L758)</f>
        <v>0</v>
      </c>
      <c r="N758" s="121">
        <f>IF($D758="",0,$H758+$M758)</f>
        <v>0</v>
      </c>
      <c r="O758" s="120" t="str">
        <f>IF($D758="","",IF(COUNTIFS($A$4:$A$810,$A758,$E$4:$E$810,"Win")=0,"need a winner",IF(COUNTIFS($A$4:$A$810,$A758,$E$4:$E$810,"Loss")=0,"need a loser",IF(COUNTIFS($A$4:$A$810,$A758,$D$4:$D$810,$D758)&gt;1,"duplicate player","OK"))))</f>
      </c>
      <c r="P758">
        <f>IF($D758="",0,IFERROR(SUMIFS($H$4:$H$810,$A$4:$A$810,$A758,$E$4:$E$810,"Win")/COUNTIFS($A$4:$A$810,$A758,$E$4:$E$810,"Win"),0))</f>
        <v>0</v>
      </c>
      <c r="Q758">
        <f>IF($D758="",0,1/(1+10^(($P758-$H758)/400)))</f>
        <v>0</v>
      </c>
      <c r="R758">
        <f>IF($D758="",0,(COUNTIFS($D$4:$D$810,$D758,$C$4:$C$810,$C758,$E$4:$E$810,"Win",$A$4:$A$810,"&lt;"&amp;$A758)+1)/(COUNTIFS($D$4:$D$810,$D758,$C$4:$C$810,$C758,$A$4:$A$810,"&lt;"&amp;$A758)+2))</f>
        <v>0</v>
      </c>
      <c r="S758">
        <f>IF($D758="",0,SUMIFS($R$4:$R$810,$A$4:$A$810,$A758))</f>
        <v>0</v>
      </c>
      <c r="T758" s="88">
        <f>IF($D758="",0,COUNTIFS($D$4:$D$810,$D758,$C$4:$C$810,$C758,$A$4:$A$810,"&lt;"&amp;$A758))</f>
        <v>0</v>
      </c>
      <c r="U758" s="125">
        <f>IF($D758="",0,IFERROR(LOOKUP(2,1/(($D$3:D757=$D758)*($C$3:C757=$C758)*($A$3:A757&lt;$A758)),$AB$3:AB757),1000))</f>
        <v>0</v>
      </c>
      <c r="V758" s="125">
        <f>IF($D758="",0,$U758*($T758/($T758+5))+$H758*(1-$T758/($T758+5)))</f>
        <v>0</v>
      </c>
      <c r="W758">
        <f>IF($D758="",0,IFERROR(SUMIFS($V$4:$V$810,$A$4:$A$810,$A758,$E$4:$E$810,"Win")/COUNTIFS($A$4:$A$810,$A758,$E$4:$E$810,"Win"),0))</f>
        <v>0</v>
      </c>
      <c r="X758">
        <f>IF($D758="",0,1/(1+10^(($W758-$V758)/400)))</f>
        <v>0</v>
      </c>
      <c r="Y758">
        <f>IF($D758="",0,IFERROR(SUMIFS($U$4:$U$810,$A$4:$A$810,$A758,$E$4:$E$810,"Win")/COUNTIFS($A$4:$A$810,$A758,$E$4:$E$810,"Win"),0))</f>
        <v>0</v>
      </c>
      <c r="Z758">
        <f>IF($D758="",0,1/(1+10^(($Y758-$U758)/400)))</f>
        <v>0</v>
      </c>
      <c r="AA758">
        <f>IF($D758="",0,IF($F758&lt;2,0,IF($E758="Win",('Guide &amp; Settings'!$C$42/(($F758-1)*COUNTIFS($A$4:$A$810,$A758,$E$4:$E$810,"Win")))*SUMIFS($Z$4:$Z$810,$A$4:$A$810,$A758,$E$4:$E$810,"Loss"),-('Guide &amp; Settings'!$C$42/($F758-1))*$Z758)))</f>
        <v>0</v>
      </c>
      <c r="AB758" s="125">
        <f>IF($D758="",0,$U758+$AA758)</f>
        <v>0</v>
      </c>
      <c r="AC758" s="125" t="str">
        <f>IF($D758="","",IF(SUMPRODUCT(MAX(($D$4:$D$810=$D758)*($B$4:$B$810&lt;$B758)*$B$4:$B$810))=0,0,MAX(($B758-MAX(SUMPRODUCT(MAX(($D$4:$D$810=$D758)*($B$4:$B$810&lt;$B758)*$B$4:$B$810)),'Guide &amp; Settings'!$C$50))/7-'Guide &amp; Settings'!$C$48,0)*'Guide &amp; Settings'!$C$49))</f>
      </c>
    </row>
    <row r="759" spans="1:29">
      <c r="A759" s="116"/>
      <c r="B759" s="117"/>
      <c r="C759" s="118"/>
      <c r="D759" s="118"/>
      <c r="E759" s="116"/>
      <c r="F759" s="119">
        <f>IF($D759="",0,COUNTIF($A$4:$A$810,$A759))</f>
        <v>0</v>
      </c>
      <c r="G759" s="120">
        <f>IF($D759="","",IFERROR(LOOKUP(2,1/(($A$4:$A$810=$A759)*($E$4:$E$810="Win")),$D$4:$D$810),"(no winner)"))</f>
        <v>0</v>
      </c>
      <c r="H759" s="121">
        <f>IF($D759="",0,IFERROR(LOOKUP(2,1/(($D$3:D758=$D759)*($A$3:A758&lt;$A759)),$N$3:N758),'Guide &amp; Settings'!$C$41))</f>
        <v>0</v>
      </c>
      <c r="I759" s="122">
        <f>IF($D759="",0,IF($S759=0,0,$R759/$S759))</f>
        <v>0</v>
      </c>
      <c r="J759" s="123">
        <f>IF($D759="",0,IF($F759&lt;2,0,IF($E759="Win",('Guide &amp; Settings'!$C$42/(($F759-1)*COUNTIFS($A$4:$A$810,$A759,$E$4:$E$810,"Win")))*SUMIFS($X$4:$X$810,$A$4:$A$810,$A759,$E$4:$E$810,"Loss"),-('Guide &amp; Settings'!$C$42/($F759-1))*$X759)))</f>
        <v>0</v>
      </c>
      <c r="K759" s="123">
        <f>IF($D759="",0,'Guide &amp; Settings'!$C$43*(IF($E759="Win",1,0)-$I759))</f>
        <v>0</v>
      </c>
      <c r="L759" s="124">
        <f>IF($D759="",0,'Guide &amp; Settings'!$C$44*IF($F759&gt;=3,$F759+IF($E759="Win",$F759,0),0))</f>
        <v>0</v>
      </c>
      <c r="M759" s="123">
        <f>IF($D759="",0,$J759+$K759+$L759)</f>
        <v>0</v>
      </c>
      <c r="N759" s="121">
        <f>IF($D759="",0,$H759+$M759)</f>
        <v>0</v>
      </c>
      <c r="O759" s="120" t="str">
        <f>IF($D759="","",IF(COUNTIFS($A$4:$A$810,$A759,$E$4:$E$810,"Win")=0,"need a winner",IF(COUNTIFS($A$4:$A$810,$A759,$E$4:$E$810,"Loss")=0,"need a loser",IF(COUNTIFS($A$4:$A$810,$A759,$D$4:$D$810,$D759)&gt;1,"duplicate player","OK"))))</f>
      </c>
      <c r="P759">
        <f>IF($D759="",0,IFERROR(SUMIFS($H$4:$H$810,$A$4:$A$810,$A759,$E$4:$E$810,"Win")/COUNTIFS($A$4:$A$810,$A759,$E$4:$E$810,"Win"),0))</f>
        <v>0</v>
      </c>
      <c r="Q759">
        <f>IF($D759="",0,1/(1+10^(($P759-$H759)/400)))</f>
        <v>0</v>
      </c>
      <c r="R759">
        <f>IF($D759="",0,(COUNTIFS($D$4:$D$810,$D759,$C$4:$C$810,$C759,$E$4:$E$810,"Win",$A$4:$A$810,"&lt;"&amp;$A759)+1)/(COUNTIFS($D$4:$D$810,$D759,$C$4:$C$810,$C759,$A$4:$A$810,"&lt;"&amp;$A759)+2))</f>
        <v>0</v>
      </c>
      <c r="S759">
        <f>IF($D759="",0,SUMIFS($R$4:$R$810,$A$4:$A$810,$A759))</f>
        <v>0</v>
      </c>
      <c r="T759" s="88">
        <f>IF($D759="",0,COUNTIFS($D$4:$D$810,$D759,$C$4:$C$810,$C759,$A$4:$A$810,"&lt;"&amp;$A759))</f>
        <v>0</v>
      </c>
      <c r="U759" s="125">
        <f>IF($D759="",0,IFERROR(LOOKUP(2,1/(($D$3:D758=$D759)*($C$3:C758=$C759)*($A$3:A758&lt;$A759)),$AB$3:AB758),1000))</f>
        <v>0</v>
      </c>
      <c r="V759" s="125">
        <f>IF($D759="",0,$U759*($T759/($T759+5))+$H759*(1-$T759/($T759+5)))</f>
        <v>0</v>
      </c>
      <c r="W759">
        <f>IF($D759="",0,IFERROR(SUMIFS($V$4:$V$810,$A$4:$A$810,$A759,$E$4:$E$810,"Win")/COUNTIFS($A$4:$A$810,$A759,$E$4:$E$810,"Win"),0))</f>
        <v>0</v>
      </c>
      <c r="X759">
        <f>IF($D759="",0,1/(1+10^(($W759-$V759)/400)))</f>
        <v>0</v>
      </c>
      <c r="Y759">
        <f>IF($D759="",0,IFERROR(SUMIFS($U$4:$U$810,$A$4:$A$810,$A759,$E$4:$E$810,"Win")/COUNTIFS($A$4:$A$810,$A759,$E$4:$E$810,"Win"),0))</f>
        <v>0</v>
      </c>
      <c r="Z759">
        <f>IF($D759="",0,1/(1+10^(($Y759-$U759)/400)))</f>
        <v>0</v>
      </c>
      <c r="AA759">
        <f>IF($D759="",0,IF($F759&lt;2,0,IF($E759="Win",('Guide &amp; Settings'!$C$42/(($F759-1)*COUNTIFS($A$4:$A$810,$A759,$E$4:$E$810,"Win")))*SUMIFS($Z$4:$Z$810,$A$4:$A$810,$A759,$E$4:$E$810,"Loss"),-('Guide &amp; Settings'!$C$42/($F759-1))*$Z759)))</f>
        <v>0</v>
      </c>
      <c r="AB759" s="125">
        <f>IF($D759="",0,$U759+$AA759)</f>
        <v>0</v>
      </c>
      <c r="AC759" s="125" t="str">
        <f>IF($D759="","",IF(SUMPRODUCT(MAX(($D$4:$D$810=$D759)*($B$4:$B$810&lt;$B759)*$B$4:$B$810))=0,0,MAX(($B759-MAX(SUMPRODUCT(MAX(($D$4:$D$810=$D759)*($B$4:$B$810&lt;$B759)*$B$4:$B$810)),'Guide &amp; Settings'!$C$50))/7-'Guide &amp; Settings'!$C$48,0)*'Guide &amp; Settings'!$C$49))</f>
      </c>
    </row>
    <row r="760" spans="1:29">
      <c r="A760" s="116"/>
      <c r="B760" s="117"/>
      <c r="C760" s="118"/>
      <c r="D760" s="118"/>
      <c r="E760" s="116"/>
      <c r="F760" s="119">
        <f>IF($D760="",0,COUNTIF($A$4:$A$810,$A760))</f>
        <v>0</v>
      </c>
      <c r="G760" s="120">
        <f>IF($D760="","",IFERROR(LOOKUP(2,1/(($A$4:$A$810=$A760)*($E$4:$E$810="Win")),$D$4:$D$810),"(no winner)"))</f>
        <v>0</v>
      </c>
      <c r="H760" s="121">
        <f>IF($D760="",0,IFERROR(LOOKUP(2,1/(($D$3:D759=$D760)*($A$3:A759&lt;$A760)),$N$3:N759),'Guide &amp; Settings'!$C$41))</f>
        <v>0</v>
      </c>
      <c r="I760" s="122">
        <f>IF($D760="",0,IF($S760=0,0,$R760/$S760))</f>
        <v>0</v>
      </c>
      <c r="J760" s="123">
        <f>IF($D760="",0,IF($F760&lt;2,0,IF($E760="Win",('Guide &amp; Settings'!$C$42/(($F760-1)*COUNTIFS($A$4:$A$810,$A760,$E$4:$E$810,"Win")))*SUMIFS($X$4:$X$810,$A$4:$A$810,$A760,$E$4:$E$810,"Loss"),-('Guide &amp; Settings'!$C$42/($F760-1))*$X760)))</f>
        <v>0</v>
      </c>
      <c r="K760" s="123">
        <f>IF($D760="",0,'Guide &amp; Settings'!$C$43*(IF($E760="Win",1,0)-$I760))</f>
        <v>0</v>
      </c>
      <c r="L760" s="124">
        <f>IF($D760="",0,'Guide &amp; Settings'!$C$44*IF($F760&gt;=3,$F760+IF($E760="Win",$F760,0),0))</f>
        <v>0</v>
      </c>
      <c r="M760" s="123">
        <f>IF($D760="",0,$J760+$K760+$L760)</f>
        <v>0</v>
      </c>
      <c r="N760" s="121">
        <f>IF($D760="",0,$H760+$M760)</f>
        <v>0</v>
      </c>
      <c r="O760" s="120" t="str">
        <f>IF($D760="","",IF(COUNTIFS($A$4:$A$810,$A760,$E$4:$E$810,"Win")=0,"need a winner",IF(COUNTIFS($A$4:$A$810,$A760,$E$4:$E$810,"Loss")=0,"need a loser",IF(COUNTIFS($A$4:$A$810,$A760,$D$4:$D$810,$D760)&gt;1,"duplicate player","OK"))))</f>
      </c>
      <c r="P760">
        <f>IF($D760="",0,IFERROR(SUMIFS($H$4:$H$810,$A$4:$A$810,$A760,$E$4:$E$810,"Win")/COUNTIFS($A$4:$A$810,$A760,$E$4:$E$810,"Win"),0))</f>
        <v>0</v>
      </c>
      <c r="Q760">
        <f>IF($D760="",0,1/(1+10^(($P760-$H760)/400)))</f>
        <v>0</v>
      </c>
      <c r="R760">
        <f>IF($D760="",0,(COUNTIFS($D$4:$D$810,$D760,$C$4:$C$810,$C760,$E$4:$E$810,"Win",$A$4:$A$810,"&lt;"&amp;$A760)+1)/(COUNTIFS($D$4:$D$810,$D760,$C$4:$C$810,$C760,$A$4:$A$810,"&lt;"&amp;$A760)+2))</f>
        <v>0</v>
      </c>
      <c r="S760">
        <f>IF($D760="",0,SUMIFS($R$4:$R$810,$A$4:$A$810,$A760))</f>
        <v>0</v>
      </c>
      <c r="T760" s="88">
        <f>IF($D760="",0,COUNTIFS($D$4:$D$810,$D760,$C$4:$C$810,$C760,$A$4:$A$810,"&lt;"&amp;$A760))</f>
        <v>0</v>
      </c>
      <c r="U760" s="125">
        <f>IF($D760="",0,IFERROR(LOOKUP(2,1/(($D$3:D759=$D760)*($C$3:C759=$C760)*($A$3:A759&lt;$A760)),$AB$3:AB759),1000))</f>
        <v>0</v>
      </c>
      <c r="V760" s="125">
        <f>IF($D760="",0,$U760*($T760/($T760+5))+$H760*(1-$T760/($T760+5)))</f>
        <v>0</v>
      </c>
      <c r="W760">
        <f>IF($D760="",0,IFERROR(SUMIFS($V$4:$V$810,$A$4:$A$810,$A760,$E$4:$E$810,"Win")/COUNTIFS($A$4:$A$810,$A760,$E$4:$E$810,"Win"),0))</f>
        <v>0</v>
      </c>
      <c r="X760">
        <f>IF($D760="",0,1/(1+10^(($W760-$V760)/400)))</f>
        <v>0</v>
      </c>
      <c r="Y760">
        <f>IF($D760="",0,IFERROR(SUMIFS($U$4:$U$810,$A$4:$A$810,$A760,$E$4:$E$810,"Win")/COUNTIFS($A$4:$A$810,$A760,$E$4:$E$810,"Win"),0))</f>
        <v>0</v>
      </c>
      <c r="Z760">
        <f>IF($D760="",0,1/(1+10^(($Y760-$U760)/400)))</f>
        <v>0</v>
      </c>
      <c r="AA760">
        <f>IF($D760="",0,IF($F760&lt;2,0,IF($E760="Win",('Guide &amp; Settings'!$C$42/(($F760-1)*COUNTIFS($A$4:$A$810,$A760,$E$4:$E$810,"Win")))*SUMIFS($Z$4:$Z$810,$A$4:$A$810,$A760,$E$4:$E$810,"Loss"),-('Guide &amp; Settings'!$C$42/($F760-1))*$Z760)))</f>
        <v>0</v>
      </c>
      <c r="AB760" s="125">
        <f>IF($D760="",0,$U760+$AA760)</f>
        <v>0</v>
      </c>
      <c r="AC760" s="125" t="str">
        <f>IF($D760="","",IF(SUMPRODUCT(MAX(($D$4:$D$810=$D760)*($B$4:$B$810&lt;$B760)*$B$4:$B$810))=0,0,MAX(($B760-MAX(SUMPRODUCT(MAX(($D$4:$D$810=$D760)*($B$4:$B$810&lt;$B760)*$B$4:$B$810)),'Guide &amp; Settings'!$C$50))/7-'Guide &amp; Settings'!$C$48,0)*'Guide &amp; Settings'!$C$49))</f>
      </c>
    </row>
    <row r="761" spans="1:29">
      <c r="A761" s="116"/>
      <c r="B761" s="117"/>
      <c r="C761" s="118"/>
      <c r="D761" s="118"/>
      <c r="E761" s="116"/>
      <c r="F761" s="119">
        <f>IF($D761="",0,COUNTIF($A$4:$A$810,$A761))</f>
        <v>0</v>
      </c>
      <c r="G761" s="120">
        <f>IF($D761="","",IFERROR(LOOKUP(2,1/(($A$4:$A$810=$A761)*($E$4:$E$810="Win")),$D$4:$D$810),"(no winner)"))</f>
        <v>0</v>
      </c>
      <c r="H761" s="121">
        <f>IF($D761="",0,IFERROR(LOOKUP(2,1/(($D$3:D760=$D761)*($A$3:A760&lt;$A761)),$N$3:N760),'Guide &amp; Settings'!$C$41))</f>
        <v>0</v>
      </c>
      <c r="I761" s="122">
        <f>IF($D761="",0,IF($S761=0,0,$R761/$S761))</f>
        <v>0</v>
      </c>
      <c r="J761" s="123">
        <f>IF($D761="",0,IF($F761&lt;2,0,IF($E761="Win",('Guide &amp; Settings'!$C$42/(($F761-1)*COUNTIFS($A$4:$A$810,$A761,$E$4:$E$810,"Win")))*SUMIFS($X$4:$X$810,$A$4:$A$810,$A761,$E$4:$E$810,"Loss"),-('Guide &amp; Settings'!$C$42/($F761-1))*$X761)))</f>
        <v>0</v>
      </c>
      <c r="K761" s="123">
        <f>IF($D761="",0,'Guide &amp; Settings'!$C$43*(IF($E761="Win",1,0)-$I761))</f>
        <v>0</v>
      </c>
      <c r="L761" s="124">
        <f>IF($D761="",0,'Guide &amp; Settings'!$C$44*IF($F761&gt;=3,$F761+IF($E761="Win",$F761,0),0))</f>
        <v>0</v>
      </c>
      <c r="M761" s="123">
        <f>IF($D761="",0,$J761+$K761+$L761)</f>
        <v>0</v>
      </c>
      <c r="N761" s="121">
        <f>IF($D761="",0,$H761+$M761)</f>
        <v>0</v>
      </c>
      <c r="O761" s="120" t="str">
        <f>IF($D761="","",IF(COUNTIFS($A$4:$A$810,$A761,$E$4:$E$810,"Win")=0,"need a winner",IF(COUNTIFS($A$4:$A$810,$A761,$E$4:$E$810,"Loss")=0,"need a loser",IF(COUNTIFS($A$4:$A$810,$A761,$D$4:$D$810,$D761)&gt;1,"duplicate player","OK"))))</f>
      </c>
      <c r="P761">
        <f>IF($D761="",0,IFERROR(SUMIFS($H$4:$H$810,$A$4:$A$810,$A761,$E$4:$E$810,"Win")/COUNTIFS($A$4:$A$810,$A761,$E$4:$E$810,"Win"),0))</f>
        <v>0</v>
      </c>
      <c r="Q761">
        <f>IF($D761="",0,1/(1+10^(($P761-$H761)/400)))</f>
        <v>0</v>
      </c>
      <c r="R761">
        <f>IF($D761="",0,(COUNTIFS($D$4:$D$810,$D761,$C$4:$C$810,$C761,$E$4:$E$810,"Win",$A$4:$A$810,"&lt;"&amp;$A761)+1)/(COUNTIFS($D$4:$D$810,$D761,$C$4:$C$810,$C761,$A$4:$A$810,"&lt;"&amp;$A761)+2))</f>
        <v>0</v>
      </c>
      <c r="S761">
        <f>IF($D761="",0,SUMIFS($R$4:$R$810,$A$4:$A$810,$A761))</f>
        <v>0</v>
      </c>
      <c r="T761" s="88">
        <f>IF($D761="",0,COUNTIFS($D$4:$D$810,$D761,$C$4:$C$810,$C761,$A$4:$A$810,"&lt;"&amp;$A761))</f>
        <v>0</v>
      </c>
      <c r="U761" s="125">
        <f>IF($D761="",0,IFERROR(LOOKUP(2,1/(($D$3:D760=$D761)*($C$3:C760=$C761)*($A$3:A760&lt;$A761)),$AB$3:AB760),1000))</f>
        <v>0</v>
      </c>
      <c r="V761" s="125">
        <f>IF($D761="",0,$U761*($T761/($T761+5))+$H761*(1-$T761/($T761+5)))</f>
        <v>0</v>
      </c>
      <c r="W761">
        <f>IF($D761="",0,IFERROR(SUMIFS($V$4:$V$810,$A$4:$A$810,$A761,$E$4:$E$810,"Win")/COUNTIFS($A$4:$A$810,$A761,$E$4:$E$810,"Win"),0))</f>
        <v>0</v>
      </c>
      <c r="X761">
        <f>IF($D761="",0,1/(1+10^(($W761-$V761)/400)))</f>
        <v>0</v>
      </c>
      <c r="Y761">
        <f>IF($D761="",0,IFERROR(SUMIFS($U$4:$U$810,$A$4:$A$810,$A761,$E$4:$E$810,"Win")/COUNTIFS($A$4:$A$810,$A761,$E$4:$E$810,"Win"),0))</f>
        <v>0</v>
      </c>
      <c r="Z761">
        <f>IF($D761="",0,1/(1+10^(($Y761-$U761)/400)))</f>
        <v>0</v>
      </c>
      <c r="AA761">
        <f>IF($D761="",0,IF($F761&lt;2,0,IF($E761="Win",('Guide &amp; Settings'!$C$42/(($F761-1)*COUNTIFS($A$4:$A$810,$A761,$E$4:$E$810,"Win")))*SUMIFS($Z$4:$Z$810,$A$4:$A$810,$A761,$E$4:$E$810,"Loss"),-('Guide &amp; Settings'!$C$42/($F761-1))*$Z761)))</f>
        <v>0</v>
      </c>
      <c r="AB761" s="125">
        <f>IF($D761="",0,$U761+$AA761)</f>
        <v>0</v>
      </c>
      <c r="AC761" s="125" t="str">
        <f>IF($D761="","",IF(SUMPRODUCT(MAX(($D$4:$D$810=$D761)*($B$4:$B$810&lt;$B761)*$B$4:$B$810))=0,0,MAX(($B761-MAX(SUMPRODUCT(MAX(($D$4:$D$810=$D761)*($B$4:$B$810&lt;$B761)*$B$4:$B$810)),'Guide &amp; Settings'!$C$50))/7-'Guide &amp; Settings'!$C$48,0)*'Guide &amp; Settings'!$C$49))</f>
      </c>
    </row>
    <row r="762" spans="1:29">
      <c r="A762" s="116"/>
      <c r="B762" s="117"/>
      <c r="C762" s="118"/>
      <c r="D762" s="118"/>
      <c r="E762" s="116"/>
      <c r="F762" s="119">
        <f>IF($D762="",0,COUNTIF($A$4:$A$810,$A762))</f>
        <v>0</v>
      </c>
      <c r="G762" s="120">
        <f>IF($D762="","",IFERROR(LOOKUP(2,1/(($A$4:$A$810=$A762)*($E$4:$E$810="Win")),$D$4:$D$810),"(no winner)"))</f>
        <v>0</v>
      </c>
      <c r="H762" s="121">
        <f>IF($D762="",0,IFERROR(LOOKUP(2,1/(($D$3:D761=$D762)*($A$3:A761&lt;$A762)),$N$3:N761),'Guide &amp; Settings'!$C$41))</f>
        <v>0</v>
      </c>
      <c r="I762" s="122">
        <f>IF($D762="",0,IF($S762=0,0,$R762/$S762))</f>
        <v>0</v>
      </c>
      <c r="J762" s="123">
        <f>IF($D762="",0,IF($F762&lt;2,0,IF($E762="Win",('Guide &amp; Settings'!$C$42/(($F762-1)*COUNTIFS($A$4:$A$810,$A762,$E$4:$E$810,"Win")))*SUMIFS($X$4:$X$810,$A$4:$A$810,$A762,$E$4:$E$810,"Loss"),-('Guide &amp; Settings'!$C$42/($F762-1))*$X762)))</f>
        <v>0</v>
      </c>
      <c r="K762" s="123">
        <f>IF($D762="",0,'Guide &amp; Settings'!$C$43*(IF($E762="Win",1,0)-$I762))</f>
        <v>0</v>
      </c>
      <c r="L762" s="124">
        <f>IF($D762="",0,'Guide &amp; Settings'!$C$44*IF($F762&gt;=3,$F762+IF($E762="Win",$F762,0),0))</f>
        <v>0</v>
      </c>
      <c r="M762" s="123">
        <f>IF($D762="",0,$J762+$K762+$L762)</f>
        <v>0</v>
      </c>
      <c r="N762" s="121">
        <f>IF($D762="",0,$H762+$M762)</f>
        <v>0</v>
      </c>
      <c r="O762" s="120" t="str">
        <f>IF($D762="","",IF(COUNTIFS($A$4:$A$810,$A762,$E$4:$E$810,"Win")=0,"need a winner",IF(COUNTIFS($A$4:$A$810,$A762,$E$4:$E$810,"Loss")=0,"need a loser",IF(COUNTIFS($A$4:$A$810,$A762,$D$4:$D$810,$D762)&gt;1,"duplicate player","OK"))))</f>
      </c>
      <c r="P762">
        <f>IF($D762="",0,IFERROR(SUMIFS($H$4:$H$810,$A$4:$A$810,$A762,$E$4:$E$810,"Win")/COUNTIFS($A$4:$A$810,$A762,$E$4:$E$810,"Win"),0))</f>
        <v>0</v>
      </c>
      <c r="Q762">
        <f>IF($D762="",0,1/(1+10^(($P762-$H762)/400)))</f>
        <v>0</v>
      </c>
      <c r="R762">
        <f>IF($D762="",0,(COUNTIFS($D$4:$D$810,$D762,$C$4:$C$810,$C762,$E$4:$E$810,"Win",$A$4:$A$810,"&lt;"&amp;$A762)+1)/(COUNTIFS($D$4:$D$810,$D762,$C$4:$C$810,$C762,$A$4:$A$810,"&lt;"&amp;$A762)+2))</f>
        <v>0</v>
      </c>
      <c r="S762">
        <f>IF($D762="",0,SUMIFS($R$4:$R$810,$A$4:$A$810,$A762))</f>
        <v>0</v>
      </c>
      <c r="T762" s="88">
        <f>IF($D762="",0,COUNTIFS($D$4:$D$810,$D762,$C$4:$C$810,$C762,$A$4:$A$810,"&lt;"&amp;$A762))</f>
        <v>0</v>
      </c>
      <c r="U762" s="125">
        <f>IF($D762="",0,IFERROR(LOOKUP(2,1/(($D$3:D761=$D762)*($C$3:C761=$C762)*($A$3:A761&lt;$A762)),$AB$3:AB761),1000))</f>
        <v>0</v>
      </c>
      <c r="V762" s="125">
        <f>IF($D762="",0,$U762*($T762/($T762+5))+$H762*(1-$T762/($T762+5)))</f>
        <v>0</v>
      </c>
      <c r="W762">
        <f>IF($D762="",0,IFERROR(SUMIFS($V$4:$V$810,$A$4:$A$810,$A762,$E$4:$E$810,"Win")/COUNTIFS($A$4:$A$810,$A762,$E$4:$E$810,"Win"),0))</f>
        <v>0</v>
      </c>
      <c r="X762">
        <f>IF($D762="",0,1/(1+10^(($W762-$V762)/400)))</f>
        <v>0</v>
      </c>
      <c r="Y762">
        <f>IF($D762="",0,IFERROR(SUMIFS($U$4:$U$810,$A$4:$A$810,$A762,$E$4:$E$810,"Win")/COUNTIFS($A$4:$A$810,$A762,$E$4:$E$810,"Win"),0))</f>
        <v>0</v>
      </c>
      <c r="Z762">
        <f>IF($D762="",0,1/(1+10^(($Y762-$U762)/400)))</f>
        <v>0</v>
      </c>
      <c r="AA762">
        <f>IF($D762="",0,IF($F762&lt;2,0,IF($E762="Win",('Guide &amp; Settings'!$C$42/(($F762-1)*COUNTIFS($A$4:$A$810,$A762,$E$4:$E$810,"Win")))*SUMIFS($Z$4:$Z$810,$A$4:$A$810,$A762,$E$4:$E$810,"Loss"),-('Guide &amp; Settings'!$C$42/($F762-1))*$Z762)))</f>
        <v>0</v>
      </c>
      <c r="AB762" s="125">
        <f>IF($D762="",0,$U762+$AA762)</f>
        <v>0</v>
      </c>
      <c r="AC762" s="125" t="str">
        <f>IF($D762="","",IF(SUMPRODUCT(MAX(($D$4:$D$810=$D762)*($B$4:$B$810&lt;$B762)*$B$4:$B$810))=0,0,MAX(($B762-MAX(SUMPRODUCT(MAX(($D$4:$D$810=$D762)*($B$4:$B$810&lt;$B762)*$B$4:$B$810)),'Guide &amp; Settings'!$C$50))/7-'Guide &amp; Settings'!$C$48,0)*'Guide &amp; Settings'!$C$49))</f>
      </c>
    </row>
    <row r="763" spans="1:29">
      <c r="A763" s="116"/>
      <c r="B763" s="117"/>
      <c r="C763" s="118"/>
      <c r="D763" s="118"/>
      <c r="E763" s="116"/>
      <c r="F763" s="119">
        <f>IF($D763="",0,COUNTIF($A$4:$A$810,$A763))</f>
        <v>0</v>
      </c>
      <c r="G763" s="120">
        <f>IF($D763="","",IFERROR(LOOKUP(2,1/(($A$4:$A$810=$A763)*($E$4:$E$810="Win")),$D$4:$D$810),"(no winner)"))</f>
        <v>0</v>
      </c>
      <c r="H763" s="121">
        <f>IF($D763="",0,IFERROR(LOOKUP(2,1/(($D$3:D762=$D763)*($A$3:A762&lt;$A763)),$N$3:N762),'Guide &amp; Settings'!$C$41))</f>
        <v>0</v>
      </c>
      <c r="I763" s="122">
        <f>IF($D763="",0,IF($S763=0,0,$R763/$S763))</f>
        <v>0</v>
      </c>
      <c r="J763" s="123">
        <f>IF($D763="",0,IF($F763&lt;2,0,IF($E763="Win",('Guide &amp; Settings'!$C$42/(($F763-1)*COUNTIFS($A$4:$A$810,$A763,$E$4:$E$810,"Win")))*SUMIFS($X$4:$X$810,$A$4:$A$810,$A763,$E$4:$E$810,"Loss"),-('Guide &amp; Settings'!$C$42/($F763-1))*$X763)))</f>
        <v>0</v>
      </c>
      <c r="K763" s="123">
        <f>IF($D763="",0,'Guide &amp; Settings'!$C$43*(IF($E763="Win",1,0)-$I763))</f>
        <v>0</v>
      </c>
      <c r="L763" s="124">
        <f>IF($D763="",0,'Guide &amp; Settings'!$C$44*IF($F763&gt;=3,$F763+IF($E763="Win",$F763,0),0))</f>
        <v>0</v>
      </c>
      <c r="M763" s="123">
        <f>IF($D763="",0,$J763+$K763+$L763)</f>
        <v>0</v>
      </c>
      <c r="N763" s="121">
        <f>IF($D763="",0,$H763+$M763)</f>
        <v>0</v>
      </c>
      <c r="O763" s="120" t="str">
        <f>IF($D763="","",IF(COUNTIFS($A$4:$A$810,$A763,$E$4:$E$810,"Win")=0,"need a winner",IF(COUNTIFS($A$4:$A$810,$A763,$E$4:$E$810,"Loss")=0,"need a loser",IF(COUNTIFS($A$4:$A$810,$A763,$D$4:$D$810,$D763)&gt;1,"duplicate player","OK"))))</f>
      </c>
      <c r="P763">
        <f>IF($D763="",0,IFERROR(SUMIFS($H$4:$H$810,$A$4:$A$810,$A763,$E$4:$E$810,"Win")/COUNTIFS($A$4:$A$810,$A763,$E$4:$E$810,"Win"),0))</f>
        <v>0</v>
      </c>
      <c r="Q763">
        <f>IF($D763="",0,1/(1+10^(($P763-$H763)/400)))</f>
        <v>0</v>
      </c>
      <c r="R763">
        <f>IF($D763="",0,(COUNTIFS($D$4:$D$810,$D763,$C$4:$C$810,$C763,$E$4:$E$810,"Win",$A$4:$A$810,"&lt;"&amp;$A763)+1)/(COUNTIFS($D$4:$D$810,$D763,$C$4:$C$810,$C763,$A$4:$A$810,"&lt;"&amp;$A763)+2))</f>
        <v>0</v>
      </c>
      <c r="S763">
        <f>IF($D763="",0,SUMIFS($R$4:$R$810,$A$4:$A$810,$A763))</f>
        <v>0</v>
      </c>
      <c r="T763" s="88">
        <f>IF($D763="",0,COUNTIFS($D$4:$D$810,$D763,$C$4:$C$810,$C763,$A$4:$A$810,"&lt;"&amp;$A763))</f>
        <v>0</v>
      </c>
      <c r="U763" s="125">
        <f>IF($D763="",0,IFERROR(LOOKUP(2,1/(($D$3:D762=$D763)*($C$3:C762=$C763)*($A$3:A762&lt;$A763)),$AB$3:AB762),1000))</f>
        <v>0</v>
      </c>
      <c r="V763" s="125">
        <f>IF($D763="",0,$U763*($T763/($T763+5))+$H763*(1-$T763/($T763+5)))</f>
        <v>0</v>
      </c>
      <c r="W763">
        <f>IF($D763="",0,IFERROR(SUMIFS($V$4:$V$810,$A$4:$A$810,$A763,$E$4:$E$810,"Win")/COUNTIFS($A$4:$A$810,$A763,$E$4:$E$810,"Win"),0))</f>
        <v>0</v>
      </c>
      <c r="X763">
        <f>IF($D763="",0,1/(1+10^(($W763-$V763)/400)))</f>
        <v>0</v>
      </c>
      <c r="Y763">
        <f>IF($D763="",0,IFERROR(SUMIFS($U$4:$U$810,$A$4:$A$810,$A763,$E$4:$E$810,"Win")/COUNTIFS($A$4:$A$810,$A763,$E$4:$E$810,"Win"),0))</f>
        <v>0</v>
      </c>
      <c r="Z763">
        <f>IF($D763="",0,1/(1+10^(($Y763-$U763)/400)))</f>
        <v>0</v>
      </c>
      <c r="AA763">
        <f>IF($D763="",0,IF($F763&lt;2,0,IF($E763="Win",('Guide &amp; Settings'!$C$42/(($F763-1)*COUNTIFS($A$4:$A$810,$A763,$E$4:$E$810,"Win")))*SUMIFS($Z$4:$Z$810,$A$4:$A$810,$A763,$E$4:$E$810,"Loss"),-('Guide &amp; Settings'!$C$42/($F763-1))*$Z763)))</f>
        <v>0</v>
      </c>
      <c r="AB763" s="125">
        <f>IF($D763="",0,$U763+$AA763)</f>
        <v>0</v>
      </c>
      <c r="AC763" s="125" t="str">
        <f>IF($D763="","",IF(SUMPRODUCT(MAX(($D$4:$D$810=$D763)*($B$4:$B$810&lt;$B763)*$B$4:$B$810))=0,0,MAX(($B763-MAX(SUMPRODUCT(MAX(($D$4:$D$810=$D763)*($B$4:$B$810&lt;$B763)*$B$4:$B$810)),'Guide &amp; Settings'!$C$50))/7-'Guide &amp; Settings'!$C$48,0)*'Guide &amp; Settings'!$C$49))</f>
      </c>
    </row>
    <row r="764" spans="1:29">
      <c r="A764" s="116"/>
      <c r="B764" s="117"/>
      <c r="C764" s="118"/>
      <c r="D764" s="118"/>
      <c r="E764" s="116"/>
      <c r="F764" s="119">
        <f>IF($D764="",0,COUNTIF($A$4:$A$810,$A764))</f>
        <v>0</v>
      </c>
      <c r="G764" s="120">
        <f>IF($D764="","",IFERROR(LOOKUP(2,1/(($A$4:$A$810=$A764)*($E$4:$E$810="Win")),$D$4:$D$810),"(no winner)"))</f>
        <v>0</v>
      </c>
      <c r="H764" s="121">
        <f>IF($D764="",0,IFERROR(LOOKUP(2,1/(($D$3:D763=$D764)*($A$3:A763&lt;$A764)),$N$3:N763),'Guide &amp; Settings'!$C$41))</f>
        <v>0</v>
      </c>
      <c r="I764" s="122">
        <f>IF($D764="",0,IF($S764=0,0,$R764/$S764))</f>
        <v>0</v>
      </c>
      <c r="J764" s="123">
        <f>IF($D764="",0,IF($F764&lt;2,0,IF($E764="Win",('Guide &amp; Settings'!$C$42/(($F764-1)*COUNTIFS($A$4:$A$810,$A764,$E$4:$E$810,"Win")))*SUMIFS($X$4:$X$810,$A$4:$A$810,$A764,$E$4:$E$810,"Loss"),-('Guide &amp; Settings'!$C$42/($F764-1))*$X764)))</f>
        <v>0</v>
      </c>
      <c r="K764" s="123">
        <f>IF($D764="",0,'Guide &amp; Settings'!$C$43*(IF($E764="Win",1,0)-$I764))</f>
        <v>0</v>
      </c>
      <c r="L764" s="124">
        <f>IF($D764="",0,'Guide &amp; Settings'!$C$44*IF($F764&gt;=3,$F764+IF($E764="Win",$F764,0),0))</f>
        <v>0</v>
      </c>
      <c r="M764" s="123">
        <f>IF($D764="",0,$J764+$K764+$L764)</f>
        <v>0</v>
      </c>
      <c r="N764" s="121">
        <f>IF($D764="",0,$H764+$M764)</f>
        <v>0</v>
      </c>
      <c r="O764" s="120" t="str">
        <f>IF($D764="","",IF(COUNTIFS($A$4:$A$810,$A764,$E$4:$E$810,"Win")=0,"need a winner",IF(COUNTIFS($A$4:$A$810,$A764,$E$4:$E$810,"Loss")=0,"need a loser",IF(COUNTIFS($A$4:$A$810,$A764,$D$4:$D$810,$D764)&gt;1,"duplicate player","OK"))))</f>
      </c>
      <c r="P764">
        <f>IF($D764="",0,IFERROR(SUMIFS($H$4:$H$810,$A$4:$A$810,$A764,$E$4:$E$810,"Win")/COUNTIFS($A$4:$A$810,$A764,$E$4:$E$810,"Win"),0))</f>
        <v>0</v>
      </c>
      <c r="Q764">
        <f>IF($D764="",0,1/(1+10^(($P764-$H764)/400)))</f>
        <v>0</v>
      </c>
      <c r="R764">
        <f>IF($D764="",0,(COUNTIFS($D$4:$D$810,$D764,$C$4:$C$810,$C764,$E$4:$E$810,"Win",$A$4:$A$810,"&lt;"&amp;$A764)+1)/(COUNTIFS($D$4:$D$810,$D764,$C$4:$C$810,$C764,$A$4:$A$810,"&lt;"&amp;$A764)+2))</f>
        <v>0</v>
      </c>
      <c r="S764">
        <f>IF($D764="",0,SUMIFS($R$4:$R$810,$A$4:$A$810,$A764))</f>
        <v>0</v>
      </c>
      <c r="T764" s="88">
        <f>IF($D764="",0,COUNTIFS($D$4:$D$810,$D764,$C$4:$C$810,$C764,$A$4:$A$810,"&lt;"&amp;$A764))</f>
        <v>0</v>
      </c>
      <c r="U764" s="125">
        <f>IF($D764="",0,IFERROR(LOOKUP(2,1/(($D$3:D763=$D764)*($C$3:C763=$C764)*($A$3:A763&lt;$A764)),$AB$3:AB763),1000))</f>
        <v>0</v>
      </c>
      <c r="V764" s="125">
        <f>IF($D764="",0,$U764*($T764/($T764+5))+$H764*(1-$T764/($T764+5)))</f>
        <v>0</v>
      </c>
      <c r="W764">
        <f>IF($D764="",0,IFERROR(SUMIFS($V$4:$V$810,$A$4:$A$810,$A764,$E$4:$E$810,"Win")/COUNTIFS($A$4:$A$810,$A764,$E$4:$E$810,"Win"),0))</f>
        <v>0</v>
      </c>
      <c r="X764">
        <f>IF($D764="",0,1/(1+10^(($W764-$V764)/400)))</f>
        <v>0</v>
      </c>
      <c r="Y764">
        <f>IF($D764="",0,IFERROR(SUMIFS($U$4:$U$810,$A$4:$A$810,$A764,$E$4:$E$810,"Win")/COUNTIFS($A$4:$A$810,$A764,$E$4:$E$810,"Win"),0))</f>
        <v>0</v>
      </c>
      <c r="Z764">
        <f>IF($D764="",0,1/(1+10^(($Y764-$U764)/400)))</f>
        <v>0</v>
      </c>
      <c r="AA764">
        <f>IF($D764="",0,IF($F764&lt;2,0,IF($E764="Win",('Guide &amp; Settings'!$C$42/(($F764-1)*COUNTIFS($A$4:$A$810,$A764,$E$4:$E$810,"Win")))*SUMIFS($Z$4:$Z$810,$A$4:$A$810,$A764,$E$4:$E$810,"Loss"),-('Guide &amp; Settings'!$C$42/($F764-1))*$Z764)))</f>
        <v>0</v>
      </c>
      <c r="AB764" s="125">
        <f>IF($D764="",0,$U764+$AA764)</f>
        <v>0</v>
      </c>
      <c r="AC764" s="125" t="str">
        <f>IF($D764="","",IF(SUMPRODUCT(MAX(($D$4:$D$810=$D764)*($B$4:$B$810&lt;$B764)*$B$4:$B$810))=0,0,MAX(($B764-MAX(SUMPRODUCT(MAX(($D$4:$D$810=$D764)*($B$4:$B$810&lt;$B764)*$B$4:$B$810)),'Guide &amp; Settings'!$C$50))/7-'Guide &amp; Settings'!$C$48,0)*'Guide &amp; Settings'!$C$49))</f>
      </c>
    </row>
    <row r="765" spans="1:29">
      <c r="A765" s="116"/>
      <c r="B765" s="117"/>
      <c r="C765" s="118"/>
      <c r="D765" s="118"/>
      <c r="E765" s="116"/>
      <c r="F765" s="119">
        <f>IF($D765="",0,COUNTIF($A$4:$A$810,$A765))</f>
        <v>0</v>
      </c>
      <c r="G765" s="120">
        <f>IF($D765="","",IFERROR(LOOKUP(2,1/(($A$4:$A$810=$A765)*($E$4:$E$810="Win")),$D$4:$D$810),"(no winner)"))</f>
        <v>0</v>
      </c>
      <c r="H765" s="121">
        <f>IF($D765="",0,IFERROR(LOOKUP(2,1/(($D$3:D764=$D765)*($A$3:A764&lt;$A765)),$N$3:N764),'Guide &amp; Settings'!$C$41))</f>
        <v>0</v>
      </c>
      <c r="I765" s="122">
        <f>IF($D765="",0,IF($S765=0,0,$R765/$S765))</f>
        <v>0</v>
      </c>
      <c r="J765" s="123">
        <f>IF($D765="",0,IF($F765&lt;2,0,IF($E765="Win",('Guide &amp; Settings'!$C$42/(($F765-1)*COUNTIFS($A$4:$A$810,$A765,$E$4:$E$810,"Win")))*SUMIFS($X$4:$X$810,$A$4:$A$810,$A765,$E$4:$E$810,"Loss"),-('Guide &amp; Settings'!$C$42/($F765-1))*$X765)))</f>
        <v>0</v>
      </c>
      <c r="K765" s="123">
        <f>IF($D765="",0,'Guide &amp; Settings'!$C$43*(IF($E765="Win",1,0)-$I765))</f>
        <v>0</v>
      </c>
      <c r="L765" s="124">
        <f>IF($D765="",0,'Guide &amp; Settings'!$C$44*IF($F765&gt;=3,$F765+IF($E765="Win",$F765,0),0))</f>
        <v>0</v>
      </c>
      <c r="M765" s="123">
        <f>IF($D765="",0,$J765+$K765+$L765)</f>
        <v>0</v>
      </c>
      <c r="N765" s="121">
        <f>IF($D765="",0,$H765+$M765)</f>
        <v>0</v>
      </c>
      <c r="O765" s="120" t="str">
        <f>IF($D765="","",IF(COUNTIFS($A$4:$A$810,$A765,$E$4:$E$810,"Win")=0,"need a winner",IF(COUNTIFS($A$4:$A$810,$A765,$E$4:$E$810,"Loss")=0,"need a loser",IF(COUNTIFS($A$4:$A$810,$A765,$D$4:$D$810,$D765)&gt;1,"duplicate player","OK"))))</f>
      </c>
      <c r="P765">
        <f>IF($D765="",0,IFERROR(SUMIFS($H$4:$H$810,$A$4:$A$810,$A765,$E$4:$E$810,"Win")/COUNTIFS($A$4:$A$810,$A765,$E$4:$E$810,"Win"),0))</f>
        <v>0</v>
      </c>
      <c r="Q765">
        <f>IF($D765="",0,1/(1+10^(($P765-$H765)/400)))</f>
        <v>0</v>
      </c>
      <c r="R765">
        <f>IF($D765="",0,(COUNTIFS($D$4:$D$810,$D765,$C$4:$C$810,$C765,$E$4:$E$810,"Win",$A$4:$A$810,"&lt;"&amp;$A765)+1)/(COUNTIFS($D$4:$D$810,$D765,$C$4:$C$810,$C765,$A$4:$A$810,"&lt;"&amp;$A765)+2))</f>
        <v>0</v>
      </c>
      <c r="S765">
        <f>IF($D765="",0,SUMIFS($R$4:$R$810,$A$4:$A$810,$A765))</f>
        <v>0</v>
      </c>
      <c r="T765" s="88">
        <f>IF($D765="",0,COUNTIFS($D$4:$D$810,$D765,$C$4:$C$810,$C765,$A$4:$A$810,"&lt;"&amp;$A765))</f>
        <v>0</v>
      </c>
      <c r="U765" s="125">
        <f>IF($D765="",0,IFERROR(LOOKUP(2,1/(($D$3:D764=$D765)*($C$3:C764=$C765)*($A$3:A764&lt;$A765)),$AB$3:AB764),1000))</f>
        <v>0</v>
      </c>
      <c r="V765" s="125">
        <f>IF($D765="",0,$U765*($T765/($T765+5))+$H765*(1-$T765/($T765+5)))</f>
        <v>0</v>
      </c>
      <c r="W765">
        <f>IF($D765="",0,IFERROR(SUMIFS($V$4:$V$810,$A$4:$A$810,$A765,$E$4:$E$810,"Win")/COUNTIFS($A$4:$A$810,$A765,$E$4:$E$810,"Win"),0))</f>
        <v>0</v>
      </c>
      <c r="X765">
        <f>IF($D765="",0,1/(1+10^(($W765-$V765)/400)))</f>
        <v>0</v>
      </c>
      <c r="Y765">
        <f>IF($D765="",0,IFERROR(SUMIFS($U$4:$U$810,$A$4:$A$810,$A765,$E$4:$E$810,"Win")/COUNTIFS($A$4:$A$810,$A765,$E$4:$E$810,"Win"),0))</f>
        <v>0</v>
      </c>
      <c r="Z765">
        <f>IF($D765="",0,1/(1+10^(($Y765-$U765)/400)))</f>
        <v>0</v>
      </c>
      <c r="AA765">
        <f>IF($D765="",0,IF($F765&lt;2,0,IF($E765="Win",('Guide &amp; Settings'!$C$42/(($F765-1)*COUNTIFS($A$4:$A$810,$A765,$E$4:$E$810,"Win")))*SUMIFS($Z$4:$Z$810,$A$4:$A$810,$A765,$E$4:$E$810,"Loss"),-('Guide &amp; Settings'!$C$42/($F765-1))*$Z765)))</f>
        <v>0</v>
      </c>
      <c r="AB765" s="125">
        <f>IF($D765="",0,$U765+$AA765)</f>
        <v>0</v>
      </c>
      <c r="AC765" s="125" t="str">
        <f>IF($D765="","",IF(SUMPRODUCT(MAX(($D$4:$D$810=$D765)*($B$4:$B$810&lt;$B765)*$B$4:$B$810))=0,0,MAX(($B765-MAX(SUMPRODUCT(MAX(($D$4:$D$810=$D765)*($B$4:$B$810&lt;$B765)*$B$4:$B$810)),'Guide &amp; Settings'!$C$50))/7-'Guide &amp; Settings'!$C$48,0)*'Guide &amp; Settings'!$C$49))</f>
      </c>
    </row>
    <row r="766" spans="1:29">
      <c r="A766" s="116"/>
      <c r="B766" s="117"/>
      <c r="C766" s="118"/>
      <c r="D766" s="118"/>
      <c r="E766" s="116"/>
      <c r="F766" s="119">
        <f>IF($D766="",0,COUNTIF($A$4:$A$810,$A766))</f>
        <v>0</v>
      </c>
      <c r="G766" s="120">
        <f>IF($D766="","",IFERROR(LOOKUP(2,1/(($A$4:$A$810=$A766)*($E$4:$E$810="Win")),$D$4:$D$810),"(no winner)"))</f>
        <v>0</v>
      </c>
      <c r="H766" s="121">
        <f>IF($D766="",0,IFERROR(LOOKUP(2,1/(($D$3:D765=$D766)*($A$3:A765&lt;$A766)),$N$3:N765),'Guide &amp; Settings'!$C$41))</f>
        <v>0</v>
      </c>
      <c r="I766" s="122">
        <f>IF($D766="",0,IF($S766=0,0,$R766/$S766))</f>
        <v>0</v>
      </c>
      <c r="J766" s="123">
        <f>IF($D766="",0,IF($F766&lt;2,0,IF($E766="Win",('Guide &amp; Settings'!$C$42/(($F766-1)*COUNTIFS($A$4:$A$810,$A766,$E$4:$E$810,"Win")))*SUMIFS($X$4:$X$810,$A$4:$A$810,$A766,$E$4:$E$810,"Loss"),-('Guide &amp; Settings'!$C$42/($F766-1))*$X766)))</f>
        <v>0</v>
      </c>
      <c r="K766" s="123">
        <f>IF($D766="",0,'Guide &amp; Settings'!$C$43*(IF($E766="Win",1,0)-$I766))</f>
        <v>0</v>
      </c>
      <c r="L766" s="124">
        <f>IF($D766="",0,'Guide &amp; Settings'!$C$44*IF($F766&gt;=3,$F766+IF($E766="Win",$F766,0),0))</f>
        <v>0</v>
      </c>
      <c r="M766" s="123">
        <f>IF($D766="",0,$J766+$K766+$L766)</f>
        <v>0</v>
      </c>
      <c r="N766" s="121">
        <f>IF($D766="",0,$H766+$M766)</f>
        <v>0</v>
      </c>
      <c r="O766" s="120" t="str">
        <f>IF($D766="","",IF(COUNTIFS($A$4:$A$810,$A766,$E$4:$E$810,"Win")=0,"need a winner",IF(COUNTIFS($A$4:$A$810,$A766,$E$4:$E$810,"Loss")=0,"need a loser",IF(COUNTIFS($A$4:$A$810,$A766,$D$4:$D$810,$D766)&gt;1,"duplicate player","OK"))))</f>
      </c>
      <c r="P766">
        <f>IF($D766="",0,IFERROR(SUMIFS($H$4:$H$810,$A$4:$A$810,$A766,$E$4:$E$810,"Win")/COUNTIFS($A$4:$A$810,$A766,$E$4:$E$810,"Win"),0))</f>
        <v>0</v>
      </c>
      <c r="Q766">
        <f>IF($D766="",0,1/(1+10^(($P766-$H766)/400)))</f>
        <v>0</v>
      </c>
      <c r="R766">
        <f>IF($D766="",0,(COUNTIFS($D$4:$D$810,$D766,$C$4:$C$810,$C766,$E$4:$E$810,"Win",$A$4:$A$810,"&lt;"&amp;$A766)+1)/(COUNTIFS($D$4:$D$810,$D766,$C$4:$C$810,$C766,$A$4:$A$810,"&lt;"&amp;$A766)+2))</f>
        <v>0</v>
      </c>
      <c r="S766">
        <f>IF($D766="",0,SUMIFS($R$4:$R$810,$A$4:$A$810,$A766))</f>
        <v>0</v>
      </c>
      <c r="T766" s="88">
        <f>IF($D766="",0,COUNTIFS($D$4:$D$810,$D766,$C$4:$C$810,$C766,$A$4:$A$810,"&lt;"&amp;$A766))</f>
        <v>0</v>
      </c>
      <c r="U766" s="125">
        <f>IF($D766="",0,IFERROR(LOOKUP(2,1/(($D$3:D765=$D766)*($C$3:C765=$C766)*($A$3:A765&lt;$A766)),$AB$3:AB765),1000))</f>
        <v>0</v>
      </c>
      <c r="V766" s="125">
        <f>IF($D766="",0,$U766*($T766/($T766+5))+$H766*(1-$T766/($T766+5)))</f>
        <v>0</v>
      </c>
      <c r="W766">
        <f>IF($D766="",0,IFERROR(SUMIFS($V$4:$V$810,$A$4:$A$810,$A766,$E$4:$E$810,"Win")/COUNTIFS($A$4:$A$810,$A766,$E$4:$E$810,"Win"),0))</f>
        <v>0</v>
      </c>
      <c r="X766">
        <f>IF($D766="",0,1/(1+10^(($W766-$V766)/400)))</f>
        <v>0</v>
      </c>
      <c r="Y766">
        <f>IF($D766="",0,IFERROR(SUMIFS($U$4:$U$810,$A$4:$A$810,$A766,$E$4:$E$810,"Win")/COUNTIFS($A$4:$A$810,$A766,$E$4:$E$810,"Win"),0))</f>
        <v>0</v>
      </c>
      <c r="Z766">
        <f>IF($D766="",0,1/(1+10^(($Y766-$U766)/400)))</f>
        <v>0</v>
      </c>
      <c r="AA766">
        <f>IF($D766="",0,IF($F766&lt;2,0,IF($E766="Win",('Guide &amp; Settings'!$C$42/(($F766-1)*COUNTIFS($A$4:$A$810,$A766,$E$4:$E$810,"Win")))*SUMIFS($Z$4:$Z$810,$A$4:$A$810,$A766,$E$4:$E$810,"Loss"),-('Guide &amp; Settings'!$C$42/($F766-1))*$Z766)))</f>
        <v>0</v>
      </c>
      <c r="AB766" s="125">
        <f>IF($D766="",0,$U766+$AA766)</f>
        <v>0</v>
      </c>
      <c r="AC766" s="125" t="str">
        <f>IF($D766="","",IF(SUMPRODUCT(MAX(($D$4:$D$810=$D766)*($B$4:$B$810&lt;$B766)*$B$4:$B$810))=0,0,MAX(($B766-MAX(SUMPRODUCT(MAX(($D$4:$D$810=$D766)*($B$4:$B$810&lt;$B766)*$B$4:$B$810)),'Guide &amp; Settings'!$C$50))/7-'Guide &amp; Settings'!$C$48,0)*'Guide &amp; Settings'!$C$49))</f>
      </c>
    </row>
    <row r="767" spans="1:29">
      <c r="A767" s="116"/>
      <c r="B767" s="117"/>
      <c r="C767" s="118"/>
      <c r="D767" s="118"/>
      <c r="E767" s="116"/>
      <c r="F767" s="119">
        <f>IF($D767="",0,COUNTIF($A$4:$A$810,$A767))</f>
        <v>0</v>
      </c>
      <c r="G767" s="120">
        <f>IF($D767="","",IFERROR(LOOKUP(2,1/(($A$4:$A$810=$A767)*($E$4:$E$810="Win")),$D$4:$D$810),"(no winner)"))</f>
        <v>0</v>
      </c>
      <c r="H767" s="121">
        <f>IF($D767="",0,IFERROR(LOOKUP(2,1/(($D$3:D766=$D767)*($A$3:A766&lt;$A767)),$N$3:N766),'Guide &amp; Settings'!$C$41))</f>
        <v>0</v>
      </c>
      <c r="I767" s="122">
        <f>IF($D767="",0,IF($S767=0,0,$R767/$S767))</f>
        <v>0</v>
      </c>
      <c r="J767" s="123">
        <f>IF($D767="",0,IF($F767&lt;2,0,IF($E767="Win",('Guide &amp; Settings'!$C$42/(($F767-1)*COUNTIFS($A$4:$A$810,$A767,$E$4:$E$810,"Win")))*SUMIFS($X$4:$X$810,$A$4:$A$810,$A767,$E$4:$E$810,"Loss"),-('Guide &amp; Settings'!$C$42/($F767-1))*$X767)))</f>
        <v>0</v>
      </c>
      <c r="K767" s="123">
        <f>IF($D767="",0,'Guide &amp; Settings'!$C$43*(IF($E767="Win",1,0)-$I767))</f>
        <v>0</v>
      </c>
      <c r="L767" s="124">
        <f>IF($D767="",0,'Guide &amp; Settings'!$C$44*IF($F767&gt;=3,$F767+IF($E767="Win",$F767,0),0))</f>
        <v>0</v>
      </c>
      <c r="M767" s="123">
        <f>IF($D767="",0,$J767+$K767+$L767)</f>
        <v>0</v>
      </c>
      <c r="N767" s="121">
        <f>IF($D767="",0,$H767+$M767)</f>
        <v>0</v>
      </c>
      <c r="O767" s="120" t="str">
        <f>IF($D767="","",IF(COUNTIFS($A$4:$A$810,$A767,$E$4:$E$810,"Win")=0,"need a winner",IF(COUNTIFS($A$4:$A$810,$A767,$E$4:$E$810,"Loss")=0,"need a loser",IF(COUNTIFS($A$4:$A$810,$A767,$D$4:$D$810,$D767)&gt;1,"duplicate player","OK"))))</f>
      </c>
      <c r="P767">
        <f>IF($D767="",0,IFERROR(SUMIFS($H$4:$H$810,$A$4:$A$810,$A767,$E$4:$E$810,"Win")/COUNTIFS($A$4:$A$810,$A767,$E$4:$E$810,"Win"),0))</f>
        <v>0</v>
      </c>
      <c r="Q767">
        <f>IF($D767="",0,1/(1+10^(($P767-$H767)/400)))</f>
        <v>0</v>
      </c>
      <c r="R767">
        <f>IF($D767="",0,(COUNTIFS($D$4:$D$810,$D767,$C$4:$C$810,$C767,$E$4:$E$810,"Win",$A$4:$A$810,"&lt;"&amp;$A767)+1)/(COUNTIFS($D$4:$D$810,$D767,$C$4:$C$810,$C767,$A$4:$A$810,"&lt;"&amp;$A767)+2))</f>
        <v>0</v>
      </c>
      <c r="S767">
        <f>IF($D767="",0,SUMIFS($R$4:$R$810,$A$4:$A$810,$A767))</f>
        <v>0</v>
      </c>
      <c r="T767" s="88">
        <f>IF($D767="",0,COUNTIFS($D$4:$D$810,$D767,$C$4:$C$810,$C767,$A$4:$A$810,"&lt;"&amp;$A767))</f>
        <v>0</v>
      </c>
      <c r="U767" s="125">
        <f>IF($D767="",0,IFERROR(LOOKUP(2,1/(($D$3:D766=$D767)*($C$3:C766=$C767)*($A$3:A766&lt;$A767)),$AB$3:AB766),1000))</f>
        <v>0</v>
      </c>
      <c r="V767" s="125">
        <f>IF($D767="",0,$U767*($T767/($T767+5))+$H767*(1-$T767/($T767+5)))</f>
        <v>0</v>
      </c>
      <c r="W767">
        <f>IF($D767="",0,IFERROR(SUMIFS($V$4:$V$810,$A$4:$A$810,$A767,$E$4:$E$810,"Win")/COUNTIFS($A$4:$A$810,$A767,$E$4:$E$810,"Win"),0))</f>
        <v>0</v>
      </c>
      <c r="X767">
        <f>IF($D767="",0,1/(1+10^(($W767-$V767)/400)))</f>
        <v>0</v>
      </c>
      <c r="Y767">
        <f>IF($D767="",0,IFERROR(SUMIFS($U$4:$U$810,$A$4:$A$810,$A767,$E$4:$E$810,"Win")/COUNTIFS($A$4:$A$810,$A767,$E$4:$E$810,"Win"),0))</f>
        <v>0</v>
      </c>
      <c r="Z767">
        <f>IF($D767="",0,1/(1+10^(($Y767-$U767)/400)))</f>
        <v>0</v>
      </c>
      <c r="AA767">
        <f>IF($D767="",0,IF($F767&lt;2,0,IF($E767="Win",('Guide &amp; Settings'!$C$42/(($F767-1)*COUNTIFS($A$4:$A$810,$A767,$E$4:$E$810,"Win")))*SUMIFS($Z$4:$Z$810,$A$4:$A$810,$A767,$E$4:$E$810,"Loss"),-('Guide &amp; Settings'!$C$42/($F767-1))*$Z767)))</f>
        <v>0</v>
      </c>
      <c r="AB767" s="125">
        <f>IF($D767="",0,$U767+$AA767)</f>
        <v>0</v>
      </c>
      <c r="AC767" s="125" t="str">
        <f>IF($D767="","",IF(SUMPRODUCT(MAX(($D$4:$D$810=$D767)*($B$4:$B$810&lt;$B767)*$B$4:$B$810))=0,0,MAX(($B767-MAX(SUMPRODUCT(MAX(($D$4:$D$810=$D767)*($B$4:$B$810&lt;$B767)*$B$4:$B$810)),'Guide &amp; Settings'!$C$50))/7-'Guide &amp; Settings'!$C$48,0)*'Guide &amp; Settings'!$C$49))</f>
      </c>
    </row>
    <row r="768" spans="1:29">
      <c r="A768" s="116"/>
      <c r="B768" s="117"/>
      <c r="C768" s="118"/>
      <c r="D768" s="118"/>
      <c r="E768" s="116"/>
      <c r="F768" s="119">
        <f>IF($D768="",0,COUNTIF($A$4:$A$810,$A768))</f>
        <v>0</v>
      </c>
      <c r="G768" s="120">
        <f>IF($D768="","",IFERROR(LOOKUP(2,1/(($A$4:$A$810=$A768)*($E$4:$E$810="Win")),$D$4:$D$810),"(no winner)"))</f>
        <v>0</v>
      </c>
      <c r="H768" s="121">
        <f>IF($D768="",0,IFERROR(LOOKUP(2,1/(($D$3:D767=$D768)*($A$3:A767&lt;$A768)),$N$3:N767),'Guide &amp; Settings'!$C$41))</f>
        <v>0</v>
      </c>
      <c r="I768" s="122">
        <f>IF($D768="",0,IF($S768=0,0,$R768/$S768))</f>
        <v>0</v>
      </c>
      <c r="J768" s="123">
        <f>IF($D768="",0,IF($F768&lt;2,0,IF($E768="Win",('Guide &amp; Settings'!$C$42/(($F768-1)*COUNTIFS($A$4:$A$810,$A768,$E$4:$E$810,"Win")))*SUMIFS($X$4:$X$810,$A$4:$A$810,$A768,$E$4:$E$810,"Loss"),-('Guide &amp; Settings'!$C$42/($F768-1))*$X768)))</f>
        <v>0</v>
      </c>
      <c r="K768" s="123">
        <f>IF($D768="",0,'Guide &amp; Settings'!$C$43*(IF($E768="Win",1,0)-$I768))</f>
        <v>0</v>
      </c>
      <c r="L768" s="124">
        <f>IF($D768="",0,'Guide &amp; Settings'!$C$44*IF($F768&gt;=3,$F768+IF($E768="Win",$F768,0),0))</f>
        <v>0</v>
      </c>
      <c r="M768" s="123">
        <f>IF($D768="",0,$J768+$K768+$L768)</f>
        <v>0</v>
      </c>
      <c r="N768" s="121">
        <f>IF($D768="",0,$H768+$M768)</f>
        <v>0</v>
      </c>
      <c r="O768" s="120" t="str">
        <f>IF($D768="","",IF(COUNTIFS($A$4:$A$810,$A768,$E$4:$E$810,"Win")=0,"need a winner",IF(COUNTIFS($A$4:$A$810,$A768,$E$4:$E$810,"Loss")=0,"need a loser",IF(COUNTIFS($A$4:$A$810,$A768,$D$4:$D$810,$D768)&gt;1,"duplicate player","OK"))))</f>
      </c>
      <c r="P768">
        <f>IF($D768="",0,IFERROR(SUMIFS($H$4:$H$810,$A$4:$A$810,$A768,$E$4:$E$810,"Win")/COUNTIFS($A$4:$A$810,$A768,$E$4:$E$810,"Win"),0))</f>
        <v>0</v>
      </c>
      <c r="Q768">
        <f>IF($D768="",0,1/(1+10^(($P768-$H768)/400)))</f>
        <v>0</v>
      </c>
      <c r="R768">
        <f>IF($D768="",0,(COUNTIFS($D$4:$D$810,$D768,$C$4:$C$810,$C768,$E$4:$E$810,"Win",$A$4:$A$810,"&lt;"&amp;$A768)+1)/(COUNTIFS($D$4:$D$810,$D768,$C$4:$C$810,$C768,$A$4:$A$810,"&lt;"&amp;$A768)+2))</f>
        <v>0</v>
      </c>
      <c r="S768">
        <f>IF($D768="",0,SUMIFS($R$4:$R$810,$A$4:$A$810,$A768))</f>
        <v>0</v>
      </c>
      <c r="T768" s="88">
        <f>IF($D768="",0,COUNTIFS($D$4:$D$810,$D768,$C$4:$C$810,$C768,$A$4:$A$810,"&lt;"&amp;$A768))</f>
        <v>0</v>
      </c>
      <c r="U768" s="125">
        <f>IF($D768="",0,IFERROR(LOOKUP(2,1/(($D$3:D767=$D768)*($C$3:C767=$C768)*($A$3:A767&lt;$A768)),$AB$3:AB767),1000))</f>
        <v>0</v>
      </c>
      <c r="V768" s="125">
        <f>IF($D768="",0,$U768*($T768/($T768+5))+$H768*(1-$T768/($T768+5)))</f>
        <v>0</v>
      </c>
      <c r="W768">
        <f>IF($D768="",0,IFERROR(SUMIFS($V$4:$V$810,$A$4:$A$810,$A768,$E$4:$E$810,"Win")/COUNTIFS($A$4:$A$810,$A768,$E$4:$E$810,"Win"),0))</f>
        <v>0</v>
      </c>
      <c r="X768">
        <f>IF($D768="",0,1/(1+10^(($W768-$V768)/400)))</f>
        <v>0</v>
      </c>
      <c r="Y768">
        <f>IF($D768="",0,IFERROR(SUMIFS($U$4:$U$810,$A$4:$A$810,$A768,$E$4:$E$810,"Win")/COUNTIFS($A$4:$A$810,$A768,$E$4:$E$810,"Win"),0))</f>
        <v>0</v>
      </c>
      <c r="Z768">
        <f>IF($D768="",0,1/(1+10^(($Y768-$U768)/400)))</f>
        <v>0</v>
      </c>
      <c r="AA768">
        <f>IF($D768="",0,IF($F768&lt;2,0,IF($E768="Win",('Guide &amp; Settings'!$C$42/(($F768-1)*COUNTIFS($A$4:$A$810,$A768,$E$4:$E$810,"Win")))*SUMIFS($Z$4:$Z$810,$A$4:$A$810,$A768,$E$4:$E$810,"Loss"),-('Guide &amp; Settings'!$C$42/($F768-1))*$Z768)))</f>
        <v>0</v>
      </c>
      <c r="AB768" s="125">
        <f>IF($D768="",0,$U768+$AA768)</f>
        <v>0</v>
      </c>
      <c r="AC768" s="125" t="str">
        <f>IF($D768="","",IF(SUMPRODUCT(MAX(($D$4:$D$810=$D768)*($B$4:$B$810&lt;$B768)*$B$4:$B$810))=0,0,MAX(($B768-MAX(SUMPRODUCT(MAX(($D$4:$D$810=$D768)*($B$4:$B$810&lt;$B768)*$B$4:$B$810)),'Guide &amp; Settings'!$C$50))/7-'Guide &amp; Settings'!$C$48,0)*'Guide &amp; Settings'!$C$49))</f>
      </c>
    </row>
    <row r="769" spans="1:29">
      <c r="A769" s="116"/>
      <c r="B769" s="117"/>
      <c r="C769" s="118"/>
      <c r="D769" s="118"/>
      <c r="E769" s="116"/>
      <c r="F769" s="119">
        <f>IF($D769="",0,COUNTIF($A$4:$A$810,$A769))</f>
        <v>0</v>
      </c>
      <c r="G769" s="120">
        <f>IF($D769="","",IFERROR(LOOKUP(2,1/(($A$4:$A$810=$A769)*($E$4:$E$810="Win")),$D$4:$D$810),"(no winner)"))</f>
        <v>0</v>
      </c>
      <c r="H769" s="121">
        <f>IF($D769="",0,IFERROR(LOOKUP(2,1/(($D$3:D768=$D769)*($A$3:A768&lt;$A769)),$N$3:N768),'Guide &amp; Settings'!$C$41))</f>
        <v>0</v>
      </c>
      <c r="I769" s="122">
        <f>IF($D769="",0,IF($S769=0,0,$R769/$S769))</f>
        <v>0</v>
      </c>
      <c r="J769" s="123">
        <f>IF($D769="",0,IF($F769&lt;2,0,IF($E769="Win",('Guide &amp; Settings'!$C$42/(($F769-1)*COUNTIFS($A$4:$A$810,$A769,$E$4:$E$810,"Win")))*SUMIFS($X$4:$X$810,$A$4:$A$810,$A769,$E$4:$E$810,"Loss"),-('Guide &amp; Settings'!$C$42/($F769-1))*$X769)))</f>
        <v>0</v>
      </c>
      <c r="K769" s="123">
        <f>IF($D769="",0,'Guide &amp; Settings'!$C$43*(IF($E769="Win",1,0)-$I769))</f>
        <v>0</v>
      </c>
      <c r="L769" s="124">
        <f>IF($D769="",0,'Guide &amp; Settings'!$C$44*IF($F769&gt;=3,$F769+IF($E769="Win",$F769,0),0))</f>
        <v>0</v>
      </c>
      <c r="M769" s="123">
        <f>IF($D769="",0,$J769+$K769+$L769)</f>
        <v>0</v>
      </c>
      <c r="N769" s="121">
        <f>IF($D769="",0,$H769+$M769)</f>
        <v>0</v>
      </c>
      <c r="O769" s="120" t="str">
        <f>IF($D769="","",IF(COUNTIFS($A$4:$A$810,$A769,$E$4:$E$810,"Win")=0,"need a winner",IF(COUNTIFS($A$4:$A$810,$A769,$E$4:$E$810,"Loss")=0,"need a loser",IF(COUNTIFS($A$4:$A$810,$A769,$D$4:$D$810,$D769)&gt;1,"duplicate player","OK"))))</f>
      </c>
      <c r="P769">
        <f>IF($D769="",0,IFERROR(SUMIFS($H$4:$H$810,$A$4:$A$810,$A769,$E$4:$E$810,"Win")/COUNTIFS($A$4:$A$810,$A769,$E$4:$E$810,"Win"),0))</f>
        <v>0</v>
      </c>
      <c r="Q769">
        <f>IF($D769="",0,1/(1+10^(($P769-$H769)/400)))</f>
        <v>0</v>
      </c>
      <c r="R769">
        <f>IF($D769="",0,(COUNTIFS($D$4:$D$810,$D769,$C$4:$C$810,$C769,$E$4:$E$810,"Win",$A$4:$A$810,"&lt;"&amp;$A769)+1)/(COUNTIFS($D$4:$D$810,$D769,$C$4:$C$810,$C769,$A$4:$A$810,"&lt;"&amp;$A769)+2))</f>
        <v>0</v>
      </c>
      <c r="S769">
        <f>IF($D769="",0,SUMIFS($R$4:$R$810,$A$4:$A$810,$A769))</f>
        <v>0</v>
      </c>
      <c r="T769" s="88">
        <f>IF($D769="",0,COUNTIFS($D$4:$D$810,$D769,$C$4:$C$810,$C769,$A$4:$A$810,"&lt;"&amp;$A769))</f>
        <v>0</v>
      </c>
      <c r="U769" s="125">
        <f>IF($D769="",0,IFERROR(LOOKUP(2,1/(($D$3:D768=$D769)*($C$3:C768=$C769)*($A$3:A768&lt;$A769)),$AB$3:AB768),1000))</f>
        <v>0</v>
      </c>
      <c r="V769" s="125">
        <f>IF($D769="",0,$U769*($T769/($T769+5))+$H769*(1-$T769/($T769+5)))</f>
        <v>0</v>
      </c>
      <c r="W769">
        <f>IF($D769="",0,IFERROR(SUMIFS($V$4:$V$810,$A$4:$A$810,$A769,$E$4:$E$810,"Win")/COUNTIFS($A$4:$A$810,$A769,$E$4:$E$810,"Win"),0))</f>
        <v>0</v>
      </c>
      <c r="X769">
        <f>IF($D769="",0,1/(1+10^(($W769-$V769)/400)))</f>
        <v>0</v>
      </c>
      <c r="Y769">
        <f>IF($D769="",0,IFERROR(SUMIFS($U$4:$U$810,$A$4:$A$810,$A769,$E$4:$E$810,"Win")/COUNTIFS($A$4:$A$810,$A769,$E$4:$E$810,"Win"),0))</f>
        <v>0</v>
      </c>
      <c r="Z769">
        <f>IF($D769="",0,1/(1+10^(($Y769-$U769)/400)))</f>
        <v>0</v>
      </c>
      <c r="AA769">
        <f>IF($D769="",0,IF($F769&lt;2,0,IF($E769="Win",('Guide &amp; Settings'!$C$42/(($F769-1)*COUNTIFS($A$4:$A$810,$A769,$E$4:$E$810,"Win")))*SUMIFS($Z$4:$Z$810,$A$4:$A$810,$A769,$E$4:$E$810,"Loss"),-('Guide &amp; Settings'!$C$42/($F769-1))*$Z769)))</f>
        <v>0</v>
      </c>
      <c r="AB769" s="125">
        <f>IF($D769="",0,$U769+$AA769)</f>
        <v>0</v>
      </c>
      <c r="AC769" s="125" t="str">
        <f>IF($D769="","",IF(SUMPRODUCT(MAX(($D$4:$D$810=$D769)*($B$4:$B$810&lt;$B769)*$B$4:$B$810))=0,0,MAX(($B769-MAX(SUMPRODUCT(MAX(($D$4:$D$810=$D769)*($B$4:$B$810&lt;$B769)*$B$4:$B$810)),'Guide &amp; Settings'!$C$50))/7-'Guide &amp; Settings'!$C$48,0)*'Guide &amp; Settings'!$C$49))</f>
      </c>
    </row>
    <row r="770" spans="1:29">
      <c r="A770" s="116"/>
      <c r="B770" s="117"/>
      <c r="C770" s="118"/>
      <c r="D770" s="118"/>
      <c r="E770" s="116"/>
      <c r="F770" s="119">
        <f>IF($D770="",0,COUNTIF($A$4:$A$810,$A770))</f>
        <v>0</v>
      </c>
      <c r="G770" s="120">
        <f>IF($D770="","",IFERROR(LOOKUP(2,1/(($A$4:$A$810=$A770)*($E$4:$E$810="Win")),$D$4:$D$810),"(no winner)"))</f>
        <v>0</v>
      </c>
      <c r="H770" s="121">
        <f>IF($D770="",0,IFERROR(LOOKUP(2,1/(($D$3:D769=$D770)*($A$3:A769&lt;$A770)),$N$3:N769),'Guide &amp; Settings'!$C$41))</f>
        <v>0</v>
      </c>
      <c r="I770" s="122">
        <f>IF($D770="",0,IF($S770=0,0,$R770/$S770))</f>
        <v>0</v>
      </c>
      <c r="J770" s="123">
        <f>IF($D770="",0,IF($F770&lt;2,0,IF($E770="Win",('Guide &amp; Settings'!$C$42/(($F770-1)*COUNTIFS($A$4:$A$810,$A770,$E$4:$E$810,"Win")))*SUMIFS($X$4:$X$810,$A$4:$A$810,$A770,$E$4:$E$810,"Loss"),-('Guide &amp; Settings'!$C$42/($F770-1))*$X770)))</f>
        <v>0</v>
      </c>
      <c r="K770" s="123">
        <f>IF($D770="",0,'Guide &amp; Settings'!$C$43*(IF($E770="Win",1,0)-$I770))</f>
        <v>0</v>
      </c>
      <c r="L770" s="124">
        <f>IF($D770="",0,'Guide &amp; Settings'!$C$44*IF($F770&gt;=3,$F770+IF($E770="Win",$F770,0),0))</f>
        <v>0</v>
      </c>
      <c r="M770" s="123">
        <f>IF($D770="",0,$J770+$K770+$L770)</f>
        <v>0</v>
      </c>
      <c r="N770" s="121">
        <f>IF($D770="",0,$H770+$M770)</f>
        <v>0</v>
      </c>
      <c r="O770" s="120" t="str">
        <f>IF($D770="","",IF(COUNTIFS($A$4:$A$810,$A770,$E$4:$E$810,"Win")=0,"need a winner",IF(COUNTIFS($A$4:$A$810,$A770,$E$4:$E$810,"Loss")=0,"need a loser",IF(COUNTIFS($A$4:$A$810,$A770,$D$4:$D$810,$D770)&gt;1,"duplicate player","OK"))))</f>
      </c>
      <c r="P770">
        <f>IF($D770="",0,IFERROR(SUMIFS($H$4:$H$810,$A$4:$A$810,$A770,$E$4:$E$810,"Win")/COUNTIFS($A$4:$A$810,$A770,$E$4:$E$810,"Win"),0))</f>
        <v>0</v>
      </c>
      <c r="Q770">
        <f>IF($D770="",0,1/(1+10^(($P770-$H770)/400)))</f>
        <v>0</v>
      </c>
      <c r="R770">
        <f>IF($D770="",0,(COUNTIFS($D$4:$D$810,$D770,$C$4:$C$810,$C770,$E$4:$E$810,"Win",$A$4:$A$810,"&lt;"&amp;$A770)+1)/(COUNTIFS($D$4:$D$810,$D770,$C$4:$C$810,$C770,$A$4:$A$810,"&lt;"&amp;$A770)+2))</f>
        <v>0</v>
      </c>
      <c r="S770">
        <f>IF($D770="",0,SUMIFS($R$4:$R$810,$A$4:$A$810,$A770))</f>
        <v>0</v>
      </c>
      <c r="T770" s="88">
        <f>IF($D770="",0,COUNTIFS($D$4:$D$810,$D770,$C$4:$C$810,$C770,$A$4:$A$810,"&lt;"&amp;$A770))</f>
        <v>0</v>
      </c>
      <c r="U770" s="125">
        <f>IF($D770="",0,IFERROR(LOOKUP(2,1/(($D$3:D769=$D770)*($C$3:C769=$C770)*($A$3:A769&lt;$A770)),$AB$3:AB769),1000))</f>
        <v>0</v>
      </c>
      <c r="V770" s="125">
        <f>IF($D770="",0,$U770*($T770/($T770+5))+$H770*(1-$T770/($T770+5)))</f>
        <v>0</v>
      </c>
      <c r="W770">
        <f>IF($D770="",0,IFERROR(SUMIFS($V$4:$V$810,$A$4:$A$810,$A770,$E$4:$E$810,"Win")/COUNTIFS($A$4:$A$810,$A770,$E$4:$E$810,"Win"),0))</f>
        <v>0</v>
      </c>
      <c r="X770">
        <f>IF($D770="",0,1/(1+10^(($W770-$V770)/400)))</f>
        <v>0</v>
      </c>
      <c r="Y770">
        <f>IF($D770="",0,IFERROR(SUMIFS($U$4:$U$810,$A$4:$A$810,$A770,$E$4:$E$810,"Win")/COUNTIFS($A$4:$A$810,$A770,$E$4:$E$810,"Win"),0))</f>
        <v>0</v>
      </c>
      <c r="Z770">
        <f>IF($D770="",0,1/(1+10^(($Y770-$U770)/400)))</f>
        <v>0</v>
      </c>
      <c r="AA770">
        <f>IF($D770="",0,IF($F770&lt;2,0,IF($E770="Win",('Guide &amp; Settings'!$C$42/(($F770-1)*COUNTIFS($A$4:$A$810,$A770,$E$4:$E$810,"Win")))*SUMIFS($Z$4:$Z$810,$A$4:$A$810,$A770,$E$4:$E$810,"Loss"),-('Guide &amp; Settings'!$C$42/($F770-1))*$Z770)))</f>
        <v>0</v>
      </c>
      <c r="AB770" s="125">
        <f>IF($D770="",0,$U770+$AA770)</f>
        <v>0</v>
      </c>
      <c r="AC770" s="125" t="str">
        <f>IF($D770="","",IF(SUMPRODUCT(MAX(($D$4:$D$810=$D770)*($B$4:$B$810&lt;$B770)*$B$4:$B$810))=0,0,MAX(($B770-MAX(SUMPRODUCT(MAX(($D$4:$D$810=$D770)*($B$4:$B$810&lt;$B770)*$B$4:$B$810)),'Guide &amp; Settings'!$C$50))/7-'Guide &amp; Settings'!$C$48,0)*'Guide &amp; Settings'!$C$49))</f>
      </c>
    </row>
    <row r="771" spans="1:29">
      <c r="A771" s="116"/>
      <c r="B771" s="117"/>
      <c r="C771" s="118"/>
      <c r="D771" s="118"/>
      <c r="E771" s="116"/>
      <c r="F771" s="119">
        <f>IF($D771="",0,COUNTIF($A$4:$A$810,$A771))</f>
        <v>0</v>
      </c>
      <c r="G771" s="120">
        <f>IF($D771="","",IFERROR(LOOKUP(2,1/(($A$4:$A$810=$A771)*($E$4:$E$810="Win")),$D$4:$D$810),"(no winner)"))</f>
        <v>0</v>
      </c>
      <c r="H771" s="121">
        <f>IF($D771="",0,IFERROR(LOOKUP(2,1/(($D$3:D770=$D771)*($A$3:A770&lt;$A771)),$N$3:N770),'Guide &amp; Settings'!$C$41))</f>
        <v>0</v>
      </c>
      <c r="I771" s="122">
        <f>IF($D771="",0,IF($S771=0,0,$R771/$S771))</f>
        <v>0</v>
      </c>
      <c r="J771" s="123">
        <f>IF($D771="",0,IF($F771&lt;2,0,IF($E771="Win",('Guide &amp; Settings'!$C$42/(($F771-1)*COUNTIFS($A$4:$A$810,$A771,$E$4:$E$810,"Win")))*SUMIFS($X$4:$X$810,$A$4:$A$810,$A771,$E$4:$E$810,"Loss"),-('Guide &amp; Settings'!$C$42/($F771-1))*$X771)))</f>
        <v>0</v>
      </c>
      <c r="K771" s="123">
        <f>IF($D771="",0,'Guide &amp; Settings'!$C$43*(IF($E771="Win",1,0)-$I771))</f>
        <v>0</v>
      </c>
      <c r="L771" s="124">
        <f>IF($D771="",0,'Guide &amp; Settings'!$C$44*IF($F771&gt;=3,$F771+IF($E771="Win",$F771,0),0))</f>
        <v>0</v>
      </c>
      <c r="M771" s="123">
        <f>IF($D771="",0,$J771+$K771+$L771)</f>
        <v>0</v>
      </c>
      <c r="N771" s="121">
        <f>IF($D771="",0,$H771+$M771)</f>
        <v>0</v>
      </c>
      <c r="O771" s="120" t="str">
        <f>IF($D771="","",IF(COUNTIFS($A$4:$A$810,$A771,$E$4:$E$810,"Win")=0,"need a winner",IF(COUNTIFS($A$4:$A$810,$A771,$E$4:$E$810,"Loss")=0,"need a loser",IF(COUNTIFS($A$4:$A$810,$A771,$D$4:$D$810,$D771)&gt;1,"duplicate player","OK"))))</f>
      </c>
      <c r="P771">
        <f>IF($D771="",0,IFERROR(SUMIFS($H$4:$H$810,$A$4:$A$810,$A771,$E$4:$E$810,"Win")/COUNTIFS($A$4:$A$810,$A771,$E$4:$E$810,"Win"),0))</f>
        <v>0</v>
      </c>
      <c r="Q771">
        <f>IF($D771="",0,1/(1+10^(($P771-$H771)/400)))</f>
        <v>0</v>
      </c>
      <c r="R771">
        <f>IF($D771="",0,(COUNTIFS($D$4:$D$810,$D771,$C$4:$C$810,$C771,$E$4:$E$810,"Win",$A$4:$A$810,"&lt;"&amp;$A771)+1)/(COUNTIFS($D$4:$D$810,$D771,$C$4:$C$810,$C771,$A$4:$A$810,"&lt;"&amp;$A771)+2))</f>
        <v>0</v>
      </c>
      <c r="S771">
        <f>IF($D771="",0,SUMIFS($R$4:$R$810,$A$4:$A$810,$A771))</f>
        <v>0</v>
      </c>
      <c r="T771" s="88">
        <f>IF($D771="",0,COUNTIFS($D$4:$D$810,$D771,$C$4:$C$810,$C771,$A$4:$A$810,"&lt;"&amp;$A771))</f>
        <v>0</v>
      </c>
      <c r="U771" s="125">
        <f>IF($D771="",0,IFERROR(LOOKUP(2,1/(($D$3:D770=$D771)*($C$3:C770=$C771)*($A$3:A770&lt;$A771)),$AB$3:AB770),1000))</f>
        <v>0</v>
      </c>
      <c r="V771" s="125">
        <f>IF($D771="",0,$U771*($T771/($T771+5))+$H771*(1-$T771/($T771+5)))</f>
        <v>0</v>
      </c>
      <c r="W771">
        <f>IF($D771="",0,IFERROR(SUMIFS($V$4:$V$810,$A$4:$A$810,$A771,$E$4:$E$810,"Win")/COUNTIFS($A$4:$A$810,$A771,$E$4:$E$810,"Win"),0))</f>
        <v>0</v>
      </c>
      <c r="X771">
        <f>IF($D771="",0,1/(1+10^(($W771-$V771)/400)))</f>
        <v>0</v>
      </c>
      <c r="Y771">
        <f>IF($D771="",0,IFERROR(SUMIFS($U$4:$U$810,$A$4:$A$810,$A771,$E$4:$E$810,"Win")/COUNTIFS($A$4:$A$810,$A771,$E$4:$E$810,"Win"),0))</f>
        <v>0</v>
      </c>
      <c r="Z771">
        <f>IF($D771="",0,1/(1+10^(($Y771-$U771)/400)))</f>
        <v>0</v>
      </c>
      <c r="AA771">
        <f>IF($D771="",0,IF($F771&lt;2,0,IF($E771="Win",('Guide &amp; Settings'!$C$42/(($F771-1)*COUNTIFS($A$4:$A$810,$A771,$E$4:$E$810,"Win")))*SUMIFS($Z$4:$Z$810,$A$4:$A$810,$A771,$E$4:$E$810,"Loss"),-('Guide &amp; Settings'!$C$42/($F771-1))*$Z771)))</f>
        <v>0</v>
      </c>
      <c r="AB771" s="125">
        <f>IF($D771="",0,$U771+$AA771)</f>
        <v>0</v>
      </c>
      <c r="AC771" s="125" t="str">
        <f>IF($D771="","",IF(SUMPRODUCT(MAX(($D$4:$D$810=$D771)*($B$4:$B$810&lt;$B771)*$B$4:$B$810))=0,0,MAX(($B771-MAX(SUMPRODUCT(MAX(($D$4:$D$810=$D771)*($B$4:$B$810&lt;$B771)*$B$4:$B$810)),'Guide &amp; Settings'!$C$50))/7-'Guide &amp; Settings'!$C$48,0)*'Guide &amp; Settings'!$C$49))</f>
      </c>
    </row>
    <row r="772" spans="1:29">
      <c r="A772" s="116"/>
      <c r="B772" s="117"/>
      <c r="C772" s="118"/>
      <c r="D772" s="118"/>
      <c r="E772" s="116"/>
      <c r="F772" s="119">
        <f>IF($D772="",0,COUNTIF($A$4:$A$810,$A772))</f>
        <v>0</v>
      </c>
      <c r="G772" s="120">
        <f>IF($D772="","",IFERROR(LOOKUP(2,1/(($A$4:$A$810=$A772)*($E$4:$E$810="Win")),$D$4:$D$810),"(no winner)"))</f>
        <v>0</v>
      </c>
      <c r="H772" s="121">
        <f>IF($D772="",0,IFERROR(LOOKUP(2,1/(($D$3:D771=$D772)*($A$3:A771&lt;$A772)),$N$3:N771),'Guide &amp; Settings'!$C$41))</f>
        <v>0</v>
      </c>
      <c r="I772" s="122">
        <f>IF($D772="",0,IF($S772=0,0,$R772/$S772))</f>
        <v>0</v>
      </c>
      <c r="J772" s="123">
        <f>IF($D772="",0,IF($F772&lt;2,0,IF($E772="Win",('Guide &amp; Settings'!$C$42/(($F772-1)*COUNTIFS($A$4:$A$810,$A772,$E$4:$E$810,"Win")))*SUMIFS($X$4:$X$810,$A$4:$A$810,$A772,$E$4:$E$810,"Loss"),-('Guide &amp; Settings'!$C$42/($F772-1))*$X772)))</f>
        <v>0</v>
      </c>
      <c r="K772" s="123">
        <f>IF($D772="",0,'Guide &amp; Settings'!$C$43*(IF($E772="Win",1,0)-$I772))</f>
        <v>0</v>
      </c>
      <c r="L772" s="124">
        <f>IF($D772="",0,'Guide &amp; Settings'!$C$44*IF($F772&gt;=3,$F772+IF($E772="Win",$F772,0),0))</f>
        <v>0</v>
      </c>
      <c r="M772" s="123">
        <f>IF($D772="",0,$J772+$K772+$L772)</f>
        <v>0</v>
      </c>
      <c r="N772" s="121">
        <f>IF($D772="",0,$H772+$M772)</f>
        <v>0</v>
      </c>
      <c r="O772" s="120" t="str">
        <f>IF($D772="","",IF(COUNTIFS($A$4:$A$810,$A772,$E$4:$E$810,"Win")=0,"need a winner",IF(COUNTIFS($A$4:$A$810,$A772,$E$4:$E$810,"Loss")=0,"need a loser",IF(COUNTIFS($A$4:$A$810,$A772,$D$4:$D$810,$D772)&gt;1,"duplicate player","OK"))))</f>
      </c>
      <c r="P772">
        <f>IF($D772="",0,IFERROR(SUMIFS($H$4:$H$810,$A$4:$A$810,$A772,$E$4:$E$810,"Win")/COUNTIFS($A$4:$A$810,$A772,$E$4:$E$810,"Win"),0))</f>
        <v>0</v>
      </c>
      <c r="Q772">
        <f>IF($D772="",0,1/(1+10^(($P772-$H772)/400)))</f>
        <v>0</v>
      </c>
      <c r="R772">
        <f>IF($D772="",0,(COUNTIFS($D$4:$D$810,$D772,$C$4:$C$810,$C772,$E$4:$E$810,"Win",$A$4:$A$810,"&lt;"&amp;$A772)+1)/(COUNTIFS($D$4:$D$810,$D772,$C$4:$C$810,$C772,$A$4:$A$810,"&lt;"&amp;$A772)+2))</f>
        <v>0</v>
      </c>
      <c r="S772">
        <f>IF($D772="",0,SUMIFS($R$4:$R$810,$A$4:$A$810,$A772))</f>
        <v>0</v>
      </c>
      <c r="T772" s="88">
        <f>IF($D772="",0,COUNTIFS($D$4:$D$810,$D772,$C$4:$C$810,$C772,$A$4:$A$810,"&lt;"&amp;$A772))</f>
        <v>0</v>
      </c>
      <c r="U772" s="125">
        <f>IF($D772="",0,IFERROR(LOOKUP(2,1/(($D$3:D771=$D772)*($C$3:C771=$C772)*($A$3:A771&lt;$A772)),$AB$3:AB771),1000))</f>
        <v>0</v>
      </c>
      <c r="V772" s="125">
        <f>IF($D772="",0,$U772*($T772/($T772+5))+$H772*(1-$T772/($T772+5)))</f>
        <v>0</v>
      </c>
      <c r="W772">
        <f>IF($D772="",0,IFERROR(SUMIFS($V$4:$V$810,$A$4:$A$810,$A772,$E$4:$E$810,"Win")/COUNTIFS($A$4:$A$810,$A772,$E$4:$E$810,"Win"),0))</f>
        <v>0</v>
      </c>
      <c r="X772">
        <f>IF($D772="",0,1/(1+10^(($W772-$V772)/400)))</f>
        <v>0</v>
      </c>
      <c r="Y772">
        <f>IF($D772="",0,IFERROR(SUMIFS($U$4:$U$810,$A$4:$A$810,$A772,$E$4:$E$810,"Win")/COUNTIFS($A$4:$A$810,$A772,$E$4:$E$810,"Win"),0))</f>
        <v>0</v>
      </c>
      <c r="Z772">
        <f>IF($D772="",0,1/(1+10^(($Y772-$U772)/400)))</f>
        <v>0</v>
      </c>
      <c r="AA772">
        <f>IF($D772="",0,IF($F772&lt;2,0,IF($E772="Win",('Guide &amp; Settings'!$C$42/(($F772-1)*COUNTIFS($A$4:$A$810,$A772,$E$4:$E$810,"Win")))*SUMIFS($Z$4:$Z$810,$A$4:$A$810,$A772,$E$4:$E$810,"Loss"),-('Guide &amp; Settings'!$C$42/($F772-1))*$Z772)))</f>
        <v>0</v>
      </c>
      <c r="AB772" s="125">
        <f>IF($D772="",0,$U772+$AA772)</f>
        <v>0</v>
      </c>
      <c r="AC772" s="125" t="str">
        <f>IF($D772="","",IF(SUMPRODUCT(MAX(($D$4:$D$810=$D772)*($B$4:$B$810&lt;$B772)*$B$4:$B$810))=0,0,MAX(($B772-MAX(SUMPRODUCT(MAX(($D$4:$D$810=$D772)*($B$4:$B$810&lt;$B772)*$B$4:$B$810)),'Guide &amp; Settings'!$C$50))/7-'Guide &amp; Settings'!$C$48,0)*'Guide &amp; Settings'!$C$49))</f>
      </c>
    </row>
    <row r="773" spans="1:29">
      <c r="A773" s="116"/>
      <c r="B773" s="117"/>
      <c r="C773" s="118"/>
      <c r="D773" s="118"/>
      <c r="E773" s="116"/>
      <c r="F773" s="119">
        <f>IF($D773="",0,COUNTIF($A$4:$A$810,$A773))</f>
        <v>0</v>
      </c>
      <c r="G773" s="120">
        <f>IF($D773="","",IFERROR(LOOKUP(2,1/(($A$4:$A$810=$A773)*($E$4:$E$810="Win")),$D$4:$D$810),"(no winner)"))</f>
        <v>0</v>
      </c>
      <c r="H773" s="121">
        <f>IF($D773="",0,IFERROR(LOOKUP(2,1/(($D$3:D772=$D773)*($A$3:A772&lt;$A773)),$N$3:N772),'Guide &amp; Settings'!$C$41))</f>
        <v>0</v>
      </c>
      <c r="I773" s="122">
        <f>IF($D773="",0,IF($S773=0,0,$R773/$S773))</f>
        <v>0</v>
      </c>
      <c r="J773" s="123">
        <f>IF($D773="",0,IF($F773&lt;2,0,IF($E773="Win",('Guide &amp; Settings'!$C$42/(($F773-1)*COUNTIFS($A$4:$A$810,$A773,$E$4:$E$810,"Win")))*SUMIFS($X$4:$X$810,$A$4:$A$810,$A773,$E$4:$E$810,"Loss"),-('Guide &amp; Settings'!$C$42/($F773-1))*$X773)))</f>
        <v>0</v>
      </c>
      <c r="K773" s="123">
        <f>IF($D773="",0,'Guide &amp; Settings'!$C$43*(IF($E773="Win",1,0)-$I773))</f>
        <v>0</v>
      </c>
      <c r="L773" s="124">
        <f>IF($D773="",0,'Guide &amp; Settings'!$C$44*IF($F773&gt;=3,$F773+IF($E773="Win",$F773,0),0))</f>
        <v>0</v>
      </c>
      <c r="M773" s="123">
        <f>IF($D773="",0,$J773+$K773+$L773)</f>
        <v>0</v>
      </c>
      <c r="N773" s="121">
        <f>IF($D773="",0,$H773+$M773)</f>
        <v>0</v>
      </c>
      <c r="O773" s="120" t="str">
        <f>IF($D773="","",IF(COUNTIFS($A$4:$A$810,$A773,$E$4:$E$810,"Win")=0,"need a winner",IF(COUNTIFS($A$4:$A$810,$A773,$E$4:$E$810,"Loss")=0,"need a loser",IF(COUNTIFS($A$4:$A$810,$A773,$D$4:$D$810,$D773)&gt;1,"duplicate player","OK"))))</f>
      </c>
      <c r="P773">
        <f>IF($D773="",0,IFERROR(SUMIFS($H$4:$H$810,$A$4:$A$810,$A773,$E$4:$E$810,"Win")/COUNTIFS($A$4:$A$810,$A773,$E$4:$E$810,"Win"),0))</f>
        <v>0</v>
      </c>
      <c r="Q773">
        <f>IF($D773="",0,1/(1+10^(($P773-$H773)/400)))</f>
        <v>0</v>
      </c>
      <c r="R773">
        <f>IF($D773="",0,(COUNTIFS($D$4:$D$810,$D773,$C$4:$C$810,$C773,$E$4:$E$810,"Win",$A$4:$A$810,"&lt;"&amp;$A773)+1)/(COUNTIFS($D$4:$D$810,$D773,$C$4:$C$810,$C773,$A$4:$A$810,"&lt;"&amp;$A773)+2))</f>
        <v>0</v>
      </c>
      <c r="S773">
        <f>IF($D773="",0,SUMIFS($R$4:$R$810,$A$4:$A$810,$A773))</f>
        <v>0</v>
      </c>
      <c r="T773" s="88">
        <f>IF($D773="",0,COUNTIFS($D$4:$D$810,$D773,$C$4:$C$810,$C773,$A$4:$A$810,"&lt;"&amp;$A773))</f>
        <v>0</v>
      </c>
      <c r="U773" s="125">
        <f>IF($D773="",0,IFERROR(LOOKUP(2,1/(($D$3:D772=$D773)*($C$3:C772=$C773)*($A$3:A772&lt;$A773)),$AB$3:AB772),1000))</f>
        <v>0</v>
      </c>
      <c r="V773" s="125">
        <f>IF($D773="",0,$U773*($T773/($T773+5))+$H773*(1-$T773/($T773+5)))</f>
        <v>0</v>
      </c>
      <c r="W773">
        <f>IF($D773="",0,IFERROR(SUMIFS($V$4:$V$810,$A$4:$A$810,$A773,$E$4:$E$810,"Win")/COUNTIFS($A$4:$A$810,$A773,$E$4:$E$810,"Win"),0))</f>
        <v>0</v>
      </c>
      <c r="X773">
        <f>IF($D773="",0,1/(1+10^(($W773-$V773)/400)))</f>
        <v>0</v>
      </c>
      <c r="Y773">
        <f>IF($D773="",0,IFERROR(SUMIFS($U$4:$U$810,$A$4:$A$810,$A773,$E$4:$E$810,"Win")/COUNTIFS($A$4:$A$810,$A773,$E$4:$E$810,"Win"),0))</f>
        <v>0</v>
      </c>
      <c r="Z773">
        <f>IF($D773="",0,1/(1+10^(($Y773-$U773)/400)))</f>
        <v>0</v>
      </c>
      <c r="AA773">
        <f>IF($D773="",0,IF($F773&lt;2,0,IF($E773="Win",('Guide &amp; Settings'!$C$42/(($F773-1)*COUNTIFS($A$4:$A$810,$A773,$E$4:$E$810,"Win")))*SUMIFS($Z$4:$Z$810,$A$4:$A$810,$A773,$E$4:$E$810,"Loss"),-('Guide &amp; Settings'!$C$42/($F773-1))*$Z773)))</f>
        <v>0</v>
      </c>
      <c r="AB773" s="125">
        <f>IF($D773="",0,$U773+$AA773)</f>
        <v>0</v>
      </c>
      <c r="AC773" s="125" t="str">
        <f>IF($D773="","",IF(SUMPRODUCT(MAX(($D$4:$D$810=$D773)*($B$4:$B$810&lt;$B773)*$B$4:$B$810))=0,0,MAX(($B773-MAX(SUMPRODUCT(MAX(($D$4:$D$810=$D773)*($B$4:$B$810&lt;$B773)*$B$4:$B$810)),'Guide &amp; Settings'!$C$50))/7-'Guide &amp; Settings'!$C$48,0)*'Guide &amp; Settings'!$C$49))</f>
      </c>
    </row>
    <row r="774" spans="1:29">
      <c r="A774" s="116"/>
      <c r="B774" s="117"/>
      <c r="C774" s="118"/>
      <c r="D774" s="118"/>
      <c r="E774" s="116"/>
      <c r="F774" s="119">
        <f>IF($D774="",0,COUNTIF($A$4:$A$810,$A774))</f>
        <v>0</v>
      </c>
      <c r="G774" s="120">
        <f>IF($D774="","",IFERROR(LOOKUP(2,1/(($A$4:$A$810=$A774)*($E$4:$E$810="Win")),$D$4:$D$810),"(no winner)"))</f>
        <v>0</v>
      </c>
      <c r="H774" s="121">
        <f>IF($D774="",0,IFERROR(LOOKUP(2,1/(($D$3:D773=$D774)*($A$3:A773&lt;$A774)),$N$3:N773),'Guide &amp; Settings'!$C$41))</f>
        <v>0</v>
      </c>
      <c r="I774" s="122">
        <f>IF($D774="",0,IF($S774=0,0,$R774/$S774))</f>
        <v>0</v>
      </c>
      <c r="J774" s="123">
        <f>IF($D774="",0,IF($F774&lt;2,0,IF($E774="Win",('Guide &amp; Settings'!$C$42/(($F774-1)*COUNTIFS($A$4:$A$810,$A774,$E$4:$E$810,"Win")))*SUMIFS($X$4:$X$810,$A$4:$A$810,$A774,$E$4:$E$810,"Loss"),-('Guide &amp; Settings'!$C$42/($F774-1))*$X774)))</f>
        <v>0</v>
      </c>
      <c r="K774" s="123">
        <f>IF($D774="",0,'Guide &amp; Settings'!$C$43*(IF($E774="Win",1,0)-$I774))</f>
        <v>0</v>
      </c>
      <c r="L774" s="124">
        <f>IF($D774="",0,'Guide &amp; Settings'!$C$44*IF($F774&gt;=3,$F774+IF($E774="Win",$F774,0),0))</f>
        <v>0</v>
      </c>
      <c r="M774" s="123">
        <f>IF($D774="",0,$J774+$K774+$L774)</f>
        <v>0</v>
      </c>
      <c r="N774" s="121">
        <f>IF($D774="",0,$H774+$M774)</f>
        <v>0</v>
      </c>
      <c r="O774" s="120" t="str">
        <f>IF($D774="","",IF(COUNTIFS($A$4:$A$810,$A774,$E$4:$E$810,"Win")=0,"need a winner",IF(COUNTIFS($A$4:$A$810,$A774,$E$4:$E$810,"Loss")=0,"need a loser",IF(COUNTIFS($A$4:$A$810,$A774,$D$4:$D$810,$D774)&gt;1,"duplicate player","OK"))))</f>
      </c>
      <c r="P774">
        <f>IF($D774="",0,IFERROR(SUMIFS($H$4:$H$810,$A$4:$A$810,$A774,$E$4:$E$810,"Win")/COUNTIFS($A$4:$A$810,$A774,$E$4:$E$810,"Win"),0))</f>
        <v>0</v>
      </c>
      <c r="Q774">
        <f>IF($D774="",0,1/(1+10^(($P774-$H774)/400)))</f>
        <v>0</v>
      </c>
      <c r="R774">
        <f>IF($D774="",0,(COUNTIFS($D$4:$D$810,$D774,$C$4:$C$810,$C774,$E$4:$E$810,"Win",$A$4:$A$810,"&lt;"&amp;$A774)+1)/(COUNTIFS($D$4:$D$810,$D774,$C$4:$C$810,$C774,$A$4:$A$810,"&lt;"&amp;$A774)+2))</f>
        <v>0</v>
      </c>
      <c r="S774">
        <f>IF($D774="",0,SUMIFS($R$4:$R$810,$A$4:$A$810,$A774))</f>
        <v>0</v>
      </c>
      <c r="T774" s="88">
        <f>IF($D774="",0,COUNTIFS($D$4:$D$810,$D774,$C$4:$C$810,$C774,$A$4:$A$810,"&lt;"&amp;$A774))</f>
        <v>0</v>
      </c>
      <c r="U774" s="125">
        <f>IF($D774="",0,IFERROR(LOOKUP(2,1/(($D$3:D773=$D774)*($C$3:C773=$C774)*($A$3:A773&lt;$A774)),$AB$3:AB773),1000))</f>
        <v>0</v>
      </c>
      <c r="V774" s="125">
        <f>IF($D774="",0,$U774*($T774/($T774+5))+$H774*(1-$T774/($T774+5)))</f>
        <v>0</v>
      </c>
      <c r="W774">
        <f>IF($D774="",0,IFERROR(SUMIFS($V$4:$V$810,$A$4:$A$810,$A774,$E$4:$E$810,"Win")/COUNTIFS($A$4:$A$810,$A774,$E$4:$E$810,"Win"),0))</f>
        <v>0</v>
      </c>
      <c r="X774">
        <f>IF($D774="",0,1/(1+10^(($W774-$V774)/400)))</f>
        <v>0</v>
      </c>
      <c r="Y774">
        <f>IF($D774="",0,IFERROR(SUMIFS($U$4:$U$810,$A$4:$A$810,$A774,$E$4:$E$810,"Win")/COUNTIFS($A$4:$A$810,$A774,$E$4:$E$810,"Win"),0))</f>
        <v>0</v>
      </c>
      <c r="Z774">
        <f>IF($D774="",0,1/(1+10^(($Y774-$U774)/400)))</f>
        <v>0</v>
      </c>
      <c r="AA774">
        <f>IF($D774="",0,IF($F774&lt;2,0,IF($E774="Win",('Guide &amp; Settings'!$C$42/(($F774-1)*COUNTIFS($A$4:$A$810,$A774,$E$4:$E$810,"Win")))*SUMIFS($Z$4:$Z$810,$A$4:$A$810,$A774,$E$4:$E$810,"Loss"),-('Guide &amp; Settings'!$C$42/($F774-1))*$Z774)))</f>
        <v>0</v>
      </c>
      <c r="AB774" s="125">
        <f>IF($D774="",0,$U774+$AA774)</f>
        <v>0</v>
      </c>
      <c r="AC774" s="125" t="str">
        <f>IF($D774="","",IF(SUMPRODUCT(MAX(($D$4:$D$810=$D774)*($B$4:$B$810&lt;$B774)*$B$4:$B$810))=0,0,MAX(($B774-MAX(SUMPRODUCT(MAX(($D$4:$D$810=$D774)*($B$4:$B$810&lt;$B774)*$B$4:$B$810)),'Guide &amp; Settings'!$C$50))/7-'Guide &amp; Settings'!$C$48,0)*'Guide &amp; Settings'!$C$49))</f>
      </c>
    </row>
    <row r="775" spans="1:29">
      <c r="A775" s="116"/>
      <c r="B775" s="117"/>
      <c r="C775" s="118"/>
      <c r="D775" s="118"/>
      <c r="E775" s="116"/>
      <c r="F775" s="119">
        <f>IF($D775="",0,COUNTIF($A$4:$A$810,$A775))</f>
        <v>0</v>
      </c>
      <c r="G775" s="120">
        <f>IF($D775="","",IFERROR(LOOKUP(2,1/(($A$4:$A$810=$A775)*($E$4:$E$810="Win")),$D$4:$D$810),"(no winner)"))</f>
        <v>0</v>
      </c>
      <c r="H775" s="121">
        <f>IF($D775="",0,IFERROR(LOOKUP(2,1/(($D$3:D774=$D775)*($A$3:A774&lt;$A775)),$N$3:N774),'Guide &amp; Settings'!$C$41))</f>
        <v>0</v>
      </c>
      <c r="I775" s="122">
        <f>IF($D775="",0,IF($S775=0,0,$R775/$S775))</f>
        <v>0</v>
      </c>
      <c r="J775" s="123">
        <f>IF($D775="",0,IF($F775&lt;2,0,IF($E775="Win",('Guide &amp; Settings'!$C$42/(($F775-1)*COUNTIFS($A$4:$A$810,$A775,$E$4:$E$810,"Win")))*SUMIFS($X$4:$X$810,$A$4:$A$810,$A775,$E$4:$E$810,"Loss"),-('Guide &amp; Settings'!$C$42/($F775-1))*$X775)))</f>
        <v>0</v>
      </c>
      <c r="K775" s="123">
        <f>IF($D775="",0,'Guide &amp; Settings'!$C$43*(IF($E775="Win",1,0)-$I775))</f>
        <v>0</v>
      </c>
      <c r="L775" s="124">
        <f>IF($D775="",0,'Guide &amp; Settings'!$C$44*IF($F775&gt;=3,$F775+IF($E775="Win",$F775,0),0))</f>
        <v>0</v>
      </c>
      <c r="M775" s="123">
        <f>IF($D775="",0,$J775+$K775+$L775)</f>
        <v>0</v>
      </c>
      <c r="N775" s="121">
        <f>IF($D775="",0,$H775+$M775)</f>
        <v>0</v>
      </c>
      <c r="O775" s="120" t="str">
        <f>IF($D775="","",IF(COUNTIFS($A$4:$A$810,$A775,$E$4:$E$810,"Win")=0,"need a winner",IF(COUNTIFS($A$4:$A$810,$A775,$E$4:$E$810,"Loss")=0,"need a loser",IF(COUNTIFS($A$4:$A$810,$A775,$D$4:$D$810,$D775)&gt;1,"duplicate player","OK"))))</f>
      </c>
      <c r="P775">
        <f>IF($D775="",0,IFERROR(SUMIFS($H$4:$H$810,$A$4:$A$810,$A775,$E$4:$E$810,"Win")/COUNTIFS($A$4:$A$810,$A775,$E$4:$E$810,"Win"),0))</f>
        <v>0</v>
      </c>
      <c r="Q775">
        <f>IF($D775="",0,1/(1+10^(($P775-$H775)/400)))</f>
        <v>0</v>
      </c>
      <c r="R775">
        <f>IF($D775="",0,(COUNTIFS($D$4:$D$810,$D775,$C$4:$C$810,$C775,$E$4:$E$810,"Win",$A$4:$A$810,"&lt;"&amp;$A775)+1)/(COUNTIFS($D$4:$D$810,$D775,$C$4:$C$810,$C775,$A$4:$A$810,"&lt;"&amp;$A775)+2))</f>
        <v>0</v>
      </c>
      <c r="S775">
        <f>IF($D775="",0,SUMIFS($R$4:$R$810,$A$4:$A$810,$A775))</f>
        <v>0</v>
      </c>
      <c r="T775" s="88">
        <f>IF($D775="",0,COUNTIFS($D$4:$D$810,$D775,$C$4:$C$810,$C775,$A$4:$A$810,"&lt;"&amp;$A775))</f>
        <v>0</v>
      </c>
      <c r="U775" s="125">
        <f>IF($D775="",0,IFERROR(LOOKUP(2,1/(($D$3:D774=$D775)*($C$3:C774=$C775)*($A$3:A774&lt;$A775)),$AB$3:AB774),1000))</f>
        <v>0</v>
      </c>
      <c r="V775" s="125">
        <f>IF($D775="",0,$U775*($T775/($T775+5))+$H775*(1-$T775/($T775+5)))</f>
        <v>0</v>
      </c>
      <c r="W775">
        <f>IF($D775="",0,IFERROR(SUMIFS($V$4:$V$810,$A$4:$A$810,$A775,$E$4:$E$810,"Win")/COUNTIFS($A$4:$A$810,$A775,$E$4:$E$810,"Win"),0))</f>
        <v>0</v>
      </c>
      <c r="X775">
        <f>IF($D775="",0,1/(1+10^(($W775-$V775)/400)))</f>
        <v>0</v>
      </c>
      <c r="Y775">
        <f>IF($D775="",0,IFERROR(SUMIFS($U$4:$U$810,$A$4:$A$810,$A775,$E$4:$E$810,"Win")/COUNTIFS($A$4:$A$810,$A775,$E$4:$E$810,"Win"),0))</f>
        <v>0</v>
      </c>
      <c r="Z775">
        <f>IF($D775="",0,1/(1+10^(($Y775-$U775)/400)))</f>
        <v>0</v>
      </c>
      <c r="AA775">
        <f>IF($D775="",0,IF($F775&lt;2,0,IF($E775="Win",('Guide &amp; Settings'!$C$42/(($F775-1)*COUNTIFS($A$4:$A$810,$A775,$E$4:$E$810,"Win")))*SUMIFS($Z$4:$Z$810,$A$4:$A$810,$A775,$E$4:$E$810,"Loss"),-('Guide &amp; Settings'!$C$42/($F775-1))*$Z775)))</f>
        <v>0</v>
      </c>
      <c r="AB775" s="125">
        <f>IF($D775="",0,$U775+$AA775)</f>
        <v>0</v>
      </c>
      <c r="AC775" s="125" t="str">
        <f>IF($D775="","",IF(SUMPRODUCT(MAX(($D$4:$D$810=$D775)*($B$4:$B$810&lt;$B775)*$B$4:$B$810))=0,0,MAX(($B775-MAX(SUMPRODUCT(MAX(($D$4:$D$810=$D775)*($B$4:$B$810&lt;$B775)*$B$4:$B$810)),'Guide &amp; Settings'!$C$50))/7-'Guide &amp; Settings'!$C$48,0)*'Guide &amp; Settings'!$C$49))</f>
      </c>
    </row>
    <row r="776" spans="1:29">
      <c r="A776" s="116"/>
      <c r="B776" s="117"/>
      <c r="C776" s="118"/>
      <c r="D776" s="118"/>
      <c r="E776" s="116"/>
      <c r="F776" s="119">
        <f>IF($D776="",0,COUNTIF($A$4:$A$810,$A776))</f>
        <v>0</v>
      </c>
      <c r="G776" s="120">
        <f>IF($D776="","",IFERROR(LOOKUP(2,1/(($A$4:$A$810=$A776)*($E$4:$E$810="Win")),$D$4:$D$810),"(no winner)"))</f>
        <v>0</v>
      </c>
      <c r="H776" s="121">
        <f>IF($D776="",0,IFERROR(LOOKUP(2,1/(($D$3:D775=$D776)*($A$3:A775&lt;$A776)),$N$3:N775),'Guide &amp; Settings'!$C$41))</f>
        <v>0</v>
      </c>
      <c r="I776" s="122">
        <f>IF($D776="",0,IF($S776=0,0,$R776/$S776))</f>
        <v>0</v>
      </c>
      <c r="J776" s="123">
        <f>IF($D776="",0,IF($F776&lt;2,0,IF($E776="Win",('Guide &amp; Settings'!$C$42/(($F776-1)*COUNTIFS($A$4:$A$810,$A776,$E$4:$E$810,"Win")))*SUMIFS($X$4:$X$810,$A$4:$A$810,$A776,$E$4:$E$810,"Loss"),-('Guide &amp; Settings'!$C$42/($F776-1))*$X776)))</f>
        <v>0</v>
      </c>
      <c r="K776" s="123">
        <f>IF($D776="",0,'Guide &amp; Settings'!$C$43*(IF($E776="Win",1,0)-$I776))</f>
        <v>0</v>
      </c>
      <c r="L776" s="124">
        <f>IF($D776="",0,'Guide &amp; Settings'!$C$44*IF($F776&gt;=3,$F776+IF($E776="Win",$F776,0),0))</f>
        <v>0</v>
      </c>
      <c r="M776" s="123">
        <f>IF($D776="",0,$J776+$K776+$L776)</f>
        <v>0</v>
      </c>
      <c r="N776" s="121">
        <f>IF($D776="",0,$H776+$M776)</f>
        <v>0</v>
      </c>
      <c r="O776" s="120" t="str">
        <f>IF($D776="","",IF(COUNTIFS($A$4:$A$810,$A776,$E$4:$E$810,"Win")=0,"need a winner",IF(COUNTIFS($A$4:$A$810,$A776,$E$4:$E$810,"Loss")=0,"need a loser",IF(COUNTIFS($A$4:$A$810,$A776,$D$4:$D$810,$D776)&gt;1,"duplicate player","OK"))))</f>
      </c>
      <c r="P776">
        <f>IF($D776="",0,IFERROR(SUMIFS($H$4:$H$810,$A$4:$A$810,$A776,$E$4:$E$810,"Win")/COUNTIFS($A$4:$A$810,$A776,$E$4:$E$810,"Win"),0))</f>
        <v>0</v>
      </c>
      <c r="Q776">
        <f>IF($D776="",0,1/(1+10^(($P776-$H776)/400)))</f>
        <v>0</v>
      </c>
      <c r="R776">
        <f>IF($D776="",0,(COUNTIFS($D$4:$D$810,$D776,$C$4:$C$810,$C776,$E$4:$E$810,"Win",$A$4:$A$810,"&lt;"&amp;$A776)+1)/(COUNTIFS($D$4:$D$810,$D776,$C$4:$C$810,$C776,$A$4:$A$810,"&lt;"&amp;$A776)+2))</f>
        <v>0</v>
      </c>
      <c r="S776">
        <f>IF($D776="",0,SUMIFS($R$4:$R$810,$A$4:$A$810,$A776))</f>
        <v>0</v>
      </c>
      <c r="T776" s="88">
        <f>IF($D776="",0,COUNTIFS($D$4:$D$810,$D776,$C$4:$C$810,$C776,$A$4:$A$810,"&lt;"&amp;$A776))</f>
        <v>0</v>
      </c>
      <c r="U776" s="125">
        <f>IF($D776="",0,IFERROR(LOOKUP(2,1/(($D$3:D775=$D776)*($C$3:C775=$C776)*($A$3:A775&lt;$A776)),$AB$3:AB775),1000))</f>
        <v>0</v>
      </c>
      <c r="V776" s="125">
        <f>IF($D776="",0,$U776*($T776/($T776+5))+$H776*(1-$T776/($T776+5)))</f>
        <v>0</v>
      </c>
      <c r="W776">
        <f>IF($D776="",0,IFERROR(SUMIFS($V$4:$V$810,$A$4:$A$810,$A776,$E$4:$E$810,"Win")/COUNTIFS($A$4:$A$810,$A776,$E$4:$E$810,"Win"),0))</f>
        <v>0</v>
      </c>
      <c r="X776">
        <f>IF($D776="",0,1/(1+10^(($W776-$V776)/400)))</f>
        <v>0</v>
      </c>
      <c r="Y776">
        <f>IF($D776="",0,IFERROR(SUMIFS($U$4:$U$810,$A$4:$A$810,$A776,$E$4:$E$810,"Win")/COUNTIFS($A$4:$A$810,$A776,$E$4:$E$810,"Win"),0))</f>
        <v>0</v>
      </c>
      <c r="Z776">
        <f>IF($D776="",0,1/(1+10^(($Y776-$U776)/400)))</f>
        <v>0</v>
      </c>
      <c r="AA776">
        <f>IF($D776="",0,IF($F776&lt;2,0,IF($E776="Win",('Guide &amp; Settings'!$C$42/(($F776-1)*COUNTIFS($A$4:$A$810,$A776,$E$4:$E$810,"Win")))*SUMIFS($Z$4:$Z$810,$A$4:$A$810,$A776,$E$4:$E$810,"Loss"),-('Guide &amp; Settings'!$C$42/($F776-1))*$Z776)))</f>
        <v>0</v>
      </c>
      <c r="AB776" s="125">
        <f>IF($D776="",0,$U776+$AA776)</f>
        <v>0</v>
      </c>
      <c r="AC776" s="125" t="str">
        <f>IF($D776="","",IF(SUMPRODUCT(MAX(($D$4:$D$810=$D776)*($B$4:$B$810&lt;$B776)*$B$4:$B$810))=0,0,MAX(($B776-MAX(SUMPRODUCT(MAX(($D$4:$D$810=$D776)*($B$4:$B$810&lt;$B776)*$B$4:$B$810)),'Guide &amp; Settings'!$C$50))/7-'Guide &amp; Settings'!$C$48,0)*'Guide &amp; Settings'!$C$49))</f>
      </c>
    </row>
    <row r="777" spans="1:29">
      <c r="A777" s="116"/>
      <c r="B777" s="117"/>
      <c r="C777" s="118"/>
      <c r="D777" s="118"/>
      <c r="E777" s="116"/>
      <c r="F777" s="119">
        <f>IF($D777="",0,COUNTIF($A$4:$A$810,$A777))</f>
        <v>0</v>
      </c>
      <c r="G777" s="120">
        <f>IF($D777="","",IFERROR(LOOKUP(2,1/(($A$4:$A$810=$A777)*($E$4:$E$810="Win")),$D$4:$D$810),"(no winner)"))</f>
        <v>0</v>
      </c>
      <c r="H777" s="121">
        <f>IF($D777="",0,IFERROR(LOOKUP(2,1/(($D$3:D776=$D777)*($A$3:A776&lt;$A777)),$N$3:N776),'Guide &amp; Settings'!$C$41))</f>
        <v>0</v>
      </c>
      <c r="I777" s="122">
        <f>IF($D777="",0,IF($S777=0,0,$R777/$S777))</f>
        <v>0</v>
      </c>
      <c r="J777" s="123">
        <f>IF($D777="",0,IF($F777&lt;2,0,IF($E777="Win",('Guide &amp; Settings'!$C$42/(($F777-1)*COUNTIFS($A$4:$A$810,$A777,$E$4:$E$810,"Win")))*SUMIFS($X$4:$X$810,$A$4:$A$810,$A777,$E$4:$E$810,"Loss"),-('Guide &amp; Settings'!$C$42/($F777-1))*$X777)))</f>
        <v>0</v>
      </c>
      <c r="K777" s="123">
        <f>IF($D777="",0,'Guide &amp; Settings'!$C$43*(IF($E777="Win",1,0)-$I777))</f>
        <v>0</v>
      </c>
      <c r="L777" s="124">
        <f>IF($D777="",0,'Guide &amp; Settings'!$C$44*IF($F777&gt;=3,$F777+IF($E777="Win",$F777,0),0))</f>
        <v>0</v>
      </c>
      <c r="M777" s="123">
        <f>IF($D777="",0,$J777+$K777+$L777)</f>
        <v>0</v>
      </c>
      <c r="N777" s="121">
        <f>IF($D777="",0,$H777+$M777)</f>
        <v>0</v>
      </c>
      <c r="O777" s="120" t="str">
        <f>IF($D777="","",IF(COUNTIFS($A$4:$A$810,$A777,$E$4:$E$810,"Win")=0,"need a winner",IF(COUNTIFS($A$4:$A$810,$A777,$E$4:$E$810,"Loss")=0,"need a loser",IF(COUNTIFS($A$4:$A$810,$A777,$D$4:$D$810,$D777)&gt;1,"duplicate player","OK"))))</f>
      </c>
      <c r="P777">
        <f>IF($D777="",0,IFERROR(SUMIFS($H$4:$H$810,$A$4:$A$810,$A777,$E$4:$E$810,"Win")/COUNTIFS($A$4:$A$810,$A777,$E$4:$E$810,"Win"),0))</f>
        <v>0</v>
      </c>
      <c r="Q777">
        <f>IF($D777="",0,1/(1+10^(($P777-$H777)/400)))</f>
        <v>0</v>
      </c>
      <c r="R777">
        <f>IF($D777="",0,(COUNTIFS($D$4:$D$810,$D777,$C$4:$C$810,$C777,$E$4:$E$810,"Win",$A$4:$A$810,"&lt;"&amp;$A777)+1)/(COUNTIFS($D$4:$D$810,$D777,$C$4:$C$810,$C777,$A$4:$A$810,"&lt;"&amp;$A777)+2))</f>
        <v>0</v>
      </c>
      <c r="S777">
        <f>IF($D777="",0,SUMIFS($R$4:$R$810,$A$4:$A$810,$A777))</f>
        <v>0</v>
      </c>
      <c r="T777" s="88">
        <f>IF($D777="",0,COUNTIFS($D$4:$D$810,$D777,$C$4:$C$810,$C777,$A$4:$A$810,"&lt;"&amp;$A777))</f>
        <v>0</v>
      </c>
      <c r="U777" s="125">
        <f>IF($D777="",0,IFERROR(LOOKUP(2,1/(($D$3:D776=$D777)*($C$3:C776=$C777)*($A$3:A776&lt;$A777)),$AB$3:AB776),1000))</f>
        <v>0</v>
      </c>
      <c r="V777" s="125">
        <f>IF($D777="",0,$U777*($T777/($T777+5))+$H777*(1-$T777/($T777+5)))</f>
        <v>0</v>
      </c>
      <c r="W777">
        <f>IF($D777="",0,IFERROR(SUMIFS($V$4:$V$810,$A$4:$A$810,$A777,$E$4:$E$810,"Win")/COUNTIFS($A$4:$A$810,$A777,$E$4:$E$810,"Win"),0))</f>
        <v>0</v>
      </c>
      <c r="X777">
        <f>IF($D777="",0,1/(1+10^(($W777-$V777)/400)))</f>
        <v>0</v>
      </c>
      <c r="Y777">
        <f>IF($D777="",0,IFERROR(SUMIFS($U$4:$U$810,$A$4:$A$810,$A777,$E$4:$E$810,"Win")/COUNTIFS($A$4:$A$810,$A777,$E$4:$E$810,"Win"),0))</f>
        <v>0</v>
      </c>
      <c r="Z777">
        <f>IF($D777="",0,1/(1+10^(($Y777-$U777)/400)))</f>
        <v>0</v>
      </c>
      <c r="AA777">
        <f>IF($D777="",0,IF($F777&lt;2,0,IF($E777="Win",('Guide &amp; Settings'!$C$42/(($F777-1)*COUNTIFS($A$4:$A$810,$A777,$E$4:$E$810,"Win")))*SUMIFS($Z$4:$Z$810,$A$4:$A$810,$A777,$E$4:$E$810,"Loss"),-('Guide &amp; Settings'!$C$42/($F777-1))*$Z777)))</f>
        <v>0</v>
      </c>
      <c r="AB777" s="125">
        <f>IF($D777="",0,$U777+$AA777)</f>
        <v>0</v>
      </c>
      <c r="AC777" s="125" t="str">
        <f>IF($D777="","",IF(SUMPRODUCT(MAX(($D$4:$D$810=$D777)*($B$4:$B$810&lt;$B777)*$B$4:$B$810))=0,0,MAX(($B777-MAX(SUMPRODUCT(MAX(($D$4:$D$810=$D777)*($B$4:$B$810&lt;$B777)*$B$4:$B$810)),'Guide &amp; Settings'!$C$50))/7-'Guide &amp; Settings'!$C$48,0)*'Guide &amp; Settings'!$C$49))</f>
      </c>
    </row>
    <row r="778" spans="1:29">
      <c r="A778" s="116"/>
      <c r="B778" s="117"/>
      <c r="C778" s="118"/>
      <c r="D778" s="118"/>
      <c r="E778" s="116"/>
      <c r="F778" s="119">
        <f>IF($D778="",0,COUNTIF($A$4:$A$810,$A778))</f>
        <v>0</v>
      </c>
      <c r="G778" s="120">
        <f>IF($D778="","",IFERROR(LOOKUP(2,1/(($A$4:$A$810=$A778)*($E$4:$E$810="Win")),$D$4:$D$810),"(no winner)"))</f>
        <v>0</v>
      </c>
      <c r="H778" s="121">
        <f>IF($D778="",0,IFERROR(LOOKUP(2,1/(($D$3:D777=$D778)*($A$3:A777&lt;$A778)),$N$3:N777),'Guide &amp; Settings'!$C$41))</f>
        <v>0</v>
      </c>
      <c r="I778" s="122">
        <f>IF($D778="",0,IF($S778=0,0,$R778/$S778))</f>
        <v>0</v>
      </c>
      <c r="J778" s="123">
        <f>IF($D778="",0,IF($F778&lt;2,0,IF($E778="Win",('Guide &amp; Settings'!$C$42/(($F778-1)*COUNTIFS($A$4:$A$810,$A778,$E$4:$E$810,"Win")))*SUMIFS($X$4:$X$810,$A$4:$A$810,$A778,$E$4:$E$810,"Loss"),-('Guide &amp; Settings'!$C$42/($F778-1))*$X778)))</f>
        <v>0</v>
      </c>
      <c r="K778" s="123">
        <f>IF($D778="",0,'Guide &amp; Settings'!$C$43*(IF($E778="Win",1,0)-$I778))</f>
        <v>0</v>
      </c>
      <c r="L778" s="124">
        <f>IF($D778="",0,'Guide &amp; Settings'!$C$44*IF($F778&gt;=3,$F778+IF($E778="Win",$F778,0),0))</f>
        <v>0</v>
      </c>
      <c r="M778" s="123">
        <f>IF($D778="",0,$J778+$K778+$L778)</f>
        <v>0</v>
      </c>
      <c r="N778" s="121">
        <f>IF($D778="",0,$H778+$M778)</f>
        <v>0</v>
      </c>
      <c r="O778" s="120" t="str">
        <f>IF($D778="","",IF(COUNTIFS($A$4:$A$810,$A778,$E$4:$E$810,"Win")=0,"need a winner",IF(COUNTIFS($A$4:$A$810,$A778,$E$4:$E$810,"Loss")=0,"need a loser",IF(COUNTIFS($A$4:$A$810,$A778,$D$4:$D$810,$D778)&gt;1,"duplicate player","OK"))))</f>
      </c>
      <c r="P778">
        <f>IF($D778="",0,IFERROR(SUMIFS($H$4:$H$810,$A$4:$A$810,$A778,$E$4:$E$810,"Win")/COUNTIFS($A$4:$A$810,$A778,$E$4:$E$810,"Win"),0))</f>
        <v>0</v>
      </c>
      <c r="Q778">
        <f>IF($D778="",0,1/(1+10^(($P778-$H778)/400)))</f>
        <v>0</v>
      </c>
      <c r="R778">
        <f>IF($D778="",0,(COUNTIFS($D$4:$D$810,$D778,$C$4:$C$810,$C778,$E$4:$E$810,"Win",$A$4:$A$810,"&lt;"&amp;$A778)+1)/(COUNTIFS($D$4:$D$810,$D778,$C$4:$C$810,$C778,$A$4:$A$810,"&lt;"&amp;$A778)+2))</f>
        <v>0</v>
      </c>
      <c r="S778">
        <f>IF($D778="",0,SUMIFS($R$4:$R$810,$A$4:$A$810,$A778))</f>
        <v>0</v>
      </c>
      <c r="T778" s="88">
        <f>IF($D778="",0,COUNTIFS($D$4:$D$810,$D778,$C$4:$C$810,$C778,$A$4:$A$810,"&lt;"&amp;$A778))</f>
        <v>0</v>
      </c>
      <c r="U778" s="125">
        <f>IF($D778="",0,IFERROR(LOOKUP(2,1/(($D$3:D777=$D778)*($C$3:C777=$C778)*($A$3:A777&lt;$A778)),$AB$3:AB777),1000))</f>
        <v>0</v>
      </c>
      <c r="V778" s="125">
        <f>IF($D778="",0,$U778*($T778/($T778+5))+$H778*(1-$T778/($T778+5)))</f>
        <v>0</v>
      </c>
      <c r="W778">
        <f>IF($D778="",0,IFERROR(SUMIFS($V$4:$V$810,$A$4:$A$810,$A778,$E$4:$E$810,"Win")/COUNTIFS($A$4:$A$810,$A778,$E$4:$E$810,"Win"),0))</f>
        <v>0</v>
      </c>
      <c r="X778">
        <f>IF($D778="",0,1/(1+10^(($W778-$V778)/400)))</f>
        <v>0</v>
      </c>
      <c r="Y778">
        <f>IF($D778="",0,IFERROR(SUMIFS($U$4:$U$810,$A$4:$A$810,$A778,$E$4:$E$810,"Win")/COUNTIFS($A$4:$A$810,$A778,$E$4:$E$810,"Win"),0))</f>
        <v>0</v>
      </c>
      <c r="Z778">
        <f>IF($D778="",0,1/(1+10^(($Y778-$U778)/400)))</f>
        <v>0</v>
      </c>
      <c r="AA778">
        <f>IF($D778="",0,IF($F778&lt;2,0,IF($E778="Win",('Guide &amp; Settings'!$C$42/(($F778-1)*COUNTIFS($A$4:$A$810,$A778,$E$4:$E$810,"Win")))*SUMIFS($Z$4:$Z$810,$A$4:$A$810,$A778,$E$4:$E$810,"Loss"),-('Guide &amp; Settings'!$C$42/($F778-1))*$Z778)))</f>
        <v>0</v>
      </c>
      <c r="AB778" s="125">
        <f>IF($D778="",0,$U778+$AA778)</f>
        <v>0</v>
      </c>
      <c r="AC778" s="125" t="str">
        <f>IF($D778="","",IF(SUMPRODUCT(MAX(($D$4:$D$810=$D778)*($B$4:$B$810&lt;$B778)*$B$4:$B$810))=0,0,MAX(($B778-MAX(SUMPRODUCT(MAX(($D$4:$D$810=$D778)*($B$4:$B$810&lt;$B778)*$B$4:$B$810)),'Guide &amp; Settings'!$C$50))/7-'Guide &amp; Settings'!$C$48,0)*'Guide &amp; Settings'!$C$49))</f>
      </c>
    </row>
    <row r="779" spans="1:29">
      <c r="A779" s="116"/>
      <c r="B779" s="117"/>
      <c r="C779" s="118"/>
      <c r="D779" s="118"/>
      <c r="E779" s="116"/>
      <c r="F779" s="119">
        <f>IF($D779="",0,COUNTIF($A$4:$A$810,$A779))</f>
        <v>0</v>
      </c>
      <c r="G779" s="120">
        <f>IF($D779="","",IFERROR(LOOKUP(2,1/(($A$4:$A$810=$A779)*($E$4:$E$810="Win")),$D$4:$D$810),"(no winner)"))</f>
        <v>0</v>
      </c>
      <c r="H779" s="121">
        <f>IF($D779="",0,IFERROR(LOOKUP(2,1/(($D$3:D778=$D779)*($A$3:A778&lt;$A779)),$N$3:N778),'Guide &amp; Settings'!$C$41))</f>
        <v>0</v>
      </c>
      <c r="I779" s="122">
        <f>IF($D779="",0,IF($S779=0,0,$R779/$S779))</f>
        <v>0</v>
      </c>
      <c r="J779" s="123">
        <f>IF($D779="",0,IF($F779&lt;2,0,IF($E779="Win",('Guide &amp; Settings'!$C$42/(($F779-1)*COUNTIFS($A$4:$A$810,$A779,$E$4:$E$810,"Win")))*SUMIFS($X$4:$X$810,$A$4:$A$810,$A779,$E$4:$E$810,"Loss"),-('Guide &amp; Settings'!$C$42/($F779-1))*$X779)))</f>
        <v>0</v>
      </c>
      <c r="K779" s="123">
        <f>IF($D779="",0,'Guide &amp; Settings'!$C$43*(IF($E779="Win",1,0)-$I779))</f>
        <v>0</v>
      </c>
      <c r="L779" s="124">
        <f>IF($D779="",0,'Guide &amp; Settings'!$C$44*IF($F779&gt;=3,$F779+IF($E779="Win",$F779,0),0))</f>
        <v>0</v>
      </c>
      <c r="M779" s="123">
        <f>IF($D779="",0,$J779+$K779+$L779)</f>
        <v>0</v>
      </c>
      <c r="N779" s="121">
        <f>IF($D779="",0,$H779+$M779)</f>
        <v>0</v>
      </c>
      <c r="O779" s="120" t="str">
        <f>IF($D779="","",IF(COUNTIFS($A$4:$A$810,$A779,$E$4:$E$810,"Win")=0,"need a winner",IF(COUNTIFS($A$4:$A$810,$A779,$E$4:$E$810,"Loss")=0,"need a loser",IF(COUNTIFS($A$4:$A$810,$A779,$D$4:$D$810,$D779)&gt;1,"duplicate player","OK"))))</f>
      </c>
      <c r="P779">
        <f>IF($D779="",0,IFERROR(SUMIFS($H$4:$H$810,$A$4:$A$810,$A779,$E$4:$E$810,"Win")/COUNTIFS($A$4:$A$810,$A779,$E$4:$E$810,"Win"),0))</f>
        <v>0</v>
      </c>
      <c r="Q779">
        <f>IF($D779="",0,1/(1+10^(($P779-$H779)/400)))</f>
        <v>0</v>
      </c>
      <c r="R779">
        <f>IF($D779="",0,(COUNTIFS($D$4:$D$810,$D779,$C$4:$C$810,$C779,$E$4:$E$810,"Win",$A$4:$A$810,"&lt;"&amp;$A779)+1)/(COUNTIFS($D$4:$D$810,$D779,$C$4:$C$810,$C779,$A$4:$A$810,"&lt;"&amp;$A779)+2))</f>
        <v>0</v>
      </c>
      <c r="S779">
        <f>IF($D779="",0,SUMIFS($R$4:$R$810,$A$4:$A$810,$A779))</f>
        <v>0</v>
      </c>
      <c r="T779" s="88">
        <f>IF($D779="",0,COUNTIFS($D$4:$D$810,$D779,$C$4:$C$810,$C779,$A$4:$A$810,"&lt;"&amp;$A779))</f>
        <v>0</v>
      </c>
      <c r="U779" s="125">
        <f>IF($D779="",0,IFERROR(LOOKUP(2,1/(($D$3:D778=$D779)*($C$3:C778=$C779)*($A$3:A778&lt;$A779)),$AB$3:AB778),1000))</f>
        <v>0</v>
      </c>
      <c r="V779" s="125">
        <f>IF($D779="",0,$U779*($T779/($T779+5))+$H779*(1-$T779/($T779+5)))</f>
        <v>0</v>
      </c>
      <c r="W779">
        <f>IF($D779="",0,IFERROR(SUMIFS($V$4:$V$810,$A$4:$A$810,$A779,$E$4:$E$810,"Win")/COUNTIFS($A$4:$A$810,$A779,$E$4:$E$810,"Win"),0))</f>
        <v>0</v>
      </c>
      <c r="X779">
        <f>IF($D779="",0,1/(1+10^(($W779-$V779)/400)))</f>
        <v>0</v>
      </c>
      <c r="Y779">
        <f>IF($D779="",0,IFERROR(SUMIFS($U$4:$U$810,$A$4:$A$810,$A779,$E$4:$E$810,"Win")/COUNTIFS($A$4:$A$810,$A779,$E$4:$E$810,"Win"),0))</f>
        <v>0</v>
      </c>
      <c r="Z779">
        <f>IF($D779="",0,1/(1+10^(($Y779-$U779)/400)))</f>
        <v>0</v>
      </c>
      <c r="AA779">
        <f>IF($D779="",0,IF($F779&lt;2,0,IF($E779="Win",('Guide &amp; Settings'!$C$42/(($F779-1)*COUNTIFS($A$4:$A$810,$A779,$E$4:$E$810,"Win")))*SUMIFS($Z$4:$Z$810,$A$4:$A$810,$A779,$E$4:$E$810,"Loss"),-('Guide &amp; Settings'!$C$42/($F779-1))*$Z779)))</f>
        <v>0</v>
      </c>
      <c r="AB779" s="125">
        <f>IF($D779="",0,$U779+$AA779)</f>
        <v>0</v>
      </c>
      <c r="AC779" s="125" t="str">
        <f>IF($D779="","",IF(SUMPRODUCT(MAX(($D$4:$D$810=$D779)*($B$4:$B$810&lt;$B779)*$B$4:$B$810))=0,0,MAX(($B779-MAX(SUMPRODUCT(MAX(($D$4:$D$810=$D779)*($B$4:$B$810&lt;$B779)*$B$4:$B$810)),'Guide &amp; Settings'!$C$50))/7-'Guide &amp; Settings'!$C$48,0)*'Guide &amp; Settings'!$C$49))</f>
      </c>
    </row>
    <row r="780" spans="1:29">
      <c r="A780" s="116"/>
      <c r="B780" s="117"/>
      <c r="C780" s="118"/>
      <c r="D780" s="118"/>
      <c r="E780" s="116"/>
      <c r="F780" s="119">
        <f>IF($D780="",0,COUNTIF($A$4:$A$810,$A780))</f>
        <v>0</v>
      </c>
      <c r="G780" s="120">
        <f>IF($D780="","",IFERROR(LOOKUP(2,1/(($A$4:$A$810=$A780)*($E$4:$E$810="Win")),$D$4:$D$810),"(no winner)"))</f>
        <v>0</v>
      </c>
      <c r="H780" s="121">
        <f>IF($D780="",0,IFERROR(LOOKUP(2,1/(($D$3:D779=$D780)*($A$3:A779&lt;$A780)),$N$3:N779),'Guide &amp; Settings'!$C$41))</f>
        <v>0</v>
      </c>
      <c r="I780" s="122">
        <f>IF($D780="",0,IF($S780=0,0,$R780/$S780))</f>
        <v>0</v>
      </c>
      <c r="J780" s="123">
        <f>IF($D780="",0,IF($F780&lt;2,0,IF($E780="Win",('Guide &amp; Settings'!$C$42/(($F780-1)*COUNTIFS($A$4:$A$810,$A780,$E$4:$E$810,"Win")))*SUMIFS($X$4:$X$810,$A$4:$A$810,$A780,$E$4:$E$810,"Loss"),-('Guide &amp; Settings'!$C$42/($F780-1))*$X780)))</f>
        <v>0</v>
      </c>
      <c r="K780" s="123">
        <f>IF($D780="",0,'Guide &amp; Settings'!$C$43*(IF($E780="Win",1,0)-$I780))</f>
        <v>0</v>
      </c>
      <c r="L780" s="124">
        <f>IF($D780="",0,'Guide &amp; Settings'!$C$44*IF($F780&gt;=3,$F780+IF($E780="Win",$F780,0),0))</f>
        <v>0</v>
      </c>
      <c r="M780" s="123">
        <f>IF($D780="",0,$J780+$K780+$L780)</f>
        <v>0</v>
      </c>
      <c r="N780" s="121">
        <f>IF($D780="",0,$H780+$M780)</f>
        <v>0</v>
      </c>
      <c r="O780" s="120" t="str">
        <f>IF($D780="","",IF(COUNTIFS($A$4:$A$810,$A780,$E$4:$E$810,"Win")=0,"need a winner",IF(COUNTIFS($A$4:$A$810,$A780,$E$4:$E$810,"Loss")=0,"need a loser",IF(COUNTIFS($A$4:$A$810,$A780,$D$4:$D$810,$D780)&gt;1,"duplicate player","OK"))))</f>
      </c>
      <c r="P780">
        <f>IF($D780="",0,IFERROR(SUMIFS($H$4:$H$810,$A$4:$A$810,$A780,$E$4:$E$810,"Win")/COUNTIFS($A$4:$A$810,$A780,$E$4:$E$810,"Win"),0))</f>
        <v>0</v>
      </c>
      <c r="Q780">
        <f>IF($D780="",0,1/(1+10^(($P780-$H780)/400)))</f>
        <v>0</v>
      </c>
      <c r="R780">
        <f>IF($D780="",0,(COUNTIFS($D$4:$D$810,$D780,$C$4:$C$810,$C780,$E$4:$E$810,"Win",$A$4:$A$810,"&lt;"&amp;$A780)+1)/(COUNTIFS($D$4:$D$810,$D780,$C$4:$C$810,$C780,$A$4:$A$810,"&lt;"&amp;$A780)+2))</f>
        <v>0</v>
      </c>
      <c r="S780">
        <f>IF($D780="",0,SUMIFS($R$4:$R$810,$A$4:$A$810,$A780))</f>
        <v>0</v>
      </c>
      <c r="T780" s="88">
        <f>IF($D780="",0,COUNTIFS($D$4:$D$810,$D780,$C$4:$C$810,$C780,$A$4:$A$810,"&lt;"&amp;$A780))</f>
        <v>0</v>
      </c>
      <c r="U780" s="125">
        <f>IF($D780="",0,IFERROR(LOOKUP(2,1/(($D$3:D779=$D780)*($C$3:C779=$C780)*($A$3:A779&lt;$A780)),$AB$3:AB779),1000))</f>
        <v>0</v>
      </c>
      <c r="V780" s="125">
        <f>IF($D780="",0,$U780*($T780/($T780+5))+$H780*(1-$T780/($T780+5)))</f>
        <v>0</v>
      </c>
      <c r="W780">
        <f>IF($D780="",0,IFERROR(SUMIFS($V$4:$V$810,$A$4:$A$810,$A780,$E$4:$E$810,"Win")/COUNTIFS($A$4:$A$810,$A780,$E$4:$E$810,"Win"),0))</f>
        <v>0</v>
      </c>
      <c r="X780">
        <f>IF($D780="",0,1/(1+10^(($W780-$V780)/400)))</f>
        <v>0</v>
      </c>
      <c r="Y780">
        <f>IF($D780="",0,IFERROR(SUMIFS($U$4:$U$810,$A$4:$A$810,$A780,$E$4:$E$810,"Win")/COUNTIFS($A$4:$A$810,$A780,$E$4:$E$810,"Win"),0))</f>
        <v>0</v>
      </c>
      <c r="Z780">
        <f>IF($D780="",0,1/(1+10^(($Y780-$U780)/400)))</f>
        <v>0</v>
      </c>
      <c r="AA780">
        <f>IF($D780="",0,IF($F780&lt;2,0,IF($E780="Win",('Guide &amp; Settings'!$C$42/(($F780-1)*COUNTIFS($A$4:$A$810,$A780,$E$4:$E$810,"Win")))*SUMIFS($Z$4:$Z$810,$A$4:$A$810,$A780,$E$4:$E$810,"Loss"),-('Guide &amp; Settings'!$C$42/($F780-1))*$Z780)))</f>
        <v>0</v>
      </c>
      <c r="AB780" s="125">
        <f>IF($D780="",0,$U780+$AA780)</f>
        <v>0</v>
      </c>
      <c r="AC780" s="125" t="str">
        <f>IF($D780="","",IF(SUMPRODUCT(MAX(($D$4:$D$810=$D780)*($B$4:$B$810&lt;$B780)*$B$4:$B$810))=0,0,MAX(($B780-MAX(SUMPRODUCT(MAX(($D$4:$D$810=$D780)*($B$4:$B$810&lt;$B780)*$B$4:$B$810)),'Guide &amp; Settings'!$C$50))/7-'Guide &amp; Settings'!$C$48,0)*'Guide &amp; Settings'!$C$49))</f>
      </c>
    </row>
    <row r="781" spans="1:29">
      <c r="A781" s="116"/>
      <c r="B781" s="117"/>
      <c r="C781" s="118"/>
      <c r="D781" s="118"/>
      <c r="E781" s="116"/>
      <c r="F781" s="119">
        <f>IF($D781="",0,COUNTIF($A$4:$A$810,$A781))</f>
        <v>0</v>
      </c>
      <c r="G781" s="120">
        <f>IF($D781="","",IFERROR(LOOKUP(2,1/(($A$4:$A$810=$A781)*($E$4:$E$810="Win")),$D$4:$D$810),"(no winner)"))</f>
        <v>0</v>
      </c>
      <c r="H781" s="121">
        <f>IF($D781="",0,IFERROR(LOOKUP(2,1/(($D$3:D780=$D781)*($A$3:A780&lt;$A781)),$N$3:N780),'Guide &amp; Settings'!$C$41))</f>
        <v>0</v>
      </c>
      <c r="I781" s="122">
        <f>IF($D781="",0,IF($S781=0,0,$R781/$S781))</f>
        <v>0</v>
      </c>
      <c r="J781" s="123">
        <f>IF($D781="",0,IF($F781&lt;2,0,IF($E781="Win",('Guide &amp; Settings'!$C$42/(($F781-1)*COUNTIFS($A$4:$A$810,$A781,$E$4:$E$810,"Win")))*SUMIFS($X$4:$X$810,$A$4:$A$810,$A781,$E$4:$E$810,"Loss"),-('Guide &amp; Settings'!$C$42/($F781-1))*$X781)))</f>
        <v>0</v>
      </c>
      <c r="K781" s="123">
        <f>IF($D781="",0,'Guide &amp; Settings'!$C$43*(IF($E781="Win",1,0)-$I781))</f>
        <v>0</v>
      </c>
      <c r="L781" s="124">
        <f>IF($D781="",0,'Guide &amp; Settings'!$C$44*IF($F781&gt;=3,$F781+IF($E781="Win",$F781,0),0))</f>
        <v>0</v>
      </c>
      <c r="M781" s="123">
        <f>IF($D781="",0,$J781+$K781+$L781)</f>
        <v>0</v>
      </c>
      <c r="N781" s="121">
        <f>IF($D781="",0,$H781+$M781)</f>
        <v>0</v>
      </c>
      <c r="O781" s="120" t="str">
        <f>IF($D781="","",IF(COUNTIFS($A$4:$A$810,$A781,$E$4:$E$810,"Win")=0,"need a winner",IF(COUNTIFS($A$4:$A$810,$A781,$E$4:$E$810,"Loss")=0,"need a loser",IF(COUNTIFS($A$4:$A$810,$A781,$D$4:$D$810,$D781)&gt;1,"duplicate player","OK"))))</f>
      </c>
      <c r="P781">
        <f>IF($D781="",0,IFERROR(SUMIFS($H$4:$H$810,$A$4:$A$810,$A781,$E$4:$E$810,"Win")/COUNTIFS($A$4:$A$810,$A781,$E$4:$E$810,"Win"),0))</f>
        <v>0</v>
      </c>
      <c r="Q781">
        <f>IF($D781="",0,1/(1+10^(($P781-$H781)/400)))</f>
        <v>0</v>
      </c>
      <c r="R781">
        <f>IF($D781="",0,(COUNTIFS($D$4:$D$810,$D781,$C$4:$C$810,$C781,$E$4:$E$810,"Win",$A$4:$A$810,"&lt;"&amp;$A781)+1)/(COUNTIFS($D$4:$D$810,$D781,$C$4:$C$810,$C781,$A$4:$A$810,"&lt;"&amp;$A781)+2))</f>
        <v>0</v>
      </c>
      <c r="S781">
        <f>IF($D781="",0,SUMIFS($R$4:$R$810,$A$4:$A$810,$A781))</f>
        <v>0</v>
      </c>
      <c r="T781" s="88">
        <f>IF($D781="",0,COUNTIFS($D$4:$D$810,$D781,$C$4:$C$810,$C781,$A$4:$A$810,"&lt;"&amp;$A781))</f>
        <v>0</v>
      </c>
      <c r="U781" s="125">
        <f>IF($D781="",0,IFERROR(LOOKUP(2,1/(($D$3:D780=$D781)*($C$3:C780=$C781)*($A$3:A780&lt;$A781)),$AB$3:AB780),1000))</f>
        <v>0</v>
      </c>
      <c r="V781" s="125">
        <f>IF($D781="",0,$U781*($T781/($T781+5))+$H781*(1-$T781/($T781+5)))</f>
        <v>0</v>
      </c>
      <c r="W781">
        <f>IF($D781="",0,IFERROR(SUMIFS($V$4:$V$810,$A$4:$A$810,$A781,$E$4:$E$810,"Win")/COUNTIFS($A$4:$A$810,$A781,$E$4:$E$810,"Win"),0))</f>
        <v>0</v>
      </c>
      <c r="X781">
        <f>IF($D781="",0,1/(1+10^(($W781-$V781)/400)))</f>
        <v>0</v>
      </c>
      <c r="Y781">
        <f>IF($D781="",0,IFERROR(SUMIFS($U$4:$U$810,$A$4:$A$810,$A781,$E$4:$E$810,"Win")/COUNTIFS($A$4:$A$810,$A781,$E$4:$E$810,"Win"),0))</f>
        <v>0</v>
      </c>
      <c r="Z781">
        <f>IF($D781="",0,1/(1+10^(($Y781-$U781)/400)))</f>
        <v>0</v>
      </c>
      <c r="AA781">
        <f>IF($D781="",0,IF($F781&lt;2,0,IF($E781="Win",('Guide &amp; Settings'!$C$42/(($F781-1)*COUNTIFS($A$4:$A$810,$A781,$E$4:$E$810,"Win")))*SUMIFS($Z$4:$Z$810,$A$4:$A$810,$A781,$E$4:$E$810,"Loss"),-('Guide &amp; Settings'!$C$42/($F781-1))*$Z781)))</f>
        <v>0</v>
      </c>
      <c r="AB781" s="125">
        <f>IF($D781="",0,$U781+$AA781)</f>
        <v>0</v>
      </c>
      <c r="AC781" s="125" t="str">
        <f>IF($D781="","",IF(SUMPRODUCT(MAX(($D$4:$D$810=$D781)*($B$4:$B$810&lt;$B781)*$B$4:$B$810))=0,0,MAX(($B781-MAX(SUMPRODUCT(MAX(($D$4:$D$810=$D781)*($B$4:$B$810&lt;$B781)*$B$4:$B$810)),'Guide &amp; Settings'!$C$50))/7-'Guide &amp; Settings'!$C$48,0)*'Guide &amp; Settings'!$C$49))</f>
      </c>
    </row>
    <row r="782" spans="1:29">
      <c r="A782" s="116"/>
      <c r="B782" s="117"/>
      <c r="C782" s="118"/>
      <c r="D782" s="118"/>
      <c r="E782" s="116"/>
      <c r="F782" s="119">
        <f>IF($D782="",0,COUNTIF($A$4:$A$810,$A782))</f>
        <v>0</v>
      </c>
      <c r="G782" s="120">
        <f>IF($D782="","",IFERROR(LOOKUP(2,1/(($A$4:$A$810=$A782)*($E$4:$E$810="Win")),$D$4:$D$810),"(no winner)"))</f>
        <v>0</v>
      </c>
      <c r="H782" s="121">
        <f>IF($D782="",0,IFERROR(LOOKUP(2,1/(($D$3:D781=$D782)*($A$3:A781&lt;$A782)),$N$3:N781),'Guide &amp; Settings'!$C$41))</f>
        <v>0</v>
      </c>
      <c r="I782" s="122">
        <f>IF($D782="",0,IF($S782=0,0,$R782/$S782))</f>
        <v>0</v>
      </c>
      <c r="J782" s="123">
        <f>IF($D782="",0,IF($F782&lt;2,0,IF($E782="Win",('Guide &amp; Settings'!$C$42/(($F782-1)*COUNTIFS($A$4:$A$810,$A782,$E$4:$E$810,"Win")))*SUMIFS($X$4:$X$810,$A$4:$A$810,$A782,$E$4:$E$810,"Loss"),-('Guide &amp; Settings'!$C$42/($F782-1))*$X782)))</f>
        <v>0</v>
      </c>
      <c r="K782" s="123">
        <f>IF($D782="",0,'Guide &amp; Settings'!$C$43*(IF($E782="Win",1,0)-$I782))</f>
        <v>0</v>
      </c>
      <c r="L782" s="124">
        <f>IF($D782="",0,'Guide &amp; Settings'!$C$44*IF($F782&gt;=3,$F782+IF($E782="Win",$F782,0),0))</f>
        <v>0</v>
      </c>
      <c r="M782" s="123">
        <f>IF($D782="",0,$J782+$K782+$L782)</f>
        <v>0</v>
      </c>
      <c r="N782" s="121">
        <f>IF($D782="",0,$H782+$M782)</f>
        <v>0</v>
      </c>
      <c r="O782" s="120" t="str">
        <f>IF($D782="","",IF(COUNTIFS($A$4:$A$810,$A782,$E$4:$E$810,"Win")=0,"need a winner",IF(COUNTIFS($A$4:$A$810,$A782,$E$4:$E$810,"Loss")=0,"need a loser",IF(COUNTIFS($A$4:$A$810,$A782,$D$4:$D$810,$D782)&gt;1,"duplicate player","OK"))))</f>
      </c>
      <c r="P782">
        <f>IF($D782="",0,IFERROR(SUMIFS($H$4:$H$810,$A$4:$A$810,$A782,$E$4:$E$810,"Win")/COUNTIFS($A$4:$A$810,$A782,$E$4:$E$810,"Win"),0))</f>
        <v>0</v>
      </c>
      <c r="Q782">
        <f>IF($D782="",0,1/(1+10^(($P782-$H782)/400)))</f>
        <v>0</v>
      </c>
      <c r="R782">
        <f>IF($D782="",0,(COUNTIFS($D$4:$D$810,$D782,$C$4:$C$810,$C782,$E$4:$E$810,"Win",$A$4:$A$810,"&lt;"&amp;$A782)+1)/(COUNTIFS($D$4:$D$810,$D782,$C$4:$C$810,$C782,$A$4:$A$810,"&lt;"&amp;$A782)+2))</f>
        <v>0</v>
      </c>
      <c r="S782">
        <f>IF($D782="",0,SUMIFS($R$4:$R$810,$A$4:$A$810,$A782))</f>
        <v>0</v>
      </c>
      <c r="T782" s="88">
        <f>IF($D782="",0,COUNTIFS($D$4:$D$810,$D782,$C$4:$C$810,$C782,$A$4:$A$810,"&lt;"&amp;$A782))</f>
        <v>0</v>
      </c>
      <c r="U782" s="125">
        <f>IF($D782="",0,IFERROR(LOOKUP(2,1/(($D$3:D781=$D782)*($C$3:C781=$C782)*($A$3:A781&lt;$A782)),$AB$3:AB781),1000))</f>
        <v>0</v>
      </c>
      <c r="V782" s="125">
        <f>IF($D782="",0,$U782*($T782/($T782+5))+$H782*(1-$T782/($T782+5)))</f>
        <v>0</v>
      </c>
      <c r="W782">
        <f>IF($D782="",0,IFERROR(SUMIFS($V$4:$V$810,$A$4:$A$810,$A782,$E$4:$E$810,"Win")/COUNTIFS($A$4:$A$810,$A782,$E$4:$E$810,"Win"),0))</f>
        <v>0</v>
      </c>
      <c r="X782">
        <f>IF($D782="",0,1/(1+10^(($W782-$V782)/400)))</f>
        <v>0</v>
      </c>
      <c r="Y782">
        <f>IF($D782="",0,IFERROR(SUMIFS($U$4:$U$810,$A$4:$A$810,$A782,$E$4:$E$810,"Win")/COUNTIFS($A$4:$A$810,$A782,$E$4:$E$810,"Win"),0))</f>
        <v>0</v>
      </c>
      <c r="Z782">
        <f>IF($D782="",0,1/(1+10^(($Y782-$U782)/400)))</f>
        <v>0</v>
      </c>
      <c r="AA782">
        <f>IF($D782="",0,IF($F782&lt;2,0,IF($E782="Win",('Guide &amp; Settings'!$C$42/(($F782-1)*COUNTIFS($A$4:$A$810,$A782,$E$4:$E$810,"Win")))*SUMIFS($Z$4:$Z$810,$A$4:$A$810,$A782,$E$4:$E$810,"Loss"),-('Guide &amp; Settings'!$C$42/($F782-1))*$Z782)))</f>
        <v>0</v>
      </c>
      <c r="AB782" s="125">
        <f>IF($D782="",0,$U782+$AA782)</f>
        <v>0</v>
      </c>
      <c r="AC782" s="125" t="str">
        <f>IF($D782="","",IF(SUMPRODUCT(MAX(($D$4:$D$810=$D782)*($B$4:$B$810&lt;$B782)*$B$4:$B$810))=0,0,MAX(($B782-MAX(SUMPRODUCT(MAX(($D$4:$D$810=$D782)*($B$4:$B$810&lt;$B782)*$B$4:$B$810)),'Guide &amp; Settings'!$C$50))/7-'Guide &amp; Settings'!$C$48,0)*'Guide &amp; Settings'!$C$49))</f>
      </c>
    </row>
    <row r="783" spans="1:29">
      <c r="A783" s="116"/>
      <c r="B783" s="117"/>
      <c r="C783" s="118"/>
      <c r="D783" s="118"/>
      <c r="E783" s="116"/>
      <c r="F783" s="119">
        <f>IF($D783="",0,COUNTIF($A$4:$A$810,$A783))</f>
        <v>0</v>
      </c>
      <c r="G783" s="120">
        <f>IF($D783="","",IFERROR(LOOKUP(2,1/(($A$4:$A$810=$A783)*($E$4:$E$810="Win")),$D$4:$D$810),"(no winner)"))</f>
        <v>0</v>
      </c>
      <c r="H783" s="121">
        <f>IF($D783="",0,IFERROR(LOOKUP(2,1/(($D$3:D782=$D783)*($A$3:A782&lt;$A783)),$N$3:N782),'Guide &amp; Settings'!$C$41))</f>
        <v>0</v>
      </c>
      <c r="I783" s="122">
        <f>IF($D783="",0,IF($S783=0,0,$R783/$S783))</f>
        <v>0</v>
      </c>
      <c r="J783" s="123">
        <f>IF($D783="",0,IF($F783&lt;2,0,IF($E783="Win",('Guide &amp; Settings'!$C$42/(($F783-1)*COUNTIFS($A$4:$A$810,$A783,$E$4:$E$810,"Win")))*SUMIFS($X$4:$X$810,$A$4:$A$810,$A783,$E$4:$E$810,"Loss"),-('Guide &amp; Settings'!$C$42/($F783-1))*$X783)))</f>
        <v>0</v>
      </c>
      <c r="K783" s="123">
        <f>IF($D783="",0,'Guide &amp; Settings'!$C$43*(IF($E783="Win",1,0)-$I783))</f>
        <v>0</v>
      </c>
      <c r="L783" s="124">
        <f>IF($D783="",0,'Guide &amp; Settings'!$C$44*IF($F783&gt;=3,$F783+IF($E783="Win",$F783,0),0))</f>
        <v>0</v>
      </c>
      <c r="M783" s="123">
        <f>IF($D783="",0,$J783+$K783+$L783)</f>
        <v>0</v>
      </c>
      <c r="N783" s="121">
        <f>IF($D783="",0,$H783+$M783)</f>
        <v>0</v>
      </c>
      <c r="O783" s="120" t="str">
        <f>IF($D783="","",IF(COUNTIFS($A$4:$A$810,$A783,$E$4:$E$810,"Win")=0,"need a winner",IF(COUNTIFS($A$4:$A$810,$A783,$E$4:$E$810,"Loss")=0,"need a loser",IF(COUNTIFS($A$4:$A$810,$A783,$D$4:$D$810,$D783)&gt;1,"duplicate player","OK"))))</f>
      </c>
      <c r="P783">
        <f>IF($D783="",0,IFERROR(SUMIFS($H$4:$H$810,$A$4:$A$810,$A783,$E$4:$E$810,"Win")/COUNTIFS($A$4:$A$810,$A783,$E$4:$E$810,"Win"),0))</f>
        <v>0</v>
      </c>
      <c r="Q783">
        <f>IF($D783="",0,1/(1+10^(($P783-$H783)/400)))</f>
        <v>0</v>
      </c>
      <c r="R783">
        <f>IF($D783="",0,(COUNTIFS($D$4:$D$810,$D783,$C$4:$C$810,$C783,$E$4:$E$810,"Win",$A$4:$A$810,"&lt;"&amp;$A783)+1)/(COUNTIFS($D$4:$D$810,$D783,$C$4:$C$810,$C783,$A$4:$A$810,"&lt;"&amp;$A783)+2))</f>
        <v>0</v>
      </c>
      <c r="S783">
        <f>IF($D783="",0,SUMIFS($R$4:$R$810,$A$4:$A$810,$A783))</f>
        <v>0</v>
      </c>
      <c r="T783" s="88">
        <f>IF($D783="",0,COUNTIFS($D$4:$D$810,$D783,$C$4:$C$810,$C783,$A$4:$A$810,"&lt;"&amp;$A783))</f>
        <v>0</v>
      </c>
      <c r="U783" s="125">
        <f>IF($D783="",0,IFERROR(LOOKUP(2,1/(($D$3:D782=$D783)*($C$3:C782=$C783)*($A$3:A782&lt;$A783)),$AB$3:AB782),1000))</f>
        <v>0</v>
      </c>
      <c r="V783" s="125">
        <f>IF($D783="",0,$U783*($T783/($T783+5))+$H783*(1-$T783/($T783+5)))</f>
        <v>0</v>
      </c>
      <c r="W783">
        <f>IF($D783="",0,IFERROR(SUMIFS($V$4:$V$810,$A$4:$A$810,$A783,$E$4:$E$810,"Win")/COUNTIFS($A$4:$A$810,$A783,$E$4:$E$810,"Win"),0))</f>
        <v>0</v>
      </c>
      <c r="X783">
        <f>IF($D783="",0,1/(1+10^(($W783-$V783)/400)))</f>
        <v>0</v>
      </c>
      <c r="Y783">
        <f>IF($D783="",0,IFERROR(SUMIFS($U$4:$U$810,$A$4:$A$810,$A783,$E$4:$E$810,"Win")/COUNTIFS($A$4:$A$810,$A783,$E$4:$E$810,"Win"),0))</f>
        <v>0</v>
      </c>
      <c r="Z783">
        <f>IF($D783="",0,1/(1+10^(($Y783-$U783)/400)))</f>
        <v>0</v>
      </c>
      <c r="AA783">
        <f>IF($D783="",0,IF($F783&lt;2,0,IF($E783="Win",('Guide &amp; Settings'!$C$42/(($F783-1)*COUNTIFS($A$4:$A$810,$A783,$E$4:$E$810,"Win")))*SUMIFS($Z$4:$Z$810,$A$4:$A$810,$A783,$E$4:$E$810,"Loss"),-('Guide &amp; Settings'!$C$42/($F783-1))*$Z783)))</f>
        <v>0</v>
      </c>
      <c r="AB783" s="125">
        <f>IF($D783="",0,$U783+$AA783)</f>
        <v>0</v>
      </c>
      <c r="AC783" s="125" t="str">
        <f>IF($D783="","",IF(SUMPRODUCT(MAX(($D$4:$D$810=$D783)*($B$4:$B$810&lt;$B783)*$B$4:$B$810))=0,0,MAX(($B783-MAX(SUMPRODUCT(MAX(($D$4:$D$810=$D783)*($B$4:$B$810&lt;$B783)*$B$4:$B$810)),'Guide &amp; Settings'!$C$50))/7-'Guide &amp; Settings'!$C$48,0)*'Guide &amp; Settings'!$C$49))</f>
      </c>
    </row>
    <row r="784" spans="1:29">
      <c r="A784" s="116"/>
      <c r="B784" s="117"/>
      <c r="C784" s="118"/>
      <c r="D784" s="118"/>
      <c r="E784" s="116"/>
      <c r="F784" s="119">
        <f>IF($D784="",0,COUNTIF($A$4:$A$810,$A784))</f>
        <v>0</v>
      </c>
      <c r="G784" s="120">
        <f>IF($D784="","",IFERROR(LOOKUP(2,1/(($A$4:$A$810=$A784)*($E$4:$E$810="Win")),$D$4:$D$810),"(no winner)"))</f>
        <v>0</v>
      </c>
      <c r="H784" s="121">
        <f>IF($D784="",0,IFERROR(LOOKUP(2,1/(($D$3:D783=$D784)*($A$3:A783&lt;$A784)),$N$3:N783),'Guide &amp; Settings'!$C$41))</f>
        <v>0</v>
      </c>
      <c r="I784" s="122">
        <f>IF($D784="",0,IF($S784=0,0,$R784/$S784))</f>
        <v>0</v>
      </c>
      <c r="J784" s="123">
        <f>IF($D784="",0,IF($F784&lt;2,0,IF($E784="Win",('Guide &amp; Settings'!$C$42/(($F784-1)*COUNTIFS($A$4:$A$810,$A784,$E$4:$E$810,"Win")))*SUMIFS($X$4:$X$810,$A$4:$A$810,$A784,$E$4:$E$810,"Loss"),-('Guide &amp; Settings'!$C$42/($F784-1))*$X784)))</f>
        <v>0</v>
      </c>
      <c r="K784" s="123">
        <f>IF($D784="",0,'Guide &amp; Settings'!$C$43*(IF($E784="Win",1,0)-$I784))</f>
        <v>0</v>
      </c>
      <c r="L784" s="124">
        <f>IF($D784="",0,'Guide &amp; Settings'!$C$44*IF($F784&gt;=3,$F784+IF($E784="Win",$F784,0),0))</f>
        <v>0</v>
      </c>
      <c r="M784" s="123">
        <f>IF($D784="",0,$J784+$K784+$L784)</f>
        <v>0</v>
      </c>
      <c r="N784" s="121">
        <f>IF($D784="",0,$H784+$M784)</f>
        <v>0</v>
      </c>
      <c r="O784" s="120" t="str">
        <f>IF($D784="","",IF(COUNTIFS($A$4:$A$810,$A784,$E$4:$E$810,"Win")=0,"need a winner",IF(COUNTIFS($A$4:$A$810,$A784,$E$4:$E$810,"Loss")=0,"need a loser",IF(COUNTIFS($A$4:$A$810,$A784,$D$4:$D$810,$D784)&gt;1,"duplicate player","OK"))))</f>
      </c>
      <c r="P784">
        <f>IF($D784="",0,IFERROR(SUMIFS($H$4:$H$810,$A$4:$A$810,$A784,$E$4:$E$810,"Win")/COUNTIFS($A$4:$A$810,$A784,$E$4:$E$810,"Win"),0))</f>
        <v>0</v>
      </c>
      <c r="Q784">
        <f>IF($D784="",0,1/(1+10^(($P784-$H784)/400)))</f>
        <v>0</v>
      </c>
      <c r="R784">
        <f>IF($D784="",0,(COUNTIFS($D$4:$D$810,$D784,$C$4:$C$810,$C784,$E$4:$E$810,"Win",$A$4:$A$810,"&lt;"&amp;$A784)+1)/(COUNTIFS($D$4:$D$810,$D784,$C$4:$C$810,$C784,$A$4:$A$810,"&lt;"&amp;$A784)+2))</f>
        <v>0</v>
      </c>
      <c r="S784">
        <f>IF($D784="",0,SUMIFS($R$4:$R$810,$A$4:$A$810,$A784))</f>
        <v>0</v>
      </c>
      <c r="T784" s="88">
        <f>IF($D784="",0,COUNTIFS($D$4:$D$810,$D784,$C$4:$C$810,$C784,$A$4:$A$810,"&lt;"&amp;$A784))</f>
        <v>0</v>
      </c>
      <c r="U784" s="125">
        <f>IF($D784="",0,IFERROR(LOOKUP(2,1/(($D$3:D783=$D784)*($C$3:C783=$C784)*($A$3:A783&lt;$A784)),$AB$3:AB783),1000))</f>
        <v>0</v>
      </c>
      <c r="V784" s="125">
        <f>IF($D784="",0,$U784*($T784/($T784+5))+$H784*(1-$T784/($T784+5)))</f>
        <v>0</v>
      </c>
      <c r="W784">
        <f>IF($D784="",0,IFERROR(SUMIFS($V$4:$V$810,$A$4:$A$810,$A784,$E$4:$E$810,"Win")/COUNTIFS($A$4:$A$810,$A784,$E$4:$E$810,"Win"),0))</f>
        <v>0</v>
      </c>
      <c r="X784">
        <f>IF($D784="",0,1/(1+10^(($W784-$V784)/400)))</f>
        <v>0</v>
      </c>
      <c r="Y784">
        <f>IF($D784="",0,IFERROR(SUMIFS($U$4:$U$810,$A$4:$A$810,$A784,$E$4:$E$810,"Win")/COUNTIFS($A$4:$A$810,$A784,$E$4:$E$810,"Win"),0))</f>
        <v>0</v>
      </c>
      <c r="Z784">
        <f>IF($D784="",0,1/(1+10^(($Y784-$U784)/400)))</f>
        <v>0</v>
      </c>
      <c r="AA784">
        <f>IF($D784="",0,IF($F784&lt;2,0,IF($E784="Win",('Guide &amp; Settings'!$C$42/(($F784-1)*COUNTIFS($A$4:$A$810,$A784,$E$4:$E$810,"Win")))*SUMIFS($Z$4:$Z$810,$A$4:$A$810,$A784,$E$4:$E$810,"Loss"),-('Guide &amp; Settings'!$C$42/($F784-1))*$Z784)))</f>
        <v>0</v>
      </c>
      <c r="AB784" s="125">
        <f>IF($D784="",0,$U784+$AA784)</f>
        <v>0</v>
      </c>
      <c r="AC784" s="125" t="str">
        <f>IF($D784="","",IF(SUMPRODUCT(MAX(($D$4:$D$810=$D784)*($B$4:$B$810&lt;$B784)*$B$4:$B$810))=0,0,MAX(($B784-MAX(SUMPRODUCT(MAX(($D$4:$D$810=$D784)*($B$4:$B$810&lt;$B784)*$B$4:$B$810)),'Guide &amp; Settings'!$C$50))/7-'Guide &amp; Settings'!$C$48,0)*'Guide &amp; Settings'!$C$49))</f>
      </c>
    </row>
    <row r="785" spans="1:29">
      <c r="A785" s="116"/>
      <c r="B785" s="117"/>
      <c r="C785" s="118"/>
      <c r="D785" s="118"/>
      <c r="E785" s="116"/>
      <c r="F785" s="119">
        <f>IF($D785="",0,COUNTIF($A$4:$A$810,$A785))</f>
        <v>0</v>
      </c>
      <c r="G785" s="120">
        <f>IF($D785="","",IFERROR(LOOKUP(2,1/(($A$4:$A$810=$A785)*($E$4:$E$810="Win")),$D$4:$D$810),"(no winner)"))</f>
        <v>0</v>
      </c>
      <c r="H785" s="121">
        <f>IF($D785="",0,IFERROR(LOOKUP(2,1/(($D$3:D784=$D785)*($A$3:A784&lt;$A785)),$N$3:N784),'Guide &amp; Settings'!$C$41))</f>
        <v>0</v>
      </c>
      <c r="I785" s="122">
        <f>IF($D785="",0,IF($S785=0,0,$R785/$S785))</f>
        <v>0</v>
      </c>
      <c r="J785" s="123">
        <f>IF($D785="",0,IF($F785&lt;2,0,IF($E785="Win",('Guide &amp; Settings'!$C$42/(($F785-1)*COUNTIFS($A$4:$A$810,$A785,$E$4:$E$810,"Win")))*SUMIFS($X$4:$X$810,$A$4:$A$810,$A785,$E$4:$E$810,"Loss"),-('Guide &amp; Settings'!$C$42/($F785-1))*$X785)))</f>
        <v>0</v>
      </c>
      <c r="K785" s="123">
        <f>IF($D785="",0,'Guide &amp; Settings'!$C$43*(IF($E785="Win",1,0)-$I785))</f>
        <v>0</v>
      </c>
      <c r="L785" s="124">
        <f>IF($D785="",0,'Guide &amp; Settings'!$C$44*IF($F785&gt;=3,$F785+IF($E785="Win",$F785,0),0))</f>
        <v>0</v>
      </c>
      <c r="M785" s="123">
        <f>IF($D785="",0,$J785+$K785+$L785)</f>
        <v>0</v>
      </c>
      <c r="N785" s="121">
        <f>IF($D785="",0,$H785+$M785)</f>
        <v>0</v>
      </c>
      <c r="O785" s="120" t="str">
        <f>IF($D785="","",IF(COUNTIFS($A$4:$A$810,$A785,$E$4:$E$810,"Win")=0,"need a winner",IF(COUNTIFS($A$4:$A$810,$A785,$E$4:$E$810,"Loss")=0,"need a loser",IF(COUNTIFS($A$4:$A$810,$A785,$D$4:$D$810,$D785)&gt;1,"duplicate player","OK"))))</f>
      </c>
      <c r="P785">
        <f>IF($D785="",0,IFERROR(SUMIFS($H$4:$H$810,$A$4:$A$810,$A785,$E$4:$E$810,"Win")/COUNTIFS($A$4:$A$810,$A785,$E$4:$E$810,"Win"),0))</f>
        <v>0</v>
      </c>
      <c r="Q785">
        <f>IF($D785="",0,1/(1+10^(($P785-$H785)/400)))</f>
        <v>0</v>
      </c>
      <c r="R785">
        <f>IF($D785="",0,(COUNTIFS($D$4:$D$810,$D785,$C$4:$C$810,$C785,$E$4:$E$810,"Win",$A$4:$A$810,"&lt;"&amp;$A785)+1)/(COUNTIFS($D$4:$D$810,$D785,$C$4:$C$810,$C785,$A$4:$A$810,"&lt;"&amp;$A785)+2))</f>
        <v>0</v>
      </c>
      <c r="S785">
        <f>IF($D785="",0,SUMIFS($R$4:$R$810,$A$4:$A$810,$A785))</f>
        <v>0</v>
      </c>
      <c r="T785" s="88">
        <f>IF($D785="",0,COUNTIFS($D$4:$D$810,$D785,$C$4:$C$810,$C785,$A$4:$A$810,"&lt;"&amp;$A785))</f>
        <v>0</v>
      </c>
      <c r="U785" s="125">
        <f>IF($D785="",0,IFERROR(LOOKUP(2,1/(($D$3:D784=$D785)*($C$3:C784=$C785)*($A$3:A784&lt;$A785)),$AB$3:AB784),1000))</f>
        <v>0</v>
      </c>
      <c r="V785" s="125">
        <f>IF($D785="",0,$U785*($T785/($T785+5))+$H785*(1-$T785/($T785+5)))</f>
        <v>0</v>
      </c>
      <c r="W785">
        <f>IF($D785="",0,IFERROR(SUMIFS($V$4:$V$810,$A$4:$A$810,$A785,$E$4:$E$810,"Win")/COUNTIFS($A$4:$A$810,$A785,$E$4:$E$810,"Win"),0))</f>
        <v>0</v>
      </c>
      <c r="X785">
        <f>IF($D785="",0,1/(1+10^(($W785-$V785)/400)))</f>
        <v>0</v>
      </c>
      <c r="Y785">
        <f>IF($D785="",0,IFERROR(SUMIFS($U$4:$U$810,$A$4:$A$810,$A785,$E$4:$E$810,"Win")/COUNTIFS($A$4:$A$810,$A785,$E$4:$E$810,"Win"),0))</f>
        <v>0</v>
      </c>
      <c r="Z785">
        <f>IF($D785="",0,1/(1+10^(($Y785-$U785)/400)))</f>
        <v>0</v>
      </c>
      <c r="AA785">
        <f>IF($D785="",0,IF($F785&lt;2,0,IF($E785="Win",('Guide &amp; Settings'!$C$42/(($F785-1)*COUNTIFS($A$4:$A$810,$A785,$E$4:$E$810,"Win")))*SUMIFS($Z$4:$Z$810,$A$4:$A$810,$A785,$E$4:$E$810,"Loss"),-('Guide &amp; Settings'!$C$42/($F785-1))*$Z785)))</f>
        <v>0</v>
      </c>
      <c r="AB785" s="125">
        <f>IF($D785="",0,$U785+$AA785)</f>
        <v>0</v>
      </c>
      <c r="AC785" s="125" t="str">
        <f>IF($D785="","",IF(SUMPRODUCT(MAX(($D$4:$D$810=$D785)*($B$4:$B$810&lt;$B785)*$B$4:$B$810))=0,0,MAX(($B785-MAX(SUMPRODUCT(MAX(($D$4:$D$810=$D785)*($B$4:$B$810&lt;$B785)*$B$4:$B$810)),'Guide &amp; Settings'!$C$50))/7-'Guide &amp; Settings'!$C$48,0)*'Guide &amp; Settings'!$C$49))</f>
      </c>
    </row>
    <row r="786" spans="1:29">
      <c r="A786" s="116"/>
      <c r="B786" s="117"/>
      <c r="C786" s="118"/>
      <c r="D786" s="118"/>
      <c r="E786" s="116"/>
      <c r="F786" s="119">
        <f>IF($D786="",0,COUNTIF($A$4:$A$810,$A786))</f>
        <v>0</v>
      </c>
      <c r="G786" s="120">
        <f>IF($D786="","",IFERROR(LOOKUP(2,1/(($A$4:$A$810=$A786)*($E$4:$E$810="Win")),$D$4:$D$810),"(no winner)"))</f>
        <v>0</v>
      </c>
      <c r="H786" s="121">
        <f>IF($D786="",0,IFERROR(LOOKUP(2,1/(($D$3:D785=$D786)*($A$3:A785&lt;$A786)),$N$3:N785),'Guide &amp; Settings'!$C$41))</f>
        <v>0</v>
      </c>
      <c r="I786" s="122">
        <f>IF($D786="",0,IF($S786=0,0,$R786/$S786))</f>
        <v>0</v>
      </c>
      <c r="J786" s="123">
        <f>IF($D786="",0,IF($F786&lt;2,0,IF($E786="Win",('Guide &amp; Settings'!$C$42/(($F786-1)*COUNTIFS($A$4:$A$810,$A786,$E$4:$E$810,"Win")))*SUMIFS($X$4:$X$810,$A$4:$A$810,$A786,$E$4:$E$810,"Loss"),-('Guide &amp; Settings'!$C$42/($F786-1))*$X786)))</f>
        <v>0</v>
      </c>
      <c r="K786" s="123">
        <f>IF($D786="",0,'Guide &amp; Settings'!$C$43*(IF($E786="Win",1,0)-$I786))</f>
        <v>0</v>
      </c>
      <c r="L786" s="124">
        <f>IF($D786="",0,'Guide &amp; Settings'!$C$44*IF($F786&gt;=3,$F786+IF($E786="Win",$F786,0),0))</f>
        <v>0</v>
      </c>
      <c r="M786" s="123">
        <f>IF($D786="",0,$J786+$K786+$L786)</f>
        <v>0</v>
      </c>
      <c r="N786" s="121">
        <f>IF($D786="",0,$H786+$M786)</f>
        <v>0</v>
      </c>
      <c r="O786" s="120" t="str">
        <f>IF($D786="","",IF(COUNTIFS($A$4:$A$810,$A786,$E$4:$E$810,"Win")=0,"need a winner",IF(COUNTIFS($A$4:$A$810,$A786,$E$4:$E$810,"Loss")=0,"need a loser",IF(COUNTIFS($A$4:$A$810,$A786,$D$4:$D$810,$D786)&gt;1,"duplicate player","OK"))))</f>
      </c>
      <c r="P786">
        <f>IF($D786="",0,IFERROR(SUMIFS($H$4:$H$810,$A$4:$A$810,$A786,$E$4:$E$810,"Win")/COUNTIFS($A$4:$A$810,$A786,$E$4:$E$810,"Win"),0))</f>
        <v>0</v>
      </c>
      <c r="Q786">
        <f>IF($D786="",0,1/(1+10^(($P786-$H786)/400)))</f>
        <v>0</v>
      </c>
      <c r="R786">
        <f>IF($D786="",0,(COUNTIFS($D$4:$D$810,$D786,$C$4:$C$810,$C786,$E$4:$E$810,"Win",$A$4:$A$810,"&lt;"&amp;$A786)+1)/(COUNTIFS($D$4:$D$810,$D786,$C$4:$C$810,$C786,$A$4:$A$810,"&lt;"&amp;$A786)+2))</f>
        <v>0</v>
      </c>
      <c r="S786">
        <f>IF($D786="",0,SUMIFS($R$4:$R$810,$A$4:$A$810,$A786))</f>
        <v>0</v>
      </c>
      <c r="T786" s="88">
        <f>IF($D786="",0,COUNTIFS($D$4:$D$810,$D786,$C$4:$C$810,$C786,$A$4:$A$810,"&lt;"&amp;$A786))</f>
        <v>0</v>
      </c>
      <c r="U786" s="125">
        <f>IF($D786="",0,IFERROR(LOOKUP(2,1/(($D$3:D785=$D786)*($C$3:C785=$C786)*($A$3:A785&lt;$A786)),$AB$3:AB785),1000))</f>
        <v>0</v>
      </c>
      <c r="V786" s="125">
        <f>IF($D786="",0,$U786*($T786/($T786+5))+$H786*(1-$T786/($T786+5)))</f>
        <v>0</v>
      </c>
      <c r="W786">
        <f>IF($D786="",0,IFERROR(SUMIFS($V$4:$V$810,$A$4:$A$810,$A786,$E$4:$E$810,"Win")/COUNTIFS($A$4:$A$810,$A786,$E$4:$E$810,"Win"),0))</f>
        <v>0</v>
      </c>
      <c r="X786">
        <f>IF($D786="",0,1/(1+10^(($W786-$V786)/400)))</f>
        <v>0</v>
      </c>
      <c r="Y786">
        <f>IF($D786="",0,IFERROR(SUMIFS($U$4:$U$810,$A$4:$A$810,$A786,$E$4:$E$810,"Win")/COUNTIFS($A$4:$A$810,$A786,$E$4:$E$810,"Win"),0))</f>
        <v>0</v>
      </c>
      <c r="Z786">
        <f>IF($D786="",0,1/(1+10^(($Y786-$U786)/400)))</f>
        <v>0</v>
      </c>
      <c r="AA786">
        <f>IF($D786="",0,IF($F786&lt;2,0,IF($E786="Win",('Guide &amp; Settings'!$C$42/(($F786-1)*COUNTIFS($A$4:$A$810,$A786,$E$4:$E$810,"Win")))*SUMIFS($Z$4:$Z$810,$A$4:$A$810,$A786,$E$4:$E$810,"Loss"),-('Guide &amp; Settings'!$C$42/($F786-1))*$Z786)))</f>
        <v>0</v>
      </c>
      <c r="AB786" s="125">
        <f>IF($D786="",0,$U786+$AA786)</f>
        <v>0</v>
      </c>
      <c r="AC786" s="125" t="str">
        <f>IF($D786="","",IF(SUMPRODUCT(MAX(($D$4:$D$810=$D786)*($B$4:$B$810&lt;$B786)*$B$4:$B$810))=0,0,MAX(($B786-MAX(SUMPRODUCT(MAX(($D$4:$D$810=$D786)*($B$4:$B$810&lt;$B786)*$B$4:$B$810)),'Guide &amp; Settings'!$C$50))/7-'Guide &amp; Settings'!$C$48,0)*'Guide &amp; Settings'!$C$49))</f>
      </c>
    </row>
    <row r="787" spans="1:29">
      <c r="A787" s="116"/>
      <c r="B787" s="117"/>
      <c r="C787" s="118"/>
      <c r="D787" s="118"/>
      <c r="E787" s="116"/>
      <c r="F787" s="119">
        <f>IF($D787="",0,COUNTIF($A$4:$A$810,$A787))</f>
        <v>0</v>
      </c>
      <c r="G787" s="120">
        <f>IF($D787="","",IFERROR(LOOKUP(2,1/(($A$4:$A$810=$A787)*($E$4:$E$810="Win")),$D$4:$D$810),"(no winner)"))</f>
        <v>0</v>
      </c>
      <c r="H787" s="121">
        <f>IF($D787="",0,IFERROR(LOOKUP(2,1/(($D$3:D786=$D787)*($A$3:A786&lt;$A787)),$N$3:N786),'Guide &amp; Settings'!$C$41))</f>
        <v>0</v>
      </c>
      <c r="I787" s="122">
        <f>IF($D787="",0,IF($S787=0,0,$R787/$S787))</f>
        <v>0</v>
      </c>
      <c r="J787" s="123">
        <f>IF($D787="",0,IF($F787&lt;2,0,IF($E787="Win",('Guide &amp; Settings'!$C$42/(($F787-1)*COUNTIFS($A$4:$A$810,$A787,$E$4:$E$810,"Win")))*SUMIFS($X$4:$X$810,$A$4:$A$810,$A787,$E$4:$E$810,"Loss"),-('Guide &amp; Settings'!$C$42/($F787-1))*$X787)))</f>
        <v>0</v>
      </c>
      <c r="K787" s="123">
        <f>IF($D787="",0,'Guide &amp; Settings'!$C$43*(IF($E787="Win",1,0)-$I787))</f>
        <v>0</v>
      </c>
      <c r="L787" s="124">
        <f>IF($D787="",0,'Guide &amp; Settings'!$C$44*IF($F787&gt;=3,$F787+IF($E787="Win",$F787,0),0))</f>
        <v>0</v>
      </c>
      <c r="M787" s="123">
        <f>IF($D787="",0,$J787+$K787+$L787)</f>
        <v>0</v>
      </c>
      <c r="N787" s="121">
        <f>IF($D787="",0,$H787+$M787)</f>
        <v>0</v>
      </c>
      <c r="O787" s="120" t="str">
        <f>IF($D787="","",IF(COUNTIFS($A$4:$A$810,$A787,$E$4:$E$810,"Win")=0,"need a winner",IF(COUNTIFS($A$4:$A$810,$A787,$E$4:$E$810,"Loss")=0,"need a loser",IF(COUNTIFS($A$4:$A$810,$A787,$D$4:$D$810,$D787)&gt;1,"duplicate player","OK"))))</f>
      </c>
      <c r="P787">
        <f>IF($D787="",0,IFERROR(SUMIFS($H$4:$H$810,$A$4:$A$810,$A787,$E$4:$E$810,"Win")/COUNTIFS($A$4:$A$810,$A787,$E$4:$E$810,"Win"),0))</f>
        <v>0</v>
      </c>
      <c r="Q787">
        <f>IF($D787="",0,1/(1+10^(($P787-$H787)/400)))</f>
        <v>0</v>
      </c>
      <c r="R787">
        <f>IF($D787="",0,(COUNTIFS($D$4:$D$810,$D787,$C$4:$C$810,$C787,$E$4:$E$810,"Win",$A$4:$A$810,"&lt;"&amp;$A787)+1)/(COUNTIFS($D$4:$D$810,$D787,$C$4:$C$810,$C787,$A$4:$A$810,"&lt;"&amp;$A787)+2))</f>
        <v>0</v>
      </c>
      <c r="S787">
        <f>IF($D787="",0,SUMIFS($R$4:$R$810,$A$4:$A$810,$A787))</f>
        <v>0</v>
      </c>
      <c r="T787" s="88">
        <f>IF($D787="",0,COUNTIFS($D$4:$D$810,$D787,$C$4:$C$810,$C787,$A$4:$A$810,"&lt;"&amp;$A787))</f>
        <v>0</v>
      </c>
      <c r="U787" s="125">
        <f>IF($D787="",0,IFERROR(LOOKUP(2,1/(($D$3:D786=$D787)*($C$3:C786=$C787)*($A$3:A786&lt;$A787)),$AB$3:AB786),1000))</f>
        <v>0</v>
      </c>
      <c r="V787" s="125">
        <f>IF($D787="",0,$U787*($T787/($T787+5))+$H787*(1-$T787/($T787+5)))</f>
        <v>0</v>
      </c>
      <c r="W787">
        <f>IF($D787="",0,IFERROR(SUMIFS($V$4:$V$810,$A$4:$A$810,$A787,$E$4:$E$810,"Win")/COUNTIFS($A$4:$A$810,$A787,$E$4:$E$810,"Win"),0))</f>
        <v>0</v>
      </c>
      <c r="X787">
        <f>IF($D787="",0,1/(1+10^(($W787-$V787)/400)))</f>
        <v>0</v>
      </c>
      <c r="Y787">
        <f>IF($D787="",0,IFERROR(SUMIFS($U$4:$U$810,$A$4:$A$810,$A787,$E$4:$E$810,"Win")/COUNTIFS($A$4:$A$810,$A787,$E$4:$E$810,"Win"),0))</f>
        <v>0</v>
      </c>
      <c r="Z787">
        <f>IF($D787="",0,1/(1+10^(($Y787-$U787)/400)))</f>
        <v>0</v>
      </c>
      <c r="AA787">
        <f>IF($D787="",0,IF($F787&lt;2,0,IF($E787="Win",('Guide &amp; Settings'!$C$42/(($F787-1)*COUNTIFS($A$4:$A$810,$A787,$E$4:$E$810,"Win")))*SUMIFS($Z$4:$Z$810,$A$4:$A$810,$A787,$E$4:$E$810,"Loss"),-('Guide &amp; Settings'!$C$42/($F787-1))*$Z787)))</f>
        <v>0</v>
      </c>
      <c r="AB787" s="125">
        <f>IF($D787="",0,$U787+$AA787)</f>
        <v>0</v>
      </c>
      <c r="AC787" s="125" t="str">
        <f>IF($D787="","",IF(SUMPRODUCT(MAX(($D$4:$D$810=$D787)*($B$4:$B$810&lt;$B787)*$B$4:$B$810))=0,0,MAX(($B787-MAX(SUMPRODUCT(MAX(($D$4:$D$810=$D787)*($B$4:$B$810&lt;$B787)*$B$4:$B$810)),'Guide &amp; Settings'!$C$50))/7-'Guide &amp; Settings'!$C$48,0)*'Guide &amp; Settings'!$C$49))</f>
      </c>
    </row>
    <row r="788" spans="1:29">
      <c r="A788" s="116"/>
      <c r="B788" s="117"/>
      <c r="C788" s="118"/>
      <c r="D788" s="118"/>
      <c r="E788" s="116"/>
      <c r="F788" s="119">
        <f>IF($D788="",0,COUNTIF($A$4:$A$810,$A788))</f>
        <v>0</v>
      </c>
      <c r="G788" s="120">
        <f>IF($D788="","",IFERROR(LOOKUP(2,1/(($A$4:$A$810=$A788)*($E$4:$E$810="Win")),$D$4:$D$810),"(no winner)"))</f>
        <v>0</v>
      </c>
      <c r="H788" s="121">
        <f>IF($D788="",0,IFERROR(LOOKUP(2,1/(($D$3:D787=$D788)*($A$3:A787&lt;$A788)),$N$3:N787),'Guide &amp; Settings'!$C$41))</f>
        <v>0</v>
      </c>
      <c r="I788" s="122">
        <f>IF($D788="",0,IF($S788=0,0,$R788/$S788))</f>
        <v>0</v>
      </c>
      <c r="J788" s="123">
        <f>IF($D788="",0,IF($F788&lt;2,0,IF($E788="Win",('Guide &amp; Settings'!$C$42/(($F788-1)*COUNTIFS($A$4:$A$810,$A788,$E$4:$E$810,"Win")))*SUMIFS($X$4:$X$810,$A$4:$A$810,$A788,$E$4:$E$810,"Loss"),-('Guide &amp; Settings'!$C$42/($F788-1))*$X788)))</f>
        <v>0</v>
      </c>
      <c r="K788" s="123">
        <f>IF($D788="",0,'Guide &amp; Settings'!$C$43*(IF($E788="Win",1,0)-$I788))</f>
        <v>0</v>
      </c>
      <c r="L788" s="124">
        <f>IF($D788="",0,'Guide &amp; Settings'!$C$44*IF($F788&gt;=3,$F788+IF($E788="Win",$F788,0),0))</f>
        <v>0</v>
      </c>
      <c r="M788" s="123">
        <f>IF($D788="",0,$J788+$K788+$L788)</f>
        <v>0</v>
      </c>
      <c r="N788" s="121">
        <f>IF($D788="",0,$H788+$M788)</f>
        <v>0</v>
      </c>
      <c r="O788" s="120" t="str">
        <f>IF($D788="","",IF(COUNTIFS($A$4:$A$810,$A788,$E$4:$E$810,"Win")=0,"need a winner",IF(COUNTIFS($A$4:$A$810,$A788,$E$4:$E$810,"Loss")=0,"need a loser",IF(COUNTIFS($A$4:$A$810,$A788,$D$4:$D$810,$D788)&gt;1,"duplicate player","OK"))))</f>
      </c>
      <c r="P788">
        <f>IF($D788="",0,IFERROR(SUMIFS($H$4:$H$810,$A$4:$A$810,$A788,$E$4:$E$810,"Win")/COUNTIFS($A$4:$A$810,$A788,$E$4:$E$810,"Win"),0))</f>
        <v>0</v>
      </c>
      <c r="Q788">
        <f>IF($D788="",0,1/(1+10^(($P788-$H788)/400)))</f>
        <v>0</v>
      </c>
      <c r="R788">
        <f>IF($D788="",0,(COUNTIFS($D$4:$D$810,$D788,$C$4:$C$810,$C788,$E$4:$E$810,"Win",$A$4:$A$810,"&lt;"&amp;$A788)+1)/(COUNTIFS($D$4:$D$810,$D788,$C$4:$C$810,$C788,$A$4:$A$810,"&lt;"&amp;$A788)+2))</f>
        <v>0</v>
      </c>
      <c r="S788">
        <f>IF($D788="",0,SUMIFS($R$4:$R$810,$A$4:$A$810,$A788))</f>
        <v>0</v>
      </c>
      <c r="T788" s="88">
        <f>IF($D788="",0,COUNTIFS($D$4:$D$810,$D788,$C$4:$C$810,$C788,$A$4:$A$810,"&lt;"&amp;$A788))</f>
        <v>0</v>
      </c>
      <c r="U788" s="125">
        <f>IF($D788="",0,IFERROR(LOOKUP(2,1/(($D$3:D787=$D788)*($C$3:C787=$C788)*($A$3:A787&lt;$A788)),$AB$3:AB787),1000))</f>
        <v>0</v>
      </c>
      <c r="V788" s="125">
        <f>IF($D788="",0,$U788*($T788/($T788+5))+$H788*(1-$T788/($T788+5)))</f>
        <v>0</v>
      </c>
      <c r="W788">
        <f>IF($D788="",0,IFERROR(SUMIFS($V$4:$V$810,$A$4:$A$810,$A788,$E$4:$E$810,"Win")/COUNTIFS($A$4:$A$810,$A788,$E$4:$E$810,"Win"),0))</f>
        <v>0</v>
      </c>
      <c r="X788">
        <f>IF($D788="",0,1/(1+10^(($W788-$V788)/400)))</f>
        <v>0</v>
      </c>
      <c r="Y788">
        <f>IF($D788="",0,IFERROR(SUMIFS($U$4:$U$810,$A$4:$A$810,$A788,$E$4:$E$810,"Win")/COUNTIFS($A$4:$A$810,$A788,$E$4:$E$810,"Win"),0))</f>
        <v>0</v>
      </c>
      <c r="Z788">
        <f>IF($D788="",0,1/(1+10^(($Y788-$U788)/400)))</f>
        <v>0</v>
      </c>
      <c r="AA788">
        <f>IF($D788="",0,IF($F788&lt;2,0,IF($E788="Win",('Guide &amp; Settings'!$C$42/(($F788-1)*COUNTIFS($A$4:$A$810,$A788,$E$4:$E$810,"Win")))*SUMIFS($Z$4:$Z$810,$A$4:$A$810,$A788,$E$4:$E$810,"Loss"),-('Guide &amp; Settings'!$C$42/($F788-1))*$Z788)))</f>
        <v>0</v>
      </c>
      <c r="AB788" s="125">
        <f>IF($D788="",0,$U788+$AA788)</f>
        <v>0</v>
      </c>
      <c r="AC788" s="125" t="str">
        <f>IF($D788="","",IF(SUMPRODUCT(MAX(($D$4:$D$810=$D788)*($B$4:$B$810&lt;$B788)*$B$4:$B$810))=0,0,MAX(($B788-MAX(SUMPRODUCT(MAX(($D$4:$D$810=$D788)*($B$4:$B$810&lt;$B788)*$B$4:$B$810)),'Guide &amp; Settings'!$C$50))/7-'Guide &amp; Settings'!$C$48,0)*'Guide &amp; Settings'!$C$49))</f>
      </c>
    </row>
    <row r="789" spans="1:29">
      <c r="A789" s="116"/>
      <c r="B789" s="117"/>
      <c r="C789" s="118"/>
      <c r="D789" s="118"/>
      <c r="E789" s="116"/>
      <c r="F789" s="119">
        <f>IF($D789="",0,COUNTIF($A$4:$A$810,$A789))</f>
        <v>0</v>
      </c>
      <c r="G789" s="120">
        <f>IF($D789="","",IFERROR(LOOKUP(2,1/(($A$4:$A$810=$A789)*($E$4:$E$810="Win")),$D$4:$D$810),"(no winner)"))</f>
        <v>0</v>
      </c>
      <c r="H789" s="121">
        <f>IF($D789="",0,IFERROR(LOOKUP(2,1/(($D$3:D788=$D789)*($A$3:A788&lt;$A789)),$N$3:N788),'Guide &amp; Settings'!$C$41))</f>
        <v>0</v>
      </c>
      <c r="I789" s="122">
        <f>IF($D789="",0,IF($S789=0,0,$R789/$S789))</f>
        <v>0</v>
      </c>
      <c r="J789" s="123">
        <f>IF($D789="",0,IF($F789&lt;2,0,IF($E789="Win",('Guide &amp; Settings'!$C$42/(($F789-1)*COUNTIFS($A$4:$A$810,$A789,$E$4:$E$810,"Win")))*SUMIFS($X$4:$X$810,$A$4:$A$810,$A789,$E$4:$E$810,"Loss"),-('Guide &amp; Settings'!$C$42/($F789-1))*$X789)))</f>
        <v>0</v>
      </c>
      <c r="K789" s="123">
        <f>IF($D789="",0,'Guide &amp; Settings'!$C$43*(IF($E789="Win",1,0)-$I789))</f>
        <v>0</v>
      </c>
      <c r="L789" s="124">
        <f>IF($D789="",0,'Guide &amp; Settings'!$C$44*IF($F789&gt;=3,$F789+IF($E789="Win",$F789,0),0))</f>
        <v>0</v>
      </c>
      <c r="M789" s="123">
        <f>IF($D789="",0,$J789+$K789+$L789)</f>
        <v>0</v>
      </c>
      <c r="N789" s="121">
        <f>IF($D789="",0,$H789+$M789)</f>
        <v>0</v>
      </c>
      <c r="O789" s="120" t="str">
        <f>IF($D789="","",IF(COUNTIFS($A$4:$A$810,$A789,$E$4:$E$810,"Win")=0,"need a winner",IF(COUNTIFS($A$4:$A$810,$A789,$E$4:$E$810,"Loss")=0,"need a loser",IF(COUNTIFS($A$4:$A$810,$A789,$D$4:$D$810,$D789)&gt;1,"duplicate player","OK"))))</f>
      </c>
      <c r="P789">
        <f>IF($D789="",0,IFERROR(SUMIFS($H$4:$H$810,$A$4:$A$810,$A789,$E$4:$E$810,"Win")/COUNTIFS($A$4:$A$810,$A789,$E$4:$E$810,"Win"),0))</f>
        <v>0</v>
      </c>
      <c r="Q789">
        <f>IF($D789="",0,1/(1+10^(($P789-$H789)/400)))</f>
        <v>0</v>
      </c>
      <c r="R789">
        <f>IF($D789="",0,(COUNTIFS($D$4:$D$810,$D789,$C$4:$C$810,$C789,$E$4:$E$810,"Win",$A$4:$A$810,"&lt;"&amp;$A789)+1)/(COUNTIFS($D$4:$D$810,$D789,$C$4:$C$810,$C789,$A$4:$A$810,"&lt;"&amp;$A789)+2))</f>
        <v>0</v>
      </c>
      <c r="S789">
        <f>IF($D789="",0,SUMIFS($R$4:$R$810,$A$4:$A$810,$A789))</f>
        <v>0</v>
      </c>
      <c r="T789" s="88">
        <f>IF($D789="",0,COUNTIFS($D$4:$D$810,$D789,$C$4:$C$810,$C789,$A$4:$A$810,"&lt;"&amp;$A789))</f>
        <v>0</v>
      </c>
      <c r="U789" s="125">
        <f>IF($D789="",0,IFERROR(LOOKUP(2,1/(($D$3:D788=$D789)*($C$3:C788=$C789)*($A$3:A788&lt;$A789)),$AB$3:AB788),1000))</f>
        <v>0</v>
      </c>
      <c r="V789" s="125">
        <f>IF($D789="",0,$U789*($T789/($T789+5))+$H789*(1-$T789/($T789+5)))</f>
        <v>0</v>
      </c>
      <c r="W789">
        <f>IF($D789="",0,IFERROR(SUMIFS($V$4:$V$810,$A$4:$A$810,$A789,$E$4:$E$810,"Win")/COUNTIFS($A$4:$A$810,$A789,$E$4:$E$810,"Win"),0))</f>
        <v>0</v>
      </c>
      <c r="X789">
        <f>IF($D789="",0,1/(1+10^(($W789-$V789)/400)))</f>
        <v>0</v>
      </c>
      <c r="Y789">
        <f>IF($D789="",0,IFERROR(SUMIFS($U$4:$U$810,$A$4:$A$810,$A789,$E$4:$E$810,"Win")/COUNTIFS($A$4:$A$810,$A789,$E$4:$E$810,"Win"),0))</f>
        <v>0</v>
      </c>
      <c r="Z789">
        <f>IF($D789="",0,1/(1+10^(($Y789-$U789)/400)))</f>
        <v>0</v>
      </c>
      <c r="AA789">
        <f>IF($D789="",0,IF($F789&lt;2,0,IF($E789="Win",('Guide &amp; Settings'!$C$42/(($F789-1)*COUNTIFS($A$4:$A$810,$A789,$E$4:$E$810,"Win")))*SUMIFS($Z$4:$Z$810,$A$4:$A$810,$A789,$E$4:$E$810,"Loss"),-('Guide &amp; Settings'!$C$42/($F789-1))*$Z789)))</f>
        <v>0</v>
      </c>
      <c r="AB789" s="125">
        <f>IF($D789="",0,$U789+$AA789)</f>
        <v>0</v>
      </c>
      <c r="AC789" s="125" t="str">
        <f>IF($D789="","",IF(SUMPRODUCT(MAX(($D$4:$D$810=$D789)*($B$4:$B$810&lt;$B789)*$B$4:$B$810))=0,0,MAX(($B789-MAX(SUMPRODUCT(MAX(($D$4:$D$810=$D789)*($B$4:$B$810&lt;$B789)*$B$4:$B$810)),'Guide &amp; Settings'!$C$50))/7-'Guide &amp; Settings'!$C$48,0)*'Guide &amp; Settings'!$C$49))</f>
      </c>
    </row>
    <row r="790" spans="1:29">
      <c r="A790" s="116"/>
      <c r="B790" s="117"/>
      <c r="C790" s="118"/>
      <c r="D790" s="118"/>
      <c r="E790" s="116"/>
      <c r="F790" s="119">
        <f>IF($D790="",0,COUNTIF($A$4:$A$810,$A790))</f>
        <v>0</v>
      </c>
      <c r="G790" s="120">
        <f>IF($D790="","",IFERROR(LOOKUP(2,1/(($A$4:$A$810=$A790)*($E$4:$E$810="Win")),$D$4:$D$810),"(no winner)"))</f>
        <v>0</v>
      </c>
      <c r="H790" s="121">
        <f>IF($D790="",0,IFERROR(LOOKUP(2,1/(($D$3:D789=$D790)*($A$3:A789&lt;$A790)),$N$3:N789),'Guide &amp; Settings'!$C$41))</f>
        <v>0</v>
      </c>
      <c r="I790" s="122">
        <f>IF($D790="",0,IF($S790=0,0,$R790/$S790))</f>
        <v>0</v>
      </c>
      <c r="J790" s="123">
        <f>IF($D790="",0,IF($F790&lt;2,0,IF($E790="Win",('Guide &amp; Settings'!$C$42/(($F790-1)*COUNTIFS($A$4:$A$810,$A790,$E$4:$E$810,"Win")))*SUMIFS($X$4:$X$810,$A$4:$A$810,$A790,$E$4:$E$810,"Loss"),-('Guide &amp; Settings'!$C$42/($F790-1))*$X790)))</f>
        <v>0</v>
      </c>
      <c r="K790" s="123">
        <f>IF($D790="",0,'Guide &amp; Settings'!$C$43*(IF($E790="Win",1,0)-$I790))</f>
        <v>0</v>
      </c>
      <c r="L790" s="124">
        <f>IF($D790="",0,'Guide &amp; Settings'!$C$44*IF($F790&gt;=3,$F790+IF($E790="Win",$F790,0),0))</f>
        <v>0</v>
      </c>
      <c r="M790" s="123">
        <f>IF($D790="",0,$J790+$K790+$L790)</f>
        <v>0</v>
      </c>
      <c r="N790" s="121">
        <f>IF($D790="",0,$H790+$M790)</f>
        <v>0</v>
      </c>
      <c r="O790" s="120" t="str">
        <f>IF($D790="","",IF(COUNTIFS($A$4:$A$810,$A790,$E$4:$E$810,"Win")=0,"need a winner",IF(COUNTIFS($A$4:$A$810,$A790,$E$4:$E$810,"Loss")=0,"need a loser",IF(COUNTIFS($A$4:$A$810,$A790,$D$4:$D$810,$D790)&gt;1,"duplicate player","OK"))))</f>
      </c>
      <c r="P790">
        <f>IF($D790="",0,IFERROR(SUMIFS($H$4:$H$810,$A$4:$A$810,$A790,$E$4:$E$810,"Win")/COUNTIFS($A$4:$A$810,$A790,$E$4:$E$810,"Win"),0))</f>
        <v>0</v>
      </c>
      <c r="Q790">
        <f>IF($D790="",0,1/(1+10^(($P790-$H790)/400)))</f>
        <v>0</v>
      </c>
      <c r="R790">
        <f>IF($D790="",0,(COUNTIFS($D$4:$D$810,$D790,$C$4:$C$810,$C790,$E$4:$E$810,"Win",$A$4:$A$810,"&lt;"&amp;$A790)+1)/(COUNTIFS($D$4:$D$810,$D790,$C$4:$C$810,$C790,$A$4:$A$810,"&lt;"&amp;$A790)+2))</f>
        <v>0</v>
      </c>
      <c r="S790">
        <f>IF($D790="",0,SUMIFS($R$4:$R$810,$A$4:$A$810,$A790))</f>
        <v>0</v>
      </c>
      <c r="T790" s="88">
        <f>IF($D790="",0,COUNTIFS($D$4:$D$810,$D790,$C$4:$C$810,$C790,$A$4:$A$810,"&lt;"&amp;$A790))</f>
        <v>0</v>
      </c>
      <c r="U790" s="125">
        <f>IF($D790="",0,IFERROR(LOOKUP(2,1/(($D$3:D789=$D790)*($C$3:C789=$C790)*($A$3:A789&lt;$A790)),$AB$3:AB789),1000))</f>
        <v>0</v>
      </c>
      <c r="V790" s="125">
        <f>IF($D790="",0,$U790*($T790/($T790+5))+$H790*(1-$T790/($T790+5)))</f>
        <v>0</v>
      </c>
      <c r="W790">
        <f>IF($D790="",0,IFERROR(SUMIFS($V$4:$V$810,$A$4:$A$810,$A790,$E$4:$E$810,"Win")/COUNTIFS($A$4:$A$810,$A790,$E$4:$E$810,"Win"),0))</f>
        <v>0</v>
      </c>
      <c r="X790">
        <f>IF($D790="",0,1/(1+10^(($W790-$V790)/400)))</f>
        <v>0</v>
      </c>
      <c r="Y790">
        <f>IF($D790="",0,IFERROR(SUMIFS($U$4:$U$810,$A$4:$A$810,$A790,$E$4:$E$810,"Win")/COUNTIFS($A$4:$A$810,$A790,$E$4:$E$810,"Win"),0))</f>
        <v>0</v>
      </c>
      <c r="Z790">
        <f>IF($D790="",0,1/(1+10^(($Y790-$U790)/400)))</f>
        <v>0</v>
      </c>
      <c r="AA790">
        <f>IF($D790="",0,IF($F790&lt;2,0,IF($E790="Win",('Guide &amp; Settings'!$C$42/(($F790-1)*COUNTIFS($A$4:$A$810,$A790,$E$4:$E$810,"Win")))*SUMIFS($Z$4:$Z$810,$A$4:$A$810,$A790,$E$4:$E$810,"Loss"),-('Guide &amp; Settings'!$C$42/($F790-1))*$Z790)))</f>
        <v>0</v>
      </c>
      <c r="AB790" s="125">
        <f>IF($D790="",0,$U790+$AA790)</f>
        <v>0</v>
      </c>
      <c r="AC790" s="125" t="str">
        <f>IF($D790="","",IF(SUMPRODUCT(MAX(($D$4:$D$810=$D790)*($B$4:$B$810&lt;$B790)*$B$4:$B$810))=0,0,MAX(($B790-MAX(SUMPRODUCT(MAX(($D$4:$D$810=$D790)*($B$4:$B$810&lt;$B790)*$B$4:$B$810)),'Guide &amp; Settings'!$C$50))/7-'Guide &amp; Settings'!$C$48,0)*'Guide &amp; Settings'!$C$49))</f>
      </c>
    </row>
    <row r="791" spans="1:29">
      <c r="A791" s="116"/>
      <c r="B791" s="117"/>
      <c r="C791" s="118"/>
      <c r="D791" s="118"/>
      <c r="E791" s="116"/>
      <c r="F791" s="119">
        <f>IF($D791="",0,COUNTIF($A$4:$A$810,$A791))</f>
        <v>0</v>
      </c>
      <c r="G791" s="120">
        <f>IF($D791="","",IFERROR(LOOKUP(2,1/(($A$4:$A$810=$A791)*($E$4:$E$810="Win")),$D$4:$D$810),"(no winner)"))</f>
        <v>0</v>
      </c>
      <c r="H791" s="121">
        <f>IF($D791="",0,IFERROR(LOOKUP(2,1/(($D$3:D790=$D791)*($A$3:A790&lt;$A791)),$N$3:N790),'Guide &amp; Settings'!$C$41))</f>
        <v>0</v>
      </c>
      <c r="I791" s="122">
        <f>IF($D791="",0,IF($S791=0,0,$R791/$S791))</f>
        <v>0</v>
      </c>
      <c r="J791" s="123">
        <f>IF($D791="",0,IF($F791&lt;2,0,IF($E791="Win",('Guide &amp; Settings'!$C$42/(($F791-1)*COUNTIFS($A$4:$A$810,$A791,$E$4:$E$810,"Win")))*SUMIFS($X$4:$X$810,$A$4:$A$810,$A791,$E$4:$E$810,"Loss"),-('Guide &amp; Settings'!$C$42/($F791-1))*$X791)))</f>
        <v>0</v>
      </c>
      <c r="K791" s="123">
        <f>IF($D791="",0,'Guide &amp; Settings'!$C$43*(IF($E791="Win",1,0)-$I791))</f>
        <v>0</v>
      </c>
      <c r="L791" s="124">
        <f>IF($D791="",0,'Guide &amp; Settings'!$C$44*IF($F791&gt;=3,$F791+IF($E791="Win",$F791,0),0))</f>
        <v>0</v>
      </c>
      <c r="M791" s="123">
        <f>IF($D791="",0,$J791+$K791+$L791)</f>
        <v>0</v>
      </c>
      <c r="N791" s="121">
        <f>IF($D791="",0,$H791+$M791)</f>
        <v>0</v>
      </c>
      <c r="O791" s="120" t="str">
        <f>IF($D791="","",IF(COUNTIFS($A$4:$A$810,$A791,$E$4:$E$810,"Win")=0,"need a winner",IF(COUNTIFS($A$4:$A$810,$A791,$E$4:$E$810,"Loss")=0,"need a loser",IF(COUNTIFS($A$4:$A$810,$A791,$D$4:$D$810,$D791)&gt;1,"duplicate player","OK"))))</f>
      </c>
      <c r="P791">
        <f>IF($D791="",0,IFERROR(SUMIFS($H$4:$H$810,$A$4:$A$810,$A791,$E$4:$E$810,"Win")/COUNTIFS($A$4:$A$810,$A791,$E$4:$E$810,"Win"),0))</f>
        <v>0</v>
      </c>
      <c r="Q791">
        <f>IF($D791="",0,1/(1+10^(($P791-$H791)/400)))</f>
        <v>0</v>
      </c>
      <c r="R791">
        <f>IF($D791="",0,(COUNTIFS($D$4:$D$810,$D791,$C$4:$C$810,$C791,$E$4:$E$810,"Win",$A$4:$A$810,"&lt;"&amp;$A791)+1)/(COUNTIFS($D$4:$D$810,$D791,$C$4:$C$810,$C791,$A$4:$A$810,"&lt;"&amp;$A791)+2))</f>
        <v>0</v>
      </c>
      <c r="S791">
        <f>IF($D791="",0,SUMIFS($R$4:$R$810,$A$4:$A$810,$A791))</f>
        <v>0</v>
      </c>
      <c r="T791" s="88">
        <f>IF($D791="",0,COUNTIFS($D$4:$D$810,$D791,$C$4:$C$810,$C791,$A$4:$A$810,"&lt;"&amp;$A791))</f>
        <v>0</v>
      </c>
      <c r="U791" s="125">
        <f>IF($D791="",0,IFERROR(LOOKUP(2,1/(($D$3:D790=$D791)*($C$3:C790=$C791)*($A$3:A790&lt;$A791)),$AB$3:AB790),1000))</f>
        <v>0</v>
      </c>
      <c r="V791" s="125">
        <f>IF($D791="",0,$U791*($T791/($T791+5))+$H791*(1-$T791/($T791+5)))</f>
        <v>0</v>
      </c>
      <c r="W791">
        <f>IF($D791="",0,IFERROR(SUMIFS($V$4:$V$810,$A$4:$A$810,$A791,$E$4:$E$810,"Win")/COUNTIFS($A$4:$A$810,$A791,$E$4:$E$810,"Win"),0))</f>
        <v>0</v>
      </c>
      <c r="X791">
        <f>IF($D791="",0,1/(1+10^(($W791-$V791)/400)))</f>
        <v>0</v>
      </c>
      <c r="Y791">
        <f>IF($D791="",0,IFERROR(SUMIFS($U$4:$U$810,$A$4:$A$810,$A791,$E$4:$E$810,"Win")/COUNTIFS($A$4:$A$810,$A791,$E$4:$E$810,"Win"),0))</f>
        <v>0</v>
      </c>
      <c r="Z791">
        <f>IF($D791="",0,1/(1+10^(($Y791-$U791)/400)))</f>
        <v>0</v>
      </c>
      <c r="AA791">
        <f>IF($D791="",0,IF($F791&lt;2,0,IF($E791="Win",('Guide &amp; Settings'!$C$42/(($F791-1)*COUNTIFS($A$4:$A$810,$A791,$E$4:$E$810,"Win")))*SUMIFS($Z$4:$Z$810,$A$4:$A$810,$A791,$E$4:$E$810,"Loss"),-('Guide &amp; Settings'!$C$42/($F791-1))*$Z791)))</f>
        <v>0</v>
      </c>
      <c r="AB791" s="125">
        <f>IF($D791="",0,$U791+$AA791)</f>
        <v>0</v>
      </c>
      <c r="AC791" s="125" t="str">
        <f>IF($D791="","",IF(SUMPRODUCT(MAX(($D$4:$D$810=$D791)*($B$4:$B$810&lt;$B791)*$B$4:$B$810))=0,0,MAX(($B791-MAX(SUMPRODUCT(MAX(($D$4:$D$810=$D791)*($B$4:$B$810&lt;$B791)*$B$4:$B$810)),'Guide &amp; Settings'!$C$50))/7-'Guide &amp; Settings'!$C$48,0)*'Guide &amp; Settings'!$C$49))</f>
      </c>
    </row>
    <row r="792" spans="1:29">
      <c r="A792" s="116"/>
      <c r="B792" s="117"/>
      <c r="C792" s="118"/>
      <c r="D792" s="118"/>
      <c r="E792" s="116"/>
      <c r="F792" s="119">
        <f>IF($D792="",0,COUNTIF($A$4:$A$810,$A792))</f>
        <v>0</v>
      </c>
      <c r="G792" s="120">
        <f>IF($D792="","",IFERROR(LOOKUP(2,1/(($A$4:$A$810=$A792)*($E$4:$E$810="Win")),$D$4:$D$810),"(no winner)"))</f>
        <v>0</v>
      </c>
      <c r="H792" s="121">
        <f>IF($D792="",0,IFERROR(LOOKUP(2,1/(($D$3:D791=$D792)*($A$3:A791&lt;$A792)),$N$3:N791),'Guide &amp; Settings'!$C$41))</f>
        <v>0</v>
      </c>
      <c r="I792" s="122">
        <f>IF($D792="",0,IF($S792=0,0,$R792/$S792))</f>
        <v>0</v>
      </c>
      <c r="J792" s="123">
        <f>IF($D792="",0,IF($F792&lt;2,0,IF($E792="Win",('Guide &amp; Settings'!$C$42/(($F792-1)*COUNTIFS($A$4:$A$810,$A792,$E$4:$E$810,"Win")))*SUMIFS($X$4:$X$810,$A$4:$A$810,$A792,$E$4:$E$810,"Loss"),-('Guide &amp; Settings'!$C$42/($F792-1))*$X792)))</f>
        <v>0</v>
      </c>
      <c r="K792" s="123">
        <f>IF($D792="",0,'Guide &amp; Settings'!$C$43*(IF($E792="Win",1,0)-$I792))</f>
        <v>0</v>
      </c>
      <c r="L792" s="124">
        <f>IF($D792="",0,'Guide &amp; Settings'!$C$44*IF($F792&gt;=3,$F792+IF($E792="Win",$F792,0),0))</f>
        <v>0</v>
      </c>
      <c r="M792" s="123">
        <f>IF($D792="",0,$J792+$K792+$L792)</f>
        <v>0</v>
      </c>
      <c r="N792" s="121">
        <f>IF($D792="",0,$H792+$M792)</f>
        <v>0</v>
      </c>
      <c r="O792" s="120" t="str">
        <f>IF($D792="","",IF(COUNTIFS($A$4:$A$810,$A792,$E$4:$E$810,"Win")=0,"need a winner",IF(COUNTIFS($A$4:$A$810,$A792,$E$4:$E$810,"Loss")=0,"need a loser",IF(COUNTIFS($A$4:$A$810,$A792,$D$4:$D$810,$D792)&gt;1,"duplicate player","OK"))))</f>
      </c>
      <c r="P792">
        <f>IF($D792="",0,IFERROR(SUMIFS($H$4:$H$810,$A$4:$A$810,$A792,$E$4:$E$810,"Win")/COUNTIFS($A$4:$A$810,$A792,$E$4:$E$810,"Win"),0))</f>
        <v>0</v>
      </c>
      <c r="Q792">
        <f>IF($D792="",0,1/(1+10^(($P792-$H792)/400)))</f>
        <v>0</v>
      </c>
      <c r="R792">
        <f>IF($D792="",0,(COUNTIFS($D$4:$D$810,$D792,$C$4:$C$810,$C792,$E$4:$E$810,"Win",$A$4:$A$810,"&lt;"&amp;$A792)+1)/(COUNTIFS($D$4:$D$810,$D792,$C$4:$C$810,$C792,$A$4:$A$810,"&lt;"&amp;$A792)+2))</f>
        <v>0</v>
      </c>
      <c r="S792">
        <f>IF($D792="",0,SUMIFS($R$4:$R$810,$A$4:$A$810,$A792))</f>
        <v>0</v>
      </c>
      <c r="T792" s="88">
        <f>IF($D792="",0,COUNTIFS($D$4:$D$810,$D792,$C$4:$C$810,$C792,$A$4:$A$810,"&lt;"&amp;$A792))</f>
        <v>0</v>
      </c>
      <c r="U792" s="125">
        <f>IF($D792="",0,IFERROR(LOOKUP(2,1/(($D$3:D791=$D792)*($C$3:C791=$C792)*($A$3:A791&lt;$A792)),$AB$3:AB791),1000))</f>
        <v>0</v>
      </c>
      <c r="V792" s="125">
        <f>IF($D792="",0,$U792*($T792/($T792+5))+$H792*(1-$T792/($T792+5)))</f>
        <v>0</v>
      </c>
      <c r="W792">
        <f>IF($D792="",0,IFERROR(SUMIFS($V$4:$V$810,$A$4:$A$810,$A792,$E$4:$E$810,"Win")/COUNTIFS($A$4:$A$810,$A792,$E$4:$E$810,"Win"),0))</f>
        <v>0</v>
      </c>
      <c r="X792">
        <f>IF($D792="",0,1/(1+10^(($W792-$V792)/400)))</f>
        <v>0</v>
      </c>
      <c r="Y792">
        <f>IF($D792="",0,IFERROR(SUMIFS($U$4:$U$810,$A$4:$A$810,$A792,$E$4:$E$810,"Win")/COUNTIFS($A$4:$A$810,$A792,$E$4:$E$810,"Win"),0))</f>
        <v>0</v>
      </c>
      <c r="Z792">
        <f>IF($D792="",0,1/(1+10^(($Y792-$U792)/400)))</f>
        <v>0</v>
      </c>
      <c r="AA792">
        <f>IF($D792="",0,IF($F792&lt;2,0,IF($E792="Win",('Guide &amp; Settings'!$C$42/(($F792-1)*COUNTIFS($A$4:$A$810,$A792,$E$4:$E$810,"Win")))*SUMIFS($Z$4:$Z$810,$A$4:$A$810,$A792,$E$4:$E$810,"Loss"),-('Guide &amp; Settings'!$C$42/($F792-1))*$Z792)))</f>
        <v>0</v>
      </c>
      <c r="AB792" s="125">
        <f>IF($D792="",0,$U792+$AA792)</f>
        <v>0</v>
      </c>
      <c r="AC792" s="125" t="str">
        <f>IF($D792="","",IF(SUMPRODUCT(MAX(($D$4:$D$810=$D792)*($B$4:$B$810&lt;$B792)*$B$4:$B$810))=0,0,MAX(($B792-MAX(SUMPRODUCT(MAX(($D$4:$D$810=$D792)*($B$4:$B$810&lt;$B792)*$B$4:$B$810)),'Guide &amp; Settings'!$C$50))/7-'Guide &amp; Settings'!$C$48,0)*'Guide &amp; Settings'!$C$49))</f>
      </c>
    </row>
    <row r="793" spans="1:29">
      <c r="A793" s="116"/>
      <c r="B793" s="117"/>
      <c r="C793" s="118"/>
      <c r="D793" s="118"/>
      <c r="E793" s="116"/>
      <c r="F793" s="119">
        <f>IF($D793="",0,COUNTIF($A$4:$A$810,$A793))</f>
        <v>0</v>
      </c>
      <c r="G793" s="120">
        <f>IF($D793="","",IFERROR(LOOKUP(2,1/(($A$4:$A$810=$A793)*($E$4:$E$810="Win")),$D$4:$D$810),"(no winner)"))</f>
        <v>0</v>
      </c>
      <c r="H793" s="121">
        <f>IF($D793="",0,IFERROR(LOOKUP(2,1/(($D$3:D792=$D793)*($A$3:A792&lt;$A793)),$N$3:N792),'Guide &amp; Settings'!$C$41))</f>
        <v>0</v>
      </c>
      <c r="I793" s="122">
        <f>IF($D793="",0,IF($S793=0,0,$R793/$S793))</f>
        <v>0</v>
      </c>
      <c r="J793" s="123">
        <f>IF($D793="",0,IF($F793&lt;2,0,IF($E793="Win",('Guide &amp; Settings'!$C$42/(($F793-1)*COUNTIFS($A$4:$A$810,$A793,$E$4:$E$810,"Win")))*SUMIFS($X$4:$X$810,$A$4:$A$810,$A793,$E$4:$E$810,"Loss"),-('Guide &amp; Settings'!$C$42/($F793-1))*$X793)))</f>
        <v>0</v>
      </c>
      <c r="K793" s="123">
        <f>IF($D793="",0,'Guide &amp; Settings'!$C$43*(IF($E793="Win",1,0)-$I793))</f>
        <v>0</v>
      </c>
      <c r="L793" s="124">
        <f>IF($D793="",0,'Guide &amp; Settings'!$C$44*IF($F793&gt;=3,$F793+IF($E793="Win",$F793,0),0))</f>
        <v>0</v>
      </c>
      <c r="M793" s="123">
        <f>IF($D793="",0,$J793+$K793+$L793)</f>
        <v>0</v>
      </c>
      <c r="N793" s="121">
        <f>IF($D793="",0,$H793+$M793)</f>
        <v>0</v>
      </c>
      <c r="O793" s="120" t="str">
        <f>IF($D793="","",IF(COUNTIFS($A$4:$A$810,$A793,$E$4:$E$810,"Win")=0,"need a winner",IF(COUNTIFS($A$4:$A$810,$A793,$E$4:$E$810,"Loss")=0,"need a loser",IF(COUNTIFS($A$4:$A$810,$A793,$D$4:$D$810,$D793)&gt;1,"duplicate player","OK"))))</f>
      </c>
      <c r="P793">
        <f>IF($D793="",0,IFERROR(SUMIFS($H$4:$H$810,$A$4:$A$810,$A793,$E$4:$E$810,"Win")/COUNTIFS($A$4:$A$810,$A793,$E$4:$E$810,"Win"),0))</f>
        <v>0</v>
      </c>
      <c r="Q793">
        <f>IF($D793="",0,1/(1+10^(($P793-$H793)/400)))</f>
        <v>0</v>
      </c>
      <c r="R793">
        <f>IF($D793="",0,(COUNTIFS($D$4:$D$810,$D793,$C$4:$C$810,$C793,$E$4:$E$810,"Win",$A$4:$A$810,"&lt;"&amp;$A793)+1)/(COUNTIFS($D$4:$D$810,$D793,$C$4:$C$810,$C793,$A$4:$A$810,"&lt;"&amp;$A793)+2))</f>
        <v>0</v>
      </c>
      <c r="S793">
        <f>IF($D793="",0,SUMIFS($R$4:$R$810,$A$4:$A$810,$A793))</f>
        <v>0</v>
      </c>
      <c r="T793" s="88">
        <f>IF($D793="",0,COUNTIFS($D$4:$D$810,$D793,$C$4:$C$810,$C793,$A$4:$A$810,"&lt;"&amp;$A793))</f>
        <v>0</v>
      </c>
      <c r="U793" s="125">
        <f>IF($D793="",0,IFERROR(LOOKUP(2,1/(($D$3:D792=$D793)*($C$3:C792=$C793)*($A$3:A792&lt;$A793)),$AB$3:AB792),1000))</f>
        <v>0</v>
      </c>
      <c r="V793" s="125">
        <f>IF($D793="",0,$U793*($T793/($T793+5))+$H793*(1-$T793/($T793+5)))</f>
        <v>0</v>
      </c>
      <c r="W793">
        <f>IF($D793="",0,IFERROR(SUMIFS($V$4:$V$810,$A$4:$A$810,$A793,$E$4:$E$810,"Win")/COUNTIFS($A$4:$A$810,$A793,$E$4:$E$810,"Win"),0))</f>
        <v>0</v>
      </c>
      <c r="X793">
        <f>IF($D793="",0,1/(1+10^(($W793-$V793)/400)))</f>
        <v>0</v>
      </c>
      <c r="Y793">
        <f>IF($D793="",0,IFERROR(SUMIFS($U$4:$U$810,$A$4:$A$810,$A793,$E$4:$E$810,"Win")/COUNTIFS($A$4:$A$810,$A793,$E$4:$E$810,"Win"),0))</f>
        <v>0</v>
      </c>
      <c r="Z793">
        <f>IF($D793="",0,1/(1+10^(($Y793-$U793)/400)))</f>
        <v>0</v>
      </c>
      <c r="AA793">
        <f>IF($D793="",0,IF($F793&lt;2,0,IF($E793="Win",('Guide &amp; Settings'!$C$42/(($F793-1)*COUNTIFS($A$4:$A$810,$A793,$E$4:$E$810,"Win")))*SUMIFS($Z$4:$Z$810,$A$4:$A$810,$A793,$E$4:$E$810,"Loss"),-('Guide &amp; Settings'!$C$42/($F793-1))*$Z793)))</f>
        <v>0</v>
      </c>
      <c r="AB793" s="125">
        <f>IF($D793="",0,$U793+$AA793)</f>
        <v>0</v>
      </c>
      <c r="AC793" s="125" t="str">
        <f>IF($D793="","",IF(SUMPRODUCT(MAX(($D$4:$D$810=$D793)*($B$4:$B$810&lt;$B793)*$B$4:$B$810))=0,0,MAX(($B793-MAX(SUMPRODUCT(MAX(($D$4:$D$810=$D793)*($B$4:$B$810&lt;$B793)*$B$4:$B$810)),'Guide &amp; Settings'!$C$50))/7-'Guide &amp; Settings'!$C$48,0)*'Guide &amp; Settings'!$C$49))</f>
      </c>
    </row>
    <row r="794" spans="1:29">
      <c r="A794" s="116"/>
      <c r="B794" s="117"/>
      <c r="C794" s="118"/>
      <c r="D794" s="118"/>
      <c r="E794" s="116"/>
      <c r="F794" s="119">
        <f>IF($D794="",0,COUNTIF($A$4:$A$810,$A794))</f>
        <v>0</v>
      </c>
      <c r="G794" s="120">
        <f>IF($D794="","",IFERROR(LOOKUP(2,1/(($A$4:$A$810=$A794)*($E$4:$E$810="Win")),$D$4:$D$810),"(no winner)"))</f>
        <v>0</v>
      </c>
      <c r="H794" s="121">
        <f>IF($D794="",0,IFERROR(LOOKUP(2,1/(($D$3:D793=$D794)*($A$3:A793&lt;$A794)),$N$3:N793),'Guide &amp; Settings'!$C$41))</f>
        <v>0</v>
      </c>
      <c r="I794" s="122">
        <f>IF($D794="",0,IF($S794=0,0,$R794/$S794))</f>
        <v>0</v>
      </c>
      <c r="J794" s="123">
        <f>IF($D794="",0,IF($F794&lt;2,0,IF($E794="Win",('Guide &amp; Settings'!$C$42/(($F794-1)*COUNTIFS($A$4:$A$810,$A794,$E$4:$E$810,"Win")))*SUMIFS($X$4:$X$810,$A$4:$A$810,$A794,$E$4:$E$810,"Loss"),-('Guide &amp; Settings'!$C$42/($F794-1))*$X794)))</f>
        <v>0</v>
      </c>
      <c r="K794" s="123">
        <f>IF($D794="",0,'Guide &amp; Settings'!$C$43*(IF($E794="Win",1,0)-$I794))</f>
        <v>0</v>
      </c>
      <c r="L794" s="124">
        <f>IF($D794="",0,'Guide &amp; Settings'!$C$44*IF($F794&gt;=3,$F794+IF($E794="Win",$F794,0),0))</f>
        <v>0</v>
      </c>
      <c r="M794" s="123">
        <f>IF($D794="",0,$J794+$K794+$L794)</f>
        <v>0</v>
      </c>
      <c r="N794" s="121">
        <f>IF($D794="",0,$H794+$M794)</f>
        <v>0</v>
      </c>
      <c r="O794" s="120" t="str">
        <f>IF($D794="","",IF(COUNTIFS($A$4:$A$810,$A794,$E$4:$E$810,"Win")=0,"need a winner",IF(COUNTIFS($A$4:$A$810,$A794,$E$4:$E$810,"Loss")=0,"need a loser",IF(COUNTIFS($A$4:$A$810,$A794,$D$4:$D$810,$D794)&gt;1,"duplicate player","OK"))))</f>
      </c>
      <c r="P794">
        <f>IF($D794="",0,IFERROR(SUMIFS($H$4:$H$810,$A$4:$A$810,$A794,$E$4:$E$810,"Win")/COUNTIFS($A$4:$A$810,$A794,$E$4:$E$810,"Win"),0))</f>
        <v>0</v>
      </c>
      <c r="Q794">
        <f>IF($D794="",0,1/(1+10^(($P794-$H794)/400)))</f>
        <v>0</v>
      </c>
      <c r="R794">
        <f>IF($D794="",0,(COUNTIFS($D$4:$D$810,$D794,$C$4:$C$810,$C794,$E$4:$E$810,"Win",$A$4:$A$810,"&lt;"&amp;$A794)+1)/(COUNTIFS($D$4:$D$810,$D794,$C$4:$C$810,$C794,$A$4:$A$810,"&lt;"&amp;$A794)+2))</f>
        <v>0</v>
      </c>
      <c r="S794">
        <f>IF($D794="",0,SUMIFS($R$4:$R$810,$A$4:$A$810,$A794))</f>
        <v>0</v>
      </c>
      <c r="T794" s="88">
        <f>IF($D794="",0,COUNTIFS($D$4:$D$810,$D794,$C$4:$C$810,$C794,$A$4:$A$810,"&lt;"&amp;$A794))</f>
        <v>0</v>
      </c>
      <c r="U794" s="125">
        <f>IF($D794="",0,IFERROR(LOOKUP(2,1/(($D$3:D793=$D794)*($C$3:C793=$C794)*($A$3:A793&lt;$A794)),$AB$3:AB793),1000))</f>
        <v>0</v>
      </c>
      <c r="V794" s="125">
        <f>IF($D794="",0,$U794*($T794/($T794+5))+$H794*(1-$T794/($T794+5)))</f>
        <v>0</v>
      </c>
      <c r="W794">
        <f>IF($D794="",0,IFERROR(SUMIFS($V$4:$V$810,$A$4:$A$810,$A794,$E$4:$E$810,"Win")/COUNTIFS($A$4:$A$810,$A794,$E$4:$E$810,"Win"),0))</f>
        <v>0</v>
      </c>
      <c r="X794">
        <f>IF($D794="",0,1/(1+10^(($W794-$V794)/400)))</f>
        <v>0</v>
      </c>
      <c r="Y794">
        <f>IF($D794="",0,IFERROR(SUMIFS($U$4:$U$810,$A$4:$A$810,$A794,$E$4:$E$810,"Win")/COUNTIFS($A$4:$A$810,$A794,$E$4:$E$810,"Win"),0))</f>
        <v>0</v>
      </c>
      <c r="Z794">
        <f>IF($D794="",0,1/(1+10^(($Y794-$U794)/400)))</f>
        <v>0</v>
      </c>
      <c r="AA794">
        <f>IF($D794="",0,IF($F794&lt;2,0,IF($E794="Win",('Guide &amp; Settings'!$C$42/(($F794-1)*COUNTIFS($A$4:$A$810,$A794,$E$4:$E$810,"Win")))*SUMIFS($Z$4:$Z$810,$A$4:$A$810,$A794,$E$4:$E$810,"Loss"),-('Guide &amp; Settings'!$C$42/($F794-1))*$Z794)))</f>
        <v>0</v>
      </c>
      <c r="AB794" s="125">
        <f>IF($D794="",0,$U794+$AA794)</f>
        <v>0</v>
      </c>
      <c r="AC794" s="125" t="str">
        <f>IF($D794="","",IF(SUMPRODUCT(MAX(($D$4:$D$810=$D794)*($B$4:$B$810&lt;$B794)*$B$4:$B$810))=0,0,MAX(($B794-MAX(SUMPRODUCT(MAX(($D$4:$D$810=$D794)*($B$4:$B$810&lt;$B794)*$B$4:$B$810)),'Guide &amp; Settings'!$C$50))/7-'Guide &amp; Settings'!$C$48,0)*'Guide &amp; Settings'!$C$49))</f>
      </c>
    </row>
    <row r="795" spans="1:29">
      <c r="A795" s="116"/>
      <c r="B795" s="117"/>
      <c r="C795" s="118"/>
      <c r="D795" s="118"/>
      <c r="E795" s="116"/>
      <c r="F795" s="119">
        <f>IF($D795="",0,COUNTIF($A$4:$A$810,$A795))</f>
        <v>0</v>
      </c>
      <c r="G795" s="120">
        <f>IF($D795="","",IFERROR(LOOKUP(2,1/(($A$4:$A$810=$A795)*($E$4:$E$810="Win")),$D$4:$D$810),"(no winner)"))</f>
        <v>0</v>
      </c>
      <c r="H795" s="121">
        <f>IF($D795="",0,IFERROR(LOOKUP(2,1/(($D$3:D794=$D795)*($A$3:A794&lt;$A795)),$N$3:N794),'Guide &amp; Settings'!$C$41))</f>
        <v>0</v>
      </c>
      <c r="I795" s="122">
        <f>IF($D795="",0,IF($S795=0,0,$R795/$S795))</f>
        <v>0</v>
      </c>
      <c r="J795" s="123">
        <f>IF($D795="",0,IF($F795&lt;2,0,IF($E795="Win",('Guide &amp; Settings'!$C$42/(($F795-1)*COUNTIFS($A$4:$A$810,$A795,$E$4:$E$810,"Win")))*SUMIFS($X$4:$X$810,$A$4:$A$810,$A795,$E$4:$E$810,"Loss"),-('Guide &amp; Settings'!$C$42/($F795-1))*$X795)))</f>
        <v>0</v>
      </c>
      <c r="K795" s="123">
        <f>IF($D795="",0,'Guide &amp; Settings'!$C$43*(IF($E795="Win",1,0)-$I795))</f>
        <v>0</v>
      </c>
      <c r="L795" s="124">
        <f>IF($D795="",0,'Guide &amp; Settings'!$C$44*IF($F795&gt;=3,$F795+IF($E795="Win",$F795,0),0))</f>
        <v>0</v>
      </c>
      <c r="M795" s="123">
        <f>IF($D795="",0,$J795+$K795+$L795)</f>
        <v>0</v>
      </c>
      <c r="N795" s="121">
        <f>IF($D795="",0,$H795+$M795)</f>
        <v>0</v>
      </c>
      <c r="O795" s="120" t="str">
        <f>IF($D795="","",IF(COUNTIFS($A$4:$A$810,$A795,$E$4:$E$810,"Win")=0,"need a winner",IF(COUNTIFS($A$4:$A$810,$A795,$E$4:$E$810,"Loss")=0,"need a loser",IF(COUNTIFS($A$4:$A$810,$A795,$D$4:$D$810,$D795)&gt;1,"duplicate player","OK"))))</f>
      </c>
      <c r="P795">
        <f>IF($D795="",0,IFERROR(SUMIFS($H$4:$H$810,$A$4:$A$810,$A795,$E$4:$E$810,"Win")/COUNTIFS($A$4:$A$810,$A795,$E$4:$E$810,"Win"),0))</f>
        <v>0</v>
      </c>
      <c r="Q795">
        <f>IF($D795="",0,1/(1+10^(($P795-$H795)/400)))</f>
        <v>0</v>
      </c>
      <c r="R795">
        <f>IF($D795="",0,(COUNTIFS($D$4:$D$810,$D795,$C$4:$C$810,$C795,$E$4:$E$810,"Win",$A$4:$A$810,"&lt;"&amp;$A795)+1)/(COUNTIFS($D$4:$D$810,$D795,$C$4:$C$810,$C795,$A$4:$A$810,"&lt;"&amp;$A795)+2))</f>
        <v>0</v>
      </c>
      <c r="S795">
        <f>IF($D795="",0,SUMIFS($R$4:$R$810,$A$4:$A$810,$A795))</f>
        <v>0</v>
      </c>
      <c r="T795" s="88">
        <f>IF($D795="",0,COUNTIFS($D$4:$D$810,$D795,$C$4:$C$810,$C795,$A$4:$A$810,"&lt;"&amp;$A795))</f>
        <v>0</v>
      </c>
      <c r="U795" s="125">
        <f>IF($D795="",0,IFERROR(LOOKUP(2,1/(($D$3:D794=$D795)*($C$3:C794=$C795)*($A$3:A794&lt;$A795)),$AB$3:AB794),1000))</f>
        <v>0</v>
      </c>
      <c r="V795" s="125">
        <f>IF($D795="",0,$U795*($T795/($T795+5))+$H795*(1-$T795/($T795+5)))</f>
        <v>0</v>
      </c>
      <c r="W795">
        <f>IF($D795="",0,IFERROR(SUMIFS($V$4:$V$810,$A$4:$A$810,$A795,$E$4:$E$810,"Win")/COUNTIFS($A$4:$A$810,$A795,$E$4:$E$810,"Win"),0))</f>
        <v>0</v>
      </c>
      <c r="X795">
        <f>IF($D795="",0,1/(1+10^(($W795-$V795)/400)))</f>
        <v>0</v>
      </c>
      <c r="Y795">
        <f>IF($D795="",0,IFERROR(SUMIFS($U$4:$U$810,$A$4:$A$810,$A795,$E$4:$E$810,"Win")/COUNTIFS($A$4:$A$810,$A795,$E$4:$E$810,"Win"),0))</f>
        <v>0</v>
      </c>
      <c r="Z795">
        <f>IF($D795="",0,1/(1+10^(($Y795-$U795)/400)))</f>
        <v>0</v>
      </c>
      <c r="AA795">
        <f>IF($D795="",0,IF($F795&lt;2,0,IF($E795="Win",('Guide &amp; Settings'!$C$42/(($F795-1)*COUNTIFS($A$4:$A$810,$A795,$E$4:$E$810,"Win")))*SUMIFS($Z$4:$Z$810,$A$4:$A$810,$A795,$E$4:$E$810,"Loss"),-('Guide &amp; Settings'!$C$42/($F795-1))*$Z795)))</f>
        <v>0</v>
      </c>
      <c r="AB795" s="125">
        <f>IF($D795="",0,$U795+$AA795)</f>
        <v>0</v>
      </c>
      <c r="AC795" s="125" t="str">
        <f>IF($D795="","",IF(SUMPRODUCT(MAX(($D$4:$D$810=$D795)*($B$4:$B$810&lt;$B795)*$B$4:$B$810))=0,0,MAX(($B795-MAX(SUMPRODUCT(MAX(($D$4:$D$810=$D795)*($B$4:$B$810&lt;$B795)*$B$4:$B$810)),'Guide &amp; Settings'!$C$50))/7-'Guide &amp; Settings'!$C$48,0)*'Guide &amp; Settings'!$C$49))</f>
      </c>
    </row>
    <row r="796" spans="1:29">
      <c r="A796" s="116"/>
      <c r="B796" s="117"/>
      <c r="C796" s="118"/>
      <c r="D796" s="118"/>
      <c r="E796" s="116"/>
      <c r="F796" s="119">
        <f>IF($D796="",0,COUNTIF($A$4:$A$810,$A796))</f>
        <v>0</v>
      </c>
      <c r="G796" s="120">
        <f>IF($D796="","",IFERROR(LOOKUP(2,1/(($A$4:$A$810=$A796)*($E$4:$E$810="Win")),$D$4:$D$810),"(no winner)"))</f>
        <v>0</v>
      </c>
      <c r="H796" s="121">
        <f>IF($D796="",0,IFERROR(LOOKUP(2,1/(($D$3:D795=$D796)*($A$3:A795&lt;$A796)),$N$3:N795),'Guide &amp; Settings'!$C$41))</f>
        <v>0</v>
      </c>
      <c r="I796" s="122">
        <f>IF($D796="",0,IF($S796=0,0,$R796/$S796))</f>
        <v>0</v>
      </c>
      <c r="J796" s="123">
        <f>IF($D796="",0,IF($F796&lt;2,0,IF($E796="Win",('Guide &amp; Settings'!$C$42/(($F796-1)*COUNTIFS($A$4:$A$810,$A796,$E$4:$E$810,"Win")))*SUMIFS($X$4:$X$810,$A$4:$A$810,$A796,$E$4:$E$810,"Loss"),-('Guide &amp; Settings'!$C$42/($F796-1))*$X796)))</f>
        <v>0</v>
      </c>
      <c r="K796" s="123">
        <f>IF($D796="",0,'Guide &amp; Settings'!$C$43*(IF($E796="Win",1,0)-$I796))</f>
        <v>0</v>
      </c>
      <c r="L796" s="124">
        <f>IF($D796="",0,'Guide &amp; Settings'!$C$44*IF($F796&gt;=3,$F796+IF($E796="Win",$F796,0),0))</f>
        <v>0</v>
      </c>
      <c r="M796" s="123">
        <f>IF($D796="",0,$J796+$K796+$L796)</f>
        <v>0</v>
      </c>
      <c r="N796" s="121">
        <f>IF($D796="",0,$H796+$M796)</f>
        <v>0</v>
      </c>
      <c r="O796" s="120" t="str">
        <f>IF($D796="","",IF(COUNTIFS($A$4:$A$810,$A796,$E$4:$E$810,"Win")=0,"need a winner",IF(COUNTIFS($A$4:$A$810,$A796,$E$4:$E$810,"Loss")=0,"need a loser",IF(COUNTIFS($A$4:$A$810,$A796,$D$4:$D$810,$D796)&gt;1,"duplicate player","OK"))))</f>
      </c>
      <c r="P796">
        <f>IF($D796="",0,IFERROR(SUMIFS($H$4:$H$810,$A$4:$A$810,$A796,$E$4:$E$810,"Win")/COUNTIFS($A$4:$A$810,$A796,$E$4:$E$810,"Win"),0))</f>
        <v>0</v>
      </c>
      <c r="Q796">
        <f>IF($D796="",0,1/(1+10^(($P796-$H796)/400)))</f>
        <v>0</v>
      </c>
      <c r="R796">
        <f>IF($D796="",0,(COUNTIFS($D$4:$D$810,$D796,$C$4:$C$810,$C796,$E$4:$E$810,"Win",$A$4:$A$810,"&lt;"&amp;$A796)+1)/(COUNTIFS($D$4:$D$810,$D796,$C$4:$C$810,$C796,$A$4:$A$810,"&lt;"&amp;$A796)+2))</f>
        <v>0</v>
      </c>
      <c r="S796">
        <f>IF($D796="",0,SUMIFS($R$4:$R$810,$A$4:$A$810,$A796))</f>
        <v>0</v>
      </c>
      <c r="T796" s="88">
        <f>IF($D796="",0,COUNTIFS($D$4:$D$810,$D796,$C$4:$C$810,$C796,$A$4:$A$810,"&lt;"&amp;$A796))</f>
        <v>0</v>
      </c>
      <c r="U796" s="125">
        <f>IF($D796="",0,IFERROR(LOOKUP(2,1/(($D$3:D795=$D796)*($C$3:C795=$C796)*($A$3:A795&lt;$A796)),$AB$3:AB795),1000))</f>
        <v>0</v>
      </c>
      <c r="V796" s="125">
        <f>IF($D796="",0,$U796*($T796/($T796+5))+$H796*(1-$T796/($T796+5)))</f>
        <v>0</v>
      </c>
      <c r="W796">
        <f>IF($D796="",0,IFERROR(SUMIFS($V$4:$V$810,$A$4:$A$810,$A796,$E$4:$E$810,"Win")/COUNTIFS($A$4:$A$810,$A796,$E$4:$E$810,"Win"),0))</f>
        <v>0</v>
      </c>
      <c r="X796">
        <f>IF($D796="",0,1/(1+10^(($W796-$V796)/400)))</f>
        <v>0</v>
      </c>
      <c r="Y796">
        <f>IF($D796="",0,IFERROR(SUMIFS($U$4:$U$810,$A$4:$A$810,$A796,$E$4:$E$810,"Win")/COUNTIFS($A$4:$A$810,$A796,$E$4:$E$810,"Win"),0))</f>
        <v>0</v>
      </c>
      <c r="Z796">
        <f>IF($D796="",0,1/(1+10^(($Y796-$U796)/400)))</f>
        <v>0</v>
      </c>
      <c r="AA796">
        <f>IF($D796="",0,IF($F796&lt;2,0,IF($E796="Win",('Guide &amp; Settings'!$C$42/(($F796-1)*COUNTIFS($A$4:$A$810,$A796,$E$4:$E$810,"Win")))*SUMIFS($Z$4:$Z$810,$A$4:$A$810,$A796,$E$4:$E$810,"Loss"),-('Guide &amp; Settings'!$C$42/($F796-1))*$Z796)))</f>
        <v>0</v>
      </c>
      <c r="AB796" s="125">
        <f>IF($D796="",0,$U796+$AA796)</f>
        <v>0</v>
      </c>
      <c r="AC796" s="125" t="str">
        <f>IF($D796="","",IF(SUMPRODUCT(MAX(($D$4:$D$810=$D796)*($B$4:$B$810&lt;$B796)*$B$4:$B$810))=0,0,MAX(($B796-MAX(SUMPRODUCT(MAX(($D$4:$D$810=$D796)*($B$4:$B$810&lt;$B796)*$B$4:$B$810)),'Guide &amp; Settings'!$C$50))/7-'Guide &amp; Settings'!$C$48,0)*'Guide &amp; Settings'!$C$49))</f>
      </c>
    </row>
    <row r="797" spans="1:29">
      <c r="A797" s="116"/>
      <c r="B797" s="117"/>
      <c r="C797" s="118"/>
      <c r="D797" s="118"/>
      <c r="E797" s="116"/>
      <c r="F797" s="119">
        <f>IF($D797="",0,COUNTIF($A$4:$A$810,$A797))</f>
        <v>0</v>
      </c>
      <c r="G797" s="120">
        <f>IF($D797="","",IFERROR(LOOKUP(2,1/(($A$4:$A$810=$A797)*($E$4:$E$810="Win")),$D$4:$D$810),"(no winner)"))</f>
        <v>0</v>
      </c>
      <c r="H797" s="121">
        <f>IF($D797="",0,IFERROR(LOOKUP(2,1/(($D$3:D796=$D797)*($A$3:A796&lt;$A797)),$N$3:N796),'Guide &amp; Settings'!$C$41))</f>
        <v>0</v>
      </c>
      <c r="I797" s="122">
        <f>IF($D797="",0,IF($S797=0,0,$R797/$S797))</f>
        <v>0</v>
      </c>
      <c r="J797" s="123">
        <f>IF($D797="",0,IF($F797&lt;2,0,IF($E797="Win",('Guide &amp; Settings'!$C$42/(($F797-1)*COUNTIFS($A$4:$A$810,$A797,$E$4:$E$810,"Win")))*SUMIFS($X$4:$X$810,$A$4:$A$810,$A797,$E$4:$E$810,"Loss"),-('Guide &amp; Settings'!$C$42/($F797-1))*$X797)))</f>
        <v>0</v>
      </c>
      <c r="K797" s="123">
        <f>IF($D797="",0,'Guide &amp; Settings'!$C$43*(IF($E797="Win",1,0)-$I797))</f>
        <v>0</v>
      </c>
      <c r="L797" s="124">
        <f>IF($D797="",0,'Guide &amp; Settings'!$C$44*IF($F797&gt;=3,$F797+IF($E797="Win",$F797,0),0))</f>
        <v>0</v>
      </c>
      <c r="M797" s="123">
        <f>IF($D797="",0,$J797+$K797+$L797)</f>
        <v>0</v>
      </c>
      <c r="N797" s="121">
        <f>IF($D797="",0,$H797+$M797)</f>
        <v>0</v>
      </c>
      <c r="O797" s="120" t="str">
        <f>IF($D797="","",IF(COUNTIFS($A$4:$A$810,$A797,$E$4:$E$810,"Win")=0,"need a winner",IF(COUNTIFS($A$4:$A$810,$A797,$E$4:$E$810,"Loss")=0,"need a loser",IF(COUNTIFS($A$4:$A$810,$A797,$D$4:$D$810,$D797)&gt;1,"duplicate player","OK"))))</f>
      </c>
      <c r="P797">
        <f>IF($D797="",0,IFERROR(SUMIFS($H$4:$H$810,$A$4:$A$810,$A797,$E$4:$E$810,"Win")/COUNTIFS($A$4:$A$810,$A797,$E$4:$E$810,"Win"),0))</f>
        <v>0</v>
      </c>
      <c r="Q797">
        <f>IF($D797="",0,1/(1+10^(($P797-$H797)/400)))</f>
        <v>0</v>
      </c>
      <c r="R797">
        <f>IF($D797="",0,(COUNTIFS($D$4:$D$810,$D797,$C$4:$C$810,$C797,$E$4:$E$810,"Win",$A$4:$A$810,"&lt;"&amp;$A797)+1)/(COUNTIFS($D$4:$D$810,$D797,$C$4:$C$810,$C797,$A$4:$A$810,"&lt;"&amp;$A797)+2))</f>
        <v>0</v>
      </c>
      <c r="S797">
        <f>IF($D797="",0,SUMIFS($R$4:$R$810,$A$4:$A$810,$A797))</f>
        <v>0</v>
      </c>
      <c r="T797" s="88">
        <f>IF($D797="",0,COUNTIFS($D$4:$D$810,$D797,$C$4:$C$810,$C797,$A$4:$A$810,"&lt;"&amp;$A797))</f>
        <v>0</v>
      </c>
      <c r="U797" s="125">
        <f>IF($D797="",0,IFERROR(LOOKUP(2,1/(($D$3:D796=$D797)*($C$3:C796=$C797)*($A$3:A796&lt;$A797)),$AB$3:AB796),1000))</f>
        <v>0</v>
      </c>
      <c r="V797" s="125">
        <f>IF($D797="",0,$U797*($T797/($T797+5))+$H797*(1-$T797/($T797+5)))</f>
        <v>0</v>
      </c>
      <c r="W797">
        <f>IF($D797="",0,IFERROR(SUMIFS($V$4:$V$810,$A$4:$A$810,$A797,$E$4:$E$810,"Win")/COUNTIFS($A$4:$A$810,$A797,$E$4:$E$810,"Win"),0))</f>
        <v>0</v>
      </c>
      <c r="X797">
        <f>IF($D797="",0,1/(1+10^(($W797-$V797)/400)))</f>
        <v>0</v>
      </c>
      <c r="Y797">
        <f>IF($D797="",0,IFERROR(SUMIFS($U$4:$U$810,$A$4:$A$810,$A797,$E$4:$E$810,"Win")/COUNTIFS($A$4:$A$810,$A797,$E$4:$E$810,"Win"),0))</f>
        <v>0</v>
      </c>
      <c r="Z797">
        <f>IF($D797="",0,1/(1+10^(($Y797-$U797)/400)))</f>
        <v>0</v>
      </c>
      <c r="AA797">
        <f>IF($D797="",0,IF($F797&lt;2,0,IF($E797="Win",('Guide &amp; Settings'!$C$42/(($F797-1)*COUNTIFS($A$4:$A$810,$A797,$E$4:$E$810,"Win")))*SUMIFS($Z$4:$Z$810,$A$4:$A$810,$A797,$E$4:$E$810,"Loss"),-('Guide &amp; Settings'!$C$42/($F797-1))*$Z797)))</f>
        <v>0</v>
      </c>
      <c r="AB797" s="125">
        <f>IF($D797="",0,$U797+$AA797)</f>
        <v>0</v>
      </c>
      <c r="AC797" s="125" t="str">
        <f>IF($D797="","",IF(SUMPRODUCT(MAX(($D$4:$D$810=$D797)*($B$4:$B$810&lt;$B797)*$B$4:$B$810))=0,0,MAX(($B797-MAX(SUMPRODUCT(MAX(($D$4:$D$810=$D797)*($B$4:$B$810&lt;$B797)*$B$4:$B$810)),'Guide &amp; Settings'!$C$50))/7-'Guide &amp; Settings'!$C$48,0)*'Guide &amp; Settings'!$C$49))</f>
      </c>
    </row>
    <row r="798" spans="1:29">
      <c r="A798" s="116"/>
      <c r="B798" s="117"/>
      <c r="C798" s="118"/>
      <c r="D798" s="118"/>
      <c r="E798" s="116"/>
      <c r="F798" s="119">
        <f>IF($D798="",0,COUNTIF($A$4:$A$810,$A798))</f>
        <v>0</v>
      </c>
      <c r="G798" s="120">
        <f>IF($D798="","",IFERROR(LOOKUP(2,1/(($A$4:$A$810=$A798)*($E$4:$E$810="Win")),$D$4:$D$810),"(no winner)"))</f>
        <v>0</v>
      </c>
      <c r="H798" s="121">
        <f>IF($D798="",0,IFERROR(LOOKUP(2,1/(($D$3:D797=$D798)*($A$3:A797&lt;$A798)),$N$3:N797),'Guide &amp; Settings'!$C$41))</f>
        <v>0</v>
      </c>
      <c r="I798" s="122">
        <f>IF($D798="",0,IF($S798=0,0,$R798/$S798))</f>
        <v>0</v>
      </c>
      <c r="J798" s="123">
        <f>IF($D798="",0,IF($F798&lt;2,0,IF($E798="Win",('Guide &amp; Settings'!$C$42/(($F798-1)*COUNTIFS($A$4:$A$810,$A798,$E$4:$E$810,"Win")))*SUMIFS($X$4:$X$810,$A$4:$A$810,$A798,$E$4:$E$810,"Loss"),-('Guide &amp; Settings'!$C$42/($F798-1))*$X798)))</f>
        <v>0</v>
      </c>
      <c r="K798" s="123">
        <f>IF($D798="",0,'Guide &amp; Settings'!$C$43*(IF($E798="Win",1,0)-$I798))</f>
        <v>0</v>
      </c>
      <c r="L798" s="124">
        <f>IF($D798="",0,'Guide &amp; Settings'!$C$44*IF($F798&gt;=3,$F798+IF($E798="Win",$F798,0),0))</f>
        <v>0</v>
      </c>
      <c r="M798" s="123">
        <f>IF($D798="",0,$J798+$K798+$L798)</f>
        <v>0</v>
      </c>
      <c r="N798" s="121">
        <f>IF($D798="",0,$H798+$M798)</f>
        <v>0</v>
      </c>
      <c r="O798" s="120" t="str">
        <f>IF($D798="","",IF(COUNTIFS($A$4:$A$810,$A798,$E$4:$E$810,"Win")=0,"need a winner",IF(COUNTIFS($A$4:$A$810,$A798,$E$4:$E$810,"Loss")=0,"need a loser",IF(COUNTIFS($A$4:$A$810,$A798,$D$4:$D$810,$D798)&gt;1,"duplicate player","OK"))))</f>
      </c>
      <c r="P798">
        <f>IF($D798="",0,IFERROR(SUMIFS($H$4:$H$810,$A$4:$A$810,$A798,$E$4:$E$810,"Win")/COUNTIFS($A$4:$A$810,$A798,$E$4:$E$810,"Win"),0))</f>
        <v>0</v>
      </c>
      <c r="Q798">
        <f>IF($D798="",0,1/(1+10^(($P798-$H798)/400)))</f>
        <v>0</v>
      </c>
      <c r="R798">
        <f>IF($D798="",0,(COUNTIFS($D$4:$D$810,$D798,$C$4:$C$810,$C798,$E$4:$E$810,"Win",$A$4:$A$810,"&lt;"&amp;$A798)+1)/(COUNTIFS($D$4:$D$810,$D798,$C$4:$C$810,$C798,$A$4:$A$810,"&lt;"&amp;$A798)+2))</f>
        <v>0</v>
      </c>
      <c r="S798">
        <f>IF($D798="",0,SUMIFS($R$4:$R$810,$A$4:$A$810,$A798))</f>
        <v>0</v>
      </c>
      <c r="T798" s="88">
        <f>IF($D798="",0,COUNTIFS($D$4:$D$810,$D798,$C$4:$C$810,$C798,$A$4:$A$810,"&lt;"&amp;$A798))</f>
        <v>0</v>
      </c>
      <c r="U798" s="125">
        <f>IF($D798="",0,IFERROR(LOOKUP(2,1/(($D$3:D797=$D798)*($C$3:C797=$C798)*($A$3:A797&lt;$A798)),$AB$3:AB797),1000))</f>
        <v>0</v>
      </c>
      <c r="V798" s="125">
        <f>IF($D798="",0,$U798*($T798/($T798+5))+$H798*(1-$T798/($T798+5)))</f>
        <v>0</v>
      </c>
      <c r="W798">
        <f>IF($D798="",0,IFERROR(SUMIFS($V$4:$V$810,$A$4:$A$810,$A798,$E$4:$E$810,"Win")/COUNTIFS($A$4:$A$810,$A798,$E$4:$E$810,"Win"),0))</f>
        <v>0</v>
      </c>
      <c r="X798">
        <f>IF($D798="",0,1/(1+10^(($W798-$V798)/400)))</f>
        <v>0</v>
      </c>
      <c r="Y798">
        <f>IF($D798="",0,IFERROR(SUMIFS($U$4:$U$810,$A$4:$A$810,$A798,$E$4:$E$810,"Win")/COUNTIFS($A$4:$A$810,$A798,$E$4:$E$810,"Win"),0))</f>
        <v>0</v>
      </c>
      <c r="Z798">
        <f>IF($D798="",0,1/(1+10^(($Y798-$U798)/400)))</f>
        <v>0</v>
      </c>
      <c r="AA798">
        <f>IF($D798="",0,IF($F798&lt;2,0,IF($E798="Win",('Guide &amp; Settings'!$C$42/(($F798-1)*COUNTIFS($A$4:$A$810,$A798,$E$4:$E$810,"Win")))*SUMIFS($Z$4:$Z$810,$A$4:$A$810,$A798,$E$4:$E$810,"Loss"),-('Guide &amp; Settings'!$C$42/($F798-1))*$Z798)))</f>
        <v>0</v>
      </c>
      <c r="AB798" s="125">
        <f>IF($D798="",0,$U798+$AA798)</f>
        <v>0</v>
      </c>
      <c r="AC798" s="125" t="str">
        <f>IF($D798="","",IF(SUMPRODUCT(MAX(($D$4:$D$810=$D798)*($B$4:$B$810&lt;$B798)*$B$4:$B$810))=0,0,MAX(($B798-MAX(SUMPRODUCT(MAX(($D$4:$D$810=$D798)*($B$4:$B$810&lt;$B798)*$B$4:$B$810)),'Guide &amp; Settings'!$C$50))/7-'Guide &amp; Settings'!$C$48,0)*'Guide &amp; Settings'!$C$49))</f>
      </c>
    </row>
    <row r="799" spans="1:29">
      <c r="A799" s="116"/>
      <c r="B799" s="117"/>
      <c r="C799" s="118"/>
      <c r="D799" s="118"/>
      <c r="E799" s="116"/>
      <c r="F799" s="119">
        <f>IF($D799="",0,COUNTIF($A$4:$A$810,$A799))</f>
        <v>0</v>
      </c>
      <c r="G799" s="120">
        <f>IF($D799="","",IFERROR(LOOKUP(2,1/(($A$4:$A$810=$A799)*($E$4:$E$810="Win")),$D$4:$D$810),"(no winner)"))</f>
        <v>0</v>
      </c>
      <c r="H799" s="121">
        <f>IF($D799="",0,IFERROR(LOOKUP(2,1/(($D$3:D798=$D799)*($A$3:A798&lt;$A799)),$N$3:N798),'Guide &amp; Settings'!$C$41))</f>
        <v>0</v>
      </c>
      <c r="I799" s="122">
        <f>IF($D799="",0,IF($S799=0,0,$R799/$S799))</f>
        <v>0</v>
      </c>
      <c r="J799" s="123">
        <f>IF($D799="",0,IF($F799&lt;2,0,IF($E799="Win",('Guide &amp; Settings'!$C$42/(($F799-1)*COUNTIFS($A$4:$A$810,$A799,$E$4:$E$810,"Win")))*SUMIFS($X$4:$X$810,$A$4:$A$810,$A799,$E$4:$E$810,"Loss"),-('Guide &amp; Settings'!$C$42/($F799-1))*$X799)))</f>
        <v>0</v>
      </c>
      <c r="K799" s="123">
        <f>IF($D799="",0,'Guide &amp; Settings'!$C$43*(IF($E799="Win",1,0)-$I799))</f>
        <v>0</v>
      </c>
      <c r="L799" s="124">
        <f>IF($D799="",0,'Guide &amp; Settings'!$C$44*IF($F799&gt;=3,$F799+IF($E799="Win",$F799,0),0))</f>
        <v>0</v>
      </c>
      <c r="M799" s="123">
        <f>IF($D799="",0,$J799+$K799+$L799)</f>
        <v>0</v>
      </c>
      <c r="N799" s="121">
        <f>IF($D799="",0,$H799+$M799)</f>
        <v>0</v>
      </c>
      <c r="O799" s="120" t="str">
        <f>IF($D799="","",IF(COUNTIFS($A$4:$A$810,$A799,$E$4:$E$810,"Win")=0,"need a winner",IF(COUNTIFS($A$4:$A$810,$A799,$E$4:$E$810,"Loss")=0,"need a loser",IF(COUNTIFS($A$4:$A$810,$A799,$D$4:$D$810,$D799)&gt;1,"duplicate player","OK"))))</f>
      </c>
      <c r="P799">
        <f>IF($D799="",0,IFERROR(SUMIFS($H$4:$H$810,$A$4:$A$810,$A799,$E$4:$E$810,"Win")/COUNTIFS($A$4:$A$810,$A799,$E$4:$E$810,"Win"),0))</f>
        <v>0</v>
      </c>
      <c r="Q799">
        <f>IF($D799="",0,1/(1+10^(($P799-$H799)/400)))</f>
        <v>0</v>
      </c>
      <c r="R799">
        <f>IF($D799="",0,(COUNTIFS($D$4:$D$810,$D799,$C$4:$C$810,$C799,$E$4:$E$810,"Win",$A$4:$A$810,"&lt;"&amp;$A799)+1)/(COUNTIFS($D$4:$D$810,$D799,$C$4:$C$810,$C799,$A$4:$A$810,"&lt;"&amp;$A799)+2))</f>
        <v>0</v>
      </c>
      <c r="S799">
        <f>IF($D799="",0,SUMIFS($R$4:$R$810,$A$4:$A$810,$A799))</f>
        <v>0</v>
      </c>
      <c r="T799" s="88">
        <f>IF($D799="",0,COUNTIFS($D$4:$D$810,$D799,$C$4:$C$810,$C799,$A$4:$A$810,"&lt;"&amp;$A799))</f>
        <v>0</v>
      </c>
      <c r="U799" s="125">
        <f>IF($D799="",0,IFERROR(LOOKUP(2,1/(($D$3:D798=$D799)*($C$3:C798=$C799)*($A$3:A798&lt;$A799)),$AB$3:AB798),1000))</f>
        <v>0</v>
      </c>
      <c r="V799" s="125">
        <f>IF($D799="",0,$U799*($T799/($T799+5))+$H799*(1-$T799/($T799+5)))</f>
        <v>0</v>
      </c>
      <c r="W799">
        <f>IF($D799="",0,IFERROR(SUMIFS($V$4:$V$810,$A$4:$A$810,$A799,$E$4:$E$810,"Win")/COUNTIFS($A$4:$A$810,$A799,$E$4:$E$810,"Win"),0))</f>
        <v>0</v>
      </c>
      <c r="X799">
        <f>IF($D799="",0,1/(1+10^(($W799-$V799)/400)))</f>
        <v>0</v>
      </c>
      <c r="Y799">
        <f>IF($D799="",0,IFERROR(SUMIFS($U$4:$U$810,$A$4:$A$810,$A799,$E$4:$E$810,"Win")/COUNTIFS($A$4:$A$810,$A799,$E$4:$E$810,"Win"),0))</f>
        <v>0</v>
      </c>
      <c r="Z799">
        <f>IF($D799="",0,1/(1+10^(($Y799-$U799)/400)))</f>
        <v>0</v>
      </c>
      <c r="AA799">
        <f>IF($D799="",0,IF($F799&lt;2,0,IF($E799="Win",('Guide &amp; Settings'!$C$42/(($F799-1)*COUNTIFS($A$4:$A$810,$A799,$E$4:$E$810,"Win")))*SUMIFS($Z$4:$Z$810,$A$4:$A$810,$A799,$E$4:$E$810,"Loss"),-('Guide &amp; Settings'!$C$42/($F799-1))*$Z799)))</f>
        <v>0</v>
      </c>
      <c r="AB799" s="125">
        <f>IF($D799="",0,$U799+$AA799)</f>
        <v>0</v>
      </c>
      <c r="AC799" s="125" t="str">
        <f>IF($D799="","",IF(SUMPRODUCT(MAX(($D$4:$D$810=$D799)*($B$4:$B$810&lt;$B799)*$B$4:$B$810))=0,0,MAX(($B799-MAX(SUMPRODUCT(MAX(($D$4:$D$810=$D799)*($B$4:$B$810&lt;$B799)*$B$4:$B$810)),'Guide &amp; Settings'!$C$50))/7-'Guide &amp; Settings'!$C$48,0)*'Guide &amp; Settings'!$C$49))</f>
      </c>
    </row>
    <row r="800" spans="1:29">
      <c r="A800" s="116"/>
      <c r="B800" s="117"/>
      <c r="C800" s="118"/>
      <c r="D800" s="118"/>
      <c r="E800" s="116"/>
      <c r="F800" s="119">
        <f>IF($D800="",0,COUNTIF($A$4:$A$810,$A800))</f>
        <v>0</v>
      </c>
      <c r="G800" s="120">
        <f>IF($D800="","",IFERROR(LOOKUP(2,1/(($A$4:$A$810=$A800)*($E$4:$E$810="Win")),$D$4:$D$810),"(no winner)"))</f>
        <v>0</v>
      </c>
      <c r="H800" s="121">
        <f>IF($D800="",0,IFERROR(LOOKUP(2,1/(($D$3:D799=$D800)*($A$3:A799&lt;$A800)),$N$3:N799),'Guide &amp; Settings'!$C$41))</f>
        <v>0</v>
      </c>
      <c r="I800" s="122">
        <f>IF($D800="",0,IF($S800=0,0,$R800/$S800))</f>
        <v>0</v>
      </c>
      <c r="J800" s="123">
        <f>IF($D800="",0,IF($F800&lt;2,0,IF($E800="Win",('Guide &amp; Settings'!$C$42/(($F800-1)*COUNTIFS($A$4:$A$810,$A800,$E$4:$E$810,"Win")))*SUMIFS($X$4:$X$810,$A$4:$A$810,$A800,$E$4:$E$810,"Loss"),-('Guide &amp; Settings'!$C$42/($F800-1))*$X800)))</f>
        <v>0</v>
      </c>
      <c r="K800" s="123">
        <f>IF($D800="",0,'Guide &amp; Settings'!$C$43*(IF($E800="Win",1,0)-$I800))</f>
        <v>0</v>
      </c>
      <c r="L800" s="124">
        <f>IF($D800="",0,'Guide &amp; Settings'!$C$44*IF($F800&gt;=3,$F800+IF($E800="Win",$F800,0),0))</f>
        <v>0</v>
      </c>
      <c r="M800" s="123">
        <f>IF($D800="",0,$J800+$K800+$L800)</f>
        <v>0</v>
      </c>
      <c r="N800" s="121">
        <f>IF($D800="",0,$H800+$M800)</f>
        <v>0</v>
      </c>
      <c r="O800" s="120" t="str">
        <f>IF($D800="","",IF(COUNTIFS($A$4:$A$810,$A800,$E$4:$E$810,"Win")=0,"need a winner",IF(COUNTIFS($A$4:$A$810,$A800,$E$4:$E$810,"Loss")=0,"need a loser",IF(COUNTIFS($A$4:$A$810,$A800,$D$4:$D$810,$D800)&gt;1,"duplicate player","OK"))))</f>
      </c>
      <c r="P800">
        <f>IF($D800="",0,IFERROR(SUMIFS($H$4:$H$810,$A$4:$A$810,$A800,$E$4:$E$810,"Win")/COUNTIFS($A$4:$A$810,$A800,$E$4:$E$810,"Win"),0))</f>
        <v>0</v>
      </c>
      <c r="Q800">
        <f>IF($D800="",0,1/(1+10^(($P800-$H800)/400)))</f>
        <v>0</v>
      </c>
      <c r="R800">
        <f>IF($D800="",0,(COUNTIFS($D$4:$D$810,$D800,$C$4:$C$810,$C800,$E$4:$E$810,"Win",$A$4:$A$810,"&lt;"&amp;$A800)+1)/(COUNTIFS($D$4:$D$810,$D800,$C$4:$C$810,$C800,$A$4:$A$810,"&lt;"&amp;$A800)+2))</f>
        <v>0</v>
      </c>
      <c r="S800">
        <f>IF($D800="",0,SUMIFS($R$4:$R$810,$A$4:$A$810,$A800))</f>
        <v>0</v>
      </c>
      <c r="T800" s="88">
        <f>IF($D800="",0,COUNTIFS($D$4:$D$810,$D800,$C$4:$C$810,$C800,$A$4:$A$810,"&lt;"&amp;$A800))</f>
        <v>0</v>
      </c>
      <c r="U800" s="125">
        <f>IF($D800="",0,IFERROR(LOOKUP(2,1/(($D$3:D799=$D800)*($C$3:C799=$C800)*($A$3:A799&lt;$A800)),$AB$3:AB799),1000))</f>
        <v>0</v>
      </c>
      <c r="V800" s="125">
        <f>IF($D800="",0,$U800*($T800/($T800+5))+$H800*(1-$T800/($T800+5)))</f>
        <v>0</v>
      </c>
      <c r="W800">
        <f>IF($D800="",0,IFERROR(SUMIFS($V$4:$V$810,$A$4:$A$810,$A800,$E$4:$E$810,"Win")/COUNTIFS($A$4:$A$810,$A800,$E$4:$E$810,"Win"),0))</f>
        <v>0</v>
      </c>
      <c r="X800">
        <f>IF($D800="",0,1/(1+10^(($W800-$V800)/400)))</f>
        <v>0</v>
      </c>
      <c r="Y800">
        <f>IF($D800="",0,IFERROR(SUMIFS($U$4:$U$810,$A$4:$A$810,$A800,$E$4:$E$810,"Win")/COUNTIFS($A$4:$A$810,$A800,$E$4:$E$810,"Win"),0))</f>
        <v>0</v>
      </c>
      <c r="Z800">
        <f>IF($D800="",0,1/(1+10^(($Y800-$U800)/400)))</f>
        <v>0</v>
      </c>
      <c r="AA800">
        <f>IF($D800="",0,IF($F800&lt;2,0,IF($E800="Win",('Guide &amp; Settings'!$C$42/(($F800-1)*COUNTIFS($A$4:$A$810,$A800,$E$4:$E$810,"Win")))*SUMIFS($Z$4:$Z$810,$A$4:$A$810,$A800,$E$4:$E$810,"Loss"),-('Guide &amp; Settings'!$C$42/($F800-1))*$Z800)))</f>
        <v>0</v>
      </c>
      <c r="AB800" s="125">
        <f>IF($D800="",0,$U800+$AA800)</f>
        <v>0</v>
      </c>
      <c r="AC800" s="125" t="str">
        <f>IF($D800="","",IF(SUMPRODUCT(MAX(($D$4:$D$810=$D800)*($B$4:$B$810&lt;$B800)*$B$4:$B$810))=0,0,MAX(($B800-MAX(SUMPRODUCT(MAX(($D$4:$D$810=$D800)*($B$4:$B$810&lt;$B800)*$B$4:$B$810)),'Guide &amp; Settings'!$C$50))/7-'Guide &amp; Settings'!$C$48,0)*'Guide &amp; Settings'!$C$49))</f>
      </c>
    </row>
    <row r="801" spans="1:29">
      <c r="A801" s="116"/>
      <c r="B801" s="117"/>
      <c r="C801" s="118"/>
      <c r="D801" s="118"/>
      <c r="E801" s="116"/>
      <c r="F801" s="119">
        <f>IF($D801="",0,COUNTIF($A$4:$A$810,$A801))</f>
        <v>0</v>
      </c>
      <c r="G801" s="120">
        <f>IF($D801="","",IFERROR(LOOKUP(2,1/(($A$4:$A$810=$A801)*($E$4:$E$810="Win")),$D$4:$D$810),"(no winner)"))</f>
        <v>0</v>
      </c>
      <c r="H801" s="121">
        <f>IF($D801="",0,IFERROR(LOOKUP(2,1/(($D$3:D800=$D801)*($A$3:A800&lt;$A801)),$N$3:N800),'Guide &amp; Settings'!$C$41))</f>
        <v>0</v>
      </c>
      <c r="I801" s="122">
        <f>IF($D801="",0,IF($S801=0,0,$R801/$S801))</f>
        <v>0</v>
      </c>
      <c r="J801" s="123">
        <f>IF($D801="",0,IF($F801&lt;2,0,IF($E801="Win",('Guide &amp; Settings'!$C$42/(($F801-1)*COUNTIFS($A$4:$A$810,$A801,$E$4:$E$810,"Win")))*SUMIFS($X$4:$X$810,$A$4:$A$810,$A801,$E$4:$E$810,"Loss"),-('Guide &amp; Settings'!$C$42/($F801-1))*$X801)))</f>
        <v>0</v>
      </c>
      <c r="K801" s="123">
        <f>IF($D801="",0,'Guide &amp; Settings'!$C$43*(IF($E801="Win",1,0)-$I801))</f>
        <v>0</v>
      </c>
      <c r="L801" s="124">
        <f>IF($D801="",0,'Guide &amp; Settings'!$C$44*IF($F801&gt;=3,$F801+IF($E801="Win",$F801,0),0))</f>
        <v>0</v>
      </c>
      <c r="M801" s="123">
        <f>IF($D801="",0,$J801+$K801+$L801)</f>
        <v>0</v>
      </c>
      <c r="N801" s="121">
        <f>IF($D801="",0,$H801+$M801)</f>
        <v>0</v>
      </c>
      <c r="O801" s="120" t="str">
        <f>IF($D801="","",IF(COUNTIFS($A$4:$A$810,$A801,$E$4:$E$810,"Win")=0,"need a winner",IF(COUNTIFS($A$4:$A$810,$A801,$E$4:$E$810,"Loss")=0,"need a loser",IF(COUNTIFS($A$4:$A$810,$A801,$D$4:$D$810,$D801)&gt;1,"duplicate player","OK"))))</f>
      </c>
      <c r="P801">
        <f>IF($D801="",0,IFERROR(SUMIFS($H$4:$H$810,$A$4:$A$810,$A801,$E$4:$E$810,"Win")/COUNTIFS($A$4:$A$810,$A801,$E$4:$E$810,"Win"),0))</f>
        <v>0</v>
      </c>
      <c r="Q801">
        <f>IF($D801="",0,1/(1+10^(($P801-$H801)/400)))</f>
        <v>0</v>
      </c>
      <c r="R801">
        <f>IF($D801="",0,(COUNTIFS($D$4:$D$810,$D801,$C$4:$C$810,$C801,$E$4:$E$810,"Win",$A$4:$A$810,"&lt;"&amp;$A801)+1)/(COUNTIFS($D$4:$D$810,$D801,$C$4:$C$810,$C801,$A$4:$A$810,"&lt;"&amp;$A801)+2))</f>
        <v>0</v>
      </c>
      <c r="S801">
        <f>IF($D801="",0,SUMIFS($R$4:$R$810,$A$4:$A$810,$A801))</f>
        <v>0</v>
      </c>
      <c r="T801" s="88">
        <f>IF($D801="",0,COUNTIFS($D$4:$D$810,$D801,$C$4:$C$810,$C801,$A$4:$A$810,"&lt;"&amp;$A801))</f>
        <v>0</v>
      </c>
      <c r="U801" s="125">
        <f>IF($D801="",0,IFERROR(LOOKUP(2,1/(($D$3:D800=$D801)*($C$3:C800=$C801)*($A$3:A800&lt;$A801)),$AB$3:AB800),1000))</f>
        <v>0</v>
      </c>
      <c r="V801" s="125">
        <f>IF($D801="",0,$U801*($T801/($T801+5))+$H801*(1-$T801/($T801+5)))</f>
        <v>0</v>
      </c>
      <c r="W801">
        <f>IF($D801="",0,IFERROR(SUMIFS($V$4:$V$810,$A$4:$A$810,$A801,$E$4:$E$810,"Win")/COUNTIFS($A$4:$A$810,$A801,$E$4:$E$810,"Win"),0))</f>
        <v>0</v>
      </c>
      <c r="X801">
        <f>IF($D801="",0,1/(1+10^(($W801-$V801)/400)))</f>
        <v>0</v>
      </c>
      <c r="Y801">
        <f>IF($D801="",0,IFERROR(SUMIFS($U$4:$U$810,$A$4:$A$810,$A801,$E$4:$E$810,"Win")/COUNTIFS($A$4:$A$810,$A801,$E$4:$E$810,"Win"),0))</f>
        <v>0</v>
      </c>
      <c r="Z801">
        <f>IF($D801="",0,1/(1+10^(($Y801-$U801)/400)))</f>
        <v>0</v>
      </c>
      <c r="AA801">
        <f>IF($D801="",0,IF($F801&lt;2,0,IF($E801="Win",('Guide &amp; Settings'!$C$42/(($F801-1)*COUNTIFS($A$4:$A$810,$A801,$E$4:$E$810,"Win")))*SUMIFS($Z$4:$Z$810,$A$4:$A$810,$A801,$E$4:$E$810,"Loss"),-('Guide &amp; Settings'!$C$42/($F801-1))*$Z801)))</f>
        <v>0</v>
      </c>
      <c r="AB801" s="125">
        <f>IF($D801="",0,$U801+$AA801)</f>
        <v>0</v>
      </c>
      <c r="AC801" s="125" t="str">
        <f>IF($D801="","",IF(SUMPRODUCT(MAX(($D$4:$D$810=$D801)*($B$4:$B$810&lt;$B801)*$B$4:$B$810))=0,0,MAX(($B801-MAX(SUMPRODUCT(MAX(($D$4:$D$810=$D801)*($B$4:$B$810&lt;$B801)*$B$4:$B$810)),'Guide &amp; Settings'!$C$50))/7-'Guide &amp; Settings'!$C$48,0)*'Guide &amp; Settings'!$C$49))</f>
      </c>
    </row>
    <row r="802" spans="1:29">
      <c r="A802" s="116"/>
      <c r="B802" s="117"/>
      <c r="C802" s="118"/>
      <c r="D802" s="118"/>
      <c r="E802" s="116"/>
      <c r="F802" s="119">
        <f>IF($D802="",0,COUNTIF($A$4:$A$810,$A802))</f>
        <v>0</v>
      </c>
      <c r="G802" s="120">
        <f>IF($D802="","",IFERROR(LOOKUP(2,1/(($A$4:$A$810=$A802)*($E$4:$E$810="Win")),$D$4:$D$810),"(no winner)"))</f>
        <v>0</v>
      </c>
      <c r="H802" s="121">
        <f>IF($D802="",0,IFERROR(LOOKUP(2,1/(($D$3:D801=$D802)*($A$3:A801&lt;$A802)),$N$3:N801),'Guide &amp; Settings'!$C$41))</f>
        <v>0</v>
      </c>
      <c r="I802" s="122">
        <f>IF($D802="",0,IF($S802=0,0,$R802/$S802))</f>
        <v>0</v>
      </c>
      <c r="J802" s="123">
        <f>IF($D802="",0,IF($F802&lt;2,0,IF($E802="Win",('Guide &amp; Settings'!$C$42/(($F802-1)*COUNTIFS($A$4:$A$810,$A802,$E$4:$E$810,"Win")))*SUMIFS($X$4:$X$810,$A$4:$A$810,$A802,$E$4:$E$810,"Loss"),-('Guide &amp; Settings'!$C$42/($F802-1))*$X802)))</f>
        <v>0</v>
      </c>
      <c r="K802" s="123">
        <f>IF($D802="",0,'Guide &amp; Settings'!$C$43*(IF($E802="Win",1,0)-$I802))</f>
        <v>0</v>
      </c>
      <c r="L802" s="124">
        <f>IF($D802="",0,'Guide &amp; Settings'!$C$44*IF($F802&gt;=3,$F802+IF($E802="Win",$F802,0),0))</f>
        <v>0</v>
      </c>
      <c r="M802" s="123">
        <f>IF($D802="",0,$J802+$K802+$L802)</f>
        <v>0</v>
      </c>
      <c r="N802" s="121">
        <f>IF($D802="",0,$H802+$M802)</f>
        <v>0</v>
      </c>
      <c r="O802" s="120" t="str">
        <f>IF($D802="","",IF(COUNTIFS($A$4:$A$810,$A802,$E$4:$E$810,"Win")=0,"need a winner",IF(COUNTIFS($A$4:$A$810,$A802,$E$4:$E$810,"Loss")=0,"need a loser",IF(COUNTIFS($A$4:$A$810,$A802,$D$4:$D$810,$D802)&gt;1,"duplicate player","OK"))))</f>
      </c>
      <c r="P802">
        <f>IF($D802="",0,IFERROR(SUMIFS($H$4:$H$810,$A$4:$A$810,$A802,$E$4:$E$810,"Win")/COUNTIFS($A$4:$A$810,$A802,$E$4:$E$810,"Win"),0))</f>
        <v>0</v>
      </c>
      <c r="Q802">
        <f>IF($D802="",0,1/(1+10^(($P802-$H802)/400)))</f>
        <v>0</v>
      </c>
      <c r="R802">
        <f>IF($D802="",0,(COUNTIFS($D$4:$D$810,$D802,$C$4:$C$810,$C802,$E$4:$E$810,"Win",$A$4:$A$810,"&lt;"&amp;$A802)+1)/(COUNTIFS($D$4:$D$810,$D802,$C$4:$C$810,$C802,$A$4:$A$810,"&lt;"&amp;$A802)+2))</f>
        <v>0</v>
      </c>
      <c r="S802">
        <f>IF($D802="",0,SUMIFS($R$4:$R$810,$A$4:$A$810,$A802))</f>
        <v>0</v>
      </c>
      <c r="T802" s="88">
        <f>IF($D802="",0,COUNTIFS($D$4:$D$810,$D802,$C$4:$C$810,$C802,$A$4:$A$810,"&lt;"&amp;$A802))</f>
        <v>0</v>
      </c>
      <c r="U802" s="125">
        <f>IF($D802="",0,IFERROR(LOOKUP(2,1/(($D$3:D801=$D802)*($C$3:C801=$C802)*($A$3:A801&lt;$A802)),$AB$3:AB801),1000))</f>
        <v>0</v>
      </c>
      <c r="V802" s="125">
        <f>IF($D802="",0,$U802*($T802/($T802+5))+$H802*(1-$T802/($T802+5)))</f>
        <v>0</v>
      </c>
      <c r="W802">
        <f>IF($D802="",0,IFERROR(SUMIFS($V$4:$V$810,$A$4:$A$810,$A802,$E$4:$E$810,"Win")/COUNTIFS($A$4:$A$810,$A802,$E$4:$E$810,"Win"),0))</f>
        <v>0</v>
      </c>
      <c r="X802">
        <f>IF($D802="",0,1/(1+10^(($W802-$V802)/400)))</f>
        <v>0</v>
      </c>
      <c r="Y802">
        <f>IF($D802="",0,IFERROR(SUMIFS($U$4:$U$810,$A$4:$A$810,$A802,$E$4:$E$810,"Win")/COUNTIFS($A$4:$A$810,$A802,$E$4:$E$810,"Win"),0))</f>
        <v>0</v>
      </c>
      <c r="Z802">
        <f>IF($D802="",0,1/(1+10^(($Y802-$U802)/400)))</f>
        <v>0</v>
      </c>
      <c r="AA802">
        <f>IF($D802="",0,IF($F802&lt;2,0,IF($E802="Win",('Guide &amp; Settings'!$C$42/(($F802-1)*COUNTIFS($A$4:$A$810,$A802,$E$4:$E$810,"Win")))*SUMIFS($Z$4:$Z$810,$A$4:$A$810,$A802,$E$4:$E$810,"Loss"),-('Guide &amp; Settings'!$C$42/($F802-1))*$Z802)))</f>
        <v>0</v>
      </c>
      <c r="AB802" s="125">
        <f>IF($D802="",0,$U802+$AA802)</f>
        <v>0</v>
      </c>
      <c r="AC802" s="125" t="str">
        <f>IF($D802="","",IF(SUMPRODUCT(MAX(($D$4:$D$810=$D802)*($B$4:$B$810&lt;$B802)*$B$4:$B$810))=0,0,MAX(($B802-MAX(SUMPRODUCT(MAX(($D$4:$D$810=$D802)*($B$4:$B$810&lt;$B802)*$B$4:$B$810)),'Guide &amp; Settings'!$C$50))/7-'Guide &amp; Settings'!$C$48,0)*'Guide &amp; Settings'!$C$49))</f>
      </c>
    </row>
    <row r="803" spans="1:29">
      <c r="A803" s="116"/>
      <c r="B803" s="117"/>
      <c r="C803" s="118"/>
      <c r="D803" s="118"/>
      <c r="E803" s="116"/>
      <c r="F803" s="119">
        <f>IF($D803="",0,COUNTIF($A$4:$A$810,$A803))</f>
        <v>0</v>
      </c>
      <c r="G803" s="120">
        <f>IF($D803="","",IFERROR(LOOKUP(2,1/(($A$4:$A$810=$A803)*($E$4:$E$810="Win")),$D$4:$D$810),"(no winner)"))</f>
        <v>0</v>
      </c>
      <c r="H803" s="121">
        <f>IF($D803="",0,IFERROR(LOOKUP(2,1/(($D$3:D802=$D803)*($A$3:A802&lt;$A803)),$N$3:N802),'Guide &amp; Settings'!$C$41))</f>
        <v>0</v>
      </c>
      <c r="I803" s="122">
        <f>IF($D803="",0,IF($S803=0,0,$R803/$S803))</f>
        <v>0</v>
      </c>
      <c r="J803" s="123">
        <f>IF($D803="",0,IF($F803&lt;2,0,IF($E803="Win",('Guide &amp; Settings'!$C$42/(($F803-1)*COUNTIFS($A$4:$A$810,$A803,$E$4:$E$810,"Win")))*SUMIFS($X$4:$X$810,$A$4:$A$810,$A803,$E$4:$E$810,"Loss"),-('Guide &amp; Settings'!$C$42/($F803-1))*$X803)))</f>
        <v>0</v>
      </c>
      <c r="K803" s="123">
        <f>IF($D803="",0,'Guide &amp; Settings'!$C$43*(IF($E803="Win",1,0)-$I803))</f>
        <v>0</v>
      </c>
      <c r="L803" s="124">
        <f>IF($D803="",0,'Guide &amp; Settings'!$C$44*IF($F803&gt;=3,$F803+IF($E803="Win",$F803,0),0))</f>
        <v>0</v>
      </c>
      <c r="M803" s="123">
        <f>IF($D803="",0,$J803+$K803+$L803)</f>
        <v>0</v>
      </c>
      <c r="N803" s="121">
        <f>IF($D803="",0,$H803+$M803)</f>
        <v>0</v>
      </c>
      <c r="O803" s="120" t="str">
        <f>IF($D803="","",IF(COUNTIFS($A$4:$A$810,$A803,$E$4:$E$810,"Win")=0,"need a winner",IF(COUNTIFS($A$4:$A$810,$A803,$E$4:$E$810,"Loss")=0,"need a loser",IF(COUNTIFS($A$4:$A$810,$A803,$D$4:$D$810,$D803)&gt;1,"duplicate player","OK"))))</f>
      </c>
      <c r="P803">
        <f>IF($D803="",0,IFERROR(SUMIFS($H$4:$H$810,$A$4:$A$810,$A803,$E$4:$E$810,"Win")/COUNTIFS($A$4:$A$810,$A803,$E$4:$E$810,"Win"),0))</f>
        <v>0</v>
      </c>
      <c r="Q803">
        <f>IF($D803="",0,1/(1+10^(($P803-$H803)/400)))</f>
        <v>0</v>
      </c>
      <c r="R803">
        <f>IF($D803="",0,(COUNTIFS($D$4:$D$810,$D803,$C$4:$C$810,$C803,$E$4:$E$810,"Win",$A$4:$A$810,"&lt;"&amp;$A803)+1)/(COUNTIFS($D$4:$D$810,$D803,$C$4:$C$810,$C803,$A$4:$A$810,"&lt;"&amp;$A803)+2))</f>
        <v>0</v>
      </c>
      <c r="S803">
        <f>IF($D803="",0,SUMIFS($R$4:$R$810,$A$4:$A$810,$A803))</f>
        <v>0</v>
      </c>
      <c r="T803" s="88">
        <f>IF($D803="",0,COUNTIFS($D$4:$D$810,$D803,$C$4:$C$810,$C803,$A$4:$A$810,"&lt;"&amp;$A803))</f>
        <v>0</v>
      </c>
      <c r="U803" s="125">
        <f>IF($D803="",0,IFERROR(LOOKUP(2,1/(($D$3:D802=$D803)*($C$3:C802=$C803)*($A$3:A802&lt;$A803)),$AB$3:AB802),1000))</f>
        <v>0</v>
      </c>
      <c r="V803" s="125">
        <f>IF($D803="",0,$U803*($T803/($T803+5))+$H803*(1-$T803/($T803+5)))</f>
        <v>0</v>
      </c>
      <c r="W803">
        <f>IF($D803="",0,IFERROR(SUMIFS($V$4:$V$810,$A$4:$A$810,$A803,$E$4:$E$810,"Win")/COUNTIFS($A$4:$A$810,$A803,$E$4:$E$810,"Win"),0))</f>
        <v>0</v>
      </c>
      <c r="X803">
        <f>IF($D803="",0,1/(1+10^(($W803-$V803)/400)))</f>
        <v>0</v>
      </c>
      <c r="Y803">
        <f>IF($D803="",0,IFERROR(SUMIFS($U$4:$U$810,$A$4:$A$810,$A803,$E$4:$E$810,"Win")/COUNTIFS($A$4:$A$810,$A803,$E$4:$E$810,"Win"),0))</f>
        <v>0</v>
      </c>
      <c r="Z803">
        <f>IF($D803="",0,1/(1+10^(($Y803-$U803)/400)))</f>
        <v>0</v>
      </c>
      <c r="AA803">
        <f>IF($D803="",0,IF($F803&lt;2,0,IF($E803="Win",('Guide &amp; Settings'!$C$42/(($F803-1)*COUNTIFS($A$4:$A$810,$A803,$E$4:$E$810,"Win")))*SUMIFS($Z$4:$Z$810,$A$4:$A$810,$A803,$E$4:$E$810,"Loss"),-('Guide &amp; Settings'!$C$42/($F803-1))*$Z803)))</f>
        <v>0</v>
      </c>
      <c r="AB803" s="125">
        <f>IF($D803="",0,$U803+$AA803)</f>
        <v>0</v>
      </c>
      <c r="AC803" s="125" t="str">
        <f>IF($D803="","",IF(SUMPRODUCT(MAX(($D$4:$D$810=$D803)*($B$4:$B$810&lt;$B803)*$B$4:$B$810))=0,0,MAX(($B803-MAX(SUMPRODUCT(MAX(($D$4:$D$810=$D803)*($B$4:$B$810&lt;$B803)*$B$4:$B$810)),'Guide &amp; Settings'!$C$50))/7-'Guide &amp; Settings'!$C$48,0)*'Guide &amp; Settings'!$C$49))</f>
      </c>
    </row>
    <row r="804" spans="1:29">
      <c r="A804" s="116"/>
      <c r="B804" s="117"/>
      <c r="C804" s="118"/>
      <c r="D804" s="118"/>
      <c r="E804" s="116"/>
      <c r="F804" s="119">
        <f>IF($D804="",0,COUNTIF($A$4:$A$810,$A804))</f>
        <v>0</v>
      </c>
      <c r="G804" s="120">
        <f>IF($D804="","",IFERROR(LOOKUP(2,1/(($A$4:$A$810=$A804)*($E$4:$E$810="Win")),$D$4:$D$810),"(no winner)"))</f>
        <v>0</v>
      </c>
      <c r="H804" s="121">
        <f>IF($D804="",0,IFERROR(LOOKUP(2,1/(($D$3:D803=$D804)*($A$3:A803&lt;$A804)),$N$3:N803),'Guide &amp; Settings'!$C$41))</f>
        <v>0</v>
      </c>
      <c r="I804" s="122">
        <f>IF($D804="",0,IF($S804=0,0,$R804/$S804))</f>
        <v>0</v>
      </c>
      <c r="J804" s="123">
        <f>IF($D804="",0,IF($F804&lt;2,0,IF($E804="Win",('Guide &amp; Settings'!$C$42/(($F804-1)*COUNTIFS($A$4:$A$810,$A804,$E$4:$E$810,"Win")))*SUMIFS($X$4:$X$810,$A$4:$A$810,$A804,$E$4:$E$810,"Loss"),-('Guide &amp; Settings'!$C$42/($F804-1))*$X804)))</f>
        <v>0</v>
      </c>
      <c r="K804" s="123">
        <f>IF($D804="",0,'Guide &amp; Settings'!$C$43*(IF($E804="Win",1,0)-$I804))</f>
        <v>0</v>
      </c>
      <c r="L804" s="124">
        <f>IF($D804="",0,'Guide &amp; Settings'!$C$44*IF($F804&gt;=3,$F804+IF($E804="Win",$F804,0),0))</f>
        <v>0</v>
      </c>
      <c r="M804" s="123">
        <f>IF($D804="",0,$J804+$K804+$L804)</f>
        <v>0</v>
      </c>
      <c r="N804" s="121">
        <f>IF($D804="",0,$H804+$M804)</f>
        <v>0</v>
      </c>
      <c r="O804" s="120" t="str">
        <f>IF($D804="","",IF(COUNTIFS($A$4:$A$810,$A804,$E$4:$E$810,"Win")=0,"need a winner",IF(COUNTIFS($A$4:$A$810,$A804,$E$4:$E$810,"Loss")=0,"need a loser",IF(COUNTIFS($A$4:$A$810,$A804,$D$4:$D$810,$D804)&gt;1,"duplicate player","OK"))))</f>
      </c>
      <c r="P804">
        <f>IF($D804="",0,IFERROR(SUMIFS($H$4:$H$810,$A$4:$A$810,$A804,$E$4:$E$810,"Win")/COUNTIFS($A$4:$A$810,$A804,$E$4:$E$810,"Win"),0))</f>
        <v>0</v>
      </c>
      <c r="Q804">
        <f>IF($D804="",0,1/(1+10^(($P804-$H804)/400)))</f>
        <v>0</v>
      </c>
      <c r="R804">
        <f>IF($D804="",0,(COUNTIFS($D$4:$D$810,$D804,$C$4:$C$810,$C804,$E$4:$E$810,"Win",$A$4:$A$810,"&lt;"&amp;$A804)+1)/(COUNTIFS($D$4:$D$810,$D804,$C$4:$C$810,$C804,$A$4:$A$810,"&lt;"&amp;$A804)+2))</f>
        <v>0</v>
      </c>
      <c r="S804">
        <f>IF($D804="",0,SUMIFS($R$4:$R$810,$A$4:$A$810,$A804))</f>
        <v>0</v>
      </c>
      <c r="T804" s="88">
        <f>IF($D804="",0,COUNTIFS($D$4:$D$810,$D804,$C$4:$C$810,$C804,$A$4:$A$810,"&lt;"&amp;$A804))</f>
        <v>0</v>
      </c>
      <c r="U804" s="125">
        <f>IF($D804="",0,IFERROR(LOOKUP(2,1/(($D$3:D803=$D804)*($C$3:C803=$C804)*($A$3:A803&lt;$A804)),$AB$3:AB803),1000))</f>
        <v>0</v>
      </c>
      <c r="V804" s="125">
        <f>IF($D804="",0,$U804*($T804/($T804+5))+$H804*(1-$T804/($T804+5)))</f>
        <v>0</v>
      </c>
      <c r="W804">
        <f>IF($D804="",0,IFERROR(SUMIFS($V$4:$V$810,$A$4:$A$810,$A804,$E$4:$E$810,"Win")/COUNTIFS($A$4:$A$810,$A804,$E$4:$E$810,"Win"),0))</f>
        <v>0</v>
      </c>
      <c r="X804">
        <f>IF($D804="",0,1/(1+10^(($W804-$V804)/400)))</f>
        <v>0</v>
      </c>
      <c r="Y804">
        <f>IF($D804="",0,IFERROR(SUMIFS($U$4:$U$810,$A$4:$A$810,$A804,$E$4:$E$810,"Win")/COUNTIFS($A$4:$A$810,$A804,$E$4:$E$810,"Win"),0))</f>
        <v>0</v>
      </c>
      <c r="Z804">
        <f>IF($D804="",0,1/(1+10^(($Y804-$U804)/400)))</f>
        <v>0</v>
      </c>
      <c r="AA804">
        <f>IF($D804="",0,IF($F804&lt;2,0,IF($E804="Win",('Guide &amp; Settings'!$C$42/(($F804-1)*COUNTIFS($A$4:$A$810,$A804,$E$4:$E$810,"Win")))*SUMIFS($Z$4:$Z$810,$A$4:$A$810,$A804,$E$4:$E$810,"Loss"),-('Guide &amp; Settings'!$C$42/($F804-1))*$Z804)))</f>
        <v>0</v>
      </c>
      <c r="AB804" s="125">
        <f>IF($D804="",0,$U804+$AA804)</f>
        <v>0</v>
      </c>
      <c r="AC804" s="125" t="str">
        <f>IF($D804="","",IF(SUMPRODUCT(MAX(($D$4:$D$810=$D804)*($B$4:$B$810&lt;$B804)*$B$4:$B$810))=0,0,MAX(($B804-MAX(SUMPRODUCT(MAX(($D$4:$D$810=$D804)*($B$4:$B$810&lt;$B804)*$B$4:$B$810)),'Guide &amp; Settings'!$C$50))/7-'Guide &amp; Settings'!$C$48,0)*'Guide &amp; Settings'!$C$49))</f>
      </c>
    </row>
    <row r="805" spans="1:29">
      <c r="A805" s="116"/>
      <c r="B805" s="117"/>
      <c r="C805" s="118"/>
      <c r="D805" s="118"/>
      <c r="E805" s="116"/>
      <c r="F805" s="119">
        <f>IF($D805="",0,COUNTIF($A$4:$A$810,$A805))</f>
        <v>0</v>
      </c>
      <c r="G805" s="120">
        <f>IF($D805="","",IFERROR(LOOKUP(2,1/(($A$4:$A$810=$A805)*($E$4:$E$810="Win")),$D$4:$D$810),"(no winner)"))</f>
        <v>0</v>
      </c>
      <c r="H805" s="121">
        <f>IF($D805="",0,IFERROR(LOOKUP(2,1/(($D$3:D804=$D805)*($A$3:A804&lt;$A805)),$N$3:N804),'Guide &amp; Settings'!$C$41))</f>
        <v>0</v>
      </c>
      <c r="I805" s="122">
        <f>IF($D805="",0,IF($S805=0,0,$R805/$S805))</f>
        <v>0</v>
      </c>
      <c r="J805" s="123">
        <f>IF($D805="",0,IF($F805&lt;2,0,IF($E805="Win",('Guide &amp; Settings'!$C$42/(($F805-1)*COUNTIFS($A$4:$A$810,$A805,$E$4:$E$810,"Win")))*SUMIFS($X$4:$X$810,$A$4:$A$810,$A805,$E$4:$E$810,"Loss"),-('Guide &amp; Settings'!$C$42/($F805-1))*$X805)))</f>
        <v>0</v>
      </c>
      <c r="K805" s="123">
        <f>IF($D805="",0,'Guide &amp; Settings'!$C$43*(IF($E805="Win",1,0)-$I805))</f>
        <v>0</v>
      </c>
      <c r="L805" s="124">
        <f>IF($D805="",0,'Guide &amp; Settings'!$C$44*IF($F805&gt;=3,$F805+IF($E805="Win",$F805,0),0))</f>
        <v>0</v>
      </c>
      <c r="M805" s="123">
        <f>IF($D805="",0,$J805+$K805+$L805)</f>
        <v>0</v>
      </c>
      <c r="N805" s="121">
        <f>IF($D805="",0,$H805+$M805)</f>
        <v>0</v>
      </c>
      <c r="O805" s="120" t="str">
        <f>IF($D805="","",IF(COUNTIFS($A$4:$A$810,$A805,$E$4:$E$810,"Win")=0,"need a winner",IF(COUNTIFS($A$4:$A$810,$A805,$E$4:$E$810,"Loss")=0,"need a loser",IF(COUNTIFS($A$4:$A$810,$A805,$D$4:$D$810,$D805)&gt;1,"duplicate player","OK"))))</f>
      </c>
      <c r="P805">
        <f>IF($D805="",0,IFERROR(SUMIFS($H$4:$H$810,$A$4:$A$810,$A805,$E$4:$E$810,"Win")/COUNTIFS($A$4:$A$810,$A805,$E$4:$E$810,"Win"),0))</f>
        <v>0</v>
      </c>
      <c r="Q805">
        <f>IF($D805="",0,1/(1+10^(($P805-$H805)/400)))</f>
        <v>0</v>
      </c>
      <c r="R805">
        <f>IF($D805="",0,(COUNTIFS($D$4:$D$810,$D805,$C$4:$C$810,$C805,$E$4:$E$810,"Win",$A$4:$A$810,"&lt;"&amp;$A805)+1)/(COUNTIFS($D$4:$D$810,$D805,$C$4:$C$810,$C805,$A$4:$A$810,"&lt;"&amp;$A805)+2))</f>
        <v>0</v>
      </c>
      <c r="S805">
        <f>IF($D805="",0,SUMIFS($R$4:$R$810,$A$4:$A$810,$A805))</f>
        <v>0</v>
      </c>
      <c r="T805" s="88">
        <f>IF($D805="",0,COUNTIFS($D$4:$D$810,$D805,$C$4:$C$810,$C805,$A$4:$A$810,"&lt;"&amp;$A805))</f>
        <v>0</v>
      </c>
      <c r="U805" s="125">
        <f>IF($D805="",0,IFERROR(LOOKUP(2,1/(($D$3:D804=$D805)*($C$3:C804=$C805)*($A$3:A804&lt;$A805)),$AB$3:AB804),1000))</f>
        <v>0</v>
      </c>
      <c r="V805" s="125">
        <f>IF($D805="",0,$U805*($T805/($T805+5))+$H805*(1-$T805/($T805+5)))</f>
        <v>0</v>
      </c>
      <c r="W805">
        <f>IF($D805="",0,IFERROR(SUMIFS($V$4:$V$810,$A$4:$A$810,$A805,$E$4:$E$810,"Win")/COUNTIFS($A$4:$A$810,$A805,$E$4:$E$810,"Win"),0))</f>
        <v>0</v>
      </c>
      <c r="X805">
        <f>IF($D805="",0,1/(1+10^(($W805-$V805)/400)))</f>
        <v>0</v>
      </c>
      <c r="Y805">
        <f>IF($D805="",0,IFERROR(SUMIFS($U$4:$U$810,$A$4:$A$810,$A805,$E$4:$E$810,"Win")/COUNTIFS($A$4:$A$810,$A805,$E$4:$E$810,"Win"),0))</f>
        <v>0</v>
      </c>
      <c r="Z805">
        <f>IF($D805="",0,1/(1+10^(($Y805-$U805)/400)))</f>
        <v>0</v>
      </c>
      <c r="AA805">
        <f>IF($D805="",0,IF($F805&lt;2,0,IF($E805="Win",('Guide &amp; Settings'!$C$42/(($F805-1)*COUNTIFS($A$4:$A$810,$A805,$E$4:$E$810,"Win")))*SUMIFS($Z$4:$Z$810,$A$4:$A$810,$A805,$E$4:$E$810,"Loss"),-('Guide &amp; Settings'!$C$42/($F805-1))*$Z805)))</f>
        <v>0</v>
      </c>
      <c r="AB805" s="125">
        <f>IF($D805="",0,$U805+$AA805)</f>
        <v>0</v>
      </c>
      <c r="AC805" s="125" t="str">
        <f>IF($D805="","",IF(SUMPRODUCT(MAX(($D$4:$D$810=$D805)*($B$4:$B$810&lt;$B805)*$B$4:$B$810))=0,0,MAX(($B805-MAX(SUMPRODUCT(MAX(($D$4:$D$810=$D805)*($B$4:$B$810&lt;$B805)*$B$4:$B$810)),'Guide &amp; Settings'!$C$50))/7-'Guide &amp; Settings'!$C$48,0)*'Guide &amp; Settings'!$C$49))</f>
      </c>
    </row>
    <row r="806" spans="1:29">
      <c r="A806" s="116"/>
      <c r="B806" s="117"/>
      <c r="C806" s="118"/>
      <c r="D806" s="118"/>
      <c r="E806" s="116"/>
      <c r="F806" s="119">
        <f>IF($D806="",0,COUNTIF($A$4:$A$810,$A806))</f>
        <v>0</v>
      </c>
      <c r="G806" s="120">
        <f>IF($D806="","",IFERROR(LOOKUP(2,1/(($A$4:$A$810=$A806)*($E$4:$E$810="Win")),$D$4:$D$810),"(no winner)"))</f>
        <v>0</v>
      </c>
      <c r="H806" s="121">
        <f>IF($D806="",0,IFERROR(LOOKUP(2,1/(($D$3:D805=$D806)*($A$3:A805&lt;$A806)),$N$3:N805),'Guide &amp; Settings'!$C$41))</f>
        <v>0</v>
      </c>
      <c r="I806" s="122">
        <f>IF($D806="",0,IF($S806=0,0,$R806/$S806))</f>
        <v>0</v>
      </c>
      <c r="J806" s="123">
        <f>IF($D806="",0,IF($F806&lt;2,0,IF($E806="Win",('Guide &amp; Settings'!$C$42/(($F806-1)*COUNTIFS($A$4:$A$810,$A806,$E$4:$E$810,"Win")))*SUMIFS($X$4:$X$810,$A$4:$A$810,$A806,$E$4:$E$810,"Loss"),-('Guide &amp; Settings'!$C$42/($F806-1))*$X806)))</f>
        <v>0</v>
      </c>
      <c r="K806" s="123">
        <f>IF($D806="",0,'Guide &amp; Settings'!$C$43*(IF($E806="Win",1,0)-$I806))</f>
        <v>0</v>
      </c>
      <c r="L806" s="124">
        <f>IF($D806="",0,'Guide &amp; Settings'!$C$44*IF($F806&gt;=3,$F806+IF($E806="Win",$F806,0),0))</f>
        <v>0</v>
      </c>
      <c r="M806" s="123">
        <f>IF($D806="",0,$J806+$K806+$L806)</f>
        <v>0</v>
      </c>
      <c r="N806" s="121">
        <f>IF($D806="",0,$H806+$M806)</f>
        <v>0</v>
      </c>
      <c r="O806" s="120" t="str">
        <f>IF($D806="","",IF(COUNTIFS($A$4:$A$810,$A806,$E$4:$E$810,"Win")=0,"need a winner",IF(COUNTIFS($A$4:$A$810,$A806,$E$4:$E$810,"Loss")=0,"need a loser",IF(COUNTIFS($A$4:$A$810,$A806,$D$4:$D$810,$D806)&gt;1,"duplicate player","OK"))))</f>
      </c>
      <c r="P806">
        <f>IF($D806="",0,IFERROR(SUMIFS($H$4:$H$810,$A$4:$A$810,$A806,$E$4:$E$810,"Win")/COUNTIFS($A$4:$A$810,$A806,$E$4:$E$810,"Win"),0))</f>
        <v>0</v>
      </c>
      <c r="Q806">
        <f>IF($D806="",0,1/(1+10^(($P806-$H806)/400)))</f>
        <v>0</v>
      </c>
      <c r="R806">
        <f>IF($D806="",0,(COUNTIFS($D$4:$D$810,$D806,$C$4:$C$810,$C806,$E$4:$E$810,"Win",$A$4:$A$810,"&lt;"&amp;$A806)+1)/(COUNTIFS($D$4:$D$810,$D806,$C$4:$C$810,$C806,$A$4:$A$810,"&lt;"&amp;$A806)+2))</f>
        <v>0</v>
      </c>
      <c r="S806">
        <f>IF($D806="",0,SUMIFS($R$4:$R$810,$A$4:$A$810,$A806))</f>
        <v>0</v>
      </c>
      <c r="T806" s="88">
        <f>IF($D806="",0,COUNTIFS($D$4:$D$810,$D806,$C$4:$C$810,$C806,$A$4:$A$810,"&lt;"&amp;$A806))</f>
        <v>0</v>
      </c>
      <c r="U806" s="125">
        <f>IF($D806="",0,IFERROR(LOOKUP(2,1/(($D$3:D805=$D806)*($C$3:C805=$C806)*($A$3:A805&lt;$A806)),$AB$3:AB805),1000))</f>
        <v>0</v>
      </c>
      <c r="V806" s="125">
        <f>IF($D806="",0,$U806*($T806/($T806+5))+$H806*(1-$T806/($T806+5)))</f>
        <v>0</v>
      </c>
      <c r="W806">
        <f>IF($D806="",0,IFERROR(SUMIFS($V$4:$V$810,$A$4:$A$810,$A806,$E$4:$E$810,"Win")/COUNTIFS($A$4:$A$810,$A806,$E$4:$E$810,"Win"),0))</f>
        <v>0</v>
      </c>
      <c r="X806">
        <f>IF($D806="",0,1/(1+10^(($W806-$V806)/400)))</f>
        <v>0</v>
      </c>
      <c r="Y806">
        <f>IF($D806="",0,IFERROR(SUMIFS($U$4:$U$810,$A$4:$A$810,$A806,$E$4:$E$810,"Win")/COUNTIFS($A$4:$A$810,$A806,$E$4:$E$810,"Win"),0))</f>
        <v>0</v>
      </c>
      <c r="Z806">
        <f>IF($D806="",0,1/(1+10^(($Y806-$U806)/400)))</f>
        <v>0</v>
      </c>
      <c r="AA806">
        <f>IF($D806="",0,IF($F806&lt;2,0,IF($E806="Win",('Guide &amp; Settings'!$C$42/(($F806-1)*COUNTIFS($A$4:$A$810,$A806,$E$4:$E$810,"Win")))*SUMIFS($Z$4:$Z$810,$A$4:$A$810,$A806,$E$4:$E$810,"Loss"),-('Guide &amp; Settings'!$C$42/($F806-1))*$Z806)))</f>
        <v>0</v>
      </c>
      <c r="AB806" s="125">
        <f>IF($D806="",0,$U806+$AA806)</f>
        <v>0</v>
      </c>
      <c r="AC806" s="125" t="str">
        <f>IF($D806="","",IF(SUMPRODUCT(MAX(($D$4:$D$810=$D806)*($B$4:$B$810&lt;$B806)*$B$4:$B$810))=0,0,MAX(($B806-MAX(SUMPRODUCT(MAX(($D$4:$D$810=$D806)*($B$4:$B$810&lt;$B806)*$B$4:$B$810)),'Guide &amp; Settings'!$C$50))/7-'Guide &amp; Settings'!$C$48,0)*'Guide &amp; Settings'!$C$49))</f>
      </c>
    </row>
    <row r="807" spans="1:29">
      <c r="A807" s="116"/>
      <c r="B807" s="117"/>
      <c r="C807" s="118"/>
      <c r="D807" s="118"/>
      <c r="E807" s="116"/>
      <c r="F807" s="119">
        <f>IF($D807="",0,COUNTIF($A$4:$A$810,$A807))</f>
        <v>0</v>
      </c>
      <c r="G807" s="120">
        <f>IF($D807="","",IFERROR(LOOKUP(2,1/(($A$4:$A$810=$A807)*($E$4:$E$810="Win")),$D$4:$D$810),"(no winner)"))</f>
        <v>0</v>
      </c>
      <c r="H807" s="121">
        <f>IF($D807="",0,IFERROR(LOOKUP(2,1/(($D$3:D806=$D807)*($A$3:A806&lt;$A807)),$N$3:N806),'Guide &amp; Settings'!$C$41))</f>
        <v>0</v>
      </c>
      <c r="I807" s="122">
        <f>IF($D807="",0,IF($S807=0,0,$R807/$S807))</f>
        <v>0</v>
      </c>
      <c r="J807" s="123">
        <f>IF($D807="",0,IF($F807&lt;2,0,IF($E807="Win",('Guide &amp; Settings'!$C$42/(($F807-1)*COUNTIFS($A$4:$A$810,$A807,$E$4:$E$810,"Win")))*SUMIFS($X$4:$X$810,$A$4:$A$810,$A807,$E$4:$E$810,"Loss"),-('Guide &amp; Settings'!$C$42/($F807-1))*$X807)))</f>
        <v>0</v>
      </c>
      <c r="K807" s="123">
        <f>IF($D807="",0,'Guide &amp; Settings'!$C$43*(IF($E807="Win",1,0)-$I807))</f>
        <v>0</v>
      </c>
      <c r="L807" s="124">
        <f>IF($D807="",0,'Guide &amp; Settings'!$C$44*IF($F807&gt;=3,$F807+IF($E807="Win",$F807,0),0))</f>
        <v>0</v>
      </c>
      <c r="M807" s="123">
        <f>IF($D807="",0,$J807+$K807+$L807)</f>
        <v>0</v>
      </c>
      <c r="N807" s="121">
        <f>IF($D807="",0,$H807+$M807)</f>
        <v>0</v>
      </c>
      <c r="O807" s="120" t="str">
        <f>IF($D807="","",IF(COUNTIFS($A$4:$A$810,$A807,$E$4:$E$810,"Win")=0,"need a winner",IF(COUNTIFS($A$4:$A$810,$A807,$E$4:$E$810,"Loss")=0,"need a loser",IF(COUNTIFS($A$4:$A$810,$A807,$D$4:$D$810,$D807)&gt;1,"duplicate player","OK"))))</f>
      </c>
      <c r="P807">
        <f>IF($D807="",0,IFERROR(SUMIFS($H$4:$H$810,$A$4:$A$810,$A807,$E$4:$E$810,"Win")/COUNTIFS($A$4:$A$810,$A807,$E$4:$E$810,"Win"),0))</f>
        <v>0</v>
      </c>
      <c r="Q807">
        <f>IF($D807="",0,1/(1+10^(($P807-$H807)/400)))</f>
        <v>0</v>
      </c>
      <c r="R807">
        <f>IF($D807="",0,(COUNTIFS($D$4:$D$810,$D807,$C$4:$C$810,$C807,$E$4:$E$810,"Win",$A$4:$A$810,"&lt;"&amp;$A807)+1)/(COUNTIFS($D$4:$D$810,$D807,$C$4:$C$810,$C807,$A$4:$A$810,"&lt;"&amp;$A807)+2))</f>
        <v>0</v>
      </c>
      <c r="S807">
        <f>IF($D807="",0,SUMIFS($R$4:$R$810,$A$4:$A$810,$A807))</f>
        <v>0</v>
      </c>
      <c r="T807" s="88">
        <f>IF($D807="",0,COUNTIFS($D$4:$D$810,$D807,$C$4:$C$810,$C807,$A$4:$A$810,"&lt;"&amp;$A807))</f>
        <v>0</v>
      </c>
      <c r="U807" s="125">
        <f>IF($D807="",0,IFERROR(LOOKUP(2,1/(($D$3:D806=$D807)*($C$3:C806=$C807)*($A$3:A806&lt;$A807)),$AB$3:AB806),1000))</f>
        <v>0</v>
      </c>
      <c r="V807" s="125">
        <f>IF($D807="",0,$U807*($T807/($T807+5))+$H807*(1-$T807/($T807+5)))</f>
        <v>0</v>
      </c>
      <c r="W807">
        <f>IF($D807="",0,IFERROR(SUMIFS($V$4:$V$810,$A$4:$A$810,$A807,$E$4:$E$810,"Win")/COUNTIFS($A$4:$A$810,$A807,$E$4:$E$810,"Win"),0))</f>
        <v>0</v>
      </c>
      <c r="X807">
        <f>IF($D807="",0,1/(1+10^(($W807-$V807)/400)))</f>
        <v>0</v>
      </c>
      <c r="Y807">
        <f>IF($D807="",0,IFERROR(SUMIFS($U$4:$U$810,$A$4:$A$810,$A807,$E$4:$E$810,"Win")/COUNTIFS($A$4:$A$810,$A807,$E$4:$E$810,"Win"),0))</f>
        <v>0</v>
      </c>
      <c r="Z807">
        <f>IF($D807="",0,1/(1+10^(($Y807-$U807)/400)))</f>
        <v>0</v>
      </c>
      <c r="AA807">
        <f>IF($D807="",0,IF($F807&lt;2,0,IF($E807="Win",('Guide &amp; Settings'!$C$42/(($F807-1)*COUNTIFS($A$4:$A$810,$A807,$E$4:$E$810,"Win")))*SUMIFS($Z$4:$Z$810,$A$4:$A$810,$A807,$E$4:$E$810,"Loss"),-('Guide &amp; Settings'!$C$42/($F807-1))*$Z807)))</f>
        <v>0</v>
      </c>
      <c r="AB807" s="125">
        <f>IF($D807="",0,$U807+$AA807)</f>
        <v>0</v>
      </c>
      <c r="AC807" s="125" t="str">
        <f>IF($D807="","",IF(SUMPRODUCT(MAX(($D$4:$D$810=$D807)*($B$4:$B$810&lt;$B807)*$B$4:$B$810))=0,0,MAX(($B807-MAX(SUMPRODUCT(MAX(($D$4:$D$810=$D807)*($B$4:$B$810&lt;$B807)*$B$4:$B$810)),'Guide &amp; Settings'!$C$50))/7-'Guide &amp; Settings'!$C$48,0)*'Guide &amp; Settings'!$C$49))</f>
      </c>
    </row>
    <row r="808" spans="1:29">
      <c r="A808" s="116"/>
      <c r="B808" s="117"/>
      <c r="C808" s="118"/>
      <c r="D808" s="118"/>
      <c r="E808" s="116"/>
      <c r="F808" s="119">
        <f>IF($D808="",0,COUNTIF($A$4:$A$810,$A808))</f>
        <v>0</v>
      </c>
      <c r="G808" s="120">
        <f>IF($D808="","",IFERROR(LOOKUP(2,1/(($A$4:$A$810=$A808)*($E$4:$E$810="Win")),$D$4:$D$810),"(no winner)"))</f>
        <v>0</v>
      </c>
      <c r="H808" s="121">
        <f>IF($D808="",0,IFERROR(LOOKUP(2,1/(($D$3:D807=$D808)*($A$3:A807&lt;$A808)),$N$3:N807),'Guide &amp; Settings'!$C$41))</f>
        <v>0</v>
      </c>
      <c r="I808" s="122">
        <f>IF($D808="",0,IF($S808=0,0,$R808/$S808))</f>
        <v>0</v>
      </c>
      <c r="J808" s="123">
        <f>IF($D808="",0,IF($F808&lt;2,0,IF($E808="Win",('Guide &amp; Settings'!$C$42/(($F808-1)*COUNTIFS($A$4:$A$810,$A808,$E$4:$E$810,"Win")))*SUMIFS($X$4:$X$810,$A$4:$A$810,$A808,$E$4:$E$810,"Loss"),-('Guide &amp; Settings'!$C$42/($F808-1))*$X808)))</f>
        <v>0</v>
      </c>
      <c r="K808" s="123">
        <f>IF($D808="",0,'Guide &amp; Settings'!$C$43*(IF($E808="Win",1,0)-$I808))</f>
        <v>0</v>
      </c>
      <c r="L808" s="124">
        <f>IF($D808="",0,'Guide &amp; Settings'!$C$44*IF($F808&gt;=3,$F808+IF($E808="Win",$F808,0),0))</f>
        <v>0</v>
      </c>
      <c r="M808" s="123">
        <f>IF($D808="",0,$J808+$K808+$L808)</f>
        <v>0</v>
      </c>
      <c r="N808" s="121">
        <f>IF($D808="",0,$H808+$M808)</f>
        <v>0</v>
      </c>
      <c r="O808" s="120" t="str">
        <f>IF($D808="","",IF(COUNTIFS($A$4:$A$810,$A808,$E$4:$E$810,"Win")=0,"need a winner",IF(COUNTIFS($A$4:$A$810,$A808,$E$4:$E$810,"Loss")=0,"need a loser",IF(COUNTIFS($A$4:$A$810,$A808,$D$4:$D$810,$D808)&gt;1,"duplicate player","OK"))))</f>
      </c>
      <c r="P808">
        <f>IF($D808="",0,IFERROR(SUMIFS($H$4:$H$810,$A$4:$A$810,$A808,$E$4:$E$810,"Win")/COUNTIFS($A$4:$A$810,$A808,$E$4:$E$810,"Win"),0))</f>
        <v>0</v>
      </c>
      <c r="Q808">
        <f>IF($D808="",0,1/(1+10^(($P808-$H808)/400)))</f>
        <v>0</v>
      </c>
      <c r="R808">
        <f>IF($D808="",0,(COUNTIFS($D$4:$D$810,$D808,$C$4:$C$810,$C808,$E$4:$E$810,"Win",$A$4:$A$810,"&lt;"&amp;$A808)+1)/(COUNTIFS($D$4:$D$810,$D808,$C$4:$C$810,$C808,$A$4:$A$810,"&lt;"&amp;$A808)+2))</f>
        <v>0</v>
      </c>
      <c r="S808">
        <f>IF($D808="",0,SUMIFS($R$4:$R$810,$A$4:$A$810,$A808))</f>
        <v>0</v>
      </c>
      <c r="T808" s="88">
        <f>IF($D808="",0,COUNTIFS($D$4:$D$810,$D808,$C$4:$C$810,$C808,$A$4:$A$810,"&lt;"&amp;$A808))</f>
        <v>0</v>
      </c>
      <c r="U808" s="125">
        <f>IF($D808="",0,IFERROR(LOOKUP(2,1/(($D$3:D807=$D808)*($C$3:C807=$C808)*($A$3:A807&lt;$A808)),$AB$3:AB807),1000))</f>
        <v>0</v>
      </c>
      <c r="V808" s="125">
        <f>IF($D808="",0,$U808*($T808/($T808+5))+$H808*(1-$T808/($T808+5)))</f>
        <v>0</v>
      </c>
      <c r="W808">
        <f>IF($D808="",0,IFERROR(SUMIFS($V$4:$V$810,$A$4:$A$810,$A808,$E$4:$E$810,"Win")/COUNTIFS($A$4:$A$810,$A808,$E$4:$E$810,"Win"),0))</f>
        <v>0</v>
      </c>
      <c r="X808">
        <f>IF($D808="",0,1/(1+10^(($W808-$V808)/400)))</f>
        <v>0</v>
      </c>
      <c r="Y808">
        <f>IF($D808="",0,IFERROR(SUMIFS($U$4:$U$810,$A$4:$A$810,$A808,$E$4:$E$810,"Win")/COUNTIFS($A$4:$A$810,$A808,$E$4:$E$810,"Win"),0))</f>
        <v>0</v>
      </c>
      <c r="Z808">
        <f>IF($D808="",0,1/(1+10^(($Y808-$U808)/400)))</f>
        <v>0</v>
      </c>
      <c r="AA808">
        <f>IF($D808="",0,IF($F808&lt;2,0,IF($E808="Win",('Guide &amp; Settings'!$C$42/(($F808-1)*COUNTIFS($A$4:$A$810,$A808,$E$4:$E$810,"Win")))*SUMIFS($Z$4:$Z$810,$A$4:$A$810,$A808,$E$4:$E$810,"Loss"),-('Guide &amp; Settings'!$C$42/($F808-1))*$Z808)))</f>
        <v>0</v>
      </c>
      <c r="AB808" s="125">
        <f>IF($D808="",0,$U808+$AA808)</f>
        <v>0</v>
      </c>
      <c r="AC808" s="125" t="str">
        <f>IF($D808="","",IF(SUMPRODUCT(MAX(($D$4:$D$810=$D808)*($B$4:$B$810&lt;$B808)*$B$4:$B$810))=0,0,MAX(($B808-MAX(SUMPRODUCT(MAX(($D$4:$D$810=$D808)*($B$4:$B$810&lt;$B808)*$B$4:$B$810)),'Guide &amp; Settings'!$C$50))/7-'Guide &amp; Settings'!$C$48,0)*'Guide &amp; Settings'!$C$49))</f>
      </c>
    </row>
    <row r="809" spans="1:29">
      <c r="A809" s="116"/>
      <c r="B809" s="117"/>
      <c r="C809" s="118"/>
      <c r="D809" s="118"/>
      <c r="E809" s="116"/>
      <c r="F809" s="119">
        <f>IF($D809="",0,COUNTIF($A$4:$A$810,$A809))</f>
        <v>0</v>
      </c>
      <c r="G809" s="120">
        <f>IF($D809="","",IFERROR(LOOKUP(2,1/(($A$4:$A$810=$A809)*($E$4:$E$810="Win")),$D$4:$D$810),"(no winner)"))</f>
        <v>0</v>
      </c>
      <c r="H809" s="121">
        <f>IF($D809="",0,IFERROR(LOOKUP(2,1/(($D$3:D808=$D809)*($A$3:A808&lt;$A809)),$N$3:N808),'Guide &amp; Settings'!$C$41))</f>
        <v>0</v>
      </c>
      <c r="I809" s="122">
        <f>IF($D809="",0,IF($S809=0,0,$R809/$S809))</f>
        <v>0</v>
      </c>
      <c r="J809" s="123">
        <f>IF($D809="",0,IF($F809&lt;2,0,IF($E809="Win",('Guide &amp; Settings'!$C$42/(($F809-1)*COUNTIFS($A$4:$A$810,$A809,$E$4:$E$810,"Win")))*SUMIFS($X$4:$X$810,$A$4:$A$810,$A809,$E$4:$E$810,"Loss"),-('Guide &amp; Settings'!$C$42/($F809-1))*$X809)))</f>
        <v>0</v>
      </c>
      <c r="K809" s="123">
        <f>IF($D809="",0,'Guide &amp; Settings'!$C$43*(IF($E809="Win",1,0)-$I809))</f>
        <v>0</v>
      </c>
      <c r="L809" s="124">
        <f>IF($D809="",0,'Guide &amp; Settings'!$C$44*IF($F809&gt;=3,$F809+IF($E809="Win",$F809,0),0))</f>
        <v>0</v>
      </c>
      <c r="M809" s="123">
        <f>IF($D809="",0,$J809+$K809+$L809)</f>
        <v>0</v>
      </c>
      <c r="N809" s="121">
        <f>IF($D809="",0,$H809+$M809)</f>
        <v>0</v>
      </c>
      <c r="O809" s="120" t="str">
        <f>IF($D809="","",IF(COUNTIFS($A$4:$A$810,$A809,$E$4:$E$810,"Win")=0,"need a winner",IF(COUNTIFS($A$4:$A$810,$A809,$E$4:$E$810,"Loss")=0,"need a loser",IF(COUNTIFS($A$4:$A$810,$A809,$D$4:$D$810,$D809)&gt;1,"duplicate player","OK"))))</f>
      </c>
      <c r="P809">
        <f>IF($D809="",0,IFERROR(SUMIFS($H$4:$H$810,$A$4:$A$810,$A809,$E$4:$E$810,"Win")/COUNTIFS($A$4:$A$810,$A809,$E$4:$E$810,"Win"),0))</f>
        <v>0</v>
      </c>
      <c r="Q809">
        <f>IF($D809="",0,1/(1+10^(($P809-$H809)/400)))</f>
        <v>0</v>
      </c>
      <c r="R809">
        <f>IF($D809="",0,(COUNTIFS($D$4:$D$810,$D809,$C$4:$C$810,$C809,$E$4:$E$810,"Win",$A$4:$A$810,"&lt;"&amp;$A809)+1)/(COUNTIFS($D$4:$D$810,$D809,$C$4:$C$810,$C809,$A$4:$A$810,"&lt;"&amp;$A809)+2))</f>
        <v>0</v>
      </c>
      <c r="S809">
        <f>IF($D809="",0,SUMIFS($R$4:$R$810,$A$4:$A$810,$A809))</f>
        <v>0</v>
      </c>
      <c r="T809" s="88">
        <f>IF($D809="",0,COUNTIFS($D$4:$D$810,$D809,$C$4:$C$810,$C809,$A$4:$A$810,"&lt;"&amp;$A809))</f>
        <v>0</v>
      </c>
      <c r="U809" s="125">
        <f>IF($D809="",0,IFERROR(LOOKUP(2,1/(($D$3:D808=$D809)*($C$3:C808=$C809)*($A$3:A808&lt;$A809)),$AB$3:AB808),1000))</f>
        <v>0</v>
      </c>
      <c r="V809" s="125">
        <f>IF($D809="",0,$U809*($T809/($T809+5))+$H809*(1-$T809/($T809+5)))</f>
        <v>0</v>
      </c>
      <c r="W809">
        <f>IF($D809="",0,IFERROR(SUMIFS($V$4:$V$810,$A$4:$A$810,$A809,$E$4:$E$810,"Win")/COUNTIFS($A$4:$A$810,$A809,$E$4:$E$810,"Win"),0))</f>
        <v>0</v>
      </c>
      <c r="X809">
        <f>IF($D809="",0,1/(1+10^(($W809-$V809)/400)))</f>
        <v>0</v>
      </c>
      <c r="Y809">
        <f>IF($D809="",0,IFERROR(SUMIFS($U$4:$U$810,$A$4:$A$810,$A809,$E$4:$E$810,"Win")/COUNTIFS($A$4:$A$810,$A809,$E$4:$E$810,"Win"),0))</f>
        <v>0</v>
      </c>
      <c r="Z809">
        <f>IF($D809="",0,1/(1+10^(($Y809-$U809)/400)))</f>
        <v>0</v>
      </c>
      <c r="AA809">
        <f>IF($D809="",0,IF($F809&lt;2,0,IF($E809="Win",('Guide &amp; Settings'!$C$42/(($F809-1)*COUNTIFS($A$4:$A$810,$A809,$E$4:$E$810,"Win")))*SUMIFS($Z$4:$Z$810,$A$4:$A$810,$A809,$E$4:$E$810,"Loss"),-('Guide &amp; Settings'!$C$42/($F809-1))*$Z809)))</f>
        <v>0</v>
      </c>
      <c r="AB809" s="125">
        <f>IF($D809="",0,$U809+$AA809)</f>
        <v>0</v>
      </c>
      <c r="AC809" s="125" t="str">
        <f>IF($D809="","",IF(SUMPRODUCT(MAX(($D$4:$D$810=$D809)*($B$4:$B$810&lt;$B809)*$B$4:$B$810))=0,0,MAX(($B809-MAX(SUMPRODUCT(MAX(($D$4:$D$810=$D809)*($B$4:$B$810&lt;$B809)*$B$4:$B$810)),'Guide &amp; Settings'!$C$50))/7-'Guide &amp; Settings'!$C$48,0)*'Guide &amp; Settings'!$C$49))</f>
      </c>
    </row>
    <row r="810" spans="1:29">
      <c r="A810" s="116"/>
      <c r="B810" s="117"/>
      <c r="C810" s="118"/>
      <c r="D810" s="118"/>
      <c r="E810" s="116"/>
      <c r="F810" s="119">
        <f>IF($D810="",0,COUNTIF($A$4:$A$810,$A810))</f>
        <v>0</v>
      </c>
      <c r="G810" s="120">
        <f>IF($D810="","",IFERROR(LOOKUP(2,1/(($A$4:$A$810=$A810)*($E$4:$E$810="Win")),$D$4:$D$810),"(no winner)"))</f>
        <v>0</v>
      </c>
      <c r="H810" s="121">
        <f>IF($D810="",0,IFERROR(LOOKUP(2,1/(($D$3:D809=$D810)*($A$3:A809&lt;$A810)),$N$3:N809),'Guide &amp; Settings'!$C$41))</f>
        <v>0</v>
      </c>
      <c r="I810" s="122">
        <f>IF($D810="",0,IF($S810=0,0,$R810/$S810))</f>
        <v>0</v>
      </c>
      <c r="J810" s="123">
        <f>IF($D810="",0,IF($F810&lt;2,0,IF($E810="Win",('Guide &amp; Settings'!$C$42/(($F810-1)*COUNTIFS($A$4:$A$810,$A810,$E$4:$E$810,"Win")))*SUMIFS($X$4:$X$810,$A$4:$A$810,$A810,$E$4:$E$810,"Loss"),-('Guide &amp; Settings'!$C$42/($F810-1))*$X810)))</f>
        <v>0</v>
      </c>
      <c r="K810" s="123">
        <f>IF($D810="",0,'Guide &amp; Settings'!$C$43*(IF($E810="Win",1,0)-$I810))</f>
        <v>0</v>
      </c>
      <c r="L810" s="124">
        <f>IF($D810="",0,'Guide &amp; Settings'!$C$44*IF($F810&gt;=3,$F810+IF($E810="Win",$F810,0),0))</f>
        <v>0</v>
      </c>
      <c r="M810" s="123">
        <f>IF($D810="",0,$J810+$K810+$L810)</f>
        <v>0</v>
      </c>
      <c r="N810" s="121">
        <f>IF($D810="",0,$H810+$M810)</f>
        <v>0</v>
      </c>
      <c r="O810" s="120" t="str">
        <f>IF($D810="","",IF(COUNTIFS($A$4:$A$810,$A810,$E$4:$E$810,"Win")=0,"need a winner",IF(COUNTIFS($A$4:$A$810,$A810,$E$4:$E$810,"Loss")=0,"need a loser",IF(COUNTIFS($A$4:$A$810,$A810,$D$4:$D$810,$D810)&gt;1,"duplicate player","OK"))))</f>
      </c>
      <c r="P810">
        <f>IF($D810="",0,IFERROR(SUMIFS($H$4:$H$810,$A$4:$A$810,$A810,$E$4:$E$810,"Win")/COUNTIFS($A$4:$A$810,$A810,$E$4:$E$810,"Win"),0))</f>
        <v>0</v>
      </c>
      <c r="Q810">
        <f>IF($D810="",0,1/(1+10^(($P810-$H810)/400)))</f>
        <v>0</v>
      </c>
      <c r="R810">
        <f>IF($D810="",0,(COUNTIFS($D$4:$D$810,$D810,$C$4:$C$810,$C810,$E$4:$E$810,"Win",$A$4:$A$810,"&lt;"&amp;$A810)+1)/(COUNTIFS($D$4:$D$810,$D810,$C$4:$C$810,$C810,$A$4:$A$810,"&lt;"&amp;$A810)+2))</f>
        <v>0</v>
      </c>
      <c r="S810">
        <f>IF($D810="",0,SUMIFS($R$4:$R$810,$A$4:$A$810,$A810))</f>
        <v>0</v>
      </c>
      <c r="T810" s="88">
        <f>IF($D810="",0,COUNTIFS($D$4:$D$810,$D810,$C$4:$C$810,$C810,$A$4:$A$810,"&lt;"&amp;$A810))</f>
        <v>0</v>
      </c>
      <c r="U810" s="125">
        <f>IF($D810="",0,IFERROR(LOOKUP(2,1/(($D$3:D809=$D810)*($C$3:C809=$C810)*($A$3:A809&lt;$A810)),$AB$3:AB809),1000))</f>
        <v>0</v>
      </c>
      <c r="V810" s="125">
        <f>IF($D810="",0,$U810*($T810/($T810+5))+$H810*(1-$T810/($T810+5)))</f>
        <v>0</v>
      </c>
      <c r="W810">
        <f>IF($D810="",0,IFERROR(SUMIFS($V$4:$V$810,$A$4:$A$810,$A810,$E$4:$E$810,"Win")/COUNTIFS($A$4:$A$810,$A810,$E$4:$E$810,"Win"),0))</f>
        <v>0</v>
      </c>
      <c r="X810">
        <f>IF($D810="",0,1/(1+10^(($W810-$V810)/400)))</f>
        <v>0</v>
      </c>
      <c r="Y810">
        <f>IF($D810="",0,IFERROR(SUMIFS($U$4:$U$810,$A$4:$A$810,$A810,$E$4:$E$810,"Win")/COUNTIFS($A$4:$A$810,$A810,$E$4:$E$810,"Win"),0))</f>
        <v>0</v>
      </c>
      <c r="Z810">
        <f>IF($D810="",0,1/(1+10^(($Y810-$U810)/400)))</f>
        <v>0</v>
      </c>
      <c r="AA810">
        <f>IF($D810="",0,IF($F810&lt;2,0,IF($E810="Win",('Guide &amp; Settings'!$C$42/(($F810-1)*COUNTIFS($A$4:$A$810,$A810,$E$4:$E$810,"Win")))*SUMIFS($Z$4:$Z$810,$A$4:$A$810,$A810,$E$4:$E$810,"Loss"),-('Guide &amp; Settings'!$C$42/($F810-1))*$Z810)))</f>
        <v>0</v>
      </c>
      <c r="AB810" s="125">
        <f>IF($D810="",0,$U810+$AA810)</f>
        <v>0</v>
      </c>
      <c r="AC810" s="125" t="str">
        <f>IF($D810="","",IF(SUMPRODUCT(MAX(($D$4:$D$810=$D810)*($B$4:$B$810&lt;$B810)*$B$4:$B$810))=0,0,MAX(($B810-MAX(SUMPRODUCT(MAX(($D$4:$D$810=$D810)*($B$4:$B$810&lt;$B810)*$B$4:$B$810)),'Guide &amp; Settings'!$C$50))/7-'Guide &amp; Settings'!$C$48,0)*'Guide &amp; Settings'!$C$49))</f>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row r="50">
      <c r="A50" s="127" t="str">
        <f>IF(Lists!$C$21="","",Lists!$C$21)</f>
        <v>HORSE - Basketball</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4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Log'!$B$4:$B$810)-7</f>
        <v>46201</v>
      </c>
    </row>
    <row r="4" spans="1:34" ht="15" customHeight="1" x14ac:dyDescent="0.2">
      <c r="A4" t="s">
        <v>338</v>
      </c>
      <c r="B4" s="132">
        <f>MAX('Match Log'!$B$4:$B$810)</f>
        <v>46208</v>
      </c>
    </row>
    <row r="5" spans="1:34" x14ac:dyDescent="0.2">
      <c r="B5">
        <f ca="1">TODAY()-7</f>
        <v>46202</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1045.0971654340176</v>
      </c>
      <c r="D7">
        <f t="shared" ref="D7:D20" si="0">RANK($B7,$B$7:$B$20)</f>
        <v>3</v>
      </c>
      <c r="E7">
        <f t="shared" ref="E7:E20" si="1">MAX($B$7:$B$20)-$B7</f>
        <v>64.268490093808168</v>
      </c>
      <c r="F7" t="str">
        <f>IFERROR(LOOKUP(2,1/('Match Log'!$D$4:$D$810=$A7),'Match Log'!$E$4:$E$810),"")</f>
        <v>Win</v>
      </c>
      <c r="G7">
        <f>IF($F7="",0,SUMPRODUCT(('Match Log'!$D$4:$D$810=$A7)*(ROW('Match Log'!$A$4:$A$810)&gt;SUMPRODUCT(MAX(('Match Log'!$D$4:$D$810=$A7)*('Match Log'!$E$4:$E$810&lt;&gt;$F7)*ROW('Match Log'!$A$4:$A$810))))))</f>
        <v>5</v>
      </c>
      <c r="H7" t="str">
        <f t="shared" ref="H7:H20" si="2">IF($G7=0,"",LEFT($F7,1)&amp;$G7)</f>
        <v>W5</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WWWWW</v>
      </c>
      <c r="J7">
        <f>IFERROR(LOOKUP(2,1/(('Match Log'!$D$4:$D$810=$A7)*('Match Log'!$B$4:$B$810&lt;=$B$3)),'Match Log'!$N$4:$N$810),1000)</f>
        <v>1125.1080177960646</v>
      </c>
      <c r="K7">
        <f t="shared" ref="K7:K20" si="3">RANK($J7,$J$7:$J$20)</f>
        <v>3</v>
      </c>
      <c r="L7">
        <f t="shared" ref="L7:L20" si="4">$K7-$D7</f>
        <v>0</v>
      </c>
      <c r="M7">
        <f t="shared" ref="M7:M20" si="5">SUMPRODUCT(($D$25:$D$444=$A7)*($G$25:$G$444&gt;0.25)*($D$25:$D$444&lt;&gt;""))</f>
        <v>0</v>
      </c>
      <c r="N7">
        <f t="shared" ref="N7:N20" si="6">LEN($I7)-LEN(SUBSTITUTE($I7,"W",""))</f>
        <v>5</v>
      </c>
      <c r="O7">
        <f t="shared" ref="O7:O20" si="7">IF($F7="Win",$G7,0)</f>
        <v>5</v>
      </c>
      <c r="P7">
        <f>IFERROR(SUMPRODUCT(MAX(('Match Log'!$D$4:$D$810=$A7)*'Match Log'!$B$4:$B$810)),0)</f>
        <v>46200</v>
      </c>
      <c r="Q7">
        <f t="shared" ref="Q7:Q20" si="8">IF($P7=0,"",($B$4-$P7)/7)</f>
        <v>1.1428571428571428</v>
      </c>
      <c r="R7">
        <f>IF($P7=0,0,MAX($Q7-'Guide &amp; Settings'!$C$48,0)*'Guide &amp; Settings'!$C$49)</f>
        <v>0</v>
      </c>
      <c r="S7">
        <f t="shared" ref="S7:S20" si="9">$B7-$R7-$U7</f>
        <v>1125.1080177960646</v>
      </c>
      <c r="T7" t="str">
        <f>IF($P7=0,"No games",IF($Q7&gt;='Guide &amp; Settings'!$C$48,"Inactive",IF($Q7&gt;='Guide &amp; Settings'!$C$47,"At risk","Active")))</f>
        <v>Active</v>
      </c>
      <c r="U7">
        <f>SUMIF('Match Log'!$D$4:$D$810,$A7,'Match Log'!$AC$4:$AC$810)</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61.274291358504399</v>
      </c>
      <c r="AB7">
        <f t="shared" ref="AB7:AB20" si="14">0.35*$W7+0.2*$X7+0.2*$Y7+0.15*$Z7+0.1*$AA7</f>
        <v>81.574380693006077</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row>
    <row r="8" spans="1:34" ht="15" customHeight="1" x14ac:dyDescent="0.2">
      <c r="A8" t="s">
        <v>142</v>
      </c>
      <c r="B8">
        <f>IFERROR(INDEX(Engine!$B$2:$B$15,MATCH($A8,Engine!$A$2:$A$15,0)),1000)</f>
        <v>1044.8691565259944</v>
      </c>
      <c r="C8">
        <f>IFERROR(INDEX(Engine!$C$2:$C$15,MATCH($A8,Engine!$A$2:$A$15,0)),"")</f>
        <v>1081.9141130796377</v>
      </c>
      <c r="D8">
        <f t="shared" si="0"/>
        <v>7</v>
      </c>
      <c r="E8">
        <f t="shared" si="1"/>
        <v>144.50735136387834</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1044.8691565259944</v>
      </c>
      <c r="K8">
        <f t="shared" si="3"/>
        <v>7</v>
      </c>
      <c r="L8">
        <f t="shared" si="4"/>
        <v>0</v>
      </c>
      <c r="M8">
        <f t="shared" si="5"/>
        <v>0</v>
      </c>
      <c r="N8">
        <f t="shared" si="6"/>
        <v>2</v>
      </c>
      <c r="O8">
        <f t="shared" si="7"/>
        <v>0</v>
      </c>
      <c r="P8">
        <f>IFERROR(SUMPRODUCT(MAX(('Match Log'!$D$4:$D$810=$A8)*'Match Log'!$B$4:$B$810)),0)</f>
        <v>46188</v>
      </c>
      <c r="Q8">
        <f t="shared" si="8"/>
        <v>2.8571428571428572</v>
      </c>
      <c r="R8">
        <f>IF($P8=0,0,MAX($Q8-'Guide &amp; Settings'!$C$48,0)*'Guide &amp; Settings'!$C$49)</f>
        <v>0</v>
      </c>
      <c r="S8">
        <f t="shared" si="9"/>
        <v>1044.8691565259944</v>
      </c>
      <c r="T8" t="str">
        <f>IF($P8=0,"No games",IF($Q8&gt;='Guide &amp; Settings'!$C$48,"Inactive",IF($Q8&gt;='Guide &amp; Settings'!$C$47,"At risk","Active")))</f>
        <v>At risk</v>
      </c>
      <c r="U8">
        <f>SUMIF('Match Log'!$D$4:$D$810,$A8,'Match Log'!$AC$4:$AC$810)</f>
        <v>0</v>
      </c>
      <c r="V8">
        <f t="shared" si="10"/>
        <v>2</v>
      </c>
      <c r="W8">
        <f t="shared" si="11"/>
        <v>61.217289131498603</v>
      </c>
      <c r="X8">
        <f>IFERROR(INDEX(Dashboard!$G$5:$G$18,MATCH($A8,Dashboard!$B$5:$B$18,0))*100,0)</f>
        <v>50</v>
      </c>
      <c r="Y8">
        <f>MIN(100,IFERROR(INDEX(Dashboard!$K$5:$K$18,MATCH($A8,Dashboard!$B$5:$B$18,0)),0)/5*50+$AC8/4*50)</f>
        <v>42.5</v>
      </c>
      <c r="Z8">
        <f t="shared" si="12"/>
        <v>40</v>
      </c>
      <c r="AA8">
        <f t="shared" si="13"/>
        <v>70.478528269909418</v>
      </c>
      <c r="AB8">
        <f t="shared" si="14"/>
        <v>52.97390402301545</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Log'!$D$4:$D$810,$A8,'Match Log'!$B$4:$B$810,"&gt;="&amp;$B$5)</f>
        <v>0</v>
      </c>
      <c r="AH8">
        <f ca="1">COUNTIFS('Match Log'!$D$4:$D$810,$A8,'Match Log'!$B$4:$B$810,"&gt;="&amp;$B$5,'Match Log'!$E$4:$E$810,"Win")</f>
        <v>0</v>
      </c>
    </row>
    <row r="9" spans="1:34" ht="15" customHeight="1" x14ac:dyDescent="0.2">
      <c r="A9" t="s">
        <v>180</v>
      </c>
      <c r="B9">
        <f>IFERROR(INDEX(Engine!$B$2:$B$15,MATCH($A9,Engine!$A$2:$A$15,0)),1000)</f>
        <v>1017.3466608720325</v>
      </c>
      <c r="C9">
        <f>IFERROR(INDEX(Engine!$C$2:$C$15,MATCH($A9,Engine!$A$2:$A$15,0)),"")</f>
        <v>1074.8685514824206</v>
      </c>
      <c r="D9">
        <f t="shared" si="0"/>
        <v>10</v>
      </c>
      <c r="E9">
        <f t="shared" si="1"/>
        <v>172.02984701784021</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1017.3466608720325</v>
      </c>
      <c r="K9">
        <f t="shared" si="3"/>
        <v>10</v>
      </c>
      <c r="L9">
        <f t="shared" si="4"/>
        <v>0</v>
      </c>
      <c r="M9">
        <f t="shared" si="5"/>
        <v>0</v>
      </c>
      <c r="N9">
        <f t="shared" si="6"/>
        <v>2</v>
      </c>
      <c r="O9">
        <f t="shared" si="7"/>
        <v>1</v>
      </c>
      <c r="P9">
        <f>IFERROR(SUMPRODUCT(MAX(('Match Log'!$D$4:$D$810=$A9)*'Match Log'!$B$4:$B$810)),0)</f>
        <v>46188</v>
      </c>
      <c r="Q9">
        <f t="shared" si="8"/>
        <v>2.8571428571428572</v>
      </c>
      <c r="R9">
        <f>IF($P9=0,0,MAX($Q9-'Guide &amp; Settings'!$C$48,0)*'Guide &amp; Settings'!$C$49)</f>
        <v>0</v>
      </c>
      <c r="S9">
        <f t="shared" si="9"/>
        <v>1017.3466608720325</v>
      </c>
      <c r="T9" t="str">
        <f>IF($P9=0,"No games",IF($Q9&gt;='Guide &amp; Settings'!$C$48,"Inactive",IF($Q9&gt;='Guide &amp; Settings'!$C$47,"At risk","Active")))</f>
        <v>At risk</v>
      </c>
      <c r="U9">
        <f>SUMIF('Match Log'!$D$4:$D$810,$A9,'Match Log'!$AC$4:$AC$810)</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68.717137870605143</v>
      </c>
      <c r="AB9">
        <f t="shared" si="14"/>
        <v>56.389546613363365</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Log'!$D$4:$D$810,$A9,'Match Log'!$B$4:$B$810,"&gt;="&amp;$B$5)</f>
        <v>0</v>
      </c>
      <c r="AH9">
        <f ca="1">COUNTIFS('Match Log'!$D$4:$D$810,$A9,'Match Log'!$B$4:$B$810,"&gt;="&amp;$B$5,'Match Log'!$E$4:$E$810,"Win")</f>
        <v>0</v>
      </c>
    </row>
    <row r="10" spans="1:34" ht="15" customHeight="1" x14ac:dyDescent="0.2">
      <c r="A10" t="s">
        <v>147</v>
      </c>
      <c r="B10">
        <f>IFERROR(INDEX(Engine!$B$2:$B$15,MATCH($A10,Engine!$A$2:$A$15,0)),1000)</f>
        <v>990.8737469852914</v>
      </c>
      <c r="C10">
        <f>IFERROR(INDEX(Engine!$C$2:$C$15,MATCH($A10,Engine!$A$2:$A$15,0)),"")</f>
        <v>1088.8763554000404</v>
      </c>
      <c r="D10">
        <f t="shared" si="0"/>
        <v>13</v>
      </c>
      <c r="E10">
        <f t="shared" si="1"/>
        <v>198.50276090458135</v>
      </c>
      <c r="F10" t="str">
        <f>IFERROR(LOOKUP(2,1/('Match Log'!$D$4:$D$810=$A10),'Match Log'!$E$4:$E$810),"")</f>
        <v>Win</v>
      </c>
      <c r="G10">
        <f>IF($F10="",0,SUMPRODUCT(('Match Log'!$D$4:$D$810=$A10)*(ROW('Match Log'!$A$4:$A$810)&gt;SUMPRODUCT(MAX(('Match Log'!$D$4:$D$810=$A10)*('Match Log'!$E$4:$E$810&lt;&gt;$F10)*ROW('Match Log'!$A$4:$A$810))))))</f>
        <v>2</v>
      </c>
      <c r="H10" t="str">
        <f t="shared" si="2"/>
        <v>W2</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LLLWW</v>
      </c>
      <c r="J10">
        <f>IFERROR(LOOKUP(2,1/(('Match Log'!$D$4:$D$810=$A10)*('Match Log'!$B$4:$B$810&lt;=$B$3)),'Match Log'!$N$4:$N$810),1000)</f>
        <v>990.8737469852914</v>
      </c>
      <c r="K10">
        <f t="shared" si="3"/>
        <v>13</v>
      </c>
      <c r="L10">
        <f t="shared" si="4"/>
        <v>0</v>
      </c>
      <c r="M10">
        <f t="shared" si="5"/>
        <v>0</v>
      </c>
      <c r="N10">
        <f t="shared" si="6"/>
        <v>2</v>
      </c>
      <c r="O10">
        <f t="shared" si="7"/>
        <v>2</v>
      </c>
      <c r="P10">
        <f>IFERROR(SUMPRODUCT(MAX(('Match Log'!$D$4:$D$810=$A10)*'Match Log'!$B$4:$B$810)),0)</f>
        <v>46188</v>
      </c>
      <c r="Q10">
        <f t="shared" si="8"/>
        <v>2.8571428571428572</v>
      </c>
      <c r="R10">
        <f>IF($P10=0,0,MAX($Q10-'Guide &amp; Settings'!$C$48,0)*'Guide &amp; Settings'!$C$49)</f>
        <v>0</v>
      </c>
      <c r="S10">
        <f t="shared" si="9"/>
        <v>990.8737469852914</v>
      </c>
      <c r="T10" t="str">
        <f>IF($P10=0,"No games",IF($Q10&gt;='Guide &amp; Settings'!$C$48,"Inactive",IF($Q10&gt;='Guide &amp; Settings'!$C$47,"At risk","Active")))</f>
        <v>At risk</v>
      </c>
      <c r="U10">
        <f>SUMIF('Match Log'!$D$4:$D$810,$A10,'Match Log'!$AC$4:$AC$810)</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72.21908885001011</v>
      </c>
      <c r="AB10">
        <f t="shared" si="14"/>
        <v>41.637647460499721</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Log'!$D$4:$D$810,$A10,'Match Log'!$B$4:$B$810,"&gt;="&amp;$B$5)</f>
        <v>0</v>
      </c>
      <c r="AH10">
        <f ca="1">COUNTIFS('Match Log'!$D$4:$D$810,$A10,'Match Log'!$B$4:$B$810,"&gt;="&amp;$B$5,'Match Log'!$E$4:$E$810,"Win")</f>
        <v>0</v>
      </c>
    </row>
    <row r="11" spans="1:34" ht="15" customHeight="1" x14ac:dyDescent="0.2">
      <c r="A11" t="s">
        <v>144</v>
      </c>
      <c r="B11">
        <f>IFERROR(INDEX(Engine!$B$2:$B$15,MATCH($A11,Engine!$A$2:$A$15,0)),1000)</f>
        <v>1147.1945550051951</v>
      </c>
      <c r="C11">
        <f>IFERROR(INDEX(Engine!$C$2:$C$15,MATCH($A11,Engine!$A$2:$A$15,0)),"")</f>
        <v>1053.5290360246011</v>
      </c>
      <c r="D11">
        <f t="shared" si="0"/>
        <v>2</v>
      </c>
      <c r="E11">
        <f t="shared" si="1"/>
        <v>42.181952884677685</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1147.1945550051951</v>
      </c>
      <c r="K11">
        <f t="shared" si="3"/>
        <v>2</v>
      </c>
      <c r="L11">
        <f t="shared" si="4"/>
        <v>0</v>
      </c>
      <c r="M11">
        <f t="shared" si="5"/>
        <v>1</v>
      </c>
      <c r="N11">
        <f t="shared" si="6"/>
        <v>2</v>
      </c>
      <c r="O11">
        <f t="shared" si="7"/>
        <v>0</v>
      </c>
      <c r="P11">
        <f>IFERROR(SUMPRODUCT(MAX(('Match Log'!$D$4:$D$810=$A11)*'Match Log'!$B$4:$B$810)),0)</f>
        <v>46199</v>
      </c>
      <c r="Q11">
        <f t="shared" si="8"/>
        <v>1.2857142857142858</v>
      </c>
      <c r="R11">
        <f>IF($P11=0,0,MAX($Q11-'Guide &amp; Settings'!$C$48,0)*'Guide &amp; Settings'!$C$49)</f>
        <v>0</v>
      </c>
      <c r="S11">
        <f t="shared" si="9"/>
        <v>1147.1945550051951</v>
      </c>
      <c r="T11" t="str">
        <f>IF($P11=0,"No games",IF($Q11&gt;='Guide &amp; Settings'!$C$48,"Inactive",IF($Q11&gt;='Guide &amp; Settings'!$C$47,"At risk","Active")))</f>
        <v>Active</v>
      </c>
      <c r="U11">
        <f>SUMIF('Match Log'!$D$4:$D$810,$A11,'Match Log'!$AC$4:$AC$810)</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63.382259006150264</v>
      </c>
      <c r="AB11">
        <f t="shared" si="14"/>
        <v>75.217749463569604</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Log'!$D$4:$D$810,$A11,'Match Log'!$B$4:$B$810,"&gt;="&amp;$B$5)</f>
        <v>0</v>
      </c>
      <c r="AH11">
        <f ca="1">COUNTIFS('Match Log'!$D$4:$D$810,$A11,'Match Log'!$B$4:$B$810,"&gt;="&amp;$B$5,'Match Log'!$E$4:$E$810,"Win")</f>
        <v>0</v>
      </c>
    </row>
    <row r="12" spans="1:34" ht="15" customHeight="1" x14ac:dyDescent="0.2">
      <c r="A12" t="s">
        <v>141</v>
      </c>
      <c r="B12">
        <f>IFERROR(INDEX(Engine!$B$2:$B$15,MATCH($A12,Engine!$A$2:$A$15,0)),1000)</f>
        <v>1000.1411171871149</v>
      </c>
      <c r="C12">
        <f>IFERROR(INDEX(Engine!$C$2:$C$15,MATCH($A12,Engine!$A$2:$A$15,0)),"")</f>
        <v>1100.7788754649137</v>
      </c>
      <c r="D12">
        <f t="shared" si="0"/>
        <v>11</v>
      </c>
      <c r="E12">
        <f t="shared" si="1"/>
        <v>189.23539070275785</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WWLWL</v>
      </c>
      <c r="J12">
        <f>IFERROR(LOOKUP(2,1/(('Match Log'!$D$4:$D$810=$A12)*('Match Log'!$B$4:$B$810&lt;=$B$3)),'Match Log'!$N$4:$N$810),1000)</f>
        <v>993.73226027923863</v>
      </c>
      <c r="K12">
        <f t="shared" si="3"/>
        <v>12</v>
      </c>
      <c r="L12">
        <f t="shared" si="4"/>
        <v>1</v>
      </c>
      <c r="M12">
        <f t="shared" si="5"/>
        <v>2</v>
      </c>
      <c r="N12">
        <f t="shared" si="6"/>
        <v>3</v>
      </c>
      <c r="O12">
        <f t="shared" si="7"/>
        <v>0</v>
      </c>
      <c r="P12">
        <f>IFERROR(SUMPRODUCT(MAX(('Match Log'!$D$4:$D$810=$A12)*'Match Log'!$B$4:$B$810)),0)</f>
        <v>46208</v>
      </c>
      <c r="Q12">
        <f t="shared" si="8"/>
        <v>0</v>
      </c>
      <c r="R12">
        <f>IF($P12=0,0,MAX($Q12-'Guide &amp; Settings'!$C$48,0)*'Guide &amp; Settings'!$C$49)</f>
        <v>0</v>
      </c>
      <c r="S12">
        <f t="shared" si="9"/>
        <v>1000.1411171871149</v>
      </c>
      <c r="T12" t="str">
        <f>IF($P12=0,"No games",IF($Q12&gt;='Guide &amp; Settings'!$C$48,"Inactive",IF($Q12&gt;='Guide &amp; Settings'!$C$47,"At risk","Active")))</f>
        <v>Active</v>
      </c>
      <c r="U12">
        <f>SUMIF('Match Log'!$D$4:$D$810,$A12,'Match Log'!$AC$4:$AC$810)</f>
        <v>0</v>
      </c>
      <c r="V12">
        <f t="shared" si="10"/>
        <v>1</v>
      </c>
      <c r="W12">
        <f t="shared" si="11"/>
        <v>50.035279296778725</v>
      </c>
      <c r="X12">
        <f>IFERROR(INDEX(Dashboard!$G$5:$G$18,MATCH($A12,Dashboard!$B$5:$B$18,0))*100,0)</f>
        <v>41.304347826086953</v>
      </c>
      <c r="Y12">
        <f>MIN(100,IFERROR(INDEX(Dashboard!$K$5:$K$18,MATCH($A12,Dashboard!$B$5:$B$18,0)),0)/5*50+$AC12/4*50)</f>
        <v>100</v>
      </c>
      <c r="Z12">
        <f t="shared" si="12"/>
        <v>60</v>
      </c>
      <c r="AA12">
        <f t="shared" si="13"/>
        <v>75.194718866228413</v>
      </c>
      <c r="AB12">
        <f t="shared" si="14"/>
        <v>62.29268920571279</v>
      </c>
      <c r="AC12">
        <f>IFERROR(SUMPRODUCT((INDEX('Sport Records'!$B$8:$O$26,0,MATCH($A12,'Sport Records'!$B$7:$O$7,0))&gt;=2)*(INDEX('Sport Records'!$B$52:$O$70,0,MATCH($A12,'Sport Records'!$B$51:$O$51,0))&gt;=0.5)),0)</f>
        <v>2</v>
      </c>
      <c r="AD12">
        <f>IFERROR(INDEX(Dashboard!$D$5:$D$18,MATCH($A12,Dashboard!$B$5:$B$18,0)),0)</f>
        <v>46</v>
      </c>
      <c r="AE12">
        <f>IFERROR(INDEX(Dashboard!$K$5:$K$18,MATCH($A12,Dashboard!$B$5:$B$18,0)),0)</f>
        <v>8</v>
      </c>
      <c r="AF12" t="str">
        <f t="shared" si="15"/>
        <v>Strong</v>
      </c>
      <c r="AG12">
        <f ca="1">COUNTIFS('Match Log'!$D$4:$D$810,$A12,'Match Log'!$B$4:$B$810,"&gt;="&amp;$B$5)</f>
        <v>10</v>
      </c>
      <c r="AH12">
        <f ca="1">COUNTIFS('Match Log'!$D$4:$D$810,$A12,'Match Log'!$B$4:$B$810,"&gt;="&amp;$B$5,'Match Log'!$E$4:$E$810,"Win")</f>
        <v>4</v>
      </c>
    </row>
    <row r="13" spans="1:34" ht="15" customHeight="1" x14ac:dyDescent="0.2">
      <c r="A13" t="s">
        <v>175</v>
      </c>
      <c r="B13">
        <f>IFERROR(INDEX(Engine!$B$2:$B$15,MATCH($A13,Engine!$A$2:$A$15,0)),1000)</f>
        <v>1099.9035033078371</v>
      </c>
      <c r="C13">
        <f>IFERROR(INDEX(Engine!$C$2:$C$15,MATCH($A13,Engine!$A$2:$A$15,0)),"")</f>
        <v>1076.703898551679</v>
      </c>
      <c r="D13">
        <f t="shared" si="0"/>
        <v>5</v>
      </c>
      <c r="E13">
        <f t="shared" si="1"/>
        <v>89.473004582035628</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1099.9035033078371</v>
      </c>
      <c r="K13">
        <f t="shared" si="3"/>
        <v>4</v>
      </c>
      <c r="L13">
        <f t="shared" si="4"/>
        <v>-1</v>
      </c>
      <c r="M13">
        <f t="shared" si="5"/>
        <v>0</v>
      </c>
      <c r="N13">
        <f t="shared" si="6"/>
        <v>2</v>
      </c>
      <c r="O13">
        <f t="shared" si="7"/>
        <v>0</v>
      </c>
      <c r="P13">
        <f>IFERROR(SUMPRODUCT(MAX(('Match Log'!$D$4:$D$810=$A13)*'Match Log'!$B$4:$B$810)),0)</f>
        <v>46188</v>
      </c>
      <c r="Q13">
        <f t="shared" si="8"/>
        <v>2.8571428571428572</v>
      </c>
      <c r="R13">
        <f>IF($P13=0,0,MAX($Q13-'Guide &amp; Settings'!$C$48,0)*'Guide &amp; Settings'!$C$49)</f>
        <v>0</v>
      </c>
      <c r="S13">
        <f t="shared" si="9"/>
        <v>1099.9035033078371</v>
      </c>
      <c r="T13" t="str">
        <f>IF($P13=0,"No games",IF($Q13&gt;='Guide &amp; Settings'!$C$48,"Inactive",IF($Q13&gt;='Guide &amp; Settings'!$C$47,"At risk","Active")))</f>
        <v>At risk</v>
      </c>
      <c r="U13">
        <f>SUMIF('Match Log'!$D$4:$D$810,$A13,'Match Log'!$AC$4:$AC$810)</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69.175974637919751</v>
      </c>
      <c r="AB13">
        <f t="shared" si="14"/>
        <v>63.923859885580669</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Log'!$D$4:$D$810,$A13,'Match Log'!$B$4:$B$810,"&gt;="&amp;$B$5)</f>
        <v>0</v>
      </c>
      <c r="AH13">
        <f ca="1">COUNTIFS('Match Log'!$D$4:$D$810,$A13,'Match Log'!$B$4:$B$810,"&gt;="&amp;$B$5,'Match Log'!$E$4:$E$810,"Win")</f>
        <v>0</v>
      </c>
    </row>
    <row r="14" spans="1:34" ht="15" customHeight="1" x14ac:dyDescent="0.2">
      <c r="A14" t="s">
        <v>177</v>
      </c>
      <c r="B14">
        <f>IFERROR(INDEX(Engine!$B$2:$B$15,MATCH($A14,Engine!$A$2:$A$15,0)),1000)</f>
        <v>1072.8317255620282</v>
      </c>
      <c r="C14">
        <f>IFERROR(INDEX(Engine!$C$2:$C$15,MATCH($A14,Engine!$A$2:$A$15,0)),"")</f>
        <v>1073.297170079685</v>
      </c>
      <c r="D14">
        <f t="shared" si="0"/>
        <v>6</v>
      </c>
      <c r="E14">
        <f t="shared" si="1"/>
        <v>116.54478232784459</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1092.9844065377026</v>
      </c>
      <c r="K14">
        <f t="shared" si="3"/>
        <v>6</v>
      </c>
      <c r="L14">
        <f t="shared" si="4"/>
        <v>0</v>
      </c>
      <c r="M14">
        <f t="shared" si="5"/>
        <v>4</v>
      </c>
      <c r="N14">
        <f t="shared" si="6"/>
        <v>3</v>
      </c>
      <c r="O14">
        <f t="shared" si="7"/>
        <v>1</v>
      </c>
      <c r="P14">
        <f>IFERROR(SUMPRODUCT(MAX(('Match Log'!$D$4:$D$810=$A14)*'Match Log'!$B$4:$B$810)),0)</f>
        <v>46208</v>
      </c>
      <c r="Q14">
        <f t="shared" si="8"/>
        <v>0</v>
      </c>
      <c r="R14">
        <f>IF($P14=0,0,MAX($Q14-'Guide &amp; Settings'!$C$48,0)*'Guide &amp; Settings'!$C$49)</f>
        <v>0</v>
      </c>
      <c r="S14">
        <f t="shared" si="9"/>
        <v>1072.8317255620282</v>
      </c>
      <c r="T14" t="str">
        <f>IF($P14=0,"No games",IF($Q14&gt;='Guide &amp; Settings'!$C$48,"Inactive",IF($Q14&gt;='Guide &amp; Settings'!$C$47,"At risk","Active")))</f>
        <v>Active</v>
      </c>
      <c r="U14">
        <f>SUMIF('Match Log'!$D$4:$D$810,$A14,'Match Log'!$AC$4:$AC$810)</f>
        <v>0</v>
      </c>
      <c r="V14">
        <f t="shared" si="10"/>
        <v>0</v>
      </c>
      <c r="W14">
        <f t="shared" si="11"/>
        <v>68.207931390507042</v>
      </c>
      <c r="X14">
        <f>IFERROR(INDEX(Dashboard!$G$5:$G$18,MATCH($A14,Dashboard!$B$5:$B$18,0))*100,0)</f>
        <v>44.230769230769226</v>
      </c>
      <c r="Y14">
        <f>MIN(100,IFERROR(INDEX(Dashboard!$K$5:$K$18,MATCH($A14,Dashboard!$B$5:$B$18,0)),0)/5*50+$AC14/4*50)</f>
        <v>100</v>
      </c>
      <c r="Z14">
        <f t="shared" si="12"/>
        <v>60</v>
      </c>
      <c r="AA14">
        <f t="shared" si="13"/>
        <v>68.324292519921244</v>
      </c>
      <c r="AB14">
        <f t="shared" si="14"/>
        <v>68.551359084823432</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5"/>
        <v>Strong</v>
      </c>
      <c r="AG14">
        <f ca="1">COUNTIFS('Match Log'!$D$4:$D$810,$A14,'Match Log'!$B$4:$B$810,"&gt;="&amp;$B$5)</f>
        <v>4</v>
      </c>
      <c r="AH14">
        <f ca="1">COUNTIFS('Match Log'!$D$4:$D$810,$A14,'Match Log'!$B$4:$B$810,"&gt;="&amp;$B$5,'Match Log'!$E$4:$E$810,"Win")</f>
        <v>2</v>
      </c>
    </row>
    <row r="15" spans="1:34" ht="15" customHeight="1" x14ac:dyDescent="0.2">
      <c r="A15" t="s">
        <v>174</v>
      </c>
      <c r="B15">
        <f>IFERROR(INDEX(Engine!$B$2:$B$15,MATCH($A15,Engine!$A$2:$A$15,0)),1000)</f>
        <v>1189.3765078898728</v>
      </c>
      <c r="C15">
        <f>IFERROR(INDEX(Engine!$C$2:$C$15,MATCH($A15,Engine!$A$2:$A$15,0)),"")</f>
        <v>1071.3635623683515</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1189.3765078898728</v>
      </c>
      <c r="K15">
        <f t="shared" si="3"/>
        <v>1</v>
      </c>
      <c r="L15">
        <f t="shared" si="4"/>
        <v>0</v>
      </c>
      <c r="M15">
        <f t="shared" si="5"/>
        <v>2</v>
      </c>
      <c r="N15">
        <f t="shared" si="6"/>
        <v>2</v>
      </c>
      <c r="O15">
        <f t="shared" si="7"/>
        <v>2</v>
      </c>
      <c r="P15">
        <f>IFERROR(SUMPRODUCT(MAX(('Match Log'!$D$4:$D$810=$A15)*'Match Log'!$B$4:$B$810)),0)</f>
        <v>46189</v>
      </c>
      <c r="Q15">
        <f t="shared" si="8"/>
        <v>2.7142857142857144</v>
      </c>
      <c r="R15">
        <f>IF($P15=0,0,MAX($Q15-'Guide &amp; Settings'!$C$48,0)*'Guide &amp; Settings'!$C$49)</f>
        <v>0</v>
      </c>
      <c r="S15">
        <f t="shared" si="9"/>
        <v>1189.3765078898728</v>
      </c>
      <c r="T15" t="str">
        <f>IF($P15=0,"No games",IF($Q15&gt;='Guide &amp; Settings'!$C$48,"Inactive",IF($Q15&gt;='Guide &amp; Settings'!$C$47,"At risk","Active")))</f>
        <v>At risk</v>
      </c>
      <c r="U15">
        <f>SUMIF('Match Log'!$D$4:$D$810,$A15,'Match Log'!$AC$4:$AC$810)</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67.840890592087874</v>
      </c>
      <c r="AB15">
        <f t="shared" si="14"/>
        <v>73.398011760442216</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Log'!$D$4:$D$810,$A15,'Match Log'!$B$4:$B$810,"&gt;="&amp;$B$5)</f>
        <v>0</v>
      </c>
      <c r="AH15">
        <f ca="1">COUNTIFS('Match Log'!$D$4:$D$810,$A15,'Match Log'!$B$4:$B$810,"&gt;="&amp;$B$5,'Match Log'!$E$4:$E$810,"Win")</f>
        <v>0</v>
      </c>
    </row>
    <row r="16" spans="1:34" ht="15" customHeight="1" x14ac:dyDescent="0.2">
      <c r="A16" t="s">
        <v>182</v>
      </c>
      <c r="B16">
        <f>IFERROR(INDEX(Engine!$B$2:$B$15,MATCH($A16,Engine!$A$2:$A$15,0)),1000)</f>
        <v>894.20718606929802</v>
      </c>
      <c r="C16">
        <f>IFERROR(INDEX(Engine!$C$2:$C$15,MATCH($A16,Engine!$A$2:$A$15,0)),"")</f>
        <v>1103.0143837401358</v>
      </c>
      <c r="D16">
        <f t="shared" si="0"/>
        <v>14</v>
      </c>
      <c r="E16">
        <f t="shared" si="1"/>
        <v>295.16932182057474</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894.20718606929802</v>
      </c>
      <c r="K16">
        <f t="shared" si="3"/>
        <v>14</v>
      </c>
      <c r="L16">
        <f t="shared" si="4"/>
        <v>0</v>
      </c>
      <c r="M16">
        <f t="shared" si="5"/>
        <v>1</v>
      </c>
      <c r="N16">
        <f t="shared" si="6"/>
        <v>1</v>
      </c>
      <c r="O16">
        <f t="shared" si="7"/>
        <v>0</v>
      </c>
      <c r="P16">
        <f>IFERROR(SUMPRODUCT(MAX(('Match Log'!$D$4:$D$810=$A16)*'Match Log'!$B$4:$B$810)),0)</f>
        <v>46188</v>
      </c>
      <c r="Q16">
        <f t="shared" si="8"/>
        <v>2.8571428571428572</v>
      </c>
      <c r="R16">
        <f>IF($P16=0,0,MAX($Q16-'Guide &amp; Settings'!$C$48,0)*'Guide &amp; Settings'!$C$49)</f>
        <v>0</v>
      </c>
      <c r="S16">
        <f t="shared" si="9"/>
        <v>894.20718606929802</v>
      </c>
      <c r="T16" t="str">
        <f>IF($P16=0,"No games",IF($Q16&gt;='Guide &amp; Settings'!$C$48,"Inactive",IF($Q16&gt;='Guide &amp; Settings'!$C$47,"At risk","Active")))</f>
        <v>At risk</v>
      </c>
      <c r="U16">
        <f>SUMIF('Match Log'!$D$4:$D$810,$A16,'Match Log'!$AC$4:$AC$810)</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75.753595935033957</v>
      </c>
      <c r="AB16">
        <f t="shared" si="14"/>
        <v>27.895411451490052</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Log'!$D$4:$D$810,$A16,'Match Log'!$B$4:$B$810,"&gt;="&amp;$B$5)</f>
        <v>0</v>
      </c>
      <c r="AH16">
        <f ca="1">COUNTIFS('Match Log'!$D$4:$D$810,$A16,'Match Log'!$B$4:$B$810,"&gt;="&amp;$B$5,'Match Log'!$E$4:$E$810,"Win")</f>
        <v>0</v>
      </c>
    </row>
    <row r="17" spans="1:34" ht="15" customHeight="1" x14ac:dyDescent="0.2">
      <c r="A17" t="s">
        <v>176</v>
      </c>
      <c r="B17">
        <f>IFERROR(INDEX(Engine!$B$2:$B$15,MATCH($A17,Engine!$A$2:$A$15,0)),1000)</f>
        <v>1108.1045793188271</v>
      </c>
      <c r="C17">
        <f>IFERROR(INDEX(Engine!$C$2:$C$15,MATCH($A17,Engine!$A$2:$A$15,0)),"")</f>
        <v>1069.1776707162376</v>
      </c>
      <c r="D17">
        <f t="shared" si="0"/>
        <v>4</v>
      </c>
      <c r="E17">
        <f t="shared" si="1"/>
        <v>81.271928571045692</v>
      </c>
      <c r="F17" t="str">
        <f>IFERROR(LOOKUP(2,1/('Match Log'!$D$4:$D$810=$A17),'Match Log'!$E$4:$E$810),"")</f>
        <v>Loss</v>
      </c>
      <c r="G17">
        <f>IF($F17="",0,SUMPRODUCT(('Match Log'!$D$4:$D$810=$A17)*(ROW('Match Log'!$A$4:$A$810)&gt;SUMPRODUCT(MAX(('Match Log'!$D$4:$D$810=$A17)*('Match Log'!$E$4:$E$810&lt;&gt;$F17)*ROW('Match Log'!$A$4:$A$810))))))</f>
        <v>2</v>
      </c>
      <c r="H17" t="str">
        <f t="shared" si="2"/>
        <v>L2</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WWWLL</v>
      </c>
      <c r="J17">
        <f>IFERROR(LOOKUP(2,1/(('Match Log'!$D$4:$D$810=$A17)*('Match Log'!$B$4:$B$810&lt;=$B$3)),'Match Log'!$N$4:$N$810),1000)</f>
        <v>1094.3607552510286</v>
      </c>
      <c r="K17">
        <f t="shared" si="3"/>
        <v>5</v>
      </c>
      <c r="L17">
        <f t="shared" si="4"/>
        <v>1</v>
      </c>
      <c r="M17">
        <f t="shared" si="5"/>
        <v>2</v>
      </c>
      <c r="N17">
        <f t="shared" si="6"/>
        <v>3</v>
      </c>
      <c r="O17">
        <f t="shared" si="7"/>
        <v>0</v>
      </c>
      <c r="P17">
        <f>IFERROR(SUMPRODUCT(MAX(('Match Log'!$D$4:$D$810=$A17)*'Match Log'!$B$4:$B$810)),0)</f>
        <v>46208</v>
      </c>
      <c r="Q17">
        <f t="shared" si="8"/>
        <v>0</v>
      </c>
      <c r="R17">
        <f>IF($P17=0,0,MAX($Q17-'Guide &amp; Settings'!$C$48,0)*'Guide &amp; Settings'!$C$49)</f>
        <v>0</v>
      </c>
      <c r="S17">
        <f t="shared" si="9"/>
        <v>1108.1045793188271</v>
      </c>
      <c r="T17" t="str">
        <f>IF($P17=0,"No games",IF($Q17&gt;='Guide &amp; Settings'!$C$48,"Inactive",IF($Q17&gt;='Guide &amp; Settings'!$C$47,"At risk","Active")))</f>
        <v>Active</v>
      </c>
      <c r="U17">
        <f>SUMIF('Match Log'!$D$4:$D$810,$A17,'Match Log'!$AC$4:$AC$810)</f>
        <v>0</v>
      </c>
      <c r="V17">
        <f t="shared" si="10"/>
        <v>2</v>
      </c>
      <c r="W17">
        <f t="shared" si="11"/>
        <v>77.026144829706766</v>
      </c>
      <c r="X17">
        <f>IFERROR(INDEX(Dashboard!$G$5:$G$18,MATCH($A17,Dashboard!$B$5:$B$18,0))*100,0)</f>
        <v>46.341463414634148</v>
      </c>
      <c r="Y17">
        <f>MIN(100,IFERROR(INDEX(Dashboard!$K$5:$K$18,MATCH($A17,Dashboard!$B$5:$B$18,0)),0)/5*50+$AC17/4*50)</f>
        <v>95</v>
      </c>
      <c r="Z17">
        <f t="shared" si="12"/>
        <v>60</v>
      </c>
      <c r="AA17">
        <f t="shared" si="13"/>
        <v>67.294417679059393</v>
      </c>
      <c r="AB17">
        <f t="shared" si="14"/>
        <v>70.956885141230131</v>
      </c>
      <c r="AC17">
        <f>IFERROR(SUMPRODUCT((INDEX('Sport Records'!$B$8:$O$26,0,MATCH($A17,'Sport Records'!$B$7:$O$7,0))&gt;=2)*(INDEX('Sport Records'!$B$52:$O$70,0,MATCH($A17,'Sport Records'!$B$51:$O$51,0))&gt;=0.5)),0)</f>
        <v>2</v>
      </c>
      <c r="AD17">
        <f>IFERROR(INDEX(Dashboard!$D$5:$D$18,MATCH($A17,Dashboard!$B$5:$B$18,0)),0)</f>
        <v>41</v>
      </c>
      <c r="AE17">
        <f>IFERROR(INDEX(Dashboard!$K$5:$K$18,MATCH($A17,Dashboard!$B$5:$B$18,0)),0)</f>
        <v>7</v>
      </c>
      <c r="AF17" t="str">
        <f t="shared" si="15"/>
        <v>Strong</v>
      </c>
      <c r="AG17">
        <f ca="1">COUNTIFS('Match Log'!$D$4:$D$810,$A17,'Match Log'!$B$4:$B$810,"&gt;="&amp;$B$5)</f>
        <v>6</v>
      </c>
      <c r="AH17">
        <f ca="1">COUNTIFS('Match Log'!$D$4:$D$810,$A17,'Match Log'!$B$4:$B$810,"&gt;="&amp;$B$5,'Match Log'!$E$4:$E$810,"Win")</f>
        <v>4</v>
      </c>
    </row>
    <row r="18" spans="1:34" ht="15" customHeight="1" x14ac:dyDescent="0.2">
      <c r="A18" t="s">
        <v>178</v>
      </c>
      <c r="B18">
        <f>IFERROR(INDEX(Engine!$B$2:$B$15,MATCH($A18,Engine!$A$2:$A$15,0)),1000)</f>
        <v>1039.5415973556721</v>
      </c>
      <c r="C18">
        <f>IFERROR(INDEX(Engine!$C$2:$C$15,MATCH($A18,Engine!$A$2:$A$15,0)),"")</f>
        <v>1066.9404087314192</v>
      </c>
      <c r="D18">
        <f t="shared" si="0"/>
        <v>8</v>
      </c>
      <c r="E18">
        <f t="shared" si="1"/>
        <v>149.83491053420062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1039.5415973556721</v>
      </c>
      <c r="K18">
        <f t="shared" si="3"/>
        <v>8</v>
      </c>
      <c r="L18">
        <f t="shared" si="4"/>
        <v>0</v>
      </c>
      <c r="M18">
        <f t="shared" si="5"/>
        <v>0</v>
      </c>
      <c r="N18">
        <f t="shared" si="6"/>
        <v>2</v>
      </c>
      <c r="O18">
        <f t="shared" si="7"/>
        <v>2</v>
      </c>
      <c r="P18">
        <f>IFERROR(SUMPRODUCT(MAX(('Match Log'!$D$4:$D$810=$A18)*'Match Log'!$B$4:$B$810)),0)</f>
        <v>46188</v>
      </c>
      <c r="Q18">
        <f t="shared" si="8"/>
        <v>2.8571428571428572</v>
      </c>
      <c r="R18">
        <f>IF($P18=0,0,MAX($Q18-'Guide &amp; Settings'!$C$48,0)*'Guide &amp; Settings'!$C$49)</f>
        <v>0</v>
      </c>
      <c r="S18">
        <f t="shared" si="9"/>
        <v>1039.5415973556721</v>
      </c>
      <c r="T18" t="str">
        <f>IF($P18=0,"No games",IF($Q18&gt;='Guide &amp; Settings'!$C$48,"Inactive",IF($Q18&gt;='Guide &amp; Settings'!$C$47,"At risk","Active")))</f>
        <v>At risk</v>
      </c>
      <c r="U18">
        <f>SUMIF('Match Log'!$D$4:$D$810,$A18,'Match Log'!$AC$4:$AC$810)</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66.735102182854803</v>
      </c>
      <c r="AB18">
        <f t="shared" si="14"/>
        <v>43.633399986906788</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Log'!$D$4:$D$810,$A18,'Match Log'!$B$4:$B$810,"&gt;="&amp;$B$5)</f>
        <v>0</v>
      </c>
      <c r="AH18">
        <f ca="1">COUNTIFS('Match Log'!$D$4:$D$810,$A18,'Match Log'!$B$4:$B$810,"&gt;="&amp;$B$5,'Match Log'!$E$4:$E$810,"Win")</f>
        <v>0</v>
      </c>
    </row>
    <row r="19" spans="1:34" ht="15" customHeight="1" x14ac:dyDescent="0.2">
      <c r="A19" t="s">
        <v>179</v>
      </c>
      <c r="B19">
        <f>IFERROR(INDEX(Engine!$B$2:$B$15,MATCH($A19,Engine!$A$2:$A$15,0)),1000)</f>
        <v>1038.5016461247724</v>
      </c>
      <c r="C19">
        <f>IFERROR(INDEX(Engine!$C$2:$C$15,MATCH($A19,Engine!$A$2:$A$15,0)),"")</f>
        <v>1083.7530580834596</v>
      </c>
      <c r="D19">
        <f t="shared" si="0"/>
        <v>9</v>
      </c>
      <c r="E19">
        <f t="shared" si="1"/>
        <v>150.87486176510038</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1038.5016461247724</v>
      </c>
      <c r="K19">
        <f t="shared" si="3"/>
        <v>9</v>
      </c>
      <c r="L19">
        <f t="shared" si="4"/>
        <v>0</v>
      </c>
      <c r="M19">
        <f t="shared" si="5"/>
        <v>0</v>
      </c>
      <c r="N19">
        <f t="shared" si="6"/>
        <v>2</v>
      </c>
      <c r="O19">
        <f t="shared" si="7"/>
        <v>0</v>
      </c>
      <c r="P19">
        <f>IFERROR(SUMPRODUCT(MAX(('Match Log'!$D$4:$D$810=$A19)*'Match Log'!$B$4:$B$810)),0)</f>
        <v>46188</v>
      </c>
      <c r="Q19">
        <f t="shared" si="8"/>
        <v>2.8571428571428572</v>
      </c>
      <c r="R19">
        <f>IF($P19=0,0,MAX($Q19-'Guide &amp; Settings'!$C$48,0)*'Guide &amp; Settings'!$C$49)</f>
        <v>0</v>
      </c>
      <c r="S19">
        <f t="shared" si="9"/>
        <v>1038.5016461247724</v>
      </c>
      <c r="T19" t="str">
        <f>IF($P19=0,"No games",IF($Q19&gt;='Guide &amp; Settings'!$C$48,"Inactive",IF($Q19&gt;='Guide &amp; Settings'!$C$47,"At risk","Active")))</f>
        <v>At risk</v>
      </c>
      <c r="U19">
        <f>SUMIF('Match Log'!$D$4:$D$810,$A19,'Match Log'!$AC$4:$AC$810)</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70.938264520864891</v>
      </c>
      <c r="AB19">
        <f t="shared" si="14"/>
        <v>49.962720488004067</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Log'!$D$4:$D$810,$A19,'Match Log'!$B$4:$B$810,"&gt;="&amp;$B$5)</f>
        <v>0</v>
      </c>
      <c r="AH19">
        <f ca="1">COUNTIFS('Match Log'!$D$4:$D$810,$A19,'Match Log'!$B$4:$B$810,"&gt;="&amp;$B$5,'Match Log'!$E$4:$E$810,"Win")</f>
        <v>0</v>
      </c>
    </row>
    <row r="20" spans="1:34" ht="15" customHeight="1" x14ac:dyDescent="0.2">
      <c r="A20" t="s">
        <v>181</v>
      </c>
      <c r="B20">
        <f>IFERROR(INDEX(Engine!$B$2:$B$15,MATCH($A20,Engine!$A$2:$A$15,0)),1000)</f>
        <v>1000</v>
      </c>
      <c r="C20" t="str">
        <f>IFERROR(INDEX(Engine!$C$2:$C$15,MATCH($A20,Engine!$A$2:$A$15,0)),"")</f>
        <v/>
      </c>
      <c r="D20">
        <f t="shared" si="0"/>
        <v>12</v>
      </c>
      <c r="E20">
        <f t="shared" si="1"/>
        <v>189.37650788987276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 t="shared" si="9"/>
        <v>1000</v>
      </c>
      <c r="T20" t="str">
        <f>IF($P20=0,"No games",IF($Q20&gt;='Guide &amp; Settings'!$C$48,"Inactive",IF($Q20&gt;='Guide &amp; Settings'!$C$47,"At risk","Active")))</f>
        <v>No games</v>
      </c>
      <c r="U20">
        <f>SUMIF('Match Log'!$D$4:$D$810,$A20,'Match Log'!$AC$4:$AC$810)</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Log'!$D$4:$D$810,$A20,'Match Log'!$B$4:$B$810,"&gt;="&amp;$B$5)</f>
        <v>0</v>
      </c>
      <c r="AH20">
        <f ca="1">COUNTIFS('Match Log'!$D$4:$D$810,$A20,'Match Log'!$B$4:$B$810,"&gt;="&amp;$B$5,'Match Log'!$E$4:$E$810,"Win")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Log'!$B$4:$B$810,MATCH(1,'Match Log'!$A$4:$A$810,0)),"")</f>
        <v>46145</v>
      </c>
      <c r="C25" t="str">
        <f>IFERROR(INDEX('Match Log'!$C$4:$C$810,MATCH(1,'Match Log'!$A$4:$A$810,0)),"")</f>
        <v>Putt Putt</v>
      </c>
      <c r="D25" t="str">
        <f>IFERROR(INDEX('Match Log'!$G$4:$G$810,MATCH(1,'Match Log'!$A$4:$A$810,0)),"")</f>
        <v>Josh</v>
      </c>
      <c r="E25" s="133">
        <f>IFERROR(INDEX('Match Log'!$F$4:$F$810,MATCH(1,'Match Log'!$A$4:$A$810,0)),"")</f>
        <v>3</v>
      </c>
      <c r="F25">
        <f>IFERROR(SUMIFS('Match Log'!$I$4:$I$810,'Match Log'!$A$4:$A$810,1,'Match Log'!$E$4:$E$810,"Win"),"")</f>
        <v>0.33333333333333331</v>
      </c>
      <c r="G25">
        <f t="shared" ref="G25:G56" si="16">IF($D25="","",1-$F25*$E25)</f>
        <v>0</v>
      </c>
      <c r="H25" t="str">
        <f>IFERROR(IF($E25=2,LOOKUP(2,1/(('Match Log'!$A$4:$A$810=1)*('Match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1030</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4" ht="15" customHeight="1" x14ac:dyDescent="0.2">
      <c r="A26">
        <v>2</v>
      </c>
      <c r="B26" s="132">
        <f>IFERROR(INDEX('Match Log'!$B$4:$B$810,MATCH(2,'Match Log'!$A$4:$A$810,0)),"")</f>
        <v>46175</v>
      </c>
      <c r="C26" t="str">
        <f>IFERROR(INDEX('Match Log'!$C$4:$C$810,MATCH(2,'Match Log'!$A$4:$A$810,0)),"")</f>
        <v>Kelly Pool</v>
      </c>
      <c r="D26" t="str">
        <f>IFERROR(INDEX('Match Log'!$G$4:$G$810,MATCH(2,'Match Log'!$A$4:$A$810,0)),"")</f>
        <v>Aaron</v>
      </c>
      <c r="E26" s="133">
        <f>IFERROR(INDEX('Match Log'!$F$4:$F$810,MATCH(2,'Match Log'!$A$4:$A$810,0)),"")</f>
        <v>8</v>
      </c>
      <c r="F26">
        <f>IFERROR(SUMIFS('Match Log'!$I$4:$I$810,'Match Log'!$A$4:$A$810,2,'Match Log'!$E$4:$E$810,"Win"),"")</f>
        <v>0.125</v>
      </c>
      <c r="G26">
        <f t="shared" si="16"/>
        <v>0</v>
      </c>
      <c r="H26" t="str">
        <f>IFERROR(IF($E26=2,LOOKUP(2,1/(('Match Log'!$A$4:$A$810=2)*('Match Log'!$E$4:$E$810="Loss")),'Match Log'!$D$4:$D$810),"the field"),"")</f>
        <v>the field</v>
      </c>
      <c r="I26">
        <f t="shared" si="17"/>
        <v>-1.9999999999999999E-6</v>
      </c>
      <c r="J26">
        <v>2</v>
      </c>
      <c r="K26">
        <f>IF($J26&gt;MAX('Match Log'!$A$4:$A$810),NA(),IFERROR(LOOKUP(2,1/(('Match Log'!$D$4:$D$810=$K$24)*('Match Log'!$A$4:$A$810&lt;=$J26)),'Match Log'!$N$4:$N$810),NA()))</f>
        <v>1042.578483210224</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1034.0174103221841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4" ht="15" customHeight="1" x14ac:dyDescent="0.2">
      <c r="A27">
        <v>3</v>
      </c>
      <c r="B27" s="132">
        <f>IFERROR(INDEX('Match Log'!$B$4:$B$810,MATCH(3,'Match Log'!$A$4:$A$810,0)),"")</f>
        <v>46172</v>
      </c>
      <c r="C27" t="str">
        <f>IFERROR(INDEX('Match Log'!$C$4:$C$810,MATCH(3,'Match Log'!$A$4:$A$810,0)),"")</f>
        <v>FIFA</v>
      </c>
      <c r="D27" t="str">
        <f>IFERROR(INDEX('Match Log'!$G$4:$G$810,MATCH(3,'Match Log'!$A$4:$A$810,0)),"")</f>
        <v>Shawn</v>
      </c>
      <c r="E27" s="133">
        <f>IFERROR(INDEX('Match Log'!$F$4:$F$810,MATCH(3,'Match Log'!$A$4:$A$810,0)),"")</f>
        <v>2</v>
      </c>
      <c r="F27">
        <f>IFERROR(SUMIFS('Match Log'!$I$4:$I$810,'Match Log'!$A$4:$A$810,3,'Match Log'!$E$4:$E$810,"Win"),"")</f>
        <v>0.5</v>
      </c>
      <c r="G27">
        <f t="shared" si="16"/>
        <v>0</v>
      </c>
      <c r="H27" t="str">
        <f>IFERROR(IF($E27=2,LOOKUP(2,1/(('Match Log'!$A$4:$A$810=3)*('Match Log'!$E$4:$E$810="Loss")),'Match Log'!$D$4:$D$810),"the field"),"")</f>
        <v>Daniel (Ferret)</v>
      </c>
      <c r="I27">
        <f t="shared" si="17"/>
        <v>-3.0000000000000001E-6</v>
      </c>
      <c r="J27">
        <v>3</v>
      </c>
      <c r="K27">
        <f>IF($J27&gt;MAX('Match Log'!$A$4:$A$810),NA(),IFERROR(LOOKUP(2,1/(('Match Log'!$D$4:$D$810=$K$24)*('Match Log'!$A$4:$A$810&lt;=$J27)),'Match Log'!$N$4:$N$810),NA()))</f>
        <v>1042.578483210224</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1034.0174103221841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4" ht="15" customHeight="1" x14ac:dyDescent="0.2">
      <c r="A28">
        <v>4</v>
      </c>
      <c r="B28" s="132">
        <f>IFERROR(INDEX('Match Log'!$B$4:$B$810,MATCH(4,'Match Log'!$A$4:$A$810,0)),"")</f>
        <v>46172</v>
      </c>
      <c r="C28" t="str">
        <f>IFERROR(INDEX('Match Log'!$C$4:$C$810,MATCH(4,'Match Log'!$A$4:$A$810,0)),"")</f>
        <v>FIFA</v>
      </c>
      <c r="D28" t="str">
        <f>IFERROR(INDEX('Match Log'!$G$4:$G$810,MATCH(4,'Match Log'!$A$4:$A$810,0)),"")</f>
        <v>Shawn</v>
      </c>
      <c r="E28" s="133">
        <f>IFERROR(INDEX('Match Log'!$F$4:$F$810,MATCH(4,'Match Log'!$A$4:$A$810,0)),"")</f>
        <v>2</v>
      </c>
      <c r="F28">
        <f>IFERROR(SUMIFS('Match Log'!$I$4:$I$810,'Match Log'!$A$4:$A$810,4,'Match Log'!$E$4:$E$810,"Win"),"")</f>
        <v>0.66666666666666663</v>
      </c>
      <c r="G28">
        <f t="shared" si="16"/>
        <v>-0.33333333333333326</v>
      </c>
      <c r="H28" t="str">
        <f>IFERROR(IF($E28=2,LOOKUP(2,1/(('Match Log'!$A$4:$A$810=4)*('Match Log'!$E$4:$E$810="Loss")),'Match Log'!$D$4:$D$810),"the field"),"")</f>
        <v>Daniel (Ferret)</v>
      </c>
      <c r="I28">
        <f t="shared" si="17"/>
        <v>-0.33333733333333326</v>
      </c>
      <c r="J28">
        <v>4</v>
      </c>
      <c r="K28">
        <f>IF($J28&gt;MAX('Match Log'!$A$4:$A$810),NA(),IFERROR(LOOKUP(2,1/(('Match Log'!$D$4:$D$810=$K$24)*('Match Log'!$A$4:$A$810&lt;=$J28)),'Match Log'!$N$4:$N$810),NA()))</f>
        <v>1042.578483210224</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1034.0174103221841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4" ht="15" customHeight="1" x14ac:dyDescent="0.2">
      <c r="A29">
        <v>5</v>
      </c>
      <c r="B29" s="132">
        <f>IFERROR(INDEX('Match Log'!$B$4:$B$810,MATCH(5,'Match Log'!$A$4:$A$810,0)),"")</f>
        <v>46172</v>
      </c>
      <c r="C29" t="str">
        <f>IFERROR(INDEX('Match Log'!$C$4:$C$810,MATCH(5,'Match Log'!$A$4:$A$810,0)),"")</f>
        <v>FIFA</v>
      </c>
      <c r="D29" t="str">
        <f>IFERROR(INDEX('Match Log'!$G$4:$G$810,MATCH(5,'Match Log'!$A$4:$A$810,0)),"")</f>
        <v>Shawn</v>
      </c>
      <c r="E29" s="133">
        <f>IFERROR(INDEX('Match Log'!$F$4:$F$810,MATCH(5,'Match Log'!$A$4:$A$810,0)),"")</f>
        <v>2</v>
      </c>
      <c r="F29">
        <f>IFERROR(SUMIFS('Match Log'!$I$4:$I$810,'Match Log'!$A$4:$A$810,5,'Match Log'!$E$4:$E$810,"Win"),"")</f>
        <v>0.75</v>
      </c>
      <c r="G29">
        <f t="shared" si="16"/>
        <v>-0.5</v>
      </c>
      <c r="H29" t="str">
        <f>IFERROR(IF($E29=2,LOOKUP(2,1/(('Match Log'!$A$4:$A$810=5)*('Match Log'!$E$4:$E$810="Loss")),'Match Log'!$D$4:$D$810),"the field"),"")</f>
        <v>Daniel (Ferret)</v>
      </c>
      <c r="I29">
        <f t="shared" si="17"/>
        <v>-0.50000500000000003</v>
      </c>
      <c r="J29">
        <v>5</v>
      </c>
      <c r="K29">
        <f>IF($J29&gt;MAX('Match Log'!$A$4:$A$810),NA(),IFERROR(LOOKUP(2,1/(('Match Log'!$D$4:$D$810=$K$24)*('Match Log'!$A$4:$A$810&lt;=$J29)),'Match Log'!$N$4:$N$810),NA()))</f>
        <v>1042.578483210224</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1034.0174103221841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4" ht="15" customHeight="1" x14ac:dyDescent="0.2">
      <c r="A30">
        <v>6</v>
      </c>
      <c r="B30" s="132">
        <f>IFERROR(INDEX('Match Log'!$B$4:$B$810,MATCH(6,'Match Log'!$A$4:$A$810,0)),"")</f>
        <v>46172</v>
      </c>
      <c r="C30" t="str">
        <f>IFERROR(INDEX('Match Log'!$C$4:$C$810,MATCH(6,'Match Log'!$A$4:$A$810,0)),"")</f>
        <v>FIFA</v>
      </c>
      <c r="D30" t="str">
        <f>IFERROR(INDEX('Match Log'!$G$4:$G$810,MATCH(6,'Match Log'!$A$4:$A$810,0)),"")</f>
        <v>Daniel (Ferret)</v>
      </c>
      <c r="E30" s="133">
        <f>IFERROR(INDEX('Match Log'!$F$4:$F$810,MATCH(6,'Match Log'!$A$4:$A$810,0)),"")</f>
        <v>2</v>
      </c>
      <c r="F30">
        <f>IFERROR(SUMIFS('Match Log'!$I$4:$I$810,'Match Log'!$A$4:$A$810,6,'Match Log'!$E$4:$E$810,"Win"),"")</f>
        <v>0.2</v>
      </c>
      <c r="G30">
        <f t="shared" si="16"/>
        <v>0.6</v>
      </c>
      <c r="H30" t="str">
        <f>IFERROR(IF($E30=2,LOOKUP(2,1/(('Match Log'!$A$4:$A$810=6)*('Match Log'!$E$4:$E$810="Loss")),'Match Log'!$D$4:$D$810),"the field"),"")</f>
        <v>Shawn</v>
      </c>
      <c r="I30">
        <f t="shared" si="17"/>
        <v>0.59999400000000003</v>
      </c>
      <c r="J30">
        <v>6</v>
      </c>
      <c r="K30">
        <f>IF($J30&gt;MAX('Match Log'!$A$4:$A$810),NA(),IFERROR(LOOKUP(2,1/(('Match Log'!$D$4:$D$810=$K$24)*('Match Log'!$A$4:$A$810&lt;=$J30)),'Match Log'!$N$4:$N$810),NA()))</f>
        <v>1042.578483210224</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1034.0174103221841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4" ht="15" customHeight="1" x14ac:dyDescent="0.2">
      <c r="A31">
        <v>7</v>
      </c>
      <c r="B31" s="132">
        <f>IFERROR(INDEX('Match Log'!$B$4:$B$810,MATCH(7,'Match Log'!$A$4:$A$810,0)),"")</f>
        <v>46172</v>
      </c>
      <c r="C31" t="str">
        <f>IFERROR(INDEX('Match Log'!$C$4:$C$810,MATCH(7,'Match Log'!$A$4:$A$810,0)),"")</f>
        <v>Table Tennis</v>
      </c>
      <c r="D31" t="str">
        <f>IFERROR(INDEX('Match Log'!$G$4:$G$810,MATCH(7,'Match Log'!$A$4:$A$810,0)),"")</f>
        <v>Shawn</v>
      </c>
      <c r="E31" s="133">
        <f>IFERROR(INDEX('Match Log'!$F$4:$F$810,MATCH(7,'Match Log'!$A$4:$A$810,0)),"")</f>
        <v>2</v>
      </c>
      <c r="F31">
        <f>IFERROR(SUMIFS('Match Log'!$I$4:$I$810,'Match Log'!$A$4:$A$810,7,'Match Log'!$E$4:$E$810,"Win"),"")</f>
        <v>0.5</v>
      </c>
      <c r="G31">
        <f t="shared" si="16"/>
        <v>0</v>
      </c>
      <c r="H31" t="str">
        <f>IFERROR(IF($E31=2,LOOKUP(2,1/(('Match Log'!$A$4:$A$810=7)*('Match Log'!$E$4:$E$810="Loss")),'Match Log'!$D$4:$D$810),"the field"),"")</f>
        <v>Daniel (Ferret)</v>
      </c>
      <c r="I31">
        <f t="shared" si="17"/>
        <v>-6.9999999999999999E-6</v>
      </c>
      <c r="J31">
        <v>7</v>
      </c>
      <c r="K31">
        <f>IF($J31&gt;MAX('Match Log'!$A$4:$A$810),NA(),IFERROR(LOOKUP(2,1/(('Match Log'!$D$4:$D$810=$K$24)*('Match Log'!$A$4:$A$810&lt;=$J31)),'Match Log'!$N$4:$N$810),NA()))</f>
        <v>1042.578483210224</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1034.0174103221841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4" ht="15" customHeight="1" x14ac:dyDescent="0.2">
      <c r="A32">
        <v>8</v>
      </c>
      <c r="B32" s="132">
        <f>IFERROR(INDEX('Match Log'!$B$4:$B$810,MATCH(8,'Match Log'!$A$4:$A$810,0)),"")</f>
        <v>46172</v>
      </c>
      <c r="C32" t="str">
        <f>IFERROR(INDEX('Match Log'!$C$4:$C$810,MATCH(8,'Match Log'!$A$4:$A$810,0)),"")</f>
        <v>Table Tennis</v>
      </c>
      <c r="D32" t="str">
        <f>IFERROR(INDEX('Match Log'!$G$4:$G$810,MATCH(8,'Match Log'!$A$4:$A$810,0)),"")</f>
        <v>Shawn</v>
      </c>
      <c r="E32" s="133">
        <f>IFERROR(INDEX('Match Log'!$F$4:$F$810,MATCH(8,'Match Log'!$A$4:$A$810,0)),"")</f>
        <v>2</v>
      </c>
      <c r="F32">
        <f>IFERROR(SUMIFS('Match Log'!$I$4:$I$810,'Match Log'!$A$4:$A$810,8,'Match Log'!$E$4:$E$810,"Win"),"")</f>
        <v>0.66666666666666663</v>
      </c>
      <c r="G32">
        <f t="shared" si="16"/>
        <v>-0.33333333333333326</v>
      </c>
      <c r="H32" t="str">
        <f>IFERROR(IF($E32=2,LOOKUP(2,1/(('Match Log'!$A$4:$A$810=8)*('Match Log'!$E$4:$E$810="Loss")),'Match Log'!$D$4:$D$810),"the field"),"")</f>
        <v>Daniel (Ferret)</v>
      </c>
      <c r="I32">
        <f t="shared" si="17"/>
        <v>-0.33334133333333327</v>
      </c>
      <c r="J32">
        <v>8</v>
      </c>
      <c r="K32">
        <f>IF($J32&gt;MAX('Match Log'!$A$4:$A$810),NA(),IFERROR(LOOKUP(2,1/(('Match Log'!$D$4:$D$810=$K$24)*('Match Log'!$A$4:$A$810&lt;=$J32)),'Match Log'!$N$4:$N$810),NA()))</f>
        <v>1042.578483210224</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1034.0174103221841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2">
        <f>IFERROR(INDEX('Match Log'!$B$4:$B$810,MATCH(9,'Match Log'!$A$4:$A$810,0)),"")</f>
        <v>46172</v>
      </c>
      <c r="C33" t="str">
        <f>IFERROR(INDEX('Match Log'!$C$4:$C$810,MATCH(9,'Match Log'!$A$4:$A$810,0)),"")</f>
        <v>Table Tennis</v>
      </c>
      <c r="D33" t="str">
        <f>IFERROR(INDEX('Match Log'!$G$4:$G$810,MATCH(9,'Match Log'!$A$4:$A$810,0)),"")</f>
        <v>Shawn</v>
      </c>
      <c r="E33" s="133">
        <f>IFERROR(INDEX('Match Log'!$F$4:$F$810,MATCH(9,'Match Log'!$A$4:$A$810,0)),"")</f>
        <v>2</v>
      </c>
      <c r="F33">
        <f>IFERROR(SUMIFS('Match Log'!$I$4:$I$810,'Match Log'!$A$4:$A$810,9,'Match Log'!$E$4:$E$810,"Win"),"")</f>
        <v>0.75</v>
      </c>
      <c r="G33">
        <f t="shared" si="16"/>
        <v>-0.5</v>
      </c>
      <c r="H33" t="str">
        <f>IFERROR(IF($E33=2,LOOKUP(2,1/(('Match Log'!$A$4:$A$810=9)*('Match Log'!$E$4:$E$810="Loss")),'Match Log'!$D$4:$D$810),"the field"),"")</f>
        <v>Daniel (Ferret)</v>
      </c>
      <c r="I33">
        <f t="shared" si="17"/>
        <v>-0.50000900000000004</v>
      </c>
      <c r="J33">
        <v>9</v>
      </c>
      <c r="K33">
        <f>IF($J33&gt;MAX('Match Log'!$A$4:$A$810),NA(),IFERROR(LOOKUP(2,1/(('Match Log'!$D$4:$D$810=$K$24)*('Match Log'!$A$4:$A$810&lt;=$J33)),'Match Log'!$N$4:$N$810),NA()))</f>
        <v>1042.578483210224</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1034.0174103221841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2">
        <f>IFERROR(INDEX('Match Log'!$B$4:$B$810,MATCH(10,'Match Log'!$A$4:$A$810,0)),"")</f>
        <v>46172</v>
      </c>
      <c r="C34" t="str">
        <f>IFERROR(INDEX('Match Log'!$C$4:$C$810,MATCH(10,'Match Log'!$A$4:$A$810,0)),"")</f>
        <v>Table Tennis</v>
      </c>
      <c r="D34" t="str">
        <f>IFERROR(INDEX('Match Log'!$G$4:$G$810,MATCH(10,'Match Log'!$A$4:$A$810,0)),"")</f>
        <v>Josh</v>
      </c>
      <c r="E34" s="133">
        <f>IFERROR(INDEX('Match Log'!$F$4:$F$810,MATCH(10,'Match Log'!$A$4:$A$810,0)),"")</f>
        <v>2</v>
      </c>
      <c r="F34">
        <f>IFERROR(SUMIFS('Match Log'!$I$4:$I$810,'Match Log'!$A$4:$A$810,10,'Match Log'!$E$4:$E$810,"Win"),"")</f>
        <v>0.5</v>
      </c>
      <c r="G34">
        <f t="shared" si="16"/>
        <v>0</v>
      </c>
      <c r="H34" t="str">
        <f>IFERROR(IF($E34=2,LOOKUP(2,1/(('Match Log'!$A$4:$A$810=10)*('Match Log'!$E$4:$E$810="Loss")),'Match Log'!$D$4:$D$810),"the field"),"")</f>
        <v>Cody</v>
      </c>
      <c r="I34">
        <f t="shared" si="17"/>
        <v>-1.0000000000000001E-5</v>
      </c>
      <c r="J34">
        <v>10</v>
      </c>
      <c r="K34">
        <f>IF($J34&gt;MAX('Match Log'!$A$4:$A$810),NA(),IFERROR(LOOKUP(2,1/(('Match Log'!$D$4:$D$810=$K$24)*('Match Log'!$A$4:$A$810&lt;=$J34)),'Match Log'!$N$4:$N$810),NA()))</f>
        <v>1042.578483210224</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1054.4558374330734</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979.56157288911083</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2">
        <f>IFERROR(INDEX('Match Log'!$B$4:$B$810,MATCH(11,'Match Log'!$A$4:$A$810,0)),"")</f>
        <v>46172</v>
      </c>
      <c r="C35" t="str">
        <f>IFERROR(INDEX('Match Log'!$C$4:$C$810,MATCH(11,'Match Log'!$A$4:$A$810,0)),"")</f>
        <v>Table Tennis</v>
      </c>
      <c r="D35" t="str">
        <f>IFERROR(INDEX('Match Log'!$G$4:$G$810,MATCH(11,'Match Log'!$A$4:$A$810,0)),"")</f>
        <v>Josh</v>
      </c>
      <c r="E35" s="133">
        <f>IFERROR(INDEX('Match Log'!$F$4:$F$810,MATCH(11,'Match Log'!$A$4:$A$810,0)),"")</f>
        <v>2</v>
      </c>
      <c r="F35">
        <f>IFERROR(SUMIFS('Match Log'!$I$4:$I$810,'Match Log'!$A$4:$A$810,11,'Match Log'!$E$4:$E$810,"Win"),"")</f>
        <v>0.66666666666666663</v>
      </c>
      <c r="G35">
        <f t="shared" si="16"/>
        <v>-0.33333333333333326</v>
      </c>
      <c r="H35" t="str">
        <f>IFERROR(IF($E35=2,LOOKUP(2,1/(('Match Log'!$A$4:$A$810=11)*('Match Log'!$E$4:$E$810="Loss")),'Match Log'!$D$4:$D$810),"the field"),"")</f>
        <v>Cody</v>
      </c>
      <c r="I35">
        <f t="shared" si="17"/>
        <v>-0.33334433333333324</v>
      </c>
      <c r="J35">
        <v>11</v>
      </c>
      <c r="K35">
        <f>IF($J35&gt;MAX('Match Log'!$A$4:$A$810),NA(),IFERROR(LOOKUP(2,1/(('Match Log'!$D$4:$D$810=$K$24)*('Match Log'!$A$4:$A$810&lt;=$J35)),'Match Log'!$N$4:$N$810),NA()))</f>
        <v>1042.578483210224</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1071.3750003033858</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962.64241001879827</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2">
        <f>IFERROR(INDEX('Match Log'!$B$4:$B$810,MATCH(12,'Match Log'!$A$4:$A$810,0)),"")</f>
        <v>46172</v>
      </c>
      <c r="C36" t="str">
        <f>IFERROR(INDEX('Match Log'!$C$4:$C$810,MATCH(12,'Match Log'!$A$4:$A$810,0)),"")</f>
        <v>Table Tennis</v>
      </c>
      <c r="D36" t="str">
        <f>IFERROR(INDEX('Match Log'!$G$4:$G$810,MATCH(12,'Match Log'!$A$4:$A$810,0)),"")</f>
        <v>Josh</v>
      </c>
      <c r="E36" s="133">
        <f>IFERROR(INDEX('Match Log'!$F$4:$F$810,MATCH(12,'Match Log'!$A$4:$A$810,0)),"")</f>
        <v>2</v>
      </c>
      <c r="F36">
        <f>IFERROR(SUMIFS('Match Log'!$I$4:$I$810,'Match Log'!$A$4:$A$810,12,'Match Log'!$E$4:$E$810,"Win"),"")</f>
        <v>0.75</v>
      </c>
      <c r="G36">
        <f t="shared" si="16"/>
        <v>-0.5</v>
      </c>
      <c r="H36" t="str">
        <f>IFERROR(IF($E36=2,LOOKUP(2,1/(('Match Log'!$A$4:$A$810=12)*('Match Log'!$E$4:$E$810="Loss")),'Match Log'!$D$4:$D$810),"the field"),"")</f>
        <v>Cody</v>
      </c>
      <c r="I36">
        <f t="shared" si="17"/>
        <v>-0.50001200000000001</v>
      </c>
      <c r="J36">
        <v>12</v>
      </c>
      <c r="K36">
        <f>IF($J36&gt;MAX('Match Log'!$A$4:$A$810),NA(),IFERROR(LOOKUP(2,1/(('Match Log'!$D$4:$D$810=$K$24)*('Match Log'!$A$4:$A$810&lt;=$J36)),'Match Log'!$N$4:$N$810),NA()))</f>
        <v>1042.578483210224</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1086.1011579328788</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947.91625238930521</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2">
        <f>IFERROR(INDEX('Match Log'!$B$4:$B$810,MATCH(13,'Match Log'!$A$4:$A$810,0)),"")</f>
        <v>46173</v>
      </c>
      <c r="C37" t="str">
        <f>IFERROR(INDEX('Match Log'!$C$4:$C$810,MATCH(13,'Match Log'!$A$4:$A$810,0)),"")</f>
        <v>FIFA</v>
      </c>
      <c r="D37" t="str">
        <f>IFERROR(INDEX('Match Log'!$G$4:$G$810,MATCH(13,'Match Log'!$A$4:$A$810,0)),"")</f>
        <v>Shawn</v>
      </c>
      <c r="E37" s="133">
        <f>IFERROR(INDEX('Match Log'!$F$4:$F$810,MATCH(13,'Match Log'!$A$4:$A$810,0)),"")</f>
        <v>2</v>
      </c>
      <c r="F37">
        <f>IFERROR(SUMIFS('Match Log'!$I$4:$I$810,'Match Log'!$A$4:$A$810,13,'Match Log'!$E$4:$E$810,"Win"),"")</f>
        <v>0.66666666666666663</v>
      </c>
      <c r="G37">
        <f t="shared" si="16"/>
        <v>-0.33333333333333326</v>
      </c>
      <c r="H37" t="str">
        <f>IFERROR(IF($E37=2,LOOKUP(2,1/(('Match Log'!$A$4:$A$810=13)*('Match Log'!$E$4:$E$810="Loss")),'Match Log'!$D$4:$D$810),"the field"),"")</f>
        <v>Daniel (Ferret)</v>
      </c>
      <c r="I37">
        <f t="shared" si="17"/>
        <v>-0.33334633333333324</v>
      </c>
      <c r="J37">
        <v>13</v>
      </c>
      <c r="K37">
        <f>IF($J37&gt;MAX('Match Log'!$A$4:$A$810),NA(),IFERROR(LOOKUP(2,1/(('Match Log'!$D$4:$D$810=$K$24)*('Match Log'!$A$4:$A$810&lt;=$J37)),'Match Log'!$N$4:$N$810),NA()))</f>
        <v>1042.578483210224</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1086.1011579328788</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947.91625238930521</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2">
        <f>IFERROR(INDEX('Match Log'!$B$4:$B$810,MATCH(14,'Match Log'!$A$4:$A$810,0)),"")</f>
        <v>46173</v>
      </c>
      <c r="C38" t="str">
        <f>IFERROR(INDEX('Match Log'!$C$4:$C$810,MATCH(14,'Match Log'!$A$4:$A$810,0)),"")</f>
        <v>FIFA</v>
      </c>
      <c r="D38" t="str">
        <f>IFERROR(INDEX('Match Log'!$G$4:$G$810,MATCH(14,'Match Log'!$A$4:$A$810,0)),"")</f>
        <v>Daniel (Ferret)</v>
      </c>
      <c r="E38" s="133">
        <f>IFERROR(INDEX('Match Log'!$F$4:$F$810,MATCH(14,'Match Log'!$A$4:$A$810,0)),"")</f>
        <v>2</v>
      </c>
      <c r="F38">
        <f>IFERROR(SUMIFS('Match Log'!$I$4:$I$810,'Match Log'!$A$4:$A$810,14,'Match Log'!$E$4:$E$810,"Win"),"")</f>
        <v>0.2857142857142857</v>
      </c>
      <c r="G38">
        <f t="shared" si="16"/>
        <v>0.4285714285714286</v>
      </c>
      <c r="H38" t="str">
        <f>IFERROR(IF($E38=2,LOOKUP(2,1/(('Match Log'!$A$4:$A$810=14)*('Match Log'!$E$4:$E$810="Loss")),'Match Log'!$D$4:$D$810),"the field"),"")</f>
        <v>Shawn</v>
      </c>
      <c r="I38">
        <f t="shared" si="17"/>
        <v>0.42855742857142859</v>
      </c>
      <c r="J38">
        <v>14</v>
      </c>
      <c r="K38">
        <f>IF($J38&gt;MAX('Match Log'!$A$4:$A$810),NA(),IFERROR(LOOKUP(2,1/(('Match Log'!$D$4:$D$810=$K$24)*('Match Log'!$A$4:$A$810&lt;=$J38)),'Match Log'!$N$4:$N$810),NA()))</f>
        <v>1042.578483210224</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1086.1011579328788</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947.91625238930521</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2">
        <f>IFERROR(INDEX('Match Log'!$B$4:$B$810,MATCH(15,'Match Log'!$A$4:$A$810,0)),"")</f>
        <v>46173</v>
      </c>
      <c r="C39" t="str">
        <f>IFERROR(INDEX('Match Log'!$C$4:$C$810,MATCH(15,'Match Log'!$A$4:$A$810,0)),"")</f>
        <v>FIFA</v>
      </c>
      <c r="D39" t="str">
        <f>IFERROR(INDEX('Match Log'!$G$4:$G$810,MATCH(15,'Match Log'!$A$4:$A$810,0)),"")</f>
        <v>Daniel (Ferret)</v>
      </c>
      <c r="E39" s="133">
        <f>IFERROR(INDEX('Match Log'!$F$4:$F$810,MATCH(15,'Match Log'!$A$4:$A$810,0)),"")</f>
        <v>2</v>
      </c>
      <c r="F39">
        <f>IFERROR(SUMIFS('Match Log'!$I$4:$I$810,'Match Log'!$A$4:$A$810,15,'Match Log'!$E$4:$E$810,"Win"),"")</f>
        <v>0.375</v>
      </c>
      <c r="G39">
        <f t="shared" si="16"/>
        <v>0.25</v>
      </c>
      <c r="H39" t="str">
        <f>IFERROR(IF($E39=2,LOOKUP(2,1/(('Match Log'!$A$4:$A$810=15)*('Match Log'!$E$4:$E$810="Loss")),'Match Log'!$D$4:$D$810),"the field"),"")</f>
        <v>Shawn</v>
      </c>
      <c r="I39">
        <f t="shared" si="17"/>
        <v>0.24998500000000001</v>
      </c>
      <c r="J39">
        <v>15</v>
      </c>
      <c r="K39">
        <f>IF($J39&gt;MAX('Match Log'!$A$4:$A$810),NA(),IFERROR(LOOKUP(2,1/(('Match Log'!$D$4:$D$810=$K$24)*('Match Log'!$A$4:$A$810&lt;=$J39)),'Match Log'!$N$4:$N$810),NA()))</f>
        <v>1042.578483210224</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1086.1011579328788</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947.91625238930521</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2">
        <f>IFERROR(INDEX('Match Log'!$B$4:$B$810,MATCH(16,'Match Log'!$A$4:$A$810,0)),"")</f>
        <v>46173</v>
      </c>
      <c r="C40" t="str">
        <f>IFERROR(INDEX('Match Log'!$C$4:$C$810,MATCH(16,'Match Log'!$A$4:$A$810,0)),"")</f>
        <v>FIFA</v>
      </c>
      <c r="D40" t="str">
        <f>IFERROR(INDEX('Match Log'!$G$4:$G$810,MATCH(16,'Match Log'!$A$4:$A$810,0)),"")</f>
        <v>Daniel (Ferret)</v>
      </c>
      <c r="E40" s="133">
        <f>IFERROR(INDEX('Match Log'!$F$4:$F$810,MATCH(16,'Match Log'!$A$4:$A$810,0)),"")</f>
        <v>2</v>
      </c>
      <c r="F40">
        <f>IFERROR(SUMIFS('Match Log'!$I$4:$I$810,'Match Log'!$A$4:$A$810,16,'Match Log'!$E$4:$E$810,"Win"),"")</f>
        <v>0.44444444444444442</v>
      </c>
      <c r="G40">
        <f t="shared" si="16"/>
        <v>0.11111111111111116</v>
      </c>
      <c r="H40" t="str">
        <f>IFERROR(IF($E40=2,LOOKUP(2,1/(('Match Log'!$A$4:$A$810=16)*('Match Log'!$E$4:$E$810="Loss")),'Match Log'!$D$4:$D$810),"the field"),"")</f>
        <v>Shawn</v>
      </c>
      <c r="I40">
        <f t="shared" si="17"/>
        <v>0.11109511111111116</v>
      </c>
      <c r="J40">
        <v>16</v>
      </c>
      <c r="K40">
        <f>IF($J40&gt;MAX('Match Log'!$A$4:$A$810),NA(),IFERROR(LOOKUP(2,1/(('Match Log'!$D$4:$D$810=$K$24)*('Match Log'!$A$4:$A$810&lt;=$J40)),'Match Log'!$N$4:$N$810),NA()))</f>
        <v>1042.578483210224</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1086.1011579328788</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947.91625238930521</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2">
        <f>IFERROR(INDEX('Match Log'!$B$4:$B$810,MATCH(17,'Match Log'!$A$4:$A$810,0)),"")</f>
        <v>46175</v>
      </c>
      <c r="C41" t="str">
        <f>IFERROR(INDEX('Match Log'!$C$4:$C$810,MATCH(17,'Match Log'!$A$4:$A$810,0)),"")</f>
        <v>FIFA</v>
      </c>
      <c r="D41" t="str">
        <f>IFERROR(INDEX('Match Log'!$G$4:$G$810,MATCH(17,'Match Log'!$A$4:$A$810,0)),"")</f>
        <v>Aaron</v>
      </c>
      <c r="E41" s="133">
        <f>IFERROR(INDEX('Match Log'!$F$4:$F$810,MATCH(17,'Match Log'!$A$4:$A$810,0)),"")</f>
        <v>2</v>
      </c>
      <c r="F41">
        <f>IFERROR(SUMIFS('Match Log'!$I$4:$I$810,'Match Log'!$A$4:$A$810,17,'Match Log'!$E$4:$E$810,"Win"),"")</f>
        <v>0.5</v>
      </c>
      <c r="G41">
        <f t="shared" si="16"/>
        <v>0</v>
      </c>
      <c r="H41" t="str">
        <f>IFERROR(IF($E41=2,LOOKUP(2,1/(('Match Log'!$A$4:$A$810=17)*('Match Log'!$E$4:$E$810="Loss")),'Match Log'!$D$4:$D$810),"the field"),"")</f>
        <v>Josh</v>
      </c>
      <c r="I41">
        <f t="shared" si="17"/>
        <v>-1.7E-5</v>
      </c>
      <c r="J41">
        <v>17</v>
      </c>
      <c r="K41">
        <f>IF($J41&gt;MAX('Match Log'!$A$4:$A$810),NA(),IFERROR(LOOKUP(2,1/(('Match Log'!$D$4:$D$810=$K$24)*('Match Log'!$A$4:$A$810&lt;=$J41)),'Match Log'!$N$4:$N$810),NA()))</f>
        <v>1066.5723579486566</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1062.1072831944462</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947.91625238930521</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2">
        <f>IFERROR(INDEX('Match Log'!$B$4:$B$810,MATCH(18,'Match Log'!$A$4:$A$810,0)),"")</f>
        <v>46175</v>
      </c>
      <c r="C42" t="str">
        <f>IFERROR(INDEX('Match Log'!$C$4:$C$810,MATCH(18,'Match Log'!$A$4:$A$810,0)),"")</f>
        <v>FIFA</v>
      </c>
      <c r="D42" t="str">
        <f>IFERROR(INDEX('Match Log'!$G$4:$G$810,MATCH(18,'Match Log'!$A$4:$A$810,0)),"")</f>
        <v>Aaron</v>
      </c>
      <c r="E42" s="133">
        <f>IFERROR(INDEX('Match Log'!$F$4:$F$810,MATCH(18,'Match Log'!$A$4:$A$810,0)),"")</f>
        <v>2</v>
      </c>
      <c r="F42">
        <f>IFERROR(SUMIFS('Match Log'!$I$4:$I$810,'Match Log'!$A$4:$A$810,18,'Match Log'!$E$4:$E$810,"Win"),"")</f>
        <v>0.57142857142857151</v>
      </c>
      <c r="G42">
        <f t="shared" si="16"/>
        <v>-0.14285714285714302</v>
      </c>
      <c r="H42" t="str">
        <f>IFERROR(IF($E42=2,LOOKUP(2,1/(('Match Log'!$A$4:$A$810=18)*('Match Log'!$E$4:$E$810="Loss")),'Match Log'!$D$4:$D$810),"the field"),"")</f>
        <v>Chase</v>
      </c>
      <c r="I42">
        <f t="shared" si="17"/>
        <v>-0.14287514285714301</v>
      </c>
      <c r="J42">
        <v>18</v>
      </c>
      <c r="K42">
        <f>IF($J42&gt;MAX('Match Log'!$A$4:$A$810),NA(),IFERROR(LOOKUP(2,1/(('Match Log'!$D$4:$D$810=$K$24)*('Match Log'!$A$4:$A$810&lt;=$J42)),'Match Log'!$N$4:$N$810),NA()))</f>
        <v>1085.2514323545793</v>
      </c>
      <c r="L42" t="e">
        <f>IF($J42&gt;MAX('Match Log'!$A$4:$A$810),NA(),IFERROR(LOOKUP(2,1/(('Match Log'!$D$4:$D$810=$L$24)*('Match Log'!$A$4:$A$810&lt;=$J42)),'Match Log'!$N$4:$N$810),NA()))</f>
        <v>#N/A</v>
      </c>
      <c r="M42">
        <f>IF($J42&gt;MAX('Match Log'!$A$4:$A$810),NA(),IFERROR(LOOKUP(2,1/(('Match Log'!$D$4:$D$810=$M$24)*('Match Log'!$A$4:$A$810&lt;=$J42)),'Match Log'!$N$4:$N$810),NA()))</f>
        <v>985.53521130836305</v>
      </c>
      <c r="N42">
        <f>IF($J42&gt;MAX('Match Log'!$A$4:$A$810),NA(),IFERROR(LOOKUP(2,1/(('Match Log'!$D$4:$D$810=$N$24)*('Match Log'!$A$4:$A$810&lt;=$J42)),'Match Log'!$N$4:$N$810),NA()))</f>
        <v>1004.2142857142857</v>
      </c>
      <c r="O42">
        <f>IF($J42&gt;MAX('Match Log'!$A$4:$A$810),NA(),IFERROR(LOOKUP(2,1/(('Match Log'!$D$4:$D$810=$O$24)*('Match Log'!$A$4:$A$810&lt;=$J42)),'Match Log'!$N$4:$N$810),NA()))</f>
        <v>1062.1072831944462</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947.91625238930521</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2">
        <f>IFERROR(INDEX('Match Log'!$B$4:$B$810,MATCH(19,'Match Log'!$A$4:$A$810,0)),"")</f>
        <v>46175</v>
      </c>
      <c r="C43" t="str">
        <f>IFERROR(INDEX('Match Log'!$C$4:$C$810,MATCH(19,'Match Log'!$A$4:$A$810,0)),"")</f>
        <v>FIFA</v>
      </c>
      <c r="D43" t="str">
        <f>IFERROR(INDEX('Match Log'!$G$4:$G$810,MATCH(19,'Match Log'!$A$4:$A$810,0)),"")</f>
        <v>Aaron</v>
      </c>
      <c r="E43" s="133">
        <f>IFERROR(INDEX('Match Log'!$F$4:$F$810,MATCH(19,'Match Log'!$A$4:$A$810,0)),"")</f>
        <v>2</v>
      </c>
      <c r="F43">
        <f>IFERROR(SUMIFS('Match Log'!$I$4:$I$810,'Match Log'!$A$4:$A$810,19,'Match Log'!$E$4:$E$810,"Win"),"")</f>
        <v>0.6</v>
      </c>
      <c r="G43">
        <f t="shared" si="16"/>
        <v>-0.19999999999999996</v>
      </c>
      <c r="H43" t="str">
        <f>IFERROR(IF($E43=2,LOOKUP(2,1/(('Match Log'!$A$4:$A$810=19)*('Match Log'!$E$4:$E$810="Loss")),'Match Log'!$D$4:$D$810),"the field"),"")</f>
        <v>Daniel (Ferret)</v>
      </c>
      <c r="I43">
        <f t="shared" si="17"/>
        <v>-0.20001899999999995</v>
      </c>
      <c r="J43">
        <v>19</v>
      </c>
      <c r="K43">
        <f>IF($J43&gt;MAX('Match Log'!$A$4:$A$810),NA(),IFERROR(LOOKUP(2,1/(('Match Log'!$D$4:$D$810=$K$24)*('Match Log'!$A$4:$A$810&lt;=$J43)),'Match Log'!$N$4:$N$810),NA()))</f>
        <v>1103.1658170072501</v>
      </c>
      <c r="L43" t="e">
        <f>IF($J43&gt;MAX('Match Log'!$A$4:$A$810),NA(),IFERROR(LOOKUP(2,1/(('Match Log'!$D$4:$D$810=$L$24)*('Match Log'!$A$4:$A$810&lt;=$J43)),'Match Log'!$N$4:$N$810),NA()))</f>
        <v>#N/A</v>
      </c>
      <c r="M43">
        <f>IF($J43&gt;MAX('Match Log'!$A$4:$A$810),NA(),IFERROR(LOOKUP(2,1/(('Match Log'!$D$4:$D$810=$M$24)*('Match Log'!$A$4:$A$810&lt;=$J43)),'Match Log'!$N$4:$N$810),NA()))</f>
        <v>985.53521130836305</v>
      </c>
      <c r="N43">
        <f>IF($J43&gt;MAX('Match Log'!$A$4:$A$810),NA(),IFERROR(LOOKUP(2,1/(('Match Log'!$D$4:$D$810=$N$24)*('Match Log'!$A$4:$A$810&lt;=$J43)),'Match Log'!$N$4:$N$810),NA()))</f>
        <v>1004.2142857142857</v>
      </c>
      <c r="O43">
        <f>IF($J43&gt;MAX('Match Log'!$A$4:$A$810),NA(),IFERROR(LOOKUP(2,1/(('Match Log'!$D$4:$D$810=$O$24)*('Match Log'!$A$4:$A$810&lt;=$J43)),'Match Log'!$N$4:$N$810),NA()))</f>
        <v>1062.1072831944462</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974.09903021186199</v>
      </c>
      <c r="S43" t="e">
        <f>IF($J43&gt;MAX('Match Log'!$A$4:$A$810),NA(),IFERROR(LOOKUP(2,1/(('Match Log'!$D$4:$D$810=$S$24)*('Match Log'!$A$4:$A$810&lt;=$J43)),'Match Log'!$N$4:$N$810),NA()))</f>
        <v>#N/A</v>
      </c>
      <c r="T43">
        <f>IF($J43&gt;MAX('Match Log'!$A$4:$A$810),NA(),IFERROR(LOOKUP(2,1/(('Match Log'!$D$4:$D$810=$T$24)*('Match Log'!$A$4:$A$810&lt;=$J43)),'Match Log'!$N$4:$N$810),NA()))</f>
        <v>947.91625238930521</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2">
        <f>IFERROR(INDEX('Match Log'!$B$4:$B$810,MATCH(20,'Match Log'!$A$4:$A$810,0)),"")</f>
        <v>46175</v>
      </c>
      <c r="C44" t="str">
        <f>IFERROR(INDEX('Match Log'!$C$4:$C$810,MATCH(20,'Match Log'!$A$4:$A$810,0)),"")</f>
        <v>Mario Kart</v>
      </c>
      <c r="D44" t="str">
        <f>IFERROR(INDEX('Match Log'!$G$4:$G$810,MATCH(20,'Match Log'!$A$4:$A$810,0)),"")</f>
        <v>Chase</v>
      </c>
      <c r="E44" s="133">
        <f>IFERROR(INDEX('Match Log'!$F$4:$F$810,MATCH(20,'Match Log'!$A$4:$A$810,0)),"")</f>
        <v>2</v>
      </c>
      <c r="F44">
        <f>IFERROR(SUMIFS('Match Log'!$I$4:$I$810,'Match Log'!$A$4:$A$810,20,'Match Log'!$E$4:$E$810,"Win"),"")</f>
        <v>0.5</v>
      </c>
      <c r="G44">
        <f t="shared" si="16"/>
        <v>0</v>
      </c>
      <c r="H44" t="str">
        <f>IFERROR(IF($E44=2,LOOKUP(2,1/(('Match Log'!$A$4:$A$810=20)*('Match Log'!$E$4:$E$810="Loss")),'Match Log'!$D$4:$D$810),"the field"),"")</f>
        <v>Daniel (Ferret)</v>
      </c>
      <c r="I44">
        <f t="shared" si="17"/>
        <v>-2.0000000000000002E-5</v>
      </c>
      <c r="J44">
        <v>20</v>
      </c>
      <c r="K44">
        <f>IF($J44&gt;MAX('Match Log'!$A$4:$A$810),NA(),IFERROR(LOOKUP(2,1/(('Match Log'!$D$4:$D$810=$K$24)*('Match Log'!$A$4:$A$810&lt;=$J44)),'Match Log'!$N$4:$N$810),NA()))</f>
        <v>1103.1658170072501</v>
      </c>
      <c r="L44" t="e">
        <f>IF($J44&gt;MAX('Match Log'!$A$4:$A$810),NA(),IFERROR(LOOKUP(2,1/(('Match Log'!$D$4:$D$810=$L$24)*('Match Log'!$A$4:$A$810&lt;=$J44)),'Match Log'!$N$4:$N$810),NA()))</f>
        <v>#N/A</v>
      </c>
      <c r="M44">
        <f>IF($J44&gt;MAX('Match Log'!$A$4:$A$810),NA(),IFERROR(LOOKUP(2,1/(('Match Log'!$D$4:$D$810=$M$24)*('Match Log'!$A$4:$A$810&lt;=$J44)),'Match Log'!$N$4:$N$810),NA()))</f>
        <v>1007.0087458273716</v>
      </c>
      <c r="N44">
        <f>IF($J44&gt;MAX('Match Log'!$A$4:$A$810),NA(),IFERROR(LOOKUP(2,1/(('Match Log'!$D$4:$D$810=$N$24)*('Match Log'!$A$4:$A$810&lt;=$J44)),'Match Log'!$N$4:$N$810),NA()))</f>
        <v>1004.2142857142857</v>
      </c>
      <c r="O44">
        <f>IF($J44&gt;MAX('Match Log'!$A$4:$A$810),NA(),IFERROR(LOOKUP(2,1/(('Match Log'!$D$4:$D$810=$O$24)*('Match Log'!$A$4:$A$810&lt;=$J44)),'Match Log'!$N$4:$N$810),NA()))</f>
        <v>1062.1072831944462</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952.62549569285341</v>
      </c>
      <c r="S44" t="e">
        <f>IF($J44&gt;MAX('Match Log'!$A$4:$A$810),NA(),IFERROR(LOOKUP(2,1/(('Match Log'!$D$4:$D$810=$S$24)*('Match Log'!$A$4:$A$810&lt;=$J44)),'Match Log'!$N$4:$N$810),NA()))</f>
        <v>#N/A</v>
      </c>
      <c r="T44">
        <f>IF($J44&gt;MAX('Match Log'!$A$4:$A$810),NA(),IFERROR(LOOKUP(2,1/(('Match Log'!$D$4:$D$810=$T$24)*('Match Log'!$A$4:$A$810&lt;=$J44)),'Match Log'!$N$4:$N$810),NA()))</f>
        <v>947.91625238930521</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2">
        <f>IFERROR(INDEX('Match Log'!$B$4:$B$810,MATCH(21,'Match Log'!$A$4:$A$810,0)),"")</f>
        <v>46175</v>
      </c>
      <c r="C45" t="str">
        <f>IFERROR(INDEX('Match Log'!$C$4:$C$810,MATCH(21,'Match Log'!$A$4:$A$810,0)),"")</f>
        <v>Mario Kart</v>
      </c>
      <c r="D45" t="str">
        <f>IFERROR(INDEX('Match Log'!$G$4:$G$810,MATCH(21,'Match Log'!$A$4:$A$810,0)),"")</f>
        <v>Chase</v>
      </c>
      <c r="E45" s="133">
        <f>IFERROR(INDEX('Match Log'!$F$4:$F$810,MATCH(21,'Match Log'!$A$4:$A$810,0)),"")</f>
        <v>2</v>
      </c>
      <c r="F45">
        <f>IFERROR(SUMIFS('Match Log'!$I$4:$I$810,'Match Log'!$A$4:$A$810,21,'Match Log'!$E$4:$E$810,"Win"),"")</f>
        <v>0.66666666666666663</v>
      </c>
      <c r="G45">
        <f t="shared" si="16"/>
        <v>-0.33333333333333326</v>
      </c>
      <c r="H45" t="str">
        <f>IFERROR(IF($E45=2,LOOKUP(2,1/(('Match Log'!$A$4:$A$810=21)*('Match Log'!$E$4:$E$810="Loss")),'Match Log'!$D$4:$D$810),"the field"),"")</f>
        <v>Daniel (Ferret)</v>
      </c>
      <c r="I45">
        <f t="shared" si="17"/>
        <v>-0.33335433333333325</v>
      </c>
      <c r="J45">
        <v>21</v>
      </c>
      <c r="K45">
        <f>IF($J45&gt;MAX('Match Log'!$A$4:$A$810),NA(),IFERROR(LOOKUP(2,1/(('Match Log'!$D$4:$D$810=$K$24)*('Match Log'!$A$4:$A$810&lt;=$J45)),'Match Log'!$N$4:$N$810),NA()))</f>
        <v>1103.1658170072501</v>
      </c>
      <c r="L45" t="e">
        <f>IF($J45&gt;MAX('Match Log'!$A$4:$A$810),NA(),IFERROR(LOOKUP(2,1/(('Match Log'!$D$4:$D$810=$L$24)*('Match Log'!$A$4:$A$810&lt;=$J45)),'Match Log'!$N$4:$N$810),NA()))</f>
        <v>#N/A</v>
      </c>
      <c r="M45">
        <f>IF($J45&gt;MAX('Match Log'!$A$4:$A$810),NA(),IFERROR(LOOKUP(2,1/(('Match Log'!$D$4:$D$810=$M$24)*('Match Log'!$A$4:$A$810&lt;=$J45)),'Match Log'!$N$4:$N$810),NA()))</f>
        <v>1024.6924897030115</v>
      </c>
      <c r="N45">
        <f>IF($J45&gt;MAX('Match Log'!$A$4:$A$810),NA(),IFERROR(LOOKUP(2,1/(('Match Log'!$D$4:$D$810=$N$24)*('Match Log'!$A$4:$A$810&lt;=$J45)),'Match Log'!$N$4:$N$810),NA()))</f>
        <v>1004.2142857142857</v>
      </c>
      <c r="O45">
        <f>IF($J45&gt;MAX('Match Log'!$A$4:$A$810),NA(),IFERROR(LOOKUP(2,1/(('Match Log'!$D$4:$D$810=$O$24)*('Match Log'!$A$4:$A$810&lt;=$J45)),'Match Log'!$N$4:$N$810),NA()))</f>
        <v>1062.1072831944462</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934.94175181721369</v>
      </c>
      <c r="S45" t="e">
        <f>IF($J45&gt;MAX('Match Log'!$A$4:$A$810),NA(),IFERROR(LOOKUP(2,1/(('Match Log'!$D$4:$D$810=$S$24)*('Match Log'!$A$4:$A$810&lt;=$J45)),'Match Log'!$N$4:$N$810),NA()))</f>
        <v>#N/A</v>
      </c>
      <c r="T45">
        <f>IF($J45&gt;MAX('Match Log'!$A$4:$A$810),NA(),IFERROR(LOOKUP(2,1/(('Match Log'!$D$4:$D$810=$T$24)*('Match Log'!$A$4:$A$810&lt;=$J45)),'Match Log'!$N$4:$N$810),NA()))</f>
        <v>947.91625238930521</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2">
        <f>IFERROR(INDEX('Match Log'!$B$4:$B$810,MATCH(22,'Match Log'!$A$4:$A$810,0)),"")</f>
        <v>46175</v>
      </c>
      <c r="C46" t="str">
        <f>IFERROR(INDEX('Match Log'!$C$4:$C$810,MATCH(22,'Match Log'!$A$4:$A$810,0)),"")</f>
        <v>Mario Kart</v>
      </c>
      <c r="D46" t="str">
        <f>IFERROR(INDEX('Match Log'!$G$4:$G$810,MATCH(22,'Match Log'!$A$4:$A$810,0)),"")</f>
        <v>Chase</v>
      </c>
      <c r="E46" s="133">
        <f>IFERROR(INDEX('Match Log'!$F$4:$F$810,MATCH(22,'Match Log'!$A$4:$A$810,0)),"")</f>
        <v>2</v>
      </c>
      <c r="F46">
        <f>IFERROR(SUMIFS('Match Log'!$I$4:$I$810,'Match Log'!$A$4:$A$810,22,'Match Log'!$E$4:$E$810,"Win"),"")</f>
        <v>0.75</v>
      </c>
      <c r="G46">
        <f t="shared" si="16"/>
        <v>-0.5</v>
      </c>
      <c r="H46" t="str">
        <f>IFERROR(IF($E46=2,LOOKUP(2,1/(('Match Log'!$A$4:$A$810=22)*('Match Log'!$E$4:$E$810="Loss")),'Match Log'!$D$4:$D$810),"the field"),"")</f>
        <v>Daniel (Ferret)</v>
      </c>
      <c r="I46">
        <f t="shared" si="17"/>
        <v>-0.50002199999999997</v>
      </c>
      <c r="J46">
        <v>22</v>
      </c>
      <c r="K46">
        <f>IF($J46&gt;MAX('Match Log'!$A$4:$A$810),NA(),IFERROR(LOOKUP(2,1/(('Match Log'!$D$4:$D$810=$K$24)*('Match Log'!$A$4:$A$810&lt;=$J46)),'Match Log'!$N$4:$N$810),NA()))</f>
        <v>1103.1658170072501</v>
      </c>
      <c r="L46" t="e">
        <f>IF($J46&gt;MAX('Match Log'!$A$4:$A$810),NA(),IFERROR(LOOKUP(2,1/(('Match Log'!$D$4:$D$810=$L$24)*('Match Log'!$A$4:$A$810&lt;=$J46)),'Match Log'!$N$4:$N$810),NA()))</f>
        <v>#N/A</v>
      </c>
      <c r="M46">
        <f>IF($J46&gt;MAX('Match Log'!$A$4:$A$810),NA(),IFERROR(LOOKUP(2,1/(('Match Log'!$D$4:$D$810=$M$24)*('Match Log'!$A$4:$A$810&lt;=$J46)),'Match Log'!$N$4:$N$810),NA()))</f>
        <v>1040.0042947241618</v>
      </c>
      <c r="N46">
        <f>IF($J46&gt;MAX('Match Log'!$A$4:$A$810),NA(),IFERROR(LOOKUP(2,1/(('Match Log'!$D$4:$D$810=$N$24)*('Match Log'!$A$4:$A$810&lt;=$J46)),'Match Log'!$N$4:$N$810),NA()))</f>
        <v>1004.2142857142857</v>
      </c>
      <c r="O46">
        <f>IF($J46&gt;MAX('Match Log'!$A$4:$A$810),NA(),IFERROR(LOOKUP(2,1/(('Match Log'!$D$4:$D$810=$O$24)*('Match Log'!$A$4:$A$810&lt;=$J46)),'Match Log'!$N$4:$N$810),NA()))</f>
        <v>1062.1072831944462</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919.62994679606345</v>
      </c>
      <c r="S46" t="e">
        <f>IF($J46&gt;MAX('Match Log'!$A$4:$A$810),NA(),IFERROR(LOOKUP(2,1/(('Match Log'!$D$4:$D$810=$S$24)*('Match Log'!$A$4:$A$810&lt;=$J46)),'Match Log'!$N$4:$N$810),NA()))</f>
        <v>#N/A</v>
      </c>
      <c r="T46">
        <f>IF($J46&gt;MAX('Match Log'!$A$4:$A$810),NA(),IFERROR(LOOKUP(2,1/(('Match Log'!$D$4:$D$810=$T$24)*('Match Log'!$A$4:$A$810&lt;=$J46)),'Match Log'!$N$4:$N$810),NA()))</f>
        <v>947.91625238930521</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2">
        <f>IFERROR(INDEX('Match Log'!$B$4:$B$810,MATCH(23,'Match Log'!$A$4:$A$810,0)),"")</f>
        <v>46175</v>
      </c>
      <c r="C47" t="str">
        <f>IFERROR(INDEX('Match Log'!$C$4:$C$810,MATCH(23,'Match Log'!$A$4:$A$810,0)),"")</f>
        <v>Mario Kart</v>
      </c>
      <c r="D47" t="str">
        <f>IFERROR(INDEX('Match Log'!$G$4:$G$810,MATCH(23,'Match Log'!$A$4:$A$810,0)),"")</f>
        <v>Chase</v>
      </c>
      <c r="E47" s="133">
        <f>IFERROR(INDEX('Match Log'!$F$4:$F$810,MATCH(23,'Match Log'!$A$4:$A$810,0)),"")</f>
        <v>2</v>
      </c>
      <c r="F47">
        <f>IFERROR(SUMIFS('Match Log'!$I$4:$I$810,'Match Log'!$A$4:$A$810,23,'Match Log'!$E$4:$E$810,"Win"),"")</f>
        <v>0.8</v>
      </c>
      <c r="G47">
        <f t="shared" si="16"/>
        <v>-0.60000000000000009</v>
      </c>
      <c r="H47" t="str">
        <f>IFERROR(IF($E47=2,LOOKUP(2,1/(('Match Log'!$A$4:$A$810=23)*('Match Log'!$E$4:$E$810="Loss")),'Match Log'!$D$4:$D$810),"the field"),"")</f>
        <v>Daniel (Ferret)</v>
      </c>
      <c r="I47">
        <f t="shared" si="17"/>
        <v>-0.60002300000000008</v>
      </c>
      <c r="J47">
        <v>23</v>
      </c>
      <c r="K47">
        <f>IF($J47&gt;MAX('Match Log'!$A$4:$A$810),NA(),IFERROR(LOOKUP(2,1/(('Match Log'!$D$4:$D$810=$K$24)*('Match Log'!$A$4:$A$810&lt;=$J47)),'Match Log'!$N$4:$N$810),NA()))</f>
        <v>1103.1658170072501</v>
      </c>
      <c r="L47" t="e">
        <f>IF($J47&gt;MAX('Match Log'!$A$4:$A$810),NA(),IFERROR(LOOKUP(2,1/(('Match Log'!$D$4:$D$810=$L$24)*('Match Log'!$A$4:$A$810&lt;=$J47)),'Match Log'!$N$4:$N$810),NA()))</f>
        <v>#N/A</v>
      </c>
      <c r="M47">
        <f>IF($J47&gt;MAX('Match Log'!$A$4:$A$810),NA(),IFERROR(LOOKUP(2,1/(('Match Log'!$D$4:$D$810=$M$24)*('Match Log'!$A$4:$A$810&lt;=$J47)),'Match Log'!$N$4:$N$810),NA()))</f>
        <v>1053.58309096217</v>
      </c>
      <c r="N47">
        <f>IF($J47&gt;MAX('Match Log'!$A$4:$A$810),NA(),IFERROR(LOOKUP(2,1/(('Match Log'!$D$4:$D$810=$N$24)*('Match Log'!$A$4:$A$810&lt;=$J47)),'Match Log'!$N$4:$N$810),NA()))</f>
        <v>1004.2142857142857</v>
      </c>
      <c r="O47">
        <f>IF($J47&gt;MAX('Match Log'!$A$4:$A$810),NA(),IFERROR(LOOKUP(2,1/(('Match Log'!$D$4:$D$810=$O$24)*('Match Log'!$A$4:$A$810&lt;=$J47)),'Match Log'!$N$4:$N$810),NA()))</f>
        <v>1062.1072831944462</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906.05115055805538</v>
      </c>
      <c r="S47" t="e">
        <f>IF($J47&gt;MAX('Match Log'!$A$4:$A$810),NA(),IFERROR(LOOKUP(2,1/(('Match Log'!$D$4:$D$810=$S$24)*('Match Log'!$A$4:$A$810&lt;=$J47)),'Match Log'!$N$4:$N$810),NA()))</f>
        <v>#N/A</v>
      </c>
      <c r="T47">
        <f>IF($J47&gt;MAX('Match Log'!$A$4:$A$810),NA(),IFERROR(LOOKUP(2,1/(('Match Log'!$D$4:$D$810=$T$24)*('Match Log'!$A$4:$A$810&lt;=$J47)),'Match Log'!$N$4:$N$810),NA()))</f>
        <v>947.91625238930521</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2">
        <f>IFERROR(INDEX('Match Log'!$B$4:$B$810,MATCH(24,'Match Log'!$A$4:$A$810,0)),"")</f>
        <v>46175</v>
      </c>
      <c r="C48" t="str">
        <f>IFERROR(INDEX('Match Log'!$C$4:$C$810,MATCH(24,'Match Log'!$A$4:$A$810,0)),"")</f>
        <v>Table Tennis</v>
      </c>
      <c r="D48" t="str">
        <f>IFERROR(INDEX('Match Log'!$G$4:$G$810,MATCH(24,'Match Log'!$A$4:$A$810,0)),"")</f>
        <v>Josh</v>
      </c>
      <c r="E48" s="133">
        <f>IFERROR(INDEX('Match Log'!$F$4:$F$810,MATCH(24,'Match Log'!$A$4:$A$810,0)),"")</f>
        <v>2</v>
      </c>
      <c r="F48">
        <f>IFERROR(SUMIFS('Match Log'!$I$4:$I$810,'Match Log'!$A$4:$A$810,24,'Match Log'!$E$4:$E$810,"Win"),"")</f>
        <v>0.8</v>
      </c>
      <c r="G48">
        <f t="shared" si="16"/>
        <v>-0.60000000000000009</v>
      </c>
      <c r="H48" t="str">
        <f>IFERROR(IF($E48=2,LOOKUP(2,1/(('Match Log'!$A$4:$A$810=24)*('Match Log'!$E$4:$E$810="Loss")),'Match Log'!$D$4:$D$810),"the field"),"")</f>
        <v>Daniel (Ferret)</v>
      </c>
      <c r="I48">
        <f t="shared" si="17"/>
        <v>-0.60002400000000011</v>
      </c>
      <c r="J48">
        <v>24</v>
      </c>
      <c r="K48">
        <f>IF($J48&gt;MAX('Match Log'!$A$4:$A$810),NA(),IFERROR(LOOKUP(2,1/(('Match Log'!$D$4:$D$810=$K$24)*('Match Log'!$A$4:$A$810&lt;=$J48)),'Match Log'!$N$4:$N$810),NA()))</f>
        <v>1103.1658170072501</v>
      </c>
      <c r="L48" t="e">
        <f>IF($J48&gt;MAX('Match Log'!$A$4:$A$810),NA(),IFERROR(LOOKUP(2,1/(('Match Log'!$D$4:$D$810=$L$24)*('Match Log'!$A$4:$A$810&lt;=$J48)),'Match Log'!$N$4:$N$810),NA()))</f>
        <v>#N/A</v>
      </c>
      <c r="M48">
        <f>IF($J48&gt;MAX('Match Log'!$A$4:$A$810),NA(),IFERROR(LOOKUP(2,1/(('Match Log'!$D$4:$D$810=$M$24)*('Match Log'!$A$4:$A$810&lt;=$J48)),'Match Log'!$N$4:$N$810),NA()))</f>
        <v>1053.58309096217</v>
      </c>
      <c r="N48">
        <f>IF($J48&gt;MAX('Match Log'!$A$4:$A$810),NA(),IFERROR(LOOKUP(2,1/(('Match Log'!$D$4:$D$810=$N$24)*('Match Log'!$A$4:$A$810&lt;=$J48)),'Match Log'!$N$4:$N$810),NA()))</f>
        <v>1004.2142857142857</v>
      </c>
      <c r="O48">
        <f>IF($J48&gt;MAX('Match Log'!$A$4:$A$810),NA(),IFERROR(LOOKUP(2,1/(('Match Log'!$D$4:$D$810=$O$24)*('Match Log'!$A$4:$A$810&lt;=$J48)),'Match Log'!$N$4:$N$810),NA()))</f>
        <v>1074.7712735502491</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893.3871602022524</v>
      </c>
      <c r="S48" t="e">
        <f>IF($J48&gt;MAX('Match Log'!$A$4:$A$810),NA(),IFERROR(LOOKUP(2,1/(('Match Log'!$D$4:$D$810=$S$24)*('Match Log'!$A$4:$A$810&lt;=$J48)),'Match Log'!$N$4:$N$810),NA()))</f>
        <v>#N/A</v>
      </c>
      <c r="T48">
        <f>IF($J48&gt;MAX('Match Log'!$A$4:$A$810),NA(),IFERROR(LOOKUP(2,1/(('Match Log'!$D$4:$D$810=$T$24)*('Match Log'!$A$4:$A$810&lt;=$J48)),'Match Log'!$N$4:$N$810),NA()))</f>
        <v>947.91625238930521</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2">
        <f>IFERROR(INDEX('Match Log'!$B$4:$B$810,MATCH(25,'Match Log'!$A$4:$A$810,0)),"")</f>
        <v>46175</v>
      </c>
      <c r="C49" t="str">
        <f>IFERROR(INDEX('Match Log'!$C$4:$C$810,MATCH(25,'Match Log'!$A$4:$A$810,0)),"")</f>
        <v>Table Tennis</v>
      </c>
      <c r="D49" t="str">
        <f>IFERROR(INDEX('Match Log'!$G$4:$G$810,MATCH(25,'Match Log'!$A$4:$A$810,0)),"")</f>
        <v>Josh</v>
      </c>
      <c r="E49" s="133">
        <f>IFERROR(INDEX('Match Log'!$F$4:$F$810,MATCH(25,'Match Log'!$A$4:$A$810,0)),"")</f>
        <v>2</v>
      </c>
      <c r="F49">
        <f>IFERROR(SUMIFS('Match Log'!$I$4:$I$810,'Match Log'!$A$4:$A$810,25,'Match Log'!$E$4:$E$810,"Win"),"")</f>
        <v>0.625</v>
      </c>
      <c r="G49">
        <f t="shared" si="16"/>
        <v>-0.25</v>
      </c>
      <c r="H49" t="str">
        <f>IFERROR(IF($E49=2,LOOKUP(2,1/(('Match Log'!$A$4:$A$810=25)*('Match Log'!$E$4:$E$810="Loss")),'Match Log'!$D$4:$D$810),"the field"),"")</f>
        <v>David</v>
      </c>
      <c r="I49">
        <f t="shared" si="17"/>
        <v>-0.250025</v>
      </c>
      <c r="J49">
        <v>25</v>
      </c>
      <c r="K49">
        <f>IF($J49&gt;MAX('Match Log'!$A$4:$A$810),NA(),IFERROR(LOOKUP(2,1/(('Match Log'!$D$4:$D$810=$K$24)*('Match Log'!$A$4:$A$810&lt;=$J49)),'Match Log'!$N$4:$N$810),NA()))</f>
        <v>1103.1658170072501</v>
      </c>
      <c r="L49" t="e">
        <f>IF($J49&gt;MAX('Match Log'!$A$4:$A$810),NA(),IFERROR(LOOKUP(2,1/(('Match Log'!$D$4:$D$810=$L$24)*('Match Log'!$A$4:$A$810&lt;=$J49)),'Match Log'!$N$4:$N$810),NA()))</f>
        <v>#N/A</v>
      </c>
      <c r="M49">
        <f>IF($J49&gt;MAX('Match Log'!$A$4:$A$810),NA(),IFERROR(LOOKUP(2,1/(('Match Log'!$D$4:$D$810=$M$24)*('Match Log'!$A$4:$A$810&lt;=$J49)),'Match Log'!$N$4:$N$810),NA()))</f>
        <v>1053.58309096217</v>
      </c>
      <c r="N49">
        <f>IF($J49&gt;MAX('Match Log'!$A$4:$A$810),NA(),IFERROR(LOOKUP(2,1/(('Match Log'!$D$4:$D$810=$N$24)*('Match Log'!$A$4:$A$810&lt;=$J49)),'Match Log'!$N$4:$N$810),NA()))</f>
        <v>986.54517398256769</v>
      </c>
      <c r="O49">
        <f>IF($J49&gt;MAX('Match Log'!$A$4:$A$810),NA(),IFERROR(LOOKUP(2,1/(('Match Log'!$D$4:$D$810=$O$24)*('Match Log'!$A$4:$A$810&lt;=$J49)),'Match Log'!$N$4:$N$810),NA()))</f>
        <v>1092.4403852819671</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893.3871602022524</v>
      </c>
      <c r="S49" t="e">
        <f>IF($J49&gt;MAX('Match Log'!$A$4:$A$810),NA(),IFERROR(LOOKUP(2,1/(('Match Log'!$D$4:$D$810=$S$24)*('Match Log'!$A$4:$A$810&lt;=$J49)),'Match Log'!$N$4:$N$810),NA()))</f>
        <v>#N/A</v>
      </c>
      <c r="T49">
        <f>IF($J49&gt;MAX('Match Log'!$A$4:$A$810),NA(),IFERROR(LOOKUP(2,1/(('Match Log'!$D$4:$D$810=$T$24)*('Match Log'!$A$4:$A$810&lt;=$J49)),'Match Log'!$N$4:$N$810),NA()))</f>
        <v>947.91625238930521</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2">
        <f>IFERROR(INDEX('Match Log'!$B$4:$B$810,MATCH(26,'Match Log'!$A$4:$A$810,0)),"")</f>
        <v>46175</v>
      </c>
      <c r="C50" t="str">
        <f>IFERROR(INDEX('Match Log'!$C$4:$C$810,MATCH(26,'Match Log'!$A$4:$A$810,0)),"")</f>
        <v>Table Tennis</v>
      </c>
      <c r="D50" t="str">
        <f>IFERROR(INDEX('Match Log'!$G$4:$G$810,MATCH(26,'Match Log'!$A$4:$A$810,0)),"")</f>
        <v>Daniel (Ferret)</v>
      </c>
      <c r="E50" s="133">
        <f>IFERROR(INDEX('Match Log'!$F$4:$F$810,MATCH(26,'Match Log'!$A$4:$A$810,0)),"")</f>
        <v>2</v>
      </c>
      <c r="F50">
        <f>IFERROR(SUMIFS('Match Log'!$I$4:$I$810,'Match Log'!$A$4:$A$810,26,'Match Log'!$E$4:$E$810,"Win"),"")</f>
        <v>0.33333333333333331</v>
      </c>
      <c r="G50">
        <f t="shared" si="16"/>
        <v>0.33333333333333337</v>
      </c>
      <c r="H50" t="str">
        <f>IFERROR(IF($E50=2,LOOKUP(2,1/(('Match Log'!$A$4:$A$810=26)*('Match Log'!$E$4:$E$810="Loss")),'Match Log'!$D$4:$D$810),"the field"),"")</f>
        <v>David</v>
      </c>
      <c r="I50">
        <f t="shared" si="17"/>
        <v>0.33330733333333334</v>
      </c>
      <c r="J50">
        <v>26</v>
      </c>
      <c r="K50">
        <f>IF($J50&gt;MAX('Match Log'!$A$4:$A$810),NA(),IFERROR(LOOKUP(2,1/(('Match Log'!$D$4:$D$810=$K$24)*('Match Log'!$A$4:$A$810&lt;=$J50)),'Match Log'!$N$4:$N$810),NA()))</f>
        <v>1103.1658170072501</v>
      </c>
      <c r="L50" t="e">
        <f>IF($J50&gt;MAX('Match Log'!$A$4:$A$810),NA(),IFERROR(LOOKUP(2,1/(('Match Log'!$D$4:$D$810=$L$24)*('Match Log'!$A$4:$A$810&lt;=$J50)),'Match Log'!$N$4:$N$810),NA()))</f>
        <v>#N/A</v>
      </c>
      <c r="M50">
        <f>IF($J50&gt;MAX('Match Log'!$A$4:$A$810),NA(),IFERROR(LOOKUP(2,1/(('Match Log'!$D$4:$D$810=$M$24)*('Match Log'!$A$4:$A$810&lt;=$J50)),'Match Log'!$N$4:$N$810),NA()))</f>
        <v>1053.58309096217</v>
      </c>
      <c r="N50">
        <f>IF($J50&gt;MAX('Match Log'!$A$4:$A$810),NA(),IFERROR(LOOKUP(2,1/(('Match Log'!$D$4:$D$810=$N$24)*('Match Log'!$A$4:$A$810&lt;=$J50)),'Match Log'!$N$4:$N$810),NA()))</f>
        <v>959.33903410060668</v>
      </c>
      <c r="O50">
        <f>IF($J50&gt;MAX('Match Log'!$A$4:$A$810),NA(),IFERROR(LOOKUP(2,1/(('Match Log'!$D$4:$D$810=$O$24)*('Match Log'!$A$4:$A$810&lt;=$J50)),'Match Log'!$N$4:$N$810),NA()))</f>
        <v>1092.4403852819671</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920.59330008421341</v>
      </c>
      <c r="S50" t="e">
        <f>IF($J50&gt;MAX('Match Log'!$A$4:$A$810),NA(),IFERROR(LOOKUP(2,1/(('Match Log'!$D$4:$D$810=$S$24)*('Match Log'!$A$4:$A$810&lt;=$J50)),'Match Log'!$N$4:$N$810),NA()))</f>
        <v>#N/A</v>
      </c>
      <c r="T50">
        <f>IF($J50&gt;MAX('Match Log'!$A$4:$A$810),NA(),IFERROR(LOOKUP(2,1/(('Match Log'!$D$4:$D$810=$T$24)*('Match Log'!$A$4:$A$810&lt;=$J50)),'Match Log'!$N$4:$N$810),NA()))</f>
        <v>947.91625238930521</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2">
        <f>IFERROR(INDEX('Match Log'!$B$4:$B$810,MATCH(27,'Match Log'!$A$4:$A$810,0)),"")</f>
        <v>46175</v>
      </c>
      <c r="C51" t="str">
        <f>IFERROR(INDEX('Match Log'!$C$4:$C$810,MATCH(27,'Match Log'!$A$4:$A$810,0)),"")</f>
        <v>Table Tennis</v>
      </c>
      <c r="D51" t="str">
        <f>IFERROR(INDEX('Match Log'!$G$4:$G$810,MATCH(27,'Match Log'!$A$4:$A$810,0)),"")</f>
        <v>Josh</v>
      </c>
      <c r="E51" s="133">
        <f>IFERROR(INDEX('Match Log'!$F$4:$F$810,MATCH(27,'Match Log'!$A$4:$A$810,0)),"")</f>
        <v>2</v>
      </c>
      <c r="F51">
        <f>IFERROR(SUMIFS('Match Log'!$I$4:$I$810,'Match Log'!$A$4:$A$810,27,'Match Log'!$E$4:$E$810,"Win"),"")</f>
        <v>0.75</v>
      </c>
      <c r="G51">
        <f t="shared" si="16"/>
        <v>-0.5</v>
      </c>
      <c r="H51" t="str">
        <f>IFERROR(IF($E51=2,LOOKUP(2,1/(('Match Log'!$A$4:$A$810=27)*('Match Log'!$E$4:$E$810="Loss")),'Match Log'!$D$4:$D$810),"the field"),"")</f>
        <v>Daniel (Ferret)</v>
      </c>
      <c r="I51">
        <f t="shared" si="17"/>
        <v>-0.500027</v>
      </c>
      <c r="J51">
        <v>27</v>
      </c>
      <c r="K51">
        <f>IF($J51&gt;MAX('Match Log'!$A$4:$A$810),NA(),IFERROR(LOOKUP(2,1/(('Match Log'!$D$4:$D$810=$K$24)*('Match Log'!$A$4:$A$810&lt;=$J51)),'Match Log'!$N$4:$N$810),NA()))</f>
        <v>1103.1658170072501</v>
      </c>
      <c r="L51" t="e">
        <f>IF($J51&gt;MAX('Match Log'!$A$4:$A$810),NA(),IFERROR(LOOKUP(2,1/(('Match Log'!$D$4:$D$810=$L$24)*('Match Log'!$A$4:$A$810&lt;=$J51)),'Match Log'!$N$4:$N$810),NA()))</f>
        <v>#N/A</v>
      </c>
      <c r="M51">
        <f>IF($J51&gt;MAX('Match Log'!$A$4:$A$810),NA(),IFERROR(LOOKUP(2,1/(('Match Log'!$D$4:$D$810=$M$24)*('Match Log'!$A$4:$A$810&lt;=$J51)),'Match Log'!$N$4:$N$810),NA()))</f>
        <v>1053.58309096217</v>
      </c>
      <c r="N51">
        <f>IF($J51&gt;MAX('Match Log'!$A$4:$A$810),NA(),IFERROR(LOOKUP(2,1/(('Match Log'!$D$4:$D$810=$N$24)*('Match Log'!$A$4:$A$810&lt;=$J51)),'Match Log'!$N$4:$N$810),NA()))</f>
        <v>959.33903410060668</v>
      </c>
      <c r="O51">
        <f>IF($J51&gt;MAX('Match Log'!$A$4:$A$810),NA(),IFERROR(LOOKUP(2,1/(('Match Log'!$D$4:$D$810=$O$24)*('Match Log'!$A$4:$A$810&lt;=$J51)),'Match Log'!$N$4:$N$810),NA()))</f>
        <v>1105.3412744929378</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907.69241087324258</v>
      </c>
      <c r="S51" t="e">
        <f>IF($J51&gt;MAX('Match Log'!$A$4:$A$810),NA(),IFERROR(LOOKUP(2,1/(('Match Log'!$D$4:$D$810=$S$24)*('Match Log'!$A$4:$A$810&lt;=$J51)),'Match Log'!$N$4:$N$810),NA()))</f>
        <v>#N/A</v>
      </c>
      <c r="T51">
        <f>IF($J51&gt;MAX('Match Log'!$A$4:$A$810),NA(),IFERROR(LOOKUP(2,1/(('Match Log'!$D$4:$D$810=$T$24)*('Match Log'!$A$4:$A$810&lt;=$J51)),'Match Log'!$N$4:$N$810),NA()))</f>
        <v>947.91625238930521</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2">
        <f>IFERROR(INDEX('Match Log'!$B$4:$B$810,MATCH(28,'Match Log'!$A$4:$A$810,0)),"")</f>
        <v>46175</v>
      </c>
      <c r="C52" t="str">
        <f>IFERROR(INDEX('Match Log'!$C$4:$C$810,MATCH(28,'Match Log'!$A$4:$A$810,0)),"")</f>
        <v>Table Tennis</v>
      </c>
      <c r="D52" t="str">
        <f>IFERROR(INDEX('Match Log'!$G$4:$G$810,MATCH(28,'Match Log'!$A$4:$A$810,0)),"")</f>
        <v>Josh</v>
      </c>
      <c r="E52" s="133">
        <f>IFERROR(INDEX('Match Log'!$F$4:$F$810,MATCH(28,'Match Log'!$A$4:$A$810,0)),"")</f>
        <v>2</v>
      </c>
      <c r="F52">
        <f>IFERROR(SUMIFS('Match Log'!$I$4:$I$810,'Match Log'!$A$4:$A$810,28,'Match Log'!$E$4:$E$810,"Win"),"")</f>
        <v>0.77777777777777779</v>
      </c>
      <c r="G52">
        <f t="shared" si="16"/>
        <v>-0.55555555555555558</v>
      </c>
      <c r="H52" t="str">
        <f>IFERROR(IF($E52=2,LOOKUP(2,1/(('Match Log'!$A$4:$A$810=28)*('Match Log'!$E$4:$E$810="Loss")),'Match Log'!$D$4:$D$810),"the field"),"")</f>
        <v>David</v>
      </c>
      <c r="I52">
        <f t="shared" si="17"/>
        <v>-0.55558355555555561</v>
      </c>
      <c r="J52">
        <v>28</v>
      </c>
      <c r="K52">
        <f>IF($J52&gt;MAX('Match Log'!$A$4:$A$810),NA(),IFERROR(LOOKUP(2,1/(('Match Log'!$D$4:$D$810=$K$24)*('Match Log'!$A$4:$A$810&lt;=$J52)),'Match Log'!$N$4:$N$810),NA()))</f>
        <v>1103.1658170072501</v>
      </c>
      <c r="L52" t="e">
        <f>IF($J52&gt;MAX('Match Log'!$A$4:$A$810),NA(),IFERROR(LOOKUP(2,1/(('Match Log'!$D$4:$D$810=$L$24)*('Match Log'!$A$4:$A$810&lt;=$J52)),'Match Log'!$N$4:$N$810),NA()))</f>
        <v>#N/A</v>
      </c>
      <c r="M52">
        <f>IF($J52&gt;MAX('Match Log'!$A$4:$A$810),NA(),IFERROR(LOOKUP(2,1/(('Match Log'!$D$4:$D$810=$M$24)*('Match Log'!$A$4:$A$810&lt;=$J52)),'Match Log'!$N$4:$N$810),NA()))</f>
        <v>1053.58309096217</v>
      </c>
      <c r="N52">
        <f>IF($J52&gt;MAX('Match Log'!$A$4:$A$810),NA(),IFERROR(LOOKUP(2,1/(('Match Log'!$D$4:$D$810=$N$24)*('Match Log'!$A$4:$A$810&lt;=$J52)),'Match Log'!$N$4:$N$810),NA()))</f>
        <v>946.38601369580942</v>
      </c>
      <c r="O52">
        <f>IF($J52&gt;MAX('Match Log'!$A$4:$A$810),NA(),IFERROR(LOOKUP(2,1/(('Match Log'!$D$4:$D$810=$O$24)*('Match Log'!$A$4:$A$810&lt;=$J52)),'Match Log'!$N$4:$N$810),NA()))</f>
        <v>1118.294294897735</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907.69241087324258</v>
      </c>
      <c r="S52" t="e">
        <f>IF($J52&gt;MAX('Match Log'!$A$4:$A$810),NA(),IFERROR(LOOKUP(2,1/(('Match Log'!$D$4:$D$810=$S$24)*('Match Log'!$A$4:$A$810&lt;=$J52)),'Match Log'!$N$4:$N$810),NA()))</f>
        <v>#N/A</v>
      </c>
      <c r="T52">
        <f>IF($J52&gt;MAX('Match Log'!$A$4:$A$810),NA(),IFERROR(LOOKUP(2,1/(('Match Log'!$D$4:$D$810=$T$24)*('Match Log'!$A$4:$A$810&lt;=$J52)),'Match Log'!$N$4:$N$810),NA()))</f>
        <v>947.91625238930521</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2">
        <f>IFERROR(INDEX('Match Log'!$B$4:$B$810,MATCH(29,'Match Log'!$A$4:$A$810,0)),"")</f>
        <v>46175</v>
      </c>
      <c r="C53" t="str">
        <f>IFERROR(INDEX('Match Log'!$C$4:$C$810,MATCH(29,'Match Log'!$A$4:$A$810,0)),"")</f>
        <v>Table Tennis</v>
      </c>
      <c r="D53" t="str">
        <f>IFERROR(INDEX('Match Log'!$G$4:$G$810,MATCH(29,'Match Log'!$A$4:$A$810,0)),"")</f>
        <v>Oscar</v>
      </c>
      <c r="E53" s="133">
        <f>IFERROR(INDEX('Match Log'!$F$4:$F$810,MATCH(29,'Match Log'!$A$4:$A$810,0)),"")</f>
        <v>2</v>
      </c>
      <c r="F53">
        <f>IFERROR(SUMIFS('Match Log'!$I$4:$I$810,'Match Log'!$A$4:$A$810,29,'Match Log'!$E$4:$E$810,"Win"),"")</f>
        <v>0.5</v>
      </c>
      <c r="G53">
        <f t="shared" si="16"/>
        <v>0</v>
      </c>
      <c r="H53" t="str">
        <f>IFERROR(IF($E53=2,LOOKUP(2,1/(('Match Log'!$A$4:$A$810=29)*('Match Log'!$E$4:$E$810="Loss")),'Match Log'!$D$4:$D$810),"the field"),"")</f>
        <v>Aaron</v>
      </c>
      <c r="I53">
        <f t="shared" si="17"/>
        <v>-2.9E-5</v>
      </c>
      <c r="J53">
        <v>29</v>
      </c>
      <c r="K53">
        <f>IF($J53&gt;MAX('Match Log'!$A$4:$A$810),NA(),IFERROR(LOOKUP(2,1/(('Match Log'!$D$4:$D$810=$K$24)*('Match Log'!$A$4:$A$810&lt;=$J53)),'Match Log'!$N$4:$N$810),NA()))</f>
        <v>1076.3509776433464</v>
      </c>
      <c r="L53" t="e">
        <f>IF($J53&gt;MAX('Match Log'!$A$4:$A$810),NA(),IFERROR(LOOKUP(2,1/(('Match Log'!$D$4:$D$810=$L$24)*('Match Log'!$A$4:$A$810&lt;=$J53)),'Match Log'!$N$4:$N$810),NA()))</f>
        <v>#N/A</v>
      </c>
      <c r="M53">
        <f>IF($J53&gt;MAX('Match Log'!$A$4:$A$810),NA(),IFERROR(LOOKUP(2,1/(('Match Log'!$D$4:$D$810=$M$24)*('Match Log'!$A$4:$A$810&lt;=$J53)),'Match Log'!$N$4:$N$810),NA()))</f>
        <v>1053.58309096217</v>
      </c>
      <c r="N53">
        <f>IF($J53&gt;MAX('Match Log'!$A$4:$A$810),NA(),IFERROR(LOOKUP(2,1/(('Match Log'!$D$4:$D$810=$N$24)*('Match Log'!$A$4:$A$810&lt;=$J53)),'Match Log'!$N$4:$N$810),NA()))</f>
        <v>946.38601369580942</v>
      </c>
      <c r="O53">
        <f>IF($J53&gt;MAX('Match Log'!$A$4:$A$810),NA(),IFERROR(LOOKUP(2,1/(('Match Log'!$D$4:$D$810=$O$24)*('Match Log'!$A$4:$A$810&lt;=$J53)),'Match Log'!$N$4:$N$810),NA()))</f>
        <v>1118.294294897735</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907.69241087324258</v>
      </c>
      <c r="S53" t="e">
        <f>IF($J53&gt;MAX('Match Log'!$A$4:$A$810),NA(),IFERROR(LOOKUP(2,1/(('Match Log'!$D$4:$D$810=$S$24)*('Match Log'!$A$4:$A$810&lt;=$J53)),'Match Log'!$N$4:$N$810),NA()))</f>
        <v>#N/A</v>
      </c>
      <c r="T53">
        <f>IF($J53&gt;MAX('Match Log'!$A$4:$A$810),NA(),IFERROR(LOOKUP(2,1/(('Match Log'!$D$4:$D$810=$T$24)*('Match Log'!$A$4:$A$810&lt;=$J53)),'Match Log'!$N$4:$N$810),NA()))</f>
        <v>947.91625238930521</v>
      </c>
      <c r="U53">
        <f>IF($J53&gt;MAX('Match Log'!$A$4:$A$810),NA(),IFERROR(LOOKUP(2,1/(('Match Log'!$D$4:$D$810=$U$24)*('Match Log'!$A$4:$A$810&lt;=$J53)),'Match Log'!$N$4:$N$810),NA()))</f>
        <v>1022.0883211691282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2">
        <f>IFERROR(INDEX('Match Log'!$B$4:$B$810,MATCH(30,'Match Log'!$A$4:$A$810,0)),"")</f>
        <v>46175</v>
      </c>
      <c r="C54" t="str">
        <f>IFERROR(INDEX('Match Log'!$C$4:$C$810,MATCH(30,'Match Log'!$A$4:$A$810,0)),"")</f>
        <v>Table Tennis</v>
      </c>
      <c r="D54" t="str">
        <f>IFERROR(INDEX('Match Log'!$G$4:$G$810,MATCH(30,'Match Log'!$A$4:$A$810,0)),"")</f>
        <v>Aaron</v>
      </c>
      <c r="E54" s="133">
        <f>IFERROR(INDEX('Match Log'!$F$4:$F$810,MATCH(30,'Match Log'!$A$4:$A$810,0)),"")</f>
        <v>2</v>
      </c>
      <c r="F54">
        <f>IFERROR(SUMIFS('Match Log'!$I$4:$I$810,'Match Log'!$A$4:$A$810,30,'Match Log'!$E$4:$E$810,"Win"),"")</f>
        <v>0.625</v>
      </c>
      <c r="G54">
        <f t="shared" si="16"/>
        <v>-0.25</v>
      </c>
      <c r="H54" t="str">
        <f>IFERROR(IF($E54=2,LOOKUP(2,1/(('Match Log'!$A$4:$A$810=30)*('Match Log'!$E$4:$E$810="Loss")),'Match Log'!$D$4:$D$810),"the field"),"")</f>
        <v>David</v>
      </c>
      <c r="I54">
        <f t="shared" si="17"/>
        <v>-0.25002999999999997</v>
      </c>
      <c r="J54">
        <v>30</v>
      </c>
      <c r="K54">
        <f>IF($J54&gt;MAX('Match Log'!$A$4:$A$810),NA(),IFERROR(LOOKUP(2,1/(('Match Log'!$D$4:$D$810=$K$24)*('Match Log'!$A$4:$A$810&lt;=$J54)),'Match Log'!$N$4:$N$810),NA()))</f>
        <v>1091.9324916369376</v>
      </c>
      <c r="L54" t="e">
        <f>IF($J54&gt;MAX('Match Log'!$A$4:$A$810),NA(),IFERROR(LOOKUP(2,1/(('Match Log'!$D$4:$D$810=$L$24)*('Match Log'!$A$4:$A$810&lt;=$J54)),'Match Log'!$N$4:$N$810),NA()))</f>
        <v>#N/A</v>
      </c>
      <c r="M54">
        <f>IF($J54&gt;MAX('Match Log'!$A$4:$A$810),NA(),IFERROR(LOOKUP(2,1/(('Match Log'!$D$4:$D$810=$M$24)*('Match Log'!$A$4:$A$810&lt;=$J54)),'Match Log'!$N$4:$N$810),NA()))</f>
        <v>1053.58309096217</v>
      </c>
      <c r="N54">
        <f>IF($J54&gt;MAX('Match Log'!$A$4:$A$810),NA(),IFERROR(LOOKUP(2,1/(('Match Log'!$D$4:$D$810=$N$24)*('Match Log'!$A$4:$A$810&lt;=$J54)),'Match Log'!$N$4:$N$810),NA()))</f>
        <v>930.80449970221821</v>
      </c>
      <c r="O54">
        <f>IF($J54&gt;MAX('Match Log'!$A$4:$A$810),NA(),IFERROR(LOOKUP(2,1/(('Match Log'!$D$4:$D$810=$O$24)*('Match Log'!$A$4:$A$810&lt;=$J54)),'Match Log'!$N$4:$N$810),NA()))</f>
        <v>1118.294294897735</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907.69241087324258</v>
      </c>
      <c r="S54" t="e">
        <f>IF($J54&gt;MAX('Match Log'!$A$4:$A$810),NA(),IFERROR(LOOKUP(2,1/(('Match Log'!$D$4:$D$810=$S$24)*('Match Log'!$A$4:$A$810&lt;=$J54)),'Match Log'!$N$4:$N$810),NA()))</f>
        <v>#N/A</v>
      </c>
      <c r="T54">
        <f>IF($J54&gt;MAX('Match Log'!$A$4:$A$810),NA(),IFERROR(LOOKUP(2,1/(('Match Log'!$D$4:$D$810=$T$24)*('Match Log'!$A$4:$A$810&lt;=$J54)),'Match Log'!$N$4:$N$810),NA()))</f>
        <v>947.91625238930521</v>
      </c>
      <c r="U54">
        <f>IF($J54&gt;MAX('Match Log'!$A$4:$A$810),NA(),IFERROR(LOOKUP(2,1/(('Match Log'!$D$4:$D$810=$U$24)*('Match Log'!$A$4:$A$810&lt;=$J54)),'Match Log'!$N$4:$N$810),NA()))</f>
        <v>1022.0883211691282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2">
        <f>IFERROR(INDEX('Match Log'!$B$4:$B$810,MATCH(31,'Match Log'!$A$4:$A$810,0)),"")</f>
        <v>46175</v>
      </c>
      <c r="C55" t="str">
        <f>IFERROR(INDEX('Match Log'!$C$4:$C$810,MATCH(31,'Match Log'!$A$4:$A$810,0)),"")</f>
        <v>Call of Duty</v>
      </c>
      <c r="D55" t="str">
        <f>IFERROR(INDEX('Match Log'!$G$4:$G$810,MATCH(31,'Match Log'!$A$4:$A$810,0)),"")</f>
        <v>Daniel (Ferret)</v>
      </c>
      <c r="E55" s="133">
        <f>IFERROR(INDEX('Match Log'!$F$4:$F$810,MATCH(31,'Match Log'!$A$4:$A$810,0)),"")</f>
        <v>2</v>
      </c>
      <c r="F55">
        <f>IFERROR(SUMIFS('Match Log'!$I$4:$I$810,'Match Log'!$A$4:$A$810,31,'Match Log'!$E$4:$E$810,"Win"),"")</f>
        <v>0.5</v>
      </c>
      <c r="G55">
        <f t="shared" si="16"/>
        <v>0</v>
      </c>
      <c r="H55" t="str">
        <f>IFERROR(IF($E55=2,LOOKUP(2,1/(('Match Log'!$A$4:$A$810=31)*('Match Log'!$E$4:$E$810="Loss")),'Match Log'!$D$4:$D$810),"the field"),"")</f>
        <v>Aaron</v>
      </c>
      <c r="I55">
        <f t="shared" si="17"/>
        <v>-3.1000000000000001E-5</v>
      </c>
      <c r="J55">
        <v>31</v>
      </c>
      <c r="K55">
        <f>IF($J55&gt;MAX('Match Log'!$A$4:$A$810),NA(),IFERROR(LOOKUP(2,1/(('Match Log'!$D$4:$D$810=$K$24)*('Match Log'!$A$4:$A$810&lt;=$J55)),'Match Log'!$N$4:$N$810),NA()))</f>
        <v>1062.1629018977187</v>
      </c>
      <c r="L55" t="e">
        <f>IF($J55&gt;MAX('Match Log'!$A$4:$A$810),NA(),IFERROR(LOOKUP(2,1/(('Match Log'!$D$4:$D$810=$L$24)*('Match Log'!$A$4:$A$810&lt;=$J55)),'Match Log'!$N$4:$N$810),NA()))</f>
        <v>#N/A</v>
      </c>
      <c r="M55">
        <f>IF($J55&gt;MAX('Match Log'!$A$4:$A$810),NA(),IFERROR(LOOKUP(2,1/(('Match Log'!$D$4:$D$810=$M$24)*('Match Log'!$A$4:$A$810&lt;=$J55)),'Match Log'!$N$4:$N$810),NA()))</f>
        <v>1053.58309096217</v>
      </c>
      <c r="N55">
        <f>IF($J55&gt;MAX('Match Log'!$A$4:$A$810),NA(),IFERROR(LOOKUP(2,1/(('Match Log'!$D$4:$D$810=$N$24)*('Match Log'!$A$4:$A$810&lt;=$J55)),'Match Log'!$N$4:$N$810),NA()))</f>
        <v>930.80449970221821</v>
      </c>
      <c r="O55">
        <f>IF($J55&gt;MAX('Match Log'!$A$4:$A$810),NA(),IFERROR(LOOKUP(2,1/(('Match Log'!$D$4:$D$810=$O$24)*('Match Log'!$A$4:$A$810&lt;=$J55)),'Match Log'!$N$4:$N$810),NA()))</f>
        <v>1118.294294897735</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937.46200061246157</v>
      </c>
      <c r="S55" t="e">
        <f>IF($J55&gt;MAX('Match Log'!$A$4:$A$810),NA(),IFERROR(LOOKUP(2,1/(('Match Log'!$D$4:$D$810=$S$24)*('Match Log'!$A$4:$A$810&lt;=$J55)),'Match Log'!$N$4:$N$810),NA()))</f>
        <v>#N/A</v>
      </c>
      <c r="T55">
        <f>IF($J55&gt;MAX('Match Log'!$A$4:$A$810),NA(),IFERROR(LOOKUP(2,1/(('Match Log'!$D$4:$D$810=$T$24)*('Match Log'!$A$4:$A$810&lt;=$J55)),'Match Log'!$N$4:$N$810),NA()))</f>
        <v>947.91625238930521</v>
      </c>
      <c r="U55">
        <f>IF($J55&gt;MAX('Match Log'!$A$4:$A$810),NA(),IFERROR(LOOKUP(2,1/(('Match Log'!$D$4:$D$810=$U$24)*('Match Log'!$A$4:$A$810&lt;=$J55)),'Match Log'!$N$4:$N$810),NA()))</f>
        <v>1022.0883211691282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2">
        <f>IFERROR(INDEX('Match Log'!$B$4:$B$810,MATCH(32,'Match Log'!$A$4:$A$810,0)),"")</f>
        <v>46175</v>
      </c>
      <c r="C56" t="str">
        <f>IFERROR(INDEX('Match Log'!$C$4:$C$810,MATCH(32,'Match Log'!$A$4:$A$810,0)),"")</f>
        <v>Call of Duty</v>
      </c>
      <c r="D56" t="str">
        <f>IFERROR(INDEX('Match Log'!$G$4:$G$810,MATCH(32,'Match Log'!$A$4:$A$810,0)),"")</f>
        <v>Daniel (Ferret)</v>
      </c>
      <c r="E56" s="133">
        <f>IFERROR(INDEX('Match Log'!$F$4:$F$810,MATCH(32,'Match Log'!$A$4:$A$810,0)),"")</f>
        <v>2</v>
      </c>
      <c r="F56">
        <f>IFERROR(SUMIFS('Match Log'!$I$4:$I$810,'Match Log'!$A$4:$A$810,32,'Match Log'!$E$4:$E$810,"Win"),"")</f>
        <v>0.57142857142857151</v>
      </c>
      <c r="G56">
        <f t="shared" si="16"/>
        <v>-0.14285714285714302</v>
      </c>
      <c r="H56" t="str">
        <f>IFERROR(IF($E56=2,LOOKUP(2,1/(('Match Log'!$A$4:$A$810=32)*('Match Log'!$E$4:$E$810="Loss")),'Match Log'!$D$4:$D$810),"the field"),"")</f>
        <v>Chase</v>
      </c>
      <c r="I56">
        <f t="shared" si="17"/>
        <v>-0.14288914285714302</v>
      </c>
      <c r="J56">
        <v>32</v>
      </c>
      <c r="K56">
        <f>IF($J56&gt;MAX('Match Log'!$A$4:$A$810),NA(),IFERROR(LOOKUP(2,1/(('Match Log'!$D$4:$D$810=$K$24)*('Match Log'!$A$4:$A$810&lt;=$J56)),'Match Log'!$N$4:$N$810),NA()))</f>
        <v>1062.1629018977187</v>
      </c>
      <c r="L56" t="e">
        <f>IF($J56&gt;MAX('Match Log'!$A$4:$A$810),NA(),IFERROR(LOOKUP(2,1/(('Match Log'!$D$4:$D$810=$L$24)*('Match Log'!$A$4:$A$810&lt;=$J56)),'Match Log'!$N$4:$N$810),NA()))</f>
        <v>#N/A</v>
      </c>
      <c r="M56">
        <f>IF($J56&gt;MAX('Match Log'!$A$4:$A$810),NA(),IFERROR(LOOKUP(2,1/(('Match Log'!$D$4:$D$810=$M$24)*('Match Log'!$A$4:$A$810&lt;=$J56)),'Match Log'!$N$4:$N$810),NA()))</f>
        <v>1027.8298234990575</v>
      </c>
      <c r="N56">
        <f>IF($J56&gt;MAX('Match Log'!$A$4:$A$810),NA(),IFERROR(LOOKUP(2,1/(('Match Log'!$D$4:$D$810=$N$24)*('Match Log'!$A$4:$A$810&lt;=$J56)),'Match Log'!$N$4:$N$810),NA()))</f>
        <v>930.80449970221821</v>
      </c>
      <c r="O56">
        <f>IF($J56&gt;MAX('Match Log'!$A$4:$A$810),NA(),IFERROR(LOOKUP(2,1/(('Match Log'!$D$4:$D$810=$O$24)*('Match Log'!$A$4:$A$810&lt;=$J56)),'Match Log'!$N$4:$N$810),NA()))</f>
        <v>1118.294294897735</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963.21526807557404</v>
      </c>
      <c r="S56" t="e">
        <f>IF($J56&gt;MAX('Match Log'!$A$4:$A$810),NA(),IFERROR(LOOKUP(2,1/(('Match Log'!$D$4:$D$810=$S$24)*('Match Log'!$A$4:$A$810&lt;=$J56)),'Match Log'!$N$4:$N$810),NA()))</f>
        <v>#N/A</v>
      </c>
      <c r="T56">
        <f>IF($J56&gt;MAX('Match Log'!$A$4:$A$810),NA(),IFERROR(LOOKUP(2,1/(('Match Log'!$D$4:$D$810=$T$24)*('Match Log'!$A$4:$A$810&lt;=$J56)),'Match Log'!$N$4:$N$810),NA()))</f>
        <v>947.91625238930521</v>
      </c>
      <c r="U56">
        <f>IF($J56&gt;MAX('Match Log'!$A$4:$A$810),NA(),IFERROR(LOOKUP(2,1/(('Match Log'!$D$4:$D$810=$U$24)*('Match Log'!$A$4:$A$810&lt;=$J56)),'Match Log'!$N$4:$N$810),NA()))</f>
        <v>1022.0883211691282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2">
        <f>IFERROR(INDEX('Match Log'!$B$4:$B$810,MATCH(33,'Match Log'!$A$4:$A$810,0)),"")</f>
        <v>46175</v>
      </c>
      <c r="C57" t="str">
        <f>IFERROR(INDEX('Match Log'!$C$4:$C$810,MATCH(33,'Match Log'!$A$4:$A$810,0)),"")</f>
        <v>Call of Duty</v>
      </c>
      <c r="D57" t="str">
        <f>IFERROR(INDEX('Match Log'!$G$4:$G$810,MATCH(33,'Match Log'!$A$4:$A$810,0)),"")</f>
        <v>Aaron</v>
      </c>
      <c r="E57" s="133">
        <f>IFERROR(INDEX('Match Log'!$F$4:$F$810,MATCH(33,'Match Log'!$A$4:$A$810,0)),"")</f>
        <v>2</v>
      </c>
      <c r="F57">
        <f>IFERROR(SUMIFS('Match Log'!$I$4:$I$810,'Match Log'!$A$4:$A$810,33,'Match Log'!$E$4:$E$810,"Win"),"")</f>
        <v>0.5</v>
      </c>
      <c r="G57">
        <f t="shared" ref="G57:G88" si="19">IF($D57="","",1-$F57*$E57)</f>
        <v>0</v>
      </c>
      <c r="H57" t="str">
        <f>IFERROR(IF($E57=2,LOOKUP(2,1/(('Match Log'!$A$4:$A$810=33)*('Match Log'!$E$4:$E$810="Loss")),'Match Log'!$D$4:$D$810),"the field"),"")</f>
        <v>Chase</v>
      </c>
      <c r="I57">
        <f t="shared" ref="I57:I88" si="20">IF($G57="","",$G57-$A57/1000000)</f>
        <v>-3.3000000000000003E-5</v>
      </c>
      <c r="J57">
        <v>33</v>
      </c>
      <c r="K57">
        <f>IF($J57&gt;MAX('Match Log'!$A$4:$A$810),NA(),IFERROR(LOOKUP(2,1/(('Match Log'!$D$4:$D$810=$K$24)*('Match Log'!$A$4:$A$810&lt;=$J57)),'Match Log'!$N$4:$N$810),NA()))</f>
        <v>1082.8539049537733</v>
      </c>
      <c r="L57" t="e">
        <f>IF($J57&gt;MAX('Match Log'!$A$4:$A$810),NA(),IFERROR(LOOKUP(2,1/(('Match Log'!$D$4:$D$810=$L$24)*('Match Log'!$A$4:$A$810&lt;=$J57)),'Match Log'!$N$4:$N$810),NA()))</f>
        <v>#N/A</v>
      </c>
      <c r="M57">
        <f>IF($J57&gt;MAX('Match Log'!$A$4:$A$810),NA(),IFERROR(LOOKUP(2,1/(('Match Log'!$D$4:$D$810=$M$24)*('Match Log'!$A$4:$A$810&lt;=$J57)),'Match Log'!$N$4:$N$810),NA()))</f>
        <v>1007.1388204430031</v>
      </c>
      <c r="N57">
        <f>IF($J57&gt;MAX('Match Log'!$A$4:$A$810),NA(),IFERROR(LOOKUP(2,1/(('Match Log'!$D$4:$D$810=$N$24)*('Match Log'!$A$4:$A$810&lt;=$J57)),'Match Log'!$N$4:$N$810),NA()))</f>
        <v>930.80449970221821</v>
      </c>
      <c r="O57">
        <f>IF($J57&gt;MAX('Match Log'!$A$4:$A$810),NA(),IFERROR(LOOKUP(2,1/(('Match Log'!$D$4:$D$810=$O$24)*('Match Log'!$A$4:$A$810&lt;=$J57)),'Match Log'!$N$4:$N$810),NA()))</f>
        <v>1118.294294897735</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963.21526807557404</v>
      </c>
      <c r="S57" t="e">
        <f>IF($J57&gt;MAX('Match Log'!$A$4:$A$810),NA(),IFERROR(LOOKUP(2,1/(('Match Log'!$D$4:$D$810=$S$24)*('Match Log'!$A$4:$A$810&lt;=$J57)),'Match Log'!$N$4:$N$810),NA()))</f>
        <v>#N/A</v>
      </c>
      <c r="T57">
        <f>IF($J57&gt;MAX('Match Log'!$A$4:$A$810),NA(),IFERROR(LOOKUP(2,1/(('Match Log'!$D$4:$D$810=$T$24)*('Match Log'!$A$4:$A$810&lt;=$J57)),'Match Log'!$N$4:$N$810),NA()))</f>
        <v>947.91625238930521</v>
      </c>
      <c r="U57">
        <f>IF($J57&gt;MAX('Match Log'!$A$4:$A$810),NA(),IFERROR(LOOKUP(2,1/(('Match Log'!$D$4:$D$810=$U$24)*('Match Log'!$A$4:$A$810&lt;=$J57)),'Match Log'!$N$4:$N$810),NA()))</f>
        <v>1022.0883211691282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32">
        <f>IFERROR(INDEX('Match Log'!$B$4:$B$810,MATCH(34,'Match Log'!$A$4:$A$810,0)),"")</f>
        <v>46175</v>
      </c>
      <c r="C58" t="str">
        <f>IFERROR(INDEX('Match Log'!$C$4:$C$810,MATCH(34,'Match Log'!$A$4:$A$810,0)),"")</f>
        <v>Poker</v>
      </c>
      <c r="D58" t="str">
        <f>IFERROR(INDEX('Match Log'!$G$4:$G$810,MATCH(34,'Match Log'!$A$4:$A$810,0)),"")</f>
        <v>Josh</v>
      </c>
      <c r="E58" s="133">
        <f>IFERROR(INDEX('Match Log'!$F$4:$F$810,MATCH(34,'Match Log'!$A$4:$A$810,0)),"")</f>
        <v>3</v>
      </c>
      <c r="F58">
        <f>IFERROR(SUMIFS('Match Log'!$I$4:$I$810,'Match Log'!$A$4:$A$810,34,'Match Log'!$E$4:$E$810,"Win"),"")</f>
        <v>0.33333333333333331</v>
      </c>
      <c r="G58">
        <f t="shared" si="19"/>
        <v>0</v>
      </c>
      <c r="H58" t="str">
        <f>IFERROR(IF($E58=2,LOOKUP(2,1/(('Match Log'!$A$4:$A$810=34)*('Match Log'!$E$4:$E$810="Loss")),'Match Log'!$D$4:$D$810),"the field"),"")</f>
        <v>the field</v>
      </c>
      <c r="I58">
        <f t="shared" si="20"/>
        <v>-3.4E-5</v>
      </c>
      <c r="J58">
        <v>34</v>
      </c>
      <c r="K58">
        <f>IF($J58&gt;MAX('Match Log'!$A$4:$A$810),NA(),IFERROR(LOOKUP(2,1/(('Match Log'!$D$4:$D$810=$K$24)*('Match Log'!$A$4:$A$810&lt;=$J58)),'Match Log'!$N$4:$N$810),NA()))</f>
        <v>1082.8539049537733</v>
      </c>
      <c r="L58" t="e">
        <f>IF($J58&gt;MAX('Match Log'!$A$4:$A$810),NA(),IFERROR(LOOKUP(2,1/(('Match Log'!$D$4:$D$810=$L$24)*('Match Log'!$A$4:$A$810&lt;=$J58)),'Match Log'!$N$4:$N$810),NA()))</f>
        <v>#N/A</v>
      </c>
      <c r="M58">
        <f>IF($J58&gt;MAX('Match Log'!$A$4:$A$810),NA(),IFERROR(LOOKUP(2,1/(('Match Log'!$D$4:$D$810=$M$24)*('Match Log'!$A$4:$A$810&lt;=$J58)),'Match Log'!$N$4:$N$810),NA()))</f>
        <v>1000.614377932863</v>
      </c>
      <c r="N58">
        <f>IF($J58&gt;MAX('Match Log'!$A$4:$A$810),NA(),IFERROR(LOOKUP(2,1/(('Match Log'!$D$4:$D$810=$N$24)*('Match Log'!$A$4:$A$810&lt;=$J58)),'Match Log'!$N$4:$N$810),NA()))</f>
        <v>930.80449970221821</v>
      </c>
      <c r="O58">
        <f>IF($J58&gt;MAX('Match Log'!$A$4:$A$810),NA(),IFERROR(LOOKUP(2,1/(('Match Log'!$D$4:$D$810=$O$24)*('Match Log'!$A$4:$A$810&lt;=$J58)),'Match Log'!$N$4:$N$810),NA()))</f>
        <v>1142.4675628195118</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957.56644266393732</v>
      </c>
      <c r="S58" t="e">
        <f>IF($J58&gt;MAX('Match Log'!$A$4:$A$810),NA(),IFERROR(LOOKUP(2,1/(('Match Log'!$D$4:$D$810=$S$24)*('Match Log'!$A$4:$A$810&lt;=$J58)),'Match Log'!$N$4:$N$810),NA()))</f>
        <v>#N/A</v>
      </c>
      <c r="T58">
        <f>IF($J58&gt;MAX('Match Log'!$A$4:$A$810),NA(),IFERROR(LOOKUP(2,1/(('Match Log'!$D$4:$D$810=$T$24)*('Match Log'!$A$4:$A$810&lt;=$J58)),'Match Log'!$N$4:$N$810),NA()))</f>
        <v>947.91625238930521</v>
      </c>
      <c r="U58">
        <f>IF($J58&gt;MAX('Match Log'!$A$4:$A$810),NA(),IFERROR(LOOKUP(2,1/(('Match Log'!$D$4:$D$810=$U$24)*('Match Log'!$A$4:$A$810&lt;=$J58)),'Match Log'!$N$4:$N$810),NA()))</f>
        <v>1022.0883211691282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32">
        <f>IFERROR(INDEX('Match Log'!$B$4:$B$810,MATCH(35,'Match Log'!$A$4:$A$810,0)),"")</f>
        <v>46175</v>
      </c>
      <c r="C59" t="str">
        <f>IFERROR(INDEX('Match Log'!$C$4:$C$810,MATCH(35,'Match Log'!$A$4:$A$810,0)),"")</f>
        <v>Table Tennis</v>
      </c>
      <c r="D59" t="str">
        <f>IFERROR(INDEX('Match Log'!$G$4:$G$810,MATCH(35,'Match Log'!$A$4:$A$810,0)),"")</f>
        <v>David</v>
      </c>
      <c r="E59" s="133">
        <f>IFERROR(INDEX('Match Log'!$F$4:$F$810,MATCH(35,'Match Log'!$A$4:$A$810,0)),"")</f>
        <v>2</v>
      </c>
      <c r="F59">
        <f>IFERROR(SUMIFS('Match Log'!$I$4:$I$810,'Match Log'!$A$4:$A$810,35,'Match Log'!$E$4:$E$810,"Win"),"")</f>
        <v>0.45454545454545447</v>
      </c>
      <c r="G59">
        <f t="shared" si="19"/>
        <v>9.090909090909105E-2</v>
      </c>
      <c r="H59" t="str">
        <f>IFERROR(IF($E59=2,LOOKUP(2,1/(('Match Log'!$A$4:$A$810=35)*('Match Log'!$E$4:$E$810="Loss")),'Match Log'!$D$4:$D$810),"the field"),"")</f>
        <v>Cody</v>
      </c>
      <c r="I59">
        <f t="shared" si="20"/>
        <v>9.0874090909091057E-2</v>
      </c>
      <c r="J59">
        <v>35</v>
      </c>
      <c r="K59">
        <f>IF($J59&gt;MAX('Match Log'!$A$4:$A$810),NA(),IFERROR(LOOKUP(2,1/(('Match Log'!$D$4:$D$810=$K$24)*('Match Log'!$A$4:$A$810&lt;=$J59)),'Match Log'!$N$4:$N$810),NA()))</f>
        <v>1082.8539049537733</v>
      </c>
      <c r="L59" t="e">
        <f>IF($J59&gt;MAX('Match Log'!$A$4:$A$810),NA(),IFERROR(LOOKUP(2,1/(('Match Log'!$D$4:$D$810=$L$24)*('Match Log'!$A$4:$A$810&lt;=$J59)),'Match Log'!$N$4:$N$810),NA()))</f>
        <v>#N/A</v>
      </c>
      <c r="M59">
        <f>IF($J59&gt;MAX('Match Log'!$A$4:$A$810),NA(),IFERROR(LOOKUP(2,1/(('Match Log'!$D$4:$D$810=$M$24)*('Match Log'!$A$4:$A$810&lt;=$J59)),'Match Log'!$N$4:$N$810),NA()))</f>
        <v>1000.614377932863</v>
      </c>
      <c r="N59">
        <f>IF($J59&gt;MAX('Match Log'!$A$4:$A$810),NA(),IFERROR(LOOKUP(2,1/(('Match Log'!$D$4:$D$810=$N$24)*('Match Log'!$A$4:$A$810&lt;=$J59)),'Match Log'!$N$4:$N$810),NA()))</f>
        <v>954.03597311791009</v>
      </c>
      <c r="O59">
        <f>IF($J59&gt;MAX('Match Log'!$A$4:$A$810),NA(),IFERROR(LOOKUP(2,1/(('Match Log'!$D$4:$D$810=$O$24)*('Match Log'!$A$4:$A$810&lt;=$J59)),'Match Log'!$N$4:$N$810),NA()))</f>
        <v>1142.4675628195118</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957.56644266393732</v>
      </c>
      <c r="S59" t="e">
        <f>IF($J59&gt;MAX('Match Log'!$A$4:$A$810),NA(),IFERROR(LOOKUP(2,1/(('Match Log'!$D$4:$D$810=$S$24)*('Match Log'!$A$4:$A$810&lt;=$J59)),'Match Log'!$N$4:$N$810),NA()))</f>
        <v>#N/A</v>
      </c>
      <c r="T59">
        <f>IF($J59&gt;MAX('Match Log'!$A$4:$A$810),NA(),IFERROR(LOOKUP(2,1/(('Match Log'!$D$4:$D$810=$T$24)*('Match Log'!$A$4:$A$810&lt;=$J59)),'Match Log'!$N$4:$N$810),NA()))</f>
        <v>924.68477897361333</v>
      </c>
      <c r="U59">
        <f>IF($J59&gt;MAX('Match Log'!$A$4:$A$810),NA(),IFERROR(LOOKUP(2,1/(('Match Log'!$D$4:$D$810=$U$24)*('Match Log'!$A$4:$A$810&lt;=$J59)),'Match Log'!$N$4:$N$810),NA()))</f>
        <v>1022.0883211691282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32">
        <f>IFERROR(INDEX('Match Log'!$B$4:$B$810,MATCH(36,'Match Log'!$A$4:$A$810,0)),"")</f>
        <v>46175</v>
      </c>
      <c r="C60" t="str">
        <f>IFERROR(INDEX('Match Log'!$C$4:$C$810,MATCH(36,'Match Log'!$A$4:$A$810,0)),"")</f>
        <v>Table Tennis</v>
      </c>
      <c r="D60" t="str">
        <f>IFERROR(INDEX('Match Log'!$G$4:$G$810,MATCH(36,'Match Log'!$A$4:$A$810,0)),"")</f>
        <v>Josh</v>
      </c>
      <c r="E60" s="133">
        <f>IFERROR(INDEX('Match Log'!$F$4:$F$810,MATCH(36,'Match Log'!$A$4:$A$810,0)),"")</f>
        <v>2</v>
      </c>
      <c r="F60">
        <f>IFERROR(SUMIFS('Match Log'!$I$4:$I$810,'Match Log'!$A$4:$A$810,36,'Match Log'!$E$4:$E$810,"Win"),"")</f>
        <v>0.7567567567567568</v>
      </c>
      <c r="G60">
        <f t="shared" si="19"/>
        <v>-0.5135135135135136</v>
      </c>
      <c r="H60" t="str">
        <f>IFERROR(IF($E60=2,LOOKUP(2,1/(('Match Log'!$A$4:$A$810=36)*('Match Log'!$E$4:$E$810="Loss")),'Match Log'!$D$4:$D$810),"the field"),"")</f>
        <v>David</v>
      </c>
      <c r="I60">
        <f t="shared" si="20"/>
        <v>-0.51354951351351363</v>
      </c>
      <c r="J60">
        <v>36</v>
      </c>
      <c r="K60">
        <f>IF($J60&gt;MAX('Match Log'!$A$4:$A$810),NA(),IFERROR(LOOKUP(2,1/(('Match Log'!$D$4:$D$810=$K$24)*('Match Log'!$A$4:$A$810&lt;=$J60)),'Match Log'!$N$4:$N$810),NA()))</f>
        <v>1082.8539049537733</v>
      </c>
      <c r="L60" t="e">
        <f>IF($J60&gt;MAX('Match Log'!$A$4:$A$810),NA(),IFERROR(LOOKUP(2,1/(('Match Log'!$D$4:$D$810=$L$24)*('Match Log'!$A$4:$A$810&lt;=$J60)),'Match Log'!$N$4:$N$810),NA()))</f>
        <v>#N/A</v>
      </c>
      <c r="M60">
        <f>IF($J60&gt;MAX('Match Log'!$A$4:$A$810),NA(),IFERROR(LOOKUP(2,1/(('Match Log'!$D$4:$D$810=$M$24)*('Match Log'!$A$4:$A$810&lt;=$J60)),'Match Log'!$N$4:$N$810),NA()))</f>
        <v>1000.614377932863</v>
      </c>
      <c r="N60">
        <f>IF($J60&gt;MAX('Match Log'!$A$4:$A$810),NA(),IFERROR(LOOKUP(2,1/(('Match Log'!$D$4:$D$810=$N$24)*('Match Log'!$A$4:$A$810&lt;=$J60)),'Match Log'!$N$4:$N$810),NA()))</f>
        <v>941.85442451275833</v>
      </c>
      <c r="O60">
        <f>IF($J60&gt;MAX('Match Log'!$A$4:$A$810),NA(),IFERROR(LOOKUP(2,1/(('Match Log'!$D$4:$D$810=$O$24)*('Match Log'!$A$4:$A$810&lt;=$J60)),'Match Log'!$N$4:$N$810),NA()))</f>
        <v>1154.6491114246637</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957.56644266393732</v>
      </c>
      <c r="S60" t="e">
        <f>IF($J60&gt;MAX('Match Log'!$A$4:$A$810),NA(),IFERROR(LOOKUP(2,1/(('Match Log'!$D$4:$D$810=$S$24)*('Match Log'!$A$4:$A$810&lt;=$J60)),'Match Log'!$N$4:$N$810),NA()))</f>
        <v>#N/A</v>
      </c>
      <c r="T60">
        <f>IF($J60&gt;MAX('Match Log'!$A$4:$A$810),NA(),IFERROR(LOOKUP(2,1/(('Match Log'!$D$4:$D$810=$T$24)*('Match Log'!$A$4:$A$810&lt;=$J60)),'Match Log'!$N$4:$N$810),NA()))</f>
        <v>924.68477897361333</v>
      </c>
      <c r="U60">
        <f>IF($J60&gt;MAX('Match Log'!$A$4:$A$810),NA(),IFERROR(LOOKUP(2,1/(('Match Log'!$D$4:$D$810=$U$24)*('Match Log'!$A$4:$A$810&lt;=$J60)),'Match Log'!$N$4:$N$810),NA()))</f>
        <v>1022.0883211691282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32">
        <f>IFERROR(INDEX('Match Log'!$B$4:$B$810,MATCH(37,'Match Log'!$A$4:$A$810,0)),"")</f>
        <v>46175</v>
      </c>
      <c r="C61" t="str">
        <f>IFERROR(INDEX('Match Log'!$C$4:$C$810,MATCH(37,'Match Log'!$A$4:$A$810,0)),"")</f>
        <v>Table Tennis</v>
      </c>
      <c r="D61" t="str">
        <f>IFERROR(INDEX('Match Log'!$G$4:$G$810,MATCH(37,'Match Log'!$A$4:$A$810,0)),"")</f>
        <v>Josh</v>
      </c>
      <c r="E61" s="133">
        <f>IFERROR(INDEX('Match Log'!$F$4:$F$810,MATCH(37,'Match Log'!$A$4:$A$810,0)),"")</f>
        <v>2</v>
      </c>
      <c r="F61">
        <f>IFERROR(SUMIFS('Match Log'!$I$4:$I$810,'Match Log'!$A$4:$A$810,37,'Match Log'!$E$4:$E$810,"Win"),"")</f>
        <v>0.84375</v>
      </c>
      <c r="G61">
        <f t="shared" si="19"/>
        <v>-0.6875</v>
      </c>
      <c r="H61" t="str">
        <f>IFERROR(IF($E61=2,LOOKUP(2,1/(('Match Log'!$A$4:$A$810=37)*('Match Log'!$E$4:$E$810="Loss")),'Match Log'!$D$4:$D$810),"the field"),"")</f>
        <v>Cody</v>
      </c>
      <c r="I61">
        <f t="shared" si="20"/>
        <v>-0.68753699999999995</v>
      </c>
      <c r="J61">
        <v>37</v>
      </c>
      <c r="K61">
        <f>IF($J61&gt;MAX('Match Log'!$A$4:$A$810),NA(),IFERROR(LOOKUP(2,1/(('Match Log'!$D$4:$D$810=$K$24)*('Match Log'!$A$4:$A$810&lt;=$J61)),'Match Log'!$N$4:$N$810),NA()))</f>
        <v>1082.8539049537733</v>
      </c>
      <c r="L61" t="e">
        <f>IF($J61&gt;MAX('Match Log'!$A$4:$A$810),NA(),IFERROR(LOOKUP(2,1/(('Match Log'!$D$4:$D$810=$L$24)*('Match Log'!$A$4:$A$810&lt;=$J61)),'Match Log'!$N$4:$N$810),NA()))</f>
        <v>#N/A</v>
      </c>
      <c r="M61">
        <f>IF($J61&gt;MAX('Match Log'!$A$4:$A$810),NA(),IFERROR(LOOKUP(2,1/(('Match Log'!$D$4:$D$810=$M$24)*('Match Log'!$A$4:$A$810&lt;=$J61)),'Match Log'!$N$4:$N$810),NA()))</f>
        <v>1000.614377932863</v>
      </c>
      <c r="N61">
        <f>IF($J61&gt;MAX('Match Log'!$A$4:$A$810),NA(),IFERROR(LOOKUP(2,1/(('Match Log'!$D$4:$D$810=$N$24)*('Match Log'!$A$4:$A$810&lt;=$J61)),'Match Log'!$N$4:$N$810),NA()))</f>
        <v>941.85442451275833</v>
      </c>
      <c r="O61">
        <f>IF($J61&gt;MAX('Match Log'!$A$4:$A$810),NA(),IFERROR(LOOKUP(2,1/(('Match Log'!$D$4:$D$810=$O$24)*('Match Log'!$A$4:$A$810&lt;=$J61)),'Match Log'!$N$4:$N$810),NA()))</f>
        <v>1164.5283019156898</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957.56644266393732</v>
      </c>
      <c r="S61" t="e">
        <f>IF($J61&gt;MAX('Match Log'!$A$4:$A$810),NA(),IFERROR(LOOKUP(2,1/(('Match Log'!$D$4:$D$810=$S$24)*('Match Log'!$A$4:$A$810&lt;=$J61)),'Match Log'!$N$4:$N$810),NA()))</f>
        <v>#N/A</v>
      </c>
      <c r="T61">
        <f>IF($J61&gt;MAX('Match Log'!$A$4:$A$810),NA(),IFERROR(LOOKUP(2,1/(('Match Log'!$D$4:$D$810=$T$24)*('Match Log'!$A$4:$A$810&lt;=$J61)),'Match Log'!$N$4:$N$810),NA()))</f>
        <v>914.80558848258727</v>
      </c>
      <c r="U61">
        <f>IF($J61&gt;MAX('Match Log'!$A$4:$A$810),NA(),IFERROR(LOOKUP(2,1/(('Match Log'!$D$4:$D$810=$U$24)*('Match Log'!$A$4:$A$810&lt;=$J61)),'Match Log'!$N$4:$N$810),NA()))</f>
        <v>1022.0883211691282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32">
        <f>IFERROR(INDEX('Match Log'!$B$4:$B$810,MATCH(38,'Match Log'!$A$4:$A$810,0)),"")</f>
        <v>46176</v>
      </c>
      <c r="C62" t="str">
        <f>IFERROR(INDEX('Match Log'!$C$4:$C$810,MATCH(38,'Match Log'!$A$4:$A$810,0)),"")</f>
        <v>Pool</v>
      </c>
      <c r="D62" t="str">
        <f>IFERROR(INDEX('Match Log'!$G$4:$G$810,MATCH(38,'Match Log'!$A$4:$A$810,0)),"")</f>
        <v>Dean B</v>
      </c>
      <c r="E62" s="133">
        <f>IFERROR(INDEX('Match Log'!$F$4:$F$810,MATCH(38,'Match Log'!$A$4:$A$810,0)),"")</f>
        <v>2</v>
      </c>
      <c r="F62">
        <f>IFERROR(SUMIFS('Match Log'!$I$4:$I$810,'Match Log'!$A$4:$A$810,38,'Match Log'!$E$4:$E$810,"Win"),"")</f>
        <v>0.5</v>
      </c>
      <c r="G62">
        <f t="shared" si="19"/>
        <v>0</v>
      </c>
      <c r="H62" t="str">
        <f>IFERROR(IF($E62=2,LOOKUP(2,1/(('Match Log'!$A$4:$A$810=38)*('Match Log'!$E$4:$E$810="Loss")),'Match Log'!$D$4:$D$810),"the field"),"")</f>
        <v>Oscar</v>
      </c>
      <c r="I62">
        <f t="shared" si="20"/>
        <v>-3.8000000000000002E-5</v>
      </c>
      <c r="J62">
        <v>38</v>
      </c>
      <c r="K62">
        <f>IF($J62&gt;MAX('Match Log'!$A$4:$A$810),NA(),IFERROR(LOOKUP(2,1/(('Match Log'!$D$4:$D$810=$K$24)*('Match Log'!$A$4:$A$810&lt;=$J62)),'Match Log'!$N$4:$N$810),NA()))</f>
        <v>1082.8539049537733</v>
      </c>
      <c r="L62" t="e">
        <f>IF($J62&gt;MAX('Match Log'!$A$4:$A$810),NA(),IFERROR(LOOKUP(2,1/(('Match Log'!$D$4:$D$810=$L$24)*('Match Log'!$A$4:$A$810&lt;=$J62)),'Match Log'!$N$4:$N$810),NA()))</f>
        <v>#N/A</v>
      </c>
      <c r="M62">
        <f>IF($J62&gt;MAX('Match Log'!$A$4:$A$810),NA(),IFERROR(LOOKUP(2,1/(('Match Log'!$D$4:$D$810=$M$24)*('Match Log'!$A$4:$A$810&lt;=$J62)),'Match Log'!$N$4:$N$810),NA()))</f>
        <v>1000.614377932863</v>
      </c>
      <c r="N62">
        <f>IF($J62&gt;MAX('Match Log'!$A$4:$A$810),NA(),IFERROR(LOOKUP(2,1/(('Match Log'!$D$4:$D$810=$N$24)*('Match Log'!$A$4:$A$810&lt;=$J62)),'Match Log'!$N$4:$N$810),NA()))</f>
        <v>941.85442451275833</v>
      </c>
      <c r="O62">
        <f>IF($J62&gt;MAX('Match Log'!$A$4:$A$810),NA(),IFERROR(LOOKUP(2,1/(('Match Log'!$D$4:$D$810=$O$24)*('Match Log'!$A$4:$A$810&lt;=$J62)),'Match Log'!$N$4:$N$810),NA()))</f>
        <v>1164.5283019156898</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957.56644266393732</v>
      </c>
      <c r="S62">
        <f>IF($J62&gt;MAX('Match Log'!$A$4:$A$810),NA(),IFERROR(LOOKUP(2,1/(('Match Log'!$D$4:$D$810=$S$24)*('Match Log'!$A$4:$A$810&lt;=$J62)),'Match Log'!$N$4:$N$810),NA()))</f>
        <v>1023.0158365406871</v>
      </c>
      <c r="T62">
        <f>IF($J62&gt;MAX('Match Log'!$A$4:$A$810),NA(),IFERROR(LOOKUP(2,1/(('Match Log'!$D$4:$D$810=$T$24)*('Match Log'!$A$4:$A$810&lt;=$J62)),'Match Log'!$N$4:$N$810),NA()))</f>
        <v>914.80558848258727</v>
      </c>
      <c r="U62">
        <f>IF($J62&gt;MAX('Match Log'!$A$4:$A$810),NA(),IFERROR(LOOKUP(2,1/(('Match Log'!$D$4:$D$810=$U$24)*('Match Log'!$A$4:$A$810&lt;=$J62)),'Match Log'!$N$4:$N$810),NA()))</f>
        <v>999.07248462844109</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32">
        <f>IFERROR(INDEX('Match Log'!$B$4:$B$810,MATCH(39,'Match Log'!$A$4:$A$810,0)),"")</f>
        <v>46176</v>
      </c>
      <c r="C63" t="str">
        <f>IFERROR(INDEX('Match Log'!$C$4:$C$810,MATCH(39,'Match Log'!$A$4:$A$810,0)),"")</f>
        <v>Pool</v>
      </c>
      <c r="D63" t="str">
        <f>IFERROR(INDEX('Match Log'!$G$4:$G$810,MATCH(39,'Match Log'!$A$4:$A$810,0)),"")</f>
        <v>Dean B</v>
      </c>
      <c r="E63" s="133">
        <f>IFERROR(INDEX('Match Log'!$F$4:$F$810,MATCH(39,'Match Log'!$A$4:$A$810,0)),"")</f>
        <v>2</v>
      </c>
      <c r="F63">
        <f>IFERROR(SUMIFS('Match Log'!$I$4:$I$810,'Match Log'!$A$4:$A$810,39,'Match Log'!$E$4:$E$810,"Win"),"")</f>
        <v>0.66666666666666663</v>
      </c>
      <c r="G63">
        <f t="shared" si="19"/>
        <v>-0.33333333333333326</v>
      </c>
      <c r="H63" t="str">
        <f>IFERROR(IF($E63=2,LOOKUP(2,1/(('Match Log'!$A$4:$A$810=39)*('Match Log'!$E$4:$E$810="Loss")),'Match Log'!$D$4:$D$810),"the field"),"")</f>
        <v>Oscar</v>
      </c>
      <c r="I63">
        <f t="shared" si="20"/>
        <v>-0.33337233333333327</v>
      </c>
      <c r="J63">
        <v>39</v>
      </c>
      <c r="K63">
        <f>IF($J63&gt;MAX('Match Log'!$A$4:$A$810),NA(),IFERROR(LOOKUP(2,1/(('Match Log'!$D$4:$D$810=$K$24)*('Match Log'!$A$4:$A$810&lt;=$J63)),'Match Log'!$N$4:$N$810),NA()))</f>
        <v>1082.8539049537733</v>
      </c>
      <c r="L63" t="e">
        <f>IF($J63&gt;MAX('Match Log'!$A$4:$A$810),NA(),IFERROR(LOOKUP(2,1/(('Match Log'!$D$4:$D$810=$L$24)*('Match Log'!$A$4:$A$810&lt;=$J63)),'Match Log'!$N$4:$N$810),NA()))</f>
        <v>#N/A</v>
      </c>
      <c r="M63">
        <f>IF($J63&gt;MAX('Match Log'!$A$4:$A$810),NA(),IFERROR(LOOKUP(2,1/(('Match Log'!$D$4:$D$810=$M$24)*('Match Log'!$A$4:$A$810&lt;=$J63)),'Match Log'!$N$4:$N$810),NA()))</f>
        <v>1000.614377932863</v>
      </c>
      <c r="N63">
        <f>IF($J63&gt;MAX('Match Log'!$A$4:$A$810),NA(),IFERROR(LOOKUP(2,1/(('Match Log'!$D$4:$D$810=$N$24)*('Match Log'!$A$4:$A$810&lt;=$J63)),'Match Log'!$N$4:$N$810),NA()))</f>
        <v>941.85442451275833</v>
      </c>
      <c r="O63">
        <f>IF($J63&gt;MAX('Match Log'!$A$4:$A$810),NA(),IFERROR(LOOKUP(2,1/(('Match Log'!$D$4:$D$810=$O$24)*('Match Log'!$A$4:$A$810&lt;=$J63)),'Match Log'!$N$4:$N$810),NA()))</f>
        <v>1164.5283019156898</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957.56644266393732</v>
      </c>
      <c r="S63">
        <f>IF($J63&gt;MAX('Match Log'!$A$4:$A$810),NA(),IFERROR(LOOKUP(2,1/(('Match Log'!$D$4:$D$810=$S$24)*('Match Log'!$A$4:$A$810&lt;=$J63)),'Match Log'!$N$4:$N$810),NA()))</f>
        <v>1041.8534190291462</v>
      </c>
      <c r="T63">
        <f>IF($J63&gt;MAX('Match Log'!$A$4:$A$810),NA(),IFERROR(LOOKUP(2,1/(('Match Log'!$D$4:$D$810=$T$24)*('Match Log'!$A$4:$A$810&lt;=$J63)),'Match Log'!$N$4:$N$810),NA()))</f>
        <v>914.80558848258727</v>
      </c>
      <c r="U63">
        <f>IF($J63&gt;MAX('Match Log'!$A$4:$A$810),NA(),IFERROR(LOOKUP(2,1/(('Match Log'!$D$4:$D$810=$U$24)*('Match Log'!$A$4:$A$810&lt;=$J63)),'Match Log'!$N$4:$N$810),NA()))</f>
        <v>980.23490213998207</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32">
        <f>IFERROR(INDEX('Match Log'!$B$4:$B$810,MATCH(40,'Match Log'!$A$4:$A$810,0)),"")</f>
        <v>46176</v>
      </c>
      <c r="C64" t="str">
        <f>IFERROR(INDEX('Match Log'!$C$4:$C$810,MATCH(40,'Match Log'!$A$4:$A$810,0)),"")</f>
        <v>Pool</v>
      </c>
      <c r="D64" t="str">
        <f>IFERROR(INDEX('Match Log'!$G$4:$G$810,MATCH(40,'Match Log'!$A$4:$A$810,0)),"")</f>
        <v>Daniel (Ferret)</v>
      </c>
      <c r="E64" s="133">
        <f>IFERROR(INDEX('Match Log'!$F$4:$F$810,MATCH(40,'Match Log'!$A$4:$A$810,0)),"")</f>
        <v>2</v>
      </c>
      <c r="F64">
        <f>IFERROR(SUMIFS('Match Log'!$I$4:$I$810,'Match Log'!$A$4:$A$810,40,'Match Log'!$E$4:$E$810,"Win"),"")</f>
        <v>0.4</v>
      </c>
      <c r="G64">
        <f t="shared" si="19"/>
        <v>0.19999999999999996</v>
      </c>
      <c r="H64" t="str">
        <f>IFERROR(IF($E64=2,LOOKUP(2,1/(('Match Log'!$A$4:$A$810=40)*('Match Log'!$E$4:$E$810="Loss")),'Match Log'!$D$4:$D$810),"the field"),"")</f>
        <v>Dean B</v>
      </c>
      <c r="I64">
        <f t="shared" si="20"/>
        <v>0.19995999999999994</v>
      </c>
      <c r="J64">
        <v>40</v>
      </c>
      <c r="K64">
        <f>IF($J64&gt;MAX('Match Log'!$A$4:$A$810),NA(),IFERROR(LOOKUP(2,1/(('Match Log'!$D$4:$D$810=$K$24)*('Match Log'!$A$4:$A$810&lt;=$J64)),'Match Log'!$N$4:$N$810),NA()))</f>
        <v>1082.8539049537733</v>
      </c>
      <c r="L64" t="e">
        <f>IF($J64&gt;MAX('Match Log'!$A$4:$A$810),NA(),IFERROR(LOOKUP(2,1/(('Match Log'!$D$4:$D$810=$L$24)*('Match Log'!$A$4:$A$810&lt;=$J64)),'Match Log'!$N$4:$N$810),NA()))</f>
        <v>#N/A</v>
      </c>
      <c r="M64">
        <f>IF($J64&gt;MAX('Match Log'!$A$4:$A$810),NA(),IFERROR(LOOKUP(2,1/(('Match Log'!$D$4:$D$810=$M$24)*('Match Log'!$A$4:$A$810&lt;=$J64)),'Match Log'!$N$4:$N$810),NA()))</f>
        <v>1000.614377932863</v>
      </c>
      <c r="N64">
        <f>IF($J64&gt;MAX('Match Log'!$A$4:$A$810),NA(),IFERROR(LOOKUP(2,1/(('Match Log'!$D$4:$D$810=$N$24)*('Match Log'!$A$4:$A$810&lt;=$J64)),'Match Log'!$N$4:$N$810),NA()))</f>
        <v>941.85442451275833</v>
      </c>
      <c r="O64">
        <f>IF($J64&gt;MAX('Match Log'!$A$4:$A$810),NA(),IFERROR(LOOKUP(2,1/(('Match Log'!$D$4:$D$810=$O$24)*('Match Log'!$A$4:$A$810&lt;=$J64)),'Match Log'!$N$4:$N$810),NA()))</f>
        <v>1164.5283019156898</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984.43274896980699</v>
      </c>
      <c r="S64">
        <f>IF($J64&gt;MAX('Match Log'!$A$4:$A$810),NA(),IFERROR(LOOKUP(2,1/(('Match Log'!$D$4:$D$810=$S$24)*('Match Log'!$A$4:$A$810&lt;=$J64)),'Match Log'!$N$4:$N$810),NA()))</f>
        <v>1014.9871127232765</v>
      </c>
      <c r="T64">
        <f>IF($J64&gt;MAX('Match Log'!$A$4:$A$810),NA(),IFERROR(LOOKUP(2,1/(('Match Log'!$D$4:$D$810=$T$24)*('Match Log'!$A$4:$A$810&lt;=$J64)),'Match Log'!$N$4:$N$810),NA()))</f>
        <v>914.80558848258727</v>
      </c>
      <c r="U64">
        <f>IF($J64&gt;MAX('Match Log'!$A$4:$A$810),NA(),IFERROR(LOOKUP(2,1/(('Match Log'!$D$4:$D$810=$U$24)*('Match Log'!$A$4:$A$810&lt;=$J64)),'Match Log'!$N$4:$N$810),NA()))</f>
        <v>980.23490213998207</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32">
        <f>IFERROR(INDEX('Match Log'!$B$4:$B$810,MATCH(41,'Match Log'!$A$4:$A$810,0)),"")</f>
        <v>46176</v>
      </c>
      <c r="C65" t="str">
        <f>IFERROR(INDEX('Match Log'!$C$4:$C$810,MATCH(41,'Match Log'!$A$4:$A$810,0)),"")</f>
        <v>Table Tennis</v>
      </c>
      <c r="D65" t="str">
        <f>IFERROR(INDEX('Match Log'!$G$4:$G$810,MATCH(41,'Match Log'!$A$4:$A$810,0)),"")</f>
        <v>Josh</v>
      </c>
      <c r="E65" s="133">
        <f>IFERROR(INDEX('Match Log'!$F$4:$F$810,MATCH(41,'Match Log'!$A$4:$A$810,0)),"")</f>
        <v>2</v>
      </c>
      <c r="F65">
        <f>IFERROR(SUMIFS('Match Log'!$I$4:$I$810,'Match Log'!$A$4:$A$810,41,'Match Log'!$E$4:$E$810,"Win"),"")</f>
        <v>0.78431372549019596</v>
      </c>
      <c r="G65">
        <f t="shared" si="19"/>
        <v>-0.56862745098039191</v>
      </c>
      <c r="H65" t="str">
        <f>IFERROR(IF($E65=2,LOOKUP(2,1/(('Match Log'!$A$4:$A$810=41)*('Match Log'!$E$4:$E$810="Loss")),'Match Log'!$D$4:$D$810),"the field"),"")</f>
        <v>Daniel (Ferret)</v>
      </c>
      <c r="I65">
        <f t="shared" si="20"/>
        <v>-0.56866845098039187</v>
      </c>
      <c r="J65">
        <v>41</v>
      </c>
      <c r="K65">
        <f>IF($J65&gt;MAX('Match Log'!$A$4:$A$810),NA(),IFERROR(LOOKUP(2,1/(('Match Log'!$D$4:$D$810=$K$24)*('Match Log'!$A$4:$A$810&lt;=$J65)),'Match Log'!$N$4:$N$810),NA()))</f>
        <v>1082.8539049537733</v>
      </c>
      <c r="L65" t="e">
        <f>IF($J65&gt;MAX('Match Log'!$A$4:$A$810),NA(),IFERROR(LOOKUP(2,1/(('Match Log'!$D$4:$D$810=$L$24)*('Match Log'!$A$4:$A$810&lt;=$J65)),'Match Log'!$N$4:$N$810),NA()))</f>
        <v>#N/A</v>
      </c>
      <c r="M65">
        <f>IF($J65&gt;MAX('Match Log'!$A$4:$A$810),NA(),IFERROR(LOOKUP(2,1/(('Match Log'!$D$4:$D$810=$M$24)*('Match Log'!$A$4:$A$810&lt;=$J65)),'Match Log'!$N$4:$N$810),NA()))</f>
        <v>1000.614377932863</v>
      </c>
      <c r="N65">
        <f>IF($J65&gt;MAX('Match Log'!$A$4:$A$810),NA(),IFERROR(LOOKUP(2,1/(('Match Log'!$D$4:$D$810=$N$24)*('Match Log'!$A$4:$A$810&lt;=$J65)),'Match Log'!$N$4:$N$810),NA()))</f>
        <v>941.85442451275833</v>
      </c>
      <c r="O65">
        <f>IF($J65&gt;MAX('Match Log'!$A$4:$A$810),NA(),IFERROR(LOOKUP(2,1/(('Match Log'!$D$4:$D$810=$O$24)*('Match Log'!$A$4:$A$810&lt;=$J65)),'Match Log'!$N$4:$N$810),NA()))</f>
        <v>1176.0871765311047</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972.87387435439211</v>
      </c>
      <c r="S65">
        <f>IF($J65&gt;MAX('Match Log'!$A$4:$A$810),NA(),IFERROR(LOOKUP(2,1/(('Match Log'!$D$4:$D$810=$S$24)*('Match Log'!$A$4:$A$810&lt;=$J65)),'Match Log'!$N$4:$N$810),NA()))</f>
        <v>1014.9871127232765</v>
      </c>
      <c r="T65">
        <f>IF($J65&gt;MAX('Match Log'!$A$4:$A$810),NA(),IFERROR(LOOKUP(2,1/(('Match Log'!$D$4:$D$810=$T$24)*('Match Log'!$A$4:$A$810&lt;=$J65)),'Match Log'!$N$4:$N$810),NA()))</f>
        <v>914.80558848258727</v>
      </c>
      <c r="U65">
        <f>IF($J65&gt;MAX('Match Log'!$A$4:$A$810),NA(),IFERROR(LOOKUP(2,1/(('Match Log'!$D$4:$D$810=$U$24)*('Match Log'!$A$4:$A$810&lt;=$J65)),'Match Log'!$N$4:$N$810),NA()))</f>
        <v>980.23490213998207</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32">
        <f>IFERROR(INDEX('Match Log'!$B$4:$B$810,MATCH(42,'Match Log'!$A$4:$A$810,0)),"")</f>
        <v>46176</v>
      </c>
      <c r="C66" t="str">
        <f>IFERROR(INDEX('Match Log'!$C$4:$C$810,MATCH(42,'Match Log'!$A$4:$A$810,0)),"")</f>
        <v>Table Tennis</v>
      </c>
      <c r="D66" t="str">
        <f>IFERROR(INDEX('Match Log'!$G$4:$G$810,MATCH(42,'Match Log'!$A$4:$A$810,0)),"")</f>
        <v>Josh</v>
      </c>
      <c r="E66" s="133">
        <f>IFERROR(INDEX('Match Log'!$F$4:$F$810,MATCH(42,'Match Log'!$A$4:$A$810,0)),"")</f>
        <v>2</v>
      </c>
      <c r="F66">
        <f>IFERROR(SUMIFS('Match Log'!$I$4:$I$810,'Match Log'!$A$4:$A$810,42,'Match Log'!$E$4:$E$810,"Win"),"")</f>
        <v>0.6470588235294118</v>
      </c>
      <c r="G66">
        <f t="shared" si="19"/>
        <v>-0.29411764705882359</v>
      </c>
      <c r="H66" t="str">
        <f>IFERROR(IF($E66=2,LOOKUP(2,1/(('Match Log'!$A$4:$A$810=42)*('Match Log'!$E$4:$E$810="Loss")),'Match Log'!$D$4:$D$810),"the field"),"")</f>
        <v>Dean B</v>
      </c>
      <c r="I66">
        <f t="shared" si="20"/>
        <v>-0.29415964705882358</v>
      </c>
      <c r="J66">
        <v>42</v>
      </c>
      <c r="K66">
        <f>IF($J66&gt;MAX('Match Log'!$A$4:$A$810),NA(),IFERROR(LOOKUP(2,1/(('Match Log'!$D$4:$D$810=$K$24)*('Match Log'!$A$4:$A$810&lt;=$J66)),'Match Log'!$N$4:$N$810),NA()))</f>
        <v>1082.8539049537733</v>
      </c>
      <c r="L66" t="e">
        <f>IF($J66&gt;MAX('Match Log'!$A$4:$A$810),NA(),IFERROR(LOOKUP(2,1/(('Match Log'!$D$4:$D$810=$L$24)*('Match Log'!$A$4:$A$810&lt;=$J66)),'Match Log'!$N$4:$N$810),NA()))</f>
        <v>#N/A</v>
      </c>
      <c r="M66">
        <f>IF($J66&gt;MAX('Match Log'!$A$4:$A$810),NA(),IFERROR(LOOKUP(2,1/(('Match Log'!$D$4:$D$810=$M$24)*('Match Log'!$A$4:$A$810&lt;=$J66)),'Match Log'!$N$4:$N$810),NA()))</f>
        <v>1000.614377932863</v>
      </c>
      <c r="N66">
        <f>IF($J66&gt;MAX('Match Log'!$A$4:$A$810),NA(),IFERROR(LOOKUP(2,1/(('Match Log'!$D$4:$D$810=$N$24)*('Match Log'!$A$4:$A$810&lt;=$J66)),'Match Log'!$N$4:$N$810),NA()))</f>
        <v>941.85442451275833</v>
      </c>
      <c r="O66">
        <f>IF($J66&gt;MAX('Match Log'!$A$4:$A$810),NA(),IFERROR(LOOKUP(2,1/(('Match Log'!$D$4:$D$810=$O$24)*('Match Log'!$A$4:$A$810&lt;=$J66)),'Match Log'!$N$4:$N$810),NA()))</f>
        <v>1190.858963517245</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972.87387435439211</v>
      </c>
      <c r="S66">
        <f>IF($J66&gt;MAX('Match Log'!$A$4:$A$810),NA(),IFERROR(LOOKUP(2,1/(('Match Log'!$D$4:$D$810=$S$24)*('Match Log'!$A$4:$A$810&lt;=$J66)),'Match Log'!$N$4:$N$810),NA()))</f>
        <v>1000.2153257371361</v>
      </c>
      <c r="T66">
        <f>IF($J66&gt;MAX('Match Log'!$A$4:$A$810),NA(),IFERROR(LOOKUP(2,1/(('Match Log'!$D$4:$D$810=$T$24)*('Match Log'!$A$4:$A$810&lt;=$J66)),'Match Log'!$N$4:$N$810),NA()))</f>
        <v>914.80558848258727</v>
      </c>
      <c r="U66">
        <f>IF($J66&gt;MAX('Match Log'!$A$4:$A$810),NA(),IFERROR(LOOKUP(2,1/(('Match Log'!$D$4:$D$810=$U$24)*('Match Log'!$A$4:$A$810&lt;=$J66)),'Match Log'!$N$4:$N$810),NA()))</f>
        <v>980.23490213998207</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32">
        <f>IFERROR(INDEX('Match Log'!$B$4:$B$810,MATCH(43,'Match Log'!$A$4:$A$810,0)),"")</f>
        <v>46176</v>
      </c>
      <c r="C67" t="str">
        <f>IFERROR(INDEX('Match Log'!$C$4:$C$810,MATCH(43,'Match Log'!$A$4:$A$810,0)),"")</f>
        <v>Table Tennis</v>
      </c>
      <c r="D67" t="str">
        <f>IFERROR(INDEX('Match Log'!$G$4:$G$810,MATCH(43,'Match Log'!$A$4:$A$810,0)),"")</f>
        <v>Dean B</v>
      </c>
      <c r="E67" s="133">
        <f>IFERROR(INDEX('Match Log'!$F$4:$F$810,MATCH(43,'Match Log'!$A$4:$A$810,0)),"")</f>
        <v>2</v>
      </c>
      <c r="F67">
        <f>IFERROR(SUMIFS('Match Log'!$I$4:$I$810,'Match Log'!$A$4:$A$810,43,'Match Log'!$E$4:$E$810,"Win"),"")</f>
        <v>0.26530612244897961</v>
      </c>
      <c r="G67">
        <f t="shared" si="19"/>
        <v>0.46938775510204078</v>
      </c>
      <c r="H67" t="str">
        <f>IFERROR(IF($E67=2,LOOKUP(2,1/(('Match Log'!$A$4:$A$810=43)*('Match Log'!$E$4:$E$810="Loss")),'Match Log'!$D$4:$D$810),"the field"),"")</f>
        <v>Josh</v>
      </c>
      <c r="I67">
        <f t="shared" si="20"/>
        <v>0.46934475510204077</v>
      </c>
      <c r="J67">
        <v>43</v>
      </c>
      <c r="K67">
        <f>IF($J67&gt;MAX('Match Log'!$A$4:$A$810),NA(),IFERROR(LOOKUP(2,1/(('Match Log'!$D$4:$D$810=$K$24)*('Match Log'!$A$4:$A$810&lt;=$J67)),'Match Log'!$N$4:$N$810),NA()))</f>
        <v>1082.8539049537733</v>
      </c>
      <c r="L67" t="e">
        <f>IF($J67&gt;MAX('Match Log'!$A$4:$A$810),NA(),IFERROR(LOOKUP(2,1/(('Match Log'!$D$4:$D$810=$L$24)*('Match Log'!$A$4:$A$810&lt;=$J67)),'Match Log'!$N$4:$N$810),NA()))</f>
        <v>#N/A</v>
      </c>
      <c r="M67">
        <f>IF($J67&gt;MAX('Match Log'!$A$4:$A$810),NA(),IFERROR(LOOKUP(2,1/(('Match Log'!$D$4:$D$810=$M$24)*('Match Log'!$A$4:$A$810&lt;=$J67)),'Match Log'!$N$4:$N$810),NA()))</f>
        <v>1000.614377932863</v>
      </c>
      <c r="N67">
        <f>IF($J67&gt;MAX('Match Log'!$A$4:$A$810),NA(),IFERROR(LOOKUP(2,1/(('Match Log'!$D$4:$D$810=$N$24)*('Match Log'!$A$4:$A$810&lt;=$J67)),'Match Log'!$N$4:$N$810),NA()))</f>
        <v>941.85442451275833</v>
      </c>
      <c r="O67">
        <f>IF($J67&gt;MAX('Match Log'!$A$4:$A$810),NA(),IFERROR(LOOKUP(2,1/(('Match Log'!$D$4:$D$810=$O$24)*('Match Log'!$A$4:$A$810&lt;=$J67)),'Match Log'!$N$4:$N$810),NA()))</f>
        <v>1159.4965047770127</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972.87387435439211</v>
      </c>
      <c r="S67">
        <f>IF($J67&gt;MAX('Match Log'!$A$4:$A$810),NA(),IFERROR(LOOKUP(2,1/(('Match Log'!$D$4:$D$810=$S$24)*('Match Log'!$A$4:$A$810&lt;=$J67)),'Match Log'!$N$4:$N$810),NA()))</f>
        <v>1031.5777844773686</v>
      </c>
      <c r="T67">
        <f>IF($J67&gt;MAX('Match Log'!$A$4:$A$810),NA(),IFERROR(LOOKUP(2,1/(('Match Log'!$D$4:$D$810=$T$24)*('Match Log'!$A$4:$A$810&lt;=$J67)),'Match Log'!$N$4:$N$810),NA()))</f>
        <v>914.80558848258727</v>
      </c>
      <c r="U67">
        <f>IF($J67&gt;MAX('Match Log'!$A$4:$A$810),NA(),IFERROR(LOOKUP(2,1/(('Match Log'!$D$4:$D$810=$U$24)*('Match Log'!$A$4:$A$810&lt;=$J67)),'Match Log'!$N$4:$N$810),NA()))</f>
        <v>980.23490213998207</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32">
        <f>IFERROR(INDEX('Match Log'!$B$4:$B$810,MATCH(44,'Match Log'!$A$4:$A$810,0)),"")</f>
        <v>46176</v>
      </c>
      <c r="C68" t="str">
        <f>IFERROR(INDEX('Match Log'!$C$4:$C$810,MATCH(44,'Match Log'!$A$4:$A$810,0)),"")</f>
        <v>Table Tennis</v>
      </c>
      <c r="D68" t="str">
        <f>IFERROR(INDEX('Match Log'!$G$4:$G$810,MATCH(44,'Match Log'!$A$4:$A$810,0)),"")</f>
        <v>Josh</v>
      </c>
      <c r="E68" s="133">
        <f>IFERROR(INDEX('Match Log'!$F$4:$F$810,MATCH(44,'Match Log'!$A$4:$A$810,0)),"")</f>
        <v>2</v>
      </c>
      <c r="F68">
        <f>IFERROR(SUMIFS('Match Log'!$I$4:$I$810,'Match Log'!$A$4:$A$810,44,'Match Log'!$E$4:$E$810,"Win"),"")</f>
        <v>0.5625</v>
      </c>
      <c r="G68">
        <f t="shared" si="19"/>
        <v>-0.125</v>
      </c>
      <c r="H68" t="str">
        <f>IFERROR(IF($E68=2,LOOKUP(2,1/(('Match Log'!$A$4:$A$810=44)*('Match Log'!$E$4:$E$810="Loss")),'Match Log'!$D$4:$D$810),"the field"),"")</f>
        <v>Oscar</v>
      </c>
      <c r="I68">
        <f t="shared" si="20"/>
        <v>-0.12504399999999999</v>
      </c>
      <c r="J68">
        <v>44</v>
      </c>
      <c r="K68">
        <f>IF($J68&gt;MAX('Match Log'!$A$4:$A$810),NA(),IFERROR(LOOKUP(2,1/(('Match Log'!$D$4:$D$810=$K$24)*('Match Log'!$A$4:$A$810&lt;=$J68)),'Match Log'!$N$4:$N$810),NA()))</f>
        <v>1082.8539049537733</v>
      </c>
      <c r="L68" t="e">
        <f>IF($J68&gt;MAX('Match Log'!$A$4:$A$810),NA(),IFERROR(LOOKUP(2,1/(('Match Log'!$D$4:$D$810=$L$24)*('Match Log'!$A$4:$A$810&lt;=$J68)),'Match Log'!$N$4:$N$810),NA()))</f>
        <v>#N/A</v>
      </c>
      <c r="M68">
        <f>IF($J68&gt;MAX('Match Log'!$A$4:$A$810),NA(),IFERROR(LOOKUP(2,1/(('Match Log'!$D$4:$D$810=$M$24)*('Match Log'!$A$4:$A$810&lt;=$J68)),'Match Log'!$N$4:$N$810),NA()))</f>
        <v>1000.614377932863</v>
      </c>
      <c r="N68">
        <f>IF($J68&gt;MAX('Match Log'!$A$4:$A$810),NA(),IFERROR(LOOKUP(2,1/(('Match Log'!$D$4:$D$810=$N$24)*('Match Log'!$A$4:$A$810&lt;=$J68)),'Match Log'!$N$4:$N$810),NA()))</f>
        <v>941.85442451275833</v>
      </c>
      <c r="O68">
        <f>IF($J68&gt;MAX('Match Log'!$A$4:$A$810),NA(),IFERROR(LOOKUP(2,1/(('Match Log'!$D$4:$D$810=$O$24)*('Match Log'!$A$4:$A$810&lt;=$J68)),'Match Log'!$N$4:$N$810),NA()))</f>
        <v>1174.7371245411287</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972.87387435439211</v>
      </c>
      <c r="S68">
        <f>IF($J68&gt;MAX('Match Log'!$A$4:$A$810),NA(),IFERROR(LOOKUP(2,1/(('Match Log'!$D$4:$D$810=$S$24)*('Match Log'!$A$4:$A$810&lt;=$J68)),'Match Log'!$N$4:$N$810),NA()))</f>
        <v>1031.5777844773686</v>
      </c>
      <c r="T68">
        <f>IF($J68&gt;MAX('Match Log'!$A$4:$A$810),NA(),IFERROR(LOOKUP(2,1/(('Match Log'!$D$4:$D$810=$T$24)*('Match Log'!$A$4:$A$810&lt;=$J68)),'Match Log'!$N$4:$N$810),NA()))</f>
        <v>914.80558848258727</v>
      </c>
      <c r="U68">
        <f>IF($J68&gt;MAX('Match Log'!$A$4:$A$810),NA(),IFERROR(LOOKUP(2,1/(('Match Log'!$D$4:$D$810=$U$24)*('Match Log'!$A$4:$A$810&lt;=$J68)),'Match Log'!$N$4:$N$810),NA()))</f>
        <v>964.99428237586596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32">
        <f>IFERROR(INDEX('Match Log'!$B$4:$B$810,MATCH(45,'Match Log'!$A$4:$A$810,0)),"")</f>
        <v>46176</v>
      </c>
      <c r="C69" t="str">
        <f>IFERROR(INDEX('Match Log'!$C$4:$C$810,MATCH(45,'Match Log'!$A$4:$A$810,0)),"")</f>
        <v>Table Tennis</v>
      </c>
      <c r="D69" t="str">
        <f>IFERROR(INDEX('Match Log'!$G$4:$G$810,MATCH(45,'Match Log'!$A$4:$A$810,0)),"")</f>
        <v>Josh</v>
      </c>
      <c r="E69" s="133">
        <f>IFERROR(INDEX('Match Log'!$F$4:$F$810,MATCH(45,'Match Log'!$A$4:$A$810,0)),"")</f>
        <v>2</v>
      </c>
      <c r="F69">
        <f>IFERROR(SUMIFS('Match Log'!$I$4:$I$810,'Match Log'!$A$4:$A$810,45,'Match Log'!$E$4:$E$810,"Win"),"")</f>
        <v>0.63414634146341464</v>
      </c>
      <c r="G69">
        <f t="shared" si="19"/>
        <v>-0.26829268292682928</v>
      </c>
      <c r="H69" t="str">
        <f>IFERROR(IF($E69=2,LOOKUP(2,1/(('Match Log'!$A$4:$A$810=45)*('Match Log'!$E$4:$E$810="Loss")),'Match Log'!$D$4:$D$810),"the field"),"")</f>
        <v>Oscar</v>
      </c>
      <c r="I69">
        <f t="shared" si="20"/>
        <v>-0.2683376829268293</v>
      </c>
      <c r="J69">
        <v>45</v>
      </c>
      <c r="K69">
        <f>IF($J69&gt;MAX('Match Log'!$A$4:$A$810),NA(),IFERROR(LOOKUP(2,1/(('Match Log'!$D$4:$D$810=$K$24)*('Match Log'!$A$4:$A$810&lt;=$J69)),'Match Log'!$N$4:$N$810),NA()))</f>
        <v>1082.8539049537733</v>
      </c>
      <c r="L69" t="e">
        <f>IF($J69&gt;MAX('Match Log'!$A$4:$A$810),NA(),IFERROR(LOOKUP(2,1/(('Match Log'!$D$4:$D$810=$L$24)*('Match Log'!$A$4:$A$810&lt;=$J69)),'Match Log'!$N$4:$N$810),NA()))</f>
        <v>#N/A</v>
      </c>
      <c r="M69">
        <f>IF($J69&gt;MAX('Match Log'!$A$4:$A$810),NA(),IFERROR(LOOKUP(2,1/(('Match Log'!$D$4:$D$810=$M$24)*('Match Log'!$A$4:$A$810&lt;=$J69)),'Match Log'!$N$4:$N$810),NA()))</f>
        <v>1000.614377932863</v>
      </c>
      <c r="N69">
        <f>IF($J69&gt;MAX('Match Log'!$A$4:$A$810),NA(),IFERROR(LOOKUP(2,1/(('Match Log'!$D$4:$D$810=$N$24)*('Match Log'!$A$4:$A$810&lt;=$J69)),'Match Log'!$N$4:$N$810),NA()))</f>
        <v>941.85442451275833</v>
      </c>
      <c r="O69">
        <f>IF($J69&gt;MAX('Match Log'!$A$4:$A$810),NA(),IFERROR(LOOKUP(2,1/(('Match Log'!$D$4:$D$810=$O$24)*('Match Log'!$A$4:$A$810&lt;=$J69)),'Match Log'!$N$4:$N$810),NA()))</f>
        <v>1188.2704310480462</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972.87387435439211</v>
      </c>
      <c r="S69">
        <f>IF($J69&gt;MAX('Match Log'!$A$4:$A$810),NA(),IFERROR(LOOKUP(2,1/(('Match Log'!$D$4:$D$810=$S$24)*('Match Log'!$A$4:$A$810&lt;=$J69)),'Match Log'!$N$4:$N$810),NA()))</f>
        <v>1031.5777844773686</v>
      </c>
      <c r="T69">
        <f>IF($J69&gt;MAX('Match Log'!$A$4:$A$810),NA(),IFERROR(LOOKUP(2,1/(('Match Log'!$D$4:$D$810=$T$24)*('Match Log'!$A$4:$A$810&lt;=$J69)),'Match Log'!$N$4:$N$810),NA()))</f>
        <v>914.80558848258727</v>
      </c>
      <c r="U69">
        <f>IF($J69&gt;MAX('Match Log'!$A$4:$A$810),NA(),IFERROR(LOOKUP(2,1/(('Match Log'!$D$4:$D$810=$U$24)*('Match Log'!$A$4:$A$810&lt;=$J69)),'Match Log'!$N$4:$N$810),NA()))</f>
        <v>951.46097586894837</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32">
        <f>IFERROR(INDEX('Match Log'!$B$4:$B$810,MATCH(46,'Match Log'!$A$4:$A$810,0)),"")</f>
        <v>46176</v>
      </c>
      <c r="C70" t="str">
        <f>IFERROR(INDEX('Match Log'!$C$4:$C$810,MATCH(46,'Match Log'!$A$4:$A$810,0)),"")</f>
        <v>Table Tennis</v>
      </c>
      <c r="D70" t="str">
        <f>IFERROR(INDEX('Match Log'!$G$4:$G$810,MATCH(46,'Match Log'!$A$4:$A$810,0)),"")</f>
        <v>Oscar</v>
      </c>
      <c r="E70" s="133">
        <f>IFERROR(INDEX('Match Log'!$F$4:$F$810,MATCH(46,'Match Log'!$A$4:$A$810,0)),"")</f>
        <v>2</v>
      </c>
      <c r="F70">
        <f>IFERROR(SUMIFS('Match Log'!$I$4:$I$810,'Match Log'!$A$4:$A$810,46,'Match Log'!$E$4:$E$810,"Win"),"")</f>
        <v>0.31372549019607848</v>
      </c>
      <c r="G70">
        <f t="shared" si="19"/>
        <v>0.37254901960784303</v>
      </c>
      <c r="H70" t="str">
        <f>IFERROR(IF($E70=2,LOOKUP(2,1/(('Match Log'!$A$4:$A$810=46)*('Match Log'!$E$4:$E$810="Loss")),'Match Log'!$D$4:$D$810),"the field"),"")</f>
        <v>Josh</v>
      </c>
      <c r="I70">
        <f t="shared" si="20"/>
        <v>0.37250301960784304</v>
      </c>
      <c r="J70">
        <v>46</v>
      </c>
      <c r="K70">
        <f>IF($J70&gt;MAX('Match Log'!$A$4:$A$810),NA(),IFERROR(LOOKUP(2,1/(('Match Log'!$D$4:$D$810=$K$24)*('Match Log'!$A$4:$A$810&lt;=$J70)),'Match Log'!$N$4:$N$810),NA()))</f>
        <v>1082.8539049537733</v>
      </c>
      <c r="L70" t="e">
        <f>IF($J70&gt;MAX('Match Log'!$A$4:$A$810),NA(),IFERROR(LOOKUP(2,1/(('Match Log'!$D$4:$D$810=$L$24)*('Match Log'!$A$4:$A$810&lt;=$J70)),'Match Log'!$N$4:$N$810),NA()))</f>
        <v>#N/A</v>
      </c>
      <c r="M70">
        <f>IF($J70&gt;MAX('Match Log'!$A$4:$A$810),NA(),IFERROR(LOOKUP(2,1/(('Match Log'!$D$4:$D$810=$M$24)*('Match Log'!$A$4:$A$810&lt;=$J70)),'Match Log'!$N$4:$N$810),NA()))</f>
        <v>1000.614377932863</v>
      </c>
      <c r="N70">
        <f>IF($J70&gt;MAX('Match Log'!$A$4:$A$810),NA(),IFERROR(LOOKUP(2,1/(('Match Log'!$D$4:$D$810=$N$24)*('Match Log'!$A$4:$A$810&lt;=$J70)),'Match Log'!$N$4:$N$810),NA()))</f>
        <v>941.85442451275833</v>
      </c>
      <c r="O70">
        <f>IF($J70&gt;MAX('Match Log'!$A$4:$A$810),NA(),IFERROR(LOOKUP(2,1/(('Match Log'!$D$4:$D$810=$O$24)*('Match Log'!$A$4:$A$810&lt;=$J70)),'Match Log'!$N$4:$N$810),NA()))</f>
        <v>1156.4528965767604</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972.87387435439211</v>
      </c>
      <c r="S70">
        <f>IF($J70&gt;MAX('Match Log'!$A$4:$A$810),NA(),IFERROR(LOOKUP(2,1/(('Match Log'!$D$4:$D$810=$S$24)*('Match Log'!$A$4:$A$810&lt;=$J70)),'Match Log'!$N$4:$N$810),NA()))</f>
        <v>1031.5777844773686</v>
      </c>
      <c r="T70">
        <f>IF($J70&gt;MAX('Match Log'!$A$4:$A$810),NA(),IFERROR(LOOKUP(2,1/(('Match Log'!$D$4:$D$810=$T$24)*('Match Log'!$A$4:$A$810&lt;=$J70)),'Match Log'!$N$4:$N$810),NA()))</f>
        <v>914.80558848258727</v>
      </c>
      <c r="U70">
        <f>IF($J70&gt;MAX('Match Log'!$A$4:$A$810),NA(),IFERROR(LOOKUP(2,1/(('Match Log'!$D$4:$D$810=$U$24)*('Match Log'!$A$4:$A$810&lt;=$J70)),'Match Log'!$N$4:$N$810),NA()))</f>
        <v>983.27851034023411</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32">
        <f>IFERROR(INDEX('Match Log'!$B$4:$B$810,MATCH(47,'Match Log'!$A$4:$A$810,0)),"")</f>
        <v>46176</v>
      </c>
      <c r="C71" t="str">
        <f>IFERROR(INDEX('Match Log'!$C$4:$C$810,MATCH(47,'Match Log'!$A$4:$A$810,0)),"")</f>
        <v>Mario Kart</v>
      </c>
      <c r="D71" t="str">
        <f>IFERROR(INDEX('Match Log'!$G$4:$G$810,MATCH(47,'Match Log'!$A$4:$A$810,0)),"")</f>
        <v>Daniel (Ferret)</v>
      </c>
      <c r="E71" s="133">
        <f>IFERROR(INDEX('Match Log'!$F$4:$F$810,MATCH(47,'Match Log'!$A$4:$A$810,0)),"")</f>
        <v>2</v>
      </c>
      <c r="F71">
        <f>IFERROR(SUMIFS('Match Log'!$I$4:$I$810,'Match Log'!$A$4:$A$810,47,'Match Log'!$E$4:$E$810,"Win"),"")</f>
        <v>0.25</v>
      </c>
      <c r="G71">
        <f t="shared" si="19"/>
        <v>0.5</v>
      </c>
      <c r="H71" t="str">
        <f>IFERROR(IF($E71=2,LOOKUP(2,1/(('Match Log'!$A$4:$A$810=47)*('Match Log'!$E$4:$E$810="Loss")),'Match Log'!$D$4:$D$810),"the field"),"")</f>
        <v>Oscar</v>
      </c>
      <c r="I71">
        <f t="shared" si="20"/>
        <v>0.49995299999999998</v>
      </c>
      <c r="J71">
        <v>47</v>
      </c>
      <c r="K71">
        <f>IF($J71&gt;MAX('Match Log'!$A$4:$A$810),NA(),IFERROR(LOOKUP(2,1/(('Match Log'!$D$4:$D$810=$K$24)*('Match Log'!$A$4:$A$810&lt;=$J71)),'Match Log'!$N$4:$N$810),NA()))</f>
        <v>1082.8539049537733</v>
      </c>
      <c r="L71" t="e">
        <f>IF($J71&gt;MAX('Match Log'!$A$4:$A$810),NA(),IFERROR(LOOKUP(2,1/(('Match Log'!$D$4:$D$810=$L$24)*('Match Log'!$A$4:$A$810&lt;=$J71)),'Match Log'!$N$4:$N$810),NA()))</f>
        <v>#N/A</v>
      </c>
      <c r="M71">
        <f>IF($J71&gt;MAX('Match Log'!$A$4:$A$810),NA(),IFERROR(LOOKUP(2,1/(('Match Log'!$D$4:$D$810=$M$24)*('Match Log'!$A$4:$A$810&lt;=$J71)),'Match Log'!$N$4:$N$810),NA()))</f>
        <v>1000.614377932863</v>
      </c>
      <c r="N71">
        <f>IF($J71&gt;MAX('Match Log'!$A$4:$A$810),NA(),IFERROR(LOOKUP(2,1/(('Match Log'!$D$4:$D$810=$N$24)*('Match Log'!$A$4:$A$810&lt;=$J71)),'Match Log'!$N$4:$N$810),NA()))</f>
        <v>941.85442451275833</v>
      </c>
      <c r="O71">
        <f>IF($J71&gt;MAX('Match Log'!$A$4:$A$810),NA(),IFERROR(LOOKUP(2,1/(('Match Log'!$D$4:$D$810=$O$24)*('Match Log'!$A$4:$A$810&lt;=$J71)),'Match Log'!$N$4:$N$810),NA()))</f>
        <v>1156.4528965767604</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998.93835044369428</v>
      </c>
      <c r="S71">
        <f>IF($J71&gt;MAX('Match Log'!$A$4:$A$810),NA(),IFERROR(LOOKUP(2,1/(('Match Log'!$D$4:$D$810=$S$24)*('Match Log'!$A$4:$A$810&lt;=$J71)),'Match Log'!$N$4:$N$810),NA()))</f>
        <v>1031.5777844773686</v>
      </c>
      <c r="T71">
        <f>IF($J71&gt;MAX('Match Log'!$A$4:$A$810),NA(),IFERROR(LOOKUP(2,1/(('Match Log'!$D$4:$D$810=$T$24)*('Match Log'!$A$4:$A$810&lt;=$J71)),'Match Log'!$N$4:$N$810),NA()))</f>
        <v>914.80558848258727</v>
      </c>
      <c r="U71">
        <f>IF($J71&gt;MAX('Match Log'!$A$4:$A$810),NA(),IFERROR(LOOKUP(2,1/(('Match Log'!$D$4:$D$810=$U$24)*('Match Log'!$A$4:$A$810&lt;=$J71)),'Match Log'!$N$4:$N$810),NA()))</f>
        <v>957.21403425093195</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32">
        <f>IFERROR(INDEX('Match Log'!$B$4:$B$810,MATCH(48,'Match Log'!$A$4:$A$810,0)),"")</f>
        <v>46176</v>
      </c>
      <c r="C72" t="str">
        <f>IFERROR(INDEX('Match Log'!$C$4:$C$810,MATCH(48,'Match Log'!$A$4:$A$810,0)),"")</f>
        <v>Mario Kart</v>
      </c>
      <c r="D72" t="str">
        <f>IFERROR(INDEX('Match Log'!$G$4:$G$810,MATCH(48,'Match Log'!$A$4:$A$810,0)),"")</f>
        <v>Daniel (Ferret)</v>
      </c>
      <c r="E72" s="133">
        <f>IFERROR(INDEX('Match Log'!$F$4:$F$810,MATCH(48,'Match Log'!$A$4:$A$810,0)),"")</f>
        <v>2</v>
      </c>
      <c r="F72">
        <f>IFERROR(SUMIFS('Match Log'!$I$4:$I$810,'Match Log'!$A$4:$A$810,48,'Match Log'!$E$4:$E$810,"Win"),"")</f>
        <v>0.46153846153846151</v>
      </c>
      <c r="G72">
        <f t="shared" si="19"/>
        <v>7.6923076923076983E-2</v>
      </c>
      <c r="H72" t="str">
        <f>IFERROR(IF($E72=2,LOOKUP(2,1/(('Match Log'!$A$4:$A$810=48)*('Match Log'!$E$4:$E$810="Loss")),'Match Log'!$D$4:$D$810),"the field"),"")</f>
        <v>Oscar</v>
      </c>
      <c r="I72">
        <f t="shared" si="20"/>
        <v>7.6875076923076976E-2</v>
      </c>
      <c r="J72">
        <v>48</v>
      </c>
      <c r="K72">
        <f>IF($J72&gt;MAX('Match Log'!$A$4:$A$810),NA(),IFERROR(LOOKUP(2,1/(('Match Log'!$D$4:$D$810=$K$24)*('Match Log'!$A$4:$A$810&lt;=$J72)),'Match Log'!$N$4:$N$810),NA()))</f>
        <v>1082.8539049537733</v>
      </c>
      <c r="L72" t="e">
        <f>IF($J72&gt;MAX('Match Log'!$A$4:$A$810),NA(),IFERROR(LOOKUP(2,1/(('Match Log'!$D$4:$D$810=$L$24)*('Match Log'!$A$4:$A$810&lt;=$J72)),'Match Log'!$N$4:$N$810),NA()))</f>
        <v>#N/A</v>
      </c>
      <c r="M72">
        <f>IF($J72&gt;MAX('Match Log'!$A$4:$A$810),NA(),IFERROR(LOOKUP(2,1/(('Match Log'!$D$4:$D$810=$M$24)*('Match Log'!$A$4:$A$810&lt;=$J72)),'Match Log'!$N$4:$N$810),NA()))</f>
        <v>1000.614377932863</v>
      </c>
      <c r="N72">
        <f>IF($J72&gt;MAX('Match Log'!$A$4:$A$810),NA(),IFERROR(LOOKUP(2,1/(('Match Log'!$D$4:$D$810=$N$24)*('Match Log'!$A$4:$A$810&lt;=$J72)),'Match Log'!$N$4:$N$810),NA()))</f>
        <v>941.85442451275833</v>
      </c>
      <c r="O72">
        <f>IF($J72&gt;MAX('Match Log'!$A$4:$A$810),NA(),IFERROR(LOOKUP(2,1/(('Match Log'!$D$4:$D$810=$O$24)*('Match Log'!$A$4:$A$810&lt;=$J72)),'Match Log'!$N$4:$N$810),NA()))</f>
        <v>1156.4528965767604</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1020.4987407298981</v>
      </c>
      <c r="S72">
        <f>IF($J72&gt;MAX('Match Log'!$A$4:$A$810),NA(),IFERROR(LOOKUP(2,1/(('Match Log'!$D$4:$D$810=$S$24)*('Match Log'!$A$4:$A$810&lt;=$J72)),'Match Log'!$N$4:$N$810),NA()))</f>
        <v>1031.5777844773686</v>
      </c>
      <c r="T72">
        <f>IF($J72&gt;MAX('Match Log'!$A$4:$A$810),NA(),IFERROR(LOOKUP(2,1/(('Match Log'!$D$4:$D$810=$T$24)*('Match Log'!$A$4:$A$810&lt;=$J72)),'Match Log'!$N$4:$N$810),NA()))</f>
        <v>914.80558848258727</v>
      </c>
      <c r="U72">
        <f>IF($J72&gt;MAX('Match Log'!$A$4:$A$810),NA(),IFERROR(LOOKUP(2,1/(('Match Log'!$D$4:$D$810=$U$24)*('Match Log'!$A$4:$A$810&lt;=$J72)),'Match Log'!$N$4:$N$810),NA()))</f>
        <v>935.65364396472808</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32">
        <f>IFERROR(INDEX('Match Log'!$B$4:$B$810,MATCH(49,'Match Log'!$A$4:$A$810,0)),"")</f>
        <v>46176</v>
      </c>
      <c r="C73" t="str">
        <f>IFERROR(INDEX('Match Log'!$C$4:$C$810,MATCH(49,'Match Log'!$A$4:$A$810,0)),"")</f>
        <v>Mario Kart</v>
      </c>
      <c r="D73" t="str">
        <f>IFERROR(INDEX('Match Log'!$G$4:$G$810,MATCH(49,'Match Log'!$A$4:$A$810,0)),"")</f>
        <v>Oscar</v>
      </c>
      <c r="E73" s="133">
        <f>IFERROR(INDEX('Match Log'!$F$4:$F$810,MATCH(49,'Match Log'!$A$4:$A$810,0)),"")</f>
        <v>2</v>
      </c>
      <c r="F73">
        <f>IFERROR(SUMIFS('Match Log'!$I$4:$I$810,'Match Log'!$A$4:$A$810,49,'Match Log'!$E$4:$E$810,"Win"),"")</f>
        <v>0.4</v>
      </c>
      <c r="G73">
        <f t="shared" si="19"/>
        <v>0.19999999999999996</v>
      </c>
      <c r="H73" t="str">
        <f>IFERROR(IF($E73=2,LOOKUP(2,1/(('Match Log'!$A$4:$A$810=49)*('Match Log'!$E$4:$E$810="Loss")),'Match Log'!$D$4:$D$810),"the field"),"")</f>
        <v>Daniel (Ferret)</v>
      </c>
      <c r="I73">
        <f t="shared" si="20"/>
        <v>0.19995099999999996</v>
      </c>
      <c r="J73">
        <v>49</v>
      </c>
      <c r="K73">
        <f>IF($J73&gt;MAX('Match Log'!$A$4:$A$810),NA(),IFERROR(LOOKUP(2,1/(('Match Log'!$D$4:$D$810=$K$24)*('Match Log'!$A$4:$A$810&lt;=$J73)),'Match Log'!$N$4:$N$810),NA()))</f>
        <v>1082.8539049537733</v>
      </c>
      <c r="L73" t="e">
        <f>IF($J73&gt;MAX('Match Log'!$A$4:$A$810),NA(),IFERROR(LOOKUP(2,1/(('Match Log'!$D$4:$D$810=$L$24)*('Match Log'!$A$4:$A$810&lt;=$J73)),'Match Log'!$N$4:$N$810),NA()))</f>
        <v>#N/A</v>
      </c>
      <c r="M73">
        <f>IF($J73&gt;MAX('Match Log'!$A$4:$A$810),NA(),IFERROR(LOOKUP(2,1/(('Match Log'!$D$4:$D$810=$M$24)*('Match Log'!$A$4:$A$810&lt;=$J73)),'Match Log'!$N$4:$N$810),NA()))</f>
        <v>1000.614377932863</v>
      </c>
      <c r="N73">
        <f>IF($J73&gt;MAX('Match Log'!$A$4:$A$810),NA(),IFERROR(LOOKUP(2,1/(('Match Log'!$D$4:$D$810=$N$24)*('Match Log'!$A$4:$A$810&lt;=$J73)),'Match Log'!$N$4:$N$810),NA()))</f>
        <v>941.85442451275833</v>
      </c>
      <c r="O73">
        <f>IF($J73&gt;MAX('Match Log'!$A$4:$A$810),NA(),IFERROR(LOOKUP(2,1/(('Match Log'!$D$4:$D$810=$O$24)*('Match Log'!$A$4:$A$810&lt;=$J73)),'Match Log'!$N$4:$N$810),NA()))</f>
        <v>1156.4528965767604</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994.81951865923497</v>
      </c>
      <c r="S73">
        <f>IF($J73&gt;MAX('Match Log'!$A$4:$A$810),NA(),IFERROR(LOOKUP(2,1/(('Match Log'!$D$4:$D$810=$S$24)*('Match Log'!$A$4:$A$810&lt;=$J73)),'Match Log'!$N$4:$N$810),NA()))</f>
        <v>1031.5777844773686</v>
      </c>
      <c r="T73">
        <f>IF($J73&gt;MAX('Match Log'!$A$4:$A$810),NA(),IFERROR(LOOKUP(2,1/(('Match Log'!$D$4:$D$810=$T$24)*('Match Log'!$A$4:$A$810&lt;=$J73)),'Match Log'!$N$4:$N$810),NA()))</f>
        <v>914.80558848258727</v>
      </c>
      <c r="U73">
        <f>IF($J73&gt;MAX('Match Log'!$A$4:$A$810),NA(),IFERROR(LOOKUP(2,1/(('Match Log'!$D$4:$D$810=$U$24)*('Match Log'!$A$4:$A$810&lt;=$J73)),'Match Log'!$N$4:$N$810),NA()))</f>
        <v>961.33286603539125</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32">
        <f>IFERROR(INDEX('Match Log'!$B$4:$B$810,MATCH(50,'Match Log'!$A$4:$A$810,0)),"")</f>
        <v>46177</v>
      </c>
      <c r="C74" t="str">
        <f>IFERROR(INDEX('Match Log'!$C$4:$C$810,MATCH(50,'Match Log'!$A$4:$A$810,0)),"")</f>
        <v>Table Tennis</v>
      </c>
      <c r="D74" t="str">
        <f>IFERROR(INDEX('Match Log'!$G$4:$G$810,MATCH(50,'Match Log'!$A$4:$A$810,0)),"")</f>
        <v>Dean B</v>
      </c>
      <c r="E74" s="133">
        <f>IFERROR(INDEX('Match Log'!$F$4:$F$810,MATCH(50,'Match Log'!$A$4:$A$810,0)),"")</f>
        <v>2</v>
      </c>
      <c r="F74">
        <f>IFERROR(SUMIFS('Match Log'!$I$4:$I$810,'Match Log'!$A$4:$A$810,50,'Match Log'!$E$4:$E$810,"Win"),"")</f>
        <v>0.5</v>
      </c>
      <c r="G74">
        <f t="shared" si="19"/>
        <v>0</v>
      </c>
      <c r="H74" t="str">
        <f>IFERROR(IF($E74=2,LOOKUP(2,1/(('Match Log'!$A$4:$A$810=50)*('Match Log'!$E$4:$E$810="Loss")),'Match Log'!$D$4:$D$810),"the field"),"")</f>
        <v>Oscar</v>
      </c>
      <c r="I74">
        <f t="shared" si="20"/>
        <v>-5.0000000000000002E-5</v>
      </c>
      <c r="J74">
        <v>50</v>
      </c>
      <c r="K74">
        <f>IF($J74&gt;MAX('Match Log'!$A$4:$A$810),NA(),IFERROR(LOOKUP(2,1/(('Match Log'!$D$4:$D$810=$K$24)*('Match Log'!$A$4:$A$810&lt;=$J74)),'Match Log'!$N$4:$N$810),NA()))</f>
        <v>1082.8539049537733</v>
      </c>
      <c r="L74" t="e">
        <f>IF($J74&gt;MAX('Match Log'!$A$4:$A$810),NA(),IFERROR(LOOKUP(2,1/(('Match Log'!$D$4:$D$810=$L$24)*('Match Log'!$A$4:$A$810&lt;=$J74)),'Match Log'!$N$4:$N$810),NA()))</f>
        <v>#N/A</v>
      </c>
      <c r="M74">
        <f>IF($J74&gt;MAX('Match Log'!$A$4:$A$810),NA(),IFERROR(LOOKUP(2,1/(('Match Log'!$D$4:$D$810=$M$24)*('Match Log'!$A$4:$A$810&lt;=$J74)),'Match Log'!$N$4:$N$810),NA()))</f>
        <v>1000.614377932863</v>
      </c>
      <c r="N74">
        <f>IF($J74&gt;MAX('Match Log'!$A$4:$A$810),NA(),IFERROR(LOOKUP(2,1/(('Match Log'!$D$4:$D$810=$N$24)*('Match Log'!$A$4:$A$810&lt;=$J74)),'Match Log'!$N$4:$N$810),NA()))</f>
        <v>941.85442451275833</v>
      </c>
      <c r="O74">
        <f>IF($J74&gt;MAX('Match Log'!$A$4:$A$810),NA(),IFERROR(LOOKUP(2,1/(('Match Log'!$D$4:$D$810=$O$24)*('Match Log'!$A$4:$A$810&lt;=$J74)),'Match Log'!$N$4:$N$810),NA()))</f>
        <v>1156.4528965767604</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994.81951865923497</v>
      </c>
      <c r="S74">
        <f>IF($J74&gt;MAX('Match Log'!$A$4:$A$810),NA(),IFERROR(LOOKUP(2,1/(('Match Log'!$D$4:$D$810=$S$24)*('Match Log'!$A$4:$A$810&lt;=$J74)),'Match Log'!$N$4:$N$810),NA()))</f>
        <v>1051.7211614371747</v>
      </c>
      <c r="T74">
        <f>IF($J74&gt;MAX('Match Log'!$A$4:$A$810),NA(),IFERROR(LOOKUP(2,1/(('Match Log'!$D$4:$D$810=$T$24)*('Match Log'!$A$4:$A$810&lt;=$J74)),'Match Log'!$N$4:$N$810),NA()))</f>
        <v>914.80558848258727</v>
      </c>
      <c r="U74">
        <f>IF($J74&gt;MAX('Match Log'!$A$4:$A$810),NA(),IFERROR(LOOKUP(2,1/(('Match Log'!$D$4:$D$810=$U$24)*('Match Log'!$A$4:$A$810&lt;=$J74)),'Match Log'!$N$4:$N$810),NA()))</f>
        <v>941.18948907558524</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32">
        <f>IFERROR(INDEX('Match Log'!$B$4:$B$810,MATCH(51,'Match Log'!$A$4:$A$810,0)),"")</f>
        <v>46177</v>
      </c>
      <c r="C75" t="str">
        <f>IFERROR(INDEX('Match Log'!$C$4:$C$810,MATCH(51,'Match Log'!$A$4:$A$810,0)),"")</f>
        <v>Table Tennis</v>
      </c>
      <c r="D75" t="str">
        <f>IFERROR(INDEX('Match Log'!$G$4:$G$810,MATCH(51,'Match Log'!$A$4:$A$810,0)),"")</f>
        <v>Dean B</v>
      </c>
      <c r="E75" s="133">
        <f>IFERROR(INDEX('Match Log'!$F$4:$F$810,MATCH(51,'Match Log'!$A$4:$A$810,0)),"")</f>
        <v>2</v>
      </c>
      <c r="F75">
        <f>IFERROR(SUMIFS('Match Log'!$I$4:$I$810,'Match Log'!$A$4:$A$810,51,'Match Log'!$E$4:$E$810,"Win"),"")</f>
        <v>0.58333333333333337</v>
      </c>
      <c r="G75">
        <f t="shared" si="19"/>
        <v>-0.16666666666666674</v>
      </c>
      <c r="H75" t="str">
        <f>IFERROR(IF($E75=2,LOOKUP(2,1/(('Match Log'!$A$4:$A$810=51)*('Match Log'!$E$4:$E$810="Loss")),'Match Log'!$D$4:$D$810),"the field"),"")</f>
        <v>Oscar</v>
      </c>
      <c r="I75">
        <f t="shared" si="20"/>
        <v>-0.16671766666666674</v>
      </c>
      <c r="J75">
        <v>51</v>
      </c>
      <c r="K75">
        <f>IF($J75&gt;MAX('Match Log'!$A$4:$A$810),NA(),IFERROR(LOOKUP(2,1/(('Match Log'!$D$4:$D$810=$K$24)*('Match Log'!$A$4:$A$810&lt;=$J75)),'Match Log'!$N$4:$N$810),NA()))</f>
        <v>1082.8539049537733</v>
      </c>
      <c r="L75" t="e">
        <f>IF($J75&gt;MAX('Match Log'!$A$4:$A$810),NA(),IFERROR(LOOKUP(2,1/(('Match Log'!$D$4:$D$810=$L$24)*('Match Log'!$A$4:$A$810&lt;=$J75)),'Match Log'!$N$4:$N$810),NA()))</f>
        <v>#N/A</v>
      </c>
      <c r="M75">
        <f>IF($J75&gt;MAX('Match Log'!$A$4:$A$810),NA(),IFERROR(LOOKUP(2,1/(('Match Log'!$D$4:$D$810=$M$24)*('Match Log'!$A$4:$A$810&lt;=$J75)),'Match Log'!$N$4:$N$810),NA()))</f>
        <v>1000.614377932863</v>
      </c>
      <c r="N75">
        <f>IF($J75&gt;MAX('Match Log'!$A$4:$A$810),NA(),IFERROR(LOOKUP(2,1/(('Match Log'!$D$4:$D$810=$N$24)*('Match Log'!$A$4:$A$810&lt;=$J75)),'Match Log'!$N$4:$N$810),NA()))</f>
        <v>941.85442451275833</v>
      </c>
      <c r="O75">
        <f>IF($J75&gt;MAX('Match Log'!$A$4:$A$810),NA(),IFERROR(LOOKUP(2,1/(('Match Log'!$D$4:$D$810=$O$24)*('Match Log'!$A$4:$A$810&lt;=$J75)),'Match Log'!$N$4:$N$810),NA()))</f>
        <v>1156.4528965767604</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994.81951865923497</v>
      </c>
      <c r="S75">
        <f>IF($J75&gt;MAX('Match Log'!$A$4:$A$810),NA(),IFERROR(LOOKUP(2,1/(('Match Log'!$D$4:$D$810=$S$24)*('Match Log'!$A$4:$A$810&lt;=$J75)),'Match Log'!$N$4:$N$810),NA()))</f>
        <v>1069.4291473907738</v>
      </c>
      <c r="T75">
        <f>IF($J75&gt;MAX('Match Log'!$A$4:$A$810),NA(),IFERROR(LOOKUP(2,1/(('Match Log'!$D$4:$D$810=$T$24)*('Match Log'!$A$4:$A$810&lt;=$J75)),'Match Log'!$N$4:$N$810),NA()))</f>
        <v>914.80558848258727</v>
      </c>
      <c r="U75">
        <f>IF($J75&gt;MAX('Match Log'!$A$4:$A$810),NA(),IFERROR(LOOKUP(2,1/(('Match Log'!$D$4:$D$810=$U$24)*('Match Log'!$A$4:$A$810&lt;=$J75)),'Match Log'!$N$4:$N$810),NA()))</f>
        <v>923.48150312198629</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32">
        <f>IFERROR(INDEX('Match Log'!$B$4:$B$810,MATCH(52,'Match Log'!$A$4:$A$810,0)),"")</f>
        <v>46177</v>
      </c>
      <c r="C76" t="str">
        <f>IFERROR(INDEX('Match Log'!$C$4:$C$810,MATCH(52,'Match Log'!$A$4:$A$810,0)),"")</f>
        <v>Table Tennis</v>
      </c>
      <c r="D76" t="str">
        <f>IFERROR(INDEX('Match Log'!$G$4:$G$810,MATCH(52,'Match Log'!$A$4:$A$810,0)),"")</f>
        <v>Dean B</v>
      </c>
      <c r="E76" s="133">
        <f>IFERROR(INDEX('Match Log'!$F$4:$F$810,MATCH(52,'Match Log'!$A$4:$A$810,0)),"")</f>
        <v>2</v>
      </c>
      <c r="F76">
        <f>IFERROR(SUMIFS('Match Log'!$I$4:$I$810,'Match Log'!$A$4:$A$810,52,'Match Log'!$E$4:$E$810,"Win"),"")</f>
        <v>0.64</v>
      </c>
      <c r="G76">
        <f t="shared" si="19"/>
        <v>-0.28000000000000003</v>
      </c>
      <c r="H76" t="str">
        <f>IFERROR(IF($E76=2,LOOKUP(2,1/(('Match Log'!$A$4:$A$810=52)*('Match Log'!$E$4:$E$810="Loss")),'Match Log'!$D$4:$D$810),"the field"),"")</f>
        <v>Oscar</v>
      </c>
      <c r="I76">
        <f t="shared" si="20"/>
        <v>-0.28005200000000002</v>
      </c>
      <c r="J76">
        <v>52</v>
      </c>
      <c r="K76">
        <f>IF($J76&gt;MAX('Match Log'!$A$4:$A$810),NA(),IFERROR(LOOKUP(2,1/(('Match Log'!$D$4:$D$810=$K$24)*('Match Log'!$A$4:$A$810&lt;=$J76)),'Match Log'!$N$4:$N$810),NA()))</f>
        <v>1082.8539049537733</v>
      </c>
      <c r="L76" t="e">
        <f>IF($J76&gt;MAX('Match Log'!$A$4:$A$810),NA(),IFERROR(LOOKUP(2,1/(('Match Log'!$D$4:$D$810=$L$24)*('Match Log'!$A$4:$A$810&lt;=$J76)),'Match Log'!$N$4:$N$810),NA()))</f>
        <v>#N/A</v>
      </c>
      <c r="M76">
        <f>IF($J76&gt;MAX('Match Log'!$A$4:$A$810),NA(),IFERROR(LOOKUP(2,1/(('Match Log'!$D$4:$D$810=$M$24)*('Match Log'!$A$4:$A$810&lt;=$J76)),'Match Log'!$N$4:$N$810),NA()))</f>
        <v>1000.614377932863</v>
      </c>
      <c r="N76">
        <f>IF($J76&gt;MAX('Match Log'!$A$4:$A$810),NA(),IFERROR(LOOKUP(2,1/(('Match Log'!$D$4:$D$810=$N$24)*('Match Log'!$A$4:$A$810&lt;=$J76)),'Match Log'!$N$4:$N$810),NA()))</f>
        <v>941.85442451275833</v>
      </c>
      <c r="O76">
        <f>IF($J76&gt;MAX('Match Log'!$A$4:$A$810),NA(),IFERROR(LOOKUP(2,1/(('Match Log'!$D$4:$D$810=$O$24)*('Match Log'!$A$4:$A$810&lt;=$J76)),'Match Log'!$N$4:$N$810),NA()))</f>
        <v>1156.4528965767604</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994.81951865923497</v>
      </c>
      <c r="S76">
        <f>IF($J76&gt;MAX('Match Log'!$A$4:$A$810),NA(),IFERROR(LOOKUP(2,1/(('Match Log'!$D$4:$D$810=$S$24)*('Match Log'!$A$4:$A$810&lt;=$J76)),'Match Log'!$N$4:$N$810),NA()))</f>
        <v>1085.2397849482029</v>
      </c>
      <c r="T76">
        <f>IF($J76&gt;MAX('Match Log'!$A$4:$A$810),NA(),IFERROR(LOOKUP(2,1/(('Match Log'!$D$4:$D$810=$T$24)*('Match Log'!$A$4:$A$810&lt;=$J76)),'Match Log'!$N$4:$N$810),NA()))</f>
        <v>914.80558848258727</v>
      </c>
      <c r="U76">
        <f>IF($J76&gt;MAX('Match Log'!$A$4:$A$810),NA(),IFERROR(LOOKUP(2,1/(('Match Log'!$D$4:$D$810=$U$24)*('Match Log'!$A$4:$A$810&lt;=$J76)),'Match Log'!$N$4:$N$810),NA()))</f>
        <v>907.67086556455706</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32">
        <f>IFERROR(INDEX('Match Log'!$B$4:$B$810,MATCH(53,'Match Log'!$A$4:$A$810,0)),"")</f>
        <v>46177</v>
      </c>
      <c r="C77" t="str">
        <f>IFERROR(INDEX('Match Log'!$C$4:$C$810,MATCH(53,'Match Log'!$A$4:$A$810,0)),"")</f>
        <v>Pool</v>
      </c>
      <c r="D77" t="str">
        <f>IFERROR(INDEX('Match Log'!$G$4:$G$810,MATCH(53,'Match Log'!$A$4:$A$810,0)),"")</f>
        <v>Oscar</v>
      </c>
      <c r="E77" s="133">
        <f>IFERROR(INDEX('Match Log'!$F$4:$F$810,MATCH(53,'Match Log'!$A$4:$A$810,0)),"")</f>
        <v>2</v>
      </c>
      <c r="F77">
        <f>IFERROR(SUMIFS('Match Log'!$I$4:$I$810,'Match Log'!$A$4:$A$810,53,'Match Log'!$E$4:$E$810,"Win"),"")</f>
        <v>0.29411764705882354</v>
      </c>
      <c r="G77">
        <f t="shared" si="19"/>
        <v>0.41176470588235292</v>
      </c>
      <c r="H77" t="str">
        <f>IFERROR(IF($E77=2,LOOKUP(2,1/(('Match Log'!$A$4:$A$810=53)*('Match Log'!$E$4:$E$810="Loss")),'Match Log'!$D$4:$D$810),"the field"),"")</f>
        <v>Dean B</v>
      </c>
      <c r="I77">
        <f t="shared" si="20"/>
        <v>0.4117117058823529</v>
      </c>
      <c r="J77">
        <v>53</v>
      </c>
      <c r="K77">
        <f>IF($J77&gt;MAX('Match Log'!$A$4:$A$810),NA(),IFERROR(LOOKUP(2,1/(('Match Log'!$D$4:$D$810=$K$24)*('Match Log'!$A$4:$A$810&lt;=$J77)),'Match Log'!$N$4:$N$810),NA()))</f>
        <v>1082.8539049537733</v>
      </c>
      <c r="L77" t="e">
        <f>IF($J77&gt;MAX('Match Log'!$A$4:$A$810),NA(),IFERROR(LOOKUP(2,1/(('Match Log'!$D$4:$D$810=$L$24)*('Match Log'!$A$4:$A$810&lt;=$J77)),'Match Log'!$N$4:$N$810),NA()))</f>
        <v>#N/A</v>
      </c>
      <c r="M77">
        <f>IF($J77&gt;MAX('Match Log'!$A$4:$A$810),NA(),IFERROR(LOOKUP(2,1/(('Match Log'!$D$4:$D$810=$M$24)*('Match Log'!$A$4:$A$810&lt;=$J77)),'Match Log'!$N$4:$N$810),NA()))</f>
        <v>1000.614377932863</v>
      </c>
      <c r="N77">
        <f>IF($J77&gt;MAX('Match Log'!$A$4:$A$810),NA(),IFERROR(LOOKUP(2,1/(('Match Log'!$D$4:$D$810=$N$24)*('Match Log'!$A$4:$A$810&lt;=$J77)),'Match Log'!$N$4:$N$810),NA()))</f>
        <v>941.85442451275833</v>
      </c>
      <c r="O77">
        <f>IF($J77&gt;MAX('Match Log'!$A$4:$A$810),NA(),IFERROR(LOOKUP(2,1/(('Match Log'!$D$4:$D$810=$O$24)*('Match Log'!$A$4:$A$810&lt;=$J77)),'Match Log'!$N$4:$N$810),NA()))</f>
        <v>1156.4528965767604</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994.81951865923497</v>
      </c>
      <c r="S77">
        <f>IF($J77&gt;MAX('Match Log'!$A$4:$A$810),NA(),IFERROR(LOOKUP(2,1/(('Match Log'!$D$4:$D$810=$S$24)*('Match Log'!$A$4:$A$810&lt;=$J77)),'Match Log'!$N$4:$N$810),NA()))</f>
        <v>1054.9321218859973</v>
      </c>
      <c r="T77">
        <f>IF($J77&gt;MAX('Match Log'!$A$4:$A$810),NA(),IFERROR(LOOKUP(2,1/(('Match Log'!$D$4:$D$810=$T$24)*('Match Log'!$A$4:$A$810&lt;=$J77)),'Match Log'!$N$4:$N$810),NA()))</f>
        <v>914.80558848258727</v>
      </c>
      <c r="U77">
        <f>IF($J77&gt;MAX('Match Log'!$A$4:$A$810),NA(),IFERROR(LOOKUP(2,1/(('Match Log'!$D$4:$D$810=$U$24)*('Match Log'!$A$4:$A$810&lt;=$J77)),'Match Log'!$N$4:$N$810),NA()))</f>
        <v>937.97852862676257</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32">
        <f>IFERROR(INDEX('Match Log'!$B$4:$B$810,MATCH(54,'Match Log'!$A$4:$A$810,0)),"")</f>
        <v>46177</v>
      </c>
      <c r="C78" t="str">
        <f>IFERROR(INDEX('Match Log'!$C$4:$C$810,MATCH(54,'Match Log'!$A$4:$A$810,0)),"")</f>
        <v>Pool</v>
      </c>
      <c r="D78" t="str">
        <f>IFERROR(INDEX('Match Log'!$G$4:$G$810,MATCH(54,'Match Log'!$A$4:$A$810,0)),"")</f>
        <v>Oscar</v>
      </c>
      <c r="E78" s="133">
        <f>IFERROR(INDEX('Match Log'!$F$4:$F$810,MATCH(54,'Match Log'!$A$4:$A$810,0)),"")</f>
        <v>2</v>
      </c>
      <c r="F78">
        <f>IFERROR(SUMIFS('Match Log'!$I$4:$I$810,'Match Log'!$A$4:$A$810,54,'Match Log'!$E$4:$E$810,"Win"),"")</f>
        <v>0.44444444444444448</v>
      </c>
      <c r="G78">
        <f t="shared" si="19"/>
        <v>0.11111111111111105</v>
      </c>
      <c r="H78" t="str">
        <f>IFERROR(IF($E78=2,LOOKUP(2,1/(('Match Log'!$A$4:$A$810=54)*('Match Log'!$E$4:$E$810="Loss")),'Match Log'!$D$4:$D$810),"the field"),"")</f>
        <v>Beau</v>
      </c>
      <c r="I78">
        <f t="shared" si="20"/>
        <v>0.11105711111111105</v>
      </c>
      <c r="J78">
        <v>54</v>
      </c>
      <c r="K78">
        <f>IF($J78&gt;MAX('Match Log'!$A$4:$A$810),NA(),IFERROR(LOOKUP(2,1/(('Match Log'!$D$4:$D$810=$K$24)*('Match Log'!$A$4:$A$810&lt;=$J78)),'Match Log'!$N$4:$N$810),NA()))</f>
        <v>1082.8539049537733</v>
      </c>
      <c r="L78">
        <f>IF($J78&gt;MAX('Match Log'!$A$4:$A$810),NA(),IFERROR(LOOKUP(2,1/(('Match Log'!$D$4:$D$810=$L$24)*('Match Log'!$A$4:$A$810&lt;=$J78)),'Match Log'!$N$4:$N$810),NA()))</f>
        <v>975.34219391622196</v>
      </c>
      <c r="M78">
        <f>IF($J78&gt;MAX('Match Log'!$A$4:$A$810),NA(),IFERROR(LOOKUP(2,1/(('Match Log'!$D$4:$D$810=$M$24)*('Match Log'!$A$4:$A$810&lt;=$J78)),'Match Log'!$N$4:$N$810),NA()))</f>
        <v>1000.614377932863</v>
      </c>
      <c r="N78">
        <f>IF($J78&gt;MAX('Match Log'!$A$4:$A$810),NA(),IFERROR(LOOKUP(2,1/(('Match Log'!$D$4:$D$810=$N$24)*('Match Log'!$A$4:$A$810&lt;=$J78)),'Match Log'!$N$4:$N$810),NA()))</f>
        <v>941.85442451275833</v>
      </c>
      <c r="O78">
        <f>IF($J78&gt;MAX('Match Log'!$A$4:$A$810),NA(),IFERROR(LOOKUP(2,1/(('Match Log'!$D$4:$D$810=$O$24)*('Match Log'!$A$4:$A$810&lt;=$J78)),'Match Log'!$N$4:$N$810),NA()))</f>
        <v>1156.4528965767604</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994.81951865923497</v>
      </c>
      <c r="S78">
        <f>IF($J78&gt;MAX('Match Log'!$A$4:$A$810),NA(),IFERROR(LOOKUP(2,1/(('Match Log'!$D$4:$D$810=$S$24)*('Match Log'!$A$4:$A$810&lt;=$J78)),'Match Log'!$N$4:$N$810),NA()))</f>
        <v>1054.9321218859973</v>
      </c>
      <c r="T78">
        <f>IF($J78&gt;MAX('Match Log'!$A$4:$A$810),NA(),IFERROR(LOOKUP(2,1/(('Match Log'!$D$4:$D$810=$T$24)*('Match Log'!$A$4:$A$810&lt;=$J78)),'Match Log'!$N$4:$N$810),NA()))</f>
        <v>914.80558848258727</v>
      </c>
      <c r="U78">
        <f>IF($J78&gt;MAX('Match Log'!$A$4:$A$810),NA(),IFERROR(LOOKUP(2,1/(('Match Log'!$D$4:$D$810=$U$24)*('Match Log'!$A$4:$A$810&lt;=$J78)),'Match Log'!$N$4:$N$810),NA()))</f>
        <v>962.63633471054061</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32">
        <f>IFERROR(INDEX('Match Log'!$B$4:$B$810,MATCH(55,'Match Log'!$A$4:$A$810,0)),"")</f>
        <v>46177</v>
      </c>
      <c r="C79" t="str">
        <f>IFERROR(INDEX('Match Log'!$C$4:$C$810,MATCH(55,'Match Log'!$A$4:$A$810,0)),"")</f>
        <v>Mario Kart</v>
      </c>
      <c r="D79" t="str">
        <f>IFERROR(INDEX('Match Log'!$G$4:$G$810,MATCH(55,'Match Log'!$A$4:$A$810,0)),"")</f>
        <v>Oscar</v>
      </c>
      <c r="E79" s="133">
        <f>IFERROR(INDEX('Match Log'!$F$4:$F$810,MATCH(55,'Match Log'!$A$4:$A$810,0)),"")</f>
        <v>2</v>
      </c>
      <c r="F79">
        <f>IFERROR(SUMIFS('Match Log'!$I$4:$I$810,'Match Log'!$A$4:$A$810,55,'Match Log'!$E$4:$E$810,"Win"),"")</f>
        <v>0.44444444444444448</v>
      </c>
      <c r="G79">
        <f t="shared" si="19"/>
        <v>0.11111111111111105</v>
      </c>
      <c r="H79" t="str">
        <f>IFERROR(IF($E79=2,LOOKUP(2,1/(('Match Log'!$A$4:$A$810=55)*('Match Log'!$E$4:$E$810="Loss")),'Match Log'!$D$4:$D$810),"the field"),"")</f>
        <v>Shawn</v>
      </c>
      <c r="I79">
        <f t="shared" si="20"/>
        <v>0.11105611111111105</v>
      </c>
      <c r="J79">
        <v>55</v>
      </c>
      <c r="K79">
        <f>IF($J79&gt;MAX('Match Log'!$A$4:$A$810),NA(),IFERROR(LOOKUP(2,1/(('Match Log'!$D$4:$D$810=$K$24)*('Match Log'!$A$4:$A$810&lt;=$J79)),'Match Log'!$N$4:$N$810),NA()))</f>
        <v>1082.8539049537733</v>
      </c>
      <c r="L79">
        <f>IF($J79&gt;MAX('Match Log'!$A$4:$A$810),NA(),IFERROR(LOOKUP(2,1/(('Match Log'!$D$4:$D$810=$L$24)*('Match Log'!$A$4:$A$810&lt;=$J79)),'Match Log'!$N$4:$N$810),NA()))</f>
        <v>975.34219391622196</v>
      </c>
      <c r="M79">
        <f>IF($J79&gt;MAX('Match Log'!$A$4:$A$810),NA(),IFERROR(LOOKUP(2,1/(('Match Log'!$D$4:$D$810=$M$24)*('Match Log'!$A$4:$A$810&lt;=$J79)),'Match Log'!$N$4:$N$810),NA()))</f>
        <v>1000.614377932863</v>
      </c>
      <c r="N79">
        <f>IF($J79&gt;MAX('Match Log'!$A$4:$A$810),NA(),IFERROR(LOOKUP(2,1/(('Match Log'!$D$4:$D$810=$N$24)*('Match Log'!$A$4:$A$810&lt;=$J79)),'Match Log'!$N$4:$N$810),NA()))</f>
        <v>941.85442451275833</v>
      </c>
      <c r="O79">
        <f>IF($J79&gt;MAX('Match Log'!$A$4:$A$810),NA(),IFERROR(LOOKUP(2,1/(('Match Log'!$D$4:$D$810=$O$24)*('Match Log'!$A$4:$A$810&lt;=$J79)),'Match Log'!$N$4:$N$810),NA()))</f>
        <v>1156.4528965767604</v>
      </c>
      <c r="P79">
        <f>IF($J79&gt;MAX('Match Log'!$A$4:$A$810),NA(),IFERROR(LOOKUP(2,1/(('Match Log'!$D$4:$D$810=$P$24)*('Match Log'!$A$4:$A$810&lt;=$J79)),'Match Log'!$N$4:$N$810),NA()))</f>
        <v>983.07168999273233</v>
      </c>
      <c r="Q79">
        <f>IF($J79&gt;MAX('Match Log'!$A$4:$A$810),NA(),IFERROR(LOOKUP(2,1/(('Match Log'!$D$4:$D$810=$Q$24)*('Match Log'!$A$4:$A$810&lt;=$J79)),'Match Log'!$N$4:$N$810),NA()))</f>
        <v>1004.2142857142857</v>
      </c>
      <c r="R79">
        <f>IF($J79&gt;MAX('Match Log'!$A$4:$A$810),NA(),IFERROR(LOOKUP(2,1/(('Match Log'!$D$4:$D$810=$R$24)*('Match Log'!$A$4:$A$810&lt;=$J79)),'Match Log'!$N$4:$N$810),NA()))</f>
        <v>994.81951865923497</v>
      </c>
      <c r="S79">
        <f>IF($J79&gt;MAX('Match Log'!$A$4:$A$810),NA(),IFERROR(LOOKUP(2,1/(('Match Log'!$D$4:$D$810=$S$24)*('Match Log'!$A$4:$A$810&lt;=$J79)),'Match Log'!$N$4:$N$810),NA()))</f>
        <v>1054.9321218859973</v>
      </c>
      <c r="T79">
        <f>IF($J79&gt;MAX('Match Log'!$A$4:$A$810),NA(),IFERROR(LOOKUP(2,1/(('Match Log'!$D$4:$D$810=$T$24)*('Match Log'!$A$4:$A$810&lt;=$J79)),'Match Log'!$N$4:$N$810),NA()))</f>
        <v>914.80558848258727</v>
      </c>
      <c r="U79">
        <f>IF($J79&gt;MAX('Match Log'!$A$4:$A$810),NA(),IFERROR(LOOKUP(2,1/(('Match Log'!$D$4:$D$810=$U$24)*('Match Log'!$A$4:$A$810&lt;=$J79)),'Match Log'!$N$4:$N$810),NA()))</f>
        <v>987.03899737278562</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32">
        <f>IFERROR(INDEX('Match Log'!$B$4:$B$810,MATCH(56,'Match Log'!$A$4:$A$810,0)),"")</f>
        <v>46188</v>
      </c>
      <c r="C80" t="str">
        <f>IFERROR(INDEX('Match Log'!$C$4:$C$810,MATCH(56,'Match Log'!$A$4:$A$810,0)),"")</f>
        <v>ShuffleBoard</v>
      </c>
      <c r="D80" t="str">
        <f>IFERROR(INDEX('Match Log'!$G$4:$G$810,MATCH(56,'Match Log'!$A$4:$A$810,0)),"")</f>
        <v>Shawn</v>
      </c>
      <c r="E80" s="133">
        <f>IFERROR(INDEX('Match Log'!$F$4:$F$810,MATCH(56,'Match Log'!$A$4:$A$810,0)),"")</f>
        <v>2</v>
      </c>
      <c r="F80">
        <f>IFERROR(SUMIFS('Match Log'!$I$4:$I$810,'Match Log'!$A$4:$A$810,56,'Match Log'!$E$4:$E$810,"Win"),"")</f>
        <v>0.5</v>
      </c>
      <c r="G80">
        <f t="shared" si="19"/>
        <v>0</v>
      </c>
      <c r="H80" t="str">
        <f>IFERROR(IF($E80=2,LOOKUP(2,1/(('Match Log'!$A$4:$A$810=56)*('Match Log'!$E$4:$E$810="Loss")),'Match Log'!$D$4:$D$810),"the field"),"")</f>
        <v>Josh</v>
      </c>
      <c r="I80">
        <f t="shared" si="20"/>
        <v>-5.5999999999999999E-5</v>
      </c>
      <c r="J80">
        <v>56</v>
      </c>
      <c r="K80">
        <f>IF($J80&gt;MAX('Match Log'!$A$4:$A$810),NA(),IFERROR(LOOKUP(2,1/(('Match Log'!$D$4:$D$810=$K$24)*('Match Log'!$A$4:$A$810&lt;=$J80)),'Match Log'!$N$4:$N$810),NA()))</f>
        <v>1082.8539049537733</v>
      </c>
      <c r="L80">
        <f>IF($J80&gt;MAX('Match Log'!$A$4:$A$810),NA(),IFERROR(LOOKUP(2,1/(('Match Log'!$D$4:$D$810=$L$24)*('Match Log'!$A$4:$A$810&lt;=$J80)),'Match Log'!$N$4:$N$810),NA()))</f>
        <v>975.34219391622196</v>
      </c>
      <c r="M80">
        <f>IF($J80&gt;MAX('Match Log'!$A$4:$A$810),NA(),IFERROR(LOOKUP(2,1/(('Match Log'!$D$4:$D$810=$M$24)*('Match Log'!$A$4:$A$810&lt;=$J80)),'Match Log'!$N$4:$N$810),NA()))</f>
        <v>1000.614377932863</v>
      </c>
      <c r="N80">
        <f>IF($J80&gt;MAX('Match Log'!$A$4:$A$810),NA(),IFERROR(LOOKUP(2,1/(('Match Log'!$D$4:$D$810=$N$24)*('Match Log'!$A$4:$A$810&lt;=$J80)),'Match Log'!$N$4:$N$810),NA()))</f>
        <v>941.85442451275833</v>
      </c>
      <c r="O80">
        <f>IF($J80&gt;MAX('Match Log'!$A$4:$A$810),NA(),IFERROR(LOOKUP(2,1/(('Match Log'!$D$4:$D$810=$O$24)*('Match Log'!$A$4:$A$810&lt;=$J80)),'Match Log'!$N$4:$N$810),NA()))</f>
        <v>1127.0712177445546</v>
      </c>
      <c r="P80">
        <f>IF($J80&gt;MAX('Match Log'!$A$4:$A$810),NA(),IFERROR(LOOKUP(2,1/(('Match Log'!$D$4:$D$810=$P$24)*('Match Log'!$A$4:$A$810&lt;=$J80)),'Match Log'!$N$4:$N$810),NA()))</f>
        <v>1012.4533688249381</v>
      </c>
      <c r="Q80">
        <f>IF($J80&gt;MAX('Match Log'!$A$4:$A$810),NA(),IFERROR(LOOKUP(2,1/(('Match Log'!$D$4:$D$810=$Q$24)*('Match Log'!$A$4:$A$810&lt;=$J80)),'Match Log'!$N$4:$N$810),NA()))</f>
        <v>1004.2142857142857</v>
      </c>
      <c r="R80">
        <f>IF($J80&gt;MAX('Match Log'!$A$4:$A$810),NA(),IFERROR(LOOKUP(2,1/(('Match Log'!$D$4:$D$810=$R$24)*('Match Log'!$A$4:$A$810&lt;=$J80)),'Match Log'!$N$4:$N$810),NA()))</f>
        <v>994.81951865923497</v>
      </c>
      <c r="S80">
        <f>IF($J80&gt;MAX('Match Log'!$A$4:$A$810),NA(),IFERROR(LOOKUP(2,1/(('Match Log'!$D$4:$D$810=$S$24)*('Match Log'!$A$4:$A$810&lt;=$J80)),'Match Log'!$N$4:$N$810),NA()))</f>
        <v>1054.9321218859973</v>
      </c>
      <c r="T80">
        <f>IF($J80&gt;MAX('Match Log'!$A$4:$A$810),NA(),IFERROR(LOOKUP(2,1/(('Match Log'!$D$4:$D$810=$T$24)*('Match Log'!$A$4:$A$810&lt;=$J80)),'Match Log'!$N$4:$N$810),NA()))</f>
        <v>914.80558848258727</v>
      </c>
      <c r="U80">
        <f>IF($J80&gt;MAX('Match Log'!$A$4:$A$810),NA(),IFERROR(LOOKUP(2,1/(('Match Log'!$D$4:$D$810=$U$24)*('Match Log'!$A$4:$A$810&lt;=$J80)),'Match Log'!$N$4:$N$810),NA()))</f>
        <v>987.03899737278562</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32">
        <f>IFERROR(INDEX('Match Log'!$B$4:$B$810,MATCH(57,'Match Log'!$A$4:$A$810,0)),"")</f>
        <v>46188</v>
      </c>
      <c r="C81" t="str">
        <f>IFERROR(INDEX('Match Log'!$C$4:$C$810,MATCH(57,'Match Log'!$A$4:$A$810,0)),"")</f>
        <v>ShuffleBoard</v>
      </c>
      <c r="D81" t="str">
        <f>IFERROR(INDEX('Match Log'!$G$4:$G$810,MATCH(57,'Match Log'!$A$4:$A$810,0)),"")</f>
        <v>David</v>
      </c>
      <c r="E81" s="133">
        <f>IFERROR(INDEX('Match Log'!$F$4:$F$810,MATCH(57,'Match Log'!$A$4:$A$810,0)),"")</f>
        <v>2</v>
      </c>
      <c r="F81">
        <f>IFERROR(SUMIFS('Match Log'!$I$4:$I$810,'Match Log'!$A$4:$A$810,57,'Match Log'!$E$4:$E$810,"Win"),"")</f>
        <v>0.5</v>
      </c>
      <c r="G81">
        <f t="shared" si="19"/>
        <v>0</v>
      </c>
      <c r="H81" t="str">
        <f>IFERROR(IF($E81=2,LOOKUP(2,1/(('Match Log'!$A$4:$A$810=57)*('Match Log'!$E$4:$E$810="Loss")),'Match Log'!$D$4:$D$810),"the field"),"")</f>
        <v>Aaron</v>
      </c>
      <c r="I81">
        <f t="shared" si="20"/>
        <v>-5.7000000000000003E-5</v>
      </c>
      <c r="J81">
        <v>57</v>
      </c>
      <c r="K81">
        <f>IF($J81&gt;MAX('Match Log'!$A$4:$A$810),NA(),IFERROR(LOOKUP(2,1/(('Match Log'!$D$4:$D$810=$K$24)*('Match Log'!$A$4:$A$810&lt;=$J81)),'Match Log'!$N$4:$N$810),NA()))</f>
        <v>1054.695096772648</v>
      </c>
      <c r="L81">
        <f>IF($J81&gt;MAX('Match Log'!$A$4:$A$810),NA(),IFERROR(LOOKUP(2,1/(('Match Log'!$D$4:$D$810=$L$24)*('Match Log'!$A$4:$A$810&lt;=$J81)),'Match Log'!$N$4:$N$810),NA()))</f>
        <v>975.34219391622196</v>
      </c>
      <c r="M81">
        <f>IF($J81&gt;MAX('Match Log'!$A$4:$A$810),NA(),IFERROR(LOOKUP(2,1/(('Match Log'!$D$4:$D$810=$M$24)*('Match Log'!$A$4:$A$810&lt;=$J81)),'Match Log'!$N$4:$N$810),NA()))</f>
        <v>1000.614377932863</v>
      </c>
      <c r="N81">
        <f>IF($J81&gt;MAX('Match Log'!$A$4:$A$810),NA(),IFERROR(LOOKUP(2,1/(('Match Log'!$D$4:$D$810=$N$24)*('Match Log'!$A$4:$A$810&lt;=$J81)),'Match Log'!$N$4:$N$810),NA()))</f>
        <v>970.01323269388354</v>
      </c>
      <c r="O81">
        <f>IF($J81&gt;MAX('Match Log'!$A$4:$A$810),NA(),IFERROR(LOOKUP(2,1/(('Match Log'!$D$4:$D$810=$O$24)*('Match Log'!$A$4:$A$810&lt;=$J81)),'Match Log'!$N$4:$N$810),NA()))</f>
        <v>1127.0712177445546</v>
      </c>
      <c r="P81">
        <f>IF($J81&gt;MAX('Match Log'!$A$4:$A$810),NA(),IFERROR(LOOKUP(2,1/(('Match Log'!$D$4:$D$810=$P$24)*('Match Log'!$A$4:$A$810&lt;=$J81)),'Match Log'!$N$4:$N$810),NA()))</f>
        <v>1012.4533688249381</v>
      </c>
      <c r="Q81">
        <f>IF($J81&gt;MAX('Match Log'!$A$4:$A$810),NA(),IFERROR(LOOKUP(2,1/(('Match Log'!$D$4:$D$810=$Q$24)*('Match Log'!$A$4:$A$810&lt;=$J81)),'Match Log'!$N$4:$N$810),NA()))</f>
        <v>1004.2142857142857</v>
      </c>
      <c r="R81">
        <f>IF($J81&gt;MAX('Match Log'!$A$4:$A$810),NA(),IFERROR(LOOKUP(2,1/(('Match Log'!$D$4:$D$810=$R$24)*('Match Log'!$A$4:$A$810&lt;=$J81)),'Match Log'!$N$4:$N$810),NA()))</f>
        <v>994.81951865923497</v>
      </c>
      <c r="S81">
        <f>IF($J81&gt;MAX('Match Log'!$A$4:$A$810),NA(),IFERROR(LOOKUP(2,1/(('Match Log'!$D$4:$D$810=$S$24)*('Match Log'!$A$4:$A$810&lt;=$J81)),'Match Log'!$N$4:$N$810),NA()))</f>
        <v>1054.9321218859973</v>
      </c>
      <c r="T81">
        <f>IF($J81&gt;MAX('Match Log'!$A$4:$A$810),NA(),IFERROR(LOOKUP(2,1/(('Match Log'!$D$4:$D$810=$T$24)*('Match Log'!$A$4:$A$810&lt;=$J81)),'Match Log'!$N$4:$N$810),NA()))</f>
        <v>914.80558848258727</v>
      </c>
      <c r="U81">
        <f>IF($J81&gt;MAX('Match Log'!$A$4:$A$810),NA(),IFERROR(LOOKUP(2,1/(('Match Log'!$D$4:$D$810=$U$24)*('Match Log'!$A$4:$A$810&lt;=$J81)),'Match Log'!$N$4:$N$810),NA()))</f>
        <v>987.03899737278562</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32">
        <f>IFERROR(INDEX('Match Log'!$B$4:$B$810,MATCH(58,'Match Log'!$A$4:$A$810,0)),"")</f>
        <v>46188</v>
      </c>
      <c r="C82" t="str">
        <f>IFERROR(INDEX('Match Log'!$C$4:$C$810,MATCH(58,'Match Log'!$A$4:$A$810,0)),"")</f>
        <v>ShuffleBoard</v>
      </c>
      <c r="D82" t="str">
        <f>IFERROR(INDEX('Match Log'!$G$4:$G$810,MATCH(58,'Match Log'!$A$4:$A$810,0)),"")</f>
        <v>Dean B</v>
      </c>
      <c r="E82" s="133">
        <f>IFERROR(INDEX('Match Log'!$F$4:$F$810,MATCH(58,'Match Log'!$A$4:$A$810,0)),"")</f>
        <v>2</v>
      </c>
      <c r="F82">
        <f>IFERROR(SUMIFS('Match Log'!$I$4:$I$810,'Match Log'!$A$4:$A$810,58,'Match Log'!$E$4:$E$810,"Win"),"")</f>
        <v>0.5</v>
      </c>
      <c r="G82">
        <f t="shared" si="19"/>
        <v>0</v>
      </c>
      <c r="H82" t="str">
        <f>IFERROR(IF($E82=2,LOOKUP(2,1/(('Match Log'!$A$4:$A$810=58)*('Match Log'!$E$4:$E$810="Loss")),'Match Log'!$D$4:$D$810),"the field"),"")</f>
        <v>Daniel (Ferret)</v>
      </c>
      <c r="I82">
        <f t="shared" si="20"/>
        <v>-5.8E-5</v>
      </c>
      <c r="J82">
        <v>58</v>
      </c>
      <c r="K82">
        <f>IF($J82&gt;MAX('Match Log'!$A$4:$A$810),NA(),IFERROR(LOOKUP(2,1/(('Match Log'!$D$4:$D$810=$K$24)*('Match Log'!$A$4:$A$810&lt;=$J82)),'Match Log'!$N$4:$N$810),NA()))</f>
        <v>1054.695096772648</v>
      </c>
      <c r="L82">
        <f>IF($J82&gt;MAX('Match Log'!$A$4:$A$810),NA(),IFERROR(LOOKUP(2,1/(('Match Log'!$D$4:$D$810=$L$24)*('Match Log'!$A$4:$A$810&lt;=$J82)),'Match Log'!$N$4:$N$810),NA()))</f>
        <v>975.34219391622196</v>
      </c>
      <c r="M82">
        <f>IF($J82&gt;MAX('Match Log'!$A$4:$A$810),NA(),IFERROR(LOOKUP(2,1/(('Match Log'!$D$4:$D$810=$M$24)*('Match Log'!$A$4:$A$810&lt;=$J82)),'Match Log'!$N$4:$N$810),NA()))</f>
        <v>1000.614377932863</v>
      </c>
      <c r="N82">
        <f>IF($J82&gt;MAX('Match Log'!$A$4:$A$810),NA(),IFERROR(LOOKUP(2,1/(('Match Log'!$D$4:$D$810=$N$24)*('Match Log'!$A$4:$A$810&lt;=$J82)),'Match Log'!$N$4:$N$810),NA()))</f>
        <v>970.01323269388354</v>
      </c>
      <c r="O82">
        <f>IF($J82&gt;MAX('Match Log'!$A$4:$A$810),NA(),IFERROR(LOOKUP(2,1/(('Match Log'!$D$4:$D$810=$O$24)*('Match Log'!$A$4:$A$810&lt;=$J82)),'Match Log'!$N$4:$N$810),NA()))</f>
        <v>1127.0712177445546</v>
      </c>
      <c r="P82">
        <f>IF($J82&gt;MAX('Match Log'!$A$4:$A$810),NA(),IFERROR(LOOKUP(2,1/(('Match Log'!$D$4:$D$810=$P$24)*('Match Log'!$A$4:$A$810&lt;=$J82)),'Match Log'!$N$4:$N$810),NA()))</f>
        <v>1012.4533688249381</v>
      </c>
      <c r="Q82">
        <f>IF($J82&gt;MAX('Match Log'!$A$4:$A$810),NA(),IFERROR(LOOKUP(2,1/(('Match Log'!$D$4:$D$810=$Q$24)*('Match Log'!$A$4:$A$810&lt;=$J82)),'Match Log'!$N$4:$N$810),NA()))</f>
        <v>1004.2142857142857</v>
      </c>
      <c r="R82">
        <f>IF($J82&gt;MAX('Match Log'!$A$4:$A$810),NA(),IFERROR(LOOKUP(2,1/(('Match Log'!$D$4:$D$810=$R$24)*('Match Log'!$A$4:$A$810&lt;=$J82)),'Match Log'!$N$4:$N$810),NA()))</f>
        <v>975.56051004124629</v>
      </c>
      <c r="S82">
        <f>IF($J82&gt;MAX('Match Log'!$A$4:$A$810),NA(),IFERROR(LOOKUP(2,1/(('Match Log'!$D$4:$D$810=$S$24)*('Match Log'!$A$4:$A$810&lt;=$J82)),'Match Log'!$N$4:$N$810),NA()))</f>
        <v>1074.191130503986</v>
      </c>
      <c r="T82">
        <f>IF($J82&gt;MAX('Match Log'!$A$4:$A$810),NA(),IFERROR(LOOKUP(2,1/(('Match Log'!$D$4:$D$810=$T$24)*('Match Log'!$A$4:$A$810&lt;=$J82)),'Match Log'!$N$4:$N$810),NA()))</f>
        <v>914.80558848258727</v>
      </c>
      <c r="U82">
        <f>IF($J82&gt;MAX('Match Log'!$A$4:$A$810),NA(),IFERROR(LOOKUP(2,1/(('Match Log'!$D$4:$D$810=$U$24)*('Match Log'!$A$4:$A$810&lt;=$J82)),'Match Log'!$N$4:$N$810),NA()))</f>
        <v>987.03899737278562</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32">
        <f>IFERROR(INDEX('Match Log'!$B$4:$B$810,MATCH(59,'Match Log'!$A$4:$A$810,0)),"")</f>
        <v>46188</v>
      </c>
      <c r="C83" t="str">
        <f>IFERROR(INDEX('Match Log'!$C$4:$C$810,MATCH(59,'Match Log'!$A$4:$A$810,0)),"")</f>
        <v>ShuffleBoard</v>
      </c>
      <c r="D83" t="str">
        <f>IFERROR(INDEX('Match Log'!$G$4:$G$810,MATCH(59,'Match Log'!$A$4:$A$810,0)),"")</f>
        <v>Simon</v>
      </c>
      <c r="E83" s="133">
        <f>IFERROR(INDEX('Match Log'!$F$4:$F$810,MATCH(59,'Match Log'!$A$4:$A$810,0)),"")</f>
        <v>2</v>
      </c>
      <c r="F83">
        <f>IFERROR(SUMIFS('Match Log'!$I$4:$I$810,'Match Log'!$A$4:$A$810,59,'Match Log'!$E$4:$E$810,"Win"),"")</f>
        <v>0.60000000000000009</v>
      </c>
      <c r="G83">
        <f t="shared" si="19"/>
        <v>-0.20000000000000018</v>
      </c>
      <c r="H83" t="str">
        <f>IFERROR(IF($E83=2,LOOKUP(2,1/(('Match Log'!$A$4:$A$810=59)*('Match Log'!$E$4:$E$810="Loss")),'Match Log'!$D$4:$D$810),"the field"),"")</f>
        <v>Aaron</v>
      </c>
      <c r="I83">
        <f t="shared" si="20"/>
        <v>-0.20005900000000018</v>
      </c>
      <c r="J83">
        <v>59</v>
      </c>
      <c r="K83">
        <f>IF($J83&gt;MAX('Match Log'!$A$4:$A$810),NA(),IFERROR(LOOKUP(2,1/(('Match Log'!$D$4:$D$810=$K$24)*('Match Log'!$A$4:$A$810&lt;=$J83)),'Match Log'!$N$4:$N$810),NA()))</f>
        <v>1032.1203077686844</v>
      </c>
      <c r="L83">
        <f>IF($J83&gt;MAX('Match Log'!$A$4:$A$810),NA(),IFERROR(LOOKUP(2,1/(('Match Log'!$D$4:$D$810=$L$24)*('Match Log'!$A$4:$A$810&lt;=$J83)),'Match Log'!$N$4:$N$810),NA()))</f>
        <v>975.34219391622196</v>
      </c>
      <c r="M83">
        <f>IF($J83&gt;MAX('Match Log'!$A$4:$A$810),NA(),IFERROR(LOOKUP(2,1/(('Match Log'!$D$4:$D$810=$M$24)*('Match Log'!$A$4:$A$810&lt;=$J83)),'Match Log'!$N$4:$N$810),NA()))</f>
        <v>1000.614377932863</v>
      </c>
      <c r="N83">
        <f>IF($J83&gt;MAX('Match Log'!$A$4:$A$810),NA(),IFERROR(LOOKUP(2,1/(('Match Log'!$D$4:$D$810=$N$24)*('Match Log'!$A$4:$A$810&lt;=$J83)),'Match Log'!$N$4:$N$810),NA()))</f>
        <v>970.01323269388354</v>
      </c>
      <c r="O83">
        <f>IF($J83&gt;MAX('Match Log'!$A$4:$A$810),NA(),IFERROR(LOOKUP(2,1/(('Match Log'!$D$4:$D$810=$O$24)*('Match Log'!$A$4:$A$810&lt;=$J83)),'Match Log'!$N$4:$N$810),NA()))</f>
        <v>1127.0712177445546</v>
      </c>
      <c r="P83">
        <f>IF($J83&gt;MAX('Match Log'!$A$4:$A$810),NA(),IFERROR(LOOKUP(2,1/(('Match Log'!$D$4:$D$810=$P$24)*('Match Log'!$A$4:$A$810&lt;=$J83)),'Match Log'!$N$4:$N$810),NA()))</f>
        <v>1012.4533688249381</v>
      </c>
      <c r="Q83">
        <f>IF($J83&gt;MAX('Match Log'!$A$4:$A$810),NA(),IFERROR(LOOKUP(2,1/(('Match Log'!$D$4:$D$810=$Q$24)*('Match Log'!$A$4:$A$810&lt;=$J83)),'Match Log'!$N$4:$N$810),NA()))</f>
        <v>1026.7890747182494</v>
      </c>
      <c r="R83">
        <f>IF($J83&gt;MAX('Match Log'!$A$4:$A$810),NA(),IFERROR(LOOKUP(2,1/(('Match Log'!$D$4:$D$810=$R$24)*('Match Log'!$A$4:$A$810&lt;=$J83)),'Match Log'!$N$4:$N$810),NA()))</f>
        <v>975.56051004124629</v>
      </c>
      <c r="S83">
        <f>IF($J83&gt;MAX('Match Log'!$A$4:$A$810),NA(),IFERROR(LOOKUP(2,1/(('Match Log'!$D$4:$D$810=$S$24)*('Match Log'!$A$4:$A$810&lt;=$J83)),'Match Log'!$N$4:$N$810),NA()))</f>
        <v>1074.191130503986</v>
      </c>
      <c r="T83">
        <f>IF($J83&gt;MAX('Match Log'!$A$4:$A$810),NA(),IFERROR(LOOKUP(2,1/(('Match Log'!$D$4:$D$810=$T$24)*('Match Log'!$A$4:$A$810&lt;=$J83)),'Match Log'!$N$4:$N$810),NA()))</f>
        <v>914.80558848258727</v>
      </c>
      <c r="U83">
        <f>IF($J83&gt;MAX('Match Log'!$A$4:$A$810),NA(),IFERROR(LOOKUP(2,1/(('Match Log'!$D$4:$D$810=$U$24)*('Match Log'!$A$4:$A$810&lt;=$J83)),'Match Log'!$N$4:$N$810),NA()))</f>
        <v>987.03899737278562</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32">
        <f>IFERROR(INDEX('Match Log'!$B$4:$B$810,MATCH(60,'Match Log'!$A$4:$A$810,0)),"")</f>
        <v>46188</v>
      </c>
      <c r="C84" t="str">
        <f>IFERROR(INDEX('Match Log'!$C$4:$C$810,MATCH(60,'Match Log'!$A$4:$A$810,0)),"")</f>
        <v>ShuffleBoard</v>
      </c>
      <c r="D84" t="str">
        <f>IFERROR(INDEX('Match Log'!$G$4:$G$810,MATCH(60,'Match Log'!$A$4:$A$810,0)),"")</f>
        <v>Beau</v>
      </c>
      <c r="E84" s="133">
        <f>IFERROR(INDEX('Match Log'!$F$4:$F$810,MATCH(60,'Match Log'!$A$4:$A$810,0)),"")</f>
        <v>2</v>
      </c>
      <c r="F84">
        <f>IFERROR(SUMIFS('Match Log'!$I$4:$I$810,'Match Log'!$A$4:$A$810,60,'Match Log'!$E$4:$E$810,"Win"),"")</f>
        <v>0.5</v>
      </c>
      <c r="G84">
        <f t="shared" si="19"/>
        <v>0</v>
      </c>
      <c r="H84" t="str">
        <f>IFERROR(IF($E84=2,LOOKUP(2,1/(('Match Log'!$A$4:$A$810=60)*('Match Log'!$E$4:$E$810="Loss")),'Match Log'!$D$4:$D$810),"the field"),"")</f>
        <v>Cody</v>
      </c>
      <c r="I84">
        <f t="shared" si="20"/>
        <v>-6.0000000000000002E-5</v>
      </c>
      <c r="J84">
        <v>60</v>
      </c>
      <c r="K84">
        <f>IF($J84&gt;MAX('Match Log'!$A$4:$A$810),NA(),IFERROR(LOOKUP(2,1/(('Match Log'!$D$4:$D$810=$K$24)*('Match Log'!$A$4:$A$810&lt;=$J84)),'Match Log'!$N$4:$N$810),NA()))</f>
        <v>1032.1203077686844</v>
      </c>
      <c r="L84">
        <f>IF($J84&gt;MAX('Match Log'!$A$4:$A$810),NA(),IFERROR(LOOKUP(2,1/(('Match Log'!$D$4:$D$810=$L$24)*('Match Log'!$A$4:$A$810&lt;=$J84)),'Match Log'!$N$4:$N$810),NA()))</f>
        <v>994.58225352756665</v>
      </c>
      <c r="M84">
        <f>IF($J84&gt;MAX('Match Log'!$A$4:$A$810),NA(),IFERROR(LOOKUP(2,1/(('Match Log'!$D$4:$D$810=$M$24)*('Match Log'!$A$4:$A$810&lt;=$J84)),'Match Log'!$N$4:$N$810),NA()))</f>
        <v>1000.614377932863</v>
      </c>
      <c r="N84">
        <f>IF($J84&gt;MAX('Match Log'!$A$4:$A$810),NA(),IFERROR(LOOKUP(2,1/(('Match Log'!$D$4:$D$810=$N$24)*('Match Log'!$A$4:$A$810&lt;=$J84)),'Match Log'!$N$4:$N$810),NA()))</f>
        <v>970.01323269388354</v>
      </c>
      <c r="O84">
        <f>IF($J84&gt;MAX('Match Log'!$A$4:$A$810),NA(),IFERROR(LOOKUP(2,1/(('Match Log'!$D$4:$D$810=$O$24)*('Match Log'!$A$4:$A$810&lt;=$J84)),'Match Log'!$N$4:$N$810),NA()))</f>
        <v>1127.0712177445546</v>
      </c>
      <c r="P84">
        <f>IF($J84&gt;MAX('Match Log'!$A$4:$A$810),NA(),IFERROR(LOOKUP(2,1/(('Match Log'!$D$4:$D$810=$P$24)*('Match Log'!$A$4:$A$810&lt;=$J84)),'Match Log'!$N$4:$N$810),NA()))</f>
        <v>1012.4533688249381</v>
      </c>
      <c r="Q84">
        <f>IF($J84&gt;MAX('Match Log'!$A$4:$A$810),NA(),IFERROR(LOOKUP(2,1/(('Match Log'!$D$4:$D$810=$Q$24)*('Match Log'!$A$4:$A$810&lt;=$J84)),'Match Log'!$N$4:$N$810),NA()))</f>
        <v>1026.7890747182494</v>
      </c>
      <c r="R84">
        <f>IF($J84&gt;MAX('Match Log'!$A$4:$A$810),NA(),IFERROR(LOOKUP(2,1/(('Match Log'!$D$4:$D$810=$R$24)*('Match Log'!$A$4:$A$810&lt;=$J84)),'Match Log'!$N$4:$N$810),NA()))</f>
        <v>975.56051004124629</v>
      </c>
      <c r="S84">
        <f>IF($J84&gt;MAX('Match Log'!$A$4:$A$810),NA(),IFERROR(LOOKUP(2,1/(('Match Log'!$D$4:$D$810=$S$24)*('Match Log'!$A$4:$A$810&lt;=$J84)),'Match Log'!$N$4:$N$810),NA()))</f>
        <v>1074.191130503986</v>
      </c>
      <c r="T84">
        <f>IF($J84&gt;MAX('Match Log'!$A$4:$A$810),NA(),IFERROR(LOOKUP(2,1/(('Match Log'!$D$4:$D$810=$T$24)*('Match Log'!$A$4:$A$810&lt;=$J84)),'Match Log'!$N$4:$N$810),NA()))</f>
        <v>895.56552887124258</v>
      </c>
      <c r="U84">
        <f>IF($J84&gt;MAX('Match Log'!$A$4:$A$810),NA(),IFERROR(LOOKUP(2,1/(('Match Log'!$D$4:$D$810=$U$24)*('Match Log'!$A$4:$A$810&lt;=$J84)),'Match Log'!$N$4:$N$810),NA()))</f>
        <v>987.03899737278562</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32">
        <f>IFERROR(INDEX('Match Log'!$B$4:$B$810,MATCH(61,'Match Log'!$A$4:$A$810,0)),"")</f>
        <v>46188</v>
      </c>
      <c r="C85" t="str">
        <f>IFERROR(INDEX('Match Log'!$C$4:$C$810,MATCH(61,'Match Log'!$A$4:$A$810,0)),"")</f>
        <v>ShuffleBoard</v>
      </c>
      <c r="D85" t="str">
        <f>IFERROR(INDEX('Match Log'!$G$4:$G$810,MATCH(61,'Match Log'!$A$4:$A$810,0)),"")</f>
        <v>Oscar</v>
      </c>
      <c r="E85" s="133">
        <f>IFERROR(INDEX('Match Log'!$F$4:$F$810,MATCH(61,'Match Log'!$A$4:$A$810,0)),"")</f>
        <v>2</v>
      </c>
      <c r="F85">
        <f>IFERROR(SUMIFS('Match Log'!$I$4:$I$810,'Match Log'!$A$4:$A$810,61,'Match Log'!$E$4:$E$810,"Win"),"")</f>
        <v>0.4285714285714286</v>
      </c>
      <c r="G85">
        <f t="shared" si="19"/>
        <v>0.14285714285714279</v>
      </c>
      <c r="H85" t="str">
        <f>IFERROR(IF($E85=2,LOOKUP(2,1/(('Match Log'!$A$4:$A$810=61)*('Match Log'!$E$4:$E$810="Loss")),'Match Log'!$D$4:$D$810),"the field"),"")</f>
        <v>Shawn</v>
      </c>
      <c r="I85">
        <f t="shared" si="20"/>
        <v>0.14279614285714279</v>
      </c>
      <c r="J85">
        <v>61</v>
      </c>
      <c r="K85">
        <f>IF($J85&gt;MAX('Match Log'!$A$4:$A$810),NA(),IFERROR(LOOKUP(2,1/(('Match Log'!$D$4:$D$810=$K$24)*('Match Log'!$A$4:$A$810&lt;=$J85)),'Match Log'!$N$4:$N$810),NA()))</f>
        <v>1032.1203077686844</v>
      </c>
      <c r="L85">
        <f>IF($J85&gt;MAX('Match Log'!$A$4:$A$810),NA(),IFERROR(LOOKUP(2,1/(('Match Log'!$D$4:$D$810=$L$24)*('Match Log'!$A$4:$A$810&lt;=$J85)),'Match Log'!$N$4:$N$810),NA()))</f>
        <v>994.58225352756665</v>
      </c>
      <c r="M85">
        <f>IF($J85&gt;MAX('Match Log'!$A$4:$A$810),NA(),IFERROR(LOOKUP(2,1/(('Match Log'!$D$4:$D$810=$M$24)*('Match Log'!$A$4:$A$810&lt;=$J85)),'Match Log'!$N$4:$N$810),NA()))</f>
        <v>1000.614377932863</v>
      </c>
      <c r="N85">
        <f>IF($J85&gt;MAX('Match Log'!$A$4:$A$810),NA(),IFERROR(LOOKUP(2,1/(('Match Log'!$D$4:$D$810=$N$24)*('Match Log'!$A$4:$A$810&lt;=$J85)),'Match Log'!$N$4:$N$810),NA()))</f>
        <v>970.01323269388354</v>
      </c>
      <c r="O85">
        <f>IF($J85&gt;MAX('Match Log'!$A$4:$A$810),NA(),IFERROR(LOOKUP(2,1/(('Match Log'!$D$4:$D$810=$O$24)*('Match Log'!$A$4:$A$810&lt;=$J85)),'Match Log'!$N$4:$N$810),NA()))</f>
        <v>1127.0712177445546</v>
      </c>
      <c r="P85">
        <f>IF($J85&gt;MAX('Match Log'!$A$4:$A$810),NA(),IFERROR(LOOKUP(2,1/(('Match Log'!$D$4:$D$810=$P$24)*('Match Log'!$A$4:$A$810&lt;=$J85)),'Match Log'!$N$4:$N$810),NA()))</f>
        <v>988.40086101694862</v>
      </c>
      <c r="Q85">
        <f>IF($J85&gt;MAX('Match Log'!$A$4:$A$810),NA(),IFERROR(LOOKUP(2,1/(('Match Log'!$D$4:$D$810=$Q$24)*('Match Log'!$A$4:$A$810&lt;=$J85)),'Match Log'!$N$4:$N$810),NA()))</f>
        <v>1026.7890747182494</v>
      </c>
      <c r="R85">
        <f>IF($J85&gt;MAX('Match Log'!$A$4:$A$810),NA(),IFERROR(LOOKUP(2,1/(('Match Log'!$D$4:$D$810=$R$24)*('Match Log'!$A$4:$A$810&lt;=$J85)),'Match Log'!$N$4:$N$810),NA()))</f>
        <v>975.56051004124629</v>
      </c>
      <c r="S85">
        <f>IF($J85&gt;MAX('Match Log'!$A$4:$A$810),NA(),IFERROR(LOOKUP(2,1/(('Match Log'!$D$4:$D$810=$S$24)*('Match Log'!$A$4:$A$810&lt;=$J85)),'Match Log'!$N$4:$N$810),NA()))</f>
        <v>1074.191130503986</v>
      </c>
      <c r="T85">
        <f>IF($J85&gt;MAX('Match Log'!$A$4:$A$810),NA(),IFERROR(LOOKUP(2,1/(('Match Log'!$D$4:$D$810=$T$24)*('Match Log'!$A$4:$A$810&lt;=$J85)),'Match Log'!$N$4:$N$810),NA()))</f>
        <v>895.56552887124258</v>
      </c>
      <c r="U85">
        <f>IF($J85&gt;MAX('Match Log'!$A$4:$A$810),NA(),IFERROR(LOOKUP(2,1/(('Match Log'!$D$4:$D$810=$U$24)*('Match Log'!$A$4:$A$810&lt;=$J85)),'Match Log'!$N$4:$N$810),NA()))</f>
        <v>1011.0915051807751</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32">
        <f>IFERROR(INDEX('Match Log'!$B$4:$B$810,MATCH(62,'Match Log'!$A$4:$A$810,0)),"")</f>
        <v>46188</v>
      </c>
      <c r="C86" t="str">
        <f>IFERROR(INDEX('Match Log'!$C$4:$C$810,MATCH(62,'Match Log'!$A$4:$A$810,0)),"")</f>
        <v>ShuffleBoard</v>
      </c>
      <c r="D86" t="str">
        <f>IFERROR(INDEX('Match Log'!$G$4:$G$810,MATCH(62,'Match Log'!$A$4:$A$810,0)),"")</f>
        <v>Dean B</v>
      </c>
      <c r="E86" s="133">
        <f>IFERROR(INDEX('Match Log'!$F$4:$F$810,MATCH(62,'Match Log'!$A$4:$A$810,0)),"")</f>
        <v>2</v>
      </c>
      <c r="F86">
        <f>IFERROR(SUMIFS('Match Log'!$I$4:$I$810,'Match Log'!$A$4:$A$810,62,'Match Log'!$E$4:$E$810,"Win"),"")</f>
        <v>0.5</v>
      </c>
      <c r="G86">
        <f t="shared" si="19"/>
        <v>0</v>
      </c>
      <c r="H86" t="str">
        <f>IFERROR(IF($E86=2,LOOKUP(2,1/(('Match Log'!$A$4:$A$810=62)*('Match Log'!$E$4:$E$810="Loss")),'Match Log'!$D$4:$D$810),"the field"),"")</f>
        <v>David</v>
      </c>
      <c r="I86">
        <f t="shared" si="20"/>
        <v>-6.2000000000000003E-5</v>
      </c>
      <c r="J86">
        <v>62</v>
      </c>
      <c r="K86">
        <f>IF($J86&gt;MAX('Match Log'!$A$4:$A$810),NA(),IFERROR(LOOKUP(2,1/(('Match Log'!$D$4:$D$810=$K$24)*('Match Log'!$A$4:$A$810&lt;=$J86)),'Match Log'!$N$4:$N$810),NA()))</f>
        <v>1032.1203077686844</v>
      </c>
      <c r="L86">
        <f>IF($J86&gt;MAX('Match Log'!$A$4:$A$810),NA(),IFERROR(LOOKUP(2,1/(('Match Log'!$D$4:$D$810=$L$24)*('Match Log'!$A$4:$A$810&lt;=$J86)),'Match Log'!$N$4:$N$810),NA()))</f>
        <v>994.58225352756665</v>
      </c>
      <c r="M86">
        <f>IF($J86&gt;MAX('Match Log'!$A$4:$A$810),NA(),IFERROR(LOOKUP(2,1/(('Match Log'!$D$4:$D$810=$M$24)*('Match Log'!$A$4:$A$810&lt;=$J86)),'Match Log'!$N$4:$N$810),NA()))</f>
        <v>1000.614377932863</v>
      </c>
      <c r="N86">
        <f>IF($J86&gt;MAX('Match Log'!$A$4:$A$810),NA(),IFERROR(LOOKUP(2,1/(('Match Log'!$D$4:$D$810=$N$24)*('Match Log'!$A$4:$A$810&lt;=$J86)),'Match Log'!$N$4:$N$810),NA()))</f>
        <v>951.93002730401292</v>
      </c>
      <c r="O86">
        <f>IF($J86&gt;MAX('Match Log'!$A$4:$A$810),NA(),IFERROR(LOOKUP(2,1/(('Match Log'!$D$4:$D$810=$O$24)*('Match Log'!$A$4:$A$810&lt;=$J86)),'Match Log'!$N$4:$N$810),NA()))</f>
        <v>1127.0712177445546</v>
      </c>
      <c r="P86">
        <f>IF($J86&gt;MAX('Match Log'!$A$4:$A$810),NA(),IFERROR(LOOKUP(2,1/(('Match Log'!$D$4:$D$810=$P$24)*('Match Log'!$A$4:$A$810&lt;=$J86)),'Match Log'!$N$4:$N$810),NA()))</f>
        <v>988.40086101694862</v>
      </c>
      <c r="Q86">
        <f>IF($J86&gt;MAX('Match Log'!$A$4:$A$810),NA(),IFERROR(LOOKUP(2,1/(('Match Log'!$D$4:$D$810=$Q$24)*('Match Log'!$A$4:$A$810&lt;=$J86)),'Match Log'!$N$4:$N$810),NA()))</f>
        <v>1026.7890747182494</v>
      </c>
      <c r="R86">
        <f>IF($J86&gt;MAX('Match Log'!$A$4:$A$810),NA(),IFERROR(LOOKUP(2,1/(('Match Log'!$D$4:$D$810=$R$24)*('Match Log'!$A$4:$A$810&lt;=$J86)),'Match Log'!$N$4:$N$810),NA()))</f>
        <v>975.56051004124629</v>
      </c>
      <c r="S86">
        <f>IF($J86&gt;MAX('Match Log'!$A$4:$A$810),NA(),IFERROR(LOOKUP(2,1/(('Match Log'!$D$4:$D$810=$S$24)*('Match Log'!$A$4:$A$810&lt;=$J86)),'Match Log'!$N$4:$N$810),NA()))</f>
        <v>1092.2743358938565</v>
      </c>
      <c r="T86">
        <f>IF($J86&gt;MAX('Match Log'!$A$4:$A$810),NA(),IFERROR(LOOKUP(2,1/(('Match Log'!$D$4:$D$810=$T$24)*('Match Log'!$A$4:$A$810&lt;=$J86)),'Match Log'!$N$4:$N$810),NA()))</f>
        <v>895.56552887124258</v>
      </c>
      <c r="U86">
        <f>IF($J86&gt;MAX('Match Log'!$A$4:$A$810),NA(),IFERROR(LOOKUP(2,1/(('Match Log'!$D$4:$D$810=$U$24)*('Match Log'!$A$4:$A$810&lt;=$J86)),'Match Log'!$N$4:$N$810),NA()))</f>
        <v>1011.0915051807751</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32">
        <f>IFERROR(INDEX('Match Log'!$B$4:$B$810,MATCH(63,'Match Log'!$A$4:$A$810,0)),"")</f>
        <v>46188</v>
      </c>
      <c r="C87" t="str">
        <f>IFERROR(INDEX('Match Log'!$C$4:$C$810,MATCH(63,'Match Log'!$A$4:$A$810,0)),"")</f>
        <v>ShuffleBoard</v>
      </c>
      <c r="D87" t="str">
        <f>IFERROR(INDEX('Match Log'!$G$4:$G$810,MATCH(63,'Match Log'!$A$4:$A$810,0)),"")</f>
        <v>Simon</v>
      </c>
      <c r="E87" s="133">
        <f>IFERROR(INDEX('Match Log'!$F$4:$F$810,MATCH(63,'Match Log'!$A$4:$A$810,0)),"")</f>
        <v>2</v>
      </c>
      <c r="F87">
        <f>IFERROR(SUMIFS('Match Log'!$I$4:$I$810,'Match Log'!$A$4:$A$810,63,'Match Log'!$E$4:$E$810,"Win"),"")</f>
        <v>0.5</v>
      </c>
      <c r="G87">
        <f t="shared" si="19"/>
        <v>0</v>
      </c>
      <c r="H87" t="str">
        <f>IFERROR(IF($E87=2,LOOKUP(2,1/(('Match Log'!$A$4:$A$810=63)*('Match Log'!$E$4:$E$810="Loss")),'Match Log'!$D$4:$D$810),"the field"),"")</f>
        <v>Oscar</v>
      </c>
      <c r="I87">
        <f t="shared" si="20"/>
        <v>-6.3E-5</v>
      </c>
      <c r="J87">
        <v>63</v>
      </c>
      <c r="K87">
        <f>IF($J87&gt;MAX('Match Log'!$A$4:$A$810),NA(),IFERROR(LOOKUP(2,1/(('Match Log'!$D$4:$D$810=$K$24)*('Match Log'!$A$4:$A$810&lt;=$J87)),'Match Log'!$N$4:$N$810),NA()))</f>
        <v>1032.1203077686844</v>
      </c>
      <c r="L87">
        <f>IF($J87&gt;MAX('Match Log'!$A$4:$A$810),NA(),IFERROR(LOOKUP(2,1/(('Match Log'!$D$4:$D$810=$L$24)*('Match Log'!$A$4:$A$810&lt;=$J87)),'Match Log'!$N$4:$N$810),NA()))</f>
        <v>994.58225352756665</v>
      </c>
      <c r="M87">
        <f>IF($J87&gt;MAX('Match Log'!$A$4:$A$810),NA(),IFERROR(LOOKUP(2,1/(('Match Log'!$D$4:$D$810=$M$24)*('Match Log'!$A$4:$A$810&lt;=$J87)),'Match Log'!$N$4:$N$810),NA()))</f>
        <v>1000.614377932863</v>
      </c>
      <c r="N87">
        <f>IF($J87&gt;MAX('Match Log'!$A$4:$A$810),NA(),IFERROR(LOOKUP(2,1/(('Match Log'!$D$4:$D$810=$N$24)*('Match Log'!$A$4:$A$810&lt;=$J87)),'Match Log'!$N$4:$N$810),NA()))</f>
        <v>951.93002730401292</v>
      </c>
      <c r="O87">
        <f>IF($J87&gt;MAX('Match Log'!$A$4:$A$810),NA(),IFERROR(LOOKUP(2,1/(('Match Log'!$D$4:$D$810=$O$24)*('Match Log'!$A$4:$A$810&lt;=$J87)),'Match Log'!$N$4:$N$810),NA()))</f>
        <v>1127.0712177445546</v>
      </c>
      <c r="P87">
        <f>IF($J87&gt;MAX('Match Log'!$A$4:$A$810),NA(),IFERROR(LOOKUP(2,1/(('Match Log'!$D$4:$D$810=$P$24)*('Match Log'!$A$4:$A$810&lt;=$J87)),'Match Log'!$N$4:$N$810),NA()))</f>
        <v>988.40086101694862</v>
      </c>
      <c r="Q87">
        <f>IF($J87&gt;MAX('Match Log'!$A$4:$A$810),NA(),IFERROR(LOOKUP(2,1/(('Match Log'!$D$4:$D$810=$Q$24)*('Match Log'!$A$4:$A$810&lt;=$J87)),'Match Log'!$N$4:$N$810),NA()))</f>
        <v>1048.1982297428196</v>
      </c>
      <c r="R87">
        <f>IF($J87&gt;MAX('Match Log'!$A$4:$A$810),NA(),IFERROR(LOOKUP(2,1/(('Match Log'!$D$4:$D$810=$R$24)*('Match Log'!$A$4:$A$810&lt;=$J87)),'Match Log'!$N$4:$N$810),NA()))</f>
        <v>975.56051004124629</v>
      </c>
      <c r="S87">
        <f>IF($J87&gt;MAX('Match Log'!$A$4:$A$810),NA(),IFERROR(LOOKUP(2,1/(('Match Log'!$D$4:$D$810=$S$24)*('Match Log'!$A$4:$A$810&lt;=$J87)),'Match Log'!$N$4:$N$810),NA()))</f>
        <v>1092.2743358938565</v>
      </c>
      <c r="T87">
        <f>IF($J87&gt;MAX('Match Log'!$A$4:$A$810),NA(),IFERROR(LOOKUP(2,1/(('Match Log'!$D$4:$D$810=$T$24)*('Match Log'!$A$4:$A$810&lt;=$J87)),'Match Log'!$N$4:$N$810),NA()))</f>
        <v>895.56552887124258</v>
      </c>
      <c r="U87">
        <f>IF($J87&gt;MAX('Match Log'!$A$4:$A$810),NA(),IFERROR(LOOKUP(2,1/(('Match Log'!$D$4:$D$810=$U$24)*('Match Log'!$A$4:$A$810&lt;=$J87)),'Match Log'!$N$4:$N$810),NA()))</f>
        <v>989.68235015620496</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32">
        <f>IFERROR(INDEX('Match Log'!$B$4:$B$810,MATCH(64,'Match Log'!$A$4:$A$810,0)),"")</f>
        <v>46188</v>
      </c>
      <c r="C88" t="str">
        <f>IFERROR(INDEX('Match Log'!$C$4:$C$810,MATCH(64,'Match Log'!$A$4:$A$810,0)),"")</f>
        <v>ShuffleBoard</v>
      </c>
      <c r="D88" t="str">
        <f>IFERROR(INDEX('Match Log'!$G$4:$G$810,MATCH(64,'Match Log'!$A$4:$A$810,0)),"")</f>
        <v>Chase</v>
      </c>
      <c r="E88" s="133">
        <f>IFERROR(INDEX('Match Log'!$F$4:$F$810,MATCH(64,'Match Log'!$A$4:$A$810,0)),"")</f>
        <v>2</v>
      </c>
      <c r="F88">
        <f>IFERROR(SUMIFS('Match Log'!$I$4:$I$810,'Match Log'!$A$4:$A$810,64,'Match Log'!$E$4:$E$810,"Win"),"")</f>
        <v>0.60000000000000009</v>
      </c>
      <c r="G88">
        <f t="shared" si="19"/>
        <v>-0.20000000000000018</v>
      </c>
      <c r="H88" t="str">
        <f>IFERROR(IF($E88=2,LOOKUP(2,1/(('Match Log'!$A$4:$A$810=64)*('Match Log'!$E$4:$E$810="Loss")),'Match Log'!$D$4:$D$810),"the field"),"")</f>
        <v>Cody</v>
      </c>
      <c r="I88">
        <f t="shared" si="20"/>
        <v>-0.20006400000000019</v>
      </c>
      <c r="J88">
        <v>64</v>
      </c>
      <c r="K88">
        <f>IF($J88&gt;MAX('Match Log'!$A$4:$A$810),NA(),IFERROR(LOOKUP(2,1/(('Match Log'!$D$4:$D$810=$K$24)*('Match Log'!$A$4:$A$810&lt;=$J88)),'Match Log'!$N$4:$N$810),NA()))</f>
        <v>1032.1203077686844</v>
      </c>
      <c r="L88">
        <f>IF($J88&gt;MAX('Match Log'!$A$4:$A$810),NA(),IFERROR(LOOKUP(2,1/(('Match Log'!$D$4:$D$810=$L$24)*('Match Log'!$A$4:$A$810&lt;=$J88)),'Match Log'!$N$4:$N$810),NA()))</f>
        <v>994.58225352756665</v>
      </c>
      <c r="M88">
        <f>IF($J88&gt;MAX('Match Log'!$A$4:$A$810),NA(),IFERROR(LOOKUP(2,1/(('Match Log'!$D$4:$D$810=$M$24)*('Match Log'!$A$4:$A$810&lt;=$J88)),'Match Log'!$N$4:$N$810),NA()))</f>
        <v>1017.3466608720325</v>
      </c>
      <c r="N88">
        <f>IF($J88&gt;MAX('Match Log'!$A$4:$A$810),NA(),IFERROR(LOOKUP(2,1/(('Match Log'!$D$4:$D$810=$N$24)*('Match Log'!$A$4:$A$810&lt;=$J88)),'Match Log'!$N$4:$N$810),NA()))</f>
        <v>951.93002730401292</v>
      </c>
      <c r="O88">
        <f>IF($J88&gt;MAX('Match Log'!$A$4:$A$810),NA(),IFERROR(LOOKUP(2,1/(('Match Log'!$D$4:$D$810=$O$24)*('Match Log'!$A$4:$A$810&lt;=$J88)),'Match Log'!$N$4:$N$810),NA()))</f>
        <v>1127.0712177445546</v>
      </c>
      <c r="P88">
        <f>IF($J88&gt;MAX('Match Log'!$A$4:$A$810),NA(),IFERROR(LOOKUP(2,1/(('Match Log'!$D$4:$D$810=$P$24)*('Match Log'!$A$4:$A$810&lt;=$J88)),'Match Log'!$N$4:$N$810),NA()))</f>
        <v>988.40086101694862</v>
      </c>
      <c r="Q88">
        <f>IF($J88&gt;MAX('Match Log'!$A$4:$A$810),NA(),IFERROR(LOOKUP(2,1/(('Match Log'!$D$4:$D$810=$Q$24)*('Match Log'!$A$4:$A$810&lt;=$J88)),'Match Log'!$N$4:$N$810),NA()))</f>
        <v>1048.1982297428196</v>
      </c>
      <c r="R88">
        <f>IF($J88&gt;MAX('Match Log'!$A$4:$A$810),NA(),IFERROR(LOOKUP(2,1/(('Match Log'!$D$4:$D$810=$R$24)*('Match Log'!$A$4:$A$810&lt;=$J88)),'Match Log'!$N$4:$N$810),NA()))</f>
        <v>975.56051004124629</v>
      </c>
      <c r="S88">
        <f>IF($J88&gt;MAX('Match Log'!$A$4:$A$810),NA(),IFERROR(LOOKUP(2,1/(('Match Log'!$D$4:$D$810=$S$24)*('Match Log'!$A$4:$A$810&lt;=$J88)),'Match Log'!$N$4:$N$810),NA()))</f>
        <v>1092.2743358938565</v>
      </c>
      <c r="T88">
        <f>IF($J88&gt;MAX('Match Log'!$A$4:$A$810),NA(),IFERROR(LOOKUP(2,1/(('Match Log'!$D$4:$D$810=$T$24)*('Match Log'!$A$4:$A$810&lt;=$J88)),'Match Log'!$N$4:$N$810),NA()))</f>
        <v>878.83324593207305</v>
      </c>
      <c r="U88">
        <f>IF($J88&gt;MAX('Match Log'!$A$4:$A$810),NA(),IFERROR(LOOKUP(2,1/(('Match Log'!$D$4:$D$810=$U$24)*('Match Log'!$A$4:$A$810&lt;=$J88)),'Match Log'!$N$4:$N$810),NA()))</f>
        <v>989.68235015620496</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32">
        <f>IFERROR(INDEX('Match Log'!$B$4:$B$810,MATCH(65,'Match Log'!$A$4:$A$810,0)),"")</f>
        <v>46188</v>
      </c>
      <c r="C89" t="str">
        <f>IFERROR(INDEX('Match Log'!$C$4:$C$810,MATCH(65,'Match Log'!$A$4:$A$810,0)),"")</f>
        <v>ShuffleBoard</v>
      </c>
      <c r="D89" t="str">
        <f>IFERROR(INDEX('Match Log'!$G$4:$G$810,MATCH(65,'Match Log'!$A$4:$A$810,0)),"")</f>
        <v>Cody</v>
      </c>
      <c r="E89" s="133">
        <f>IFERROR(INDEX('Match Log'!$F$4:$F$810,MATCH(65,'Match Log'!$A$4:$A$810,0)),"")</f>
        <v>2</v>
      </c>
      <c r="F89">
        <f>IFERROR(SUMIFS('Match Log'!$I$4:$I$810,'Match Log'!$A$4:$A$810,65,'Match Log'!$E$4:$E$810,"Win"),"")</f>
        <v>0.33333333333333331</v>
      </c>
      <c r="G89">
        <f t="shared" ref="G89:G120" si="22">IF($D89="","",1-$F89*$E89)</f>
        <v>0.33333333333333337</v>
      </c>
      <c r="H89" t="str">
        <f>IFERROR(IF($E89=2,LOOKUP(2,1/(('Match Log'!$A$4:$A$810=65)*('Match Log'!$E$4:$E$810="Loss")),'Match Log'!$D$4:$D$810),"the field"),"")</f>
        <v>Oscar</v>
      </c>
      <c r="I89">
        <f t="shared" ref="I89:I120" si="23">IF($G89="","",$G89-$A89/1000000)</f>
        <v>0.33326833333333339</v>
      </c>
      <c r="J89">
        <v>65</v>
      </c>
      <c r="K89">
        <f>IF($J89&gt;MAX('Match Log'!$A$4:$A$810),NA(),IFERROR(LOOKUP(2,1/(('Match Log'!$D$4:$D$810=$K$24)*('Match Log'!$A$4:$A$810&lt;=$J89)),'Match Log'!$N$4:$N$810),NA()))</f>
        <v>1032.1203077686844</v>
      </c>
      <c r="L89">
        <f>IF($J89&gt;MAX('Match Log'!$A$4:$A$810),NA(),IFERROR(LOOKUP(2,1/(('Match Log'!$D$4:$D$810=$L$24)*('Match Log'!$A$4:$A$810&lt;=$J89)),'Match Log'!$N$4:$N$810),NA()))</f>
        <v>994.58225352756665</v>
      </c>
      <c r="M89">
        <f>IF($J89&gt;MAX('Match Log'!$A$4:$A$810),NA(),IFERROR(LOOKUP(2,1/(('Match Log'!$D$4:$D$810=$M$24)*('Match Log'!$A$4:$A$810&lt;=$J89)),'Match Log'!$N$4:$N$810),NA()))</f>
        <v>1017.3466608720325</v>
      </c>
      <c r="N89">
        <f>IF($J89&gt;MAX('Match Log'!$A$4:$A$810),NA(),IFERROR(LOOKUP(2,1/(('Match Log'!$D$4:$D$810=$N$24)*('Match Log'!$A$4:$A$810&lt;=$J89)),'Match Log'!$N$4:$N$810),NA()))</f>
        <v>951.93002730401292</v>
      </c>
      <c r="O89">
        <f>IF($J89&gt;MAX('Match Log'!$A$4:$A$810),NA(),IFERROR(LOOKUP(2,1/(('Match Log'!$D$4:$D$810=$O$24)*('Match Log'!$A$4:$A$810&lt;=$J89)),'Match Log'!$N$4:$N$810),NA()))</f>
        <v>1127.0712177445546</v>
      </c>
      <c r="P89">
        <f>IF($J89&gt;MAX('Match Log'!$A$4:$A$810),NA(),IFERROR(LOOKUP(2,1/(('Match Log'!$D$4:$D$810=$P$24)*('Match Log'!$A$4:$A$810&lt;=$J89)),'Match Log'!$N$4:$N$810),NA()))</f>
        <v>988.40086101694862</v>
      </c>
      <c r="Q89">
        <f>IF($J89&gt;MAX('Match Log'!$A$4:$A$810),NA(),IFERROR(LOOKUP(2,1/(('Match Log'!$D$4:$D$810=$Q$24)*('Match Log'!$A$4:$A$810&lt;=$J89)),'Match Log'!$N$4:$N$810),NA()))</f>
        <v>1048.1982297428196</v>
      </c>
      <c r="R89">
        <f>IF($J89&gt;MAX('Match Log'!$A$4:$A$810),NA(),IFERROR(LOOKUP(2,1/(('Match Log'!$D$4:$D$810=$R$24)*('Match Log'!$A$4:$A$810&lt;=$J89)),'Match Log'!$N$4:$N$810),NA()))</f>
        <v>975.56051004124629</v>
      </c>
      <c r="S89">
        <f>IF($J89&gt;MAX('Match Log'!$A$4:$A$810),NA(),IFERROR(LOOKUP(2,1/(('Match Log'!$D$4:$D$810=$S$24)*('Match Log'!$A$4:$A$810&lt;=$J89)),'Match Log'!$N$4:$N$810),NA()))</f>
        <v>1092.2743358938565</v>
      </c>
      <c r="T89">
        <f>IF($J89&gt;MAX('Match Log'!$A$4:$A$810),NA(),IFERROR(LOOKUP(2,1/(('Match Log'!$D$4:$D$810=$T$24)*('Match Log'!$A$4:$A$810&lt;=$J89)),'Match Log'!$N$4:$N$810),NA()))</f>
        <v>906.81432623747514</v>
      </c>
      <c r="U89">
        <f>IF($J89&gt;MAX('Match Log'!$A$4:$A$810),NA(),IFERROR(LOOKUP(2,1/(('Match Log'!$D$4:$D$810=$U$24)*('Match Log'!$A$4:$A$810&lt;=$J89)),'Match Log'!$N$4:$N$810),NA()))</f>
        <v>961.70126985080287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32">
        <f>IFERROR(INDEX('Match Log'!$B$4:$B$810,MATCH(66,'Match Log'!$A$4:$A$810,0)),"")</f>
        <v>46188</v>
      </c>
      <c r="C90" t="str">
        <f>IFERROR(INDEX('Match Log'!$C$4:$C$810,MATCH(66,'Match Log'!$A$4:$A$810,0)),"")</f>
        <v>ShuffleBoard</v>
      </c>
      <c r="D90" t="str">
        <f>IFERROR(INDEX('Match Log'!$G$4:$G$810,MATCH(66,'Match Log'!$A$4:$A$810,0)),"")</f>
        <v>Simon</v>
      </c>
      <c r="E90" s="133">
        <f>IFERROR(INDEX('Match Log'!$F$4:$F$810,MATCH(66,'Match Log'!$A$4:$A$810,0)),"")</f>
        <v>2</v>
      </c>
      <c r="F90">
        <f>IFERROR(SUMIFS('Match Log'!$I$4:$I$810,'Match Log'!$A$4:$A$810,66,'Match Log'!$E$4:$E$810,"Win"),"")</f>
        <v>0.65217391304347827</v>
      </c>
      <c r="G90">
        <f t="shared" si="22"/>
        <v>-0.30434782608695654</v>
      </c>
      <c r="H90" t="str">
        <f>IFERROR(IF($E90=2,LOOKUP(2,1/(('Match Log'!$A$4:$A$810=66)*('Match Log'!$E$4:$E$810="Loss")),'Match Log'!$D$4:$D$810),"the field"),"")</f>
        <v>Oscar</v>
      </c>
      <c r="I90">
        <f t="shared" si="23"/>
        <v>-0.30441382608695655</v>
      </c>
      <c r="J90">
        <v>66</v>
      </c>
      <c r="K90">
        <f>IF($J90&gt;MAX('Match Log'!$A$4:$A$810),NA(),IFERROR(LOOKUP(2,1/(('Match Log'!$D$4:$D$810=$K$24)*('Match Log'!$A$4:$A$810&lt;=$J90)),'Match Log'!$N$4:$N$810),NA()))</f>
        <v>1032.1203077686844</v>
      </c>
      <c r="L90">
        <f>IF($J90&gt;MAX('Match Log'!$A$4:$A$810),NA(),IFERROR(LOOKUP(2,1/(('Match Log'!$D$4:$D$810=$L$24)*('Match Log'!$A$4:$A$810&lt;=$J90)),'Match Log'!$N$4:$N$810),NA()))</f>
        <v>994.58225352756665</v>
      </c>
      <c r="M90">
        <f>IF($J90&gt;MAX('Match Log'!$A$4:$A$810),NA(),IFERROR(LOOKUP(2,1/(('Match Log'!$D$4:$D$810=$M$24)*('Match Log'!$A$4:$A$810&lt;=$J90)),'Match Log'!$N$4:$N$810),NA()))</f>
        <v>1017.3466608720325</v>
      </c>
      <c r="N90">
        <f>IF($J90&gt;MAX('Match Log'!$A$4:$A$810),NA(),IFERROR(LOOKUP(2,1/(('Match Log'!$D$4:$D$810=$N$24)*('Match Log'!$A$4:$A$810&lt;=$J90)),'Match Log'!$N$4:$N$810),NA()))</f>
        <v>951.93002730401292</v>
      </c>
      <c r="O90">
        <f>IF($J90&gt;MAX('Match Log'!$A$4:$A$810),NA(),IFERROR(LOOKUP(2,1/(('Match Log'!$D$4:$D$810=$O$24)*('Match Log'!$A$4:$A$810&lt;=$J90)),'Match Log'!$N$4:$N$810),NA()))</f>
        <v>1127.0712177445546</v>
      </c>
      <c r="P90">
        <f>IF($J90&gt;MAX('Match Log'!$A$4:$A$810),NA(),IFERROR(LOOKUP(2,1/(('Match Log'!$D$4:$D$810=$P$24)*('Match Log'!$A$4:$A$810&lt;=$J90)),'Match Log'!$N$4:$N$810),NA()))</f>
        <v>988.40086101694862</v>
      </c>
      <c r="Q90">
        <f>IF($J90&gt;MAX('Match Log'!$A$4:$A$810),NA(),IFERROR(LOOKUP(2,1/(('Match Log'!$D$4:$D$810=$Q$24)*('Match Log'!$A$4:$A$810&lt;=$J90)),'Match Log'!$N$4:$N$810),NA()))</f>
        <v>1065.0318791711331</v>
      </c>
      <c r="R90">
        <f>IF($J90&gt;MAX('Match Log'!$A$4:$A$810),NA(),IFERROR(LOOKUP(2,1/(('Match Log'!$D$4:$D$810=$R$24)*('Match Log'!$A$4:$A$810&lt;=$J90)),'Match Log'!$N$4:$N$810),NA()))</f>
        <v>975.56051004124629</v>
      </c>
      <c r="S90">
        <f>IF($J90&gt;MAX('Match Log'!$A$4:$A$810),NA(),IFERROR(LOOKUP(2,1/(('Match Log'!$D$4:$D$810=$S$24)*('Match Log'!$A$4:$A$810&lt;=$J90)),'Match Log'!$N$4:$N$810),NA()))</f>
        <v>1092.2743358938565</v>
      </c>
      <c r="T90">
        <f>IF($J90&gt;MAX('Match Log'!$A$4:$A$810),NA(),IFERROR(LOOKUP(2,1/(('Match Log'!$D$4:$D$810=$T$24)*('Match Log'!$A$4:$A$810&lt;=$J90)),'Match Log'!$N$4:$N$810),NA()))</f>
        <v>906.81432623747514</v>
      </c>
      <c r="U90">
        <f>IF($J90&gt;MAX('Match Log'!$A$4:$A$810),NA(),IFERROR(LOOKUP(2,1/(('Match Log'!$D$4:$D$810=$U$24)*('Match Log'!$A$4:$A$810&lt;=$J90)),'Match Log'!$N$4:$N$810),NA()))</f>
        <v>944.86762042248938</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32">
        <f>IFERROR(INDEX('Match Log'!$B$4:$B$810,MATCH(67,'Match Log'!$A$4:$A$810,0)),"")</f>
        <v>46188</v>
      </c>
      <c r="C91" t="str">
        <f>IFERROR(INDEX('Match Log'!$C$4:$C$810,MATCH(67,'Match Log'!$A$4:$A$810,0)),"")</f>
        <v>ShuffleBoard</v>
      </c>
      <c r="D91" t="str">
        <f>IFERROR(INDEX('Match Log'!$G$4:$G$810,MATCH(67,'Match Log'!$A$4:$A$810,0)),"")</f>
        <v>Cody</v>
      </c>
      <c r="E91" s="133">
        <f>IFERROR(INDEX('Match Log'!$F$4:$F$810,MATCH(67,'Match Log'!$A$4:$A$810,0)),"")</f>
        <v>2</v>
      </c>
      <c r="F91">
        <f>IFERROR(SUMIFS('Match Log'!$I$4:$I$810,'Match Log'!$A$4:$A$810,67,'Match Log'!$E$4:$E$810,"Win"),"")</f>
        <v>0.54545454545454541</v>
      </c>
      <c r="G91">
        <f t="shared" si="22"/>
        <v>-9.0909090909090828E-2</v>
      </c>
      <c r="H91" t="str">
        <f>IFERROR(IF($E91=2,LOOKUP(2,1/(('Match Log'!$A$4:$A$810=67)*('Match Log'!$E$4:$E$810="Loss")),'Match Log'!$D$4:$D$810),"the field"),"")</f>
        <v>Oscar</v>
      </c>
      <c r="I91">
        <f t="shared" si="23"/>
        <v>-9.0976090909090826E-2</v>
      </c>
      <c r="J91">
        <v>67</v>
      </c>
      <c r="K91">
        <f>IF($J91&gt;MAX('Match Log'!$A$4:$A$810),NA(),IFERROR(LOOKUP(2,1/(('Match Log'!$D$4:$D$810=$K$24)*('Match Log'!$A$4:$A$810&lt;=$J91)),'Match Log'!$N$4:$N$810),NA()))</f>
        <v>1032.1203077686844</v>
      </c>
      <c r="L91">
        <f>IF($J91&gt;MAX('Match Log'!$A$4:$A$810),NA(),IFERROR(LOOKUP(2,1/(('Match Log'!$D$4:$D$810=$L$24)*('Match Log'!$A$4:$A$810&lt;=$J91)),'Match Log'!$N$4:$N$810),NA()))</f>
        <v>994.58225352756665</v>
      </c>
      <c r="M91">
        <f>IF($J91&gt;MAX('Match Log'!$A$4:$A$810),NA(),IFERROR(LOOKUP(2,1/(('Match Log'!$D$4:$D$810=$M$24)*('Match Log'!$A$4:$A$810&lt;=$J91)),'Match Log'!$N$4:$N$810),NA()))</f>
        <v>1017.3466608720325</v>
      </c>
      <c r="N91">
        <f>IF($J91&gt;MAX('Match Log'!$A$4:$A$810),NA(),IFERROR(LOOKUP(2,1/(('Match Log'!$D$4:$D$810=$N$24)*('Match Log'!$A$4:$A$810&lt;=$J91)),'Match Log'!$N$4:$N$810),NA()))</f>
        <v>951.93002730401292</v>
      </c>
      <c r="O91">
        <f>IF($J91&gt;MAX('Match Log'!$A$4:$A$810),NA(),IFERROR(LOOKUP(2,1/(('Match Log'!$D$4:$D$810=$O$24)*('Match Log'!$A$4:$A$810&lt;=$J91)),'Match Log'!$N$4:$N$810),NA()))</f>
        <v>1127.0712177445546</v>
      </c>
      <c r="P91">
        <f>IF($J91&gt;MAX('Match Log'!$A$4:$A$810),NA(),IFERROR(LOOKUP(2,1/(('Match Log'!$D$4:$D$810=$P$24)*('Match Log'!$A$4:$A$810&lt;=$J91)),'Match Log'!$N$4:$N$810),NA()))</f>
        <v>988.40086101694862</v>
      </c>
      <c r="Q91">
        <f>IF($J91&gt;MAX('Match Log'!$A$4:$A$810),NA(),IFERROR(LOOKUP(2,1/(('Match Log'!$D$4:$D$810=$Q$24)*('Match Log'!$A$4:$A$810&lt;=$J91)),'Match Log'!$N$4:$N$810),NA()))</f>
        <v>1065.0318791711331</v>
      </c>
      <c r="R91">
        <f>IF($J91&gt;MAX('Match Log'!$A$4:$A$810),NA(),IFERROR(LOOKUP(2,1/(('Match Log'!$D$4:$D$810=$R$24)*('Match Log'!$A$4:$A$810&lt;=$J91)),'Match Log'!$N$4:$N$810),NA()))</f>
        <v>975.56051004124629</v>
      </c>
      <c r="S91">
        <f>IF($J91&gt;MAX('Match Log'!$A$4:$A$810),NA(),IFERROR(LOOKUP(2,1/(('Match Log'!$D$4:$D$810=$S$24)*('Match Log'!$A$4:$A$810&lt;=$J91)),'Match Log'!$N$4:$N$810),NA()))</f>
        <v>1092.2743358938565</v>
      </c>
      <c r="T91">
        <f>IF($J91&gt;MAX('Match Log'!$A$4:$A$810),NA(),IFERROR(LOOKUP(2,1/(('Match Log'!$D$4:$D$810=$T$24)*('Match Log'!$A$4:$A$810&lt;=$J91)),'Match Log'!$N$4:$N$810),NA()))</f>
        <v>929.15161036060704</v>
      </c>
      <c r="U91">
        <f>IF($J91&gt;MAX('Match Log'!$A$4:$A$810),NA(),IFERROR(LOOKUP(2,1/(('Match Log'!$D$4:$D$810=$U$24)*('Match Log'!$A$4:$A$810&lt;=$J91)),'Match Log'!$N$4:$N$810),NA()))</f>
        <v>922.53033629935749</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32">
        <f>IFERROR(INDEX('Match Log'!$B$4:$B$810,MATCH(68,'Match Log'!$A$4:$A$810,0)),"")</f>
        <v>46188</v>
      </c>
      <c r="C92" t="str">
        <f>IFERROR(INDEX('Match Log'!$C$4:$C$810,MATCH(68,'Match Log'!$A$4:$A$810,0)),"")</f>
        <v>ShuffleBoard</v>
      </c>
      <c r="D92" t="str">
        <f>IFERROR(INDEX('Match Log'!$G$4:$G$810,MATCH(68,'Match Log'!$A$4:$A$810,0)),"")</f>
        <v>Simon</v>
      </c>
      <c r="E92" s="133">
        <f>IFERROR(INDEX('Match Log'!$F$4:$F$810,MATCH(68,'Match Log'!$A$4:$A$810,0)),"")</f>
        <v>2</v>
      </c>
      <c r="F92">
        <f>IFERROR(SUMIFS('Match Log'!$I$4:$I$810,'Match Log'!$A$4:$A$810,68,'Match Log'!$E$4:$E$810,"Win"),"")</f>
        <v>0.61538461538461542</v>
      </c>
      <c r="G92">
        <f t="shared" si="22"/>
        <v>-0.23076923076923084</v>
      </c>
      <c r="H92" t="str">
        <f>IFERROR(IF($E92=2,LOOKUP(2,1/(('Match Log'!$A$4:$A$810=68)*('Match Log'!$E$4:$E$810="Loss")),'Match Log'!$D$4:$D$810),"the field"),"")</f>
        <v>Cody</v>
      </c>
      <c r="I92">
        <f t="shared" si="23"/>
        <v>-0.23083723076923085</v>
      </c>
      <c r="J92">
        <v>68</v>
      </c>
      <c r="K92">
        <f>IF($J92&gt;MAX('Match Log'!$A$4:$A$810),NA(),IFERROR(LOOKUP(2,1/(('Match Log'!$D$4:$D$810=$K$24)*('Match Log'!$A$4:$A$810&lt;=$J92)),'Match Log'!$N$4:$N$810),NA()))</f>
        <v>1032.1203077686844</v>
      </c>
      <c r="L92">
        <f>IF($J92&gt;MAX('Match Log'!$A$4:$A$810),NA(),IFERROR(LOOKUP(2,1/(('Match Log'!$D$4:$D$810=$L$24)*('Match Log'!$A$4:$A$810&lt;=$J92)),'Match Log'!$N$4:$N$810),NA()))</f>
        <v>994.58225352756665</v>
      </c>
      <c r="M92">
        <f>IF($J92&gt;MAX('Match Log'!$A$4:$A$810),NA(),IFERROR(LOOKUP(2,1/(('Match Log'!$D$4:$D$810=$M$24)*('Match Log'!$A$4:$A$810&lt;=$J92)),'Match Log'!$N$4:$N$810),NA()))</f>
        <v>1017.3466608720325</v>
      </c>
      <c r="N92">
        <f>IF($J92&gt;MAX('Match Log'!$A$4:$A$810),NA(),IFERROR(LOOKUP(2,1/(('Match Log'!$D$4:$D$810=$N$24)*('Match Log'!$A$4:$A$810&lt;=$J92)),'Match Log'!$N$4:$N$810),NA()))</f>
        <v>951.93002730401292</v>
      </c>
      <c r="O92">
        <f>IF($J92&gt;MAX('Match Log'!$A$4:$A$810),NA(),IFERROR(LOOKUP(2,1/(('Match Log'!$D$4:$D$810=$O$24)*('Match Log'!$A$4:$A$810&lt;=$J92)),'Match Log'!$N$4:$N$810),NA()))</f>
        <v>1127.0712177445546</v>
      </c>
      <c r="P92">
        <f>IF($J92&gt;MAX('Match Log'!$A$4:$A$810),NA(),IFERROR(LOOKUP(2,1/(('Match Log'!$D$4:$D$810=$P$24)*('Match Log'!$A$4:$A$810&lt;=$J92)),'Match Log'!$N$4:$N$810),NA()))</f>
        <v>988.40086101694862</v>
      </c>
      <c r="Q92">
        <f>IF($J92&gt;MAX('Match Log'!$A$4:$A$810),NA(),IFERROR(LOOKUP(2,1/(('Match Log'!$D$4:$D$810=$Q$24)*('Match Log'!$A$4:$A$810&lt;=$J92)),'Match Log'!$N$4:$N$810),NA()))</f>
        <v>1081.3229609670329</v>
      </c>
      <c r="R92">
        <f>IF($J92&gt;MAX('Match Log'!$A$4:$A$810),NA(),IFERROR(LOOKUP(2,1/(('Match Log'!$D$4:$D$810=$R$24)*('Match Log'!$A$4:$A$810&lt;=$J92)),'Match Log'!$N$4:$N$810),NA()))</f>
        <v>975.56051004124629</v>
      </c>
      <c r="S92">
        <f>IF($J92&gt;MAX('Match Log'!$A$4:$A$810),NA(),IFERROR(LOOKUP(2,1/(('Match Log'!$D$4:$D$810=$S$24)*('Match Log'!$A$4:$A$810&lt;=$J92)),'Match Log'!$N$4:$N$810),NA()))</f>
        <v>1092.2743358938565</v>
      </c>
      <c r="T92">
        <f>IF($J92&gt;MAX('Match Log'!$A$4:$A$810),NA(),IFERROR(LOOKUP(2,1/(('Match Log'!$D$4:$D$810=$T$24)*('Match Log'!$A$4:$A$810&lt;=$J92)),'Match Log'!$N$4:$N$810),NA()))</f>
        <v>912.86052856470724</v>
      </c>
      <c r="U92">
        <f>IF($J92&gt;MAX('Match Log'!$A$4:$A$810),NA(),IFERROR(LOOKUP(2,1/(('Match Log'!$D$4:$D$810=$U$24)*('Match Log'!$A$4:$A$810&lt;=$J92)),'Match Log'!$N$4:$N$810),NA()))</f>
        <v>922.53033629935749</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32">
        <f>IFERROR(INDEX('Match Log'!$B$4:$B$810,MATCH(69,'Match Log'!$A$4:$A$810,0)),"")</f>
        <v>46188</v>
      </c>
      <c r="C93" t="str">
        <f>IFERROR(INDEX('Match Log'!$C$4:$C$810,MATCH(69,'Match Log'!$A$4:$A$810,0)),"")</f>
        <v>ShuffleBoard</v>
      </c>
      <c r="D93" t="str">
        <f>IFERROR(INDEX('Match Log'!$G$4:$G$810,MATCH(69,'Match Log'!$A$4:$A$810,0)),"")</f>
        <v>Josh</v>
      </c>
      <c r="E93" s="133">
        <f>IFERROR(INDEX('Match Log'!$F$4:$F$810,MATCH(69,'Match Log'!$A$4:$A$810,0)),"")</f>
        <v>4</v>
      </c>
      <c r="F93">
        <f>IFERROR(SUMIFS('Match Log'!$I$4:$I$810,'Match Log'!$A$4:$A$810,69,'Match Log'!$E$4:$E$810,"Win"),"")</f>
        <v>0.43478260869565216</v>
      </c>
      <c r="G93">
        <f t="shared" si="22"/>
        <v>-0.73913043478260865</v>
      </c>
      <c r="H93" t="str">
        <f>IFERROR(IF($E93=2,LOOKUP(2,1/(('Match Log'!$A$4:$A$810=69)*('Match Log'!$E$4:$E$810="Loss")),'Match Log'!$D$4:$D$810),"the field"),"")</f>
        <v>the field</v>
      </c>
      <c r="I93">
        <f t="shared" si="23"/>
        <v>-0.73919943478260863</v>
      </c>
      <c r="J93">
        <v>69</v>
      </c>
      <c r="K93">
        <f>IF($J93&gt;MAX('Match Log'!$A$4:$A$810),NA(),IFERROR(LOOKUP(2,1/(('Match Log'!$D$4:$D$810=$K$24)*('Match Log'!$A$4:$A$810&lt;=$J93)),'Match Log'!$N$4:$N$810),NA()))</f>
        <v>1032.1203077686844</v>
      </c>
      <c r="L93">
        <f>IF($J93&gt;MAX('Match Log'!$A$4:$A$810),NA(),IFERROR(LOOKUP(2,1/(('Match Log'!$D$4:$D$810=$L$24)*('Match Log'!$A$4:$A$810&lt;=$J93)),'Match Log'!$N$4:$N$810),NA()))</f>
        <v>994.58225352756665</v>
      </c>
      <c r="M93">
        <f>IF($J93&gt;MAX('Match Log'!$A$4:$A$810),NA(),IFERROR(LOOKUP(2,1/(('Match Log'!$D$4:$D$810=$M$24)*('Match Log'!$A$4:$A$810&lt;=$J93)),'Match Log'!$N$4:$N$810),NA()))</f>
        <v>1017.3466608720325</v>
      </c>
      <c r="N93">
        <f>IF($J93&gt;MAX('Match Log'!$A$4:$A$810),NA(),IFERROR(LOOKUP(2,1/(('Match Log'!$D$4:$D$810=$N$24)*('Match Log'!$A$4:$A$810&lt;=$J93)),'Match Log'!$N$4:$N$810),NA()))</f>
        <v>951.93002730401292</v>
      </c>
      <c r="O93">
        <f>IF($J93&gt;MAX('Match Log'!$A$4:$A$810),NA(),IFERROR(LOOKUP(2,1/(('Match Log'!$D$4:$D$810=$O$24)*('Match Log'!$A$4:$A$810&lt;=$J93)),'Match Log'!$N$4:$N$810),NA()))</f>
        <v>1149.9966067961702</v>
      </c>
      <c r="P93">
        <f>IF($J93&gt;MAX('Match Log'!$A$4:$A$810),NA(),IFERROR(LOOKUP(2,1/(('Match Log'!$D$4:$D$810=$P$24)*('Match Log'!$A$4:$A$810&lt;=$J93)),'Match Log'!$N$4:$N$810),NA()))</f>
        <v>1010.2827718076946</v>
      </c>
      <c r="Q93">
        <f>IF($J93&gt;MAX('Match Log'!$A$4:$A$810),NA(),IFERROR(LOOKUP(2,1/(('Match Log'!$D$4:$D$810=$Q$24)*('Match Log'!$A$4:$A$810&lt;=$J93)),'Match Log'!$N$4:$N$810),NA()))</f>
        <v>1081.3229609670329</v>
      </c>
      <c r="R93">
        <f>IF($J93&gt;MAX('Match Log'!$A$4:$A$810),NA(),IFERROR(LOOKUP(2,1/(('Match Log'!$D$4:$D$810=$R$24)*('Match Log'!$A$4:$A$810&lt;=$J93)),'Match Log'!$N$4:$N$810),NA()))</f>
        <v>973.20632207334415</v>
      </c>
      <c r="S93">
        <f>IF($J93&gt;MAX('Match Log'!$A$4:$A$810),NA(),IFERROR(LOOKUP(2,1/(('Match Log'!$D$4:$D$810=$S$24)*('Match Log'!$A$4:$A$810&lt;=$J93)),'Match Log'!$N$4:$N$810),NA()))</f>
        <v>1085.8212240193971</v>
      </c>
      <c r="T93">
        <f>IF($J93&gt;MAX('Match Log'!$A$4:$A$810),NA(),IFERROR(LOOKUP(2,1/(('Match Log'!$D$4:$D$810=$T$24)*('Match Log'!$A$4:$A$810&lt;=$J93)),'Match Log'!$N$4:$N$810),NA()))</f>
        <v>912.86052856470724</v>
      </c>
      <c r="U93">
        <f>IF($J93&gt;MAX('Match Log'!$A$4:$A$810),NA(),IFERROR(LOOKUP(2,1/(('Match Log'!$D$4:$D$810=$U$24)*('Match Log'!$A$4:$A$810&lt;=$J93)),'Match Log'!$N$4:$N$810),NA()))</f>
        <v>922.53033629935749</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32">
        <f>IFERROR(INDEX('Match Log'!$B$4:$B$810,MATCH(70,'Match Log'!$A$4:$A$810,0)),"")</f>
        <v>46188</v>
      </c>
      <c r="C94" t="str">
        <f>IFERROR(INDEX('Match Log'!$C$4:$C$810,MATCH(70,'Match Log'!$A$4:$A$810,0)),"")</f>
        <v>ShuffleBoard</v>
      </c>
      <c r="D94" t="str">
        <f>IFERROR(INDEX('Match Log'!$G$4:$G$810,MATCH(70,'Match Log'!$A$4:$A$810,0)),"")</f>
        <v>Simon</v>
      </c>
      <c r="E94" s="133">
        <f>IFERROR(INDEX('Match Log'!$F$4:$F$810,MATCH(70,'Match Log'!$A$4:$A$810,0)),"")</f>
        <v>4</v>
      </c>
      <c r="F94">
        <f>IFERROR(SUMIFS('Match Log'!$I$4:$I$810,'Match Log'!$A$4:$A$810,70,'Match Log'!$E$4:$E$810,"Win"),"")</f>
        <v>0.50429184549356221</v>
      </c>
      <c r="G94">
        <f t="shared" si="22"/>
        <v>-1.0171673819742488</v>
      </c>
      <c r="H94" t="str">
        <f>IFERROR(IF($E94=2,LOOKUP(2,1/(('Match Log'!$A$4:$A$810=70)*('Match Log'!$E$4:$E$810="Loss")),'Match Log'!$D$4:$D$810),"the field"),"")</f>
        <v>the field</v>
      </c>
      <c r="I94">
        <f t="shared" si="23"/>
        <v>-1.0172373819742488</v>
      </c>
      <c r="J94">
        <v>70</v>
      </c>
      <c r="K94">
        <f>IF($J94&gt;MAX('Match Log'!$A$4:$A$810),NA(),IFERROR(LOOKUP(2,1/(('Match Log'!$D$4:$D$810=$K$24)*('Match Log'!$A$4:$A$810&lt;=$J94)),'Match Log'!$N$4:$N$810),NA()))</f>
        <v>1032.1203077686844</v>
      </c>
      <c r="L94">
        <f>IF($J94&gt;MAX('Match Log'!$A$4:$A$810),NA(),IFERROR(LOOKUP(2,1/(('Match Log'!$D$4:$D$810=$L$24)*('Match Log'!$A$4:$A$810&lt;=$J94)),'Match Log'!$N$4:$N$810),NA()))</f>
        <v>994.58225352756665</v>
      </c>
      <c r="M94">
        <f>IF($J94&gt;MAX('Match Log'!$A$4:$A$810),NA(),IFERROR(LOOKUP(2,1/(('Match Log'!$D$4:$D$810=$M$24)*('Match Log'!$A$4:$A$810&lt;=$J94)),'Match Log'!$N$4:$N$810),NA()))</f>
        <v>1017.3466608720325</v>
      </c>
      <c r="N94">
        <f>IF($J94&gt;MAX('Match Log'!$A$4:$A$810),NA(),IFERROR(LOOKUP(2,1/(('Match Log'!$D$4:$D$810=$N$24)*('Match Log'!$A$4:$A$810&lt;=$J94)),'Match Log'!$N$4:$N$810),NA()))</f>
        <v>951.93002730401292</v>
      </c>
      <c r="O94">
        <f>IF($J94&gt;MAX('Match Log'!$A$4:$A$810),NA(),IFERROR(LOOKUP(2,1/(('Match Log'!$D$4:$D$810=$O$24)*('Match Log'!$A$4:$A$810&lt;=$J94)),'Match Log'!$N$4:$N$810),NA()))</f>
        <v>1144.4758843860011</v>
      </c>
      <c r="P94">
        <f>IF($J94&gt;MAX('Match Log'!$A$4:$A$810),NA(),IFERROR(LOOKUP(2,1/(('Match Log'!$D$4:$D$810=$P$24)*('Match Log'!$A$4:$A$810&lt;=$J94)),'Match Log'!$N$4:$N$810),NA()))</f>
        <v>1005.6535603957898</v>
      </c>
      <c r="Q94">
        <f>IF($J94&gt;MAX('Match Log'!$A$4:$A$810),NA(),IFERROR(LOOKUP(2,1/(('Match Log'!$D$4:$D$810=$Q$24)*('Match Log'!$A$4:$A$810&lt;=$J94)),'Match Log'!$N$4:$N$810),NA()))</f>
        <v>1102.917241182791</v>
      </c>
      <c r="R94">
        <f>IF($J94&gt;MAX('Match Log'!$A$4:$A$810),NA(),IFERROR(LOOKUP(2,1/(('Match Log'!$D$4:$D$810=$R$24)*('Match Log'!$A$4:$A$810&lt;=$J94)),'Match Log'!$N$4:$N$810),NA()))</f>
        <v>973.20632207334415</v>
      </c>
      <c r="S94">
        <f>IF($J94&gt;MAX('Match Log'!$A$4:$A$810),NA(),IFERROR(LOOKUP(2,1/(('Match Log'!$D$4:$D$810=$S$24)*('Match Log'!$A$4:$A$810&lt;=$J94)),'Match Log'!$N$4:$N$810),NA()))</f>
        <v>1085.8212240193971</v>
      </c>
      <c r="T94">
        <f>IF($J94&gt;MAX('Match Log'!$A$4:$A$810),NA(),IFERROR(LOOKUP(2,1/(('Match Log'!$D$4:$D$810=$T$24)*('Match Log'!$A$4:$A$810&lt;=$J94)),'Match Log'!$N$4:$N$810),NA()))</f>
        <v>912.86052856470724</v>
      </c>
      <c r="U94">
        <f>IF($J94&gt;MAX('Match Log'!$A$4:$A$810),NA(),IFERROR(LOOKUP(2,1/(('Match Log'!$D$4:$D$810=$U$24)*('Match Log'!$A$4:$A$810&lt;=$J94)),'Match Log'!$N$4:$N$810),NA()))</f>
        <v>947.0859899056735</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32">
        <f>IFERROR(INDEX('Match Log'!$B$4:$B$810,MATCH(71,'Match Log'!$A$4:$A$810,0)),"")</f>
        <v>46188</v>
      </c>
      <c r="C95" t="str">
        <f>IFERROR(INDEX('Match Log'!$C$4:$C$810,MATCH(71,'Match Log'!$A$4:$A$810,0)),"")</f>
        <v>ShuffleBoard</v>
      </c>
      <c r="D95" t="str">
        <f>IFERROR(INDEX('Match Log'!$G$4:$G$810,MATCH(71,'Match Log'!$A$4:$A$810,0)),"")</f>
        <v>Oscar</v>
      </c>
      <c r="E95" s="133">
        <f>IFERROR(INDEX('Match Log'!$F$4:$F$810,MATCH(71,'Match Log'!$A$4:$A$810,0)),"")</f>
        <v>4</v>
      </c>
      <c r="F95">
        <f>IFERROR(SUMIFS('Match Log'!$I$4:$I$810,'Match Log'!$A$4:$A$810,71,'Match Log'!$E$4:$E$810,"Win"),"")</f>
        <v>0.55199999999999994</v>
      </c>
      <c r="G95">
        <f t="shared" si="22"/>
        <v>-1.2079999999999997</v>
      </c>
      <c r="H95" t="str">
        <f>IFERROR(IF($E95=2,LOOKUP(2,1/(('Match Log'!$A$4:$A$810=71)*('Match Log'!$E$4:$E$810="Loss")),'Match Log'!$D$4:$D$810),"the field"),"")</f>
        <v>the field</v>
      </c>
      <c r="I95">
        <f t="shared" si="23"/>
        <v>-1.2080709999999997</v>
      </c>
      <c r="J95">
        <v>71</v>
      </c>
      <c r="K95">
        <f>IF($J95&gt;MAX('Match Log'!$A$4:$A$810),NA(),IFERROR(LOOKUP(2,1/(('Match Log'!$D$4:$D$810=$K$24)*('Match Log'!$A$4:$A$810&lt;=$J95)),'Match Log'!$N$4:$N$810),NA()))</f>
        <v>1032.1203077686844</v>
      </c>
      <c r="L95">
        <f>IF($J95&gt;MAX('Match Log'!$A$4:$A$810),NA(),IFERROR(LOOKUP(2,1/(('Match Log'!$D$4:$D$810=$L$24)*('Match Log'!$A$4:$A$810&lt;=$J95)),'Match Log'!$N$4:$N$810),NA()))</f>
        <v>994.58225352756665</v>
      </c>
      <c r="M95">
        <f>IF($J95&gt;MAX('Match Log'!$A$4:$A$810),NA(),IFERROR(LOOKUP(2,1/(('Match Log'!$D$4:$D$810=$M$24)*('Match Log'!$A$4:$A$810&lt;=$J95)),'Match Log'!$N$4:$N$810),NA()))</f>
        <v>1017.3466608720325</v>
      </c>
      <c r="N95">
        <f>IF($J95&gt;MAX('Match Log'!$A$4:$A$810),NA(),IFERROR(LOOKUP(2,1/(('Match Log'!$D$4:$D$810=$N$24)*('Match Log'!$A$4:$A$810&lt;=$J95)),'Match Log'!$N$4:$N$810),NA()))</f>
        <v>948.71656220915634</v>
      </c>
      <c r="O95">
        <f>IF($J95&gt;MAX('Match Log'!$A$4:$A$810),NA(),IFERROR(LOOKUP(2,1/(('Match Log'!$D$4:$D$810=$O$24)*('Match Log'!$A$4:$A$810&lt;=$J95)),'Match Log'!$N$4:$N$810),NA()))</f>
        <v>1144.4758843860011</v>
      </c>
      <c r="P95">
        <f>IF($J95&gt;MAX('Match Log'!$A$4:$A$810),NA(),IFERROR(LOOKUP(2,1/(('Match Log'!$D$4:$D$810=$P$24)*('Match Log'!$A$4:$A$810&lt;=$J95)),'Match Log'!$N$4:$N$810),NA()))</f>
        <v>1005.6535603957898</v>
      </c>
      <c r="Q95">
        <f>IF($J95&gt;MAX('Match Log'!$A$4:$A$810),NA(),IFERROR(LOOKUP(2,1/(('Match Log'!$D$4:$D$810=$Q$24)*('Match Log'!$A$4:$A$810&lt;=$J95)),'Match Log'!$N$4:$N$810),NA()))</f>
        <v>1123.0952482852515</v>
      </c>
      <c r="R95">
        <f>IF($J95&gt;MAX('Match Log'!$A$4:$A$810),NA(),IFERROR(LOOKUP(2,1/(('Match Log'!$D$4:$D$810=$R$24)*('Match Log'!$A$4:$A$810&lt;=$J95)),'Match Log'!$N$4:$N$810),NA()))</f>
        <v>973.20632207334415</v>
      </c>
      <c r="S95">
        <f>IF($J95&gt;MAX('Match Log'!$A$4:$A$810),NA(),IFERROR(LOOKUP(2,1/(('Match Log'!$D$4:$D$810=$S$24)*('Match Log'!$A$4:$A$810&lt;=$J95)),'Match Log'!$N$4:$N$810),NA()))</f>
        <v>1085.8212240193971</v>
      </c>
      <c r="T95">
        <f>IF($J95&gt;MAX('Match Log'!$A$4:$A$810),NA(),IFERROR(LOOKUP(2,1/(('Match Log'!$D$4:$D$810=$T$24)*('Match Log'!$A$4:$A$810&lt;=$J95)),'Match Log'!$N$4:$N$810),NA()))</f>
        <v>912.86052856470724</v>
      </c>
      <c r="U95">
        <f>IF($J95&gt;MAX('Match Log'!$A$4:$A$810),NA(),IFERROR(LOOKUP(2,1/(('Match Log'!$D$4:$D$810=$U$24)*('Match Log'!$A$4:$A$810&lt;=$J95)),'Match Log'!$N$4:$N$810),NA()))</f>
        <v>969.85599700813395</v>
      </c>
      <c r="V95">
        <f>IF($J95&gt;MAX('Match Log'!$A$4:$A$810),NA(),IFERROR(LOOKUP(2,1/(('Match Log'!$D$4:$D$810=$V$24)*('Match Log'!$A$4:$A$810&lt;=$J95)),'Match Log'!$N$4:$N$810),NA()))</f>
        <v>996.26545088993566</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32">
        <f>IFERROR(INDEX('Match Log'!$B$4:$B$810,MATCH(72,'Match Log'!$A$4:$A$810,0)),"")</f>
        <v>46188</v>
      </c>
      <c r="C96" t="str">
        <f>IFERROR(INDEX('Match Log'!$C$4:$C$810,MATCH(72,'Match Log'!$A$4:$A$810,0)),"")</f>
        <v>ShuffleBoard</v>
      </c>
      <c r="D96" t="str">
        <f>IFERROR(INDEX('Match Log'!$G$4:$G$810,MATCH(72,'Match Log'!$A$4:$A$810,0)),"")</f>
        <v>Oscar</v>
      </c>
      <c r="E96" s="133">
        <f>IFERROR(INDEX('Match Log'!$F$4:$F$810,MATCH(72,'Match Log'!$A$4:$A$810,0)),"")</f>
        <v>4</v>
      </c>
      <c r="F96">
        <f>IFERROR(SUMIFS('Match Log'!$I$4:$I$810,'Match Log'!$A$4:$A$810,72,'Match Log'!$E$4:$E$810,"Win"),"")</f>
        <v>0.660377358490566</v>
      </c>
      <c r="G96">
        <f t="shared" si="22"/>
        <v>-1.641509433962264</v>
      </c>
      <c r="H96" t="str">
        <f>IFERROR(IF($E96=2,LOOKUP(2,1/(('Match Log'!$A$4:$A$810=72)*('Match Log'!$E$4:$E$810="Loss")),'Match Log'!$D$4:$D$810),"the field"),"")</f>
        <v>the field</v>
      </c>
      <c r="I96">
        <f t="shared" si="23"/>
        <v>-1.6415814339622641</v>
      </c>
      <c r="J96">
        <v>72</v>
      </c>
      <c r="K96">
        <f>IF($J96&gt;MAX('Match Log'!$A$4:$A$810),NA(),IFERROR(LOOKUP(2,1/(('Match Log'!$D$4:$D$810=$K$24)*('Match Log'!$A$4:$A$810&lt;=$J96)),'Match Log'!$N$4:$N$810),NA()))</f>
        <v>1029.5352438555508</v>
      </c>
      <c r="L96">
        <f>IF($J96&gt;MAX('Match Log'!$A$4:$A$810),NA(),IFERROR(LOOKUP(2,1/(('Match Log'!$D$4:$D$810=$L$24)*('Match Log'!$A$4:$A$810&lt;=$J96)),'Match Log'!$N$4:$N$810),NA()))</f>
        <v>994.58225352756665</v>
      </c>
      <c r="M96">
        <f>IF($J96&gt;MAX('Match Log'!$A$4:$A$810),NA(),IFERROR(LOOKUP(2,1/(('Match Log'!$D$4:$D$810=$M$24)*('Match Log'!$A$4:$A$810&lt;=$J96)),'Match Log'!$N$4:$N$810),NA()))</f>
        <v>1017.3466608720325</v>
      </c>
      <c r="N96">
        <f>IF($J96&gt;MAX('Match Log'!$A$4:$A$810),NA(),IFERROR(LOOKUP(2,1/(('Match Log'!$D$4:$D$810=$N$24)*('Match Log'!$A$4:$A$810&lt;=$J96)),'Match Log'!$N$4:$N$810),NA()))</f>
        <v>948.71656220915634</v>
      </c>
      <c r="O96">
        <f>IF($J96&gt;MAX('Match Log'!$A$4:$A$810),NA(),IFERROR(LOOKUP(2,1/(('Match Log'!$D$4:$D$810=$O$24)*('Match Log'!$A$4:$A$810&lt;=$J96)),'Match Log'!$N$4:$N$810),NA()))</f>
        <v>1144.4758843860011</v>
      </c>
      <c r="P96">
        <f>IF($J96&gt;MAX('Match Log'!$A$4:$A$810),NA(),IFERROR(LOOKUP(2,1/(('Match Log'!$D$4:$D$810=$P$24)*('Match Log'!$A$4:$A$810&lt;=$J96)),'Match Log'!$N$4:$N$810),NA()))</f>
        <v>1005.6535603957898</v>
      </c>
      <c r="Q96">
        <f>IF($J96&gt;MAX('Match Log'!$A$4:$A$810),NA(),IFERROR(LOOKUP(2,1/(('Match Log'!$D$4:$D$810=$Q$24)*('Match Log'!$A$4:$A$810&lt;=$J96)),'Match Log'!$N$4:$N$810),NA()))</f>
        <v>1142.4440234832907</v>
      </c>
      <c r="R96">
        <f>IF($J96&gt;MAX('Match Log'!$A$4:$A$810),NA(),IFERROR(LOOKUP(2,1/(('Match Log'!$D$4:$D$810=$R$24)*('Match Log'!$A$4:$A$810&lt;=$J96)),'Match Log'!$N$4:$N$810),NA()))</f>
        <v>973.20632207334415</v>
      </c>
      <c r="S96">
        <f>IF($J96&gt;MAX('Match Log'!$A$4:$A$810),NA(),IFERROR(LOOKUP(2,1/(('Match Log'!$D$4:$D$810=$S$24)*('Match Log'!$A$4:$A$810&lt;=$J96)),'Match Log'!$N$4:$N$810),NA()))</f>
        <v>1085.8212240193971</v>
      </c>
      <c r="T96">
        <f>IF($J96&gt;MAX('Match Log'!$A$4:$A$810),NA(),IFERROR(LOOKUP(2,1/(('Match Log'!$D$4:$D$810=$T$24)*('Match Log'!$A$4:$A$810&lt;=$J96)),'Match Log'!$N$4:$N$810),NA()))</f>
        <v>910.16214337272572</v>
      </c>
      <c r="U96">
        <f>IF($J96&gt;MAX('Match Log'!$A$4:$A$810),NA(),IFERROR(LOOKUP(2,1/(('Match Log'!$D$4:$D$810=$U$24)*('Match Log'!$A$4:$A$810&lt;=$J96)),'Match Log'!$N$4:$N$810),NA()))</f>
        <v>991.79067091520983</v>
      </c>
      <c r="V96">
        <f>IF($J96&gt;MAX('Match Log'!$A$4:$A$810),NA(),IFERROR(LOOKUP(2,1/(('Match Log'!$D$4:$D$810=$V$24)*('Match Log'!$A$4:$A$810&lt;=$J96)),'Match Log'!$N$4:$N$810),NA()))</f>
        <v>996.26545088993566</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32">
        <f>IFERROR(INDEX('Match Log'!$B$4:$B$810,MATCH(73,'Match Log'!$A$4:$A$810,0)),"")</f>
        <v>46188</v>
      </c>
      <c r="C97" t="str">
        <f>IFERROR(INDEX('Match Log'!$C$4:$C$810,MATCH(73,'Match Log'!$A$4:$A$810,0)),"")</f>
        <v>ShuffleBoard</v>
      </c>
      <c r="D97" t="str">
        <f>IFERROR(INDEX('Match Log'!$G$4:$G$810,MATCH(73,'Match Log'!$A$4:$A$810,0)),"")</f>
        <v>Dylan A</v>
      </c>
      <c r="E97" s="133">
        <f>IFERROR(INDEX('Match Log'!$F$4:$F$810,MATCH(73,'Match Log'!$A$4:$A$810,0)),"")</f>
        <v>4</v>
      </c>
      <c r="F97">
        <f>IFERROR(SUMIFS('Match Log'!$I$4:$I$810,'Match Log'!$A$4:$A$810,73,'Match Log'!$E$4:$E$810,"Win"),"")</f>
        <v>0.45652173913043481</v>
      </c>
      <c r="G97">
        <f t="shared" si="22"/>
        <v>-0.82608695652173925</v>
      </c>
      <c r="H97" t="str">
        <f>IFERROR(IF($E97=2,LOOKUP(2,1/(('Match Log'!$A$4:$A$810=73)*('Match Log'!$E$4:$E$810="Loss")),'Match Log'!$D$4:$D$810),"the field"),"")</f>
        <v>the field</v>
      </c>
      <c r="I97">
        <f t="shared" si="23"/>
        <v>-0.82615995652173924</v>
      </c>
      <c r="J97">
        <v>73</v>
      </c>
      <c r="K97">
        <f>IF($J97&gt;MAX('Match Log'!$A$4:$A$810),NA(),IFERROR(LOOKUP(2,1/(('Match Log'!$D$4:$D$810=$K$24)*('Match Log'!$A$4:$A$810&lt;=$J97)),'Match Log'!$N$4:$N$810),NA()))</f>
        <v>1029.5352438555508</v>
      </c>
      <c r="L97">
        <f>IF($J97&gt;MAX('Match Log'!$A$4:$A$810),NA(),IFERROR(LOOKUP(2,1/(('Match Log'!$D$4:$D$810=$L$24)*('Match Log'!$A$4:$A$810&lt;=$J97)),'Match Log'!$N$4:$N$810),NA()))</f>
        <v>1017.3951419790604</v>
      </c>
      <c r="M97">
        <f>IF($J97&gt;MAX('Match Log'!$A$4:$A$810),NA(),IFERROR(LOOKUP(2,1/(('Match Log'!$D$4:$D$810=$M$24)*('Match Log'!$A$4:$A$810&lt;=$J97)),'Match Log'!$N$4:$N$810),NA()))</f>
        <v>1017.3466608720325</v>
      </c>
      <c r="N97">
        <f>IF($J97&gt;MAX('Match Log'!$A$4:$A$810),NA(),IFERROR(LOOKUP(2,1/(('Match Log'!$D$4:$D$810=$N$24)*('Match Log'!$A$4:$A$810&lt;=$J97)),'Match Log'!$N$4:$N$810),NA()))</f>
        <v>948.71656220915634</v>
      </c>
      <c r="O97">
        <f>IF($J97&gt;MAX('Match Log'!$A$4:$A$810),NA(),IFERROR(LOOKUP(2,1/(('Match Log'!$D$4:$D$810=$O$24)*('Match Log'!$A$4:$A$810&lt;=$J97)),'Match Log'!$N$4:$N$810),NA()))</f>
        <v>1144.4758843860011</v>
      </c>
      <c r="P97">
        <f>IF($J97&gt;MAX('Match Log'!$A$4:$A$810),NA(),IFERROR(LOOKUP(2,1/(('Match Log'!$D$4:$D$810=$P$24)*('Match Log'!$A$4:$A$810&lt;=$J97)),'Match Log'!$N$4:$N$810),NA()))</f>
        <v>1005.6535603957898</v>
      </c>
      <c r="Q97">
        <f>IF($J97&gt;MAX('Match Log'!$A$4:$A$810),NA(),IFERROR(LOOKUP(2,1/(('Match Log'!$D$4:$D$810=$Q$24)*('Match Log'!$A$4:$A$810&lt;=$J97)),'Match Log'!$N$4:$N$810),NA()))</f>
        <v>1135.3924969807852</v>
      </c>
      <c r="R97">
        <f>IF($J97&gt;MAX('Match Log'!$A$4:$A$810),NA(),IFERROR(LOOKUP(2,1/(('Match Log'!$D$4:$D$810=$R$24)*('Match Log'!$A$4:$A$810&lt;=$J97)),'Match Log'!$N$4:$N$810),NA()))</f>
        <v>973.20632207334415</v>
      </c>
      <c r="S97">
        <f>IF($J97&gt;MAX('Match Log'!$A$4:$A$810),NA(),IFERROR(LOOKUP(2,1/(('Match Log'!$D$4:$D$810=$S$24)*('Match Log'!$A$4:$A$810&lt;=$J97)),'Match Log'!$N$4:$N$810),NA()))</f>
        <v>1085.8212240193971</v>
      </c>
      <c r="T97">
        <f>IF($J97&gt;MAX('Match Log'!$A$4:$A$810),NA(),IFERROR(LOOKUP(2,1/(('Match Log'!$D$4:$D$810=$T$24)*('Match Log'!$A$4:$A$810&lt;=$J97)),'Match Log'!$N$4:$N$810),NA()))</f>
        <v>910.16214337272572</v>
      </c>
      <c r="U97">
        <f>IF($J97&gt;MAX('Match Log'!$A$4:$A$810),NA(),IFERROR(LOOKUP(2,1/(('Match Log'!$D$4:$D$810=$U$24)*('Match Log'!$A$4:$A$810&lt;=$J97)),'Match Log'!$N$4:$N$810),NA()))</f>
        <v>988.43381181907546</v>
      </c>
      <c r="V97">
        <f>IF($J97&gt;MAX('Match Log'!$A$4:$A$810),NA(),IFERROR(LOOKUP(2,1/(('Match Log'!$D$4:$D$810=$V$24)*('Match Log'!$A$4:$A$810&lt;=$J97)),'Match Log'!$N$4:$N$810),NA()))</f>
        <v>996.26545088993566</v>
      </c>
      <c r="W97">
        <f>IF($J97&gt;MAX('Match Log'!$A$4:$A$810),NA(),IFERROR(LOOKUP(2,1/(('Match Log'!$D$4:$D$810=$W$24)*('Match Log'!$A$4:$A$810&lt;=$J97)),'Match Log'!$N$4:$N$810),NA()))</f>
        <v>1023.595497147146</v>
      </c>
      <c r="X97" t="e">
        <f>IF($J97&gt;MAX('Match Log'!$A$4:$A$810),NA(),IFERROR(LOOKUP(2,1/(('Match Log'!$D$4:$D$810=$X$24)*('Match Log'!$A$4:$A$810&lt;=$J97)),'Match Log'!$N$4:$N$810),NA()))</f>
        <v>#N/A</v>
      </c>
      <c r="Y97" t="str">
        <f t="shared" ca="1" si="24"/>
        <v/>
      </c>
    </row>
    <row r="98" spans="1:25" ht="15" customHeight="1" x14ac:dyDescent="0.2">
      <c r="A98">
        <v>74</v>
      </c>
      <c r="B98" s="132">
        <f>IFERROR(INDEX('Match Log'!$B$4:$B$810,MATCH(74,'Match Log'!$A$4:$A$810,0)),"")</f>
        <v>46188</v>
      </c>
      <c r="C98" t="str">
        <f>IFERROR(INDEX('Match Log'!$C$4:$C$810,MATCH(74,'Match Log'!$A$4:$A$810,0)),"")</f>
        <v>ShuffleBoard</v>
      </c>
      <c r="D98" t="str">
        <f>IFERROR(INDEX('Match Log'!$G$4:$G$810,MATCH(74,'Match Log'!$A$4:$A$810,0)),"")</f>
        <v>Shawn</v>
      </c>
      <c r="E98" s="133">
        <f>IFERROR(INDEX('Match Log'!$F$4:$F$810,MATCH(74,'Match Log'!$A$4:$A$810,0)),"")</f>
        <v>4</v>
      </c>
      <c r="F98">
        <f>IFERROR(SUMIFS('Match Log'!$I$4:$I$810,'Match Log'!$A$4:$A$810,74,'Match Log'!$E$4:$E$810,"Win"),"")</f>
        <v>0.38848920863309355</v>
      </c>
      <c r="G98">
        <f t="shared" si="22"/>
        <v>-0.55395683453237421</v>
      </c>
      <c r="H98" t="str">
        <f>IFERROR(IF($E98=2,LOOKUP(2,1/(('Match Log'!$A$4:$A$810=74)*('Match Log'!$E$4:$E$810="Loss")),'Match Log'!$D$4:$D$810),"the field"),"")</f>
        <v>the field</v>
      </c>
      <c r="I98">
        <f t="shared" si="23"/>
        <v>-0.55403083453237423</v>
      </c>
      <c r="J98">
        <v>74</v>
      </c>
      <c r="K98">
        <f>IF($J98&gt;MAX('Match Log'!$A$4:$A$810),NA(),IFERROR(LOOKUP(2,1/(('Match Log'!$D$4:$D$810=$K$24)*('Match Log'!$A$4:$A$810&lt;=$J98)),'Match Log'!$N$4:$N$810),NA()))</f>
        <v>1029.5352438555508</v>
      </c>
      <c r="L98">
        <f>IF($J98&gt;MAX('Match Log'!$A$4:$A$810),NA(),IFERROR(LOOKUP(2,1/(('Match Log'!$D$4:$D$810=$L$24)*('Match Log'!$A$4:$A$810&lt;=$J98)),'Match Log'!$N$4:$N$810),NA()))</f>
        <v>1012.5620656557165</v>
      </c>
      <c r="M98">
        <f>IF($J98&gt;MAX('Match Log'!$A$4:$A$810),NA(),IFERROR(LOOKUP(2,1/(('Match Log'!$D$4:$D$810=$M$24)*('Match Log'!$A$4:$A$810&lt;=$J98)),'Match Log'!$N$4:$N$810),NA()))</f>
        <v>1017.3466608720325</v>
      </c>
      <c r="N98">
        <f>IF($J98&gt;MAX('Match Log'!$A$4:$A$810),NA(),IFERROR(LOOKUP(2,1/(('Match Log'!$D$4:$D$810=$N$24)*('Match Log'!$A$4:$A$810&lt;=$J98)),'Match Log'!$N$4:$N$810),NA()))</f>
        <v>948.71656220915634</v>
      </c>
      <c r="O98">
        <f>IF($J98&gt;MAX('Match Log'!$A$4:$A$810),NA(),IFERROR(LOOKUP(2,1/(('Match Log'!$D$4:$D$810=$O$24)*('Match Log'!$A$4:$A$810&lt;=$J98)),'Match Log'!$N$4:$N$810),NA()))</f>
        <v>1167.367455946747</v>
      </c>
      <c r="P98">
        <f>IF($J98&gt;MAX('Match Log'!$A$4:$A$810),NA(),IFERROR(LOOKUP(2,1/(('Match Log'!$D$4:$D$810=$P$24)*('Match Log'!$A$4:$A$810&lt;=$J98)),'Match Log'!$N$4:$N$810),NA()))</f>
        <v>1028.0271463450249</v>
      </c>
      <c r="Q98">
        <f>IF($J98&gt;MAX('Match Log'!$A$4:$A$810),NA(),IFERROR(LOOKUP(2,1/(('Match Log'!$D$4:$D$810=$Q$24)*('Match Log'!$A$4:$A$810&lt;=$J98)),'Match Log'!$N$4:$N$810),NA()))</f>
        <v>1135.3924969807852</v>
      </c>
      <c r="R98">
        <f>IF($J98&gt;MAX('Match Log'!$A$4:$A$810),NA(),IFERROR(LOOKUP(2,1/(('Match Log'!$D$4:$D$810=$R$24)*('Match Log'!$A$4:$A$810&lt;=$J98)),'Match Log'!$N$4:$N$810),NA()))</f>
        <v>973.20632207334415</v>
      </c>
      <c r="S98">
        <f>IF($J98&gt;MAX('Match Log'!$A$4:$A$810),NA(),IFERROR(LOOKUP(2,1/(('Match Log'!$D$4:$D$810=$S$24)*('Match Log'!$A$4:$A$810&lt;=$J98)),'Match Log'!$N$4:$N$810),NA()))</f>
        <v>1085.8212240193971</v>
      </c>
      <c r="T98">
        <f>IF($J98&gt;MAX('Match Log'!$A$4:$A$810),NA(),IFERROR(LOOKUP(2,1/(('Match Log'!$D$4:$D$810=$T$24)*('Match Log'!$A$4:$A$810&lt;=$J98)),'Match Log'!$N$4:$N$810),NA()))</f>
        <v>910.16214337272572</v>
      </c>
      <c r="U98">
        <f>IF($J98&gt;MAX('Match Log'!$A$4:$A$810),NA(),IFERROR(LOOKUP(2,1/(('Match Log'!$D$4:$D$810=$U$24)*('Match Log'!$A$4:$A$810&lt;=$J98)),'Match Log'!$N$4:$N$810),NA()))</f>
        <v>988.43381181907546</v>
      </c>
      <c r="V98">
        <f>IF($J98&gt;MAX('Match Log'!$A$4:$A$810),NA(),IFERROR(LOOKUP(2,1/(('Match Log'!$D$4:$D$810=$V$24)*('Match Log'!$A$4:$A$810&lt;=$J98)),'Match Log'!$N$4:$N$810),NA()))</f>
        <v>996.26545088993566</v>
      </c>
      <c r="W98">
        <f>IF($J98&gt;MAX('Match Log'!$A$4:$A$810),NA(),IFERROR(LOOKUP(2,1/(('Match Log'!$D$4:$D$810=$W$24)*('Match Log'!$A$4:$A$810&lt;=$J98)),'Match Log'!$N$4:$N$810),NA()))</f>
        <v>1019.1634159605087</v>
      </c>
      <c r="X98" t="e">
        <f>IF($J98&gt;MAX('Match Log'!$A$4:$A$810),NA(),IFERROR(LOOKUP(2,1/(('Match Log'!$D$4:$D$810=$X$24)*('Match Log'!$A$4:$A$810&lt;=$J98)),'Match Log'!$N$4:$N$810),NA()))</f>
        <v>#N/A</v>
      </c>
      <c r="Y98" t="str">
        <f t="shared" ca="1" si="24"/>
        <v/>
      </c>
    </row>
    <row r="99" spans="1:25" ht="15" customHeight="1" x14ac:dyDescent="0.2">
      <c r="A99">
        <v>75</v>
      </c>
      <c r="B99" s="132">
        <f>IFERROR(INDEX('Match Log'!$B$4:$B$810,MATCH(75,'Match Log'!$A$4:$A$810,0)),"")</f>
        <v>46188</v>
      </c>
      <c r="C99" t="str">
        <f>IFERROR(INDEX('Match Log'!$C$4:$C$810,MATCH(75,'Match Log'!$A$4:$A$810,0)),"")</f>
        <v>ShuffleBoard</v>
      </c>
      <c r="D99" t="str">
        <f>IFERROR(INDEX('Match Log'!$G$4:$G$810,MATCH(75,'Match Log'!$A$4:$A$810,0)),"")</f>
        <v>Daniel (Ferret)</v>
      </c>
      <c r="E99" s="133">
        <f>IFERROR(INDEX('Match Log'!$F$4:$F$810,MATCH(75,'Match Log'!$A$4:$A$810,0)),"")</f>
        <v>4</v>
      </c>
      <c r="F99">
        <f>IFERROR(SUMIFS('Match Log'!$I$4:$I$810,'Match Log'!$A$4:$A$810,75,'Match Log'!$E$4:$E$810,"Win"),"")</f>
        <v>0.44237918215613381</v>
      </c>
      <c r="G99">
        <f t="shared" si="22"/>
        <v>-0.76951672862453524</v>
      </c>
      <c r="H99" t="str">
        <f>IFERROR(IF($E99=2,LOOKUP(2,1/(('Match Log'!$A$4:$A$810=75)*('Match Log'!$E$4:$E$810="Loss")),'Match Log'!$D$4:$D$810),"the field"),"")</f>
        <v>the field</v>
      </c>
      <c r="I99">
        <f t="shared" si="23"/>
        <v>-0.76959172862453529</v>
      </c>
      <c r="J99">
        <v>75</v>
      </c>
      <c r="K99">
        <f>IF($J99&gt;MAX('Match Log'!$A$4:$A$810),NA(),IFERROR(LOOKUP(2,1/(('Match Log'!$D$4:$D$810=$K$24)*('Match Log'!$A$4:$A$810&lt;=$J99)),'Match Log'!$N$4:$N$810),NA()))</f>
        <v>1029.5352438555508</v>
      </c>
      <c r="L99">
        <f>IF($J99&gt;MAX('Match Log'!$A$4:$A$810),NA(),IFERROR(LOOKUP(2,1/(('Match Log'!$D$4:$D$810=$L$24)*('Match Log'!$A$4:$A$810&lt;=$J99)),'Match Log'!$N$4:$N$810),NA()))</f>
        <v>1012.5620656557165</v>
      </c>
      <c r="M99">
        <f>IF($J99&gt;MAX('Match Log'!$A$4:$A$810),NA(),IFERROR(LOOKUP(2,1/(('Match Log'!$D$4:$D$810=$M$24)*('Match Log'!$A$4:$A$810&lt;=$J99)),'Match Log'!$N$4:$N$810),NA()))</f>
        <v>1017.3466608720325</v>
      </c>
      <c r="N99">
        <f>IF($J99&gt;MAX('Match Log'!$A$4:$A$810),NA(),IFERROR(LOOKUP(2,1/(('Match Log'!$D$4:$D$810=$N$24)*('Match Log'!$A$4:$A$810&lt;=$J99)),'Match Log'!$N$4:$N$810),NA()))</f>
        <v>948.71656220915634</v>
      </c>
      <c r="O99">
        <f>IF($J99&gt;MAX('Match Log'!$A$4:$A$810),NA(),IFERROR(LOOKUP(2,1/(('Match Log'!$D$4:$D$810=$O$24)*('Match Log'!$A$4:$A$810&lt;=$J99)),'Match Log'!$N$4:$N$810),NA()))</f>
        <v>1161.8584150494405</v>
      </c>
      <c r="P99">
        <f>IF($J99&gt;MAX('Match Log'!$A$4:$A$810),NA(),IFERROR(LOOKUP(2,1/(('Match Log'!$D$4:$D$810=$P$24)*('Match Log'!$A$4:$A$810&lt;=$J99)),'Match Log'!$N$4:$N$810),NA()))</f>
        <v>1023.1632267812757</v>
      </c>
      <c r="Q99">
        <f>IF($J99&gt;MAX('Match Log'!$A$4:$A$810),NA(),IFERROR(LOOKUP(2,1/(('Match Log'!$D$4:$D$810=$Q$24)*('Match Log'!$A$4:$A$810&lt;=$J99)),'Match Log'!$N$4:$N$810),NA()))</f>
        <v>1135.3924969807852</v>
      </c>
      <c r="R99">
        <f>IF($J99&gt;MAX('Match Log'!$A$4:$A$810),NA(),IFERROR(LOOKUP(2,1/(('Match Log'!$D$4:$D$810=$R$24)*('Match Log'!$A$4:$A$810&lt;=$J99)),'Match Log'!$N$4:$N$810),NA()))</f>
        <v>997.48573910684604</v>
      </c>
      <c r="S99">
        <f>IF($J99&gt;MAX('Match Log'!$A$4:$A$810),NA(),IFERROR(LOOKUP(2,1/(('Match Log'!$D$4:$D$810=$S$24)*('Match Log'!$A$4:$A$810&lt;=$J99)),'Match Log'!$N$4:$N$810),NA()))</f>
        <v>1107.9147674469509</v>
      </c>
      <c r="T99">
        <f>IF($J99&gt;MAX('Match Log'!$A$4:$A$810),NA(),IFERROR(LOOKUP(2,1/(('Match Log'!$D$4:$D$810=$T$24)*('Match Log'!$A$4:$A$810&lt;=$J99)),'Match Log'!$N$4:$N$810),NA()))</f>
        <v>910.16214337272572</v>
      </c>
      <c r="U99">
        <f>IF($J99&gt;MAX('Match Log'!$A$4:$A$810),NA(),IFERROR(LOOKUP(2,1/(('Match Log'!$D$4:$D$810=$U$24)*('Match Log'!$A$4:$A$810&lt;=$J99)),'Match Log'!$N$4:$N$810),NA()))</f>
        <v>988.43381181907546</v>
      </c>
      <c r="V99">
        <f>IF($J99&gt;MAX('Match Log'!$A$4:$A$810),NA(),IFERROR(LOOKUP(2,1/(('Match Log'!$D$4:$D$810=$V$24)*('Match Log'!$A$4:$A$810&lt;=$J99)),'Match Log'!$N$4:$N$810),NA()))</f>
        <v>996.26545088993566</v>
      </c>
      <c r="W99">
        <f>IF($J99&gt;MAX('Match Log'!$A$4:$A$810),NA(),IFERROR(LOOKUP(2,1/(('Match Log'!$D$4:$D$810=$W$24)*('Match Log'!$A$4:$A$810&lt;=$J99)),'Match Log'!$N$4:$N$810),NA()))</f>
        <v>1019.1634159605087</v>
      </c>
      <c r="X99" t="e">
        <f>IF($J99&gt;MAX('Match Log'!$A$4:$A$810),NA(),IFERROR(LOOKUP(2,1/(('Match Log'!$D$4:$D$810=$X$24)*('Match Log'!$A$4:$A$810&lt;=$J99)),'Match Log'!$N$4:$N$810),NA()))</f>
        <v>#N/A</v>
      </c>
      <c r="Y99" t="str">
        <f t="shared" ca="1" si="24"/>
        <v/>
      </c>
    </row>
    <row r="100" spans="1:25" ht="15" customHeight="1" x14ac:dyDescent="0.2">
      <c r="A100">
        <v>76</v>
      </c>
      <c r="B100" s="132">
        <f>IFERROR(INDEX('Match Log'!$B$4:$B$810,MATCH(76,'Match Log'!$A$4:$A$810,0)),"")</f>
        <v>46188</v>
      </c>
      <c r="C100" t="str">
        <f>IFERROR(INDEX('Match Log'!$C$4:$C$810,MATCH(76,'Match Log'!$A$4:$A$810,0)),"")</f>
        <v>ShuffleBoard</v>
      </c>
      <c r="D100" t="str">
        <f>IFERROR(INDEX('Match Log'!$G$4:$G$810,MATCH(76,'Match Log'!$A$4:$A$810,0)),"")</f>
        <v>Daniel (Ferret)</v>
      </c>
      <c r="E100" s="133">
        <f>IFERROR(INDEX('Match Log'!$F$4:$F$810,MATCH(76,'Match Log'!$A$4:$A$810,0)),"")</f>
        <v>4</v>
      </c>
      <c r="F100">
        <f>IFERROR(SUMIFS('Match Log'!$I$4:$I$810,'Match Log'!$A$4:$A$810,76,'Match Log'!$E$4:$E$810,"Win"),"")</f>
        <v>0.59259259259259256</v>
      </c>
      <c r="G100">
        <f t="shared" si="22"/>
        <v>-1.3703703703703702</v>
      </c>
      <c r="H100" t="str">
        <f>IFERROR(IF($E100=2,LOOKUP(2,1/(('Match Log'!$A$4:$A$810=76)*('Match Log'!$E$4:$E$810="Loss")),'Match Log'!$D$4:$D$810),"the field"),"")</f>
        <v>the field</v>
      </c>
      <c r="I100">
        <f t="shared" si="23"/>
        <v>-1.3704463703703702</v>
      </c>
      <c r="J100">
        <v>76</v>
      </c>
      <c r="K100">
        <f>IF($J100&gt;MAX('Match Log'!$A$4:$A$810),NA(),IFERROR(LOOKUP(2,1/(('Match Log'!$D$4:$D$810=$K$24)*('Match Log'!$A$4:$A$810&lt;=$J100)),'Match Log'!$N$4:$N$810),NA()))</f>
        <v>1029.5352438555508</v>
      </c>
      <c r="L100">
        <f>IF($J100&gt;MAX('Match Log'!$A$4:$A$810),NA(),IFERROR(LOOKUP(2,1/(('Match Log'!$D$4:$D$810=$L$24)*('Match Log'!$A$4:$A$810&lt;=$J100)),'Match Log'!$N$4:$N$810),NA()))</f>
        <v>1012.5620656557165</v>
      </c>
      <c r="M100">
        <f>IF($J100&gt;MAX('Match Log'!$A$4:$A$810),NA(),IFERROR(LOOKUP(2,1/(('Match Log'!$D$4:$D$810=$M$24)*('Match Log'!$A$4:$A$810&lt;=$J100)),'Match Log'!$N$4:$N$810),NA()))</f>
        <v>1017.3466608720325</v>
      </c>
      <c r="N100">
        <f>IF($J100&gt;MAX('Match Log'!$A$4:$A$810),NA(),IFERROR(LOOKUP(2,1/(('Match Log'!$D$4:$D$810=$N$24)*('Match Log'!$A$4:$A$810&lt;=$J100)),'Match Log'!$N$4:$N$810),NA()))</f>
        <v>945.73457220617456</v>
      </c>
      <c r="O100">
        <f>IF($J100&gt;MAX('Match Log'!$A$4:$A$810),NA(),IFERROR(LOOKUP(2,1/(('Match Log'!$D$4:$D$810=$O$24)*('Match Log'!$A$4:$A$810&lt;=$J100)),'Match Log'!$N$4:$N$810),NA()))</f>
        <v>1161.8584150494405</v>
      </c>
      <c r="P100">
        <f>IF($J100&gt;MAX('Match Log'!$A$4:$A$810),NA(),IFERROR(LOOKUP(2,1/(('Match Log'!$D$4:$D$810=$P$24)*('Match Log'!$A$4:$A$810&lt;=$J100)),'Match Log'!$N$4:$N$810),NA()))</f>
        <v>1023.1632267812757</v>
      </c>
      <c r="Q100">
        <f>IF($J100&gt;MAX('Match Log'!$A$4:$A$810),NA(),IFERROR(LOOKUP(2,1/(('Match Log'!$D$4:$D$810=$Q$24)*('Match Log'!$A$4:$A$810&lt;=$J100)),'Match Log'!$N$4:$N$810),NA()))</f>
        <v>1135.3924969807852</v>
      </c>
      <c r="R100">
        <f>IF($J100&gt;MAX('Match Log'!$A$4:$A$810),NA(),IFERROR(LOOKUP(2,1/(('Match Log'!$D$4:$D$810=$R$24)*('Match Log'!$A$4:$A$810&lt;=$J100)),'Match Log'!$N$4:$N$810),NA()))</f>
        <v>1019.3595155693031</v>
      </c>
      <c r="S100">
        <f>IF($J100&gt;MAX('Match Log'!$A$4:$A$810),NA(),IFERROR(LOOKUP(2,1/(('Match Log'!$D$4:$D$810=$S$24)*('Match Log'!$A$4:$A$810&lt;=$J100)),'Match Log'!$N$4:$N$810),NA()))</f>
        <v>1128.0107661316301</v>
      </c>
      <c r="T100">
        <f>IF($J100&gt;MAX('Match Log'!$A$4:$A$810),NA(),IFERROR(LOOKUP(2,1/(('Match Log'!$D$4:$D$810=$T$24)*('Match Log'!$A$4:$A$810&lt;=$J100)),'Match Log'!$N$4:$N$810),NA()))</f>
        <v>910.16214337272572</v>
      </c>
      <c r="U100">
        <f>IF($J100&gt;MAX('Match Log'!$A$4:$A$810),NA(),IFERROR(LOOKUP(2,1/(('Match Log'!$D$4:$D$810=$U$24)*('Match Log'!$A$4:$A$810&lt;=$J100)),'Match Log'!$N$4:$N$810),NA()))</f>
        <v>988.43381181907546</v>
      </c>
      <c r="V100">
        <f>IF($J100&gt;MAX('Match Log'!$A$4:$A$810),NA(),IFERROR(LOOKUP(2,1/(('Match Log'!$D$4:$D$810=$V$24)*('Match Log'!$A$4:$A$810&lt;=$J100)),'Match Log'!$N$4:$N$810),NA()))</f>
        <v>993.27766574578118</v>
      </c>
      <c r="W100">
        <f>IF($J100&gt;MAX('Match Log'!$A$4:$A$810),NA(),IFERROR(LOOKUP(2,1/(('Match Log'!$D$4:$D$810=$W$24)*('Match Log'!$A$4:$A$810&lt;=$J100)),'Match Log'!$N$4:$N$810),NA()))</f>
        <v>1019.1634159605087</v>
      </c>
      <c r="X100" t="e">
        <f>IF($J100&gt;MAX('Match Log'!$A$4:$A$810),NA(),IFERROR(LOOKUP(2,1/(('Match Log'!$D$4:$D$810=$X$24)*('Match Log'!$A$4:$A$810&lt;=$J100)),'Match Log'!$N$4:$N$810),NA()))</f>
        <v>#N/A</v>
      </c>
      <c r="Y100" t="str">
        <f t="shared" ca="1" si="24"/>
        <v/>
      </c>
    </row>
    <row r="101" spans="1:25" ht="15" customHeight="1" x14ac:dyDescent="0.2">
      <c r="A101">
        <v>77</v>
      </c>
      <c r="B101" s="132">
        <f>IFERROR(INDEX('Match Log'!$B$4:$B$810,MATCH(77,'Match Log'!$A$4:$A$810,0)),"")</f>
        <v>46188</v>
      </c>
      <c r="C101" t="str">
        <f>IFERROR(INDEX('Match Log'!$C$4:$C$810,MATCH(77,'Match Log'!$A$4:$A$810,0)),"")</f>
        <v>ShuffleBoard</v>
      </c>
      <c r="D101" t="str">
        <f>IFERROR(INDEX('Match Log'!$G$4:$G$810,MATCH(77,'Match Log'!$A$4:$A$810,0)),"")</f>
        <v>Daniel (Ferret)</v>
      </c>
      <c r="E101" s="133">
        <f>IFERROR(INDEX('Match Log'!$F$4:$F$810,MATCH(77,'Match Log'!$A$4:$A$810,0)),"")</f>
        <v>4</v>
      </c>
      <c r="F101">
        <f>IFERROR(SUMIFS('Match Log'!$I$4:$I$810,'Match Log'!$A$4:$A$810,77,'Match Log'!$E$4:$E$810,"Win"),"")</f>
        <v>0.67864271457085823</v>
      </c>
      <c r="G101">
        <f t="shared" si="22"/>
        <v>-1.7145708582834329</v>
      </c>
      <c r="H101" t="str">
        <f>IFERROR(IF($E101=2,LOOKUP(2,1/(('Match Log'!$A$4:$A$810=77)*('Match Log'!$E$4:$E$810="Loss")),'Match Log'!$D$4:$D$810),"the field"),"")</f>
        <v>the field</v>
      </c>
      <c r="I101">
        <f t="shared" si="23"/>
        <v>-1.714647858283433</v>
      </c>
      <c r="J101">
        <v>77</v>
      </c>
      <c r="K101">
        <f>IF($J101&gt;MAX('Match Log'!$A$4:$A$810),NA(),IFERROR(LOOKUP(2,1/(('Match Log'!$D$4:$D$810=$K$24)*('Match Log'!$A$4:$A$810&lt;=$J101)),'Match Log'!$N$4:$N$810),NA()))</f>
        <v>1027.4579191199061</v>
      </c>
      <c r="L101">
        <f>IF($J101&gt;MAX('Match Log'!$A$4:$A$810),NA(),IFERROR(LOOKUP(2,1/(('Match Log'!$D$4:$D$810=$L$24)*('Match Log'!$A$4:$A$810&lt;=$J101)),'Match Log'!$N$4:$N$810),NA()))</f>
        <v>1012.5620656557165</v>
      </c>
      <c r="M101">
        <f>IF($J101&gt;MAX('Match Log'!$A$4:$A$810),NA(),IFERROR(LOOKUP(2,1/(('Match Log'!$D$4:$D$810=$M$24)*('Match Log'!$A$4:$A$810&lt;=$J101)),'Match Log'!$N$4:$N$810),NA()))</f>
        <v>1017.3466608720325</v>
      </c>
      <c r="N101">
        <f>IF($J101&gt;MAX('Match Log'!$A$4:$A$810),NA(),IFERROR(LOOKUP(2,1/(('Match Log'!$D$4:$D$810=$N$24)*('Match Log'!$A$4:$A$810&lt;=$J101)),'Match Log'!$N$4:$N$810),NA()))</f>
        <v>945.73457220617456</v>
      </c>
      <c r="O101">
        <f>IF($J101&gt;MAX('Match Log'!$A$4:$A$810),NA(),IFERROR(LOOKUP(2,1/(('Match Log'!$D$4:$D$810=$O$24)*('Match Log'!$A$4:$A$810&lt;=$J101)),'Match Log'!$N$4:$N$810),NA()))</f>
        <v>1161.8584150494405</v>
      </c>
      <c r="P101">
        <f>IF($J101&gt;MAX('Match Log'!$A$4:$A$810),NA(),IFERROR(LOOKUP(2,1/(('Match Log'!$D$4:$D$810=$P$24)*('Match Log'!$A$4:$A$810&lt;=$J101)),'Match Log'!$N$4:$N$810),NA()))</f>
        <v>1023.1632267812757</v>
      </c>
      <c r="Q101">
        <f>IF($J101&gt;MAX('Match Log'!$A$4:$A$810),NA(),IFERROR(LOOKUP(2,1/(('Match Log'!$D$4:$D$810=$Q$24)*('Match Log'!$A$4:$A$810&lt;=$J101)),'Match Log'!$N$4:$N$810),NA()))</f>
        <v>1135.3924969807852</v>
      </c>
      <c r="R101">
        <f>IF($J101&gt;MAX('Match Log'!$A$4:$A$810),NA(),IFERROR(LOOKUP(2,1/(('Match Log'!$D$4:$D$810=$R$24)*('Match Log'!$A$4:$A$810&lt;=$J101)),'Match Log'!$N$4:$N$810),NA()))</f>
        <v>1040.3333719341558</v>
      </c>
      <c r="S101">
        <f>IF($J101&gt;MAX('Match Log'!$A$4:$A$810),NA(),IFERROR(LOOKUP(2,1/(('Match Log'!$D$4:$D$810=$S$24)*('Match Log'!$A$4:$A$810&lt;=$J101)),'Match Log'!$N$4:$N$810),NA()))</f>
        <v>1147.5474967479799</v>
      </c>
      <c r="T101">
        <f>IF($J101&gt;MAX('Match Log'!$A$4:$A$810),NA(),IFERROR(LOOKUP(2,1/(('Match Log'!$D$4:$D$810=$T$24)*('Match Log'!$A$4:$A$810&lt;=$J101)),'Match Log'!$N$4:$N$810),NA()))</f>
        <v>907.72888112716782</v>
      </c>
      <c r="U101">
        <f>IF($J101&gt;MAX('Match Log'!$A$4:$A$810),NA(),IFERROR(LOOKUP(2,1/(('Match Log'!$D$4:$D$810=$U$24)*('Match Log'!$A$4:$A$810&lt;=$J101)),'Match Log'!$N$4:$N$810),NA()))</f>
        <v>988.43381181907546</v>
      </c>
      <c r="V101">
        <f>IF($J101&gt;MAX('Match Log'!$A$4:$A$810),NA(),IFERROR(LOOKUP(2,1/(('Match Log'!$D$4:$D$810=$V$24)*('Match Log'!$A$4:$A$810&lt;=$J101)),'Match Log'!$N$4:$N$810),NA()))</f>
        <v>993.27766574578118</v>
      </c>
      <c r="W101">
        <f>IF($J101&gt;MAX('Match Log'!$A$4:$A$810),NA(),IFERROR(LOOKUP(2,1/(('Match Log'!$D$4:$D$810=$W$24)*('Match Log'!$A$4:$A$810&lt;=$J101)),'Match Log'!$N$4:$N$810),NA()))</f>
        <v>1019.1634159605087</v>
      </c>
      <c r="X101" t="e">
        <f>IF($J101&gt;MAX('Match Log'!$A$4:$A$810),NA(),IFERROR(LOOKUP(2,1/(('Match Log'!$D$4:$D$810=$X$24)*('Match Log'!$A$4:$A$810&lt;=$J101)),'Match Log'!$N$4:$N$810),NA()))</f>
        <v>#N/A</v>
      </c>
      <c r="Y101" t="str">
        <f t="shared" ca="1" si="24"/>
        <v/>
      </c>
    </row>
    <row r="102" spans="1:25" ht="15" customHeight="1" x14ac:dyDescent="0.2">
      <c r="A102">
        <v>78</v>
      </c>
      <c r="B102" s="132">
        <f>IFERROR(INDEX('Match Log'!$B$4:$B$810,MATCH(78,'Match Log'!$A$4:$A$810,0)),"")</f>
        <v>46188</v>
      </c>
      <c r="C102" t="str">
        <f>IFERROR(INDEX('Match Log'!$C$4:$C$810,MATCH(78,'Match Log'!$A$4:$A$810,0)),"")</f>
        <v>ShuffleBoard</v>
      </c>
      <c r="D102" t="str">
        <f>IFERROR(INDEX('Match Log'!$G$4:$G$810,MATCH(78,'Match Log'!$A$4:$A$810,0)),"")</f>
        <v>Dylan A</v>
      </c>
      <c r="E102" s="133">
        <f>IFERROR(INDEX('Match Log'!$F$4:$F$810,MATCH(78,'Match Log'!$A$4:$A$810,0)),"")</f>
        <v>4</v>
      </c>
      <c r="F102">
        <f>IFERROR(SUMIFS('Match Log'!$I$4:$I$810,'Match Log'!$A$4:$A$810,78,'Match Log'!$E$4:$E$810,"Win"),"")</f>
        <v>0.45427728613569318</v>
      </c>
      <c r="G102">
        <f t="shared" si="22"/>
        <v>-0.81710914454277273</v>
      </c>
      <c r="H102" t="str">
        <f>IFERROR(IF($E102=2,LOOKUP(2,1/(('Match Log'!$A$4:$A$810=78)*('Match Log'!$E$4:$E$810="Loss")),'Match Log'!$D$4:$D$810),"the field"),"")</f>
        <v>the field</v>
      </c>
      <c r="I102">
        <f t="shared" si="23"/>
        <v>-0.81718714454277275</v>
      </c>
      <c r="J102">
        <v>78</v>
      </c>
      <c r="K102">
        <f>IF($J102&gt;MAX('Match Log'!$A$4:$A$810),NA(),IFERROR(LOOKUP(2,1/(('Match Log'!$D$4:$D$810=$K$24)*('Match Log'!$A$4:$A$810&lt;=$J102)),'Match Log'!$N$4:$N$810),NA()))</f>
        <v>1027.4579191199061</v>
      </c>
      <c r="L102">
        <f>IF($J102&gt;MAX('Match Log'!$A$4:$A$810),NA(),IFERROR(LOOKUP(2,1/(('Match Log'!$D$4:$D$810=$L$24)*('Match Log'!$A$4:$A$810&lt;=$J102)),'Match Log'!$N$4:$N$810),NA()))</f>
        <v>1035.5207940184578</v>
      </c>
      <c r="M102">
        <f>IF($J102&gt;MAX('Match Log'!$A$4:$A$810),NA(),IFERROR(LOOKUP(2,1/(('Match Log'!$D$4:$D$810=$M$24)*('Match Log'!$A$4:$A$810&lt;=$J102)),'Match Log'!$N$4:$N$810),NA()))</f>
        <v>1017.3466608720325</v>
      </c>
      <c r="N102">
        <f>IF($J102&gt;MAX('Match Log'!$A$4:$A$810),NA(),IFERROR(LOOKUP(2,1/(('Match Log'!$D$4:$D$810=$N$24)*('Match Log'!$A$4:$A$810&lt;=$J102)),'Match Log'!$N$4:$N$810),NA()))</f>
        <v>945.73457220617456</v>
      </c>
      <c r="O102">
        <f>IF($J102&gt;MAX('Match Log'!$A$4:$A$810),NA(),IFERROR(LOOKUP(2,1/(('Match Log'!$D$4:$D$810=$O$24)*('Match Log'!$A$4:$A$810&lt;=$J102)),'Match Log'!$N$4:$N$810),NA()))</f>
        <v>1161.8584150494405</v>
      </c>
      <c r="P102">
        <f>IF($J102&gt;MAX('Match Log'!$A$4:$A$810),NA(),IFERROR(LOOKUP(2,1/(('Match Log'!$D$4:$D$810=$P$24)*('Match Log'!$A$4:$A$810&lt;=$J102)),'Match Log'!$N$4:$N$810),NA()))</f>
        <v>1023.1632267812757</v>
      </c>
      <c r="Q102">
        <f>IF($J102&gt;MAX('Match Log'!$A$4:$A$810),NA(),IFERROR(LOOKUP(2,1/(('Match Log'!$D$4:$D$810=$Q$24)*('Match Log'!$A$4:$A$810&lt;=$J102)),'Match Log'!$N$4:$N$810),NA()))</f>
        <v>1135.3924969807852</v>
      </c>
      <c r="R102">
        <f>IF($J102&gt;MAX('Match Log'!$A$4:$A$810),NA(),IFERROR(LOOKUP(2,1/(('Match Log'!$D$4:$D$810=$R$24)*('Match Log'!$A$4:$A$810&lt;=$J102)),'Match Log'!$N$4:$N$810),NA()))</f>
        <v>1036.1160042561539</v>
      </c>
      <c r="S102">
        <f>IF($J102&gt;MAX('Match Log'!$A$4:$A$810),NA(),IFERROR(LOOKUP(2,1/(('Match Log'!$D$4:$D$810=$S$24)*('Match Log'!$A$4:$A$810&lt;=$J102)),'Match Log'!$N$4:$N$810),NA()))</f>
        <v>1141.3518324792606</v>
      </c>
      <c r="T102">
        <f>IF($J102&gt;MAX('Match Log'!$A$4:$A$810),NA(),IFERROR(LOOKUP(2,1/(('Match Log'!$D$4:$D$810=$T$24)*('Match Log'!$A$4:$A$810&lt;=$J102)),'Match Log'!$N$4:$N$810),NA()))</f>
        <v>907.72888112716782</v>
      </c>
      <c r="U102">
        <f>IF($J102&gt;MAX('Match Log'!$A$4:$A$810),NA(),IFERROR(LOOKUP(2,1/(('Match Log'!$D$4:$D$810=$U$24)*('Match Log'!$A$4:$A$810&lt;=$J102)),'Match Log'!$N$4:$N$810),NA()))</f>
        <v>988.43381181907546</v>
      </c>
      <c r="V102">
        <f>IF($J102&gt;MAX('Match Log'!$A$4:$A$810),NA(),IFERROR(LOOKUP(2,1/(('Match Log'!$D$4:$D$810=$V$24)*('Match Log'!$A$4:$A$810&lt;=$J102)),'Match Log'!$N$4:$N$810),NA()))</f>
        <v>993.27766574578118</v>
      </c>
      <c r="W102">
        <f>IF($J102&gt;MAX('Match Log'!$A$4:$A$810),NA(),IFERROR(LOOKUP(2,1/(('Match Log'!$D$4:$D$810=$W$24)*('Match Log'!$A$4:$A$810&lt;=$J102)),'Match Log'!$N$4:$N$810),NA()))</f>
        <v>1042.6177195444889</v>
      </c>
      <c r="X102" t="e">
        <f>IF($J102&gt;MAX('Match Log'!$A$4:$A$810),NA(),IFERROR(LOOKUP(2,1/(('Match Log'!$D$4:$D$810=$X$24)*('Match Log'!$A$4:$A$810&lt;=$J102)),'Match Log'!$N$4:$N$810),NA()))</f>
        <v>#N/A</v>
      </c>
      <c r="Y102" t="str">
        <f t="shared" ca="1" si="24"/>
        <v/>
      </c>
    </row>
    <row r="103" spans="1:25" ht="15" customHeight="1" x14ac:dyDescent="0.2">
      <c r="A103">
        <v>79</v>
      </c>
      <c r="B103" s="132">
        <f>IFERROR(INDEX('Match Log'!$B$4:$B$810,MATCH(79,'Match Log'!$A$4:$A$810,0)),"")</f>
        <v>46188</v>
      </c>
      <c r="C103" t="str">
        <f>IFERROR(INDEX('Match Log'!$C$4:$C$810,MATCH(79,'Match Log'!$A$4:$A$810,0)),"")</f>
        <v>ShuffleBoard</v>
      </c>
      <c r="D103" t="str">
        <f>IFERROR(INDEX('Match Log'!$G$4:$G$810,MATCH(79,'Match Log'!$A$4:$A$810,0)),"")</f>
        <v>Simon</v>
      </c>
      <c r="E103" s="133">
        <f>IFERROR(INDEX('Match Log'!$F$4:$F$810,MATCH(79,'Match Log'!$A$4:$A$810,0)),"")</f>
        <v>4</v>
      </c>
      <c r="F103">
        <f>IFERROR(SUMIFS('Match Log'!$I$4:$I$810,'Match Log'!$A$4:$A$810,79,'Match Log'!$E$4:$E$810,"Win"),"")</f>
        <v>0.4975961538461538</v>
      </c>
      <c r="G103">
        <f t="shared" si="22"/>
        <v>-0.9903846153846152</v>
      </c>
      <c r="H103" t="str">
        <f>IFERROR(IF($E103=2,LOOKUP(2,1/(('Match Log'!$A$4:$A$810=79)*('Match Log'!$E$4:$E$810="Loss")),'Match Log'!$D$4:$D$810),"the field"),"")</f>
        <v>the field</v>
      </c>
      <c r="I103">
        <f t="shared" si="23"/>
        <v>-0.99046361538461525</v>
      </c>
      <c r="J103">
        <v>79</v>
      </c>
      <c r="K103">
        <f>IF($J103&gt;MAX('Match Log'!$A$4:$A$810),NA(),IFERROR(LOOKUP(2,1/(('Match Log'!$D$4:$D$810=$K$24)*('Match Log'!$A$4:$A$810&lt;=$J103)),'Match Log'!$N$4:$N$810),NA()))</f>
        <v>1027.4579191199061</v>
      </c>
      <c r="L103">
        <f>IF($J103&gt;MAX('Match Log'!$A$4:$A$810),NA(),IFERROR(LOOKUP(2,1/(('Match Log'!$D$4:$D$810=$L$24)*('Match Log'!$A$4:$A$810&lt;=$J103)),'Match Log'!$N$4:$N$810),NA()))</f>
        <v>1031.0800363810649</v>
      </c>
      <c r="M103">
        <f>IF($J103&gt;MAX('Match Log'!$A$4:$A$810),NA(),IFERROR(LOOKUP(2,1/(('Match Log'!$D$4:$D$810=$M$24)*('Match Log'!$A$4:$A$810&lt;=$J103)),'Match Log'!$N$4:$N$810),NA()))</f>
        <v>1017.3466608720325</v>
      </c>
      <c r="N103">
        <f>IF($J103&gt;MAX('Match Log'!$A$4:$A$810),NA(),IFERROR(LOOKUP(2,1/(('Match Log'!$D$4:$D$810=$N$24)*('Match Log'!$A$4:$A$810&lt;=$J103)),'Match Log'!$N$4:$N$810),NA()))</f>
        <v>945.73457220617456</v>
      </c>
      <c r="O103">
        <f>IF($J103&gt;MAX('Match Log'!$A$4:$A$810),NA(),IFERROR(LOOKUP(2,1/(('Match Log'!$D$4:$D$810=$O$24)*('Match Log'!$A$4:$A$810&lt;=$J103)),'Match Log'!$N$4:$N$810),NA()))</f>
        <v>1161.8584150494405</v>
      </c>
      <c r="P103">
        <f>IF($J103&gt;MAX('Match Log'!$A$4:$A$810),NA(),IFERROR(LOOKUP(2,1/(('Match Log'!$D$4:$D$810=$P$24)*('Match Log'!$A$4:$A$810&lt;=$J103)),'Match Log'!$N$4:$N$810),NA()))</f>
        <v>1023.1632267812757</v>
      </c>
      <c r="Q103">
        <f>IF($J103&gt;MAX('Match Log'!$A$4:$A$810),NA(),IFERROR(LOOKUP(2,1/(('Match Log'!$D$4:$D$810=$Q$24)*('Match Log'!$A$4:$A$810&lt;=$J103)),'Match Log'!$N$4:$N$810),NA()))</f>
        <v>1156.8487971247246</v>
      </c>
      <c r="R103">
        <f>IF($J103&gt;MAX('Match Log'!$A$4:$A$810),NA(),IFERROR(LOOKUP(2,1/(('Match Log'!$D$4:$D$810=$R$24)*('Match Log'!$A$4:$A$810&lt;=$J103)),'Match Log'!$N$4:$N$810),NA()))</f>
        <v>1036.1160042561539</v>
      </c>
      <c r="S103">
        <f>IF($J103&gt;MAX('Match Log'!$A$4:$A$810),NA(),IFERROR(LOOKUP(2,1/(('Match Log'!$D$4:$D$810=$S$24)*('Match Log'!$A$4:$A$810&lt;=$J103)),'Match Log'!$N$4:$N$810),NA()))</f>
        <v>1141.3518324792606</v>
      </c>
      <c r="T103">
        <f>IF($J103&gt;MAX('Match Log'!$A$4:$A$810),NA(),IFERROR(LOOKUP(2,1/(('Match Log'!$D$4:$D$810=$T$24)*('Match Log'!$A$4:$A$810&lt;=$J103)),'Match Log'!$N$4:$N$810),NA()))</f>
        <v>907.72888112716782</v>
      </c>
      <c r="U103">
        <f>IF($J103&gt;MAX('Match Log'!$A$4:$A$810),NA(),IFERROR(LOOKUP(2,1/(('Match Log'!$D$4:$D$810=$U$24)*('Match Log'!$A$4:$A$810&lt;=$J103)),'Match Log'!$N$4:$N$810),NA()))</f>
        <v>1011.5343427322456</v>
      </c>
      <c r="V103">
        <f>IF($J103&gt;MAX('Match Log'!$A$4:$A$810),NA(),IFERROR(LOOKUP(2,1/(('Match Log'!$D$4:$D$810=$V$24)*('Match Log'!$A$4:$A$810&lt;=$J103)),'Match Log'!$N$4:$N$810),NA()))</f>
        <v>993.27766574578118</v>
      </c>
      <c r="W103">
        <f>IF($J103&gt;MAX('Match Log'!$A$4:$A$810),NA(),IFERROR(LOOKUP(2,1/(('Match Log'!$D$4:$D$810=$W$24)*('Match Log'!$A$4:$A$810&lt;=$J103)),'Match Log'!$N$4:$N$810),NA()))</f>
        <v>1038.5016461247724</v>
      </c>
      <c r="X103" t="e">
        <f>IF($J103&gt;MAX('Match Log'!$A$4:$A$810),NA(),IFERROR(LOOKUP(2,1/(('Match Log'!$D$4:$D$810=$X$24)*('Match Log'!$A$4:$A$810&lt;=$J103)),'Match Log'!$N$4:$N$810),NA()))</f>
        <v>#N/A</v>
      </c>
      <c r="Y103" t="str">
        <f t="shared" ca="1" si="24"/>
        <v/>
      </c>
    </row>
    <row r="104" spans="1:25" ht="15" customHeight="1" x14ac:dyDescent="0.2">
      <c r="A104">
        <v>80</v>
      </c>
      <c r="B104" s="132">
        <f>IFERROR(INDEX('Match Log'!$B$4:$B$810,MATCH(80,'Match Log'!$A$4:$A$810,0)),"")</f>
        <v>46188</v>
      </c>
      <c r="C104" t="str">
        <f>IFERROR(INDEX('Match Log'!$C$4:$C$810,MATCH(80,'Match Log'!$A$4:$A$810,0)),"")</f>
        <v>ShuffleBoard</v>
      </c>
      <c r="D104" t="str">
        <f>IFERROR(INDEX('Match Log'!$G$4:$G$810,MATCH(80,'Match Log'!$A$4:$A$810,0)),"")</f>
        <v>Shawn</v>
      </c>
      <c r="E104" s="133">
        <f>IFERROR(INDEX('Match Log'!$F$4:$F$810,MATCH(80,'Match Log'!$A$4:$A$810,0)),"")</f>
        <v>4</v>
      </c>
      <c r="F104">
        <f>IFERROR(SUMIFS('Match Log'!$I$4:$I$810,'Match Log'!$A$4:$A$810,80,'Match Log'!$E$4:$E$810,"Win"),"")</f>
        <v>0.41329479768786126</v>
      </c>
      <c r="G104">
        <f t="shared" si="22"/>
        <v>-0.65317919075144504</v>
      </c>
      <c r="H104" t="str">
        <f>IFERROR(IF($E104=2,LOOKUP(2,1/(('Match Log'!$A$4:$A$810=80)*('Match Log'!$E$4:$E$810="Loss")),'Match Log'!$D$4:$D$810),"the field"),"")</f>
        <v>the field</v>
      </c>
      <c r="I104">
        <f t="shared" si="23"/>
        <v>-0.65325919075144501</v>
      </c>
      <c r="J104">
        <v>80</v>
      </c>
      <c r="K104">
        <f>IF($J104&gt;MAX('Match Log'!$A$4:$A$810),NA(),IFERROR(LOOKUP(2,1/(('Match Log'!$D$4:$D$810=$K$24)*('Match Log'!$A$4:$A$810&lt;=$J104)),'Match Log'!$N$4:$N$810),NA()))</f>
        <v>1027.4579191199061</v>
      </c>
      <c r="L104">
        <f>IF($J104&gt;MAX('Match Log'!$A$4:$A$810),NA(),IFERROR(LOOKUP(2,1/(('Match Log'!$D$4:$D$810=$L$24)*('Match Log'!$A$4:$A$810&lt;=$J104)),'Match Log'!$N$4:$N$810),NA()))</f>
        <v>1031.0800363810649</v>
      </c>
      <c r="M104">
        <f>IF($J104&gt;MAX('Match Log'!$A$4:$A$810),NA(),IFERROR(LOOKUP(2,1/(('Match Log'!$D$4:$D$810=$M$24)*('Match Log'!$A$4:$A$810&lt;=$J104)),'Match Log'!$N$4:$N$810),NA()))</f>
        <v>1017.3466608720325</v>
      </c>
      <c r="N104">
        <f>IF($J104&gt;MAX('Match Log'!$A$4:$A$810),NA(),IFERROR(LOOKUP(2,1/(('Match Log'!$D$4:$D$810=$N$24)*('Match Log'!$A$4:$A$810&lt;=$J104)),'Match Log'!$N$4:$N$810),NA()))</f>
        <v>945.73457220617456</v>
      </c>
      <c r="O104">
        <f>IF($J104&gt;MAX('Match Log'!$A$4:$A$810),NA(),IFERROR(LOOKUP(2,1/(('Match Log'!$D$4:$D$810=$O$24)*('Match Log'!$A$4:$A$810&lt;=$J104)),'Match Log'!$N$4:$N$810),NA()))</f>
        <v>1184.9242286294298</v>
      </c>
      <c r="P104">
        <f>IF($J104&gt;MAX('Match Log'!$A$4:$A$810),NA(),IFERROR(LOOKUP(2,1/(('Match Log'!$D$4:$D$810=$P$24)*('Match Log'!$A$4:$A$810&lt;=$J104)),'Match Log'!$N$4:$N$810),NA()))</f>
        <v>1045.8475374710915</v>
      </c>
      <c r="Q104">
        <f>IF($J104&gt;MAX('Match Log'!$A$4:$A$810),NA(),IFERROR(LOOKUP(2,1/(('Match Log'!$D$4:$D$810=$Q$24)*('Match Log'!$A$4:$A$810&lt;=$J104)),'Match Log'!$N$4:$N$810),NA()))</f>
        <v>1150.2170238004801</v>
      </c>
      <c r="R104">
        <f>IF($J104&gt;MAX('Match Log'!$A$4:$A$810),NA(),IFERROR(LOOKUP(2,1/(('Match Log'!$D$4:$D$810=$R$24)*('Match Log'!$A$4:$A$810&lt;=$J104)),'Match Log'!$N$4:$N$810),NA()))</f>
        <v>1036.1160042561539</v>
      </c>
      <c r="S104">
        <f>IF($J104&gt;MAX('Match Log'!$A$4:$A$810),NA(),IFERROR(LOOKUP(2,1/(('Match Log'!$D$4:$D$810=$S$24)*('Match Log'!$A$4:$A$810&lt;=$J104)),'Match Log'!$N$4:$N$810),NA()))</f>
        <v>1141.3518324792606</v>
      </c>
      <c r="T104">
        <f>IF($J104&gt;MAX('Match Log'!$A$4:$A$810),NA(),IFERROR(LOOKUP(2,1/(('Match Log'!$D$4:$D$810=$T$24)*('Match Log'!$A$4:$A$810&lt;=$J104)),'Match Log'!$N$4:$N$810),NA()))</f>
        <v>907.72888112716782</v>
      </c>
      <c r="U104">
        <f>IF($J104&gt;MAX('Match Log'!$A$4:$A$810),NA(),IFERROR(LOOKUP(2,1/(('Match Log'!$D$4:$D$810=$U$24)*('Match Log'!$A$4:$A$810&lt;=$J104)),'Match Log'!$N$4:$N$810),NA()))</f>
        <v>1008.415991786685</v>
      </c>
      <c r="V104">
        <f>IF($J104&gt;MAX('Match Log'!$A$4:$A$810),NA(),IFERROR(LOOKUP(2,1/(('Match Log'!$D$4:$D$810=$V$24)*('Match Log'!$A$4:$A$810&lt;=$J104)),'Match Log'!$N$4:$N$810),NA()))</f>
        <v>993.27766574578118</v>
      </c>
      <c r="W104">
        <f>IF($J104&gt;MAX('Match Log'!$A$4:$A$810),NA(),IFERROR(LOOKUP(2,1/(('Match Log'!$D$4:$D$810=$W$24)*('Match Log'!$A$4:$A$810&lt;=$J104)),'Match Log'!$N$4:$N$810),NA()))</f>
        <v>1038.5016461247724</v>
      </c>
      <c r="X104" t="e">
        <f>IF($J104&gt;MAX('Match Log'!$A$4:$A$810),NA(),IFERROR(LOOKUP(2,1/(('Match Log'!$D$4:$D$810=$X$24)*('Match Log'!$A$4:$A$810&lt;=$J104)),'Match Log'!$N$4:$N$810),NA()))</f>
        <v>#N/A</v>
      </c>
      <c r="Y104" t="str">
        <f t="shared" ca="1" si="24"/>
        <v/>
      </c>
    </row>
    <row r="105" spans="1:25" ht="15" customHeight="1" x14ac:dyDescent="0.2">
      <c r="A105">
        <v>81</v>
      </c>
      <c r="B105" s="132">
        <f>IFERROR(INDEX('Match Log'!$B$4:$B$810,MATCH(81,'Match Log'!$A$4:$A$810,0)),"")</f>
        <v>46188</v>
      </c>
      <c r="C105" t="str">
        <f>IFERROR(INDEX('Match Log'!$C$4:$C$810,MATCH(81,'Match Log'!$A$4:$A$810,0)),"")</f>
        <v>ShuffleBoard</v>
      </c>
      <c r="D105" t="str">
        <f>IFERROR(INDEX('Match Log'!$G$4:$G$810,MATCH(81,'Match Log'!$A$4:$A$810,0)),"")</f>
        <v>Daniel (Ferret)</v>
      </c>
      <c r="E105" s="133">
        <f>IFERROR(INDEX('Match Log'!$F$4:$F$810,MATCH(81,'Match Log'!$A$4:$A$810,0)),"")</f>
        <v>4</v>
      </c>
      <c r="F105">
        <f>IFERROR(SUMIFS('Match Log'!$I$4:$I$810,'Match Log'!$A$4:$A$810,81,'Match Log'!$E$4:$E$810,"Win"),"")</f>
        <v>0.52499999999999991</v>
      </c>
      <c r="G105">
        <f t="shared" si="22"/>
        <v>-1.0999999999999996</v>
      </c>
      <c r="H105" t="str">
        <f>IFERROR(IF($E105=2,LOOKUP(2,1/(('Match Log'!$A$4:$A$810=81)*('Match Log'!$E$4:$E$810="Loss")),'Match Log'!$D$4:$D$810),"the field"),"")</f>
        <v>the field</v>
      </c>
      <c r="I105">
        <f t="shared" si="23"/>
        <v>-1.1000809999999996</v>
      </c>
      <c r="J105">
        <v>81</v>
      </c>
      <c r="K105">
        <f>IF($J105&gt;MAX('Match Log'!$A$4:$A$810),NA(),IFERROR(LOOKUP(2,1/(('Match Log'!$D$4:$D$810=$K$24)*('Match Log'!$A$4:$A$810&lt;=$J105)),'Match Log'!$N$4:$N$810),NA()))</f>
        <v>1027.4579191199061</v>
      </c>
      <c r="L105">
        <f>IF($J105&gt;MAX('Match Log'!$A$4:$A$810),NA(),IFERROR(LOOKUP(2,1/(('Match Log'!$D$4:$D$810=$L$24)*('Match Log'!$A$4:$A$810&lt;=$J105)),'Match Log'!$N$4:$N$810),NA()))</f>
        <v>1031.0800363810649</v>
      </c>
      <c r="M105">
        <f>IF($J105&gt;MAX('Match Log'!$A$4:$A$810),NA(),IFERROR(LOOKUP(2,1/(('Match Log'!$D$4:$D$810=$M$24)*('Match Log'!$A$4:$A$810&lt;=$J105)),'Match Log'!$N$4:$N$810),NA()))</f>
        <v>1017.3466608720325</v>
      </c>
      <c r="N105">
        <f>IF($J105&gt;MAX('Match Log'!$A$4:$A$810),NA(),IFERROR(LOOKUP(2,1/(('Match Log'!$D$4:$D$810=$N$24)*('Match Log'!$A$4:$A$810&lt;=$J105)),'Match Log'!$N$4:$N$810),NA()))</f>
        <v>945.73457220617456</v>
      </c>
      <c r="O105">
        <f>IF($J105&gt;MAX('Match Log'!$A$4:$A$810),NA(),IFERROR(LOOKUP(2,1/(('Match Log'!$D$4:$D$810=$O$24)*('Match Log'!$A$4:$A$810&lt;=$J105)),'Match Log'!$N$4:$N$810),NA()))</f>
        <v>1180.3686394291749</v>
      </c>
      <c r="P105">
        <f>IF($J105&gt;MAX('Match Log'!$A$4:$A$810),NA(),IFERROR(LOOKUP(2,1/(('Match Log'!$D$4:$D$810=$P$24)*('Match Log'!$A$4:$A$810&lt;=$J105)),'Match Log'!$N$4:$N$810),NA()))</f>
        <v>1041.8596886886442</v>
      </c>
      <c r="Q105">
        <f>IF($J105&gt;MAX('Match Log'!$A$4:$A$810),NA(),IFERROR(LOOKUP(2,1/(('Match Log'!$D$4:$D$810=$Q$24)*('Match Log'!$A$4:$A$810&lt;=$J105)),'Match Log'!$N$4:$N$810),NA()))</f>
        <v>1150.2170238004801</v>
      </c>
      <c r="R105">
        <f>IF($J105&gt;MAX('Match Log'!$A$4:$A$810),NA(),IFERROR(LOOKUP(2,1/(('Match Log'!$D$4:$D$810=$R$24)*('Match Log'!$A$4:$A$810&lt;=$J105)),'Match Log'!$N$4:$N$810),NA()))</f>
        <v>1058.837723247505</v>
      </c>
      <c r="S105">
        <f>IF($J105&gt;MAX('Match Log'!$A$4:$A$810),NA(),IFERROR(LOOKUP(2,1/(('Match Log'!$D$4:$D$810=$S$24)*('Match Log'!$A$4:$A$810&lt;=$J105)),'Match Log'!$N$4:$N$810),NA()))</f>
        <v>1163.1735514706118</v>
      </c>
      <c r="T105">
        <f>IF($J105&gt;MAX('Match Log'!$A$4:$A$810),NA(),IFERROR(LOOKUP(2,1/(('Match Log'!$D$4:$D$810=$T$24)*('Match Log'!$A$4:$A$810&lt;=$J105)),'Match Log'!$N$4:$N$810),NA()))</f>
        <v>907.72888112716782</v>
      </c>
      <c r="U105">
        <f>IF($J105&gt;MAX('Match Log'!$A$4:$A$810),NA(),IFERROR(LOOKUP(2,1/(('Match Log'!$D$4:$D$810=$U$24)*('Match Log'!$A$4:$A$810&lt;=$J105)),'Match Log'!$N$4:$N$810),NA()))</f>
        <v>1008.415991786685</v>
      </c>
      <c r="V105">
        <f>IF($J105&gt;MAX('Match Log'!$A$4:$A$810),NA(),IFERROR(LOOKUP(2,1/(('Match Log'!$D$4:$D$810=$V$24)*('Match Log'!$A$4:$A$810&lt;=$J105)),'Match Log'!$N$4:$N$810),NA()))</f>
        <v>993.27766574578118</v>
      </c>
      <c r="W105">
        <f>IF($J105&gt;MAX('Match Log'!$A$4:$A$810),NA(),IFERROR(LOOKUP(2,1/(('Match Log'!$D$4:$D$810=$W$24)*('Match Log'!$A$4:$A$810&lt;=$J105)),'Match Log'!$N$4:$N$810),NA()))</f>
        <v>1038.5016461247724</v>
      </c>
      <c r="X105" t="e">
        <f>IF($J105&gt;MAX('Match Log'!$A$4:$A$810),NA(),IFERROR(LOOKUP(2,1/(('Match Log'!$D$4:$D$810=$X$24)*('Match Log'!$A$4:$A$810&lt;=$J105)),'Match Log'!$N$4:$N$810),NA()))</f>
        <v>#N/A</v>
      </c>
      <c r="Y105" t="str">
        <f t="shared" ca="1" si="24"/>
        <v/>
      </c>
    </row>
    <row r="106" spans="1:25" ht="15" customHeight="1" x14ac:dyDescent="0.2">
      <c r="A106">
        <v>82</v>
      </c>
      <c r="B106" s="132">
        <f>IFERROR(INDEX('Match Log'!$B$4:$B$810,MATCH(82,'Match Log'!$A$4:$A$810,0)),"")</f>
        <v>46188</v>
      </c>
      <c r="C106" t="str">
        <f>IFERROR(INDEX('Match Log'!$C$4:$C$810,MATCH(82,'Match Log'!$A$4:$A$810,0)),"")</f>
        <v>ShuffleBoard</v>
      </c>
      <c r="D106" t="str">
        <f>IFERROR(INDEX('Match Log'!$G$4:$G$810,MATCH(82,'Match Log'!$A$4:$A$810,0)),"")</f>
        <v>Daniel (Ferret)</v>
      </c>
      <c r="E106" s="133">
        <f>IFERROR(INDEX('Match Log'!$F$4:$F$810,MATCH(82,'Match Log'!$A$4:$A$810,0)),"")</f>
        <v>4</v>
      </c>
      <c r="F106">
        <f>IFERROR(SUMIFS('Match Log'!$I$4:$I$810,'Match Log'!$A$4:$A$810,82,'Match Log'!$E$4:$E$810,"Win"),"")</f>
        <v>0.68277945619335356</v>
      </c>
      <c r="G106">
        <f t="shared" si="22"/>
        <v>-1.7311178247734142</v>
      </c>
      <c r="H106" t="str">
        <f>IFERROR(IF($E106=2,LOOKUP(2,1/(('Match Log'!$A$4:$A$810=82)*('Match Log'!$E$4:$E$810="Loss")),'Match Log'!$D$4:$D$810),"the field"),"")</f>
        <v>the field</v>
      </c>
      <c r="I106">
        <f t="shared" si="23"/>
        <v>-1.7311998247734142</v>
      </c>
      <c r="J106">
        <v>82</v>
      </c>
      <c r="K106">
        <f>IF($J106&gt;MAX('Match Log'!$A$4:$A$810),NA(),IFERROR(LOOKUP(2,1/(('Match Log'!$D$4:$D$810=$K$24)*('Match Log'!$A$4:$A$810&lt;=$J106)),'Match Log'!$N$4:$N$810),NA()))</f>
        <v>1027.4579191199061</v>
      </c>
      <c r="L106">
        <f>IF($J106&gt;MAX('Match Log'!$A$4:$A$810),NA(),IFERROR(LOOKUP(2,1/(('Match Log'!$D$4:$D$810=$L$24)*('Match Log'!$A$4:$A$810&lt;=$J106)),'Match Log'!$N$4:$N$810),NA()))</f>
        <v>1031.0800363810649</v>
      </c>
      <c r="M106">
        <f>IF($J106&gt;MAX('Match Log'!$A$4:$A$810),NA(),IFERROR(LOOKUP(2,1/(('Match Log'!$D$4:$D$810=$M$24)*('Match Log'!$A$4:$A$810&lt;=$J106)),'Match Log'!$N$4:$N$810),NA()))</f>
        <v>1017.3466608720325</v>
      </c>
      <c r="N106">
        <f>IF($J106&gt;MAX('Match Log'!$A$4:$A$810),NA(),IFERROR(LOOKUP(2,1/(('Match Log'!$D$4:$D$810=$N$24)*('Match Log'!$A$4:$A$810&lt;=$J106)),'Match Log'!$N$4:$N$810),NA()))</f>
        <v>943.56352239528428</v>
      </c>
      <c r="O106">
        <f>IF($J106&gt;MAX('Match Log'!$A$4:$A$810),NA(),IFERROR(LOOKUP(2,1/(('Match Log'!$D$4:$D$810=$O$24)*('Match Log'!$A$4:$A$810&lt;=$J106)),'Match Log'!$N$4:$N$810),NA()))</f>
        <v>1180.3686394291749</v>
      </c>
      <c r="P106">
        <f>IF($J106&gt;MAX('Match Log'!$A$4:$A$810),NA(),IFERROR(LOOKUP(2,1/(('Match Log'!$D$4:$D$810=$P$24)*('Match Log'!$A$4:$A$810&lt;=$J106)),'Match Log'!$N$4:$N$810),NA()))</f>
        <v>1041.8596886886442</v>
      </c>
      <c r="Q106">
        <f>IF($J106&gt;MAX('Match Log'!$A$4:$A$810),NA(),IFERROR(LOOKUP(2,1/(('Match Log'!$D$4:$D$810=$Q$24)*('Match Log'!$A$4:$A$810&lt;=$J106)),'Match Log'!$N$4:$N$810),NA()))</f>
        <v>1150.2170238004801</v>
      </c>
      <c r="R106">
        <f>IF($J106&gt;MAX('Match Log'!$A$4:$A$810),NA(),IFERROR(LOOKUP(2,1/(('Match Log'!$D$4:$D$810=$R$24)*('Match Log'!$A$4:$A$810&lt;=$J106)),'Match Log'!$N$4:$N$810),NA()))</f>
        <v>1079.4056650748485</v>
      </c>
      <c r="S106">
        <f>IF($J106&gt;MAX('Match Log'!$A$4:$A$810),NA(),IFERROR(LOOKUP(2,1/(('Match Log'!$D$4:$D$810=$S$24)*('Match Log'!$A$4:$A$810&lt;=$J106)),'Match Log'!$N$4:$N$810),NA()))</f>
        <v>1182.798895110644</v>
      </c>
      <c r="T106">
        <f>IF($J106&gt;MAX('Match Log'!$A$4:$A$810),NA(),IFERROR(LOOKUP(2,1/(('Match Log'!$D$4:$D$810=$T$24)*('Match Log'!$A$4:$A$810&lt;=$J106)),'Match Log'!$N$4:$N$810),NA()))</f>
        <v>907.72888112716782</v>
      </c>
      <c r="U106">
        <f>IF($J106&gt;MAX('Match Log'!$A$4:$A$810),NA(),IFERROR(LOOKUP(2,1/(('Match Log'!$D$4:$D$810=$U$24)*('Match Log'!$A$4:$A$810&lt;=$J106)),'Match Log'!$N$4:$N$810),NA()))</f>
        <v>1008.415991786685</v>
      </c>
      <c r="V106">
        <f>IF($J106&gt;MAX('Match Log'!$A$4:$A$810),NA(),IFERROR(LOOKUP(2,1/(('Match Log'!$D$4:$D$810=$V$24)*('Match Log'!$A$4:$A$810&lt;=$J106)),'Match Log'!$N$4:$N$810),NA()))</f>
        <v>991.25543008929583</v>
      </c>
      <c r="W106">
        <f>IF($J106&gt;MAX('Match Log'!$A$4:$A$810),NA(),IFERROR(LOOKUP(2,1/(('Match Log'!$D$4:$D$810=$W$24)*('Match Log'!$A$4:$A$810&lt;=$J106)),'Match Log'!$N$4:$N$810),NA()))</f>
        <v>1038.5016461247724</v>
      </c>
      <c r="X106" t="e">
        <f>IF($J106&gt;MAX('Match Log'!$A$4:$A$810),NA(),IFERROR(LOOKUP(2,1/(('Match Log'!$D$4:$D$810=$X$24)*('Match Log'!$A$4:$A$810&lt;=$J106)),'Match Log'!$N$4:$N$810),NA()))</f>
        <v>#N/A</v>
      </c>
      <c r="Y106" t="str">
        <f t="shared" ca="1" si="24"/>
        <v/>
      </c>
    </row>
    <row r="107" spans="1:25" ht="15" customHeight="1" x14ac:dyDescent="0.2">
      <c r="A107">
        <v>83</v>
      </c>
      <c r="B107" s="132">
        <f>IFERROR(INDEX('Match Log'!$B$4:$B$810,MATCH(83,'Match Log'!$A$4:$A$810,0)),"")</f>
        <v>46188</v>
      </c>
      <c r="C107" t="str">
        <f>IFERROR(INDEX('Match Log'!$C$4:$C$810,MATCH(83,'Match Log'!$A$4:$A$810,0)),"")</f>
        <v>ShuffleBoard</v>
      </c>
      <c r="D107" t="str">
        <f>IFERROR(INDEX('Match Log'!$G$4:$G$810,MATCH(83,'Match Log'!$A$4:$A$810,0)),"")</f>
        <v>Beau</v>
      </c>
      <c r="E107" s="133">
        <f>IFERROR(INDEX('Match Log'!$F$4:$F$810,MATCH(83,'Match Log'!$A$4:$A$810,0)),"")</f>
        <v>4</v>
      </c>
      <c r="F107">
        <f>IFERROR(SUMIFS('Match Log'!$I$4:$I$810,'Match Log'!$A$4:$A$810,83,'Match Log'!$E$4:$E$810,"Win"),"")</f>
        <v>0.35736742821211487</v>
      </c>
      <c r="G107">
        <f t="shared" si="22"/>
        <v>-0.42946971284845947</v>
      </c>
      <c r="H107" t="str">
        <f>IFERROR(IF($E107=2,LOOKUP(2,1/(('Match Log'!$A$4:$A$810=83)*('Match Log'!$E$4:$E$810="Loss")),'Match Log'!$D$4:$D$810),"the field"),"")</f>
        <v>the field</v>
      </c>
      <c r="I107">
        <f t="shared" si="23"/>
        <v>-0.42955271284845947</v>
      </c>
      <c r="J107">
        <v>83</v>
      </c>
      <c r="K107">
        <f>IF($J107&gt;MAX('Match Log'!$A$4:$A$810),NA(),IFERROR(LOOKUP(2,1/(('Match Log'!$D$4:$D$810=$K$24)*('Match Log'!$A$4:$A$810&lt;=$J107)),'Match Log'!$N$4:$N$810),NA()))</f>
        <v>1052.6051353789235</v>
      </c>
      <c r="L107">
        <f>IF($J107&gt;MAX('Match Log'!$A$4:$A$810),NA(),IFERROR(LOOKUP(2,1/(('Match Log'!$D$4:$D$810=$L$24)*('Match Log'!$A$4:$A$810&lt;=$J107)),'Match Log'!$N$4:$N$810),NA()))</f>
        <v>1053.8755444028154</v>
      </c>
      <c r="M107">
        <f>IF($J107&gt;MAX('Match Log'!$A$4:$A$810),NA(),IFERROR(LOOKUP(2,1/(('Match Log'!$D$4:$D$810=$M$24)*('Match Log'!$A$4:$A$810&lt;=$J107)),'Match Log'!$N$4:$N$810),NA()))</f>
        <v>1017.3466608720325</v>
      </c>
      <c r="N107">
        <f>IF($J107&gt;MAX('Match Log'!$A$4:$A$810),NA(),IFERROR(LOOKUP(2,1/(('Match Log'!$D$4:$D$810=$N$24)*('Match Log'!$A$4:$A$810&lt;=$J107)),'Match Log'!$N$4:$N$810),NA()))</f>
        <v>943.56352239528428</v>
      </c>
      <c r="O107">
        <f>IF($J107&gt;MAX('Match Log'!$A$4:$A$810),NA(),IFERROR(LOOKUP(2,1/(('Match Log'!$D$4:$D$810=$O$24)*('Match Log'!$A$4:$A$810&lt;=$J107)),'Match Log'!$N$4:$N$810),NA()))</f>
        <v>1180.3686394291749</v>
      </c>
      <c r="P107">
        <f>IF($J107&gt;MAX('Match Log'!$A$4:$A$810),NA(),IFERROR(LOOKUP(2,1/(('Match Log'!$D$4:$D$810=$P$24)*('Match Log'!$A$4:$A$810&lt;=$J107)),'Match Log'!$N$4:$N$810),NA()))</f>
        <v>1041.8596886886442</v>
      </c>
      <c r="Q107">
        <f>IF($J107&gt;MAX('Match Log'!$A$4:$A$810),NA(),IFERROR(LOOKUP(2,1/(('Match Log'!$D$4:$D$810=$Q$24)*('Match Log'!$A$4:$A$810&lt;=$J107)),'Match Log'!$N$4:$N$810),NA()))</f>
        <v>1150.2170238004801</v>
      </c>
      <c r="R107">
        <f>IF($J107&gt;MAX('Match Log'!$A$4:$A$810),NA(),IFERROR(LOOKUP(2,1/(('Match Log'!$D$4:$D$810=$R$24)*('Match Log'!$A$4:$A$810&lt;=$J107)),'Match Log'!$N$4:$N$810),NA()))</f>
        <v>1074.287951540447</v>
      </c>
      <c r="S107">
        <f>IF($J107&gt;MAX('Match Log'!$A$4:$A$810),NA(),IFERROR(LOOKUP(2,1/(('Match Log'!$D$4:$D$810=$S$24)*('Match Log'!$A$4:$A$810&lt;=$J107)),'Match Log'!$N$4:$N$810),NA()))</f>
        <v>1175.9738843642774</v>
      </c>
      <c r="T107">
        <f>IF($J107&gt;MAX('Match Log'!$A$4:$A$810),NA(),IFERROR(LOOKUP(2,1/(('Match Log'!$D$4:$D$810=$T$24)*('Match Log'!$A$4:$A$810&lt;=$J107)),'Match Log'!$N$4:$N$810),NA()))</f>
        <v>907.72888112716782</v>
      </c>
      <c r="U107">
        <f>IF($J107&gt;MAX('Match Log'!$A$4:$A$810),NA(),IFERROR(LOOKUP(2,1/(('Match Log'!$D$4:$D$810=$U$24)*('Match Log'!$A$4:$A$810&lt;=$J107)),'Match Log'!$N$4:$N$810),NA()))</f>
        <v>1008.415991786685</v>
      </c>
      <c r="V107">
        <f>IF($J107&gt;MAX('Match Log'!$A$4:$A$810),NA(),IFERROR(LOOKUP(2,1/(('Match Log'!$D$4:$D$810=$V$24)*('Match Log'!$A$4:$A$810&lt;=$J107)),'Match Log'!$N$4:$N$810),NA()))</f>
        <v>991.25543008929583</v>
      </c>
      <c r="W107">
        <f>IF($J107&gt;MAX('Match Log'!$A$4:$A$810),NA(),IFERROR(LOOKUP(2,1/(('Match Log'!$D$4:$D$810=$W$24)*('Match Log'!$A$4:$A$810&lt;=$J107)),'Match Log'!$N$4:$N$810),NA()))</f>
        <v>1038.5016461247724</v>
      </c>
      <c r="X107" t="e">
        <f>IF($J107&gt;MAX('Match Log'!$A$4:$A$810),NA(),IFERROR(LOOKUP(2,1/(('Match Log'!$D$4:$D$810=$X$24)*('Match Log'!$A$4:$A$810&lt;=$J107)),'Match Log'!$N$4:$N$810),NA()))</f>
        <v>#N/A</v>
      </c>
      <c r="Y107" t="str">
        <f t="shared" ca="1" si="24"/>
        <v/>
      </c>
    </row>
    <row r="108" spans="1:25" ht="15" customHeight="1" x14ac:dyDescent="0.2">
      <c r="A108">
        <v>84</v>
      </c>
      <c r="B108" s="132">
        <f>IFERROR(INDEX('Match Log'!$B$4:$B$810,MATCH(84,'Match Log'!$A$4:$A$810,0)),"")</f>
        <v>46188</v>
      </c>
      <c r="C108" t="str">
        <f>IFERROR(INDEX('Match Log'!$C$4:$C$810,MATCH(84,'Match Log'!$A$4:$A$810,0)),"")</f>
        <v>ShuffleBoard</v>
      </c>
      <c r="D108" t="str">
        <f>IFERROR(INDEX('Match Log'!$G$4:$G$810,MATCH(84,'Match Log'!$A$4:$A$810,0)),"")</f>
        <v>Beau</v>
      </c>
      <c r="E108" s="133">
        <f>IFERROR(INDEX('Match Log'!$F$4:$F$810,MATCH(84,'Match Log'!$A$4:$A$810,0)),"")</f>
        <v>4</v>
      </c>
      <c r="F108">
        <f>IFERROR(SUMIFS('Match Log'!$I$4:$I$810,'Match Log'!$A$4:$A$810,84,'Match Log'!$E$4:$E$810,"Win"),"")</f>
        <v>0.42912621359223302</v>
      </c>
      <c r="G108">
        <f t="shared" si="22"/>
        <v>-0.71650485436893208</v>
      </c>
      <c r="H108" t="str">
        <f>IFERROR(IF($E108=2,LOOKUP(2,1/(('Match Log'!$A$4:$A$810=84)*('Match Log'!$E$4:$E$810="Loss")),'Match Log'!$D$4:$D$810),"the field"),"")</f>
        <v>the field</v>
      </c>
      <c r="I108">
        <f t="shared" si="23"/>
        <v>-0.71658885436893205</v>
      </c>
      <c r="J108">
        <v>84</v>
      </c>
      <c r="K108">
        <f>IF($J108&gt;MAX('Match Log'!$A$4:$A$810),NA(),IFERROR(LOOKUP(2,1/(('Match Log'!$D$4:$D$810=$K$24)*('Match Log'!$A$4:$A$810&lt;=$J108)),'Match Log'!$N$4:$N$810),NA()))</f>
        <v>1076.5288742725706</v>
      </c>
      <c r="L108">
        <f>IF($J108&gt;MAX('Match Log'!$A$4:$A$810),NA(),IFERROR(LOOKUP(2,1/(('Match Log'!$D$4:$D$810=$L$24)*('Match Log'!$A$4:$A$810&lt;=$J108)),'Match Log'!$N$4:$N$810),NA()))</f>
        <v>1075.8808366945207</v>
      </c>
      <c r="M108">
        <f>IF($J108&gt;MAX('Match Log'!$A$4:$A$810),NA(),IFERROR(LOOKUP(2,1/(('Match Log'!$D$4:$D$810=$M$24)*('Match Log'!$A$4:$A$810&lt;=$J108)),'Match Log'!$N$4:$N$810),NA()))</f>
        <v>1017.3466608720325</v>
      </c>
      <c r="N108">
        <f>IF($J108&gt;MAX('Match Log'!$A$4:$A$810),NA(),IFERROR(LOOKUP(2,1/(('Match Log'!$D$4:$D$810=$N$24)*('Match Log'!$A$4:$A$810&lt;=$J108)),'Match Log'!$N$4:$N$810),NA()))</f>
        <v>943.56352239528428</v>
      </c>
      <c r="O108">
        <f>IF($J108&gt;MAX('Match Log'!$A$4:$A$810),NA(),IFERROR(LOOKUP(2,1/(('Match Log'!$D$4:$D$810=$O$24)*('Match Log'!$A$4:$A$810&lt;=$J108)),'Match Log'!$N$4:$N$810),NA()))</f>
        <v>1180.3686394291749</v>
      </c>
      <c r="P108">
        <f>IF($J108&gt;MAX('Match Log'!$A$4:$A$810),NA(),IFERROR(LOOKUP(2,1/(('Match Log'!$D$4:$D$810=$P$24)*('Match Log'!$A$4:$A$810&lt;=$J108)),'Match Log'!$N$4:$N$810),NA()))</f>
        <v>1041.8596886886442</v>
      </c>
      <c r="Q108">
        <f>IF($J108&gt;MAX('Match Log'!$A$4:$A$810),NA(),IFERROR(LOOKUP(2,1/(('Match Log'!$D$4:$D$810=$Q$24)*('Match Log'!$A$4:$A$810&lt;=$J108)),'Match Log'!$N$4:$N$810),NA()))</f>
        <v>1143.555914353527</v>
      </c>
      <c r="R108">
        <f>IF($J108&gt;MAX('Match Log'!$A$4:$A$810),NA(),IFERROR(LOOKUP(2,1/(('Match Log'!$D$4:$D$810=$R$24)*('Match Log'!$A$4:$A$810&lt;=$J108)),'Match Log'!$N$4:$N$810),NA()))</f>
        <v>1074.287951540447</v>
      </c>
      <c r="S108">
        <f>IF($J108&gt;MAX('Match Log'!$A$4:$A$810),NA(),IFERROR(LOOKUP(2,1/(('Match Log'!$D$4:$D$810=$S$24)*('Match Log'!$A$4:$A$810&lt;=$J108)),'Match Log'!$N$4:$N$810),NA()))</f>
        <v>1175.9738843642774</v>
      </c>
      <c r="T108">
        <f>IF($J108&gt;MAX('Match Log'!$A$4:$A$810),NA(),IFERROR(LOOKUP(2,1/(('Match Log'!$D$4:$D$810=$T$24)*('Match Log'!$A$4:$A$810&lt;=$J108)),'Match Log'!$N$4:$N$810),NA()))</f>
        <v>907.72888112716782</v>
      </c>
      <c r="U108">
        <f>IF($J108&gt;MAX('Match Log'!$A$4:$A$810),NA(),IFERROR(LOOKUP(2,1/(('Match Log'!$D$4:$D$810=$U$24)*('Match Log'!$A$4:$A$810&lt;=$J108)),'Match Log'!$N$4:$N$810),NA()))</f>
        <v>1005.1480700482857</v>
      </c>
      <c r="V108">
        <f>IF($J108&gt;MAX('Match Log'!$A$4:$A$810),NA(),IFERROR(LOOKUP(2,1/(('Match Log'!$D$4:$D$810=$V$24)*('Match Log'!$A$4:$A$810&lt;=$J108)),'Match Log'!$N$4:$N$810),NA()))</f>
        <v>991.25543008929583</v>
      </c>
      <c r="W108">
        <f>IF($J108&gt;MAX('Match Log'!$A$4:$A$810),NA(),IFERROR(LOOKUP(2,1/(('Match Log'!$D$4:$D$810=$W$24)*('Match Log'!$A$4:$A$810&lt;=$J108)),'Match Log'!$N$4:$N$810),NA()))</f>
        <v>1038.5016461247724</v>
      </c>
      <c r="X108" t="e">
        <f>IF($J108&gt;MAX('Match Log'!$A$4:$A$810),NA(),IFERROR(LOOKUP(2,1/(('Match Log'!$D$4:$D$810=$X$24)*('Match Log'!$A$4:$A$810&lt;=$J108)),'Match Log'!$N$4:$N$810),NA()))</f>
        <v>#N/A</v>
      </c>
      <c r="Y108" t="str">
        <f t="shared" ca="1" si="24"/>
        <v/>
      </c>
    </row>
    <row r="109" spans="1:25" ht="15" customHeight="1" x14ac:dyDescent="0.2">
      <c r="A109">
        <v>85</v>
      </c>
      <c r="B109" s="132">
        <f>IFERROR(INDEX('Match Log'!$B$4:$B$810,MATCH(85,'Match Log'!$A$4:$A$810,0)),"")</f>
        <v>46188</v>
      </c>
      <c r="C109" t="str">
        <f>IFERROR(INDEX('Match Log'!$C$4:$C$810,MATCH(85,'Match Log'!$A$4:$A$810,0)),"")</f>
        <v>ShuffleBoard</v>
      </c>
      <c r="D109" t="str">
        <f>IFERROR(INDEX('Match Log'!$G$4:$G$810,MATCH(85,'Match Log'!$A$4:$A$810,0)),"")</f>
        <v>David</v>
      </c>
      <c r="E109" s="133">
        <f>IFERROR(INDEX('Match Log'!$F$4:$F$810,MATCH(85,'Match Log'!$A$4:$A$810,0)),"")</f>
        <v>4</v>
      </c>
      <c r="F109">
        <f>IFERROR(SUMIFS('Match Log'!$I$4:$I$810,'Match Log'!$A$4:$A$810,85,'Match Log'!$E$4:$E$810,"Win"),"")</f>
        <v>0.31800467653936093</v>
      </c>
      <c r="G109">
        <f t="shared" si="22"/>
        <v>-0.27201870615744372</v>
      </c>
      <c r="H109" t="str">
        <f>IFERROR(IF($E109=2,LOOKUP(2,1/(('Match Log'!$A$4:$A$810=85)*('Match Log'!$E$4:$E$810="Loss")),'Match Log'!$D$4:$D$810),"the field"),"")</f>
        <v>the field</v>
      </c>
      <c r="I109">
        <f t="shared" si="23"/>
        <v>-0.27210370615744373</v>
      </c>
      <c r="J109">
        <v>85</v>
      </c>
      <c r="K109">
        <f>IF($J109&gt;MAX('Match Log'!$A$4:$A$810),NA(),IFERROR(LOOKUP(2,1/(('Match Log'!$D$4:$D$810=$K$24)*('Match Log'!$A$4:$A$810&lt;=$J109)),'Match Log'!$N$4:$N$810),NA()))</f>
        <v>1071.6001753974281</v>
      </c>
      <c r="L109">
        <f>IF($J109&gt;MAX('Match Log'!$A$4:$A$810),NA(),IFERROR(LOOKUP(2,1/(('Match Log'!$D$4:$D$810=$L$24)*('Match Log'!$A$4:$A$810&lt;=$J109)),'Match Log'!$N$4:$N$810),NA()))</f>
        <v>1068.233898610468</v>
      </c>
      <c r="M109">
        <f>IF($J109&gt;MAX('Match Log'!$A$4:$A$810),NA(),IFERROR(LOOKUP(2,1/(('Match Log'!$D$4:$D$810=$M$24)*('Match Log'!$A$4:$A$810&lt;=$J109)),'Match Log'!$N$4:$N$810),NA()))</f>
        <v>1017.3466608720325</v>
      </c>
      <c r="N109">
        <f>IF($J109&gt;MAX('Match Log'!$A$4:$A$810),NA(),IFERROR(LOOKUP(2,1/(('Match Log'!$D$4:$D$810=$N$24)*('Match Log'!$A$4:$A$810&lt;=$J109)),'Match Log'!$N$4:$N$810),NA()))</f>
        <v>967.51463004089896</v>
      </c>
      <c r="O109">
        <f>IF($J109&gt;MAX('Match Log'!$A$4:$A$810),NA(),IFERROR(LOOKUP(2,1/(('Match Log'!$D$4:$D$810=$O$24)*('Match Log'!$A$4:$A$810&lt;=$J109)),'Match Log'!$N$4:$N$810),NA()))</f>
        <v>1180.3686394291749</v>
      </c>
      <c r="P109">
        <f>IF($J109&gt;MAX('Match Log'!$A$4:$A$810),NA(),IFERROR(LOOKUP(2,1/(('Match Log'!$D$4:$D$810=$P$24)*('Match Log'!$A$4:$A$810&lt;=$J109)),'Match Log'!$N$4:$N$810),NA()))</f>
        <v>1041.8596886886442</v>
      </c>
      <c r="Q109">
        <f>IF($J109&gt;MAX('Match Log'!$A$4:$A$810),NA(),IFERROR(LOOKUP(2,1/(('Match Log'!$D$4:$D$810=$Q$24)*('Match Log'!$A$4:$A$810&lt;=$J109)),'Match Log'!$N$4:$N$810),NA()))</f>
        <v>1143.555914353527</v>
      </c>
      <c r="R109">
        <f>IF($J109&gt;MAX('Match Log'!$A$4:$A$810),NA(),IFERROR(LOOKUP(2,1/(('Match Log'!$D$4:$D$810=$R$24)*('Match Log'!$A$4:$A$810&lt;=$J109)),'Match Log'!$N$4:$N$810),NA()))</f>
        <v>1074.287951540447</v>
      </c>
      <c r="S109">
        <f>IF($J109&gt;MAX('Match Log'!$A$4:$A$810),NA(),IFERROR(LOOKUP(2,1/(('Match Log'!$D$4:$D$810=$S$24)*('Match Log'!$A$4:$A$810&lt;=$J109)),'Match Log'!$N$4:$N$810),NA()))</f>
        <v>1175.9738843642774</v>
      </c>
      <c r="T109">
        <f>IF($J109&gt;MAX('Match Log'!$A$4:$A$810),NA(),IFERROR(LOOKUP(2,1/(('Match Log'!$D$4:$D$810=$T$24)*('Match Log'!$A$4:$A$810&lt;=$J109)),'Match Log'!$N$4:$N$810),NA()))</f>
        <v>907.72888112716782</v>
      </c>
      <c r="U109">
        <f>IF($J109&gt;MAX('Match Log'!$A$4:$A$810),NA(),IFERROR(LOOKUP(2,1/(('Match Log'!$D$4:$D$810=$U$24)*('Match Log'!$A$4:$A$810&lt;=$J109)),'Match Log'!$N$4:$N$810),NA()))</f>
        <v>1005.1480700482857</v>
      </c>
      <c r="V109">
        <f>IF($J109&gt;MAX('Match Log'!$A$4:$A$810),NA(),IFERROR(LOOKUP(2,1/(('Match Log'!$D$4:$D$810=$V$24)*('Match Log'!$A$4:$A$810&lt;=$J109)),'Match Log'!$N$4:$N$810),NA()))</f>
        <v>1015.8799594028762</v>
      </c>
      <c r="W109">
        <f>IF($J109&gt;MAX('Match Log'!$A$4:$A$810),NA(),IFERROR(LOOKUP(2,1/(('Match Log'!$D$4:$D$810=$W$24)*('Match Log'!$A$4:$A$810&lt;=$J109)),'Match Log'!$N$4:$N$810),NA()))</f>
        <v>1038.5016461247724</v>
      </c>
      <c r="X109" t="e">
        <f>IF($J109&gt;MAX('Match Log'!$A$4:$A$810),NA(),IFERROR(LOOKUP(2,1/(('Match Log'!$D$4:$D$810=$X$24)*('Match Log'!$A$4:$A$810&lt;=$J109)),'Match Log'!$N$4:$N$810),NA()))</f>
        <v>#N/A</v>
      </c>
      <c r="Y109" t="str">
        <f t="shared" ca="1" si="24"/>
        <v/>
      </c>
    </row>
    <row r="110" spans="1:25" ht="15" customHeight="1" x14ac:dyDescent="0.2">
      <c r="A110">
        <v>86</v>
      </c>
      <c r="B110" s="132">
        <f>IFERROR(INDEX('Match Log'!$B$4:$B$810,MATCH(86,'Match Log'!$A$4:$A$810,0)),"")</f>
        <v>46188</v>
      </c>
      <c r="C110" t="str">
        <f>IFERROR(INDEX('Match Log'!$C$4:$C$810,MATCH(86,'Match Log'!$A$4:$A$810,0)),"")</f>
        <v>ShuffleBoard</v>
      </c>
      <c r="D110" t="str">
        <f>IFERROR(INDEX('Match Log'!$G$4:$G$810,MATCH(86,'Match Log'!$A$4:$A$810,0)),"")</f>
        <v>David</v>
      </c>
      <c r="E110" s="133">
        <f>IFERROR(INDEX('Match Log'!$F$4:$F$810,MATCH(86,'Match Log'!$A$4:$A$810,0)),"")</f>
        <v>4</v>
      </c>
      <c r="F110">
        <f>IFERROR(SUMIFS('Match Log'!$I$4:$I$810,'Match Log'!$A$4:$A$810,86,'Match Log'!$E$4:$E$810,"Win"),"")</f>
        <v>0.4285714285714286</v>
      </c>
      <c r="G110">
        <f t="shared" si="22"/>
        <v>-0.71428571428571441</v>
      </c>
      <c r="H110" t="str">
        <f>IFERROR(IF($E110=2,LOOKUP(2,1/(('Match Log'!$A$4:$A$810=86)*('Match Log'!$E$4:$E$810="Loss")),'Match Log'!$D$4:$D$810),"the field"),"")</f>
        <v>the field</v>
      </c>
      <c r="I110">
        <f t="shared" si="23"/>
        <v>-0.71437171428571444</v>
      </c>
      <c r="J110">
        <v>86</v>
      </c>
      <c r="K110">
        <f>IF($J110&gt;MAX('Match Log'!$A$4:$A$810),NA(),IFERROR(LOOKUP(2,1/(('Match Log'!$D$4:$D$810=$K$24)*('Match Log'!$A$4:$A$810&lt;=$J110)),'Match Log'!$N$4:$N$810),NA()))</f>
        <v>1071.6001753974281</v>
      </c>
      <c r="L110">
        <f>IF($J110&gt;MAX('Match Log'!$A$4:$A$810),NA(),IFERROR(LOOKUP(2,1/(('Match Log'!$D$4:$D$810=$L$24)*('Match Log'!$A$4:$A$810&lt;=$J110)),'Match Log'!$N$4:$N$810),NA()))</f>
        <v>1068.233898610468</v>
      </c>
      <c r="M110">
        <f>IF($J110&gt;MAX('Match Log'!$A$4:$A$810),NA(),IFERROR(LOOKUP(2,1/(('Match Log'!$D$4:$D$810=$M$24)*('Match Log'!$A$4:$A$810&lt;=$J110)),'Match Log'!$N$4:$N$810),NA()))</f>
        <v>1017.3466608720325</v>
      </c>
      <c r="N110">
        <f>IF($J110&gt;MAX('Match Log'!$A$4:$A$810),NA(),IFERROR(LOOKUP(2,1/(('Match Log'!$D$4:$D$810=$N$24)*('Match Log'!$A$4:$A$810&lt;=$J110)),'Match Log'!$N$4:$N$810),NA()))</f>
        <v>990.8737469852914</v>
      </c>
      <c r="O110">
        <f>IF($J110&gt;MAX('Match Log'!$A$4:$A$810),NA(),IFERROR(LOOKUP(2,1/(('Match Log'!$D$4:$D$810=$O$24)*('Match Log'!$A$4:$A$810&lt;=$J110)),'Match Log'!$N$4:$N$810),NA()))</f>
        <v>1174.6803700391565</v>
      </c>
      <c r="P110">
        <f>IF($J110&gt;MAX('Match Log'!$A$4:$A$810),NA(),IFERROR(LOOKUP(2,1/(('Match Log'!$D$4:$D$810=$P$24)*('Match Log'!$A$4:$A$810&lt;=$J110)),'Match Log'!$N$4:$N$810),NA()))</f>
        <v>1036.5272031814743</v>
      </c>
      <c r="Q110">
        <f>IF($J110&gt;MAX('Match Log'!$A$4:$A$810),NA(),IFERROR(LOOKUP(2,1/(('Match Log'!$D$4:$D$810=$Q$24)*('Match Log'!$A$4:$A$810&lt;=$J110)),'Match Log'!$N$4:$N$810),NA()))</f>
        <v>1143.555914353527</v>
      </c>
      <c r="R110">
        <f>IF($J110&gt;MAX('Match Log'!$A$4:$A$810),NA(),IFERROR(LOOKUP(2,1/(('Match Log'!$D$4:$D$810=$R$24)*('Match Log'!$A$4:$A$810&lt;=$J110)),'Match Log'!$N$4:$N$810),NA()))</f>
        <v>1074.287951540447</v>
      </c>
      <c r="S110">
        <f>IF($J110&gt;MAX('Match Log'!$A$4:$A$810),NA(),IFERROR(LOOKUP(2,1/(('Match Log'!$D$4:$D$810=$S$24)*('Match Log'!$A$4:$A$810&lt;=$J110)),'Match Log'!$N$4:$N$810),NA()))</f>
        <v>1175.9738843642774</v>
      </c>
      <c r="T110">
        <f>IF($J110&gt;MAX('Match Log'!$A$4:$A$810),NA(),IFERROR(LOOKUP(2,1/(('Match Log'!$D$4:$D$810=$T$24)*('Match Log'!$A$4:$A$810&lt;=$J110)),'Match Log'!$N$4:$N$810),NA()))</f>
        <v>907.72888112716782</v>
      </c>
      <c r="U110">
        <f>IF($J110&gt;MAX('Match Log'!$A$4:$A$810),NA(),IFERROR(LOOKUP(2,1/(('Match Log'!$D$4:$D$810=$U$24)*('Match Log'!$A$4:$A$810&lt;=$J110)),'Match Log'!$N$4:$N$810),NA()))</f>
        <v>1005.1480700482857</v>
      </c>
      <c r="V110">
        <f>IF($J110&gt;MAX('Match Log'!$A$4:$A$810),NA(),IFERROR(LOOKUP(2,1/(('Match Log'!$D$4:$D$810=$V$24)*('Match Log'!$A$4:$A$810&lt;=$J110)),'Match Log'!$N$4:$N$810),NA()))</f>
        <v>1039.5415973556721</v>
      </c>
      <c r="W110">
        <f>IF($J110&gt;MAX('Match Log'!$A$4:$A$810),NA(),IFERROR(LOOKUP(2,1/(('Match Log'!$D$4:$D$810=$W$24)*('Match Log'!$A$4:$A$810&lt;=$J110)),'Match Log'!$N$4:$N$810),NA()))</f>
        <v>1038.5016461247724</v>
      </c>
      <c r="X110" t="e">
        <f>IF($J110&gt;MAX('Match Log'!$A$4:$A$810),NA(),IFERROR(LOOKUP(2,1/(('Match Log'!$D$4:$D$810=$X$24)*('Match Log'!$A$4:$A$810&lt;=$J110)),'Match Log'!$N$4:$N$810),NA()))</f>
        <v>#N/A</v>
      </c>
      <c r="Y110" t="str">
        <f t="shared" ca="1" si="24"/>
        <v/>
      </c>
    </row>
    <row r="111" spans="1:25" ht="15" customHeight="1" x14ac:dyDescent="0.2">
      <c r="A111">
        <v>87</v>
      </c>
      <c r="B111" s="132">
        <f>IFERROR(INDEX('Match Log'!$B$4:$B$810,MATCH(87,'Match Log'!$A$4:$A$810,0)),"")</f>
        <v>46188</v>
      </c>
      <c r="C111" t="str">
        <f>IFERROR(INDEX('Match Log'!$C$4:$C$810,MATCH(87,'Match Log'!$A$4:$A$810,0)),"")</f>
        <v>Pool</v>
      </c>
      <c r="D111" t="str">
        <f>IFERROR(INDEX('Match Log'!$G$4:$G$810,MATCH(87,'Match Log'!$A$4:$A$810,0)),"")</f>
        <v>Simon</v>
      </c>
      <c r="E111" s="133">
        <f>IFERROR(INDEX('Match Log'!$F$4:$F$810,MATCH(87,'Match Log'!$A$4:$A$810,0)),"")</f>
        <v>2</v>
      </c>
      <c r="F111">
        <f>IFERROR(SUMIFS('Match Log'!$I$4:$I$810,'Match Log'!$A$4:$A$810,87,'Match Log'!$E$4:$E$810,"Win"),"")</f>
        <v>0.5</v>
      </c>
      <c r="G111">
        <f t="shared" si="22"/>
        <v>0</v>
      </c>
      <c r="H111" t="str">
        <f>IFERROR(IF($E111=2,LOOKUP(2,1/(('Match Log'!$A$4:$A$810=87)*('Match Log'!$E$4:$E$810="Loss")),'Match Log'!$D$4:$D$810),"the field"),"")</f>
        <v>Dean B</v>
      </c>
      <c r="I111">
        <f t="shared" si="23"/>
        <v>-8.7000000000000001E-5</v>
      </c>
      <c r="J111">
        <v>87</v>
      </c>
      <c r="K111">
        <f>IF($J111&gt;MAX('Match Log'!$A$4:$A$810),NA(),IFERROR(LOOKUP(2,1/(('Match Log'!$D$4:$D$810=$K$24)*('Match Log'!$A$4:$A$810&lt;=$J111)),'Match Log'!$N$4:$N$810),NA()))</f>
        <v>1071.6001753974281</v>
      </c>
      <c r="L111">
        <f>IF($J111&gt;MAX('Match Log'!$A$4:$A$810),NA(),IFERROR(LOOKUP(2,1/(('Match Log'!$D$4:$D$810=$L$24)*('Match Log'!$A$4:$A$810&lt;=$J111)),'Match Log'!$N$4:$N$810),NA()))</f>
        <v>1068.233898610468</v>
      </c>
      <c r="M111">
        <f>IF($J111&gt;MAX('Match Log'!$A$4:$A$810),NA(),IFERROR(LOOKUP(2,1/(('Match Log'!$D$4:$D$810=$M$24)*('Match Log'!$A$4:$A$810&lt;=$J111)),'Match Log'!$N$4:$N$810),NA()))</f>
        <v>1017.3466608720325</v>
      </c>
      <c r="N111">
        <f>IF($J111&gt;MAX('Match Log'!$A$4:$A$810),NA(),IFERROR(LOOKUP(2,1/(('Match Log'!$D$4:$D$810=$N$24)*('Match Log'!$A$4:$A$810&lt;=$J111)),'Match Log'!$N$4:$N$810),NA()))</f>
        <v>990.8737469852914</v>
      </c>
      <c r="O111">
        <f>IF($J111&gt;MAX('Match Log'!$A$4:$A$810),NA(),IFERROR(LOOKUP(2,1/(('Match Log'!$D$4:$D$810=$O$24)*('Match Log'!$A$4:$A$810&lt;=$J111)),'Match Log'!$N$4:$N$810),NA()))</f>
        <v>1174.6803700391565</v>
      </c>
      <c r="P111">
        <f>IF($J111&gt;MAX('Match Log'!$A$4:$A$810),NA(),IFERROR(LOOKUP(2,1/(('Match Log'!$D$4:$D$810=$P$24)*('Match Log'!$A$4:$A$810&lt;=$J111)),'Match Log'!$N$4:$N$810),NA()))</f>
        <v>1036.5272031814743</v>
      </c>
      <c r="Q111">
        <f>IF($J111&gt;MAX('Match Log'!$A$4:$A$810),NA(),IFERROR(LOOKUP(2,1/(('Match Log'!$D$4:$D$810=$Q$24)*('Match Log'!$A$4:$A$810&lt;=$J111)),'Match Log'!$N$4:$N$810),NA()))</f>
        <v>1163.3612902769837</v>
      </c>
      <c r="R111">
        <f>IF($J111&gt;MAX('Match Log'!$A$4:$A$810),NA(),IFERROR(LOOKUP(2,1/(('Match Log'!$D$4:$D$810=$R$24)*('Match Log'!$A$4:$A$810&lt;=$J111)),'Match Log'!$N$4:$N$810),NA()))</f>
        <v>1074.287951540447</v>
      </c>
      <c r="S111">
        <f>IF($J111&gt;MAX('Match Log'!$A$4:$A$810),NA(),IFERROR(LOOKUP(2,1/(('Match Log'!$D$4:$D$810=$S$24)*('Match Log'!$A$4:$A$810&lt;=$J111)),'Match Log'!$N$4:$N$810),NA()))</f>
        <v>1156.1685084408207</v>
      </c>
      <c r="T111">
        <f>IF($J111&gt;MAX('Match Log'!$A$4:$A$810),NA(),IFERROR(LOOKUP(2,1/(('Match Log'!$D$4:$D$810=$T$24)*('Match Log'!$A$4:$A$810&lt;=$J111)),'Match Log'!$N$4:$N$810),NA()))</f>
        <v>907.72888112716782</v>
      </c>
      <c r="U111">
        <f>IF($J111&gt;MAX('Match Log'!$A$4:$A$810),NA(),IFERROR(LOOKUP(2,1/(('Match Log'!$D$4:$D$810=$U$24)*('Match Log'!$A$4:$A$810&lt;=$J111)),'Match Log'!$N$4:$N$810),NA()))</f>
        <v>1005.1480700482857</v>
      </c>
      <c r="V111">
        <f>IF($J111&gt;MAX('Match Log'!$A$4:$A$810),NA(),IFERROR(LOOKUP(2,1/(('Match Log'!$D$4:$D$810=$V$24)*('Match Log'!$A$4:$A$810&lt;=$J111)),'Match Log'!$N$4:$N$810),NA()))</f>
        <v>1039.5415973556721</v>
      </c>
      <c r="W111">
        <f>IF($J111&gt;MAX('Match Log'!$A$4:$A$810),NA(),IFERROR(LOOKUP(2,1/(('Match Log'!$D$4:$D$810=$W$24)*('Match Log'!$A$4:$A$810&lt;=$J111)),'Match Log'!$N$4:$N$810),NA()))</f>
        <v>1038.5016461247724</v>
      </c>
      <c r="X111" t="e">
        <f>IF($J111&gt;MAX('Match Log'!$A$4:$A$810),NA(),IFERROR(LOOKUP(2,1/(('Match Log'!$D$4:$D$810=$X$24)*('Match Log'!$A$4:$A$810&lt;=$J111)),'Match Log'!$N$4:$N$810),NA()))</f>
        <v>#N/A</v>
      </c>
      <c r="Y111" t="str">
        <f t="shared" ca="1" si="24"/>
        <v/>
      </c>
    </row>
    <row r="112" spans="1:25" ht="15" customHeight="1" x14ac:dyDescent="0.2">
      <c r="A112">
        <v>88</v>
      </c>
      <c r="B112" s="132">
        <f>IFERROR(INDEX('Match Log'!$B$4:$B$810,MATCH(88,'Match Log'!$A$4:$A$810,0)),"")</f>
        <v>46188</v>
      </c>
      <c r="C112" t="str">
        <f>IFERROR(INDEX('Match Log'!$C$4:$C$810,MATCH(88,'Match Log'!$A$4:$A$810,0)),"")</f>
        <v>Pool</v>
      </c>
      <c r="D112" t="str">
        <f>IFERROR(INDEX('Match Log'!$G$4:$G$810,MATCH(88,'Match Log'!$A$4:$A$810,0)),"")</f>
        <v>Simon</v>
      </c>
      <c r="E112" s="133">
        <f>IFERROR(INDEX('Match Log'!$F$4:$F$810,MATCH(88,'Match Log'!$A$4:$A$810,0)),"")</f>
        <v>2</v>
      </c>
      <c r="F112">
        <f>IFERROR(SUMIFS('Match Log'!$I$4:$I$810,'Match Log'!$A$4:$A$810,88,'Match Log'!$E$4:$E$810,"Win"),"")</f>
        <v>0.60869565217391308</v>
      </c>
      <c r="G112">
        <f t="shared" si="22"/>
        <v>-0.21739130434782616</v>
      </c>
      <c r="H112" t="str">
        <f>IFERROR(IF($E112=2,LOOKUP(2,1/(('Match Log'!$A$4:$A$810=88)*('Match Log'!$E$4:$E$810="Loss")),'Match Log'!$D$4:$D$810),"the field"),"")</f>
        <v>Dean B</v>
      </c>
      <c r="I112">
        <f t="shared" si="23"/>
        <v>-0.21747930434782617</v>
      </c>
      <c r="J112">
        <v>88</v>
      </c>
      <c r="K112">
        <f>IF($J112&gt;MAX('Match Log'!$A$4:$A$810),NA(),IFERROR(LOOKUP(2,1/(('Match Log'!$D$4:$D$810=$K$24)*('Match Log'!$A$4:$A$810&lt;=$J112)),'Match Log'!$N$4:$N$810),NA()))</f>
        <v>1071.6001753974281</v>
      </c>
      <c r="L112">
        <f>IF($J112&gt;MAX('Match Log'!$A$4:$A$810),NA(),IFERROR(LOOKUP(2,1/(('Match Log'!$D$4:$D$810=$L$24)*('Match Log'!$A$4:$A$810&lt;=$J112)),'Match Log'!$N$4:$N$810),NA()))</f>
        <v>1068.233898610468</v>
      </c>
      <c r="M112">
        <f>IF($J112&gt;MAX('Match Log'!$A$4:$A$810),NA(),IFERROR(LOOKUP(2,1/(('Match Log'!$D$4:$D$810=$M$24)*('Match Log'!$A$4:$A$810&lt;=$J112)),'Match Log'!$N$4:$N$810),NA()))</f>
        <v>1017.3466608720325</v>
      </c>
      <c r="N112">
        <f>IF($J112&gt;MAX('Match Log'!$A$4:$A$810),NA(),IFERROR(LOOKUP(2,1/(('Match Log'!$D$4:$D$810=$N$24)*('Match Log'!$A$4:$A$810&lt;=$J112)),'Match Log'!$N$4:$N$810),NA()))</f>
        <v>990.8737469852914</v>
      </c>
      <c r="O112">
        <f>IF($J112&gt;MAX('Match Log'!$A$4:$A$810),NA(),IFERROR(LOOKUP(2,1/(('Match Log'!$D$4:$D$810=$O$24)*('Match Log'!$A$4:$A$810&lt;=$J112)),'Match Log'!$N$4:$N$810),NA()))</f>
        <v>1174.6803700391565</v>
      </c>
      <c r="P112">
        <f>IF($J112&gt;MAX('Match Log'!$A$4:$A$810),NA(),IFERROR(LOOKUP(2,1/(('Match Log'!$D$4:$D$810=$P$24)*('Match Log'!$A$4:$A$810&lt;=$J112)),'Match Log'!$N$4:$N$810),NA()))</f>
        <v>1036.5272031814743</v>
      </c>
      <c r="Q112">
        <f>IF($J112&gt;MAX('Match Log'!$A$4:$A$810),NA(),IFERROR(LOOKUP(2,1/(('Match Log'!$D$4:$D$810=$Q$24)*('Match Log'!$A$4:$A$810&lt;=$J112)),'Match Log'!$N$4:$N$810),NA()))</f>
        <v>1180.8318965818212</v>
      </c>
      <c r="R112">
        <f>IF($J112&gt;MAX('Match Log'!$A$4:$A$810),NA(),IFERROR(LOOKUP(2,1/(('Match Log'!$D$4:$D$810=$R$24)*('Match Log'!$A$4:$A$810&lt;=$J112)),'Match Log'!$N$4:$N$810),NA()))</f>
        <v>1074.287951540447</v>
      </c>
      <c r="S112">
        <f>IF($J112&gt;MAX('Match Log'!$A$4:$A$810),NA(),IFERROR(LOOKUP(2,1/(('Match Log'!$D$4:$D$810=$S$24)*('Match Log'!$A$4:$A$810&lt;=$J112)),'Match Log'!$N$4:$N$810),NA()))</f>
        <v>1138.6979021359832</v>
      </c>
      <c r="T112">
        <f>IF($J112&gt;MAX('Match Log'!$A$4:$A$810),NA(),IFERROR(LOOKUP(2,1/(('Match Log'!$D$4:$D$810=$T$24)*('Match Log'!$A$4:$A$810&lt;=$J112)),'Match Log'!$N$4:$N$810),NA()))</f>
        <v>907.72888112716782</v>
      </c>
      <c r="U112">
        <f>IF($J112&gt;MAX('Match Log'!$A$4:$A$810),NA(),IFERROR(LOOKUP(2,1/(('Match Log'!$D$4:$D$810=$U$24)*('Match Log'!$A$4:$A$810&lt;=$J112)),'Match Log'!$N$4:$N$810),NA()))</f>
        <v>1005.1480700482857</v>
      </c>
      <c r="V112">
        <f>IF($J112&gt;MAX('Match Log'!$A$4:$A$810),NA(),IFERROR(LOOKUP(2,1/(('Match Log'!$D$4:$D$810=$V$24)*('Match Log'!$A$4:$A$810&lt;=$J112)),'Match Log'!$N$4:$N$810),NA()))</f>
        <v>1039.5415973556721</v>
      </c>
      <c r="W112">
        <f>IF($J112&gt;MAX('Match Log'!$A$4:$A$810),NA(),IFERROR(LOOKUP(2,1/(('Match Log'!$D$4:$D$810=$W$24)*('Match Log'!$A$4:$A$810&lt;=$J112)),'Match Log'!$N$4:$N$810),NA()))</f>
        <v>1038.5016461247724</v>
      </c>
      <c r="X112" t="e">
        <f>IF($J112&gt;MAX('Match Log'!$A$4:$A$810),NA(),IFERROR(LOOKUP(2,1/(('Match Log'!$D$4:$D$810=$X$24)*('Match Log'!$A$4:$A$810&lt;=$J112)),'Match Log'!$N$4:$N$810),NA()))</f>
        <v>#N/A</v>
      </c>
      <c r="Y112" t="str">
        <f t="shared" ca="1" si="24"/>
        <v/>
      </c>
    </row>
    <row r="113" spans="1:25" ht="15" customHeight="1" x14ac:dyDescent="0.2">
      <c r="A113">
        <v>89</v>
      </c>
      <c r="B113" s="132">
        <f>IFERROR(INDEX('Match Log'!$B$4:$B$810,MATCH(89,'Match Log'!$A$4:$A$810,0)),"")</f>
        <v>46188</v>
      </c>
      <c r="C113" t="str">
        <f>IFERROR(INDEX('Match Log'!$C$4:$C$810,MATCH(89,'Match Log'!$A$4:$A$810,0)),"")</f>
        <v>Mario Party</v>
      </c>
      <c r="D113" t="str">
        <f>IFERROR(INDEX('Match Log'!$G$4:$G$810,MATCH(89,'Match Log'!$A$4:$A$810,0)),"")</f>
        <v>Daniel (Ferret)</v>
      </c>
      <c r="E113" s="133">
        <f>IFERROR(INDEX('Match Log'!$F$4:$F$810,MATCH(89,'Match Log'!$A$4:$A$810,0)),"")</f>
        <v>3</v>
      </c>
      <c r="F113">
        <f>IFERROR(SUMIFS('Match Log'!$I$4:$I$810,'Match Log'!$A$4:$A$810,89,'Match Log'!$E$4:$E$810,"Win"),"")</f>
        <v>0.33333333333333331</v>
      </c>
      <c r="G113">
        <f t="shared" si="22"/>
        <v>0</v>
      </c>
      <c r="H113" t="str">
        <f>IFERROR(IF($E113=2,LOOKUP(2,1/(('Match Log'!$A$4:$A$810=89)*('Match Log'!$E$4:$E$810="Loss")),'Match Log'!$D$4:$D$810),"the field"),"")</f>
        <v>the field</v>
      </c>
      <c r="I113">
        <f t="shared" si="23"/>
        <v>-8.8999999999999995E-5</v>
      </c>
      <c r="J113">
        <v>89</v>
      </c>
      <c r="K113">
        <f>IF($J113&gt;MAX('Match Log'!$A$4:$A$810),NA(),IFERROR(LOOKUP(2,1/(('Match Log'!$D$4:$D$810=$K$24)*('Match Log'!$A$4:$A$810&lt;=$J113)),'Match Log'!$N$4:$N$810),NA()))</f>
        <v>1071.6001753974281</v>
      </c>
      <c r="L113">
        <f>IF($J113&gt;MAX('Match Log'!$A$4:$A$810),NA(),IFERROR(LOOKUP(2,1/(('Match Log'!$D$4:$D$810=$L$24)*('Match Log'!$A$4:$A$810&lt;=$J113)),'Match Log'!$N$4:$N$810),NA()))</f>
        <v>1068.233898610468</v>
      </c>
      <c r="M113">
        <f>IF($J113&gt;MAX('Match Log'!$A$4:$A$810),NA(),IFERROR(LOOKUP(2,1/(('Match Log'!$D$4:$D$810=$M$24)*('Match Log'!$A$4:$A$810&lt;=$J113)),'Match Log'!$N$4:$N$810),NA()))</f>
        <v>1017.3466608720325</v>
      </c>
      <c r="N113">
        <f>IF($J113&gt;MAX('Match Log'!$A$4:$A$810),NA(),IFERROR(LOOKUP(2,1/(('Match Log'!$D$4:$D$810=$N$24)*('Match Log'!$A$4:$A$810&lt;=$J113)),'Match Log'!$N$4:$N$810),NA()))</f>
        <v>990.8737469852914</v>
      </c>
      <c r="O113">
        <f>IF($J113&gt;MAX('Match Log'!$A$4:$A$810),NA(),IFERROR(LOOKUP(2,1/(('Match Log'!$D$4:$D$810=$O$24)*('Match Log'!$A$4:$A$810&lt;=$J113)),'Match Log'!$N$4:$N$810),NA()))</f>
        <v>1174.6803700391565</v>
      </c>
      <c r="P113">
        <f>IF($J113&gt;MAX('Match Log'!$A$4:$A$810),NA(),IFERROR(LOOKUP(2,1/(('Match Log'!$D$4:$D$810=$P$24)*('Match Log'!$A$4:$A$810&lt;=$J113)),'Match Log'!$N$4:$N$810),NA()))</f>
        <v>1028.3932691642283</v>
      </c>
      <c r="Q113">
        <f>IF($J113&gt;MAX('Match Log'!$A$4:$A$810),NA(),IFERROR(LOOKUP(2,1/(('Match Log'!$D$4:$D$810=$Q$24)*('Match Log'!$A$4:$A$810&lt;=$J113)),'Match Log'!$N$4:$N$810),NA()))</f>
        <v>1180.8318965818212</v>
      </c>
      <c r="R113">
        <f>IF($J113&gt;MAX('Match Log'!$A$4:$A$810),NA(),IFERROR(LOOKUP(2,1/(('Match Log'!$D$4:$D$810=$R$24)*('Match Log'!$A$4:$A$810&lt;=$J113)),'Match Log'!$N$4:$N$810),NA()))</f>
        <v>1101.8505684280676</v>
      </c>
      <c r="S113">
        <f>IF($J113&gt;MAX('Match Log'!$A$4:$A$810),NA(),IFERROR(LOOKUP(2,1/(('Match Log'!$D$4:$D$810=$S$24)*('Match Log'!$A$4:$A$810&lt;=$J113)),'Match Log'!$N$4:$N$810),NA()))</f>
        <v>1138.6979021359832</v>
      </c>
      <c r="T113">
        <f>IF($J113&gt;MAX('Match Log'!$A$4:$A$810),NA(),IFERROR(LOOKUP(2,1/(('Match Log'!$D$4:$D$810=$T$24)*('Match Log'!$A$4:$A$810&lt;=$J113)),'Match Log'!$N$4:$N$810),NA()))</f>
        <v>907.72888112716782</v>
      </c>
      <c r="U113">
        <f>IF($J113&gt;MAX('Match Log'!$A$4:$A$810),NA(),IFERROR(LOOKUP(2,1/(('Match Log'!$D$4:$D$810=$U$24)*('Match Log'!$A$4:$A$810&lt;=$J113)),'Match Log'!$N$4:$N$810),NA()))</f>
        <v>997.71938717791113</v>
      </c>
      <c r="V113">
        <f>IF($J113&gt;MAX('Match Log'!$A$4:$A$810),NA(),IFERROR(LOOKUP(2,1/(('Match Log'!$D$4:$D$810=$V$24)*('Match Log'!$A$4:$A$810&lt;=$J113)),'Match Log'!$N$4:$N$810),NA()))</f>
        <v>1039.5415973556721</v>
      </c>
      <c r="W113">
        <f>IF($J113&gt;MAX('Match Log'!$A$4:$A$810),NA(),IFERROR(LOOKUP(2,1/(('Match Log'!$D$4:$D$810=$W$24)*('Match Log'!$A$4:$A$810&lt;=$J113)),'Match Log'!$N$4:$N$810),NA()))</f>
        <v>1038.5016461247724</v>
      </c>
      <c r="X113" t="e">
        <f>IF($J113&gt;MAX('Match Log'!$A$4:$A$810),NA(),IFERROR(LOOKUP(2,1/(('Match Log'!$D$4:$D$810=$X$24)*('Match Log'!$A$4:$A$810&lt;=$J113)),'Match Log'!$N$4:$N$810),NA()))</f>
        <v>#N/A</v>
      </c>
      <c r="Y113" t="str">
        <f t="shared" ca="1" si="24"/>
        <v/>
      </c>
    </row>
    <row r="114" spans="1:25" ht="15" customHeight="1" x14ac:dyDescent="0.2">
      <c r="A114">
        <v>90</v>
      </c>
      <c r="B114" s="132">
        <f>IFERROR(INDEX('Match Log'!$B$4:$B$810,MATCH(90,'Match Log'!$A$4:$A$810,0)),"")</f>
        <v>46188</v>
      </c>
      <c r="C114" t="str">
        <f>IFERROR(INDEX('Match Log'!$C$4:$C$810,MATCH(90,'Match Log'!$A$4:$A$810,0)),"")</f>
        <v>Table Tennis</v>
      </c>
      <c r="D114" t="str">
        <f>IFERROR(INDEX('Match Log'!$G$4:$G$810,MATCH(90,'Match Log'!$A$4:$A$810,0)),"")</f>
        <v>Oscar</v>
      </c>
      <c r="E114" s="133">
        <f>IFERROR(INDEX('Match Log'!$F$4:$F$810,MATCH(90,'Match Log'!$A$4:$A$810,0)),"")</f>
        <v>2</v>
      </c>
      <c r="F114">
        <f>IFERROR(SUMIFS('Match Log'!$I$4:$I$810,'Match Log'!$A$4:$A$810,90,'Match Log'!$E$4:$E$810,"Win"),"")</f>
        <v>0.4</v>
      </c>
      <c r="G114">
        <f t="shared" si="22"/>
        <v>0.19999999999999996</v>
      </c>
      <c r="H114" t="str">
        <f>IFERROR(IF($E114=2,LOOKUP(2,1/(('Match Log'!$A$4:$A$810=90)*('Match Log'!$E$4:$E$810="Loss")),'Match Log'!$D$4:$D$810),"the field"),"")</f>
        <v>Simon</v>
      </c>
      <c r="I114">
        <f t="shared" si="23"/>
        <v>0.19990999999999995</v>
      </c>
      <c r="J114">
        <v>90</v>
      </c>
      <c r="K114">
        <f>IF($J114&gt;MAX('Match Log'!$A$4:$A$810),NA(),IFERROR(LOOKUP(2,1/(('Match Log'!$D$4:$D$810=$K$24)*('Match Log'!$A$4:$A$810&lt;=$J114)),'Match Log'!$N$4:$N$810),NA()))</f>
        <v>1071.6001753974281</v>
      </c>
      <c r="L114">
        <f>IF($J114&gt;MAX('Match Log'!$A$4:$A$810),NA(),IFERROR(LOOKUP(2,1/(('Match Log'!$D$4:$D$810=$L$24)*('Match Log'!$A$4:$A$810&lt;=$J114)),'Match Log'!$N$4:$N$810),NA()))</f>
        <v>1068.233898610468</v>
      </c>
      <c r="M114">
        <f>IF($J114&gt;MAX('Match Log'!$A$4:$A$810),NA(),IFERROR(LOOKUP(2,1/(('Match Log'!$D$4:$D$810=$M$24)*('Match Log'!$A$4:$A$810&lt;=$J114)),'Match Log'!$N$4:$N$810),NA()))</f>
        <v>1017.3466608720325</v>
      </c>
      <c r="N114">
        <f>IF($J114&gt;MAX('Match Log'!$A$4:$A$810),NA(),IFERROR(LOOKUP(2,1/(('Match Log'!$D$4:$D$810=$N$24)*('Match Log'!$A$4:$A$810&lt;=$J114)),'Match Log'!$N$4:$N$810),NA()))</f>
        <v>990.8737469852914</v>
      </c>
      <c r="O114">
        <f>IF($J114&gt;MAX('Match Log'!$A$4:$A$810),NA(),IFERROR(LOOKUP(2,1/(('Match Log'!$D$4:$D$810=$O$24)*('Match Log'!$A$4:$A$810&lt;=$J114)),'Match Log'!$N$4:$N$810),NA()))</f>
        <v>1174.6803700391565</v>
      </c>
      <c r="P114">
        <f>IF($J114&gt;MAX('Match Log'!$A$4:$A$810),NA(),IFERROR(LOOKUP(2,1/(('Match Log'!$D$4:$D$810=$P$24)*('Match Log'!$A$4:$A$810&lt;=$J114)),'Match Log'!$N$4:$N$810),NA()))</f>
        <v>1028.3932691642283</v>
      </c>
      <c r="Q114">
        <f>IF($J114&gt;MAX('Match Log'!$A$4:$A$810),NA(),IFERROR(LOOKUP(2,1/(('Match Log'!$D$4:$D$810=$Q$24)*('Match Log'!$A$4:$A$810&lt;=$J114)),'Match Log'!$N$4:$N$810),NA()))</f>
        <v>1149.3660506548988</v>
      </c>
      <c r="R114">
        <f>IF($J114&gt;MAX('Match Log'!$A$4:$A$810),NA(),IFERROR(LOOKUP(2,1/(('Match Log'!$D$4:$D$810=$R$24)*('Match Log'!$A$4:$A$810&lt;=$J114)),'Match Log'!$N$4:$N$810),NA()))</f>
        <v>1101.8505684280676</v>
      </c>
      <c r="S114">
        <f>IF($J114&gt;MAX('Match Log'!$A$4:$A$810),NA(),IFERROR(LOOKUP(2,1/(('Match Log'!$D$4:$D$810=$S$24)*('Match Log'!$A$4:$A$810&lt;=$J114)),'Match Log'!$N$4:$N$810),NA()))</f>
        <v>1138.6979021359832</v>
      </c>
      <c r="T114">
        <f>IF($J114&gt;MAX('Match Log'!$A$4:$A$810),NA(),IFERROR(LOOKUP(2,1/(('Match Log'!$D$4:$D$810=$T$24)*('Match Log'!$A$4:$A$810&lt;=$J114)),'Match Log'!$N$4:$N$810),NA()))</f>
        <v>907.72888112716782</v>
      </c>
      <c r="U114">
        <f>IF($J114&gt;MAX('Match Log'!$A$4:$A$810),NA(),IFERROR(LOOKUP(2,1/(('Match Log'!$D$4:$D$810=$U$24)*('Match Log'!$A$4:$A$810&lt;=$J114)),'Match Log'!$N$4:$N$810),NA()))</f>
        <v>1029.1852331048335</v>
      </c>
      <c r="V114">
        <f>IF($J114&gt;MAX('Match Log'!$A$4:$A$810),NA(),IFERROR(LOOKUP(2,1/(('Match Log'!$D$4:$D$810=$V$24)*('Match Log'!$A$4:$A$810&lt;=$J114)),'Match Log'!$N$4:$N$810),NA()))</f>
        <v>1039.5415973556721</v>
      </c>
      <c r="W114">
        <f>IF($J114&gt;MAX('Match Log'!$A$4:$A$810),NA(),IFERROR(LOOKUP(2,1/(('Match Log'!$D$4:$D$810=$W$24)*('Match Log'!$A$4:$A$810&lt;=$J114)),'Match Log'!$N$4:$N$810),NA()))</f>
        <v>1038.5016461247724</v>
      </c>
      <c r="X114" t="e">
        <f>IF($J114&gt;MAX('Match Log'!$A$4:$A$810),NA(),IFERROR(LOOKUP(2,1/(('Match Log'!$D$4:$D$810=$X$24)*('Match Log'!$A$4:$A$810&lt;=$J114)),'Match Log'!$N$4:$N$810),NA()))</f>
        <v>#N/A</v>
      </c>
      <c r="Y114" t="str">
        <f t="shared" ca="1" si="24"/>
        <v/>
      </c>
    </row>
    <row r="115" spans="1:25" ht="15" customHeight="1" x14ac:dyDescent="0.2">
      <c r="A115">
        <v>91</v>
      </c>
      <c r="B115" s="132">
        <f>IFERROR(INDEX('Match Log'!$B$4:$B$810,MATCH(91,'Match Log'!$A$4:$A$810,0)),"")</f>
        <v>46188</v>
      </c>
      <c r="C115" t="str">
        <f>IFERROR(INDEX('Match Log'!$C$4:$C$810,MATCH(91,'Match Log'!$A$4:$A$810,0)),"")</f>
        <v>Table Tennis</v>
      </c>
      <c r="D115" t="str">
        <f>IFERROR(INDEX('Match Log'!$G$4:$G$810,MATCH(91,'Match Log'!$A$4:$A$810,0)),"")</f>
        <v>Oscar</v>
      </c>
      <c r="E115" s="133">
        <f>IFERROR(INDEX('Match Log'!$F$4:$F$810,MATCH(91,'Match Log'!$A$4:$A$810,0)),"")</f>
        <v>2</v>
      </c>
      <c r="F115">
        <f>IFERROR(SUMIFS('Match Log'!$I$4:$I$810,'Match Log'!$A$4:$A$810,91,'Match Log'!$E$4:$E$810,"Win"),"")</f>
        <v>0.54545454545454541</v>
      </c>
      <c r="G115">
        <f t="shared" si="22"/>
        <v>-9.0909090909090828E-2</v>
      </c>
      <c r="H115" t="str">
        <f>IFERROR(IF($E115=2,LOOKUP(2,1/(('Match Log'!$A$4:$A$810=91)*('Match Log'!$E$4:$E$810="Loss")),'Match Log'!$D$4:$D$810),"the field"),"")</f>
        <v>Simon</v>
      </c>
      <c r="I115">
        <f t="shared" si="23"/>
        <v>-9.1000090909090822E-2</v>
      </c>
      <c r="J115">
        <v>91</v>
      </c>
      <c r="K115">
        <f>IF($J115&gt;MAX('Match Log'!$A$4:$A$810),NA(),IFERROR(LOOKUP(2,1/(('Match Log'!$D$4:$D$810=$K$24)*('Match Log'!$A$4:$A$810&lt;=$J115)),'Match Log'!$N$4:$N$810),NA()))</f>
        <v>1071.6001753974281</v>
      </c>
      <c r="L115">
        <f>IF($J115&gt;MAX('Match Log'!$A$4:$A$810),NA(),IFERROR(LOOKUP(2,1/(('Match Log'!$D$4:$D$810=$L$24)*('Match Log'!$A$4:$A$810&lt;=$J115)),'Match Log'!$N$4:$N$810),NA()))</f>
        <v>1068.233898610468</v>
      </c>
      <c r="M115">
        <f>IF($J115&gt;MAX('Match Log'!$A$4:$A$810),NA(),IFERROR(LOOKUP(2,1/(('Match Log'!$D$4:$D$810=$M$24)*('Match Log'!$A$4:$A$810&lt;=$J115)),'Match Log'!$N$4:$N$810),NA()))</f>
        <v>1017.3466608720325</v>
      </c>
      <c r="N115">
        <f>IF($J115&gt;MAX('Match Log'!$A$4:$A$810),NA(),IFERROR(LOOKUP(2,1/(('Match Log'!$D$4:$D$810=$N$24)*('Match Log'!$A$4:$A$810&lt;=$J115)),'Match Log'!$N$4:$N$810),NA()))</f>
        <v>990.8737469852914</v>
      </c>
      <c r="O115">
        <f>IF($J115&gt;MAX('Match Log'!$A$4:$A$810),NA(),IFERROR(LOOKUP(2,1/(('Match Log'!$D$4:$D$810=$O$24)*('Match Log'!$A$4:$A$810&lt;=$J115)),'Match Log'!$N$4:$N$810),NA()))</f>
        <v>1174.6803700391565</v>
      </c>
      <c r="P115">
        <f>IF($J115&gt;MAX('Match Log'!$A$4:$A$810),NA(),IFERROR(LOOKUP(2,1/(('Match Log'!$D$4:$D$810=$P$24)*('Match Log'!$A$4:$A$810&lt;=$J115)),'Match Log'!$N$4:$N$810),NA()))</f>
        <v>1028.3932691642283</v>
      </c>
      <c r="Q115">
        <f>IF($J115&gt;MAX('Match Log'!$A$4:$A$810),NA(),IFERROR(LOOKUP(2,1/(('Match Log'!$D$4:$D$810=$Q$24)*('Match Log'!$A$4:$A$810&lt;=$J115)),'Match Log'!$N$4:$N$810),NA()))</f>
        <v>1122.6988335266346</v>
      </c>
      <c r="R115">
        <f>IF($J115&gt;MAX('Match Log'!$A$4:$A$810),NA(),IFERROR(LOOKUP(2,1/(('Match Log'!$D$4:$D$810=$R$24)*('Match Log'!$A$4:$A$810&lt;=$J115)),'Match Log'!$N$4:$N$810),NA()))</f>
        <v>1101.8505684280676</v>
      </c>
      <c r="S115">
        <f>IF($J115&gt;MAX('Match Log'!$A$4:$A$810),NA(),IFERROR(LOOKUP(2,1/(('Match Log'!$D$4:$D$810=$S$24)*('Match Log'!$A$4:$A$810&lt;=$J115)),'Match Log'!$N$4:$N$810),NA()))</f>
        <v>1138.6979021359832</v>
      </c>
      <c r="T115">
        <f>IF($J115&gt;MAX('Match Log'!$A$4:$A$810),NA(),IFERROR(LOOKUP(2,1/(('Match Log'!$D$4:$D$810=$T$24)*('Match Log'!$A$4:$A$810&lt;=$J115)),'Match Log'!$N$4:$N$810),NA()))</f>
        <v>907.72888112716782</v>
      </c>
      <c r="U115">
        <f>IF($J115&gt;MAX('Match Log'!$A$4:$A$810),NA(),IFERROR(LOOKUP(2,1/(('Match Log'!$D$4:$D$810=$U$24)*('Match Log'!$A$4:$A$810&lt;=$J115)),'Match Log'!$N$4:$N$810),NA()))</f>
        <v>1055.8524502330974</v>
      </c>
      <c r="V115">
        <f>IF($J115&gt;MAX('Match Log'!$A$4:$A$810),NA(),IFERROR(LOOKUP(2,1/(('Match Log'!$D$4:$D$810=$V$24)*('Match Log'!$A$4:$A$810&lt;=$J115)),'Match Log'!$N$4:$N$810),NA()))</f>
        <v>1039.5415973556721</v>
      </c>
      <c r="W115">
        <f>IF($J115&gt;MAX('Match Log'!$A$4:$A$810),NA(),IFERROR(LOOKUP(2,1/(('Match Log'!$D$4:$D$810=$W$24)*('Match Log'!$A$4:$A$810&lt;=$J115)),'Match Log'!$N$4:$N$810),NA()))</f>
        <v>1038.5016461247724</v>
      </c>
      <c r="X115" t="e">
        <f>IF($J115&gt;MAX('Match Log'!$A$4:$A$810),NA(),IFERROR(LOOKUP(2,1/(('Match Log'!$D$4:$D$810=$X$24)*('Match Log'!$A$4:$A$810&lt;=$J115)),'Match Log'!$N$4:$N$810),NA()))</f>
        <v>#N/A</v>
      </c>
      <c r="Y115" t="str">
        <f t="shared" ca="1" si="24"/>
        <v/>
      </c>
    </row>
    <row r="116" spans="1:25" ht="15" customHeight="1" x14ac:dyDescent="0.2">
      <c r="A116">
        <v>92</v>
      </c>
      <c r="B116" s="132">
        <f>IFERROR(INDEX('Match Log'!$B$4:$B$810,MATCH(92,'Match Log'!$A$4:$A$810,0)),"")</f>
        <v>46188</v>
      </c>
      <c r="C116" t="str">
        <f>IFERROR(INDEX('Match Log'!$C$4:$C$810,MATCH(92,'Match Log'!$A$4:$A$810,0)),"")</f>
        <v>Table Tennis</v>
      </c>
      <c r="D116" t="str">
        <f>IFERROR(INDEX('Match Log'!$G$4:$G$810,MATCH(92,'Match Log'!$A$4:$A$810,0)),"")</f>
        <v>Oscar</v>
      </c>
      <c r="E116" s="133">
        <f>IFERROR(INDEX('Match Log'!$F$4:$F$810,MATCH(92,'Match Log'!$A$4:$A$810,0)),"")</f>
        <v>2</v>
      </c>
      <c r="F116">
        <f>IFERROR(SUMIFS('Match Log'!$I$4:$I$810,'Match Log'!$A$4:$A$810,92,'Match Log'!$E$4:$E$810,"Win"),"")</f>
        <v>0.64516129032258063</v>
      </c>
      <c r="G116">
        <f t="shared" si="22"/>
        <v>-0.29032258064516125</v>
      </c>
      <c r="H116" t="str">
        <f>IFERROR(IF($E116=2,LOOKUP(2,1/(('Match Log'!$A$4:$A$810=92)*('Match Log'!$E$4:$E$810="Loss")),'Match Log'!$D$4:$D$810),"the field"),"")</f>
        <v>Simon</v>
      </c>
      <c r="I116">
        <f t="shared" si="23"/>
        <v>-0.29041458064516124</v>
      </c>
      <c r="J116">
        <v>92</v>
      </c>
      <c r="K116">
        <f>IF($J116&gt;MAX('Match Log'!$A$4:$A$810),NA(),IFERROR(LOOKUP(2,1/(('Match Log'!$D$4:$D$810=$K$24)*('Match Log'!$A$4:$A$810&lt;=$J116)),'Match Log'!$N$4:$N$810),NA()))</f>
        <v>1071.6001753974281</v>
      </c>
      <c r="L116">
        <f>IF($J116&gt;MAX('Match Log'!$A$4:$A$810),NA(),IFERROR(LOOKUP(2,1/(('Match Log'!$D$4:$D$810=$L$24)*('Match Log'!$A$4:$A$810&lt;=$J116)),'Match Log'!$N$4:$N$810),NA()))</f>
        <v>1068.233898610468</v>
      </c>
      <c r="M116">
        <f>IF($J116&gt;MAX('Match Log'!$A$4:$A$810),NA(),IFERROR(LOOKUP(2,1/(('Match Log'!$D$4:$D$810=$M$24)*('Match Log'!$A$4:$A$810&lt;=$J116)),'Match Log'!$N$4:$N$810),NA()))</f>
        <v>1017.3466608720325</v>
      </c>
      <c r="N116">
        <f>IF($J116&gt;MAX('Match Log'!$A$4:$A$810),NA(),IFERROR(LOOKUP(2,1/(('Match Log'!$D$4:$D$810=$N$24)*('Match Log'!$A$4:$A$810&lt;=$J116)),'Match Log'!$N$4:$N$810),NA()))</f>
        <v>990.8737469852914</v>
      </c>
      <c r="O116">
        <f>IF($J116&gt;MAX('Match Log'!$A$4:$A$810),NA(),IFERROR(LOOKUP(2,1/(('Match Log'!$D$4:$D$810=$O$24)*('Match Log'!$A$4:$A$810&lt;=$J116)),'Match Log'!$N$4:$N$810),NA()))</f>
        <v>1174.6803700391565</v>
      </c>
      <c r="P116">
        <f>IF($J116&gt;MAX('Match Log'!$A$4:$A$810),NA(),IFERROR(LOOKUP(2,1/(('Match Log'!$D$4:$D$810=$P$24)*('Match Log'!$A$4:$A$810&lt;=$J116)),'Match Log'!$N$4:$N$810),NA()))</f>
        <v>1028.3932691642283</v>
      </c>
      <c r="Q116">
        <f>IF($J116&gt;MAX('Match Log'!$A$4:$A$810),NA(),IFERROR(LOOKUP(2,1/(('Match Log'!$D$4:$D$810=$Q$24)*('Match Log'!$A$4:$A$810&lt;=$J116)),'Match Log'!$N$4:$N$810),NA()))</f>
        <v>1099.9035033078371</v>
      </c>
      <c r="R116">
        <f>IF($J116&gt;MAX('Match Log'!$A$4:$A$810),NA(),IFERROR(LOOKUP(2,1/(('Match Log'!$D$4:$D$810=$R$24)*('Match Log'!$A$4:$A$810&lt;=$J116)),'Match Log'!$N$4:$N$810),NA()))</f>
        <v>1101.8505684280676</v>
      </c>
      <c r="S116">
        <f>IF($J116&gt;MAX('Match Log'!$A$4:$A$810),NA(),IFERROR(LOOKUP(2,1/(('Match Log'!$D$4:$D$810=$S$24)*('Match Log'!$A$4:$A$810&lt;=$J116)),'Match Log'!$N$4:$N$810),NA()))</f>
        <v>1138.6979021359832</v>
      </c>
      <c r="T116">
        <f>IF($J116&gt;MAX('Match Log'!$A$4:$A$810),NA(),IFERROR(LOOKUP(2,1/(('Match Log'!$D$4:$D$810=$T$24)*('Match Log'!$A$4:$A$810&lt;=$J116)),'Match Log'!$N$4:$N$810),NA()))</f>
        <v>907.72888112716782</v>
      </c>
      <c r="U116">
        <f>IF($J116&gt;MAX('Match Log'!$A$4:$A$810),NA(),IFERROR(LOOKUP(2,1/(('Match Log'!$D$4:$D$810=$U$24)*('Match Log'!$A$4:$A$810&lt;=$J116)),'Match Log'!$N$4:$N$810),NA()))</f>
        <v>1078.647780451895</v>
      </c>
      <c r="V116">
        <f>IF($J116&gt;MAX('Match Log'!$A$4:$A$810),NA(),IFERROR(LOOKUP(2,1/(('Match Log'!$D$4:$D$810=$V$24)*('Match Log'!$A$4:$A$810&lt;=$J116)),'Match Log'!$N$4:$N$810),NA()))</f>
        <v>1039.5415973556721</v>
      </c>
      <c r="W116">
        <f>IF($J116&gt;MAX('Match Log'!$A$4:$A$810),NA(),IFERROR(LOOKUP(2,1/(('Match Log'!$D$4:$D$810=$W$24)*('Match Log'!$A$4:$A$810&lt;=$J116)),'Match Log'!$N$4:$N$810),NA()))</f>
        <v>1038.5016461247724</v>
      </c>
      <c r="X116" t="e">
        <f>IF($J116&gt;MAX('Match Log'!$A$4:$A$810),NA(),IFERROR(LOOKUP(2,1/(('Match Log'!$D$4:$D$810=$X$24)*('Match Log'!$A$4:$A$810&lt;=$J116)),'Match Log'!$N$4:$N$810),NA()))</f>
        <v>#N/A</v>
      </c>
      <c r="Y116" t="str">
        <f t="shared" ca="1" si="24"/>
        <v/>
      </c>
    </row>
    <row r="117" spans="1:25" ht="15" customHeight="1" x14ac:dyDescent="0.2">
      <c r="A117">
        <v>93</v>
      </c>
      <c r="B117" s="132">
        <f>IFERROR(INDEX('Match Log'!$B$4:$B$810,MATCH(93,'Match Log'!$A$4:$A$810,0)),"")</f>
        <v>46188</v>
      </c>
      <c r="C117" t="str">
        <f>IFERROR(INDEX('Match Log'!$C$4:$C$810,MATCH(93,'Match Log'!$A$4:$A$810,0)),"")</f>
        <v>Table Tennis</v>
      </c>
      <c r="D117" t="str">
        <f>IFERROR(INDEX('Match Log'!$G$4:$G$810,MATCH(93,'Match Log'!$A$4:$A$810,0)),"")</f>
        <v>Oscar</v>
      </c>
      <c r="E117" s="133">
        <f>IFERROR(INDEX('Match Log'!$F$4:$F$810,MATCH(93,'Match Log'!$A$4:$A$810,0)),"")</f>
        <v>2</v>
      </c>
      <c r="F117">
        <f>IFERROR(SUMIFS('Match Log'!$I$4:$I$810,'Match Log'!$A$4:$A$810,93,'Match Log'!$E$4:$E$810,"Win"),"")</f>
        <v>0.5</v>
      </c>
      <c r="G117">
        <f t="shared" si="22"/>
        <v>0</v>
      </c>
      <c r="H117" t="str">
        <f>IFERROR(IF($E117=2,LOOKUP(2,1/(('Match Log'!$A$4:$A$810=93)*('Match Log'!$E$4:$E$810="Loss")),'Match Log'!$D$4:$D$810),"the field"),"")</f>
        <v>Beau</v>
      </c>
      <c r="I117">
        <f t="shared" si="23"/>
        <v>-9.2999999999999997E-5</v>
      </c>
      <c r="J117">
        <v>93</v>
      </c>
      <c r="K117">
        <f>IF($J117&gt;MAX('Match Log'!$A$4:$A$810),NA(),IFERROR(LOOKUP(2,1/(('Match Log'!$D$4:$D$810=$K$24)*('Match Log'!$A$4:$A$810&lt;=$J117)),'Match Log'!$N$4:$N$810),NA()))</f>
        <v>1071.6001753974281</v>
      </c>
      <c r="L117">
        <f>IF($J117&gt;MAX('Match Log'!$A$4:$A$810),NA(),IFERROR(LOOKUP(2,1/(('Match Log'!$D$4:$D$810=$L$24)*('Match Log'!$A$4:$A$810&lt;=$J117)),'Match Log'!$N$4:$N$810),NA()))</f>
        <v>1044.8691565259944</v>
      </c>
      <c r="M117">
        <f>IF($J117&gt;MAX('Match Log'!$A$4:$A$810),NA(),IFERROR(LOOKUP(2,1/(('Match Log'!$D$4:$D$810=$M$24)*('Match Log'!$A$4:$A$810&lt;=$J117)),'Match Log'!$N$4:$N$810),NA()))</f>
        <v>1017.3466608720325</v>
      </c>
      <c r="N117">
        <f>IF($J117&gt;MAX('Match Log'!$A$4:$A$810),NA(),IFERROR(LOOKUP(2,1/(('Match Log'!$D$4:$D$810=$N$24)*('Match Log'!$A$4:$A$810&lt;=$J117)),'Match Log'!$N$4:$N$810),NA()))</f>
        <v>990.8737469852914</v>
      </c>
      <c r="O117">
        <f>IF($J117&gt;MAX('Match Log'!$A$4:$A$810),NA(),IFERROR(LOOKUP(2,1/(('Match Log'!$D$4:$D$810=$O$24)*('Match Log'!$A$4:$A$810&lt;=$J117)),'Match Log'!$N$4:$N$810),NA()))</f>
        <v>1174.6803700391565</v>
      </c>
      <c r="P117">
        <f>IF($J117&gt;MAX('Match Log'!$A$4:$A$810),NA(),IFERROR(LOOKUP(2,1/(('Match Log'!$D$4:$D$810=$P$24)*('Match Log'!$A$4:$A$810&lt;=$J117)),'Match Log'!$N$4:$N$810),NA()))</f>
        <v>1028.3932691642283</v>
      </c>
      <c r="Q117">
        <f>IF($J117&gt;MAX('Match Log'!$A$4:$A$810),NA(),IFERROR(LOOKUP(2,1/(('Match Log'!$D$4:$D$810=$Q$24)*('Match Log'!$A$4:$A$810&lt;=$J117)),'Match Log'!$N$4:$N$810),NA()))</f>
        <v>1099.9035033078371</v>
      </c>
      <c r="R117">
        <f>IF($J117&gt;MAX('Match Log'!$A$4:$A$810),NA(),IFERROR(LOOKUP(2,1/(('Match Log'!$D$4:$D$810=$R$24)*('Match Log'!$A$4:$A$810&lt;=$J117)),'Match Log'!$N$4:$N$810),NA()))</f>
        <v>1101.8505684280676</v>
      </c>
      <c r="S117">
        <f>IF($J117&gt;MAX('Match Log'!$A$4:$A$810),NA(),IFERROR(LOOKUP(2,1/(('Match Log'!$D$4:$D$810=$S$24)*('Match Log'!$A$4:$A$810&lt;=$J117)),'Match Log'!$N$4:$N$810),NA()))</f>
        <v>1138.6979021359832</v>
      </c>
      <c r="T117">
        <f>IF($J117&gt;MAX('Match Log'!$A$4:$A$810),NA(),IFERROR(LOOKUP(2,1/(('Match Log'!$D$4:$D$810=$T$24)*('Match Log'!$A$4:$A$810&lt;=$J117)),'Match Log'!$N$4:$N$810),NA()))</f>
        <v>907.72888112716782</v>
      </c>
      <c r="U117">
        <f>IF($J117&gt;MAX('Match Log'!$A$4:$A$810),NA(),IFERROR(LOOKUP(2,1/(('Match Log'!$D$4:$D$810=$U$24)*('Match Log'!$A$4:$A$810&lt;=$J117)),'Match Log'!$N$4:$N$810),NA()))</f>
        <v>1102.0125225363686</v>
      </c>
      <c r="V117">
        <f>IF($J117&gt;MAX('Match Log'!$A$4:$A$810),NA(),IFERROR(LOOKUP(2,1/(('Match Log'!$D$4:$D$810=$V$24)*('Match Log'!$A$4:$A$810&lt;=$J117)),'Match Log'!$N$4:$N$810),NA()))</f>
        <v>1039.5415973556721</v>
      </c>
      <c r="W117">
        <f>IF($J117&gt;MAX('Match Log'!$A$4:$A$810),NA(),IFERROR(LOOKUP(2,1/(('Match Log'!$D$4:$D$810=$W$24)*('Match Log'!$A$4:$A$810&lt;=$J117)),'Match Log'!$N$4:$N$810),NA()))</f>
        <v>1038.5016461247724</v>
      </c>
      <c r="X117" t="e">
        <f>IF($J117&gt;MAX('Match Log'!$A$4:$A$810),NA(),IFERROR(LOOKUP(2,1/(('Match Log'!$D$4:$D$810=$X$24)*('Match Log'!$A$4:$A$810&lt;=$J117)),'Match Log'!$N$4:$N$810),NA()))</f>
        <v>#N/A</v>
      </c>
      <c r="Y117" t="str">
        <f t="shared" ca="1" si="24"/>
        <v/>
      </c>
    </row>
    <row r="118" spans="1:25" ht="15" customHeight="1" x14ac:dyDescent="0.2">
      <c r="A118">
        <v>94</v>
      </c>
      <c r="B118" s="132">
        <f>IFERROR(INDEX('Match Log'!$B$4:$B$810,MATCH(94,'Match Log'!$A$4:$A$810,0)),"")</f>
        <v>46188</v>
      </c>
      <c r="C118" t="str">
        <f>IFERROR(INDEX('Match Log'!$C$4:$C$810,MATCH(94,'Match Log'!$A$4:$A$810,0)),"")</f>
        <v>Pool</v>
      </c>
      <c r="D118" t="str">
        <f>IFERROR(INDEX('Match Log'!$G$4:$G$810,MATCH(94,'Match Log'!$A$4:$A$810,0)),"")</f>
        <v>Daniel (Ferret)</v>
      </c>
      <c r="E118" s="133">
        <f>IFERROR(INDEX('Match Log'!$F$4:$F$810,MATCH(94,'Match Log'!$A$4:$A$810,0)),"")</f>
        <v>2</v>
      </c>
      <c r="F118">
        <f>IFERROR(SUMIFS('Match Log'!$I$4:$I$810,'Match Log'!$A$4:$A$810,94,'Match Log'!$E$4:$E$810,"Win"),"")</f>
        <v>0.57142857142857151</v>
      </c>
      <c r="G118">
        <f t="shared" si="22"/>
        <v>-0.14285714285714302</v>
      </c>
      <c r="H118" t="str">
        <f>IFERROR(IF($E118=2,LOOKUP(2,1/(('Match Log'!$A$4:$A$810=94)*('Match Log'!$E$4:$E$810="Loss")),'Match Log'!$D$4:$D$810),"the field"),"")</f>
        <v>Cody</v>
      </c>
      <c r="I118">
        <f t="shared" si="23"/>
        <v>-0.14295114285714303</v>
      </c>
      <c r="J118">
        <v>94</v>
      </c>
      <c r="K118">
        <f>IF($J118&gt;MAX('Match Log'!$A$4:$A$810),NA(),IFERROR(LOOKUP(2,1/(('Match Log'!$D$4:$D$810=$K$24)*('Match Log'!$A$4:$A$810&lt;=$J118)),'Match Log'!$N$4:$N$810),NA()))</f>
        <v>1071.6001753974281</v>
      </c>
      <c r="L118">
        <f>IF($J118&gt;MAX('Match Log'!$A$4:$A$810),NA(),IFERROR(LOOKUP(2,1/(('Match Log'!$D$4:$D$810=$L$24)*('Match Log'!$A$4:$A$810&lt;=$J118)),'Match Log'!$N$4:$N$810),NA()))</f>
        <v>1044.8691565259944</v>
      </c>
      <c r="M118">
        <f>IF($J118&gt;MAX('Match Log'!$A$4:$A$810),NA(),IFERROR(LOOKUP(2,1/(('Match Log'!$D$4:$D$810=$M$24)*('Match Log'!$A$4:$A$810&lt;=$J118)),'Match Log'!$N$4:$N$810),NA()))</f>
        <v>1017.3466608720325</v>
      </c>
      <c r="N118">
        <f>IF($J118&gt;MAX('Match Log'!$A$4:$A$810),NA(),IFERROR(LOOKUP(2,1/(('Match Log'!$D$4:$D$810=$N$24)*('Match Log'!$A$4:$A$810&lt;=$J118)),'Match Log'!$N$4:$N$810),NA()))</f>
        <v>990.8737469852914</v>
      </c>
      <c r="O118">
        <f>IF($J118&gt;MAX('Match Log'!$A$4:$A$810),NA(),IFERROR(LOOKUP(2,1/(('Match Log'!$D$4:$D$810=$O$24)*('Match Log'!$A$4:$A$810&lt;=$J118)),'Match Log'!$N$4:$N$810),NA()))</f>
        <v>1174.6803700391565</v>
      </c>
      <c r="P118">
        <f>IF($J118&gt;MAX('Match Log'!$A$4:$A$810),NA(),IFERROR(LOOKUP(2,1/(('Match Log'!$D$4:$D$810=$P$24)*('Match Log'!$A$4:$A$810&lt;=$J118)),'Match Log'!$N$4:$N$810),NA()))</f>
        <v>1028.3932691642283</v>
      </c>
      <c r="Q118">
        <f>IF($J118&gt;MAX('Match Log'!$A$4:$A$810),NA(),IFERROR(LOOKUP(2,1/(('Match Log'!$D$4:$D$810=$Q$24)*('Match Log'!$A$4:$A$810&lt;=$J118)),'Match Log'!$N$4:$N$810),NA()))</f>
        <v>1099.9035033078371</v>
      </c>
      <c r="R118">
        <f>IF($J118&gt;MAX('Match Log'!$A$4:$A$810),NA(),IFERROR(LOOKUP(2,1/(('Match Log'!$D$4:$D$810=$R$24)*('Match Log'!$A$4:$A$810&lt;=$J118)),'Match Log'!$N$4:$N$810),NA()))</f>
        <v>1115.3722634859373</v>
      </c>
      <c r="S118">
        <f>IF($J118&gt;MAX('Match Log'!$A$4:$A$810),NA(),IFERROR(LOOKUP(2,1/(('Match Log'!$D$4:$D$810=$S$24)*('Match Log'!$A$4:$A$810&lt;=$J118)),'Match Log'!$N$4:$N$810),NA()))</f>
        <v>1138.6979021359832</v>
      </c>
      <c r="T118">
        <f>IF($J118&gt;MAX('Match Log'!$A$4:$A$810),NA(),IFERROR(LOOKUP(2,1/(('Match Log'!$D$4:$D$810=$T$24)*('Match Log'!$A$4:$A$810&lt;=$J118)),'Match Log'!$N$4:$N$810),NA()))</f>
        <v>894.20718606929802</v>
      </c>
      <c r="U118">
        <f>IF($J118&gt;MAX('Match Log'!$A$4:$A$810),NA(),IFERROR(LOOKUP(2,1/(('Match Log'!$D$4:$D$810=$U$24)*('Match Log'!$A$4:$A$810&lt;=$J118)),'Match Log'!$N$4:$N$810),NA()))</f>
        <v>1102.0125225363686</v>
      </c>
      <c r="V118">
        <f>IF($J118&gt;MAX('Match Log'!$A$4:$A$810),NA(),IFERROR(LOOKUP(2,1/(('Match Log'!$D$4:$D$810=$V$24)*('Match Log'!$A$4:$A$810&lt;=$J118)),'Match Log'!$N$4:$N$810),NA()))</f>
        <v>1039.5415973556721</v>
      </c>
      <c r="W118">
        <f>IF($J118&gt;MAX('Match Log'!$A$4:$A$810),NA(),IFERROR(LOOKUP(2,1/(('Match Log'!$D$4:$D$810=$W$24)*('Match Log'!$A$4:$A$810&lt;=$J118)),'Match Log'!$N$4:$N$810),NA()))</f>
        <v>1038.5016461247724</v>
      </c>
      <c r="X118" t="e">
        <f>IF($J118&gt;MAX('Match Log'!$A$4:$A$810),NA(),IFERROR(LOOKUP(2,1/(('Match Log'!$D$4:$D$810=$X$24)*('Match Log'!$A$4:$A$810&lt;=$J118)),'Match Log'!$N$4:$N$810),NA()))</f>
        <v>#N/A</v>
      </c>
      <c r="Y118" t="str">
        <f t="shared" ca="1" si="24"/>
        <v/>
      </c>
    </row>
    <row r="119" spans="1:25" ht="15" customHeight="1" x14ac:dyDescent="0.2">
      <c r="A119">
        <v>95</v>
      </c>
      <c r="B119" s="132">
        <f>IFERROR(INDEX('Match Log'!$B$4:$B$810,MATCH(95,'Match Log'!$A$4:$A$810,0)),"")</f>
        <v>46189</v>
      </c>
      <c r="C119" t="str">
        <f>IFERROR(INDEX('Match Log'!$C$4:$C$810,MATCH(95,'Match Log'!$A$4:$A$810,0)),"")</f>
        <v>Mario Party</v>
      </c>
      <c r="D119" t="str">
        <f>IFERROR(INDEX('Match Log'!$G$4:$G$810,MATCH(95,'Match Log'!$A$4:$A$810,0)),"")</f>
        <v>Daniel (Ferret)</v>
      </c>
      <c r="E119" s="133">
        <f>IFERROR(INDEX('Match Log'!$F$4:$F$810,MATCH(95,'Match Log'!$A$4:$A$810,0)),"")</f>
        <v>3</v>
      </c>
      <c r="F119">
        <f>IFERROR(SUMIFS('Match Log'!$I$4:$I$810,'Match Log'!$A$4:$A$810,95,'Match Log'!$E$4:$E$810,"Win"),"")</f>
        <v>0.5</v>
      </c>
      <c r="G119">
        <f t="shared" si="22"/>
        <v>-0.5</v>
      </c>
      <c r="H119" t="str">
        <f>IFERROR(IF($E119=2,LOOKUP(2,1/(('Match Log'!$A$4:$A$810=95)*('Match Log'!$E$4:$E$810="Loss")),'Match Log'!$D$4:$D$810),"the field"),"")</f>
        <v>the field</v>
      </c>
      <c r="I119">
        <f t="shared" si="23"/>
        <v>-0.50009499999999996</v>
      </c>
      <c r="J119">
        <v>95</v>
      </c>
      <c r="K119">
        <f>IF($J119&gt;MAX('Match Log'!$A$4:$A$810),NA(),IFERROR(LOOKUP(2,1/(('Match Log'!$D$4:$D$810=$K$24)*('Match Log'!$A$4:$A$810&lt;=$J119)),'Match Log'!$N$4:$N$810),NA()))</f>
        <v>1071.6001753974281</v>
      </c>
      <c r="L119">
        <f>IF($J119&gt;MAX('Match Log'!$A$4:$A$810),NA(),IFERROR(LOOKUP(2,1/(('Match Log'!$D$4:$D$810=$L$24)*('Match Log'!$A$4:$A$810&lt;=$J119)),'Match Log'!$N$4:$N$810),NA()))</f>
        <v>1044.8691565259944</v>
      </c>
      <c r="M119">
        <f>IF($J119&gt;MAX('Match Log'!$A$4:$A$810),NA(),IFERROR(LOOKUP(2,1/(('Match Log'!$D$4:$D$810=$M$24)*('Match Log'!$A$4:$A$810&lt;=$J119)),'Match Log'!$N$4:$N$810),NA()))</f>
        <v>1017.3466608720325</v>
      </c>
      <c r="N119">
        <f>IF($J119&gt;MAX('Match Log'!$A$4:$A$810),NA(),IFERROR(LOOKUP(2,1/(('Match Log'!$D$4:$D$810=$N$24)*('Match Log'!$A$4:$A$810&lt;=$J119)),'Match Log'!$N$4:$N$810),NA()))</f>
        <v>990.8737469852914</v>
      </c>
      <c r="O119">
        <f>IF($J119&gt;MAX('Match Log'!$A$4:$A$810),NA(),IFERROR(LOOKUP(2,1/(('Match Log'!$D$4:$D$810=$O$24)*('Match Log'!$A$4:$A$810&lt;=$J119)),'Match Log'!$N$4:$N$810),NA()))</f>
        <v>1174.6803700391565</v>
      </c>
      <c r="P119">
        <f>IF($J119&gt;MAX('Match Log'!$A$4:$A$810),NA(),IFERROR(LOOKUP(2,1/(('Match Log'!$D$4:$D$810=$P$24)*('Match Log'!$A$4:$A$810&lt;=$J119)),'Match Log'!$N$4:$N$810),NA()))</f>
        <v>1022.1264377869081</v>
      </c>
      <c r="Q119">
        <f>IF($J119&gt;MAX('Match Log'!$A$4:$A$810),NA(),IFERROR(LOOKUP(2,1/(('Match Log'!$D$4:$D$810=$Q$24)*('Match Log'!$A$4:$A$810&lt;=$J119)),'Match Log'!$N$4:$N$810),NA()))</f>
        <v>1099.9035033078371</v>
      </c>
      <c r="R119">
        <f>IF($J119&gt;MAX('Match Log'!$A$4:$A$810),NA(),IFERROR(LOOKUP(2,1/(('Match Log'!$D$4:$D$810=$R$24)*('Match Log'!$A$4:$A$810&lt;=$J119)),'Match Log'!$N$4:$N$810),NA()))</f>
        <v>1141.2908621485974</v>
      </c>
      <c r="S119">
        <f>IF($J119&gt;MAX('Match Log'!$A$4:$A$810),NA(),IFERROR(LOOKUP(2,1/(('Match Log'!$D$4:$D$810=$S$24)*('Match Log'!$A$4:$A$810&lt;=$J119)),'Match Log'!$N$4:$N$810),NA()))</f>
        <v>1138.6979021359832</v>
      </c>
      <c r="T119">
        <f>IF($J119&gt;MAX('Match Log'!$A$4:$A$810),NA(),IFERROR(LOOKUP(2,1/(('Match Log'!$D$4:$D$810=$T$24)*('Match Log'!$A$4:$A$810&lt;=$J119)),'Match Log'!$N$4:$N$810),NA()))</f>
        <v>894.20718606929802</v>
      </c>
      <c r="U119">
        <f>IF($J119&gt;MAX('Match Log'!$A$4:$A$810),NA(),IFERROR(LOOKUP(2,1/(('Match Log'!$D$4:$D$810=$U$24)*('Match Log'!$A$4:$A$810&lt;=$J119)),'Match Log'!$N$4:$N$810),NA()))</f>
        <v>1094.3607552510286</v>
      </c>
      <c r="V119">
        <f>IF($J119&gt;MAX('Match Log'!$A$4:$A$810),NA(),IFERROR(LOOKUP(2,1/(('Match Log'!$D$4:$D$810=$V$24)*('Match Log'!$A$4:$A$810&lt;=$J119)),'Match Log'!$N$4:$N$810),NA()))</f>
        <v>1039.5415973556721</v>
      </c>
      <c r="W119">
        <f>IF($J119&gt;MAX('Match Log'!$A$4:$A$810),NA(),IFERROR(LOOKUP(2,1/(('Match Log'!$D$4:$D$810=$W$24)*('Match Log'!$A$4:$A$810&lt;=$J119)),'Match Log'!$N$4:$N$810),NA()))</f>
        <v>1038.5016461247724</v>
      </c>
      <c r="X119" t="e">
        <f>IF($J119&gt;MAX('Match Log'!$A$4:$A$810),NA(),IFERROR(LOOKUP(2,1/(('Match Log'!$D$4:$D$810=$X$24)*('Match Log'!$A$4:$A$810&lt;=$J119)),'Match Log'!$N$4:$N$810),NA()))</f>
        <v>#N/A</v>
      </c>
      <c r="Y119" t="str">
        <f t="shared" ca="1" si="24"/>
        <v/>
      </c>
    </row>
    <row r="120" spans="1:25" ht="15" customHeight="1" x14ac:dyDescent="0.2">
      <c r="A120">
        <v>96</v>
      </c>
      <c r="B120" s="132">
        <f>IFERROR(INDEX('Match Log'!$B$4:$B$810,MATCH(96,'Match Log'!$A$4:$A$810,0)),"")</f>
        <v>46189</v>
      </c>
      <c r="C120" t="str">
        <f>IFERROR(INDEX('Match Log'!$C$4:$C$810,MATCH(96,'Match Log'!$A$4:$A$810,0)),"")</f>
        <v>Pool</v>
      </c>
      <c r="D120" t="str">
        <f>IFERROR(INDEX('Match Log'!$G$4:$G$810,MATCH(96,'Match Log'!$A$4:$A$810,0)),"")</f>
        <v>Dean B</v>
      </c>
      <c r="E120" s="133">
        <f>IFERROR(INDEX('Match Log'!$F$4:$F$810,MATCH(96,'Match Log'!$A$4:$A$810,0)),"")</f>
        <v>2</v>
      </c>
      <c r="F120">
        <f>IFERROR(SUMIFS('Match Log'!$I$4:$I$810,'Match Log'!$A$4:$A$810,96,'Match Log'!$E$4:$E$810,"Win"),"")</f>
        <v>0.33333333333333331</v>
      </c>
      <c r="G120">
        <f t="shared" si="22"/>
        <v>0.33333333333333337</v>
      </c>
      <c r="H120" t="str">
        <f>IFERROR(IF($E120=2,LOOKUP(2,1/(('Match Log'!$A$4:$A$810=96)*('Match Log'!$E$4:$E$810="Loss")),'Match Log'!$D$4:$D$810),"the field"),"")</f>
        <v>Daniel (Ferret)</v>
      </c>
      <c r="I120">
        <f t="shared" si="23"/>
        <v>0.33323733333333339</v>
      </c>
      <c r="J120">
        <v>96</v>
      </c>
      <c r="K120">
        <f>IF($J120&gt;MAX('Match Log'!$A$4:$A$810),NA(),IFERROR(LOOKUP(2,1/(('Match Log'!$D$4:$D$810=$K$24)*('Match Log'!$A$4:$A$810&lt;=$J120)),'Match Log'!$N$4:$N$810),NA()))</f>
        <v>1071.6001753974281</v>
      </c>
      <c r="L120">
        <f>IF($J120&gt;MAX('Match Log'!$A$4:$A$810),NA(),IFERROR(LOOKUP(2,1/(('Match Log'!$D$4:$D$810=$L$24)*('Match Log'!$A$4:$A$810&lt;=$J120)),'Match Log'!$N$4:$N$810),NA()))</f>
        <v>1044.8691565259944</v>
      </c>
      <c r="M120">
        <f>IF($J120&gt;MAX('Match Log'!$A$4:$A$810),NA(),IFERROR(LOOKUP(2,1/(('Match Log'!$D$4:$D$810=$M$24)*('Match Log'!$A$4:$A$810&lt;=$J120)),'Match Log'!$N$4:$N$810),NA()))</f>
        <v>1017.3466608720325</v>
      </c>
      <c r="N120">
        <f>IF($J120&gt;MAX('Match Log'!$A$4:$A$810),NA(),IFERROR(LOOKUP(2,1/(('Match Log'!$D$4:$D$810=$N$24)*('Match Log'!$A$4:$A$810&lt;=$J120)),'Match Log'!$N$4:$N$810),NA()))</f>
        <v>990.8737469852914</v>
      </c>
      <c r="O120">
        <f>IF($J120&gt;MAX('Match Log'!$A$4:$A$810),NA(),IFERROR(LOOKUP(2,1/(('Match Log'!$D$4:$D$810=$O$24)*('Match Log'!$A$4:$A$810&lt;=$J120)),'Match Log'!$N$4:$N$810),NA()))</f>
        <v>1174.6803700391565</v>
      </c>
      <c r="P120">
        <f>IF($J120&gt;MAX('Match Log'!$A$4:$A$810),NA(),IFERROR(LOOKUP(2,1/(('Match Log'!$D$4:$D$810=$P$24)*('Match Log'!$A$4:$A$810&lt;=$J120)),'Match Log'!$N$4:$N$810),NA()))</f>
        <v>1022.1264377869081</v>
      </c>
      <c r="Q120">
        <f>IF($J120&gt;MAX('Match Log'!$A$4:$A$810),NA(),IFERROR(LOOKUP(2,1/(('Match Log'!$D$4:$D$810=$Q$24)*('Match Log'!$A$4:$A$810&lt;=$J120)),'Match Log'!$N$4:$N$810),NA()))</f>
        <v>1099.9035033078371</v>
      </c>
      <c r="R120">
        <f>IF($J120&gt;MAX('Match Log'!$A$4:$A$810),NA(),IFERROR(LOOKUP(2,1/(('Match Log'!$D$4:$D$810=$R$24)*('Match Log'!$A$4:$A$810&lt;=$J120)),'Match Log'!$N$4:$N$810),NA()))</f>
        <v>1114.2754825517572</v>
      </c>
      <c r="S120">
        <f>IF($J120&gt;MAX('Match Log'!$A$4:$A$810),NA(),IFERROR(LOOKUP(2,1/(('Match Log'!$D$4:$D$810=$S$24)*('Match Log'!$A$4:$A$810&lt;=$J120)),'Match Log'!$N$4:$N$810),NA()))</f>
        <v>1165.7132817328234</v>
      </c>
      <c r="T120">
        <f>IF($J120&gt;MAX('Match Log'!$A$4:$A$810),NA(),IFERROR(LOOKUP(2,1/(('Match Log'!$D$4:$D$810=$T$24)*('Match Log'!$A$4:$A$810&lt;=$J120)),'Match Log'!$N$4:$N$810),NA()))</f>
        <v>894.20718606929802</v>
      </c>
      <c r="U120">
        <f>IF($J120&gt;MAX('Match Log'!$A$4:$A$810),NA(),IFERROR(LOOKUP(2,1/(('Match Log'!$D$4:$D$810=$U$24)*('Match Log'!$A$4:$A$810&lt;=$J120)),'Match Log'!$N$4:$N$810),NA()))</f>
        <v>1094.3607552510286</v>
      </c>
      <c r="V120">
        <f>IF($J120&gt;MAX('Match Log'!$A$4:$A$810),NA(),IFERROR(LOOKUP(2,1/(('Match Log'!$D$4:$D$810=$V$24)*('Match Log'!$A$4:$A$810&lt;=$J120)),'Match Log'!$N$4:$N$810),NA()))</f>
        <v>1039.5415973556721</v>
      </c>
      <c r="W120">
        <f>IF($J120&gt;MAX('Match Log'!$A$4:$A$810),NA(),IFERROR(LOOKUP(2,1/(('Match Log'!$D$4:$D$810=$W$24)*('Match Log'!$A$4:$A$810&lt;=$J120)),'Match Log'!$N$4:$N$810),NA()))</f>
        <v>1038.5016461247724</v>
      </c>
      <c r="X120" t="e">
        <f>IF($J120&gt;MAX('Match Log'!$A$4:$A$810),NA(),IFERROR(LOOKUP(2,1/(('Match Log'!$D$4:$D$810=$X$24)*('Match Log'!$A$4:$A$810&lt;=$J120)),'Match Log'!$N$4:$N$810),NA()))</f>
        <v>#N/A</v>
      </c>
      <c r="Y120" t="str">
        <f t="shared" ca="1" si="24"/>
        <v/>
      </c>
    </row>
    <row r="121" spans="1:25" ht="15" customHeight="1" x14ac:dyDescent="0.2">
      <c r="A121">
        <v>97</v>
      </c>
      <c r="B121" s="132">
        <f>IFERROR(INDEX('Match Log'!$B$4:$B$810,MATCH(97,'Match Log'!$A$4:$A$810,0)),"")</f>
        <v>46189</v>
      </c>
      <c r="C121" t="str">
        <f>IFERROR(INDEX('Match Log'!$C$4:$C$810,MATCH(97,'Match Log'!$A$4:$A$810,0)),"")</f>
        <v>Pool</v>
      </c>
      <c r="D121" t="str">
        <f>IFERROR(INDEX('Match Log'!$G$4:$G$810,MATCH(97,'Match Log'!$A$4:$A$810,0)),"")</f>
        <v>Dean B</v>
      </c>
      <c r="E121" s="133">
        <f>IFERROR(INDEX('Match Log'!$F$4:$F$810,MATCH(97,'Match Log'!$A$4:$A$810,0)),"")</f>
        <v>2</v>
      </c>
      <c r="F121">
        <f>IFERROR(SUMIFS('Match Log'!$I$4:$I$810,'Match Log'!$A$4:$A$810,97,'Match Log'!$E$4:$E$810,"Win"),"")</f>
        <v>0.42553191489361708</v>
      </c>
      <c r="G121">
        <f t="shared" ref="G121:G144" si="25">IF($D121="","",1-$F121*$E121)</f>
        <v>0.14893617021276584</v>
      </c>
      <c r="H121" t="str">
        <f>IFERROR(IF($E121=2,LOOKUP(2,1/(('Match Log'!$A$4:$A$810=97)*('Match Log'!$E$4:$E$810="Loss")),'Match Log'!$D$4:$D$810),"the field"),"")</f>
        <v>Daniel (Ferret)</v>
      </c>
      <c r="I121">
        <f t="shared" ref="I121:I144" si="26">IF($G121="","",$G121-$A121/1000000)</f>
        <v>0.14883917021276583</v>
      </c>
      <c r="J121">
        <v>97</v>
      </c>
      <c r="K121">
        <f>IF($J121&gt;MAX('Match Log'!$A$4:$A$810),NA(),IFERROR(LOOKUP(2,1/(('Match Log'!$D$4:$D$810=$K$24)*('Match Log'!$A$4:$A$810&lt;=$J121)),'Match Log'!$N$4:$N$810),NA()))</f>
        <v>1071.6001753974281</v>
      </c>
      <c r="L121">
        <f>IF($J121&gt;MAX('Match Log'!$A$4:$A$810),NA(),IFERROR(LOOKUP(2,1/(('Match Log'!$D$4:$D$810=$L$24)*('Match Log'!$A$4:$A$810&lt;=$J121)),'Match Log'!$N$4:$N$810),NA()))</f>
        <v>1044.8691565259944</v>
      </c>
      <c r="M121">
        <f>IF($J121&gt;MAX('Match Log'!$A$4:$A$810),NA(),IFERROR(LOOKUP(2,1/(('Match Log'!$D$4:$D$810=$M$24)*('Match Log'!$A$4:$A$810&lt;=$J121)),'Match Log'!$N$4:$N$810),NA()))</f>
        <v>1017.3466608720325</v>
      </c>
      <c r="N121">
        <f>IF($J121&gt;MAX('Match Log'!$A$4:$A$810),NA(),IFERROR(LOOKUP(2,1/(('Match Log'!$D$4:$D$810=$N$24)*('Match Log'!$A$4:$A$810&lt;=$J121)),'Match Log'!$N$4:$N$810),NA()))</f>
        <v>990.8737469852914</v>
      </c>
      <c r="O121">
        <f>IF($J121&gt;MAX('Match Log'!$A$4:$A$810),NA(),IFERROR(LOOKUP(2,1/(('Match Log'!$D$4:$D$810=$O$24)*('Match Log'!$A$4:$A$810&lt;=$J121)),'Match Log'!$N$4:$N$810),NA()))</f>
        <v>1174.6803700391565</v>
      </c>
      <c r="P121">
        <f>IF($J121&gt;MAX('Match Log'!$A$4:$A$810),NA(),IFERROR(LOOKUP(2,1/(('Match Log'!$D$4:$D$810=$P$24)*('Match Log'!$A$4:$A$810&lt;=$J121)),'Match Log'!$N$4:$N$810),NA()))</f>
        <v>1022.1264377869081</v>
      </c>
      <c r="Q121">
        <f>IF($J121&gt;MAX('Match Log'!$A$4:$A$810),NA(),IFERROR(LOOKUP(2,1/(('Match Log'!$D$4:$D$810=$Q$24)*('Match Log'!$A$4:$A$810&lt;=$J121)),'Match Log'!$N$4:$N$810),NA()))</f>
        <v>1099.9035033078371</v>
      </c>
      <c r="R121">
        <f>IF($J121&gt;MAX('Match Log'!$A$4:$A$810),NA(),IFERROR(LOOKUP(2,1/(('Match Log'!$D$4:$D$810=$R$24)*('Match Log'!$A$4:$A$810&lt;=$J121)),'Match Log'!$N$4:$N$810),NA()))</f>
        <v>1090.6122563947079</v>
      </c>
      <c r="S121">
        <f>IF($J121&gt;MAX('Match Log'!$A$4:$A$810),NA(),IFERROR(LOOKUP(2,1/(('Match Log'!$D$4:$D$810=$S$24)*('Match Log'!$A$4:$A$810&lt;=$J121)),'Match Log'!$N$4:$N$810),NA()))</f>
        <v>1189.3765078898728</v>
      </c>
      <c r="T121">
        <f>IF($J121&gt;MAX('Match Log'!$A$4:$A$810),NA(),IFERROR(LOOKUP(2,1/(('Match Log'!$D$4:$D$810=$T$24)*('Match Log'!$A$4:$A$810&lt;=$J121)),'Match Log'!$N$4:$N$810),NA()))</f>
        <v>894.20718606929802</v>
      </c>
      <c r="U121">
        <f>IF($J121&gt;MAX('Match Log'!$A$4:$A$810),NA(),IFERROR(LOOKUP(2,1/(('Match Log'!$D$4:$D$810=$U$24)*('Match Log'!$A$4:$A$810&lt;=$J121)),'Match Log'!$N$4:$N$810),NA()))</f>
        <v>1094.3607552510286</v>
      </c>
      <c r="V121">
        <f>IF($J121&gt;MAX('Match Log'!$A$4:$A$810),NA(),IFERROR(LOOKUP(2,1/(('Match Log'!$D$4:$D$810=$V$24)*('Match Log'!$A$4:$A$810&lt;=$J121)),'Match Log'!$N$4:$N$810),NA()))</f>
        <v>1039.5415973556721</v>
      </c>
      <c r="W121">
        <f>IF($J121&gt;MAX('Match Log'!$A$4:$A$810),NA(),IFERROR(LOOKUP(2,1/(('Match Log'!$D$4:$D$810=$W$24)*('Match Log'!$A$4:$A$810&lt;=$J121)),'Match Log'!$N$4:$N$810),NA()))</f>
        <v>1038.5016461247724</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32">
        <f>IFERROR(INDEX('Match Log'!$B$4:$B$810,MATCH(98,'Match Log'!$A$4:$A$810,0)),"")</f>
        <v>46190</v>
      </c>
      <c r="C122" t="str">
        <f>IFERROR(INDEX('Match Log'!$C$4:$C$810,MATCH(98,'Match Log'!$A$4:$A$810,0)),"")</f>
        <v>Chess</v>
      </c>
      <c r="D122" t="str">
        <f>IFERROR(INDEX('Match Log'!$G$4:$G$810,MATCH(98,'Match Log'!$A$4:$A$810,0)),"")</f>
        <v>Shawn</v>
      </c>
      <c r="E122" s="133">
        <f>IFERROR(INDEX('Match Log'!$F$4:$F$810,MATCH(98,'Match Log'!$A$4:$A$810,0)),"")</f>
        <v>2</v>
      </c>
      <c r="F122">
        <f>IFERROR(SUMIFS('Match Log'!$I$4:$I$810,'Match Log'!$A$4:$A$810,98,'Match Log'!$E$4:$E$810,"Win"),"")</f>
        <v>0.5</v>
      </c>
      <c r="G122">
        <f t="shared" si="25"/>
        <v>0</v>
      </c>
      <c r="H122" t="str">
        <f>IFERROR(IF($E122=2,LOOKUP(2,1/(('Match Log'!$A$4:$A$810=98)*('Match Log'!$E$4:$E$810="Loss")),'Match Log'!$D$4:$D$810),"the field"),"")</f>
        <v>Daniel (Ferret)</v>
      </c>
      <c r="I122">
        <f t="shared" si="26"/>
        <v>-9.7999999999999997E-5</v>
      </c>
      <c r="J122">
        <v>98</v>
      </c>
      <c r="K122">
        <f>IF($J122&gt;MAX('Match Log'!$A$4:$A$810),NA(),IFERROR(LOOKUP(2,1/(('Match Log'!$D$4:$D$810=$K$24)*('Match Log'!$A$4:$A$810&lt;=$J122)),'Match Log'!$N$4:$N$810),NA()))</f>
        <v>1071.6001753974281</v>
      </c>
      <c r="L122">
        <f>IF($J122&gt;MAX('Match Log'!$A$4:$A$810),NA(),IFERROR(LOOKUP(2,1/(('Match Log'!$D$4:$D$810=$L$24)*('Match Log'!$A$4:$A$810&lt;=$J122)),'Match Log'!$N$4:$N$810),NA()))</f>
        <v>1044.8691565259944</v>
      </c>
      <c r="M122">
        <f>IF($J122&gt;MAX('Match Log'!$A$4:$A$810),NA(),IFERROR(LOOKUP(2,1/(('Match Log'!$D$4:$D$810=$M$24)*('Match Log'!$A$4:$A$810&lt;=$J122)),'Match Log'!$N$4:$N$810),NA()))</f>
        <v>1017.3466608720325</v>
      </c>
      <c r="N122">
        <f>IF($J122&gt;MAX('Match Log'!$A$4:$A$810),NA(),IFERROR(LOOKUP(2,1/(('Match Log'!$D$4:$D$810=$N$24)*('Match Log'!$A$4:$A$810&lt;=$J122)),'Match Log'!$N$4:$N$810),NA()))</f>
        <v>990.8737469852914</v>
      </c>
      <c r="O122">
        <f>IF($J122&gt;MAX('Match Log'!$A$4:$A$810),NA(),IFERROR(LOOKUP(2,1/(('Match Log'!$D$4:$D$810=$O$24)*('Match Log'!$A$4:$A$810&lt;=$J122)),'Match Log'!$N$4:$N$810),NA()))</f>
        <v>1174.6803700391565</v>
      </c>
      <c r="P122">
        <f>IF($J122&gt;MAX('Match Log'!$A$4:$A$810),NA(),IFERROR(LOOKUP(2,1/(('Match Log'!$D$4:$D$810=$P$24)*('Match Log'!$A$4:$A$810&lt;=$J122)),'Match Log'!$N$4:$N$810),NA()))</f>
        <v>1047.2401026778748</v>
      </c>
      <c r="Q122">
        <f>IF($J122&gt;MAX('Match Log'!$A$4:$A$810),NA(),IFERROR(LOOKUP(2,1/(('Match Log'!$D$4:$D$810=$Q$24)*('Match Log'!$A$4:$A$810&lt;=$J122)),'Match Log'!$N$4:$N$810),NA()))</f>
        <v>1099.9035033078371</v>
      </c>
      <c r="R122">
        <f>IF($J122&gt;MAX('Match Log'!$A$4:$A$810),NA(),IFERROR(LOOKUP(2,1/(('Match Log'!$D$4:$D$810=$R$24)*('Match Log'!$A$4:$A$810&lt;=$J122)),'Match Log'!$N$4:$N$810),NA()))</f>
        <v>1065.4985915037412</v>
      </c>
      <c r="S122">
        <f>IF($J122&gt;MAX('Match Log'!$A$4:$A$810),NA(),IFERROR(LOOKUP(2,1/(('Match Log'!$D$4:$D$810=$S$24)*('Match Log'!$A$4:$A$810&lt;=$J122)),'Match Log'!$N$4:$N$810),NA()))</f>
        <v>1189.3765078898728</v>
      </c>
      <c r="T122">
        <f>IF($J122&gt;MAX('Match Log'!$A$4:$A$810),NA(),IFERROR(LOOKUP(2,1/(('Match Log'!$D$4:$D$810=$T$24)*('Match Log'!$A$4:$A$810&lt;=$J122)),'Match Log'!$N$4:$N$810),NA()))</f>
        <v>894.20718606929802</v>
      </c>
      <c r="U122">
        <f>IF($J122&gt;MAX('Match Log'!$A$4:$A$810),NA(),IFERROR(LOOKUP(2,1/(('Match Log'!$D$4:$D$810=$U$24)*('Match Log'!$A$4:$A$810&lt;=$J122)),'Match Log'!$N$4:$N$810),NA()))</f>
        <v>1094.3607552510286</v>
      </c>
      <c r="V122">
        <f>IF($J122&gt;MAX('Match Log'!$A$4:$A$810),NA(),IFERROR(LOOKUP(2,1/(('Match Log'!$D$4:$D$810=$V$24)*('Match Log'!$A$4:$A$810&lt;=$J122)),'Match Log'!$N$4:$N$810),NA()))</f>
        <v>1039.5415973556721</v>
      </c>
      <c r="W122">
        <f>IF($J122&gt;MAX('Match Log'!$A$4:$A$810),NA(),IFERROR(LOOKUP(2,1/(('Match Log'!$D$4:$D$810=$W$24)*('Match Log'!$A$4:$A$810&lt;=$J122)),'Match Log'!$N$4:$N$810),NA()))</f>
        <v>1038.5016461247724</v>
      </c>
      <c r="X122" t="e">
        <f>IF($J122&gt;MAX('Match Log'!$A$4:$A$810),NA(),IFERROR(LOOKUP(2,1/(('Match Log'!$D$4:$D$810=$X$24)*('Match Log'!$A$4:$A$810&lt;=$J122)),'Match Log'!$N$4:$N$810),NA()))</f>
        <v>#N/A</v>
      </c>
      <c r="Y122" t="str">
        <f t="shared" ca="1" si="27"/>
        <v/>
      </c>
    </row>
    <row r="123" spans="1:25" ht="15" customHeight="1" x14ac:dyDescent="0.2">
      <c r="A123">
        <v>99</v>
      </c>
      <c r="B123" s="132">
        <f>IFERROR(INDEX('Match Log'!$B$4:$B$810,MATCH(99,'Match Log'!$A$4:$A$810,0)),"")</f>
        <v>46199</v>
      </c>
      <c r="C123" t="str">
        <f>IFERROR(INDEX('Match Log'!$C$4:$C$810,MATCH(99,'Match Log'!$A$4:$A$810,0)),"")</f>
        <v>Mario Golf</v>
      </c>
      <c r="D123" t="str">
        <f>IFERROR(INDEX('Match Log'!$G$4:$G$810,MATCH(99,'Match Log'!$A$4:$A$810,0)),"")</f>
        <v>Daniel (Ferret)</v>
      </c>
      <c r="E123" s="133">
        <f>IFERROR(INDEX('Match Log'!$F$4:$F$810,MATCH(99,'Match Log'!$A$4:$A$810,0)),"")</f>
        <v>2</v>
      </c>
      <c r="F123">
        <f>IFERROR(SUMIFS('Match Log'!$I$4:$I$810,'Match Log'!$A$4:$A$810,99,'Match Log'!$E$4:$E$810,"Win"),"")</f>
        <v>0.5</v>
      </c>
      <c r="G123">
        <f t="shared" si="25"/>
        <v>0</v>
      </c>
      <c r="H123" t="str">
        <f>IFERROR(IF($E123=2,LOOKUP(2,1/(('Match Log'!$A$4:$A$810=99)*('Match Log'!$E$4:$E$810="Loss")),'Match Log'!$D$4:$D$810),"the field"),"")</f>
        <v>Josh</v>
      </c>
      <c r="I123">
        <f t="shared" si="26"/>
        <v>-9.8999999999999994E-5</v>
      </c>
      <c r="J123">
        <v>99</v>
      </c>
      <c r="K123">
        <f>IF($J123&gt;MAX('Match Log'!$A$4:$A$810),NA(),IFERROR(LOOKUP(2,1/(('Match Log'!$D$4:$D$810=$K$24)*('Match Log'!$A$4:$A$810&lt;=$J123)),'Match Log'!$N$4:$N$810),NA()))</f>
        <v>1071.6001753974281</v>
      </c>
      <c r="L123">
        <f>IF($J123&gt;MAX('Match Log'!$A$4:$A$810),NA(),IFERROR(LOOKUP(2,1/(('Match Log'!$D$4:$D$810=$L$24)*('Match Log'!$A$4:$A$810&lt;=$J123)),'Match Log'!$N$4:$N$810),NA()))</f>
        <v>1044.8691565259944</v>
      </c>
      <c r="M123">
        <f>IF($J123&gt;MAX('Match Log'!$A$4:$A$810),NA(),IFERROR(LOOKUP(2,1/(('Match Log'!$D$4:$D$810=$M$24)*('Match Log'!$A$4:$A$810&lt;=$J123)),'Match Log'!$N$4:$N$810),NA()))</f>
        <v>1017.3466608720325</v>
      </c>
      <c r="N123">
        <f>IF($J123&gt;MAX('Match Log'!$A$4:$A$810),NA(),IFERROR(LOOKUP(2,1/(('Match Log'!$D$4:$D$810=$N$24)*('Match Log'!$A$4:$A$810&lt;=$J123)),'Match Log'!$N$4:$N$810),NA()))</f>
        <v>990.8737469852914</v>
      </c>
      <c r="O123">
        <f>IF($J123&gt;MAX('Match Log'!$A$4:$A$810),NA(),IFERROR(LOOKUP(2,1/(('Match Log'!$D$4:$D$810=$O$24)*('Match Log'!$A$4:$A$810&lt;=$J123)),'Match Log'!$N$4:$N$810),NA()))</f>
        <v>1147.811587499318</v>
      </c>
      <c r="P123">
        <f>IF($J123&gt;MAX('Match Log'!$A$4:$A$810),NA(),IFERROR(LOOKUP(2,1/(('Match Log'!$D$4:$D$810=$P$24)*('Match Log'!$A$4:$A$810&lt;=$J123)),'Match Log'!$N$4:$N$810),NA()))</f>
        <v>1047.2401026778748</v>
      </c>
      <c r="Q123">
        <f>IF($J123&gt;MAX('Match Log'!$A$4:$A$810),NA(),IFERROR(LOOKUP(2,1/(('Match Log'!$D$4:$D$810=$Q$24)*('Match Log'!$A$4:$A$810&lt;=$J123)),'Match Log'!$N$4:$N$810),NA()))</f>
        <v>1099.9035033078371</v>
      </c>
      <c r="R123">
        <f>IF($J123&gt;MAX('Match Log'!$A$4:$A$810),NA(),IFERROR(LOOKUP(2,1/(('Match Log'!$D$4:$D$810=$R$24)*('Match Log'!$A$4:$A$810&lt;=$J123)),'Match Log'!$N$4:$N$810),NA()))</f>
        <v>1092.3673740435797</v>
      </c>
      <c r="S123">
        <f>IF($J123&gt;MAX('Match Log'!$A$4:$A$810),NA(),IFERROR(LOOKUP(2,1/(('Match Log'!$D$4:$D$810=$S$24)*('Match Log'!$A$4:$A$810&lt;=$J123)),'Match Log'!$N$4:$N$810),NA()))</f>
        <v>1189.3765078898728</v>
      </c>
      <c r="T123">
        <f>IF($J123&gt;MAX('Match Log'!$A$4:$A$810),NA(),IFERROR(LOOKUP(2,1/(('Match Log'!$D$4:$D$810=$T$24)*('Match Log'!$A$4:$A$810&lt;=$J123)),'Match Log'!$N$4:$N$810),NA()))</f>
        <v>894.20718606929802</v>
      </c>
      <c r="U123">
        <f>IF($J123&gt;MAX('Match Log'!$A$4:$A$810),NA(),IFERROR(LOOKUP(2,1/(('Match Log'!$D$4:$D$810=$U$24)*('Match Log'!$A$4:$A$810&lt;=$J123)),'Match Log'!$N$4:$N$810),NA()))</f>
        <v>1094.3607552510286</v>
      </c>
      <c r="V123">
        <f>IF($J123&gt;MAX('Match Log'!$A$4:$A$810),NA(),IFERROR(LOOKUP(2,1/(('Match Log'!$D$4:$D$810=$V$24)*('Match Log'!$A$4:$A$810&lt;=$J123)),'Match Log'!$N$4:$N$810),NA()))</f>
        <v>1039.5415973556721</v>
      </c>
      <c r="W123">
        <f>IF($J123&gt;MAX('Match Log'!$A$4:$A$810),NA(),IFERROR(LOOKUP(2,1/(('Match Log'!$D$4:$D$810=$W$24)*('Match Log'!$A$4:$A$810&lt;=$J123)),'Match Log'!$N$4:$N$810),NA()))</f>
        <v>1038.5016461247724</v>
      </c>
      <c r="X123" t="e">
        <f>IF($J123&gt;MAX('Match Log'!$A$4:$A$810),NA(),IFERROR(LOOKUP(2,1/(('Match Log'!$D$4:$D$810=$X$24)*('Match Log'!$A$4:$A$810&lt;=$J123)),'Match Log'!$N$4:$N$810),NA()))</f>
        <v>#N/A</v>
      </c>
      <c r="Y123" t="str">
        <f t="shared" ca="1" si="27"/>
        <v/>
      </c>
    </row>
    <row r="124" spans="1:25" ht="15" customHeight="1" x14ac:dyDescent="0.2">
      <c r="A124">
        <v>100</v>
      </c>
      <c r="B124" s="132">
        <f>IFERROR(INDEX('Match Log'!$B$4:$B$810,MATCH(100,'Match Log'!$A$4:$A$810,0)),"")</f>
        <v>46199</v>
      </c>
      <c r="C124" t="str">
        <f>IFERROR(INDEX('Match Log'!$C$4:$C$810,MATCH(100,'Match Log'!$A$4:$A$810,0)),"")</f>
        <v>Mario Golf</v>
      </c>
      <c r="D124" t="str">
        <f>IFERROR(INDEX('Match Log'!$G$4:$G$810,MATCH(100,'Match Log'!$A$4:$A$810,0)),"")</f>
        <v>Daniel (Ferret)</v>
      </c>
      <c r="E124" s="133">
        <f>IFERROR(INDEX('Match Log'!$F$4:$F$810,MATCH(100,'Match Log'!$A$4:$A$810,0)),"")</f>
        <v>2</v>
      </c>
      <c r="F124">
        <f>IFERROR(SUMIFS('Match Log'!$I$4:$I$810,'Match Log'!$A$4:$A$810,100,'Match Log'!$E$4:$E$810,"Win"),"")</f>
        <v>0.66666666666666663</v>
      </c>
      <c r="G124">
        <f t="shared" si="25"/>
        <v>-0.33333333333333326</v>
      </c>
      <c r="H124" t="str">
        <f>IFERROR(IF($E124=2,LOOKUP(2,1/(('Match Log'!$A$4:$A$810=100)*('Match Log'!$E$4:$E$810="Loss")),'Match Log'!$D$4:$D$810),"the field"),"")</f>
        <v>Josh</v>
      </c>
      <c r="I124">
        <f t="shared" si="26"/>
        <v>-0.33343333333333325</v>
      </c>
      <c r="J124">
        <v>100</v>
      </c>
      <c r="K124">
        <f>IF($J124&gt;MAX('Match Log'!$A$4:$A$810),NA(),IFERROR(LOOKUP(2,1/(('Match Log'!$D$4:$D$810=$K$24)*('Match Log'!$A$4:$A$810&lt;=$J124)),'Match Log'!$N$4:$N$810),NA()))</f>
        <v>1071.6001753974281</v>
      </c>
      <c r="L124">
        <f>IF($J124&gt;MAX('Match Log'!$A$4:$A$810),NA(),IFERROR(LOOKUP(2,1/(('Match Log'!$D$4:$D$810=$L$24)*('Match Log'!$A$4:$A$810&lt;=$J124)),'Match Log'!$N$4:$N$810),NA()))</f>
        <v>1044.8691565259944</v>
      </c>
      <c r="M124">
        <f>IF($J124&gt;MAX('Match Log'!$A$4:$A$810),NA(),IFERROR(LOOKUP(2,1/(('Match Log'!$D$4:$D$810=$M$24)*('Match Log'!$A$4:$A$810&lt;=$J124)),'Match Log'!$N$4:$N$810),NA()))</f>
        <v>1017.3466608720325</v>
      </c>
      <c r="N124">
        <f>IF($J124&gt;MAX('Match Log'!$A$4:$A$810),NA(),IFERROR(LOOKUP(2,1/(('Match Log'!$D$4:$D$810=$N$24)*('Match Log'!$A$4:$A$810&lt;=$J124)),'Match Log'!$N$4:$N$810),NA()))</f>
        <v>990.8737469852914</v>
      </c>
      <c r="O124">
        <f>IF($J124&gt;MAX('Match Log'!$A$4:$A$810),NA(),IFERROR(LOOKUP(2,1/(('Match Log'!$D$4:$D$810=$O$24)*('Match Log'!$A$4:$A$810&lt;=$J124)),'Match Log'!$N$4:$N$810),NA()))</f>
        <v>1125.9380799802884</v>
      </c>
      <c r="P124">
        <f>IF($J124&gt;MAX('Match Log'!$A$4:$A$810),NA(),IFERROR(LOOKUP(2,1/(('Match Log'!$D$4:$D$810=$P$24)*('Match Log'!$A$4:$A$810&lt;=$J124)),'Match Log'!$N$4:$N$810),NA()))</f>
        <v>1047.2401026778748</v>
      </c>
      <c r="Q124">
        <f>IF($J124&gt;MAX('Match Log'!$A$4:$A$810),NA(),IFERROR(LOOKUP(2,1/(('Match Log'!$D$4:$D$810=$Q$24)*('Match Log'!$A$4:$A$810&lt;=$J124)),'Match Log'!$N$4:$N$810),NA()))</f>
        <v>1099.9035033078371</v>
      </c>
      <c r="R124">
        <f>IF($J124&gt;MAX('Match Log'!$A$4:$A$810),NA(),IFERROR(LOOKUP(2,1/(('Match Log'!$D$4:$D$810=$R$24)*('Match Log'!$A$4:$A$810&lt;=$J124)),'Match Log'!$N$4:$N$810),NA()))</f>
        <v>1114.2408815626093</v>
      </c>
      <c r="S124">
        <f>IF($J124&gt;MAX('Match Log'!$A$4:$A$810),NA(),IFERROR(LOOKUP(2,1/(('Match Log'!$D$4:$D$810=$S$24)*('Match Log'!$A$4:$A$810&lt;=$J124)),'Match Log'!$N$4:$N$810),NA()))</f>
        <v>1189.3765078898728</v>
      </c>
      <c r="T124">
        <f>IF($J124&gt;MAX('Match Log'!$A$4:$A$810),NA(),IFERROR(LOOKUP(2,1/(('Match Log'!$D$4:$D$810=$T$24)*('Match Log'!$A$4:$A$810&lt;=$J124)),'Match Log'!$N$4:$N$810),NA()))</f>
        <v>894.20718606929802</v>
      </c>
      <c r="U124">
        <f>IF($J124&gt;MAX('Match Log'!$A$4:$A$810),NA(),IFERROR(LOOKUP(2,1/(('Match Log'!$D$4:$D$810=$U$24)*('Match Log'!$A$4:$A$810&lt;=$J124)),'Match Log'!$N$4:$N$810),NA()))</f>
        <v>1094.3607552510286</v>
      </c>
      <c r="V124">
        <f>IF($J124&gt;MAX('Match Log'!$A$4:$A$810),NA(),IFERROR(LOOKUP(2,1/(('Match Log'!$D$4:$D$810=$V$24)*('Match Log'!$A$4:$A$810&lt;=$J124)),'Match Log'!$N$4:$N$810),NA()))</f>
        <v>1039.5415973556721</v>
      </c>
      <c r="W124">
        <f>IF($J124&gt;MAX('Match Log'!$A$4:$A$810),NA(),IFERROR(LOOKUP(2,1/(('Match Log'!$D$4:$D$810=$W$24)*('Match Log'!$A$4:$A$810&lt;=$J124)),'Match Log'!$N$4:$N$810),NA()))</f>
        <v>1038.5016461247724</v>
      </c>
      <c r="X124" t="e">
        <f>IF($J124&gt;MAX('Match Log'!$A$4:$A$810),NA(),IFERROR(LOOKUP(2,1/(('Match Log'!$D$4:$D$810=$X$24)*('Match Log'!$A$4:$A$810&lt;=$J124)),'Match Log'!$N$4:$N$810),NA()))</f>
        <v>#N/A</v>
      </c>
      <c r="Y124" t="str">
        <f t="shared" ca="1" si="27"/>
        <v/>
      </c>
    </row>
    <row r="125" spans="1:25" ht="15" customHeight="1" x14ac:dyDescent="0.2">
      <c r="A125">
        <v>101</v>
      </c>
      <c r="B125" s="132">
        <f>IFERROR(INDEX('Match Log'!$B$4:$B$810,MATCH(101,'Match Log'!$A$4:$A$810,0)),"")</f>
        <v>46199</v>
      </c>
      <c r="C125" t="str">
        <f>IFERROR(INDEX('Match Log'!$C$4:$C$810,MATCH(101,'Match Log'!$A$4:$A$810,0)),"")</f>
        <v>Mario Golf</v>
      </c>
      <c r="D125" t="str">
        <f>IFERROR(INDEX('Match Log'!$G$4:$G$810,MATCH(101,'Match Log'!$A$4:$A$810,0)),"")</f>
        <v>Josh</v>
      </c>
      <c r="E125" s="133">
        <f>IFERROR(INDEX('Match Log'!$F$4:$F$810,MATCH(101,'Match Log'!$A$4:$A$810,0)),"")</f>
        <v>2</v>
      </c>
      <c r="F125">
        <f>IFERROR(SUMIFS('Match Log'!$I$4:$I$810,'Match Log'!$A$4:$A$810,101,'Match Log'!$E$4:$E$810,"Win"),"")</f>
        <v>0.25</v>
      </c>
      <c r="G125">
        <f t="shared" si="25"/>
        <v>0.5</v>
      </c>
      <c r="H125" t="str">
        <f>IFERROR(IF($E125=2,LOOKUP(2,1/(('Match Log'!$A$4:$A$810=101)*('Match Log'!$E$4:$E$810="Loss")),'Match Log'!$D$4:$D$810),"the field"),"")</f>
        <v>Daniel (Ferret)</v>
      </c>
      <c r="I125">
        <f t="shared" si="26"/>
        <v>0.49989899999999998</v>
      </c>
      <c r="J125">
        <v>101</v>
      </c>
      <c r="K125">
        <f>IF($J125&gt;MAX('Match Log'!$A$4:$A$810),NA(),IFERROR(LOOKUP(2,1/(('Match Log'!$D$4:$D$810=$K$24)*('Match Log'!$A$4:$A$810&lt;=$J125)),'Match Log'!$N$4:$N$810),NA()))</f>
        <v>1071.6001753974281</v>
      </c>
      <c r="L125">
        <f>IF($J125&gt;MAX('Match Log'!$A$4:$A$810),NA(),IFERROR(LOOKUP(2,1/(('Match Log'!$D$4:$D$810=$L$24)*('Match Log'!$A$4:$A$810&lt;=$J125)),'Match Log'!$N$4:$N$810),NA()))</f>
        <v>1044.8691565259944</v>
      </c>
      <c r="M125">
        <f>IF($J125&gt;MAX('Match Log'!$A$4:$A$810),NA(),IFERROR(LOOKUP(2,1/(('Match Log'!$D$4:$D$810=$M$24)*('Match Log'!$A$4:$A$810&lt;=$J125)),'Match Log'!$N$4:$N$810),NA()))</f>
        <v>1017.3466608720325</v>
      </c>
      <c r="N125">
        <f>IF($J125&gt;MAX('Match Log'!$A$4:$A$810),NA(),IFERROR(LOOKUP(2,1/(('Match Log'!$D$4:$D$810=$N$24)*('Match Log'!$A$4:$A$810&lt;=$J125)),'Match Log'!$N$4:$N$810),NA()))</f>
        <v>990.8737469852914</v>
      </c>
      <c r="O125">
        <f>IF($J125&gt;MAX('Match Log'!$A$4:$A$810),NA(),IFERROR(LOOKUP(2,1/(('Match Log'!$D$4:$D$810=$O$24)*('Match Log'!$A$4:$A$810&lt;=$J125)),'Match Log'!$N$4:$N$810),NA()))</f>
        <v>1151.3566339199238</v>
      </c>
      <c r="P125">
        <f>IF($J125&gt;MAX('Match Log'!$A$4:$A$810),NA(),IFERROR(LOOKUP(2,1/(('Match Log'!$D$4:$D$810=$P$24)*('Match Log'!$A$4:$A$810&lt;=$J125)),'Match Log'!$N$4:$N$810),NA()))</f>
        <v>1047.2401026778748</v>
      </c>
      <c r="Q125">
        <f>IF($J125&gt;MAX('Match Log'!$A$4:$A$810),NA(),IFERROR(LOOKUP(2,1/(('Match Log'!$D$4:$D$810=$Q$24)*('Match Log'!$A$4:$A$810&lt;=$J125)),'Match Log'!$N$4:$N$810),NA()))</f>
        <v>1099.9035033078371</v>
      </c>
      <c r="R125">
        <f>IF($J125&gt;MAX('Match Log'!$A$4:$A$810),NA(),IFERROR(LOOKUP(2,1/(('Match Log'!$D$4:$D$810=$R$24)*('Match Log'!$A$4:$A$810&lt;=$J125)),'Match Log'!$N$4:$N$810),NA()))</f>
        <v>1088.8223276229739</v>
      </c>
      <c r="S125">
        <f>IF($J125&gt;MAX('Match Log'!$A$4:$A$810),NA(),IFERROR(LOOKUP(2,1/(('Match Log'!$D$4:$D$810=$S$24)*('Match Log'!$A$4:$A$810&lt;=$J125)),'Match Log'!$N$4:$N$810),NA()))</f>
        <v>1189.3765078898728</v>
      </c>
      <c r="T125">
        <f>IF($J125&gt;MAX('Match Log'!$A$4:$A$810),NA(),IFERROR(LOOKUP(2,1/(('Match Log'!$D$4:$D$810=$T$24)*('Match Log'!$A$4:$A$810&lt;=$J125)),'Match Log'!$N$4:$N$810),NA()))</f>
        <v>894.20718606929802</v>
      </c>
      <c r="U125">
        <f>IF($J125&gt;MAX('Match Log'!$A$4:$A$810),NA(),IFERROR(LOOKUP(2,1/(('Match Log'!$D$4:$D$810=$U$24)*('Match Log'!$A$4:$A$810&lt;=$J125)),'Match Log'!$N$4:$N$810),NA()))</f>
        <v>1094.3607552510286</v>
      </c>
      <c r="V125">
        <f>IF($J125&gt;MAX('Match Log'!$A$4:$A$810),NA(),IFERROR(LOOKUP(2,1/(('Match Log'!$D$4:$D$810=$V$24)*('Match Log'!$A$4:$A$810&lt;=$J125)),'Match Log'!$N$4:$N$810),NA()))</f>
        <v>1039.5415973556721</v>
      </c>
      <c r="W125">
        <f>IF($J125&gt;MAX('Match Log'!$A$4:$A$810),NA(),IFERROR(LOOKUP(2,1/(('Match Log'!$D$4:$D$810=$W$24)*('Match Log'!$A$4:$A$810&lt;=$J125)),'Match Log'!$N$4:$N$810),NA()))</f>
        <v>1038.5016461247724</v>
      </c>
      <c r="X125" t="e">
        <f>IF($J125&gt;MAX('Match Log'!$A$4:$A$810),NA(),IFERROR(LOOKUP(2,1/(('Match Log'!$D$4:$D$810=$X$24)*('Match Log'!$A$4:$A$810&lt;=$J125)),'Match Log'!$N$4:$N$810),NA()))</f>
        <v>#N/A</v>
      </c>
      <c r="Y125" t="str">
        <f t="shared" ca="1" si="27"/>
        <v/>
      </c>
    </row>
    <row r="126" spans="1:25" ht="15" customHeight="1" x14ac:dyDescent="0.2">
      <c r="A126">
        <v>102</v>
      </c>
      <c r="B126" s="132">
        <f>IFERROR(INDEX('Match Log'!$B$4:$B$810,MATCH(102,'Match Log'!$A$4:$A$810,0)),"")</f>
        <v>46199</v>
      </c>
      <c r="C126" t="str">
        <f>IFERROR(INDEX('Match Log'!$C$4:$C$810,MATCH(102,'Match Log'!$A$4:$A$810,0)),"")</f>
        <v>Mario Golf</v>
      </c>
      <c r="D126" t="str">
        <f>IFERROR(INDEX('Match Log'!$G$4:$G$810,MATCH(102,'Match Log'!$A$4:$A$810,0)),"")</f>
        <v>Josh</v>
      </c>
      <c r="E126" s="133">
        <f>IFERROR(INDEX('Match Log'!$F$4:$F$810,MATCH(102,'Match Log'!$A$4:$A$810,0)),"")</f>
        <v>2</v>
      </c>
      <c r="F126">
        <f>IFERROR(SUMIFS('Match Log'!$I$4:$I$810,'Match Log'!$A$4:$A$810,102,'Match Log'!$E$4:$E$810,"Win"),"")</f>
        <v>0.4</v>
      </c>
      <c r="G126">
        <f t="shared" si="25"/>
        <v>0.19999999999999996</v>
      </c>
      <c r="H126" t="str">
        <f>IFERROR(IF($E126=2,LOOKUP(2,1/(('Match Log'!$A$4:$A$810=102)*('Match Log'!$E$4:$E$810="Loss")),'Match Log'!$D$4:$D$810),"the field"),"")</f>
        <v>Daniel (Ferret)</v>
      </c>
      <c r="I126">
        <f t="shared" si="26"/>
        <v>0.19989799999999996</v>
      </c>
      <c r="J126">
        <v>102</v>
      </c>
      <c r="K126">
        <f>IF($J126&gt;MAX('Match Log'!$A$4:$A$810),NA(),IFERROR(LOOKUP(2,1/(('Match Log'!$D$4:$D$810=$K$24)*('Match Log'!$A$4:$A$810&lt;=$J126)),'Match Log'!$N$4:$N$810),NA()))</f>
        <v>1071.6001753974281</v>
      </c>
      <c r="L126">
        <f>IF($J126&gt;MAX('Match Log'!$A$4:$A$810),NA(),IFERROR(LOOKUP(2,1/(('Match Log'!$D$4:$D$810=$L$24)*('Match Log'!$A$4:$A$810&lt;=$J126)),'Match Log'!$N$4:$N$810),NA()))</f>
        <v>1044.8691565259944</v>
      </c>
      <c r="M126">
        <f>IF($J126&gt;MAX('Match Log'!$A$4:$A$810),NA(),IFERROR(LOOKUP(2,1/(('Match Log'!$D$4:$D$810=$M$24)*('Match Log'!$A$4:$A$810&lt;=$J126)),'Match Log'!$N$4:$N$810),NA()))</f>
        <v>1017.3466608720325</v>
      </c>
      <c r="N126">
        <f>IF($J126&gt;MAX('Match Log'!$A$4:$A$810),NA(),IFERROR(LOOKUP(2,1/(('Match Log'!$D$4:$D$810=$N$24)*('Match Log'!$A$4:$A$810&lt;=$J126)),'Match Log'!$N$4:$N$810),NA()))</f>
        <v>990.8737469852914</v>
      </c>
      <c r="O126">
        <f>IF($J126&gt;MAX('Match Log'!$A$4:$A$810),NA(),IFERROR(LOOKUP(2,1/(('Match Log'!$D$4:$D$810=$O$24)*('Match Log'!$A$4:$A$810&lt;=$J126)),'Match Log'!$N$4:$N$810),NA()))</f>
        <v>1173.1660011582487</v>
      </c>
      <c r="P126">
        <f>IF($J126&gt;MAX('Match Log'!$A$4:$A$810),NA(),IFERROR(LOOKUP(2,1/(('Match Log'!$D$4:$D$810=$P$24)*('Match Log'!$A$4:$A$810&lt;=$J126)),'Match Log'!$N$4:$N$810),NA()))</f>
        <v>1047.2401026778748</v>
      </c>
      <c r="Q126">
        <f>IF($J126&gt;MAX('Match Log'!$A$4:$A$810),NA(),IFERROR(LOOKUP(2,1/(('Match Log'!$D$4:$D$810=$Q$24)*('Match Log'!$A$4:$A$810&lt;=$J126)),'Match Log'!$N$4:$N$810),NA()))</f>
        <v>1099.9035033078371</v>
      </c>
      <c r="R126">
        <f>IF($J126&gt;MAX('Match Log'!$A$4:$A$810),NA(),IFERROR(LOOKUP(2,1/(('Match Log'!$D$4:$D$810=$R$24)*('Match Log'!$A$4:$A$810&lt;=$J126)),'Match Log'!$N$4:$N$810),NA()))</f>
        <v>1067.012960384649</v>
      </c>
      <c r="S126">
        <f>IF($J126&gt;MAX('Match Log'!$A$4:$A$810),NA(),IFERROR(LOOKUP(2,1/(('Match Log'!$D$4:$D$810=$S$24)*('Match Log'!$A$4:$A$810&lt;=$J126)),'Match Log'!$N$4:$N$810),NA()))</f>
        <v>1189.3765078898728</v>
      </c>
      <c r="T126">
        <f>IF($J126&gt;MAX('Match Log'!$A$4:$A$810),NA(),IFERROR(LOOKUP(2,1/(('Match Log'!$D$4:$D$810=$T$24)*('Match Log'!$A$4:$A$810&lt;=$J126)),'Match Log'!$N$4:$N$810),NA()))</f>
        <v>894.20718606929802</v>
      </c>
      <c r="U126">
        <f>IF($J126&gt;MAX('Match Log'!$A$4:$A$810),NA(),IFERROR(LOOKUP(2,1/(('Match Log'!$D$4:$D$810=$U$24)*('Match Log'!$A$4:$A$810&lt;=$J126)),'Match Log'!$N$4:$N$810),NA()))</f>
        <v>1094.3607552510286</v>
      </c>
      <c r="V126">
        <f>IF($J126&gt;MAX('Match Log'!$A$4:$A$810),NA(),IFERROR(LOOKUP(2,1/(('Match Log'!$D$4:$D$810=$V$24)*('Match Log'!$A$4:$A$810&lt;=$J126)),'Match Log'!$N$4:$N$810),NA()))</f>
        <v>1039.5415973556721</v>
      </c>
      <c r="W126">
        <f>IF($J126&gt;MAX('Match Log'!$A$4:$A$810),NA(),IFERROR(LOOKUP(2,1/(('Match Log'!$D$4:$D$810=$W$24)*('Match Log'!$A$4:$A$810&lt;=$J126)),'Match Log'!$N$4:$N$810),NA()))</f>
        <v>1038.5016461247724</v>
      </c>
      <c r="X126" t="e">
        <f>IF($J126&gt;MAX('Match Log'!$A$4:$A$810),NA(),IFERROR(LOOKUP(2,1/(('Match Log'!$D$4:$D$810=$X$24)*('Match Log'!$A$4:$A$810&lt;=$J126)),'Match Log'!$N$4:$N$810),NA()))</f>
        <v>#N/A</v>
      </c>
      <c r="Y126" t="str">
        <f t="shared" ca="1" si="27"/>
        <v/>
      </c>
    </row>
    <row r="127" spans="1:25" ht="15" customHeight="1" x14ac:dyDescent="0.2">
      <c r="A127">
        <v>103</v>
      </c>
      <c r="B127" s="132">
        <f>IFERROR(INDEX('Match Log'!$B$4:$B$810,MATCH(103,'Match Log'!$A$4:$A$810,0)),"")</f>
        <v>46199</v>
      </c>
      <c r="C127" t="str">
        <f>IFERROR(INDEX('Match Log'!$C$4:$C$810,MATCH(103,'Match Log'!$A$4:$A$810,0)),"")</f>
        <v>Mario Party</v>
      </c>
      <c r="D127" t="str">
        <f>IFERROR(INDEX('Match Log'!$G$4:$G$810,MATCH(103,'Match Log'!$A$4:$A$810,0)),"")</f>
        <v>Daniel (Ferret)</v>
      </c>
      <c r="E127" s="133">
        <f>IFERROR(INDEX('Match Log'!$F$4:$F$810,MATCH(103,'Match Log'!$A$4:$A$810,0)),"")</f>
        <v>2</v>
      </c>
      <c r="F127">
        <f>IFERROR(SUMIFS('Match Log'!$I$4:$I$810,'Match Log'!$A$4:$A$810,103,'Match Log'!$E$4:$E$810,"Win"),"")</f>
        <v>0.6</v>
      </c>
      <c r="G127">
        <f t="shared" si="25"/>
        <v>-0.19999999999999996</v>
      </c>
      <c r="H127" t="str">
        <f>IFERROR(IF($E127=2,LOOKUP(2,1/(('Match Log'!$A$4:$A$810=103)*('Match Log'!$E$4:$E$810="Loss")),'Match Log'!$D$4:$D$810),"the field"),"")</f>
        <v>Josh</v>
      </c>
      <c r="I127">
        <f t="shared" si="26"/>
        <v>-0.20010299999999995</v>
      </c>
      <c r="J127">
        <v>103</v>
      </c>
      <c r="K127">
        <f>IF($J127&gt;MAX('Match Log'!$A$4:$A$810),NA(),IFERROR(LOOKUP(2,1/(('Match Log'!$D$4:$D$810=$K$24)*('Match Log'!$A$4:$A$810&lt;=$J127)),'Match Log'!$N$4:$N$810),NA()))</f>
        <v>1071.6001753974281</v>
      </c>
      <c r="L127">
        <f>IF($J127&gt;MAX('Match Log'!$A$4:$A$810),NA(),IFERROR(LOOKUP(2,1/(('Match Log'!$D$4:$D$810=$L$24)*('Match Log'!$A$4:$A$810&lt;=$J127)),'Match Log'!$N$4:$N$810),NA()))</f>
        <v>1044.8691565259944</v>
      </c>
      <c r="M127">
        <f>IF($J127&gt;MAX('Match Log'!$A$4:$A$810),NA(),IFERROR(LOOKUP(2,1/(('Match Log'!$D$4:$D$810=$M$24)*('Match Log'!$A$4:$A$810&lt;=$J127)),'Match Log'!$N$4:$N$810),NA()))</f>
        <v>1017.3466608720325</v>
      </c>
      <c r="N127">
        <f>IF($J127&gt;MAX('Match Log'!$A$4:$A$810),NA(),IFERROR(LOOKUP(2,1/(('Match Log'!$D$4:$D$810=$N$24)*('Match Log'!$A$4:$A$810&lt;=$J127)),'Match Log'!$N$4:$N$810),NA()))</f>
        <v>990.8737469852914</v>
      </c>
      <c r="O127">
        <f>IF($J127&gt;MAX('Match Log'!$A$4:$A$810),NA(),IFERROR(LOOKUP(2,1/(('Match Log'!$D$4:$D$810=$O$24)*('Match Log'!$A$4:$A$810&lt;=$J127)),'Match Log'!$N$4:$N$810),NA()))</f>
        <v>1147.1945550051951</v>
      </c>
      <c r="P127">
        <f>IF($J127&gt;MAX('Match Log'!$A$4:$A$810),NA(),IFERROR(LOOKUP(2,1/(('Match Log'!$D$4:$D$810=$P$24)*('Match Log'!$A$4:$A$810&lt;=$J127)),'Match Log'!$N$4:$N$810),NA()))</f>
        <v>1047.2401026778748</v>
      </c>
      <c r="Q127">
        <f>IF($J127&gt;MAX('Match Log'!$A$4:$A$810),NA(),IFERROR(LOOKUP(2,1/(('Match Log'!$D$4:$D$810=$Q$24)*('Match Log'!$A$4:$A$810&lt;=$J127)),'Match Log'!$N$4:$N$810),NA()))</f>
        <v>1099.9035033078371</v>
      </c>
      <c r="R127">
        <f>IF($J127&gt;MAX('Match Log'!$A$4:$A$810),NA(),IFERROR(LOOKUP(2,1/(('Match Log'!$D$4:$D$810=$R$24)*('Match Log'!$A$4:$A$810&lt;=$J127)),'Match Log'!$N$4:$N$810),NA()))</f>
        <v>1092.9844065377026</v>
      </c>
      <c r="S127">
        <f>IF($J127&gt;MAX('Match Log'!$A$4:$A$810),NA(),IFERROR(LOOKUP(2,1/(('Match Log'!$D$4:$D$810=$S$24)*('Match Log'!$A$4:$A$810&lt;=$J127)),'Match Log'!$N$4:$N$810),NA()))</f>
        <v>1189.3765078898728</v>
      </c>
      <c r="T127">
        <f>IF($J127&gt;MAX('Match Log'!$A$4:$A$810),NA(),IFERROR(LOOKUP(2,1/(('Match Log'!$D$4:$D$810=$T$24)*('Match Log'!$A$4:$A$810&lt;=$J127)),'Match Log'!$N$4:$N$810),NA()))</f>
        <v>894.20718606929802</v>
      </c>
      <c r="U127">
        <f>IF($J127&gt;MAX('Match Log'!$A$4:$A$810),NA(),IFERROR(LOOKUP(2,1/(('Match Log'!$D$4:$D$810=$U$24)*('Match Log'!$A$4:$A$810&lt;=$J127)),'Match Log'!$N$4:$N$810),NA()))</f>
        <v>1094.3607552510286</v>
      </c>
      <c r="V127">
        <f>IF($J127&gt;MAX('Match Log'!$A$4:$A$810),NA(),IFERROR(LOOKUP(2,1/(('Match Log'!$D$4:$D$810=$V$24)*('Match Log'!$A$4:$A$810&lt;=$J127)),'Match Log'!$N$4:$N$810),NA()))</f>
        <v>1039.5415973556721</v>
      </c>
      <c r="W127">
        <f>IF($J127&gt;MAX('Match Log'!$A$4:$A$810),NA(),IFERROR(LOOKUP(2,1/(('Match Log'!$D$4:$D$810=$W$24)*('Match Log'!$A$4:$A$810&lt;=$J127)),'Match Log'!$N$4:$N$810),NA()))</f>
        <v>1038.5016461247724</v>
      </c>
      <c r="X127" t="e">
        <f>IF($J127&gt;MAX('Match Log'!$A$4:$A$810),NA(),IFERROR(LOOKUP(2,1/(('Match Log'!$D$4:$D$810=$X$24)*('Match Log'!$A$4:$A$810&lt;=$J127)),'Match Log'!$N$4:$N$810),NA()))</f>
        <v>#N/A</v>
      </c>
      <c r="Y127" t="str">
        <f t="shared" ca="1" si="27"/>
        <v/>
      </c>
    </row>
    <row r="128" spans="1:25" ht="15" customHeight="1" x14ac:dyDescent="0.2">
      <c r="A128">
        <v>104</v>
      </c>
      <c r="B128" s="132">
        <f>IFERROR(INDEX('Match Log'!$B$4:$B$810,MATCH(104,'Match Log'!$A$4:$A$810,0)),"")</f>
        <v>46199</v>
      </c>
      <c r="C128" t="str">
        <f>IFERROR(INDEX('Match Log'!$C$4:$C$810,MATCH(104,'Match Log'!$A$4:$A$810,0)),"")</f>
        <v>Mario Party</v>
      </c>
      <c r="D128" t="str">
        <f>IFERROR(INDEX('Match Log'!$G$4:$G$810,MATCH(104,'Match Log'!$A$4:$A$810,0)),"")</f>
        <v>Shawn</v>
      </c>
      <c r="E128" s="133">
        <f>IFERROR(INDEX('Match Log'!$F$4:$F$810,MATCH(104,'Match Log'!$A$4:$A$810,0)),"")</f>
        <v>2</v>
      </c>
      <c r="F128">
        <f>IFERROR(SUMIFS('Match Log'!$I$4:$I$810,'Match Log'!$A$4:$A$810,104,'Match Log'!$E$4:$E$810,"Win"),"")</f>
        <v>0.33333333333333331</v>
      </c>
      <c r="G128">
        <f t="shared" si="25"/>
        <v>0.33333333333333337</v>
      </c>
      <c r="H128" t="str">
        <f>IFERROR(IF($E128=2,LOOKUP(2,1/(('Match Log'!$A$4:$A$810=104)*('Match Log'!$E$4:$E$810="Loss")),'Match Log'!$D$4:$D$810),"the field"),"")</f>
        <v>Aaron</v>
      </c>
      <c r="I128">
        <f t="shared" si="26"/>
        <v>0.33322933333333338</v>
      </c>
      <c r="J128">
        <v>104</v>
      </c>
      <c r="K128">
        <f>IF($J128&gt;MAX('Match Log'!$A$4:$A$810),NA(),IFERROR(LOOKUP(2,1/(('Match Log'!$D$4:$D$810=$K$24)*('Match Log'!$A$4:$A$810&lt;=$J128)),'Match Log'!$N$4:$N$810),NA()))</f>
        <v>1045.6630710289821</v>
      </c>
      <c r="L128">
        <f>IF($J128&gt;MAX('Match Log'!$A$4:$A$810),NA(),IFERROR(LOOKUP(2,1/(('Match Log'!$D$4:$D$810=$L$24)*('Match Log'!$A$4:$A$810&lt;=$J128)),'Match Log'!$N$4:$N$810),NA()))</f>
        <v>1044.8691565259944</v>
      </c>
      <c r="M128">
        <f>IF($J128&gt;MAX('Match Log'!$A$4:$A$810),NA(),IFERROR(LOOKUP(2,1/(('Match Log'!$D$4:$D$810=$M$24)*('Match Log'!$A$4:$A$810&lt;=$J128)),'Match Log'!$N$4:$N$810),NA()))</f>
        <v>1017.3466608720325</v>
      </c>
      <c r="N128">
        <f>IF($J128&gt;MAX('Match Log'!$A$4:$A$810),NA(),IFERROR(LOOKUP(2,1/(('Match Log'!$D$4:$D$810=$N$24)*('Match Log'!$A$4:$A$810&lt;=$J128)),'Match Log'!$N$4:$N$810),NA()))</f>
        <v>990.8737469852914</v>
      </c>
      <c r="O128">
        <f>IF($J128&gt;MAX('Match Log'!$A$4:$A$810),NA(),IFERROR(LOOKUP(2,1/(('Match Log'!$D$4:$D$810=$O$24)*('Match Log'!$A$4:$A$810&lt;=$J128)),'Match Log'!$N$4:$N$810),NA()))</f>
        <v>1147.1945550051951</v>
      </c>
      <c r="P128">
        <f>IF($J128&gt;MAX('Match Log'!$A$4:$A$810),NA(),IFERROR(LOOKUP(2,1/(('Match Log'!$D$4:$D$810=$P$24)*('Match Log'!$A$4:$A$810&lt;=$J128)),'Match Log'!$N$4:$N$810),NA()))</f>
        <v>1073.1772070463207</v>
      </c>
      <c r="Q128">
        <f>IF($J128&gt;MAX('Match Log'!$A$4:$A$810),NA(),IFERROR(LOOKUP(2,1/(('Match Log'!$D$4:$D$810=$Q$24)*('Match Log'!$A$4:$A$810&lt;=$J128)),'Match Log'!$N$4:$N$810),NA()))</f>
        <v>1099.9035033078371</v>
      </c>
      <c r="R128">
        <f>IF($J128&gt;MAX('Match Log'!$A$4:$A$810),NA(),IFERROR(LOOKUP(2,1/(('Match Log'!$D$4:$D$810=$R$24)*('Match Log'!$A$4:$A$810&lt;=$J128)),'Match Log'!$N$4:$N$810),NA()))</f>
        <v>1092.9844065377026</v>
      </c>
      <c r="S128">
        <f>IF($J128&gt;MAX('Match Log'!$A$4:$A$810),NA(),IFERROR(LOOKUP(2,1/(('Match Log'!$D$4:$D$810=$S$24)*('Match Log'!$A$4:$A$810&lt;=$J128)),'Match Log'!$N$4:$N$810),NA()))</f>
        <v>1189.3765078898728</v>
      </c>
      <c r="T128">
        <f>IF($J128&gt;MAX('Match Log'!$A$4:$A$810),NA(),IFERROR(LOOKUP(2,1/(('Match Log'!$D$4:$D$810=$T$24)*('Match Log'!$A$4:$A$810&lt;=$J128)),'Match Log'!$N$4:$N$810),NA()))</f>
        <v>894.20718606929802</v>
      </c>
      <c r="U128">
        <f>IF($J128&gt;MAX('Match Log'!$A$4:$A$810),NA(),IFERROR(LOOKUP(2,1/(('Match Log'!$D$4:$D$810=$U$24)*('Match Log'!$A$4:$A$810&lt;=$J128)),'Match Log'!$N$4:$N$810),NA()))</f>
        <v>1094.3607552510286</v>
      </c>
      <c r="V128">
        <f>IF($J128&gt;MAX('Match Log'!$A$4:$A$810),NA(),IFERROR(LOOKUP(2,1/(('Match Log'!$D$4:$D$810=$V$24)*('Match Log'!$A$4:$A$810&lt;=$J128)),'Match Log'!$N$4:$N$810),NA()))</f>
        <v>1039.5415973556721</v>
      </c>
      <c r="W128">
        <f>IF($J128&gt;MAX('Match Log'!$A$4:$A$810),NA(),IFERROR(LOOKUP(2,1/(('Match Log'!$D$4:$D$810=$W$24)*('Match Log'!$A$4:$A$810&lt;=$J128)),'Match Log'!$N$4:$N$810),NA()))</f>
        <v>1038.5016461247724</v>
      </c>
      <c r="X128" t="e">
        <f>IF($J128&gt;MAX('Match Log'!$A$4:$A$810),NA(),IFERROR(LOOKUP(2,1/(('Match Log'!$D$4:$D$810=$X$24)*('Match Log'!$A$4:$A$810&lt;=$J128)),'Match Log'!$N$4:$N$810),NA()))</f>
        <v>#N/A</v>
      </c>
      <c r="Y128" t="str">
        <f t="shared" ca="1" si="27"/>
        <v/>
      </c>
    </row>
    <row r="129" spans="1:25" ht="15" customHeight="1" x14ac:dyDescent="0.2">
      <c r="A129">
        <v>105</v>
      </c>
      <c r="B129" s="132">
        <f>IFERROR(INDEX('Match Log'!$B$4:$B$810,MATCH(105,'Match Log'!$A$4:$A$810,0)),"")</f>
        <v>46199</v>
      </c>
      <c r="C129" t="str">
        <f>IFERROR(INDEX('Match Log'!$C$4:$C$810,MATCH(105,'Match Log'!$A$4:$A$810,0)),"")</f>
        <v>Mario Party</v>
      </c>
      <c r="D129" t="str">
        <f>IFERROR(INDEX('Match Log'!$G$4:$G$810,MATCH(105,'Match Log'!$A$4:$A$810,0)),"")</f>
        <v>Aaron</v>
      </c>
      <c r="E129" s="133">
        <f>IFERROR(INDEX('Match Log'!$F$4:$F$810,MATCH(105,'Match Log'!$A$4:$A$810,0)),"")</f>
        <v>2</v>
      </c>
      <c r="F129">
        <f>IFERROR(SUMIFS('Match Log'!$I$4:$I$810,'Match Log'!$A$4:$A$810,105,'Match Log'!$E$4:$E$810,"Win"),"")</f>
        <v>0.45454545454545447</v>
      </c>
      <c r="G129">
        <f t="shared" si="25"/>
        <v>9.090909090909105E-2</v>
      </c>
      <c r="H129" t="str">
        <f>IFERROR(IF($E129=2,LOOKUP(2,1/(('Match Log'!$A$4:$A$810=105)*('Match Log'!$E$4:$E$810="Loss")),'Match Log'!$D$4:$D$810),"the field"),"")</f>
        <v>Shawn</v>
      </c>
      <c r="I129">
        <f t="shared" si="26"/>
        <v>9.0804090909091056E-2</v>
      </c>
      <c r="J129">
        <v>105</v>
      </c>
      <c r="K129">
        <f>IF($J129&gt;MAX('Match Log'!$A$4:$A$810),NA(),IFERROR(LOOKUP(2,1/(('Match Log'!$D$4:$D$810=$K$24)*('Match Log'!$A$4:$A$810&lt;=$J129)),'Match Log'!$N$4:$N$810),NA()))</f>
        <v>1068.7122504858203</v>
      </c>
      <c r="L129">
        <f>IF($J129&gt;MAX('Match Log'!$A$4:$A$810),NA(),IFERROR(LOOKUP(2,1/(('Match Log'!$D$4:$D$810=$L$24)*('Match Log'!$A$4:$A$810&lt;=$J129)),'Match Log'!$N$4:$N$810),NA()))</f>
        <v>1044.8691565259944</v>
      </c>
      <c r="M129">
        <f>IF($J129&gt;MAX('Match Log'!$A$4:$A$810),NA(),IFERROR(LOOKUP(2,1/(('Match Log'!$D$4:$D$810=$M$24)*('Match Log'!$A$4:$A$810&lt;=$J129)),'Match Log'!$N$4:$N$810),NA()))</f>
        <v>1017.3466608720325</v>
      </c>
      <c r="N129">
        <f>IF($J129&gt;MAX('Match Log'!$A$4:$A$810),NA(),IFERROR(LOOKUP(2,1/(('Match Log'!$D$4:$D$810=$N$24)*('Match Log'!$A$4:$A$810&lt;=$J129)),'Match Log'!$N$4:$N$810),NA()))</f>
        <v>990.8737469852914</v>
      </c>
      <c r="O129">
        <f>IF($J129&gt;MAX('Match Log'!$A$4:$A$810),NA(),IFERROR(LOOKUP(2,1/(('Match Log'!$D$4:$D$810=$O$24)*('Match Log'!$A$4:$A$810&lt;=$J129)),'Match Log'!$N$4:$N$810),NA()))</f>
        <v>1147.1945550051951</v>
      </c>
      <c r="P129">
        <f>IF($J129&gt;MAX('Match Log'!$A$4:$A$810),NA(),IFERROR(LOOKUP(2,1/(('Match Log'!$D$4:$D$810=$P$24)*('Match Log'!$A$4:$A$810&lt;=$J129)),'Match Log'!$N$4:$N$810),NA()))</f>
        <v>1050.1280275894826</v>
      </c>
      <c r="Q129">
        <f>IF($J129&gt;MAX('Match Log'!$A$4:$A$810),NA(),IFERROR(LOOKUP(2,1/(('Match Log'!$D$4:$D$810=$Q$24)*('Match Log'!$A$4:$A$810&lt;=$J129)),'Match Log'!$N$4:$N$810),NA()))</f>
        <v>1099.9035033078371</v>
      </c>
      <c r="R129">
        <f>IF($J129&gt;MAX('Match Log'!$A$4:$A$810),NA(),IFERROR(LOOKUP(2,1/(('Match Log'!$D$4:$D$810=$R$24)*('Match Log'!$A$4:$A$810&lt;=$J129)),'Match Log'!$N$4:$N$810),NA()))</f>
        <v>1092.9844065377026</v>
      </c>
      <c r="S129">
        <f>IF($J129&gt;MAX('Match Log'!$A$4:$A$810),NA(),IFERROR(LOOKUP(2,1/(('Match Log'!$D$4:$D$810=$S$24)*('Match Log'!$A$4:$A$810&lt;=$J129)),'Match Log'!$N$4:$N$810),NA()))</f>
        <v>1189.3765078898728</v>
      </c>
      <c r="T129">
        <f>IF($J129&gt;MAX('Match Log'!$A$4:$A$810),NA(),IFERROR(LOOKUP(2,1/(('Match Log'!$D$4:$D$810=$T$24)*('Match Log'!$A$4:$A$810&lt;=$J129)),'Match Log'!$N$4:$N$810),NA()))</f>
        <v>894.20718606929802</v>
      </c>
      <c r="U129">
        <f>IF($J129&gt;MAX('Match Log'!$A$4:$A$810),NA(),IFERROR(LOOKUP(2,1/(('Match Log'!$D$4:$D$810=$U$24)*('Match Log'!$A$4:$A$810&lt;=$J129)),'Match Log'!$N$4:$N$810),NA()))</f>
        <v>1094.3607552510286</v>
      </c>
      <c r="V129">
        <f>IF($J129&gt;MAX('Match Log'!$A$4:$A$810),NA(),IFERROR(LOOKUP(2,1/(('Match Log'!$D$4:$D$810=$V$24)*('Match Log'!$A$4:$A$810&lt;=$J129)),'Match Log'!$N$4:$N$810),NA()))</f>
        <v>1039.5415973556721</v>
      </c>
      <c r="W129">
        <f>IF($J129&gt;MAX('Match Log'!$A$4:$A$810),NA(),IFERROR(LOOKUP(2,1/(('Match Log'!$D$4:$D$810=$W$24)*('Match Log'!$A$4:$A$810&lt;=$J129)),'Match Log'!$N$4:$N$810),NA()))</f>
        <v>1038.5016461247724</v>
      </c>
      <c r="X129" t="e">
        <f>IF($J129&gt;MAX('Match Log'!$A$4:$A$810),NA(),IFERROR(LOOKUP(2,1/(('Match Log'!$D$4:$D$810=$X$24)*('Match Log'!$A$4:$A$810&lt;=$J129)),'Match Log'!$N$4:$N$810),NA()))</f>
        <v>#N/A</v>
      </c>
      <c r="Y129" t="str">
        <f t="shared" ca="1" si="27"/>
        <v/>
      </c>
    </row>
    <row r="130" spans="1:25" ht="15" customHeight="1" x14ac:dyDescent="0.2">
      <c r="A130">
        <v>106</v>
      </c>
      <c r="B130" s="132">
        <f>IFERROR(INDEX('Match Log'!$B$4:$B$810,MATCH(106,'Match Log'!$A$4:$A$810,0)),"")</f>
        <v>46199</v>
      </c>
      <c r="C130" t="str">
        <f>IFERROR(INDEX('Match Log'!$C$4:$C$810,MATCH(106,'Match Log'!$A$4:$A$810,0)),"")</f>
        <v>FIFA</v>
      </c>
      <c r="D130" t="str">
        <f>IFERROR(INDEX('Match Log'!$G$4:$G$810,MATCH(106,'Match Log'!$A$4:$A$810,0)),"")</f>
        <v>Aaron</v>
      </c>
      <c r="E130" s="133">
        <f>IFERROR(INDEX('Match Log'!$F$4:$F$810,MATCH(106,'Match Log'!$A$4:$A$810,0)),"")</f>
        <v>2</v>
      </c>
      <c r="F130">
        <f>IFERROR(SUMIFS('Match Log'!$I$4:$I$810,'Match Log'!$A$4:$A$810,106,'Match Log'!$E$4:$E$810,"Win"),"")</f>
        <v>0.61538461538461542</v>
      </c>
      <c r="G130">
        <f t="shared" si="25"/>
        <v>-0.23076923076923084</v>
      </c>
      <c r="H130" t="str">
        <f>IFERROR(IF($E130=2,LOOKUP(2,1/(('Match Log'!$A$4:$A$810=106)*('Match Log'!$E$4:$E$810="Loss")),'Match Log'!$D$4:$D$810),"the field"),"")</f>
        <v>Shawn</v>
      </c>
      <c r="I130">
        <f t="shared" si="26"/>
        <v>-0.23087523076923083</v>
      </c>
      <c r="J130">
        <v>106</v>
      </c>
      <c r="K130">
        <f>IF($J130&gt;MAX('Match Log'!$A$4:$A$810),NA(),IFERROR(LOOKUP(2,1/(('Match Log'!$D$4:$D$810=$K$24)*('Match Log'!$A$4:$A$810&lt;=$J130)),'Match Log'!$N$4:$N$810),NA()))</f>
        <v>1087.010959810106</v>
      </c>
      <c r="L130">
        <f>IF($J130&gt;MAX('Match Log'!$A$4:$A$810),NA(),IFERROR(LOOKUP(2,1/(('Match Log'!$D$4:$D$810=$L$24)*('Match Log'!$A$4:$A$810&lt;=$J130)),'Match Log'!$N$4:$N$810),NA()))</f>
        <v>1044.8691565259944</v>
      </c>
      <c r="M130">
        <f>IF($J130&gt;MAX('Match Log'!$A$4:$A$810),NA(),IFERROR(LOOKUP(2,1/(('Match Log'!$D$4:$D$810=$M$24)*('Match Log'!$A$4:$A$810&lt;=$J130)),'Match Log'!$N$4:$N$810),NA()))</f>
        <v>1017.3466608720325</v>
      </c>
      <c r="N130">
        <f>IF($J130&gt;MAX('Match Log'!$A$4:$A$810),NA(),IFERROR(LOOKUP(2,1/(('Match Log'!$D$4:$D$810=$N$24)*('Match Log'!$A$4:$A$810&lt;=$J130)),'Match Log'!$N$4:$N$810),NA()))</f>
        <v>990.8737469852914</v>
      </c>
      <c r="O130">
        <f>IF($J130&gt;MAX('Match Log'!$A$4:$A$810),NA(),IFERROR(LOOKUP(2,1/(('Match Log'!$D$4:$D$810=$O$24)*('Match Log'!$A$4:$A$810&lt;=$J130)),'Match Log'!$N$4:$N$810),NA()))</f>
        <v>1147.1945550051951</v>
      </c>
      <c r="P130">
        <f>IF($J130&gt;MAX('Match Log'!$A$4:$A$810),NA(),IFERROR(LOOKUP(2,1/(('Match Log'!$D$4:$D$810=$P$24)*('Match Log'!$A$4:$A$810&lt;=$J130)),'Match Log'!$N$4:$N$810),NA()))</f>
        <v>1031.8293182651969</v>
      </c>
      <c r="Q130">
        <f>IF($J130&gt;MAX('Match Log'!$A$4:$A$810),NA(),IFERROR(LOOKUP(2,1/(('Match Log'!$D$4:$D$810=$Q$24)*('Match Log'!$A$4:$A$810&lt;=$J130)),'Match Log'!$N$4:$N$810),NA()))</f>
        <v>1099.9035033078371</v>
      </c>
      <c r="R130">
        <f>IF($J130&gt;MAX('Match Log'!$A$4:$A$810),NA(),IFERROR(LOOKUP(2,1/(('Match Log'!$D$4:$D$810=$R$24)*('Match Log'!$A$4:$A$810&lt;=$J130)),'Match Log'!$N$4:$N$810),NA()))</f>
        <v>1092.9844065377026</v>
      </c>
      <c r="S130">
        <f>IF($J130&gt;MAX('Match Log'!$A$4:$A$810),NA(),IFERROR(LOOKUP(2,1/(('Match Log'!$D$4:$D$810=$S$24)*('Match Log'!$A$4:$A$810&lt;=$J130)),'Match Log'!$N$4:$N$810),NA()))</f>
        <v>1189.3765078898728</v>
      </c>
      <c r="T130">
        <f>IF($J130&gt;MAX('Match Log'!$A$4:$A$810),NA(),IFERROR(LOOKUP(2,1/(('Match Log'!$D$4:$D$810=$T$24)*('Match Log'!$A$4:$A$810&lt;=$J130)),'Match Log'!$N$4:$N$810),NA()))</f>
        <v>894.20718606929802</v>
      </c>
      <c r="U130">
        <f>IF($J130&gt;MAX('Match Log'!$A$4:$A$810),NA(),IFERROR(LOOKUP(2,1/(('Match Log'!$D$4:$D$810=$U$24)*('Match Log'!$A$4:$A$810&lt;=$J130)),'Match Log'!$N$4:$N$810),NA()))</f>
        <v>1094.3607552510286</v>
      </c>
      <c r="V130">
        <f>IF($J130&gt;MAX('Match Log'!$A$4:$A$810),NA(),IFERROR(LOOKUP(2,1/(('Match Log'!$D$4:$D$810=$V$24)*('Match Log'!$A$4:$A$810&lt;=$J130)),'Match Log'!$N$4:$N$810),NA()))</f>
        <v>1039.5415973556721</v>
      </c>
      <c r="W130">
        <f>IF($J130&gt;MAX('Match Log'!$A$4:$A$810),NA(),IFERROR(LOOKUP(2,1/(('Match Log'!$D$4:$D$810=$W$24)*('Match Log'!$A$4:$A$810&lt;=$J130)),'Match Log'!$N$4:$N$810),NA()))</f>
        <v>1038.5016461247724</v>
      </c>
      <c r="X130" t="e">
        <f>IF($J130&gt;MAX('Match Log'!$A$4:$A$810),NA(),IFERROR(LOOKUP(2,1/(('Match Log'!$D$4:$D$810=$X$24)*('Match Log'!$A$4:$A$810&lt;=$J130)),'Match Log'!$N$4:$N$810),NA()))</f>
        <v>#N/A</v>
      </c>
      <c r="Y130" t="str">
        <f t="shared" ca="1" si="27"/>
        <v/>
      </c>
    </row>
    <row r="131" spans="1:25" ht="15" customHeight="1" x14ac:dyDescent="0.2">
      <c r="A131">
        <v>107</v>
      </c>
      <c r="B131" s="132">
        <f>IFERROR(INDEX('Match Log'!$B$4:$B$810,MATCH(107,'Match Log'!$A$4:$A$810,0)),"")</f>
        <v>46199</v>
      </c>
      <c r="C131" t="str">
        <f>IFERROR(INDEX('Match Log'!$C$4:$C$810,MATCH(107,'Match Log'!$A$4:$A$810,0)),"")</f>
        <v>FIFA</v>
      </c>
      <c r="D131" t="str">
        <f>IFERROR(INDEX('Match Log'!$G$4:$G$810,MATCH(107,'Match Log'!$A$4:$A$810,0)),"")</f>
        <v>Shawn</v>
      </c>
      <c r="E131" s="133">
        <f>IFERROR(INDEX('Match Log'!$F$4:$F$810,MATCH(107,'Match Log'!$A$4:$A$810,0)),"")</f>
        <v>2</v>
      </c>
      <c r="F131">
        <f>IFERROR(SUMIFS('Match Log'!$I$4:$I$810,'Match Log'!$A$4:$A$810,107,'Match Log'!$E$4:$E$810,"Win"),"")</f>
        <v>0.35294117647058826</v>
      </c>
      <c r="G131">
        <f t="shared" si="25"/>
        <v>0.29411764705882348</v>
      </c>
      <c r="H131" t="str">
        <f>IFERROR(IF($E131=2,LOOKUP(2,1/(('Match Log'!$A$4:$A$810=107)*('Match Log'!$E$4:$E$810="Loss")),'Match Log'!$D$4:$D$810),"the field"),"")</f>
        <v>Aaron</v>
      </c>
      <c r="I131">
        <f t="shared" si="26"/>
        <v>0.29401064705882346</v>
      </c>
      <c r="J131">
        <v>107</v>
      </c>
      <c r="K131">
        <f>IF($J131&gt;MAX('Match Log'!$A$4:$A$810),NA(),IFERROR(LOOKUP(2,1/(('Match Log'!$D$4:$D$810=$K$24)*('Match Log'!$A$4:$A$810&lt;=$J131)),'Match Log'!$N$4:$N$810),NA()))</f>
        <v>1059.5408188088202</v>
      </c>
      <c r="L131">
        <f>IF($J131&gt;MAX('Match Log'!$A$4:$A$810),NA(),IFERROR(LOOKUP(2,1/(('Match Log'!$D$4:$D$810=$L$24)*('Match Log'!$A$4:$A$810&lt;=$J131)),'Match Log'!$N$4:$N$810),NA()))</f>
        <v>1044.8691565259944</v>
      </c>
      <c r="M131">
        <f>IF($J131&gt;MAX('Match Log'!$A$4:$A$810),NA(),IFERROR(LOOKUP(2,1/(('Match Log'!$D$4:$D$810=$M$24)*('Match Log'!$A$4:$A$810&lt;=$J131)),'Match Log'!$N$4:$N$810),NA()))</f>
        <v>1017.3466608720325</v>
      </c>
      <c r="N131">
        <f>IF($J131&gt;MAX('Match Log'!$A$4:$A$810),NA(),IFERROR(LOOKUP(2,1/(('Match Log'!$D$4:$D$810=$N$24)*('Match Log'!$A$4:$A$810&lt;=$J131)),'Match Log'!$N$4:$N$810),NA()))</f>
        <v>990.8737469852914</v>
      </c>
      <c r="O131">
        <f>IF($J131&gt;MAX('Match Log'!$A$4:$A$810),NA(),IFERROR(LOOKUP(2,1/(('Match Log'!$D$4:$D$810=$O$24)*('Match Log'!$A$4:$A$810&lt;=$J131)),'Match Log'!$N$4:$N$810),NA()))</f>
        <v>1147.1945550051951</v>
      </c>
      <c r="P131">
        <f>IF($J131&gt;MAX('Match Log'!$A$4:$A$810),NA(),IFERROR(LOOKUP(2,1/(('Match Log'!$D$4:$D$810=$P$24)*('Match Log'!$A$4:$A$810&lt;=$J131)),'Match Log'!$N$4:$N$810),NA()))</f>
        <v>1059.2994592664827</v>
      </c>
      <c r="Q131">
        <f>IF($J131&gt;MAX('Match Log'!$A$4:$A$810),NA(),IFERROR(LOOKUP(2,1/(('Match Log'!$D$4:$D$810=$Q$24)*('Match Log'!$A$4:$A$810&lt;=$J131)),'Match Log'!$N$4:$N$810),NA()))</f>
        <v>1099.9035033078371</v>
      </c>
      <c r="R131">
        <f>IF($J131&gt;MAX('Match Log'!$A$4:$A$810),NA(),IFERROR(LOOKUP(2,1/(('Match Log'!$D$4:$D$810=$R$24)*('Match Log'!$A$4:$A$810&lt;=$J131)),'Match Log'!$N$4:$N$810),NA()))</f>
        <v>1092.9844065377026</v>
      </c>
      <c r="S131">
        <f>IF($J131&gt;MAX('Match Log'!$A$4:$A$810),NA(),IFERROR(LOOKUP(2,1/(('Match Log'!$D$4:$D$810=$S$24)*('Match Log'!$A$4:$A$810&lt;=$J131)),'Match Log'!$N$4:$N$810),NA()))</f>
        <v>1189.3765078898728</v>
      </c>
      <c r="T131">
        <f>IF($J131&gt;MAX('Match Log'!$A$4:$A$810),NA(),IFERROR(LOOKUP(2,1/(('Match Log'!$D$4:$D$810=$T$24)*('Match Log'!$A$4:$A$810&lt;=$J131)),'Match Log'!$N$4:$N$810),NA()))</f>
        <v>894.20718606929802</v>
      </c>
      <c r="U131">
        <f>IF($J131&gt;MAX('Match Log'!$A$4:$A$810),NA(),IFERROR(LOOKUP(2,1/(('Match Log'!$D$4:$D$810=$U$24)*('Match Log'!$A$4:$A$810&lt;=$J131)),'Match Log'!$N$4:$N$810),NA()))</f>
        <v>1094.3607552510286</v>
      </c>
      <c r="V131">
        <f>IF($J131&gt;MAX('Match Log'!$A$4:$A$810),NA(),IFERROR(LOOKUP(2,1/(('Match Log'!$D$4:$D$810=$V$24)*('Match Log'!$A$4:$A$810&lt;=$J131)),'Match Log'!$N$4:$N$810),NA()))</f>
        <v>1039.5415973556721</v>
      </c>
      <c r="W131">
        <f>IF($J131&gt;MAX('Match Log'!$A$4:$A$810),NA(),IFERROR(LOOKUP(2,1/(('Match Log'!$D$4:$D$810=$W$24)*('Match Log'!$A$4:$A$810&lt;=$J131)),'Match Log'!$N$4:$N$810),NA()))</f>
        <v>1038.5016461247724</v>
      </c>
      <c r="X131" t="e">
        <f>IF($J131&gt;MAX('Match Log'!$A$4:$A$810),NA(),IFERROR(LOOKUP(2,1/(('Match Log'!$D$4:$D$810=$X$24)*('Match Log'!$A$4:$A$810&lt;=$J131)),'Match Log'!$N$4:$N$810),NA()))</f>
        <v>#N/A</v>
      </c>
      <c r="Y131" t="str">
        <f t="shared" ca="1" si="27"/>
        <v/>
      </c>
    </row>
    <row r="132" spans="1:25" ht="15" customHeight="1" x14ac:dyDescent="0.2">
      <c r="A132">
        <v>108</v>
      </c>
      <c r="B132" s="132">
        <f>IFERROR(INDEX('Match Log'!$B$4:$B$810,MATCH(108,'Match Log'!$A$4:$A$810,0)),"")</f>
        <v>46200</v>
      </c>
      <c r="C132" t="str">
        <f>IFERROR(INDEX('Match Log'!$C$4:$C$810,MATCH(108,'Match Log'!$A$4:$A$810,0)),"")</f>
        <v>FIFA</v>
      </c>
      <c r="D132" t="str">
        <f>IFERROR(INDEX('Match Log'!$G$4:$G$810,MATCH(108,'Match Log'!$A$4:$A$810,0)),"")</f>
        <v>Shawn</v>
      </c>
      <c r="E132" s="133">
        <f>IFERROR(INDEX('Match Log'!$F$4:$F$810,MATCH(108,'Match Log'!$A$4:$A$810,0)),"")</f>
        <v>2</v>
      </c>
      <c r="F132">
        <f>IFERROR(SUMIFS('Match Log'!$I$4:$I$810,'Match Log'!$A$4:$A$810,108,'Match Log'!$E$4:$E$810,"Win"),"")</f>
        <v>0.41176470588235292</v>
      </c>
      <c r="G132">
        <f t="shared" si="25"/>
        <v>0.17647058823529416</v>
      </c>
      <c r="H132" t="str">
        <f>IFERROR(IF($E132=2,LOOKUP(2,1/(('Match Log'!$A$4:$A$810=108)*('Match Log'!$E$4:$E$810="Loss")),'Match Log'!$D$4:$D$810),"the field"),"")</f>
        <v>Aaron</v>
      </c>
      <c r="I132">
        <f t="shared" si="26"/>
        <v>0.17636258823529416</v>
      </c>
      <c r="J132">
        <v>108</v>
      </c>
      <c r="K132">
        <f>IF($J132&gt;MAX('Match Log'!$A$4:$A$810),NA(),IFERROR(LOOKUP(2,1/(('Match Log'!$D$4:$D$810=$K$24)*('Match Log'!$A$4:$A$810&lt;=$J132)),'Match Log'!$N$4:$N$810),NA()))</f>
        <v>1034.8452813170779</v>
      </c>
      <c r="L132">
        <f>IF($J132&gt;MAX('Match Log'!$A$4:$A$810),NA(),IFERROR(LOOKUP(2,1/(('Match Log'!$D$4:$D$810=$L$24)*('Match Log'!$A$4:$A$810&lt;=$J132)),'Match Log'!$N$4:$N$810),NA()))</f>
        <v>1044.8691565259944</v>
      </c>
      <c r="M132">
        <f>IF($J132&gt;MAX('Match Log'!$A$4:$A$810),NA(),IFERROR(LOOKUP(2,1/(('Match Log'!$D$4:$D$810=$M$24)*('Match Log'!$A$4:$A$810&lt;=$J132)),'Match Log'!$N$4:$N$810),NA()))</f>
        <v>1017.3466608720325</v>
      </c>
      <c r="N132">
        <f>IF($J132&gt;MAX('Match Log'!$A$4:$A$810),NA(),IFERROR(LOOKUP(2,1/(('Match Log'!$D$4:$D$810=$N$24)*('Match Log'!$A$4:$A$810&lt;=$J132)),'Match Log'!$N$4:$N$810),NA()))</f>
        <v>990.8737469852914</v>
      </c>
      <c r="O132">
        <f>IF($J132&gt;MAX('Match Log'!$A$4:$A$810),NA(),IFERROR(LOOKUP(2,1/(('Match Log'!$D$4:$D$810=$O$24)*('Match Log'!$A$4:$A$810&lt;=$J132)),'Match Log'!$N$4:$N$810),NA()))</f>
        <v>1147.1945550051951</v>
      </c>
      <c r="P132">
        <f>IF($J132&gt;MAX('Match Log'!$A$4:$A$810),NA(),IFERROR(LOOKUP(2,1/(('Match Log'!$D$4:$D$810=$P$24)*('Match Log'!$A$4:$A$810&lt;=$J132)),'Match Log'!$N$4:$N$810),NA()))</f>
        <v>1083.9949967582249</v>
      </c>
      <c r="Q132">
        <f>IF($J132&gt;MAX('Match Log'!$A$4:$A$810),NA(),IFERROR(LOOKUP(2,1/(('Match Log'!$D$4:$D$810=$Q$24)*('Match Log'!$A$4:$A$810&lt;=$J132)),'Match Log'!$N$4:$N$810),NA()))</f>
        <v>1099.9035033078371</v>
      </c>
      <c r="R132">
        <f>IF($J132&gt;MAX('Match Log'!$A$4:$A$810),NA(),IFERROR(LOOKUP(2,1/(('Match Log'!$D$4:$D$810=$R$24)*('Match Log'!$A$4:$A$810&lt;=$J132)),'Match Log'!$N$4:$N$810),NA()))</f>
        <v>1092.9844065377026</v>
      </c>
      <c r="S132">
        <f>IF($J132&gt;MAX('Match Log'!$A$4:$A$810),NA(),IFERROR(LOOKUP(2,1/(('Match Log'!$D$4:$D$810=$S$24)*('Match Log'!$A$4:$A$810&lt;=$J132)),'Match Log'!$N$4:$N$810),NA()))</f>
        <v>1189.3765078898728</v>
      </c>
      <c r="T132">
        <f>IF($J132&gt;MAX('Match Log'!$A$4:$A$810),NA(),IFERROR(LOOKUP(2,1/(('Match Log'!$D$4:$D$810=$T$24)*('Match Log'!$A$4:$A$810&lt;=$J132)),'Match Log'!$N$4:$N$810),NA()))</f>
        <v>894.20718606929802</v>
      </c>
      <c r="U132">
        <f>IF($J132&gt;MAX('Match Log'!$A$4:$A$810),NA(),IFERROR(LOOKUP(2,1/(('Match Log'!$D$4:$D$810=$U$24)*('Match Log'!$A$4:$A$810&lt;=$J132)),'Match Log'!$N$4:$N$810),NA()))</f>
        <v>1094.3607552510286</v>
      </c>
      <c r="V132">
        <f>IF($J132&gt;MAX('Match Log'!$A$4:$A$810),NA(),IFERROR(LOOKUP(2,1/(('Match Log'!$D$4:$D$810=$V$24)*('Match Log'!$A$4:$A$810&lt;=$J132)),'Match Log'!$N$4:$N$810),NA()))</f>
        <v>1039.5415973556721</v>
      </c>
      <c r="W132">
        <f>IF($J132&gt;MAX('Match Log'!$A$4:$A$810),NA(),IFERROR(LOOKUP(2,1/(('Match Log'!$D$4:$D$810=$W$24)*('Match Log'!$A$4:$A$810&lt;=$J132)),'Match Log'!$N$4:$N$810),NA()))</f>
        <v>1038.5016461247724</v>
      </c>
      <c r="X132" t="e">
        <f>IF($J132&gt;MAX('Match Log'!$A$4:$A$810),NA(),IFERROR(LOOKUP(2,1/(('Match Log'!$D$4:$D$810=$X$24)*('Match Log'!$A$4:$A$810&lt;=$J132)),'Match Log'!$N$4:$N$810),NA()))</f>
        <v>#N/A</v>
      </c>
      <c r="Y132" t="str">
        <f t="shared" ca="1" si="27"/>
        <v/>
      </c>
    </row>
    <row r="133" spans="1:25" ht="15" customHeight="1" x14ac:dyDescent="0.2">
      <c r="A133">
        <v>109</v>
      </c>
      <c r="B133" s="132">
        <f>IFERROR(INDEX('Match Log'!$B$4:$B$810,MATCH(109,'Match Log'!$A$4:$A$810,0)),"")</f>
        <v>46200</v>
      </c>
      <c r="C133" t="str">
        <f>IFERROR(INDEX('Match Log'!$C$4:$C$810,MATCH(109,'Match Log'!$A$4:$A$810,0)),"")</f>
        <v>FIFA</v>
      </c>
      <c r="D133" t="str">
        <f>IFERROR(INDEX('Match Log'!$G$4:$G$810,MATCH(109,'Match Log'!$A$4:$A$810,0)),"")</f>
        <v>Aaron</v>
      </c>
      <c r="E133" s="133">
        <f>IFERROR(INDEX('Match Log'!$F$4:$F$810,MATCH(109,'Match Log'!$A$4:$A$810,0)),"")</f>
        <v>2</v>
      </c>
      <c r="F133">
        <f>IFERROR(SUMIFS('Match Log'!$I$4:$I$810,'Match Log'!$A$4:$A$810,109,'Match Log'!$E$4:$E$810,"Win"),"")</f>
        <v>0.5371900826446282</v>
      </c>
      <c r="G133">
        <f t="shared" si="25"/>
        <v>-7.4380165289256395E-2</v>
      </c>
      <c r="H133" t="str">
        <f>IFERROR(IF($E133=2,LOOKUP(2,1/(('Match Log'!$A$4:$A$810=109)*('Match Log'!$E$4:$E$810="Loss")),'Match Log'!$D$4:$D$810),"the field"),"")</f>
        <v>Shawn</v>
      </c>
      <c r="I133">
        <f t="shared" si="26"/>
        <v>-7.4489165289256393E-2</v>
      </c>
      <c r="J133">
        <v>109</v>
      </c>
      <c r="K133">
        <f>IF($J133&gt;MAX('Match Log'!$A$4:$A$810),NA(),IFERROR(LOOKUP(2,1/(('Match Log'!$D$4:$D$810=$K$24)*('Match Log'!$A$4:$A$810&lt;=$J133)),'Match Log'!$N$4:$N$810),NA()))</f>
        <v>1056.6393819896734</v>
      </c>
      <c r="L133">
        <f>IF($J133&gt;MAX('Match Log'!$A$4:$A$810),NA(),IFERROR(LOOKUP(2,1/(('Match Log'!$D$4:$D$810=$L$24)*('Match Log'!$A$4:$A$810&lt;=$J133)),'Match Log'!$N$4:$N$810),NA()))</f>
        <v>1044.8691565259944</v>
      </c>
      <c r="M133">
        <f>IF($J133&gt;MAX('Match Log'!$A$4:$A$810),NA(),IFERROR(LOOKUP(2,1/(('Match Log'!$D$4:$D$810=$M$24)*('Match Log'!$A$4:$A$810&lt;=$J133)),'Match Log'!$N$4:$N$810),NA()))</f>
        <v>1017.3466608720325</v>
      </c>
      <c r="N133">
        <f>IF($J133&gt;MAX('Match Log'!$A$4:$A$810),NA(),IFERROR(LOOKUP(2,1/(('Match Log'!$D$4:$D$810=$N$24)*('Match Log'!$A$4:$A$810&lt;=$J133)),'Match Log'!$N$4:$N$810),NA()))</f>
        <v>990.8737469852914</v>
      </c>
      <c r="O133">
        <f>IF($J133&gt;MAX('Match Log'!$A$4:$A$810),NA(),IFERROR(LOOKUP(2,1/(('Match Log'!$D$4:$D$810=$O$24)*('Match Log'!$A$4:$A$810&lt;=$J133)),'Match Log'!$N$4:$N$810),NA()))</f>
        <v>1147.1945550051951</v>
      </c>
      <c r="P133">
        <f>IF($J133&gt;MAX('Match Log'!$A$4:$A$810),NA(),IFERROR(LOOKUP(2,1/(('Match Log'!$D$4:$D$810=$P$24)*('Match Log'!$A$4:$A$810&lt;=$J133)),'Match Log'!$N$4:$N$810),NA()))</f>
        <v>1062.2008960856294</v>
      </c>
      <c r="Q133">
        <f>IF($J133&gt;MAX('Match Log'!$A$4:$A$810),NA(),IFERROR(LOOKUP(2,1/(('Match Log'!$D$4:$D$810=$Q$24)*('Match Log'!$A$4:$A$810&lt;=$J133)),'Match Log'!$N$4:$N$810),NA()))</f>
        <v>1099.9035033078371</v>
      </c>
      <c r="R133">
        <f>IF($J133&gt;MAX('Match Log'!$A$4:$A$810),NA(),IFERROR(LOOKUP(2,1/(('Match Log'!$D$4:$D$810=$R$24)*('Match Log'!$A$4:$A$810&lt;=$J133)),'Match Log'!$N$4:$N$810),NA()))</f>
        <v>1092.9844065377026</v>
      </c>
      <c r="S133">
        <f>IF($J133&gt;MAX('Match Log'!$A$4:$A$810),NA(),IFERROR(LOOKUP(2,1/(('Match Log'!$D$4:$D$810=$S$24)*('Match Log'!$A$4:$A$810&lt;=$J133)),'Match Log'!$N$4:$N$810),NA()))</f>
        <v>1189.3765078898728</v>
      </c>
      <c r="T133">
        <f>IF($J133&gt;MAX('Match Log'!$A$4:$A$810),NA(),IFERROR(LOOKUP(2,1/(('Match Log'!$D$4:$D$810=$T$24)*('Match Log'!$A$4:$A$810&lt;=$J133)),'Match Log'!$N$4:$N$810),NA()))</f>
        <v>894.20718606929802</v>
      </c>
      <c r="U133">
        <f>IF($J133&gt;MAX('Match Log'!$A$4:$A$810),NA(),IFERROR(LOOKUP(2,1/(('Match Log'!$D$4:$D$810=$U$24)*('Match Log'!$A$4:$A$810&lt;=$J133)),'Match Log'!$N$4:$N$810),NA()))</f>
        <v>1094.3607552510286</v>
      </c>
      <c r="V133">
        <f>IF($J133&gt;MAX('Match Log'!$A$4:$A$810),NA(),IFERROR(LOOKUP(2,1/(('Match Log'!$D$4:$D$810=$V$24)*('Match Log'!$A$4:$A$810&lt;=$J133)),'Match Log'!$N$4:$N$810),NA()))</f>
        <v>1039.5415973556721</v>
      </c>
      <c r="W133">
        <f>IF($J133&gt;MAX('Match Log'!$A$4:$A$810),NA(),IFERROR(LOOKUP(2,1/(('Match Log'!$D$4:$D$810=$W$24)*('Match Log'!$A$4:$A$810&lt;=$J133)),'Match Log'!$N$4:$N$810),NA()))</f>
        <v>1038.5016461247724</v>
      </c>
      <c r="X133" t="e">
        <f>IF($J133&gt;MAX('Match Log'!$A$4:$A$810),NA(),IFERROR(LOOKUP(2,1/(('Match Log'!$D$4:$D$810=$X$24)*('Match Log'!$A$4:$A$810&lt;=$J133)),'Match Log'!$N$4:$N$810),NA()))</f>
        <v>#N/A</v>
      </c>
      <c r="Y133" t="str">
        <f t="shared" ca="1" si="27"/>
        <v/>
      </c>
    </row>
    <row r="134" spans="1:25" ht="15" customHeight="1" x14ac:dyDescent="0.2">
      <c r="A134">
        <v>110</v>
      </c>
      <c r="B134" s="132">
        <f>IFERROR(INDEX('Match Log'!$B$4:$B$810,MATCH(110,'Match Log'!$A$4:$A$810,0)),"")</f>
        <v>46200</v>
      </c>
      <c r="C134" t="str">
        <f>IFERROR(INDEX('Match Log'!$C$4:$C$810,MATCH(110,'Match Log'!$A$4:$A$810,0)),"")</f>
        <v>FIFA</v>
      </c>
      <c r="D134" t="str">
        <f>IFERROR(INDEX('Match Log'!$G$4:$G$810,MATCH(110,'Match Log'!$A$4:$A$810,0)),"")</f>
        <v>Aaron</v>
      </c>
      <c r="E134" s="133">
        <f>IFERROR(INDEX('Match Log'!$F$4:$F$810,MATCH(110,'Match Log'!$A$4:$A$810,0)),"")</f>
        <v>2</v>
      </c>
      <c r="F134">
        <f>IFERROR(SUMIFS('Match Log'!$I$4:$I$810,'Match Log'!$A$4:$A$810,110,'Match Log'!$E$4:$E$810,"Win"),"")</f>
        <v>0.57142857142857151</v>
      </c>
      <c r="G134">
        <f t="shared" si="25"/>
        <v>-0.14285714285714302</v>
      </c>
      <c r="H134" t="str">
        <f>IFERROR(IF($E134=2,LOOKUP(2,1/(('Match Log'!$A$4:$A$810=110)*('Match Log'!$E$4:$E$810="Loss")),'Match Log'!$D$4:$D$810),"the field"),"")</f>
        <v>Shawn</v>
      </c>
      <c r="I134">
        <f t="shared" si="26"/>
        <v>-0.14296714285714301</v>
      </c>
      <c r="J134">
        <v>110</v>
      </c>
      <c r="K134">
        <f>IF($J134&gt;MAX('Match Log'!$A$4:$A$810),NA(),IFERROR(LOOKUP(2,1/(('Match Log'!$D$4:$D$810=$K$24)*('Match Log'!$A$4:$A$810&lt;=$J134)),'Match Log'!$N$4:$N$810),NA()))</f>
        <v>1076.3561113589042</v>
      </c>
      <c r="L134">
        <f>IF($J134&gt;MAX('Match Log'!$A$4:$A$810),NA(),IFERROR(LOOKUP(2,1/(('Match Log'!$D$4:$D$810=$L$24)*('Match Log'!$A$4:$A$810&lt;=$J134)),'Match Log'!$N$4:$N$810),NA()))</f>
        <v>1044.8691565259944</v>
      </c>
      <c r="M134">
        <f>IF($J134&gt;MAX('Match Log'!$A$4:$A$810),NA(),IFERROR(LOOKUP(2,1/(('Match Log'!$D$4:$D$810=$M$24)*('Match Log'!$A$4:$A$810&lt;=$J134)),'Match Log'!$N$4:$N$810),NA()))</f>
        <v>1017.3466608720325</v>
      </c>
      <c r="N134">
        <f>IF($J134&gt;MAX('Match Log'!$A$4:$A$810),NA(),IFERROR(LOOKUP(2,1/(('Match Log'!$D$4:$D$810=$N$24)*('Match Log'!$A$4:$A$810&lt;=$J134)),'Match Log'!$N$4:$N$810),NA()))</f>
        <v>990.8737469852914</v>
      </c>
      <c r="O134">
        <f>IF($J134&gt;MAX('Match Log'!$A$4:$A$810),NA(),IFERROR(LOOKUP(2,1/(('Match Log'!$D$4:$D$810=$O$24)*('Match Log'!$A$4:$A$810&lt;=$J134)),'Match Log'!$N$4:$N$810),NA()))</f>
        <v>1147.1945550051951</v>
      </c>
      <c r="P134">
        <f>IF($J134&gt;MAX('Match Log'!$A$4:$A$810),NA(),IFERROR(LOOKUP(2,1/(('Match Log'!$D$4:$D$810=$P$24)*('Match Log'!$A$4:$A$810&lt;=$J134)),'Match Log'!$N$4:$N$810),NA()))</f>
        <v>1042.4841667163987</v>
      </c>
      <c r="Q134">
        <f>IF($J134&gt;MAX('Match Log'!$A$4:$A$810),NA(),IFERROR(LOOKUP(2,1/(('Match Log'!$D$4:$D$810=$Q$24)*('Match Log'!$A$4:$A$810&lt;=$J134)),'Match Log'!$N$4:$N$810),NA()))</f>
        <v>1099.9035033078371</v>
      </c>
      <c r="R134">
        <f>IF($J134&gt;MAX('Match Log'!$A$4:$A$810),NA(),IFERROR(LOOKUP(2,1/(('Match Log'!$D$4:$D$810=$R$24)*('Match Log'!$A$4:$A$810&lt;=$J134)),'Match Log'!$N$4:$N$810),NA()))</f>
        <v>1092.9844065377026</v>
      </c>
      <c r="S134">
        <f>IF($J134&gt;MAX('Match Log'!$A$4:$A$810),NA(),IFERROR(LOOKUP(2,1/(('Match Log'!$D$4:$D$810=$S$24)*('Match Log'!$A$4:$A$810&lt;=$J134)),'Match Log'!$N$4:$N$810),NA()))</f>
        <v>1189.3765078898728</v>
      </c>
      <c r="T134">
        <f>IF($J134&gt;MAX('Match Log'!$A$4:$A$810),NA(),IFERROR(LOOKUP(2,1/(('Match Log'!$D$4:$D$810=$T$24)*('Match Log'!$A$4:$A$810&lt;=$J134)),'Match Log'!$N$4:$N$810),NA()))</f>
        <v>894.20718606929802</v>
      </c>
      <c r="U134">
        <f>IF($J134&gt;MAX('Match Log'!$A$4:$A$810),NA(),IFERROR(LOOKUP(2,1/(('Match Log'!$D$4:$D$810=$U$24)*('Match Log'!$A$4:$A$810&lt;=$J134)),'Match Log'!$N$4:$N$810),NA()))</f>
        <v>1094.3607552510286</v>
      </c>
      <c r="V134">
        <f>IF($J134&gt;MAX('Match Log'!$A$4:$A$810),NA(),IFERROR(LOOKUP(2,1/(('Match Log'!$D$4:$D$810=$V$24)*('Match Log'!$A$4:$A$810&lt;=$J134)),'Match Log'!$N$4:$N$810),NA()))</f>
        <v>1039.5415973556721</v>
      </c>
      <c r="W134">
        <f>IF($J134&gt;MAX('Match Log'!$A$4:$A$810),NA(),IFERROR(LOOKUP(2,1/(('Match Log'!$D$4:$D$810=$W$24)*('Match Log'!$A$4:$A$810&lt;=$J134)),'Match Log'!$N$4:$N$810),NA()))</f>
        <v>1038.5016461247724</v>
      </c>
      <c r="X134" t="e">
        <f>IF($J134&gt;MAX('Match Log'!$A$4:$A$810),NA(),IFERROR(LOOKUP(2,1/(('Match Log'!$D$4:$D$810=$X$24)*('Match Log'!$A$4:$A$810&lt;=$J134)),'Match Log'!$N$4:$N$810),NA()))</f>
        <v>#N/A</v>
      </c>
      <c r="Y134" t="str">
        <f t="shared" ca="1" si="27"/>
        <v/>
      </c>
    </row>
    <row r="135" spans="1:25" ht="15" customHeight="1" x14ac:dyDescent="0.2">
      <c r="A135">
        <v>111</v>
      </c>
      <c r="B135" s="132">
        <f>IFERROR(INDEX('Match Log'!$B$4:$B$810,MATCH(111,'Match Log'!$A$4:$A$810,0)),"")</f>
        <v>46200</v>
      </c>
      <c r="C135" t="str">
        <f>IFERROR(INDEX('Match Log'!$C$4:$C$810,MATCH(111,'Match Log'!$A$4:$A$810,0)),"")</f>
        <v>Mario Kart</v>
      </c>
      <c r="D135" t="str">
        <f>IFERROR(INDEX('Match Log'!$G$4:$G$810,MATCH(111,'Match Log'!$A$4:$A$810,0)),"")</f>
        <v>Aaron</v>
      </c>
      <c r="E135" s="133">
        <f>IFERROR(INDEX('Match Log'!$F$4:$F$810,MATCH(111,'Match Log'!$A$4:$A$810,0)),"")</f>
        <v>2</v>
      </c>
      <c r="F135">
        <f>IFERROR(SUMIFS('Match Log'!$I$4:$I$810,'Match Log'!$A$4:$A$810,111,'Match Log'!$E$4:$E$810,"Win"),"")</f>
        <v>0.60000000000000009</v>
      </c>
      <c r="G135">
        <f t="shared" si="25"/>
        <v>-0.20000000000000018</v>
      </c>
      <c r="H135" t="str">
        <f>IFERROR(IF($E135=2,LOOKUP(2,1/(('Match Log'!$A$4:$A$810=111)*('Match Log'!$E$4:$E$810="Loss")),'Match Log'!$D$4:$D$810),"the field"),"")</f>
        <v>Shawn</v>
      </c>
      <c r="I135">
        <f t="shared" si="26"/>
        <v>-0.20011100000000018</v>
      </c>
      <c r="J135">
        <v>111</v>
      </c>
      <c r="K135">
        <f>IF($J135&gt;MAX('Match Log'!$A$4:$A$810),NA(),IFERROR(LOOKUP(2,1/(('Match Log'!$D$4:$D$810=$K$24)*('Match Log'!$A$4:$A$810&lt;=$J135)),'Match Log'!$N$4:$N$810),NA()))</f>
        <v>1095.1513498420616</v>
      </c>
      <c r="L135">
        <f>IF($J135&gt;MAX('Match Log'!$A$4:$A$810),NA(),IFERROR(LOOKUP(2,1/(('Match Log'!$D$4:$D$810=$L$24)*('Match Log'!$A$4:$A$810&lt;=$J135)),'Match Log'!$N$4:$N$810),NA()))</f>
        <v>1044.8691565259944</v>
      </c>
      <c r="M135">
        <f>IF($J135&gt;MAX('Match Log'!$A$4:$A$810),NA(),IFERROR(LOOKUP(2,1/(('Match Log'!$D$4:$D$810=$M$24)*('Match Log'!$A$4:$A$810&lt;=$J135)),'Match Log'!$N$4:$N$810),NA()))</f>
        <v>1017.3466608720325</v>
      </c>
      <c r="N135">
        <f>IF($J135&gt;MAX('Match Log'!$A$4:$A$810),NA(),IFERROR(LOOKUP(2,1/(('Match Log'!$D$4:$D$810=$N$24)*('Match Log'!$A$4:$A$810&lt;=$J135)),'Match Log'!$N$4:$N$810),NA()))</f>
        <v>990.8737469852914</v>
      </c>
      <c r="O135">
        <f>IF($J135&gt;MAX('Match Log'!$A$4:$A$810),NA(),IFERROR(LOOKUP(2,1/(('Match Log'!$D$4:$D$810=$O$24)*('Match Log'!$A$4:$A$810&lt;=$J135)),'Match Log'!$N$4:$N$810),NA()))</f>
        <v>1147.1945550051951</v>
      </c>
      <c r="P135">
        <f>IF($J135&gt;MAX('Match Log'!$A$4:$A$810),NA(),IFERROR(LOOKUP(2,1/(('Match Log'!$D$4:$D$810=$P$24)*('Match Log'!$A$4:$A$810&lt;=$J135)),'Match Log'!$N$4:$N$810),NA()))</f>
        <v>1023.6889282332414</v>
      </c>
      <c r="Q135">
        <f>IF($J135&gt;MAX('Match Log'!$A$4:$A$810),NA(),IFERROR(LOOKUP(2,1/(('Match Log'!$D$4:$D$810=$Q$24)*('Match Log'!$A$4:$A$810&lt;=$J135)),'Match Log'!$N$4:$N$810),NA()))</f>
        <v>1099.9035033078371</v>
      </c>
      <c r="R135">
        <f>IF($J135&gt;MAX('Match Log'!$A$4:$A$810),NA(),IFERROR(LOOKUP(2,1/(('Match Log'!$D$4:$D$810=$R$24)*('Match Log'!$A$4:$A$810&lt;=$J135)),'Match Log'!$N$4:$N$810),NA()))</f>
        <v>1092.9844065377026</v>
      </c>
      <c r="S135">
        <f>IF($J135&gt;MAX('Match Log'!$A$4:$A$810),NA(),IFERROR(LOOKUP(2,1/(('Match Log'!$D$4:$D$810=$S$24)*('Match Log'!$A$4:$A$810&lt;=$J135)),'Match Log'!$N$4:$N$810),NA()))</f>
        <v>1189.3765078898728</v>
      </c>
      <c r="T135">
        <f>IF($J135&gt;MAX('Match Log'!$A$4:$A$810),NA(),IFERROR(LOOKUP(2,1/(('Match Log'!$D$4:$D$810=$T$24)*('Match Log'!$A$4:$A$810&lt;=$J135)),'Match Log'!$N$4:$N$810),NA()))</f>
        <v>894.20718606929802</v>
      </c>
      <c r="U135">
        <f>IF($J135&gt;MAX('Match Log'!$A$4:$A$810),NA(),IFERROR(LOOKUP(2,1/(('Match Log'!$D$4:$D$810=$U$24)*('Match Log'!$A$4:$A$810&lt;=$J135)),'Match Log'!$N$4:$N$810),NA()))</f>
        <v>1094.3607552510286</v>
      </c>
      <c r="V135">
        <f>IF($J135&gt;MAX('Match Log'!$A$4:$A$810),NA(),IFERROR(LOOKUP(2,1/(('Match Log'!$D$4:$D$810=$V$24)*('Match Log'!$A$4:$A$810&lt;=$J135)),'Match Log'!$N$4:$N$810),NA()))</f>
        <v>1039.5415973556721</v>
      </c>
      <c r="W135">
        <f>IF($J135&gt;MAX('Match Log'!$A$4:$A$810),NA(),IFERROR(LOOKUP(2,1/(('Match Log'!$D$4:$D$810=$W$24)*('Match Log'!$A$4:$A$810&lt;=$J135)),'Match Log'!$N$4:$N$810),NA()))</f>
        <v>1038.5016461247724</v>
      </c>
      <c r="X135" t="e">
        <f>IF($J135&gt;MAX('Match Log'!$A$4:$A$810),NA(),IFERROR(LOOKUP(2,1/(('Match Log'!$D$4:$D$810=$X$24)*('Match Log'!$A$4:$A$810&lt;=$J135)),'Match Log'!$N$4:$N$810),NA()))</f>
        <v>#N/A</v>
      </c>
      <c r="Y135" t="str">
        <f t="shared" ca="1" si="27"/>
        <v/>
      </c>
    </row>
    <row r="136" spans="1:25" ht="15" customHeight="1" x14ac:dyDescent="0.2">
      <c r="A136">
        <v>112</v>
      </c>
      <c r="B136" s="132">
        <f>IFERROR(INDEX('Match Log'!$B$4:$B$810,MATCH(112,'Match Log'!$A$4:$A$810,0)),"")</f>
        <v>46200</v>
      </c>
      <c r="C136" t="str">
        <f>IFERROR(INDEX('Match Log'!$C$4:$C$810,MATCH(112,'Match Log'!$A$4:$A$810,0)),"")</f>
        <v>Mario Kart</v>
      </c>
      <c r="D136" t="str">
        <f>IFERROR(INDEX('Match Log'!$G$4:$G$810,MATCH(112,'Match Log'!$A$4:$A$810,0)),"")</f>
        <v>Aaron</v>
      </c>
      <c r="E136" s="133">
        <f>IFERROR(INDEX('Match Log'!$F$4:$F$810,MATCH(112,'Match Log'!$A$4:$A$810,0)),"")</f>
        <v>2</v>
      </c>
      <c r="F136">
        <f>IFERROR(SUMIFS('Match Log'!$I$4:$I$810,'Match Log'!$A$4:$A$810,112,'Match Log'!$E$4:$E$810,"Win"),"")</f>
        <v>0.72727272727272729</v>
      </c>
      <c r="G136">
        <f t="shared" si="25"/>
        <v>-0.45454545454545459</v>
      </c>
      <c r="H136" t="str">
        <f>IFERROR(IF($E136=2,LOOKUP(2,1/(('Match Log'!$A$4:$A$810=112)*('Match Log'!$E$4:$E$810="Loss")),'Match Log'!$D$4:$D$810),"the field"),"")</f>
        <v>Shawn</v>
      </c>
      <c r="I136">
        <f t="shared" si="26"/>
        <v>-0.45465745454545459</v>
      </c>
      <c r="J136">
        <v>112</v>
      </c>
      <c r="K136">
        <f>IF($J136&gt;MAX('Match Log'!$A$4:$A$810),NA(),IFERROR(LOOKUP(2,1/(('Match Log'!$D$4:$D$810=$K$24)*('Match Log'!$A$4:$A$810&lt;=$J136)),'Match Log'!$N$4:$N$810),NA()))</f>
        <v>1111.0634877797586</v>
      </c>
      <c r="L136">
        <f>IF($J136&gt;MAX('Match Log'!$A$4:$A$810),NA(),IFERROR(LOOKUP(2,1/(('Match Log'!$D$4:$D$810=$L$24)*('Match Log'!$A$4:$A$810&lt;=$J136)),'Match Log'!$N$4:$N$810),NA()))</f>
        <v>1044.8691565259944</v>
      </c>
      <c r="M136">
        <f>IF($J136&gt;MAX('Match Log'!$A$4:$A$810),NA(),IFERROR(LOOKUP(2,1/(('Match Log'!$D$4:$D$810=$M$24)*('Match Log'!$A$4:$A$810&lt;=$J136)),'Match Log'!$N$4:$N$810),NA()))</f>
        <v>1017.3466608720325</v>
      </c>
      <c r="N136">
        <f>IF($J136&gt;MAX('Match Log'!$A$4:$A$810),NA(),IFERROR(LOOKUP(2,1/(('Match Log'!$D$4:$D$810=$N$24)*('Match Log'!$A$4:$A$810&lt;=$J136)),'Match Log'!$N$4:$N$810),NA()))</f>
        <v>990.8737469852914</v>
      </c>
      <c r="O136">
        <f>IF($J136&gt;MAX('Match Log'!$A$4:$A$810),NA(),IFERROR(LOOKUP(2,1/(('Match Log'!$D$4:$D$810=$O$24)*('Match Log'!$A$4:$A$810&lt;=$J136)),'Match Log'!$N$4:$N$810),NA()))</f>
        <v>1147.1945550051951</v>
      </c>
      <c r="P136">
        <f>IF($J136&gt;MAX('Match Log'!$A$4:$A$810),NA(),IFERROR(LOOKUP(2,1/(('Match Log'!$D$4:$D$810=$P$24)*('Match Log'!$A$4:$A$810&lt;=$J136)),'Match Log'!$N$4:$N$810),NA()))</f>
        <v>1007.7767902955445</v>
      </c>
      <c r="Q136">
        <f>IF($J136&gt;MAX('Match Log'!$A$4:$A$810),NA(),IFERROR(LOOKUP(2,1/(('Match Log'!$D$4:$D$810=$Q$24)*('Match Log'!$A$4:$A$810&lt;=$J136)),'Match Log'!$N$4:$N$810),NA()))</f>
        <v>1099.9035033078371</v>
      </c>
      <c r="R136">
        <f>IF($J136&gt;MAX('Match Log'!$A$4:$A$810),NA(),IFERROR(LOOKUP(2,1/(('Match Log'!$D$4:$D$810=$R$24)*('Match Log'!$A$4:$A$810&lt;=$J136)),'Match Log'!$N$4:$N$810),NA()))</f>
        <v>1092.9844065377026</v>
      </c>
      <c r="S136">
        <f>IF($J136&gt;MAX('Match Log'!$A$4:$A$810),NA(),IFERROR(LOOKUP(2,1/(('Match Log'!$D$4:$D$810=$S$24)*('Match Log'!$A$4:$A$810&lt;=$J136)),'Match Log'!$N$4:$N$810),NA()))</f>
        <v>1189.3765078898728</v>
      </c>
      <c r="T136">
        <f>IF($J136&gt;MAX('Match Log'!$A$4:$A$810),NA(),IFERROR(LOOKUP(2,1/(('Match Log'!$D$4:$D$810=$T$24)*('Match Log'!$A$4:$A$810&lt;=$J136)),'Match Log'!$N$4:$N$810),NA()))</f>
        <v>894.20718606929802</v>
      </c>
      <c r="U136">
        <f>IF($J136&gt;MAX('Match Log'!$A$4:$A$810),NA(),IFERROR(LOOKUP(2,1/(('Match Log'!$D$4:$D$810=$U$24)*('Match Log'!$A$4:$A$810&lt;=$J136)),'Match Log'!$N$4:$N$810),NA()))</f>
        <v>1094.3607552510286</v>
      </c>
      <c r="V136">
        <f>IF($J136&gt;MAX('Match Log'!$A$4:$A$810),NA(),IFERROR(LOOKUP(2,1/(('Match Log'!$D$4:$D$810=$V$24)*('Match Log'!$A$4:$A$810&lt;=$J136)),'Match Log'!$N$4:$N$810),NA()))</f>
        <v>1039.5415973556721</v>
      </c>
      <c r="W136">
        <f>IF($J136&gt;MAX('Match Log'!$A$4:$A$810),NA(),IFERROR(LOOKUP(2,1/(('Match Log'!$D$4:$D$810=$W$24)*('Match Log'!$A$4:$A$810&lt;=$J136)),'Match Log'!$N$4:$N$810),NA()))</f>
        <v>1038.5016461247724</v>
      </c>
      <c r="X136" t="e">
        <f>IF($J136&gt;MAX('Match Log'!$A$4:$A$810),NA(),IFERROR(LOOKUP(2,1/(('Match Log'!$D$4:$D$810=$X$24)*('Match Log'!$A$4:$A$810&lt;=$J136)),'Match Log'!$N$4:$N$810),NA()))</f>
        <v>#N/A</v>
      </c>
      <c r="Y136" t="str">
        <f t="shared" ca="1" si="27"/>
        <v/>
      </c>
    </row>
    <row r="137" spans="1:25" ht="15" customHeight="1" x14ac:dyDescent="0.2">
      <c r="A137">
        <v>113</v>
      </c>
      <c r="B137" s="132">
        <f>IFERROR(INDEX('Match Log'!$B$4:$B$810,MATCH(113,'Match Log'!$A$4:$A$810,0)),"")</f>
        <v>46200</v>
      </c>
      <c r="C137" t="str">
        <f>IFERROR(INDEX('Match Log'!$C$4:$C$810,MATCH(113,'Match Log'!$A$4:$A$810,0)),"")</f>
        <v>Mario Kart</v>
      </c>
      <c r="D137" t="str">
        <f>IFERROR(INDEX('Match Log'!$G$4:$G$810,MATCH(113,'Match Log'!$A$4:$A$810,0)),"")</f>
        <v>Aaron</v>
      </c>
      <c r="E137" s="133">
        <f>IFERROR(INDEX('Match Log'!$F$4:$F$810,MATCH(113,'Match Log'!$A$4:$A$810,0)),"")</f>
        <v>2</v>
      </c>
      <c r="F137">
        <f>IFERROR(SUMIFS('Match Log'!$I$4:$I$810,'Match Log'!$A$4:$A$810,113,'Match Log'!$E$4:$E$810,"Win"),"")</f>
        <v>0.78947368421052633</v>
      </c>
      <c r="G137">
        <f t="shared" si="25"/>
        <v>-0.57894736842105265</v>
      </c>
      <c r="H137" t="str">
        <f>IFERROR(IF($E137=2,LOOKUP(2,1/(('Match Log'!$A$4:$A$810=113)*('Match Log'!$E$4:$E$810="Loss")),'Match Log'!$D$4:$D$810),"the field"),"")</f>
        <v>Shawn</v>
      </c>
      <c r="I137">
        <f t="shared" si="26"/>
        <v>-0.57906036842105268</v>
      </c>
      <c r="J137">
        <v>113</v>
      </c>
      <c r="K137">
        <f>IF($J137&gt;MAX('Match Log'!$A$4:$A$810),NA(),IFERROR(LOOKUP(2,1/(('Match Log'!$D$4:$D$810=$K$24)*('Match Log'!$A$4:$A$810&lt;=$J137)),'Match Log'!$N$4:$N$810),NA()))</f>
        <v>1125.1080177960646</v>
      </c>
      <c r="L137">
        <f>IF($J137&gt;MAX('Match Log'!$A$4:$A$810),NA(),IFERROR(LOOKUP(2,1/(('Match Log'!$D$4:$D$810=$L$24)*('Match Log'!$A$4:$A$810&lt;=$J137)),'Match Log'!$N$4:$N$810),NA()))</f>
        <v>1044.8691565259944</v>
      </c>
      <c r="M137">
        <f>IF($J137&gt;MAX('Match Log'!$A$4:$A$810),NA(),IFERROR(LOOKUP(2,1/(('Match Log'!$D$4:$D$810=$M$24)*('Match Log'!$A$4:$A$810&lt;=$J137)),'Match Log'!$N$4:$N$810),NA()))</f>
        <v>1017.3466608720325</v>
      </c>
      <c r="N137">
        <f>IF($J137&gt;MAX('Match Log'!$A$4:$A$810),NA(),IFERROR(LOOKUP(2,1/(('Match Log'!$D$4:$D$810=$N$24)*('Match Log'!$A$4:$A$810&lt;=$J137)),'Match Log'!$N$4:$N$810),NA()))</f>
        <v>990.8737469852914</v>
      </c>
      <c r="O137">
        <f>IF($J137&gt;MAX('Match Log'!$A$4:$A$810),NA(),IFERROR(LOOKUP(2,1/(('Match Log'!$D$4:$D$810=$O$24)*('Match Log'!$A$4:$A$810&lt;=$J137)),'Match Log'!$N$4:$N$810),NA()))</f>
        <v>1147.1945550051951</v>
      </c>
      <c r="P137">
        <f>IF($J137&gt;MAX('Match Log'!$A$4:$A$810),NA(),IFERROR(LOOKUP(2,1/(('Match Log'!$D$4:$D$810=$P$24)*('Match Log'!$A$4:$A$810&lt;=$J137)),'Match Log'!$N$4:$N$810),NA()))</f>
        <v>993.73226027923863</v>
      </c>
      <c r="Q137">
        <f>IF($J137&gt;MAX('Match Log'!$A$4:$A$810),NA(),IFERROR(LOOKUP(2,1/(('Match Log'!$D$4:$D$810=$Q$24)*('Match Log'!$A$4:$A$810&lt;=$J137)),'Match Log'!$N$4:$N$810),NA()))</f>
        <v>1099.9035033078371</v>
      </c>
      <c r="R137">
        <f>IF($J137&gt;MAX('Match Log'!$A$4:$A$810),NA(),IFERROR(LOOKUP(2,1/(('Match Log'!$D$4:$D$810=$R$24)*('Match Log'!$A$4:$A$810&lt;=$J137)),'Match Log'!$N$4:$N$810),NA()))</f>
        <v>1092.9844065377026</v>
      </c>
      <c r="S137">
        <f>IF($J137&gt;MAX('Match Log'!$A$4:$A$810),NA(),IFERROR(LOOKUP(2,1/(('Match Log'!$D$4:$D$810=$S$24)*('Match Log'!$A$4:$A$810&lt;=$J137)),'Match Log'!$N$4:$N$810),NA()))</f>
        <v>1189.3765078898728</v>
      </c>
      <c r="T137">
        <f>IF($J137&gt;MAX('Match Log'!$A$4:$A$810),NA(),IFERROR(LOOKUP(2,1/(('Match Log'!$D$4:$D$810=$T$24)*('Match Log'!$A$4:$A$810&lt;=$J137)),'Match Log'!$N$4:$N$810),NA()))</f>
        <v>894.20718606929802</v>
      </c>
      <c r="U137">
        <f>IF($J137&gt;MAX('Match Log'!$A$4:$A$810),NA(),IFERROR(LOOKUP(2,1/(('Match Log'!$D$4:$D$810=$U$24)*('Match Log'!$A$4:$A$810&lt;=$J137)),'Match Log'!$N$4:$N$810),NA()))</f>
        <v>1094.3607552510286</v>
      </c>
      <c r="V137">
        <f>IF($J137&gt;MAX('Match Log'!$A$4:$A$810),NA(),IFERROR(LOOKUP(2,1/(('Match Log'!$D$4:$D$810=$V$24)*('Match Log'!$A$4:$A$810&lt;=$J137)),'Match Log'!$N$4:$N$810),NA()))</f>
        <v>1039.5415973556721</v>
      </c>
      <c r="W137">
        <f>IF($J137&gt;MAX('Match Log'!$A$4:$A$810),NA(),IFERROR(LOOKUP(2,1/(('Match Log'!$D$4:$D$810=$W$24)*('Match Log'!$A$4:$A$810&lt;=$J137)),'Match Log'!$N$4:$N$810),NA()))</f>
        <v>1038.5016461247724</v>
      </c>
      <c r="X137" t="e">
        <f>IF($J137&gt;MAX('Match Log'!$A$4:$A$810),NA(),IFERROR(LOOKUP(2,1/(('Match Log'!$D$4:$D$810=$X$24)*('Match Log'!$A$4:$A$810&lt;=$J137)),'Match Log'!$N$4:$N$810),NA()))</f>
        <v>#N/A</v>
      </c>
      <c r="Y137" t="str">
        <f t="shared" ca="1" si="27"/>
        <v/>
      </c>
    </row>
    <row r="138" spans="1:25" ht="15" customHeight="1" x14ac:dyDescent="0.2">
      <c r="A138">
        <v>114</v>
      </c>
      <c r="B138" s="132">
        <f>IFERROR(INDEX('Match Log'!$B$4:$B$810,MATCH(114,'Match Log'!$A$4:$A$810,0)),"")</f>
        <v>46202</v>
      </c>
      <c r="C138" t="str">
        <f>IFERROR(INDEX('Match Log'!$C$4:$C$810,MATCH(114,'Match Log'!$A$4:$A$810,0)),"")</f>
        <v>Chess</v>
      </c>
      <c r="D138" t="str">
        <f>IFERROR(INDEX('Match Log'!$G$4:$G$810,MATCH(114,'Match Log'!$A$4:$A$810,0)),"")</f>
        <v>Shawn</v>
      </c>
      <c r="E138" s="133">
        <f>IFERROR(INDEX('Match Log'!$F$4:$F$810,MATCH(114,'Match Log'!$A$4:$A$810,0)),"")</f>
        <v>2</v>
      </c>
      <c r="F138">
        <f>IFERROR(SUMIFS('Match Log'!$I$4:$I$810,'Match Log'!$A$4:$A$810,114,'Match Log'!$E$4:$E$810,"Win"),"")</f>
        <v>0.66666666666666663</v>
      </c>
      <c r="G138">
        <f t="shared" si="25"/>
        <v>-0.33333333333333326</v>
      </c>
      <c r="H138" t="str">
        <f>IFERROR(IF($E138=2,LOOKUP(2,1/(('Match Log'!$A$4:$A$810=114)*('Match Log'!$E$4:$E$810="Loss")),'Match Log'!$D$4:$D$810),"the field"),"")</f>
        <v>Daniel (Ferret)</v>
      </c>
      <c r="I138">
        <f t="shared" si="26"/>
        <v>-0.33344733333333326</v>
      </c>
      <c r="J138">
        <v>114</v>
      </c>
      <c r="K138">
        <f>IF($J138&gt;MAX('Match Log'!$A$4:$A$810),NA(),IFERROR(LOOKUP(2,1/(('Match Log'!$D$4:$D$810=$K$24)*('Match Log'!$A$4:$A$810&lt;=$J138)),'Match Log'!$N$4:$N$810),NA()))</f>
        <v>1125.1080177960646</v>
      </c>
      <c r="L138">
        <f>IF($J138&gt;MAX('Match Log'!$A$4:$A$810),NA(),IFERROR(LOOKUP(2,1/(('Match Log'!$D$4:$D$810=$L$24)*('Match Log'!$A$4:$A$810&lt;=$J138)),'Match Log'!$N$4:$N$810),NA()))</f>
        <v>1044.8691565259944</v>
      </c>
      <c r="M138">
        <f>IF($J138&gt;MAX('Match Log'!$A$4:$A$810),NA(),IFERROR(LOOKUP(2,1/(('Match Log'!$D$4:$D$810=$M$24)*('Match Log'!$A$4:$A$810&lt;=$J138)),'Match Log'!$N$4:$N$810),NA()))</f>
        <v>1017.3466608720325</v>
      </c>
      <c r="N138">
        <f>IF($J138&gt;MAX('Match Log'!$A$4:$A$810),NA(),IFERROR(LOOKUP(2,1/(('Match Log'!$D$4:$D$810=$N$24)*('Match Log'!$A$4:$A$810&lt;=$J138)),'Match Log'!$N$4:$N$810),NA()))</f>
        <v>990.8737469852914</v>
      </c>
      <c r="O138">
        <f>IF($J138&gt;MAX('Match Log'!$A$4:$A$810),NA(),IFERROR(LOOKUP(2,1/(('Match Log'!$D$4:$D$810=$O$24)*('Match Log'!$A$4:$A$810&lt;=$J138)),'Match Log'!$N$4:$N$810),NA()))</f>
        <v>1147.1945550051951</v>
      </c>
      <c r="P138">
        <f>IF($J138&gt;MAX('Match Log'!$A$4:$A$810),NA(),IFERROR(LOOKUP(2,1/(('Match Log'!$D$4:$D$810=$P$24)*('Match Log'!$A$4:$A$810&lt;=$J138)),'Match Log'!$N$4:$N$810),NA()))</f>
        <v>1017.2378263100353</v>
      </c>
      <c r="Q138">
        <f>IF($J138&gt;MAX('Match Log'!$A$4:$A$810),NA(),IFERROR(LOOKUP(2,1/(('Match Log'!$D$4:$D$810=$Q$24)*('Match Log'!$A$4:$A$810&lt;=$J138)),'Match Log'!$N$4:$N$810),NA()))</f>
        <v>1099.9035033078371</v>
      </c>
      <c r="R138">
        <f>IF($J138&gt;MAX('Match Log'!$A$4:$A$810),NA(),IFERROR(LOOKUP(2,1/(('Match Log'!$D$4:$D$810=$R$24)*('Match Log'!$A$4:$A$810&lt;=$J138)),'Match Log'!$N$4:$N$810),NA()))</f>
        <v>1069.478840506906</v>
      </c>
      <c r="S138">
        <f>IF($J138&gt;MAX('Match Log'!$A$4:$A$810),NA(),IFERROR(LOOKUP(2,1/(('Match Log'!$D$4:$D$810=$S$24)*('Match Log'!$A$4:$A$810&lt;=$J138)),'Match Log'!$N$4:$N$810),NA()))</f>
        <v>1189.3765078898728</v>
      </c>
      <c r="T138">
        <f>IF($J138&gt;MAX('Match Log'!$A$4:$A$810),NA(),IFERROR(LOOKUP(2,1/(('Match Log'!$D$4:$D$810=$T$24)*('Match Log'!$A$4:$A$810&lt;=$J138)),'Match Log'!$N$4:$N$810),NA()))</f>
        <v>894.20718606929802</v>
      </c>
      <c r="U138">
        <f>IF($J138&gt;MAX('Match Log'!$A$4:$A$810),NA(),IFERROR(LOOKUP(2,1/(('Match Log'!$D$4:$D$810=$U$24)*('Match Log'!$A$4:$A$810&lt;=$J138)),'Match Log'!$N$4:$N$810),NA()))</f>
        <v>1094.3607552510286</v>
      </c>
      <c r="V138">
        <f>IF($J138&gt;MAX('Match Log'!$A$4:$A$810),NA(),IFERROR(LOOKUP(2,1/(('Match Log'!$D$4:$D$810=$V$24)*('Match Log'!$A$4:$A$810&lt;=$J138)),'Match Log'!$N$4:$N$810),NA()))</f>
        <v>1039.5415973556721</v>
      </c>
      <c r="W138">
        <f>IF($J138&gt;MAX('Match Log'!$A$4:$A$810),NA(),IFERROR(LOOKUP(2,1/(('Match Log'!$D$4:$D$810=$W$24)*('Match Log'!$A$4:$A$810&lt;=$J138)),'Match Log'!$N$4:$N$810),NA()))</f>
        <v>1038.5016461247724</v>
      </c>
      <c r="X138" t="e">
        <f>IF($J138&gt;MAX('Match Log'!$A$4:$A$810),NA(),IFERROR(LOOKUP(2,1/(('Match Log'!$D$4:$D$810=$X$24)*('Match Log'!$A$4:$A$810&lt;=$J138)),'Match Log'!$N$4:$N$810),NA()))</f>
        <v>#N/A</v>
      </c>
      <c r="Y138">
        <f t="shared" ca="1" si="27"/>
        <v>-0.33344733333333326</v>
      </c>
    </row>
    <row r="139" spans="1:25" ht="15" customHeight="1" x14ac:dyDescent="0.2">
      <c r="A139">
        <v>115</v>
      </c>
      <c r="B139">
        <f>IFERROR(INDEX('Match Log'!$B$4:$B$810,MATCH(115,'Match Log'!$A$4:$A$810,0)),"")</f>
        <v>46207</v>
      </c>
      <c r="C139" t="str">
        <f>IFERROR(INDEX('Match Log'!$C$4:$C$810,MATCH(115,'Match Log'!$A$4:$A$810,0)),"")</f>
        <v>Mario Kart</v>
      </c>
      <c r="D139" t="str">
        <f>IFERROR(INDEX('Match Log'!$G$4:$G$810,MATCH(115,'Match Log'!$A$4:$A$810,0)),"")</f>
        <v>Oscar</v>
      </c>
      <c r="E139">
        <f>IFERROR(INDEX('Match Log'!$F$4:$F$810,MATCH(115,'Match Log'!$A$4:$A$810,0)),"")</f>
        <v>2</v>
      </c>
      <c r="F139">
        <f>IFERROR(SUMIFS('Match Log'!$I$4:$I$810,'Match Log'!$A$4:$A$810,115,'Match Log'!$E$4:$E$810,"Win"),"")</f>
        <v>0.75</v>
      </c>
      <c r="G139">
        <f t="shared" si="25"/>
        <v>-0.5</v>
      </c>
      <c r="H139" t="str">
        <f>IFERROR(IF($E139=2,LOOKUP(2,1/(('Match Log'!$A$4:$A$810=115)*('Match Log'!$E$4:$E$810="Loss")),'Match Log'!$D$4:$D$810),"the field"),"")</f>
        <v>Shawn</v>
      </c>
      <c r="I139">
        <f t="shared" si="26"/>
        <v>-0.50011499999999998</v>
      </c>
      <c r="J139">
        <v>115</v>
      </c>
      <c r="K139">
        <f>IF($J139&gt;MAX('Match Log'!$A$4:$A$810),NA(),IFERROR(LOOKUP(2,1/(('Match Log'!$D$4:$D$810=$K$24)*('Match Log'!$A$4:$A$810&lt;=$J139)),'Match Log'!$N$4:$N$810),NA()))</f>
        <v>1125.1080177960646</v>
      </c>
      <c r="L139">
        <f>IF($J139&gt;MAX('Match Log'!$A$4:$A$810),NA(),IFERROR(LOOKUP(2,1/(('Match Log'!$D$4:$D$810=$L$24)*('Match Log'!$A$4:$A$810&lt;=$J139)),'Match Log'!$N$4:$N$810),NA()))</f>
        <v>1044.8691565259944</v>
      </c>
      <c r="M139">
        <f>IF($J139&gt;MAX('Match Log'!$A$4:$A$810),NA(),IFERROR(LOOKUP(2,1/(('Match Log'!$D$4:$D$810=$M$24)*('Match Log'!$A$4:$A$810&lt;=$J139)),'Match Log'!$N$4:$N$810),NA()))</f>
        <v>1017.3466608720325</v>
      </c>
      <c r="N139">
        <f>IF($J139&gt;MAX('Match Log'!$A$4:$A$810),NA(),IFERROR(LOOKUP(2,1/(('Match Log'!$D$4:$D$810=$N$24)*('Match Log'!$A$4:$A$810&lt;=$J139)),'Match Log'!$N$4:$N$810),NA()))</f>
        <v>990.8737469852914</v>
      </c>
      <c r="O139">
        <f>IF($J139&gt;MAX('Match Log'!$A$4:$A$810),NA(),IFERROR(LOOKUP(2,1/(('Match Log'!$D$4:$D$810=$O$24)*('Match Log'!$A$4:$A$810&lt;=$J139)),'Match Log'!$N$4:$N$810),NA()))</f>
        <v>1147.1945550051951</v>
      </c>
      <c r="P139">
        <f>IF($J139&gt;MAX('Match Log'!$A$4:$A$810),NA(),IFERROR(LOOKUP(2,1/(('Match Log'!$D$4:$D$810=$P$24)*('Match Log'!$A$4:$A$810&lt;=$J139)),'Match Log'!$N$4:$N$810),NA()))</f>
        <v>1001.331282077233</v>
      </c>
      <c r="Q139">
        <f>IF($J139&gt;MAX('Match Log'!$A$4:$A$810),NA(),IFERROR(LOOKUP(2,1/(('Match Log'!$D$4:$D$810=$Q$24)*('Match Log'!$A$4:$A$810&lt;=$J139)),'Match Log'!$N$4:$N$810),NA()))</f>
        <v>1099.9035033078371</v>
      </c>
      <c r="R139">
        <f>IF($J139&gt;MAX('Match Log'!$A$4:$A$810),NA(),IFERROR(LOOKUP(2,1/(('Match Log'!$D$4:$D$810=$R$24)*('Match Log'!$A$4:$A$810&lt;=$J139)),'Match Log'!$N$4:$N$810),NA()))</f>
        <v>1069.478840506906</v>
      </c>
      <c r="S139">
        <f>IF($J139&gt;MAX('Match Log'!$A$4:$A$810),NA(),IFERROR(LOOKUP(2,1/(('Match Log'!$D$4:$D$810=$S$24)*('Match Log'!$A$4:$A$810&lt;=$J139)),'Match Log'!$N$4:$N$810),NA()))</f>
        <v>1189.3765078898728</v>
      </c>
      <c r="T139">
        <f>IF($J139&gt;MAX('Match Log'!$A$4:$A$810),NA(),IFERROR(LOOKUP(2,1/(('Match Log'!$D$4:$D$810=$T$24)*('Match Log'!$A$4:$A$810&lt;=$J139)),'Match Log'!$N$4:$N$810),NA()))</f>
        <v>894.20718606929802</v>
      </c>
      <c r="U139">
        <f>IF($J139&gt;MAX('Match Log'!$A$4:$A$810),NA(),IFERROR(LOOKUP(2,1/(('Match Log'!$D$4:$D$810=$U$24)*('Match Log'!$A$4:$A$810&lt;=$J139)),'Match Log'!$N$4:$N$810),NA()))</f>
        <v>1110.267299483831</v>
      </c>
      <c r="V139">
        <f>IF($J139&gt;MAX('Match Log'!$A$4:$A$810),NA(),IFERROR(LOOKUP(2,1/(('Match Log'!$D$4:$D$810=$V$24)*('Match Log'!$A$4:$A$810&lt;=$J139)),'Match Log'!$N$4:$N$810),NA()))</f>
        <v>1039.5415973556721</v>
      </c>
      <c r="W139">
        <f>IF($J139&gt;MAX('Match Log'!$A$4:$A$810),NA(),IFERROR(LOOKUP(2,1/(('Match Log'!$D$4:$D$810=$W$24)*('Match Log'!$A$4:$A$810&lt;=$J139)),'Match Log'!$N$4:$N$810),NA()))</f>
        <v>1038.5016461247724</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IFERROR(INDEX('Match Log'!$G$4:$G$810,MATCH(116,'Match Log'!$A$4:$A$810,0)),"")</f>
        <v>Oscar</v>
      </c>
      <c r="E140">
        <f>IFERROR(INDEX('Match Log'!$F$4:$F$810,MATCH(116,'Match Log'!$A$4:$A$810,0)),"")</f>
        <v>2</v>
      </c>
      <c r="F140">
        <f>IFERROR(SUMIFS('Match Log'!$I$4:$I$810,'Match Log'!$A$4:$A$810,116,'Match Log'!$E$4:$E$810,"Win"),"")</f>
        <v>0.8</v>
      </c>
      <c r="G140">
        <f t="shared" si="25"/>
        <v>-0.60000000000000009</v>
      </c>
      <c r="H140" t="str">
        <f>IFERROR(IF($E140=2,LOOKUP(2,1/(('Match Log'!$A$4:$A$810=116)*('Match Log'!$E$4:$E$810="Loss")),'Match Log'!$D$4:$D$810),"the field"),"")</f>
        <v>Shawn</v>
      </c>
      <c r="I140">
        <f t="shared" si="26"/>
        <v>-0.60011600000000009</v>
      </c>
      <c r="J140">
        <v>116</v>
      </c>
      <c r="K140">
        <f>IF($J140&gt;MAX('Match Log'!$A$4:$A$810),NA(),IFERROR(LOOKUP(2,1/(('Match Log'!$D$4:$D$810=$K$24)*('Match Log'!$A$4:$A$810&lt;=$J140)),'Match Log'!$N$4:$N$810),NA()))</f>
        <v>1125.1080177960646</v>
      </c>
      <c r="L140">
        <f>IF($J140&gt;MAX('Match Log'!$A$4:$A$810),NA(),IFERROR(LOOKUP(2,1/(('Match Log'!$D$4:$D$810=$L$24)*('Match Log'!$A$4:$A$810&lt;=$J140)),'Match Log'!$N$4:$N$810),NA()))</f>
        <v>1044.8691565259944</v>
      </c>
      <c r="M140">
        <f>IF($J140&gt;MAX('Match Log'!$A$4:$A$810),NA(),IFERROR(LOOKUP(2,1/(('Match Log'!$D$4:$D$810=$M$24)*('Match Log'!$A$4:$A$810&lt;=$J140)),'Match Log'!$N$4:$N$810),NA()))</f>
        <v>1017.3466608720325</v>
      </c>
      <c r="N140">
        <f>IF($J140&gt;MAX('Match Log'!$A$4:$A$810),NA(),IFERROR(LOOKUP(2,1/(('Match Log'!$D$4:$D$810=$N$24)*('Match Log'!$A$4:$A$810&lt;=$J140)),'Match Log'!$N$4:$N$810),NA()))</f>
        <v>990.8737469852914</v>
      </c>
      <c r="O140">
        <f>IF($J140&gt;MAX('Match Log'!$A$4:$A$810),NA(),IFERROR(LOOKUP(2,1/(('Match Log'!$D$4:$D$810=$O$24)*('Match Log'!$A$4:$A$810&lt;=$J140)),'Match Log'!$N$4:$N$810),NA()))</f>
        <v>1147.1945550051951</v>
      </c>
      <c r="P140">
        <f>IF($J140&gt;MAX('Match Log'!$A$4:$A$810),NA(),IFERROR(LOOKUP(2,1/(('Match Log'!$D$4:$D$810=$P$24)*('Match Log'!$A$4:$A$810&lt;=$J140)),'Match Log'!$N$4:$N$810),NA()))</f>
        <v>987.25217148628246</v>
      </c>
      <c r="Q140">
        <f>IF($J140&gt;MAX('Match Log'!$A$4:$A$810),NA(),IFERROR(LOOKUP(2,1/(('Match Log'!$D$4:$D$810=$Q$24)*('Match Log'!$A$4:$A$810&lt;=$J140)),'Match Log'!$N$4:$N$810),NA()))</f>
        <v>1099.9035033078371</v>
      </c>
      <c r="R140">
        <f>IF($J140&gt;MAX('Match Log'!$A$4:$A$810),NA(),IFERROR(LOOKUP(2,1/(('Match Log'!$D$4:$D$810=$R$24)*('Match Log'!$A$4:$A$810&lt;=$J140)),'Match Log'!$N$4:$N$810),NA()))</f>
        <v>1069.478840506906</v>
      </c>
      <c r="S140">
        <f>IF($J140&gt;MAX('Match Log'!$A$4:$A$810),NA(),IFERROR(LOOKUP(2,1/(('Match Log'!$D$4:$D$810=$S$24)*('Match Log'!$A$4:$A$810&lt;=$J140)),'Match Log'!$N$4:$N$810),NA()))</f>
        <v>1189.3765078898728</v>
      </c>
      <c r="T140">
        <f>IF($J140&gt;MAX('Match Log'!$A$4:$A$810),NA(),IFERROR(LOOKUP(2,1/(('Match Log'!$D$4:$D$810=$T$24)*('Match Log'!$A$4:$A$810&lt;=$J140)),'Match Log'!$N$4:$N$810),NA()))</f>
        <v>894.20718606929802</v>
      </c>
      <c r="U140">
        <f>IF($J140&gt;MAX('Match Log'!$A$4:$A$810),NA(),IFERROR(LOOKUP(2,1/(('Match Log'!$D$4:$D$810=$U$24)*('Match Log'!$A$4:$A$810&lt;=$J140)),'Match Log'!$N$4:$N$810),NA()))</f>
        <v>1124.3464100747815</v>
      </c>
      <c r="V140">
        <f>IF($J140&gt;MAX('Match Log'!$A$4:$A$810),NA(),IFERROR(LOOKUP(2,1/(('Match Log'!$D$4:$D$810=$V$24)*('Match Log'!$A$4:$A$810&lt;=$J140)),'Match Log'!$N$4:$N$810),NA()))</f>
        <v>1039.5415973556721</v>
      </c>
      <c r="W140">
        <f>IF($J140&gt;MAX('Match Log'!$A$4:$A$810),NA(),IFERROR(LOOKUP(2,1/(('Match Log'!$D$4:$D$810=$W$24)*('Match Log'!$A$4:$A$810&lt;=$J140)),'Match Log'!$N$4:$N$810),NA()))</f>
        <v>1038.5016461247724</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IFERROR(INDEX('Match Log'!$G$4:$G$810,MATCH(117,'Match Log'!$A$4:$A$810,0)),"")</f>
        <v>Oscar</v>
      </c>
      <c r="E141">
        <f>IFERROR(INDEX('Match Log'!$F$4:$F$810,MATCH(117,'Match Log'!$A$4:$A$810,0)),"")</f>
        <v>2</v>
      </c>
      <c r="F141">
        <f>IFERROR(SUMIFS('Match Log'!$I$4:$I$810,'Match Log'!$A$4:$A$810,117,'Match Log'!$E$4:$E$810,"Win"),"")</f>
        <v>0.83333333333333337</v>
      </c>
      <c r="G141">
        <f t="shared" si="25"/>
        <v>-0.66666666666666674</v>
      </c>
      <c r="H141" t="str">
        <f>IFERROR(IF($E141=2,LOOKUP(2,1/(('Match Log'!$A$4:$A$810=117)*('Match Log'!$E$4:$E$810="Loss")),'Match Log'!$D$4:$D$810),"the field"),"")</f>
        <v>Shawn</v>
      </c>
      <c r="I141">
        <f t="shared" si="26"/>
        <v>-0.66678366666666677</v>
      </c>
      <c r="J141">
        <v>117</v>
      </c>
      <c r="K141">
        <f>IF($J141&gt;MAX('Match Log'!$A$4:$A$810),NA(),IFERROR(LOOKUP(2,1/(('Match Log'!$D$4:$D$810=$K$24)*('Match Log'!$A$4:$A$810&lt;=$J141)),'Match Log'!$N$4:$N$810),NA()))</f>
        <v>1125.1080177960646</v>
      </c>
      <c r="L141">
        <f>IF($J141&gt;MAX('Match Log'!$A$4:$A$810),NA(),IFERROR(LOOKUP(2,1/(('Match Log'!$D$4:$D$810=$L$24)*('Match Log'!$A$4:$A$810&lt;=$J141)),'Match Log'!$N$4:$N$810),NA()))</f>
        <v>1044.8691565259944</v>
      </c>
      <c r="M141">
        <f>IF($J141&gt;MAX('Match Log'!$A$4:$A$810),NA(),IFERROR(LOOKUP(2,1/(('Match Log'!$D$4:$D$810=$M$24)*('Match Log'!$A$4:$A$810&lt;=$J141)),'Match Log'!$N$4:$N$810),NA()))</f>
        <v>1017.3466608720325</v>
      </c>
      <c r="N141">
        <f>IF($J141&gt;MAX('Match Log'!$A$4:$A$810),NA(),IFERROR(LOOKUP(2,1/(('Match Log'!$D$4:$D$810=$N$24)*('Match Log'!$A$4:$A$810&lt;=$J141)),'Match Log'!$N$4:$N$810),NA()))</f>
        <v>990.8737469852914</v>
      </c>
      <c r="O141">
        <f>IF($J141&gt;MAX('Match Log'!$A$4:$A$810),NA(),IFERROR(LOOKUP(2,1/(('Match Log'!$D$4:$D$810=$O$24)*('Match Log'!$A$4:$A$810&lt;=$J141)),'Match Log'!$N$4:$N$810),NA()))</f>
        <v>1147.1945550051951</v>
      </c>
      <c r="P141">
        <f>IF($J141&gt;MAX('Match Log'!$A$4:$A$810),NA(),IFERROR(LOOKUP(2,1/(('Match Log'!$D$4:$D$810=$P$24)*('Match Log'!$A$4:$A$810&lt;=$J141)),'Match Log'!$N$4:$N$810),NA()))</f>
        <v>974.61752460615935</v>
      </c>
      <c r="Q141">
        <f>IF($J141&gt;MAX('Match Log'!$A$4:$A$810),NA(),IFERROR(LOOKUP(2,1/(('Match Log'!$D$4:$D$810=$Q$24)*('Match Log'!$A$4:$A$810&lt;=$J141)),'Match Log'!$N$4:$N$810),NA()))</f>
        <v>1099.9035033078371</v>
      </c>
      <c r="R141">
        <f>IF($J141&gt;MAX('Match Log'!$A$4:$A$810),NA(),IFERROR(LOOKUP(2,1/(('Match Log'!$D$4:$D$810=$R$24)*('Match Log'!$A$4:$A$810&lt;=$J141)),'Match Log'!$N$4:$N$810),NA()))</f>
        <v>1069.478840506906</v>
      </c>
      <c r="S141">
        <f>IF($J141&gt;MAX('Match Log'!$A$4:$A$810),NA(),IFERROR(LOOKUP(2,1/(('Match Log'!$D$4:$D$810=$S$24)*('Match Log'!$A$4:$A$810&lt;=$J141)),'Match Log'!$N$4:$N$810),NA()))</f>
        <v>1189.3765078898728</v>
      </c>
      <c r="T141">
        <f>IF($J141&gt;MAX('Match Log'!$A$4:$A$810),NA(),IFERROR(LOOKUP(2,1/(('Match Log'!$D$4:$D$810=$T$24)*('Match Log'!$A$4:$A$810&lt;=$J141)),'Match Log'!$N$4:$N$810),NA()))</f>
        <v>894.20718606929802</v>
      </c>
      <c r="U141">
        <f>IF($J141&gt;MAX('Match Log'!$A$4:$A$810),NA(),IFERROR(LOOKUP(2,1/(('Match Log'!$D$4:$D$810=$U$24)*('Match Log'!$A$4:$A$810&lt;=$J141)),'Match Log'!$N$4:$N$810),NA()))</f>
        <v>1136.9810569549045</v>
      </c>
      <c r="V141">
        <f>IF($J141&gt;MAX('Match Log'!$A$4:$A$810),NA(),IFERROR(LOOKUP(2,1/(('Match Log'!$D$4:$D$810=$V$24)*('Match Log'!$A$4:$A$810&lt;=$J141)),'Match Log'!$N$4:$N$810),NA()))</f>
        <v>1039.5415973556721</v>
      </c>
      <c r="W141">
        <f>IF($J141&gt;MAX('Match Log'!$A$4:$A$810),NA(),IFERROR(LOOKUP(2,1/(('Match Log'!$D$4:$D$810=$W$24)*('Match Log'!$A$4:$A$810&lt;=$J141)),'Match Log'!$N$4:$N$810),NA()))</f>
        <v>1038.5016461247724</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IFERROR(INDEX('Match Log'!$G$4:$G$810,MATCH(118,'Match Log'!$A$4:$A$810,0)),"")</f>
        <v>Oscar</v>
      </c>
      <c r="E142">
        <f>IFERROR(INDEX('Match Log'!$F$4:$F$810,MATCH(118,'Match Log'!$A$4:$A$810,0)),"")</f>
        <v>2</v>
      </c>
      <c r="F142">
        <f>IFERROR(SUMIFS('Match Log'!$I$4:$I$810,'Match Log'!$A$4:$A$810,118,'Match Log'!$E$4:$E$810,"Win"),"")</f>
        <v>0.4285714285714286</v>
      </c>
      <c r="G142">
        <f t="shared" si="25"/>
        <v>0.14285714285714279</v>
      </c>
      <c r="H142" t="str">
        <f>IFERROR(IF($E142=2,LOOKUP(2,1/(('Match Log'!$A$4:$A$810=118)*('Match Log'!$E$4:$E$810="Loss")),'Match Log'!$D$4:$D$810),"the field"),"")</f>
        <v>Shawn</v>
      </c>
      <c r="I142">
        <f t="shared" si="26"/>
        <v>0.14273914285714279</v>
      </c>
      <c r="J142">
        <v>118</v>
      </c>
      <c r="K142">
        <f>IF($J142&gt;MAX('Match Log'!$A$4:$A$810),NA(),IFERROR(LOOKUP(2,1/(('Match Log'!$D$4:$D$810=$K$24)*('Match Log'!$A$4:$A$810&lt;=$J142)),'Match Log'!$N$4:$N$810),NA()))</f>
        <v>1125.1080177960646</v>
      </c>
      <c r="L142">
        <f>IF($J142&gt;MAX('Match Log'!$A$4:$A$810),NA(),IFERROR(LOOKUP(2,1/(('Match Log'!$D$4:$D$810=$L$24)*('Match Log'!$A$4:$A$810&lt;=$J142)),'Match Log'!$N$4:$N$810),NA()))</f>
        <v>1044.8691565259944</v>
      </c>
      <c r="M142">
        <f>IF($J142&gt;MAX('Match Log'!$A$4:$A$810),NA(),IFERROR(LOOKUP(2,1/(('Match Log'!$D$4:$D$810=$M$24)*('Match Log'!$A$4:$A$810&lt;=$J142)),'Match Log'!$N$4:$N$810),NA()))</f>
        <v>1017.3466608720325</v>
      </c>
      <c r="N142">
        <f>IF($J142&gt;MAX('Match Log'!$A$4:$A$810),NA(),IFERROR(LOOKUP(2,1/(('Match Log'!$D$4:$D$810=$N$24)*('Match Log'!$A$4:$A$810&lt;=$J142)),'Match Log'!$N$4:$N$810),NA()))</f>
        <v>990.8737469852914</v>
      </c>
      <c r="O142">
        <f>IF($J142&gt;MAX('Match Log'!$A$4:$A$810),NA(),IFERROR(LOOKUP(2,1/(('Match Log'!$D$4:$D$810=$O$24)*('Match Log'!$A$4:$A$810&lt;=$J142)),'Match Log'!$N$4:$N$810),NA()))</f>
        <v>1147.1945550051951</v>
      </c>
      <c r="P142">
        <f>IF($J142&gt;MAX('Match Log'!$A$4:$A$810),NA(),IFERROR(LOOKUP(2,1/(('Match Log'!$D$4:$D$810=$P$24)*('Match Log'!$A$4:$A$810&lt;=$J142)),'Match Log'!$N$4:$N$810),NA()))</f>
        <v>956.84822634794841</v>
      </c>
      <c r="Q142">
        <f>IF($J142&gt;MAX('Match Log'!$A$4:$A$810),NA(),IFERROR(LOOKUP(2,1/(('Match Log'!$D$4:$D$810=$Q$24)*('Match Log'!$A$4:$A$810&lt;=$J142)),'Match Log'!$N$4:$N$810),NA()))</f>
        <v>1099.9035033078371</v>
      </c>
      <c r="R142">
        <f>IF($J142&gt;MAX('Match Log'!$A$4:$A$810),NA(),IFERROR(LOOKUP(2,1/(('Match Log'!$D$4:$D$810=$R$24)*('Match Log'!$A$4:$A$810&lt;=$J142)),'Match Log'!$N$4:$N$810),NA()))</f>
        <v>1069.478840506906</v>
      </c>
      <c r="S142">
        <f>IF($J142&gt;MAX('Match Log'!$A$4:$A$810),NA(),IFERROR(LOOKUP(2,1/(('Match Log'!$D$4:$D$810=$S$24)*('Match Log'!$A$4:$A$810&lt;=$J142)),'Match Log'!$N$4:$N$810),NA()))</f>
        <v>1189.3765078898728</v>
      </c>
      <c r="T142">
        <f>IF($J142&gt;MAX('Match Log'!$A$4:$A$810),NA(),IFERROR(LOOKUP(2,1/(('Match Log'!$D$4:$D$810=$T$24)*('Match Log'!$A$4:$A$810&lt;=$J142)),'Match Log'!$N$4:$N$810),NA()))</f>
        <v>894.20718606929802</v>
      </c>
      <c r="U142">
        <f>IF($J142&gt;MAX('Match Log'!$A$4:$A$810),NA(),IFERROR(LOOKUP(2,1/(('Match Log'!$D$4:$D$810=$U$24)*('Match Log'!$A$4:$A$810&lt;=$J142)),'Match Log'!$N$4:$N$810),NA()))</f>
        <v>1154.7503552131154</v>
      </c>
      <c r="V142">
        <f>IF($J142&gt;MAX('Match Log'!$A$4:$A$810),NA(),IFERROR(LOOKUP(2,1/(('Match Log'!$D$4:$D$810=$V$24)*('Match Log'!$A$4:$A$810&lt;=$J142)),'Match Log'!$N$4:$N$810),NA()))</f>
        <v>1039.5415973556721</v>
      </c>
      <c r="W142">
        <f>IF($J142&gt;MAX('Match Log'!$A$4:$A$810),NA(),IFERROR(LOOKUP(2,1/(('Match Log'!$D$4:$D$810=$W$24)*('Match Log'!$A$4:$A$810&lt;=$J142)),'Match Log'!$N$4:$N$810),NA()))</f>
        <v>1038.5016461247724</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IFERROR(INDEX('Match Log'!$G$4:$G$810,MATCH(119,'Match Log'!$A$4:$A$810,0)),"")</f>
        <v>Shawn</v>
      </c>
      <c r="E143">
        <f>IFERROR(INDEX('Match Log'!$F$4:$F$810,MATCH(119,'Match Log'!$A$4:$A$810,0)),"")</f>
        <v>2</v>
      </c>
      <c r="F143">
        <f>IFERROR(SUMIFS('Match Log'!$I$4:$I$810,'Match Log'!$A$4:$A$810,119,'Match Log'!$E$4:$E$810,"Win"),"")</f>
        <v>0.59770114942528729</v>
      </c>
      <c r="G143">
        <f t="shared" si="25"/>
        <v>-0.19540229885057459</v>
      </c>
      <c r="H143" t="str">
        <f>IFERROR(IF($E143=2,LOOKUP(2,1/(('Match Log'!$A$4:$A$810=119)*('Match Log'!$E$4:$E$810="Loss")),'Match Log'!$D$4:$D$810),"the field"),"")</f>
        <v>Oscar</v>
      </c>
      <c r="I143">
        <f t="shared" si="26"/>
        <v>-0.19552129885057459</v>
      </c>
      <c r="J143">
        <v>119</v>
      </c>
      <c r="K143">
        <f>IF($J143&gt;MAX('Match Log'!$A$4:$A$810),NA(),IFERROR(LOOKUP(2,1/(('Match Log'!$D$4:$D$810=$K$24)*('Match Log'!$A$4:$A$810&lt;=$J143)),'Match Log'!$N$4:$N$810),NA()))</f>
        <v>1125.1080177960646</v>
      </c>
      <c r="L143">
        <f>IF($J143&gt;MAX('Match Log'!$A$4:$A$810),NA(),IFERROR(LOOKUP(2,1/(('Match Log'!$D$4:$D$810=$L$24)*('Match Log'!$A$4:$A$810&lt;=$J143)),'Match Log'!$N$4:$N$810),NA()))</f>
        <v>1044.8691565259944</v>
      </c>
      <c r="M143">
        <f>IF($J143&gt;MAX('Match Log'!$A$4:$A$810),NA(),IFERROR(LOOKUP(2,1/(('Match Log'!$D$4:$D$810=$M$24)*('Match Log'!$A$4:$A$810&lt;=$J143)),'Match Log'!$N$4:$N$810),NA()))</f>
        <v>1017.3466608720325</v>
      </c>
      <c r="N143">
        <f>IF($J143&gt;MAX('Match Log'!$A$4:$A$810),NA(),IFERROR(LOOKUP(2,1/(('Match Log'!$D$4:$D$810=$N$24)*('Match Log'!$A$4:$A$810&lt;=$J143)),'Match Log'!$N$4:$N$810),NA()))</f>
        <v>990.8737469852914</v>
      </c>
      <c r="O143">
        <f>IF($J143&gt;MAX('Match Log'!$A$4:$A$810),NA(),IFERROR(LOOKUP(2,1/(('Match Log'!$D$4:$D$810=$O$24)*('Match Log'!$A$4:$A$810&lt;=$J143)),'Match Log'!$N$4:$N$810),NA()))</f>
        <v>1147.1945550051951</v>
      </c>
      <c r="P143">
        <f>IF($J143&gt;MAX('Match Log'!$A$4:$A$810),NA(),IFERROR(LOOKUP(2,1/(('Match Log'!$D$4:$D$810=$P$24)*('Match Log'!$A$4:$A$810&lt;=$J143)),'Match Log'!$N$4:$N$810),NA()))</f>
        <v>981.38501400126813</v>
      </c>
      <c r="Q143">
        <f>IF($J143&gt;MAX('Match Log'!$A$4:$A$810),NA(),IFERROR(LOOKUP(2,1/(('Match Log'!$D$4:$D$810=$Q$24)*('Match Log'!$A$4:$A$810&lt;=$J143)),'Match Log'!$N$4:$N$810),NA()))</f>
        <v>1099.9035033078371</v>
      </c>
      <c r="R143">
        <f>IF($J143&gt;MAX('Match Log'!$A$4:$A$810),NA(),IFERROR(LOOKUP(2,1/(('Match Log'!$D$4:$D$810=$R$24)*('Match Log'!$A$4:$A$810&lt;=$J143)),'Match Log'!$N$4:$N$810),NA()))</f>
        <v>1069.478840506906</v>
      </c>
      <c r="S143">
        <f>IF($J143&gt;MAX('Match Log'!$A$4:$A$810),NA(),IFERROR(LOOKUP(2,1/(('Match Log'!$D$4:$D$810=$S$24)*('Match Log'!$A$4:$A$810&lt;=$J143)),'Match Log'!$N$4:$N$810),NA()))</f>
        <v>1189.3765078898728</v>
      </c>
      <c r="T143">
        <f>IF($J143&gt;MAX('Match Log'!$A$4:$A$810),NA(),IFERROR(LOOKUP(2,1/(('Match Log'!$D$4:$D$810=$T$24)*('Match Log'!$A$4:$A$810&lt;=$J143)),'Match Log'!$N$4:$N$810),NA()))</f>
        <v>894.20718606929802</v>
      </c>
      <c r="U143">
        <f>IF($J143&gt;MAX('Match Log'!$A$4:$A$810),NA(),IFERROR(LOOKUP(2,1/(('Match Log'!$D$4:$D$810=$U$24)*('Match Log'!$A$4:$A$810&lt;=$J143)),'Match Log'!$N$4:$N$810),NA()))</f>
        <v>1130.2135675597958</v>
      </c>
      <c r="V143">
        <f>IF($J143&gt;MAX('Match Log'!$A$4:$A$810),NA(),IFERROR(LOOKUP(2,1/(('Match Log'!$D$4:$D$810=$V$24)*('Match Log'!$A$4:$A$810&lt;=$J143)),'Match Log'!$N$4:$N$810),NA()))</f>
        <v>1039.5415973556721</v>
      </c>
      <c r="W143">
        <f>IF($J143&gt;MAX('Match Log'!$A$4:$A$810),NA(),IFERROR(LOOKUP(2,1/(('Match Log'!$D$4:$D$810=$W$24)*('Match Log'!$A$4:$A$810&lt;=$J143)),'Match Log'!$N$4:$N$810),NA()))</f>
        <v>1038.5016461247724</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IFERROR(INDEX('Match Log'!$G$4:$G$810,MATCH(120,'Match Log'!$A$4:$A$810,0)),"")</f>
        <v>Shawn</v>
      </c>
      <c r="E144">
        <f>IFERROR(INDEX('Match Log'!$F$4:$F$810,MATCH(120,'Match Log'!$A$4:$A$810,0)),"")</f>
        <v>2</v>
      </c>
      <c r="F144">
        <f>IFERROR(SUMIFS('Match Log'!$I$4:$I$810,'Match Log'!$A$4:$A$810,120,'Match Log'!$E$4:$E$810,"Win"),"")</f>
        <v>0.625</v>
      </c>
      <c r="G144">
        <f t="shared" si="25"/>
        <v>-0.25</v>
      </c>
      <c r="H144" t="str">
        <f>IFERROR(IF($E144=2,LOOKUP(2,1/(('Match Log'!$A$4:$A$810=120)*('Match Log'!$E$4:$E$810="Loss")),'Match Log'!$D$4:$D$810),"the field"),"")</f>
        <v>Oscar</v>
      </c>
      <c r="I144">
        <f t="shared" si="26"/>
        <v>-0.25012000000000001</v>
      </c>
      <c r="J144">
        <v>120</v>
      </c>
      <c r="K144">
        <f>IF($J144&gt;MAX('Match Log'!$A$4:$A$810),NA(),IFERROR(LOOKUP(2,1/(('Match Log'!$D$4:$D$810=$K$24)*('Match Log'!$A$4:$A$810&lt;=$J144)),'Match Log'!$N$4:$N$810),NA()))</f>
        <v>1125.1080177960646</v>
      </c>
      <c r="L144">
        <f>IF($J144&gt;MAX('Match Log'!$A$4:$A$810),NA(),IFERROR(LOOKUP(2,1/(('Match Log'!$D$4:$D$810=$L$24)*('Match Log'!$A$4:$A$810&lt;=$J144)),'Match Log'!$N$4:$N$810),NA()))</f>
        <v>1044.8691565259944</v>
      </c>
      <c r="M144">
        <f>IF($J144&gt;MAX('Match Log'!$A$4:$A$810),NA(),IFERROR(LOOKUP(2,1/(('Match Log'!$D$4:$D$810=$M$24)*('Match Log'!$A$4:$A$810&lt;=$J144)),'Match Log'!$N$4:$N$810),NA()))</f>
        <v>1017.3466608720325</v>
      </c>
      <c r="N144">
        <f>IF($J144&gt;MAX('Match Log'!$A$4:$A$810),NA(),IFERROR(LOOKUP(2,1/(('Match Log'!$D$4:$D$810=$N$24)*('Match Log'!$A$4:$A$810&lt;=$J144)),'Match Log'!$N$4:$N$810),NA()))</f>
        <v>990.8737469852914</v>
      </c>
      <c r="O144">
        <f>IF($J144&gt;MAX('Match Log'!$A$4:$A$810),NA(),IFERROR(LOOKUP(2,1/(('Match Log'!$D$4:$D$810=$O$24)*('Match Log'!$A$4:$A$810&lt;=$J144)),'Match Log'!$N$4:$N$810),NA()))</f>
        <v>1147.1945550051951</v>
      </c>
      <c r="P144">
        <f>IF($J144&gt;MAX('Match Log'!$A$4:$A$810),NA(),IFERROR(LOOKUP(2,1/(('Match Log'!$D$4:$D$810=$P$24)*('Match Log'!$A$4:$A$810&lt;=$J144)),'Match Log'!$N$4:$N$810),NA()))</f>
        <v>1003.4940022422369</v>
      </c>
      <c r="Q144">
        <f>IF($J144&gt;MAX('Match Log'!$A$4:$A$810),NA(),IFERROR(LOOKUP(2,1/(('Match Log'!$D$4:$D$810=$Q$24)*('Match Log'!$A$4:$A$810&lt;=$J144)),'Match Log'!$N$4:$N$810),NA()))</f>
        <v>1099.9035033078371</v>
      </c>
      <c r="R144">
        <f>IF($J144&gt;MAX('Match Log'!$A$4:$A$810),NA(),IFERROR(LOOKUP(2,1/(('Match Log'!$D$4:$D$810=$R$24)*('Match Log'!$A$4:$A$810&lt;=$J144)),'Match Log'!$N$4:$N$810),NA()))</f>
        <v>1069.478840506906</v>
      </c>
      <c r="S144">
        <f>IF($J144&gt;MAX('Match Log'!$A$4:$A$810),NA(),IFERROR(LOOKUP(2,1/(('Match Log'!$D$4:$D$810=$S$24)*('Match Log'!$A$4:$A$810&lt;=$J144)),'Match Log'!$N$4:$N$810),NA()))</f>
        <v>1189.3765078898728</v>
      </c>
      <c r="T144">
        <f>IF($J144&gt;MAX('Match Log'!$A$4:$A$810),NA(),IFERROR(LOOKUP(2,1/(('Match Log'!$D$4:$D$810=$T$24)*('Match Log'!$A$4:$A$810&lt;=$J144)),'Match Log'!$N$4:$N$810),NA()))</f>
        <v>894.20718606929802</v>
      </c>
      <c r="U144">
        <f>IF($J144&gt;MAX('Match Log'!$A$4:$A$810),NA(),IFERROR(LOOKUP(2,1/(('Match Log'!$D$4:$D$810=$U$24)*('Match Log'!$A$4:$A$810&lt;=$J144)),'Match Log'!$N$4:$N$810),NA()))</f>
        <v>1108.1045793188271</v>
      </c>
      <c r="V144">
        <f>IF($J144&gt;MAX('Match Log'!$A$4:$A$810),NA(),IFERROR(LOOKUP(2,1/(('Match Log'!$D$4:$D$810=$V$24)*('Match Log'!$A$4:$A$810&lt;=$J144)),'Match Log'!$N$4:$N$810),NA()))</f>
        <v>1039.5415973556721</v>
      </c>
      <c r="W144">
        <f>IF($J144&gt;MAX('Match Log'!$A$4:$A$810),NA(),IFERROR(LOOKUP(2,1/(('Match Log'!$D$4:$D$810=$W$24)*('Match Log'!$A$4:$A$810&lt;=$J144)),'Match Log'!$N$4:$N$810),NA()))</f>
        <v>1038.5016461247724</v>
      </c>
      <c r="X144" t="e">
        <f>IF($J144&gt;MAX('Match Log'!$A$4:$A$810),NA(),IFERROR(LOOKUP(2,1/(('Match Log'!$D$4:$D$810=$X$24)*('Match Log'!$A$4:$A$810&lt;=$J144)),'Match Log'!$N$4:$N$810),NA()))</f>
        <v>#N/A</v>
      </c>
      <c r="Y144">
        <f t="shared" ca="1" si="27"/>
        <v>-0.25012000000000001</v>
      </c>
    </row>
    <row r="145">
      <c r="A145">
        <v>121</v>
      </c>
      <c r="B145">
        <f>IFERROR(INDEX('Match Log'!$B$4:$B$810,MATCH(121,'Match Log'!$A$4:$A$810,0)),"")</f>
        <v>0</v>
      </c>
      <c r="C145" t="str">
        <f>IFERROR(INDEX('Match Log'!$C$4:$C$810,MATCH(121,'Match Log'!$A$4:$A$810,0)),"")</f>
      </c>
      <c r="D145" t="str">
        <f>IFERROR(INDEX('Match Log'!$G$4:$G$810,MATCH(121,'Match Log'!$A$4:$A$810,0)),"")</f>
      </c>
      <c r="E145">
        <f>IFERROR(INDEX('Match Log'!$F$4:$F$810,MATCH(121,'Match Log'!$A$4:$A$810,0)),"")</f>
        <v>0</v>
      </c>
      <c r="F145">
        <f>IFERROR(SUMIFS('Match Log'!$I$4:$I$810,'Match Log'!$A$4:$A$810,121,'Match Log'!$E$4:$E$810,"Win"),"")</f>
        <v>0</v>
      </c>
      <c r="G145">
        <f>IF($D145="","",1-$F145*$E145)</f>
        <v>0</v>
      </c>
      <c r="H145" t="str">
        <f>IFERROR(IF($E145=2,LOOKUP(2,1/(('Match Log'!$A$4:$A$810=121)*('Match Log'!$E$4:$E$810="Loss")),'Match Log'!$D$4:$D$810),"the field"),"")</f>
      </c>
      <c r="I145">
        <f>IF($G145="","",$G145-$A145/1000000)</f>
        <v>0</v>
      </c>
      <c r="J145">
        <v>121</v>
      </c>
      <c r="K145">
        <f>IF($J145&gt;MAX('Match Log'!$A$4:$A$810),NA(),IFERROR(LOOKUP(2,1/(('Match Log'!$D$4:$D$810=$K$24)*('Match Log'!$A$4:$A$810&lt;=$J145)),'Match Log'!$N$4:$N$810),NA()))</f>
        <v>0</v>
      </c>
      <c r="L145">
        <f>IF($J145&gt;MAX('Match Log'!$A$4:$A$810),NA(),IFERROR(LOOKUP(2,1/(('Match Log'!$D$4:$D$810=$L$24)*('Match Log'!$A$4:$A$810&lt;=$J145)),'Match Log'!$N$4:$N$810),NA()))</f>
        <v>0</v>
      </c>
      <c r="M145">
        <f>IF($J145&gt;MAX('Match Log'!$A$4:$A$810),NA(),IFERROR(LOOKUP(2,1/(('Match Log'!$D$4:$D$810=$M$24)*('Match Log'!$A$4:$A$810&lt;=$J145)),'Match Log'!$N$4:$N$810),NA()))</f>
        <v>0</v>
      </c>
      <c r="N145">
        <f>IF($J145&gt;MAX('Match Log'!$A$4:$A$810),NA(),IFERROR(LOOKUP(2,1/(('Match Log'!$D$4:$D$810=$N$24)*('Match Log'!$A$4:$A$810&lt;=$J145)),'Match Log'!$N$4:$N$810),NA()))</f>
        <v>0</v>
      </c>
      <c r="O145">
        <f>IF($J145&gt;MAX('Match Log'!$A$4:$A$810),NA(),IFERROR(LOOKUP(2,1/(('Match Log'!$D$4:$D$810=$O$24)*('Match Log'!$A$4:$A$810&lt;=$J145)),'Match Log'!$N$4:$N$810),NA()))</f>
        <v>0</v>
      </c>
      <c r="P145">
        <f>IF($J145&gt;MAX('Match Log'!$A$4:$A$810),NA(),IFERROR(LOOKUP(2,1/(('Match Log'!$D$4:$D$810=$P$24)*('Match Log'!$A$4:$A$810&lt;=$J145)),'Match Log'!$N$4:$N$810),NA()))</f>
        <v>0</v>
      </c>
      <c r="Q145">
        <f>IF($J145&gt;MAX('Match Log'!$A$4:$A$810),NA(),IFERROR(LOOKUP(2,1/(('Match Log'!$D$4:$D$810=$Q$24)*('Match Log'!$A$4:$A$810&lt;=$J145)),'Match Log'!$N$4:$N$810),NA()))</f>
        <v>0</v>
      </c>
      <c r="R145">
        <f>IF($J145&gt;MAX('Match Log'!$A$4:$A$810),NA(),IFERROR(LOOKUP(2,1/(('Match Log'!$D$4:$D$810=$R$24)*('Match Log'!$A$4:$A$810&lt;=$J145)),'Match Log'!$N$4:$N$810),NA()))</f>
        <v>0</v>
      </c>
      <c r="S145">
        <f>IF($J145&gt;MAX('Match Log'!$A$4:$A$810),NA(),IFERROR(LOOKUP(2,1/(('Match Log'!$D$4:$D$810=$S$24)*('Match Log'!$A$4:$A$810&lt;=$J145)),'Match Log'!$N$4:$N$810),NA()))</f>
        <v>0</v>
      </c>
      <c r="T145">
        <f>IF($J145&gt;MAX('Match Log'!$A$4:$A$810),NA(),IFERROR(LOOKUP(2,1/(('Match Log'!$D$4:$D$810=$T$24)*('Match Log'!$A$4:$A$810&lt;=$J145)),'Match Log'!$N$4:$N$810),NA()))</f>
        <v>0</v>
      </c>
      <c r="U145">
        <f>IF($J145&gt;MAX('Match Log'!$A$4:$A$810),NA(),IFERROR(LOOKUP(2,1/(('Match Log'!$D$4:$D$810=$U$24)*('Match Log'!$A$4:$A$810&lt;=$J145)),'Match Log'!$N$4:$N$810),NA()))</f>
        <v>0</v>
      </c>
      <c r="V145">
        <f>IF($J145&gt;MAX('Match Log'!$A$4:$A$810),NA(),IFERROR(LOOKUP(2,1/(('Match Log'!$D$4:$D$810=$V$24)*('Match Log'!$A$4:$A$810&lt;=$J145)),'Match Log'!$N$4:$N$810),NA()))</f>
        <v>0</v>
      </c>
      <c r="W145">
        <f>IF($J145&gt;MAX('Match Log'!$A$4:$A$810),NA(),IFERROR(LOOKUP(2,1/(('Match Log'!$D$4:$D$810=$W$24)*('Match Log'!$A$4:$A$810&lt;=$J145)),'Match Log'!$N$4:$N$810),NA()))</f>
        <v>0</v>
      </c>
      <c r="X145">
        <f>IF($J145&gt;MAX('Match Log'!$A$4:$A$810),NA(),IFERROR(LOOKUP(2,1/(('Match Log'!$D$4:$D$810=$X$24)*('Match Log'!$A$4:$A$810&lt;=$J145)),'Match Log'!$N$4:$N$810),NA()))</f>
        <v>0</v>
      </c>
      <c r="Y145" t="str">
        <f>IF(AND($B145&lt;&gt;"",$B145&gt;=$B$5,$I145&lt;&gt;""),$I145,"")</f>
      </c>
    </row>
    <row r="146">
      <c r="A146">
        <v>122</v>
      </c>
      <c r="B146">
        <f>IFERROR(INDEX('Match Log'!$B$4:$B$810,MATCH(122,'Match Log'!$A$4:$A$810,0)),"")</f>
        <v>0</v>
      </c>
      <c r="C146" t="str">
        <f>IFERROR(INDEX('Match Log'!$C$4:$C$810,MATCH(122,'Match Log'!$A$4:$A$810,0)),"")</f>
      </c>
      <c r="D146" t="str">
        <f>IFERROR(INDEX('Match Log'!$G$4:$G$810,MATCH(122,'Match Log'!$A$4:$A$810,0)),"")</f>
      </c>
      <c r="E146">
        <f>IFERROR(INDEX('Match Log'!$F$4:$F$810,MATCH(122,'Match Log'!$A$4:$A$810,0)),"")</f>
        <v>0</v>
      </c>
      <c r="F146">
        <f>IFERROR(SUMIFS('Match Log'!$I$4:$I$810,'Match Log'!$A$4:$A$810,122,'Match Log'!$E$4:$E$810,"Win"),"")</f>
        <v>0</v>
      </c>
      <c r="G146">
        <f>IF($D146="","",1-$F146*$E146)</f>
        <v>0</v>
      </c>
      <c r="H146" t="str">
        <f>IFERROR(IF($E146=2,LOOKUP(2,1/(('Match Log'!$A$4:$A$810=122)*('Match Log'!$E$4:$E$810="Loss")),'Match Log'!$D$4:$D$810),"the field"),"")</f>
      </c>
      <c r="I146">
        <f>IF($G146="","",$G146-$A146/1000000)</f>
        <v>0</v>
      </c>
      <c r="J146">
        <v>122</v>
      </c>
      <c r="K146">
        <f>IF($J146&gt;MAX('Match Log'!$A$4:$A$810),NA(),IFERROR(LOOKUP(2,1/(('Match Log'!$D$4:$D$810=$K$24)*('Match Log'!$A$4:$A$810&lt;=$J146)),'Match Log'!$N$4:$N$810),NA()))</f>
        <v>0</v>
      </c>
      <c r="L146">
        <f>IF($J146&gt;MAX('Match Log'!$A$4:$A$810),NA(),IFERROR(LOOKUP(2,1/(('Match Log'!$D$4:$D$810=$L$24)*('Match Log'!$A$4:$A$810&lt;=$J146)),'Match Log'!$N$4:$N$810),NA()))</f>
        <v>0</v>
      </c>
      <c r="M146">
        <f>IF($J146&gt;MAX('Match Log'!$A$4:$A$810),NA(),IFERROR(LOOKUP(2,1/(('Match Log'!$D$4:$D$810=$M$24)*('Match Log'!$A$4:$A$810&lt;=$J146)),'Match Log'!$N$4:$N$810),NA()))</f>
        <v>0</v>
      </c>
      <c r="N146">
        <f>IF($J146&gt;MAX('Match Log'!$A$4:$A$810),NA(),IFERROR(LOOKUP(2,1/(('Match Log'!$D$4:$D$810=$N$24)*('Match Log'!$A$4:$A$810&lt;=$J146)),'Match Log'!$N$4:$N$810),NA()))</f>
        <v>0</v>
      </c>
      <c r="O146">
        <f>IF($J146&gt;MAX('Match Log'!$A$4:$A$810),NA(),IFERROR(LOOKUP(2,1/(('Match Log'!$D$4:$D$810=$O$24)*('Match Log'!$A$4:$A$810&lt;=$J146)),'Match Log'!$N$4:$N$810),NA()))</f>
        <v>0</v>
      </c>
      <c r="P146">
        <f>IF($J146&gt;MAX('Match Log'!$A$4:$A$810),NA(),IFERROR(LOOKUP(2,1/(('Match Log'!$D$4:$D$810=$P$24)*('Match Log'!$A$4:$A$810&lt;=$J146)),'Match Log'!$N$4:$N$810),NA()))</f>
        <v>0</v>
      </c>
      <c r="Q146">
        <f>IF($J146&gt;MAX('Match Log'!$A$4:$A$810),NA(),IFERROR(LOOKUP(2,1/(('Match Log'!$D$4:$D$810=$Q$24)*('Match Log'!$A$4:$A$810&lt;=$J146)),'Match Log'!$N$4:$N$810),NA()))</f>
        <v>0</v>
      </c>
      <c r="R146">
        <f>IF($J146&gt;MAX('Match Log'!$A$4:$A$810),NA(),IFERROR(LOOKUP(2,1/(('Match Log'!$D$4:$D$810=$R$24)*('Match Log'!$A$4:$A$810&lt;=$J146)),'Match Log'!$N$4:$N$810),NA()))</f>
        <v>0</v>
      </c>
      <c r="S146">
        <f>IF($J146&gt;MAX('Match Log'!$A$4:$A$810),NA(),IFERROR(LOOKUP(2,1/(('Match Log'!$D$4:$D$810=$S$24)*('Match Log'!$A$4:$A$810&lt;=$J146)),'Match Log'!$N$4:$N$810),NA()))</f>
        <v>0</v>
      </c>
      <c r="T146">
        <f>IF($J146&gt;MAX('Match Log'!$A$4:$A$810),NA(),IFERROR(LOOKUP(2,1/(('Match Log'!$D$4:$D$810=$T$24)*('Match Log'!$A$4:$A$810&lt;=$J146)),'Match Log'!$N$4:$N$810),NA()))</f>
        <v>0</v>
      </c>
      <c r="U146">
        <f>IF($J146&gt;MAX('Match Log'!$A$4:$A$810),NA(),IFERROR(LOOKUP(2,1/(('Match Log'!$D$4:$D$810=$U$24)*('Match Log'!$A$4:$A$810&lt;=$J146)),'Match Log'!$N$4:$N$810),NA()))</f>
        <v>0</v>
      </c>
      <c r="V146">
        <f>IF($J146&gt;MAX('Match Log'!$A$4:$A$810),NA(),IFERROR(LOOKUP(2,1/(('Match Log'!$D$4:$D$810=$V$24)*('Match Log'!$A$4:$A$810&lt;=$J146)),'Match Log'!$N$4:$N$810),NA()))</f>
        <v>0</v>
      </c>
      <c r="W146">
        <f>IF($J146&gt;MAX('Match Log'!$A$4:$A$810),NA(),IFERROR(LOOKUP(2,1/(('Match Log'!$D$4:$D$810=$W$24)*('Match Log'!$A$4:$A$810&lt;=$J146)),'Match Log'!$N$4:$N$810),NA()))</f>
        <v>0</v>
      </c>
      <c r="X146">
        <f>IF($J146&gt;MAX('Match Log'!$A$4:$A$810),NA(),IFERROR(LOOKUP(2,1/(('Match Log'!$D$4:$D$810=$X$24)*('Match Log'!$A$4:$A$810&lt;=$J146)),'Match Log'!$N$4:$N$810),NA()))</f>
        <v>0</v>
      </c>
      <c r="Y146" t="str">
        <f>IF(AND($B146&lt;&gt;"",$B146&gt;=$B$5,$I146&lt;&gt;""),$I146,"")</f>
      </c>
    </row>
    <row r="147">
      <c r="A147">
        <v>123</v>
      </c>
      <c r="B147">
        <f>IFERROR(INDEX('Match Log'!$B$4:$B$810,MATCH(123,'Match Log'!$A$4:$A$810,0)),"")</f>
        <v>0</v>
      </c>
      <c r="C147" t="str">
        <f>IFERROR(INDEX('Match Log'!$C$4:$C$810,MATCH(123,'Match Log'!$A$4:$A$810,0)),"")</f>
      </c>
      <c r="D147" t="str">
        <f>IFERROR(INDEX('Match Log'!$G$4:$G$810,MATCH(123,'Match Log'!$A$4:$A$810,0)),"")</f>
      </c>
      <c r="E147">
        <f>IFERROR(INDEX('Match Log'!$F$4:$F$810,MATCH(123,'Match Log'!$A$4:$A$810,0)),"")</f>
        <v>0</v>
      </c>
      <c r="F147">
        <f>IFERROR(SUMIFS('Match Log'!$I$4:$I$810,'Match Log'!$A$4:$A$810,123,'Match Log'!$E$4:$E$810,"Win"),"")</f>
        <v>0</v>
      </c>
      <c r="G147">
        <f>IF($D147="","",1-$F147*$E147)</f>
        <v>0</v>
      </c>
      <c r="H147" t="str">
        <f>IFERROR(IF($E147=2,LOOKUP(2,1/(('Match Log'!$A$4:$A$810=123)*('Match Log'!$E$4:$E$810="Loss")),'Match Log'!$D$4:$D$810),"the field"),"")</f>
      </c>
      <c r="I147">
        <f>IF($G147="","",$G147-$A147/1000000)</f>
        <v>0</v>
      </c>
      <c r="J147">
        <v>123</v>
      </c>
      <c r="K147">
        <f>IF($J147&gt;MAX('Match Log'!$A$4:$A$810),NA(),IFERROR(LOOKUP(2,1/(('Match Log'!$D$4:$D$810=$K$24)*('Match Log'!$A$4:$A$810&lt;=$J147)),'Match Log'!$N$4:$N$810),NA()))</f>
        <v>0</v>
      </c>
      <c r="L147">
        <f>IF($J147&gt;MAX('Match Log'!$A$4:$A$810),NA(),IFERROR(LOOKUP(2,1/(('Match Log'!$D$4:$D$810=$L$24)*('Match Log'!$A$4:$A$810&lt;=$J147)),'Match Log'!$N$4:$N$810),NA()))</f>
        <v>0</v>
      </c>
      <c r="M147">
        <f>IF($J147&gt;MAX('Match Log'!$A$4:$A$810),NA(),IFERROR(LOOKUP(2,1/(('Match Log'!$D$4:$D$810=$M$24)*('Match Log'!$A$4:$A$810&lt;=$J147)),'Match Log'!$N$4:$N$810),NA()))</f>
        <v>0</v>
      </c>
      <c r="N147">
        <f>IF($J147&gt;MAX('Match Log'!$A$4:$A$810),NA(),IFERROR(LOOKUP(2,1/(('Match Log'!$D$4:$D$810=$N$24)*('Match Log'!$A$4:$A$810&lt;=$J147)),'Match Log'!$N$4:$N$810),NA()))</f>
        <v>0</v>
      </c>
      <c r="O147">
        <f>IF($J147&gt;MAX('Match Log'!$A$4:$A$810),NA(),IFERROR(LOOKUP(2,1/(('Match Log'!$D$4:$D$810=$O$24)*('Match Log'!$A$4:$A$810&lt;=$J147)),'Match Log'!$N$4:$N$810),NA()))</f>
        <v>0</v>
      </c>
      <c r="P147">
        <f>IF($J147&gt;MAX('Match Log'!$A$4:$A$810),NA(),IFERROR(LOOKUP(2,1/(('Match Log'!$D$4:$D$810=$P$24)*('Match Log'!$A$4:$A$810&lt;=$J147)),'Match Log'!$N$4:$N$810),NA()))</f>
        <v>0</v>
      </c>
      <c r="Q147">
        <f>IF($J147&gt;MAX('Match Log'!$A$4:$A$810),NA(),IFERROR(LOOKUP(2,1/(('Match Log'!$D$4:$D$810=$Q$24)*('Match Log'!$A$4:$A$810&lt;=$J147)),'Match Log'!$N$4:$N$810),NA()))</f>
        <v>0</v>
      </c>
      <c r="R147">
        <f>IF($J147&gt;MAX('Match Log'!$A$4:$A$810),NA(),IFERROR(LOOKUP(2,1/(('Match Log'!$D$4:$D$810=$R$24)*('Match Log'!$A$4:$A$810&lt;=$J147)),'Match Log'!$N$4:$N$810),NA()))</f>
        <v>0</v>
      </c>
      <c r="S147">
        <f>IF($J147&gt;MAX('Match Log'!$A$4:$A$810),NA(),IFERROR(LOOKUP(2,1/(('Match Log'!$D$4:$D$810=$S$24)*('Match Log'!$A$4:$A$810&lt;=$J147)),'Match Log'!$N$4:$N$810),NA()))</f>
        <v>0</v>
      </c>
      <c r="T147">
        <f>IF($J147&gt;MAX('Match Log'!$A$4:$A$810),NA(),IFERROR(LOOKUP(2,1/(('Match Log'!$D$4:$D$810=$T$24)*('Match Log'!$A$4:$A$810&lt;=$J147)),'Match Log'!$N$4:$N$810),NA()))</f>
        <v>0</v>
      </c>
      <c r="U147">
        <f>IF($J147&gt;MAX('Match Log'!$A$4:$A$810),NA(),IFERROR(LOOKUP(2,1/(('Match Log'!$D$4:$D$810=$U$24)*('Match Log'!$A$4:$A$810&lt;=$J147)),'Match Log'!$N$4:$N$810),NA()))</f>
        <v>0</v>
      </c>
      <c r="V147">
        <f>IF($J147&gt;MAX('Match Log'!$A$4:$A$810),NA(),IFERROR(LOOKUP(2,1/(('Match Log'!$D$4:$D$810=$V$24)*('Match Log'!$A$4:$A$810&lt;=$J147)),'Match Log'!$N$4:$N$810),NA()))</f>
        <v>0</v>
      </c>
      <c r="W147">
        <f>IF($J147&gt;MAX('Match Log'!$A$4:$A$810),NA(),IFERROR(LOOKUP(2,1/(('Match Log'!$D$4:$D$810=$W$24)*('Match Log'!$A$4:$A$810&lt;=$J147)),'Match Log'!$N$4:$N$810),NA()))</f>
        <v>0</v>
      </c>
      <c r="X147">
        <f>IF($J147&gt;MAX('Match Log'!$A$4:$A$810),NA(),IFERROR(LOOKUP(2,1/(('Match Log'!$D$4:$D$810=$X$24)*('Match Log'!$A$4:$A$810&lt;=$J147)),'Match Log'!$N$4:$N$810),NA()))</f>
        <v>0</v>
      </c>
      <c r="Y147" t="str">
        <f>IF(AND($B147&lt;&gt;"",$B147&gt;=$B$5,$I147&lt;&gt;""),$I147,"")</f>
      </c>
    </row>
    <row r="148">
      <c r="A148">
        <v>124</v>
      </c>
      <c r="B148">
        <f>IFERROR(INDEX('Match Log'!$B$4:$B$810,MATCH(124,'Match Log'!$A$4:$A$810,0)),"")</f>
        <v>0</v>
      </c>
      <c r="C148" t="str">
        <f>IFERROR(INDEX('Match Log'!$C$4:$C$810,MATCH(124,'Match Log'!$A$4:$A$810,0)),"")</f>
      </c>
      <c r="D148" t="str">
        <f>IFERROR(INDEX('Match Log'!$G$4:$G$810,MATCH(124,'Match Log'!$A$4:$A$810,0)),"")</f>
      </c>
      <c r="E148">
        <f>IFERROR(INDEX('Match Log'!$F$4:$F$810,MATCH(124,'Match Log'!$A$4:$A$810,0)),"")</f>
        <v>0</v>
      </c>
      <c r="F148">
        <f>IFERROR(SUMIFS('Match Log'!$I$4:$I$810,'Match Log'!$A$4:$A$810,124,'Match Log'!$E$4:$E$810,"Win"),"")</f>
        <v>0</v>
      </c>
      <c r="G148">
        <f>IF($D148="","",1-$F148*$E148)</f>
        <v>0</v>
      </c>
      <c r="H148" t="str">
        <f>IFERROR(IF($E148=2,LOOKUP(2,1/(('Match Log'!$A$4:$A$810=124)*('Match Log'!$E$4:$E$810="Loss")),'Match Log'!$D$4:$D$810),"the field"),"")</f>
      </c>
      <c r="I148">
        <f>IF($G148="","",$G148-$A148/1000000)</f>
        <v>0</v>
      </c>
      <c r="J148">
        <v>124</v>
      </c>
      <c r="K148">
        <f>IF($J148&gt;MAX('Match Log'!$A$4:$A$810),NA(),IFERROR(LOOKUP(2,1/(('Match Log'!$D$4:$D$810=$K$24)*('Match Log'!$A$4:$A$810&lt;=$J148)),'Match Log'!$N$4:$N$810),NA()))</f>
        <v>0</v>
      </c>
      <c r="L148">
        <f>IF($J148&gt;MAX('Match Log'!$A$4:$A$810),NA(),IFERROR(LOOKUP(2,1/(('Match Log'!$D$4:$D$810=$L$24)*('Match Log'!$A$4:$A$810&lt;=$J148)),'Match Log'!$N$4:$N$810),NA()))</f>
        <v>0</v>
      </c>
      <c r="M148">
        <f>IF($J148&gt;MAX('Match Log'!$A$4:$A$810),NA(),IFERROR(LOOKUP(2,1/(('Match Log'!$D$4:$D$810=$M$24)*('Match Log'!$A$4:$A$810&lt;=$J148)),'Match Log'!$N$4:$N$810),NA()))</f>
        <v>0</v>
      </c>
      <c r="N148">
        <f>IF($J148&gt;MAX('Match Log'!$A$4:$A$810),NA(),IFERROR(LOOKUP(2,1/(('Match Log'!$D$4:$D$810=$N$24)*('Match Log'!$A$4:$A$810&lt;=$J148)),'Match Log'!$N$4:$N$810),NA()))</f>
        <v>0</v>
      </c>
      <c r="O148">
        <f>IF($J148&gt;MAX('Match Log'!$A$4:$A$810),NA(),IFERROR(LOOKUP(2,1/(('Match Log'!$D$4:$D$810=$O$24)*('Match Log'!$A$4:$A$810&lt;=$J148)),'Match Log'!$N$4:$N$810),NA()))</f>
        <v>0</v>
      </c>
      <c r="P148">
        <f>IF($J148&gt;MAX('Match Log'!$A$4:$A$810),NA(),IFERROR(LOOKUP(2,1/(('Match Log'!$D$4:$D$810=$P$24)*('Match Log'!$A$4:$A$810&lt;=$J148)),'Match Log'!$N$4:$N$810),NA()))</f>
        <v>0</v>
      </c>
      <c r="Q148">
        <f>IF($J148&gt;MAX('Match Log'!$A$4:$A$810),NA(),IFERROR(LOOKUP(2,1/(('Match Log'!$D$4:$D$810=$Q$24)*('Match Log'!$A$4:$A$810&lt;=$J148)),'Match Log'!$N$4:$N$810),NA()))</f>
        <v>0</v>
      </c>
      <c r="R148">
        <f>IF($J148&gt;MAX('Match Log'!$A$4:$A$810),NA(),IFERROR(LOOKUP(2,1/(('Match Log'!$D$4:$D$810=$R$24)*('Match Log'!$A$4:$A$810&lt;=$J148)),'Match Log'!$N$4:$N$810),NA()))</f>
        <v>0</v>
      </c>
      <c r="S148">
        <f>IF($J148&gt;MAX('Match Log'!$A$4:$A$810),NA(),IFERROR(LOOKUP(2,1/(('Match Log'!$D$4:$D$810=$S$24)*('Match Log'!$A$4:$A$810&lt;=$J148)),'Match Log'!$N$4:$N$810),NA()))</f>
        <v>0</v>
      </c>
      <c r="T148">
        <f>IF($J148&gt;MAX('Match Log'!$A$4:$A$810),NA(),IFERROR(LOOKUP(2,1/(('Match Log'!$D$4:$D$810=$T$24)*('Match Log'!$A$4:$A$810&lt;=$J148)),'Match Log'!$N$4:$N$810),NA()))</f>
        <v>0</v>
      </c>
      <c r="U148">
        <f>IF($J148&gt;MAX('Match Log'!$A$4:$A$810),NA(),IFERROR(LOOKUP(2,1/(('Match Log'!$D$4:$D$810=$U$24)*('Match Log'!$A$4:$A$810&lt;=$J148)),'Match Log'!$N$4:$N$810),NA()))</f>
        <v>0</v>
      </c>
      <c r="V148">
        <f>IF($J148&gt;MAX('Match Log'!$A$4:$A$810),NA(),IFERROR(LOOKUP(2,1/(('Match Log'!$D$4:$D$810=$V$24)*('Match Log'!$A$4:$A$810&lt;=$J148)),'Match Log'!$N$4:$N$810),NA()))</f>
        <v>0</v>
      </c>
      <c r="W148">
        <f>IF($J148&gt;MAX('Match Log'!$A$4:$A$810),NA(),IFERROR(LOOKUP(2,1/(('Match Log'!$D$4:$D$810=$W$24)*('Match Log'!$A$4:$A$810&lt;=$J148)),'Match Log'!$N$4:$N$810),NA()))</f>
        <v>0</v>
      </c>
      <c r="X148">
        <f>IF($J148&gt;MAX('Match Log'!$A$4:$A$810),NA(),IFERROR(LOOKUP(2,1/(('Match Log'!$D$4:$D$810=$X$24)*('Match Log'!$A$4:$A$810&lt;=$J148)),'Match Log'!$N$4:$N$810),NA()))</f>
        <v>0</v>
      </c>
      <c r="Y148" t="str">
        <f>IF(AND($B148&lt;&gt;"",$B148&gt;=$B$5,$I148&lt;&gt;""),$I148,"")</f>
      </c>
    </row>
    <row r="149">
      <c r="A149">
        <v>125</v>
      </c>
      <c r="B149">
        <f>IFERROR(INDEX('Match Log'!$B$4:$B$810,MATCH(125,'Match Log'!$A$4:$A$810,0)),"")</f>
        <v>0</v>
      </c>
      <c r="C149" t="str">
        <f>IFERROR(INDEX('Match Log'!$C$4:$C$810,MATCH(125,'Match Log'!$A$4:$A$810,0)),"")</f>
      </c>
      <c r="D149" t="str">
        <f>IFERROR(INDEX('Match Log'!$G$4:$G$810,MATCH(125,'Match Log'!$A$4:$A$810,0)),"")</f>
      </c>
      <c r="E149">
        <f>IFERROR(INDEX('Match Log'!$F$4:$F$810,MATCH(125,'Match Log'!$A$4:$A$810,0)),"")</f>
        <v>0</v>
      </c>
      <c r="F149">
        <f>IFERROR(SUMIFS('Match Log'!$I$4:$I$810,'Match Log'!$A$4:$A$810,125,'Match Log'!$E$4:$E$810,"Win"),"")</f>
        <v>0</v>
      </c>
      <c r="G149">
        <f>IF($D149="","",1-$F149*$E149)</f>
        <v>0</v>
      </c>
      <c r="H149" t="str">
        <f>IFERROR(IF($E149=2,LOOKUP(2,1/(('Match Log'!$A$4:$A$810=125)*('Match Log'!$E$4:$E$810="Loss")),'Match Log'!$D$4:$D$810),"the field"),"")</f>
      </c>
      <c r="I149">
        <f>IF($G149="","",$G149-$A149/1000000)</f>
        <v>0</v>
      </c>
      <c r="J149">
        <v>125</v>
      </c>
      <c r="K149">
        <f>IF($J149&gt;MAX('Match Log'!$A$4:$A$810),NA(),IFERROR(LOOKUP(2,1/(('Match Log'!$D$4:$D$810=$K$24)*('Match Log'!$A$4:$A$810&lt;=$J149)),'Match Log'!$N$4:$N$810),NA()))</f>
        <v>0</v>
      </c>
      <c r="L149">
        <f>IF($J149&gt;MAX('Match Log'!$A$4:$A$810),NA(),IFERROR(LOOKUP(2,1/(('Match Log'!$D$4:$D$810=$L$24)*('Match Log'!$A$4:$A$810&lt;=$J149)),'Match Log'!$N$4:$N$810),NA()))</f>
        <v>0</v>
      </c>
      <c r="M149">
        <f>IF($J149&gt;MAX('Match Log'!$A$4:$A$810),NA(),IFERROR(LOOKUP(2,1/(('Match Log'!$D$4:$D$810=$M$24)*('Match Log'!$A$4:$A$810&lt;=$J149)),'Match Log'!$N$4:$N$810),NA()))</f>
        <v>0</v>
      </c>
      <c r="N149">
        <f>IF($J149&gt;MAX('Match Log'!$A$4:$A$810),NA(),IFERROR(LOOKUP(2,1/(('Match Log'!$D$4:$D$810=$N$24)*('Match Log'!$A$4:$A$810&lt;=$J149)),'Match Log'!$N$4:$N$810),NA()))</f>
        <v>0</v>
      </c>
      <c r="O149">
        <f>IF($J149&gt;MAX('Match Log'!$A$4:$A$810),NA(),IFERROR(LOOKUP(2,1/(('Match Log'!$D$4:$D$810=$O$24)*('Match Log'!$A$4:$A$810&lt;=$J149)),'Match Log'!$N$4:$N$810),NA()))</f>
        <v>0</v>
      </c>
      <c r="P149">
        <f>IF($J149&gt;MAX('Match Log'!$A$4:$A$810),NA(),IFERROR(LOOKUP(2,1/(('Match Log'!$D$4:$D$810=$P$24)*('Match Log'!$A$4:$A$810&lt;=$J149)),'Match Log'!$N$4:$N$810),NA()))</f>
        <v>0</v>
      </c>
      <c r="Q149">
        <f>IF($J149&gt;MAX('Match Log'!$A$4:$A$810),NA(),IFERROR(LOOKUP(2,1/(('Match Log'!$D$4:$D$810=$Q$24)*('Match Log'!$A$4:$A$810&lt;=$J149)),'Match Log'!$N$4:$N$810),NA()))</f>
        <v>0</v>
      </c>
      <c r="R149">
        <f>IF($J149&gt;MAX('Match Log'!$A$4:$A$810),NA(),IFERROR(LOOKUP(2,1/(('Match Log'!$D$4:$D$810=$R$24)*('Match Log'!$A$4:$A$810&lt;=$J149)),'Match Log'!$N$4:$N$810),NA()))</f>
        <v>0</v>
      </c>
      <c r="S149">
        <f>IF($J149&gt;MAX('Match Log'!$A$4:$A$810),NA(),IFERROR(LOOKUP(2,1/(('Match Log'!$D$4:$D$810=$S$24)*('Match Log'!$A$4:$A$810&lt;=$J149)),'Match Log'!$N$4:$N$810),NA()))</f>
        <v>0</v>
      </c>
      <c r="T149">
        <f>IF($J149&gt;MAX('Match Log'!$A$4:$A$810),NA(),IFERROR(LOOKUP(2,1/(('Match Log'!$D$4:$D$810=$T$24)*('Match Log'!$A$4:$A$810&lt;=$J149)),'Match Log'!$N$4:$N$810),NA()))</f>
        <v>0</v>
      </c>
      <c r="U149">
        <f>IF($J149&gt;MAX('Match Log'!$A$4:$A$810),NA(),IFERROR(LOOKUP(2,1/(('Match Log'!$D$4:$D$810=$U$24)*('Match Log'!$A$4:$A$810&lt;=$J149)),'Match Log'!$N$4:$N$810),NA()))</f>
        <v>0</v>
      </c>
      <c r="V149">
        <f>IF($J149&gt;MAX('Match Log'!$A$4:$A$810),NA(),IFERROR(LOOKUP(2,1/(('Match Log'!$D$4:$D$810=$V$24)*('Match Log'!$A$4:$A$810&lt;=$J149)),'Match Log'!$N$4:$N$810),NA()))</f>
        <v>0</v>
      </c>
      <c r="W149">
        <f>IF($J149&gt;MAX('Match Log'!$A$4:$A$810),NA(),IFERROR(LOOKUP(2,1/(('Match Log'!$D$4:$D$810=$W$24)*('Match Log'!$A$4:$A$810&lt;=$J149)),'Match Log'!$N$4:$N$810),NA()))</f>
        <v>0</v>
      </c>
      <c r="X149">
        <f>IF($J149&gt;MAX('Match Log'!$A$4:$A$810),NA(),IFERROR(LOOKUP(2,1/(('Match Log'!$D$4:$D$810=$X$24)*('Match Log'!$A$4:$A$810&lt;=$J149)),'Match Log'!$N$4:$N$810),NA()))</f>
        <v>0</v>
      </c>
      <c r="Y149" t="str">
        <f>IF(AND($B149&lt;&gt;"",$B149&gt;=$B$5,$I149&lt;&gt;""),$I149,"")</f>
      </c>
    </row>
    <row r="150">
      <c r="A150">
        <v>126</v>
      </c>
      <c r="B150">
        <f>IFERROR(INDEX('Match Log'!$B$4:$B$810,MATCH(126,'Match Log'!$A$4:$A$810,0)),"")</f>
        <v>0</v>
      </c>
      <c r="C150" t="str">
        <f>IFERROR(INDEX('Match Log'!$C$4:$C$810,MATCH(126,'Match Log'!$A$4:$A$810,0)),"")</f>
      </c>
      <c r="D150" t="str">
        <f>IFERROR(INDEX('Match Log'!$G$4:$G$810,MATCH(126,'Match Log'!$A$4:$A$810,0)),"")</f>
      </c>
      <c r="E150">
        <f>IFERROR(INDEX('Match Log'!$F$4:$F$810,MATCH(126,'Match Log'!$A$4:$A$810,0)),"")</f>
        <v>0</v>
      </c>
      <c r="F150">
        <f>IFERROR(SUMIFS('Match Log'!$I$4:$I$810,'Match Log'!$A$4:$A$810,126,'Match Log'!$E$4:$E$810,"Win"),"")</f>
        <v>0</v>
      </c>
      <c r="G150">
        <f>IF($D150="","",1-$F150*$E150)</f>
        <v>0</v>
      </c>
      <c r="H150" t="str">
        <f>IFERROR(IF($E150=2,LOOKUP(2,1/(('Match Log'!$A$4:$A$810=126)*('Match Log'!$E$4:$E$810="Loss")),'Match Log'!$D$4:$D$810),"the field"),"")</f>
      </c>
      <c r="I150">
        <f>IF($G150="","",$G150-$A150/1000000)</f>
        <v>0</v>
      </c>
      <c r="J150">
        <v>126</v>
      </c>
      <c r="K150">
        <f>IF($J150&gt;MAX('Match Log'!$A$4:$A$810),NA(),IFERROR(LOOKUP(2,1/(('Match Log'!$D$4:$D$810=$K$24)*('Match Log'!$A$4:$A$810&lt;=$J150)),'Match Log'!$N$4:$N$810),NA()))</f>
        <v>0</v>
      </c>
      <c r="L150">
        <f>IF($J150&gt;MAX('Match Log'!$A$4:$A$810),NA(),IFERROR(LOOKUP(2,1/(('Match Log'!$D$4:$D$810=$L$24)*('Match Log'!$A$4:$A$810&lt;=$J150)),'Match Log'!$N$4:$N$810),NA()))</f>
        <v>0</v>
      </c>
      <c r="M150">
        <f>IF($J150&gt;MAX('Match Log'!$A$4:$A$810),NA(),IFERROR(LOOKUP(2,1/(('Match Log'!$D$4:$D$810=$M$24)*('Match Log'!$A$4:$A$810&lt;=$J150)),'Match Log'!$N$4:$N$810),NA()))</f>
        <v>0</v>
      </c>
      <c r="N150">
        <f>IF($J150&gt;MAX('Match Log'!$A$4:$A$810),NA(),IFERROR(LOOKUP(2,1/(('Match Log'!$D$4:$D$810=$N$24)*('Match Log'!$A$4:$A$810&lt;=$J150)),'Match Log'!$N$4:$N$810),NA()))</f>
        <v>0</v>
      </c>
      <c r="O150">
        <f>IF($J150&gt;MAX('Match Log'!$A$4:$A$810),NA(),IFERROR(LOOKUP(2,1/(('Match Log'!$D$4:$D$810=$O$24)*('Match Log'!$A$4:$A$810&lt;=$J150)),'Match Log'!$N$4:$N$810),NA()))</f>
        <v>0</v>
      </c>
      <c r="P150">
        <f>IF($J150&gt;MAX('Match Log'!$A$4:$A$810),NA(),IFERROR(LOOKUP(2,1/(('Match Log'!$D$4:$D$810=$P$24)*('Match Log'!$A$4:$A$810&lt;=$J150)),'Match Log'!$N$4:$N$810),NA()))</f>
        <v>0</v>
      </c>
      <c r="Q150">
        <f>IF($J150&gt;MAX('Match Log'!$A$4:$A$810),NA(),IFERROR(LOOKUP(2,1/(('Match Log'!$D$4:$D$810=$Q$24)*('Match Log'!$A$4:$A$810&lt;=$J150)),'Match Log'!$N$4:$N$810),NA()))</f>
        <v>0</v>
      </c>
      <c r="R150">
        <f>IF($J150&gt;MAX('Match Log'!$A$4:$A$810),NA(),IFERROR(LOOKUP(2,1/(('Match Log'!$D$4:$D$810=$R$24)*('Match Log'!$A$4:$A$810&lt;=$J150)),'Match Log'!$N$4:$N$810),NA()))</f>
        <v>0</v>
      </c>
      <c r="S150">
        <f>IF($J150&gt;MAX('Match Log'!$A$4:$A$810),NA(),IFERROR(LOOKUP(2,1/(('Match Log'!$D$4:$D$810=$S$24)*('Match Log'!$A$4:$A$810&lt;=$J150)),'Match Log'!$N$4:$N$810),NA()))</f>
        <v>0</v>
      </c>
      <c r="T150">
        <f>IF($J150&gt;MAX('Match Log'!$A$4:$A$810),NA(),IFERROR(LOOKUP(2,1/(('Match Log'!$D$4:$D$810=$T$24)*('Match Log'!$A$4:$A$810&lt;=$J150)),'Match Log'!$N$4:$N$810),NA()))</f>
        <v>0</v>
      </c>
      <c r="U150">
        <f>IF($J150&gt;MAX('Match Log'!$A$4:$A$810),NA(),IFERROR(LOOKUP(2,1/(('Match Log'!$D$4:$D$810=$U$24)*('Match Log'!$A$4:$A$810&lt;=$J150)),'Match Log'!$N$4:$N$810),NA()))</f>
        <v>0</v>
      </c>
      <c r="V150">
        <f>IF($J150&gt;MAX('Match Log'!$A$4:$A$810),NA(),IFERROR(LOOKUP(2,1/(('Match Log'!$D$4:$D$810=$V$24)*('Match Log'!$A$4:$A$810&lt;=$J150)),'Match Log'!$N$4:$N$810),NA()))</f>
        <v>0</v>
      </c>
      <c r="W150">
        <f>IF($J150&gt;MAX('Match Log'!$A$4:$A$810),NA(),IFERROR(LOOKUP(2,1/(('Match Log'!$D$4:$D$810=$W$24)*('Match Log'!$A$4:$A$810&lt;=$J150)),'Match Log'!$N$4:$N$810),NA()))</f>
        <v>0</v>
      </c>
      <c r="X150">
        <f>IF($J150&gt;MAX('Match Log'!$A$4:$A$810),NA(),IFERROR(LOOKUP(2,1/(('Match Log'!$D$4:$D$810=$X$24)*('Match Log'!$A$4:$A$810&lt;=$J150)),'Match Log'!$N$4:$N$810),NA()))</f>
        <v>0</v>
      </c>
      <c r="Y150" t="str">
        <f>IF(AND($B150&lt;&gt;"",$B150&gt;=$B$5,$I150&lt;&gt;""),$I150,"")</f>
      </c>
    </row>
    <row r="151">
      <c r="A151">
        <v>127</v>
      </c>
      <c r="B151">
        <f>IFERROR(INDEX('Match Log'!$B$4:$B$810,MATCH(127,'Match Log'!$A$4:$A$810,0)),"")</f>
        <v>0</v>
      </c>
      <c r="C151" t="str">
        <f>IFERROR(INDEX('Match Log'!$C$4:$C$810,MATCH(127,'Match Log'!$A$4:$A$810,0)),"")</f>
      </c>
      <c r="D151" t="str">
        <f>IFERROR(INDEX('Match Log'!$G$4:$G$810,MATCH(127,'Match Log'!$A$4:$A$810,0)),"")</f>
      </c>
      <c r="E151">
        <f>IFERROR(INDEX('Match Log'!$F$4:$F$810,MATCH(127,'Match Log'!$A$4:$A$810,0)),"")</f>
        <v>0</v>
      </c>
      <c r="F151">
        <f>IFERROR(SUMIFS('Match Log'!$I$4:$I$810,'Match Log'!$A$4:$A$810,127,'Match Log'!$E$4:$E$810,"Win"),"")</f>
        <v>0</v>
      </c>
      <c r="G151">
        <f>IF($D151="","",1-$F151*$E151)</f>
        <v>0</v>
      </c>
      <c r="H151" t="str">
        <f>IFERROR(IF($E151=2,LOOKUP(2,1/(('Match Log'!$A$4:$A$810=127)*('Match Log'!$E$4:$E$810="Loss")),'Match Log'!$D$4:$D$810),"the field"),"")</f>
      </c>
      <c r="I151">
        <f>IF($G151="","",$G151-$A151/1000000)</f>
        <v>0</v>
      </c>
      <c r="J151">
        <v>127</v>
      </c>
      <c r="K151">
        <f>IF($J151&gt;MAX('Match Log'!$A$4:$A$810),NA(),IFERROR(LOOKUP(2,1/(('Match Log'!$D$4:$D$810=$K$24)*('Match Log'!$A$4:$A$810&lt;=$J151)),'Match Log'!$N$4:$N$810),NA()))</f>
        <v>0</v>
      </c>
      <c r="L151">
        <f>IF($J151&gt;MAX('Match Log'!$A$4:$A$810),NA(),IFERROR(LOOKUP(2,1/(('Match Log'!$D$4:$D$810=$L$24)*('Match Log'!$A$4:$A$810&lt;=$J151)),'Match Log'!$N$4:$N$810),NA()))</f>
        <v>0</v>
      </c>
      <c r="M151">
        <f>IF($J151&gt;MAX('Match Log'!$A$4:$A$810),NA(),IFERROR(LOOKUP(2,1/(('Match Log'!$D$4:$D$810=$M$24)*('Match Log'!$A$4:$A$810&lt;=$J151)),'Match Log'!$N$4:$N$810),NA()))</f>
        <v>0</v>
      </c>
      <c r="N151">
        <f>IF($J151&gt;MAX('Match Log'!$A$4:$A$810),NA(),IFERROR(LOOKUP(2,1/(('Match Log'!$D$4:$D$810=$N$24)*('Match Log'!$A$4:$A$810&lt;=$J151)),'Match Log'!$N$4:$N$810),NA()))</f>
        <v>0</v>
      </c>
      <c r="O151">
        <f>IF($J151&gt;MAX('Match Log'!$A$4:$A$810),NA(),IFERROR(LOOKUP(2,1/(('Match Log'!$D$4:$D$810=$O$24)*('Match Log'!$A$4:$A$810&lt;=$J151)),'Match Log'!$N$4:$N$810),NA()))</f>
        <v>0</v>
      </c>
      <c r="P151">
        <f>IF($J151&gt;MAX('Match Log'!$A$4:$A$810),NA(),IFERROR(LOOKUP(2,1/(('Match Log'!$D$4:$D$810=$P$24)*('Match Log'!$A$4:$A$810&lt;=$J151)),'Match Log'!$N$4:$N$810),NA()))</f>
        <v>0</v>
      </c>
      <c r="Q151">
        <f>IF($J151&gt;MAX('Match Log'!$A$4:$A$810),NA(),IFERROR(LOOKUP(2,1/(('Match Log'!$D$4:$D$810=$Q$24)*('Match Log'!$A$4:$A$810&lt;=$J151)),'Match Log'!$N$4:$N$810),NA()))</f>
        <v>0</v>
      </c>
      <c r="R151">
        <f>IF($J151&gt;MAX('Match Log'!$A$4:$A$810),NA(),IFERROR(LOOKUP(2,1/(('Match Log'!$D$4:$D$810=$R$24)*('Match Log'!$A$4:$A$810&lt;=$J151)),'Match Log'!$N$4:$N$810),NA()))</f>
        <v>0</v>
      </c>
      <c r="S151">
        <f>IF($J151&gt;MAX('Match Log'!$A$4:$A$810),NA(),IFERROR(LOOKUP(2,1/(('Match Log'!$D$4:$D$810=$S$24)*('Match Log'!$A$4:$A$810&lt;=$J151)),'Match Log'!$N$4:$N$810),NA()))</f>
        <v>0</v>
      </c>
      <c r="T151">
        <f>IF($J151&gt;MAX('Match Log'!$A$4:$A$810),NA(),IFERROR(LOOKUP(2,1/(('Match Log'!$D$4:$D$810=$T$24)*('Match Log'!$A$4:$A$810&lt;=$J151)),'Match Log'!$N$4:$N$810),NA()))</f>
        <v>0</v>
      </c>
      <c r="U151">
        <f>IF($J151&gt;MAX('Match Log'!$A$4:$A$810),NA(),IFERROR(LOOKUP(2,1/(('Match Log'!$D$4:$D$810=$U$24)*('Match Log'!$A$4:$A$810&lt;=$J151)),'Match Log'!$N$4:$N$810),NA()))</f>
        <v>0</v>
      </c>
      <c r="V151">
        <f>IF($J151&gt;MAX('Match Log'!$A$4:$A$810),NA(),IFERROR(LOOKUP(2,1/(('Match Log'!$D$4:$D$810=$V$24)*('Match Log'!$A$4:$A$810&lt;=$J151)),'Match Log'!$N$4:$N$810),NA()))</f>
        <v>0</v>
      </c>
      <c r="W151">
        <f>IF($J151&gt;MAX('Match Log'!$A$4:$A$810),NA(),IFERROR(LOOKUP(2,1/(('Match Log'!$D$4:$D$810=$W$24)*('Match Log'!$A$4:$A$810&lt;=$J151)),'Match Log'!$N$4:$N$810),NA()))</f>
        <v>0</v>
      </c>
      <c r="X151">
        <f>IF($J151&gt;MAX('Match Log'!$A$4:$A$810),NA(),IFERROR(LOOKUP(2,1/(('Match Log'!$D$4:$D$810=$X$24)*('Match Log'!$A$4:$A$810&lt;=$J151)),'Match Log'!$N$4:$N$810),NA()))</f>
        <v>0</v>
      </c>
      <c r="Y151" t="str">
        <f>IF(AND($B151&lt;&gt;"",$B151&gt;=$B$5,$I151&lt;&gt;""),$I151,"")</f>
      </c>
    </row>
    <row r="152">
      <c r="A152">
        <v>128</v>
      </c>
      <c r="B152">
        <f>IFERROR(INDEX('Match Log'!$B$4:$B$810,MATCH(128,'Match Log'!$A$4:$A$810,0)),"")</f>
        <v>0</v>
      </c>
      <c r="C152" t="str">
        <f>IFERROR(INDEX('Match Log'!$C$4:$C$810,MATCH(128,'Match Log'!$A$4:$A$810,0)),"")</f>
      </c>
      <c r="D152" t="str">
        <f>IFERROR(INDEX('Match Log'!$G$4:$G$810,MATCH(128,'Match Log'!$A$4:$A$810,0)),"")</f>
      </c>
      <c r="E152">
        <f>IFERROR(INDEX('Match Log'!$F$4:$F$810,MATCH(128,'Match Log'!$A$4:$A$810,0)),"")</f>
        <v>0</v>
      </c>
      <c r="F152">
        <f>IFERROR(SUMIFS('Match Log'!$I$4:$I$810,'Match Log'!$A$4:$A$810,128,'Match Log'!$E$4:$E$810,"Win"),"")</f>
        <v>0</v>
      </c>
      <c r="G152">
        <f>IF($D152="","",1-$F152*$E152)</f>
        <v>0</v>
      </c>
      <c r="H152" t="str">
        <f>IFERROR(IF($E152=2,LOOKUP(2,1/(('Match Log'!$A$4:$A$810=128)*('Match Log'!$E$4:$E$810="Loss")),'Match Log'!$D$4:$D$810),"the field"),"")</f>
      </c>
      <c r="I152">
        <f>IF($G152="","",$G152-$A152/1000000)</f>
        <v>0</v>
      </c>
      <c r="J152">
        <v>128</v>
      </c>
      <c r="K152">
        <f>IF($J152&gt;MAX('Match Log'!$A$4:$A$810),NA(),IFERROR(LOOKUP(2,1/(('Match Log'!$D$4:$D$810=$K$24)*('Match Log'!$A$4:$A$810&lt;=$J152)),'Match Log'!$N$4:$N$810),NA()))</f>
        <v>0</v>
      </c>
      <c r="L152">
        <f>IF($J152&gt;MAX('Match Log'!$A$4:$A$810),NA(),IFERROR(LOOKUP(2,1/(('Match Log'!$D$4:$D$810=$L$24)*('Match Log'!$A$4:$A$810&lt;=$J152)),'Match Log'!$N$4:$N$810),NA()))</f>
        <v>0</v>
      </c>
      <c r="M152">
        <f>IF($J152&gt;MAX('Match Log'!$A$4:$A$810),NA(),IFERROR(LOOKUP(2,1/(('Match Log'!$D$4:$D$810=$M$24)*('Match Log'!$A$4:$A$810&lt;=$J152)),'Match Log'!$N$4:$N$810),NA()))</f>
        <v>0</v>
      </c>
      <c r="N152">
        <f>IF($J152&gt;MAX('Match Log'!$A$4:$A$810),NA(),IFERROR(LOOKUP(2,1/(('Match Log'!$D$4:$D$810=$N$24)*('Match Log'!$A$4:$A$810&lt;=$J152)),'Match Log'!$N$4:$N$810),NA()))</f>
        <v>0</v>
      </c>
      <c r="O152">
        <f>IF($J152&gt;MAX('Match Log'!$A$4:$A$810),NA(),IFERROR(LOOKUP(2,1/(('Match Log'!$D$4:$D$810=$O$24)*('Match Log'!$A$4:$A$810&lt;=$J152)),'Match Log'!$N$4:$N$810),NA()))</f>
        <v>0</v>
      </c>
      <c r="P152">
        <f>IF($J152&gt;MAX('Match Log'!$A$4:$A$810),NA(),IFERROR(LOOKUP(2,1/(('Match Log'!$D$4:$D$810=$P$24)*('Match Log'!$A$4:$A$810&lt;=$J152)),'Match Log'!$N$4:$N$810),NA()))</f>
        <v>0</v>
      </c>
      <c r="Q152">
        <f>IF($J152&gt;MAX('Match Log'!$A$4:$A$810),NA(),IFERROR(LOOKUP(2,1/(('Match Log'!$D$4:$D$810=$Q$24)*('Match Log'!$A$4:$A$810&lt;=$J152)),'Match Log'!$N$4:$N$810),NA()))</f>
        <v>0</v>
      </c>
      <c r="R152">
        <f>IF($J152&gt;MAX('Match Log'!$A$4:$A$810),NA(),IFERROR(LOOKUP(2,1/(('Match Log'!$D$4:$D$810=$R$24)*('Match Log'!$A$4:$A$810&lt;=$J152)),'Match Log'!$N$4:$N$810),NA()))</f>
        <v>0</v>
      </c>
      <c r="S152">
        <f>IF($J152&gt;MAX('Match Log'!$A$4:$A$810),NA(),IFERROR(LOOKUP(2,1/(('Match Log'!$D$4:$D$810=$S$24)*('Match Log'!$A$4:$A$810&lt;=$J152)),'Match Log'!$N$4:$N$810),NA()))</f>
        <v>0</v>
      </c>
      <c r="T152">
        <f>IF($J152&gt;MAX('Match Log'!$A$4:$A$810),NA(),IFERROR(LOOKUP(2,1/(('Match Log'!$D$4:$D$810=$T$24)*('Match Log'!$A$4:$A$810&lt;=$J152)),'Match Log'!$N$4:$N$810),NA()))</f>
        <v>0</v>
      </c>
      <c r="U152">
        <f>IF($J152&gt;MAX('Match Log'!$A$4:$A$810),NA(),IFERROR(LOOKUP(2,1/(('Match Log'!$D$4:$D$810=$U$24)*('Match Log'!$A$4:$A$810&lt;=$J152)),'Match Log'!$N$4:$N$810),NA()))</f>
        <v>0</v>
      </c>
      <c r="V152">
        <f>IF($J152&gt;MAX('Match Log'!$A$4:$A$810),NA(),IFERROR(LOOKUP(2,1/(('Match Log'!$D$4:$D$810=$V$24)*('Match Log'!$A$4:$A$810&lt;=$J152)),'Match Log'!$N$4:$N$810),NA()))</f>
        <v>0</v>
      </c>
      <c r="W152">
        <f>IF($J152&gt;MAX('Match Log'!$A$4:$A$810),NA(),IFERROR(LOOKUP(2,1/(('Match Log'!$D$4:$D$810=$W$24)*('Match Log'!$A$4:$A$810&lt;=$J152)),'Match Log'!$N$4:$N$810),NA()))</f>
        <v>0</v>
      </c>
      <c r="X152">
        <f>IF($J152&gt;MAX('Match Log'!$A$4:$A$810),NA(),IFERROR(LOOKUP(2,1/(('Match Log'!$D$4:$D$810=$X$24)*('Match Log'!$A$4:$A$810&lt;=$J152)),'Match Log'!$N$4:$N$810),NA()))</f>
        <v>0</v>
      </c>
      <c r="Y152" t="str">
        <f>IF(AND($B152&lt;&gt;"",$B152&gt;=$B$5,$I152&lt;&gt;""),$I152,"")</f>
      </c>
    </row>
    <row r="153">
      <c r="A153">
        <v>129</v>
      </c>
      <c r="B153">
        <f>IFERROR(INDEX('Match Log'!$B$4:$B$810,MATCH(129,'Match Log'!$A$4:$A$810,0)),"")</f>
        <v>0</v>
      </c>
      <c r="C153" t="str">
        <f>IFERROR(INDEX('Match Log'!$C$4:$C$810,MATCH(129,'Match Log'!$A$4:$A$810,0)),"")</f>
      </c>
      <c r="D153" t="str">
        <f>IFERROR(INDEX('Match Log'!$G$4:$G$810,MATCH(129,'Match Log'!$A$4:$A$810,0)),"")</f>
      </c>
      <c r="E153">
        <f>IFERROR(INDEX('Match Log'!$F$4:$F$810,MATCH(129,'Match Log'!$A$4:$A$810,0)),"")</f>
        <v>0</v>
      </c>
      <c r="F153">
        <f>IFERROR(SUMIFS('Match Log'!$I$4:$I$810,'Match Log'!$A$4:$A$810,129,'Match Log'!$E$4:$E$810,"Win"),"")</f>
        <v>0</v>
      </c>
      <c r="G153">
        <f>IF($D153="","",1-$F153*$E153)</f>
        <v>0</v>
      </c>
      <c r="H153" t="str">
        <f>IFERROR(IF($E153=2,LOOKUP(2,1/(('Match Log'!$A$4:$A$810=129)*('Match Log'!$E$4:$E$810="Loss")),'Match Log'!$D$4:$D$810),"the field"),"")</f>
      </c>
      <c r="I153">
        <f>IF($G153="","",$G153-$A153/1000000)</f>
        <v>0</v>
      </c>
      <c r="J153">
        <v>129</v>
      </c>
      <c r="K153">
        <f>IF($J153&gt;MAX('Match Log'!$A$4:$A$810),NA(),IFERROR(LOOKUP(2,1/(('Match Log'!$D$4:$D$810=$K$24)*('Match Log'!$A$4:$A$810&lt;=$J153)),'Match Log'!$N$4:$N$810),NA()))</f>
        <v>0</v>
      </c>
      <c r="L153">
        <f>IF($J153&gt;MAX('Match Log'!$A$4:$A$810),NA(),IFERROR(LOOKUP(2,1/(('Match Log'!$D$4:$D$810=$L$24)*('Match Log'!$A$4:$A$810&lt;=$J153)),'Match Log'!$N$4:$N$810),NA()))</f>
        <v>0</v>
      </c>
      <c r="M153">
        <f>IF($J153&gt;MAX('Match Log'!$A$4:$A$810),NA(),IFERROR(LOOKUP(2,1/(('Match Log'!$D$4:$D$810=$M$24)*('Match Log'!$A$4:$A$810&lt;=$J153)),'Match Log'!$N$4:$N$810),NA()))</f>
        <v>0</v>
      </c>
      <c r="N153">
        <f>IF($J153&gt;MAX('Match Log'!$A$4:$A$810),NA(),IFERROR(LOOKUP(2,1/(('Match Log'!$D$4:$D$810=$N$24)*('Match Log'!$A$4:$A$810&lt;=$J153)),'Match Log'!$N$4:$N$810),NA()))</f>
        <v>0</v>
      </c>
      <c r="O153">
        <f>IF($J153&gt;MAX('Match Log'!$A$4:$A$810),NA(),IFERROR(LOOKUP(2,1/(('Match Log'!$D$4:$D$810=$O$24)*('Match Log'!$A$4:$A$810&lt;=$J153)),'Match Log'!$N$4:$N$810),NA()))</f>
        <v>0</v>
      </c>
      <c r="P153">
        <f>IF($J153&gt;MAX('Match Log'!$A$4:$A$810),NA(),IFERROR(LOOKUP(2,1/(('Match Log'!$D$4:$D$810=$P$24)*('Match Log'!$A$4:$A$810&lt;=$J153)),'Match Log'!$N$4:$N$810),NA()))</f>
        <v>0</v>
      </c>
      <c r="Q153">
        <f>IF($J153&gt;MAX('Match Log'!$A$4:$A$810),NA(),IFERROR(LOOKUP(2,1/(('Match Log'!$D$4:$D$810=$Q$24)*('Match Log'!$A$4:$A$810&lt;=$J153)),'Match Log'!$N$4:$N$810),NA()))</f>
        <v>0</v>
      </c>
      <c r="R153">
        <f>IF($J153&gt;MAX('Match Log'!$A$4:$A$810),NA(),IFERROR(LOOKUP(2,1/(('Match Log'!$D$4:$D$810=$R$24)*('Match Log'!$A$4:$A$810&lt;=$J153)),'Match Log'!$N$4:$N$810),NA()))</f>
        <v>0</v>
      </c>
      <c r="S153">
        <f>IF($J153&gt;MAX('Match Log'!$A$4:$A$810),NA(),IFERROR(LOOKUP(2,1/(('Match Log'!$D$4:$D$810=$S$24)*('Match Log'!$A$4:$A$810&lt;=$J153)),'Match Log'!$N$4:$N$810),NA()))</f>
        <v>0</v>
      </c>
      <c r="T153">
        <f>IF($J153&gt;MAX('Match Log'!$A$4:$A$810),NA(),IFERROR(LOOKUP(2,1/(('Match Log'!$D$4:$D$810=$T$24)*('Match Log'!$A$4:$A$810&lt;=$J153)),'Match Log'!$N$4:$N$810),NA()))</f>
        <v>0</v>
      </c>
      <c r="U153">
        <f>IF($J153&gt;MAX('Match Log'!$A$4:$A$810),NA(),IFERROR(LOOKUP(2,1/(('Match Log'!$D$4:$D$810=$U$24)*('Match Log'!$A$4:$A$810&lt;=$J153)),'Match Log'!$N$4:$N$810),NA()))</f>
        <v>0</v>
      </c>
      <c r="V153">
        <f>IF($J153&gt;MAX('Match Log'!$A$4:$A$810),NA(),IFERROR(LOOKUP(2,1/(('Match Log'!$D$4:$D$810=$V$24)*('Match Log'!$A$4:$A$810&lt;=$J153)),'Match Log'!$N$4:$N$810),NA()))</f>
        <v>0</v>
      </c>
      <c r="W153">
        <f>IF($J153&gt;MAX('Match Log'!$A$4:$A$810),NA(),IFERROR(LOOKUP(2,1/(('Match Log'!$D$4:$D$810=$W$24)*('Match Log'!$A$4:$A$810&lt;=$J153)),'Match Log'!$N$4:$N$810),NA()))</f>
        <v>0</v>
      </c>
      <c r="X153">
        <f>IF($J153&gt;MAX('Match Log'!$A$4:$A$810),NA(),IFERROR(LOOKUP(2,1/(('Match Log'!$D$4:$D$810=$X$24)*('Match Log'!$A$4:$A$810&lt;=$J153)),'Match Log'!$N$4:$N$810),NA()))</f>
        <v>0</v>
      </c>
      <c r="Y153" t="str">
        <f>IF(AND($B153&lt;&gt;"",$B153&gt;=$B$5,$I153&lt;&gt;""),$I153,"")</f>
      </c>
    </row>
    <row r="154">
      <c r="A154">
        <v>130</v>
      </c>
      <c r="B154">
        <f>IFERROR(INDEX('Match Log'!$B$4:$B$810,MATCH(130,'Match Log'!$A$4:$A$810,0)),"")</f>
        <v>0</v>
      </c>
      <c r="C154" t="str">
        <f>IFERROR(INDEX('Match Log'!$C$4:$C$810,MATCH(130,'Match Log'!$A$4:$A$810,0)),"")</f>
      </c>
      <c r="D154" t="str">
        <f>IFERROR(INDEX('Match Log'!$G$4:$G$810,MATCH(130,'Match Log'!$A$4:$A$810,0)),"")</f>
      </c>
      <c r="E154">
        <f>IFERROR(INDEX('Match Log'!$F$4:$F$810,MATCH(130,'Match Log'!$A$4:$A$810,0)),"")</f>
        <v>0</v>
      </c>
      <c r="F154">
        <f>IFERROR(SUMIFS('Match Log'!$I$4:$I$810,'Match Log'!$A$4:$A$810,130,'Match Log'!$E$4:$E$810,"Win"),"")</f>
        <v>0</v>
      </c>
      <c r="G154">
        <f>IF($D154="","",1-$F154*$E154)</f>
        <v>0</v>
      </c>
      <c r="H154" t="str">
        <f>IFERROR(IF($E154=2,LOOKUP(2,1/(('Match Log'!$A$4:$A$810=130)*('Match Log'!$E$4:$E$810="Loss")),'Match Log'!$D$4:$D$810),"the field"),"")</f>
      </c>
      <c r="I154">
        <f>IF($G154="","",$G154-$A154/1000000)</f>
        <v>0</v>
      </c>
      <c r="J154">
        <v>130</v>
      </c>
      <c r="K154">
        <f>IF($J154&gt;MAX('Match Log'!$A$4:$A$810),NA(),IFERROR(LOOKUP(2,1/(('Match Log'!$D$4:$D$810=$K$24)*('Match Log'!$A$4:$A$810&lt;=$J154)),'Match Log'!$N$4:$N$810),NA()))</f>
        <v>0</v>
      </c>
      <c r="L154">
        <f>IF($J154&gt;MAX('Match Log'!$A$4:$A$810),NA(),IFERROR(LOOKUP(2,1/(('Match Log'!$D$4:$D$810=$L$24)*('Match Log'!$A$4:$A$810&lt;=$J154)),'Match Log'!$N$4:$N$810),NA()))</f>
        <v>0</v>
      </c>
      <c r="M154">
        <f>IF($J154&gt;MAX('Match Log'!$A$4:$A$810),NA(),IFERROR(LOOKUP(2,1/(('Match Log'!$D$4:$D$810=$M$24)*('Match Log'!$A$4:$A$810&lt;=$J154)),'Match Log'!$N$4:$N$810),NA()))</f>
        <v>0</v>
      </c>
      <c r="N154">
        <f>IF($J154&gt;MAX('Match Log'!$A$4:$A$810),NA(),IFERROR(LOOKUP(2,1/(('Match Log'!$D$4:$D$810=$N$24)*('Match Log'!$A$4:$A$810&lt;=$J154)),'Match Log'!$N$4:$N$810),NA()))</f>
        <v>0</v>
      </c>
      <c r="O154">
        <f>IF($J154&gt;MAX('Match Log'!$A$4:$A$810),NA(),IFERROR(LOOKUP(2,1/(('Match Log'!$D$4:$D$810=$O$24)*('Match Log'!$A$4:$A$810&lt;=$J154)),'Match Log'!$N$4:$N$810),NA()))</f>
        <v>0</v>
      </c>
      <c r="P154">
        <f>IF($J154&gt;MAX('Match Log'!$A$4:$A$810),NA(),IFERROR(LOOKUP(2,1/(('Match Log'!$D$4:$D$810=$P$24)*('Match Log'!$A$4:$A$810&lt;=$J154)),'Match Log'!$N$4:$N$810),NA()))</f>
        <v>0</v>
      </c>
      <c r="Q154">
        <f>IF($J154&gt;MAX('Match Log'!$A$4:$A$810),NA(),IFERROR(LOOKUP(2,1/(('Match Log'!$D$4:$D$810=$Q$24)*('Match Log'!$A$4:$A$810&lt;=$J154)),'Match Log'!$N$4:$N$810),NA()))</f>
        <v>0</v>
      </c>
      <c r="R154">
        <f>IF($J154&gt;MAX('Match Log'!$A$4:$A$810),NA(),IFERROR(LOOKUP(2,1/(('Match Log'!$D$4:$D$810=$R$24)*('Match Log'!$A$4:$A$810&lt;=$J154)),'Match Log'!$N$4:$N$810),NA()))</f>
        <v>0</v>
      </c>
      <c r="S154">
        <f>IF($J154&gt;MAX('Match Log'!$A$4:$A$810),NA(),IFERROR(LOOKUP(2,1/(('Match Log'!$D$4:$D$810=$S$24)*('Match Log'!$A$4:$A$810&lt;=$J154)),'Match Log'!$N$4:$N$810),NA()))</f>
        <v>0</v>
      </c>
      <c r="T154">
        <f>IF($J154&gt;MAX('Match Log'!$A$4:$A$810),NA(),IFERROR(LOOKUP(2,1/(('Match Log'!$D$4:$D$810=$T$24)*('Match Log'!$A$4:$A$810&lt;=$J154)),'Match Log'!$N$4:$N$810),NA()))</f>
        <v>0</v>
      </c>
      <c r="U154">
        <f>IF($J154&gt;MAX('Match Log'!$A$4:$A$810),NA(),IFERROR(LOOKUP(2,1/(('Match Log'!$D$4:$D$810=$U$24)*('Match Log'!$A$4:$A$810&lt;=$J154)),'Match Log'!$N$4:$N$810),NA()))</f>
        <v>0</v>
      </c>
      <c r="V154">
        <f>IF($J154&gt;MAX('Match Log'!$A$4:$A$810),NA(),IFERROR(LOOKUP(2,1/(('Match Log'!$D$4:$D$810=$V$24)*('Match Log'!$A$4:$A$810&lt;=$J154)),'Match Log'!$N$4:$N$810),NA()))</f>
        <v>0</v>
      </c>
      <c r="W154">
        <f>IF($J154&gt;MAX('Match Log'!$A$4:$A$810),NA(),IFERROR(LOOKUP(2,1/(('Match Log'!$D$4:$D$810=$W$24)*('Match Log'!$A$4:$A$810&lt;=$J154)),'Match Log'!$N$4:$N$810),NA()))</f>
        <v>0</v>
      </c>
      <c r="X154">
        <f>IF($J154&gt;MAX('Match Log'!$A$4:$A$810),NA(),IFERROR(LOOKUP(2,1/(('Match Log'!$D$4:$D$810=$X$24)*('Match Log'!$A$4:$A$810&lt;=$J154)),'Match Log'!$N$4:$N$810),NA()))</f>
        <v>0</v>
      </c>
      <c r="Y154" t="str">
        <f>IF(AND($B154&lt;&gt;"",$B154&gt;=$B$5,$I154&lt;&gt;""),$I154,"")</f>
      </c>
    </row>
    <row r="155">
      <c r="A155">
        <v>131</v>
      </c>
      <c r="B155">
        <f>IFERROR(INDEX('Match Log'!$B$4:$B$810,MATCH(131,'Match Log'!$A$4:$A$810,0)),"")</f>
        <v>0</v>
      </c>
      <c r="C155" t="str">
        <f>IFERROR(INDEX('Match Log'!$C$4:$C$810,MATCH(131,'Match Log'!$A$4:$A$810,0)),"")</f>
      </c>
      <c r="D155" t="str">
        <f>IFERROR(INDEX('Match Log'!$G$4:$G$810,MATCH(131,'Match Log'!$A$4:$A$810,0)),"")</f>
      </c>
      <c r="E155">
        <f>IFERROR(INDEX('Match Log'!$F$4:$F$810,MATCH(131,'Match Log'!$A$4:$A$810,0)),"")</f>
        <v>0</v>
      </c>
      <c r="F155">
        <f>IFERROR(SUMIFS('Match Log'!$I$4:$I$810,'Match Log'!$A$4:$A$810,131,'Match Log'!$E$4:$E$810,"Win"),"")</f>
        <v>0</v>
      </c>
      <c r="G155">
        <f>IF($D155="","",1-$F155*$E155)</f>
        <v>0</v>
      </c>
      <c r="H155" t="str">
        <f>IFERROR(IF($E155=2,LOOKUP(2,1/(('Match Log'!$A$4:$A$810=131)*('Match Log'!$E$4:$E$810="Loss")),'Match Log'!$D$4:$D$810),"the field"),"")</f>
      </c>
      <c r="I155">
        <f>IF($G155="","",$G155-$A155/1000000)</f>
        <v>0</v>
      </c>
      <c r="J155">
        <v>131</v>
      </c>
      <c r="K155">
        <f>IF($J155&gt;MAX('Match Log'!$A$4:$A$810),NA(),IFERROR(LOOKUP(2,1/(('Match Log'!$D$4:$D$810=$K$24)*('Match Log'!$A$4:$A$810&lt;=$J155)),'Match Log'!$N$4:$N$810),NA()))</f>
        <v>0</v>
      </c>
      <c r="L155">
        <f>IF($J155&gt;MAX('Match Log'!$A$4:$A$810),NA(),IFERROR(LOOKUP(2,1/(('Match Log'!$D$4:$D$810=$L$24)*('Match Log'!$A$4:$A$810&lt;=$J155)),'Match Log'!$N$4:$N$810),NA()))</f>
        <v>0</v>
      </c>
      <c r="M155">
        <f>IF($J155&gt;MAX('Match Log'!$A$4:$A$810),NA(),IFERROR(LOOKUP(2,1/(('Match Log'!$D$4:$D$810=$M$24)*('Match Log'!$A$4:$A$810&lt;=$J155)),'Match Log'!$N$4:$N$810),NA()))</f>
        <v>0</v>
      </c>
      <c r="N155">
        <f>IF($J155&gt;MAX('Match Log'!$A$4:$A$810),NA(),IFERROR(LOOKUP(2,1/(('Match Log'!$D$4:$D$810=$N$24)*('Match Log'!$A$4:$A$810&lt;=$J155)),'Match Log'!$N$4:$N$810),NA()))</f>
        <v>0</v>
      </c>
      <c r="O155">
        <f>IF($J155&gt;MAX('Match Log'!$A$4:$A$810),NA(),IFERROR(LOOKUP(2,1/(('Match Log'!$D$4:$D$810=$O$24)*('Match Log'!$A$4:$A$810&lt;=$J155)),'Match Log'!$N$4:$N$810),NA()))</f>
        <v>0</v>
      </c>
      <c r="P155">
        <f>IF($J155&gt;MAX('Match Log'!$A$4:$A$810),NA(),IFERROR(LOOKUP(2,1/(('Match Log'!$D$4:$D$810=$P$24)*('Match Log'!$A$4:$A$810&lt;=$J155)),'Match Log'!$N$4:$N$810),NA()))</f>
        <v>0</v>
      </c>
      <c r="Q155">
        <f>IF($J155&gt;MAX('Match Log'!$A$4:$A$810),NA(),IFERROR(LOOKUP(2,1/(('Match Log'!$D$4:$D$810=$Q$24)*('Match Log'!$A$4:$A$810&lt;=$J155)),'Match Log'!$N$4:$N$810),NA()))</f>
        <v>0</v>
      </c>
      <c r="R155">
        <f>IF($J155&gt;MAX('Match Log'!$A$4:$A$810),NA(),IFERROR(LOOKUP(2,1/(('Match Log'!$D$4:$D$810=$R$24)*('Match Log'!$A$4:$A$810&lt;=$J155)),'Match Log'!$N$4:$N$810),NA()))</f>
        <v>0</v>
      </c>
      <c r="S155">
        <f>IF($J155&gt;MAX('Match Log'!$A$4:$A$810),NA(),IFERROR(LOOKUP(2,1/(('Match Log'!$D$4:$D$810=$S$24)*('Match Log'!$A$4:$A$810&lt;=$J155)),'Match Log'!$N$4:$N$810),NA()))</f>
        <v>0</v>
      </c>
      <c r="T155">
        <f>IF($J155&gt;MAX('Match Log'!$A$4:$A$810),NA(),IFERROR(LOOKUP(2,1/(('Match Log'!$D$4:$D$810=$T$24)*('Match Log'!$A$4:$A$810&lt;=$J155)),'Match Log'!$N$4:$N$810),NA()))</f>
        <v>0</v>
      </c>
      <c r="U155">
        <f>IF($J155&gt;MAX('Match Log'!$A$4:$A$810),NA(),IFERROR(LOOKUP(2,1/(('Match Log'!$D$4:$D$810=$U$24)*('Match Log'!$A$4:$A$810&lt;=$J155)),'Match Log'!$N$4:$N$810),NA()))</f>
        <v>0</v>
      </c>
      <c r="V155">
        <f>IF($J155&gt;MAX('Match Log'!$A$4:$A$810),NA(),IFERROR(LOOKUP(2,1/(('Match Log'!$D$4:$D$810=$V$24)*('Match Log'!$A$4:$A$810&lt;=$J155)),'Match Log'!$N$4:$N$810),NA()))</f>
        <v>0</v>
      </c>
      <c r="W155">
        <f>IF($J155&gt;MAX('Match Log'!$A$4:$A$810),NA(),IFERROR(LOOKUP(2,1/(('Match Log'!$D$4:$D$810=$W$24)*('Match Log'!$A$4:$A$810&lt;=$J155)),'Match Log'!$N$4:$N$810),NA()))</f>
        <v>0</v>
      </c>
      <c r="X155">
        <f>IF($J155&gt;MAX('Match Log'!$A$4:$A$810),NA(),IFERROR(LOOKUP(2,1/(('Match Log'!$D$4:$D$810=$X$24)*('Match Log'!$A$4:$A$810&lt;=$J155)),'Match Log'!$N$4:$N$810),NA()))</f>
        <v>0</v>
      </c>
      <c r="Y155" t="str">
        <f>IF(AND($B155&lt;&gt;"",$B155&gt;=$B$5,$I155&lt;&gt;""),$I155,"")</f>
      </c>
    </row>
    <row r="156">
      <c r="A156">
        <v>132</v>
      </c>
      <c r="B156">
        <f>IFERROR(INDEX('Match Log'!$B$4:$B$810,MATCH(132,'Match Log'!$A$4:$A$810,0)),"")</f>
        <v>0</v>
      </c>
      <c r="C156" t="str">
        <f>IFERROR(INDEX('Match Log'!$C$4:$C$810,MATCH(132,'Match Log'!$A$4:$A$810,0)),"")</f>
      </c>
      <c r="D156" t="str">
        <f>IFERROR(INDEX('Match Log'!$G$4:$G$810,MATCH(132,'Match Log'!$A$4:$A$810,0)),"")</f>
      </c>
      <c r="E156">
        <f>IFERROR(INDEX('Match Log'!$F$4:$F$810,MATCH(132,'Match Log'!$A$4:$A$810,0)),"")</f>
        <v>0</v>
      </c>
      <c r="F156">
        <f>IFERROR(SUMIFS('Match Log'!$I$4:$I$810,'Match Log'!$A$4:$A$810,132,'Match Log'!$E$4:$E$810,"Win"),"")</f>
        <v>0</v>
      </c>
      <c r="G156">
        <f>IF($D156="","",1-$F156*$E156)</f>
        <v>0</v>
      </c>
      <c r="H156" t="str">
        <f>IFERROR(IF($E156=2,LOOKUP(2,1/(('Match Log'!$A$4:$A$810=132)*('Match Log'!$E$4:$E$810="Loss")),'Match Log'!$D$4:$D$810),"the field"),"")</f>
      </c>
      <c r="I156">
        <f>IF($G156="","",$G156-$A156/1000000)</f>
        <v>0</v>
      </c>
      <c r="J156">
        <v>132</v>
      </c>
      <c r="K156">
        <f>IF($J156&gt;MAX('Match Log'!$A$4:$A$810),NA(),IFERROR(LOOKUP(2,1/(('Match Log'!$D$4:$D$810=$K$24)*('Match Log'!$A$4:$A$810&lt;=$J156)),'Match Log'!$N$4:$N$810),NA()))</f>
        <v>0</v>
      </c>
      <c r="L156">
        <f>IF($J156&gt;MAX('Match Log'!$A$4:$A$810),NA(),IFERROR(LOOKUP(2,1/(('Match Log'!$D$4:$D$810=$L$24)*('Match Log'!$A$4:$A$810&lt;=$J156)),'Match Log'!$N$4:$N$810),NA()))</f>
        <v>0</v>
      </c>
      <c r="M156">
        <f>IF($J156&gt;MAX('Match Log'!$A$4:$A$810),NA(),IFERROR(LOOKUP(2,1/(('Match Log'!$D$4:$D$810=$M$24)*('Match Log'!$A$4:$A$810&lt;=$J156)),'Match Log'!$N$4:$N$810),NA()))</f>
        <v>0</v>
      </c>
      <c r="N156">
        <f>IF($J156&gt;MAX('Match Log'!$A$4:$A$810),NA(),IFERROR(LOOKUP(2,1/(('Match Log'!$D$4:$D$810=$N$24)*('Match Log'!$A$4:$A$810&lt;=$J156)),'Match Log'!$N$4:$N$810),NA()))</f>
        <v>0</v>
      </c>
      <c r="O156">
        <f>IF($J156&gt;MAX('Match Log'!$A$4:$A$810),NA(),IFERROR(LOOKUP(2,1/(('Match Log'!$D$4:$D$810=$O$24)*('Match Log'!$A$4:$A$810&lt;=$J156)),'Match Log'!$N$4:$N$810),NA()))</f>
        <v>0</v>
      </c>
      <c r="P156">
        <f>IF($J156&gt;MAX('Match Log'!$A$4:$A$810),NA(),IFERROR(LOOKUP(2,1/(('Match Log'!$D$4:$D$810=$P$24)*('Match Log'!$A$4:$A$810&lt;=$J156)),'Match Log'!$N$4:$N$810),NA()))</f>
        <v>0</v>
      </c>
      <c r="Q156">
        <f>IF($J156&gt;MAX('Match Log'!$A$4:$A$810),NA(),IFERROR(LOOKUP(2,1/(('Match Log'!$D$4:$D$810=$Q$24)*('Match Log'!$A$4:$A$810&lt;=$J156)),'Match Log'!$N$4:$N$810),NA()))</f>
        <v>0</v>
      </c>
      <c r="R156">
        <f>IF($J156&gt;MAX('Match Log'!$A$4:$A$810),NA(),IFERROR(LOOKUP(2,1/(('Match Log'!$D$4:$D$810=$R$24)*('Match Log'!$A$4:$A$810&lt;=$J156)),'Match Log'!$N$4:$N$810),NA()))</f>
        <v>0</v>
      </c>
      <c r="S156">
        <f>IF($J156&gt;MAX('Match Log'!$A$4:$A$810),NA(),IFERROR(LOOKUP(2,1/(('Match Log'!$D$4:$D$810=$S$24)*('Match Log'!$A$4:$A$810&lt;=$J156)),'Match Log'!$N$4:$N$810),NA()))</f>
        <v>0</v>
      </c>
      <c r="T156">
        <f>IF($J156&gt;MAX('Match Log'!$A$4:$A$810),NA(),IFERROR(LOOKUP(2,1/(('Match Log'!$D$4:$D$810=$T$24)*('Match Log'!$A$4:$A$810&lt;=$J156)),'Match Log'!$N$4:$N$810),NA()))</f>
        <v>0</v>
      </c>
      <c r="U156">
        <f>IF($J156&gt;MAX('Match Log'!$A$4:$A$810),NA(),IFERROR(LOOKUP(2,1/(('Match Log'!$D$4:$D$810=$U$24)*('Match Log'!$A$4:$A$810&lt;=$J156)),'Match Log'!$N$4:$N$810),NA()))</f>
        <v>0</v>
      </c>
      <c r="V156">
        <f>IF($J156&gt;MAX('Match Log'!$A$4:$A$810),NA(),IFERROR(LOOKUP(2,1/(('Match Log'!$D$4:$D$810=$V$24)*('Match Log'!$A$4:$A$810&lt;=$J156)),'Match Log'!$N$4:$N$810),NA()))</f>
        <v>0</v>
      </c>
      <c r="W156">
        <f>IF($J156&gt;MAX('Match Log'!$A$4:$A$810),NA(),IFERROR(LOOKUP(2,1/(('Match Log'!$D$4:$D$810=$W$24)*('Match Log'!$A$4:$A$810&lt;=$J156)),'Match Log'!$N$4:$N$810),NA()))</f>
        <v>0</v>
      </c>
      <c r="X156">
        <f>IF($J156&gt;MAX('Match Log'!$A$4:$A$810),NA(),IFERROR(LOOKUP(2,1/(('Match Log'!$D$4:$D$810=$X$24)*('Match Log'!$A$4:$A$810&lt;=$J156)),'Match Log'!$N$4:$N$810),NA()))</f>
        <v>0</v>
      </c>
      <c r="Y156" t="str">
        <f>IF(AND($B156&lt;&gt;"",$B156&gt;=$B$5,$I156&lt;&gt;""),$I156,"")</f>
      </c>
    </row>
    <row r="157">
      <c r="A157">
        <v>133</v>
      </c>
      <c r="B157">
        <f>IFERROR(INDEX('Match Log'!$B$4:$B$810,MATCH(133,'Match Log'!$A$4:$A$810,0)),"")</f>
        <v>0</v>
      </c>
      <c r="C157" t="str">
        <f>IFERROR(INDEX('Match Log'!$C$4:$C$810,MATCH(133,'Match Log'!$A$4:$A$810,0)),"")</f>
      </c>
      <c r="D157" t="str">
        <f>IFERROR(INDEX('Match Log'!$G$4:$G$810,MATCH(133,'Match Log'!$A$4:$A$810,0)),"")</f>
      </c>
      <c r="E157">
        <f>IFERROR(INDEX('Match Log'!$F$4:$F$810,MATCH(133,'Match Log'!$A$4:$A$810,0)),"")</f>
        <v>0</v>
      </c>
      <c r="F157">
        <f>IFERROR(SUMIFS('Match Log'!$I$4:$I$810,'Match Log'!$A$4:$A$810,133,'Match Log'!$E$4:$E$810,"Win"),"")</f>
        <v>0</v>
      </c>
      <c r="G157">
        <f>IF($D157="","",1-$F157*$E157)</f>
        <v>0</v>
      </c>
      <c r="H157" t="str">
        <f>IFERROR(IF($E157=2,LOOKUP(2,1/(('Match Log'!$A$4:$A$810=133)*('Match Log'!$E$4:$E$810="Loss")),'Match Log'!$D$4:$D$810),"the field"),"")</f>
      </c>
      <c r="I157">
        <f>IF($G157="","",$G157-$A157/1000000)</f>
        <v>0</v>
      </c>
      <c r="J157">
        <v>133</v>
      </c>
      <c r="K157">
        <f>IF($J157&gt;MAX('Match Log'!$A$4:$A$810),NA(),IFERROR(LOOKUP(2,1/(('Match Log'!$D$4:$D$810=$K$24)*('Match Log'!$A$4:$A$810&lt;=$J157)),'Match Log'!$N$4:$N$810),NA()))</f>
        <v>0</v>
      </c>
      <c r="L157">
        <f>IF($J157&gt;MAX('Match Log'!$A$4:$A$810),NA(),IFERROR(LOOKUP(2,1/(('Match Log'!$D$4:$D$810=$L$24)*('Match Log'!$A$4:$A$810&lt;=$J157)),'Match Log'!$N$4:$N$810),NA()))</f>
        <v>0</v>
      </c>
      <c r="M157">
        <f>IF($J157&gt;MAX('Match Log'!$A$4:$A$810),NA(),IFERROR(LOOKUP(2,1/(('Match Log'!$D$4:$D$810=$M$24)*('Match Log'!$A$4:$A$810&lt;=$J157)),'Match Log'!$N$4:$N$810),NA()))</f>
        <v>0</v>
      </c>
      <c r="N157">
        <f>IF($J157&gt;MAX('Match Log'!$A$4:$A$810),NA(),IFERROR(LOOKUP(2,1/(('Match Log'!$D$4:$D$810=$N$24)*('Match Log'!$A$4:$A$810&lt;=$J157)),'Match Log'!$N$4:$N$810),NA()))</f>
        <v>0</v>
      </c>
      <c r="O157">
        <f>IF($J157&gt;MAX('Match Log'!$A$4:$A$810),NA(),IFERROR(LOOKUP(2,1/(('Match Log'!$D$4:$D$810=$O$24)*('Match Log'!$A$4:$A$810&lt;=$J157)),'Match Log'!$N$4:$N$810),NA()))</f>
        <v>0</v>
      </c>
      <c r="P157">
        <f>IF($J157&gt;MAX('Match Log'!$A$4:$A$810),NA(),IFERROR(LOOKUP(2,1/(('Match Log'!$D$4:$D$810=$P$24)*('Match Log'!$A$4:$A$810&lt;=$J157)),'Match Log'!$N$4:$N$810),NA()))</f>
        <v>0</v>
      </c>
      <c r="Q157">
        <f>IF($J157&gt;MAX('Match Log'!$A$4:$A$810),NA(),IFERROR(LOOKUP(2,1/(('Match Log'!$D$4:$D$810=$Q$24)*('Match Log'!$A$4:$A$810&lt;=$J157)),'Match Log'!$N$4:$N$810),NA()))</f>
        <v>0</v>
      </c>
      <c r="R157">
        <f>IF($J157&gt;MAX('Match Log'!$A$4:$A$810),NA(),IFERROR(LOOKUP(2,1/(('Match Log'!$D$4:$D$810=$R$24)*('Match Log'!$A$4:$A$810&lt;=$J157)),'Match Log'!$N$4:$N$810),NA()))</f>
        <v>0</v>
      </c>
      <c r="S157">
        <f>IF($J157&gt;MAX('Match Log'!$A$4:$A$810),NA(),IFERROR(LOOKUP(2,1/(('Match Log'!$D$4:$D$810=$S$24)*('Match Log'!$A$4:$A$810&lt;=$J157)),'Match Log'!$N$4:$N$810),NA()))</f>
        <v>0</v>
      </c>
      <c r="T157">
        <f>IF($J157&gt;MAX('Match Log'!$A$4:$A$810),NA(),IFERROR(LOOKUP(2,1/(('Match Log'!$D$4:$D$810=$T$24)*('Match Log'!$A$4:$A$810&lt;=$J157)),'Match Log'!$N$4:$N$810),NA()))</f>
        <v>0</v>
      </c>
      <c r="U157">
        <f>IF($J157&gt;MAX('Match Log'!$A$4:$A$810),NA(),IFERROR(LOOKUP(2,1/(('Match Log'!$D$4:$D$810=$U$24)*('Match Log'!$A$4:$A$810&lt;=$J157)),'Match Log'!$N$4:$N$810),NA()))</f>
        <v>0</v>
      </c>
      <c r="V157">
        <f>IF($J157&gt;MAX('Match Log'!$A$4:$A$810),NA(),IFERROR(LOOKUP(2,1/(('Match Log'!$D$4:$D$810=$V$24)*('Match Log'!$A$4:$A$810&lt;=$J157)),'Match Log'!$N$4:$N$810),NA()))</f>
        <v>0</v>
      </c>
      <c r="W157">
        <f>IF($J157&gt;MAX('Match Log'!$A$4:$A$810),NA(),IFERROR(LOOKUP(2,1/(('Match Log'!$D$4:$D$810=$W$24)*('Match Log'!$A$4:$A$810&lt;=$J157)),'Match Log'!$N$4:$N$810),NA()))</f>
        <v>0</v>
      </c>
      <c r="X157">
        <f>IF($J157&gt;MAX('Match Log'!$A$4:$A$810),NA(),IFERROR(LOOKUP(2,1/(('Match Log'!$D$4:$D$810=$X$24)*('Match Log'!$A$4:$A$810&lt;=$J157)),'Match Log'!$N$4:$N$810),NA()))</f>
        <v>0</v>
      </c>
      <c r="Y157" t="str">
        <f>IF(AND($B157&lt;&gt;"",$B157&gt;=$B$5,$I157&lt;&gt;""),$I157,"")</f>
      </c>
    </row>
    <row r="158">
      <c r="A158">
        <v>134</v>
      </c>
      <c r="B158">
        <f>IFERROR(INDEX('Match Log'!$B$4:$B$810,MATCH(134,'Match Log'!$A$4:$A$810,0)),"")</f>
        <v>0</v>
      </c>
      <c r="C158" t="str">
        <f>IFERROR(INDEX('Match Log'!$C$4:$C$810,MATCH(134,'Match Log'!$A$4:$A$810,0)),"")</f>
      </c>
      <c r="D158" t="str">
        <f>IFERROR(INDEX('Match Log'!$G$4:$G$810,MATCH(134,'Match Log'!$A$4:$A$810,0)),"")</f>
      </c>
      <c r="E158">
        <f>IFERROR(INDEX('Match Log'!$F$4:$F$810,MATCH(134,'Match Log'!$A$4:$A$810,0)),"")</f>
        <v>0</v>
      </c>
      <c r="F158">
        <f>IFERROR(SUMIFS('Match Log'!$I$4:$I$810,'Match Log'!$A$4:$A$810,134,'Match Log'!$E$4:$E$810,"Win"),"")</f>
        <v>0</v>
      </c>
      <c r="G158">
        <f>IF($D158="","",1-$F158*$E158)</f>
        <v>0</v>
      </c>
      <c r="H158" t="str">
        <f>IFERROR(IF($E158=2,LOOKUP(2,1/(('Match Log'!$A$4:$A$810=134)*('Match Log'!$E$4:$E$810="Loss")),'Match Log'!$D$4:$D$810),"the field"),"")</f>
      </c>
      <c r="I158">
        <f>IF($G158="","",$G158-$A158/1000000)</f>
        <v>0</v>
      </c>
      <c r="J158">
        <v>134</v>
      </c>
      <c r="K158">
        <f>IF($J158&gt;MAX('Match Log'!$A$4:$A$810),NA(),IFERROR(LOOKUP(2,1/(('Match Log'!$D$4:$D$810=$K$24)*('Match Log'!$A$4:$A$810&lt;=$J158)),'Match Log'!$N$4:$N$810),NA()))</f>
        <v>0</v>
      </c>
      <c r="L158">
        <f>IF($J158&gt;MAX('Match Log'!$A$4:$A$810),NA(),IFERROR(LOOKUP(2,1/(('Match Log'!$D$4:$D$810=$L$24)*('Match Log'!$A$4:$A$810&lt;=$J158)),'Match Log'!$N$4:$N$810),NA()))</f>
        <v>0</v>
      </c>
      <c r="M158">
        <f>IF($J158&gt;MAX('Match Log'!$A$4:$A$810),NA(),IFERROR(LOOKUP(2,1/(('Match Log'!$D$4:$D$810=$M$24)*('Match Log'!$A$4:$A$810&lt;=$J158)),'Match Log'!$N$4:$N$810),NA()))</f>
        <v>0</v>
      </c>
      <c r="N158">
        <f>IF($J158&gt;MAX('Match Log'!$A$4:$A$810),NA(),IFERROR(LOOKUP(2,1/(('Match Log'!$D$4:$D$810=$N$24)*('Match Log'!$A$4:$A$810&lt;=$J158)),'Match Log'!$N$4:$N$810),NA()))</f>
        <v>0</v>
      </c>
      <c r="O158">
        <f>IF($J158&gt;MAX('Match Log'!$A$4:$A$810),NA(),IFERROR(LOOKUP(2,1/(('Match Log'!$D$4:$D$810=$O$24)*('Match Log'!$A$4:$A$810&lt;=$J158)),'Match Log'!$N$4:$N$810),NA()))</f>
        <v>0</v>
      </c>
      <c r="P158">
        <f>IF($J158&gt;MAX('Match Log'!$A$4:$A$810),NA(),IFERROR(LOOKUP(2,1/(('Match Log'!$D$4:$D$810=$P$24)*('Match Log'!$A$4:$A$810&lt;=$J158)),'Match Log'!$N$4:$N$810),NA()))</f>
        <v>0</v>
      </c>
      <c r="Q158">
        <f>IF($J158&gt;MAX('Match Log'!$A$4:$A$810),NA(),IFERROR(LOOKUP(2,1/(('Match Log'!$D$4:$D$810=$Q$24)*('Match Log'!$A$4:$A$810&lt;=$J158)),'Match Log'!$N$4:$N$810),NA()))</f>
        <v>0</v>
      </c>
      <c r="R158">
        <f>IF($J158&gt;MAX('Match Log'!$A$4:$A$810),NA(),IFERROR(LOOKUP(2,1/(('Match Log'!$D$4:$D$810=$R$24)*('Match Log'!$A$4:$A$810&lt;=$J158)),'Match Log'!$N$4:$N$810),NA()))</f>
        <v>0</v>
      </c>
      <c r="S158">
        <f>IF($J158&gt;MAX('Match Log'!$A$4:$A$810),NA(),IFERROR(LOOKUP(2,1/(('Match Log'!$D$4:$D$810=$S$24)*('Match Log'!$A$4:$A$810&lt;=$J158)),'Match Log'!$N$4:$N$810),NA()))</f>
        <v>0</v>
      </c>
      <c r="T158">
        <f>IF($J158&gt;MAX('Match Log'!$A$4:$A$810),NA(),IFERROR(LOOKUP(2,1/(('Match Log'!$D$4:$D$810=$T$24)*('Match Log'!$A$4:$A$810&lt;=$J158)),'Match Log'!$N$4:$N$810),NA()))</f>
        <v>0</v>
      </c>
      <c r="U158">
        <f>IF($J158&gt;MAX('Match Log'!$A$4:$A$810),NA(),IFERROR(LOOKUP(2,1/(('Match Log'!$D$4:$D$810=$U$24)*('Match Log'!$A$4:$A$810&lt;=$J158)),'Match Log'!$N$4:$N$810),NA()))</f>
        <v>0</v>
      </c>
      <c r="V158">
        <f>IF($J158&gt;MAX('Match Log'!$A$4:$A$810),NA(),IFERROR(LOOKUP(2,1/(('Match Log'!$D$4:$D$810=$V$24)*('Match Log'!$A$4:$A$810&lt;=$J158)),'Match Log'!$N$4:$N$810),NA()))</f>
        <v>0</v>
      </c>
      <c r="W158">
        <f>IF($J158&gt;MAX('Match Log'!$A$4:$A$810),NA(),IFERROR(LOOKUP(2,1/(('Match Log'!$D$4:$D$810=$W$24)*('Match Log'!$A$4:$A$810&lt;=$J158)),'Match Log'!$N$4:$N$810),NA()))</f>
        <v>0</v>
      </c>
      <c r="X158">
        <f>IF($J158&gt;MAX('Match Log'!$A$4:$A$810),NA(),IFERROR(LOOKUP(2,1/(('Match Log'!$D$4:$D$810=$X$24)*('Match Log'!$A$4:$A$810&lt;=$J158)),'Match Log'!$N$4:$N$810),NA()))</f>
        <v>0</v>
      </c>
      <c r="Y158" t="str">
        <f>IF(AND($B158&lt;&gt;"",$B158&gt;=$B$5,$I158&lt;&gt;""),$I158,"")</f>
      </c>
    </row>
    <row r="159">
      <c r="A159">
        <v>135</v>
      </c>
      <c r="B159">
        <f>IFERROR(INDEX('Match Log'!$B$4:$B$810,MATCH(135,'Match Log'!$A$4:$A$810,0)),"")</f>
        <v>0</v>
      </c>
      <c r="C159" t="str">
        <f>IFERROR(INDEX('Match Log'!$C$4:$C$810,MATCH(135,'Match Log'!$A$4:$A$810,0)),"")</f>
      </c>
      <c r="D159" t="str">
        <f>IFERROR(INDEX('Match Log'!$G$4:$G$810,MATCH(135,'Match Log'!$A$4:$A$810,0)),"")</f>
      </c>
      <c r="E159">
        <f>IFERROR(INDEX('Match Log'!$F$4:$F$810,MATCH(135,'Match Log'!$A$4:$A$810,0)),"")</f>
        <v>0</v>
      </c>
      <c r="F159">
        <f>IFERROR(SUMIFS('Match Log'!$I$4:$I$810,'Match Log'!$A$4:$A$810,135,'Match Log'!$E$4:$E$810,"Win"),"")</f>
        <v>0</v>
      </c>
      <c r="G159">
        <f>IF($D159="","",1-$F159*$E159)</f>
        <v>0</v>
      </c>
      <c r="H159" t="str">
        <f>IFERROR(IF($E159=2,LOOKUP(2,1/(('Match Log'!$A$4:$A$810=135)*('Match Log'!$E$4:$E$810="Loss")),'Match Log'!$D$4:$D$810),"the field"),"")</f>
      </c>
      <c r="I159">
        <f>IF($G159="","",$G159-$A159/1000000)</f>
        <v>0</v>
      </c>
      <c r="J159">
        <v>135</v>
      </c>
      <c r="K159">
        <f>IF($J159&gt;MAX('Match Log'!$A$4:$A$810),NA(),IFERROR(LOOKUP(2,1/(('Match Log'!$D$4:$D$810=$K$24)*('Match Log'!$A$4:$A$810&lt;=$J159)),'Match Log'!$N$4:$N$810),NA()))</f>
        <v>0</v>
      </c>
      <c r="L159">
        <f>IF($J159&gt;MAX('Match Log'!$A$4:$A$810),NA(),IFERROR(LOOKUP(2,1/(('Match Log'!$D$4:$D$810=$L$24)*('Match Log'!$A$4:$A$810&lt;=$J159)),'Match Log'!$N$4:$N$810),NA()))</f>
        <v>0</v>
      </c>
      <c r="M159">
        <f>IF($J159&gt;MAX('Match Log'!$A$4:$A$810),NA(),IFERROR(LOOKUP(2,1/(('Match Log'!$D$4:$D$810=$M$24)*('Match Log'!$A$4:$A$810&lt;=$J159)),'Match Log'!$N$4:$N$810),NA()))</f>
        <v>0</v>
      </c>
      <c r="N159">
        <f>IF($J159&gt;MAX('Match Log'!$A$4:$A$810),NA(),IFERROR(LOOKUP(2,1/(('Match Log'!$D$4:$D$810=$N$24)*('Match Log'!$A$4:$A$810&lt;=$J159)),'Match Log'!$N$4:$N$810),NA()))</f>
        <v>0</v>
      </c>
      <c r="O159">
        <f>IF($J159&gt;MAX('Match Log'!$A$4:$A$810),NA(),IFERROR(LOOKUP(2,1/(('Match Log'!$D$4:$D$810=$O$24)*('Match Log'!$A$4:$A$810&lt;=$J159)),'Match Log'!$N$4:$N$810),NA()))</f>
        <v>0</v>
      </c>
      <c r="P159">
        <f>IF($J159&gt;MAX('Match Log'!$A$4:$A$810),NA(),IFERROR(LOOKUP(2,1/(('Match Log'!$D$4:$D$810=$P$24)*('Match Log'!$A$4:$A$810&lt;=$J159)),'Match Log'!$N$4:$N$810),NA()))</f>
        <v>0</v>
      </c>
      <c r="Q159">
        <f>IF($J159&gt;MAX('Match Log'!$A$4:$A$810),NA(),IFERROR(LOOKUP(2,1/(('Match Log'!$D$4:$D$810=$Q$24)*('Match Log'!$A$4:$A$810&lt;=$J159)),'Match Log'!$N$4:$N$810),NA()))</f>
        <v>0</v>
      </c>
      <c r="R159">
        <f>IF($J159&gt;MAX('Match Log'!$A$4:$A$810),NA(),IFERROR(LOOKUP(2,1/(('Match Log'!$D$4:$D$810=$R$24)*('Match Log'!$A$4:$A$810&lt;=$J159)),'Match Log'!$N$4:$N$810),NA()))</f>
        <v>0</v>
      </c>
      <c r="S159">
        <f>IF($J159&gt;MAX('Match Log'!$A$4:$A$810),NA(),IFERROR(LOOKUP(2,1/(('Match Log'!$D$4:$D$810=$S$24)*('Match Log'!$A$4:$A$810&lt;=$J159)),'Match Log'!$N$4:$N$810),NA()))</f>
        <v>0</v>
      </c>
      <c r="T159">
        <f>IF($J159&gt;MAX('Match Log'!$A$4:$A$810),NA(),IFERROR(LOOKUP(2,1/(('Match Log'!$D$4:$D$810=$T$24)*('Match Log'!$A$4:$A$810&lt;=$J159)),'Match Log'!$N$4:$N$810),NA()))</f>
        <v>0</v>
      </c>
      <c r="U159">
        <f>IF($J159&gt;MAX('Match Log'!$A$4:$A$810),NA(),IFERROR(LOOKUP(2,1/(('Match Log'!$D$4:$D$810=$U$24)*('Match Log'!$A$4:$A$810&lt;=$J159)),'Match Log'!$N$4:$N$810),NA()))</f>
        <v>0</v>
      </c>
      <c r="V159">
        <f>IF($J159&gt;MAX('Match Log'!$A$4:$A$810),NA(),IFERROR(LOOKUP(2,1/(('Match Log'!$D$4:$D$810=$V$24)*('Match Log'!$A$4:$A$810&lt;=$J159)),'Match Log'!$N$4:$N$810),NA()))</f>
        <v>0</v>
      </c>
      <c r="W159">
        <f>IF($J159&gt;MAX('Match Log'!$A$4:$A$810),NA(),IFERROR(LOOKUP(2,1/(('Match Log'!$D$4:$D$810=$W$24)*('Match Log'!$A$4:$A$810&lt;=$J159)),'Match Log'!$N$4:$N$810),NA()))</f>
        <v>0</v>
      </c>
      <c r="X159">
        <f>IF($J159&gt;MAX('Match Log'!$A$4:$A$810),NA(),IFERROR(LOOKUP(2,1/(('Match Log'!$D$4:$D$810=$X$24)*('Match Log'!$A$4:$A$810&lt;=$J159)),'Match Log'!$N$4:$N$810),NA()))</f>
        <v>0</v>
      </c>
      <c r="Y159" t="str">
        <f>IF(AND($B159&lt;&gt;"",$B159&gt;=$B$5,$I159&lt;&gt;""),$I159,"")</f>
      </c>
    </row>
    <row r="160">
      <c r="A160">
        <v>136</v>
      </c>
      <c r="B160">
        <f>IFERROR(INDEX('Match Log'!$B$4:$B$810,MATCH(136,'Match Log'!$A$4:$A$810,0)),"")</f>
        <v>0</v>
      </c>
      <c r="C160" t="str">
        <f>IFERROR(INDEX('Match Log'!$C$4:$C$810,MATCH(136,'Match Log'!$A$4:$A$810,0)),"")</f>
      </c>
      <c r="D160" t="str">
        <f>IFERROR(INDEX('Match Log'!$G$4:$G$810,MATCH(136,'Match Log'!$A$4:$A$810,0)),"")</f>
      </c>
      <c r="E160">
        <f>IFERROR(INDEX('Match Log'!$F$4:$F$810,MATCH(136,'Match Log'!$A$4:$A$810,0)),"")</f>
        <v>0</v>
      </c>
      <c r="F160">
        <f>IFERROR(SUMIFS('Match Log'!$I$4:$I$810,'Match Log'!$A$4:$A$810,136,'Match Log'!$E$4:$E$810,"Win"),"")</f>
        <v>0</v>
      </c>
      <c r="G160">
        <f>IF($D160="","",1-$F160*$E160)</f>
        <v>0</v>
      </c>
      <c r="H160" t="str">
        <f>IFERROR(IF($E160=2,LOOKUP(2,1/(('Match Log'!$A$4:$A$810=136)*('Match Log'!$E$4:$E$810="Loss")),'Match Log'!$D$4:$D$810),"the field"),"")</f>
      </c>
      <c r="I160">
        <f>IF($G160="","",$G160-$A160/1000000)</f>
        <v>0</v>
      </c>
      <c r="J160">
        <v>136</v>
      </c>
      <c r="K160">
        <f>IF($J160&gt;MAX('Match Log'!$A$4:$A$810),NA(),IFERROR(LOOKUP(2,1/(('Match Log'!$D$4:$D$810=$K$24)*('Match Log'!$A$4:$A$810&lt;=$J160)),'Match Log'!$N$4:$N$810),NA()))</f>
        <v>0</v>
      </c>
      <c r="L160">
        <f>IF($J160&gt;MAX('Match Log'!$A$4:$A$810),NA(),IFERROR(LOOKUP(2,1/(('Match Log'!$D$4:$D$810=$L$24)*('Match Log'!$A$4:$A$810&lt;=$J160)),'Match Log'!$N$4:$N$810),NA()))</f>
        <v>0</v>
      </c>
      <c r="M160">
        <f>IF($J160&gt;MAX('Match Log'!$A$4:$A$810),NA(),IFERROR(LOOKUP(2,1/(('Match Log'!$D$4:$D$810=$M$24)*('Match Log'!$A$4:$A$810&lt;=$J160)),'Match Log'!$N$4:$N$810),NA()))</f>
        <v>0</v>
      </c>
      <c r="N160">
        <f>IF($J160&gt;MAX('Match Log'!$A$4:$A$810),NA(),IFERROR(LOOKUP(2,1/(('Match Log'!$D$4:$D$810=$N$24)*('Match Log'!$A$4:$A$810&lt;=$J160)),'Match Log'!$N$4:$N$810),NA()))</f>
        <v>0</v>
      </c>
      <c r="O160">
        <f>IF($J160&gt;MAX('Match Log'!$A$4:$A$810),NA(),IFERROR(LOOKUP(2,1/(('Match Log'!$D$4:$D$810=$O$24)*('Match Log'!$A$4:$A$810&lt;=$J160)),'Match Log'!$N$4:$N$810),NA()))</f>
        <v>0</v>
      </c>
      <c r="P160">
        <f>IF($J160&gt;MAX('Match Log'!$A$4:$A$810),NA(),IFERROR(LOOKUP(2,1/(('Match Log'!$D$4:$D$810=$P$24)*('Match Log'!$A$4:$A$810&lt;=$J160)),'Match Log'!$N$4:$N$810),NA()))</f>
        <v>0</v>
      </c>
      <c r="Q160">
        <f>IF($J160&gt;MAX('Match Log'!$A$4:$A$810),NA(),IFERROR(LOOKUP(2,1/(('Match Log'!$D$4:$D$810=$Q$24)*('Match Log'!$A$4:$A$810&lt;=$J160)),'Match Log'!$N$4:$N$810),NA()))</f>
        <v>0</v>
      </c>
      <c r="R160">
        <f>IF($J160&gt;MAX('Match Log'!$A$4:$A$810),NA(),IFERROR(LOOKUP(2,1/(('Match Log'!$D$4:$D$810=$R$24)*('Match Log'!$A$4:$A$810&lt;=$J160)),'Match Log'!$N$4:$N$810),NA()))</f>
        <v>0</v>
      </c>
      <c r="S160">
        <f>IF($J160&gt;MAX('Match Log'!$A$4:$A$810),NA(),IFERROR(LOOKUP(2,1/(('Match Log'!$D$4:$D$810=$S$24)*('Match Log'!$A$4:$A$810&lt;=$J160)),'Match Log'!$N$4:$N$810),NA()))</f>
        <v>0</v>
      </c>
      <c r="T160">
        <f>IF($J160&gt;MAX('Match Log'!$A$4:$A$810),NA(),IFERROR(LOOKUP(2,1/(('Match Log'!$D$4:$D$810=$T$24)*('Match Log'!$A$4:$A$810&lt;=$J160)),'Match Log'!$N$4:$N$810),NA()))</f>
        <v>0</v>
      </c>
      <c r="U160">
        <f>IF($J160&gt;MAX('Match Log'!$A$4:$A$810),NA(),IFERROR(LOOKUP(2,1/(('Match Log'!$D$4:$D$810=$U$24)*('Match Log'!$A$4:$A$810&lt;=$J160)),'Match Log'!$N$4:$N$810),NA()))</f>
        <v>0</v>
      </c>
      <c r="V160">
        <f>IF($J160&gt;MAX('Match Log'!$A$4:$A$810),NA(),IFERROR(LOOKUP(2,1/(('Match Log'!$D$4:$D$810=$V$24)*('Match Log'!$A$4:$A$810&lt;=$J160)),'Match Log'!$N$4:$N$810),NA()))</f>
        <v>0</v>
      </c>
      <c r="W160">
        <f>IF($J160&gt;MAX('Match Log'!$A$4:$A$810),NA(),IFERROR(LOOKUP(2,1/(('Match Log'!$D$4:$D$810=$W$24)*('Match Log'!$A$4:$A$810&lt;=$J160)),'Match Log'!$N$4:$N$810),NA()))</f>
        <v>0</v>
      </c>
      <c r="X160">
        <f>IF($J160&gt;MAX('Match Log'!$A$4:$A$810),NA(),IFERROR(LOOKUP(2,1/(('Match Log'!$D$4:$D$810=$X$24)*('Match Log'!$A$4:$A$810&lt;=$J160)),'Match Log'!$N$4:$N$810),NA()))</f>
        <v>0</v>
      </c>
      <c r="Y160" t="str">
        <f>IF(AND($B160&lt;&gt;"",$B160&gt;=$B$5,$I160&lt;&gt;""),$I160,"")</f>
      </c>
    </row>
    <row r="161">
      <c r="A161">
        <v>137</v>
      </c>
      <c r="B161">
        <f>IFERROR(INDEX('Match Log'!$B$4:$B$810,MATCH(137,'Match Log'!$A$4:$A$810,0)),"")</f>
        <v>0</v>
      </c>
      <c r="C161" t="str">
        <f>IFERROR(INDEX('Match Log'!$C$4:$C$810,MATCH(137,'Match Log'!$A$4:$A$810,0)),"")</f>
      </c>
      <c r="D161" t="str">
        <f>IFERROR(INDEX('Match Log'!$G$4:$G$810,MATCH(137,'Match Log'!$A$4:$A$810,0)),"")</f>
      </c>
      <c r="E161">
        <f>IFERROR(INDEX('Match Log'!$F$4:$F$810,MATCH(137,'Match Log'!$A$4:$A$810,0)),"")</f>
        <v>0</v>
      </c>
      <c r="F161">
        <f>IFERROR(SUMIFS('Match Log'!$I$4:$I$810,'Match Log'!$A$4:$A$810,137,'Match Log'!$E$4:$E$810,"Win"),"")</f>
        <v>0</v>
      </c>
      <c r="G161">
        <f>IF($D161="","",1-$F161*$E161)</f>
        <v>0</v>
      </c>
      <c r="H161" t="str">
        <f>IFERROR(IF($E161=2,LOOKUP(2,1/(('Match Log'!$A$4:$A$810=137)*('Match Log'!$E$4:$E$810="Loss")),'Match Log'!$D$4:$D$810),"the field"),"")</f>
      </c>
      <c r="I161">
        <f>IF($G161="","",$G161-$A161/1000000)</f>
        <v>0</v>
      </c>
      <c r="J161">
        <v>137</v>
      </c>
      <c r="K161">
        <f>IF($J161&gt;MAX('Match Log'!$A$4:$A$810),NA(),IFERROR(LOOKUP(2,1/(('Match Log'!$D$4:$D$810=$K$24)*('Match Log'!$A$4:$A$810&lt;=$J161)),'Match Log'!$N$4:$N$810),NA()))</f>
        <v>0</v>
      </c>
      <c r="L161">
        <f>IF($J161&gt;MAX('Match Log'!$A$4:$A$810),NA(),IFERROR(LOOKUP(2,1/(('Match Log'!$D$4:$D$810=$L$24)*('Match Log'!$A$4:$A$810&lt;=$J161)),'Match Log'!$N$4:$N$810),NA()))</f>
        <v>0</v>
      </c>
      <c r="M161">
        <f>IF($J161&gt;MAX('Match Log'!$A$4:$A$810),NA(),IFERROR(LOOKUP(2,1/(('Match Log'!$D$4:$D$810=$M$24)*('Match Log'!$A$4:$A$810&lt;=$J161)),'Match Log'!$N$4:$N$810),NA()))</f>
        <v>0</v>
      </c>
      <c r="N161">
        <f>IF($J161&gt;MAX('Match Log'!$A$4:$A$810),NA(),IFERROR(LOOKUP(2,1/(('Match Log'!$D$4:$D$810=$N$24)*('Match Log'!$A$4:$A$810&lt;=$J161)),'Match Log'!$N$4:$N$810),NA()))</f>
        <v>0</v>
      </c>
      <c r="O161">
        <f>IF($J161&gt;MAX('Match Log'!$A$4:$A$810),NA(),IFERROR(LOOKUP(2,1/(('Match Log'!$D$4:$D$810=$O$24)*('Match Log'!$A$4:$A$810&lt;=$J161)),'Match Log'!$N$4:$N$810),NA()))</f>
        <v>0</v>
      </c>
      <c r="P161">
        <f>IF($J161&gt;MAX('Match Log'!$A$4:$A$810),NA(),IFERROR(LOOKUP(2,1/(('Match Log'!$D$4:$D$810=$P$24)*('Match Log'!$A$4:$A$810&lt;=$J161)),'Match Log'!$N$4:$N$810),NA()))</f>
        <v>0</v>
      </c>
      <c r="Q161">
        <f>IF($J161&gt;MAX('Match Log'!$A$4:$A$810),NA(),IFERROR(LOOKUP(2,1/(('Match Log'!$D$4:$D$810=$Q$24)*('Match Log'!$A$4:$A$810&lt;=$J161)),'Match Log'!$N$4:$N$810),NA()))</f>
        <v>0</v>
      </c>
      <c r="R161">
        <f>IF($J161&gt;MAX('Match Log'!$A$4:$A$810),NA(),IFERROR(LOOKUP(2,1/(('Match Log'!$D$4:$D$810=$R$24)*('Match Log'!$A$4:$A$810&lt;=$J161)),'Match Log'!$N$4:$N$810),NA()))</f>
        <v>0</v>
      </c>
      <c r="S161">
        <f>IF($J161&gt;MAX('Match Log'!$A$4:$A$810),NA(),IFERROR(LOOKUP(2,1/(('Match Log'!$D$4:$D$810=$S$24)*('Match Log'!$A$4:$A$810&lt;=$J161)),'Match Log'!$N$4:$N$810),NA()))</f>
        <v>0</v>
      </c>
      <c r="T161">
        <f>IF($J161&gt;MAX('Match Log'!$A$4:$A$810),NA(),IFERROR(LOOKUP(2,1/(('Match Log'!$D$4:$D$810=$T$24)*('Match Log'!$A$4:$A$810&lt;=$J161)),'Match Log'!$N$4:$N$810),NA()))</f>
        <v>0</v>
      </c>
      <c r="U161">
        <f>IF($J161&gt;MAX('Match Log'!$A$4:$A$810),NA(),IFERROR(LOOKUP(2,1/(('Match Log'!$D$4:$D$810=$U$24)*('Match Log'!$A$4:$A$810&lt;=$J161)),'Match Log'!$N$4:$N$810),NA()))</f>
        <v>0</v>
      </c>
      <c r="V161">
        <f>IF($J161&gt;MAX('Match Log'!$A$4:$A$810),NA(),IFERROR(LOOKUP(2,1/(('Match Log'!$D$4:$D$810=$V$24)*('Match Log'!$A$4:$A$810&lt;=$J161)),'Match Log'!$N$4:$N$810),NA()))</f>
        <v>0</v>
      </c>
      <c r="W161">
        <f>IF($J161&gt;MAX('Match Log'!$A$4:$A$810),NA(),IFERROR(LOOKUP(2,1/(('Match Log'!$D$4:$D$810=$W$24)*('Match Log'!$A$4:$A$810&lt;=$J161)),'Match Log'!$N$4:$N$810),NA()))</f>
        <v>0</v>
      </c>
      <c r="X161">
        <f>IF($J161&gt;MAX('Match Log'!$A$4:$A$810),NA(),IFERROR(LOOKUP(2,1/(('Match Log'!$D$4:$D$810=$X$24)*('Match Log'!$A$4:$A$810&lt;=$J161)),'Match Log'!$N$4:$N$810),NA()))</f>
        <v>0</v>
      </c>
      <c r="Y161" t="str">
        <f>IF(AND($B161&lt;&gt;"",$B161&gt;=$B$5,$I161&lt;&gt;""),$I161,"")</f>
      </c>
    </row>
    <row r="162">
      <c r="A162">
        <v>138</v>
      </c>
      <c r="B162">
        <f>IFERROR(INDEX('Match Log'!$B$4:$B$810,MATCH(138,'Match Log'!$A$4:$A$810,0)),"")</f>
        <v>0</v>
      </c>
      <c r="C162" t="str">
        <f>IFERROR(INDEX('Match Log'!$C$4:$C$810,MATCH(138,'Match Log'!$A$4:$A$810,0)),"")</f>
      </c>
      <c r="D162" t="str">
        <f>IFERROR(INDEX('Match Log'!$G$4:$G$810,MATCH(138,'Match Log'!$A$4:$A$810,0)),"")</f>
      </c>
      <c r="E162">
        <f>IFERROR(INDEX('Match Log'!$F$4:$F$810,MATCH(138,'Match Log'!$A$4:$A$810,0)),"")</f>
        <v>0</v>
      </c>
      <c r="F162">
        <f>IFERROR(SUMIFS('Match Log'!$I$4:$I$810,'Match Log'!$A$4:$A$810,138,'Match Log'!$E$4:$E$810,"Win"),"")</f>
        <v>0</v>
      </c>
      <c r="G162">
        <f>IF($D162="","",1-$F162*$E162)</f>
        <v>0</v>
      </c>
      <c r="H162" t="str">
        <f>IFERROR(IF($E162=2,LOOKUP(2,1/(('Match Log'!$A$4:$A$810=138)*('Match Log'!$E$4:$E$810="Loss")),'Match Log'!$D$4:$D$810),"the field"),"")</f>
      </c>
      <c r="I162">
        <f>IF($G162="","",$G162-$A162/1000000)</f>
        <v>0</v>
      </c>
      <c r="J162">
        <v>138</v>
      </c>
      <c r="K162">
        <f>IF($J162&gt;MAX('Match Log'!$A$4:$A$810),NA(),IFERROR(LOOKUP(2,1/(('Match Log'!$D$4:$D$810=$K$24)*('Match Log'!$A$4:$A$810&lt;=$J162)),'Match Log'!$N$4:$N$810),NA()))</f>
        <v>0</v>
      </c>
      <c r="L162">
        <f>IF($J162&gt;MAX('Match Log'!$A$4:$A$810),NA(),IFERROR(LOOKUP(2,1/(('Match Log'!$D$4:$D$810=$L$24)*('Match Log'!$A$4:$A$810&lt;=$J162)),'Match Log'!$N$4:$N$810),NA()))</f>
        <v>0</v>
      </c>
      <c r="M162">
        <f>IF($J162&gt;MAX('Match Log'!$A$4:$A$810),NA(),IFERROR(LOOKUP(2,1/(('Match Log'!$D$4:$D$810=$M$24)*('Match Log'!$A$4:$A$810&lt;=$J162)),'Match Log'!$N$4:$N$810),NA()))</f>
        <v>0</v>
      </c>
      <c r="N162">
        <f>IF($J162&gt;MAX('Match Log'!$A$4:$A$810),NA(),IFERROR(LOOKUP(2,1/(('Match Log'!$D$4:$D$810=$N$24)*('Match Log'!$A$4:$A$810&lt;=$J162)),'Match Log'!$N$4:$N$810),NA()))</f>
        <v>0</v>
      </c>
      <c r="O162">
        <f>IF($J162&gt;MAX('Match Log'!$A$4:$A$810),NA(),IFERROR(LOOKUP(2,1/(('Match Log'!$D$4:$D$810=$O$24)*('Match Log'!$A$4:$A$810&lt;=$J162)),'Match Log'!$N$4:$N$810),NA()))</f>
        <v>0</v>
      </c>
      <c r="P162">
        <f>IF($J162&gt;MAX('Match Log'!$A$4:$A$810),NA(),IFERROR(LOOKUP(2,1/(('Match Log'!$D$4:$D$810=$P$24)*('Match Log'!$A$4:$A$810&lt;=$J162)),'Match Log'!$N$4:$N$810),NA()))</f>
        <v>0</v>
      </c>
      <c r="Q162">
        <f>IF($J162&gt;MAX('Match Log'!$A$4:$A$810),NA(),IFERROR(LOOKUP(2,1/(('Match Log'!$D$4:$D$810=$Q$24)*('Match Log'!$A$4:$A$810&lt;=$J162)),'Match Log'!$N$4:$N$810),NA()))</f>
        <v>0</v>
      </c>
      <c r="R162">
        <f>IF($J162&gt;MAX('Match Log'!$A$4:$A$810),NA(),IFERROR(LOOKUP(2,1/(('Match Log'!$D$4:$D$810=$R$24)*('Match Log'!$A$4:$A$810&lt;=$J162)),'Match Log'!$N$4:$N$810),NA()))</f>
        <v>0</v>
      </c>
      <c r="S162">
        <f>IF($J162&gt;MAX('Match Log'!$A$4:$A$810),NA(),IFERROR(LOOKUP(2,1/(('Match Log'!$D$4:$D$810=$S$24)*('Match Log'!$A$4:$A$810&lt;=$J162)),'Match Log'!$N$4:$N$810),NA()))</f>
        <v>0</v>
      </c>
      <c r="T162">
        <f>IF($J162&gt;MAX('Match Log'!$A$4:$A$810),NA(),IFERROR(LOOKUP(2,1/(('Match Log'!$D$4:$D$810=$T$24)*('Match Log'!$A$4:$A$810&lt;=$J162)),'Match Log'!$N$4:$N$810),NA()))</f>
        <v>0</v>
      </c>
      <c r="U162">
        <f>IF($J162&gt;MAX('Match Log'!$A$4:$A$810),NA(),IFERROR(LOOKUP(2,1/(('Match Log'!$D$4:$D$810=$U$24)*('Match Log'!$A$4:$A$810&lt;=$J162)),'Match Log'!$N$4:$N$810),NA()))</f>
        <v>0</v>
      </c>
      <c r="V162">
        <f>IF($J162&gt;MAX('Match Log'!$A$4:$A$810),NA(),IFERROR(LOOKUP(2,1/(('Match Log'!$D$4:$D$810=$V$24)*('Match Log'!$A$4:$A$810&lt;=$J162)),'Match Log'!$N$4:$N$810),NA()))</f>
        <v>0</v>
      </c>
      <c r="W162">
        <f>IF($J162&gt;MAX('Match Log'!$A$4:$A$810),NA(),IFERROR(LOOKUP(2,1/(('Match Log'!$D$4:$D$810=$W$24)*('Match Log'!$A$4:$A$810&lt;=$J162)),'Match Log'!$N$4:$N$810),NA()))</f>
        <v>0</v>
      </c>
      <c r="X162">
        <f>IF($J162&gt;MAX('Match Log'!$A$4:$A$810),NA(),IFERROR(LOOKUP(2,1/(('Match Log'!$D$4:$D$810=$X$24)*('Match Log'!$A$4:$A$810&lt;=$J162)),'Match Log'!$N$4:$N$810),NA()))</f>
        <v>0</v>
      </c>
      <c r="Y162" t="str">
        <f>IF(AND($B162&lt;&gt;"",$B162&gt;=$B$5,$I162&lt;&gt;""),$I162,"")</f>
      </c>
    </row>
    <row r="163">
      <c r="A163">
        <v>139</v>
      </c>
      <c r="B163">
        <f>IFERROR(INDEX('Match Log'!$B$4:$B$810,MATCH(139,'Match Log'!$A$4:$A$810,0)),"")</f>
        <v>0</v>
      </c>
      <c r="C163" t="str">
        <f>IFERROR(INDEX('Match Log'!$C$4:$C$810,MATCH(139,'Match Log'!$A$4:$A$810,0)),"")</f>
      </c>
      <c r="D163" t="str">
        <f>IFERROR(INDEX('Match Log'!$G$4:$G$810,MATCH(139,'Match Log'!$A$4:$A$810,0)),"")</f>
      </c>
      <c r="E163">
        <f>IFERROR(INDEX('Match Log'!$F$4:$F$810,MATCH(139,'Match Log'!$A$4:$A$810,0)),"")</f>
        <v>0</v>
      </c>
      <c r="F163">
        <f>IFERROR(SUMIFS('Match Log'!$I$4:$I$810,'Match Log'!$A$4:$A$810,139,'Match Log'!$E$4:$E$810,"Win"),"")</f>
        <v>0</v>
      </c>
      <c r="G163">
        <f>IF($D163="","",1-$F163*$E163)</f>
        <v>0</v>
      </c>
      <c r="H163" t="str">
        <f>IFERROR(IF($E163=2,LOOKUP(2,1/(('Match Log'!$A$4:$A$810=139)*('Match Log'!$E$4:$E$810="Loss")),'Match Log'!$D$4:$D$810),"the field"),"")</f>
      </c>
      <c r="I163">
        <f>IF($G163="","",$G163-$A163/1000000)</f>
        <v>0</v>
      </c>
      <c r="J163">
        <v>139</v>
      </c>
      <c r="K163">
        <f>IF($J163&gt;MAX('Match Log'!$A$4:$A$810),NA(),IFERROR(LOOKUP(2,1/(('Match Log'!$D$4:$D$810=$K$24)*('Match Log'!$A$4:$A$810&lt;=$J163)),'Match Log'!$N$4:$N$810),NA()))</f>
        <v>0</v>
      </c>
      <c r="L163">
        <f>IF($J163&gt;MAX('Match Log'!$A$4:$A$810),NA(),IFERROR(LOOKUP(2,1/(('Match Log'!$D$4:$D$810=$L$24)*('Match Log'!$A$4:$A$810&lt;=$J163)),'Match Log'!$N$4:$N$810),NA()))</f>
        <v>0</v>
      </c>
      <c r="M163">
        <f>IF($J163&gt;MAX('Match Log'!$A$4:$A$810),NA(),IFERROR(LOOKUP(2,1/(('Match Log'!$D$4:$D$810=$M$24)*('Match Log'!$A$4:$A$810&lt;=$J163)),'Match Log'!$N$4:$N$810),NA()))</f>
        <v>0</v>
      </c>
      <c r="N163">
        <f>IF($J163&gt;MAX('Match Log'!$A$4:$A$810),NA(),IFERROR(LOOKUP(2,1/(('Match Log'!$D$4:$D$810=$N$24)*('Match Log'!$A$4:$A$810&lt;=$J163)),'Match Log'!$N$4:$N$810),NA()))</f>
        <v>0</v>
      </c>
      <c r="O163">
        <f>IF($J163&gt;MAX('Match Log'!$A$4:$A$810),NA(),IFERROR(LOOKUP(2,1/(('Match Log'!$D$4:$D$810=$O$24)*('Match Log'!$A$4:$A$810&lt;=$J163)),'Match Log'!$N$4:$N$810),NA()))</f>
        <v>0</v>
      </c>
      <c r="P163">
        <f>IF($J163&gt;MAX('Match Log'!$A$4:$A$810),NA(),IFERROR(LOOKUP(2,1/(('Match Log'!$D$4:$D$810=$P$24)*('Match Log'!$A$4:$A$810&lt;=$J163)),'Match Log'!$N$4:$N$810),NA()))</f>
        <v>0</v>
      </c>
      <c r="Q163">
        <f>IF($J163&gt;MAX('Match Log'!$A$4:$A$810),NA(),IFERROR(LOOKUP(2,1/(('Match Log'!$D$4:$D$810=$Q$24)*('Match Log'!$A$4:$A$810&lt;=$J163)),'Match Log'!$N$4:$N$810),NA()))</f>
        <v>0</v>
      </c>
      <c r="R163">
        <f>IF($J163&gt;MAX('Match Log'!$A$4:$A$810),NA(),IFERROR(LOOKUP(2,1/(('Match Log'!$D$4:$D$810=$R$24)*('Match Log'!$A$4:$A$810&lt;=$J163)),'Match Log'!$N$4:$N$810),NA()))</f>
        <v>0</v>
      </c>
      <c r="S163">
        <f>IF($J163&gt;MAX('Match Log'!$A$4:$A$810),NA(),IFERROR(LOOKUP(2,1/(('Match Log'!$D$4:$D$810=$S$24)*('Match Log'!$A$4:$A$810&lt;=$J163)),'Match Log'!$N$4:$N$810),NA()))</f>
        <v>0</v>
      </c>
      <c r="T163">
        <f>IF($J163&gt;MAX('Match Log'!$A$4:$A$810),NA(),IFERROR(LOOKUP(2,1/(('Match Log'!$D$4:$D$810=$T$24)*('Match Log'!$A$4:$A$810&lt;=$J163)),'Match Log'!$N$4:$N$810),NA()))</f>
        <v>0</v>
      </c>
      <c r="U163">
        <f>IF($J163&gt;MAX('Match Log'!$A$4:$A$810),NA(),IFERROR(LOOKUP(2,1/(('Match Log'!$D$4:$D$810=$U$24)*('Match Log'!$A$4:$A$810&lt;=$J163)),'Match Log'!$N$4:$N$810),NA()))</f>
        <v>0</v>
      </c>
      <c r="V163">
        <f>IF($J163&gt;MAX('Match Log'!$A$4:$A$810),NA(),IFERROR(LOOKUP(2,1/(('Match Log'!$D$4:$D$810=$V$24)*('Match Log'!$A$4:$A$810&lt;=$J163)),'Match Log'!$N$4:$N$810),NA()))</f>
        <v>0</v>
      </c>
      <c r="W163">
        <f>IF($J163&gt;MAX('Match Log'!$A$4:$A$810),NA(),IFERROR(LOOKUP(2,1/(('Match Log'!$D$4:$D$810=$W$24)*('Match Log'!$A$4:$A$810&lt;=$J163)),'Match Log'!$N$4:$N$810),NA()))</f>
        <v>0</v>
      </c>
      <c r="X163">
        <f>IF($J163&gt;MAX('Match Log'!$A$4:$A$810),NA(),IFERROR(LOOKUP(2,1/(('Match Log'!$D$4:$D$810=$X$24)*('Match Log'!$A$4:$A$810&lt;=$J163)),'Match Log'!$N$4:$N$810),NA()))</f>
        <v>0</v>
      </c>
      <c r="Y163" t="str">
        <f>IF(AND($B163&lt;&gt;"",$B163&gt;=$B$5,$I163&lt;&gt;""),$I163,"")</f>
      </c>
    </row>
    <row r="164">
      <c r="A164">
        <v>140</v>
      </c>
      <c r="B164">
        <f>IFERROR(INDEX('Match Log'!$B$4:$B$810,MATCH(140,'Match Log'!$A$4:$A$810,0)),"")</f>
        <v>0</v>
      </c>
      <c r="C164" t="str">
        <f>IFERROR(INDEX('Match Log'!$C$4:$C$810,MATCH(140,'Match Log'!$A$4:$A$810,0)),"")</f>
      </c>
      <c r="D164" t="str">
        <f>IFERROR(INDEX('Match Log'!$G$4:$G$810,MATCH(140,'Match Log'!$A$4:$A$810,0)),"")</f>
      </c>
      <c r="E164">
        <f>IFERROR(INDEX('Match Log'!$F$4:$F$810,MATCH(140,'Match Log'!$A$4:$A$810,0)),"")</f>
        <v>0</v>
      </c>
      <c r="F164">
        <f>IFERROR(SUMIFS('Match Log'!$I$4:$I$810,'Match Log'!$A$4:$A$810,140,'Match Log'!$E$4:$E$810,"Win"),"")</f>
        <v>0</v>
      </c>
      <c r="G164">
        <f>IF($D164="","",1-$F164*$E164)</f>
        <v>0</v>
      </c>
      <c r="H164" t="str">
        <f>IFERROR(IF($E164=2,LOOKUP(2,1/(('Match Log'!$A$4:$A$810=140)*('Match Log'!$E$4:$E$810="Loss")),'Match Log'!$D$4:$D$810),"the field"),"")</f>
      </c>
      <c r="I164">
        <f>IF($G164="","",$G164-$A164/1000000)</f>
        <v>0</v>
      </c>
      <c r="J164">
        <v>140</v>
      </c>
      <c r="K164">
        <f>IF($J164&gt;MAX('Match Log'!$A$4:$A$810),NA(),IFERROR(LOOKUP(2,1/(('Match Log'!$D$4:$D$810=$K$24)*('Match Log'!$A$4:$A$810&lt;=$J164)),'Match Log'!$N$4:$N$810),NA()))</f>
        <v>0</v>
      </c>
      <c r="L164">
        <f>IF($J164&gt;MAX('Match Log'!$A$4:$A$810),NA(),IFERROR(LOOKUP(2,1/(('Match Log'!$D$4:$D$810=$L$24)*('Match Log'!$A$4:$A$810&lt;=$J164)),'Match Log'!$N$4:$N$810),NA()))</f>
        <v>0</v>
      </c>
      <c r="M164">
        <f>IF($J164&gt;MAX('Match Log'!$A$4:$A$810),NA(),IFERROR(LOOKUP(2,1/(('Match Log'!$D$4:$D$810=$M$24)*('Match Log'!$A$4:$A$810&lt;=$J164)),'Match Log'!$N$4:$N$810),NA()))</f>
        <v>0</v>
      </c>
      <c r="N164">
        <f>IF($J164&gt;MAX('Match Log'!$A$4:$A$810),NA(),IFERROR(LOOKUP(2,1/(('Match Log'!$D$4:$D$810=$N$24)*('Match Log'!$A$4:$A$810&lt;=$J164)),'Match Log'!$N$4:$N$810),NA()))</f>
        <v>0</v>
      </c>
      <c r="O164">
        <f>IF($J164&gt;MAX('Match Log'!$A$4:$A$810),NA(),IFERROR(LOOKUP(2,1/(('Match Log'!$D$4:$D$810=$O$24)*('Match Log'!$A$4:$A$810&lt;=$J164)),'Match Log'!$N$4:$N$810),NA()))</f>
        <v>0</v>
      </c>
      <c r="P164">
        <f>IF($J164&gt;MAX('Match Log'!$A$4:$A$810),NA(),IFERROR(LOOKUP(2,1/(('Match Log'!$D$4:$D$810=$P$24)*('Match Log'!$A$4:$A$810&lt;=$J164)),'Match Log'!$N$4:$N$810),NA()))</f>
        <v>0</v>
      </c>
      <c r="Q164">
        <f>IF($J164&gt;MAX('Match Log'!$A$4:$A$810),NA(),IFERROR(LOOKUP(2,1/(('Match Log'!$D$4:$D$810=$Q$24)*('Match Log'!$A$4:$A$810&lt;=$J164)),'Match Log'!$N$4:$N$810),NA()))</f>
        <v>0</v>
      </c>
      <c r="R164">
        <f>IF($J164&gt;MAX('Match Log'!$A$4:$A$810),NA(),IFERROR(LOOKUP(2,1/(('Match Log'!$D$4:$D$810=$R$24)*('Match Log'!$A$4:$A$810&lt;=$J164)),'Match Log'!$N$4:$N$810),NA()))</f>
        <v>0</v>
      </c>
      <c r="S164">
        <f>IF($J164&gt;MAX('Match Log'!$A$4:$A$810),NA(),IFERROR(LOOKUP(2,1/(('Match Log'!$D$4:$D$810=$S$24)*('Match Log'!$A$4:$A$810&lt;=$J164)),'Match Log'!$N$4:$N$810),NA()))</f>
        <v>0</v>
      </c>
      <c r="T164">
        <f>IF($J164&gt;MAX('Match Log'!$A$4:$A$810),NA(),IFERROR(LOOKUP(2,1/(('Match Log'!$D$4:$D$810=$T$24)*('Match Log'!$A$4:$A$810&lt;=$J164)),'Match Log'!$N$4:$N$810),NA()))</f>
        <v>0</v>
      </c>
      <c r="U164">
        <f>IF($J164&gt;MAX('Match Log'!$A$4:$A$810),NA(),IFERROR(LOOKUP(2,1/(('Match Log'!$D$4:$D$810=$U$24)*('Match Log'!$A$4:$A$810&lt;=$J164)),'Match Log'!$N$4:$N$810),NA()))</f>
        <v>0</v>
      </c>
      <c r="V164">
        <f>IF($J164&gt;MAX('Match Log'!$A$4:$A$810),NA(),IFERROR(LOOKUP(2,1/(('Match Log'!$D$4:$D$810=$V$24)*('Match Log'!$A$4:$A$810&lt;=$J164)),'Match Log'!$N$4:$N$810),NA()))</f>
        <v>0</v>
      </c>
      <c r="W164">
        <f>IF($J164&gt;MAX('Match Log'!$A$4:$A$810),NA(),IFERROR(LOOKUP(2,1/(('Match Log'!$D$4:$D$810=$W$24)*('Match Log'!$A$4:$A$810&lt;=$J164)),'Match Log'!$N$4:$N$810),NA()))</f>
        <v>0</v>
      </c>
      <c r="X164">
        <f>IF($J164&gt;MAX('Match Log'!$A$4:$A$810),NA(),IFERROR(LOOKUP(2,1/(('Match Log'!$D$4:$D$810=$X$24)*('Match Log'!$A$4:$A$810&lt;=$J164)),'Match Log'!$N$4:$N$810),NA()))</f>
        <v>0</v>
      </c>
      <c r="Y164" t="str">
        <f>IF(AND($B164&lt;&gt;"",$B164&gt;=$B$5,$I164&lt;&gt;""),$I164,"")</f>
      </c>
    </row>
    <row r="165">
      <c r="A165">
        <v>141</v>
      </c>
      <c r="B165">
        <f>IFERROR(INDEX('Match Log'!$B$4:$B$810,MATCH(141,'Match Log'!$A$4:$A$810,0)),"")</f>
        <v>0</v>
      </c>
      <c r="C165" t="str">
        <f>IFERROR(INDEX('Match Log'!$C$4:$C$810,MATCH(141,'Match Log'!$A$4:$A$810,0)),"")</f>
      </c>
      <c r="D165" t="str">
        <f>IFERROR(INDEX('Match Log'!$G$4:$G$810,MATCH(141,'Match Log'!$A$4:$A$810,0)),"")</f>
      </c>
      <c r="E165">
        <f>IFERROR(INDEX('Match Log'!$F$4:$F$810,MATCH(141,'Match Log'!$A$4:$A$810,0)),"")</f>
        <v>0</v>
      </c>
      <c r="F165">
        <f>IFERROR(SUMIFS('Match Log'!$I$4:$I$810,'Match Log'!$A$4:$A$810,141,'Match Log'!$E$4:$E$810,"Win"),"")</f>
        <v>0</v>
      </c>
      <c r="G165">
        <f>IF($D165="","",1-$F165*$E165)</f>
        <v>0</v>
      </c>
      <c r="H165" t="str">
        <f>IFERROR(IF($E165=2,LOOKUP(2,1/(('Match Log'!$A$4:$A$810=141)*('Match Log'!$E$4:$E$810="Loss")),'Match Log'!$D$4:$D$810),"the field"),"")</f>
      </c>
      <c r="I165">
        <f>IF($G165="","",$G165-$A165/1000000)</f>
        <v>0</v>
      </c>
      <c r="J165">
        <v>141</v>
      </c>
      <c r="K165">
        <f>IF($J165&gt;MAX('Match Log'!$A$4:$A$810),NA(),IFERROR(LOOKUP(2,1/(('Match Log'!$D$4:$D$810=$K$24)*('Match Log'!$A$4:$A$810&lt;=$J165)),'Match Log'!$N$4:$N$810),NA()))</f>
        <v>0</v>
      </c>
      <c r="L165">
        <f>IF($J165&gt;MAX('Match Log'!$A$4:$A$810),NA(),IFERROR(LOOKUP(2,1/(('Match Log'!$D$4:$D$810=$L$24)*('Match Log'!$A$4:$A$810&lt;=$J165)),'Match Log'!$N$4:$N$810),NA()))</f>
        <v>0</v>
      </c>
      <c r="M165">
        <f>IF($J165&gt;MAX('Match Log'!$A$4:$A$810),NA(),IFERROR(LOOKUP(2,1/(('Match Log'!$D$4:$D$810=$M$24)*('Match Log'!$A$4:$A$810&lt;=$J165)),'Match Log'!$N$4:$N$810),NA()))</f>
        <v>0</v>
      </c>
      <c r="N165">
        <f>IF($J165&gt;MAX('Match Log'!$A$4:$A$810),NA(),IFERROR(LOOKUP(2,1/(('Match Log'!$D$4:$D$810=$N$24)*('Match Log'!$A$4:$A$810&lt;=$J165)),'Match Log'!$N$4:$N$810),NA()))</f>
        <v>0</v>
      </c>
      <c r="O165">
        <f>IF($J165&gt;MAX('Match Log'!$A$4:$A$810),NA(),IFERROR(LOOKUP(2,1/(('Match Log'!$D$4:$D$810=$O$24)*('Match Log'!$A$4:$A$810&lt;=$J165)),'Match Log'!$N$4:$N$810),NA()))</f>
        <v>0</v>
      </c>
      <c r="P165">
        <f>IF($J165&gt;MAX('Match Log'!$A$4:$A$810),NA(),IFERROR(LOOKUP(2,1/(('Match Log'!$D$4:$D$810=$P$24)*('Match Log'!$A$4:$A$810&lt;=$J165)),'Match Log'!$N$4:$N$810),NA()))</f>
        <v>0</v>
      </c>
      <c r="Q165">
        <f>IF($J165&gt;MAX('Match Log'!$A$4:$A$810),NA(),IFERROR(LOOKUP(2,1/(('Match Log'!$D$4:$D$810=$Q$24)*('Match Log'!$A$4:$A$810&lt;=$J165)),'Match Log'!$N$4:$N$810),NA()))</f>
        <v>0</v>
      </c>
      <c r="R165">
        <f>IF($J165&gt;MAX('Match Log'!$A$4:$A$810),NA(),IFERROR(LOOKUP(2,1/(('Match Log'!$D$4:$D$810=$R$24)*('Match Log'!$A$4:$A$810&lt;=$J165)),'Match Log'!$N$4:$N$810),NA()))</f>
        <v>0</v>
      </c>
      <c r="S165">
        <f>IF($J165&gt;MAX('Match Log'!$A$4:$A$810),NA(),IFERROR(LOOKUP(2,1/(('Match Log'!$D$4:$D$810=$S$24)*('Match Log'!$A$4:$A$810&lt;=$J165)),'Match Log'!$N$4:$N$810),NA()))</f>
        <v>0</v>
      </c>
      <c r="T165">
        <f>IF($J165&gt;MAX('Match Log'!$A$4:$A$810),NA(),IFERROR(LOOKUP(2,1/(('Match Log'!$D$4:$D$810=$T$24)*('Match Log'!$A$4:$A$810&lt;=$J165)),'Match Log'!$N$4:$N$810),NA()))</f>
        <v>0</v>
      </c>
      <c r="U165">
        <f>IF($J165&gt;MAX('Match Log'!$A$4:$A$810),NA(),IFERROR(LOOKUP(2,1/(('Match Log'!$D$4:$D$810=$U$24)*('Match Log'!$A$4:$A$810&lt;=$J165)),'Match Log'!$N$4:$N$810),NA()))</f>
        <v>0</v>
      </c>
      <c r="V165">
        <f>IF($J165&gt;MAX('Match Log'!$A$4:$A$810),NA(),IFERROR(LOOKUP(2,1/(('Match Log'!$D$4:$D$810=$V$24)*('Match Log'!$A$4:$A$810&lt;=$J165)),'Match Log'!$N$4:$N$810),NA()))</f>
        <v>0</v>
      </c>
      <c r="W165">
        <f>IF($J165&gt;MAX('Match Log'!$A$4:$A$810),NA(),IFERROR(LOOKUP(2,1/(('Match Log'!$D$4:$D$810=$W$24)*('Match Log'!$A$4:$A$810&lt;=$J165)),'Match Log'!$N$4:$N$810),NA()))</f>
        <v>0</v>
      </c>
      <c r="X165">
        <f>IF($J165&gt;MAX('Match Log'!$A$4:$A$810),NA(),IFERROR(LOOKUP(2,1/(('Match Log'!$D$4:$D$810=$X$24)*('Match Log'!$A$4:$A$810&lt;=$J165)),'Match Log'!$N$4:$N$810),NA()))</f>
        <v>0</v>
      </c>
      <c r="Y165" t="str">
        <f>IF(AND($B165&lt;&gt;"",$B165&gt;=$B$5,$I165&lt;&gt;""),$I165,"")</f>
      </c>
    </row>
    <row r="166">
      <c r="A166">
        <v>142</v>
      </c>
      <c r="B166">
        <f>IFERROR(INDEX('Match Log'!$B$4:$B$810,MATCH(142,'Match Log'!$A$4:$A$810,0)),"")</f>
        <v>0</v>
      </c>
      <c r="C166" t="str">
        <f>IFERROR(INDEX('Match Log'!$C$4:$C$810,MATCH(142,'Match Log'!$A$4:$A$810,0)),"")</f>
      </c>
      <c r="D166" t="str">
        <f>IFERROR(INDEX('Match Log'!$G$4:$G$810,MATCH(142,'Match Log'!$A$4:$A$810,0)),"")</f>
      </c>
      <c r="E166">
        <f>IFERROR(INDEX('Match Log'!$F$4:$F$810,MATCH(142,'Match Log'!$A$4:$A$810,0)),"")</f>
        <v>0</v>
      </c>
      <c r="F166">
        <f>IFERROR(SUMIFS('Match Log'!$I$4:$I$810,'Match Log'!$A$4:$A$810,142,'Match Log'!$E$4:$E$810,"Win"),"")</f>
        <v>0</v>
      </c>
      <c r="G166">
        <f>IF($D166="","",1-$F166*$E166)</f>
        <v>0</v>
      </c>
      <c r="H166" t="str">
        <f>IFERROR(IF($E166=2,LOOKUP(2,1/(('Match Log'!$A$4:$A$810=142)*('Match Log'!$E$4:$E$810="Loss")),'Match Log'!$D$4:$D$810),"the field"),"")</f>
      </c>
      <c r="I166">
        <f>IF($G166="","",$G166-$A166/1000000)</f>
        <v>0</v>
      </c>
      <c r="J166">
        <v>142</v>
      </c>
      <c r="K166">
        <f>IF($J166&gt;MAX('Match Log'!$A$4:$A$810),NA(),IFERROR(LOOKUP(2,1/(('Match Log'!$D$4:$D$810=$K$24)*('Match Log'!$A$4:$A$810&lt;=$J166)),'Match Log'!$N$4:$N$810),NA()))</f>
        <v>0</v>
      </c>
      <c r="L166">
        <f>IF($J166&gt;MAX('Match Log'!$A$4:$A$810),NA(),IFERROR(LOOKUP(2,1/(('Match Log'!$D$4:$D$810=$L$24)*('Match Log'!$A$4:$A$810&lt;=$J166)),'Match Log'!$N$4:$N$810),NA()))</f>
        <v>0</v>
      </c>
      <c r="M166">
        <f>IF($J166&gt;MAX('Match Log'!$A$4:$A$810),NA(),IFERROR(LOOKUP(2,1/(('Match Log'!$D$4:$D$810=$M$24)*('Match Log'!$A$4:$A$810&lt;=$J166)),'Match Log'!$N$4:$N$810),NA()))</f>
        <v>0</v>
      </c>
      <c r="N166">
        <f>IF($J166&gt;MAX('Match Log'!$A$4:$A$810),NA(),IFERROR(LOOKUP(2,1/(('Match Log'!$D$4:$D$810=$N$24)*('Match Log'!$A$4:$A$810&lt;=$J166)),'Match Log'!$N$4:$N$810),NA()))</f>
        <v>0</v>
      </c>
      <c r="O166">
        <f>IF($J166&gt;MAX('Match Log'!$A$4:$A$810),NA(),IFERROR(LOOKUP(2,1/(('Match Log'!$D$4:$D$810=$O$24)*('Match Log'!$A$4:$A$810&lt;=$J166)),'Match Log'!$N$4:$N$810),NA()))</f>
        <v>0</v>
      </c>
      <c r="P166">
        <f>IF($J166&gt;MAX('Match Log'!$A$4:$A$810),NA(),IFERROR(LOOKUP(2,1/(('Match Log'!$D$4:$D$810=$P$24)*('Match Log'!$A$4:$A$810&lt;=$J166)),'Match Log'!$N$4:$N$810),NA()))</f>
        <v>0</v>
      </c>
      <c r="Q166">
        <f>IF($J166&gt;MAX('Match Log'!$A$4:$A$810),NA(),IFERROR(LOOKUP(2,1/(('Match Log'!$D$4:$D$810=$Q$24)*('Match Log'!$A$4:$A$810&lt;=$J166)),'Match Log'!$N$4:$N$810),NA()))</f>
        <v>0</v>
      </c>
      <c r="R166">
        <f>IF($J166&gt;MAX('Match Log'!$A$4:$A$810),NA(),IFERROR(LOOKUP(2,1/(('Match Log'!$D$4:$D$810=$R$24)*('Match Log'!$A$4:$A$810&lt;=$J166)),'Match Log'!$N$4:$N$810),NA()))</f>
        <v>0</v>
      </c>
      <c r="S166">
        <f>IF($J166&gt;MAX('Match Log'!$A$4:$A$810),NA(),IFERROR(LOOKUP(2,1/(('Match Log'!$D$4:$D$810=$S$24)*('Match Log'!$A$4:$A$810&lt;=$J166)),'Match Log'!$N$4:$N$810),NA()))</f>
        <v>0</v>
      </c>
      <c r="T166">
        <f>IF($J166&gt;MAX('Match Log'!$A$4:$A$810),NA(),IFERROR(LOOKUP(2,1/(('Match Log'!$D$4:$D$810=$T$24)*('Match Log'!$A$4:$A$810&lt;=$J166)),'Match Log'!$N$4:$N$810),NA()))</f>
        <v>0</v>
      </c>
      <c r="U166">
        <f>IF($J166&gt;MAX('Match Log'!$A$4:$A$810),NA(),IFERROR(LOOKUP(2,1/(('Match Log'!$D$4:$D$810=$U$24)*('Match Log'!$A$4:$A$810&lt;=$J166)),'Match Log'!$N$4:$N$810),NA()))</f>
        <v>0</v>
      </c>
      <c r="V166">
        <f>IF($J166&gt;MAX('Match Log'!$A$4:$A$810),NA(),IFERROR(LOOKUP(2,1/(('Match Log'!$D$4:$D$810=$V$24)*('Match Log'!$A$4:$A$810&lt;=$J166)),'Match Log'!$N$4:$N$810),NA()))</f>
        <v>0</v>
      </c>
      <c r="W166">
        <f>IF($J166&gt;MAX('Match Log'!$A$4:$A$810),NA(),IFERROR(LOOKUP(2,1/(('Match Log'!$D$4:$D$810=$W$24)*('Match Log'!$A$4:$A$810&lt;=$J166)),'Match Log'!$N$4:$N$810),NA()))</f>
        <v>0</v>
      </c>
      <c r="X166">
        <f>IF($J166&gt;MAX('Match Log'!$A$4:$A$810),NA(),IFERROR(LOOKUP(2,1/(('Match Log'!$D$4:$D$810=$X$24)*('Match Log'!$A$4:$A$810&lt;=$J166)),'Match Log'!$N$4:$N$810),NA()))</f>
        <v>0</v>
      </c>
      <c r="Y166" t="str">
        <f>IF(AND($B166&lt;&gt;"",$B166&gt;=$B$5,$I166&lt;&gt;""),$I166,"")</f>
      </c>
    </row>
    <row r="167">
      <c r="A167">
        <v>143</v>
      </c>
      <c r="B167">
        <f>IFERROR(INDEX('Match Log'!$B$4:$B$810,MATCH(143,'Match Log'!$A$4:$A$810,0)),"")</f>
        <v>0</v>
      </c>
      <c r="C167" t="str">
        <f>IFERROR(INDEX('Match Log'!$C$4:$C$810,MATCH(143,'Match Log'!$A$4:$A$810,0)),"")</f>
      </c>
      <c r="D167" t="str">
        <f>IFERROR(INDEX('Match Log'!$G$4:$G$810,MATCH(143,'Match Log'!$A$4:$A$810,0)),"")</f>
      </c>
      <c r="E167">
        <f>IFERROR(INDEX('Match Log'!$F$4:$F$810,MATCH(143,'Match Log'!$A$4:$A$810,0)),"")</f>
        <v>0</v>
      </c>
      <c r="F167">
        <f>IFERROR(SUMIFS('Match Log'!$I$4:$I$810,'Match Log'!$A$4:$A$810,143,'Match Log'!$E$4:$E$810,"Win"),"")</f>
        <v>0</v>
      </c>
      <c r="G167">
        <f>IF($D167="","",1-$F167*$E167)</f>
        <v>0</v>
      </c>
      <c r="H167" t="str">
        <f>IFERROR(IF($E167=2,LOOKUP(2,1/(('Match Log'!$A$4:$A$810=143)*('Match Log'!$E$4:$E$810="Loss")),'Match Log'!$D$4:$D$810),"the field"),"")</f>
      </c>
      <c r="I167">
        <f>IF($G167="","",$G167-$A167/1000000)</f>
        <v>0</v>
      </c>
      <c r="J167">
        <v>143</v>
      </c>
      <c r="K167">
        <f>IF($J167&gt;MAX('Match Log'!$A$4:$A$810),NA(),IFERROR(LOOKUP(2,1/(('Match Log'!$D$4:$D$810=$K$24)*('Match Log'!$A$4:$A$810&lt;=$J167)),'Match Log'!$N$4:$N$810),NA()))</f>
        <v>0</v>
      </c>
      <c r="L167">
        <f>IF($J167&gt;MAX('Match Log'!$A$4:$A$810),NA(),IFERROR(LOOKUP(2,1/(('Match Log'!$D$4:$D$810=$L$24)*('Match Log'!$A$4:$A$810&lt;=$J167)),'Match Log'!$N$4:$N$810),NA()))</f>
        <v>0</v>
      </c>
      <c r="M167">
        <f>IF($J167&gt;MAX('Match Log'!$A$4:$A$810),NA(),IFERROR(LOOKUP(2,1/(('Match Log'!$D$4:$D$810=$M$24)*('Match Log'!$A$4:$A$810&lt;=$J167)),'Match Log'!$N$4:$N$810),NA()))</f>
        <v>0</v>
      </c>
      <c r="N167">
        <f>IF($J167&gt;MAX('Match Log'!$A$4:$A$810),NA(),IFERROR(LOOKUP(2,1/(('Match Log'!$D$4:$D$810=$N$24)*('Match Log'!$A$4:$A$810&lt;=$J167)),'Match Log'!$N$4:$N$810),NA()))</f>
        <v>0</v>
      </c>
      <c r="O167">
        <f>IF($J167&gt;MAX('Match Log'!$A$4:$A$810),NA(),IFERROR(LOOKUP(2,1/(('Match Log'!$D$4:$D$810=$O$24)*('Match Log'!$A$4:$A$810&lt;=$J167)),'Match Log'!$N$4:$N$810),NA()))</f>
        <v>0</v>
      </c>
      <c r="P167">
        <f>IF($J167&gt;MAX('Match Log'!$A$4:$A$810),NA(),IFERROR(LOOKUP(2,1/(('Match Log'!$D$4:$D$810=$P$24)*('Match Log'!$A$4:$A$810&lt;=$J167)),'Match Log'!$N$4:$N$810),NA()))</f>
        <v>0</v>
      </c>
      <c r="Q167">
        <f>IF($J167&gt;MAX('Match Log'!$A$4:$A$810),NA(),IFERROR(LOOKUP(2,1/(('Match Log'!$D$4:$D$810=$Q$24)*('Match Log'!$A$4:$A$810&lt;=$J167)),'Match Log'!$N$4:$N$810),NA()))</f>
        <v>0</v>
      </c>
      <c r="R167">
        <f>IF($J167&gt;MAX('Match Log'!$A$4:$A$810),NA(),IFERROR(LOOKUP(2,1/(('Match Log'!$D$4:$D$810=$R$24)*('Match Log'!$A$4:$A$810&lt;=$J167)),'Match Log'!$N$4:$N$810),NA()))</f>
        <v>0</v>
      </c>
      <c r="S167">
        <f>IF($J167&gt;MAX('Match Log'!$A$4:$A$810),NA(),IFERROR(LOOKUP(2,1/(('Match Log'!$D$4:$D$810=$S$24)*('Match Log'!$A$4:$A$810&lt;=$J167)),'Match Log'!$N$4:$N$810),NA()))</f>
        <v>0</v>
      </c>
      <c r="T167">
        <f>IF($J167&gt;MAX('Match Log'!$A$4:$A$810),NA(),IFERROR(LOOKUP(2,1/(('Match Log'!$D$4:$D$810=$T$24)*('Match Log'!$A$4:$A$810&lt;=$J167)),'Match Log'!$N$4:$N$810),NA()))</f>
        <v>0</v>
      </c>
      <c r="U167">
        <f>IF($J167&gt;MAX('Match Log'!$A$4:$A$810),NA(),IFERROR(LOOKUP(2,1/(('Match Log'!$D$4:$D$810=$U$24)*('Match Log'!$A$4:$A$810&lt;=$J167)),'Match Log'!$N$4:$N$810),NA()))</f>
        <v>0</v>
      </c>
      <c r="V167">
        <f>IF($J167&gt;MAX('Match Log'!$A$4:$A$810),NA(),IFERROR(LOOKUP(2,1/(('Match Log'!$D$4:$D$810=$V$24)*('Match Log'!$A$4:$A$810&lt;=$J167)),'Match Log'!$N$4:$N$810),NA()))</f>
        <v>0</v>
      </c>
      <c r="W167">
        <f>IF($J167&gt;MAX('Match Log'!$A$4:$A$810),NA(),IFERROR(LOOKUP(2,1/(('Match Log'!$D$4:$D$810=$W$24)*('Match Log'!$A$4:$A$810&lt;=$J167)),'Match Log'!$N$4:$N$810),NA()))</f>
        <v>0</v>
      </c>
      <c r="X167">
        <f>IF($J167&gt;MAX('Match Log'!$A$4:$A$810),NA(),IFERROR(LOOKUP(2,1/(('Match Log'!$D$4:$D$810=$X$24)*('Match Log'!$A$4:$A$810&lt;=$J167)),'Match Log'!$N$4:$N$810),NA()))</f>
        <v>0</v>
      </c>
      <c r="Y167" t="str">
        <f>IF(AND($B167&lt;&gt;"",$B167&gt;=$B$5,$I167&lt;&gt;""),$I167,"")</f>
      </c>
    </row>
    <row r="168">
      <c r="A168">
        <v>144</v>
      </c>
      <c r="B168">
        <f>IFERROR(INDEX('Match Log'!$B$4:$B$810,MATCH(144,'Match Log'!$A$4:$A$810,0)),"")</f>
        <v>0</v>
      </c>
      <c r="C168" t="str">
        <f>IFERROR(INDEX('Match Log'!$C$4:$C$810,MATCH(144,'Match Log'!$A$4:$A$810,0)),"")</f>
      </c>
      <c r="D168" t="str">
        <f>IFERROR(INDEX('Match Log'!$G$4:$G$810,MATCH(144,'Match Log'!$A$4:$A$810,0)),"")</f>
      </c>
      <c r="E168">
        <f>IFERROR(INDEX('Match Log'!$F$4:$F$810,MATCH(144,'Match Log'!$A$4:$A$810,0)),"")</f>
        <v>0</v>
      </c>
      <c r="F168">
        <f>IFERROR(SUMIFS('Match Log'!$I$4:$I$810,'Match Log'!$A$4:$A$810,144,'Match Log'!$E$4:$E$810,"Win"),"")</f>
        <v>0</v>
      </c>
      <c r="G168">
        <f>IF($D168="","",1-$F168*$E168)</f>
        <v>0</v>
      </c>
      <c r="H168" t="str">
        <f>IFERROR(IF($E168=2,LOOKUP(2,1/(('Match Log'!$A$4:$A$810=144)*('Match Log'!$E$4:$E$810="Loss")),'Match Log'!$D$4:$D$810),"the field"),"")</f>
      </c>
      <c r="I168">
        <f>IF($G168="","",$G168-$A168/1000000)</f>
        <v>0</v>
      </c>
      <c r="J168">
        <v>144</v>
      </c>
      <c r="K168">
        <f>IF($J168&gt;MAX('Match Log'!$A$4:$A$810),NA(),IFERROR(LOOKUP(2,1/(('Match Log'!$D$4:$D$810=$K$24)*('Match Log'!$A$4:$A$810&lt;=$J168)),'Match Log'!$N$4:$N$810),NA()))</f>
        <v>0</v>
      </c>
      <c r="L168">
        <f>IF($J168&gt;MAX('Match Log'!$A$4:$A$810),NA(),IFERROR(LOOKUP(2,1/(('Match Log'!$D$4:$D$810=$L$24)*('Match Log'!$A$4:$A$810&lt;=$J168)),'Match Log'!$N$4:$N$810),NA()))</f>
        <v>0</v>
      </c>
      <c r="M168">
        <f>IF($J168&gt;MAX('Match Log'!$A$4:$A$810),NA(),IFERROR(LOOKUP(2,1/(('Match Log'!$D$4:$D$810=$M$24)*('Match Log'!$A$4:$A$810&lt;=$J168)),'Match Log'!$N$4:$N$810),NA()))</f>
        <v>0</v>
      </c>
      <c r="N168">
        <f>IF($J168&gt;MAX('Match Log'!$A$4:$A$810),NA(),IFERROR(LOOKUP(2,1/(('Match Log'!$D$4:$D$810=$N$24)*('Match Log'!$A$4:$A$810&lt;=$J168)),'Match Log'!$N$4:$N$810),NA()))</f>
        <v>0</v>
      </c>
      <c r="O168">
        <f>IF($J168&gt;MAX('Match Log'!$A$4:$A$810),NA(),IFERROR(LOOKUP(2,1/(('Match Log'!$D$4:$D$810=$O$24)*('Match Log'!$A$4:$A$810&lt;=$J168)),'Match Log'!$N$4:$N$810),NA()))</f>
        <v>0</v>
      </c>
      <c r="P168">
        <f>IF($J168&gt;MAX('Match Log'!$A$4:$A$810),NA(),IFERROR(LOOKUP(2,1/(('Match Log'!$D$4:$D$810=$P$24)*('Match Log'!$A$4:$A$810&lt;=$J168)),'Match Log'!$N$4:$N$810),NA()))</f>
        <v>0</v>
      </c>
      <c r="Q168">
        <f>IF($J168&gt;MAX('Match Log'!$A$4:$A$810),NA(),IFERROR(LOOKUP(2,1/(('Match Log'!$D$4:$D$810=$Q$24)*('Match Log'!$A$4:$A$810&lt;=$J168)),'Match Log'!$N$4:$N$810),NA()))</f>
        <v>0</v>
      </c>
      <c r="R168">
        <f>IF($J168&gt;MAX('Match Log'!$A$4:$A$810),NA(),IFERROR(LOOKUP(2,1/(('Match Log'!$D$4:$D$810=$R$24)*('Match Log'!$A$4:$A$810&lt;=$J168)),'Match Log'!$N$4:$N$810),NA()))</f>
        <v>0</v>
      </c>
      <c r="S168">
        <f>IF($J168&gt;MAX('Match Log'!$A$4:$A$810),NA(),IFERROR(LOOKUP(2,1/(('Match Log'!$D$4:$D$810=$S$24)*('Match Log'!$A$4:$A$810&lt;=$J168)),'Match Log'!$N$4:$N$810),NA()))</f>
        <v>0</v>
      </c>
      <c r="T168">
        <f>IF($J168&gt;MAX('Match Log'!$A$4:$A$810),NA(),IFERROR(LOOKUP(2,1/(('Match Log'!$D$4:$D$810=$T$24)*('Match Log'!$A$4:$A$810&lt;=$J168)),'Match Log'!$N$4:$N$810),NA()))</f>
        <v>0</v>
      </c>
      <c r="U168">
        <f>IF($J168&gt;MAX('Match Log'!$A$4:$A$810),NA(),IFERROR(LOOKUP(2,1/(('Match Log'!$D$4:$D$810=$U$24)*('Match Log'!$A$4:$A$810&lt;=$J168)),'Match Log'!$N$4:$N$810),NA()))</f>
        <v>0</v>
      </c>
      <c r="V168">
        <f>IF($J168&gt;MAX('Match Log'!$A$4:$A$810),NA(),IFERROR(LOOKUP(2,1/(('Match Log'!$D$4:$D$810=$V$24)*('Match Log'!$A$4:$A$810&lt;=$J168)),'Match Log'!$N$4:$N$810),NA()))</f>
        <v>0</v>
      </c>
      <c r="W168">
        <f>IF($J168&gt;MAX('Match Log'!$A$4:$A$810),NA(),IFERROR(LOOKUP(2,1/(('Match Log'!$D$4:$D$810=$W$24)*('Match Log'!$A$4:$A$810&lt;=$J168)),'Match Log'!$N$4:$N$810),NA()))</f>
        <v>0</v>
      </c>
      <c r="X168">
        <f>IF($J168&gt;MAX('Match Log'!$A$4:$A$810),NA(),IFERROR(LOOKUP(2,1/(('Match Log'!$D$4:$D$810=$X$24)*('Match Log'!$A$4:$A$810&lt;=$J168)),'Match Log'!$N$4:$N$810),NA()))</f>
        <v>0</v>
      </c>
      <c r="Y168" t="str">
        <f>IF(AND($B168&lt;&gt;"",$B168&gt;=$B$5,$I168&lt;&gt;""),$I168,"")</f>
      </c>
    </row>
    <row r="169">
      <c r="A169">
        <v>145</v>
      </c>
      <c r="B169">
        <f>IFERROR(INDEX('Match Log'!$B$4:$B$810,MATCH(145,'Match Log'!$A$4:$A$810,0)),"")</f>
        <v>0</v>
      </c>
      <c r="C169" t="str">
        <f>IFERROR(INDEX('Match Log'!$C$4:$C$810,MATCH(145,'Match Log'!$A$4:$A$810,0)),"")</f>
      </c>
      <c r="D169" t="str">
        <f>IFERROR(INDEX('Match Log'!$G$4:$G$810,MATCH(145,'Match Log'!$A$4:$A$810,0)),"")</f>
      </c>
      <c r="E169">
        <f>IFERROR(INDEX('Match Log'!$F$4:$F$810,MATCH(145,'Match Log'!$A$4:$A$810,0)),"")</f>
        <v>0</v>
      </c>
      <c r="F169">
        <f>IFERROR(SUMIFS('Match Log'!$I$4:$I$810,'Match Log'!$A$4:$A$810,145,'Match Log'!$E$4:$E$810,"Win"),"")</f>
        <v>0</v>
      </c>
      <c r="G169">
        <f>IF($D169="","",1-$F169*$E169)</f>
        <v>0</v>
      </c>
      <c r="H169" t="str">
        <f>IFERROR(IF($E169=2,LOOKUP(2,1/(('Match Log'!$A$4:$A$810=145)*('Match Log'!$E$4:$E$810="Loss")),'Match Log'!$D$4:$D$810),"the field"),"")</f>
      </c>
      <c r="I169">
        <f>IF($G169="","",$G169-$A169/1000000)</f>
        <v>0</v>
      </c>
      <c r="J169">
        <v>145</v>
      </c>
      <c r="K169">
        <f>IF($J169&gt;MAX('Match Log'!$A$4:$A$810),NA(),IFERROR(LOOKUP(2,1/(('Match Log'!$D$4:$D$810=$K$24)*('Match Log'!$A$4:$A$810&lt;=$J169)),'Match Log'!$N$4:$N$810),NA()))</f>
        <v>0</v>
      </c>
      <c r="L169">
        <f>IF($J169&gt;MAX('Match Log'!$A$4:$A$810),NA(),IFERROR(LOOKUP(2,1/(('Match Log'!$D$4:$D$810=$L$24)*('Match Log'!$A$4:$A$810&lt;=$J169)),'Match Log'!$N$4:$N$810),NA()))</f>
        <v>0</v>
      </c>
      <c r="M169">
        <f>IF($J169&gt;MAX('Match Log'!$A$4:$A$810),NA(),IFERROR(LOOKUP(2,1/(('Match Log'!$D$4:$D$810=$M$24)*('Match Log'!$A$4:$A$810&lt;=$J169)),'Match Log'!$N$4:$N$810),NA()))</f>
        <v>0</v>
      </c>
      <c r="N169">
        <f>IF($J169&gt;MAX('Match Log'!$A$4:$A$810),NA(),IFERROR(LOOKUP(2,1/(('Match Log'!$D$4:$D$810=$N$24)*('Match Log'!$A$4:$A$810&lt;=$J169)),'Match Log'!$N$4:$N$810),NA()))</f>
        <v>0</v>
      </c>
      <c r="O169">
        <f>IF($J169&gt;MAX('Match Log'!$A$4:$A$810),NA(),IFERROR(LOOKUP(2,1/(('Match Log'!$D$4:$D$810=$O$24)*('Match Log'!$A$4:$A$810&lt;=$J169)),'Match Log'!$N$4:$N$810),NA()))</f>
        <v>0</v>
      </c>
      <c r="P169">
        <f>IF($J169&gt;MAX('Match Log'!$A$4:$A$810),NA(),IFERROR(LOOKUP(2,1/(('Match Log'!$D$4:$D$810=$P$24)*('Match Log'!$A$4:$A$810&lt;=$J169)),'Match Log'!$N$4:$N$810),NA()))</f>
        <v>0</v>
      </c>
      <c r="Q169">
        <f>IF($J169&gt;MAX('Match Log'!$A$4:$A$810),NA(),IFERROR(LOOKUP(2,1/(('Match Log'!$D$4:$D$810=$Q$24)*('Match Log'!$A$4:$A$810&lt;=$J169)),'Match Log'!$N$4:$N$810),NA()))</f>
        <v>0</v>
      </c>
      <c r="R169">
        <f>IF($J169&gt;MAX('Match Log'!$A$4:$A$810),NA(),IFERROR(LOOKUP(2,1/(('Match Log'!$D$4:$D$810=$R$24)*('Match Log'!$A$4:$A$810&lt;=$J169)),'Match Log'!$N$4:$N$810),NA()))</f>
        <v>0</v>
      </c>
      <c r="S169">
        <f>IF($J169&gt;MAX('Match Log'!$A$4:$A$810),NA(),IFERROR(LOOKUP(2,1/(('Match Log'!$D$4:$D$810=$S$24)*('Match Log'!$A$4:$A$810&lt;=$J169)),'Match Log'!$N$4:$N$810),NA()))</f>
        <v>0</v>
      </c>
      <c r="T169">
        <f>IF($J169&gt;MAX('Match Log'!$A$4:$A$810),NA(),IFERROR(LOOKUP(2,1/(('Match Log'!$D$4:$D$810=$T$24)*('Match Log'!$A$4:$A$810&lt;=$J169)),'Match Log'!$N$4:$N$810),NA()))</f>
        <v>0</v>
      </c>
      <c r="U169">
        <f>IF($J169&gt;MAX('Match Log'!$A$4:$A$810),NA(),IFERROR(LOOKUP(2,1/(('Match Log'!$D$4:$D$810=$U$24)*('Match Log'!$A$4:$A$810&lt;=$J169)),'Match Log'!$N$4:$N$810),NA()))</f>
        <v>0</v>
      </c>
      <c r="V169">
        <f>IF($J169&gt;MAX('Match Log'!$A$4:$A$810),NA(),IFERROR(LOOKUP(2,1/(('Match Log'!$D$4:$D$810=$V$24)*('Match Log'!$A$4:$A$810&lt;=$J169)),'Match Log'!$N$4:$N$810),NA()))</f>
        <v>0</v>
      </c>
      <c r="W169">
        <f>IF($J169&gt;MAX('Match Log'!$A$4:$A$810),NA(),IFERROR(LOOKUP(2,1/(('Match Log'!$D$4:$D$810=$W$24)*('Match Log'!$A$4:$A$810&lt;=$J169)),'Match Log'!$N$4:$N$810),NA()))</f>
        <v>0</v>
      </c>
      <c r="X169">
        <f>IF($J169&gt;MAX('Match Log'!$A$4:$A$810),NA(),IFERROR(LOOKUP(2,1/(('Match Log'!$D$4:$D$810=$X$24)*('Match Log'!$A$4:$A$810&lt;=$J169)),'Match Log'!$N$4:$N$810),NA()))</f>
        <v>0</v>
      </c>
      <c r="Y169" t="str">
        <f>IF(AND($B169&lt;&gt;"",$B169&gt;=$B$5,$I169&lt;&gt;""),$I169,"")</f>
      </c>
    </row>
    <row r="170">
      <c r="A170">
        <v>146</v>
      </c>
      <c r="B170">
        <f>IFERROR(INDEX('Match Log'!$B$4:$B$810,MATCH(146,'Match Log'!$A$4:$A$810,0)),"")</f>
        <v>0</v>
      </c>
      <c r="C170" t="str">
        <f>IFERROR(INDEX('Match Log'!$C$4:$C$810,MATCH(146,'Match Log'!$A$4:$A$810,0)),"")</f>
      </c>
      <c r="D170" t="str">
        <f>IFERROR(INDEX('Match Log'!$G$4:$G$810,MATCH(146,'Match Log'!$A$4:$A$810,0)),"")</f>
      </c>
      <c r="E170">
        <f>IFERROR(INDEX('Match Log'!$F$4:$F$810,MATCH(146,'Match Log'!$A$4:$A$810,0)),"")</f>
        <v>0</v>
      </c>
      <c r="F170">
        <f>IFERROR(SUMIFS('Match Log'!$I$4:$I$810,'Match Log'!$A$4:$A$810,146,'Match Log'!$E$4:$E$810,"Win"),"")</f>
        <v>0</v>
      </c>
      <c r="G170">
        <f>IF($D170="","",1-$F170*$E170)</f>
        <v>0</v>
      </c>
      <c r="H170" t="str">
        <f>IFERROR(IF($E170=2,LOOKUP(2,1/(('Match Log'!$A$4:$A$810=146)*('Match Log'!$E$4:$E$810="Loss")),'Match Log'!$D$4:$D$810),"the field"),"")</f>
      </c>
      <c r="I170">
        <f>IF($G170="","",$G170-$A170/1000000)</f>
        <v>0</v>
      </c>
      <c r="J170">
        <v>146</v>
      </c>
      <c r="K170">
        <f>IF($J170&gt;MAX('Match Log'!$A$4:$A$810),NA(),IFERROR(LOOKUP(2,1/(('Match Log'!$D$4:$D$810=$K$24)*('Match Log'!$A$4:$A$810&lt;=$J170)),'Match Log'!$N$4:$N$810),NA()))</f>
        <v>0</v>
      </c>
      <c r="L170">
        <f>IF($J170&gt;MAX('Match Log'!$A$4:$A$810),NA(),IFERROR(LOOKUP(2,1/(('Match Log'!$D$4:$D$810=$L$24)*('Match Log'!$A$4:$A$810&lt;=$J170)),'Match Log'!$N$4:$N$810),NA()))</f>
        <v>0</v>
      </c>
      <c r="M170">
        <f>IF($J170&gt;MAX('Match Log'!$A$4:$A$810),NA(),IFERROR(LOOKUP(2,1/(('Match Log'!$D$4:$D$810=$M$24)*('Match Log'!$A$4:$A$810&lt;=$J170)),'Match Log'!$N$4:$N$810),NA()))</f>
        <v>0</v>
      </c>
      <c r="N170">
        <f>IF($J170&gt;MAX('Match Log'!$A$4:$A$810),NA(),IFERROR(LOOKUP(2,1/(('Match Log'!$D$4:$D$810=$N$24)*('Match Log'!$A$4:$A$810&lt;=$J170)),'Match Log'!$N$4:$N$810),NA()))</f>
        <v>0</v>
      </c>
      <c r="O170">
        <f>IF($J170&gt;MAX('Match Log'!$A$4:$A$810),NA(),IFERROR(LOOKUP(2,1/(('Match Log'!$D$4:$D$810=$O$24)*('Match Log'!$A$4:$A$810&lt;=$J170)),'Match Log'!$N$4:$N$810),NA()))</f>
        <v>0</v>
      </c>
      <c r="P170">
        <f>IF($J170&gt;MAX('Match Log'!$A$4:$A$810),NA(),IFERROR(LOOKUP(2,1/(('Match Log'!$D$4:$D$810=$P$24)*('Match Log'!$A$4:$A$810&lt;=$J170)),'Match Log'!$N$4:$N$810),NA()))</f>
        <v>0</v>
      </c>
      <c r="Q170">
        <f>IF($J170&gt;MAX('Match Log'!$A$4:$A$810),NA(),IFERROR(LOOKUP(2,1/(('Match Log'!$D$4:$D$810=$Q$24)*('Match Log'!$A$4:$A$810&lt;=$J170)),'Match Log'!$N$4:$N$810),NA()))</f>
        <v>0</v>
      </c>
      <c r="R170">
        <f>IF($J170&gt;MAX('Match Log'!$A$4:$A$810),NA(),IFERROR(LOOKUP(2,1/(('Match Log'!$D$4:$D$810=$R$24)*('Match Log'!$A$4:$A$810&lt;=$J170)),'Match Log'!$N$4:$N$810),NA()))</f>
        <v>0</v>
      </c>
      <c r="S170">
        <f>IF($J170&gt;MAX('Match Log'!$A$4:$A$810),NA(),IFERROR(LOOKUP(2,1/(('Match Log'!$D$4:$D$810=$S$24)*('Match Log'!$A$4:$A$810&lt;=$J170)),'Match Log'!$N$4:$N$810),NA()))</f>
        <v>0</v>
      </c>
      <c r="T170">
        <f>IF($J170&gt;MAX('Match Log'!$A$4:$A$810),NA(),IFERROR(LOOKUP(2,1/(('Match Log'!$D$4:$D$810=$T$24)*('Match Log'!$A$4:$A$810&lt;=$J170)),'Match Log'!$N$4:$N$810),NA()))</f>
        <v>0</v>
      </c>
      <c r="U170">
        <f>IF($J170&gt;MAX('Match Log'!$A$4:$A$810),NA(),IFERROR(LOOKUP(2,1/(('Match Log'!$D$4:$D$810=$U$24)*('Match Log'!$A$4:$A$810&lt;=$J170)),'Match Log'!$N$4:$N$810),NA()))</f>
        <v>0</v>
      </c>
      <c r="V170">
        <f>IF($J170&gt;MAX('Match Log'!$A$4:$A$810),NA(),IFERROR(LOOKUP(2,1/(('Match Log'!$D$4:$D$810=$V$24)*('Match Log'!$A$4:$A$810&lt;=$J170)),'Match Log'!$N$4:$N$810),NA()))</f>
        <v>0</v>
      </c>
      <c r="W170">
        <f>IF($J170&gt;MAX('Match Log'!$A$4:$A$810),NA(),IFERROR(LOOKUP(2,1/(('Match Log'!$D$4:$D$810=$W$24)*('Match Log'!$A$4:$A$810&lt;=$J170)),'Match Log'!$N$4:$N$810),NA()))</f>
        <v>0</v>
      </c>
      <c r="X170">
        <f>IF($J170&gt;MAX('Match Log'!$A$4:$A$810),NA(),IFERROR(LOOKUP(2,1/(('Match Log'!$D$4:$D$810=$X$24)*('Match Log'!$A$4:$A$810&lt;=$J170)),'Match Log'!$N$4:$N$810),NA()))</f>
        <v>0</v>
      </c>
      <c r="Y170" t="str">
        <f>IF(AND($B170&lt;&gt;"",$B170&gt;=$B$5,$I170&lt;&gt;""),$I170,"")</f>
      </c>
    </row>
    <row r="171">
      <c r="A171">
        <v>147</v>
      </c>
      <c r="B171">
        <f>IFERROR(INDEX('Match Log'!$B$4:$B$810,MATCH(147,'Match Log'!$A$4:$A$810,0)),"")</f>
        <v>0</v>
      </c>
      <c r="C171" t="str">
        <f>IFERROR(INDEX('Match Log'!$C$4:$C$810,MATCH(147,'Match Log'!$A$4:$A$810,0)),"")</f>
      </c>
      <c r="D171" t="str">
        <f>IFERROR(INDEX('Match Log'!$G$4:$G$810,MATCH(147,'Match Log'!$A$4:$A$810,0)),"")</f>
      </c>
      <c r="E171">
        <f>IFERROR(INDEX('Match Log'!$F$4:$F$810,MATCH(147,'Match Log'!$A$4:$A$810,0)),"")</f>
        <v>0</v>
      </c>
      <c r="F171">
        <f>IFERROR(SUMIFS('Match Log'!$I$4:$I$810,'Match Log'!$A$4:$A$810,147,'Match Log'!$E$4:$E$810,"Win"),"")</f>
        <v>0</v>
      </c>
      <c r="G171">
        <f>IF($D171="","",1-$F171*$E171)</f>
        <v>0</v>
      </c>
      <c r="H171" t="str">
        <f>IFERROR(IF($E171=2,LOOKUP(2,1/(('Match Log'!$A$4:$A$810=147)*('Match Log'!$E$4:$E$810="Loss")),'Match Log'!$D$4:$D$810),"the field"),"")</f>
      </c>
      <c r="I171">
        <f>IF($G171="","",$G171-$A171/1000000)</f>
        <v>0</v>
      </c>
      <c r="J171">
        <v>147</v>
      </c>
      <c r="K171">
        <f>IF($J171&gt;MAX('Match Log'!$A$4:$A$810),NA(),IFERROR(LOOKUP(2,1/(('Match Log'!$D$4:$D$810=$K$24)*('Match Log'!$A$4:$A$810&lt;=$J171)),'Match Log'!$N$4:$N$810),NA()))</f>
        <v>0</v>
      </c>
      <c r="L171">
        <f>IF($J171&gt;MAX('Match Log'!$A$4:$A$810),NA(),IFERROR(LOOKUP(2,1/(('Match Log'!$D$4:$D$810=$L$24)*('Match Log'!$A$4:$A$810&lt;=$J171)),'Match Log'!$N$4:$N$810),NA()))</f>
        <v>0</v>
      </c>
      <c r="M171">
        <f>IF($J171&gt;MAX('Match Log'!$A$4:$A$810),NA(),IFERROR(LOOKUP(2,1/(('Match Log'!$D$4:$D$810=$M$24)*('Match Log'!$A$4:$A$810&lt;=$J171)),'Match Log'!$N$4:$N$810),NA()))</f>
        <v>0</v>
      </c>
      <c r="N171">
        <f>IF($J171&gt;MAX('Match Log'!$A$4:$A$810),NA(),IFERROR(LOOKUP(2,1/(('Match Log'!$D$4:$D$810=$N$24)*('Match Log'!$A$4:$A$810&lt;=$J171)),'Match Log'!$N$4:$N$810),NA()))</f>
        <v>0</v>
      </c>
      <c r="O171">
        <f>IF($J171&gt;MAX('Match Log'!$A$4:$A$810),NA(),IFERROR(LOOKUP(2,1/(('Match Log'!$D$4:$D$810=$O$24)*('Match Log'!$A$4:$A$810&lt;=$J171)),'Match Log'!$N$4:$N$810),NA()))</f>
        <v>0</v>
      </c>
      <c r="P171">
        <f>IF($J171&gt;MAX('Match Log'!$A$4:$A$810),NA(),IFERROR(LOOKUP(2,1/(('Match Log'!$D$4:$D$810=$P$24)*('Match Log'!$A$4:$A$810&lt;=$J171)),'Match Log'!$N$4:$N$810),NA()))</f>
        <v>0</v>
      </c>
      <c r="Q171">
        <f>IF($J171&gt;MAX('Match Log'!$A$4:$A$810),NA(),IFERROR(LOOKUP(2,1/(('Match Log'!$D$4:$D$810=$Q$24)*('Match Log'!$A$4:$A$810&lt;=$J171)),'Match Log'!$N$4:$N$810),NA()))</f>
        <v>0</v>
      </c>
      <c r="R171">
        <f>IF($J171&gt;MAX('Match Log'!$A$4:$A$810),NA(),IFERROR(LOOKUP(2,1/(('Match Log'!$D$4:$D$810=$R$24)*('Match Log'!$A$4:$A$810&lt;=$J171)),'Match Log'!$N$4:$N$810),NA()))</f>
        <v>0</v>
      </c>
      <c r="S171">
        <f>IF($J171&gt;MAX('Match Log'!$A$4:$A$810),NA(),IFERROR(LOOKUP(2,1/(('Match Log'!$D$4:$D$810=$S$24)*('Match Log'!$A$4:$A$810&lt;=$J171)),'Match Log'!$N$4:$N$810),NA()))</f>
        <v>0</v>
      </c>
      <c r="T171">
        <f>IF($J171&gt;MAX('Match Log'!$A$4:$A$810),NA(),IFERROR(LOOKUP(2,1/(('Match Log'!$D$4:$D$810=$T$24)*('Match Log'!$A$4:$A$810&lt;=$J171)),'Match Log'!$N$4:$N$810),NA()))</f>
        <v>0</v>
      </c>
      <c r="U171">
        <f>IF($J171&gt;MAX('Match Log'!$A$4:$A$810),NA(),IFERROR(LOOKUP(2,1/(('Match Log'!$D$4:$D$810=$U$24)*('Match Log'!$A$4:$A$810&lt;=$J171)),'Match Log'!$N$4:$N$810),NA()))</f>
        <v>0</v>
      </c>
      <c r="V171">
        <f>IF($J171&gt;MAX('Match Log'!$A$4:$A$810),NA(),IFERROR(LOOKUP(2,1/(('Match Log'!$D$4:$D$810=$V$24)*('Match Log'!$A$4:$A$810&lt;=$J171)),'Match Log'!$N$4:$N$810),NA()))</f>
        <v>0</v>
      </c>
      <c r="W171">
        <f>IF($J171&gt;MAX('Match Log'!$A$4:$A$810),NA(),IFERROR(LOOKUP(2,1/(('Match Log'!$D$4:$D$810=$W$24)*('Match Log'!$A$4:$A$810&lt;=$J171)),'Match Log'!$N$4:$N$810),NA()))</f>
        <v>0</v>
      </c>
      <c r="X171">
        <f>IF($J171&gt;MAX('Match Log'!$A$4:$A$810),NA(),IFERROR(LOOKUP(2,1/(('Match Log'!$D$4:$D$810=$X$24)*('Match Log'!$A$4:$A$810&lt;=$J171)),'Match Log'!$N$4:$N$810),NA()))</f>
        <v>0</v>
      </c>
      <c r="Y171" t="str">
        <f>IF(AND($B171&lt;&gt;"",$B171&gt;=$B$5,$I171&lt;&gt;""),$I171,"")</f>
      </c>
    </row>
    <row r="172">
      <c r="A172">
        <v>148</v>
      </c>
      <c r="B172">
        <f>IFERROR(INDEX('Match Log'!$B$4:$B$810,MATCH(148,'Match Log'!$A$4:$A$810,0)),"")</f>
        <v>0</v>
      </c>
      <c r="C172" t="str">
        <f>IFERROR(INDEX('Match Log'!$C$4:$C$810,MATCH(148,'Match Log'!$A$4:$A$810,0)),"")</f>
      </c>
      <c r="D172" t="str">
        <f>IFERROR(INDEX('Match Log'!$G$4:$G$810,MATCH(148,'Match Log'!$A$4:$A$810,0)),"")</f>
      </c>
      <c r="E172">
        <f>IFERROR(INDEX('Match Log'!$F$4:$F$810,MATCH(148,'Match Log'!$A$4:$A$810,0)),"")</f>
        <v>0</v>
      </c>
      <c r="F172">
        <f>IFERROR(SUMIFS('Match Log'!$I$4:$I$810,'Match Log'!$A$4:$A$810,148,'Match Log'!$E$4:$E$810,"Win"),"")</f>
        <v>0</v>
      </c>
      <c r="G172">
        <f>IF($D172="","",1-$F172*$E172)</f>
        <v>0</v>
      </c>
      <c r="H172" t="str">
        <f>IFERROR(IF($E172=2,LOOKUP(2,1/(('Match Log'!$A$4:$A$810=148)*('Match Log'!$E$4:$E$810="Loss")),'Match Log'!$D$4:$D$810),"the field"),"")</f>
      </c>
      <c r="I172">
        <f>IF($G172="","",$G172-$A172/1000000)</f>
        <v>0</v>
      </c>
      <c r="J172">
        <v>148</v>
      </c>
      <c r="K172">
        <f>IF($J172&gt;MAX('Match Log'!$A$4:$A$810),NA(),IFERROR(LOOKUP(2,1/(('Match Log'!$D$4:$D$810=$K$24)*('Match Log'!$A$4:$A$810&lt;=$J172)),'Match Log'!$N$4:$N$810),NA()))</f>
        <v>0</v>
      </c>
      <c r="L172">
        <f>IF($J172&gt;MAX('Match Log'!$A$4:$A$810),NA(),IFERROR(LOOKUP(2,1/(('Match Log'!$D$4:$D$810=$L$24)*('Match Log'!$A$4:$A$810&lt;=$J172)),'Match Log'!$N$4:$N$810),NA()))</f>
        <v>0</v>
      </c>
      <c r="M172">
        <f>IF($J172&gt;MAX('Match Log'!$A$4:$A$810),NA(),IFERROR(LOOKUP(2,1/(('Match Log'!$D$4:$D$810=$M$24)*('Match Log'!$A$4:$A$810&lt;=$J172)),'Match Log'!$N$4:$N$810),NA()))</f>
        <v>0</v>
      </c>
      <c r="N172">
        <f>IF($J172&gt;MAX('Match Log'!$A$4:$A$810),NA(),IFERROR(LOOKUP(2,1/(('Match Log'!$D$4:$D$810=$N$24)*('Match Log'!$A$4:$A$810&lt;=$J172)),'Match Log'!$N$4:$N$810),NA()))</f>
        <v>0</v>
      </c>
      <c r="O172">
        <f>IF($J172&gt;MAX('Match Log'!$A$4:$A$810),NA(),IFERROR(LOOKUP(2,1/(('Match Log'!$D$4:$D$810=$O$24)*('Match Log'!$A$4:$A$810&lt;=$J172)),'Match Log'!$N$4:$N$810),NA()))</f>
        <v>0</v>
      </c>
      <c r="P172">
        <f>IF($J172&gt;MAX('Match Log'!$A$4:$A$810),NA(),IFERROR(LOOKUP(2,1/(('Match Log'!$D$4:$D$810=$P$24)*('Match Log'!$A$4:$A$810&lt;=$J172)),'Match Log'!$N$4:$N$810),NA()))</f>
        <v>0</v>
      </c>
      <c r="Q172">
        <f>IF($J172&gt;MAX('Match Log'!$A$4:$A$810),NA(),IFERROR(LOOKUP(2,1/(('Match Log'!$D$4:$D$810=$Q$24)*('Match Log'!$A$4:$A$810&lt;=$J172)),'Match Log'!$N$4:$N$810),NA()))</f>
        <v>0</v>
      </c>
      <c r="R172">
        <f>IF($J172&gt;MAX('Match Log'!$A$4:$A$810),NA(),IFERROR(LOOKUP(2,1/(('Match Log'!$D$4:$D$810=$R$24)*('Match Log'!$A$4:$A$810&lt;=$J172)),'Match Log'!$N$4:$N$810),NA()))</f>
        <v>0</v>
      </c>
      <c r="S172">
        <f>IF($J172&gt;MAX('Match Log'!$A$4:$A$810),NA(),IFERROR(LOOKUP(2,1/(('Match Log'!$D$4:$D$810=$S$24)*('Match Log'!$A$4:$A$810&lt;=$J172)),'Match Log'!$N$4:$N$810),NA()))</f>
        <v>0</v>
      </c>
      <c r="T172">
        <f>IF($J172&gt;MAX('Match Log'!$A$4:$A$810),NA(),IFERROR(LOOKUP(2,1/(('Match Log'!$D$4:$D$810=$T$24)*('Match Log'!$A$4:$A$810&lt;=$J172)),'Match Log'!$N$4:$N$810),NA()))</f>
        <v>0</v>
      </c>
      <c r="U172">
        <f>IF($J172&gt;MAX('Match Log'!$A$4:$A$810),NA(),IFERROR(LOOKUP(2,1/(('Match Log'!$D$4:$D$810=$U$24)*('Match Log'!$A$4:$A$810&lt;=$J172)),'Match Log'!$N$4:$N$810),NA()))</f>
        <v>0</v>
      </c>
      <c r="V172">
        <f>IF($J172&gt;MAX('Match Log'!$A$4:$A$810),NA(),IFERROR(LOOKUP(2,1/(('Match Log'!$D$4:$D$810=$V$24)*('Match Log'!$A$4:$A$810&lt;=$J172)),'Match Log'!$N$4:$N$810),NA()))</f>
        <v>0</v>
      </c>
      <c r="W172">
        <f>IF($J172&gt;MAX('Match Log'!$A$4:$A$810),NA(),IFERROR(LOOKUP(2,1/(('Match Log'!$D$4:$D$810=$W$24)*('Match Log'!$A$4:$A$810&lt;=$J172)),'Match Log'!$N$4:$N$810),NA()))</f>
        <v>0</v>
      </c>
      <c r="X172">
        <f>IF($J172&gt;MAX('Match Log'!$A$4:$A$810),NA(),IFERROR(LOOKUP(2,1/(('Match Log'!$D$4:$D$810=$X$24)*('Match Log'!$A$4:$A$810&lt;=$J172)),'Match Log'!$N$4:$N$810),NA()))</f>
        <v>0</v>
      </c>
      <c r="Y172" t="str">
        <f>IF(AND($B172&lt;&gt;"",$B172&gt;=$B$5,$I172&lt;&gt;""),$I172,"")</f>
      </c>
    </row>
    <row r="173">
      <c r="A173">
        <v>149</v>
      </c>
      <c r="B173">
        <f>IFERROR(INDEX('Match Log'!$B$4:$B$810,MATCH(149,'Match Log'!$A$4:$A$810,0)),"")</f>
        <v>0</v>
      </c>
      <c r="C173" t="str">
        <f>IFERROR(INDEX('Match Log'!$C$4:$C$810,MATCH(149,'Match Log'!$A$4:$A$810,0)),"")</f>
      </c>
      <c r="D173" t="str">
        <f>IFERROR(INDEX('Match Log'!$G$4:$G$810,MATCH(149,'Match Log'!$A$4:$A$810,0)),"")</f>
      </c>
      <c r="E173">
        <f>IFERROR(INDEX('Match Log'!$F$4:$F$810,MATCH(149,'Match Log'!$A$4:$A$810,0)),"")</f>
        <v>0</v>
      </c>
      <c r="F173">
        <f>IFERROR(SUMIFS('Match Log'!$I$4:$I$810,'Match Log'!$A$4:$A$810,149,'Match Log'!$E$4:$E$810,"Win"),"")</f>
        <v>0</v>
      </c>
      <c r="G173">
        <f>IF($D173="","",1-$F173*$E173)</f>
        <v>0</v>
      </c>
      <c r="H173" t="str">
        <f>IFERROR(IF($E173=2,LOOKUP(2,1/(('Match Log'!$A$4:$A$810=149)*('Match Log'!$E$4:$E$810="Loss")),'Match Log'!$D$4:$D$810),"the field"),"")</f>
      </c>
      <c r="I173">
        <f>IF($G173="","",$G173-$A173/1000000)</f>
        <v>0</v>
      </c>
      <c r="J173">
        <v>149</v>
      </c>
      <c r="K173">
        <f>IF($J173&gt;MAX('Match Log'!$A$4:$A$810),NA(),IFERROR(LOOKUP(2,1/(('Match Log'!$D$4:$D$810=$K$24)*('Match Log'!$A$4:$A$810&lt;=$J173)),'Match Log'!$N$4:$N$810),NA()))</f>
        <v>0</v>
      </c>
      <c r="L173">
        <f>IF($J173&gt;MAX('Match Log'!$A$4:$A$810),NA(),IFERROR(LOOKUP(2,1/(('Match Log'!$D$4:$D$810=$L$24)*('Match Log'!$A$4:$A$810&lt;=$J173)),'Match Log'!$N$4:$N$810),NA()))</f>
        <v>0</v>
      </c>
      <c r="M173">
        <f>IF($J173&gt;MAX('Match Log'!$A$4:$A$810),NA(),IFERROR(LOOKUP(2,1/(('Match Log'!$D$4:$D$810=$M$24)*('Match Log'!$A$4:$A$810&lt;=$J173)),'Match Log'!$N$4:$N$810),NA()))</f>
        <v>0</v>
      </c>
      <c r="N173">
        <f>IF($J173&gt;MAX('Match Log'!$A$4:$A$810),NA(),IFERROR(LOOKUP(2,1/(('Match Log'!$D$4:$D$810=$N$24)*('Match Log'!$A$4:$A$810&lt;=$J173)),'Match Log'!$N$4:$N$810),NA()))</f>
        <v>0</v>
      </c>
      <c r="O173">
        <f>IF($J173&gt;MAX('Match Log'!$A$4:$A$810),NA(),IFERROR(LOOKUP(2,1/(('Match Log'!$D$4:$D$810=$O$24)*('Match Log'!$A$4:$A$810&lt;=$J173)),'Match Log'!$N$4:$N$810),NA()))</f>
        <v>0</v>
      </c>
      <c r="P173">
        <f>IF($J173&gt;MAX('Match Log'!$A$4:$A$810),NA(),IFERROR(LOOKUP(2,1/(('Match Log'!$D$4:$D$810=$P$24)*('Match Log'!$A$4:$A$810&lt;=$J173)),'Match Log'!$N$4:$N$810),NA()))</f>
        <v>0</v>
      </c>
      <c r="Q173">
        <f>IF($J173&gt;MAX('Match Log'!$A$4:$A$810),NA(),IFERROR(LOOKUP(2,1/(('Match Log'!$D$4:$D$810=$Q$24)*('Match Log'!$A$4:$A$810&lt;=$J173)),'Match Log'!$N$4:$N$810),NA()))</f>
        <v>0</v>
      </c>
      <c r="R173">
        <f>IF($J173&gt;MAX('Match Log'!$A$4:$A$810),NA(),IFERROR(LOOKUP(2,1/(('Match Log'!$D$4:$D$810=$R$24)*('Match Log'!$A$4:$A$810&lt;=$J173)),'Match Log'!$N$4:$N$810),NA()))</f>
        <v>0</v>
      </c>
      <c r="S173">
        <f>IF($J173&gt;MAX('Match Log'!$A$4:$A$810),NA(),IFERROR(LOOKUP(2,1/(('Match Log'!$D$4:$D$810=$S$24)*('Match Log'!$A$4:$A$810&lt;=$J173)),'Match Log'!$N$4:$N$810),NA()))</f>
        <v>0</v>
      </c>
      <c r="T173">
        <f>IF($J173&gt;MAX('Match Log'!$A$4:$A$810),NA(),IFERROR(LOOKUP(2,1/(('Match Log'!$D$4:$D$810=$T$24)*('Match Log'!$A$4:$A$810&lt;=$J173)),'Match Log'!$N$4:$N$810),NA()))</f>
        <v>0</v>
      </c>
      <c r="U173">
        <f>IF($J173&gt;MAX('Match Log'!$A$4:$A$810),NA(),IFERROR(LOOKUP(2,1/(('Match Log'!$D$4:$D$810=$U$24)*('Match Log'!$A$4:$A$810&lt;=$J173)),'Match Log'!$N$4:$N$810),NA()))</f>
        <v>0</v>
      </c>
      <c r="V173">
        <f>IF($J173&gt;MAX('Match Log'!$A$4:$A$810),NA(),IFERROR(LOOKUP(2,1/(('Match Log'!$D$4:$D$810=$V$24)*('Match Log'!$A$4:$A$810&lt;=$J173)),'Match Log'!$N$4:$N$810),NA()))</f>
        <v>0</v>
      </c>
      <c r="W173">
        <f>IF($J173&gt;MAX('Match Log'!$A$4:$A$810),NA(),IFERROR(LOOKUP(2,1/(('Match Log'!$D$4:$D$810=$W$24)*('Match Log'!$A$4:$A$810&lt;=$J173)),'Match Log'!$N$4:$N$810),NA()))</f>
        <v>0</v>
      </c>
      <c r="X173">
        <f>IF($J173&gt;MAX('Match Log'!$A$4:$A$810),NA(),IFERROR(LOOKUP(2,1/(('Match Log'!$D$4:$D$810=$X$24)*('Match Log'!$A$4:$A$810&lt;=$J173)),'Match Log'!$N$4:$N$810),NA()))</f>
        <v>0</v>
      </c>
      <c r="Y173" t="str">
        <f>IF(AND($B173&lt;&gt;"",$B173&gt;=$B$5,$I173&lt;&gt;""),$I173,"")</f>
      </c>
    </row>
    <row r="174">
      <c r="A174">
        <v>150</v>
      </c>
      <c r="B174">
        <f>IFERROR(INDEX('Match Log'!$B$4:$B$810,MATCH(150,'Match Log'!$A$4:$A$810,0)),"")</f>
        <v>0</v>
      </c>
      <c r="C174" t="str">
        <f>IFERROR(INDEX('Match Log'!$C$4:$C$810,MATCH(150,'Match Log'!$A$4:$A$810,0)),"")</f>
      </c>
      <c r="D174" t="str">
        <f>IFERROR(INDEX('Match Log'!$G$4:$G$810,MATCH(150,'Match Log'!$A$4:$A$810,0)),"")</f>
      </c>
      <c r="E174">
        <f>IFERROR(INDEX('Match Log'!$F$4:$F$810,MATCH(150,'Match Log'!$A$4:$A$810,0)),"")</f>
        <v>0</v>
      </c>
      <c r="F174">
        <f>IFERROR(SUMIFS('Match Log'!$I$4:$I$810,'Match Log'!$A$4:$A$810,150,'Match Log'!$E$4:$E$810,"Win"),"")</f>
        <v>0</v>
      </c>
      <c r="G174">
        <f>IF($D174="","",1-$F174*$E174)</f>
        <v>0</v>
      </c>
      <c r="H174" t="str">
        <f>IFERROR(IF($E174=2,LOOKUP(2,1/(('Match Log'!$A$4:$A$810=150)*('Match Log'!$E$4:$E$810="Loss")),'Match Log'!$D$4:$D$810),"the field"),"")</f>
      </c>
      <c r="I174">
        <f>IF($G174="","",$G174-$A174/1000000)</f>
        <v>0</v>
      </c>
      <c r="J174">
        <v>150</v>
      </c>
      <c r="K174">
        <f>IF($J174&gt;MAX('Match Log'!$A$4:$A$810),NA(),IFERROR(LOOKUP(2,1/(('Match Log'!$D$4:$D$810=$K$24)*('Match Log'!$A$4:$A$810&lt;=$J174)),'Match Log'!$N$4:$N$810),NA()))</f>
        <v>0</v>
      </c>
      <c r="L174">
        <f>IF($J174&gt;MAX('Match Log'!$A$4:$A$810),NA(),IFERROR(LOOKUP(2,1/(('Match Log'!$D$4:$D$810=$L$24)*('Match Log'!$A$4:$A$810&lt;=$J174)),'Match Log'!$N$4:$N$810),NA()))</f>
        <v>0</v>
      </c>
      <c r="M174">
        <f>IF($J174&gt;MAX('Match Log'!$A$4:$A$810),NA(),IFERROR(LOOKUP(2,1/(('Match Log'!$D$4:$D$810=$M$24)*('Match Log'!$A$4:$A$810&lt;=$J174)),'Match Log'!$N$4:$N$810),NA()))</f>
        <v>0</v>
      </c>
      <c r="N174">
        <f>IF($J174&gt;MAX('Match Log'!$A$4:$A$810),NA(),IFERROR(LOOKUP(2,1/(('Match Log'!$D$4:$D$810=$N$24)*('Match Log'!$A$4:$A$810&lt;=$J174)),'Match Log'!$N$4:$N$810),NA()))</f>
        <v>0</v>
      </c>
      <c r="O174">
        <f>IF($J174&gt;MAX('Match Log'!$A$4:$A$810),NA(),IFERROR(LOOKUP(2,1/(('Match Log'!$D$4:$D$810=$O$24)*('Match Log'!$A$4:$A$810&lt;=$J174)),'Match Log'!$N$4:$N$810),NA()))</f>
        <v>0</v>
      </c>
      <c r="P174">
        <f>IF($J174&gt;MAX('Match Log'!$A$4:$A$810),NA(),IFERROR(LOOKUP(2,1/(('Match Log'!$D$4:$D$810=$P$24)*('Match Log'!$A$4:$A$810&lt;=$J174)),'Match Log'!$N$4:$N$810),NA()))</f>
        <v>0</v>
      </c>
      <c r="Q174">
        <f>IF($J174&gt;MAX('Match Log'!$A$4:$A$810),NA(),IFERROR(LOOKUP(2,1/(('Match Log'!$D$4:$D$810=$Q$24)*('Match Log'!$A$4:$A$810&lt;=$J174)),'Match Log'!$N$4:$N$810),NA()))</f>
        <v>0</v>
      </c>
      <c r="R174">
        <f>IF($J174&gt;MAX('Match Log'!$A$4:$A$810),NA(),IFERROR(LOOKUP(2,1/(('Match Log'!$D$4:$D$810=$R$24)*('Match Log'!$A$4:$A$810&lt;=$J174)),'Match Log'!$N$4:$N$810),NA()))</f>
        <v>0</v>
      </c>
      <c r="S174">
        <f>IF($J174&gt;MAX('Match Log'!$A$4:$A$810),NA(),IFERROR(LOOKUP(2,1/(('Match Log'!$D$4:$D$810=$S$24)*('Match Log'!$A$4:$A$810&lt;=$J174)),'Match Log'!$N$4:$N$810),NA()))</f>
        <v>0</v>
      </c>
      <c r="T174">
        <f>IF($J174&gt;MAX('Match Log'!$A$4:$A$810),NA(),IFERROR(LOOKUP(2,1/(('Match Log'!$D$4:$D$810=$T$24)*('Match Log'!$A$4:$A$810&lt;=$J174)),'Match Log'!$N$4:$N$810),NA()))</f>
        <v>0</v>
      </c>
      <c r="U174">
        <f>IF($J174&gt;MAX('Match Log'!$A$4:$A$810),NA(),IFERROR(LOOKUP(2,1/(('Match Log'!$D$4:$D$810=$U$24)*('Match Log'!$A$4:$A$810&lt;=$J174)),'Match Log'!$N$4:$N$810),NA()))</f>
        <v>0</v>
      </c>
      <c r="V174">
        <f>IF($J174&gt;MAX('Match Log'!$A$4:$A$810),NA(),IFERROR(LOOKUP(2,1/(('Match Log'!$D$4:$D$810=$V$24)*('Match Log'!$A$4:$A$810&lt;=$J174)),'Match Log'!$N$4:$N$810),NA()))</f>
        <v>0</v>
      </c>
      <c r="W174">
        <f>IF($J174&gt;MAX('Match Log'!$A$4:$A$810),NA(),IFERROR(LOOKUP(2,1/(('Match Log'!$D$4:$D$810=$W$24)*('Match Log'!$A$4:$A$810&lt;=$J174)),'Match Log'!$N$4:$N$810),NA()))</f>
        <v>0</v>
      </c>
      <c r="X174">
        <f>IF($J174&gt;MAX('Match Log'!$A$4:$A$810),NA(),IFERROR(LOOKUP(2,1/(('Match Log'!$D$4:$D$810=$X$24)*('Match Log'!$A$4:$A$810&lt;=$J174)),'Match Log'!$N$4:$N$810),NA()))</f>
        <v>0</v>
      </c>
      <c r="Y174" t="str">
        <f>IF(AND($B174&lt;&gt;"",$B174&gt;=$B$5,$I174&lt;&gt;""),$I174,"")</f>
      </c>
    </row>
    <row r="175">
      <c r="A175">
        <v>151</v>
      </c>
      <c r="B175">
        <f>IFERROR(INDEX('Match Log'!$B$4:$B$810,MATCH(151,'Match Log'!$A$4:$A$810,0)),"")</f>
        <v>0</v>
      </c>
      <c r="C175" t="str">
        <f>IFERROR(INDEX('Match Log'!$C$4:$C$810,MATCH(151,'Match Log'!$A$4:$A$810,0)),"")</f>
      </c>
      <c r="D175" t="str">
        <f>IFERROR(INDEX('Match Log'!$G$4:$G$810,MATCH(151,'Match Log'!$A$4:$A$810,0)),"")</f>
      </c>
      <c r="E175">
        <f>IFERROR(INDEX('Match Log'!$F$4:$F$810,MATCH(151,'Match Log'!$A$4:$A$810,0)),"")</f>
        <v>0</v>
      </c>
      <c r="F175">
        <f>IFERROR(SUMIFS('Match Log'!$I$4:$I$810,'Match Log'!$A$4:$A$810,151,'Match Log'!$E$4:$E$810,"Win"),"")</f>
        <v>0</v>
      </c>
      <c r="G175">
        <f>IF($D175="","",1-$F175*$E175)</f>
        <v>0</v>
      </c>
      <c r="H175" t="str">
        <f>IFERROR(IF($E175=2,LOOKUP(2,1/(('Match Log'!$A$4:$A$810=151)*('Match Log'!$E$4:$E$810="Loss")),'Match Log'!$D$4:$D$810),"the field"),"")</f>
      </c>
      <c r="I175">
        <f>IF($G175="","",$G175-$A175/1000000)</f>
        <v>0</v>
      </c>
      <c r="J175">
        <v>151</v>
      </c>
      <c r="K175">
        <f>IF($J175&gt;MAX('Match Log'!$A$4:$A$810),NA(),IFERROR(LOOKUP(2,1/(('Match Log'!$D$4:$D$810=$K$24)*('Match Log'!$A$4:$A$810&lt;=$J175)),'Match Log'!$N$4:$N$810),NA()))</f>
        <v>0</v>
      </c>
      <c r="L175">
        <f>IF($J175&gt;MAX('Match Log'!$A$4:$A$810),NA(),IFERROR(LOOKUP(2,1/(('Match Log'!$D$4:$D$810=$L$24)*('Match Log'!$A$4:$A$810&lt;=$J175)),'Match Log'!$N$4:$N$810),NA()))</f>
        <v>0</v>
      </c>
      <c r="M175">
        <f>IF($J175&gt;MAX('Match Log'!$A$4:$A$810),NA(),IFERROR(LOOKUP(2,1/(('Match Log'!$D$4:$D$810=$M$24)*('Match Log'!$A$4:$A$810&lt;=$J175)),'Match Log'!$N$4:$N$810),NA()))</f>
        <v>0</v>
      </c>
      <c r="N175">
        <f>IF($J175&gt;MAX('Match Log'!$A$4:$A$810),NA(),IFERROR(LOOKUP(2,1/(('Match Log'!$D$4:$D$810=$N$24)*('Match Log'!$A$4:$A$810&lt;=$J175)),'Match Log'!$N$4:$N$810),NA()))</f>
        <v>0</v>
      </c>
      <c r="O175">
        <f>IF($J175&gt;MAX('Match Log'!$A$4:$A$810),NA(),IFERROR(LOOKUP(2,1/(('Match Log'!$D$4:$D$810=$O$24)*('Match Log'!$A$4:$A$810&lt;=$J175)),'Match Log'!$N$4:$N$810),NA()))</f>
        <v>0</v>
      </c>
      <c r="P175">
        <f>IF($J175&gt;MAX('Match Log'!$A$4:$A$810),NA(),IFERROR(LOOKUP(2,1/(('Match Log'!$D$4:$D$810=$P$24)*('Match Log'!$A$4:$A$810&lt;=$J175)),'Match Log'!$N$4:$N$810),NA()))</f>
        <v>0</v>
      </c>
      <c r="Q175">
        <f>IF($J175&gt;MAX('Match Log'!$A$4:$A$810),NA(),IFERROR(LOOKUP(2,1/(('Match Log'!$D$4:$D$810=$Q$24)*('Match Log'!$A$4:$A$810&lt;=$J175)),'Match Log'!$N$4:$N$810),NA()))</f>
        <v>0</v>
      </c>
      <c r="R175">
        <f>IF($J175&gt;MAX('Match Log'!$A$4:$A$810),NA(),IFERROR(LOOKUP(2,1/(('Match Log'!$D$4:$D$810=$R$24)*('Match Log'!$A$4:$A$810&lt;=$J175)),'Match Log'!$N$4:$N$810),NA()))</f>
        <v>0</v>
      </c>
      <c r="S175">
        <f>IF($J175&gt;MAX('Match Log'!$A$4:$A$810),NA(),IFERROR(LOOKUP(2,1/(('Match Log'!$D$4:$D$810=$S$24)*('Match Log'!$A$4:$A$810&lt;=$J175)),'Match Log'!$N$4:$N$810),NA()))</f>
        <v>0</v>
      </c>
      <c r="T175">
        <f>IF($J175&gt;MAX('Match Log'!$A$4:$A$810),NA(),IFERROR(LOOKUP(2,1/(('Match Log'!$D$4:$D$810=$T$24)*('Match Log'!$A$4:$A$810&lt;=$J175)),'Match Log'!$N$4:$N$810),NA()))</f>
        <v>0</v>
      </c>
      <c r="U175">
        <f>IF($J175&gt;MAX('Match Log'!$A$4:$A$810),NA(),IFERROR(LOOKUP(2,1/(('Match Log'!$D$4:$D$810=$U$24)*('Match Log'!$A$4:$A$810&lt;=$J175)),'Match Log'!$N$4:$N$810),NA()))</f>
        <v>0</v>
      </c>
      <c r="V175">
        <f>IF($J175&gt;MAX('Match Log'!$A$4:$A$810),NA(),IFERROR(LOOKUP(2,1/(('Match Log'!$D$4:$D$810=$V$24)*('Match Log'!$A$4:$A$810&lt;=$J175)),'Match Log'!$N$4:$N$810),NA()))</f>
        <v>0</v>
      </c>
      <c r="W175">
        <f>IF($J175&gt;MAX('Match Log'!$A$4:$A$810),NA(),IFERROR(LOOKUP(2,1/(('Match Log'!$D$4:$D$810=$W$24)*('Match Log'!$A$4:$A$810&lt;=$J175)),'Match Log'!$N$4:$N$810),NA()))</f>
        <v>0</v>
      </c>
      <c r="X175">
        <f>IF($J175&gt;MAX('Match Log'!$A$4:$A$810),NA(),IFERROR(LOOKUP(2,1/(('Match Log'!$D$4:$D$810=$X$24)*('Match Log'!$A$4:$A$810&lt;=$J175)),'Match Log'!$N$4:$N$810),NA()))</f>
        <v>0</v>
      </c>
      <c r="Y175" t="str">
        <f>IF(AND($B175&lt;&gt;"",$B175&gt;=$B$5,$I175&lt;&gt;""),$I175,"")</f>
      </c>
    </row>
    <row r="176">
      <c r="A176">
        <v>152</v>
      </c>
      <c r="B176">
        <f>IFERROR(INDEX('Match Log'!$B$4:$B$810,MATCH(152,'Match Log'!$A$4:$A$810,0)),"")</f>
        <v>0</v>
      </c>
      <c r="C176" t="str">
        <f>IFERROR(INDEX('Match Log'!$C$4:$C$810,MATCH(152,'Match Log'!$A$4:$A$810,0)),"")</f>
      </c>
      <c r="D176" t="str">
        <f>IFERROR(INDEX('Match Log'!$G$4:$G$810,MATCH(152,'Match Log'!$A$4:$A$810,0)),"")</f>
      </c>
      <c r="E176">
        <f>IFERROR(INDEX('Match Log'!$F$4:$F$810,MATCH(152,'Match Log'!$A$4:$A$810,0)),"")</f>
        <v>0</v>
      </c>
      <c r="F176">
        <f>IFERROR(SUMIFS('Match Log'!$I$4:$I$810,'Match Log'!$A$4:$A$810,152,'Match Log'!$E$4:$E$810,"Win"),"")</f>
        <v>0</v>
      </c>
      <c r="G176">
        <f>IF($D176="","",1-$F176*$E176)</f>
        <v>0</v>
      </c>
      <c r="H176" t="str">
        <f>IFERROR(IF($E176=2,LOOKUP(2,1/(('Match Log'!$A$4:$A$810=152)*('Match Log'!$E$4:$E$810="Loss")),'Match Log'!$D$4:$D$810),"the field"),"")</f>
      </c>
      <c r="I176">
        <f>IF($G176="","",$G176-$A176/1000000)</f>
        <v>0</v>
      </c>
      <c r="J176">
        <v>152</v>
      </c>
      <c r="K176">
        <f>IF($J176&gt;MAX('Match Log'!$A$4:$A$810),NA(),IFERROR(LOOKUP(2,1/(('Match Log'!$D$4:$D$810=$K$24)*('Match Log'!$A$4:$A$810&lt;=$J176)),'Match Log'!$N$4:$N$810),NA()))</f>
        <v>0</v>
      </c>
      <c r="L176">
        <f>IF($J176&gt;MAX('Match Log'!$A$4:$A$810),NA(),IFERROR(LOOKUP(2,1/(('Match Log'!$D$4:$D$810=$L$24)*('Match Log'!$A$4:$A$810&lt;=$J176)),'Match Log'!$N$4:$N$810),NA()))</f>
        <v>0</v>
      </c>
      <c r="M176">
        <f>IF($J176&gt;MAX('Match Log'!$A$4:$A$810),NA(),IFERROR(LOOKUP(2,1/(('Match Log'!$D$4:$D$810=$M$24)*('Match Log'!$A$4:$A$810&lt;=$J176)),'Match Log'!$N$4:$N$810),NA()))</f>
        <v>0</v>
      </c>
      <c r="N176">
        <f>IF($J176&gt;MAX('Match Log'!$A$4:$A$810),NA(),IFERROR(LOOKUP(2,1/(('Match Log'!$D$4:$D$810=$N$24)*('Match Log'!$A$4:$A$810&lt;=$J176)),'Match Log'!$N$4:$N$810),NA()))</f>
        <v>0</v>
      </c>
      <c r="O176">
        <f>IF($J176&gt;MAX('Match Log'!$A$4:$A$810),NA(),IFERROR(LOOKUP(2,1/(('Match Log'!$D$4:$D$810=$O$24)*('Match Log'!$A$4:$A$810&lt;=$J176)),'Match Log'!$N$4:$N$810),NA()))</f>
        <v>0</v>
      </c>
      <c r="P176">
        <f>IF($J176&gt;MAX('Match Log'!$A$4:$A$810),NA(),IFERROR(LOOKUP(2,1/(('Match Log'!$D$4:$D$810=$P$24)*('Match Log'!$A$4:$A$810&lt;=$J176)),'Match Log'!$N$4:$N$810),NA()))</f>
        <v>0</v>
      </c>
      <c r="Q176">
        <f>IF($J176&gt;MAX('Match Log'!$A$4:$A$810),NA(),IFERROR(LOOKUP(2,1/(('Match Log'!$D$4:$D$810=$Q$24)*('Match Log'!$A$4:$A$810&lt;=$J176)),'Match Log'!$N$4:$N$810),NA()))</f>
        <v>0</v>
      </c>
      <c r="R176">
        <f>IF($J176&gt;MAX('Match Log'!$A$4:$A$810),NA(),IFERROR(LOOKUP(2,1/(('Match Log'!$D$4:$D$810=$R$24)*('Match Log'!$A$4:$A$810&lt;=$J176)),'Match Log'!$N$4:$N$810),NA()))</f>
        <v>0</v>
      </c>
      <c r="S176">
        <f>IF($J176&gt;MAX('Match Log'!$A$4:$A$810),NA(),IFERROR(LOOKUP(2,1/(('Match Log'!$D$4:$D$810=$S$24)*('Match Log'!$A$4:$A$810&lt;=$J176)),'Match Log'!$N$4:$N$810),NA()))</f>
        <v>0</v>
      </c>
      <c r="T176">
        <f>IF($J176&gt;MAX('Match Log'!$A$4:$A$810),NA(),IFERROR(LOOKUP(2,1/(('Match Log'!$D$4:$D$810=$T$24)*('Match Log'!$A$4:$A$810&lt;=$J176)),'Match Log'!$N$4:$N$810),NA()))</f>
        <v>0</v>
      </c>
      <c r="U176">
        <f>IF($J176&gt;MAX('Match Log'!$A$4:$A$810),NA(),IFERROR(LOOKUP(2,1/(('Match Log'!$D$4:$D$810=$U$24)*('Match Log'!$A$4:$A$810&lt;=$J176)),'Match Log'!$N$4:$N$810),NA()))</f>
        <v>0</v>
      </c>
      <c r="V176">
        <f>IF($J176&gt;MAX('Match Log'!$A$4:$A$810),NA(),IFERROR(LOOKUP(2,1/(('Match Log'!$D$4:$D$810=$V$24)*('Match Log'!$A$4:$A$810&lt;=$J176)),'Match Log'!$N$4:$N$810),NA()))</f>
        <v>0</v>
      </c>
      <c r="W176">
        <f>IF($J176&gt;MAX('Match Log'!$A$4:$A$810),NA(),IFERROR(LOOKUP(2,1/(('Match Log'!$D$4:$D$810=$W$24)*('Match Log'!$A$4:$A$810&lt;=$J176)),'Match Log'!$N$4:$N$810),NA()))</f>
        <v>0</v>
      </c>
      <c r="X176">
        <f>IF($J176&gt;MAX('Match Log'!$A$4:$A$810),NA(),IFERROR(LOOKUP(2,1/(('Match Log'!$D$4:$D$810=$X$24)*('Match Log'!$A$4:$A$810&lt;=$J176)),'Match Log'!$N$4:$N$810),NA()))</f>
        <v>0</v>
      </c>
      <c r="Y176" t="str">
        <f>IF(AND($B176&lt;&gt;"",$B176&gt;=$B$5,$I176&lt;&gt;""),$I176,"")</f>
      </c>
    </row>
    <row r="177">
      <c r="A177">
        <v>153</v>
      </c>
      <c r="B177">
        <f>IFERROR(INDEX('Match Log'!$B$4:$B$810,MATCH(153,'Match Log'!$A$4:$A$810,0)),"")</f>
        <v>0</v>
      </c>
      <c r="C177" t="str">
        <f>IFERROR(INDEX('Match Log'!$C$4:$C$810,MATCH(153,'Match Log'!$A$4:$A$810,0)),"")</f>
      </c>
      <c r="D177" t="str">
        <f>IFERROR(INDEX('Match Log'!$G$4:$G$810,MATCH(153,'Match Log'!$A$4:$A$810,0)),"")</f>
      </c>
      <c r="E177">
        <f>IFERROR(INDEX('Match Log'!$F$4:$F$810,MATCH(153,'Match Log'!$A$4:$A$810,0)),"")</f>
        <v>0</v>
      </c>
      <c r="F177">
        <f>IFERROR(SUMIFS('Match Log'!$I$4:$I$810,'Match Log'!$A$4:$A$810,153,'Match Log'!$E$4:$E$810,"Win"),"")</f>
        <v>0</v>
      </c>
      <c r="G177">
        <f>IF($D177="","",1-$F177*$E177)</f>
        <v>0</v>
      </c>
      <c r="H177" t="str">
        <f>IFERROR(IF($E177=2,LOOKUP(2,1/(('Match Log'!$A$4:$A$810=153)*('Match Log'!$E$4:$E$810="Loss")),'Match Log'!$D$4:$D$810),"the field"),"")</f>
      </c>
      <c r="I177">
        <f>IF($G177="","",$G177-$A177/1000000)</f>
        <v>0</v>
      </c>
      <c r="J177">
        <v>153</v>
      </c>
      <c r="K177">
        <f>IF($J177&gt;MAX('Match Log'!$A$4:$A$810),NA(),IFERROR(LOOKUP(2,1/(('Match Log'!$D$4:$D$810=$K$24)*('Match Log'!$A$4:$A$810&lt;=$J177)),'Match Log'!$N$4:$N$810),NA()))</f>
        <v>0</v>
      </c>
      <c r="L177">
        <f>IF($J177&gt;MAX('Match Log'!$A$4:$A$810),NA(),IFERROR(LOOKUP(2,1/(('Match Log'!$D$4:$D$810=$L$24)*('Match Log'!$A$4:$A$810&lt;=$J177)),'Match Log'!$N$4:$N$810),NA()))</f>
        <v>0</v>
      </c>
      <c r="M177">
        <f>IF($J177&gt;MAX('Match Log'!$A$4:$A$810),NA(),IFERROR(LOOKUP(2,1/(('Match Log'!$D$4:$D$810=$M$24)*('Match Log'!$A$4:$A$810&lt;=$J177)),'Match Log'!$N$4:$N$810),NA()))</f>
        <v>0</v>
      </c>
      <c r="N177">
        <f>IF($J177&gt;MAX('Match Log'!$A$4:$A$810),NA(),IFERROR(LOOKUP(2,1/(('Match Log'!$D$4:$D$810=$N$24)*('Match Log'!$A$4:$A$810&lt;=$J177)),'Match Log'!$N$4:$N$810),NA()))</f>
        <v>0</v>
      </c>
      <c r="O177">
        <f>IF($J177&gt;MAX('Match Log'!$A$4:$A$810),NA(),IFERROR(LOOKUP(2,1/(('Match Log'!$D$4:$D$810=$O$24)*('Match Log'!$A$4:$A$810&lt;=$J177)),'Match Log'!$N$4:$N$810),NA()))</f>
        <v>0</v>
      </c>
      <c r="P177">
        <f>IF($J177&gt;MAX('Match Log'!$A$4:$A$810),NA(),IFERROR(LOOKUP(2,1/(('Match Log'!$D$4:$D$810=$P$24)*('Match Log'!$A$4:$A$810&lt;=$J177)),'Match Log'!$N$4:$N$810),NA()))</f>
        <v>0</v>
      </c>
      <c r="Q177">
        <f>IF($J177&gt;MAX('Match Log'!$A$4:$A$810),NA(),IFERROR(LOOKUP(2,1/(('Match Log'!$D$4:$D$810=$Q$24)*('Match Log'!$A$4:$A$810&lt;=$J177)),'Match Log'!$N$4:$N$810),NA()))</f>
        <v>0</v>
      </c>
      <c r="R177">
        <f>IF($J177&gt;MAX('Match Log'!$A$4:$A$810),NA(),IFERROR(LOOKUP(2,1/(('Match Log'!$D$4:$D$810=$R$24)*('Match Log'!$A$4:$A$810&lt;=$J177)),'Match Log'!$N$4:$N$810),NA()))</f>
        <v>0</v>
      </c>
      <c r="S177">
        <f>IF($J177&gt;MAX('Match Log'!$A$4:$A$810),NA(),IFERROR(LOOKUP(2,1/(('Match Log'!$D$4:$D$810=$S$24)*('Match Log'!$A$4:$A$810&lt;=$J177)),'Match Log'!$N$4:$N$810),NA()))</f>
        <v>0</v>
      </c>
      <c r="T177">
        <f>IF($J177&gt;MAX('Match Log'!$A$4:$A$810),NA(),IFERROR(LOOKUP(2,1/(('Match Log'!$D$4:$D$810=$T$24)*('Match Log'!$A$4:$A$810&lt;=$J177)),'Match Log'!$N$4:$N$810),NA()))</f>
        <v>0</v>
      </c>
      <c r="U177">
        <f>IF($J177&gt;MAX('Match Log'!$A$4:$A$810),NA(),IFERROR(LOOKUP(2,1/(('Match Log'!$D$4:$D$810=$U$24)*('Match Log'!$A$4:$A$810&lt;=$J177)),'Match Log'!$N$4:$N$810),NA()))</f>
        <v>0</v>
      </c>
      <c r="V177">
        <f>IF($J177&gt;MAX('Match Log'!$A$4:$A$810),NA(),IFERROR(LOOKUP(2,1/(('Match Log'!$D$4:$D$810=$V$24)*('Match Log'!$A$4:$A$810&lt;=$J177)),'Match Log'!$N$4:$N$810),NA()))</f>
        <v>0</v>
      </c>
      <c r="W177">
        <f>IF($J177&gt;MAX('Match Log'!$A$4:$A$810),NA(),IFERROR(LOOKUP(2,1/(('Match Log'!$D$4:$D$810=$W$24)*('Match Log'!$A$4:$A$810&lt;=$J177)),'Match Log'!$N$4:$N$810),NA()))</f>
        <v>0</v>
      </c>
      <c r="X177">
        <f>IF($J177&gt;MAX('Match Log'!$A$4:$A$810),NA(),IFERROR(LOOKUP(2,1/(('Match Log'!$D$4:$D$810=$X$24)*('Match Log'!$A$4:$A$810&lt;=$J177)),'Match Log'!$N$4:$N$810),NA()))</f>
        <v>0</v>
      </c>
      <c r="Y177" t="str">
        <f>IF(AND($B177&lt;&gt;"",$B177&gt;=$B$5,$I177&lt;&gt;""),$I177,"")</f>
      </c>
    </row>
    <row r="178">
      <c r="A178">
        <v>154</v>
      </c>
      <c r="B178">
        <f>IFERROR(INDEX('Match Log'!$B$4:$B$810,MATCH(154,'Match Log'!$A$4:$A$810,0)),"")</f>
        <v>0</v>
      </c>
      <c r="C178" t="str">
        <f>IFERROR(INDEX('Match Log'!$C$4:$C$810,MATCH(154,'Match Log'!$A$4:$A$810,0)),"")</f>
      </c>
      <c r="D178" t="str">
        <f>IFERROR(INDEX('Match Log'!$G$4:$G$810,MATCH(154,'Match Log'!$A$4:$A$810,0)),"")</f>
      </c>
      <c r="E178">
        <f>IFERROR(INDEX('Match Log'!$F$4:$F$810,MATCH(154,'Match Log'!$A$4:$A$810,0)),"")</f>
        <v>0</v>
      </c>
      <c r="F178">
        <f>IFERROR(SUMIFS('Match Log'!$I$4:$I$810,'Match Log'!$A$4:$A$810,154,'Match Log'!$E$4:$E$810,"Win"),"")</f>
        <v>0</v>
      </c>
      <c r="G178">
        <f>IF($D178="","",1-$F178*$E178)</f>
        <v>0</v>
      </c>
      <c r="H178" t="str">
        <f>IFERROR(IF($E178=2,LOOKUP(2,1/(('Match Log'!$A$4:$A$810=154)*('Match Log'!$E$4:$E$810="Loss")),'Match Log'!$D$4:$D$810),"the field"),"")</f>
      </c>
      <c r="I178">
        <f>IF($G178="","",$G178-$A178/1000000)</f>
        <v>0</v>
      </c>
      <c r="J178">
        <v>154</v>
      </c>
      <c r="K178">
        <f>IF($J178&gt;MAX('Match Log'!$A$4:$A$810),NA(),IFERROR(LOOKUP(2,1/(('Match Log'!$D$4:$D$810=$K$24)*('Match Log'!$A$4:$A$810&lt;=$J178)),'Match Log'!$N$4:$N$810),NA()))</f>
        <v>0</v>
      </c>
      <c r="L178">
        <f>IF($J178&gt;MAX('Match Log'!$A$4:$A$810),NA(),IFERROR(LOOKUP(2,1/(('Match Log'!$D$4:$D$810=$L$24)*('Match Log'!$A$4:$A$810&lt;=$J178)),'Match Log'!$N$4:$N$810),NA()))</f>
        <v>0</v>
      </c>
      <c r="M178">
        <f>IF($J178&gt;MAX('Match Log'!$A$4:$A$810),NA(),IFERROR(LOOKUP(2,1/(('Match Log'!$D$4:$D$810=$M$24)*('Match Log'!$A$4:$A$810&lt;=$J178)),'Match Log'!$N$4:$N$810),NA()))</f>
        <v>0</v>
      </c>
      <c r="N178">
        <f>IF($J178&gt;MAX('Match Log'!$A$4:$A$810),NA(),IFERROR(LOOKUP(2,1/(('Match Log'!$D$4:$D$810=$N$24)*('Match Log'!$A$4:$A$810&lt;=$J178)),'Match Log'!$N$4:$N$810),NA()))</f>
        <v>0</v>
      </c>
      <c r="O178">
        <f>IF($J178&gt;MAX('Match Log'!$A$4:$A$810),NA(),IFERROR(LOOKUP(2,1/(('Match Log'!$D$4:$D$810=$O$24)*('Match Log'!$A$4:$A$810&lt;=$J178)),'Match Log'!$N$4:$N$810),NA()))</f>
        <v>0</v>
      </c>
      <c r="P178">
        <f>IF($J178&gt;MAX('Match Log'!$A$4:$A$810),NA(),IFERROR(LOOKUP(2,1/(('Match Log'!$D$4:$D$810=$P$24)*('Match Log'!$A$4:$A$810&lt;=$J178)),'Match Log'!$N$4:$N$810),NA()))</f>
        <v>0</v>
      </c>
      <c r="Q178">
        <f>IF($J178&gt;MAX('Match Log'!$A$4:$A$810),NA(),IFERROR(LOOKUP(2,1/(('Match Log'!$D$4:$D$810=$Q$24)*('Match Log'!$A$4:$A$810&lt;=$J178)),'Match Log'!$N$4:$N$810),NA()))</f>
        <v>0</v>
      </c>
      <c r="R178">
        <f>IF($J178&gt;MAX('Match Log'!$A$4:$A$810),NA(),IFERROR(LOOKUP(2,1/(('Match Log'!$D$4:$D$810=$R$24)*('Match Log'!$A$4:$A$810&lt;=$J178)),'Match Log'!$N$4:$N$810),NA()))</f>
        <v>0</v>
      </c>
      <c r="S178">
        <f>IF($J178&gt;MAX('Match Log'!$A$4:$A$810),NA(),IFERROR(LOOKUP(2,1/(('Match Log'!$D$4:$D$810=$S$24)*('Match Log'!$A$4:$A$810&lt;=$J178)),'Match Log'!$N$4:$N$810),NA()))</f>
        <v>0</v>
      </c>
      <c r="T178">
        <f>IF($J178&gt;MAX('Match Log'!$A$4:$A$810),NA(),IFERROR(LOOKUP(2,1/(('Match Log'!$D$4:$D$810=$T$24)*('Match Log'!$A$4:$A$810&lt;=$J178)),'Match Log'!$N$4:$N$810),NA()))</f>
        <v>0</v>
      </c>
      <c r="U178">
        <f>IF($J178&gt;MAX('Match Log'!$A$4:$A$810),NA(),IFERROR(LOOKUP(2,1/(('Match Log'!$D$4:$D$810=$U$24)*('Match Log'!$A$4:$A$810&lt;=$J178)),'Match Log'!$N$4:$N$810),NA()))</f>
        <v>0</v>
      </c>
      <c r="V178">
        <f>IF($J178&gt;MAX('Match Log'!$A$4:$A$810),NA(),IFERROR(LOOKUP(2,1/(('Match Log'!$D$4:$D$810=$V$24)*('Match Log'!$A$4:$A$810&lt;=$J178)),'Match Log'!$N$4:$N$810),NA()))</f>
        <v>0</v>
      </c>
      <c r="W178">
        <f>IF($J178&gt;MAX('Match Log'!$A$4:$A$810),NA(),IFERROR(LOOKUP(2,1/(('Match Log'!$D$4:$D$810=$W$24)*('Match Log'!$A$4:$A$810&lt;=$J178)),'Match Log'!$N$4:$N$810),NA()))</f>
        <v>0</v>
      </c>
      <c r="X178">
        <f>IF($J178&gt;MAX('Match Log'!$A$4:$A$810),NA(),IFERROR(LOOKUP(2,1/(('Match Log'!$D$4:$D$810=$X$24)*('Match Log'!$A$4:$A$810&lt;=$J178)),'Match Log'!$N$4:$N$810),NA()))</f>
        <v>0</v>
      </c>
      <c r="Y178" t="str">
        <f>IF(AND($B178&lt;&gt;"",$B178&gt;=$B$5,$I178&lt;&gt;""),$I178,"")</f>
      </c>
    </row>
    <row r="179">
      <c r="A179">
        <v>155</v>
      </c>
      <c r="B179">
        <f>IFERROR(INDEX('Match Log'!$B$4:$B$810,MATCH(155,'Match Log'!$A$4:$A$810,0)),"")</f>
        <v>0</v>
      </c>
      <c r="C179" t="str">
        <f>IFERROR(INDEX('Match Log'!$C$4:$C$810,MATCH(155,'Match Log'!$A$4:$A$810,0)),"")</f>
      </c>
      <c r="D179" t="str">
        <f>IFERROR(INDEX('Match Log'!$G$4:$G$810,MATCH(155,'Match Log'!$A$4:$A$810,0)),"")</f>
      </c>
      <c r="E179">
        <f>IFERROR(INDEX('Match Log'!$F$4:$F$810,MATCH(155,'Match Log'!$A$4:$A$810,0)),"")</f>
        <v>0</v>
      </c>
      <c r="F179">
        <f>IFERROR(SUMIFS('Match Log'!$I$4:$I$810,'Match Log'!$A$4:$A$810,155,'Match Log'!$E$4:$E$810,"Win"),"")</f>
        <v>0</v>
      </c>
      <c r="G179">
        <f>IF($D179="","",1-$F179*$E179)</f>
        <v>0</v>
      </c>
      <c r="H179" t="str">
        <f>IFERROR(IF($E179=2,LOOKUP(2,1/(('Match Log'!$A$4:$A$810=155)*('Match Log'!$E$4:$E$810="Loss")),'Match Log'!$D$4:$D$810),"the field"),"")</f>
      </c>
      <c r="I179">
        <f>IF($G179="","",$G179-$A179/1000000)</f>
        <v>0</v>
      </c>
      <c r="J179">
        <v>155</v>
      </c>
      <c r="K179">
        <f>IF($J179&gt;MAX('Match Log'!$A$4:$A$810),NA(),IFERROR(LOOKUP(2,1/(('Match Log'!$D$4:$D$810=$K$24)*('Match Log'!$A$4:$A$810&lt;=$J179)),'Match Log'!$N$4:$N$810),NA()))</f>
        <v>0</v>
      </c>
      <c r="L179">
        <f>IF($J179&gt;MAX('Match Log'!$A$4:$A$810),NA(),IFERROR(LOOKUP(2,1/(('Match Log'!$D$4:$D$810=$L$24)*('Match Log'!$A$4:$A$810&lt;=$J179)),'Match Log'!$N$4:$N$810),NA()))</f>
        <v>0</v>
      </c>
      <c r="M179">
        <f>IF($J179&gt;MAX('Match Log'!$A$4:$A$810),NA(),IFERROR(LOOKUP(2,1/(('Match Log'!$D$4:$D$810=$M$24)*('Match Log'!$A$4:$A$810&lt;=$J179)),'Match Log'!$N$4:$N$810),NA()))</f>
        <v>0</v>
      </c>
      <c r="N179">
        <f>IF($J179&gt;MAX('Match Log'!$A$4:$A$810),NA(),IFERROR(LOOKUP(2,1/(('Match Log'!$D$4:$D$810=$N$24)*('Match Log'!$A$4:$A$810&lt;=$J179)),'Match Log'!$N$4:$N$810),NA()))</f>
        <v>0</v>
      </c>
      <c r="O179">
        <f>IF($J179&gt;MAX('Match Log'!$A$4:$A$810),NA(),IFERROR(LOOKUP(2,1/(('Match Log'!$D$4:$D$810=$O$24)*('Match Log'!$A$4:$A$810&lt;=$J179)),'Match Log'!$N$4:$N$810),NA()))</f>
        <v>0</v>
      </c>
      <c r="P179">
        <f>IF($J179&gt;MAX('Match Log'!$A$4:$A$810),NA(),IFERROR(LOOKUP(2,1/(('Match Log'!$D$4:$D$810=$P$24)*('Match Log'!$A$4:$A$810&lt;=$J179)),'Match Log'!$N$4:$N$810),NA()))</f>
        <v>0</v>
      </c>
      <c r="Q179">
        <f>IF($J179&gt;MAX('Match Log'!$A$4:$A$810),NA(),IFERROR(LOOKUP(2,1/(('Match Log'!$D$4:$D$810=$Q$24)*('Match Log'!$A$4:$A$810&lt;=$J179)),'Match Log'!$N$4:$N$810),NA()))</f>
        <v>0</v>
      </c>
      <c r="R179">
        <f>IF($J179&gt;MAX('Match Log'!$A$4:$A$810),NA(),IFERROR(LOOKUP(2,1/(('Match Log'!$D$4:$D$810=$R$24)*('Match Log'!$A$4:$A$810&lt;=$J179)),'Match Log'!$N$4:$N$810),NA()))</f>
        <v>0</v>
      </c>
      <c r="S179">
        <f>IF($J179&gt;MAX('Match Log'!$A$4:$A$810),NA(),IFERROR(LOOKUP(2,1/(('Match Log'!$D$4:$D$810=$S$24)*('Match Log'!$A$4:$A$810&lt;=$J179)),'Match Log'!$N$4:$N$810),NA()))</f>
        <v>0</v>
      </c>
      <c r="T179">
        <f>IF($J179&gt;MAX('Match Log'!$A$4:$A$810),NA(),IFERROR(LOOKUP(2,1/(('Match Log'!$D$4:$D$810=$T$24)*('Match Log'!$A$4:$A$810&lt;=$J179)),'Match Log'!$N$4:$N$810),NA()))</f>
        <v>0</v>
      </c>
      <c r="U179">
        <f>IF($J179&gt;MAX('Match Log'!$A$4:$A$810),NA(),IFERROR(LOOKUP(2,1/(('Match Log'!$D$4:$D$810=$U$24)*('Match Log'!$A$4:$A$810&lt;=$J179)),'Match Log'!$N$4:$N$810),NA()))</f>
        <v>0</v>
      </c>
      <c r="V179">
        <f>IF($J179&gt;MAX('Match Log'!$A$4:$A$810),NA(),IFERROR(LOOKUP(2,1/(('Match Log'!$D$4:$D$810=$V$24)*('Match Log'!$A$4:$A$810&lt;=$J179)),'Match Log'!$N$4:$N$810),NA()))</f>
        <v>0</v>
      </c>
      <c r="W179">
        <f>IF($J179&gt;MAX('Match Log'!$A$4:$A$810),NA(),IFERROR(LOOKUP(2,1/(('Match Log'!$D$4:$D$810=$W$24)*('Match Log'!$A$4:$A$810&lt;=$J179)),'Match Log'!$N$4:$N$810),NA()))</f>
        <v>0</v>
      </c>
      <c r="X179">
        <f>IF($J179&gt;MAX('Match Log'!$A$4:$A$810),NA(),IFERROR(LOOKUP(2,1/(('Match Log'!$D$4:$D$810=$X$24)*('Match Log'!$A$4:$A$810&lt;=$J179)),'Match Log'!$N$4:$N$810),NA()))</f>
        <v>0</v>
      </c>
      <c r="Y179" t="str">
        <f>IF(AND($B179&lt;&gt;"",$B179&gt;=$B$5,$I179&lt;&gt;""),$I179,"")</f>
      </c>
    </row>
    <row r="180">
      <c r="A180">
        <v>156</v>
      </c>
      <c r="B180">
        <f>IFERROR(INDEX('Match Log'!$B$4:$B$810,MATCH(156,'Match Log'!$A$4:$A$810,0)),"")</f>
        <v>0</v>
      </c>
      <c r="C180" t="str">
        <f>IFERROR(INDEX('Match Log'!$C$4:$C$810,MATCH(156,'Match Log'!$A$4:$A$810,0)),"")</f>
      </c>
      <c r="D180" t="str">
        <f>IFERROR(INDEX('Match Log'!$G$4:$G$810,MATCH(156,'Match Log'!$A$4:$A$810,0)),"")</f>
      </c>
      <c r="E180">
        <f>IFERROR(INDEX('Match Log'!$F$4:$F$810,MATCH(156,'Match Log'!$A$4:$A$810,0)),"")</f>
        <v>0</v>
      </c>
      <c r="F180">
        <f>IFERROR(SUMIFS('Match Log'!$I$4:$I$810,'Match Log'!$A$4:$A$810,156,'Match Log'!$E$4:$E$810,"Win"),"")</f>
        <v>0</v>
      </c>
      <c r="G180">
        <f>IF($D180="","",1-$F180*$E180)</f>
        <v>0</v>
      </c>
      <c r="H180" t="str">
        <f>IFERROR(IF($E180=2,LOOKUP(2,1/(('Match Log'!$A$4:$A$810=156)*('Match Log'!$E$4:$E$810="Loss")),'Match Log'!$D$4:$D$810),"the field"),"")</f>
      </c>
      <c r="I180">
        <f>IF($G180="","",$G180-$A180/1000000)</f>
        <v>0</v>
      </c>
      <c r="J180">
        <v>156</v>
      </c>
      <c r="K180">
        <f>IF($J180&gt;MAX('Match Log'!$A$4:$A$810),NA(),IFERROR(LOOKUP(2,1/(('Match Log'!$D$4:$D$810=$K$24)*('Match Log'!$A$4:$A$810&lt;=$J180)),'Match Log'!$N$4:$N$810),NA()))</f>
        <v>0</v>
      </c>
      <c r="L180">
        <f>IF($J180&gt;MAX('Match Log'!$A$4:$A$810),NA(),IFERROR(LOOKUP(2,1/(('Match Log'!$D$4:$D$810=$L$24)*('Match Log'!$A$4:$A$810&lt;=$J180)),'Match Log'!$N$4:$N$810),NA()))</f>
        <v>0</v>
      </c>
      <c r="M180">
        <f>IF($J180&gt;MAX('Match Log'!$A$4:$A$810),NA(),IFERROR(LOOKUP(2,1/(('Match Log'!$D$4:$D$810=$M$24)*('Match Log'!$A$4:$A$810&lt;=$J180)),'Match Log'!$N$4:$N$810),NA()))</f>
        <v>0</v>
      </c>
      <c r="N180">
        <f>IF($J180&gt;MAX('Match Log'!$A$4:$A$810),NA(),IFERROR(LOOKUP(2,1/(('Match Log'!$D$4:$D$810=$N$24)*('Match Log'!$A$4:$A$810&lt;=$J180)),'Match Log'!$N$4:$N$810),NA()))</f>
        <v>0</v>
      </c>
      <c r="O180">
        <f>IF($J180&gt;MAX('Match Log'!$A$4:$A$810),NA(),IFERROR(LOOKUP(2,1/(('Match Log'!$D$4:$D$810=$O$24)*('Match Log'!$A$4:$A$810&lt;=$J180)),'Match Log'!$N$4:$N$810),NA()))</f>
        <v>0</v>
      </c>
      <c r="P180">
        <f>IF($J180&gt;MAX('Match Log'!$A$4:$A$810),NA(),IFERROR(LOOKUP(2,1/(('Match Log'!$D$4:$D$810=$P$24)*('Match Log'!$A$4:$A$810&lt;=$J180)),'Match Log'!$N$4:$N$810),NA()))</f>
        <v>0</v>
      </c>
      <c r="Q180">
        <f>IF($J180&gt;MAX('Match Log'!$A$4:$A$810),NA(),IFERROR(LOOKUP(2,1/(('Match Log'!$D$4:$D$810=$Q$24)*('Match Log'!$A$4:$A$810&lt;=$J180)),'Match Log'!$N$4:$N$810),NA()))</f>
        <v>0</v>
      </c>
      <c r="R180">
        <f>IF($J180&gt;MAX('Match Log'!$A$4:$A$810),NA(),IFERROR(LOOKUP(2,1/(('Match Log'!$D$4:$D$810=$R$24)*('Match Log'!$A$4:$A$810&lt;=$J180)),'Match Log'!$N$4:$N$810),NA()))</f>
        <v>0</v>
      </c>
      <c r="S180">
        <f>IF($J180&gt;MAX('Match Log'!$A$4:$A$810),NA(),IFERROR(LOOKUP(2,1/(('Match Log'!$D$4:$D$810=$S$24)*('Match Log'!$A$4:$A$810&lt;=$J180)),'Match Log'!$N$4:$N$810),NA()))</f>
        <v>0</v>
      </c>
      <c r="T180">
        <f>IF($J180&gt;MAX('Match Log'!$A$4:$A$810),NA(),IFERROR(LOOKUP(2,1/(('Match Log'!$D$4:$D$810=$T$24)*('Match Log'!$A$4:$A$810&lt;=$J180)),'Match Log'!$N$4:$N$810),NA()))</f>
        <v>0</v>
      </c>
      <c r="U180">
        <f>IF($J180&gt;MAX('Match Log'!$A$4:$A$810),NA(),IFERROR(LOOKUP(2,1/(('Match Log'!$D$4:$D$810=$U$24)*('Match Log'!$A$4:$A$810&lt;=$J180)),'Match Log'!$N$4:$N$810),NA()))</f>
        <v>0</v>
      </c>
      <c r="V180">
        <f>IF($J180&gt;MAX('Match Log'!$A$4:$A$810),NA(),IFERROR(LOOKUP(2,1/(('Match Log'!$D$4:$D$810=$V$24)*('Match Log'!$A$4:$A$810&lt;=$J180)),'Match Log'!$N$4:$N$810),NA()))</f>
        <v>0</v>
      </c>
      <c r="W180">
        <f>IF($J180&gt;MAX('Match Log'!$A$4:$A$810),NA(),IFERROR(LOOKUP(2,1/(('Match Log'!$D$4:$D$810=$W$24)*('Match Log'!$A$4:$A$810&lt;=$J180)),'Match Log'!$N$4:$N$810),NA()))</f>
        <v>0</v>
      </c>
      <c r="X180">
        <f>IF($J180&gt;MAX('Match Log'!$A$4:$A$810),NA(),IFERROR(LOOKUP(2,1/(('Match Log'!$D$4:$D$810=$X$24)*('Match Log'!$A$4:$A$810&lt;=$J180)),'Match Log'!$N$4:$N$810),NA()))</f>
        <v>0</v>
      </c>
      <c r="Y180" t="str">
        <f>IF(AND($B180&lt;&gt;"",$B180&gt;=$B$5,$I180&lt;&gt;""),$I180,"")</f>
      </c>
    </row>
    <row r="181">
      <c r="A181">
        <v>157</v>
      </c>
      <c r="B181">
        <f>IFERROR(INDEX('Match Log'!$B$4:$B$810,MATCH(157,'Match Log'!$A$4:$A$810,0)),"")</f>
        <v>0</v>
      </c>
      <c r="C181" t="str">
        <f>IFERROR(INDEX('Match Log'!$C$4:$C$810,MATCH(157,'Match Log'!$A$4:$A$810,0)),"")</f>
      </c>
      <c r="D181" t="str">
        <f>IFERROR(INDEX('Match Log'!$G$4:$G$810,MATCH(157,'Match Log'!$A$4:$A$810,0)),"")</f>
      </c>
      <c r="E181">
        <f>IFERROR(INDEX('Match Log'!$F$4:$F$810,MATCH(157,'Match Log'!$A$4:$A$810,0)),"")</f>
        <v>0</v>
      </c>
      <c r="F181">
        <f>IFERROR(SUMIFS('Match Log'!$I$4:$I$810,'Match Log'!$A$4:$A$810,157,'Match Log'!$E$4:$E$810,"Win"),"")</f>
        <v>0</v>
      </c>
      <c r="G181">
        <f>IF($D181="","",1-$F181*$E181)</f>
        <v>0</v>
      </c>
      <c r="H181" t="str">
        <f>IFERROR(IF($E181=2,LOOKUP(2,1/(('Match Log'!$A$4:$A$810=157)*('Match Log'!$E$4:$E$810="Loss")),'Match Log'!$D$4:$D$810),"the field"),"")</f>
      </c>
      <c r="I181">
        <f>IF($G181="","",$G181-$A181/1000000)</f>
        <v>0</v>
      </c>
      <c r="J181">
        <v>157</v>
      </c>
      <c r="K181">
        <f>IF($J181&gt;MAX('Match Log'!$A$4:$A$810),NA(),IFERROR(LOOKUP(2,1/(('Match Log'!$D$4:$D$810=$K$24)*('Match Log'!$A$4:$A$810&lt;=$J181)),'Match Log'!$N$4:$N$810),NA()))</f>
        <v>0</v>
      </c>
      <c r="L181">
        <f>IF($J181&gt;MAX('Match Log'!$A$4:$A$810),NA(),IFERROR(LOOKUP(2,1/(('Match Log'!$D$4:$D$810=$L$24)*('Match Log'!$A$4:$A$810&lt;=$J181)),'Match Log'!$N$4:$N$810),NA()))</f>
        <v>0</v>
      </c>
      <c r="M181">
        <f>IF($J181&gt;MAX('Match Log'!$A$4:$A$810),NA(),IFERROR(LOOKUP(2,1/(('Match Log'!$D$4:$D$810=$M$24)*('Match Log'!$A$4:$A$810&lt;=$J181)),'Match Log'!$N$4:$N$810),NA()))</f>
        <v>0</v>
      </c>
      <c r="N181">
        <f>IF($J181&gt;MAX('Match Log'!$A$4:$A$810),NA(),IFERROR(LOOKUP(2,1/(('Match Log'!$D$4:$D$810=$N$24)*('Match Log'!$A$4:$A$810&lt;=$J181)),'Match Log'!$N$4:$N$810),NA()))</f>
        <v>0</v>
      </c>
      <c r="O181">
        <f>IF($J181&gt;MAX('Match Log'!$A$4:$A$810),NA(),IFERROR(LOOKUP(2,1/(('Match Log'!$D$4:$D$810=$O$24)*('Match Log'!$A$4:$A$810&lt;=$J181)),'Match Log'!$N$4:$N$810),NA()))</f>
        <v>0</v>
      </c>
      <c r="P181">
        <f>IF($J181&gt;MAX('Match Log'!$A$4:$A$810),NA(),IFERROR(LOOKUP(2,1/(('Match Log'!$D$4:$D$810=$P$24)*('Match Log'!$A$4:$A$810&lt;=$J181)),'Match Log'!$N$4:$N$810),NA()))</f>
        <v>0</v>
      </c>
      <c r="Q181">
        <f>IF($J181&gt;MAX('Match Log'!$A$4:$A$810),NA(),IFERROR(LOOKUP(2,1/(('Match Log'!$D$4:$D$810=$Q$24)*('Match Log'!$A$4:$A$810&lt;=$J181)),'Match Log'!$N$4:$N$810),NA()))</f>
        <v>0</v>
      </c>
      <c r="R181">
        <f>IF($J181&gt;MAX('Match Log'!$A$4:$A$810),NA(),IFERROR(LOOKUP(2,1/(('Match Log'!$D$4:$D$810=$R$24)*('Match Log'!$A$4:$A$810&lt;=$J181)),'Match Log'!$N$4:$N$810),NA()))</f>
        <v>0</v>
      </c>
      <c r="S181">
        <f>IF($J181&gt;MAX('Match Log'!$A$4:$A$810),NA(),IFERROR(LOOKUP(2,1/(('Match Log'!$D$4:$D$810=$S$24)*('Match Log'!$A$4:$A$810&lt;=$J181)),'Match Log'!$N$4:$N$810),NA()))</f>
        <v>0</v>
      </c>
      <c r="T181">
        <f>IF($J181&gt;MAX('Match Log'!$A$4:$A$810),NA(),IFERROR(LOOKUP(2,1/(('Match Log'!$D$4:$D$810=$T$24)*('Match Log'!$A$4:$A$810&lt;=$J181)),'Match Log'!$N$4:$N$810),NA()))</f>
        <v>0</v>
      </c>
      <c r="U181">
        <f>IF($J181&gt;MAX('Match Log'!$A$4:$A$810),NA(),IFERROR(LOOKUP(2,1/(('Match Log'!$D$4:$D$810=$U$24)*('Match Log'!$A$4:$A$810&lt;=$J181)),'Match Log'!$N$4:$N$810),NA()))</f>
        <v>0</v>
      </c>
      <c r="V181">
        <f>IF($J181&gt;MAX('Match Log'!$A$4:$A$810),NA(),IFERROR(LOOKUP(2,1/(('Match Log'!$D$4:$D$810=$V$24)*('Match Log'!$A$4:$A$810&lt;=$J181)),'Match Log'!$N$4:$N$810),NA()))</f>
        <v>0</v>
      </c>
      <c r="W181">
        <f>IF($J181&gt;MAX('Match Log'!$A$4:$A$810),NA(),IFERROR(LOOKUP(2,1/(('Match Log'!$D$4:$D$810=$W$24)*('Match Log'!$A$4:$A$810&lt;=$J181)),'Match Log'!$N$4:$N$810),NA()))</f>
        <v>0</v>
      </c>
      <c r="X181">
        <f>IF($J181&gt;MAX('Match Log'!$A$4:$A$810),NA(),IFERROR(LOOKUP(2,1/(('Match Log'!$D$4:$D$810=$X$24)*('Match Log'!$A$4:$A$810&lt;=$J181)),'Match Log'!$N$4:$N$810),NA()))</f>
        <v>0</v>
      </c>
      <c r="Y181" t="str">
        <f>IF(AND($B181&lt;&gt;"",$B181&gt;=$B$5,$I181&lt;&gt;""),$I181,"")</f>
      </c>
    </row>
    <row r="182">
      <c r="A182">
        <v>158</v>
      </c>
      <c r="B182">
        <f>IFERROR(INDEX('Match Log'!$B$4:$B$810,MATCH(158,'Match Log'!$A$4:$A$810,0)),"")</f>
        <v>0</v>
      </c>
      <c r="C182" t="str">
        <f>IFERROR(INDEX('Match Log'!$C$4:$C$810,MATCH(158,'Match Log'!$A$4:$A$810,0)),"")</f>
      </c>
      <c r="D182" t="str">
        <f>IFERROR(INDEX('Match Log'!$G$4:$G$810,MATCH(158,'Match Log'!$A$4:$A$810,0)),"")</f>
      </c>
      <c r="E182">
        <f>IFERROR(INDEX('Match Log'!$F$4:$F$810,MATCH(158,'Match Log'!$A$4:$A$810,0)),"")</f>
        <v>0</v>
      </c>
      <c r="F182">
        <f>IFERROR(SUMIFS('Match Log'!$I$4:$I$810,'Match Log'!$A$4:$A$810,158,'Match Log'!$E$4:$E$810,"Win"),"")</f>
        <v>0</v>
      </c>
      <c r="G182">
        <f>IF($D182="","",1-$F182*$E182)</f>
        <v>0</v>
      </c>
      <c r="H182" t="str">
        <f>IFERROR(IF($E182=2,LOOKUP(2,1/(('Match Log'!$A$4:$A$810=158)*('Match Log'!$E$4:$E$810="Loss")),'Match Log'!$D$4:$D$810),"the field"),"")</f>
      </c>
      <c r="I182">
        <f>IF($G182="","",$G182-$A182/1000000)</f>
        <v>0</v>
      </c>
      <c r="J182">
        <v>158</v>
      </c>
      <c r="K182">
        <f>IF($J182&gt;MAX('Match Log'!$A$4:$A$810),NA(),IFERROR(LOOKUP(2,1/(('Match Log'!$D$4:$D$810=$K$24)*('Match Log'!$A$4:$A$810&lt;=$J182)),'Match Log'!$N$4:$N$810),NA()))</f>
        <v>0</v>
      </c>
      <c r="L182">
        <f>IF($J182&gt;MAX('Match Log'!$A$4:$A$810),NA(),IFERROR(LOOKUP(2,1/(('Match Log'!$D$4:$D$810=$L$24)*('Match Log'!$A$4:$A$810&lt;=$J182)),'Match Log'!$N$4:$N$810),NA()))</f>
        <v>0</v>
      </c>
      <c r="M182">
        <f>IF($J182&gt;MAX('Match Log'!$A$4:$A$810),NA(),IFERROR(LOOKUP(2,1/(('Match Log'!$D$4:$D$810=$M$24)*('Match Log'!$A$4:$A$810&lt;=$J182)),'Match Log'!$N$4:$N$810),NA()))</f>
        <v>0</v>
      </c>
      <c r="N182">
        <f>IF($J182&gt;MAX('Match Log'!$A$4:$A$810),NA(),IFERROR(LOOKUP(2,1/(('Match Log'!$D$4:$D$810=$N$24)*('Match Log'!$A$4:$A$810&lt;=$J182)),'Match Log'!$N$4:$N$810),NA()))</f>
        <v>0</v>
      </c>
      <c r="O182">
        <f>IF($J182&gt;MAX('Match Log'!$A$4:$A$810),NA(),IFERROR(LOOKUP(2,1/(('Match Log'!$D$4:$D$810=$O$24)*('Match Log'!$A$4:$A$810&lt;=$J182)),'Match Log'!$N$4:$N$810),NA()))</f>
        <v>0</v>
      </c>
      <c r="P182">
        <f>IF($J182&gt;MAX('Match Log'!$A$4:$A$810),NA(),IFERROR(LOOKUP(2,1/(('Match Log'!$D$4:$D$810=$P$24)*('Match Log'!$A$4:$A$810&lt;=$J182)),'Match Log'!$N$4:$N$810),NA()))</f>
        <v>0</v>
      </c>
      <c r="Q182">
        <f>IF($J182&gt;MAX('Match Log'!$A$4:$A$810),NA(),IFERROR(LOOKUP(2,1/(('Match Log'!$D$4:$D$810=$Q$24)*('Match Log'!$A$4:$A$810&lt;=$J182)),'Match Log'!$N$4:$N$810),NA()))</f>
        <v>0</v>
      </c>
      <c r="R182">
        <f>IF($J182&gt;MAX('Match Log'!$A$4:$A$810),NA(),IFERROR(LOOKUP(2,1/(('Match Log'!$D$4:$D$810=$R$24)*('Match Log'!$A$4:$A$810&lt;=$J182)),'Match Log'!$N$4:$N$810),NA()))</f>
        <v>0</v>
      </c>
      <c r="S182">
        <f>IF($J182&gt;MAX('Match Log'!$A$4:$A$810),NA(),IFERROR(LOOKUP(2,1/(('Match Log'!$D$4:$D$810=$S$24)*('Match Log'!$A$4:$A$810&lt;=$J182)),'Match Log'!$N$4:$N$810),NA()))</f>
        <v>0</v>
      </c>
      <c r="T182">
        <f>IF($J182&gt;MAX('Match Log'!$A$4:$A$810),NA(),IFERROR(LOOKUP(2,1/(('Match Log'!$D$4:$D$810=$T$24)*('Match Log'!$A$4:$A$810&lt;=$J182)),'Match Log'!$N$4:$N$810),NA()))</f>
        <v>0</v>
      </c>
      <c r="U182">
        <f>IF($J182&gt;MAX('Match Log'!$A$4:$A$810),NA(),IFERROR(LOOKUP(2,1/(('Match Log'!$D$4:$D$810=$U$24)*('Match Log'!$A$4:$A$810&lt;=$J182)),'Match Log'!$N$4:$N$810),NA()))</f>
        <v>0</v>
      </c>
      <c r="V182">
        <f>IF($J182&gt;MAX('Match Log'!$A$4:$A$810),NA(),IFERROR(LOOKUP(2,1/(('Match Log'!$D$4:$D$810=$V$24)*('Match Log'!$A$4:$A$810&lt;=$J182)),'Match Log'!$N$4:$N$810),NA()))</f>
        <v>0</v>
      </c>
      <c r="W182">
        <f>IF($J182&gt;MAX('Match Log'!$A$4:$A$810),NA(),IFERROR(LOOKUP(2,1/(('Match Log'!$D$4:$D$810=$W$24)*('Match Log'!$A$4:$A$810&lt;=$J182)),'Match Log'!$N$4:$N$810),NA()))</f>
        <v>0</v>
      </c>
      <c r="X182">
        <f>IF($J182&gt;MAX('Match Log'!$A$4:$A$810),NA(),IFERROR(LOOKUP(2,1/(('Match Log'!$D$4:$D$810=$X$24)*('Match Log'!$A$4:$A$810&lt;=$J182)),'Match Log'!$N$4:$N$810),NA()))</f>
        <v>0</v>
      </c>
      <c r="Y182" t="str">
        <f>IF(AND($B182&lt;&gt;"",$B182&gt;=$B$5,$I182&lt;&gt;""),$I182,"")</f>
      </c>
    </row>
    <row r="183">
      <c r="A183">
        <v>159</v>
      </c>
      <c r="B183">
        <f>IFERROR(INDEX('Match Log'!$B$4:$B$810,MATCH(159,'Match Log'!$A$4:$A$810,0)),"")</f>
        <v>0</v>
      </c>
      <c r="C183" t="str">
        <f>IFERROR(INDEX('Match Log'!$C$4:$C$810,MATCH(159,'Match Log'!$A$4:$A$810,0)),"")</f>
      </c>
      <c r="D183" t="str">
        <f>IFERROR(INDEX('Match Log'!$G$4:$G$810,MATCH(159,'Match Log'!$A$4:$A$810,0)),"")</f>
      </c>
      <c r="E183">
        <f>IFERROR(INDEX('Match Log'!$F$4:$F$810,MATCH(159,'Match Log'!$A$4:$A$810,0)),"")</f>
        <v>0</v>
      </c>
      <c r="F183">
        <f>IFERROR(SUMIFS('Match Log'!$I$4:$I$810,'Match Log'!$A$4:$A$810,159,'Match Log'!$E$4:$E$810,"Win"),"")</f>
        <v>0</v>
      </c>
      <c r="G183">
        <f>IF($D183="","",1-$F183*$E183)</f>
        <v>0</v>
      </c>
      <c r="H183" t="str">
        <f>IFERROR(IF($E183=2,LOOKUP(2,1/(('Match Log'!$A$4:$A$810=159)*('Match Log'!$E$4:$E$810="Loss")),'Match Log'!$D$4:$D$810),"the field"),"")</f>
      </c>
      <c r="I183">
        <f>IF($G183="","",$G183-$A183/1000000)</f>
        <v>0</v>
      </c>
      <c r="J183">
        <v>159</v>
      </c>
      <c r="K183">
        <f>IF($J183&gt;MAX('Match Log'!$A$4:$A$810),NA(),IFERROR(LOOKUP(2,1/(('Match Log'!$D$4:$D$810=$K$24)*('Match Log'!$A$4:$A$810&lt;=$J183)),'Match Log'!$N$4:$N$810),NA()))</f>
        <v>0</v>
      </c>
      <c r="L183">
        <f>IF($J183&gt;MAX('Match Log'!$A$4:$A$810),NA(),IFERROR(LOOKUP(2,1/(('Match Log'!$D$4:$D$810=$L$24)*('Match Log'!$A$4:$A$810&lt;=$J183)),'Match Log'!$N$4:$N$810),NA()))</f>
        <v>0</v>
      </c>
      <c r="M183">
        <f>IF($J183&gt;MAX('Match Log'!$A$4:$A$810),NA(),IFERROR(LOOKUP(2,1/(('Match Log'!$D$4:$D$810=$M$24)*('Match Log'!$A$4:$A$810&lt;=$J183)),'Match Log'!$N$4:$N$810),NA()))</f>
        <v>0</v>
      </c>
      <c r="N183">
        <f>IF($J183&gt;MAX('Match Log'!$A$4:$A$810),NA(),IFERROR(LOOKUP(2,1/(('Match Log'!$D$4:$D$810=$N$24)*('Match Log'!$A$4:$A$810&lt;=$J183)),'Match Log'!$N$4:$N$810),NA()))</f>
        <v>0</v>
      </c>
      <c r="O183">
        <f>IF($J183&gt;MAX('Match Log'!$A$4:$A$810),NA(),IFERROR(LOOKUP(2,1/(('Match Log'!$D$4:$D$810=$O$24)*('Match Log'!$A$4:$A$810&lt;=$J183)),'Match Log'!$N$4:$N$810),NA()))</f>
        <v>0</v>
      </c>
      <c r="P183">
        <f>IF($J183&gt;MAX('Match Log'!$A$4:$A$810),NA(),IFERROR(LOOKUP(2,1/(('Match Log'!$D$4:$D$810=$P$24)*('Match Log'!$A$4:$A$810&lt;=$J183)),'Match Log'!$N$4:$N$810),NA()))</f>
        <v>0</v>
      </c>
      <c r="Q183">
        <f>IF($J183&gt;MAX('Match Log'!$A$4:$A$810),NA(),IFERROR(LOOKUP(2,1/(('Match Log'!$D$4:$D$810=$Q$24)*('Match Log'!$A$4:$A$810&lt;=$J183)),'Match Log'!$N$4:$N$810),NA()))</f>
        <v>0</v>
      </c>
      <c r="R183">
        <f>IF($J183&gt;MAX('Match Log'!$A$4:$A$810),NA(),IFERROR(LOOKUP(2,1/(('Match Log'!$D$4:$D$810=$R$24)*('Match Log'!$A$4:$A$810&lt;=$J183)),'Match Log'!$N$4:$N$810),NA()))</f>
        <v>0</v>
      </c>
      <c r="S183">
        <f>IF($J183&gt;MAX('Match Log'!$A$4:$A$810),NA(),IFERROR(LOOKUP(2,1/(('Match Log'!$D$4:$D$810=$S$24)*('Match Log'!$A$4:$A$810&lt;=$J183)),'Match Log'!$N$4:$N$810),NA()))</f>
        <v>0</v>
      </c>
      <c r="T183">
        <f>IF($J183&gt;MAX('Match Log'!$A$4:$A$810),NA(),IFERROR(LOOKUP(2,1/(('Match Log'!$D$4:$D$810=$T$24)*('Match Log'!$A$4:$A$810&lt;=$J183)),'Match Log'!$N$4:$N$810),NA()))</f>
        <v>0</v>
      </c>
      <c r="U183">
        <f>IF($J183&gt;MAX('Match Log'!$A$4:$A$810),NA(),IFERROR(LOOKUP(2,1/(('Match Log'!$D$4:$D$810=$U$24)*('Match Log'!$A$4:$A$810&lt;=$J183)),'Match Log'!$N$4:$N$810),NA()))</f>
        <v>0</v>
      </c>
      <c r="V183">
        <f>IF($J183&gt;MAX('Match Log'!$A$4:$A$810),NA(),IFERROR(LOOKUP(2,1/(('Match Log'!$D$4:$D$810=$V$24)*('Match Log'!$A$4:$A$810&lt;=$J183)),'Match Log'!$N$4:$N$810),NA()))</f>
        <v>0</v>
      </c>
      <c r="W183">
        <f>IF($J183&gt;MAX('Match Log'!$A$4:$A$810),NA(),IFERROR(LOOKUP(2,1/(('Match Log'!$D$4:$D$810=$W$24)*('Match Log'!$A$4:$A$810&lt;=$J183)),'Match Log'!$N$4:$N$810),NA()))</f>
        <v>0</v>
      </c>
      <c r="X183">
        <f>IF($J183&gt;MAX('Match Log'!$A$4:$A$810),NA(),IFERROR(LOOKUP(2,1/(('Match Log'!$D$4:$D$810=$X$24)*('Match Log'!$A$4:$A$810&lt;=$J183)),'Match Log'!$N$4:$N$810),NA()))</f>
        <v>0</v>
      </c>
      <c r="Y183" t="str">
        <f>IF(AND($B183&lt;&gt;"",$B183&gt;=$B$5,$I183&lt;&gt;""),$I183,"")</f>
      </c>
    </row>
    <row r="184">
      <c r="A184">
        <v>160</v>
      </c>
      <c r="B184">
        <f>IFERROR(INDEX('Match Log'!$B$4:$B$810,MATCH(160,'Match Log'!$A$4:$A$810,0)),"")</f>
        <v>0</v>
      </c>
      <c r="C184" t="str">
        <f>IFERROR(INDEX('Match Log'!$C$4:$C$810,MATCH(160,'Match Log'!$A$4:$A$810,0)),"")</f>
      </c>
      <c r="D184" t="str">
        <f>IFERROR(INDEX('Match Log'!$G$4:$G$810,MATCH(160,'Match Log'!$A$4:$A$810,0)),"")</f>
      </c>
      <c r="E184">
        <f>IFERROR(INDEX('Match Log'!$F$4:$F$810,MATCH(160,'Match Log'!$A$4:$A$810,0)),"")</f>
        <v>0</v>
      </c>
      <c r="F184">
        <f>IFERROR(SUMIFS('Match Log'!$I$4:$I$810,'Match Log'!$A$4:$A$810,160,'Match Log'!$E$4:$E$810,"Win"),"")</f>
        <v>0</v>
      </c>
      <c r="G184">
        <f>IF($D184="","",1-$F184*$E184)</f>
        <v>0</v>
      </c>
      <c r="H184" t="str">
        <f>IFERROR(IF($E184=2,LOOKUP(2,1/(('Match Log'!$A$4:$A$810=160)*('Match Log'!$E$4:$E$810="Loss")),'Match Log'!$D$4:$D$810),"the field"),"")</f>
      </c>
      <c r="I184">
        <f>IF($G184="","",$G184-$A184/1000000)</f>
        <v>0</v>
      </c>
      <c r="J184">
        <v>160</v>
      </c>
      <c r="K184">
        <f>IF($J184&gt;MAX('Match Log'!$A$4:$A$810),NA(),IFERROR(LOOKUP(2,1/(('Match Log'!$D$4:$D$810=$K$24)*('Match Log'!$A$4:$A$810&lt;=$J184)),'Match Log'!$N$4:$N$810),NA()))</f>
        <v>0</v>
      </c>
      <c r="L184">
        <f>IF($J184&gt;MAX('Match Log'!$A$4:$A$810),NA(),IFERROR(LOOKUP(2,1/(('Match Log'!$D$4:$D$810=$L$24)*('Match Log'!$A$4:$A$810&lt;=$J184)),'Match Log'!$N$4:$N$810),NA()))</f>
        <v>0</v>
      </c>
      <c r="M184">
        <f>IF($J184&gt;MAX('Match Log'!$A$4:$A$810),NA(),IFERROR(LOOKUP(2,1/(('Match Log'!$D$4:$D$810=$M$24)*('Match Log'!$A$4:$A$810&lt;=$J184)),'Match Log'!$N$4:$N$810),NA()))</f>
        <v>0</v>
      </c>
      <c r="N184">
        <f>IF($J184&gt;MAX('Match Log'!$A$4:$A$810),NA(),IFERROR(LOOKUP(2,1/(('Match Log'!$D$4:$D$810=$N$24)*('Match Log'!$A$4:$A$810&lt;=$J184)),'Match Log'!$N$4:$N$810),NA()))</f>
        <v>0</v>
      </c>
      <c r="O184">
        <f>IF($J184&gt;MAX('Match Log'!$A$4:$A$810),NA(),IFERROR(LOOKUP(2,1/(('Match Log'!$D$4:$D$810=$O$24)*('Match Log'!$A$4:$A$810&lt;=$J184)),'Match Log'!$N$4:$N$810),NA()))</f>
        <v>0</v>
      </c>
      <c r="P184">
        <f>IF($J184&gt;MAX('Match Log'!$A$4:$A$810),NA(),IFERROR(LOOKUP(2,1/(('Match Log'!$D$4:$D$810=$P$24)*('Match Log'!$A$4:$A$810&lt;=$J184)),'Match Log'!$N$4:$N$810),NA()))</f>
        <v>0</v>
      </c>
      <c r="Q184">
        <f>IF($J184&gt;MAX('Match Log'!$A$4:$A$810),NA(),IFERROR(LOOKUP(2,1/(('Match Log'!$D$4:$D$810=$Q$24)*('Match Log'!$A$4:$A$810&lt;=$J184)),'Match Log'!$N$4:$N$810),NA()))</f>
        <v>0</v>
      </c>
      <c r="R184">
        <f>IF($J184&gt;MAX('Match Log'!$A$4:$A$810),NA(),IFERROR(LOOKUP(2,1/(('Match Log'!$D$4:$D$810=$R$24)*('Match Log'!$A$4:$A$810&lt;=$J184)),'Match Log'!$N$4:$N$810),NA()))</f>
        <v>0</v>
      </c>
      <c r="S184">
        <f>IF($J184&gt;MAX('Match Log'!$A$4:$A$810),NA(),IFERROR(LOOKUP(2,1/(('Match Log'!$D$4:$D$810=$S$24)*('Match Log'!$A$4:$A$810&lt;=$J184)),'Match Log'!$N$4:$N$810),NA()))</f>
        <v>0</v>
      </c>
      <c r="T184">
        <f>IF($J184&gt;MAX('Match Log'!$A$4:$A$810),NA(),IFERROR(LOOKUP(2,1/(('Match Log'!$D$4:$D$810=$T$24)*('Match Log'!$A$4:$A$810&lt;=$J184)),'Match Log'!$N$4:$N$810),NA()))</f>
        <v>0</v>
      </c>
      <c r="U184">
        <f>IF($J184&gt;MAX('Match Log'!$A$4:$A$810),NA(),IFERROR(LOOKUP(2,1/(('Match Log'!$D$4:$D$810=$U$24)*('Match Log'!$A$4:$A$810&lt;=$J184)),'Match Log'!$N$4:$N$810),NA()))</f>
        <v>0</v>
      </c>
      <c r="V184">
        <f>IF($J184&gt;MAX('Match Log'!$A$4:$A$810),NA(),IFERROR(LOOKUP(2,1/(('Match Log'!$D$4:$D$810=$V$24)*('Match Log'!$A$4:$A$810&lt;=$J184)),'Match Log'!$N$4:$N$810),NA()))</f>
        <v>0</v>
      </c>
      <c r="W184">
        <f>IF($J184&gt;MAX('Match Log'!$A$4:$A$810),NA(),IFERROR(LOOKUP(2,1/(('Match Log'!$D$4:$D$810=$W$24)*('Match Log'!$A$4:$A$810&lt;=$J184)),'Match Log'!$N$4:$N$810),NA()))</f>
        <v>0</v>
      </c>
      <c r="X184">
        <f>IF($J184&gt;MAX('Match Log'!$A$4:$A$810),NA(),IFERROR(LOOKUP(2,1/(('Match Log'!$D$4:$D$810=$X$24)*('Match Log'!$A$4:$A$810&lt;=$J184)),'Match Log'!$N$4:$N$810),NA()))</f>
        <v>0</v>
      </c>
      <c r="Y184" t="str">
        <f>IF(AND($B184&lt;&gt;"",$B184&gt;=$B$5,$I184&lt;&gt;""),$I184,"")</f>
      </c>
    </row>
    <row r="185">
      <c r="A185">
        <v>161</v>
      </c>
      <c r="B185">
        <f>IFERROR(INDEX('Match Log'!$B$4:$B$810,MATCH(161,'Match Log'!$A$4:$A$810,0)),"")</f>
        <v>0</v>
      </c>
      <c r="C185" t="str">
        <f>IFERROR(INDEX('Match Log'!$C$4:$C$810,MATCH(161,'Match Log'!$A$4:$A$810,0)),"")</f>
      </c>
      <c r="D185" t="str">
        <f>IFERROR(INDEX('Match Log'!$G$4:$G$810,MATCH(161,'Match Log'!$A$4:$A$810,0)),"")</f>
      </c>
      <c r="E185">
        <f>IFERROR(INDEX('Match Log'!$F$4:$F$810,MATCH(161,'Match Log'!$A$4:$A$810,0)),"")</f>
        <v>0</v>
      </c>
      <c r="F185">
        <f>IFERROR(SUMIFS('Match Log'!$I$4:$I$810,'Match Log'!$A$4:$A$810,161,'Match Log'!$E$4:$E$810,"Win"),"")</f>
        <v>0</v>
      </c>
      <c r="G185">
        <f>IF($D185="","",1-$F185*$E185)</f>
        <v>0</v>
      </c>
      <c r="H185" t="str">
        <f>IFERROR(IF($E185=2,LOOKUP(2,1/(('Match Log'!$A$4:$A$810=161)*('Match Log'!$E$4:$E$810="Loss")),'Match Log'!$D$4:$D$810),"the field"),"")</f>
      </c>
      <c r="I185">
        <f>IF($G185="","",$G185-$A185/1000000)</f>
        <v>0</v>
      </c>
      <c r="J185">
        <v>161</v>
      </c>
      <c r="K185">
        <f>IF($J185&gt;MAX('Match Log'!$A$4:$A$810),NA(),IFERROR(LOOKUP(2,1/(('Match Log'!$D$4:$D$810=$K$24)*('Match Log'!$A$4:$A$810&lt;=$J185)),'Match Log'!$N$4:$N$810),NA()))</f>
        <v>0</v>
      </c>
      <c r="L185">
        <f>IF($J185&gt;MAX('Match Log'!$A$4:$A$810),NA(),IFERROR(LOOKUP(2,1/(('Match Log'!$D$4:$D$810=$L$24)*('Match Log'!$A$4:$A$810&lt;=$J185)),'Match Log'!$N$4:$N$810),NA()))</f>
        <v>0</v>
      </c>
      <c r="M185">
        <f>IF($J185&gt;MAX('Match Log'!$A$4:$A$810),NA(),IFERROR(LOOKUP(2,1/(('Match Log'!$D$4:$D$810=$M$24)*('Match Log'!$A$4:$A$810&lt;=$J185)),'Match Log'!$N$4:$N$810),NA()))</f>
        <v>0</v>
      </c>
      <c r="N185">
        <f>IF($J185&gt;MAX('Match Log'!$A$4:$A$810),NA(),IFERROR(LOOKUP(2,1/(('Match Log'!$D$4:$D$810=$N$24)*('Match Log'!$A$4:$A$810&lt;=$J185)),'Match Log'!$N$4:$N$810),NA()))</f>
        <v>0</v>
      </c>
      <c r="O185">
        <f>IF($J185&gt;MAX('Match Log'!$A$4:$A$810),NA(),IFERROR(LOOKUP(2,1/(('Match Log'!$D$4:$D$810=$O$24)*('Match Log'!$A$4:$A$810&lt;=$J185)),'Match Log'!$N$4:$N$810),NA()))</f>
        <v>0</v>
      </c>
      <c r="P185">
        <f>IF($J185&gt;MAX('Match Log'!$A$4:$A$810),NA(),IFERROR(LOOKUP(2,1/(('Match Log'!$D$4:$D$810=$P$24)*('Match Log'!$A$4:$A$810&lt;=$J185)),'Match Log'!$N$4:$N$810),NA()))</f>
        <v>0</v>
      </c>
      <c r="Q185">
        <f>IF($J185&gt;MAX('Match Log'!$A$4:$A$810),NA(),IFERROR(LOOKUP(2,1/(('Match Log'!$D$4:$D$810=$Q$24)*('Match Log'!$A$4:$A$810&lt;=$J185)),'Match Log'!$N$4:$N$810),NA()))</f>
        <v>0</v>
      </c>
      <c r="R185">
        <f>IF($J185&gt;MAX('Match Log'!$A$4:$A$810),NA(),IFERROR(LOOKUP(2,1/(('Match Log'!$D$4:$D$810=$R$24)*('Match Log'!$A$4:$A$810&lt;=$J185)),'Match Log'!$N$4:$N$810),NA()))</f>
        <v>0</v>
      </c>
      <c r="S185">
        <f>IF($J185&gt;MAX('Match Log'!$A$4:$A$810),NA(),IFERROR(LOOKUP(2,1/(('Match Log'!$D$4:$D$810=$S$24)*('Match Log'!$A$4:$A$810&lt;=$J185)),'Match Log'!$N$4:$N$810),NA()))</f>
        <v>0</v>
      </c>
      <c r="T185">
        <f>IF($J185&gt;MAX('Match Log'!$A$4:$A$810),NA(),IFERROR(LOOKUP(2,1/(('Match Log'!$D$4:$D$810=$T$24)*('Match Log'!$A$4:$A$810&lt;=$J185)),'Match Log'!$N$4:$N$810),NA()))</f>
        <v>0</v>
      </c>
      <c r="U185">
        <f>IF($J185&gt;MAX('Match Log'!$A$4:$A$810),NA(),IFERROR(LOOKUP(2,1/(('Match Log'!$D$4:$D$810=$U$24)*('Match Log'!$A$4:$A$810&lt;=$J185)),'Match Log'!$N$4:$N$810),NA()))</f>
        <v>0</v>
      </c>
      <c r="V185">
        <f>IF($J185&gt;MAX('Match Log'!$A$4:$A$810),NA(),IFERROR(LOOKUP(2,1/(('Match Log'!$D$4:$D$810=$V$24)*('Match Log'!$A$4:$A$810&lt;=$J185)),'Match Log'!$N$4:$N$810),NA()))</f>
        <v>0</v>
      </c>
      <c r="W185">
        <f>IF($J185&gt;MAX('Match Log'!$A$4:$A$810),NA(),IFERROR(LOOKUP(2,1/(('Match Log'!$D$4:$D$810=$W$24)*('Match Log'!$A$4:$A$810&lt;=$J185)),'Match Log'!$N$4:$N$810),NA()))</f>
        <v>0</v>
      </c>
      <c r="X185">
        <f>IF($J185&gt;MAX('Match Log'!$A$4:$A$810),NA(),IFERROR(LOOKUP(2,1/(('Match Log'!$D$4:$D$810=$X$24)*('Match Log'!$A$4:$A$810&lt;=$J185)),'Match Log'!$N$4:$N$810),NA()))</f>
        <v>0</v>
      </c>
      <c r="Y185" t="str">
        <f>IF(AND($B185&lt;&gt;"",$B185&gt;=$B$5,$I185&lt;&gt;""),$I185,"")</f>
      </c>
    </row>
    <row r="186">
      <c r="A186">
        <v>162</v>
      </c>
      <c r="B186">
        <f>IFERROR(INDEX('Match Log'!$B$4:$B$810,MATCH(162,'Match Log'!$A$4:$A$810,0)),"")</f>
        <v>0</v>
      </c>
      <c r="C186" t="str">
        <f>IFERROR(INDEX('Match Log'!$C$4:$C$810,MATCH(162,'Match Log'!$A$4:$A$810,0)),"")</f>
      </c>
      <c r="D186" t="str">
        <f>IFERROR(INDEX('Match Log'!$G$4:$G$810,MATCH(162,'Match Log'!$A$4:$A$810,0)),"")</f>
      </c>
      <c r="E186">
        <f>IFERROR(INDEX('Match Log'!$F$4:$F$810,MATCH(162,'Match Log'!$A$4:$A$810,0)),"")</f>
        <v>0</v>
      </c>
      <c r="F186">
        <f>IFERROR(SUMIFS('Match Log'!$I$4:$I$810,'Match Log'!$A$4:$A$810,162,'Match Log'!$E$4:$E$810,"Win"),"")</f>
        <v>0</v>
      </c>
      <c r="G186">
        <f>IF($D186="","",1-$F186*$E186)</f>
        <v>0</v>
      </c>
      <c r="H186" t="str">
        <f>IFERROR(IF($E186=2,LOOKUP(2,1/(('Match Log'!$A$4:$A$810=162)*('Match Log'!$E$4:$E$810="Loss")),'Match Log'!$D$4:$D$810),"the field"),"")</f>
      </c>
      <c r="I186">
        <f>IF($G186="","",$G186-$A186/1000000)</f>
        <v>0</v>
      </c>
      <c r="J186">
        <v>162</v>
      </c>
      <c r="K186">
        <f>IF($J186&gt;MAX('Match Log'!$A$4:$A$810),NA(),IFERROR(LOOKUP(2,1/(('Match Log'!$D$4:$D$810=$K$24)*('Match Log'!$A$4:$A$810&lt;=$J186)),'Match Log'!$N$4:$N$810),NA()))</f>
        <v>0</v>
      </c>
      <c r="L186">
        <f>IF($J186&gt;MAX('Match Log'!$A$4:$A$810),NA(),IFERROR(LOOKUP(2,1/(('Match Log'!$D$4:$D$810=$L$24)*('Match Log'!$A$4:$A$810&lt;=$J186)),'Match Log'!$N$4:$N$810),NA()))</f>
        <v>0</v>
      </c>
      <c r="M186">
        <f>IF($J186&gt;MAX('Match Log'!$A$4:$A$810),NA(),IFERROR(LOOKUP(2,1/(('Match Log'!$D$4:$D$810=$M$24)*('Match Log'!$A$4:$A$810&lt;=$J186)),'Match Log'!$N$4:$N$810),NA()))</f>
        <v>0</v>
      </c>
      <c r="N186">
        <f>IF($J186&gt;MAX('Match Log'!$A$4:$A$810),NA(),IFERROR(LOOKUP(2,1/(('Match Log'!$D$4:$D$810=$N$24)*('Match Log'!$A$4:$A$810&lt;=$J186)),'Match Log'!$N$4:$N$810),NA()))</f>
        <v>0</v>
      </c>
      <c r="O186">
        <f>IF($J186&gt;MAX('Match Log'!$A$4:$A$810),NA(),IFERROR(LOOKUP(2,1/(('Match Log'!$D$4:$D$810=$O$24)*('Match Log'!$A$4:$A$810&lt;=$J186)),'Match Log'!$N$4:$N$810),NA()))</f>
        <v>0</v>
      </c>
      <c r="P186">
        <f>IF($J186&gt;MAX('Match Log'!$A$4:$A$810),NA(),IFERROR(LOOKUP(2,1/(('Match Log'!$D$4:$D$810=$P$24)*('Match Log'!$A$4:$A$810&lt;=$J186)),'Match Log'!$N$4:$N$810),NA()))</f>
        <v>0</v>
      </c>
      <c r="Q186">
        <f>IF($J186&gt;MAX('Match Log'!$A$4:$A$810),NA(),IFERROR(LOOKUP(2,1/(('Match Log'!$D$4:$D$810=$Q$24)*('Match Log'!$A$4:$A$810&lt;=$J186)),'Match Log'!$N$4:$N$810),NA()))</f>
        <v>0</v>
      </c>
      <c r="R186">
        <f>IF($J186&gt;MAX('Match Log'!$A$4:$A$810),NA(),IFERROR(LOOKUP(2,1/(('Match Log'!$D$4:$D$810=$R$24)*('Match Log'!$A$4:$A$810&lt;=$J186)),'Match Log'!$N$4:$N$810),NA()))</f>
        <v>0</v>
      </c>
      <c r="S186">
        <f>IF($J186&gt;MAX('Match Log'!$A$4:$A$810),NA(),IFERROR(LOOKUP(2,1/(('Match Log'!$D$4:$D$810=$S$24)*('Match Log'!$A$4:$A$810&lt;=$J186)),'Match Log'!$N$4:$N$810),NA()))</f>
        <v>0</v>
      </c>
      <c r="T186">
        <f>IF($J186&gt;MAX('Match Log'!$A$4:$A$810),NA(),IFERROR(LOOKUP(2,1/(('Match Log'!$D$4:$D$810=$T$24)*('Match Log'!$A$4:$A$810&lt;=$J186)),'Match Log'!$N$4:$N$810),NA()))</f>
        <v>0</v>
      </c>
      <c r="U186">
        <f>IF($J186&gt;MAX('Match Log'!$A$4:$A$810),NA(),IFERROR(LOOKUP(2,1/(('Match Log'!$D$4:$D$810=$U$24)*('Match Log'!$A$4:$A$810&lt;=$J186)),'Match Log'!$N$4:$N$810),NA()))</f>
        <v>0</v>
      </c>
      <c r="V186">
        <f>IF($J186&gt;MAX('Match Log'!$A$4:$A$810),NA(),IFERROR(LOOKUP(2,1/(('Match Log'!$D$4:$D$810=$V$24)*('Match Log'!$A$4:$A$810&lt;=$J186)),'Match Log'!$N$4:$N$810),NA()))</f>
        <v>0</v>
      </c>
      <c r="W186">
        <f>IF($J186&gt;MAX('Match Log'!$A$4:$A$810),NA(),IFERROR(LOOKUP(2,1/(('Match Log'!$D$4:$D$810=$W$24)*('Match Log'!$A$4:$A$810&lt;=$J186)),'Match Log'!$N$4:$N$810),NA()))</f>
        <v>0</v>
      </c>
      <c r="X186">
        <f>IF($J186&gt;MAX('Match Log'!$A$4:$A$810),NA(),IFERROR(LOOKUP(2,1/(('Match Log'!$D$4:$D$810=$X$24)*('Match Log'!$A$4:$A$810&lt;=$J186)),'Match Log'!$N$4:$N$810),NA()))</f>
        <v>0</v>
      </c>
      <c r="Y186" t="str">
        <f>IF(AND($B186&lt;&gt;"",$B186&gt;=$B$5,$I186&lt;&gt;""),$I186,"")</f>
      </c>
    </row>
    <row r="187">
      <c r="A187">
        <v>163</v>
      </c>
      <c r="B187">
        <f>IFERROR(INDEX('Match Log'!$B$4:$B$810,MATCH(163,'Match Log'!$A$4:$A$810,0)),"")</f>
        <v>0</v>
      </c>
      <c r="C187" t="str">
        <f>IFERROR(INDEX('Match Log'!$C$4:$C$810,MATCH(163,'Match Log'!$A$4:$A$810,0)),"")</f>
      </c>
      <c r="D187" t="str">
        <f>IFERROR(INDEX('Match Log'!$G$4:$G$810,MATCH(163,'Match Log'!$A$4:$A$810,0)),"")</f>
      </c>
      <c r="E187">
        <f>IFERROR(INDEX('Match Log'!$F$4:$F$810,MATCH(163,'Match Log'!$A$4:$A$810,0)),"")</f>
        <v>0</v>
      </c>
      <c r="F187">
        <f>IFERROR(SUMIFS('Match Log'!$I$4:$I$810,'Match Log'!$A$4:$A$810,163,'Match Log'!$E$4:$E$810,"Win"),"")</f>
        <v>0</v>
      </c>
      <c r="G187">
        <f>IF($D187="","",1-$F187*$E187)</f>
        <v>0</v>
      </c>
      <c r="H187" t="str">
        <f>IFERROR(IF($E187=2,LOOKUP(2,1/(('Match Log'!$A$4:$A$810=163)*('Match Log'!$E$4:$E$810="Loss")),'Match Log'!$D$4:$D$810),"the field"),"")</f>
      </c>
      <c r="I187">
        <f>IF($G187="","",$G187-$A187/1000000)</f>
        <v>0</v>
      </c>
      <c r="J187">
        <v>163</v>
      </c>
      <c r="K187">
        <f>IF($J187&gt;MAX('Match Log'!$A$4:$A$810),NA(),IFERROR(LOOKUP(2,1/(('Match Log'!$D$4:$D$810=$K$24)*('Match Log'!$A$4:$A$810&lt;=$J187)),'Match Log'!$N$4:$N$810),NA()))</f>
        <v>0</v>
      </c>
      <c r="L187">
        <f>IF($J187&gt;MAX('Match Log'!$A$4:$A$810),NA(),IFERROR(LOOKUP(2,1/(('Match Log'!$D$4:$D$810=$L$24)*('Match Log'!$A$4:$A$810&lt;=$J187)),'Match Log'!$N$4:$N$810),NA()))</f>
        <v>0</v>
      </c>
      <c r="M187">
        <f>IF($J187&gt;MAX('Match Log'!$A$4:$A$810),NA(),IFERROR(LOOKUP(2,1/(('Match Log'!$D$4:$D$810=$M$24)*('Match Log'!$A$4:$A$810&lt;=$J187)),'Match Log'!$N$4:$N$810),NA()))</f>
        <v>0</v>
      </c>
      <c r="N187">
        <f>IF($J187&gt;MAX('Match Log'!$A$4:$A$810),NA(),IFERROR(LOOKUP(2,1/(('Match Log'!$D$4:$D$810=$N$24)*('Match Log'!$A$4:$A$810&lt;=$J187)),'Match Log'!$N$4:$N$810),NA()))</f>
        <v>0</v>
      </c>
      <c r="O187">
        <f>IF($J187&gt;MAX('Match Log'!$A$4:$A$810),NA(),IFERROR(LOOKUP(2,1/(('Match Log'!$D$4:$D$810=$O$24)*('Match Log'!$A$4:$A$810&lt;=$J187)),'Match Log'!$N$4:$N$810),NA()))</f>
        <v>0</v>
      </c>
      <c r="P187">
        <f>IF($J187&gt;MAX('Match Log'!$A$4:$A$810),NA(),IFERROR(LOOKUP(2,1/(('Match Log'!$D$4:$D$810=$P$24)*('Match Log'!$A$4:$A$810&lt;=$J187)),'Match Log'!$N$4:$N$810),NA()))</f>
        <v>0</v>
      </c>
      <c r="Q187">
        <f>IF($J187&gt;MAX('Match Log'!$A$4:$A$810),NA(),IFERROR(LOOKUP(2,1/(('Match Log'!$D$4:$D$810=$Q$24)*('Match Log'!$A$4:$A$810&lt;=$J187)),'Match Log'!$N$4:$N$810),NA()))</f>
        <v>0</v>
      </c>
      <c r="R187">
        <f>IF($J187&gt;MAX('Match Log'!$A$4:$A$810),NA(),IFERROR(LOOKUP(2,1/(('Match Log'!$D$4:$D$810=$R$24)*('Match Log'!$A$4:$A$810&lt;=$J187)),'Match Log'!$N$4:$N$810),NA()))</f>
        <v>0</v>
      </c>
      <c r="S187">
        <f>IF($J187&gt;MAX('Match Log'!$A$4:$A$810),NA(),IFERROR(LOOKUP(2,1/(('Match Log'!$D$4:$D$810=$S$24)*('Match Log'!$A$4:$A$810&lt;=$J187)),'Match Log'!$N$4:$N$810),NA()))</f>
        <v>0</v>
      </c>
      <c r="T187">
        <f>IF($J187&gt;MAX('Match Log'!$A$4:$A$810),NA(),IFERROR(LOOKUP(2,1/(('Match Log'!$D$4:$D$810=$T$24)*('Match Log'!$A$4:$A$810&lt;=$J187)),'Match Log'!$N$4:$N$810),NA()))</f>
        <v>0</v>
      </c>
      <c r="U187">
        <f>IF($J187&gt;MAX('Match Log'!$A$4:$A$810),NA(),IFERROR(LOOKUP(2,1/(('Match Log'!$D$4:$D$810=$U$24)*('Match Log'!$A$4:$A$810&lt;=$J187)),'Match Log'!$N$4:$N$810),NA()))</f>
        <v>0</v>
      </c>
      <c r="V187">
        <f>IF($J187&gt;MAX('Match Log'!$A$4:$A$810),NA(),IFERROR(LOOKUP(2,1/(('Match Log'!$D$4:$D$810=$V$24)*('Match Log'!$A$4:$A$810&lt;=$J187)),'Match Log'!$N$4:$N$810),NA()))</f>
        <v>0</v>
      </c>
      <c r="W187">
        <f>IF($J187&gt;MAX('Match Log'!$A$4:$A$810),NA(),IFERROR(LOOKUP(2,1/(('Match Log'!$D$4:$D$810=$W$24)*('Match Log'!$A$4:$A$810&lt;=$J187)),'Match Log'!$N$4:$N$810),NA()))</f>
        <v>0</v>
      </c>
      <c r="X187">
        <f>IF($J187&gt;MAX('Match Log'!$A$4:$A$810),NA(),IFERROR(LOOKUP(2,1/(('Match Log'!$D$4:$D$810=$X$24)*('Match Log'!$A$4:$A$810&lt;=$J187)),'Match Log'!$N$4:$N$810),NA()))</f>
        <v>0</v>
      </c>
      <c r="Y187" t="str">
        <f>IF(AND($B187&lt;&gt;"",$B187&gt;=$B$5,$I187&lt;&gt;""),$I187,"")</f>
      </c>
    </row>
    <row r="188">
      <c r="A188">
        <v>164</v>
      </c>
      <c r="B188">
        <f>IFERROR(INDEX('Match Log'!$B$4:$B$810,MATCH(164,'Match Log'!$A$4:$A$810,0)),"")</f>
        <v>0</v>
      </c>
      <c r="C188" t="str">
        <f>IFERROR(INDEX('Match Log'!$C$4:$C$810,MATCH(164,'Match Log'!$A$4:$A$810,0)),"")</f>
      </c>
      <c r="D188" t="str">
        <f>IFERROR(INDEX('Match Log'!$G$4:$G$810,MATCH(164,'Match Log'!$A$4:$A$810,0)),"")</f>
      </c>
      <c r="E188">
        <f>IFERROR(INDEX('Match Log'!$F$4:$F$810,MATCH(164,'Match Log'!$A$4:$A$810,0)),"")</f>
        <v>0</v>
      </c>
      <c r="F188">
        <f>IFERROR(SUMIFS('Match Log'!$I$4:$I$810,'Match Log'!$A$4:$A$810,164,'Match Log'!$E$4:$E$810,"Win"),"")</f>
        <v>0</v>
      </c>
      <c r="G188">
        <f>IF($D188="","",1-$F188*$E188)</f>
        <v>0</v>
      </c>
      <c r="H188" t="str">
        <f>IFERROR(IF($E188=2,LOOKUP(2,1/(('Match Log'!$A$4:$A$810=164)*('Match Log'!$E$4:$E$810="Loss")),'Match Log'!$D$4:$D$810),"the field"),"")</f>
      </c>
      <c r="I188">
        <f>IF($G188="","",$G188-$A188/1000000)</f>
        <v>0</v>
      </c>
      <c r="J188">
        <v>164</v>
      </c>
      <c r="K188">
        <f>IF($J188&gt;MAX('Match Log'!$A$4:$A$810),NA(),IFERROR(LOOKUP(2,1/(('Match Log'!$D$4:$D$810=$K$24)*('Match Log'!$A$4:$A$810&lt;=$J188)),'Match Log'!$N$4:$N$810),NA()))</f>
        <v>0</v>
      </c>
      <c r="L188">
        <f>IF($J188&gt;MAX('Match Log'!$A$4:$A$810),NA(),IFERROR(LOOKUP(2,1/(('Match Log'!$D$4:$D$810=$L$24)*('Match Log'!$A$4:$A$810&lt;=$J188)),'Match Log'!$N$4:$N$810),NA()))</f>
        <v>0</v>
      </c>
      <c r="M188">
        <f>IF($J188&gt;MAX('Match Log'!$A$4:$A$810),NA(),IFERROR(LOOKUP(2,1/(('Match Log'!$D$4:$D$810=$M$24)*('Match Log'!$A$4:$A$810&lt;=$J188)),'Match Log'!$N$4:$N$810),NA()))</f>
        <v>0</v>
      </c>
      <c r="N188">
        <f>IF($J188&gt;MAX('Match Log'!$A$4:$A$810),NA(),IFERROR(LOOKUP(2,1/(('Match Log'!$D$4:$D$810=$N$24)*('Match Log'!$A$4:$A$810&lt;=$J188)),'Match Log'!$N$4:$N$810),NA()))</f>
        <v>0</v>
      </c>
      <c r="O188">
        <f>IF($J188&gt;MAX('Match Log'!$A$4:$A$810),NA(),IFERROR(LOOKUP(2,1/(('Match Log'!$D$4:$D$810=$O$24)*('Match Log'!$A$4:$A$810&lt;=$J188)),'Match Log'!$N$4:$N$810),NA()))</f>
        <v>0</v>
      </c>
      <c r="P188">
        <f>IF($J188&gt;MAX('Match Log'!$A$4:$A$810),NA(),IFERROR(LOOKUP(2,1/(('Match Log'!$D$4:$D$810=$P$24)*('Match Log'!$A$4:$A$810&lt;=$J188)),'Match Log'!$N$4:$N$810),NA()))</f>
        <v>0</v>
      </c>
      <c r="Q188">
        <f>IF($J188&gt;MAX('Match Log'!$A$4:$A$810),NA(),IFERROR(LOOKUP(2,1/(('Match Log'!$D$4:$D$810=$Q$24)*('Match Log'!$A$4:$A$810&lt;=$J188)),'Match Log'!$N$4:$N$810),NA()))</f>
        <v>0</v>
      </c>
      <c r="R188">
        <f>IF($J188&gt;MAX('Match Log'!$A$4:$A$810),NA(),IFERROR(LOOKUP(2,1/(('Match Log'!$D$4:$D$810=$R$24)*('Match Log'!$A$4:$A$810&lt;=$J188)),'Match Log'!$N$4:$N$810),NA()))</f>
        <v>0</v>
      </c>
      <c r="S188">
        <f>IF($J188&gt;MAX('Match Log'!$A$4:$A$810),NA(),IFERROR(LOOKUP(2,1/(('Match Log'!$D$4:$D$810=$S$24)*('Match Log'!$A$4:$A$810&lt;=$J188)),'Match Log'!$N$4:$N$810),NA()))</f>
        <v>0</v>
      </c>
      <c r="T188">
        <f>IF($J188&gt;MAX('Match Log'!$A$4:$A$810),NA(),IFERROR(LOOKUP(2,1/(('Match Log'!$D$4:$D$810=$T$24)*('Match Log'!$A$4:$A$810&lt;=$J188)),'Match Log'!$N$4:$N$810),NA()))</f>
        <v>0</v>
      </c>
      <c r="U188">
        <f>IF($J188&gt;MAX('Match Log'!$A$4:$A$810),NA(),IFERROR(LOOKUP(2,1/(('Match Log'!$D$4:$D$810=$U$24)*('Match Log'!$A$4:$A$810&lt;=$J188)),'Match Log'!$N$4:$N$810),NA()))</f>
        <v>0</v>
      </c>
      <c r="V188">
        <f>IF($J188&gt;MAX('Match Log'!$A$4:$A$810),NA(),IFERROR(LOOKUP(2,1/(('Match Log'!$D$4:$D$810=$V$24)*('Match Log'!$A$4:$A$810&lt;=$J188)),'Match Log'!$N$4:$N$810),NA()))</f>
        <v>0</v>
      </c>
      <c r="W188">
        <f>IF($J188&gt;MAX('Match Log'!$A$4:$A$810),NA(),IFERROR(LOOKUP(2,1/(('Match Log'!$D$4:$D$810=$W$24)*('Match Log'!$A$4:$A$810&lt;=$J188)),'Match Log'!$N$4:$N$810),NA()))</f>
        <v>0</v>
      </c>
      <c r="X188">
        <f>IF($J188&gt;MAX('Match Log'!$A$4:$A$810),NA(),IFERROR(LOOKUP(2,1/(('Match Log'!$D$4:$D$810=$X$24)*('Match Log'!$A$4:$A$810&lt;=$J188)),'Match Log'!$N$4:$N$810),NA()))</f>
        <v>0</v>
      </c>
      <c r="Y188" t="str">
        <f>IF(AND($B188&lt;&gt;"",$B188&gt;=$B$5,$I188&lt;&gt;""),$I188,"")</f>
      </c>
    </row>
    <row r="189">
      <c r="A189">
        <v>165</v>
      </c>
      <c r="B189">
        <f>IFERROR(INDEX('Match Log'!$B$4:$B$810,MATCH(165,'Match Log'!$A$4:$A$810,0)),"")</f>
        <v>0</v>
      </c>
      <c r="C189" t="str">
        <f>IFERROR(INDEX('Match Log'!$C$4:$C$810,MATCH(165,'Match Log'!$A$4:$A$810,0)),"")</f>
      </c>
      <c r="D189" t="str">
        <f>IFERROR(INDEX('Match Log'!$G$4:$G$810,MATCH(165,'Match Log'!$A$4:$A$810,0)),"")</f>
      </c>
      <c r="E189">
        <f>IFERROR(INDEX('Match Log'!$F$4:$F$810,MATCH(165,'Match Log'!$A$4:$A$810,0)),"")</f>
        <v>0</v>
      </c>
      <c r="F189">
        <f>IFERROR(SUMIFS('Match Log'!$I$4:$I$810,'Match Log'!$A$4:$A$810,165,'Match Log'!$E$4:$E$810,"Win"),"")</f>
        <v>0</v>
      </c>
      <c r="G189">
        <f>IF($D189="","",1-$F189*$E189)</f>
        <v>0</v>
      </c>
      <c r="H189" t="str">
        <f>IFERROR(IF($E189=2,LOOKUP(2,1/(('Match Log'!$A$4:$A$810=165)*('Match Log'!$E$4:$E$810="Loss")),'Match Log'!$D$4:$D$810),"the field"),"")</f>
      </c>
      <c r="I189">
        <f>IF($G189="","",$G189-$A189/1000000)</f>
        <v>0</v>
      </c>
      <c r="J189">
        <v>165</v>
      </c>
      <c r="K189">
        <f>IF($J189&gt;MAX('Match Log'!$A$4:$A$810),NA(),IFERROR(LOOKUP(2,1/(('Match Log'!$D$4:$D$810=$K$24)*('Match Log'!$A$4:$A$810&lt;=$J189)),'Match Log'!$N$4:$N$810),NA()))</f>
        <v>0</v>
      </c>
      <c r="L189">
        <f>IF($J189&gt;MAX('Match Log'!$A$4:$A$810),NA(),IFERROR(LOOKUP(2,1/(('Match Log'!$D$4:$D$810=$L$24)*('Match Log'!$A$4:$A$810&lt;=$J189)),'Match Log'!$N$4:$N$810),NA()))</f>
        <v>0</v>
      </c>
      <c r="M189">
        <f>IF($J189&gt;MAX('Match Log'!$A$4:$A$810),NA(),IFERROR(LOOKUP(2,1/(('Match Log'!$D$4:$D$810=$M$24)*('Match Log'!$A$4:$A$810&lt;=$J189)),'Match Log'!$N$4:$N$810),NA()))</f>
        <v>0</v>
      </c>
      <c r="N189">
        <f>IF($J189&gt;MAX('Match Log'!$A$4:$A$810),NA(),IFERROR(LOOKUP(2,1/(('Match Log'!$D$4:$D$810=$N$24)*('Match Log'!$A$4:$A$810&lt;=$J189)),'Match Log'!$N$4:$N$810),NA()))</f>
        <v>0</v>
      </c>
      <c r="O189">
        <f>IF($J189&gt;MAX('Match Log'!$A$4:$A$810),NA(),IFERROR(LOOKUP(2,1/(('Match Log'!$D$4:$D$810=$O$24)*('Match Log'!$A$4:$A$810&lt;=$J189)),'Match Log'!$N$4:$N$810),NA()))</f>
        <v>0</v>
      </c>
      <c r="P189">
        <f>IF($J189&gt;MAX('Match Log'!$A$4:$A$810),NA(),IFERROR(LOOKUP(2,1/(('Match Log'!$D$4:$D$810=$P$24)*('Match Log'!$A$4:$A$810&lt;=$J189)),'Match Log'!$N$4:$N$810),NA()))</f>
        <v>0</v>
      </c>
      <c r="Q189">
        <f>IF($J189&gt;MAX('Match Log'!$A$4:$A$810),NA(),IFERROR(LOOKUP(2,1/(('Match Log'!$D$4:$D$810=$Q$24)*('Match Log'!$A$4:$A$810&lt;=$J189)),'Match Log'!$N$4:$N$810),NA()))</f>
        <v>0</v>
      </c>
      <c r="R189">
        <f>IF($J189&gt;MAX('Match Log'!$A$4:$A$810),NA(),IFERROR(LOOKUP(2,1/(('Match Log'!$D$4:$D$810=$R$24)*('Match Log'!$A$4:$A$810&lt;=$J189)),'Match Log'!$N$4:$N$810),NA()))</f>
        <v>0</v>
      </c>
      <c r="S189">
        <f>IF($J189&gt;MAX('Match Log'!$A$4:$A$810),NA(),IFERROR(LOOKUP(2,1/(('Match Log'!$D$4:$D$810=$S$24)*('Match Log'!$A$4:$A$810&lt;=$J189)),'Match Log'!$N$4:$N$810),NA()))</f>
        <v>0</v>
      </c>
      <c r="T189">
        <f>IF($J189&gt;MAX('Match Log'!$A$4:$A$810),NA(),IFERROR(LOOKUP(2,1/(('Match Log'!$D$4:$D$810=$T$24)*('Match Log'!$A$4:$A$810&lt;=$J189)),'Match Log'!$N$4:$N$810),NA()))</f>
        <v>0</v>
      </c>
      <c r="U189">
        <f>IF($J189&gt;MAX('Match Log'!$A$4:$A$810),NA(),IFERROR(LOOKUP(2,1/(('Match Log'!$D$4:$D$810=$U$24)*('Match Log'!$A$4:$A$810&lt;=$J189)),'Match Log'!$N$4:$N$810),NA()))</f>
        <v>0</v>
      </c>
      <c r="V189">
        <f>IF($J189&gt;MAX('Match Log'!$A$4:$A$810),NA(),IFERROR(LOOKUP(2,1/(('Match Log'!$D$4:$D$810=$V$24)*('Match Log'!$A$4:$A$810&lt;=$J189)),'Match Log'!$N$4:$N$810),NA()))</f>
        <v>0</v>
      </c>
      <c r="W189">
        <f>IF($J189&gt;MAX('Match Log'!$A$4:$A$810),NA(),IFERROR(LOOKUP(2,1/(('Match Log'!$D$4:$D$810=$W$24)*('Match Log'!$A$4:$A$810&lt;=$J189)),'Match Log'!$N$4:$N$810),NA()))</f>
        <v>0</v>
      </c>
      <c r="X189">
        <f>IF($J189&gt;MAX('Match Log'!$A$4:$A$810),NA(),IFERROR(LOOKUP(2,1/(('Match Log'!$D$4:$D$810=$X$24)*('Match Log'!$A$4:$A$810&lt;=$J189)),'Match Log'!$N$4:$N$810),NA()))</f>
        <v>0</v>
      </c>
      <c r="Y189" t="str">
        <f>IF(AND($B189&lt;&gt;"",$B189&gt;=$B$5,$I189&lt;&gt;""),$I189,"")</f>
      </c>
    </row>
    <row r="190">
      <c r="A190">
        <v>166</v>
      </c>
      <c r="B190">
        <f>IFERROR(INDEX('Match Log'!$B$4:$B$810,MATCH(166,'Match Log'!$A$4:$A$810,0)),"")</f>
        <v>0</v>
      </c>
      <c r="C190" t="str">
        <f>IFERROR(INDEX('Match Log'!$C$4:$C$810,MATCH(166,'Match Log'!$A$4:$A$810,0)),"")</f>
      </c>
      <c r="D190" t="str">
        <f>IFERROR(INDEX('Match Log'!$G$4:$G$810,MATCH(166,'Match Log'!$A$4:$A$810,0)),"")</f>
      </c>
      <c r="E190">
        <f>IFERROR(INDEX('Match Log'!$F$4:$F$810,MATCH(166,'Match Log'!$A$4:$A$810,0)),"")</f>
        <v>0</v>
      </c>
      <c r="F190">
        <f>IFERROR(SUMIFS('Match Log'!$I$4:$I$810,'Match Log'!$A$4:$A$810,166,'Match Log'!$E$4:$E$810,"Win"),"")</f>
        <v>0</v>
      </c>
      <c r="G190">
        <f>IF($D190="","",1-$F190*$E190)</f>
        <v>0</v>
      </c>
      <c r="H190" t="str">
        <f>IFERROR(IF($E190=2,LOOKUP(2,1/(('Match Log'!$A$4:$A$810=166)*('Match Log'!$E$4:$E$810="Loss")),'Match Log'!$D$4:$D$810),"the field"),"")</f>
      </c>
      <c r="I190">
        <f>IF($G190="","",$G190-$A190/1000000)</f>
        <v>0</v>
      </c>
      <c r="J190">
        <v>166</v>
      </c>
      <c r="K190">
        <f>IF($J190&gt;MAX('Match Log'!$A$4:$A$810),NA(),IFERROR(LOOKUP(2,1/(('Match Log'!$D$4:$D$810=$K$24)*('Match Log'!$A$4:$A$810&lt;=$J190)),'Match Log'!$N$4:$N$810),NA()))</f>
        <v>0</v>
      </c>
      <c r="L190">
        <f>IF($J190&gt;MAX('Match Log'!$A$4:$A$810),NA(),IFERROR(LOOKUP(2,1/(('Match Log'!$D$4:$D$810=$L$24)*('Match Log'!$A$4:$A$810&lt;=$J190)),'Match Log'!$N$4:$N$810),NA()))</f>
        <v>0</v>
      </c>
      <c r="M190">
        <f>IF($J190&gt;MAX('Match Log'!$A$4:$A$810),NA(),IFERROR(LOOKUP(2,1/(('Match Log'!$D$4:$D$810=$M$24)*('Match Log'!$A$4:$A$810&lt;=$J190)),'Match Log'!$N$4:$N$810),NA()))</f>
        <v>0</v>
      </c>
      <c r="N190">
        <f>IF($J190&gt;MAX('Match Log'!$A$4:$A$810),NA(),IFERROR(LOOKUP(2,1/(('Match Log'!$D$4:$D$810=$N$24)*('Match Log'!$A$4:$A$810&lt;=$J190)),'Match Log'!$N$4:$N$810),NA()))</f>
        <v>0</v>
      </c>
      <c r="O190">
        <f>IF($J190&gt;MAX('Match Log'!$A$4:$A$810),NA(),IFERROR(LOOKUP(2,1/(('Match Log'!$D$4:$D$810=$O$24)*('Match Log'!$A$4:$A$810&lt;=$J190)),'Match Log'!$N$4:$N$810),NA()))</f>
        <v>0</v>
      </c>
      <c r="P190">
        <f>IF($J190&gt;MAX('Match Log'!$A$4:$A$810),NA(),IFERROR(LOOKUP(2,1/(('Match Log'!$D$4:$D$810=$P$24)*('Match Log'!$A$4:$A$810&lt;=$J190)),'Match Log'!$N$4:$N$810),NA()))</f>
        <v>0</v>
      </c>
      <c r="Q190">
        <f>IF($J190&gt;MAX('Match Log'!$A$4:$A$810),NA(),IFERROR(LOOKUP(2,1/(('Match Log'!$D$4:$D$810=$Q$24)*('Match Log'!$A$4:$A$810&lt;=$J190)),'Match Log'!$N$4:$N$810),NA()))</f>
        <v>0</v>
      </c>
      <c r="R190">
        <f>IF($J190&gt;MAX('Match Log'!$A$4:$A$810),NA(),IFERROR(LOOKUP(2,1/(('Match Log'!$D$4:$D$810=$R$24)*('Match Log'!$A$4:$A$810&lt;=$J190)),'Match Log'!$N$4:$N$810),NA()))</f>
        <v>0</v>
      </c>
      <c r="S190">
        <f>IF($J190&gt;MAX('Match Log'!$A$4:$A$810),NA(),IFERROR(LOOKUP(2,1/(('Match Log'!$D$4:$D$810=$S$24)*('Match Log'!$A$4:$A$810&lt;=$J190)),'Match Log'!$N$4:$N$810),NA()))</f>
        <v>0</v>
      </c>
      <c r="T190">
        <f>IF($J190&gt;MAX('Match Log'!$A$4:$A$810),NA(),IFERROR(LOOKUP(2,1/(('Match Log'!$D$4:$D$810=$T$24)*('Match Log'!$A$4:$A$810&lt;=$J190)),'Match Log'!$N$4:$N$810),NA()))</f>
        <v>0</v>
      </c>
      <c r="U190">
        <f>IF($J190&gt;MAX('Match Log'!$A$4:$A$810),NA(),IFERROR(LOOKUP(2,1/(('Match Log'!$D$4:$D$810=$U$24)*('Match Log'!$A$4:$A$810&lt;=$J190)),'Match Log'!$N$4:$N$810),NA()))</f>
        <v>0</v>
      </c>
      <c r="V190">
        <f>IF($J190&gt;MAX('Match Log'!$A$4:$A$810),NA(),IFERROR(LOOKUP(2,1/(('Match Log'!$D$4:$D$810=$V$24)*('Match Log'!$A$4:$A$810&lt;=$J190)),'Match Log'!$N$4:$N$810),NA()))</f>
        <v>0</v>
      </c>
      <c r="W190">
        <f>IF($J190&gt;MAX('Match Log'!$A$4:$A$810),NA(),IFERROR(LOOKUP(2,1/(('Match Log'!$D$4:$D$810=$W$24)*('Match Log'!$A$4:$A$810&lt;=$J190)),'Match Log'!$N$4:$N$810),NA()))</f>
        <v>0</v>
      </c>
      <c r="X190">
        <f>IF($J190&gt;MAX('Match Log'!$A$4:$A$810),NA(),IFERROR(LOOKUP(2,1/(('Match Log'!$D$4:$D$810=$X$24)*('Match Log'!$A$4:$A$810&lt;=$J190)),'Match Log'!$N$4:$N$810),NA()))</f>
        <v>0</v>
      </c>
      <c r="Y190" t="str">
        <f>IF(AND($B190&lt;&gt;"",$B190&gt;=$B$5,$I190&lt;&gt;""),$I190,"")</f>
      </c>
    </row>
    <row r="191">
      <c r="A191">
        <v>167</v>
      </c>
      <c r="B191">
        <f>IFERROR(INDEX('Match Log'!$B$4:$B$810,MATCH(167,'Match Log'!$A$4:$A$810,0)),"")</f>
        <v>0</v>
      </c>
      <c r="C191" t="str">
        <f>IFERROR(INDEX('Match Log'!$C$4:$C$810,MATCH(167,'Match Log'!$A$4:$A$810,0)),"")</f>
      </c>
      <c r="D191" t="str">
        <f>IFERROR(INDEX('Match Log'!$G$4:$G$810,MATCH(167,'Match Log'!$A$4:$A$810,0)),"")</f>
      </c>
      <c r="E191">
        <f>IFERROR(INDEX('Match Log'!$F$4:$F$810,MATCH(167,'Match Log'!$A$4:$A$810,0)),"")</f>
        <v>0</v>
      </c>
      <c r="F191">
        <f>IFERROR(SUMIFS('Match Log'!$I$4:$I$810,'Match Log'!$A$4:$A$810,167,'Match Log'!$E$4:$E$810,"Win"),"")</f>
        <v>0</v>
      </c>
      <c r="G191">
        <f>IF($D191="","",1-$F191*$E191)</f>
        <v>0</v>
      </c>
      <c r="H191" t="str">
        <f>IFERROR(IF($E191=2,LOOKUP(2,1/(('Match Log'!$A$4:$A$810=167)*('Match Log'!$E$4:$E$810="Loss")),'Match Log'!$D$4:$D$810),"the field"),"")</f>
      </c>
      <c r="I191">
        <f>IF($G191="","",$G191-$A191/1000000)</f>
        <v>0</v>
      </c>
      <c r="J191">
        <v>167</v>
      </c>
      <c r="K191">
        <f>IF($J191&gt;MAX('Match Log'!$A$4:$A$810),NA(),IFERROR(LOOKUP(2,1/(('Match Log'!$D$4:$D$810=$K$24)*('Match Log'!$A$4:$A$810&lt;=$J191)),'Match Log'!$N$4:$N$810),NA()))</f>
        <v>0</v>
      </c>
      <c r="L191">
        <f>IF($J191&gt;MAX('Match Log'!$A$4:$A$810),NA(),IFERROR(LOOKUP(2,1/(('Match Log'!$D$4:$D$810=$L$24)*('Match Log'!$A$4:$A$810&lt;=$J191)),'Match Log'!$N$4:$N$810),NA()))</f>
        <v>0</v>
      </c>
      <c r="M191">
        <f>IF($J191&gt;MAX('Match Log'!$A$4:$A$810),NA(),IFERROR(LOOKUP(2,1/(('Match Log'!$D$4:$D$810=$M$24)*('Match Log'!$A$4:$A$810&lt;=$J191)),'Match Log'!$N$4:$N$810),NA()))</f>
        <v>0</v>
      </c>
      <c r="N191">
        <f>IF($J191&gt;MAX('Match Log'!$A$4:$A$810),NA(),IFERROR(LOOKUP(2,1/(('Match Log'!$D$4:$D$810=$N$24)*('Match Log'!$A$4:$A$810&lt;=$J191)),'Match Log'!$N$4:$N$810),NA()))</f>
        <v>0</v>
      </c>
      <c r="O191">
        <f>IF($J191&gt;MAX('Match Log'!$A$4:$A$810),NA(),IFERROR(LOOKUP(2,1/(('Match Log'!$D$4:$D$810=$O$24)*('Match Log'!$A$4:$A$810&lt;=$J191)),'Match Log'!$N$4:$N$810),NA()))</f>
        <v>0</v>
      </c>
      <c r="P191">
        <f>IF($J191&gt;MAX('Match Log'!$A$4:$A$810),NA(),IFERROR(LOOKUP(2,1/(('Match Log'!$D$4:$D$810=$P$24)*('Match Log'!$A$4:$A$810&lt;=$J191)),'Match Log'!$N$4:$N$810),NA()))</f>
        <v>0</v>
      </c>
      <c r="Q191">
        <f>IF($J191&gt;MAX('Match Log'!$A$4:$A$810),NA(),IFERROR(LOOKUP(2,1/(('Match Log'!$D$4:$D$810=$Q$24)*('Match Log'!$A$4:$A$810&lt;=$J191)),'Match Log'!$N$4:$N$810),NA()))</f>
        <v>0</v>
      </c>
      <c r="R191">
        <f>IF($J191&gt;MAX('Match Log'!$A$4:$A$810),NA(),IFERROR(LOOKUP(2,1/(('Match Log'!$D$4:$D$810=$R$24)*('Match Log'!$A$4:$A$810&lt;=$J191)),'Match Log'!$N$4:$N$810),NA()))</f>
        <v>0</v>
      </c>
      <c r="S191">
        <f>IF($J191&gt;MAX('Match Log'!$A$4:$A$810),NA(),IFERROR(LOOKUP(2,1/(('Match Log'!$D$4:$D$810=$S$24)*('Match Log'!$A$4:$A$810&lt;=$J191)),'Match Log'!$N$4:$N$810),NA()))</f>
        <v>0</v>
      </c>
      <c r="T191">
        <f>IF($J191&gt;MAX('Match Log'!$A$4:$A$810),NA(),IFERROR(LOOKUP(2,1/(('Match Log'!$D$4:$D$810=$T$24)*('Match Log'!$A$4:$A$810&lt;=$J191)),'Match Log'!$N$4:$N$810),NA()))</f>
        <v>0</v>
      </c>
      <c r="U191">
        <f>IF($J191&gt;MAX('Match Log'!$A$4:$A$810),NA(),IFERROR(LOOKUP(2,1/(('Match Log'!$D$4:$D$810=$U$24)*('Match Log'!$A$4:$A$810&lt;=$J191)),'Match Log'!$N$4:$N$810),NA()))</f>
        <v>0</v>
      </c>
      <c r="V191">
        <f>IF($J191&gt;MAX('Match Log'!$A$4:$A$810),NA(),IFERROR(LOOKUP(2,1/(('Match Log'!$D$4:$D$810=$V$24)*('Match Log'!$A$4:$A$810&lt;=$J191)),'Match Log'!$N$4:$N$810),NA()))</f>
        <v>0</v>
      </c>
      <c r="W191">
        <f>IF($J191&gt;MAX('Match Log'!$A$4:$A$810),NA(),IFERROR(LOOKUP(2,1/(('Match Log'!$D$4:$D$810=$W$24)*('Match Log'!$A$4:$A$810&lt;=$J191)),'Match Log'!$N$4:$N$810),NA()))</f>
        <v>0</v>
      </c>
      <c r="X191">
        <f>IF($J191&gt;MAX('Match Log'!$A$4:$A$810),NA(),IFERROR(LOOKUP(2,1/(('Match Log'!$D$4:$D$810=$X$24)*('Match Log'!$A$4:$A$810&lt;=$J191)),'Match Log'!$N$4:$N$810),NA()))</f>
        <v>0</v>
      </c>
      <c r="Y191" t="str">
        <f>IF(AND($B191&lt;&gt;"",$B191&gt;=$B$5,$I191&lt;&gt;""),$I191,"")</f>
      </c>
    </row>
    <row r="192">
      <c r="A192">
        <v>168</v>
      </c>
      <c r="B192">
        <f>IFERROR(INDEX('Match Log'!$B$4:$B$810,MATCH(168,'Match Log'!$A$4:$A$810,0)),"")</f>
        <v>0</v>
      </c>
      <c r="C192" t="str">
        <f>IFERROR(INDEX('Match Log'!$C$4:$C$810,MATCH(168,'Match Log'!$A$4:$A$810,0)),"")</f>
      </c>
      <c r="D192" t="str">
        <f>IFERROR(INDEX('Match Log'!$G$4:$G$810,MATCH(168,'Match Log'!$A$4:$A$810,0)),"")</f>
      </c>
      <c r="E192">
        <f>IFERROR(INDEX('Match Log'!$F$4:$F$810,MATCH(168,'Match Log'!$A$4:$A$810,0)),"")</f>
        <v>0</v>
      </c>
      <c r="F192">
        <f>IFERROR(SUMIFS('Match Log'!$I$4:$I$810,'Match Log'!$A$4:$A$810,168,'Match Log'!$E$4:$E$810,"Win"),"")</f>
        <v>0</v>
      </c>
      <c r="G192">
        <f>IF($D192="","",1-$F192*$E192)</f>
        <v>0</v>
      </c>
      <c r="H192" t="str">
        <f>IFERROR(IF($E192=2,LOOKUP(2,1/(('Match Log'!$A$4:$A$810=168)*('Match Log'!$E$4:$E$810="Loss")),'Match Log'!$D$4:$D$810),"the field"),"")</f>
      </c>
      <c r="I192">
        <f>IF($G192="","",$G192-$A192/1000000)</f>
        <v>0</v>
      </c>
      <c r="J192">
        <v>168</v>
      </c>
      <c r="K192">
        <f>IF($J192&gt;MAX('Match Log'!$A$4:$A$810),NA(),IFERROR(LOOKUP(2,1/(('Match Log'!$D$4:$D$810=$K$24)*('Match Log'!$A$4:$A$810&lt;=$J192)),'Match Log'!$N$4:$N$810),NA()))</f>
        <v>0</v>
      </c>
      <c r="L192">
        <f>IF($J192&gt;MAX('Match Log'!$A$4:$A$810),NA(),IFERROR(LOOKUP(2,1/(('Match Log'!$D$4:$D$810=$L$24)*('Match Log'!$A$4:$A$810&lt;=$J192)),'Match Log'!$N$4:$N$810),NA()))</f>
        <v>0</v>
      </c>
      <c r="M192">
        <f>IF($J192&gt;MAX('Match Log'!$A$4:$A$810),NA(),IFERROR(LOOKUP(2,1/(('Match Log'!$D$4:$D$810=$M$24)*('Match Log'!$A$4:$A$810&lt;=$J192)),'Match Log'!$N$4:$N$810),NA()))</f>
        <v>0</v>
      </c>
      <c r="N192">
        <f>IF($J192&gt;MAX('Match Log'!$A$4:$A$810),NA(),IFERROR(LOOKUP(2,1/(('Match Log'!$D$4:$D$810=$N$24)*('Match Log'!$A$4:$A$810&lt;=$J192)),'Match Log'!$N$4:$N$810),NA()))</f>
        <v>0</v>
      </c>
      <c r="O192">
        <f>IF($J192&gt;MAX('Match Log'!$A$4:$A$810),NA(),IFERROR(LOOKUP(2,1/(('Match Log'!$D$4:$D$810=$O$24)*('Match Log'!$A$4:$A$810&lt;=$J192)),'Match Log'!$N$4:$N$810),NA()))</f>
        <v>0</v>
      </c>
      <c r="P192">
        <f>IF($J192&gt;MAX('Match Log'!$A$4:$A$810),NA(),IFERROR(LOOKUP(2,1/(('Match Log'!$D$4:$D$810=$P$24)*('Match Log'!$A$4:$A$810&lt;=$J192)),'Match Log'!$N$4:$N$810),NA()))</f>
        <v>0</v>
      </c>
      <c r="Q192">
        <f>IF($J192&gt;MAX('Match Log'!$A$4:$A$810),NA(),IFERROR(LOOKUP(2,1/(('Match Log'!$D$4:$D$810=$Q$24)*('Match Log'!$A$4:$A$810&lt;=$J192)),'Match Log'!$N$4:$N$810),NA()))</f>
        <v>0</v>
      </c>
      <c r="R192">
        <f>IF($J192&gt;MAX('Match Log'!$A$4:$A$810),NA(),IFERROR(LOOKUP(2,1/(('Match Log'!$D$4:$D$810=$R$24)*('Match Log'!$A$4:$A$810&lt;=$J192)),'Match Log'!$N$4:$N$810),NA()))</f>
        <v>0</v>
      </c>
      <c r="S192">
        <f>IF($J192&gt;MAX('Match Log'!$A$4:$A$810),NA(),IFERROR(LOOKUP(2,1/(('Match Log'!$D$4:$D$810=$S$24)*('Match Log'!$A$4:$A$810&lt;=$J192)),'Match Log'!$N$4:$N$810),NA()))</f>
        <v>0</v>
      </c>
      <c r="T192">
        <f>IF($J192&gt;MAX('Match Log'!$A$4:$A$810),NA(),IFERROR(LOOKUP(2,1/(('Match Log'!$D$4:$D$810=$T$24)*('Match Log'!$A$4:$A$810&lt;=$J192)),'Match Log'!$N$4:$N$810),NA()))</f>
        <v>0</v>
      </c>
      <c r="U192">
        <f>IF($J192&gt;MAX('Match Log'!$A$4:$A$810),NA(),IFERROR(LOOKUP(2,1/(('Match Log'!$D$4:$D$810=$U$24)*('Match Log'!$A$4:$A$810&lt;=$J192)),'Match Log'!$N$4:$N$810),NA()))</f>
        <v>0</v>
      </c>
      <c r="V192">
        <f>IF($J192&gt;MAX('Match Log'!$A$4:$A$810),NA(),IFERROR(LOOKUP(2,1/(('Match Log'!$D$4:$D$810=$V$24)*('Match Log'!$A$4:$A$810&lt;=$J192)),'Match Log'!$N$4:$N$810),NA()))</f>
        <v>0</v>
      </c>
      <c r="W192">
        <f>IF($J192&gt;MAX('Match Log'!$A$4:$A$810),NA(),IFERROR(LOOKUP(2,1/(('Match Log'!$D$4:$D$810=$W$24)*('Match Log'!$A$4:$A$810&lt;=$J192)),'Match Log'!$N$4:$N$810),NA()))</f>
        <v>0</v>
      </c>
      <c r="X192">
        <f>IF($J192&gt;MAX('Match Log'!$A$4:$A$810),NA(),IFERROR(LOOKUP(2,1/(('Match Log'!$D$4:$D$810=$X$24)*('Match Log'!$A$4:$A$810&lt;=$J192)),'Match Log'!$N$4:$N$810),NA()))</f>
        <v>0</v>
      </c>
      <c r="Y192" t="str">
        <f>IF(AND($B192&lt;&gt;"",$B192&gt;=$B$5,$I192&lt;&gt;""),$I192,"")</f>
      </c>
    </row>
    <row r="193">
      <c r="A193">
        <v>169</v>
      </c>
      <c r="B193">
        <f>IFERROR(INDEX('Match Log'!$B$4:$B$810,MATCH(169,'Match Log'!$A$4:$A$810,0)),"")</f>
        <v>0</v>
      </c>
      <c r="C193" t="str">
        <f>IFERROR(INDEX('Match Log'!$C$4:$C$810,MATCH(169,'Match Log'!$A$4:$A$810,0)),"")</f>
      </c>
      <c r="D193" t="str">
        <f>IFERROR(INDEX('Match Log'!$G$4:$G$810,MATCH(169,'Match Log'!$A$4:$A$810,0)),"")</f>
      </c>
      <c r="E193">
        <f>IFERROR(INDEX('Match Log'!$F$4:$F$810,MATCH(169,'Match Log'!$A$4:$A$810,0)),"")</f>
        <v>0</v>
      </c>
      <c r="F193">
        <f>IFERROR(SUMIFS('Match Log'!$I$4:$I$810,'Match Log'!$A$4:$A$810,169,'Match Log'!$E$4:$E$810,"Win"),"")</f>
        <v>0</v>
      </c>
      <c r="G193">
        <f>IF($D193="","",1-$F193*$E193)</f>
        <v>0</v>
      </c>
      <c r="H193" t="str">
        <f>IFERROR(IF($E193=2,LOOKUP(2,1/(('Match Log'!$A$4:$A$810=169)*('Match Log'!$E$4:$E$810="Loss")),'Match Log'!$D$4:$D$810),"the field"),"")</f>
      </c>
      <c r="I193">
        <f>IF($G193="","",$G193-$A193/1000000)</f>
        <v>0</v>
      </c>
      <c r="J193">
        <v>169</v>
      </c>
      <c r="K193">
        <f>IF($J193&gt;MAX('Match Log'!$A$4:$A$810),NA(),IFERROR(LOOKUP(2,1/(('Match Log'!$D$4:$D$810=$K$24)*('Match Log'!$A$4:$A$810&lt;=$J193)),'Match Log'!$N$4:$N$810),NA()))</f>
        <v>0</v>
      </c>
      <c r="L193">
        <f>IF($J193&gt;MAX('Match Log'!$A$4:$A$810),NA(),IFERROR(LOOKUP(2,1/(('Match Log'!$D$4:$D$810=$L$24)*('Match Log'!$A$4:$A$810&lt;=$J193)),'Match Log'!$N$4:$N$810),NA()))</f>
        <v>0</v>
      </c>
      <c r="M193">
        <f>IF($J193&gt;MAX('Match Log'!$A$4:$A$810),NA(),IFERROR(LOOKUP(2,1/(('Match Log'!$D$4:$D$810=$M$24)*('Match Log'!$A$4:$A$810&lt;=$J193)),'Match Log'!$N$4:$N$810),NA()))</f>
        <v>0</v>
      </c>
      <c r="N193">
        <f>IF($J193&gt;MAX('Match Log'!$A$4:$A$810),NA(),IFERROR(LOOKUP(2,1/(('Match Log'!$D$4:$D$810=$N$24)*('Match Log'!$A$4:$A$810&lt;=$J193)),'Match Log'!$N$4:$N$810),NA()))</f>
        <v>0</v>
      </c>
      <c r="O193">
        <f>IF($J193&gt;MAX('Match Log'!$A$4:$A$810),NA(),IFERROR(LOOKUP(2,1/(('Match Log'!$D$4:$D$810=$O$24)*('Match Log'!$A$4:$A$810&lt;=$J193)),'Match Log'!$N$4:$N$810),NA()))</f>
        <v>0</v>
      </c>
      <c r="P193">
        <f>IF($J193&gt;MAX('Match Log'!$A$4:$A$810),NA(),IFERROR(LOOKUP(2,1/(('Match Log'!$D$4:$D$810=$P$24)*('Match Log'!$A$4:$A$810&lt;=$J193)),'Match Log'!$N$4:$N$810),NA()))</f>
        <v>0</v>
      </c>
      <c r="Q193">
        <f>IF($J193&gt;MAX('Match Log'!$A$4:$A$810),NA(),IFERROR(LOOKUP(2,1/(('Match Log'!$D$4:$D$810=$Q$24)*('Match Log'!$A$4:$A$810&lt;=$J193)),'Match Log'!$N$4:$N$810),NA()))</f>
        <v>0</v>
      </c>
      <c r="R193">
        <f>IF($J193&gt;MAX('Match Log'!$A$4:$A$810),NA(),IFERROR(LOOKUP(2,1/(('Match Log'!$D$4:$D$810=$R$24)*('Match Log'!$A$4:$A$810&lt;=$J193)),'Match Log'!$N$4:$N$810),NA()))</f>
        <v>0</v>
      </c>
      <c r="S193">
        <f>IF($J193&gt;MAX('Match Log'!$A$4:$A$810),NA(),IFERROR(LOOKUP(2,1/(('Match Log'!$D$4:$D$810=$S$24)*('Match Log'!$A$4:$A$810&lt;=$J193)),'Match Log'!$N$4:$N$810),NA()))</f>
        <v>0</v>
      </c>
      <c r="T193">
        <f>IF($J193&gt;MAX('Match Log'!$A$4:$A$810),NA(),IFERROR(LOOKUP(2,1/(('Match Log'!$D$4:$D$810=$T$24)*('Match Log'!$A$4:$A$810&lt;=$J193)),'Match Log'!$N$4:$N$810),NA()))</f>
        <v>0</v>
      </c>
      <c r="U193">
        <f>IF($J193&gt;MAX('Match Log'!$A$4:$A$810),NA(),IFERROR(LOOKUP(2,1/(('Match Log'!$D$4:$D$810=$U$24)*('Match Log'!$A$4:$A$810&lt;=$J193)),'Match Log'!$N$4:$N$810),NA()))</f>
        <v>0</v>
      </c>
      <c r="V193">
        <f>IF($J193&gt;MAX('Match Log'!$A$4:$A$810),NA(),IFERROR(LOOKUP(2,1/(('Match Log'!$D$4:$D$810=$V$24)*('Match Log'!$A$4:$A$810&lt;=$J193)),'Match Log'!$N$4:$N$810),NA()))</f>
        <v>0</v>
      </c>
      <c r="W193">
        <f>IF($J193&gt;MAX('Match Log'!$A$4:$A$810),NA(),IFERROR(LOOKUP(2,1/(('Match Log'!$D$4:$D$810=$W$24)*('Match Log'!$A$4:$A$810&lt;=$J193)),'Match Log'!$N$4:$N$810),NA()))</f>
        <v>0</v>
      </c>
      <c r="X193">
        <f>IF($J193&gt;MAX('Match Log'!$A$4:$A$810),NA(),IFERROR(LOOKUP(2,1/(('Match Log'!$D$4:$D$810=$X$24)*('Match Log'!$A$4:$A$810&lt;=$J193)),'Match Log'!$N$4:$N$810),NA()))</f>
        <v>0</v>
      </c>
      <c r="Y193" t="str">
        <f>IF(AND($B193&lt;&gt;"",$B193&gt;=$B$5,$I193&lt;&gt;""),$I193,"")</f>
      </c>
    </row>
    <row r="194">
      <c r="A194">
        <v>170</v>
      </c>
      <c r="B194">
        <f>IFERROR(INDEX('Match Log'!$B$4:$B$810,MATCH(170,'Match Log'!$A$4:$A$810,0)),"")</f>
        <v>0</v>
      </c>
      <c r="C194" t="str">
        <f>IFERROR(INDEX('Match Log'!$C$4:$C$810,MATCH(170,'Match Log'!$A$4:$A$810,0)),"")</f>
      </c>
      <c r="D194" t="str">
        <f>IFERROR(INDEX('Match Log'!$G$4:$G$810,MATCH(170,'Match Log'!$A$4:$A$810,0)),"")</f>
      </c>
      <c r="E194">
        <f>IFERROR(INDEX('Match Log'!$F$4:$F$810,MATCH(170,'Match Log'!$A$4:$A$810,0)),"")</f>
        <v>0</v>
      </c>
      <c r="F194">
        <f>IFERROR(SUMIFS('Match Log'!$I$4:$I$810,'Match Log'!$A$4:$A$810,170,'Match Log'!$E$4:$E$810,"Win"),"")</f>
        <v>0</v>
      </c>
      <c r="G194">
        <f>IF($D194="","",1-$F194*$E194)</f>
        <v>0</v>
      </c>
      <c r="H194" t="str">
        <f>IFERROR(IF($E194=2,LOOKUP(2,1/(('Match Log'!$A$4:$A$810=170)*('Match Log'!$E$4:$E$810="Loss")),'Match Log'!$D$4:$D$810),"the field"),"")</f>
      </c>
      <c r="I194">
        <f>IF($G194="","",$G194-$A194/1000000)</f>
        <v>0</v>
      </c>
      <c r="J194">
        <v>170</v>
      </c>
      <c r="K194">
        <f>IF($J194&gt;MAX('Match Log'!$A$4:$A$810),NA(),IFERROR(LOOKUP(2,1/(('Match Log'!$D$4:$D$810=$K$24)*('Match Log'!$A$4:$A$810&lt;=$J194)),'Match Log'!$N$4:$N$810),NA()))</f>
        <v>0</v>
      </c>
      <c r="L194">
        <f>IF($J194&gt;MAX('Match Log'!$A$4:$A$810),NA(),IFERROR(LOOKUP(2,1/(('Match Log'!$D$4:$D$810=$L$24)*('Match Log'!$A$4:$A$810&lt;=$J194)),'Match Log'!$N$4:$N$810),NA()))</f>
        <v>0</v>
      </c>
      <c r="M194">
        <f>IF($J194&gt;MAX('Match Log'!$A$4:$A$810),NA(),IFERROR(LOOKUP(2,1/(('Match Log'!$D$4:$D$810=$M$24)*('Match Log'!$A$4:$A$810&lt;=$J194)),'Match Log'!$N$4:$N$810),NA()))</f>
        <v>0</v>
      </c>
      <c r="N194">
        <f>IF($J194&gt;MAX('Match Log'!$A$4:$A$810),NA(),IFERROR(LOOKUP(2,1/(('Match Log'!$D$4:$D$810=$N$24)*('Match Log'!$A$4:$A$810&lt;=$J194)),'Match Log'!$N$4:$N$810),NA()))</f>
        <v>0</v>
      </c>
      <c r="O194">
        <f>IF($J194&gt;MAX('Match Log'!$A$4:$A$810),NA(),IFERROR(LOOKUP(2,1/(('Match Log'!$D$4:$D$810=$O$24)*('Match Log'!$A$4:$A$810&lt;=$J194)),'Match Log'!$N$4:$N$810),NA()))</f>
        <v>0</v>
      </c>
      <c r="P194">
        <f>IF($J194&gt;MAX('Match Log'!$A$4:$A$810),NA(),IFERROR(LOOKUP(2,1/(('Match Log'!$D$4:$D$810=$P$24)*('Match Log'!$A$4:$A$810&lt;=$J194)),'Match Log'!$N$4:$N$810),NA()))</f>
        <v>0</v>
      </c>
      <c r="Q194">
        <f>IF($J194&gt;MAX('Match Log'!$A$4:$A$810),NA(),IFERROR(LOOKUP(2,1/(('Match Log'!$D$4:$D$810=$Q$24)*('Match Log'!$A$4:$A$810&lt;=$J194)),'Match Log'!$N$4:$N$810),NA()))</f>
        <v>0</v>
      </c>
      <c r="R194">
        <f>IF($J194&gt;MAX('Match Log'!$A$4:$A$810),NA(),IFERROR(LOOKUP(2,1/(('Match Log'!$D$4:$D$810=$R$24)*('Match Log'!$A$4:$A$810&lt;=$J194)),'Match Log'!$N$4:$N$810),NA()))</f>
        <v>0</v>
      </c>
      <c r="S194">
        <f>IF($J194&gt;MAX('Match Log'!$A$4:$A$810),NA(),IFERROR(LOOKUP(2,1/(('Match Log'!$D$4:$D$810=$S$24)*('Match Log'!$A$4:$A$810&lt;=$J194)),'Match Log'!$N$4:$N$810),NA()))</f>
        <v>0</v>
      </c>
      <c r="T194">
        <f>IF($J194&gt;MAX('Match Log'!$A$4:$A$810),NA(),IFERROR(LOOKUP(2,1/(('Match Log'!$D$4:$D$810=$T$24)*('Match Log'!$A$4:$A$810&lt;=$J194)),'Match Log'!$N$4:$N$810),NA()))</f>
        <v>0</v>
      </c>
      <c r="U194">
        <f>IF($J194&gt;MAX('Match Log'!$A$4:$A$810),NA(),IFERROR(LOOKUP(2,1/(('Match Log'!$D$4:$D$810=$U$24)*('Match Log'!$A$4:$A$810&lt;=$J194)),'Match Log'!$N$4:$N$810),NA()))</f>
        <v>0</v>
      </c>
      <c r="V194">
        <f>IF($J194&gt;MAX('Match Log'!$A$4:$A$810),NA(),IFERROR(LOOKUP(2,1/(('Match Log'!$D$4:$D$810=$V$24)*('Match Log'!$A$4:$A$810&lt;=$J194)),'Match Log'!$N$4:$N$810),NA()))</f>
        <v>0</v>
      </c>
      <c r="W194">
        <f>IF($J194&gt;MAX('Match Log'!$A$4:$A$810),NA(),IFERROR(LOOKUP(2,1/(('Match Log'!$D$4:$D$810=$W$24)*('Match Log'!$A$4:$A$810&lt;=$J194)),'Match Log'!$N$4:$N$810),NA()))</f>
        <v>0</v>
      </c>
      <c r="X194">
        <f>IF($J194&gt;MAX('Match Log'!$A$4:$A$810),NA(),IFERROR(LOOKUP(2,1/(('Match Log'!$D$4:$D$810=$X$24)*('Match Log'!$A$4:$A$810&lt;=$J194)),'Match Log'!$N$4:$N$810),NA()))</f>
        <v>0</v>
      </c>
      <c r="Y194" t="str">
        <f>IF(AND($B194&lt;&gt;"",$B194&gt;=$B$5,$I194&lt;&gt;""),$I194,"")</f>
      </c>
    </row>
    <row r="195">
      <c r="A195">
        <v>171</v>
      </c>
      <c r="B195">
        <f>IFERROR(INDEX('Match Log'!$B$4:$B$810,MATCH(171,'Match Log'!$A$4:$A$810,0)),"")</f>
        <v>0</v>
      </c>
      <c r="C195" t="str">
        <f>IFERROR(INDEX('Match Log'!$C$4:$C$810,MATCH(171,'Match Log'!$A$4:$A$810,0)),"")</f>
      </c>
      <c r="D195" t="str">
        <f>IFERROR(INDEX('Match Log'!$G$4:$G$810,MATCH(171,'Match Log'!$A$4:$A$810,0)),"")</f>
      </c>
      <c r="E195">
        <f>IFERROR(INDEX('Match Log'!$F$4:$F$810,MATCH(171,'Match Log'!$A$4:$A$810,0)),"")</f>
        <v>0</v>
      </c>
      <c r="F195">
        <f>IFERROR(SUMIFS('Match Log'!$I$4:$I$810,'Match Log'!$A$4:$A$810,171,'Match Log'!$E$4:$E$810,"Win"),"")</f>
        <v>0</v>
      </c>
      <c r="G195">
        <f>IF($D195="","",1-$F195*$E195)</f>
        <v>0</v>
      </c>
      <c r="H195" t="str">
        <f>IFERROR(IF($E195=2,LOOKUP(2,1/(('Match Log'!$A$4:$A$810=171)*('Match Log'!$E$4:$E$810="Loss")),'Match Log'!$D$4:$D$810),"the field"),"")</f>
      </c>
      <c r="I195">
        <f>IF($G195="","",$G195-$A195/1000000)</f>
        <v>0</v>
      </c>
      <c r="J195">
        <v>171</v>
      </c>
      <c r="K195">
        <f>IF($J195&gt;MAX('Match Log'!$A$4:$A$810),NA(),IFERROR(LOOKUP(2,1/(('Match Log'!$D$4:$D$810=$K$24)*('Match Log'!$A$4:$A$810&lt;=$J195)),'Match Log'!$N$4:$N$810),NA()))</f>
        <v>0</v>
      </c>
      <c r="L195">
        <f>IF($J195&gt;MAX('Match Log'!$A$4:$A$810),NA(),IFERROR(LOOKUP(2,1/(('Match Log'!$D$4:$D$810=$L$24)*('Match Log'!$A$4:$A$810&lt;=$J195)),'Match Log'!$N$4:$N$810),NA()))</f>
        <v>0</v>
      </c>
      <c r="M195">
        <f>IF($J195&gt;MAX('Match Log'!$A$4:$A$810),NA(),IFERROR(LOOKUP(2,1/(('Match Log'!$D$4:$D$810=$M$24)*('Match Log'!$A$4:$A$810&lt;=$J195)),'Match Log'!$N$4:$N$810),NA()))</f>
        <v>0</v>
      </c>
      <c r="N195">
        <f>IF($J195&gt;MAX('Match Log'!$A$4:$A$810),NA(),IFERROR(LOOKUP(2,1/(('Match Log'!$D$4:$D$810=$N$24)*('Match Log'!$A$4:$A$810&lt;=$J195)),'Match Log'!$N$4:$N$810),NA()))</f>
        <v>0</v>
      </c>
      <c r="O195">
        <f>IF($J195&gt;MAX('Match Log'!$A$4:$A$810),NA(),IFERROR(LOOKUP(2,1/(('Match Log'!$D$4:$D$810=$O$24)*('Match Log'!$A$4:$A$810&lt;=$J195)),'Match Log'!$N$4:$N$810),NA()))</f>
        <v>0</v>
      </c>
      <c r="P195">
        <f>IF($J195&gt;MAX('Match Log'!$A$4:$A$810),NA(),IFERROR(LOOKUP(2,1/(('Match Log'!$D$4:$D$810=$P$24)*('Match Log'!$A$4:$A$810&lt;=$J195)),'Match Log'!$N$4:$N$810),NA()))</f>
        <v>0</v>
      </c>
      <c r="Q195">
        <f>IF($J195&gt;MAX('Match Log'!$A$4:$A$810),NA(),IFERROR(LOOKUP(2,1/(('Match Log'!$D$4:$D$810=$Q$24)*('Match Log'!$A$4:$A$810&lt;=$J195)),'Match Log'!$N$4:$N$810),NA()))</f>
        <v>0</v>
      </c>
      <c r="R195">
        <f>IF($J195&gt;MAX('Match Log'!$A$4:$A$810),NA(),IFERROR(LOOKUP(2,1/(('Match Log'!$D$4:$D$810=$R$24)*('Match Log'!$A$4:$A$810&lt;=$J195)),'Match Log'!$N$4:$N$810),NA()))</f>
        <v>0</v>
      </c>
      <c r="S195">
        <f>IF($J195&gt;MAX('Match Log'!$A$4:$A$810),NA(),IFERROR(LOOKUP(2,1/(('Match Log'!$D$4:$D$810=$S$24)*('Match Log'!$A$4:$A$810&lt;=$J195)),'Match Log'!$N$4:$N$810),NA()))</f>
        <v>0</v>
      </c>
      <c r="T195">
        <f>IF($J195&gt;MAX('Match Log'!$A$4:$A$810),NA(),IFERROR(LOOKUP(2,1/(('Match Log'!$D$4:$D$810=$T$24)*('Match Log'!$A$4:$A$810&lt;=$J195)),'Match Log'!$N$4:$N$810),NA()))</f>
        <v>0</v>
      </c>
      <c r="U195">
        <f>IF($J195&gt;MAX('Match Log'!$A$4:$A$810),NA(),IFERROR(LOOKUP(2,1/(('Match Log'!$D$4:$D$810=$U$24)*('Match Log'!$A$4:$A$810&lt;=$J195)),'Match Log'!$N$4:$N$810),NA()))</f>
        <v>0</v>
      </c>
      <c r="V195">
        <f>IF($J195&gt;MAX('Match Log'!$A$4:$A$810),NA(),IFERROR(LOOKUP(2,1/(('Match Log'!$D$4:$D$810=$V$24)*('Match Log'!$A$4:$A$810&lt;=$J195)),'Match Log'!$N$4:$N$810),NA()))</f>
        <v>0</v>
      </c>
      <c r="W195">
        <f>IF($J195&gt;MAX('Match Log'!$A$4:$A$810),NA(),IFERROR(LOOKUP(2,1/(('Match Log'!$D$4:$D$810=$W$24)*('Match Log'!$A$4:$A$810&lt;=$J195)),'Match Log'!$N$4:$N$810),NA()))</f>
        <v>0</v>
      </c>
      <c r="X195">
        <f>IF($J195&gt;MAX('Match Log'!$A$4:$A$810),NA(),IFERROR(LOOKUP(2,1/(('Match Log'!$D$4:$D$810=$X$24)*('Match Log'!$A$4:$A$810&lt;=$J195)),'Match Log'!$N$4:$N$810),NA()))</f>
        <v>0</v>
      </c>
      <c r="Y195" t="str">
        <f>IF(AND($B195&lt;&gt;"",$B195&gt;=$B$5,$I195&lt;&gt;""),$I195,"")</f>
      </c>
    </row>
    <row r="196">
      <c r="A196">
        <v>172</v>
      </c>
      <c r="B196">
        <f>IFERROR(INDEX('Match Log'!$B$4:$B$810,MATCH(172,'Match Log'!$A$4:$A$810,0)),"")</f>
        <v>0</v>
      </c>
      <c r="C196" t="str">
        <f>IFERROR(INDEX('Match Log'!$C$4:$C$810,MATCH(172,'Match Log'!$A$4:$A$810,0)),"")</f>
      </c>
      <c r="D196" t="str">
        <f>IFERROR(INDEX('Match Log'!$G$4:$G$810,MATCH(172,'Match Log'!$A$4:$A$810,0)),"")</f>
      </c>
      <c r="E196">
        <f>IFERROR(INDEX('Match Log'!$F$4:$F$810,MATCH(172,'Match Log'!$A$4:$A$810,0)),"")</f>
        <v>0</v>
      </c>
      <c r="F196">
        <f>IFERROR(SUMIFS('Match Log'!$I$4:$I$810,'Match Log'!$A$4:$A$810,172,'Match Log'!$E$4:$E$810,"Win"),"")</f>
        <v>0</v>
      </c>
      <c r="G196">
        <f>IF($D196="","",1-$F196*$E196)</f>
        <v>0</v>
      </c>
      <c r="H196" t="str">
        <f>IFERROR(IF($E196=2,LOOKUP(2,1/(('Match Log'!$A$4:$A$810=172)*('Match Log'!$E$4:$E$810="Loss")),'Match Log'!$D$4:$D$810),"the field"),"")</f>
      </c>
      <c r="I196">
        <f>IF($G196="","",$G196-$A196/1000000)</f>
        <v>0</v>
      </c>
      <c r="J196">
        <v>172</v>
      </c>
      <c r="K196">
        <f>IF($J196&gt;MAX('Match Log'!$A$4:$A$810),NA(),IFERROR(LOOKUP(2,1/(('Match Log'!$D$4:$D$810=$K$24)*('Match Log'!$A$4:$A$810&lt;=$J196)),'Match Log'!$N$4:$N$810),NA()))</f>
        <v>0</v>
      </c>
      <c r="L196">
        <f>IF($J196&gt;MAX('Match Log'!$A$4:$A$810),NA(),IFERROR(LOOKUP(2,1/(('Match Log'!$D$4:$D$810=$L$24)*('Match Log'!$A$4:$A$810&lt;=$J196)),'Match Log'!$N$4:$N$810),NA()))</f>
        <v>0</v>
      </c>
      <c r="M196">
        <f>IF($J196&gt;MAX('Match Log'!$A$4:$A$810),NA(),IFERROR(LOOKUP(2,1/(('Match Log'!$D$4:$D$810=$M$24)*('Match Log'!$A$4:$A$810&lt;=$J196)),'Match Log'!$N$4:$N$810),NA()))</f>
        <v>0</v>
      </c>
      <c r="N196">
        <f>IF($J196&gt;MAX('Match Log'!$A$4:$A$810),NA(),IFERROR(LOOKUP(2,1/(('Match Log'!$D$4:$D$810=$N$24)*('Match Log'!$A$4:$A$810&lt;=$J196)),'Match Log'!$N$4:$N$810),NA()))</f>
        <v>0</v>
      </c>
      <c r="O196">
        <f>IF($J196&gt;MAX('Match Log'!$A$4:$A$810),NA(),IFERROR(LOOKUP(2,1/(('Match Log'!$D$4:$D$810=$O$24)*('Match Log'!$A$4:$A$810&lt;=$J196)),'Match Log'!$N$4:$N$810),NA()))</f>
        <v>0</v>
      </c>
      <c r="P196">
        <f>IF($J196&gt;MAX('Match Log'!$A$4:$A$810),NA(),IFERROR(LOOKUP(2,1/(('Match Log'!$D$4:$D$810=$P$24)*('Match Log'!$A$4:$A$810&lt;=$J196)),'Match Log'!$N$4:$N$810),NA()))</f>
        <v>0</v>
      </c>
      <c r="Q196">
        <f>IF($J196&gt;MAX('Match Log'!$A$4:$A$810),NA(),IFERROR(LOOKUP(2,1/(('Match Log'!$D$4:$D$810=$Q$24)*('Match Log'!$A$4:$A$810&lt;=$J196)),'Match Log'!$N$4:$N$810),NA()))</f>
        <v>0</v>
      </c>
      <c r="R196">
        <f>IF($J196&gt;MAX('Match Log'!$A$4:$A$810),NA(),IFERROR(LOOKUP(2,1/(('Match Log'!$D$4:$D$810=$R$24)*('Match Log'!$A$4:$A$810&lt;=$J196)),'Match Log'!$N$4:$N$810),NA()))</f>
        <v>0</v>
      </c>
      <c r="S196">
        <f>IF($J196&gt;MAX('Match Log'!$A$4:$A$810),NA(),IFERROR(LOOKUP(2,1/(('Match Log'!$D$4:$D$810=$S$24)*('Match Log'!$A$4:$A$810&lt;=$J196)),'Match Log'!$N$4:$N$810),NA()))</f>
        <v>0</v>
      </c>
      <c r="T196">
        <f>IF($J196&gt;MAX('Match Log'!$A$4:$A$810),NA(),IFERROR(LOOKUP(2,1/(('Match Log'!$D$4:$D$810=$T$24)*('Match Log'!$A$4:$A$810&lt;=$J196)),'Match Log'!$N$4:$N$810),NA()))</f>
        <v>0</v>
      </c>
      <c r="U196">
        <f>IF($J196&gt;MAX('Match Log'!$A$4:$A$810),NA(),IFERROR(LOOKUP(2,1/(('Match Log'!$D$4:$D$810=$U$24)*('Match Log'!$A$4:$A$810&lt;=$J196)),'Match Log'!$N$4:$N$810),NA()))</f>
        <v>0</v>
      </c>
      <c r="V196">
        <f>IF($J196&gt;MAX('Match Log'!$A$4:$A$810),NA(),IFERROR(LOOKUP(2,1/(('Match Log'!$D$4:$D$810=$V$24)*('Match Log'!$A$4:$A$810&lt;=$J196)),'Match Log'!$N$4:$N$810),NA()))</f>
        <v>0</v>
      </c>
      <c r="W196">
        <f>IF($J196&gt;MAX('Match Log'!$A$4:$A$810),NA(),IFERROR(LOOKUP(2,1/(('Match Log'!$D$4:$D$810=$W$24)*('Match Log'!$A$4:$A$810&lt;=$J196)),'Match Log'!$N$4:$N$810),NA()))</f>
        <v>0</v>
      </c>
      <c r="X196">
        <f>IF($J196&gt;MAX('Match Log'!$A$4:$A$810),NA(),IFERROR(LOOKUP(2,1/(('Match Log'!$D$4:$D$810=$X$24)*('Match Log'!$A$4:$A$810&lt;=$J196)),'Match Log'!$N$4:$N$810),NA()))</f>
        <v>0</v>
      </c>
      <c r="Y196" t="str">
        <f>IF(AND($B196&lt;&gt;"",$B196&gt;=$B$5,$I196&lt;&gt;""),$I196,"")</f>
      </c>
    </row>
    <row r="197">
      <c r="A197">
        <v>173</v>
      </c>
      <c r="B197">
        <f>IFERROR(INDEX('Match Log'!$B$4:$B$810,MATCH(173,'Match Log'!$A$4:$A$810,0)),"")</f>
        <v>0</v>
      </c>
      <c r="C197" t="str">
        <f>IFERROR(INDEX('Match Log'!$C$4:$C$810,MATCH(173,'Match Log'!$A$4:$A$810,0)),"")</f>
      </c>
      <c r="D197" t="str">
        <f>IFERROR(INDEX('Match Log'!$G$4:$G$810,MATCH(173,'Match Log'!$A$4:$A$810,0)),"")</f>
      </c>
      <c r="E197">
        <f>IFERROR(INDEX('Match Log'!$F$4:$F$810,MATCH(173,'Match Log'!$A$4:$A$810,0)),"")</f>
        <v>0</v>
      </c>
      <c r="F197">
        <f>IFERROR(SUMIFS('Match Log'!$I$4:$I$810,'Match Log'!$A$4:$A$810,173,'Match Log'!$E$4:$E$810,"Win"),"")</f>
        <v>0</v>
      </c>
      <c r="G197">
        <f>IF($D197="","",1-$F197*$E197)</f>
        <v>0</v>
      </c>
      <c r="H197" t="str">
        <f>IFERROR(IF($E197=2,LOOKUP(2,1/(('Match Log'!$A$4:$A$810=173)*('Match Log'!$E$4:$E$810="Loss")),'Match Log'!$D$4:$D$810),"the field"),"")</f>
      </c>
      <c r="I197">
        <f>IF($G197="","",$G197-$A197/1000000)</f>
        <v>0</v>
      </c>
      <c r="J197">
        <v>173</v>
      </c>
      <c r="K197">
        <f>IF($J197&gt;MAX('Match Log'!$A$4:$A$810),NA(),IFERROR(LOOKUP(2,1/(('Match Log'!$D$4:$D$810=$K$24)*('Match Log'!$A$4:$A$810&lt;=$J197)),'Match Log'!$N$4:$N$810),NA()))</f>
        <v>0</v>
      </c>
      <c r="L197">
        <f>IF($J197&gt;MAX('Match Log'!$A$4:$A$810),NA(),IFERROR(LOOKUP(2,1/(('Match Log'!$D$4:$D$810=$L$24)*('Match Log'!$A$4:$A$810&lt;=$J197)),'Match Log'!$N$4:$N$810),NA()))</f>
        <v>0</v>
      </c>
      <c r="M197">
        <f>IF($J197&gt;MAX('Match Log'!$A$4:$A$810),NA(),IFERROR(LOOKUP(2,1/(('Match Log'!$D$4:$D$810=$M$24)*('Match Log'!$A$4:$A$810&lt;=$J197)),'Match Log'!$N$4:$N$810),NA()))</f>
        <v>0</v>
      </c>
      <c r="N197">
        <f>IF($J197&gt;MAX('Match Log'!$A$4:$A$810),NA(),IFERROR(LOOKUP(2,1/(('Match Log'!$D$4:$D$810=$N$24)*('Match Log'!$A$4:$A$810&lt;=$J197)),'Match Log'!$N$4:$N$810),NA()))</f>
        <v>0</v>
      </c>
      <c r="O197">
        <f>IF($J197&gt;MAX('Match Log'!$A$4:$A$810),NA(),IFERROR(LOOKUP(2,1/(('Match Log'!$D$4:$D$810=$O$24)*('Match Log'!$A$4:$A$810&lt;=$J197)),'Match Log'!$N$4:$N$810),NA()))</f>
        <v>0</v>
      </c>
      <c r="P197">
        <f>IF($J197&gt;MAX('Match Log'!$A$4:$A$810),NA(),IFERROR(LOOKUP(2,1/(('Match Log'!$D$4:$D$810=$P$24)*('Match Log'!$A$4:$A$810&lt;=$J197)),'Match Log'!$N$4:$N$810),NA()))</f>
        <v>0</v>
      </c>
      <c r="Q197">
        <f>IF($J197&gt;MAX('Match Log'!$A$4:$A$810),NA(),IFERROR(LOOKUP(2,1/(('Match Log'!$D$4:$D$810=$Q$24)*('Match Log'!$A$4:$A$810&lt;=$J197)),'Match Log'!$N$4:$N$810),NA()))</f>
        <v>0</v>
      </c>
      <c r="R197">
        <f>IF($J197&gt;MAX('Match Log'!$A$4:$A$810),NA(),IFERROR(LOOKUP(2,1/(('Match Log'!$D$4:$D$810=$R$24)*('Match Log'!$A$4:$A$810&lt;=$J197)),'Match Log'!$N$4:$N$810),NA()))</f>
        <v>0</v>
      </c>
      <c r="S197">
        <f>IF($J197&gt;MAX('Match Log'!$A$4:$A$810),NA(),IFERROR(LOOKUP(2,1/(('Match Log'!$D$4:$D$810=$S$24)*('Match Log'!$A$4:$A$810&lt;=$J197)),'Match Log'!$N$4:$N$810),NA()))</f>
        <v>0</v>
      </c>
      <c r="T197">
        <f>IF($J197&gt;MAX('Match Log'!$A$4:$A$810),NA(),IFERROR(LOOKUP(2,1/(('Match Log'!$D$4:$D$810=$T$24)*('Match Log'!$A$4:$A$810&lt;=$J197)),'Match Log'!$N$4:$N$810),NA()))</f>
        <v>0</v>
      </c>
      <c r="U197">
        <f>IF($J197&gt;MAX('Match Log'!$A$4:$A$810),NA(),IFERROR(LOOKUP(2,1/(('Match Log'!$D$4:$D$810=$U$24)*('Match Log'!$A$4:$A$810&lt;=$J197)),'Match Log'!$N$4:$N$810),NA()))</f>
        <v>0</v>
      </c>
      <c r="V197">
        <f>IF($J197&gt;MAX('Match Log'!$A$4:$A$810),NA(),IFERROR(LOOKUP(2,1/(('Match Log'!$D$4:$D$810=$V$24)*('Match Log'!$A$4:$A$810&lt;=$J197)),'Match Log'!$N$4:$N$810),NA()))</f>
        <v>0</v>
      </c>
      <c r="W197">
        <f>IF($J197&gt;MAX('Match Log'!$A$4:$A$810),NA(),IFERROR(LOOKUP(2,1/(('Match Log'!$D$4:$D$810=$W$24)*('Match Log'!$A$4:$A$810&lt;=$J197)),'Match Log'!$N$4:$N$810),NA()))</f>
        <v>0</v>
      </c>
      <c r="X197">
        <f>IF($J197&gt;MAX('Match Log'!$A$4:$A$810),NA(),IFERROR(LOOKUP(2,1/(('Match Log'!$D$4:$D$810=$X$24)*('Match Log'!$A$4:$A$810&lt;=$J197)),'Match Log'!$N$4:$N$810),NA()))</f>
        <v>0</v>
      </c>
      <c r="Y197" t="str">
        <f>IF(AND($B197&lt;&gt;"",$B197&gt;=$B$5,$I197&lt;&gt;""),$I197,"")</f>
      </c>
    </row>
    <row r="198">
      <c r="A198">
        <v>174</v>
      </c>
      <c r="B198">
        <f>IFERROR(INDEX('Match Log'!$B$4:$B$810,MATCH(174,'Match Log'!$A$4:$A$810,0)),"")</f>
        <v>0</v>
      </c>
      <c r="C198" t="str">
        <f>IFERROR(INDEX('Match Log'!$C$4:$C$810,MATCH(174,'Match Log'!$A$4:$A$810,0)),"")</f>
      </c>
      <c r="D198" t="str">
        <f>IFERROR(INDEX('Match Log'!$G$4:$G$810,MATCH(174,'Match Log'!$A$4:$A$810,0)),"")</f>
      </c>
      <c r="E198">
        <f>IFERROR(INDEX('Match Log'!$F$4:$F$810,MATCH(174,'Match Log'!$A$4:$A$810,0)),"")</f>
        <v>0</v>
      </c>
      <c r="F198">
        <f>IFERROR(SUMIFS('Match Log'!$I$4:$I$810,'Match Log'!$A$4:$A$810,174,'Match Log'!$E$4:$E$810,"Win"),"")</f>
        <v>0</v>
      </c>
      <c r="G198">
        <f>IF($D198="","",1-$F198*$E198)</f>
        <v>0</v>
      </c>
      <c r="H198" t="str">
        <f>IFERROR(IF($E198=2,LOOKUP(2,1/(('Match Log'!$A$4:$A$810=174)*('Match Log'!$E$4:$E$810="Loss")),'Match Log'!$D$4:$D$810),"the field"),"")</f>
      </c>
      <c r="I198">
        <f>IF($G198="","",$G198-$A198/1000000)</f>
        <v>0</v>
      </c>
      <c r="J198">
        <v>174</v>
      </c>
      <c r="K198">
        <f>IF($J198&gt;MAX('Match Log'!$A$4:$A$810),NA(),IFERROR(LOOKUP(2,1/(('Match Log'!$D$4:$D$810=$K$24)*('Match Log'!$A$4:$A$810&lt;=$J198)),'Match Log'!$N$4:$N$810),NA()))</f>
        <v>0</v>
      </c>
      <c r="L198">
        <f>IF($J198&gt;MAX('Match Log'!$A$4:$A$810),NA(),IFERROR(LOOKUP(2,1/(('Match Log'!$D$4:$D$810=$L$24)*('Match Log'!$A$4:$A$810&lt;=$J198)),'Match Log'!$N$4:$N$810),NA()))</f>
        <v>0</v>
      </c>
      <c r="M198">
        <f>IF($J198&gt;MAX('Match Log'!$A$4:$A$810),NA(),IFERROR(LOOKUP(2,1/(('Match Log'!$D$4:$D$810=$M$24)*('Match Log'!$A$4:$A$810&lt;=$J198)),'Match Log'!$N$4:$N$810),NA()))</f>
        <v>0</v>
      </c>
      <c r="N198">
        <f>IF($J198&gt;MAX('Match Log'!$A$4:$A$810),NA(),IFERROR(LOOKUP(2,1/(('Match Log'!$D$4:$D$810=$N$24)*('Match Log'!$A$4:$A$810&lt;=$J198)),'Match Log'!$N$4:$N$810),NA()))</f>
        <v>0</v>
      </c>
      <c r="O198">
        <f>IF($J198&gt;MAX('Match Log'!$A$4:$A$810),NA(),IFERROR(LOOKUP(2,1/(('Match Log'!$D$4:$D$810=$O$24)*('Match Log'!$A$4:$A$810&lt;=$J198)),'Match Log'!$N$4:$N$810),NA()))</f>
        <v>0</v>
      </c>
      <c r="P198">
        <f>IF($J198&gt;MAX('Match Log'!$A$4:$A$810),NA(),IFERROR(LOOKUP(2,1/(('Match Log'!$D$4:$D$810=$P$24)*('Match Log'!$A$4:$A$810&lt;=$J198)),'Match Log'!$N$4:$N$810),NA()))</f>
        <v>0</v>
      </c>
      <c r="Q198">
        <f>IF($J198&gt;MAX('Match Log'!$A$4:$A$810),NA(),IFERROR(LOOKUP(2,1/(('Match Log'!$D$4:$D$810=$Q$24)*('Match Log'!$A$4:$A$810&lt;=$J198)),'Match Log'!$N$4:$N$810),NA()))</f>
        <v>0</v>
      </c>
      <c r="R198">
        <f>IF($J198&gt;MAX('Match Log'!$A$4:$A$810),NA(),IFERROR(LOOKUP(2,1/(('Match Log'!$D$4:$D$810=$R$24)*('Match Log'!$A$4:$A$810&lt;=$J198)),'Match Log'!$N$4:$N$810),NA()))</f>
        <v>0</v>
      </c>
      <c r="S198">
        <f>IF($J198&gt;MAX('Match Log'!$A$4:$A$810),NA(),IFERROR(LOOKUP(2,1/(('Match Log'!$D$4:$D$810=$S$24)*('Match Log'!$A$4:$A$810&lt;=$J198)),'Match Log'!$N$4:$N$810),NA()))</f>
        <v>0</v>
      </c>
      <c r="T198">
        <f>IF($J198&gt;MAX('Match Log'!$A$4:$A$810),NA(),IFERROR(LOOKUP(2,1/(('Match Log'!$D$4:$D$810=$T$24)*('Match Log'!$A$4:$A$810&lt;=$J198)),'Match Log'!$N$4:$N$810),NA()))</f>
        <v>0</v>
      </c>
      <c r="U198">
        <f>IF($J198&gt;MAX('Match Log'!$A$4:$A$810),NA(),IFERROR(LOOKUP(2,1/(('Match Log'!$D$4:$D$810=$U$24)*('Match Log'!$A$4:$A$810&lt;=$J198)),'Match Log'!$N$4:$N$810),NA()))</f>
        <v>0</v>
      </c>
      <c r="V198">
        <f>IF($J198&gt;MAX('Match Log'!$A$4:$A$810),NA(),IFERROR(LOOKUP(2,1/(('Match Log'!$D$4:$D$810=$V$24)*('Match Log'!$A$4:$A$810&lt;=$J198)),'Match Log'!$N$4:$N$810),NA()))</f>
        <v>0</v>
      </c>
      <c r="W198">
        <f>IF($J198&gt;MAX('Match Log'!$A$4:$A$810),NA(),IFERROR(LOOKUP(2,1/(('Match Log'!$D$4:$D$810=$W$24)*('Match Log'!$A$4:$A$810&lt;=$J198)),'Match Log'!$N$4:$N$810),NA()))</f>
        <v>0</v>
      </c>
      <c r="X198">
        <f>IF($J198&gt;MAX('Match Log'!$A$4:$A$810),NA(),IFERROR(LOOKUP(2,1/(('Match Log'!$D$4:$D$810=$X$24)*('Match Log'!$A$4:$A$810&lt;=$J198)),'Match Log'!$N$4:$N$810),NA()))</f>
        <v>0</v>
      </c>
      <c r="Y198" t="str">
        <f>IF(AND($B198&lt;&gt;"",$B198&gt;=$B$5,$I198&lt;&gt;""),$I198,"")</f>
      </c>
    </row>
    <row r="199">
      <c r="A199">
        <v>175</v>
      </c>
      <c r="B199">
        <f>IFERROR(INDEX('Match Log'!$B$4:$B$810,MATCH(175,'Match Log'!$A$4:$A$810,0)),"")</f>
        <v>0</v>
      </c>
      <c r="C199" t="str">
        <f>IFERROR(INDEX('Match Log'!$C$4:$C$810,MATCH(175,'Match Log'!$A$4:$A$810,0)),"")</f>
      </c>
      <c r="D199" t="str">
        <f>IFERROR(INDEX('Match Log'!$G$4:$G$810,MATCH(175,'Match Log'!$A$4:$A$810,0)),"")</f>
      </c>
      <c r="E199">
        <f>IFERROR(INDEX('Match Log'!$F$4:$F$810,MATCH(175,'Match Log'!$A$4:$A$810,0)),"")</f>
        <v>0</v>
      </c>
      <c r="F199">
        <f>IFERROR(SUMIFS('Match Log'!$I$4:$I$810,'Match Log'!$A$4:$A$810,175,'Match Log'!$E$4:$E$810,"Win"),"")</f>
        <v>0</v>
      </c>
      <c r="G199">
        <f>IF($D199="","",1-$F199*$E199)</f>
        <v>0</v>
      </c>
      <c r="H199" t="str">
        <f>IFERROR(IF($E199=2,LOOKUP(2,1/(('Match Log'!$A$4:$A$810=175)*('Match Log'!$E$4:$E$810="Loss")),'Match Log'!$D$4:$D$810),"the field"),"")</f>
      </c>
      <c r="I199">
        <f>IF($G199="","",$G199-$A199/1000000)</f>
        <v>0</v>
      </c>
      <c r="J199">
        <v>175</v>
      </c>
      <c r="K199">
        <f>IF($J199&gt;MAX('Match Log'!$A$4:$A$810),NA(),IFERROR(LOOKUP(2,1/(('Match Log'!$D$4:$D$810=$K$24)*('Match Log'!$A$4:$A$810&lt;=$J199)),'Match Log'!$N$4:$N$810),NA()))</f>
        <v>0</v>
      </c>
      <c r="L199">
        <f>IF($J199&gt;MAX('Match Log'!$A$4:$A$810),NA(),IFERROR(LOOKUP(2,1/(('Match Log'!$D$4:$D$810=$L$24)*('Match Log'!$A$4:$A$810&lt;=$J199)),'Match Log'!$N$4:$N$810),NA()))</f>
        <v>0</v>
      </c>
      <c r="M199">
        <f>IF($J199&gt;MAX('Match Log'!$A$4:$A$810),NA(),IFERROR(LOOKUP(2,1/(('Match Log'!$D$4:$D$810=$M$24)*('Match Log'!$A$4:$A$810&lt;=$J199)),'Match Log'!$N$4:$N$810),NA()))</f>
        <v>0</v>
      </c>
      <c r="N199">
        <f>IF($J199&gt;MAX('Match Log'!$A$4:$A$810),NA(),IFERROR(LOOKUP(2,1/(('Match Log'!$D$4:$D$810=$N$24)*('Match Log'!$A$4:$A$810&lt;=$J199)),'Match Log'!$N$4:$N$810),NA()))</f>
        <v>0</v>
      </c>
      <c r="O199">
        <f>IF($J199&gt;MAX('Match Log'!$A$4:$A$810),NA(),IFERROR(LOOKUP(2,1/(('Match Log'!$D$4:$D$810=$O$24)*('Match Log'!$A$4:$A$810&lt;=$J199)),'Match Log'!$N$4:$N$810),NA()))</f>
        <v>0</v>
      </c>
      <c r="P199">
        <f>IF($J199&gt;MAX('Match Log'!$A$4:$A$810),NA(),IFERROR(LOOKUP(2,1/(('Match Log'!$D$4:$D$810=$P$24)*('Match Log'!$A$4:$A$810&lt;=$J199)),'Match Log'!$N$4:$N$810),NA()))</f>
        <v>0</v>
      </c>
      <c r="Q199">
        <f>IF($J199&gt;MAX('Match Log'!$A$4:$A$810),NA(),IFERROR(LOOKUP(2,1/(('Match Log'!$D$4:$D$810=$Q$24)*('Match Log'!$A$4:$A$810&lt;=$J199)),'Match Log'!$N$4:$N$810),NA()))</f>
        <v>0</v>
      </c>
      <c r="R199">
        <f>IF($J199&gt;MAX('Match Log'!$A$4:$A$810),NA(),IFERROR(LOOKUP(2,1/(('Match Log'!$D$4:$D$810=$R$24)*('Match Log'!$A$4:$A$810&lt;=$J199)),'Match Log'!$N$4:$N$810),NA()))</f>
        <v>0</v>
      </c>
      <c r="S199">
        <f>IF($J199&gt;MAX('Match Log'!$A$4:$A$810),NA(),IFERROR(LOOKUP(2,1/(('Match Log'!$D$4:$D$810=$S$24)*('Match Log'!$A$4:$A$810&lt;=$J199)),'Match Log'!$N$4:$N$810),NA()))</f>
        <v>0</v>
      </c>
      <c r="T199">
        <f>IF($J199&gt;MAX('Match Log'!$A$4:$A$810),NA(),IFERROR(LOOKUP(2,1/(('Match Log'!$D$4:$D$810=$T$24)*('Match Log'!$A$4:$A$810&lt;=$J199)),'Match Log'!$N$4:$N$810),NA()))</f>
        <v>0</v>
      </c>
      <c r="U199">
        <f>IF($J199&gt;MAX('Match Log'!$A$4:$A$810),NA(),IFERROR(LOOKUP(2,1/(('Match Log'!$D$4:$D$810=$U$24)*('Match Log'!$A$4:$A$810&lt;=$J199)),'Match Log'!$N$4:$N$810),NA()))</f>
        <v>0</v>
      </c>
      <c r="V199">
        <f>IF($J199&gt;MAX('Match Log'!$A$4:$A$810),NA(),IFERROR(LOOKUP(2,1/(('Match Log'!$D$4:$D$810=$V$24)*('Match Log'!$A$4:$A$810&lt;=$J199)),'Match Log'!$N$4:$N$810),NA()))</f>
        <v>0</v>
      </c>
      <c r="W199">
        <f>IF($J199&gt;MAX('Match Log'!$A$4:$A$810),NA(),IFERROR(LOOKUP(2,1/(('Match Log'!$D$4:$D$810=$W$24)*('Match Log'!$A$4:$A$810&lt;=$J199)),'Match Log'!$N$4:$N$810),NA()))</f>
        <v>0</v>
      </c>
      <c r="X199">
        <f>IF($J199&gt;MAX('Match Log'!$A$4:$A$810),NA(),IFERROR(LOOKUP(2,1/(('Match Log'!$D$4:$D$810=$X$24)*('Match Log'!$A$4:$A$810&lt;=$J199)),'Match Log'!$N$4:$N$810),NA()))</f>
        <v>0</v>
      </c>
      <c r="Y199" t="str">
        <f>IF(AND($B199&lt;&gt;"",$B199&gt;=$B$5,$I199&lt;&gt;""),$I199,"")</f>
      </c>
    </row>
    <row r="200">
      <c r="A200">
        <v>176</v>
      </c>
      <c r="B200">
        <f>IFERROR(INDEX('Match Log'!$B$4:$B$810,MATCH(176,'Match Log'!$A$4:$A$810,0)),"")</f>
        <v>0</v>
      </c>
      <c r="C200" t="str">
        <f>IFERROR(INDEX('Match Log'!$C$4:$C$810,MATCH(176,'Match Log'!$A$4:$A$810,0)),"")</f>
      </c>
      <c r="D200" t="str">
        <f>IFERROR(INDEX('Match Log'!$G$4:$G$810,MATCH(176,'Match Log'!$A$4:$A$810,0)),"")</f>
      </c>
      <c r="E200">
        <f>IFERROR(INDEX('Match Log'!$F$4:$F$810,MATCH(176,'Match Log'!$A$4:$A$810,0)),"")</f>
        <v>0</v>
      </c>
      <c r="F200">
        <f>IFERROR(SUMIFS('Match Log'!$I$4:$I$810,'Match Log'!$A$4:$A$810,176,'Match Log'!$E$4:$E$810,"Win"),"")</f>
        <v>0</v>
      </c>
      <c r="G200">
        <f>IF($D200="","",1-$F200*$E200)</f>
        <v>0</v>
      </c>
      <c r="H200" t="str">
        <f>IFERROR(IF($E200=2,LOOKUP(2,1/(('Match Log'!$A$4:$A$810=176)*('Match Log'!$E$4:$E$810="Loss")),'Match Log'!$D$4:$D$810),"the field"),"")</f>
      </c>
      <c r="I200">
        <f>IF($G200="","",$G200-$A200/1000000)</f>
        <v>0</v>
      </c>
      <c r="J200">
        <v>176</v>
      </c>
      <c r="K200">
        <f>IF($J200&gt;MAX('Match Log'!$A$4:$A$810),NA(),IFERROR(LOOKUP(2,1/(('Match Log'!$D$4:$D$810=$K$24)*('Match Log'!$A$4:$A$810&lt;=$J200)),'Match Log'!$N$4:$N$810),NA()))</f>
        <v>0</v>
      </c>
      <c r="L200">
        <f>IF($J200&gt;MAX('Match Log'!$A$4:$A$810),NA(),IFERROR(LOOKUP(2,1/(('Match Log'!$D$4:$D$810=$L$24)*('Match Log'!$A$4:$A$810&lt;=$J200)),'Match Log'!$N$4:$N$810),NA()))</f>
        <v>0</v>
      </c>
      <c r="M200">
        <f>IF($J200&gt;MAX('Match Log'!$A$4:$A$810),NA(),IFERROR(LOOKUP(2,1/(('Match Log'!$D$4:$D$810=$M$24)*('Match Log'!$A$4:$A$810&lt;=$J200)),'Match Log'!$N$4:$N$810),NA()))</f>
        <v>0</v>
      </c>
      <c r="N200">
        <f>IF($J200&gt;MAX('Match Log'!$A$4:$A$810),NA(),IFERROR(LOOKUP(2,1/(('Match Log'!$D$4:$D$810=$N$24)*('Match Log'!$A$4:$A$810&lt;=$J200)),'Match Log'!$N$4:$N$810),NA()))</f>
        <v>0</v>
      </c>
      <c r="O200">
        <f>IF($J200&gt;MAX('Match Log'!$A$4:$A$810),NA(),IFERROR(LOOKUP(2,1/(('Match Log'!$D$4:$D$810=$O$24)*('Match Log'!$A$4:$A$810&lt;=$J200)),'Match Log'!$N$4:$N$810),NA()))</f>
        <v>0</v>
      </c>
      <c r="P200">
        <f>IF($J200&gt;MAX('Match Log'!$A$4:$A$810),NA(),IFERROR(LOOKUP(2,1/(('Match Log'!$D$4:$D$810=$P$24)*('Match Log'!$A$4:$A$810&lt;=$J200)),'Match Log'!$N$4:$N$810),NA()))</f>
        <v>0</v>
      </c>
      <c r="Q200">
        <f>IF($J200&gt;MAX('Match Log'!$A$4:$A$810),NA(),IFERROR(LOOKUP(2,1/(('Match Log'!$D$4:$D$810=$Q$24)*('Match Log'!$A$4:$A$810&lt;=$J200)),'Match Log'!$N$4:$N$810),NA()))</f>
        <v>0</v>
      </c>
      <c r="R200">
        <f>IF($J200&gt;MAX('Match Log'!$A$4:$A$810),NA(),IFERROR(LOOKUP(2,1/(('Match Log'!$D$4:$D$810=$R$24)*('Match Log'!$A$4:$A$810&lt;=$J200)),'Match Log'!$N$4:$N$810),NA()))</f>
        <v>0</v>
      </c>
      <c r="S200">
        <f>IF($J200&gt;MAX('Match Log'!$A$4:$A$810),NA(),IFERROR(LOOKUP(2,1/(('Match Log'!$D$4:$D$810=$S$24)*('Match Log'!$A$4:$A$810&lt;=$J200)),'Match Log'!$N$4:$N$810),NA()))</f>
        <v>0</v>
      </c>
      <c r="T200">
        <f>IF($J200&gt;MAX('Match Log'!$A$4:$A$810),NA(),IFERROR(LOOKUP(2,1/(('Match Log'!$D$4:$D$810=$T$24)*('Match Log'!$A$4:$A$810&lt;=$J200)),'Match Log'!$N$4:$N$810),NA()))</f>
        <v>0</v>
      </c>
      <c r="U200">
        <f>IF($J200&gt;MAX('Match Log'!$A$4:$A$810),NA(),IFERROR(LOOKUP(2,1/(('Match Log'!$D$4:$D$810=$U$24)*('Match Log'!$A$4:$A$810&lt;=$J200)),'Match Log'!$N$4:$N$810),NA()))</f>
        <v>0</v>
      </c>
      <c r="V200">
        <f>IF($J200&gt;MAX('Match Log'!$A$4:$A$810),NA(),IFERROR(LOOKUP(2,1/(('Match Log'!$D$4:$D$810=$V$24)*('Match Log'!$A$4:$A$810&lt;=$J200)),'Match Log'!$N$4:$N$810),NA()))</f>
        <v>0</v>
      </c>
      <c r="W200">
        <f>IF($J200&gt;MAX('Match Log'!$A$4:$A$810),NA(),IFERROR(LOOKUP(2,1/(('Match Log'!$D$4:$D$810=$W$24)*('Match Log'!$A$4:$A$810&lt;=$J200)),'Match Log'!$N$4:$N$810),NA()))</f>
        <v>0</v>
      </c>
      <c r="X200">
        <f>IF($J200&gt;MAX('Match Log'!$A$4:$A$810),NA(),IFERROR(LOOKUP(2,1/(('Match Log'!$D$4:$D$810=$X$24)*('Match Log'!$A$4:$A$810&lt;=$J200)),'Match Log'!$N$4:$N$810),NA()))</f>
        <v>0</v>
      </c>
      <c r="Y200" t="str">
        <f>IF(AND($B200&lt;&gt;"",$B200&gt;=$B$5,$I200&lt;&gt;""),$I200,"")</f>
      </c>
    </row>
    <row r="201">
      <c r="A201">
        <v>177</v>
      </c>
      <c r="B201">
        <f>IFERROR(INDEX('Match Log'!$B$4:$B$810,MATCH(177,'Match Log'!$A$4:$A$810,0)),"")</f>
        <v>0</v>
      </c>
      <c r="C201" t="str">
        <f>IFERROR(INDEX('Match Log'!$C$4:$C$810,MATCH(177,'Match Log'!$A$4:$A$810,0)),"")</f>
      </c>
      <c r="D201" t="str">
        <f>IFERROR(INDEX('Match Log'!$G$4:$G$810,MATCH(177,'Match Log'!$A$4:$A$810,0)),"")</f>
      </c>
      <c r="E201">
        <f>IFERROR(INDEX('Match Log'!$F$4:$F$810,MATCH(177,'Match Log'!$A$4:$A$810,0)),"")</f>
        <v>0</v>
      </c>
      <c r="F201">
        <f>IFERROR(SUMIFS('Match Log'!$I$4:$I$810,'Match Log'!$A$4:$A$810,177,'Match Log'!$E$4:$E$810,"Win"),"")</f>
        <v>0</v>
      </c>
      <c r="G201">
        <f>IF($D201="","",1-$F201*$E201)</f>
        <v>0</v>
      </c>
      <c r="H201" t="str">
        <f>IFERROR(IF($E201=2,LOOKUP(2,1/(('Match Log'!$A$4:$A$810=177)*('Match Log'!$E$4:$E$810="Loss")),'Match Log'!$D$4:$D$810),"the field"),"")</f>
      </c>
      <c r="I201">
        <f>IF($G201="","",$G201-$A201/1000000)</f>
        <v>0</v>
      </c>
      <c r="J201">
        <v>177</v>
      </c>
      <c r="K201">
        <f>IF($J201&gt;MAX('Match Log'!$A$4:$A$810),NA(),IFERROR(LOOKUP(2,1/(('Match Log'!$D$4:$D$810=$K$24)*('Match Log'!$A$4:$A$810&lt;=$J201)),'Match Log'!$N$4:$N$810),NA()))</f>
        <v>0</v>
      </c>
      <c r="L201">
        <f>IF($J201&gt;MAX('Match Log'!$A$4:$A$810),NA(),IFERROR(LOOKUP(2,1/(('Match Log'!$D$4:$D$810=$L$24)*('Match Log'!$A$4:$A$810&lt;=$J201)),'Match Log'!$N$4:$N$810),NA()))</f>
        <v>0</v>
      </c>
      <c r="M201">
        <f>IF($J201&gt;MAX('Match Log'!$A$4:$A$810),NA(),IFERROR(LOOKUP(2,1/(('Match Log'!$D$4:$D$810=$M$24)*('Match Log'!$A$4:$A$810&lt;=$J201)),'Match Log'!$N$4:$N$810),NA()))</f>
        <v>0</v>
      </c>
      <c r="N201">
        <f>IF($J201&gt;MAX('Match Log'!$A$4:$A$810),NA(),IFERROR(LOOKUP(2,1/(('Match Log'!$D$4:$D$810=$N$24)*('Match Log'!$A$4:$A$810&lt;=$J201)),'Match Log'!$N$4:$N$810),NA()))</f>
        <v>0</v>
      </c>
      <c r="O201">
        <f>IF($J201&gt;MAX('Match Log'!$A$4:$A$810),NA(),IFERROR(LOOKUP(2,1/(('Match Log'!$D$4:$D$810=$O$24)*('Match Log'!$A$4:$A$810&lt;=$J201)),'Match Log'!$N$4:$N$810),NA()))</f>
        <v>0</v>
      </c>
      <c r="P201">
        <f>IF($J201&gt;MAX('Match Log'!$A$4:$A$810),NA(),IFERROR(LOOKUP(2,1/(('Match Log'!$D$4:$D$810=$P$24)*('Match Log'!$A$4:$A$810&lt;=$J201)),'Match Log'!$N$4:$N$810),NA()))</f>
        <v>0</v>
      </c>
      <c r="Q201">
        <f>IF($J201&gt;MAX('Match Log'!$A$4:$A$810),NA(),IFERROR(LOOKUP(2,1/(('Match Log'!$D$4:$D$810=$Q$24)*('Match Log'!$A$4:$A$810&lt;=$J201)),'Match Log'!$N$4:$N$810),NA()))</f>
        <v>0</v>
      </c>
      <c r="R201">
        <f>IF($J201&gt;MAX('Match Log'!$A$4:$A$810),NA(),IFERROR(LOOKUP(2,1/(('Match Log'!$D$4:$D$810=$R$24)*('Match Log'!$A$4:$A$810&lt;=$J201)),'Match Log'!$N$4:$N$810),NA()))</f>
        <v>0</v>
      </c>
      <c r="S201">
        <f>IF($J201&gt;MAX('Match Log'!$A$4:$A$810),NA(),IFERROR(LOOKUP(2,1/(('Match Log'!$D$4:$D$810=$S$24)*('Match Log'!$A$4:$A$810&lt;=$J201)),'Match Log'!$N$4:$N$810),NA()))</f>
        <v>0</v>
      </c>
      <c r="T201">
        <f>IF($J201&gt;MAX('Match Log'!$A$4:$A$810),NA(),IFERROR(LOOKUP(2,1/(('Match Log'!$D$4:$D$810=$T$24)*('Match Log'!$A$4:$A$810&lt;=$J201)),'Match Log'!$N$4:$N$810),NA()))</f>
        <v>0</v>
      </c>
      <c r="U201">
        <f>IF($J201&gt;MAX('Match Log'!$A$4:$A$810),NA(),IFERROR(LOOKUP(2,1/(('Match Log'!$D$4:$D$810=$U$24)*('Match Log'!$A$4:$A$810&lt;=$J201)),'Match Log'!$N$4:$N$810),NA()))</f>
        <v>0</v>
      </c>
      <c r="V201">
        <f>IF($J201&gt;MAX('Match Log'!$A$4:$A$810),NA(),IFERROR(LOOKUP(2,1/(('Match Log'!$D$4:$D$810=$V$24)*('Match Log'!$A$4:$A$810&lt;=$J201)),'Match Log'!$N$4:$N$810),NA()))</f>
        <v>0</v>
      </c>
      <c r="W201">
        <f>IF($J201&gt;MAX('Match Log'!$A$4:$A$810),NA(),IFERROR(LOOKUP(2,1/(('Match Log'!$D$4:$D$810=$W$24)*('Match Log'!$A$4:$A$810&lt;=$J201)),'Match Log'!$N$4:$N$810),NA()))</f>
        <v>0</v>
      </c>
      <c r="X201">
        <f>IF($J201&gt;MAX('Match Log'!$A$4:$A$810),NA(),IFERROR(LOOKUP(2,1/(('Match Log'!$D$4:$D$810=$X$24)*('Match Log'!$A$4:$A$810&lt;=$J201)),'Match Log'!$N$4:$N$810),NA()))</f>
        <v>0</v>
      </c>
      <c r="Y201" t="str">
        <f>IF(AND($B201&lt;&gt;"",$B201&gt;=$B$5,$I201&lt;&gt;""),$I201,"")</f>
      </c>
    </row>
    <row r="202">
      <c r="A202">
        <v>178</v>
      </c>
      <c r="B202">
        <f>IFERROR(INDEX('Match Log'!$B$4:$B$810,MATCH(178,'Match Log'!$A$4:$A$810,0)),"")</f>
        <v>0</v>
      </c>
      <c r="C202" t="str">
        <f>IFERROR(INDEX('Match Log'!$C$4:$C$810,MATCH(178,'Match Log'!$A$4:$A$810,0)),"")</f>
      </c>
      <c r="D202" t="str">
        <f>IFERROR(INDEX('Match Log'!$G$4:$G$810,MATCH(178,'Match Log'!$A$4:$A$810,0)),"")</f>
      </c>
      <c r="E202">
        <f>IFERROR(INDEX('Match Log'!$F$4:$F$810,MATCH(178,'Match Log'!$A$4:$A$810,0)),"")</f>
        <v>0</v>
      </c>
      <c r="F202">
        <f>IFERROR(SUMIFS('Match Log'!$I$4:$I$810,'Match Log'!$A$4:$A$810,178,'Match Log'!$E$4:$E$810,"Win"),"")</f>
        <v>0</v>
      </c>
      <c r="G202">
        <f>IF($D202="","",1-$F202*$E202)</f>
        <v>0</v>
      </c>
      <c r="H202" t="str">
        <f>IFERROR(IF($E202=2,LOOKUP(2,1/(('Match Log'!$A$4:$A$810=178)*('Match Log'!$E$4:$E$810="Loss")),'Match Log'!$D$4:$D$810),"the field"),"")</f>
      </c>
      <c r="I202">
        <f>IF($G202="","",$G202-$A202/1000000)</f>
        <v>0</v>
      </c>
      <c r="J202">
        <v>178</v>
      </c>
      <c r="K202">
        <f>IF($J202&gt;MAX('Match Log'!$A$4:$A$810),NA(),IFERROR(LOOKUP(2,1/(('Match Log'!$D$4:$D$810=$K$24)*('Match Log'!$A$4:$A$810&lt;=$J202)),'Match Log'!$N$4:$N$810),NA()))</f>
        <v>0</v>
      </c>
      <c r="L202">
        <f>IF($J202&gt;MAX('Match Log'!$A$4:$A$810),NA(),IFERROR(LOOKUP(2,1/(('Match Log'!$D$4:$D$810=$L$24)*('Match Log'!$A$4:$A$810&lt;=$J202)),'Match Log'!$N$4:$N$810),NA()))</f>
        <v>0</v>
      </c>
      <c r="M202">
        <f>IF($J202&gt;MAX('Match Log'!$A$4:$A$810),NA(),IFERROR(LOOKUP(2,1/(('Match Log'!$D$4:$D$810=$M$24)*('Match Log'!$A$4:$A$810&lt;=$J202)),'Match Log'!$N$4:$N$810),NA()))</f>
        <v>0</v>
      </c>
      <c r="N202">
        <f>IF($J202&gt;MAX('Match Log'!$A$4:$A$810),NA(),IFERROR(LOOKUP(2,1/(('Match Log'!$D$4:$D$810=$N$24)*('Match Log'!$A$4:$A$810&lt;=$J202)),'Match Log'!$N$4:$N$810),NA()))</f>
        <v>0</v>
      </c>
      <c r="O202">
        <f>IF($J202&gt;MAX('Match Log'!$A$4:$A$810),NA(),IFERROR(LOOKUP(2,1/(('Match Log'!$D$4:$D$810=$O$24)*('Match Log'!$A$4:$A$810&lt;=$J202)),'Match Log'!$N$4:$N$810),NA()))</f>
        <v>0</v>
      </c>
      <c r="P202">
        <f>IF($J202&gt;MAX('Match Log'!$A$4:$A$810),NA(),IFERROR(LOOKUP(2,1/(('Match Log'!$D$4:$D$810=$P$24)*('Match Log'!$A$4:$A$810&lt;=$J202)),'Match Log'!$N$4:$N$810),NA()))</f>
        <v>0</v>
      </c>
      <c r="Q202">
        <f>IF($J202&gt;MAX('Match Log'!$A$4:$A$810),NA(),IFERROR(LOOKUP(2,1/(('Match Log'!$D$4:$D$810=$Q$24)*('Match Log'!$A$4:$A$810&lt;=$J202)),'Match Log'!$N$4:$N$810),NA()))</f>
        <v>0</v>
      </c>
      <c r="R202">
        <f>IF($J202&gt;MAX('Match Log'!$A$4:$A$810),NA(),IFERROR(LOOKUP(2,1/(('Match Log'!$D$4:$D$810=$R$24)*('Match Log'!$A$4:$A$810&lt;=$J202)),'Match Log'!$N$4:$N$810),NA()))</f>
        <v>0</v>
      </c>
      <c r="S202">
        <f>IF($J202&gt;MAX('Match Log'!$A$4:$A$810),NA(),IFERROR(LOOKUP(2,1/(('Match Log'!$D$4:$D$810=$S$24)*('Match Log'!$A$4:$A$810&lt;=$J202)),'Match Log'!$N$4:$N$810),NA()))</f>
        <v>0</v>
      </c>
      <c r="T202">
        <f>IF($J202&gt;MAX('Match Log'!$A$4:$A$810),NA(),IFERROR(LOOKUP(2,1/(('Match Log'!$D$4:$D$810=$T$24)*('Match Log'!$A$4:$A$810&lt;=$J202)),'Match Log'!$N$4:$N$810),NA()))</f>
        <v>0</v>
      </c>
      <c r="U202">
        <f>IF($J202&gt;MAX('Match Log'!$A$4:$A$810),NA(),IFERROR(LOOKUP(2,1/(('Match Log'!$D$4:$D$810=$U$24)*('Match Log'!$A$4:$A$810&lt;=$J202)),'Match Log'!$N$4:$N$810),NA()))</f>
        <v>0</v>
      </c>
      <c r="V202">
        <f>IF($J202&gt;MAX('Match Log'!$A$4:$A$810),NA(),IFERROR(LOOKUP(2,1/(('Match Log'!$D$4:$D$810=$V$24)*('Match Log'!$A$4:$A$810&lt;=$J202)),'Match Log'!$N$4:$N$810),NA()))</f>
        <v>0</v>
      </c>
      <c r="W202">
        <f>IF($J202&gt;MAX('Match Log'!$A$4:$A$810),NA(),IFERROR(LOOKUP(2,1/(('Match Log'!$D$4:$D$810=$W$24)*('Match Log'!$A$4:$A$810&lt;=$J202)),'Match Log'!$N$4:$N$810),NA()))</f>
        <v>0</v>
      </c>
      <c r="X202">
        <f>IF($J202&gt;MAX('Match Log'!$A$4:$A$810),NA(),IFERROR(LOOKUP(2,1/(('Match Log'!$D$4:$D$810=$X$24)*('Match Log'!$A$4:$A$810&lt;=$J202)),'Match Log'!$N$4:$N$810),NA()))</f>
        <v>0</v>
      </c>
      <c r="Y202" t="str">
        <f>IF(AND($B202&lt;&gt;"",$B202&gt;=$B$5,$I202&lt;&gt;""),$I202,"")</f>
      </c>
    </row>
    <row r="203">
      <c r="A203">
        <v>179</v>
      </c>
      <c r="B203">
        <f>IFERROR(INDEX('Match Log'!$B$4:$B$810,MATCH(179,'Match Log'!$A$4:$A$810,0)),"")</f>
        <v>0</v>
      </c>
      <c r="C203" t="str">
        <f>IFERROR(INDEX('Match Log'!$C$4:$C$810,MATCH(179,'Match Log'!$A$4:$A$810,0)),"")</f>
      </c>
      <c r="D203" t="str">
        <f>IFERROR(INDEX('Match Log'!$G$4:$G$810,MATCH(179,'Match Log'!$A$4:$A$810,0)),"")</f>
      </c>
      <c r="E203">
        <f>IFERROR(INDEX('Match Log'!$F$4:$F$810,MATCH(179,'Match Log'!$A$4:$A$810,0)),"")</f>
        <v>0</v>
      </c>
      <c r="F203">
        <f>IFERROR(SUMIFS('Match Log'!$I$4:$I$810,'Match Log'!$A$4:$A$810,179,'Match Log'!$E$4:$E$810,"Win"),"")</f>
        <v>0</v>
      </c>
      <c r="G203">
        <f>IF($D203="","",1-$F203*$E203)</f>
        <v>0</v>
      </c>
      <c r="H203" t="str">
        <f>IFERROR(IF($E203=2,LOOKUP(2,1/(('Match Log'!$A$4:$A$810=179)*('Match Log'!$E$4:$E$810="Loss")),'Match Log'!$D$4:$D$810),"the field"),"")</f>
      </c>
      <c r="I203">
        <f>IF($G203="","",$G203-$A203/1000000)</f>
        <v>0</v>
      </c>
      <c r="J203">
        <v>179</v>
      </c>
      <c r="K203">
        <f>IF($J203&gt;MAX('Match Log'!$A$4:$A$810),NA(),IFERROR(LOOKUP(2,1/(('Match Log'!$D$4:$D$810=$K$24)*('Match Log'!$A$4:$A$810&lt;=$J203)),'Match Log'!$N$4:$N$810),NA()))</f>
        <v>0</v>
      </c>
      <c r="L203">
        <f>IF($J203&gt;MAX('Match Log'!$A$4:$A$810),NA(),IFERROR(LOOKUP(2,1/(('Match Log'!$D$4:$D$810=$L$24)*('Match Log'!$A$4:$A$810&lt;=$J203)),'Match Log'!$N$4:$N$810),NA()))</f>
        <v>0</v>
      </c>
      <c r="M203">
        <f>IF($J203&gt;MAX('Match Log'!$A$4:$A$810),NA(),IFERROR(LOOKUP(2,1/(('Match Log'!$D$4:$D$810=$M$24)*('Match Log'!$A$4:$A$810&lt;=$J203)),'Match Log'!$N$4:$N$810),NA()))</f>
        <v>0</v>
      </c>
      <c r="N203">
        <f>IF($J203&gt;MAX('Match Log'!$A$4:$A$810),NA(),IFERROR(LOOKUP(2,1/(('Match Log'!$D$4:$D$810=$N$24)*('Match Log'!$A$4:$A$810&lt;=$J203)),'Match Log'!$N$4:$N$810),NA()))</f>
        <v>0</v>
      </c>
      <c r="O203">
        <f>IF($J203&gt;MAX('Match Log'!$A$4:$A$810),NA(),IFERROR(LOOKUP(2,1/(('Match Log'!$D$4:$D$810=$O$24)*('Match Log'!$A$4:$A$810&lt;=$J203)),'Match Log'!$N$4:$N$810),NA()))</f>
        <v>0</v>
      </c>
      <c r="P203">
        <f>IF($J203&gt;MAX('Match Log'!$A$4:$A$810),NA(),IFERROR(LOOKUP(2,1/(('Match Log'!$D$4:$D$810=$P$24)*('Match Log'!$A$4:$A$810&lt;=$J203)),'Match Log'!$N$4:$N$810),NA()))</f>
        <v>0</v>
      </c>
      <c r="Q203">
        <f>IF($J203&gt;MAX('Match Log'!$A$4:$A$810),NA(),IFERROR(LOOKUP(2,1/(('Match Log'!$D$4:$D$810=$Q$24)*('Match Log'!$A$4:$A$810&lt;=$J203)),'Match Log'!$N$4:$N$810),NA()))</f>
        <v>0</v>
      </c>
      <c r="R203">
        <f>IF($J203&gt;MAX('Match Log'!$A$4:$A$810),NA(),IFERROR(LOOKUP(2,1/(('Match Log'!$D$4:$D$810=$R$24)*('Match Log'!$A$4:$A$810&lt;=$J203)),'Match Log'!$N$4:$N$810),NA()))</f>
        <v>0</v>
      </c>
      <c r="S203">
        <f>IF($J203&gt;MAX('Match Log'!$A$4:$A$810),NA(),IFERROR(LOOKUP(2,1/(('Match Log'!$D$4:$D$810=$S$24)*('Match Log'!$A$4:$A$810&lt;=$J203)),'Match Log'!$N$4:$N$810),NA()))</f>
        <v>0</v>
      </c>
      <c r="T203">
        <f>IF($J203&gt;MAX('Match Log'!$A$4:$A$810),NA(),IFERROR(LOOKUP(2,1/(('Match Log'!$D$4:$D$810=$T$24)*('Match Log'!$A$4:$A$810&lt;=$J203)),'Match Log'!$N$4:$N$810),NA()))</f>
        <v>0</v>
      </c>
      <c r="U203">
        <f>IF($J203&gt;MAX('Match Log'!$A$4:$A$810),NA(),IFERROR(LOOKUP(2,1/(('Match Log'!$D$4:$D$810=$U$24)*('Match Log'!$A$4:$A$810&lt;=$J203)),'Match Log'!$N$4:$N$810),NA()))</f>
        <v>0</v>
      </c>
      <c r="V203">
        <f>IF($J203&gt;MAX('Match Log'!$A$4:$A$810),NA(),IFERROR(LOOKUP(2,1/(('Match Log'!$D$4:$D$810=$V$24)*('Match Log'!$A$4:$A$810&lt;=$J203)),'Match Log'!$N$4:$N$810),NA()))</f>
        <v>0</v>
      </c>
      <c r="W203">
        <f>IF($J203&gt;MAX('Match Log'!$A$4:$A$810),NA(),IFERROR(LOOKUP(2,1/(('Match Log'!$D$4:$D$810=$W$24)*('Match Log'!$A$4:$A$810&lt;=$J203)),'Match Log'!$N$4:$N$810),NA()))</f>
        <v>0</v>
      </c>
      <c r="X203">
        <f>IF($J203&gt;MAX('Match Log'!$A$4:$A$810),NA(),IFERROR(LOOKUP(2,1/(('Match Log'!$D$4:$D$810=$X$24)*('Match Log'!$A$4:$A$810&lt;=$J203)),'Match Log'!$N$4:$N$810),NA()))</f>
        <v>0</v>
      </c>
      <c r="Y203" t="str">
        <f>IF(AND($B203&lt;&gt;"",$B203&gt;=$B$5,$I203&lt;&gt;""),$I203,"")</f>
      </c>
    </row>
    <row r="204">
      <c r="A204">
        <v>180</v>
      </c>
      <c r="B204">
        <f>IFERROR(INDEX('Match Log'!$B$4:$B$810,MATCH(180,'Match Log'!$A$4:$A$810,0)),"")</f>
        <v>0</v>
      </c>
      <c r="C204" t="str">
        <f>IFERROR(INDEX('Match Log'!$C$4:$C$810,MATCH(180,'Match Log'!$A$4:$A$810,0)),"")</f>
      </c>
      <c r="D204" t="str">
        <f>IFERROR(INDEX('Match Log'!$G$4:$G$810,MATCH(180,'Match Log'!$A$4:$A$810,0)),"")</f>
      </c>
      <c r="E204">
        <f>IFERROR(INDEX('Match Log'!$F$4:$F$810,MATCH(180,'Match Log'!$A$4:$A$810,0)),"")</f>
        <v>0</v>
      </c>
      <c r="F204">
        <f>IFERROR(SUMIFS('Match Log'!$I$4:$I$810,'Match Log'!$A$4:$A$810,180,'Match Log'!$E$4:$E$810,"Win"),"")</f>
        <v>0</v>
      </c>
      <c r="G204">
        <f>IF($D204="","",1-$F204*$E204)</f>
        <v>0</v>
      </c>
      <c r="H204" t="str">
        <f>IFERROR(IF($E204=2,LOOKUP(2,1/(('Match Log'!$A$4:$A$810=180)*('Match Log'!$E$4:$E$810="Loss")),'Match Log'!$D$4:$D$810),"the field"),"")</f>
      </c>
      <c r="I204">
        <f>IF($G204="","",$G204-$A204/1000000)</f>
        <v>0</v>
      </c>
      <c r="J204">
        <v>180</v>
      </c>
      <c r="K204">
        <f>IF($J204&gt;MAX('Match Log'!$A$4:$A$810),NA(),IFERROR(LOOKUP(2,1/(('Match Log'!$D$4:$D$810=$K$24)*('Match Log'!$A$4:$A$810&lt;=$J204)),'Match Log'!$N$4:$N$810),NA()))</f>
        <v>0</v>
      </c>
      <c r="L204">
        <f>IF($J204&gt;MAX('Match Log'!$A$4:$A$810),NA(),IFERROR(LOOKUP(2,1/(('Match Log'!$D$4:$D$810=$L$24)*('Match Log'!$A$4:$A$810&lt;=$J204)),'Match Log'!$N$4:$N$810),NA()))</f>
        <v>0</v>
      </c>
      <c r="M204">
        <f>IF($J204&gt;MAX('Match Log'!$A$4:$A$810),NA(),IFERROR(LOOKUP(2,1/(('Match Log'!$D$4:$D$810=$M$24)*('Match Log'!$A$4:$A$810&lt;=$J204)),'Match Log'!$N$4:$N$810),NA()))</f>
        <v>0</v>
      </c>
      <c r="N204">
        <f>IF($J204&gt;MAX('Match Log'!$A$4:$A$810),NA(),IFERROR(LOOKUP(2,1/(('Match Log'!$D$4:$D$810=$N$24)*('Match Log'!$A$4:$A$810&lt;=$J204)),'Match Log'!$N$4:$N$810),NA()))</f>
        <v>0</v>
      </c>
      <c r="O204">
        <f>IF($J204&gt;MAX('Match Log'!$A$4:$A$810),NA(),IFERROR(LOOKUP(2,1/(('Match Log'!$D$4:$D$810=$O$24)*('Match Log'!$A$4:$A$810&lt;=$J204)),'Match Log'!$N$4:$N$810),NA()))</f>
        <v>0</v>
      </c>
      <c r="P204">
        <f>IF($J204&gt;MAX('Match Log'!$A$4:$A$810),NA(),IFERROR(LOOKUP(2,1/(('Match Log'!$D$4:$D$810=$P$24)*('Match Log'!$A$4:$A$810&lt;=$J204)),'Match Log'!$N$4:$N$810),NA()))</f>
        <v>0</v>
      </c>
      <c r="Q204">
        <f>IF($J204&gt;MAX('Match Log'!$A$4:$A$810),NA(),IFERROR(LOOKUP(2,1/(('Match Log'!$D$4:$D$810=$Q$24)*('Match Log'!$A$4:$A$810&lt;=$J204)),'Match Log'!$N$4:$N$810),NA()))</f>
        <v>0</v>
      </c>
      <c r="R204">
        <f>IF($J204&gt;MAX('Match Log'!$A$4:$A$810),NA(),IFERROR(LOOKUP(2,1/(('Match Log'!$D$4:$D$810=$R$24)*('Match Log'!$A$4:$A$810&lt;=$J204)),'Match Log'!$N$4:$N$810),NA()))</f>
        <v>0</v>
      </c>
      <c r="S204">
        <f>IF($J204&gt;MAX('Match Log'!$A$4:$A$810),NA(),IFERROR(LOOKUP(2,1/(('Match Log'!$D$4:$D$810=$S$24)*('Match Log'!$A$4:$A$810&lt;=$J204)),'Match Log'!$N$4:$N$810),NA()))</f>
        <v>0</v>
      </c>
      <c r="T204">
        <f>IF($J204&gt;MAX('Match Log'!$A$4:$A$810),NA(),IFERROR(LOOKUP(2,1/(('Match Log'!$D$4:$D$810=$T$24)*('Match Log'!$A$4:$A$810&lt;=$J204)),'Match Log'!$N$4:$N$810),NA()))</f>
        <v>0</v>
      </c>
      <c r="U204">
        <f>IF($J204&gt;MAX('Match Log'!$A$4:$A$810),NA(),IFERROR(LOOKUP(2,1/(('Match Log'!$D$4:$D$810=$U$24)*('Match Log'!$A$4:$A$810&lt;=$J204)),'Match Log'!$N$4:$N$810),NA()))</f>
        <v>0</v>
      </c>
      <c r="V204">
        <f>IF($J204&gt;MAX('Match Log'!$A$4:$A$810),NA(),IFERROR(LOOKUP(2,1/(('Match Log'!$D$4:$D$810=$V$24)*('Match Log'!$A$4:$A$810&lt;=$J204)),'Match Log'!$N$4:$N$810),NA()))</f>
        <v>0</v>
      </c>
      <c r="W204">
        <f>IF($J204&gt;MAX('Match Log'!$A$4:$A$810),NA(),IFERROR(LOOKUP(2,1/(('Match Log'!$D$4:$D$810=$W$24)*('Match Log'!$A$4:$A$810&lt;=$J204)),'Match Log'!$N$4:$N$810),NA()))</f>
        <v>0</v>
      </c>
      <c r="X204">
        <f>IF($J204&gt;MAX('Match Log'!$A$4:$A$810),NA(),IFERROR(LOOKUP(2,1/(('Match Log'!$D$4:$D$810=$X$24)*('Match Log'!$A$4:$A$810&lt;=$J204)),'Match Log'!$N$4:$N$810),NA()))</f>
        <v>0</v>
      </c>
      <c r="Y204" t="str">
        <f>IF(AND($B204&lt;&gt;"",$B204&gt;=$B$5,$I204&lt;&gt;""),$I204,"")</f>
      </c>
    </row>
    <row r="205">
      <c r="A205">
        <v>181</v>
      </c>
      <c r="B205">
        <f>IFERROR(INDEX('Match Log'!$B$4:$B$810,MATCH(181,'Match Log'!$A$4:$A$810,0)),"")</f>
        <v>0</v>
      </c>
      <c r="C205" t="str">
        <f>IFERROR(INDEX('Match Log'!$C$4:$C$810,MATCH(181,'Match Log'!$A$4:$A$810,0)),"")</f>
      </c>
      <c r="D205" t="str">
        <f>IFERROR(INDEX('Match Log'!$G$4:$G$810,MATCH(181,'Match Log'!$A$4:$A$810,0)),"")</f>
      </c>
      <c r="E205">
        <f>IFERROR(INDEX('Match Log'!$F$4:$F$810,MATCH(181,'Match Log'!$A$4:$A$810,0)),"")</f>
        <v>0</v>
      </c>
      <c r="F205">
        <f>IFERROR(SUMIFS('Match Log'!$I$4:$I$810,'Match Log'!$A$4:$A$810,181,'Match Log'!$E$4:$E$810,"Win"),"")</f>
        <v>0</v>
      </c>
      <c r="G205">
        <f>IF($D205="","",1-$F205*$E205)</f>
        <v>0</v>
      </c>
      <c r="H205" t="str">
        <f>IFERROR(IF($E205=2,LOOKUP(2,1/(('Match Log'!$A$4:$A$810=181)*('Match Log'!$E$4:$E$810="Loss")),'Match Log'!$D$4:$D$810),"the field"),"")</f>
      </c>
      <c r="I205">
        <f>IF($G205="","",$G205-$A205/1000000)</f>
        <v>0</v>
      </c>
      <c r="J205">
        <v>181</v>
      </c>
      <c r="K205">
        <f>IF($J205&gt;MAX('Match Log'!$A$4:$A$810),NA(),IFERROR(LOOKUP(2,1/(('Match Log'!$D$4:$D$810=$K$24)*('Match Log'!$A$4:$A$810&lt;=$J205)),'Match Log'!$N$4:$N$810),NA()))</f>
        <v>0</v>
      </c>
      <c r="L205">
        <f>IF($J205&gt;MAX('Match Log'!$A$4:$A$810),NA(),IFERROR(LOOKUP(2,1/(('Match Log'!$D$4:$D$810=$L$24)*('Match Log'!$A$4:$A$810&lt;=$J205)),'Match Log'!$N$4:$N$810),NA()))</f>
        <v>0</v>
      </c>
      <c r="M205">
        <f>IF($J205&gt;MAX('Match Log'!$A$4:$A$810),NA(),IFERROR(LOOKUP(2,1/(('Match Log'!$D$4:$D$810=$M$24)*('Match Log'!$A$4:$A$810&lt;=$J205)),'Match Log'!$N$4:$N$810),NA()))</f>
        <v>0</v>
      </c>
      <c r="N205">
        <f>IF($J205&gt;MAX('Match Log'!$A$4:$A$810),NA(),IFERROR(LOOKUP(2,1/(('Match Log'!$D$4:$D$810=$N$24)*('Match Log'!$A$4:$A$810&lt;=$J205)),'Match Log'!$N$4:$N$810),NA()))</f>
        <v>0</v>
      </c>
      <c r="O205">
        <f>IF($J205&gt;MAX('Match Log'!$A$4:$A$810),NA(),IFERROR(LOOKUP(2,1/(('Match Log'!$D$4:$D$810=$O$24)*('Match Log'!$A$4:$A$810&lt;=$J205)),'Match Log'!$N$4:$N$810),NA()))</f>
        <v>0</v>
      </c>
      <c r="P205">
        <f>IF($J205&gt;MAX('Match Log'!$A$4:$A$810),NA(),IFERROR(LOOKUP(2,1/(('Match Log'!$D$4:$D$810=$P$24)*('Match Log'!$A$4:$A$810&lt;=$J205)),'Match Log'!$N$4:$N$810),NA()))</f>
        <v>0</v>
      </c>
      <c r="Q205">
        <f>IF($J205&gt;MAX('Match Log'!$A$4:$A$810),NA(),IFERROR(LOOKUP(2,1/(('Match Log'!$D$4:$D$810=$Q$24)*('Match Log'!$A$4:$A$810&lt;=$J205)),'Match Log'!$N$4:$N$810),NA()))</f>
        <v>0</v>
      </c>
      <c r="R205">
        <f>IF($J205&gt;MAX('Match Log'!$A$4:$A$810),NA(),IFERROR(LOOKUP(2,1/(('Match Log'!$D$4:$D$810=$R$24)*('Match Log'!$A$4:$A$810&lt;=$J205)),'Match Log'!$N$4:$N$810),NA()))</f>
        <v>0</v>
      </c>
      <c r="S205">
        <f>IF($J205&gt;MAX('Match Log'!$A$4:$A$810),NA(),IFERROR(LOOKUP(2,1/(('Match Log'!$D$4:$D$810=$S$24)*('Match Log'!$A$4:$A$810&lt;=$J205)),'Match Log'!$N$4:$N$810),NA()))</f>
        <v>0</v>
      </c>
      <c r="T205">
        <f>IF($J205&gt;MAX('Match Log'!$A$4:$A$810),NA(),IFERROR(LOOKUP(2,1/(('Match Log'!$D$4:$D$810=$T$24)*('Match Log'!$A$4:$A$810&lt;=$J205)),'Match Log'!$N$4:$N$810),NA()))</f>
        <v>0</v>
      </c>
      <c r="U205">
        <f>IF($J205&gt;MAX('Match Log'!$A$4:$A$810),NA(),IFERROR(LOOKUP(2,1/(('Match Log'!$D$4:$D$810=$U$24)*('Match Log'!$A$4:$A$810&lt;=$J205)),'Match Log'!$N$4:$N$810),NA()))</f>
        <v>0</v>
      </c>
      <c r="V205">
        <f>IF($J205&gt;MAX('Match Log'!$A$4:$A$810),NA(),IFERROR(LOOKUP(2,1/(('Match Log'!$D$4:$D$810=$V$24)*('Match Log'!$A$4:$A$810&lt;=$J205)),'Match Log'!$N$4:$N$810),NA()))</f>
        <v>0</v>
      </c>
      <c r="W205">
        <f>IF($J205&gt;MAX('Match Log'!$A$4:$A$810),NA(),IFERROR(LOOKUP(2,1/(('Match Log'!$D$4:$D$810=$W$24)*('Match Log'!$A$4:$A$810&lt;=$J205)),'Match Log'!$N$4:$N$810),NA()))</f>
        <v>0</v>
      </c>
      <c r="X205">
        <f>IF($J205&gt;MAX('Match Log'!$A$4:$A$810),NA(),IFERROR(LOOKUP(2,1/(('Match Log'!$D$4:$D$810=$X$24)*('Match Log'!$A$4:$A$810&lt;=$J205)),'Match Log'!$N$4:$N$810),NA()))</f>
        <v>0</v>
      </c>
      <c r="Y205" t="str">
        <f>IF(AND($B205&lt;&gt;"",$B205&gt;=$B$5,$I205&lt;&gt;""),$I205,"")</f>
      </c>
    </row>
    <row r="206">
      <c r="A206">
        <v>182</v>
      </c>
      <c r="B206">
        <f>IFERROR(INDEX('Match Log'!$B$4:$B$810,MATCH(182,'Match Log'!$A$4:$A$810,0)),"")</f>
        <v>0</v>
      </c>
      <c r="C206" t="str">
        <f>IFERROR(INDEX('Match Log'!$C$4:$C$810,MATCH(182,'Match Log'!$A$4:$A$810,0)),"")</f>
      </c>
      <c r="D206" t="str">
        <f>IFERROR(INDEX('Match Log'!$G$4:$G$810,MATCH(182,'Match Log'!$A$4:$A$810,0)),"")</f>
      </c>
      <c r="E206">
        <f>IFERROR(INDEX('Match Log'!$F$4:$F$810,MATCH(182,'Match Log'!$A$4:$A$810,0)),"")</f>
        <v>0</v>
      </c>
      <c r="F206">
        <f>IFERROR(SUMIFS('Match Log'!$I$4:$I$810,'Match Log'!$A$4:$A$810,182,'Match Log'!$E$4:$E$810,"Win"),"")</f>
        <v>0</v>
      </c>
      <c r="G206">
        <f>IF($D206="","",1-$F206*$E206)</f>
        <v>0</v>
      </c>
      <c r="H206" t="str">
        <f>IFERROR(IF($E206=2,LOOKUP(2,1/(('Match Log'!$A$4:$A$810=182)*('Match Log'!$E$4:$E$810="Loss")),'Match Log'!$D$4:$D$810),"the field"),"")</f>
      </c>
      <c r="I206">
        <f>IF($G206="","",$G206-$A206/1000000)</f>
        <v>0</v>
      </c>
      <c r="J206">
        <v>182</v>
      </c>
      <c r="K206">
        <f>IF($J206&gt;MAX('Match Log'!$A$4:$A$810),NA(),IFERROR(LOOKUP(2,1/(('Match Log'!$D$4:$D$810=$K$24)*('Match Log'!$A$4:$A$810&lt;=$J206)),'Match Log'!$N$4:$N$810),NA()))</f>
        <v>0</v>
      </c>
      <c r="L206">
        <f>IF($J206&gt;MAX('Match Log'!$A$4:$A$810),NA(),IFERROR(LOOKUP(2,1/(('Match Log'!$D$4:$D$810=$L$24)*('Match Log'!$A$4:$A$810&lt;=$J206)),'Match Log'!$N$4:$N$810),NA()))</f>
        <v>0</v>
      </c>
      <c r="M206">
        <f>IF($J206&gt;MAX('Match Log'!$A$4:$A$810),NA(),IFERROR(LOOKUP(2,1/(('Match Log'!$D$4:$D$810=$M$24)*('Match Log'!$A$4:$A$810&lt;=$J206)),'Match Log'!$N$4:$N$810),NA()))</f>
        <v>0</v>
      </c>
      <c r="N206">
        <f>IF($J206&gt;MAX('Match Log'!$A$4:$A$810),NA(),IFERROR(LOOKUP(2,1/(('Match Log'!$D$4:$D$810=$N$24)*('Match Log'!$A$4:$A$810&lt;=$J206)),'Match Log'!$N$4:$N$810),NA()))</f>
        <v>0</v>
      </c>
      <c r="O206">
        <f>IF($J206&gt;MAX('Match Log'!$A$4:$A$810),NA(),IFERROR(LOOKUP(2,1/(('Match Log'!$D$4:$D$810=$O$24)*('Match Log'!$A$4:$A$810&lt;=$J206)),'Match Log'!$N$4:$N$810),NA()))</f>
        <v>0</v>
      </c>
      <c r="P206">
        <f>IF($J206&gt;MAX('Match Log'!$A$4:$A$810),NA(),IFERROR(LOOKUP(2,1/(('Match Log'!$D$4:$D$810=$P$24)*('Match Log'!$A$4:$A$810&lt;=$J206)),'Match Log'!$N$4:$N$810),NA()))</f>
        <v>0</v>
      </c>
      <c r="Q206">
        <f>IF($J206&gt;MAX('Match Log'!$A$4:$A$810),NA(),IFERROR(LOOKUP(2,1/(('Match Log'!$D$4:$D$810=$Q$24)*('Match Log'!$A$4:$A$810&lt;=$J206)),'Match Log'!$N$4:$N$810),NA()))</f>
        <v>0</v>
      </c>
      <c r="R206">
        <f>IF($J206&gt;MAX('Match Log'!$A$4:$A$810),NA(),IFERROR(LOOKUP(2,1/(('Match Log'!$D$4:$D$810=$R$24)*('Match Log'!$A$4:$A$810&lt;=$J206)),'Match Log'!$N$4:$N$810),NA()))</f>
        <v>0</v>
      </c>
      <c r="S206">
        <f>IF($J206&gt;MAX('Match Log'!$A$4:$A$810),NA(),IFERROR(LOOKUP(2,1/(('Match Log'!$D$4:$D$810=$S$24)*('Match Log'!$A$4:$A$810&lt;=$J206)),'Match Log'!$N$4:$N$810),NA()))</f>
        <v>0</v>
      </c>
      <c r="T206">
        <f>IF($J206&gt;MAX('Match Log'!$A$4:$A$810),NA(),IFERROR(LOOKUP(2,1/(('Match Log'!$D$4:$D$810=$T$24)*('Match Log'!$A$4:$A$810&lt;=$J206)),'Match Log'!$N$4:$N$810),NA()))</f>
        <v>0</v>
      </c>
      <c r="U206">
        <f>IF($J206&gt;MAX('Match Log'!$A$4:$A$810),NA(),IFERROR(LOOKUP(2,1/(('Match Log'!$D$4:$D$810=$U$24)*('Match Log'!$A$4:$A$810&lt;=$J206)),'Match Log'!$N$4:$N$810),NA()))</f>
        <v>0</v>
      </c>
      <c r="V206">
        <f>IF($J206&gt;MAX('Match Log'!$A$4:$A$810),NA(),IFERROR(LOOKUP(2,1/(('Match Log'!$D$4:$D$810=$V$24)*('Match Log'!$A$4:$A$810&lt;=$J206)),'Match Log'!$N$4:$N$810),NA()))</f>
        <v>0</v>
      </c>
      <c r="W206">
        <f>IF($J206&gt;MAX('Match Log'!$A$4:$A$810),NA(),IFERROR(LOOKUP(2,1/(('Match Log'!$D$4:$D$810=$W$24)*('Match Log'!$A$4:$A$810&lt;=$J206)),'Match Log'!$N$4:$N$810),NA()))</f>
        <v>0</v>
      </c>
      <c r="X206">
        <f>IF($J206&gt;MAX('Match Log'!$A$4:$A$810),NA(),IFERROR(LOOKUP(2,1/(('Match Log'!$D$4:$D$810=$X$24)*('Match Log'!$A$4:$A$810&lt;=$J206)),'Match Log'!$N$4:$N$810),NA()))</f>
        <v>0</v>
      </c>
      <c r="Y206" t="str">
        <f>IF(AND($B206&lt;&gt;"",$B206&gt;=$B$5,$I206&lt;&gt;""),$I206,"")</f>
      </c>
    </row>
    <row r="207">
      <c r="A207">
        <v>183</v>
      </c>
      <c r="B207">
        <f>IFERROR(INDEX('Match Log'!$B$4:$B$810,MATCH(183,'Match Log'!$A$4:$A$810,0)),"")</f>
        <v>0</v>
      </c>
      <c r="C207" t="str">
        <f>IFERROR(INDEX('Match Log'!$C$4:$C$810,MATCH(183,'Match Log'!$A$4:$A$810,0)),"")</f>
      </c>
      <c r="D207" t="str">
        <f>IFERROR(INDEX('Match Log'!$G$4:$G$810,MATCH(183,'Match Log'!$A$4:$A$810,0)),"")</f>
      </c>
      <c r="E207">
        <f>IFERROR(INDEX('Match Log'!$F$4:$F$810,MATCH(183,'Match Log'!$A$4:$A$810,0)),"")</f>
        <v>0</v>
      </c>
      <c r="F207">
        <f>IFERROR(SUMIFS('Match Log'!$I$4:$I$810,'Match Log'!$A$4:$A$810,183,'Match Log'!$E$4:$E$810,"Win"),"")</f>
        <v>0</v>
      </c>
      <c r="G207">
        <f>IF($D207="","",1-$F207*$E207)</f>
        <v>0</v>
      </c>
      <c r="H207" t="str">
        <f>IFERROR(IF($E207=2,LOOKUP(2,1/(('Match Log'!$A$4:$A$810=183)*('Match Log'!$E$4:$E$810="Loss")),'Match Log'!$D$4:$D$810),"the field"),"")</f>
      </c>
      <c r="I207">
        <f>IF($G207="","",$G207-$A207/1000000)</f>
        <v>0</v>
      </c>
      <c r="J207">
        <v>183</v>
      </c>
      <c r="K207">
        <f>IF($J207&gt;MAX('Match Log'!$A$4:$A$810),NA(),IFERROR(LOOKUP(2,1/(('Match Log'!$D$4:$D$810=$K$24)*('Match Log'!$A$4:$A$810&lt;=$J207)),'Match Log'!$N$4:$N$810),NA()))</f>
        <v>0</v>
      </c>
      <c r="L207">
        <f>IF($J207&gt;MAX('Match Log'!$A$4:$A$810),NA(),IFERROR(LOOKUP(2,1/(('Match Log'!$D$4:$D$810=$L$24)*('Match Log'!$A$4:$A$810&lt;=$J207)),'Match Log'!$N$4:$N$810),NA()))</f>
        <v>0</v>
      </c>
      <c r="M207">
        <f>IF($J207&gt;MAX('Match Log'!$A$4:$A$810),NA(),IFERROR(LOOKUP(2,1/(('Match Log'!$D$4:$D$810=$M$24)*('Match Log'!$A$4:$A$810&lt;=$J207)),'Match Log'!$N$4:$N$810),NA()))</f>
        <v>0</v>
      </c>
      <c r="N207">
        <f>IF($J207&gt;MAX('Match Log'!$A$4:$A$810),NA(),IFERROR(LOOKUP(2,1/(('Match Log'!$D$4:$D$810=$N$24)*('Match Log'!$A$4:$A$810&lt;=$J207)),'Match Log'!$N$4:$N$810),NA()))</f>
        <v>0</v>
      </c>
      <c r="O207">
        <f>IF($J207&gt;MAX('Match Log'!$A$4:$A$810),NA(),IFERROR(LOOKUP(2,1/(('Match Log'!$D$4:$D$810=$O$24)*('Match Log'!$A$4:$A$810&lt;=$J207)),'Match Log'!$N$4:$N$810),NA()))</f>
        <v>0</v>
      </c>
      <c r="P207">
        <f>IF($J207&gt;MAX('Match Log'!$A$4:$A$810),NA(),IFERROR(LOOKUP(2,1/(('Match Log'!$D$4:$D$810=$P$24)*('Match Log'!$A$4:$A$810&lt;=$J207)),'Match Log'!$N$4:$N$810),NA()))</f>
        <v>0</v>
      </c>
      <c r="Q207">
        <f>IF($J207&gt;MAX('Match Log'!$A$4:$A$810),NA(),IFERROR(LOOKUP(2,1/(('Match Log'!$D$4:$D$810=$Q$24)*('Match Log'!$A$4:$A$810&lt;=$J207)),'Match Log'!$N$4:$N$810),NA()))</f>
        <v>0</v>
      </c>
      <c r="R207">
        <f>IF($J207&gt;MAX('Match Log'!$A$4:$A$810),NA(),IFERROR(LOOKUP(2,1/(('Match Log'!$D$4:$D$810=$R$24)*('Match Log'!$A$4:$A$810&lt;=$J207)),'Match Log'!$N$4:$N$810),NA()))</f>
        <v>0</v>
      </c>
      <c r="S207">
        <f>IF($J207&gt;MAX('Match Log'!$A$4:$A$810),NA(),IFERROR(LOOKUP(2,1/(('Match Log'!$D$4:$D$810=$S$24)*('Match Log'!$A$4:$A$810&lt;=$J207)),'Match Log'!$N$4:$N$810),NA()))</f>
        <v>0</v>
      </c>
      <c r="T207">
        <f>IF($J207&gt;MAX('Match Log'!$A$4:$A$810),NA(),IFERROR(LOOKUP(2,1/(('Match Log'!$D$4:$D$810=$T$24)*('Match Log'!$A$4:$A$810&lt;=$J207)),'Match Log'!$N$4:$N$810),NA()))</f>
        <v>0</v>
      </c>
      <c r="U207">
        <f>IF($J207&gt;MAX('Match Log'!$A$4:$A$810),NA(),IFERROR(LOOKUP(2,1/(('Match Log'!$D$4:$D$810=$U$24)*('Match Log'!$A$4:$A$810&lt;=$J207)),'Match Log'!$N$4:$N$810),NA()))</f>
        <v>0</v>
      </c>
      <c r="V207">
        <f>IF($J207&gt;MAX('Match Log'!$A$4:$A$810),NA(),IFERROR(LOOKUP(2,1/(('Match Log'!$D$4:$D$810=$V$24)*('Match Log'!$A$4:$A$810&lt;=$J207)),'Match Log'!$N$4:$N$810),NA()))</f>
        <v>0</v>
      </c>
      <c r="W207">
        <f>IF($J207&gt;MAX('Match Log'!$A$4:$A$810),NA(),IFERROR(LOOKUP(2,1/(('Match Log'!$D$4:$D$810=$W$24)*('Match Log'!$A$4:$A$810&lt;=$J207)),'Match Log'!$N$4:$N$810),NA()))</f>
        <v>0</v>
      </c>
      <c r="X207">
        <f>IF($J207&gt;MAX('Match Log'!$A$4:$A$810),NA(),IFERROR(LOOKUP(2,1/(('Match Log'!$D$4:$D$810=$X$24)*('Match Log'!$A$4:$A$810&lt;=$J207)),'Match Log'!$N$4:$N$810),NA()))</f>
        <v>0</v>
      </c>
      <c r="Y207" t="str">
        <f>IF(AND($B207&lt;&gt;"",$B207&gt;=$B$5,$I207&lt;&gt;""),$I207,"")</f>
      </c>
    </row>
    <row r="208">
      <c r="A208">
        <v>184</v>
      </c>
      <c r="B208">
        <f>IFERROR(INDEX('Match Log'!$B$4:$B$810,MATCH(184,'Match Log'!$A$4:$A$810,0)),"")</f>
        <v>0</v>
      </c>
      <c r="C208" t="str">
        <f>IFERROR(INDEX('Match Log'!$C$4:$C$810,MATCH(184,'Match Log'!$A$4:$A$810,0)),"")</f>
      </c>
      <c r="D208" t="str">
        <f>IFERROR(INDEX('Match Log'!$G$4:$G$810,MATCH(184,'Match Log'!$A$4:$A$810,0)),"")</f>
      </c>
      <c r="E208">
        <f>IFERROR(INDEX('Match Log'!$F$4:$F$810,MATCH(184,'Match Log'!$A$4:$A$810,0)),"")</f>
        <v>0</v>
      </c>
      <c r="F208">
        <f>IFERROR(SUMIFS('Match Log'!$I$4:$I$810,'Match Log'!$A$4:$A$810,184,'Match Log'!$E$4:$E$810,"Win"),"")</f>
        <v>0</v>
      </c>
      <c r="G208">
        <f>IF($D208="","",1-$F208*$E208)</f>
        <v>0</v>
      </c>
      <c r="H208" t="str">
        <f>IFERROR(IF($E208=2,LOOKUP(2,1/(('Match Log'!$A$4:$A$810=184)*('Match Log'!$E$4:$E$810="Loss")),'Match Log'!$D$4:$D$810),"the field"),"")</f>
      </c>
      <c r="I208">
        <f>IF($G208="","",$G208-$A208/1000000)</f>
        <v>0</v>
      </c>
      <c r="J208">
        <v>184</v>
      </c>
      <c r="K208">
        <f>IF($J208&gt;MAX('Match Log'!$A$4:$A$810),NA(),IFERROR(LOOKUP(2,1/(('Match Log'!$D$4:$D$810=$K$24)*('Match Log'!$A$4:$A$810&lt;=$J208)),'Match Log'!$N$4:$N$810),NA()))</f>
        <v>0</v>
      </c>
      <c r="L208">
        <f>IF($J208&gt;MAX('Match Log'!$A$4:$A$810),NA(),IFERROR(LOOKUP(2,1/(('Match Log'!$D$4:$D$810=$L$24)*('Match Log'!$A$4:$A$810&lt;=$J208)),'Match Log'!$N$4:$N$810),NA()))</f>
        <v>0</v>
      </c>
      <c r="M208">
        <f>IF($J208&gt;MAX('Match Log'!$A$4:$A$810),NA(),IFERROR(LOOKUP(2,1/(('Match Log'!$D$4:$D$810=$M$24)*('Match Log'!$A$4:$A$810&lt;=$J208)),'Match Log'!$N$4:$N$810),NA()))</f>
        <v>0</v>
      </c>
      <c r="N208">
        <f>IF($J208&gt;MAX('Match Log'!$A$4:$A$810),NA(),IFERROR(LOOKUP(2,1/(('Match Log'!$D$4:$D$810=$N$24)*('Match Log'!$A$4:$A$810&lt;=$J208)),'Match Log'!$N$4:$N$810),NA()))</f>
        <v>0</v>
      </c>
      <c r="O208">
        <f>IF($J208&gt;MAX('Match Log'!$A$4:$A$810),NA(),IFERROR(LOOKUP(2,1/(('Match Log'!$D$4:$D$810=$O$24)*('Match Log'!$A$4:$A$810&lt;=$J208)),'Match Log'!$N$4:$N$810),NA()))</f>
        <v>0</v>
      </c>
      <c r="P208">
        <f>IF($J208&gt;MAX('Match Log'!$A$4:$A$810),NA(),IFERROR(LOOKUP(2,1/(('Match Log'!$D$4:$D$810=$P$24)*('Match Log'!$A$4:$A$810&lt;=$J208)),'Match Log'!$N$4:$N$810),NA()))</f>
        <v>0</v>
      </c>
      <c r="Q208">
        <f>IF($J208&gt;MAX('Match Log'!$A$4:$A$810),NA(),IFERROR(LOOKUP(2,1/(('Match Log'!$D$4:$D$810=$Q$24)*('Match Log'!$A$4:$A$810&lt;=$J208)),'Match Log'!$N$4:$N$810),NA()))</f>
        <v>0</v>
      </c>
      <c r="R208">
        <f>IF($J208&gt;MAX('Match Log'!$A$4:$A$810),NA(),IFERROR(LOOKUP(2,1/(('Match Log'!$D$4:$D$810=$R$24)*('Match Log'!$A$4:$A$810&lt;=$J208)),'Match Log'!$N$4:$N$810),NA()))</f>
        <v>0</v>
      </c>
      <c r="S208">
        <f>IF($J208&gt;MAX('Match Log'!$A$4:$A$810),NA(),IFERROR(LOOKUP(2,1/(('Match Log'!$D$4:$D$810=$S$24)*('Match Log'!$A$4:$A$810&lt;=$J208)),'Match Log'!$N$4:$N$810),NA()))</f>
        <v>0</v>
      </c>
      <c r="T208">
        <f>IF($J208&gt;MAX('Match Log'!$A$4:$A$810),NA(),IFERROR(LOOKUP(2,1/(('Match Log'!$D$4:$D$810=$T$24)*('Match Log'!$A$4:$A$810&lt;=$J208)),'Match Log'!$N$4:$N$810),NA()))</f>
        <v>0</v>
      </c>
      <c r="U208">
        <f>IF($J208&gt;MAX('Match Log'!$A$4:$A$810),NA(),IFERROR(LOOKUP(2,1/(('Match Log'!$D$4:$D$810=$U$24)*('Match Log'!$A$4:$A$810&lt;=$J208)),'Match Log'!$N$4:$N$810),NA()))</f>
        <v>0</v>
      </c>
      <c r="V208">
        <f>IF($J208&gt;MAX('Match Log'!$A$4:$A$810),NA(),IFERROR(LOOKUP(2,1/(('Match Log'!$D$4:$D$810=$V$24)*('Match Log'!$A$4:$A$810&lt;=$J208)),'Match Log'!$N$4:$N$810),NA()))</f>
        <v>0</v>
      </c>
      <c r="W208">
        <f>IF($J208&gt;MAX('Match Log'!$A$4:$A$810),NA(),IFERROR(LOOKUP(2,1/(('Match Log'!$D$4:$D$810=$W$24)*('Match Log'!$A$4:$A$810&lt;=$J208)),'Match Log'!$N$4:$N$810),NA()))</f>
        <v>0</v>
      </c>
      <c r="X208">
        <f>IF($J208&gt;MAX('Match Log'!$A$4:$A$810),NA(),IFERROR(LOOKUP(2,1/(('Match Log'!$D$4:$D$810=$X$24)*('Match Log'!$A$4:$A$810&lt;=$J208)),'Match Log'!$N$4:$N$810),NA()))</f>
        <v>0</v>
      </c>
      <c r="Y208" t="str">
        <f>IF(AND($B208&lt;&gt;"",$B208&gt;=$B$5,$I208&lt;&gt;""),$I208,"")</f>
      </c>
    </row>
    <row r="209">
      <c r="A209">
        <v>185</v>
      </c>
      <c r="B209">
        <f>IFERROR(INDEX('Match Log'!$B$4:$B$810,MATCH(185,'Match Log'!$A$4:$A$810,0)),"")</f>
        <v>0</v>
      </c>
      <c r="C209" t="str">
        <f>IFERROR(INDEX('Match Log'!$C$4:$C$810,MATCH(185,'Match Log'!$A$4:$A$810,0)),"")</f>
      </c>
      <c r="D209" t="str">
        <f>IFERROR(INDEX('Match Log'!$G$4:$G$810,MATCH(185,'Match Log'!$A$4:$A$810,0)),"")</f>
      </c>
      <c r="E209">
        <f>IFERROR(INDEX('Match Log'!$F$4:$F$810,MATCH(185,'Match Log'!$A$4:$A$810,0)),"")</f>
        <v>0</v>
      </c>
      <c r="F209">
        <f>IFERROR(SUMIFS('Match Log'!$I$4:$I$810,'Match Log'!$A$4:$A$810,185,'Match Log'!$E$4:$E$810,"Win"),"")</f>
        <v>0</v>
      </c>
      <c r="G209">
        <f>IF($D209="","",1-$F209*$E209)</f>
        <v>0</v>
      </c>
      <c r="H209" t="str">
        <f>IFERROR(IF($E209=2,LOOKUP(2,1/(('Match Log'!$A$4:$A$810=185)*('Match Log'!$E$4:$E$810="Loss")),'Match Log'!$D$4:$D$810),"the field"),"")</f>
      </c>
      <c r="I209">
        <f>IF($G209="","",$G209-$A209/1000000)</f>
        <v>0</v>
      </c>
      <c r="J209">
        <v>185</v>
      </c>
      <c r="K209">
        <f>IF($J209&gt;MAX('Match Log'!$A$4:$A$810),NA(),IFERROR(LOOKUP(2,1/(('Match Log'!$D$4:$D$810=$K$24)*('Match Log'!$A$4:$A$810&lt;=$J209)),'Match Log'!$N$4:$N$810),NA()))</f>
        <v>0</v>
      </c>
      <c r="L209">
        <f>IF($J209&gt;MAX('Match Log'!$A$4:$A$810),NA(),IFERROR(LOOKUP(2,1/(('Match Log'!$D$4:$D$810=$L$24)*('Match Log'!$A$4:$A$810&lt;=$J209)),'Match Log'!$N$4:$N$810),NA()))</f>
        <v>0</v>
      </c>
      <c r="M209">
        <f>IF($J209&gt;MAX('Match Log'!$A$4:$A$810),NA(),IFERROR(LOOKUP(2,1/(('Match Log'!$D$4:$D$810=$M$24)*('Match Log'!$A$4:$A$810&lt;=$J209)),'Match Log'!$N$4:$N$810),NA()))</f>
        <v>0</v>
      </c>
      <c r="N209">
        <f>IF($J209&gt;MAX('Match Log'!$A$4:$A$810),NA(),IFERROR(LOOKUP(2,1/(('Match Log'!$D$4:$D$810=$N$24)*('Match Log'!$A$4:$A$810&lt;=$J209)),'Match Log'!$N$4:$N$810),NA()))</f>
        <v>0</v>
      </c>
      <c r="O209">
        <f>IF($J209&gt;MAX('Match Log'!$A$4:$A$810),NA(),IFERROR(LOOKUP(2,1/(('Match Log'!$D$4:$D$810=$O$24)*('Match Log'!$A$4:$A$810&lt;=$J209)),'Match Log'!$N$4:$N$810),NA()))</f>
        <v>0</v>
      </c>
      <c r="P209">
        <f>IF($J209&gt;MAX('Match Log'!$A$4:$A$810),NA(),IFERROR(LOOKUP(2,1/(('Match Log'!$D$4:$D$810=$P$24)*('Match Log'!$A$4:$A$810&lt;=$J209)),'Match Log'!$N$4:$N$810),NA()))</f>
        <v>0</v>
      </c>
      <c r="Q209">
        <f>IF($J209&gt;MAX('Match Log'!$A$4:$A$810),NA(),IFERROR(LOOKUP(2,1/(('Match Log'!$D$4:$D$810=$Q$24)*('Match Log'!$A$4:$A$810&lt;=$J209)),'Match Log'!$N$4:$N$810),NA()))</f>
        <v>0</v>
      </c>
      <c r="R209">
        <f>IF($J209&gt;MAX('Match Log'!$A$4:$A$810),NA(),IFERROR(LOOKUP(2,1/(('Match Log'!$D$4:$D$810=$R$24)*('Match Log'!$A$4:$A$810&lt;=$J209)),'Match Log'!$N$4:$N$810),NA()))</f>
        <v>0</v>
      </c>
      <c r="S209">
        <f>IF($J209&gt;MAX('Match Log'!$A$4:$A$810),NA(),IFERROR(LOOKUP(2,1/(('Match Log'!$D$4:$D$810=$S$24)*('Match Log'!$A$4:$A$810&lt;=$J209)),'Match Log'!$N$4:$N$810),NA()))</f>
        <v>0</v>
      </c>
      <c r="T209">
        <f>IF($J209&gt;MAX('Match Log'!$A$4:$A$810),NA(),IFERROR(LOOKUP(2,1/(('Match Log'!$D$4:$D$810=$T$24)*('Match Log'!$A$4:$A$810&lt;=$J209)),'Match Log'!$N$4:$N$810),NA()))</f>
        <v>0</v>
      </c>
      <c r="U209">
        <f>IF($J209&gt;MAX('Match Log'!$A$4:$A$810),NA(),IFERROR(LOOKUP(2,1/(('Match Log'!$D$4:$D$810=$U$24)*('Match Log'!$A$4:$A$810&lt;=$J209)),'Match Log'!$N$4:$N$810),NA()))</f>
        <v>0</v>
      </c>
      <c r="V209">
        <f>IF($J209&gt;MAX('Match Log'!$A$4:$A$810),NA(),IFERROR(LOOKUP(2,1/(('Match Log'!$D$4:$D$810=$V$24)*('Match Log'!$A$4:$A$810&lt;=$J209)),'Match Log'!$N$4:$N$810),NA()))</f>
        <v>0</v>
      </c>
      <c r="W209">
        <f>IF($J209&gt;MAX('Match Log'!$A$4:$A$810),NA(),IFERROR(LOOKUP(2,1/(('Match Log'!$D$4:$D$810=$W$24)*('Match Log'!$A$4:$A$810&lt;=$J209)),'Match Log'!$N$4:$N$810),NA()))</f>
        <v>0</v>
      </c>
      <c r="X209">
        <f>IF($J209&gt;MAX('Match Log'!$A$4:$A$810),NA(),IFERROR(LOOKUP(2,1/(('Match Log'!$D$4:$D$810=$X$24)*('Match Log'!$A$4:$A$810&lt;=$J209)),'Match Log'!$N$4:$N$810),NA()))</f>
        <v>0</v>
      </c>
      <c r="Y209" t="str">
        <f>IF(AND($B209&lt;&gt;"",$B209&gt;=$B$5,$I209&lt;&gt;""),$I209,"")</f>
      </c>
    </row>
    <row r="210">
      <c r="A210">
        <v>186</v>
      </c>
      <c r="B210">
        <f>IFERROR(INDEX('Match Log'!$B$4:$B$810,MATCH(186,'Match Log'!$A$4:$A$810,0)),"")</f>
        <v>0</v>
      </c>
      <c r="C210" t="str">
        <f>IFERROR(INDEX('Match Log'!$C$4:$C$810,MATCH(186,'Match Log'!$A$4:$A$810,0)),"")</f>
      </c>
      <c r="D210" t="str">
        <f>IFERROR(INDEX('Match Log'!$G$4:$G$810,MATCH(186,'Match Log'!$A$4:$A$810,0)),"")</f>
      </c>
      <c r="E210">
        <f>IFERROR(INDEX('Match Log'!$F$4:$F$810,MATCH(186,'Match Log'!$A$4:$A$810,0)),"")</f>
        <v>0</v>
      </c>
      <c r="F210">
        <f>IFERROR(SUMIFS('Match Log'!$I$4:$I$810,'Match Log'!$A$4:$A$810,186,'Match Log'!$E$4:$E$810,"Win"),"")</f>
        <v>0</v>
      </c>
      <c r="G210">
        <f>IF($D210="","",1-$F210*$E210)</f>
        <v>0</v>
      </c>
      <c r="H210" t="str">
        <f>IFERROR(IF($E210=2,LOOKUP(2,1/(('Match Log'!$A$4:$A$810=186)*('Match Log'!$E$4:$E$810="Loss")),'Match Log'!$D$4:$D$810),"the field"),"")</f>
      </c>
      <c r="I210">
        <f>IF($G210="","",$G210-$A210/1000000)</f>
        <v>0</v>
      </c>
      <c r="J210">
        <v>186</v>
      </c>
      <c r="K210">
        <f>IF($J210&gt;MAX('Match Log'!$A$4:$A$810),NA(),IFERROR(LOOKUP(2,1/(('Match Log'!$D$4:$D$810=$K$24)*('Match Log'!$A$4:$A$810&lt;=$J210)),'Match Log'!$N$4:$N$810),NA()))</f>
        <v>0</v>
      </c>
      <c r="L210">
        <f>IF($J210&gt;MAX('Match Log'!$A$4:$A$810),NA(),IFERROR(LOOKUP(2,1/(('Match Log'!$D$4:$D$810=$L$24)*('Match Log'!$A$4:$A$810&lt;=$J210)),'Match Log'!$N$4:$N$810),NA()))</f>
        <v>0</v>
      </c>
      <c r="M210">
        <f>IF($J210&gt;MAX('Match Log'!$A$4:$A$810),NA(),IFERROR(LOOKUP(2,1/(('Match Log'!$D$4:$D$810=$M$24)*('Match Log'!$A$4:$A$810&lt;=$J210)),'Match Log'!$N$4:$N$810),NA()))</f>
        <v>0</v>
      </c>
      <c r="N210">
        <f>IF($J210&gt;MAX('Match Log'!$A$4:$A$810),NA(),IFERROR(LOOKUP(2,1/(('Match Log'!$D$4:$D$810=$N$24)*('Match Log'!$A$4:$A$810&lt;=$J210)),'Match Log'!$N$4:$N$810),NA()))</f>
        <v>0</v>
      </c>
      <c r="O210">
        <f>IF($J210&gt;MAX('Match Log'!$A$4:$A$810),NA(),IFERROR(LOOKUP(2,1/(('Match Log'!$D$4:$D$810=$O$24)*('Match Log'!$A$4:$A$810&lt;=$J210)),'Match Log'!$N$4:$N$810),NA()))</f>
        <v>0</v>
      </c>
      <c r="P210">
        <f>IF($J210&gt;MAX('Match Log'!$A$4:$A$810),NA(),IFERROR(LOOKUP(2,1/(('Match Log'!$D$4:$D$810=$P$24)*('Match Log'!$A$4:$A$810&lt;=$J210)),'Match Log'!$N$4:$N$810),NA()))</f>
        <v>0</v>
      </c>
      <c r="Q210">
        <f>IF($J210&gt;MAX('Match Log'!$A$4:$A$810),NA(),IFERROR(LOOKUP(2,1/(('Match Log'!$D$4:$D$810=$Q$24)*('Match Log'!$A$4:$A$810&lt;=$J210)),'Match Log'!$N$4:$N$810),NA()))</f>
        <v>0</v>
      </c>
      <c r="R210">
        <f>IF($J210&gt;MAX('Match Log'!$A$4:$A$810),NA(),IFERROR(LOOKUP(2,1/(('Match Log'!$D$4:$D$810=$R$24)*('Match Log'!$A$4:$A$810&lt;=$J210)),'Match Log'!$N$4:$N$810),NA()))</f>
        <v>0</v>
      </c>
      <c r="S210">
        <f>IF($J210&gt;MAX('Match Log'!$A$4:$A$810),NA(),IFERROR(LOOKUP(2,1/(('Match Log'!$D$4:$D$810=$S$24)*('Match Log'!$A$4:$A$810&lt;=$J210)),'Match Log'!$N$4:$N$810),NA()))</f>
        <v>0</v>
      </c>
      <c r="T210">
        <f>IF($J210&gt;MAX('Match Log'!$A$4:$A$810),NA(),IFERROR(LOOKUP(2,1/(('Match Log'!$D$4:$D$810=$T$24)*('Match Log'!$A$4:$A$810&lt;=$J210)),'Match Log'!$N$4:$N$810),NA()))</f>
        <v>0</v>
      </c>
      <c r="U210">
        <f>IF($J210&gt;MAX('Match Log'!$A$4:$A$810),NA(),IFERROR(LOOKUP(2,1/(('Match Log'!$D$4:$D$810=$U$24)*('Match Log'!$A$4:$A$810&lt;=$J210)),'Match Log'!$N$4:$N$810),NA()))</f>
        <v>0</v>
      </c>
      <c r="V210">
        <f>IF($J210&gt;MAX('Match Log'!$A$4:$A$810),NA(),IFERROR(LOOKUP(2,1/(('Match Log'!$D$4:$D$810=$V$24)*('Match Log'!$A$4:$A$810&lt;=$J210)),'Match Log'!$N$4:$N$810),NA()))</f>
        <v>0</v>
      </c>
      <c r="W210">
        <f>IF($J210&gt;MAX('Match Log'!$A$4:$A$810),NA(),IFERROR(LOOKUP(2,1/(('Match Log'!$D$4:$D$810=$W$24)*('Match Log'!$A$4:$A$810&lt;=$J210)),'Match Log'!$N$4:$N$810),NA()))</f>
        <v>0</v>
      </c>
      <c r="X210">
        <f>IF($J210&gt;MAX('Match Log'!$A$4:$A$810),NA(),IFERROR(LOOKUP(2,1/(('Match Log'!$D$4:$D$810=$X$24)*('Match Log'!$A$4:$A$810&lt;=$J210)),'Match Log'!$N$4:$N$810),NA()))</f>
        <v>0</v>
      </c>
      <c r="Y210" t="str">
        <f>IF(AND($B210&lt;&gt;"",$B210&gt;=$B$5,$I210&lt;&gt;""),$I210,"")</f>
      </c>
    </row>
    <row r="211">
      <c r="A211">
        <v>187</v>
      </c>
      <c r="B211">
        <f>IFERROR(INDEX('Match Log'!$B$4:$B$810,MATCH(187,'Match Log'!$A$4:$A$810,0)),"")</f>
        <v>0</v>
      </c>
      <c r="C211" t="str">
        <f>IFERROR(INDEX('Match Log'!$C$4:$C$810,MATCH(187,'Match Log'!$A$4:$A$810,0)),"")</f>
      </c>
      <c r="D211" t="str">
        <f>IFERROR(INDEX('Match Log'!$G$4:$G$810,MATCH(187,'Match Log'!$A$4:$A$810,0)),"")</f>
      </c>
      <c r="E211">
        <f>IFERROR(INDEX('Match Log'!$F$4:$F$810,MATCH(187,'Match Log'!$A$4:$A$810,0)),"")</f>
        <v>0</v>
      </c>
      <c r="F211">
        <f>IFERROR(SUMIFS('Match Log'!$I$4:$I$810,'Match Log'!$A$4:$A$810,187,'Match Log'!$E$4:$E$810,"Win"),"")</f>
        <v>0</v>
      </c>
      <c r="G211">
        <f>IF($D211="","",1-$F211*$E211)</f>
        <v>0</v>
      </c>
      <c r="H211" t="str">
        <f>IFERROR(IF($E211=2,LOOKUP(2,1/(('Match Log'!$A$4:$A$810=187)*('Match Log'!$E$4:$E$810="Loss")),'Match Log'!$D$4:$D$810),"the field"),"")</f>
      </c>
      <c r="I211">
        <f>IF($G211="","",$G211-$A211/1000000)</f>
        <v>0</v>
      </c>
      <c r="J211">
        <v>187</v>
      </c>
      <c r="K211">
        <f>IF($J211&gt;MAX('Match Log'!$A$4:$A$810),NA(),IFERROR(LOOKUP(2,1/(('Match Log'!$D$4:$D$810=$K$24)*('Match Log'!$A$4:$A$810&lt;=$J211)),'Match Log'!$N$4:$N$810),NA()))</f>
        <v>0</v>
      </c>
      <c r="L211">
        <f>IF($J211&gt;MAX('Match Log'!$A$4:$A$810),NA(),IFERROR(LOOKUP(2,1/(('Match Log'!$D$4:$D$810=$L$24)*('Match Log'!$A$4:$A$810&lt;=$J211)),'Match Log'!$N$4:$N$810),NA()))</f>
        <v>0</v>
      </c>
      <c r="M211">
        <f>IF($J211&gt;MAX('Match Log'!$A$4:$A$810),NA(),IFERROR(LOOKUP(2,1/(('Match Log'!$D$4:$D$810=$M$24)*('Match Log'!$A$4:$A$810&lt;=$J211)),'Match Log'!$N$4:$N$810),NA()))</f>
        <v>0</v>
      </c>
      <c r="N211">
        <f>IF($J211&gt;MAX('Match Log'!$A$4:$A$810),NA(),IFERROR(LOOKUP(2,1/(('Match Log'!$D$4:$D$810=$N$24)*('Match Log'!$A$4:$A$810&lt;=$J211)),'Match Log'!$N$4:$N$810),NA()))</f>
        <v>0</v>
      </c>
      <c r="O211">
        <f>IF($J211&gt;MAX('Match Log'!$A$4:$A$810),NA(),IFERROR(LOOKUP(2,1/(('Match Log'!$D$4:$D$810=$O$24)*('Match Log'!$A$4:$A$810&lt;=$J211)),'Match Log'!$N$4:$N$810),NA()))</f>
        <v>0</v>
      </c>
      <c r="P211">
        <f>IF($J211&gt;MAX('Match Log'!$A$4:$A$810),NA(),IFERROR(LOOKUP(2,1/(('Match Log'!$D$4:$D$810=$P$24)*('Match Log'!$A$4:$A$810&lt;=$J211)),'Match Log'!$N$4:$N$810),NA()))</f>
        <v>0</v>
      </c>
      <c r="Q211">
        <f>IF($J211&gt;MAX('Match Log'!$A$4:$A$810),NA(),IFERROR(LOOKUP(2,1/(('Match Log'!$D$4:$D$810=$Q$24)*('Match Log'!$A$4:$A$810&lt;=$J211)),'Match Log'!$N$4:$N$810),NA()))</f>
        <v>0</v>
      </c>
      <c r="R211">
        <f>IF($J211&gt;MAX('Match Log'!$A$4:$A$810),NA(),IFERROR(LOOKUP(2,1/(('Match Log'!$D$4:$D$810=$R$24)*('Match Log'!$A$4:$A$810&lt;=$J211)),'Match Log'!$N$4:$N$810),NA()))</f>
        <v>0</v>
      </c>
      <c r="S211">
        <f>IF($J211&gt;MAX('Match Log'!$A$4:$A$810),NA(),IFERROR(LOOKUP(2,1/(('Match Log'!$D$4:$D$810=$S$24)*('Match Log'!$A$4:$A$810&lt;=$J211)),'Match Log'!$N$4:$N$810),NA()))</f>
        <v>0</v>
      </c>
      <c r="T211">
        <f>IF($J211&gt;MAX('Match Log'!$A$4:$A$810),NA(),IFERROR(LOOKUP(2,1/(('Match Log'!$D$4:$D$810=$T$24)*('Match Log'!$A$4:$A$810&lt;=$J211)),'Match Log'!$N$4:$N$810),NA()))</f>
        <v>0</v>
      </c>
      <c r="U211">
        <f>IF($J211&gt;MAX('Match Log'!$A$4:$A$810),NA(),IFERROR(LOOKUP(2,1/(('Match Log'!$D$4:$D$810=$U$24)*('Match Log'!$A$4:$A$810&lt;=$J211)),'Match Log'!$N$4:$N$810),NA()))</f>
        <v>0</v>
      </c>
      <c r="V211">
        <f>IF($J211&gt;MAX('Match Log'!$A$4:$A$810),NA(),IFERROR(LOOKUP(2,1/(('Match Log'!$D$4:$D$810=$V$24)*('Match Log'!$A$4:$A$810&lt;=$J211)),'Match Log'!$N$4:$N$810),NA()))</f>
        <v>0</v>
      </c>
      <c r="W211">
        <f>IF($J211&gt;MAX('Match Log'!$A$4:$A$810),NA(),IFERROR(LOOKUP(2,1/(('Match Log'!$D$4:$D$810=$W$24)*('Match Log'!$A$4:$A$810&lt;=$J211)),'Match Log'!$N$4:$N$810),NA()))</f>
        <v>0</v>
      </c>
      <c r="X211">
        <f>IF($J211&gt;MAX('Match Log'!$A$4:$A$810),NA(),IFERROR(LOOKUP(2,1/(('Match Log'!$D$4:$D$810=$X$24)*('Match Log'!$A$4:$A$810&lt;=$J211)),'Match Log'!$N$4:$N$810),NA()))</f>
        <v>0</v>
      </c>
      <c r="Y211" t="str">
        <f>IF(AND($B211&lt;&gt;"",$B211&gt;=$B$5,$I211&lt;&gt;""),$I211,"")</f>
      </c>
    </row>
    <row r="212">
      <c r="A212">
        <v>188</v>
      </c>
      <c r="B212">
        <f>IFERROR(INDEX('Match Log'!$B$4:$B$810,MATCH(188,'Match Log'!$A$4:$A$810,0)),"")</f>
        <v>0</v>
      </c>
      <c r="C212" t="str">
        <f>IFERROR(INDEX('Match Log'!$C$4:$C$810,MATCH(188,'Match Log'!$A$4:$A$810,0)),"")</f>
      </c>
      <c r="D212" t="str">
        <f>IFERROR(INDEX('Match Log'!$G$4:$G$810,MATCH(188,'Match Log'!$A$4:$A$810,0)),"")</f>
      </c>
      <c r="E212">
        <f>IFERROR(INDEX('Match Log'!$F$4:$F$810,MATCH(188,'Match Log'!$A$4:$A$810,0)),"")</f>
        <v>0</v>
      </c>
      <c r="F212">
        <f>IFERROR(SUMIFS('Match Log'!$I$4:$I$810,'Match Log'!$A$4:$A$810,188,'Match Log'!$E$4:$E$810,"Win"),"")</f>
        <v>0</v>
      </c>
      <c r="G212">
        <f>IF($D212="","",1-$F212*$E212)</f>
        <v>0</v>
      </c>
      <c r="H212" t="str">
        <f>IFERROR(IF($E212=2,LOOKUP(2,1/(('Match Log'!$A$4:$A$810=188)*('Match Log'!$E$4:$E$810="Loss")),'Match Log'!$D$4:$D$810),"the field"),"")</f>
      </c>
      <c r="I212">
        <f>IF($G212="","",$G212-$A212/1000000)</f>
        <v>0</v>
      </c>
      <c r="J212">
        <v>188</v>
      </c>
      <c r="K212">
        <f>IF($J212&gt;MAX('Match Log'!$A$4:$A$810),NA(),IFERROR(LOOKUP(2,1/(('Match Log'!$D$4:$D$810=$K$24)*('Match Log'!$A$4:$A$810&lt;=$J212)),'Match Log'!$N$4:$N$810),NA()))</f>
        <v>0</v>
      </c>
      <c r="L212">
        <f>IF($J212&gt;MAX('Match Log'!$A$4:$A$810),NA(),IFERROR(LOOKUP(2,1/(('Match Log'!$D$4:$D$810=$L$24)*('Match Log'!$A$4:$A$810&lt;=$J212)),'Match Log'!$N$4:$N$810),NA()))</f>
        <v>0</v>
      </c>
      <c r="M212">
        <f>IF($J212&gt;MAX('Match Log'!$A$4:$A$810),NA(),IFERROR(LOOKUP(2,1/(('Match Log'!$D$4:$D$810=$M$24)*('Match Log'!$A$4:$A$810&lt;=$J212)),'Match Log'!$N$4:$N$810),NA()))</f>
        <v>0</v>
      </c>
      <c r="N212">
        <f>IF($J212&gt;MAX('Match Log'!$A$4:$A$810),NA(),IFERROR(LOOKUP(2,1/(('Match Log'!$D$4:$D$810=$N$24)*('Match Log'!$A$4:$A$810&lt;=$J212)),'Match Log'!$N$4:$N$810),NA()))</f>
        <v>0</v>
      </c>
      <c r="O212">
        <f>IF($J212&gt;MAX('Match Log'!$A$4:$A$810),NA(),IFERROR(LOOKUP(2,1/(('Match Log'!$D$4:$D$810=$O$24)*('Match Log'!$A$4:$A$810&lt;=$J212)),'Match Log'!$N$4:$N$810),NA()))</f>
        <v>0</v>
      </c>
      <c r="P212">
        <f>IF($J212&gt;MAX('Match Log'!$A$4:$A$810),NA(),IFERROR(LOOKUP(2,1/(('Match Log'!$D$4:$D$810=$P$24)*('Match Log'!$A$4:$A$810&lt;=$J212)),'Match Log'!$N$4:$N$810),NA()))</f>
        <v>0</v>
      </c>
      <c r="Q212">
        <f>IF($J212&gt;MAX('Match Log'!$A$4:$A$810),NA(),IFERROR(LOOKUP(2,1/(('Match Log'!$D$4:$D$810=$Q$24)*('Match Log'!$A$4:$A$810&lt;=$J212)),'Match Log'!$N$4:$N$810),NA()))</f>
        <v>0</v>
      </c>
      <c r="R212">
        <f>IF($J212&gt;MAX('Match Log'!$A$4:$A$810),NA(),IFERROR(LOOKUP(2,1/(('Match Log'!$D$4:$D$810=$R$24)*('Match Log'!$A$4:$A$810&lt;=$J212)),'Match Log'!$N$4:$N$810),NA()))</f>
        <v>0</v>
      </c>
      <c r="S212">
        <f>IF($J212&gt;MAX('Match Log'!$A$4:$A$810),NA(),IFERROR(LOOKUP(2,1/(('Match Log'!$D$4:$D$810=$S$24)*('Match Log'!$A$4:$A$810&lt;=$J212)),'Match Log'!$N$4:$N$810),NA()))</f>
        <v>0</v>
      </c>
      <c r="T212">
        <f>IF($J212&gt;MAX('Match Log'!$A$4:$A$810),NA(),IFERROR(LOOKUP(2,1/(('Match Log'!$D$4:$D$810=$T$24)*('Match Log'!$A$4:$A$810&lt;=$J212)),'Match Log'!$N$4:$N$810),NA()))</f>
        <v>0</v>
      </c>
      <c r="U212">
        <f>IF($J212&gt;MAX('Match Log'!$A$4:$A$810),NA(),IFERROR(LOOKUP(2,1/(('Match Log'!$D$4:$D$810=$U$24)*('Match Log'!$A$4:$A$810&lt;=$J212)),'Match Log'!$N$4:$N$810),NA()))</f>
        <v>0</v>
      </c>
      <c r="V212">
        <f>IF($J212&gt;MAX('Match Log'!$A$4:$A$810),NA(),IFERROR(LOOKUP(2,1/(('Match Log'!$D$4:$D$810=$V$24)*('Match Log'!$A$4:$A$810&lt;=$J212)),'Match Log'!$N$4:$N$810),NA()))</f>
        <v>0</v>
      </c>
      <c r="W212">
        <f>IF($J212&gt;MAX('Match Log'!$A$4:$A$810),NA(),IFERROR(LOOKUP(2,1/(('Match Log'!$D$4:$D$810=$W$24)*('Match Log'!$A$4:$A$810&lt;=$J212)),'Match Log'!$N$4:$N$810),NA()))</f>
        <v>0</v>
      </c>
      <c r="X212">
        <f>IF($J212&gt;MAX('Match Log'!$A$4:$A$810),NA(),IFERROR(LOOKUP(2,1/(('Match Log'!$D$4:$D$810=$X$24)*('Match Log'!$A$4:$A$810&lt;=$J212)),'Match Log'!$N$4:$N$810),NA()))</f>
        <v>0</v>
      </c>
      <c r="Y212" t="str">
        <f>IF(AND($B212&lt;&gt;"",$B212&gt;=$B$5,$I212&lt;&gt;""),$I212,"")</f>
      </c>
    </row>
    <row r="213">
      <c r="A213">
        <v>189</v>
      </c>
      <c r="B213">
        <f>IFERROR(INDEX('Match Log'!$B$4:$B$810,MATCH(189,'Match Log'!$A$4:$A$810,0)),"")</f>
        <v>0</v>
      </c>
      <c r="C213" t="str">
        <f>IFERROR(INDEX('Match Log'!$C$4:$C$810,MATCH(189,'Match Log'!$A$4:$A$810,0)),"")</f>
      </c>
      <c r="D213" t="str">
        <f>IFERROR(INDEX('Match Log'!$G$4:$G$810,MATCH(189,'Match Log'!$A$4:$A$810,0)),"")</f>
      </c>
      <c r="E213">
        <f>IFERROR(INDEX('Match Log'!$F$4:$F$810,MATCH(189,'Match Log'!$A$4:$A$810,0)),"")</f>
        <v>0</v>
      </c>
      <c r="F213">
        <f>IFERROR(SUMIFS('Match Log'!$I$4:$I$810,'Match Log'!$A$4:$A$810,189,'Match Log'!$E$4:$E$810,"Win"),"")</f>
        <v>0</v>
      </c>
      <c r="G213">
        <f>IF($D213="","",1-$F213*$E213)</f>
        <v>0</v>
      </c>
      <c r="H213" t="str">
        <f>IFERROR(IF($E213=2,LOOKUP(2,1/(('Match Log'!$A$4:$A$810=189)*('Match Log'!$E$4:$E$810="Loss")),'Match Log'!$D$4:$D$810),"the field"),"")</f>
      </c>
      <c r="I213">
        <f>IF($G213="","",$G213-$A213/1000000)</f>
        <v>0</v>
      </c>
      <c r="J213">
        <v>189</v>
      </c>
      <c r="K213">
        <f>IF($J213&gt;MAX('Match Log'!$A$4:$A$810),NA(),IFERROR(LOOKUP(2,1/(('Match Log'!$D$4:$D$810=$K$24)*('Match Log'!$A$4:$A$810&lt;=$J213)),'Match Log'!$N$4:$N$810),NA()))</f>
        <v>0</v>
      </c>
      <c r="L213">
        <f>IF($J213&gt;MAX('Match Log'!$A$4:$A$810),NA(),IFERROR(LOOKUP(2,1/(('Match Log'!$D$4:$D$810=$L$24)*('Match Log'!$A$4:$A$810&lt;=$J213)),'Match Log'!$N$4:$N$810),NA()))</f>
        <v>0</v>
      </c>
      <c r="M213">
        <f>IF($J213&gt;MAX('Match Log'!$A$4:$A$810),NA(),IFERROR(LOOKUP(2,1/(('Match Log'!$D$4:$D$810=$M$24)*('Match Log'!$A$4:$A$810&lt;=$J213)),'Match Log'!$N$4:$N$810),NA()))</f>
        <v>0</v>
      </c>
      <c r="N213">
        <f>IF($J213&gt;MAX('Match Log'!$A$4:$A$810),NA(),IFERROR(LOOKUP(2,1/(('Match Log'!$D$4:$D$810=$N$24)*('Match Log'!$A$4:$A$810&lt;=$J213)),'Match Log'!$N$4:$N$810),NA()))</f>
        <v>0</v>
      </c>
      <c r="O213">
        <f>IF($J213&gt;MAX('Match Log'!$A$4:$A$810),NA(),IFERROR(LOOKUP(2,1/(('Match Log'!$D$4:$D$810=$O$24)*('Match Log'!$A$4:$A$810&lt;=$J213)),'Match Log'!$N$4:$N$810),NA()))</f>
        <v>0</v>
      </c>
      <c r="P213">
        <f>IF($J213&gt;MAX('Match Log'!$A$4:$A$810),NA(),IFERROR(LOOKUP(2,1/(('Match Log'!$D$4:$D$810=$P$24)*('Match Log'!$A$4:$A$810&lt;=$J213)),'Match Log'!$N$4:$N$810),NA()))</f>
        <v>0</v>
      </c>
      <c r="Q213">
        <f>IF($J213&gt;MAX('Match Log'!$A$4:$A$810),NA(),IFERROR(LOOKUP(2,1/(('Match Log'!$D$4:$D$810=$Q$24)*('Match Log'!$A$4:$A$810&lt;=$J213)),'Match Log'!$N$4:$N$810),NA()))</f>
        <v>0</v>
      </c>
      <c r="R213">
        <f>IF($J213&gt;MAX('Match Log'!$A$4:$A$810),NA(),IFERROR(LOOKUP(2,1/(('Match Log'!$D$4:$D$810=$R$24)*('Match Log'!$A$4:$A$810&lt;=$J213)),'Match Log'!$N$4:$N$810),NA()))</f>
        <v>0</v>
      </c>
      <c r="S213">
        <f>IF($J213&gt;MAX('Match Log'!$A$4:$A$810),NA(),IFERROR(LOOKUP(2,1/(('Match Log'!$D$4:$D$810=$S$24)*('Match Log'!$A$4:$A$810&lt;=$J213)),'Match Log'!$N$4:$N$810),NA()))</f>
        <v>0</v>
      </c>
      <c r="T213">
        <f>IF($J213&gt;MAX('Match Log'!$A$4:$A$810),NA(),IFERROR(LOOKUP(2,1/(('Match Log'!$D$4:$D$810=$T$24)*('Match Log'!$A$4:$A$810&lt;=$J213)),'Match Log'!$N$4:$N$810),NA()))</f>
        <v>0</v>
      </c>
      <c r="U213">
        <f>IF($J213&gt;MAX('Match Log'!$A$4:$A$810),NA(),IFERROR(LOOKUP(2,1/(('Match Log'!$D$4:$D$810=$U$24)*('Match Log'!$A$4:$A$810&lt;=$J213)),'Match Log'!$N$4:$N$810),NA()))</f>
        <v>0</v>
      </c>
      <c r="V213">
        <f>IF($J213&gt;MAX('Match Log'!$A$4:$A$810),NA(),IFERROR(LOOKUP(2,1/(('Match Log'!$D$4:$D$810=$V$24)*('Match Log'!$A$4:$A$810&lt;=$J213)),'Match Log'!$N$4:$N$810),NA()))</f>
        <v>0</v>
      </c>
      <c r="W213">
        <f>IF($J213&gt;MAX('Match Log'!$A$4:$A$810),NA(),IFERROR(LOOKUP(2,1/(('Match Log'!$D$4:$D$810=$W$24)*('Match Log'!$A$4:$A$810&lt;=$J213)),'Match Log'!$N$4:$N$810),NA()))</f>
        <v>0</v>
      </c>
      <c r="X213">
        <f>IF($J213&gt;MAX('Match Log'!$A$4:$A$810),NA(),IFERROR(LOOKUP(2,1/(('Match Log'!$D$4:$D$810=$X$24)*('Match Log'!$A$4:$A$810&lt;=$J213)),'Match Log'!$N$4:$N$810),NA()))</f>
        <v>0</v>
      </c>
      <c r="Y213" t="str">
        <f>IF(AND($B213&lt;&gt;"",$B213&gt;=$B$5,$I213&lt;&gt;""),$I213,"")</f>
      </c>
    </row>
    <row r="214">
      <c r="A214">
        <v>190</v>
      </c>
      <c r="B214">
        <f>IFERROR(INDEX('Match Log'!$B$4:$B$810,MATCH(190,'Match Log'!$A$4:$A$810,0)),"")</f>
        <v>0</v>
      </c>
      <c r="C214" t="str">
        <f>IFERROR(INDEX('Match Log'!$C$4:$C$810,MATCH(190,'Match Log'!$A$4:$A$810,0)),"")</f>
      </c>
      <c r="D214" t="str">
        <f>IFERROR(INDEX('Match Log'!$G$4:$G$810,MATCH(190,'Match Log'!$A$4:$A$810,0)),"")</f>
      </c>
      <c r="E214">
        <f>IFERROR(INDEX('Match Log'!$F$4:$F$810,MATCH(190,'Match Log'!$A$4:$A$810,0)),"")</f>
        <v>0</v>
      </c>
      <c r="F214">
        <f>IFERROR(SUMIFS('Match Log'!$I$4:$I$810,'Match Log'!$A$4:$A$810,190,'Match Log'!$E$4:$E$810,"Win"),"")</f>
        <v>0</v>
      </c>
      <c r="G214">
        <f>IF($D214="","",1-$F214*$E214)</f>
        <v>0</v>
      </c>
      <c r="H214" t="str">
        <f>IFERROR(IF($E214=2,LOOKUP(2,1/(('Match Log'!$A$4:$A$810=190)*('Match Log'!$E$4:$E$810="Loss")),'Match Log'!$D$4:$D$810),"the field"),"")</f>
      </c>
      <c r="I214">
        <f>IF($G214="","",$G214-$A214/1000000)</f>
        <v>0</v>
      </c>
      <c r="J214">
        <v>190</v>
      </c>
      <c r="K214">
        <f>IF($J214&gt;MAX('Match Log'!$A$4:$A$810),NA(),IFERROR(LOOKUP(2,1/(('Match Log'!$D$4:$D$810=$K$24)*('Match Log'!$A$4:$A$810&lt;=$J214)),'Match Log'!$N$4:$N$810),NA()))</f>
        <v>0</v>
      </c>
      <c r="L214">
        <f>IF($J214&gt;MAX('Match Log'!$A$4:$A$810),NA(),IFERROR(LOOKUP(2,1/(('Match Log'!$D$4:$D$810=$L$24)*('Match Log'!$A$4:$A$810&lt;=$J214)),'Match Log'!$N$4:$N$810),NA()))</f>
        <v>0</v>
      </c>
      <c r="M214">
        <f>IF($J214&gt;MAX('Match Log'!$A$4:$A$810),NA(),IFERROR(LOOKUP(2,1/(('Match Log'!$D$4:$D$810=$M$24)*('Match Log'!$A$4:$A$810&lt;=$J214)),'Match Log'!$N$4:$N$810),NA()))</f>
        <v>0</v>
      </c>
      <c r="N214">
        <f>IF($J214&gt;MAX('Match Log'!$A$4:$A$810),NA(),IFERROR(LOOKUP(2,1/(('Match Log'!$D$4:$D$810=$N$24)*('Match Log'!$A$4:$A$810&lt;=$J214)),'Match Log'!$N$4:$N$810),NA()))</f>
        <v>0</v>
      </c>
      <c r="O214">
        <f>IF($J214&gt;MAX('Match Log'!$A$4:$A$810),NA(),IFERROR(LOOKUP(2,1/(('Match Log'!$D$4:$D$810=$O$24)*('Match Log'!$A$4:$A$810&lt;=$J214)),'Match Log'!$N$4:$N$810),NA()))</f>
        <v>0</v>
      </c>
      <c r="P214">
        <f>IF($J214&gt;MAX('Match Log'!$A$4:$A$810),NA(),IFERROR(LOOKUP(2,1/(('Match Log'!$D$4:$D$810=$P$24)*('Match Log'!$A$4:$A$810&lt;=$J214)),'Match Log'!$N$4:$N$810),NA()))</f>
        <v>0</v>
      </c>
      <c r="Q214">
        <f>IF($J214&gt;MAX('Match Log'!$A$4:$A$810),NA(),IFERROR(LOOKUP(2,1/(('Match Log'!$D$4:$D$810=$Q$24)*('Match Log'!$A$4:$A$810&lt;=$J214)),'Match Log'!$N$4:$N$810),NA()))</f>
        <v>0</v>
      </c>
      <c r="R214">
        <f>IF($J214&gt;MAX('Match Log'!$A$4:$A$810),NA(),IFERROR(LOOKUP(2,1/(('Match Log'!$D$4:$D$810=$R$24)*('Match Log'!$A$4:$A$810&lt;=$J214)),'Match Log'!$N$4:$N$810),NA()))</f>
        <v>0</v>
      </c>
      <c r="S214">
        <f>IF($J214&gt;MAX('Match Log'!$A$4:$A$810),NA(),IFERROR(LOOKUP(2,1/(('Match Log'!$D$4:$D$810=$S$24)*('Match Log'!$A$4:$A$810&lt;=$J214)),'Match Log'!$N$4:$N$810),NA()))</f>
        <v>0</v>
      </c>
      <c r="T214">
        <f>IF($J214&gt;MAX('Match Log'!$A$4:$A$810),NA(),IFERROR(LOOKUP(2,1/(('Match Log'!$D$4:$D$810=$T$24)*('Match Log'!$A$4:$A$810&lt;=$J214)),'Match Log'!$N$4:$N$810),NA()))</f>
        <v>0</v>
      </c>
      <c r="U214">
        <f>IF($J214&gt;MAX('Match Log'!$A$4:$A$810),NA(),IFERROR(LOOKUP(2,1/(('Match Log'!$D$4:$D$810=$U$24)*('Match Log'!$A$4:$A$810&lt;=$J214)),'Match Log'!$N$4:$N$810),NA()))</f>
        <v>0</v>
      </c>
      <c r="V214">
        <f>IF($J214&gt;MAX('Match Log'!$A$4:$A$810),NA(),IFERROR(LOOKUP(2,1/(('Match Log'!$D$4:$D$810=$V$24)*('Match Log'!$A$4:$A$810&lt;=$J214)),'Match Log'!$N$4:$N$810),NA()))</f>
        <v>0</v>
      </c>
      <c r="W214">
        <f>IF($J214&gt;MAX('Match Log'!$A$4:$A$810),NA(),IFERROR(LOOKUP(2,1/(('Match Log'!$D$4:$D$810=$W$24)*('Match Log'!$A$4:$A$810&lt;=$J214)),'Match Log'!$N$4:$N$810),NA()))</f>
        <v>0</v>
      </c>
      <c r="X214">
        <f>IF($J214&gt;MAX('Match Log'!$A$4:$A$810),NA(),IFERROR(LOOKUP(2,1/(('Match Log'!$D$4:$D$810=$X$24)*('Match Log'!$A$4:$A$810&lt;=$J214)),'Match Log'!$N$4:$N$810),NA()))</f>
        <v>0</v>
      </c>
      <c r="Y214" t="str">
        <f>IF(AND($B214&lt;&gt;"",$B214&gt;=$B$5,$I214&lt;&gt;""),$I214,"")</f>
      </c>
    </row>
    <row r="215">
      <c r="A215">
        <v>191</v>
      </c>
      <c r="B215">
        <f>IFERROR(INDEX('Match Log'!$B$4:$B$810,MATCH(191,'Match Log'!$A$4:$A$810,0)),"")</f>
        <v>0</v>
      </c>
      <c r="C215" t="str">
        <f>IFERROR(INDEX('Match Log'!$C$4:$C$810,MATCH(191,'Match Log'!$A$4:$A$810,0)),"")</f>
      </c>
      <c r="D215" t="str">
        <f>IFERROR(INDEX('Match Log'!$G$4:$G$810,MATCH(191,'Match Log'!$A$4:$A$810,0)),"")</f>
      </c>
      <c r="E215">
        <f>IFERROR(INDEX('Match Log'!$F$4:$F$810,MATCH(191,'Match Log'!$A$4:$A$810,0)),"")</f>
        <v>0</v>
      </c>
      <c r="F215">
        <f>IFERROR(SUMIFS('Match Log'!$I$4:$I$810,'Match Log'!$A$4:$A$810,191,'Match Log'!$E$4:$E$810,"Win"),"")</f>
        <v>0</v>
      </c>
      <c r="G215">
        <f>IF($D215="","",1-$F215*$E215)</f>
        <v>0</v>
      </c>
      <c r="H215" t="str">
        <f>IFERROR(IF($E215=2,LOOKUP(2,1/(('Match Log'!$A$4:$A$810=191)*('Match Log'!$E$4:$E$810="Loss")),'Match Log'!$D$4:$D$810),"the field"),"")</f>
      </c>
      <c r="I215">
        <f>IF($G215="","",$G215-$A215/1000000)</f>
        <v>0</v>
      </c>
      <c r="J215">
        <v>191</v>
      </c>
      <c r="K215">
        <f>IF($J215&gt;MAX('Match Log'!$A$4:$A$810),NA(),IFERROR(LOOKUP(2,1/(('Match Log'!$D$4:$D$810=$K$24)*('Match Log'!$A$4:$A$810&lt;=$J215)),'Match Log'!$N$4:$N$810),NA()))</f>
        <v>0</v>
      </c>
      <c r="L215">
        <f>IF($J215&gt;MAX('Match Log'!$A$4:$A$810),NA(),IFERROR(LOOKUP(2,1/(('Match Log'!$D$4:$D$810=$L$24)*('Match Log'!$A$4:$A$810&lt;=$J215)),'Match Log'!$N$4:$N$810),NA()))</f>
        <v>0</v>
      </c>
      <c r="M215">
        <f>IF($J215&gt;MAX('Match Log'!$A$4:$A$810),NA(),IFERROR(LOOKUP(2,1/(('Match Log'!$D$4:$D$810=$M$24)*('Match Log'!$A$4:$A$810&lt;=$J215)),'Match Log'!$N$4:$N$810),NA()))</f>
        <v>0</v>
      </c>
      <c r="N215">
        <f>IF($J215&gt;MAX('Match Log'!$A$4:$A$810),NA(),IFERROR(LOOKUP(2,1/(('Match Log'!$D$4:$D$810=$N$24)*('Match Log'!$A$4:$A$810&lt;=$J215)),'Match Log'!$N$4:$N$810),NA()))</f>
        <v>0</v>
      </c>
      <c r="O215">
        <f>IF($J215&gt;MAX('Match Log'!$A$4:$A$810),NA(),IFERROR(LOOKUP(2,1/(('Match Log'!$D$4:$D$810=$O$24)*('Match Log'!$A$4:$A$810&lt;=$J215)),'Match Log'!$N$4:$N$810),NA()))</f>
        <v>0</v>
      </c>
      <c r="P215">
        <f>IF($J215&gt;MAX('Match Log'!$A$4:$A$810),NA(),IFERROR(LOOKUP(2,1/(('Match Log'!$D$4:$D$810=$P$24)*('Match Log'!$A$4:$A$810&lt;=$J215)),'Match Log'!$N$4:$N$810),NA()))</f>
        <v>0</v>
      </c>
      <c r="Q215">
        <f>IF($J215&gt;MAX('Match Log'!$A$4:$A$810),NA(),IFERROR(LOOKUP(2,1/(('Match Log'!$D$4:$D$810=$Q$24)*('Match Log'!$A$4:$A$810&lt;=$J215)),'Match Log'!$N$4:$N$810),NA()))</f>
        <v>0</v>
      </c>
      <c r="R215">
        <f>IF($J215&gt;MAX('Match Log'!$A$4:$A$810),NA(),IFERROR(LOOKUP(2,1/(('Match Log'!$D$4:$D$810=$R$24)*('Match Log'!$A$4:$A$810&lt;=$J215)),'Match Log'!$N$4:$N$810),NA()))</f>
        <v>0</v>
      </c>
      <c r="S215">
        <f>IF($J215&gt;MAX('Match Log'!$A$4:$A$810),NA(),IFERROR(LOOKUP(2,1/(('Match Log'!$D$4:$D$810=$S$24)*('Match Log'!$A$4:$A$810&lt;=$J215)),'Match Log'!$N$4:$N$810),NA()))</f>
        <v>0</v>
      </c>
      <c r="T215">
        <f>IF($J215&gt;MAX('Match Log'!$A$4:$A$810),NA(),IFERROR(LOOKUP(2,1/(('Match Log'!$D$4:$D$810=$T$24)*('Match Log'!$A$4:$A$810&lt;=$J215)),'Match Log'!$N$4:$N$810),NA()))</f>
        <v>0</v>
      </c>
      <c r="U215">
        <f>IF($J215&gt;MAX('Match Log'!$A$4:$A$810),NA(),IFERROR(LOOKUP(2,1/(('Match Log'!$D$4:$D$810=$U$24)*('Match Log'!$A$4:$A$810&lt;=$J215)),'Match Log'!$N$4:$N$810),NA()))</f>
        <v>0</v>
      </c>
      <c r="V215">
        <f>IF($J215&gt;MAX('Match Log'!$A$4:$A$810),NA(),IFERROR(LOOKUP(2,1/(('Match Log'!$D$4:$D$810=$V$24)*('Match Log'!$A$4:$A$810&lt;=$J215)),'Match Log'!$N$4:$N$810),NA()))</f>
        <v>0</v>
      </c>
      <c r="W215">
        <f>IF($J215&gt;MAX('Match Log'!$A$4:$A$810),NA(),IFERROR(LOOKUP(2,1/(('Match Log'!$D$4:$D$810=$W$24)*('Match Log'!$A$4:$A$810&lt;=$J215)),'Match Log'!$N$4:$N$810),NA()))</f>
        <v>0</v>
      </c>
      <c r="X215">
        <f>IF($J215&gt;MAX('Match Log'!$A$4:$A$810),NA(),IFERROR(LOOKUP(2,1/(('Match Log'!$D$4:$D$810=$X$24)*('Match Log'!$A$4:$A$810&lt;=$J215)),'Match Log'!$N$4:$N$810),NA()))</f>
        <v>0</v>
      </c>
      <c r="Y215" t="str">
        <f>IF(AND($B215&lt;&gt;"",$B215&gt;=$B$5,$I215&lt;&gt;""),$I215,"")</f>
      </c>
    </row>
    <row r="216">
      <c r="A216">
        <v>192</v>
      </c>
      <c r="B216">
        <f>IFERROR(INDEX('Match Log'!$B$4:$B$810,MATCH(192,'Match Log'!$A$4:$A$810,0)),"")</f>
        <v>0</v>
      </c>
      <c r="C216" t="str">
        <f>IFERROR(INDEX('Match Log'!$C$4:$C$810,MATCH(192,'Match Log'!$A$4:$A$810,0)),"")</f>
      </c>
      <c r="D216" t="str">
        <f>IFERROR(INDEX('Match Log'!$G$4:$G$810,MATCH(192,'Match Log'!$A$4:$A$810,0)),"")</f>
      </c>
      <c r="E216">
        <f>IFERROR(INDEX('Match Log'!$F$4:$F$810,MATCH(192,'Match Log'!$A$4:$A$810,0)),"")</f>
        <v>0</v>
      </c>
      <c r="F216">
        <f>IFERROR(SUMIFS('Match Log'!$I$4:$I$810,'Match Log'!$A$4:$A$810,192,'Match Log'!$E$4:$E$810,"Win"),"")</f>
        <v>0</v>
      </c>
      <c r="G216">
        <f>IF($D216="","",1-$F216*$E216)</f>
        <v>0</v>
      </c>
      <c r="H216" t="str">
        <f>IFERROR(IF($E216=2,LOOKUP(2,1/(('Match Log'!$A$4:$A$810=192)*('Match Log'!$E$4:$E$810="Loss")),'Match Log'!$D$4:$D$810),"the field"),"")</f>
      </c>
      <c r="I216">
        <f>IF($G216="","",$G216-$A216/1000000)</f>
        <v>0</v>
      </c>
      <c r="J216">
        <v>192</v>
      </c>
      <c r="K216">
        <f>IF($J216&gt;MAX('Match Log'!$A$4:$A$810),NA(),IFERROR(LOOKUP(2,1/(('Match Log'!$D$4:$D$810=$K$24)*('Match Log'!$A$4:$A$810&lt;=$J216)),'Match Log'!$N$4:$N$810),NA()))</f>
        <v>0</v>
      </c>
      <c r="L216">
        <f>IF($J216&gt;MAX('Match Log'!$A$4:$A$810),NA(),IFERROR(LOOKUP(2,1/(('Match Log'!$D$4:$D$810=$L$24)*('Match Log'!$A$4:$A$810&lt;=$J216)),'Match Log'!$N$4:$N$810),NA()))</f>
        <v>0</v>
      </c>
      <c r="M216">
        <f>IF($J216&gt;MAX('Match Log'!$A$4:$A$810),NA(),IFERROR(LOOKUP(2,1/(('Match Log'!$D$4:$D$810=$M$24)*('Match Log'!$A$4:$A$810&lt;=$J216)),'Match Log'!$N$4:$N$810),NA()))</f>
        <v>0</v>
      </c>
      <c r="N216">
        <f>IF($J216&gt;MAX('Match Log'!$A$4:$A$810),NA(),IFERROR(LOOKUP(2,1/(('Match Log'!$D$4:$D$810=$N$24)*('Match Log'!$A$4:$A$810&lt;=$J216)),'Match Log'!$N$4:$N$810),NA()))</f>
        <v>0</v>
      </c>
      <c r="O216">
        <f>IF($J216&gt;MAX('Match Log'!$A$4:$A$810),NA(),IFERROR(LOOKUP(2,1/(('Match Log'!$D$4:$D$810=$O$24)*('Match Log'!$A$4:$A$810&lt;=$J216)),'Match Log'!$N$4:$N$810),NA()))</f>
        <v>0</v>
      </c>
      <c r="P216">
        <f>IF($J216&gt;MAX('Match Log'!$A$4:$A$810),NA(),IFERROR(LOOKUP(2,1/(('Match Log'!$D$4:$D$810=$P$24)*('Match Log'!$A$4:$A$810&lt;=$J216)),'Match Log'!$N$4:$N$810),NA()))</f>
        <v>0</v>
      </c>
      <c r="Q216">
        <f>IF($J216&gt;MAX('Match Log'!$A$4:$A$810),NA(),IFERROR(LOOKUP(2,1/(('Match Log'!$D$4:$D$810=$Q$24)*('Match Log'!$A$4:$A$810&lt;=$J216)),'Match Log'!$N$4:$N$810),NA()))</f>
        <v>0</v>
      </c>
      <c r="R216">
        <f>IF($J216&gt;MAX('Match Log'!$A$4:$A$810),NA(),IFERROR(LOOKUP(2,1/(('Match Log'!$D$4:$D$810=$R$24)*('Match Log'!$A$4:$A$810&lt;=$J216)),'Match Log'!$N$4:$N$810),NA()))</f>
        <v>0</v>
      </c>
      <c r="S216">
        <f>IF($J216&gt;MAX('Match Log'!$A$4:$A$810),NA(),IFERROR(LOOKUP(2,1/(('Match Log'!$D$4:$D$810=$S$24)*('Match Log'!$A$4:$A$810&lt;=$J216)),'Match Log'!$N$4:$N$810),NA()))</f>
        <v>0</v>
      </c>
      <c r="T216">
        <f>IF($J216&gt;MAX('Match Log'!$A$4:$A$810),NA(),IFERROR(LOOKUP(2,1/(('Match Log'!$D$4:$D$810=$T$24)*('Match Log'!$A$4:$A$810&lt;=$J216)),'Match Log'!$N$4:$N$810),NA()))</f>
        <v>0</v>
      </c>
      <c r="U216">
        <f>IF($J216&gt;MAX('Match Log'!$A$4:$A$810),NA(),IFERROR(LOOKUP(2,1/(('Match Log'!$D$4:$D$810=$U$24)*('Match Log'!$A$4:$A$810&lt;=$J216)),'Match Log'!$N$4:$N$810),NA()))</f>
        <v>0</v>
      </c>
      <c r="V216">
        <f>IF($J216&gt;MAX('Match Log'!$A$4:$A$810),NA(),IFERROR(LOOKUP(2,1/(('Match Log'!$D$4:$D$810=$V$24)*('Match Log'!$A$4:$A$810&lt;=$J216)),'Match Log'!$N$4:$N$810),NA()))</f>
        <v>0</v>
      </c>
      <c r="W216">
        <f>IF($J216&gt;MAX('Match Log'!$A$4:$A$810),NA(),IFERROR(LOOKUP(2,1/(('Match Log'!$D$4:$D$810=$W$24)*('Match Log'!$A$4:$A$810&lt;=$J216)),'Match Log'!$N$4:$N$810),NA()))</f>
        <v>0</v>
      </c>
      <c r="X216">
        <f>IF($J216&gt;MAX('Match Log'!$A$4:$A$810),NA(),IFERROR(LOOKUP(2,1/(('Match Log'!$D$4:$D$810=$X$24)*('Match Log'!$A$4:$A$810&lt;=$J216)),'Match Log'!$N$4:$N$810),NA()))</f>
        <v>0</v>
      </c>
      <c r="Y216" t="str">
        <f>IF(AND($B216&lt;&gt;"",$B216&gt;=$B$5,$I216&lt;&gt;""),$I216,"")</f>
      </c>
    </row>
    <row r="217">
      <c r="A217">
        <v>193</v>
      </c>
      <c r="B217">
        <f>IFERROR(INDEX('Match Log'!$B$4:$B$810,MATCH(193,'Match Log'!$A$4:$A$810,0)),"")</f>
        <v>0</v>
      </c>
      <c r="C217" t="str">
        <f>IFERROR(INDEX('Match Log'!$C$4:$C$810,MATCH(193,'Match Log'!$A$4:$A$810,0)),"")</f>
      </c>
      <c r="D217" t="str">
        <f>IFERROR(INDEX('Match Log'!$G$4:$G$810,MATCH(193,'Match Log'!$A$4:$A$810,0)),"")</f>
      </c>
      <c r="E217">
        <f>IFERROR(INDEX('Match Log'!$F$4:$F$810,MATCH(193,'Match Log'!$A$4:$A$810,0)),"")</f>
        <v>0</v>
      </c>
      <c r="F217">
        <f>IFERROR(SUMIFS('Match Log'!$I$4:$I$810,'Match Log'!$A$4:$A$810,193,'Match Log'!$E$4:$E$810,"Win"),"")</f>
        <v>0</v>
      </c>
      <c r="G217">
        <f>IF($D217="","",1-$F217*$E217)</f>
        <v>0</v>
      </c>
      <c r="H217" t="str">
        <f>IFERROR(IF($E217=2,LOOKUP(2,1/(('Match Log'!$A$4:$A$810=193)*('Match Log'!$E$4:$E$810="Loss")),'Match Log'!$D$4:$D$810),"the field"),"")</f>
      </c>
      <c r="I217">
        <f>IF($G217="","",$G217-$A217/1000000)</f>
        <v>0</v>
      </c>
      <c r="J217">
        <v>193</v>
      </c>
      <c r="K217">
        <f>IF($J217&gt;MAX('Match Log'!$A$4:$A$810),NA(),IFERROR(LOOKUP(2,1/(('Match Log'!$D$4:$D$810=$K$24)*('Match Log'!$A$4:$A$810&lt;=$J217)),'Match Log'!$N$4:$N$810),NA()))</f>
        <v>0</v>
      </c>
      <c r="L217">
        <f>IF($J217&gt;MAX('Match Log'!$A$4:$A$810),NA(),IFERROR(LOOKUP(2,1/(('Match Log'!$D$4:$D$810=$L$24)*('Match Log'!$A$4:$A$810&lt;=$J217)),'Match Log'!$N$4:$N$810),NA()))</f>
        <v>0</v>
      </c>
      <c r="M217">
        <f>IF($J217&gt;MAX('Match Log'!$A$4:$A$810),NA(),IFERROR(LOOKUP(2,1/(('Match Log'!$D$4:$D$810=$M$24)*('Match Log'!$A$4:$A$810&lt;=$J217)),'Match Log'!$N$4:$N$810),NA()))</f>
        <v>0</v>
      </c>
      <c r="N217">
        <f>IF($J217&gt;MAX('Match Log'!$A$4:$A$810),NA(),IFERROR(LOOKUP(2,1/(('Match Log'!$D$4:$D$810=$N$24)*('Match Log'!$A$4:$A$810&lt;=$J217)),'Match Log'!$N$4:$N$810),NA()))</f>
        <v>0</v>
      </c>
      <c r="O217">
        <f>IF($J217&gt;MAX('Match Log'!$A$4:$A$810),NA(),IFERROR(LOOKUP(2,1/(('Match Log'!$D$4:$D$810=$O$24)*('Match Log'!$A$4:$A$810&lt;=$J217)),'Match Log'!$N$4:$N$810),NA()))</f>
        <v>0</v>
      </c>
      <c r="P217">
        <f>IF($J217&gt;MAX('Match Log'!$A$4:$A$810),NA(),IFERROR(LOOKUP(2,1/(('Match Log'!$D$4:$D$810=$P$24)*('Match Log'!$A$4:$A$810&lt;=$J217)),'Match Log'!$N$4:$N$810),NA()))</f>
        <v>0</v>
      </c>
      <c r="Q217">
        <f>IF($J217&gt;MAX('Match Log'!$A$4:$A$810),NA(),IFERROR(LOOKUP(2,1/(('Match Log'!$D$4:$D$810=$Q$24)*('Match Log'!$A$4:$A$810&lt;=$J217)),'Match Log'!$N$4:$N$810),NA()))</f>
        <v>0</v>
      </c>
      <c r="R217">
        <f>IF($J217&gt;MAX('Match Log'!$A$4:$A$810),NA(),IFERROR(LOOKUP(2,1/(('Match Log'!$D$4:$D$810=$R$24)*('Match Log'!$A$4:$A$810&lt;=$J217)),'Match Log'!$N$4:$N$810),NA()))</f>
        <v>0</v>
      </c>
      <c r="S217">
        <f>IF($J217&gt;MAX('Match Log'!$A$4:$A$810),NA(),IFERROR(LOOKUP(2,1/(('Match Log'!$D$4:$D$810=$S$24)*('Match Log'!$A$4:$A$810&lt;=$J217)),'Match Log'!$N$4:$N$810),NA()))</f>
        <v>0</v>
      </c>
      <c r="T217">
        <f>IF($J217&gt;MAX('Match Log'!$A$4:$A$810),NA(),IFERROR(LOOKUP(2,1/(('Match Log'!$D$4:$D$810=$T$24)*('Match Log'!$A$4:$A$810&lt;=$J217)),'Match Log'!$N$4:$N$810),NA()))</f>
        <v>0</v>
      </c>
      <c r="U217">
        <f>IF($J217&gt;MAX('Match Log'!$A$4:$A$810),NA(),IFERROR(LOOKUP(2,1/(('Match Log'!$D$4:$D$810=$U$24)*('Match Log'!$A$4:$A$810&lt;=$J217)),'Match Log'!$N$4:$N$810),NA()))</f>
        <v>0</v>
      </c>
      <c r="V217">
        <f>IF($J217&gt;MAX('Match Log'!$A$4:$A$810),NA(),IFERROR(LOOKUP(2,1/(('Match Log'!$D$4:$D$810=$V$24)*('Match Log'!$A$4:$A$810&lt;=$J217)),'Match Log'!$N$4:$N$810),NA()))</f>
        <v>0</v>
      </c>
      <c r="W217">
        <f>IF($J217&gt;MAX('Match Log'!$A$4:$A$810),NA(),IFERROR(LOOKUP(2,1/(('Match Log'!$D$4:$D$810=$W$24)*('Match Log'!$A$4:$A$810&lt;=$J217)),'Match Log'!$N$4:$N$810),NA()))</f>
        <v>0</v>
      </c>
      <c r="X217">
        <f>IF($J217&gt;MAX('Match Log'!$A$4:$A$810),NA(),IFERROR(LOOKUP(2,1/(('Match Log'!$D$4:$D$810=$X$24)*('Match Log'!$A$4:$A$810&lt;=$J217)),'Match Log'!$N$4:$N$810),NA()))</f>
        <v>0</v>
      </c>
      <c r="Y217" t="str">
        <f>IF(AND($B217&lt;&gt;"",$B217&gt;=$B$5,$I217&lt;&gt;""),$I217,"")</f>
      </c>
    </row>
    <row r="218">
      <c r="A218">
        <v>194</v>
      </c>
      <c r="B218">
        <f>IFERROR(INDEX('Match Log'!$B$4:$B$810,MATCH(194,'Match Log'!$A$4:$A$810,0)),"")</f>
        <v>0</v>
      </c>
      <c r="C218" t="str">
        <f>IFERROR(INDEX('Match Log'!$C$4:$C$810,MATCH(194,'Match Log'!$A$4:$A$810,0)),"")</f>
      </c>
      <c r="D218" t="str">
        <f>IFERROR(INDEX('Match Log'!$G$4:$G$810,MATCH(194,'Match Log'!$A$4:$A$810,0)),"")</f>
      </c>
      <c r="E218">
        <f>IFERROR(INDEX('Match Log'!$F$4:$F$810,MATCH(194,'Match Log'!$A$4:$A$810,0)),"")</f>
        <v>0</v>
      </c>
      <c r="F218">
        <f>IFERROR(SUMIFS('Match Log'!$I$4:$I$810,'Match Log'!$A$4:$A$810,194,'Match Log'!$E$4:$E$810,"Win"),"")</f>
        <v>0</v>
      </c>
      <c r="G218">
        <f>IF($D218="","",1-$F218*$E218)</f>
        <v>0</v>
      </c>
      <c r="H218" t="str">
        <f>IFERROR(IF($E218=2,LOOKUP(2,1/(('Match Log'!$A$4:$A$810=194)*('Match Log'!$E$4:$E$810="Loss")),'Match Log'!$D$4:$D$810),"the field"),"")</f>
      </c>
      <c r="I218">
        <f>IF($G218="","",$G218-$A218/1000000)</f>
        <v>0</v>
      </c>
      <c r="J218">
        <v>194</v>
      </c>
      <c r="K218">
        <f>IF($J218&gt;MAX('Match Log'!$A$4:$A$810),NA(),IFERROR(LOOKUP(2,1/(('Match Log'!$D$4:$D$810=$K$24)*('Match Log'!$A$4:$A$810&lt;=$J218)),'Match Log'!$N$4:$N$810),NA()))</f>
        <v>0</v>
      </c>
      <c r="L218">
        <f>IF($J218&gt;MAX('Match Log'!$A$4:$A$810),NA(),IFERROR(LOOKUP(2,1/(('Match Log'!$D$4:$D$810=$L$24)*('Match Log'!$A$4:$A$810&lt;=$J218)),'Match Log'!$N$4:$N$810),NA()))</f>
        <v>0</v>
      </c>
      <c r="M218">
        <f>IF($J218&gt;MAX('Match Log'!$A$4:$A$810),NA(),IFERROR(LOOKUP(2,1/(('Match Log'!$D$4:$D$810=$M$24)*('Match Log'!$A$4:$A$810&lt;=$J218)),'Match Log'!$N$4:$N$810),NA()))</f>
        <v>0</v>
      </c>
      <c r="N218">
        <f>IF($J218&gt;MAX('Match Log'!$A$4:$A$810),NA(),IFERROR(LOOKUP(2,1/(('Match Log'!$D$4:$D$810=$N$24)*('Match Log'!$A$4:$A$810&lt;=$J218)),'Match Log'!$N$4:$N$810),NA()))</f>
        <v>0</v>
      </c>
      <c r="O218">
        <f>IF($J218&gt;MAX('Match Log'!$A$4:$A$810),NA(),IFERROR(LOOKUP(2,1/(('Match Log'!$D$4:$D$810=$O$24)*('Match Log'!$A$4:$A$810&lt;=$J218)),'Match Log'!$N$4:$N$810),NA()))</f>
        <v>0</v>
      </c>
      <c r="P218">
        <f>IF($J218&gt;MAX('Match Log'!$A$4:$A$810),NA(),IFERROR(LOOKUP(2,1/(('Match Log'!$D$4:$D$810=$P$24)*('Match Log'!$A$4:$A$810&lt;=$J218)),'Match Log'!$N$4:$N$810),NA()))</f>
        <v>0</v>
      </c>
      <c r="Q218">
        <f>IF($J218&gt;MAX('Match Log'!$A$4:$A$810),NA(),IFERROR(LOOKUP(2,1/(('Match Log'!$D$4:$D$810=$Q$24)*('Match Log'!$A$4:$A$810&lt;=$J218)),'Match Log'!$N$4:$N$810),NA()))</f>
        <v>0</v>
      </c>
      <c r="R218">
        <f>IF($J218&gt;MAX('Match Log'!$A$4:$A$810),NA(),IFERROR(LOOKUP(2,1/(('Match Log'!$D$4:$D$810=$R$24)*('Match Log'!$A$4:$A$810&lt;=$J218)),'Match Log'!$N$4:$N$810),NA()))</f>
        <v>0</v>
      </c>
      <c r="S218">
        <f>IF($J218&gt;MAX('Match Log'!$A$4:$A$810),NA(),IFERROR(LOOKUP(2,1/(('Match Log'!$D$4:$D$810=$S$24)*('Match Log'!$A$4:$A$810&lt;=$J218)),'Match Log'!$N$4:$N$810),NA()))</f>
        <v>0</v>
      </c>
      <c r="T218">
        <f>IF($J218&gt;MAX('Match Log'!$A$4:$A$810),NA(),IFERROR(LOOKUP(2,1/(('Match Log'!$D$4:$D$810=$T$24)*('Match Log'!$A$4:$A$810&lt;=$J218)),'Match Log'!$N$4:$N$810),NA()))</f>
        <v>0</v>
      </c>
      <c r="U218">
        <f>IF($J218&gt;MAX('Match Log'!$A$4:$A$810),NA(),IFERROR(LOOKUP(2,1/(('Match Log'!$D$4:$D$810=$U$24)*('Match Log'!$A$4:$A$810&lt;=$J218)),'Match Log'!$N$4:$N$810),NA()))</f>
        <v>0</v>
      </c>
      <c r="V218">
        <f>IF($J218&gt;MAX('Match Log'!$A$4:$A$810),NA(),IFERROR(LOOKUP(2,1/(('Match Log'!$D$4:$D$810=$V$24)*('Match Log'!$A$4:$A$810&lt;=$J218)),'Match Log'!$N$4:$N$810),NA()))</f>
        <v>0</v>
      </c>
      <c r="W218">
        <f>IF($J218&gt;MAX('Match Log'!$A$4:$A$810),NA(),IFERROR(LOOKUP(2,1/(('Match Log'!$D$4:$D$810=$W$24)*('Match Log'!$A$4:$A$810&lt;=$J218)),'Match Log'!$N$4:$N$810),NA()))</f>
        <v>0</v>
      </c>
      <c r="X218">
        <f>IF($J218&gt;MAX('Match Log'!$A$4:$A$810),NA(),IFERROR(LOOKUP(2,1/(('Match Log'!$D$4:$D$810=$X$24)*('Match Log'!$A$4:$A$810&lt;=$J218)),'Match Log'!$N$4:$N$810),NA()))</f>
        <v>0</v>
      </c>
      <c r="Y218" t="str">
        <f>IF(AND($B218&lt;&gt;"",$B218&gt;=$B$5,$I218&lt;&gt;""),$I218,"")</f>
      </c>
    </row>
    <row r="219">
      <c r="A219">
        <v>195</v>
      </c>
      <c r="B219">
        <f>IFERROR(INDEX('Match Log'!$B$4:$B$810,MATCH(195,'Match Log'!$A$4:$A$810,0)),"")</f>
        <v>0</v>
      </c>
      <c r="C219" t="str">
        <f>IFERROR(INDEX('Match Log'!$C$4:$C$810,MATCH(195,'Match Log'!$A$4:$A$810,0)),"")</f>
      </c>
      <c r="D219" t="str">
        <f>IFERROR(INDEX('Match Log'!$G$4:$G$810,MATCH(195,'Match Log'!$A$4:$A$810,0)),"")</f>
      </c>
      <c r="E219">
        <f>IFERROR(INDEX('Match Log'!$F$4:$F$810,MATCH(195,'Match Log'!$A$4:$A$810,0)),"")</f>
        <v>0</v>
      </c>
      <c r="F219">
        <f>IFERROR(SUMIFS('Match Log'!$I$4:$I$810,'Match Log'!$A$4:$A$810,195,'Match Log'!$E$4:$E$810,"Win"),"")</f>
        <v>0</v>
      </c>
      <c r="G219">
        <f>IF($D219="","",1-$F219*$E219)</f>
        <v>0</v>
      </c>
      <c r="H219" t="str">
        <f>IFERROR(IF($E219=2,LOOKUP(2,1/(('Match Log'!$A$4:$A$810=195)*('Match Log'!$E$4:$E$810="Loss")),'Match Log'!$D$4:$D$810),"the field"),"")</f>
      </c>
      <c r="I219">
        <f>IF($G219="","",$G219-$A219/1000000)</f>
        <v>0</v>
      </c>
      <c r="J219">
        <v>195</v>
      </c>
      <c r="K219">
        <f>IF($J219&gt;MAX('Match Log'!$A$4:$A$810),NA(),IFERROR(LOOKUP(2,1/(('Match Log'!$D$4:$D$810=$K$24)*('Match Log'!$A$4:$A$810&lt;=$J219)),'Match Log'!$N$4:$N$810),NA()))</f>
        <v>0</v>
      </c>
      <c r="L219">
        <f>IF($J219&gt;MAX('Match Log'!$A$4:$A$810),NA(),IFERROR(LOOKUP(2,1/(('Match Log'!$D$4:$D$810=$L$24)*('Match Log'!$A$4:$A$810&lt;=$J219)),'Match Log'!$N$4:$N$810),NA()))</f>
        <v>0</v>
      </c>
      <c r="M219">
        <f>IF($J219&gt;MAX('Match Log'!$A$4:$A$810),NA(),IFERROR(LOOKUP(2,1/(('Match Log'!$D$4:$D$810=$M$24)*('Match Log'!$A$4:$A$810&lt;=$J219)),'Match Log'!$N$4:$N$810),NA()))</f>
        <v>0</v>
      </c>
      <c r="N219">
        <f>IF($J219&gt;MAX('Match Log'!$A$4:$A$810),NA(),IFERROR(LOOKUP(2,1/(('Match Log'!$D$4:$D$810=$N$24)*('Match Log'!$A$4:$A$810&lt;=$J219)),'Match Log'!$N$4:$N$810),NA()))</f>
        <v>0</v>
      </c>
      <c r="O219">
        <f>IF($J219&gt;MAX('Match Log'!$A$4:$A$810),NA(),IFERROR(LOOKUP(2,1/(('Match Log'!$D$4:$D$810=$O$24)*('Match Log'!$A$4:$A$810&lt;=$J219)),'Match Log'!$N$4:$N$810),NA()))</f>
        <v>0</v>
      </c>
      <c r="P219">
        <f>IF($J219&gt;MAX('Match Log'!$A$4:$A$810),NA(),IFERROR(LOOKUP(2,1/(('Match Log'!$D$4:$D$810=$P$24)*('Match Log'!$A$4:$A$810&lt;=$J219)),'Match Log'!$N$4:$N$810),NA()))</f>
        <v>0</v>
      </c>
      <c r="Q219">
        <f>IF($J219&gt;MAX('Match Log'!$A$4:$A$810),NA(),IFERROR(LOOKUP(2,1/(('Match Log'!$D$4:$D$810=$Q$24)*('Match Log'!$A$4:$A$810&lt;=$J219)),'Match Log'!$N$4:$N$810),NA()))</f>
        <v>0</v>
      </c>
      <c r="R219">
        <f>IF($J219&gt;MAX('Match Log'!$A$4:$A$810),NA(),IFERROR(LOOKUP(2,1/(('Match Log'!$D$4:$D$810=$R$24)*('Match Log'!$A$4:$A$810&lt;=$J219)),'Match Log'!$N$4:$N$810),NA()))</f>
        <v>0</v>
      </c>
      <c r="S219">
        <f>IF($J219&gt;MAX('Match Log'!$A$4:$A$810),NA(),IFERROR(LOOKUP(2,1/(('Match Log'!$D$4:$D$810=$S$24)*('Match Log'!$A$4:$A$810&lt;=$J219)),'Match Log'!$N$4:$N$810),NA()))</f>
        <v>0</v>
      </c>
      <c r="T219">
        <f>IF($J219&gt;MAX('Match Log'!$A$4:$A$810),NA(),IFERROR(LOOKUP(2,1/(('Match Log'!$D$4:$D$810=$T$24)*('Match Log'!$A$4:$A$810&lt;=$J219)),'Match Log'!$N$4:$N$810),NA()))</f>
        <v>0</v>
      </c>
      <c r="U219">
        <f>IF($J219&gt;MAX('Match Log'!$A$4:$A$810),NA(),IFERROR(LOOKUP(2,1/(('Match Log'!$D$4:$D$810=$U$24)*('Match Log'!$A$4:$A$810&lt;=$J219)),'Match Log'!$N$4:$N$810),NA()))</f>
        <v>0</v>
      </c>
      <c r="V219">
        <f>IF($J219&gt;MAX('Match Log'!$A$4:$A$810),NA(),IFERROR(LOOKUP(2,1/(('Match Log'!$D$4:$D$810=$V$24)*('Match Log'!$A$4:$A$810&lt;=$J219)),'Match Log'!$N$4:$N$810),NA()))</f>
        <v>0</v>
      </c>
      <c r="W219">
        <f>IF($J219&gt;MAX('Match Log'!$A$4:$A$810),NA(),IFERROR(LOOKUP(2,1/(('Match Log'!$D$4:$D$810=$W$24)*('Match Log'!$A$4:$A$810&lt;=$J219)),'Match Log'!$N$4:$N$810),NA()))</f>
        <v>0</v>
      </c>
      <c r="X219">
        <f>IF($J219&gt;MAX('Match Log'!$A$4:$A$810),NA(),IFERROR(LOOKUP(2,1/(('Match Log'!$D$4:$D$810=$X$24)*('Match Log'!$A$4:$A$810&lt;=$J219)),'Match Log'!$N$4:$N$810),NA()))</f>
        <v>0</v>
      </c>
      <c r="Y219" t="str">
        <f>IF(AND($B219&lt;&gt;"",$B219&gt;=$B$5,$I219&lt;&gt;""),$I219,"")</f>
      </c>
    </row>
    <row r="220">
      <c r="A220">
        <v>196</v>
      </c>
      <c r="B220">
        <f>IFERROR(INDEX('Match Log'!$B$4:$B$810,MATCH(196,'Match Log'!$A$4:$A$810,0)),"")</f>
        <v>0</v>
      </c>
      <c r="C220" t="str">
        <f>IFERROR(INDEX('Match Log'!$C$4:$C$810,MATCH(196,'Match Log'!$A$4:$A$810,0)),"")</f>
      </c>
      <c r="D220" t="str">
        <f>IFERROR(INDEX('Match Log'!$G$4:$G$810,MATCH(196,'Match Log'!$A$4:$A$810,0)),"")</f>
      </c>
      <c r="E220">
        <f>IFERROR(INDEX('Match Log'!$F$4:$F$810,MATCH(196,'Match Log'!$A$4:$A$810,0)),"")</f>
        <v>0</v>
      </c>
      <c r="F220">
        <f>IFERROR(SUMIFS('Match Log'!$I$4:$I$810,'Match Log'!$A$4:$A$810,196,'Match Log'!$E$4:$E$810,"Win"),"")</f>
        <v>0</v>
      </c>
      <c r="G220">
        <f>IF($D220="","",1-$F220*$E220)</f>
        <v>0</v>
      </c>
      <c r="H220" t="str">
        <f>IFERROR(IF($E220=2,LOOKUP(2,1/(('Match Log'!$A$4:$A$810=196)*('Match Log'!$E$4:$E$810="Loss")),'Match Log'!$D$4:$D$810),"the field"),"")</f>
      </c>
      <c r="I220">
        <f>IF($G220="","",$G220-$A220/1000000)</f>
        <v>0</v>
      </c>
      <c r="J220">
        <v>196</v>
      </c>
      <c r="K220">
        <f>IF($J220&gt;MAX('Match Log'!$A$4:$A$810),NA(),IFERROR(LOOKUP(2,1/(('Match Log'!$D$4:$D$810=$K$24)*('Match Log'!$A$4:$A$810&lt;=$J220)),'Match Log'!$N$4:$N$810),NA()))</f>
        <v>0</v>
      </c>
      <c r="L220">
        <f>IF($J220&gt;MAX('Match Log'!$A$4:$A$810),NA(),IFERROR(LOOKUP(2,1/(('Match Log'!$D$4:$D$810=$L$24)*('Match Log'!$A$4:$A$810&lt;=$J220)),'Match Log'!$N$4:$N$810),NA()))</f>
        <v>0</v>
      </c>
      <c r="M220">
        <f>IF($J220&gt;MAX('Match Log'!$A$4:$A$810),NA(),IFERROR(LOOKUP(2,1/(('Match Log'!$D$4:$D$810=$M$24)*('Match Log'!$A$4:$A$810&lt;=$J220)),'Match Log'!$N$4:$N$810),NA()))</f>
        <v>0</v>
      </c>
      <c r="N220">
        <f>IF($J220&gt;MAX('Match Log'!$A$4:$A$810),NA(),IFERROR(LOOKUP(2,1/(('Match Log'!$D$4:$D$810=$N$24)*('Match Log'!$A$4:$A$810&lt;=$J220)),'Match Log'!$N$4:$N$810),NA()))</f>
        <v>0</v>
      </c>
      <c r="O220">
        <f>IF($J220&gt;MAX('Match Log'!$A$4:$A$810),NA(),IFERROR(LOOKUP(2,1/(('Match Log'!$D$4:$D$810=$O$24)*('Match Log'!$A$4:$A$810&lt;=$J220)),'Match Log'!$N$4:$N$810),NA()))</f>
        <v>0</v>
      </c>
      <c r="P220">
        <f>IF($J220&gt;MAX('Match Log'!$A$4:$A$810),NA(),IFERROR(LOOKUP(2,1/(('Match Log'!$D$4:$D$810=$P$24)*('Match Log'!$A$4:$A$810&lt;=$J220)),'Match Log'!$N$4:$N$810),NA()))</f>
        <v>0</v>
      </c>
      <c r="Q220">
        <f>IF($J220&gt;MAX('Match Log'!$A$4:$A$810),NA(),IFERROR(LOOKUP(2,1/(('Match Log'!$D$4:$D$810=$Q$24)*('Match Log'!$A$4:$A$810&lt;=$J220)),'Match Log'!$N$4:$N$810),NA()))</f>
        <v>0</v>
      </c>
      <c r="R220">
        <f>IF($J220&gt;MAX('Match Log'!$A$4:$A$810),NA(),IFERROR(LOOKUP(2,1/(('Match Log'!$D$4:$D$810=$R$24)*('Match Log'!$A$4:$A$810&lt;=$J220)),'Match Log'!$N$4:$N$810),NA()))</f>
        <v>0</v>
      </c>
      <c r="S220">
        <f>IF($J220&gt;MAX('Match Log'!$A$4:$A$810),NA(),IFERROR(LOOKUP(2,1/(('Match Log'!$D$4:$D$810=$S$24)*('Match Log'!$A$4:$A$810&lt;=$J220)),'Match Log'!$N$4:$N$810),NA()))</f>
        <v>0</v>
      </c>
      <c r="T220">
        <f>IF($J220&gt;MAX('Match Log'!$A$4:$A$810),NA(),IFERROR(LOOKUP(2,1/(('Match Log'!$D$4:$D$810=$T$24)*('Match Log'!$A$4:$A$810&lt;=$J220)),'Match Log'!$N$4:$N$810),NA()))</f>
        <v>0</v>
      </c>
      <c r="U220">
        <f>IF($J220&gt;MAX('Match Log'!$A$4:$A$810),NA(),IFERROR(LOOKUP(2,1/(('Match Log'!$D$4:$D$810=$U$24)*('Match Log'!$A$4:$A$810&lt;=$J220)),'Match Log'!$N$4:$N$810),NA()))</f>
        <v>0</v>
      </c>
      <c r="V220">
        <f>IF($J220&gt;MAX('Match Log'!$A$4:$A$810),NA(),IFERROR(LOOKUP(2,1/(('Match Log'!$D$4:$D$810=$V$24)*('Match Log'!$A$4:$A$810&lt;=$J220)),'Match Log'!$N$4:$N$810),NA()))</f>
        <v>0</v>
      </c>
      <c r="W220">
        <f>IF($J220&gt;MAX('Match Log'!$A$4:$A$810),NA(),IFERROR(LOOKUP(2,1/(('Match Log'!$D$4:$D$810=$W$24)*('Match Log'!$A$4:$A$810&lt;=$J220)),'Match Log'!$N$4:$N$810),NA()))</f>
        <v>0</v>
      </c>
      <c r="X220">
        <f>IF($J220&gt;MAX('Match Log'!$A$4:$A$810),NA(),IFERROR(LOOKUP(2,1/(('Match Log'!$D$4:$D$810=$X$24)*('Match Log'!$A$4:$A$810&lt;=$J220)),'Match Log'!$N$4:$N$810),NA()))</f>
        <v>0</v>
      </c>
      <c r="Y220" t="str">
        <f>IF(AND($B220&lt;&gt;"",$B220&gt;=$B$5,$I220&lt;&gt;""),$I220,"")</f>
      </c>
    </row>
    <row r="221">
      <c r="A221">
        <v>197</v>
      </c>
      <c r="B221">
        <f>IFERROR(INDEX('Match Log'!$B$4:$B$810,MATCH(197,'Match Log'!$A$4:$A$810,0)),"")</f>
        <v>0</v>
      </c>
      <c r="C221" t="str">
        <f>IFERROR(INDEX('Match Log'!$C$4:$C$810,MATCH(197,'Match Log'!$A$4:$A$810,0)),"")</f>
      </c>
      <c r="D221" t="str">
        <f>IFERROR(INDEX('Match Log'!$G$4:$G$810,MATCH(197,'Match Log'!$A$4:$A$810,0)),"")</f>
      </c>
      <c r="E221">
        <f>IFERROR(INDEX('Match Log'!$F$4:$F$810,MATCH(197,'Match Log'!$A$4:$A$810,0)),"")</f>
        <v>0</v>
      </c>
      <c r="F221">
        <f>IFERROR(SUMIFS('Match Log'!$I$4:$I$810,'Match Log'!$A$4:$A$810,197,'Match Log'!$E$4:$E$810,"Win"),"")</f>
        <v>0</v>
      </c>
      <c r="G221">
        <f>IF($D221="","",1-$F221*$E221)</f>
        <v>0</v>
      </c>
      <c r="H221" t="str">
        <f>IFERROR(IF($E221=2,LOOKUP(2,1/(('Match Log'!$A$4:$A$810=197)*('Match Log'!$E$4:$E$810="Loss")),'Match Log'!$D$4:$D$810),"the field"),"")</f>
      </c>
      <c r="I221">
        <f>IF($G221="","",$G221-$A221/1000000)</f>
        <v>0</v>
      </c>
      <c r="J221">
        <v>197</v>
      </c>
      <c r="K221">
        <f>IF($J221&gt;MAX('Match Log'!$A$4:$A$810),NA(),IFERROR(LOOKUP(2,1/(('Match Log'!$D$4:$D$810=$K$24)*('Match Log'!$A$4:$A$810&lt;=$J221)),'Match Log'!$N$4:$N$810),NA()))</f>
        <v>0</v>
      </c>
      <c r="L221">
        <f>IF($J221&gt;MAX('Match Log'!$A$4:$A$810),NA(),IFERROR(LOOKUP(2,1/(('Match Log'!$D$4:$D$810=$L$24)*('Match Log'!$A$4:$A$810&lt;=$J221)),'Match Log'!$N$4:$N$810),NA()))</f>
        <v>0</v>
      </c>
      <c r="M221">
        <f>IF($J221&gt;MAX('Match Log'!$A$4:$A$810),NA(),IFERROR(LOOKUP(2,1/(('Match Log'!$D$4:$D$810=$M$24)*('Match Log'!$A$4:$A$810&lt;=$J221)),'Match Log'!$N$4:$N$810),NA()))</f>
        <v>0</v>
      </c>
      <c r="N221">
        <f>IF($J221&gt;MAX('Match Log'!$A$4:$A$810),NA(),IFERROR(LOOKUP(2,1/(('Match Log'!$D$4:$D$810=$N$24)*('Match Log'!$A$4:$A$810&lt;=$J221)),'Match Log'!$N$4:$N$810),NA()))</f>
        <v>0</v>
      </c>
      <c r="O221">
        <f>IF($J221&gt;MAX('Match Log'!$A$4:$A$810),NA(),IFERROR(LOOKUP(2,1/(('Match Log'!$D$4:$D$810=$O$24)*('Match Log'!$A$4:$A$810&lt;=$J221)),'Match Log'!$N$4:$N$810),NA()))</f>
        <v>0</v>
      </c>
      <c r="P221">
        <f>IF($J221&gt;MAX('Match Log'!$A$4:$A$810),NA(),IFERROR(LOOKUP(2,1/(('Match Log'!$D$4:$D$810=$P$24)*('Match Log'!$A$4:$A$810&lt;=$J221)),'Match Log'!$N$4:$N$810),NA()))</f>
        <v>0</v>
      </c>
      <c r="Q221">
        <f>IF($J221&gt;MAX('Match Log'!$A$4:$A$810),NA(),IFERROR(LOOKUP(2,1/(('Match Log'!$D$4:$D$810=$Q$24)*('Match Log'!$A$4:$A$810&lt;=$J221)),'Match Log'!$N$4:$N$810),NA()))</f>
        <v>0</v>
      </c>
      <c r="R221">
        <f>IF($J221&gt;MAX('Match Log'!$A$4:$A$810),NA(),IFERROR(LOOKUP(2,1/(('Match Log'!$D$4:$D$810=$R$24)*('Match Log'!$A$4:$A$810&lt;=$J221)),'Match Log'!$N$4:$N$810),NA()))</f>
        <v>0</v>
      </c>
      <c r="S221">
        <f>IF($J221&gt;MAX('Match Log'!$A$4:$A$810),NA(),IFERROR(LOOKUP(2,1/(('Match Log'!$D$4:$D$810=$S$24)*('Match Log'!$A$4:$A$810&lt;=$J221)),'Match Log'!$N$4:$N$810),NA()))</f>
        <v>0</v>
      </c>
      <c r="T221">
        <f>IF($J221&gt;MAX('Match Log'!$A$4:$A$810),NA(),IFERROR(LOOKUP(2,1/(('Match Log'!$D$4:$D$810=$T$24)*('Match Log'!$A$4:$A$810&lt;=$J221)),'Match Log'!$N$4:$N$810),NA()))</f>
        <v>0</v>
      </c>
      <c r="U221">
        <f>IF($J221&gt;MAX('Match Log'!$A$4:$A$810),NA(),IFERROR(LOOKUP(2,1/(('Match Log'!$D$4:$D$810=$U$24)*('Match Log'!$A$4:$A$810&lt;=$J221)),'Match Log'!$N$4:$N$810),NA()))</f>
        <v>0</v>
      </c>
      <c r="V221">
        <f>IF($J221&gt;MAX('Match Log'!$A$4:$A$810),NA(),IFERROR(LOOKUP(2,1/(('Match Log'!$D$4:$D$810=$V$24)*('Match Log'!$A$4:$A$810&lt;=$J221)),'Match Log'!$N$4:$N$810),NA()))</f>
        <v>0</v>
      </c>
      <c r="W221">
        <f>IF($J221&gt;MAX('Match Log'!$A$4:$A$810),NA(),IFERROR(LOOKUP(2,1/(('Match Log'!$D$4:$D$810=$W$24)*('Match Log'!$A$4:$A$810&lt;=$J221)),'Match Log'!$N$4:$N$810),NA()))</f>
        <v>0</v>
      </c>
      <c r="X221">
        <f>IF($J221&gt;MAX('Match Log'!$A$4:$A$810),NA(),IFERROR(LOOKUP(2,1/(('Match Log'!$D$4:$D$810=$X$24)*('Match Log'!$A$4:$A$810&lt;=$J221)),'Match Log'!$N$4:$N$810),NA()))</f>
        <v>0</v>
      </c>
      <c r="Y221" t="str">
        <f>IF(AND($B221&lt;&gt;"",$B221&gt;=$B$5,$I221&lt;&gt;""),$I221,"")</f>
      </c>
    </row>
    <row r="222">
      <c r="A222">
        <v>198</v>
      </c>
      <c r="B222">
        <f>IFERROR(INDEX('Match Log'!$B$4:$B$810,MATCH(198,'Match Log'!$A$4:$A$810,0)),"")</f>
        <v>0</v>
      </c>
      <c r="C222" t="str">
        <f>IFERROR(INDEX('Match Log'!$C$4:$C$810,MATCH(198,'Match Log'!$A$4:$A$810,0)),"")</f>
      </c>
      <c r="D222" t="str">
        <f>IFERROR(INDEX('Match Log'!$G$4:$G$810,MATCH(198,'Match Log'!$A$4:$A$810,0)),"")</f>
      </c>
      <c r="E222">
        <f>IFERROR(INDEX('Match Log'!$F$4:$F$810,MATCH(198,'Match Log'!$A$4:$A$810,0)),"")</f>
        <v>0</v>
      </c>
      <c r="F222">
        <f>IFERROR(SUMIFS('Match Log'!$I$4:$I$810,'Match Log'!$A$4:$A$810,198,'Match Log'!$E$4:$E$810,"Win"),"")</f>
        <v>0</v>
      </c>
      <c r="G222">
        <f>IF($D222="","",1-$F222*$E222)</f>
        <v>0</v>
      </c>
      <c r="H222" t="str">
        <f>IFERROR(IF($E222=2,LOOKUP(2,1/(('Match Log'!$A$4:$A$810=198)*('Match Log'!$E$4:$E$810="Loss")),'Match Log'!$D$4:$D$810),"the field"),"")</f>
      </c>
      <c r="I222">
        <f>IF($G222="","",$G222-$A222/1000000)</f>
        <v>0</v>
      </c>
      <c r="J222">
        <v>198</v>
      </c>
      <c r="K222">
        <f>IF($J222&gt;MAX('Match Log'!$A$4:$A$810),NA(),IFERROR(LOOKUP(2,1/(('Match Log'!$D$4:$D$810=$K$24)*('Match Log'!$A$4:$A$810&lt;=$J222)),'Match Log'!$N$4:$N$810),NA()))</f>
        <v>0</v>
      </c>
      <c r="L222">
        <f>IF($J222&gt;MAX('Match Log'!$A$4:$A$810),NA(),IFERROR(LOOKUP(2,1/(('Match Log'!$D$4:$D$810=$L$24)*('Match Log'!$A$4:$A$810&lt;=$J222)),'Match Log'!$N$4:$N$810),NA()))</f>
        <v>0</v>
      </c>
      <c r="M222">
        <f>IF($J222&gt;MAX('Match Log'!$A$4:$A$810),NA(),IFERROR(LOOKUP(2,1/(('Match Log'!$D$4:$D$810=$M$24)*('Match Log'!$A$4:$A$810&lt;=$J222)),'Match Log'!$N$4:$N$810),NA()))</f>
        <v>0</v>
      </c>
      <c r="N222">
        <f>IF($J222&gt;MAX('Match Log'!$A$4:$A$810),NA(),IFERROR(LOOKUP(2,1/(('Match Log'!$D$4:$D$810=$N$24)*('Match Log'!$A$4:$A$810&lt;=$J222)),'Match Log'!$N$4:$N$810),NA()))</f>
        <v>0</v>
      </c>
      <c r="O222">
        <f>IF($J222&gt;MAX('Match Log'!$A$4:$A$810),NA(),IFERROR(LOOKUP(2,1/(('Match Log'!$D$4:$D$810=$O$24)*('Match Log'!$A$4:$A$810&lt;=$J222)),'Match Log'!$N$4:$N$810),NA()))</f>
        <v>0</v>
      </c>
      <c r="P222">
        <f>IF($J222&gt;MAX('Match Log'!$A$4:$A$810),NA(),IFERROR(LOOKUP(2,1/(('Match Log'!$D$4:$D$810=$P$24)*('Match Log'!$A$4:$A$810&lt;=$J222)),'Match Log'!$N$4:$N$810),NA()))</f>
        <v>0</v>
      </c>
      <c r="Q222">
        <f>IF($J222&gt;MAX('Match Log'!$A$4:$A$810),NA(),IFERROR(LOOKUP(2,1/(('Match Log'!$D$4:$D$810=$Q$24)*('Match Log'!$A$4:$A$810&lt;=$J222)),'Match Log'!$N$4:$N$810),NA()))</f>
        <v>0</v>
      </c>
      <c r="R222">
        <f>IF($J222&gt;MAX('Match Log'!$A$4:$A$810),NA(),IFERROR(LOOKUP(2,1/(('Match Log'!$D$4:$D$810=$R$24)*('Match Log'!$A$4:$A$810&lt;=$J222)),'Match Log'!$N$4:$N$810),NA()))</f>
        <v>0</v>
      </c>
      <c r="S222">
        <f>IF($J222&gt;MAX('Match Log'!$A$4:$A$810),NA(),IFERROR(LOOKUP(2,1/(('Match Log'!$D$4:$D$810=$S$24)*('Match Log'!$A$4:$A$810&lt;=$J222)),'Match Log'!$N$4:$N$810),NA()))</f>
        <v>0</v>
      </c>
      <c r="T222">
        <f>IF($J222&gt;MAX('Match Log'!$A$4:$A$810),NA(),IFERROR(LOOKUP(2,1/(('Match Log'!$D$4:$D$810=$T$24)*('Match Log'!$A$4:$A$810&lt;=$J222)),'Match Log'!$N$4:$N$810),NA()))</f>
        <v>0</v>
      </c>
      <c r="U222">
        <f>IF($J222&gt;MAX('Match Log'!$A$4:$A$810),NA(),IFERROR(LOOKUP(2,1/(('Match Log'!$D$4:$D$810=$U$24)*('Match Log'!$A$4:$A$810&lt;=$J222)),'Match Log'!$N$4:$N$810),NA()))</f>
        <v>0</v>
      </c>
      <c r="V222">
        <f>IF($J222&gt;MAX('Match Log'!$A$4:$A$810),NA(),IFERROR(LOOKUP(2,1/(('Match Log'!$D$4:$D$810=$V$24)*('Match Log'!$A$4:$A$810&lt;=$J222)),'Match Log'!$N$4:$N$810),NA()))</f>
        <v>0</v>
      </c>
      <c r="W222">
        <f>IF($J222&gt;MAX('Match Log'!$A$4:$A$810),NA(),IFERROR(LOOKUP(2,1/(('Match Log'!$D$4:$D$810=$W$24)*('Match Log'!$A$4:$A$810&lt;=$J222)),'Match Log'!$N$4:$N$810),NA()))</f>
        <v>0</v>
      </c>
      <c r="X222">
        <f>IF($J222&gt;MAX('Match Log'!$A$4:$A$810),NA(),IFERROR(LOOKUP(2,1/(('Match Log'!$D$4:$D$810=$X$24)*('Match Log'!$A$4:$A$810&lt;=$J222)),'Match Log'!$N$4:$N$810),NA()))</f>
        <v>0</v>
      </c>
      <c r="Y222" t="str">
        <f>IF(AND($B222&lt;&gt;"",$B222&gt;=$B$5,$I222&lt;&gt;""),$I222,"")</f>
      </c>
    </row>
    <row r="223">
      <c r="A223">
        <v>199</v>
      </c>
      <c r="B223">
        <f>IFERROR(INDEX('Match Log'!$B$4:$B$810,MATCH(199,'Match Log'!$A$4:$A$810,0)),"")</f>
        <v>0</v>
      </c>
      <c r="C223" t="str">
        <f>IFERROR(INDEX('Match Log'!$C$4:$C$810,MATCH(199,'Match Log'!$A$4:$A$810,0)),"")</f>
      </c>
      <c r="D223" t="str">
        <f>IFERROR(INDEX('Match Log'!$G$4:$G$810,MATCH(199,'Match Log'!$A$4:$A$810,0)),"")</f>
      </c>
      <c r="E223">
        <f>IFERROR(INDEX('Match Log'!$F$4:$F$810,MATCH(199,'Match Log'!$A$4:$A$810,0)),"")</f>
        <v>0</v>
      </c>
      <c r="F223">
        <f>IFERROR(SUMIFS('Match Log'!$I$4:$I$810,'Match Log'!$A$4:$A$810,199,'Match Log'!$E$4:$E$810,"Win"),"")</f>
        <v>0</v>
      </c>
      <c r="G223">
        <f>IF($D223="","",1-$F223*$E223)</f>
        <v>0</v>
      </c>
      <c r="H223" t="str">
        <f>IFERROR(IF($E223=2,LOOKUP(2,1/(('Match Log'!$A$4:$A$810=199)*('Match Log'!$E$4:$E$810="Loss")),'Match Log'!$D$4:$D$810),"the field"),"")</f>
      </c>
      <c r="I223">
        <f>IF($G223="","",$G223-$A223/1000000)</f>
        <v>0</v>
      </c>
      <c r="J223">
        <v>199</v>
      </c>
      <c r="K223">
        <f>IF($J223&gt;MAX('Match Log'!$A$4:$A$810),NA(),IFERROR(LOOKUP(2,1/(('Match Log'!$D$4:$D$810=$K$24)*('Match Log'!$A$4:$A$810&lt;=$J223)),'Match Log'!$N$4:$N$810),NA()))</f>
        <v>0</v>
      </c>
      <c r="L223">
        <f>IF($J223&gt;MAX('Match Log'!$A$4:$A$810),NA(),IFERROR(LOOKUP(2,1/(('Match Log'!$D$4:$D$810=$L$24)*('Match Log'!$A$4:$A$810&lt;=$J223)),'Match Log'!$N$4:$N$810),NA()))</f>
        <v>0</v>
      </c>
      <c r="M223">
        <f>IF($J223&gt;MAX('Match Log'!$A$4:$A$810),NA(),IFERROR(LOOKUP(2,1/(('Match Log'!$D$4:$D$810=$M$24)*('Match Log'!$A$4:$A$810&lt;=$J223)),'Match Log'!$N$4:$N$810),NA()))</f>
        <v>0</v>
      </c>
      <c r="N223">
        <f>IF($J223&gt;MAX('Match Log'!$A$4:$A$810),NA(),IFERROR(LOOKUP(2,1/(('Match Log'!$D$4:$D$810=$N$24)*('Match Log'!$A$4:$A$810&lt;=$J223)),'Match Log'!$N$4:$N$810),NA()))</f>
        <v>0</v>
      </c>
      <c r="O223">
        <f>IF($J223&gt;MAX('Match Log'!$A$4:$A$810),NA(),IFERROR(LOOKUP(2,1/(('Match Log'!$D$4:$D$810=$O$24)*('Match Log'!$A$4:$A$810&lt;=$J223)),'Match Log'!$N$4:$N$810),NA()))</f>
        <v>0</v>
      </c>
      <c r="P223">
        <f>IF($J223&gt;MAX('Match Log'!$A$4:$A$810),NA(),IFERROR(LOOKUP(2,1/(('Match Log'!$D$4:$D$810=$P$24)*('Match Log'!$A$4:$A$810&lt;=$J223)),'Match Log'!$N$4:$N$810),NA()))</f>
        <v>0</v>
      </c>
      <c r="Q223">
        <f>IF($J223&gt;MAX('Match Log'!$A$4:$A$810),NA(),IFERROR(LOOKUP(2,1/(('Match Log'!$D$4:$D$810=$Q$24)*('Match Log'!$A$4:$A$810&lt;=$J223)),'Match Log'!$N$4:$N$810),NA()))</f>
        <v>0</v>
      </c>
      <c r="R223">
        <f>IF($J223&gt;MAX('Match Log'!$A$4:$A$810),NA(),IFERROR(LOOKUP(2,1/(('Match Log'!$D$4:$D$810=$R$24)*('Match Log'!$A$4:$A$810&lt;=$J223)),'Match Log'!$N$4:$N$810),NA()))</f>
        <v>0</v>
      </c>
      <c r="S223">
        <f>IF($J223&gt;MAX('Match Log'!$A$4:$A$810),NA(),IFERROR(LOOKUP(2,1/(('Match Log'!$D$4:$D$810=$S$24)*('Match Log'!$A$4:$A$810&lt;=$J223)),'Match Log'!$N$4:$N$810),NA()))</f>
        <v>0</v>
      </c>
      <c r="T223">
        <f>IF($J223&gt;MAX('Match Log'!$A$4:$A$810),NA(),IFERROR(LOOKUP(2,1/(('Match Log'!$D$4:$D$810=$T$24)*('Match Log'!$A$4:$A$810&lt;=$J223)),'Match Log'!$N$4:$N$810),NA()))</f>
        <v>0</v>
      </c>
      <c r="U223">
        <f>IF($J223&gt;MAX('Match Log'!$A$4:$A$810),NA(),IFERROR(LOOKUP(2,1/(('Match Log'!$D$4:$D$810=$U$24)*('Match Log'!$A$4:$A$810&lt;=$J223)),'Match Log'!$N$4:$N$810),NA()))</f>
        <v>0</v>
      </c>
      <c r="V223">
        <f>IF($J223&gt;MAX('Match Log'!$A$4:$A$810),NA(),IFERROR(LOOKUP(2,1/(('Match Log'!$D$4:$D$810=$V$24)*('Match Log'!$A$4:$A$810&lt;=$J223)),'Match Log'!$N$4:$N$810),NA()))</f>
        <v>0</v>
      </c>
      <c r="W223">
        <f>IF($J223&gt;MAX('Match Log'!$A$4:$A$810),NA(),IFERROR(LOOKUP(2,1/(('Match Log'!$D$4:$D$810=$W$24)*('Match Log'!$A$4:$A$810&lt;=$J223)),'Match Log'!$N$4:$N$810),NA()))</f>
        <v>0</v>
      </c>
      <c r="X223">
        <f>IF($J223&gt;MAX('Match Log'!$A$4:$A$810),NA(),IFERROR(LOOKUP(2,1/(('Match Log'!$D$4:$D$810=$X$24)*('Match Log'!$A$4:$A$810&lt;=$J223)),'Match Log'!$N$4:$N$810),NA()))</f>
        <v>0</v>
      </c>
      <c r="Y223" t="str">
        <f>IF(AND($B223&lt;&gt;"",$B223&gt;=$B$5,$I223&lt;&gt;""),$I223,"")</f>
      </c>
    </row>
    <row r="224">
      <c r="A224">
        <v>200</v>
      </c>
      <c r="B224">
        <f>IFERROR(INDEX('Match Log'!$B$4:$B$810,MATCH(200,'Match Log'!$A$4:$A$810,0)),"")</f>
        <v>0</v>
      </c>
      <c r="C224" t="str">
        <f>IFERROR(INDEX('Match Log'!$C$4:$C$810,MATCH(200,'Match Log'!$A$4:$A$810,0)),"")</f>
      </c>
      <c r="D224" t="str">
        <f>IFERROR(INDEX('Match Log'!$G$4:$G$810,MATCH(200,'Match Log'!$A$4:$A$810,0)),"")</f>
      </c>
      <c r="E224">
        <f>IFERROR(INDEX('Match Log'!$F$4:$F$810,MATCH(200,'Match Log'!$A$4:$A$810,0)),"")</f>
        <v>0</v>
      </c>
      <c r="F224">
        <f>IFERROR(SUMIFS('Match Log'!$I$4:$I$810,'Match Log'!$A$4:$A$810,200,'Match Log'!$E$4:$E$810,"Win"),"")</f>
        <v>0</v>
      </c>
      <c r="G224">
        <f>IF($D224="","",1-$F224*$E224)</f>
        <v>0</v>
      </c>
      <c r="H224" t="str">
        <f>IFERROR(IF($E224=2,LOOKUP(2,1/(('Match Log'!$A$4:$A$810=200)*('Match Log'!$E$4:$E$810="Loss")),'Match Log'!$D$4:$D$810),"the field"),"")</f>
      </c>
      <c r="I224">
        <f>IF($G224="","",$G224-$A224/1000000)</f>
        <v>0</v>
      </c>
      <c r="J224">
        <v>200</v>
      </c>
      <c r="K224">
        <f>IF($J224&gt;MAX('Match Log'!$A$4:$A$810),NA(),IFERROR(LOOKUP(2,1/(('Match Log'!$D$4:$D$810=$K$24)*('Match Log'!$A$4:$A$810&lt;=$J224)),'Match Log'!$N$4:$N$810),NA()))</f>
        <v>0</v>
      </c>
      <c r="L224">
        <f>IF($J224&gt;MAX('Match Log'!$A$4:$A$810),NA(),IFERROR(LOOKUP(2,1/(('Match Log'!$D$4:$D$810=$L$24)*('Match Log'!$A$4:$A$810&lt;=$J224)),'Match Log'!$N$4:$N$810),NA()))</f>
        <v>0</v>
      </c>
      <c r="M224">
        <f>IF($J224&gt;MAX('Match Log'!$A$4:$A$810),NA(),IFERROR(LOOKUP(2,1/(('Match Log'!$D$4:$D$810=$M$24)*('Match Log'!$A$4:$A$810&lt;=$J224)),'Match Log'!$N$4:$N$810),NA()))</f>
        <v>0</v>
      </c>
      <c r="N224">
        <f>IF($J224&gt;MAX('Match Log'!$A$4:$A$810),NA(),IFERROR(LOOKUP(2,1/(('Match Log'!$D$4:$D$810=$N$24)*('Match Log'!$A$4:$A$810&lt;=$J224)),'Match Log'!$N$4:$N$810),NA()))</f>
        <v>0</v>
      </c>
      <c r="O224">
        <f>IF($J224&gt;MAX('Match Log'!$A$4:$A$810),NA(),IFERROR(LOOKUP(2,1/(('Match Log'!$D$4:$D$810=$O$24)*('Match Log'!$A$4:$A$810&lt;=$J224)),'Match Log'!$N$4:$N$810),NA()))</f>
        <v>0</v>
      </c>
      <c r="P224">
        <f>IF($J224&gt;MAX('Match Log'!$A$4:$A$810),NA(),IFERROR(LOOKUP(2,1/(('Match Log'!$D$4:$D$810=$P$24)*('Match Log'!$A$4:$A$810&lt;=$J224)),'Match Log'!$N$4:$N$810),NA()))</f>
        <v>0</v>
      </c>
      <c r="Q224">
        <f>IF($J224&gt;MAX('Match Log'!$A$4:$A$810),NA(),IFERROR(LOOKUP(2,1/(('Match Log'!$D$4:$D$810=$Q$24)*('Match Log'!$A$4:$A$810&lt;=$J224)),'Match Log'!$N$4:$N$810),NA()))</f>
        <v>0</v>
      </c>
      <c r="R224">
        <f>IF($J224&gt;MAX('Match Log'!$A$4:$A$810),NA(),IFERROR(LOOKUP(2,1/(('Match Log'!$D$4:$D$810=$R$24)*('Match Log'!$A$4:$A$810&lt;=$J224)),'Match Log'!$N$4:$N$810),NA()))</f>
        <v>0</v>
      </c>
      <c r="S224">
        <f>IF($J224&gt;MAX('Match Log'!$A$4:$A$810),NA(),IFERROR(LOOKUP(2,1/(('Match Log'!$D$4:$D$810=$S$24)*('Match Log'!$A$4:$A$810&lt;=$J224)),'Match Log'!$N$4:$N$810),NA()))</f>
        <v>0</v>
      </c>
      <c r="T224">
        <f>IF($J224&gt;MAX('Match Log'!$A$4:$A$810),NA(),IFERROR(LOOKUP(2,1/(('Match Log'!$D$4:$D$810=$T$24)*('Match Log'!$A$4:$A$810&lt;=$J224)),'Match Log'!$N$4:$N$810),NA()))</f>
        <v>0</v>
      </c>
      <c r="U224">
        <f>IF($J224&gt;MAX('Match Log'!$A$4:$A$810),NA(),IFERROR(LOOKUP(2,1/(('Match Log'!$D$4:$D$810=$U$24)*('Match Log'!$A$4:$A$810&lt;=$J224)),'Match Log'!$N$4:$N$810),NA()))</f>
        <v>0</v>
      </c>
      <c r="V224">
        <f>IF($J224&gt;MAX('Match Log'!$A$4:$A$810),NA(),IFERROR(LOOKUP(2,1/(('Match Log'!$D$4:$D$810=$V$24)*('Match Log'!$A$4:$A$810&lt;=$J224)),'Match Log'!$N$4:$N$810),NA()))</f>
        <v>0</v>
      </c>
      <c r="W224">
        <f>IF($J224&gt;MAX('Match Log'!$A$4:$A$810),NA(),IFERROR(LOOKUP(2,1/(('Match Log'!$D$4:$D$810=$W$24)*('Match Log'!$A$4:$A$810&lt;=$J224)),'Match Log'!$N$4:$N$810),NA()))</f>
        <v>0</v>
      </c>
      <c r="X224">
        <f>IF($J224&gt;MAX('Match Log'!$A$4:$A$810),NA(),IFERROR(LOOKUP(2,1/(('Match Log'!$D$4:$D$810=$X$24)*('Match Log'!$A$4:$A$810&lt;=$J224)),'Match Log'!$N$4:$N$810),NA()))</f>
        <v>0</v>
      </c>
      <c r="Y224" t="str">
        <f>IF(AND($B224&lt;&gt;"",$B224&gt;=$B$5,$I224&lt;&gt;""),$I224,"")</f>
      </c>
    </row>
    <row r="225">
      <c r="A225">
        <v>201</v>
      </c>
      <c r="B225">
        <f>IFERROR(INDEX('Match Log'!$B$4:$B$810,MATCH(201,'Match Log'!$A$4:$A$810,0)),"")</f>
        <v>0</v>
      </c>
      <c r="C225" t="str">
        <f>IFERROR(INDEX('Match Log'!$C$4:$C$810,MATCH(201,'Match Log'!$A$4:$A$810,0)),"")</f>
      </c>
      <c r="D225" t="str">
        <f>IFERROR(INDEX('Match Log'!$G$4:$G$810,MATCH(201,'Match Log'!$A$4:$A$810,0)),"")</f>
      </c>
      <c r="E225">
        <f>IFERROR(INDEX('Match Log'!$F$4:$F$810,MATCH(201,'Match Log'!$A$4:$A$810,0)),"")</f>
        <v>0</v>
      </c>
      <c r="F225">
        <f>IFERROR(SUMIFS('Match Log'!$I$4:$I$810,'Match Log'!$A$4:$A$810,201,'Match Log'!$E$4:$E$810,"Win"),"")</f>
        <v>0</v>
      </c>
      <c r="G225">
        <f>IF($D225="","",1-$F225*$E225)</f>
        <v>0</v>
      </c>
      <c r="H225" t="str">
        <f>IFERROR(IF($E225=2,LOOKUP(2,1/(('Match Log'!$A$4:$A$810=201)*('Match Log'!$E$4:$E$810="Loss")),'Match Log'!$D$4:$D$810),"the field"),"")</f>
      </c>
      <c r="I225">
        <f>IF($G225="","",$G225-$A225/1000000)</f>
        <v>0</v>
      </c>
      <c r="J225">
        <v>201</v>
      </c>
      <c r="K225">
        <f>IF($J225&gt;MAX('Match Log'!$A$4:$A$810),NA(),IFERROR(LOOKUP(2,1/(('Match Log'!$D$4:$D$810=$K$24)*('Match Log'!$A$4:$A$810&lt;=$J225)),'Match Log'!$N$4:$N$810),NA()))</f>
        <v>0</v>
      </c>
      <c r="L225">
        <f>IF($J225&gt;MAX('Match Log'!$A$4:$A$810),NA(),IFERROR(LOOKUP(2,1/(('Match Log'!$D$4:$D$810=$L$24)*('Match Log'!$A$4:$A$810&lt;=$J225)),'Match Log'!$N$4:$N$810),NA()))</f>
        <v>0</v>
      </c>
      <c r="M225">
        <f>IF($J225&gt;MAX('Match Log'!$A$4:$A$810),NA(),IFERROR(LOOKUP(2,1/(('Match Log'!$D$4:$D$810=$M$24)*('Match Log'!$A$4:$A$810&lt;=$J225)),'Match Log'!$N$4:$N$810),NA()))</f>
        <v>0</v>
      </c>
      <c r="N225">
        <f>IF($J225&gt;MAX('Match Log'!$A$4:$A$810),NA(),IFERROR(LOOKUP(2,1/(('Match Log'!$D$4:$D$810=$N$24)*('Match Log'!$A$4:$A$810&lt;=$J225)),'Match Log'!$N$4:$N$810),NA()))</f>
        <v>0</v>
      </c>
      <c r="O225">
        <f>IF($J225&gt;MAX('Match Log'!$A$4:$A$810),NA(),IFERROR(LOOKUP(2,1/(('Match Log'!$D$4:$D$810=$O$24)*('Match Log'!$A$4:$A$810&lt;=$J225)),'Match Log'!$N$4:$N$810),NA()))</f>
        <v>0</v>
      </c>
      <c r="P225">
        <f>IF($J225&gt;MAX('Match Log'!$A$4:$A$810),NA(),IFERROR(LOOKUP(2,1/(('Match Log'!$D$4:$D$810=$P$24)*('Match Log'!$A$4:$A$810&lt;=$J225)),'Match Log'!$N$4:$N$810),NA()))</f>
        <v>0</v>
      </c>
      <c r="Q225">
        <f>IF($J225&gt;MAX('Match Log'!$A$4:$A$810),NA(),IFERROR(LOOKUP(2,1/(('Match Log'!$D$4:$D$810=$Q$24)*('Match Log'!$A$4:$A$810&lt;=$J225)),'Match Log'!$N$4:$N$810),NA()))</f>
        <v>0</v>
      </c>
      <c r="R225">
        <f>IF($J225&gt;MAX('Match Log'!$A$4:$A$810),NA(),IFERROR(LOOKUP(2,1/(('Match Log'!$D$4:$D$810=$R$24)*('Match Log'!$A$4:$A$810&lt;=$J225)),'Match Log'!$N$4:$N$810),NA()))</f>
        <v>0</v>
      </c>
      <c r="S225">
        <f>IF($J225&gt;MAX('Match Log'!$A$4:$A$810),NA(),IFERROR(LOOKUP(2,1/(('Match Log'!$D$4:$D$810=$S$24)*('Match Log'!$A$4:$A$810&lt;=$J225)),'Match Log'!$N$4:$N$810),NA()))</f>
        <v>0</v>
      </c>
      <c r="T225">
        <f>IF($J225&gt;MAX('Match Log'!$A$4:$A$810),NA(),IFERROR(LOOKUP(2,1/(('Match Log'!$D$4:$D$810=$T$24)*('Match Log'!$A$4:$A$810&lt;=$J225)),'Match Log'!$N$4:$N$810),NA()))</f>
        <v>0</v>
      </c>
      <c r="U225">
        <f>IF($J225&gt;MAX('Match Log'!$A$4:$A$810),NA(),IFERROR(LOOKUP(2,1/(('Match Log'!$D$4:$D$810=$U$24)*('Match Log'!$A$4:$A$810&lt;=$J225)),'Match Log'!$N$4:$N$810),NA()))</f>
        <v>0</v>
      </c>
      <c r="V225">
        <f>IF($J225&gt;MAX('Match Log'!$A$4:$A$810),NA(),IFERROR(LOOKUP(2,1/(('Match Log'!$D$4:$D$810=$V$24)*('Match Log'!$A$4:$A$810&lt;=$J225)),'Match Log'!$N$4:$N$810),NA()))</f>
        <v>0</v>
      </c>
      <c r="W225">
        <f>IF($J225&gt;MAX('Match Log'!$A$4:$A$810),NA(),IFERROR(LOOKUP(2,1/(('Match Log'!$D$4:$D$810=$W$24)*('Match Log'!$A$4:$A$810&lt;=$J225)),'Match Log'!$N$4:$N$810),NA()))</f>
        <v>0</v>
      </c>
      <c r="X225">
        <f>IF($J225&gt;MAX('Match Log'!$A$4:$A$810),NA(),IFERROR(LOOKUP(2,1/(('Match Log'!$D$4:$D$810=$X$24)*('Match Log'!$A$4:$A$810&lt;=$J225)),'Match Log'!$N$4:$N$810),NA()))</f>
        <v>0</v>
      </c>
      <c r="Y225" t="str">
        <f>IF(AND($B225&lt;&gt;"",$B225&gt;=$B$5,$I225&lt;&gt;""),$I225,"")</f>
      </c>
    </row>
    <row r="226">
      <c r="A226">
        <v>202</v>
      </c>
      <c r="B226">
        <f>IFERROR(INDEX('Match Log'!$B$4:$B$810,MATCH(202,'Match Log'!$A$4:$A$810,0)),"")</f>
        <v>0</v>
      </c>
      <c r="C226" t="str">
        <f>IFERROR(INDEX('Match Log'!$C$4:$C$810,MATCH(202,'Match Log'!$A$4:$A$810,0)),"")</f>
      </c>
      <c r="D226" t="str">
        <f>IFERROR(INDEX('Match Log'!$G$4:$G$810,MATCH(202,'Match Log'!$A$4:$A$810,0)),"")</f>
      </c>
      <c r="E226">
        <f>IFERROR(INDEX('Match Log'!$F$4:$F$810,MATCH(202,'Match Log'!$A$4:$A$810,0)),"")</f>
        <v>0</v>
      </c>
      <c r="F226">
        <f>IFERROR(SUMIFS('Match Log'!$I$4:$I$810,'Match Log'!$A$4:$A$810,202,'Match Log'!$E$4:$E$810,"Win"),"")</f>
        <v>0</v>
      </c>
      <c r="G226">
        <f>IF($D226="","",1-$F226*$E226)</f>
        <v>0</v>
      </c>
      <c r="H226" t="str">
        <f>IFERROR(IF($E226=2,LOOKUP(2,1/(('Match Log'!$A$4:$A$810=202)*('Match Log'!$E$4:$E$810="Loss")),'Match Log'!$D$4:$D$810),"the field"),"")</f>
      </c>
      <c r="I226">
        <f>IF($G226="","",$G226-$A226/1000000)</f>
        <v>0</v>
      </c>
      <c r="J226">
        <v>202</v>
      </c>
      <c r="K226">
        <f>IF($J226&gt;MAX('Match Log'!$A$4:$A$810),NA(),IFERROR(LOOKUP(2,1/(('Match Log'!$D$4:$D$810=$K$24)*('Match Log'!$A$4:$A$810&lt;=$J226)),'Match Log'!$N$4:$N$810),NA()))</f>
        <v>0</v>
      </c>
      <c r="L226">
        <f>IF($J226&gt;MAX('Match Log'!$A$4:$A$810),NA(),IFERROR(LOOKUP(2,1/(('Match Log'!$D$4:$D$810=$L$24)*('Match Log'!$A$4:$A$810&lt;=$J226)),'Match Log'!$N$4:$N$810),NA()))</f>
        <v>0</v>
      </c>
      <c r="M226">
        <f>IF($J226&gt;MAX('Match Log'!$A$4:$A$810),NA(),IFERROR(LOOKUP(2,1/(('Match Log'!$D$4:$D$810=$M$24)*('Match Log'!$A$4:$A$810&lt;=$J226)),'Match Log'!$N$4:$N$810),NA()))</f>
        <v>0</v>
      </c>
      <c r="N226">
        <f>IF($J226&gt;MAX('Match Log'!$A$4:$A$810),NA(),IFERROR(LOOKUP(2,1/(('Match Log'!$D$4:$D$810=$N$24)*('Match Log'!$A$4:$A$810&lt;=$J226)),'Match Log'!$N$4:$N$810),NA()))</f>
        <v>0</v>
      </c>
      <c r="O226">
        <f>IF($J226&gt;MAX('Match Log'!$A$4:$A$810),NA(),IFERROR(LOOKUP(2,1/(('Match Log'!$D$4:$D$810=$O$24)*('Match Log'!$A$4:$A$810&lt;=$J226)),'Match Log'!$N$4:$N$810),NA()))</f>
        <v>0</v>
      </c>
      <c r="P226">
        <f>IF($J226&gt;MAX('Match Log'!$A$4:$A$810),NA(),IFERROR(LOOKUP(2,1/(('Match Log'!$D$4:$D$810=$P$24)*('Match Log'!$A$4:$A$810&lt;=$J226)),'Match Log'!$N$4:$N$810),NA()))</f>
        <v>0</v>
      </c>
      <c r="Q226">
        <f>IF($J226&gt;MAX('Match Log'!$A$4:$A$810),NA(),IFERROR(LOOKUP(2,1/(('Match Log'!$D$4:$D$810=$Q$24)*('Match Log'!$A$4:$A$810&lt;=$J226)),'Match Log'!$N$4:$N$810),NA()))</f>
        <v>0</v>
      </c>
      <c r="R226">
        <f>IF($J226&gt;MAX('Match Log'!$A$4:$A$810),NA(),IFERROR(LOOKUP(2,1/(('Match Log'!$D$4:$D$810=$R$24)*('Match Log'!$A$4:$A$810&lt;=$J226)),'Match Log'!$N$4:$N$810),NA()))</f>
        <v>0</v>
      </c>
      <c r="S226">
        <f>IF($J226&gt;MAX('Match Log'!$A$4:$A$810),NA(),IFERROR(LOOKUP(2,1/(('Match Log'!$D$4:$D$810=$S$24)*('Match Log'!$A$4:$A$810&lt;=$J226)),'Match Log'!$N$4:$N$810),NA()))</f>
        <v>0</v>
      </c>
      <c r="T226">
        <f>IF($J226&gt;MAX('Match Log'!$A$4:$A$810),NA(),IFERROR(LOOKUP(2,1/(('Match Log'!$D$4:$D$810=$T$24)*('Match Log'!$A$4:$A$810&lt;=$J226)),'Match Log'!$N$4:$N$810),NA()))</f>
        <v>0</v>
      </c>
      <c r="U226">
        <f>IF($J226&gt;MAX('Match Log'!$A$4:$A$810),NA(),IFERROR(LOOKUP(2,1/(('Match Log'!$D$4:$D$810=$U$24)*('Match Log'!$A$4:$A$810&lt;=$J226)),'Match Log'!$N$4:$N$810),NA()))</f>
        <v>0</v>
      </c>
      <c r="V226">
        <f>IF($J226&gt;MAX('Match Log'!$A$4:$A$810),NA(),IFERROR(LOOKUP(2,1/(('Match Log'!$D$4:$D$810=$V$24)*('Match Log'!$A$4:$A$810&lt;=$J226)),'Match Log'!$N$4:$N$810),NA()))</f>
        <v>0</v>
      </c>
      <c r="W226">
        <f>IF($J226&gt;MAX('Match Log'!$A$4:$A$810),NA(),IFERROR(LOOKUP(2,1/(('Match Log'!$D$4:$D$810=$W$24)*('Match Log'!$A$4:$A$810&lt;=$J226)),'Match Log'!$N$4:$N$810),NA()))</f>
        <v>0</v>
      </c>
      <c r="X226">
        <f>IF($J226&gt;MAX('Match Log'!$A$4:$A$810),NA(),IFERROR(LOOKUP(2,1/(('Match Log'!$D$4:$D$810=$X$24)*('Match Log'!$A$4:$A$810&lt;=$J226)),'Match Log'!$N$4:$N$810),NA()))</f>
        <v>0</v>
      </c>
      <c r="Y226" t="str">
        <f>IF(AND($B226&lt;&gt;"",$B226&gt;=$B$5,$I226&lt;&gt;""),$I226,"")</f>
      </c>
    </row>
    <row r="227">
      <c r="A227">
        <v>203</v>
      </c>
      <c r="B227">
        <f>IFERROR(INDEX('Match Log'!$B$4:$B$810,MATCH(203,'Match Log'!$A$4:$A$810,0)),"")</f>
        <v>0</v>
      </c>
      <c r="C227" t="str">
        <f>IFERROR(INDEX('Match Log'!$C$4:$C$810,MATCH(203,'Match Log'!$A$4:$A$810,0)),"")</f>
      </c>
      <c r="D227" t="str">
        <f>IFERROR(INDEX('Match Log'!$G$4:$G$810,MATCH(203,'Match Log'!$A$4:$A$810,0)),"")</f>
      </c>
      <c r="E227">
        <f>IFERROR(INDEX('Match Log'!$F$4:$F$810,MATCH(203,'Match Log'!$A$4:$A$810,0)),"")</f>
        <v>0</v>
      </c>
      <c r="F227">
        <f>IFERROR(SUMIFS('Match Log'!$I$4:$I$810,'Match Log'!$A$4:$A$810,203,'Match Log'!$E$4:$E$810,"Win"),"")</f>
        <v>0</v>
      </c>
      <c r="G227">
        <f>IF($D227="","",1-$F227*$E227)</f>
        <v>0</v>
      </c>
      <c r="H227" t="str">
        <f>IFERROR(IF($E227=2,LOOKUP(2,1/(('Match Log'!$A$4:$A$810=203)*('Match Log'!$E$4:$E$810="Loss")),'Match Log'!$D$4:$D$810),"the field"),"")</f>
      </c>
      <c r="I227">
        <f>IF($G227="","",$G227-$A227/1000000)</f>
        <v>0</v>
      </c>
      <c r="J227">
        <v>203</v>
      </c>
      <c r="K227">
        <f>IF($J227&gt;MAX('Match Log'!$A$4:$A$810),NA(),IFERROR(LOOKUP(2,1/(('Match Log'!$D$4:$D$810=$K$24)*('Match Log'!$A$4:$A$810&lt;=$J227)),'Match Log'!$N$4:$N$810),NA()))</f>
        <v>0</v>
      </c>
      <c r="L227">
        <f>IF($J227&gt;MAX('Match Log'!$A$4:$A$810),NA(),IFERROR(LOOKUP(2,1/(('Match Log'!$D$4:$D$810=$L$24)*('Match Log'!$A$4:$A$810&lt;=$J227)),'Match Log'!$N$4:$N$810),NA()))</f>
        <v>0</v>
      </c>
      <c r="M227">
        <f>IF($J227&gt;MAX('Match Log'!$A$4:$A$810),NA(),IFERROR(LOOKUP(2,1/(('Match Log'!$D$4:$D$810=$M$24)*('Match Log'!$A$4:$A$810&lt;=$J227)),'Match Log'!$N$4:$N$810),NA()))</f>
        <v>0</v>
      </c>
      <c r="N227">
        <f>IF($J227&gt;MAX('Match Log'!$A$4:$A$810),NA(),IFERROR(LOOKUP(2,1/(('Match Log'!$D$4:$D$810=$N$24)*('Match Log'!$A$4:$A$810&lt;=$J227)),'Match Log'!$N$4:$N$810),NA()))</f>
        <v>0</v>
      </c>
      <c r="O227">
        <f>IF($J227&gt;MAX('Match Log'!$A$4:$A$810),NA(),IFERROR(LOOKUP(2,1/(('Match Log'!$D$4:$D$810=$O$24)*('Match Log'!$A$4:$A$810&lt;=$J227)),'Match Log'!$N$4:$N$810),NA()))</f>
        <v>0</v>
      </c>
      <c r="P227">
        <f>IF($J227&gt;MAX('Match Log'!$A$4:$A$810),NA(),IFERROR(LOOKUP(2,1/(('Match Log'!$D$4:$D$810=$P$24)*('Match Log'!$A$4:$A$810&lt;=$J227)),'Match Log'!$N$4:$N$810),NA()))</f>
        <v>0</v>
      </c>
      <c r="Q227">
        <f>IF($J227&gt;MAX('Match Log'!$A$4:$A$810),NA(),IFERROR(LOOKUP(2,1/(('Match Log'!$D$4:$D$810=$Q$24)*('Match Log'!$A$4:$A$810&lt;=$J227)),'Match Log'!$N$4:$N$810),NA()))</f>
        <v>0</v>
      </c>
      <c r="R227">
        <f>IF($J227&gt;MAX('Match Log'!$A$4:$A$810),NA(),IFERROR(LOOKUP(2,1/(('Match Log'!$D$4:$D$810=$R$24)*('Match Log'!$A$4:$A$810&lt;=$J227)),'Match Log'!$N$4:$N$810),NA()))</f>
        <v>0</v>
      </c>
      <c r="S227">
        <f>IF($J227&gt;MAX('Match Log'!$A$4:$A$810),NA(),IFERROR(LOOKUP(2,1/(('Match Log'!$D$4:$D$810=$S$24)*('Match Log'!$A$4:$A$810&lt;=$J227)),'Match Log'!$N$4:$N$810),NA()))</f>
        <v>0</v>
      </c>
      <c r="T227">
        <f>IF($J227&gt;MAX('Match Log'!$A$4:$A$810),NA(),IFERROR(LOOKUP(2,1/(('Match Log'!$D$4:$D$810=$T$24)*('Match Log'!$A$4:$A$810&lt;=$J227)),'Match Log'!$N$4:$N$810),NA()))</f>
        <v>0</v>
      </c>
      <c r="U227">
        <f>IF($J227&gt;MAX('Match Log'!$A$4:$A$810),NA(),IFERROR(LOOKUP(2,1/(('Match Log'!$D$4:$D$810=$U$24)*('Match Log'!$A$4:$A$810&lt;=$J227)),'Match Log'!$N$4:$N$810),NA()))</f>
        <v>0</v>
      </c>
      <c r="V227">
        <f>IF($J227&gt;MAX('Match Log'!$A$4:$A$810),NA(),IFERROR(LOOKUP(2,1/(('Match Log'!$D$4:$D$810=$V$24)*('Match Log'!$A$4:$A$810&lt;=$J227)),'Match Log'!$N$4:$N$810),NA()))</f>
        <v>0</v>
      </c>
      <c r="W227">
        <f>IF($J227&gt;MAX('Match Log'!$A$4:$A$810),NA(),IFERROR(LOOKUP(2,1/(('Match Log'!$D$4:$D$810=$W$24)*('Match Log'!$A$4:$A$810&lt;=$J227)),'Match Log'!$N$4:$N$810),NA()))</f>
        <v>0</v>
      </c>
      <c r="X227">
        <f>IF($J227&gt;MAX('Match Log'!$A$4:$A$810),NA(),IFERROR(LOOKUP(2,1/(('Match Log'!$D$4:$D$810=$X$24)*('Match Log'!$A$4:$A$810&lt;=$J227)),'Match Log'!$N$4:$N$810),NA()))</f>
        <v>0</v>
      </c>
      <c r="Y227" t="str">
        <f>IF(AND($B227&lt;&gt;"",$B227&gt;=$B$5,$I227&lt;&gt;""),$I227,"")</f>
      </c>
    </row>
    <row r="228">
      <c r="A228">
        <v>204</v>
      </c>
      <c r="B228">
        <f>IFERROR(INDEX('Match Log'!$B$4:$B$810,MATCH(204,'Match Log'!$A$4:$A$810,0)),"")</f>
        <v>0</v>
      </c>
      <c r="C228" t="str">
        <f>IFERROR(INDEX('Match Log'!$C$4:$C$810,MATCH(204,'Match Log'!$A$4:$A$810,0)),"")</f>
      </c>
      <c r="D228" t="str">
        <f>IFERROR(INDEX('Match Log'!$G$4:$G$810,MATCH(204,'Match Log'!$A$4:$A$810,0)),"")</f>
      </c>
      <c r="E228">
        <f>IFERROR(INDEX('Match Log'!$F$4:$F$810,MATCH(204,'Match Log'!$A$4:$A$810,0)),"")</f>
        <v>0</v>
      </c>
      <c r="F228">
        <f>IFERROR(SUMIFS('Match Log'!$I$4:$I$810,'Match Log'!$A$4:$A$810,204,'Match Log'!$E$4:$E$810,"Win"),"")</f>
        <v>0</v>
      </c>
      <c r="G228">
        <f>IF($D228="","",1-$F228*$E228)</f>
        <v>0</v>
      </c>
      <c r="H228" t="str">
        <f>IFERROR(IF($E228=2,LOOKUP(2,1/(('Match Log'!$A$4:$A$810=204)*('Match Log'!$E$4:$E$810="Loss")),'Match Log'!$D$4:$D$810),"the field"),"")</f>
      </c>
      <c r="I228">
        <f>IF($G228="","",$G228-$A228/1000000)</f>
        <v>0</v>
      </c>
      <c r="J228">
        <v>204</v>
      </c>
      <c r="K228">
        <f>IF($J228&gt;MAX('Match Log'!$A$4:$A$810),NA(),IFERROR(LOOKUP(2,1/(('Match Log'!$D$4:$D$810=$K$24)*('Match Log'!$A$4:$A$810&lt;=$J228)),'Match Log'!$N$4:$N$810),NA()))</f>
        <v>0</v>
      </c>
      <c r="L228">
        <f>IF($J228&gt;MAX('Match Log'!$A$4:$A$810),NA(),IFERROR(LOOKUP(2,1/(('Match Log'!$D$4:$D$810=$L$24)*('Match Log'!$A$4:$A$810&lt;=$J228)),'Match Log'!$N$4:$N$810),NA()))</f>
        <v>0</v>
      </c>
      <c r="M228">
        <f>IF($J228&gt;MAX('Match Log'!$A$4:$A$810),NA(),IFERROR(LOOKUP(2,1/(('Match Log'!$D$4:$D$810=$M$24)*('Match Log'!$A$4:$A$810&lt;=$J228)),'Match Log'!$N$4:$N$810),NA()))</f>
        <v>0</v>
      </c>
      <c r="N228">
        <f>IF($J228&gt;MAX('Match Log'!$A$4:$A$810),NA(),IFERROR(LOOKUP(2,1/(('Match Log'!$D$4:$D$810=$N$24)*('Match Log'!$A$4:$A$810&lt;=$J228)),'Match Log'!$N$4:$N$810),NA()))</f>
        <v>0</v>
      </c>
      <c r="O228">
        <f>IF($J228&gt;MAX('Match Log'!$A$4:$A$810),NA(),IFERROR(LOOKUP(2,1/(('Match Log'!$D$4:$D$810=$O$24)*('Match Log'!$A$4:$A$810&lt;=$J228)),'Match Log'!$N$4:$N$810),NA()))</f>
        <v>0</v>
      </c>
      <c r="P228">
        <f>IF($J228&gt;MAX('Match Log'!$A$4:$A$810),NA(),IFERROR(LOOKUP(2,1/(('Match Log'!$D$4:$D$810=$P$24)*('Match Log'!$A$4:$A$810&lt;=$J228)),'Match Log'!$N$4:$N$810),NA()))</f>
        <v>0</v>
      </c>
      <c r="Q228">
        <f>IF($J228&gt;MAX('Match Log'!$A$4:$A$810),NA(),IFERROR(LOOKUP(2,1/(('Match Log'!$D$4:$D$810=$Q$24)*('Match Log'!$A$4:$A$810&lt;=$J228)),'Match Log'!$N$4:$N$810),NA()))</f>
        <v>0</v>
      </c>
      <c r="R228">
        <f>IF($J228&gt;MAX('Match Log'!$A$4:$A$810),NA(),IFERROR(LOOKUP(2,1/(('Match Log'!$D$4:$D$810=$R$24)*('Match Log'!$A$4:$A$810&lt;=$J228)),'Match Log'!$N$4:$N$810),NA()))</f>
        <v>0</v>
      </c>
      <c r="S228">
        <f>IF($J228&gt;MAX('Match Log'!$A$4:$A$810),NA(),IFERROR(LOOKUP(2,1/(('Match Log'!$D$4:$D$810=$S$24)*('Match Log'!$A$4:$A$810&lt;=$J228)),'Match Log'!$N$4:$N$810),NA()))</f>
        <v>0</v>
      </c>
      <c r="T228">
        <f>IF($J228&gt;MAX('Match Log'!$A$4:$A$810),NA(),IFERROR(LOOKUP(2,1/(('Match Log'!$D$4:$D$810=$T$24)*('Match Log'!$A$4:$A$810&lt;=$J228)),'Match Log'!$N$4:$N$810),NA()))</f>
        <v>0</v>
      </c>
      <c r="U228">
        <f>IF($J228&gt;MAX('Match Log'!$A$4:$A$810),NA(),IFERROR(LOOKUP(2,1/(('Match Log'!$D$4:$D$810=$U$24)*('Match Log'!$A$4:$A$810&lt;=$J228)),'Match Log'!$N$4:$N$810),NA()))</f>
        <v>0</v>
      </c>
      <c r="V228">
        <f>IF($J228&gt;MAX('Match Log'!$A$4:$A$810),NA(),IFERROR(LOOKUP(2,1/(('Match Log'!$D$4:$D$810=$V$24)*('Match Log'!$A$4:$A$810&lt;=$J228)),'Match Log'!$N$4:$N$810),NA()))</f>
        <v>0</v>
      </c>
      <c r="W228">
        <f>IF($J228&gt;MAX('Match Log'!$A$4:$A$810),NA(),IFERROR(LOOKUP(2,1/(('Match Log'!$D$4:$D$810=$W$24)*('Match Log'!$A$4:$A$810&lt;=$J228)),'Match Log'!$N$4:$N$810),NA()))</f>
        <v>0</v>
      </c>
      <c r="X228">
        <f>IF($J228&gt;MAX('Match Log'!$A$4:$A$810),NA(),IFERROR(LOOKUP(2,1/(('Match Log'!$D$4:$D$810=$X$24)*('Match Log'!$A$4:$A$810&lt;=$J228)),'Match Log'!$N$4:$N$810),NA()))</f>
        <v>0</v>
      </c>
      <c r="Y228" t="str">
        <f>IF(AND($B228&lt;&gt;"",$B228&gt;=$B$5,$I228&lt;&gt;""),$I228,"")</f>
      </c>
    </row>
    <row r="229">
      <c r="A229">
        <v>205</v>
      </c>
      <c r="B229">
        <f>IFERROR(INDEX('Match Log'!$B$4:$B$810,MATCH(205,'Match Log'!$A$4:$A$810,0)),"")</f>
        <v>0</v>
      </c>
      <c r="C229" t="str">
        <f>IFERROR(INDEX('Match Log'!$C$4:$C$810,MATCH(205,'Match Log'!$A$4:$A$810,0)),"")</f>
      </c>
      <c r="D229" t="str">
        <f>IFERROR(INDEX('Match Log'!$G$4:$G$810,MATCH(205,'Match Log'!$A$4:$A$810,0)),"")</f>
      </c>
      <c r="E229">
        <f>IFERROR(INDEX('Match Log'!$F$4:$F$810,MATCH(205,'Match Log'!$A$4:$A$810,0)),"")</f>
        <v>0</v>
      </c>
      <c r="F229">
        <f>IFERROR(SUMIFS('Match Log'!$I$4:$I$810,'Match Log'!$A$4:$A$810,205,'Match Log'!$E$4:$E$810,"Win"),"")</f>
        <v>0</v>
      </c>
      <c r="G229">
        <f>IF($D229="","",1-$F229*$E229)</f>
        <v>0</v>
      </c>
      <c r="H229" t="str">
        <f>IFERROR(IF($E229=2,LOOKUP(2,1/(('Match Log'!$A$4:$A$810=205)*('Match Log'!$E$4:$E$810="Loss")),'Match Log'!$D$4:$D$810),"the field"),"")</f>
      </c>
      <c r="I229">
        <f>IF($G229="","",$G229-$A229/1000000)</f>
        <v>0</v>
      </c>
      <c r="J229">
        <v>205</v>
      </c>
      <c r="K229">
        <f>IF($J229&gt;MAX('Match Log'!$A$4:$A$810),NA(),IFERROR(LOOKUP(2,1/(('Match Log'!$D$4:$D$810=$K$24)*('Match Log'!$A$4:$A$810&lt;=$J229)),'Match Log'!$N$4:$N$810),NA()))</f>
        <v>0</v>
      </c>
      <c r="L229">
        <f>IF($J229&gt;MAX('Match Log'!$A$4:$A$810),NA(),IFERROR(LOOKUP(2,1/(('Match Log'!$D$4:$D$810=$L$24)*('Match Log'!$A$4:$A$810&lt;=$J229)),'Match Log'!$N$4:$N$810),NA()))</f>
        <v>0</v>
      </c>
      <c r="M229">
        <f>IF($J229&gt;MAX('Match Log'!$A$4:$A$810),NA(),IFERROR(LOOKUP(2,1/(('Match Log'!$D$4:$D$810=$M$24)*('Match Log'!$A$4:$A$810&lt;=$J229)),'Match Log'!$N$4:$N$810),NA()))</f>
        <v>0</v>
      </c>
      <c r="N229">
        <f>IF($J229&gt;MAX('Match Log'!$A$4:$A$810),NA(),IFERROR(LOOKUP(2,1/(('Match Log'!$D$4:$D$810=$N$24)*('Match Log'!$A$4:$A$810&lt;=$J229)),'Match Log'!$N$4:$N$810),NA()))</f>
        <v>0</v>
      </c>
      <c r="O229">
        <f>IF($J229&gt;MAX('Match Log'!$A$4:$A$810),NA(),IFERROR(LOOKUP(2,1/(('Match Log'!$D$4:$D$810=$O$24)*('Match Log'!$A$4:$A$810&lt;=$J229)),'Match Log'!$N$4:$N$810),NA()))</f>
        <v>0</v>
      </c>
      <c r="P229">
        <f>IF($J229&gt;MAX('Match Log'!$A$4:$A$810),NA(),IFERROR(LOOKUP(2,1/(('Match Log'!$D$4:$D$810=$P$24)*('Match Log'!$A$4:$A$810&lt;=$J229)),'Match Log'!$N$4:$N$810),NA()))</f>
        <v>0</v>
      </c>
      <c r="Q229">
        <f>IF($J229&gt;MAX('Match Log'!$A$4:$A$810),NA(),IFERROR(LOOKUP(2,1/(('Match Log'!$D$4:$D$810=$Q$24)*('Match Log'!$A$4:$A$810&lt;=$J229)),'Match Log'!$N$4:$N$810),NA()))</f>
        <v>0</v>
      </c>
      <c r="R229">
        <f>IF($J229&gt;MAX('Match Log'!$A$4:$A$810),NA(),IFERROR(LOOKUP(2,1/(('Match Log'!$D$4:$D$810=$R$24)*('Match Log'!$A$4:$A$810&lt;=$J229)),'Match Log'!$N$4:$N$810),NA()))</f>
        <v>0</v>
      </c>
      <c r="S229">
        <f>IF($J229&gt;MAX('Match Log'!$A$4:$A$810),NA(),IFERROR(LOOKUP(2,1/(('Match Log'!$D$4:$D$810=$S$24)*('Match Log'!$A$4:$A$810&lt;=$J229)),'Match Log'!$N$4:$N$810),NA()))</f>
        <v>0</v>
      </c>
      <c r="T229">
        <f>IF($J229&gt;MAX('Match Log'!$A$4:$A$810),NA(),IFERROR(LOOKUP(2,1/(('Match Log'!$D$4:$D$810=$T$24)*('Match Log'!$A$4:$A$810&lt;=$J229)),'Match Log'!$N$4:$N$810),NA()))</f>
        <v>0</v>
      </c>
      <c r="U229">
        <f>IF($J229&gt;MAX('Match Log'!$A$4:$A$810),NA(),IFERROR(LOOKUP(2,1/(('Match Log'!$D$4:$D$810=$U$24)*('Match Log'!$A$4:$A$810&lt;=$J229)),'Match Log'!$N$4:$N$810),NA()))</f>
        <v>0</v>
      </c>
      <c r="V229">
        <f>IF($J229&gt;MAX('Match Log'!$A$4:$A$810),NA(),IFERROR(LOOKUP(2,1/(('Match Log'!$D$4:$D$810=$V$24)*('Match Log'!$A$4:$A$810&lt;=$J229)),'Match Log'!$N$4:$N$810),NA()))</f>
        <v>0</v>
      </c>
      <c r="W229">
        <f>IF($J229&gt;MAX('Match Log'!$A$4:$A$810),NA(),IFERROR(LOOKUP(2,1/(('Match Log'!$D$4:$D$810=$W$24)*('Match Log'!$A$4:$A$810&lt;=$J229)),'Match Log'!$N$4:$N$810),NA()))</f>
        <v>0</v>
      </c>
      <c r="X229">
        <f>IF($J229&gt;MAX('Match Log'!$A$4:$A$810),NA(),IFERROR(LOOKUP(2,1/(('Match Log'!$D$4:$D$810=$X$24)*('Match Log'!$A$4:$A$810&lt;=$J229)),'Match Log'!$N$4:$N$810),NA()))</f>
        <v>0</v>
      </c>
      <c r="Y229" t="str">
        <f>IF(AND($B229&lt;&gt;"",$B229&gt;=$B$5,$I229&lt;&gt;""),$I229,"")</f>
      </c>
    </row>
    <row r="230">
      <c r="A230">
        <v>206</v>
      </c>
      <c r="B230">
        <f>IFERROR(INDEX('Match Log'!$B$4:$B$810,MATCH(206,'Match Log'!$A$4:$A$810,0)),"")</f>
        <v>0</v>
      </c>
      <c r="C230" t="str">
        <f>IFERROR(INDEX('Match Log'!$C$4:$C$810,MATCH(206,'Match Log'!$A$4:$A$810,0)),"")</f>
      </c>
      <c r="D230" t="str">
        <f>IFERROR(INDEX('Match Log'!$G$4:$G$810,MATCH(206,'Match Log'!$A$4:$A$810,0)),"")</f>
      </c>
      <c r="E230">
        <f>IFERROR(INDEX('Match Log'!$F$4:$F$810,MATCH(206,'Match Log'!$A$4:$A$810,0)),"")</f>
        <v>0</v>
      </c>
      <c r="F230">
        <f>IFERROR(SUMIFS('Match Log'!$I$4:$I$810,'Match Log'!$A$4:$A$810,206,'Match Log'!$E$4:$E$810,"Win"),"")</f>
        <v>0</v>
      </c>
      <c r="G230">
        <f>IF($D230="","",1-$F230*$E230)</f>
        <v>0</v>
      </c>
      <c r="H230" t="str">
        <f>IFERROR(IF($E230=2,LOOKUP(2,1/(('Match Log'!$A$4:$A$810=206)*('Match Log'!$E$4:$E$810="Loss")),'Match Log'!$D$4:$D$810),"the field"),"")</f>
      </c>
      <c r="I230">
        <f>IF($G230="","",$G230-$A230/1000000)</f>
        <v>0</v>
      </c>
      <c r="J230">
        <v>206</v>
      </c>
      <c r="K230">
        <f>IF($J230&gt;MAX('Match Log'!$A$4:$A$810),NA(),IFERROR(LOOKUP(2,1/(('Match Log'!$D$4:$D$810=$K$24)*('Match Log'!$A$4:$A$810&lt;=$J230)),'Match Log'!$N$4:$N$810),NA()))</f>
        <v>0</v>
      </c>
      <c r="L230">
        <f>IF($J230&gt;MAX('Match Log'!$A$4:$A$810),NA(),IFERROR(LOOKUP(2,1/(('Match Log'!$D$4:$D$810=$L$24)*('Match Log'!$A$4:$A$810&lt;=$J230)),'Match Log'!$N$4:$N$810),NA()))</f>
        <v>0</v>
      </c>
      <c r="M230">
        <f>IF($J230&gt;MAX('Match Log'!$A$4:$A$810),NA(),IFERROR(LOOKUP(2,1/(('Match Log'!$D$4:$D$810=$M$24)*('Match Log'!$A$4:$A$810&lt;=$J230)),'Match Log'!$N$4:$N$810),NA()))</f>
        <v>0</v>
      </c>
      <c r="N230">
        <f>IF($J230&gt;MAX('Match Log'!$A$4:$A$810),NA(),IFERROR(LOOKUP(2,1/(('Match Log'!$D$4:$D$810=$N$24)*('Match Log'!$A$4:$A$810&lt;=$J230)),'Match Log'!$N$4:$N$810),NA()))</f>
        <v>0</v>
      </c>
      <c r="O230">
        <f>IF($J230&gt;MAX('Match Log'!$A$4:$A$810),NA(),IFERROR(LOOKUP(2,1/(('Match Log'!$D$4:$D$810=$O$24)*('Match Log'!$A$4:$A$810&lt;=$J230)),'Match Log'!$N$4:$N$810),NA()))</f>
        <v>0</v>
      </c>
      <c r="P230">
        <f>IF($J230&gt;MAX('Match Log'!$A$4:$A$810),NA(),IFERROR(LOOKUP(2,1/(('Match Log'!$D$4:$D$810=$P$24)*('Match Log'!$A$4:$A$810&lt;=$J230)),'Match Log'!$N$4:$N$810),NA()))</f>
        <v>0</v>
      </c>
      <c r="Q230">
        <f>IF($J230&gt;MAX('Match Log'!$A$4:$A$810),NA(),IFERROR(LOOKUP(2,1/(('Match Log'!$D$4:$D$810=$Q$24)*('Match Log'!$A$4:$A$810&lt;=$J230)),'Match Log'!$N$4:$N$810),NA()))</f>
        <v>0</v>
      </c>
      <c r="R230">
        <f>IF($J230&gt;MAX('Match Log'!$A$4:$A$810),NA(),IFERROR(LOOKUP(2,1/(('Match Log'!$D$4:$D$810=$R$24)*('Match Log'!$A$4:$A$810&lt;=$J230)),'Match Log'!$N$4:$N$810),NA()))</f>
        <v>0</v>
      </c>
      <c r="S230">
        <f>IF($J230&gt;MAX('Match Log'!$A$4:$A$810),NA(),IFERROR(LOOKUP(2,1/(('Match Log'!$D$4:$D$810=$S$24)*('Match Log'!$A$4:$A$810&lt;=$J230)),'Match Log'!$N$4:$N$810),NA()))</f>
        <v>0</v>
      </c>
      <c r="T230">
        <f>IF($J230&gt;MAX('Match Log'!$A$4:$A$810),NA(),IFERROR(LOOKUP(2,1/(('Match Log'!$D$4:$D$810=$T$24)*('Match Log'!$A$4:$A$810&lt;=$J230)),'Match Log'!$N$4:$N$810),NA()))</f>
        <v>0</v>
      </c>
      <c r="U230">
        <f>IF($J230&gt;MAX('Match Log'!$A$4:$A$810),NA(),IFERROR(LOOKUP(2,1/(('Match Log'!$D$4:$D$810=$U$24)*('Match Log'!$A$4:$A$810&lt;=$J230)),'Match Log'!$N$4:$N$810),NA()))</f>
        <v>0</v>
      </c>
      <c r="V230">
        <f>IF($J230&gt;MAX('Match Log'!$A$4:$A$810),NA(),IFERROR(LOOKUP(2,1/(('Match Log'!$D$4:$D$810=$V$24)*('Match Log'!$A$4:$A$810&lt;=$J230)),'Match Log'!$N$4:$N$810),NA()))</f>
        <v>0</v>
      </c>
      <c r="W230">
        <f>IF($J230&gt;MAX('Match Log'!$A$4:$A$810),NA(),IFERROR(LOOKUP(2,1/(('Match Log'!$D$4:$D$810=$W$24)*('Match Log'!$A$4:$A$810&lt;=$J230)),'Match Log'!$N$4:$N$810),NA()))</f>
        <v>0</v>
      </c>
      <c r="X230">
        <f>IF($J230&gt;MAX('Match Log'!$A$4:$A$810),NA(),IFERROR(LOOKUP(2,1/(('Match Log'!$D$4:$D$810=$X$24)*('Match Log'!$A$4:$A$810&lt;=$J230)),'Match Log'!$N$4:$N$810),NA()))</f>
        <v>0</v>
      </c>
      <c r="Y230" t="str">
        <f>IF(AND($B230&lt;&gt;"",$B230&gt;=$B$5,$I230&lt;&gt;""),$I230,"")</f>
      </c>
    </row>
    <row r="231">
      <c r="A231">
        <v>207</v>
      </c>
      <c r="B231">
        <f>IFERROR(INDEX('Match Log'!$B$4:$B$810,MATCH(207,'Match Log'!$A$4:$A$810,0)),"")</f>
        <v>0</v>
      </c>
      <c r="C231" t="str">
        <f>IFERROR(INDEX('Match Log'!$C$4:$C$810,MATCH(207,'Match Log'!$A$4:$A$810,0)),"")</f>
      </c>
      <c r="D231" t="str">
        <f>IFERROR(INDEX('Match Log'!$G$4:$G$810,MATCH(207,'Match Log'!$A$4:$A$810,0)),"")</f>
      </c>
      <c r="E231">
        <f>IFERROR(INDEX('Match Log'!$F$4:$F$810,MATCH(207,'Match Log'!$A$4:$A$810,0)),"")</f>
        <v>0</v>
      </c>
      <c r="F231">
        <f>IFERROR(SUMIFS('Match Log'!$I$4:$I$810,'Match Log'!$A$4:$A$810,207,'Match Log'!$E$4:$E$810,"Win"),"")</f>
        <v>0</v>
      </c>
      <c r="G231">
        <f>IF($D231="","",1-$F231*$E231)</f>
        <v>0</v>
      </c>
      <c r="H231" t="str">
        <f>IFERROR(IF($E231=2,LOOKUP(2,1/(('Match Log'!$A$4:$A$810=207)*('Match Log'!$E$4:$E$810="Loss")),'Match Log'!$D$4:$D$810),"the field"),"")</f>
      </c>
      <c r="I231">
        <f>IF($G231="","",$G231-$A231/1000000)</f>
        <v>0</v>
      </c>
      <c r="J231">
        <v>207</v>
      </c>
      <c r="K231">
        <f>IF($J231&gt;MAX('Match Log'!$A$4:$A$810),NA(),IFERROR(LOOKUP(2,1/(('Match Log'!$D$4:$D$810=$K$24)*('Match Log'!$A$4:$A$810&lt;=$J231)),'Match Log'!$N$4:$N$810),NA()))</f>
        <v>0</v>
      </c>
      <c r="L231">
        <f>IF($J231&gt;MAX('Match Log'!$A$4:$A$810),NA(),IFERROR(LOOKUP(2,1/(('Match Log'!$D$4:$D$810=$L$24)*('Match Log'!$A$4:$A$810&lt;=$J231)),'Match Log'!$N$4:$N$810),NA()))</f>
        <v>0</v>
      </c>
      <c r="M231">
        <f>IF($J231&gt;MAX('Match Log'!$A$4:$A$810),NA(),IFERROR(LOOKUP(2,1/(('Match Log'!$D$4:$D$810=$M$24)*('Match Log'!$A$4:$A$810&lt;=$J231)),'Match Log'!$N$4:$N$810),NA()))</f>
        <v>0</v>
      </c>
      <c r="N231">
        <f>IF($J231&gt;MAX('Match Log'!$A$4:$A$810),NA(),IFERROR(LOOKUP(2,1/(('Match Log'!$D$4:$D$810=$N$24)*('Match Log'!$A$4:$A$810&lt;=$J231)),'Match Log'!$N$4:$N$810),NA()))</f>
        <v>0</v>
      </c>
      <c r="O231">
        <f>IF($J231&gt;MAX('Match Log'!$A$4:$A$810),NA(),IFERROR(LOOKUP(2,1/(('Match Log'!$D$4:$D$810=$O$24)*('Match Log'!$A$4:$A$810&lt;=$J231)),'Match Log'!$N$4:$N$810),NA()))</f>
        <v>0</v>
      </c>
      <c r="P231">
        <f>IF($J231&gt;MAX('Match Log'!$A$4:$A$810),NA(),IFERROR(LOOKUP(2,1/(('Match Log'!$D$4:$D$810=$P$24)*('Match Log'!$A$4:$A$810&lt;=$J231)),'Match Log'!$N$4:$N$810),NA()))</f>
        <v>0</v>
      </c>
      <c r="Q231">
        <f>IF($J231&gt;MAX('Match Log'!$A$4:$A$810),NA(),IFERROR(LOOKUP(2,1/(('Match Log'!$D$4:$D$810=$Q$24)*('Match Log'!$A$4:$A$810&lt;=$J231)),'Match Log'!$N$4:$N$810),NA()))</f>
        <v>0</v>
      </c>
      <c r="R231">
        <f>IF($J231&gt;MAX('Match Log'!$A$4:$A$810),NA(),IFERROR(LOOKUP(2,1/(('Match Log'!$D$4:$D$810=$R$24)*('Match Log'!$A$4:$A$810&lt;=$J231)),'Match Log'!$N$4:$N$810),NA()))</f>
        <v>0</v>
      </c>
      <c r="S231">
        <f>IF($J231&gt;MAX('Match Log'!$A$4:$A$810),NA(),IFERROR(LOOKUP(2,1/(('Match Log'!$D$4:$D$810=$S$24)*('Match Log'!$A$4:$A$810&lt;=$J231)),'Match Log'!$N$4:$N$810),NA()))</f>
        <v>0</v>
      </c>
      <c r="T231">
        <f>IF($J231&gt;MAX('Match Log'!$A$4:$A$810),NA(),IFERROR(LOOKUP(2,1/(('Match Log'!$D$4:$D$810=$T$24)*('Match Log'!$A$4:$A$810&lt;=$J231)),'Match Log'!$N$4:$N$810),NA()))</f>
        <v>0</v>
      </c>
      <c r="U231">
        <f>IF($J231&gt;MAX('Match Log'!$A$4:$A$810),NA(),IFERROR(LOOKUP(2,1/(('Match Log'!$D$4:$D$810=$U$24)*('Match Log'!$A$4:$A$810&lt;=$J231)),'Match Log'!$N$4:$N$810),NA()))</f>
        <v>0</v>
      </c>
      <c r="V231">
        <f>IF($J231&gt;MAX('Match Log'!$A$4:$A$810),NA(),IFERROR(LOOKUP(2,1/(('Match Log'!$D$4:$D$810=$V$24)*('Match Log'!$A$4:$A$810&lt;=$J231)),'Match Log'!$N$4:$N$810),NA()))</f>
        <v>0</v>
      </c>
      <c r="W231">
        <f>IF($J231&gt;MAX('Match Log'!$A$4:$A$810),NA(),IFERROR(LOOKUP(2,1/(('Match Log'!$D$4:$D$810=$W$24)*('Match Log'!$A$4:$A$810&lt;=$J231)),'Match Log'!$N$4:$N$810),NA()))</f>
        <v>0</v>
      </c>
      <c r="X231">
        <f>IF($J231&gt;MAX('Match Log'!$A$4:$A$810),NA(),IFERROR(LOOKUP(2,1/(('Match Log'!$D$4:$D$810=$X$24)*('Match Log'!$A$4:$A$810&lt;=$J231)),'Match Log'!$N$4:$N$810),NA()))</f>
        <v>0</v>
      </c>
      <c r="Y231" t="str">
        <f>IF(AND($B231&lt;&gt;"",$B231&gt;=$B$5,$I231&lt;&gt;""),$I231,"")</f>
      </c>
    </row>
    <row r="232">
      <c r="A232">
        <v>208</v>
      </c>
      <c r="B232">
        <f>IFERROR(INDEX('Match Log'!$B$4:$B$810,MATCH(208,'Match Log'!$A$4:$A$810,0)),"")</f>
        <v>0</v>
      </c>
      <c r="C232" t="str">
        <f>IFERROR(INDEX('Match Log'!$C$4:$C$810,MATCH(208,'Match Log'!$A$4:$A$810,0)),"")</f>
      </c>
      <c r="D232" t="str">
        <f>IFERROR(INDEX('Match Log'!$G$4:$G$810,MATCH(208,'Match Log'!$A$4:$A$810,0)),"")</f>
      </c>
      <c r="E232">
        <f>IFERROR(INDEX('Match Log'!$F$4:$F$810,MATCH(208,'Match Log'!$A$4:$A$810,0)),"")</f>
        <v>0</v>
      </c>
      <c r="F232">
        <f>IFERROR(SUMIFS('Match Log'!$I$4:$I$810,'Match Log'!$A$4:$A$810,208,'Match Log'!$E$4:$E$810,"Win"),"")</f>
        <v>0</v>
      </c>
      <c r="G232">
        <f>IF($D232="","",1-$F232*$E232)</f>
        <v>0</v>
      </c>
      <c r="H232" t="str">
        <f>IFERROR(IF($E232=2,LOOKUP(2,1/(('Match Log'!$A$4:$A$810=208)*('Match Log'!$E$4:$E$810="Loss")),'Match Log'!$D$4:$D$810),"the field"),"")</f>
      </c>
      <c r="I232">
        <f>IF($G232="","",$G232-$A232/1000000)</f>
        <v>0</v>
      </c>
      <c r="J232">
        <v>208</v>
      </c>
      <c r="K232">
        <f>IF($J232&gt;MAX('Match Log'!$A$4:$A$810),NA(),IFERROR(LOOKUP(2,1/(('Match Log'!$D$4:$D$810=$K$24)*('Match Log'!$A$4:$A$810&lt;=$J232)),'Match Log'!$N$4:$N$810),NA()))</f>
        <v>0</v>
      </c>
      <c r="L232">
        <f>IF($J232&gt;MAX('Match Log'!$A$4:$A$810),NA(),IFERROR(LOOKUP(2,1/(('Match Log'!$D$4:$D$810=$L$24)*('Match Log'!$A$4:$A$810&lt;=$J232)),'Match Log'!$N$4:$N$810),NA()))</f>
        <v>0</v>
      </c>
      <c r="M232">
        <f>IF($J232&gt;MAX('Match Log'!$A$4:$A$810),NA(),IFERROR(LOOKUP(2,1/(('Match Log'!$D$4:$D$810=$M$24)*('Match Log'!$A$4:$A$810&lt;=$J232)),'Match Log'!$N$4:$N$810),NA()))</f>
        <v>0</v>
      </c>
      <c r="N232">
        <f>IF($J232&gt;MAX('Match Log'!$A$4:$A$810),NA(),IFERROR(LOOKUP(2,1/(('Match Log'!$D$4:$D$810=$N$24)*('Match Log'!$A$4:$A$810&lt;=$J232)),'Match Log'!$N$4:$N$810),NA()))</f>
        <v>0</v>
      </c>
      <c r="O232">
        <f>IF($J232&gt;MAX('Match Log'!$A$4:$A$810),NA(),IFERROR(LOOKUP(2,1/(('Match Log'!$D$4:$D$810=$O$24)*('Match Log'!$A$4:$A$810&lt;=$J232)),'Match Log'!$N$4:$N$810),NA()))</f>
        <v>0</v>
      </c>
      <c r="P232">
        <f>IF($J232&gt;MAX('Match Log'!$A$4:$A$810),NA(),IFERROR(LOOKUP(2,1/(('Match Log'!$D$4:$D$810=$P$24)*('Match Log'!$A$4:$A$810&lt;=$J232)),'Match Log'!$N$4:$N$810),NA()))</f>
        <v>0</v>
      </c>
      <c r="Q232">
        <f>IF($J232&gt;MAX('Match Log'!$A$4:$A$810),NA(),IFERROR(LOOKUP(2,1/(('Match Log'!$D$4:$D$810=$Q$24)*('Match Log'!$A$4:$A$810&lt;=$J232)),'Match Log'!$N$4:$N$810),NA()))</f>
        <v>0</v>
      </c>
      <c r="R232">
        <f>IF($J232&gt;MAX('Match Log'!$A$4:$A$810),NA(),IFERROR(LOOKUP(2,1/(('Match Log'!$D$4:$D$810=$R$24)*('Match Log'!$A$4:$A$810&lt;=$J232)),'Match Log'!$N$4:$N$810),NA()))</f>
        <v>0</v>
      </c>
      <c r="S232">
        <f>IF($J232&gt;MAX('Match Log'!$A$4:$A$810),NA(),IFERROR(LOOKUP(2,1/(('Match Log'!$D$4:$D$810=$S$24)*('Match Log'!$A$4:$A$810&lt;=$J232)),'Match Log'!$N$4:$N$810),NA()))</f>
        <v>0</v>
      </c>
      <c r="T232">
        <f>IF($J232&gt;MAX('Match Log'!$A$4:$A$810),NA(),IFERROR(LOOKUP(2,1/(('Match Log'!$D$4:$D$810=$T$24)*('Match Log'!$A$4:$A$810&lt;=$J232)),'Match Log'!$N$4:$N$810),NA()))</f>
        <v>0</v>
      </c>
      <c r="U232">
        <f>IF($J232&gt;MAX('Match Log'!$A$4:$A$810),NA(),IFERROR(LOOKUP(2,1/(('Match Log'!$D$4:$D$810=$U$24)*('Match Log'!$A$4:$A$810&lt;=$J232)),'Match Log'!$N$4:$N$810),NA()))</f>
        <v>0</v>
      </c>
      <c r="V232">
        <f>IF($J232&gt;MAX('Match Log'!$A$4:$A$810),NA(),IFERROR(LOOKUP(2,1/(('Match Log'!$D$4:$D$810=$V$24)*('Match Log'!$A$4:$A$810&lt;=$J232)),'Match Log'!$N$4:$N$810),NA()))</f>
        <v>0</v>
      </c>
      <c r="W232">
        <f>IF($J232&gt;MAX('Match Log'!$A$4:$A$810),NA(),IFERROR(LOOKUP(2,1/(('Match Log'!$D$4:$D$810=$W$24)*('Match Log'!$A$4:$A$810&lt;=$J232)),'Match Log'!$N$4:$N$810),NA()))</f>
        <v>0</v>
      </c>
      <c r="X232">
        <f>IF($J232&gt;MAX('Match Log'!$A$4:$A$810),NA(),IFERROR(LOOKUP(2,1/(('Match Log'!$D$4:$D$810=$X$24)*('Match Log'!$A$4:$A$810&lt;=$J232)),'Match Log'!$N$4:$N$810),NA()))</f>
        <v>0</v>
      </c>
      <c r="Y232" t="str">
        <f>IF(AND($B232&lt;&gt;"",$B232&gt;=$B$5,$I232&lt;&gt;""),$I232,"")</f>
      </c>
    </row>
    <row r="233">
      <c r="A233">
        <v>209</v>
      </c>
      <c r="B233">
        <f>IFERROR(INDEX('Match Log'!$B$4:$B$810,MATCH(209,'Match Log'!$A$4:$A$810,0)),"")</f>
        <v>0</v>
      </c>
      <c r="C233" t="str">
        <f>IFERROR(INDEX('Match Log'!$C$4:$C$810,MATCH(209,'Match Log'!$A$4:$A$810,0)),"")</f>
      </c>
      <c r="D233" t="str">
        <f>IFERROR(INDEX('Match Log'!$G$4:$G$810,MATCH(209,'Match Log'!$A$4:$A$810,0)),"")</f>
      </c>
      <c r="E233">
        <f>IFERROR(INDEX('Match Log'!$F$4:$F$810,MATCH(209,'Match Log'!$A$4:$A$810,0)),"")</f>
        <v>0</v>
      </c>
      <c r="F233">
        <f>IFERROR(SUMIFS('Match Log'!$I$4:$I$810,'Match Log'!$A$4:$A$810,209,'Match Log'!$E$4:$E$810,"Win"),"")</f>
        <v>0</v>
      </c>
      <c r="G233">
        <f>IF($D233="","",1-$F233*$E233)</f>
        <v>0</v>
      </c>
      <c r="H233" t="str">
        <f>IFERROR(IF($E233=2,LOOKUP(2,1/(('Match Log'!$A$4:$A$810=209)*('Match Log'!$E$4:$E$810="Loss")),'Match Log'!$D$4:$D$810),"the field"),"")</f>
      </c>
      <c r="I233">
        <f>IF($G233="","",$G233-$A233/1000000)</f>
        <v>0</v>
      </c>
      <c r="J233">
        <v>209</v>
      </c>
      <c r="K233">
        <f>IF($J233&gt;MAX('Match Log'!$A$4:$A$810),NA(),IFERROR(LOOKUP(2,1/(('Match Log'!$D$4:$D$810=$K$24)*('Match Log'!$A$4:$A$810&lt;=$J233)),'Match Log'!$N$4:$N$810),NA()))</f>
        <v>0</v>
      </c>
      <c r="L233">
        <f>IF($J233&gt;MAX('Match Log'!$A$4:$A$810),NA(),IFERROR(LOOKUP(2,1/(('Match Log'!$D$4:$D$810=$L$24)*('Match Log'!$A$4:$A$810&lt;=$J233)),'Match Log'!$N$4:$N$810),NA()))</f>
        <v>0</v>
      </c>
      <c r="M233">
        <f>IF($J233&gt;MAX('Match Log'!$A$4:$A$810),NA(),IFERROR(LOOKUP(2,1/(('Match Log'!$D$4:$D$810=$M$24)*('Match Log'!$A$4:$A$810&lt;=$J233)),'Match Log'!$N$4:$N$810),NA()))</f>
        <v>0</v>
      </c>
      <c r="N233">
        <f>IF($J233&gt;MAX('Match Log'!$A$4:$A$810),NA(),IFERROR(LOOKUP(2,1/(('Match Log'!$D$4:$D$810=$N$24)*('Match Log'!$A$4:$A$810&lt;=$J233)),'Match Log'!$N$4:$N$810),NA()))</f>
        <v>0</v>
      </c>
      <c r="O233">
        <f>IF($J233&gt;MAX('Match Log'!$A$4:$A$810),NA(),IFERROR(LOOKUP(2,1/(('Match Log'!$D$4:$D$810=$O$24)*('Match Log'!$A$4:$A$810&lt;=$J233)),'Match Log'!$N$4:$N$810),NA()))</f>
        <v>0</v>
      </c>
      <c r="P233">
        <f>IF($J233&gt;MAX('Match Log'!$A$4:$A$810),NA(),IFERROR(LOOKUP(2,1/(('Match Log'!$D$4:$D$810=$P$24)*('Match Log'!$A$4:$A$810&lt;=$J233)),'Match Log'!$N$4:$N$810),NA()))</f>
        <v>0</v>
      </c>
      <c r="Q233">
        <f>IF($J233&gt;MAX('Match Log'!$A$4:$A$810),NA(),IFERROR(LOOKUP(2,1/(('Match Log'!$D$4:$D$810=$Q$24)*('Match Log'!$A$4:$A$810&lt;=$J233)),'Match Log'!$N$4:$N$810),NA()))</f>
        <v>0</v>
      </c>
      <c r="R233">
        <f>IF($J233&gt;MAX('Match Log'!$A$4:$A$810),NA(),IFERROR(LOOKUP(2,1/(('Match Log'!$D$4:$D$810=$R$24)*('Match Log'!$A$4:$A$810&lt;=$J233)),'Match Log'!$N$4:$N$810),NA()))</f>
        <v>0</v>
      </c>
      <c r="S233">
        <f>IF($J233&gt;MAX('Match Log'!$A$4:$A$810),NA(),IFERROR(LOOKUP(2,1/(('Match Log'!$D$4:$D$810=$S$24)*('Match Log'!$A$4:$A$810&lt;=$J233)),'Match Log'!$N$4:$N$810),NA()))</f>
        <v>0</v>
      </c>
      <c r="T233">
        <f>IF($J233&gt;MAX('Match Log'!$A$4:$A$810),NA(),IFERROR(LOOKUP(2,1/(('Match Log'!$D$4:$D$810=$T$24)*('Match Log'!$A$4:$A$810&lt;=$J233)),'Match Log'!$N$4:$N$810),NA()))</f>
        <v>0</v>
      </c>
      <c r="U233">
        <f>IF($J233&gt;MAX('Match Log'!$A$4:$A$810),NA(),IFERROR(LOOKUP(2,1/(('Match Log'!$D$4:$D$810=$U$24)*('Match Log'!$A$4:$A$810&lt;=$J233)),'Match Log'!$N$4:$N$810),NA()))</f>
        <v>0</v>
      </c>
      <c r="V233">
        <f>IF($J233&gt;MAX('Match Log'!$A$4:$A$810),NA(),IFERROR(LOOKUP(2,1/(('Match Log'!$D$4:$D$810=$V$24)*('Match Log'!$A$4:$A$810&lt;=$J233)),'Match Log'!$N$4:$N$810),NA()))</f>
        <v>0</v>
      </c>
      <c r="W233">
        <f>IF($J233&gt;MAX('Match Log'!$A$4:$A$810),NA(),IFERROR(LOOKUP(2,1/(('Match Log'!$D$4:$D$810=$W$24)*('Match Log'!$A$4:$A$810&lt;=$J233)),'Match Log'!$N$4:$N$810),NA()))</f>
        <v>0</v>
      </c>
      <c r="X233">
        <f>IF($J233&gt;MAX('Match Log'!$A$4:$A$810),NA(),IFERROR(LOOKUP(2,1/(('Match Log'!$D$4:$D$810=$X$24)*('Match Log'!$A$4:$A$810&lt;=$J233)),'Match Log'!$N$4:$N$810),NA()))</f>
        <v>0</v>
      </c>
      <c r="Y233" t="str">
        <f>IF(AND($B233&lt;&gt;"",$B233&gt;=$B$5,$I233&lt;&gt;""),$I233,"")</f>
      </c>
    </row>
    <row r="234">
      <c r="A234">
        <v>210</v>
      </c>
      <c r="B234">
        <f>IFERROR(INDEX('Match Log'!$B$4:$B$810,MATCH(210,'Match Log'!$A$4:$A$810,0)),"")</f>
        <v>0</v>
      </c>
      <c r="C234" t="str">
        <f>IFERROR(INDEX('Match Log'!$C$4:$C$810,MATCH(210,'Match Log'!$A$4:$A$810,0)),"")</f>
      </c>
      <c r="D234" t="str">
        <f>IFERROR(INDEX('Match Log'!$G$4:$G$810,MATCH(210,'Match Log'!$A$4:$A$810,0)),"")</f>
      </c>
      <c r="E234">
        <f>IFERROR(INDEX('Match Log'!$F$4:$F$810,MATCH(210,'Match Log'!$A$4:$A$810,0)),"")</f>
        <v>0</v>
      </c>
      <c r="F234">
        <f>IFERROR(SUMIFS('Match Log'!$I$4:$I$810,'Match Log'!$A$4:$A$810,210,'Match Log'!$E$4:$E$810,"Win"),"")</f>
        <v>0</v>
      </c>
      <c r="G234">
        <f>IF($D234="","",1-$F234*$E234)</f>
        <v>0</v>
      </c>
      <c r="H234" t="str">
        <f>IFERROR(IF($E234=2,LOOKUP(2,1/(('Match Log'!$A$4:$A$810=210)*('Match Log'!$E$4:$E$810="Loss")),'Match Log'!$D$4:$D$810),"the field"),"")</f>
      </c>
      <c r="I234">
        <f>IF($G234="","",$G234-$A234/1000000)</f>
        <v>0</v>
      </c>
      <c r="J234">
        <v>210</v>
      </c>
      <c r="K234">
        <f>IF($J234&gt;MAX('Match Log'!$A$4:$A$810),NA(),IFERROR(LOOKUP(2,1/(('Match Log'!$D$4:$D$810=$K$24)*('Match Log'!$A$4:$A$810&lt;=$J234)),'Match Log'!$N$4:$N$810),NA()))</f>
        <v>0</v>
      </c>
      <c r="L234">
        <f>IF($J234&gt;MAX('Match Log'!$A$4:$A$810),NA(),IFERROR(LOOKUP(2,1/(('Match Log'!$D$4:$D$810=$L$24)*('Match Log'!$A$4:$A$810&lt;=$J234)),'Match Log'!$N$4:$N$810),NA()))</f>
        <v>0</v>
      </c>
      <c r="M234">
        <f>IF($J234&gt;MAX('Match Log'!$A$4:$A$810),NA(),IFERROR(LOOKUP(2,1/(('Match Log'!$D$4:$D$810=$M$24)*('Match Log'!$A$4:$A$810&lt;=$J234)),'Match Log'!$N$4:$N$810),NA()))</f>
        <v>0</v>
      </c>
      <c r="N234">
        <f>IF($J234&gt;MAX('Match Log'!$A$4:$A$810),NA(),IFERROR(LOOKUP(2,1/(('Match Log'!$D$4:$D$810=$N$24)*('Match Log'!$A$4:$A$810&lt;=$J234)),'Match Log'!$N$4:$N$810),NA()))</f>
        <v>0</v>
      </c>
      <c r="O234">
        <f>IF($J234&gt;MAX('Match Log'!$A$4:$A$810),NA(),IFERROR(LOOKUP(2,1/(('Match Log'!$D$4:$D$810=$O$24)*('Match Log'!$A$4:$A$810&lt;=$J234)),'Match Log'!$N$4:$N$810),NA()))</f>
        <v>0</v>
      </c>
      <c r="P234">
        <f>IF($J234&gt;MAX('Match Log'!$A$4:$A$810),NA(),IFERROR(LOOKUP(2,1/(('Match Log'!$D$4:$D$810=$P$24)*('Match Log'!$A$4:$A$810&lt;=$J234)),'Match Log'!$N$4:$N$810),NA()))</f>
        <v>0</v>
      </c>
      <c r="Q234">
        <f>IF($J234&gt;MAX('Match Log'!$A$4:$A$810),NA(),IFERROR(LOOKUP(2,1/(('Match Log'!$D$4:$D$810=$Q$24)*('Match Log'!$A$4:$A$810&lt;=$J234)),'Match Log'!$N$4:$N$810),NA()))</f>
        <v>0</v>
      </c>
      <c r="R234">
        <f>IF($J234&gt;MAX('Match Log'!$A$4:$A$810),NA(),IFERROR(LOOKUP(2,1/(('Match Log'!$D$4:$D$810=$R$24)*('Match Log'!$A$4:$A$810&lt;=$J234)),'Match Log'!$N$4:$N$810),NA()))</f>
        <v>0</v>
      </c>
      <c r="S234">
        <f>IF($J234&gt;MAX('Match Log'!$A$4:$A$810),NA(),IFERROR(LOOKUP(2,1/(('Match Log'!$D$4:$D$810=$S$24)*('Match Log'!$A$4:$A$810&lt;=$J234)),'Match Log'!$N$4:$N$810),NA()))</f>
        <v>0</v>
      </c>
      <c r="T234">
        <f>IF($J234&gt;MAX('Match Log'!$A$4:$A$810),NA(),IFERROR(LOOKUP(2,1/(('Match Log'!$D$4:$D$810=$T$24)*('Match Log'!$A$4:$A$810&lt;=$J234)),'Match Log'!$N$4:$N$810),NA()))</f>
        <v>0</v>
      </c>
      <c r="U234">
        <f>IF($J234&gt;MAX('Match Log'!$A$4:$A$810),NA(),IFERROR(LOOKUP(2,1/(('Match Log'!$D$4:$D$810=$U$24)*('Match Log'!$A$4:$A$810&lt;=$J234)),'Match Log'!$N$4:$N$810),NA()))</f>
        <v>0</v>
      </c>
      <c r="V234">
        <f>IF($J234&gt;MAX('Match Log'!$A$4:$A$810),NA(),IFERROR(LOOKUP(2,1/(('Match Log'!$D$4:$D$810=$V$24)*('Match Log'!$A$4:$A$810&lt;=$J234)),'Match Log'!$N$4:$N$810),NA()))</f>
        <v>0</v>
      </c>
      <c r="W234">
        <f>IF($J234&gt;MAX('Match Log'!$A$4:$A$810),NA(),IFERROR(LOOKUP(2,1/(('Match Log'!$D$4:$D$810=$W$24)*('Match Log'!$A$4:$A$810&lt;=$J234)),'Match Log'!$N$4:$N$810),NA()))</f>
        <v>0</v>
      </c>
      <c r="X234">
        <f>IF($J234&gt;MAX('Match Log'!$A$4:$A$810),NA(),IFERROR(LOOKUP(2,1/(('Match Log'!$D$4:$D$810=$X$24)*('Match Log'!$A$4:$A$810&lt;=$J234)),'Match Log'!$N$4:$N$810),NA()))</f>
        <v>0</v>
      </c>
      <c r="Y234" t="str">
        <f>IF(AND($B234&lt;&gt;"",$B234&gt;=$B$5,$I234&lt;&gt;""),$I234,"")</f>
      </c>
    </row>
    <row r="235">
      <c r="A235">
        <v>211</v>
      </c>
      <c r="B235">
        <f>IFERROR(INDEX('Match Log'!$B$4:$B$810,MATCH(211,'Match Log'!$A$4:$A$810,0)),"")</f>
        <v>0</v>
      </c>
      <c r="C235" t="str">
        <f>IFERROR(INDEX('Match Log'!$C$4:$C$810,MATCH(211,'Match Log'!$A$4:$A$810,0)),"")</f>
      </c>
      <c r="D235" t="str">
        <f>IFERROR(INDEX('Match Log'!$G$4:$G$810,MATCH(211,'Match Log'!$A$4:$A$810,0)),"")</f>
      </c>
      <c r="E235">
        <f>IFERROR(INDEX('Match Log'!$F$4:$F$810,MATCH(211,'Match Log'!$A$4:$A$810,0)),"")</f>
        <v>0</v>
      </c>
      <c r="F235">
        <f>IFERROR(SUMIFS('Match Log'!$I$4:$I$810,'Match Log'!$A$4:$A$810,211,'Match Log'!$E$4:$E$810,"Win"),"")</f>
        <v>0</v>
      </c>
      <c r="G235">
        <f>IF($D235="","",1-$F235*$E235)</f>
        <v>0</v>
      </c>
      <c r="H235" t="str">
        <f>IFERROR(IF($E235=2,LOOKUP(2,1/(('Match Log'!$A$4:$A$810=211)*('Match Log'!$E$4:$E$810="Loss")),'Match Log'!$D$4:$D$810),"the field"),"")</f>
      </c>
      <c r="I235">
        <f>IF($G235="","",$G235-$A235/1000000)</f>
        <v>0</v>
      </c>
      <c r="J235">
        <v>211</v>
      </c>
      <c r="K235">
        <f>IF($J235&gt;MAX('Match Log'!$A$4:$A$810),NA(),IFERROR(LOOKUP(2,1/(('Match Log'!$D$4:$D$810=$K$24)*('Match Log'!$A$4:$A$810&lt;=$J235)),'Match Log'!$N$4:$N$810),NA()))</f>
        <v>0</v>
      </c>
      <c r="L235">
        <f>IF($J235&gt;MAX('Match Log'!$A$4:$A$810),NA(),IFERROR(LOOKUP(2,1/(('Match Log'!$D$4:$D$810=$L$24)*('Match Log'!$A$4:$A$810&lt;=$J235)),'Match Log'!$N$4:$N$810),NA()))</f>
        <v>0</v>
      </c>
      <c r="M235">
        <f>IF($J235&gt;MAX('Match Log'!$A$4:$A$810),NA(),IFERROR(LOOKUP(2,1/(('Match Log'!$D$4:$D$810=$M$24)*('Match Log'!$A$4:$A$810&lt;=$J235)),'Match Log'!$N$4:$N$810),NA()))</f>
        <v>0</v>
      </c>
      <c r="N235">
        <f>IF($J235&gt;MAX('Match Log'!$A$4:$A$810),NA(),IFERROR(LOOKUP(2,1/(('Match Log'!$D$4:$D$810=$N$24)*('Match Log'!$A$4:$A$810&lt;=$J235)),'Match Log'!$N$4:$N$810),NA()))</f>
        <v>0</v>
      </c>
      <c r="O235">
        <f>IF($J235&gt;MAX('Match Log'!$A$4:$A$810),NA(),IFERROR(LOOKUP(2,1/(('Match Log'!$D$4:$D$810=$O$24)*('Match Log'!$A$4:$A$810&lt;=$J235)),'Match Log'!$N$4:$N$810),NA()))</f>
        <v>0</v>
      </c>
      <c r="P235">
        <f>IF($J235&gt;MAX('Match Log'!$A$4:$A$810),NA(),IFERROR(LOOKUP(2,1/(('Match Log'!$D$4:$D$810=$P$24)*('Match Log'!$A$4:$A$810&lt;=$J235)),'Match Log'!$N$4:$N$810),NA()))</f>
        <v>0</v>
      </c>
      <c r="Q235">
        <f>IF($J235&gt;MAX('Match Log'!$A$4:$A$810),NA(),IFERROR(LOOKUP(2,1/(('Match Log'!$D$4:$D$810=$Q$24)*('Match Log'!$A$4:$A$810&lt;=$J235)),'Match Log'!$N$4:$N$810),NA()))</f>
        <v>0</v>
      </c>
      <c r="R235">
        <f>IF($J235&gt;MAX('Match Log'!$A$4:$A$810),NA(),IFERROR(LOOKUP(2,1/(('Match Log'!$D$4:$D$810=$R$24)*('Match Log'!$A$4:$A$810&lt;=$J235)),'Match Log'!$N$4:$N$810),NA()))</f>
        <v>0</v>
      </c>
      <c r="S235">
        <f>IF($J235&gt;MAX('Match Log'!$A$4:$A$810),NA(),IFERROR(LOOKUP(2,1/(('Match Log'!$D$4:$D$810=$S$24)*('Match Log'!$A$4:$A$810&lt;=$J235)),'Match Log'!$N$4:$N$810),NA()))</f>
        <v>0</v>
      </c>
      <c r="T235">
        <f>IF($J235&gt;MAX('Match Log'!$A$4:$A$810),NA(),IFERROR(LOOKUP(2,1/(('Match Log'!$D$4:$D$810=$T$24)*('Match Log'!$A$4:$A$810&lt;=$J235)),'Match Log'!$N$4:$N$810),NA()))</f>
        <v>0</v>
      </c>
      <c r="U235">
        <f>IF($J235&gt;MAX('Match Log'!$A$4:$A$810),NA(),IFERROR(LOOKUP(2,1/(('Match Log'!$D$4:$D$810=$U$24)*('Match Log'!$A$4:$A$810&lt;=$J235)),'Match Log'!$N$4:$N$810),NA()))</f>
        <v>0</v>
      </c>
      <c r="V235">
        <f>IF($J235&gt;MAX('Match Log'!$A$4:$A$810),NA(),IFERROR(LOOKUP(2,1/(('Match Log'!$D$4:$D$810=$V$24)*('Match Log'!$A$4:$A$810&lt;=$J235)),'Match Log'!$N$4:$N$810),NA()))</f>
        <v>0</v>
      </c>
      <c r="W235">
        <f>IF($J235&gt;MAX('Match Log'!$A$4:$A$810),NA(),IFERROR(LOOKUP(2,1/(('Match Log'!$D$4:$D$810=$W$24)*('Match Log'!$A$4:$A$810&lt;=$J235)),'Match Log'!$N$4:$N$810),NA()))</f>
        <v>0</v>
      </c>
      <c r="X235">
        <f>IF($J235&gt;MAX('Match Log'!$A$4:$A$810),NA(),IFERROR(LOOKUP(2,1/(('Match Log'!$D$4:$D$810=$X$24)*('Match Log'!$A$4:$A$810&lt;=$J235)),'Match Log'!$N$4:$N$810),NA()))</f>
        <v>0</v>
      </c>
      <c r="Y235" t="str">
        <f>IF(AND($B235&lt;&gt;"",$B235&gt;=$B$5,$I235&lt;&gt;""),$I235,"")</f>
      </c>
    </row>
    <row r="236">
      <c r="A236">
        <v>212</v>
      </c>
      <c r="B236">
        <f>IFERROR(INDEX('Match Log'!$B$4:$B$810,MATCH(212,'Match Log'!$A$4:$A$810,0)),"")</f>
        <v>0</v>
      </c>
      <c r="C236" t="str">
        <f>IFERROR(INDEX('Match Log'!$C$4:$C$810,MATCH(212,'Match Log'!$A$4:$A$810,0)),"")</f>
      </c>
      <c r="D236" t="str">
        <f>IFERROR(INDEX('Match Log'!$G$4:$G$810,MATCH(212,'Match Log'!$A$4:$A$810,0)),"")</f>
      </c>
      <c r="E236">
        <f>IFERROR(INDEX('Match Log'!$F$4:$F$810,MATCH(212,'Match Log'!$A$4:$A$810,0)),"")</f>
        <v>0</v>
      </c>
      <c r="F236">
        <f>IFERROR(SUMIFS('Match Log'!$I$4:$I$810,'Match Log'!$A$4:$A$810,212,'Match Log'!$E$4:$E$810,"Win"),"")</f>
        <v>0</v>
      </c>
      <c r="G236">
        <f>IF($D236="","",1-$F236*$E236)</f>
        <v>0</v>
      </c>
      <c r="H236" t="str">
        <f>IFERROR(IF($E236=2,LOOKUP(2,1/(('Match Log'!$A$4:$A$810=212)*('Match Log'!$E$4:$E$810="Loss")),'Match Log'!$D$4:$D$810),"the field"),"")</f>
      </c>
      <c r="I236">
        <f>IF($G236="","",$G236-$A236/1000000)</f>
        <v>0</v>
      </c>
      <c r="J236">
        <v>212</v>
      </c>
      <c r="K236">
        <f>IF($J236&gt;MAX('Match Log'!$A$4:$A$810),NA(),IFERROR(LOOKUP(2,1/(('Match Log'!$D$4:$D$810=$K$24)*('Match Log'!$A$4:$A$810&lt;=$J236)),'Match Log'!$N$4:$N$810),NA()))</f>
        <v>0</v>
      </c>
      <c r="L236">
        <f>IF($J236&gt;MAX('Match Log'!$A$4:$A$810),NA(),IFERROR(LOOKUP(2,1/(('Match Log'!$D$4:$D$810=$L$24)*('Match Log'!$A$4:$A$810&lt;=$J236)),'Match Log'!$N$4:$N$810),NA()))</f>
        <v>0</v>
      </c>
      <c r="M236">
        <f>IF($J236&gt;MAX('Match Log'!$A$4:$A$810),NA(),IFERROR(LOOKUP(2,1/(('Match Log'!$D$4:$D$810=$M$24)*('Match Log'!$A$4:$A$810&lt;=$J236)),'Match Log'!$N$4:$N$810),NA()))</f>
        <v>0</v>
      </c>
      <c r="N236">
        <f>IF($J236&gt;MAX('Match Log'!$A$4:$A$810),NA(),IFERROR(LOOKUP(2,1/(('Match Log'!$D$4:$D$810=$N$24)*('Match Log'!$A$4:$A$810&lt;=$J236)),'Match Log'!$N$4:$N$810),NA()))</f>
        <v>0</v>
      </c>
      <c r="O236">
        <f>IF($J236&gt;MAX('Match Log'!$A$4:$A$810),NA(),IFERROR(LOOKUP(2,1/(('Match Log'!$D$4:$D$810=$O$24)*('Match Log'!$A$4:$A$810&lt;=$J236)),'Match Log'!$N$4:$N$810),NA()))</f>
        <v>0</v>
      </c>
      <c r="P236">
        <f>IF($J236&gt;MAX('Match Log'!$A$4:$A$810),NA(),IFERROR(LOOKUP(2,1/(('Match Log'!$D$4:$D$810=$P$24)*('Match Log'!$A$4:$A$810&lt;=$J236)),'Match Log'!$N$4:$N$810),NA()))</f>
        <v>0</v>
      </c>
      <c r="Q236">
        <f>IF($J236&gt;MAX('Match Log'!$A$4:$A$810),NA(),IFERROR(LOOKUP(2,1/(('Match Log'!$D$4:$D$810=$Q$24)*('Match Log'!$A$4:$A$810&lt;=$J236)),'Match Log'!$N$4:$N$810),NA()))</f>
        <v>0</v>
      </c>
      <c r="R236">
        <f>IF($J236&gt;MAX('Match Log'!$A$4:$A$810),NA(),IFERROR(LOOKUP(2,1/(('Match Log'!$D$4:$D$810=$R$24)*('Match Log'!$A$4:$A$810&lt;=$J236)),'Match Log'!$N$4:$N$810),NA()))</f>
        <v>0</v>
      </c>
      <c r="S236">
        <f>IF($J236&gt;MAX('Match Log'!$A$4:$A$810),NA(),IFERROR(LOOKUP(2,1/(('Match Log'!$D$4:$D$810=$S$24)*('Match Log'!$A$4:$A$810&lt;=$J236)),'Match Log'!$N$4:$N$810),NA()))</f>
        <v>0</v>
      </c>
      <c r="T236">
        <f>IF($J236&gt;MAX('Match Log'!$A$4:$A$810),NA(),IFERROR(LOOKUP(2,1/(('Match Log'!$D$4:$D$810=$T$24)*('Match Log'!$A$4:$A$810&lt;=$J236)),'Match Log'!$N$4:$N$810),NA()))</f>
        <v>0</v>
      </c>
      <c r="U236">
        <f>IF($J236&gt;MAX('Match Log'!$A$4:$A$810),NA(),IFERROR(LOOKUP(2,1/(('Match Log'!$D$4:$D$810=$U$24)*('Match Log'!$A$4:$A$810&lt;=$J236)),'Match Log'!$N$4:$N$810),NA()))</f>
        <v>0</v>
      </c>
      <c r="V236">
        <f>IF($J236&gt;MAX('Match Log'!$A$4:$A$810),NA(),IFERROR(LOOKUP(2,1/(('Match Log'!$D$4:$D$810=$V$24)*('Match Log'!$A$4:$A$810&lt;=$J236)),'Match Log'!$N$4:$N$810),NA()))</f>
        <v>0</v>
      </c>
      <c r="W236">
        <f>IF($J236&gt;MAX('Match Log'!$A$4:$A$810),NA(),IFERROR(LOOKUP(2,1/(('Match Log'!$D$4:$D$810=$W$24)*('Match Log'!$A$4:$A$810&lt;=$J236)),'Match Log'!$N$4:$N$810),NA()))</f>
        <v>0</v>
      </c>
      <c r="X236">
        <f>IF($J236&gt;MAX('Match Log'!$A$4:$A$810),NA(),IFERROR(LOOKUP(2,1/(('Match Log'!$D$4:$D$810=$X$24)*('Match Log'!$A$4:$A$810&lt;=$J236)),'Match Log'!$N$4:$N$810),NA()))</f>
        <v>0</v>
      </c>
      <c r="Y236" t="str">
        <f>IF(AND($B236&lt;&gt;"",$B236&gt;=$B$5,$I236&lt;&gt;""),$I236,"")</f>
      </c>
    </row>
    <row r="237">
      <c r="A237">
        <v>213</v>
      </c>
      <c r="B237">
        <f>IFERROR(INDEX('Match Log'!$B$4:$B$810,MATCH(213,'Match Log'!$A$4:$A$810,0)),"")</f>
        <v>0</v>
      </c>
      <c r="C237" t="str">
        <f>IFERROR(INDEX('Match Log'!$C$4:$C$810,MATCH(213,'Match Log'!$A$4:$A$810,0)),"")</f>
      </c>
      <c r="D237" t="str">
        <f>IFERROR(INDEX('Match Log'!$G$4:$G$810,MATCH(213,'Match Log'!$A$4:$A$810,0)),"")</f>
      </c>
      <c r="E237">
        <f>IFERROR(INDEX('Match Log'!$F$4:$F$810,MATCH(213,'Match Log'!$A$4:$A$810,0)),"")</f>
        <v>0</v>
      </c>
      <c r="F237">
        <f>IFERROR(SUMIFS('Match Log'!$I$4:$I$810,'Match Log'!$A$4:$A$810,213,'Match Log'!$E$4:$E$810,"Win"),"")</f>
        <v>0</v>
      </c>
      <c r="G237">
        <f>IF($D237="","",1-$F237*$E237)</f>
        <v>0</v>
      </c>
      <c r="H237" t="str">
        <f>IFERROR(IF($E237=2,LOOKUP(2,1/(('Match Log'!$A$4:$A$810=213)*('Match Log'!$E$4:$E$810="Loss")),'Match Log'!$D$4:$D$810),"the field"),"")</f>
      </c>
      <c r="I237">
        <f>IF($G237="","",$G237-$A237/1000000)</f>
        <v>0</v>
      </c>
      <c r="J237">
        <v>213</v>
      </c>
      <c r="K237">
        <f>IF($J237&gt;MAX('Match Log'!$A$4:$A$810),NA(),IFERROR(LOOKUP(2,1/(('Match Log'!$D$4:$D$810=$K$24)*('Match Log'!$A$4:$A$810&lt;=$J237)),'Match Log'!$N$4:$N$810),NA()))</f>
        <v>0</v>
      </c>
      <c r="L237">
        <f>IF($J237&gt;MAX('Match Log'!$A$4:$A$810),NA(),IFERROR(LOOKUP(2,1/(('Match Log'!$D$4:$D$810=$L$24)*('Match Log'!$A$4:$A$810&lt;=$J237)),'Match Log'!$N$4:$N$810),NA()))</f>
        <v>0</v>
      </c>
      <c r="M237">
        <f>IF($J237&gt;MAX('Match Log'!$A$4:$A$810),NA(),IFERROR(LOOKUP(2,1/(('Match Log'!$D$4:$D$810=$M$24)*('Match Log'!$A$4:$A$810&lt;=$J237)),'Match Log'!$N$4:$N$810),NA()))</f>
        <v>0</v>
      </c>
      <c r="N237">
        <f>IF($J237&gt;MAX('Match Log'!$A$4:$A$810),NA(),IFERROR(LOOKUP(2,1/(('Match Log'!$D$4:$D$810=$N$24)*('Match Log'!$A$4:$A$810&lt;=$J237)),'Match Log'!$N$4:$N$810),NA()))</f>
        <v>0</v>
      </c>
      <c r="O237">
        <f>IF($J237&gt;MAX('Match Log'!$A$4:$A$810),NA(),IFERROR(LOOKUP(2,1/(('Match Log'!$D$4:$D$810=$O$24)*('Match Log'!$A$4:$A$810&lt;=$J237)),'Match Log'!$N$4:$N$810),NA()))</f>
        <v>0</v>
      </c>
      <c r="P237">
        <f>IF($J237&gt;MAX('Match Log'!$A$4:$A$810),NA(),IFERROR(LOOKUP(2,1/(('Match Log'!$D$4:$D$810=$P$24)*('Match Log'!$A$4:$A$810&lt;=$J237)),'Match Log'!$N$4:$N$810),NA()))</f>
        <v>0</v>
      </c>
      <c r="Q237">
        <f>IF($J237&gt;MAX('Match Log'!$A$4:$A$810),NA(),IFERROR(LOOKUP(2,1/(('Match Log'!$D$4:$D$810=$Q$24)*('Match Log'!$A$4:$A$810&lt;=$J237)),'Match Log'!$N$4:$N$810),NA()))</f>
        <v>0</v>
      </c>
      <c r="R237">
        <f>IF($J237&gt;MAX('Match Log'!$A$4:$A$810),NA(),IFERROR(LOOKUP(2,1/(('Match Log'!$D$4:$D$810=$R$24)*('Match Log'!$A$4:$A$810&lt;=$J237)),'Match Log'!$N$4:$N$810),NA()))</f>
        <v>0</v>
      </c>
      <c r="S237">
        <f>IF($J237&gt;MAX('Match Log'!$A$4:$A$810),NA(),IFERROR(LOOKUP(2,1/(('Match Log'!$D$4:$D$810=$S$24)*('Match Log'!$A$4:$A$810&lt;=$J237)),'Match Log'!$N$4:$N$810),NA()))</f>
        <v>0</v>
      </c>
      <c r="T237">
        <f>IF($J237&gt;MAX('Match Log'!$A$4:$A$810),NA(),IFERROR(LOOKUP(2,1/(('Match Log'!$D$4:$D$810=$T$24)*('Match Log'!$A$4:$A$810&lt;=$J237)),'Match Log'!$N$4:$N$810),NA()))</f>
        <v>0</v>
      </c>
      <c r="U237">
        <f>IF($J237&gt;MAX('Match Log'!$A$4:$A$810),NA(),IFERROR(LOOKUP(2,1/(('Match Log'!$D$4:$D$810=$U$24)*('Match Log'!$A$4:$A$810&lt;=$J237)),'Match Log'!$N$4:$N$810),NA()))</f>
        <v>0</v>
      </c>
      <c r="V237">
        <f>IF($J237&gt;MAX('Match Log'!$A$4:$A$810),NA(),IFERROR(LOOKUP(2,1/(('Match Log'!$D$4:$D$810=$V$24)*('Match Log'!$A$4:$A$810&lt;=$J237)),'Match Log'!$N$4:$N$810),NA()))</f>
        <v>0</v>
      </c>
      <c r="W237">
        <f>IF($J237&gt;MAX('Match Log'!$A$4:$A$810),NA(),IFERROR(LOOKUP(2,1/(('Match Log'!$D$4:$D$810=$W$24)*('Match Log'!$A$4:$A$810&lt;=$J237)),'Match Log'!$N$4:$N$810),NA()))</f>
        <v>0</v>
      </c>
      <c r="X237">
        <f>IF($J237&gt;MAX('Match Log'!$A$4:$A$810),NA(),IFERROR(LOOKUP(2,1/(('Match Log'!$D$4:$D$810=$X$24)*('Match Log'!$A$4:$A$810&lt;=$J237)),'Match Log'!$N$4:$N$810),NA()))</f>
        <v>0</v>
      </c>
      <c r="Y237" t="str">
        <f>IF(AND($B237&lt;&gt;"",$B237&gt;=$B$5,$I237&lt;&gt;""),$I237,"")</f>
      </c>
    </row>
    <row r="238">
      <c r="A238">
        <v>214</v>
      </c>
      <c r="B238">
        <f>IFERROR(INDEX('Match Log'!$B$4:$B$810,MATCH(214,'Match Log'!$A$4:$A$810,0)),"")</f>
        <v>0</v>
      </c>
      <c r="C238" t="str">
        <f>IFERROR(INDEX('Match Log'!$C$4:$C$810,MATCH(214,'Match Log'!$A$4:$A$810,0)),"")</f>
      </c>
      <c r="D238" t="str">
        <f>IFERROR(INDEX('Match Log'!$G$4:$G$810,MATCH(214,'Match Log'!$A$4:$A$810,0)),"")</f>
      </c>
      <c r="E238">
        <f>IFERROR(INDEX('Match Log'!$F$4:$F$810,MATCH(214,'Match Log'!$A$4:$A$810,0)),"")</f>
        <v>0</v>
      </c>
      <c r="F238">
        <f>IFERROR(SUMIFS('Match Log'!$I$4:$I$810,'Match Log'!$A$4:$A$810,214,'Match Log'!$E$4:$E$810,"Win"),"")</f>
        <v>0</v>
      </c>
      <c r="G238">
        <f>IF($D238="","",1-$F238*$E238)</f>
        <v>0</v>
      </c>
      <c r="H238" t="str">
        <f>IFERROR(IF($E238=2,LOOKUP(2,1/(('Match Log'!$A$4:$A$810=214)*('Match Log'!$E$4:$E$810="Loss")),'Match Log'!$D$4:$D$810),"the field"),"")</f>
      </c>
      <c r="I238">
        <f>IF($G238="","",$G238-$A238/1000000)</f>
        <v>0</v>
      </c>
      <c r="J238">
        <v>214</v>
      </c>
      <c r="K238">
        <f>IF($J238&gt;MAX('Match Log'!$A$4:$A$810),NA(),IFERROR(LOOKUP(2,1/(('Match Log'!$D$4:$D$810=$K$24)*('Match Log'!$A$4:$A$810&lt;=$J238)),'Match Log'!$N$4:$N$810),NA()))</f>
        <v>0</v>
      </c>
      <c r="L238">
        <f>IF($J238&gt;MAX('Match Log'!$A$4:$A$810),NA(),IFERROR(LOOKUP(2,1/(('Match Log'!$D$4:$D$810=$L$24)*('Match Log'!$A$4:$A$810&lt;=$J238)),'Match Log'!$N$4:$N$810),NA()))</f>
        <v>0</v>
      </c>
      <c r="M238">
        <f>IF($J238&gt;MAX('Match Log'!$A$4:$A$810),NA(),IFERROR(LOOKUP(2,1/(('Match Log'!$D$4:$D$810=$M$24)*('Match Log'!$A$4:$A$810&lt;=$J238)),'Match Log'!$N$4:$N$810),NA()))</f>
        <v>0</v>
      </c>
      <c r="N238">
        <f>IF($J238&gt;MAX('Match Log'!$A$4:$A$810),NA(),IFERROR(LOOKUP(2,1/(('Match Log'!$D$4:$D$810=$N$24)*('Match Log'!$A$4:$A$810&lt;=$J238)),'Match Log'!$N$4:$N$810),NA()))</f>
        <v>0</v>
      </c>
      <c r="O238">
        <f>IF($J238&gt;MAX('Match Log'!$A$4:$A$810),NA(),IFERROR(LOOKUP(2,1/(('Match Log'!$D$4:$D$810=$O$24)*('Match Log'!$A$4:$A$810&lt;=$J238)),'Match Log'!$N$4:$N$810),NA()))</f>
        <v>0</v>
      </c>
      <c r="P238">
        <f>IF($J238&gt;MAX('Match Log'!$A$4:$A$810),NA(),IFERROR(LOOKUP(2,1/(('Match Log'!$D$4:$D$810=$P$24)*('Match Log'!$A$4:$A$810&lt;=$J238)),'Match Log'!$N$4:$N$810),NA()))</f>
        <v>0</v>
      </c>
      <c r="Q238">
        <f>IF($J238&gt;MAX('Match Log'!$A$4:$A$810),NA(),IFERROR(LOOKUP(2,1/(('Match Log'!$D$4:$D$810=$Q$24)*('Match Log'!$A$4:$A$810&lt;=$J238)),'Match Log'!$N$4:$N$810),NA()))</f>
        <v>0</v>
      </c>
      <c r="R238">
        <f>IF($J238&gt;MAX('Match Log'!$A$4:$A$810),NA(),IFERROR(LOOKUP(2,1/(('Match Log'!$D$4:$D$810=$R$24)*('Match Log'!$A$4:$A$810&lt;=$J238)),'Match Log'!$N$4:$N$810),NA()))</f>
        <v>0</v>
      </c>
      <c r="S238">
        <f>IF($J238&gt;MAX('Match Log'!$A$4:$A$810),NA(),IFERROR(LOOKUP(2,1/(('Match Log'!$D$4:$D$810=$S$24)*('Match Log'!$A$4:$A$810&lt;=$J238)),'Match Log'!$N$4:$N$810),NA()))</f>
        <v>0</v>
      </c>
      <c r="T238">
        <f>IF($J238&gt;MAX('Match Log'!$A$4:$A$810),NA(),IFERROR(LOOKUP(2,1/(('Match Log'!$D$4:$D$810=$T$24)*('Match Log'!$A$4:$A$810&lt;=$J238)),'Match Log'!$N$4:$N$810),NA()))</f>
        <v>0</v>
      </c>
      <c r="U238">
        <f>IF($J238&gt;MAX('Match Log'!$A$4:$A$810),NA(),IFERROR(LOOKUP(2,1/(('Match Log'!$D$4:$D$810=$U$24)*('Match Log'!$A$4:$A$810&lt;=$J238)),'Match Log'!$N$4:$N$810),NA()))</f>
        <v>0</v>
      </c>
      <c r="V238">
        <f>IF($J238&gt;MAX('Match Log'!$A$4:$A$810),NA(),IFERROR(LOOKUP(2,1/(('Match Log'!$D$4:$D$810=$V$24)*('Match Log'!$A$4:$A$810&lt;=$J238)),'Match Log'!$N$4:$N$810),NA()))</f>
        <v>0</v>
      </c>
      <c r="W238">
        <f>IF($J238&gt;MAX('Match Log'!$A$4:$A$810),NA(),IFERROR(LOOKUP(2,1/(('Match Log'!$D$4:$D$810=$W$24)*('Match Log'!$A$4:$A$810&lt;=$J238)),'Match Log'!$N$4:$N$810),NA()))</f>
        <v>0</v>
      </c>
      <c r="X238">
        <f>IF($J238&gt;MAX('Match Log'!$A$4:$A$810),NA(),IFERROR(LOOKUP(2,1/(('Match Log'!$D$4:$D$810=$X$24)*('Match Log'!$A$4:$A$810&lt;=$J238)),'Match Log'!$N$4:$N$810),NA()))</f>
        <v>0</v>
      </c>
      <c r="Y238" t="str">
        <f>IF(AND($B238&lt;&gt;"",$B238&gt;=$B$5,$I238&lt;&gt;""),$I238,"")</f>
      </c>
    </row>
    <row r="239">
      <c r="A239">
        <v>215</v>
      </c>
      <c r="B239">
        <f>IFERROR(INDEX('Match Log'!$B$4:$B$810,MATCH(215,'Match Log'!$A$4:$A$810,0)),"")</f>
        <v>0</v>
      </c>
      <c r="C239" t="str">
        <f>IFERROR(INDEX('Match Log'!$C$4:$C$810,MATCH(215,'Match Log'!$A$4:$A$810,0)),"")</f>
      </c>
      <c r="D239" t="str">
        <f>IFERROR(INDEX('Match Log'!$G$4:$G$810,MATCH(215,'Match Log'!$A$4:$A$810,0)),"")</f>
      </c>
      <c r="E239">
        <f>IFERROR(INDEX('Match Log'!$F$4:$F$810,MATCH(215,'Match Log'!$A$4:$A$810,0)),"")</f>
        <v>0</v>
      </c>
      <c r="F239">
        <f>IFERROR(SUMIFS('Match Log'!$I$4:$I$810,'Match Log'!$A$4:$A$810,215,'Match Log'!$E$4:$E$810,"Win"),"")</f>
        <v>0</v>
      </c>
      <c r="G239">
        <f>IF($D239="","",1-$F239*$E239)</f>
        <v>0</v>
      </c>
      <c r="H239" t="str">
        <f>IFERROR(IF($E239=2,LOOKUP(2,1/(('Match Log'!$A$4:$A$810=215)*('Match Log'!$E$4:$E$810="Loss")),'Match Log'!$D$4:$D$810),"the field"),"")</f>
      </c>
      <c r="I239">
        <f>IF($G239="","",$G239-$A239/1000000)</f>
        <v>0</v>
      </c>
      <c r="J239">
        <v>215</v>
      </c>
      <c r="K239">
        <f>IF($J239&gt;MAX('Match Log'!$A$4:$A$810),NA(),IFERROR(LOOKUP(2,1/(('Match Log'!$D$4:$D$810=$K$24)*('Match Log'!$A$4:$A$810&lt;=$J239)),'Match Log'!$N$4:$N$810),NA()))</f>
        <v>0</v>
      </c>
      <c r="L239">
        <f>IF($J239&gt;MAX('Match Log'!$A$4:$A$810),NA(),IFERROR(LOOKUP(2,1/(('Match Log'!$D$4:$D$810=$L$24)*('Match Log'!$A$4:$A$810&lt;=$J239)),'Match Log'!$N$4:$N$810),NA()))</f>
        <v>0</v>
      </c>
      <c r="M239">
        <f>IF($J239&gt;MAX('Match Log'!$A$4:$A$810),NA(),IFERROR(LOOKUP(2,1/(('Match Log'!$D$4:$D$810=$M$24)*('Match Log'!$A$4:$A$810&lt;=$J239)),'Match Log'!$N$4:$N$810),NA()))</f>
        <v>0</v>
      </c>
      <c r="N239">
        <f>IF($J239&gt;MAX('Match Log'!$A$4:$A$810),NA(),IFERROR(LOOKUP(2,1/(('Match Log'!$D$4:$D$810=$N$24)*('Match Log'!$A$4:$A$810&lt;=$J239)),'Match Log'!$N$4:$N$810),NA()))</f>
        <v>0</v>
      </c>
      <c r="O239">
        <f>IF($J239&gt;MAX('Match Log'!$A$4:$A$810),NA(),IFERROR(LOOKUP(2,1/(('Match Log'!$D$4:$D$810=$O$24)*('Match Log'!$A$4:$A$810&lt;=$J239)),'Match Log'!$N$4:$N$810),NA()))</f>
        <v>0</v>
      </c>
      <c r="P239">
        <f>IF($J239&gt;MAX('Match Log'!$A$4:$A$810),NA(),IFERROR(LOOKUP(2,1/(('Match Log'!$D$4:$D$810=$P$24)*('Match Log'!$A$4:$A$810&lt;=$J239)),'Match Log'!$N$4:$N$810),NA()))</f>
        <v>0</v>
      </c>
      <c r="Q239">
        <f>IF($J239&gt;MAX('Match Log'!$A$4:$A$810),NA(),IFERROR(LOOKUP(2,1/(('Match Log'!$D$4:$D$810=$Q$24)*('Match Log'!$A$4:$A$810&lt;=$J239)),'Match Log'!$N$4:$N$810),NA()))</f>
        <v>0</v>
      </c>
      <c r="R239">
        <f>IF($J239&gt;MAX('Match Log'!$A$4:$A$810),NA(),IFERROR(LOOKUP(2,1/(('Match Log'!$D$4:$D$810=$R$24)*('Match Log'!$A$4:$A$810&lt;=$J239)),'Match Log'!$N$4:$N$810),NA()))</f>
        <v>0</v>
      </c>
      <c r="S239">
        <f>IF($J239&gt;MAX('Match Log'!$A$4:$A$810),NA(),IFERROR(LOOKUP(2,1/(('Match Log'!$D$4:$D$810=$S$24)*('Match Log'!$A$4:$A$810&lt;=$J239)),'Match Log'!$N$4:$N$810),NA()))</f>
        <v>0</v>
      </c>
      <c r="T239">
        <f>IF($J239&gt;MAX('Match Log'!$A$4:$A$810),NA(),IFERROR(LOOKUP(2,1/(('Match Log'!$D$4:$D$810=$T$24)*('Match Log'!$A$4:$A$810&lt;=$J239)),'Match Log'!$N$4:$N$810),NA()))</f>
        <v>0</v>
      </c>
      <c r="U239">
        <f>IF($J239&gt;MAX('Match Log'!$A$4:$A$810),NA(),IFERROR(LOOKUP(2,1/(('Match Log'!$D$4:$D$810=$U$24)*('Match Log'!$A$4:$A$810&lt;=$J239)),'Match Log'!$N$4:$N$810),NA()))</f>
        <v>0</v>
      </c>
      <c r="V239">
        <f>IF($J239&gt;MAX('Match Log'!$A$4:$A$810),NA(),IFERROR(LOOKUP(2,1/(('Match Log'!$D$4:$D$810=$V$24)*('Match Log'!$A$4:$A$810&lt;=$J239)),'Match Log'!$N$4:$N$810),NA()))</f>
        <v>0</v>
      </c>
      <c r="W239">
        <f>IF($J239&gt;MAX('Match Log'!$A$4:$A$810),NA(),IFERROR(LOOKUP(2,1/(('Match Log'!$D$4:$D$810=$W$24)*('Match Log'!$A$4:$A$810&lt;=$J239)),'Match Log'!$N$4:$N$810),NA()))</f>
        <v>0</v>
      </c>
      <c r="X239">
        <f>IF($J239&gt;MAX('Match Log'!$A$4:$A$810),NA(),IFERROR(LOOKUP(2,1/(('Match Log'!$D$4:$D$810=$X$24)*('Match Log'!$A$4:$A$810&lt;=$J239)),'Match Log'!$N$4:$N$810),NA()))</f>
        <v>0</v>
      </c>
      <c r="Y239" t="str">
        <f>IF(AND($B239&lt;&gt;"",$B239&gt;=$B$5,$I239&lt;&gt;""),$I239,"")</f>
      </c>
    </row>
    <row r="240">
      <c r="A240">
        <v>216</v>
      </c>
      <c r="B240">
        <f>IFERROR(INDEX('Match Log'!$B$4:$B$810,MATCH(216,'Match Log'!$A$4:$A$810,0)),"")</f>
        <v>0</v>
      </c>
      <c r="C240" t="str">
        <f>IFERROR(INDEX('Match Log'!$C$4:$C$810,MATCH(216,'Match Log'!$A$4:$A$810,0)),"")</f>
      </c>
      <c r="D240" t="str">
        <f>IFERROR(INDEX('Match Log'!$G$4:$G$810,MATCH(216,'Match Log'!$A$4:$A$810,0)),"")</f>
      </c>
      <c r="E240">
        <f>IFERROR(INDEX('Match Log'!$F$4:$F$810,MATCH(216,'Match Log'!$A$4:$A$810,0)),"")</f>
        <v>0</v>
      </c>
      <c r="F240">
        <f>IFERROR(SUMIFS('Match Log'!$I$4:$I$810,'Match Log'!$A$4:$A$810,216,'Match Log'!$E$4:$E$810,"Win"),"")</f>
        <v>0</v>
      </c>
      <c r="G240">
        <f>IF($D240="","",1-$F240*$E240)</f>
        <v>0</v>
      </c>
      <c r="H240" t="str">
        <f>IFERROR(IF($E240=2,LOOKUP(2,1/(('Match Log'!$A$4:$A$810=216)*('Match Log'!$E$4:$E$810="Loss")),'Match Log'!$D$4:$D$810),"the field"),"")</f>
      </c>
      <c r="I240">
        <f>IF($G240="","",$G240-$A240/1000000)</f>
        <v>0</v>
      </c>
      <c r="J240">
        <v>216</v>
      </c>
      <c r="K240">
        <f>IF($J240&gt;MAX('Match Log'!$A$4:$A$810),NA(),IFERROR(LOOKUP(2,1/(('Match Log'!$D$4:$D$810=$K$24)*('Match Log'!$A$4:$A$810&lt;=$J240)),'Match Log'!$N$4:$N$810),NA()))</f>
        <v>0</v>
      </c>
      <c r="L240">
        <f>IF($J240&gt;MAX('Match Log'!$A$4:$A$810),NA(),IFERROR(LOOKUP(2,1/(('Match Log'!$D$4:$D$810=$L$24)*('Match Log'!$A$4:$A$810&lt;=$J240)),'Match Log'!$N$4:$N$810),NA()))</f>
        <v>0</v>
      </c>
      <c r="M240">
        <f>IF($J240&gt;MAX('Match Log'!$A$4:$A$810),NA(),IFERROR(LOOKUP(2,1/(('Match Log'!$D$4:$D$810=$M$24)*('Match Log'!$A$4:$A$810&lt;=$J240)),'Match Log'!$N$4:$N$810),NA()))</f>
        <v>0</v>
      </c>
      <c r="N240">
        <f>IF($J240&gt;MAX('Match Log'!$A$4:$A$810),NA(),IFERROR(LOOKUP(2,1/(('Match Log'!$D$4:$D$810=$N$24)*('Match Log'!$A$4:$A$810&lt;=$J240)),'Match Log'!$N$4:$N$810),NA()))</f>
        <v>0</v>
      </c>
      <c r="O240">
        <f>IF($J240&gt;MAX('Match Log'!$A$4:$A$810),NA(),IFERROR(LOOKUP(2,1/(('Match Log'!$D$4:$D$810=$O$24)*('Match Log'!$A$4:$A$810&lt;=$J240)),'Match Log'!$N$4:$N$810),NA()))</f>
        <v>0</v>
      </c>
      <c r="P240">
        <f>IF($J240&gt;MAX('Match Log'!$A$4:$A$810),NA(),IFERROR(LOOKUP(2,1/(('Match Log'!$D$4:$D$810=$P$24)*('Match Log'!$A$4:$A$810&lt;=$J240)),'Match Log'!$N$4:$N$810),NA()))</f>
        <v>0</v>
      </c>
      <c r="Q240">
        <f>IF($J240&gt;MAX('Match Log'!$A$4:$A$810),NA(),IFERROR(LOOKUP(2,1/(('Match Log'!$D$4:$D$810=$Q$24)*('Match Log'!$A$4:$A$810&lt;=$J240)),'Match Log'!$N$4:$N$810),NA()))</f>
        <v>0</v>
      </c>
      <c r="R240">
        <f>IF($J240&gt;MAX('Match Log'!$A$4:$A$810),NA(),IFERROR(LOOKUP(2,1/(('Match Log'!$D$4:$D$810=$R$24)*('Match Log'!$A$4:$A$810&lt;=$J240)),'Match Log'!$N$4:$N$810),NA()))</f>
        <v>0</v>
      </c>
      <c r="S240">
        <f>IF($J240&gt;MAX('Match Log'!$A$4:$A$810),NA(),IFERROR(LOOKUP(2,1/(('Match Log'!$D$4:$D$810=$S$24)*('Match Log'!$A$4:$A$810&lt;=$J240)),'Match Log'!$N$4:$N$810),NA()))</f>
        <v>0</v>
      </c>
      <c r="T240">
        <f>IF($J240&gt;MAX('Match Log'!$A$4:$A$810),NA(),IFERROR(LOOKUP(2,1/(('Match Log'!$D$4:$D$810=$T$24)*('Match Log'!$A$4:$A$810&lt;=$J240)),'Match Log'!$N$4:$N$810),NA()))</f>
        <v>0</v>
      </c>
      <c r="U240">
        <f>IF($J240&gt;MAX('Match Log'!$A$4:$A$810),NA(),IFERROR(LOOKUP(2,1/(('Match Log'!$D$4:$D$810=$U$24)*('Match Log'!$A$4:$A$810&lt;=$J240)),'Match Log'!$N$4:$N$810),NA()))</f>
        <v>0</v>
      </c>
      <c r="V240">
        <f>IF($J240&gt;MAX('Match Log'!$A$4:$A$810),NA(),IFERROR(LOOKUP(2,1/(('Match Log'!$D$4:$D$810=$V$24)*('Match Log'!$A$4:$A$810&lt;=$J240)),'Match Log'!$N$4:$N$810),NA()))</f>
        <v>0</v>
      </c>
      <c r="W240">
        <f>IF($J240&gt;MAX('Match Log'!$A$4:$A$810),NA(),IFERROR(LOOKUP(2,1/(('Match Log'!$D$4:$D$810=$W$24)*('Match Log'!$A$4:$A$810&lt;=$J240)),'Match Log'!$N$4:$N$810),NA()))</f>
        <v>0</v>
      </c>
      <c r="X240">
        <f>IF($J240&gt;MAX('Match Log'!$A$4:$A$810),NA(),IFERROR(LOOKUP(2,1/(('Match Log'!$D$4:$D$810=$X$24)*('Match Log'!$A$4:$A$810&lt;=$J240)),'Match Log'!$N$4:$N$810),NA()))</f>
        <v>0</v>
      </c>
      <c r="Y240" t="str">
        <f>IF(AND($B240&lt;&gt;"",$B240&gt;=$B$5,$I240&lt;&gt;""),$I240,"")</f>
      </c>
    </row>
    <row r="241">
      <c r="A241">
        <v>217</v>
      </c>
      <c r="B241">
        <f>IFERROR(INDEX('Match Log'!$B$4:$B$810,MATCH(217,'Match Log'!$A$4:$A$810,0)),"")</f>
        <v>0</v>
      </c>
      <c r="C241" t="str">
        <f>IFERROR(INDEX('Match Log'!$C$4:$C$810,MATCH(217,'Match Log'!$A$4:$A$810,0)),"")</f>
      </c>
      <c r="D241" t="str">
        <f>IFERROR(INDEX('Match Log'!$G$4:$G$810,MATCH(217,'Match Log'!$A$4:$A$810,0)),"")</f>
      </c>
      <c r="E241">
        <f>IFERROR(INDEX('Match Log'!$F$4:$F$810,MATCH(217,'Match Log'!$A$4:$A$810,0)),"")</f>
        <v>0</v>
      </c>
      <c r="F241">
        <f>IFERROR(SUMIFS('Match Log'!$I$4:$I$810,'Match Log'!$A$4:$A$810,217,'Match Log'!$E$4:$E$810,"Win"),"")</f>
        <v>0</v>
      </c>
      <c r="G241">
        <f>IF($D241="","",1-$F241*$E241)</f>
        <v>0</v>
      </c>
      <c r="H241" t="str">
        <f>IFERROR(IF($E241=2,LOOKUP(2,1/(('Match Log'!$A$4:$A$810=217)*('Match Log'!$E$4:$E$810="Loss")),'Match Log'!$D$4:$D$810),"the field"),"")</f>
      </c>
      <c r="I241">
        <f>IF($G241="","",$G241-$A241/1000000)</f>
        <v>0</v>
      </c>
      <c r="J241">
        <v>217</v>
      </c>
      <c r="K241">
        <f>IF($J241&gt;MAX('Match Log'!$A$4:$A$810),NA(),IFERROR(LOOKUP(2,1/(('Match Log'!$D$4:$D$810=$K$24)*('Match Log'!$A$4:$A$810&lt;=$J241)),'Match Log'!$N$4:$N$810),NA()))</f>
        <v>0</v>
      </c>
      <c r="L241">
        <f>IF($J241&gt;MAX('Match Log'!$A$4:$A$810),NA(),IFERROR(LOOKUP(2,1/(('Match Log'!$D$4:$D$810=$L$24)*('Match Log'!$A$4:$A$810&lt;=$J241)),'Match Log'!$N$4:$N$810),NA()))</f>
        <v>0</v>
      </c>
      <c r="M241">
        <f>IF($J241&gt;MAX('Match Log'!$A$4:$A$810),NA(),IFERROR(LOOKUP(2,1/(('Match Log'!$D$4:$D$810=$M$24)*('Match Log'!$A$4:$A$810&lt;=$J241)),'Match Log'!$N$4:$N$810),NA()))</f>
        <v>0</v>
      </c>
      <c r="N241">
        <f>IF($J241&gt;MAX('Match Log'!$A$4:$A$810),NA(),IFERROR(LOOKUP(2,1/(('Match Log'!$D$4:$D$810=$N$24)*('Match Log'!$A$4:$A$810&lt;=$J241)),'Match Log'!$N$4:$N$810),NA()))</f>
        <v>0</v>
      </c>
      <c r="O241">
        <f>IF($J241&gt;MAX('Match Log'!$A$4:$A$810),NA(),IFERROR(LOOKUP(2,1/(('Match Log'!$D$4:$D$810=$O$24)*('Match Log'!$A$4:$A$810&lt;=$J241)),'Match Log'!$N$4:$N$810),NA()))</f>
        <v>0</v>
      </c>
      <c r="P241">
        <f>IF($J241&gt;MAX('Match Log'!$A$4:$A$810),NA(),IFERROR(LOOKUP(2,1/(('Match Log'!$D$4:$D$810=$P$24)*('Match Log'!$A$4:$A$810&lt;=$J241)),'Match Log'!$N$4:$N$810),NA()))</f>
        <v>0</v>
      </c>
      <c r="Q241">
        <f>IF($J241&gt;MAX('Match Log'!$A$4:$A$810),NA(),IFERROR(LOOKUP(2,1/(('Match Log'!$D$4:$D$810=$Q$24)*('Match Log'!$A$4:$A$810&lt;=$J241)),'Match Log'!$N$4:$N$810),NA()))</f>
        <v>0</v>
      </c>
      <c r="R241">
        <f>IF($J241&gt;MAX('Match Log'!$A$4:$A$810),NA(),IFERROR(LOOKUP(2,1/(('Match Log'!$D$4:$D$810=$R$24)*('Match Log'!$A$4:$A$810&lt;=$J241)),'Match Log'!$N$4:$N$810),NA()))</f>
        <v>0</v>
      </c>
      <c r="S241">
        <f>IF($J241&gt;MAX('Match Log'!$A$4:$A$810),NA(),IFERROR(LOOKUP(2,1/(('Match Log'!$D$4:$D$810=$S$24)*('Match Log'!$A$4:$A$810&lt;=$J241)),'Match Log'!$N$4:$N$810),NA()))</f>
        <v>0</v>
      </c>
      <c r="T241">
        <f>IF($J241&gt;MAX('Match Log'!$A$4:$A$810),NA(),IFERROR(LOOKUP(2,1/(('Match Log'!$D$4:$D$810=$T$24)*('Match Log'!$A$4:$A$810&lt;=$J241)),'Match Log'!$N$4:$N$810),NA()))</f>
        <v>0</v>
      </c>
      <c r="U241">
        <f>IF($J241&gt;MAX('Match Log'!$A$4:$A$810),NA(),IFERROR(LOOKUP(2,1/(('Match Log'!$D$4:$D$810=$U$24)*('Match Log'!$A$4:$A$810&lt;=$J241)),'Match Log'!$N$4:$N$810),NA()))</f>
        <v>0</v>
      </c>
      <c r="V241">
        <f>IF($J241&gt;MAX('Match Log'!$A$4:$A$810),NA(),IFERROR(LOOKUP(2,1/(('Match Log'!$D$4:$D$810=$V$24)*('Match Log'!$A$4:$A$810&lt;=$J241)),'Match Log'!$N$4:$N$810),NA()))</f>
        <v>0</v>
      </c>
      <c r="W241">
        <f>IF($J241&gt;MAX('Match Log'!$A$4:$A$810),NA(),IFERROR(LOOKUP(2,1/(('Match Log'!$D$4:$D$810=$W$24)*('Match Log'!$A$4:$A$810&lt;=$J241)),'Match Log'!$N$4:$N$810),NA()))</f>
        <v>0</v>
      </c>
      <c r="X241">
        <f>IF($J241&gt;MAX('Match Log'!$A$4:$A$810),NA(),IFERROR(LOOKUP(2,1/(('Match Log'!$D$4:$D$810=$X$24)*('Match Log'!$A$4:$A$810&lt;=$J241)),'Match Log'!$N$4:$N$810),NA()))</f>
        <v>0</v>
      </c>
      <c r="Y241" t="str">
        <f>IF(AND($B241&lt;&gt;"",$B241&gt;=$B$5,$I241&lt;&gt;""),$I241,"")</f>
      </c>
    </row>
    <row r="242">
      <c r="A242">
        <v>218</v>
      </c>
      <c r="B242">
        <f>IFERROR(INDEX('Match Log'!$B$4:$B$810,MATCH(218,'Match Log'!$A$4:$A$810,0)),"")</f>
        <v>0</v>
      </c>
      <c r="C242" t="str">
        <f>IFERROR(INDEX('Match Log'!$C$4:$C$810,MATCH(218,'Match Log'!$A$4:$A$810,0)),"")</f>
      </c>
      <c r="D242" t="str">
        <f>IFERROR(INDEX('Match Log'!$G$4:$G$810,MATCH(218,'Match Log'!$A$4:$A$810,0)),"")</f>
      </c>
      <c r="E242">
        <f>IFERROR(INDEX('Match Log'!$F$4:$F$810,MATCH(218,'Match Log'!$A$4:$A$810,0)),"")</f>
        <v>0</v>
      </c>
      <c r="F242">
        <f>IFERROR(SUMIFS('Match Log'!$I$4:$I$810,'Match Log'!$A$4:$A$810,218,'Match Log'!$E$4:$E$810,"Win"),"")</f>
        <v>0</v>
      </c>
      <c r="G242">
        <f>IF($D242="","",1-$F242*$E242)</f>
        <v>0</v>
      </c>
      <c r="H242" t="str">
        <f>IFERROR(IF($E242=2,LOOKUP(2,1/(('Match Log'!$A$4:$A$810=218)*('Match Log'!$E$4:$E$810="Loss")),'Match Log'!$D$4:$D$810),"the field"),"")</f>
      </c>
      <c r="I242">
        <f>IF($G242="","",$G242-$A242/1000000)</f>
        <v>0</v>
      </c>
      <c r="J242">
        <v>218</v>
      </c>
      <c r="K242">
        <f>IF($J242&gt;MAX('Match Log'!$A$4:$A$810),NA(),IFERROR(LOOKUP(2,1/(('Match Log'!$D$4:$D$810=$K$24)*('Match Log'!$A$4:$A$810&lt;=$J242)),'Match Log'!$N$4:$N$810),NA()))</f>
        <v>0</v>
      </c>
      <c r="L242">
        <f>IF($J242&gt;MAX('Match Log'!$A$4:$A$810),NA(),IFERROR(LOOKUP(2,1/(('Match Log'!$D$4:$D$810=$L$24)*('Match Log'!$A$4:$A$810&lt;=$J242)),'Match Log'!$N$4:$N$810),NA()))</f>
        <v>0</v>
      </c>
      <c r="M242">
        <f>IF($J242&gt;MAX('Match Log'!$A$4:$A$810),NA(),IFERROR(LOOKUP(2,1/(('Match Log'!$D$4:$D$810=$M$24)*('Match Log'!$A$4:$A$810&lt;=$J242)),'Match Log'!$N$4:$N$810),NA()))</f>
        <v>0</v>
      </c>
      <c r="N242">
        <f>IF($J242&gt;MAX('Match Log'!$A$4:$A$810),NA(),IFERROR(LOOKUP(2,1/(('Match Log'!$D$4:$D$810=$N$24)*('Match Log'!$A$4:$A$810&lt;=$J242)),'Match Log'!$N$4:$N$810),NA()))</f>
        <v>0</v>
      </c>
      <c r="O242">
        <f>IF($J242&gt;MAX('Match Log'!$A$4:$A$810),NA(),IFERROR(LOOKUP(2,1/(('Match Log'!$D$4:$D$810=$O$24)*('Match Log'!$A$4:$A$810&lt;=$J242)),'Match Log'!$N$4:$N$810),NA()))</f>
        <v>0</v>
      </c>
      <c r="P242">
        <f>IF($J242&gt;MAX('Match Log'!$A$4:$A$810),NA(),IFERROR(LOOKUP(2,1/(('Match Log'!$D$4:$D$810=$P$24)*('Match Log'!$A$4:$A$810&lt;=$J242)),'Match Log'!$N$4:$N$810),NA()))</f>
        <v>0</v>
      </c>
      <c r="Q242">
        <f>IF($J242&gt;MAX('Match Log'!$A$4:$A$810),NA(),IFERROR(LOOKUP(2,1/(('Match Log'!$D$4:$D$810=$Q$24)*('Match Log'!$A$4:$A$810&lt;=$J242)),'Match Log'!$N$4:$N$810),NA()))</f>
        <v>0</v>
      </c>
      <c r="R242">
        <f>IF($J242&gt;MAX('Match Log'!$A$4:$A$810),NA(),IFERROR(LOOKUP(2,1/(('Match Log'!$D$4:$D$810=$R$24)*('Match Log'!$A$4:$A$810&lt;=$J242)),'Match Log'!$N$4:$N$810),NA()))</f>
        <v>0</v>
      </c>
      <c r="S242">
        <f>IF($J242&gt;MAX('Match Log'!$A$4:$A$810),NA(),IFERROR(LOOKUP(2,1/(('Match Log'!$D$4:$D$810=$S$24)*('Match Log'!$A$4:$A$810&lt;=$J242)),'Match Log'!$N$4:$N$810),NA()))</f>
        <v>0</v>
      </c>
      <c r="T242">
        <f>IF($J242&gt;MAX('Match Log'!$A$4:$A$810),NA(),IFERROR(LOOKUP(2,1/(('Match Log'!$D$4:$D$810=$T$24)*('Match Log'!$A$4:$A$810&lt;=$J242)),'Match Log'!$N$4:$N$810),NA()))</f>
        <v>0</v>
      </c>
      <c r="U242">
        <f>IF($J242&gt;MAX('Match Log'!$A$4:$A$810),NA(),IFERROR(LOOKUP(2,1/(('Match Log'!$D$4:$D$810=$U$24)*('Match Log'!$A$4:$A$810&lt;=$J242)),'Match Log'!$N$4:$N$810),NA()))</f>
        <v>0</v>
      </c>
      <c r="V242">
        <f>IF($J242&gt;MAX('Match Log'!$A$4:$A$810),NA(),IFERROR(LOOKUP(2,1/(('Match Log'!$D$4:$D$810=$V$24)*('Match Log'!$A$4:$A$810&lt;=$J242)),'Match Log'!$N$4:$N$810),NA()))</f>
        <v>0</v>
      </c>
      <c r="W242">
        <f>IF($J242&gt;MAX('Match Log'!$A$4:$A$810),NA(),IFERROR(LOOKUP(2,1/(('Match Log'!$D$4:$D$810=$W$24)*('Match Log'!$A$4:$A$810&lt;=$J242)),'Match Log'!$N$4:$N$810),NA()))</f>
        <v>0</v>
      </c>
      <c r="X242">
        <f>IF($J242&gt;MAX('Match Log'!$A$4:$A$810),NA(),IFERROR(LOOKUP(2,1/(('Match Log'!$D$4:$D$810=$X$24)*('Match Log'!$A$4:$A$810&lt;=$J242)),'Match Log'!$N$4:$N$810),NA()))</f>
        <v>0</v>
      </c>
      <c r="Y242" t="str">
        <f>IF(AND($B242&lt;&gt;"",$B242&gt;=$B$5,$I242&lt;&gt;""),$I242,"")</f>
      </c>
    </row>
    <row r="243">
      <c r="A243">
        <v>219</v>
      </c>
      <c r="B243">
        <f>IFERROR(INDEX('Match Log'!$B$4:$B$810,MATCH(219,'Match Log'!$A$4:$A$810,0)),"")</f>
        <v>0</v>
      </c>
      <c r="C243" t="str">
        <f>IFERROR(INDEX('Match Log'!$C$4:$C$810,MATCH(219,'Match Log'!$A$4:$A$810,0)),"")</f>
      </c>
      <c r="D243" t="str">
        <f>IFERROR(INDEX('Match Log'!$G$4:$G$810,MATCH(219,'Match Log'!$A$4:$A$810,0)),"")</f>
      </c>
      <c r="E243">
        <f>IFERROR(INDEX('Match Log'!$F$4:$F$810,MATCH(219,'Match Log'!$A$4:$A$810,0)),"")</f>
        <v>0</v>
      </c>
      <c r="F243">
        <f>IFERROR(SUMIFS('Match Log'!$I$4:$I$810,'Match Log'!$A$4:$A$810,219,'Match Log'!$E$4:$E$810,"Win"),"")</f>
        <v>0</v>
      </c>
      <c r="G243">
        <f>IF($D243="","",1-$F243*$E243)</f>
        <v>0</v>
      </c>
      <c r="H243" t="str">
        <f>IFERROR(IF($E243=2,LOOKUP(2,1/(('Match Log'!$A$4:$A$810=219)*('Match Log'!$E$4:$E$810="Loss")),'Match Log'!$D$4:$D$810),"the field"),"")</f>
      </c>
      <c r="I243">
        <f>IF($G243="","",$G243-$A243/1000000)</f>
        <v>0</v>
      </c>
      <c r="J243">
        <v>219</v>
      </c>
      <c r="K243">
        <f>IF($J243&gt;MAX('Match Log'!$A$4:$A$810),NA(),IFERROR(LOOKUP(2,1/(('Match Log'!$D$4:$D$810=$K$24)*('Match Log'!$A$4:$A$810&lt;=$J243)),'Match Log'!$N$4:$N$810),NA()))</f>
        <v>0</v>
      </c>
      <c r="L243">
        <f>IF($J243&gt;MAX('Match Log'!$A$4:$A$810),NA(),IFERROR(LOOKUP(2,1/(('Match Log'!$D$4:$D$810=$L$24)*('Match Log'!$A$4:$A$810&lt;=$J243)),'Match Log'!$N$4:$N$810),NA()))</f>
        <v>0</v>
      </c>
      <c r="M243">
        <f>IF($J243&gt;MAX('Match Log'!$A$4:$A$810),NA(),IFERROR(LOOKUP(2,1/(('Match Log'!$D$4:$D$810=$M$24)*('Match Log'!$A$4:$A$810&lt;=$J243)),'Match Log'!$N$4:$N$810),NA()))</f>
        <v>0</v>
      </c>
      <c r="N243">
        <f>IF($J243&gt;MAX('Match Log'!$A$4:$A$810),NA(),IFERROR(LOOKUP(2,1/(('Match Log'!$D$4:$D$810=$N$24)*('Match Log'!$A$4:$A$810&lt;=$J243)),'Match Log'!$N$4:$N$810),NA()))</f>
        <v>0</v>
      </c>
      <c r="O243">
        <f>IF($J243&gt;MAX('Match Log'!$A$4:$A$810),NA(),IFERROR(LOOKUP(2,1/(('Match Log'!$D$4:$D$810=$O$24)*('Match Log'!$A$4:$A$810&lt;=$J243)),'Match Log'!$N$4:$N$810),NA()))</f>
        <v>0</v>
      </c>
      <c r="P243">
        <f>IF($J243&gt;MAX('Match Log'!$A$4:$A$810),NA(),IFERROR(LOOKUP(2,1/(('Match Log'!$D$4:$D$810=$P$24)*('Match Log'!$A$4:$A$810&lt;=$J243)),'Match Log'!$N$4:$N$810),NA()))</f>
        <v>0</v>
      </c>
      <c r="Q243">
        <f>IF($J243&gt;MAX('Match Log'!$A$4:$A$810),NA(),IFERROR(LOOKUP(2,1/(('Match Log'!$D$4:$D$810=$Q$24)*('Match Log'!$A$4:$A$810&lt;=$J243)),'Match Log'!$N$4:$N$810),NA()))</f>
        <v>0</v>
      </c>
      <c r="R243">
        <f>IF($J243&gt;MAX('Match Log'!$A$4:$A$810),NA(),IFERROR(LOOKUP(2,1/(('Match Log'!$D$4:$D$810=$R$24)*('Match Log'!$A$4:$A$810&lt;=$J243)),'Match Log'!$N$4:$N$810),NA()))</f>
        <v>0</v>
      </c>
      <c r="S243">
        <f>IF($J243&gt;MAX('Match Log'!$A$4:$A$810),NA(),IFERROR(LOOKUP(2,1/(('Match Log'!$D$4:$D$810=$S$24)*('Match Log'!$A$4:$A$810&lt;=$J243)),'Match Log'!$N$4:$N$810),NA()))</f>
        <v>0</v>
      </c>
      <c r="T243">
        <f>IF($J243&gt;MAX('Match Log'!$A$4:$A$810),NA(),IFERROR(LOOKUP(2,1/(('Match Log'!$D$4:$D$810=$T$24)*('Match Log'!$A$4:$A$810&lt;=$J243)),'Match Log'!$N$4:$N$810),NA()))</f>
        <v>0</v>
      </c>
      <c r="U243">
        <f>IF($J243&gt;MAX('Match Log'!$A$4:$A$810),NA(),IFERROR(LOOKUP(2,1/(('Match Log'!$D$4:$D$810=$U$24)*('Match Log'!$A$4:$A$810&lt;=$J243)),'Match Log'!$N$4:$N$810),NA()))</f>
        <v>0</v>
      </c>
      <c r="V243">
        <f>IF($J243&gt;MAX('Match Log'!$A$4:$A$810),NA(),IFERROR(LOOKUP(2,1/(('Match Log'!$D$4:$D$810=$V$24)*('Match Log'!$A$4:$A$810&lt;=$J243)),'Match Log'!$N$4:$N$810),NA()))</f>
        <v>0</v>
      </c>
      <c r="W243">
        <f>IF($J243&gt;MAX('Match Log'!$A$4:$A$810),NA(),IFERROR(LOOKUP(2,1/(('Match Log'!$D$4:$D$810=$W$24)*('Match Log'!$A$4:$A$810&lt;=$J243)),'Match Log'!$N$4:$N$810),NA()))</f>
        <v>0</v>
      </c>
      <c r="X243">
        <f>IF($J243&gt;MAX('Match Log'!$A$4:$A$810),NA(),IFERROR(LOOKUP(2,1/(('Match Log'!$D$4:$D$810=$X$24)*('Match Log'!$A$4:$A$810&lt;=$J243)),'Match Log'!$N$4:$N$810),NA()))</f>
        <v>0</v>
      </c>
      <c r="Y243" t="str">
        <f>IF(AND($B243&lt;&gt;"",$B243&gt;=$B$5,$I243&lt;&gt;""),$I243,"")</f>
      </c>
    </row>
    <row r="244">
      <c r="A244">
        <v>220</v>
      </c>
      <c r="B244">
        <f>IFERROR(INDEX('Match Log'!$B$4:$B$810,MATCH(220,'Match Log'!$A$4:$A$810,0)),"")</f>
        <v>0</v>
      </c>
      <c r="C244" t="str">
        <f>IFERROR(INDEX('Match Log'!$C$4:$C$810,MATCH(220,'Match Log'!$A$4:$A$810,0)),"")</f>
      </c>
      <c r="D244" t="str">
        <f>IFERROR(INDEX('Match Log'!$G$4:$G$810,MATCH(220,'Match Log'!$A$4:$A$810,0)),"")</f>
      </c>
      <c r="E244">
        <f>IFERROR(INDEX('Match Log'!$F$4:$F$810,MATCH(220,'Match Log'!$A$4:$A$810,0)),"")</f>
        <v>0</v>
      </c>
      <c r="F244">
        <f>IFERROR(SUMIFS('Match Log'!$I$4:$I$810,'Match Log'!$A$4:$A$810,220,'Match Log'!$E$4:$E$810,"Win"),"")</f>
        <v>0</v>
      </c>
      <c r="G244">
        <f>IF($D244="","",1-$F244*$E244)</f>
        <v>0</v>
      </c>
      <c r="H244" t="str">
        <f>IFERROR(IF($E244=2,LOOKUP(2,1/(('Match Log'!$A$4:$A$810=220)*('Match Log'!$E$4:$E$810="Loss")),'Match Log'!$D$4:$D$810),"the field"),"")</f>
      </c>
      <c r="I244">
        <f>IF($G244="","",$G244-$A244/1000000)</f>
        <v>0</v>
      </c>
      <c r="J244">
        <v>220</v>
      </c>
      <c r="K244">
        <f>IF($J244&gt;MAX('Match Log'!$A$4:$A$810),NA(),IFERROR(LOOKUP(2,1/(('Match Log'!$D$4:$D$810=$K$24)*('Match Log'!$A$4:$A$810&lt;=$J244)),'Match Log'!$N$4:$N$810),NA()))</f>
        <v>0</v>
      </c>
      <c r="L244">
        <f>IF($J244&gt;MAX('Match Log'!$A$4:$A$810),NA(),IFERROR(LOOKUP(2,1/(('Match Log'!$D$4:$D$810=$L$24)*('Match Log'!$A$4:$A$810&lt;=$J244)),'Match Log'!$N$4:$N$810),NA()))</f>
        <v>0</v>
      </c>
      <c r="M244">
        <f>IF($J244&gt;MAX('Match Log'!$A$4:$A$810),NA(),IFERROR(LOOKUP(2,1/(('Match Log'!$D$4:$D$810=$M$24)*('Match Log'!$A$4:$A$810&lt;=$J244)),'Match Log'!$N$4:$N$810),NA()))</f>
        <v>0</v>
      </c>
      <c r="N244">
        <f>IF($J244&gt;MAX('Match Log'!$A$4:$A$810),NA(),IFERROR(LOOKUP(2,1/(('Match Log'!$D$4:$D$810=$N$24)*('Match Log'!$A$4:$A$810&lt;=$J244)),'Match Log'!$N$4:$N$810),NA()))</f>
        <v>0</v>
      </c>
      <c r="O244">
        <f>IF($J244&gt;MAX('Match Log'!$A$4:$A$810),NA(),IFERROR(LOOKUP(2,1/(('Match Log'!$D$4:$D$810=$O$24)*('Match Log'!$A$4:$A$810&lt;=$J244)),'Match Log'!$N$4:$N$810),NA()))</f>
        <v>0</v>
      </c>
      <c r="P244">
        <f>IF($J244&gt;MAX('Match Log'!$A$4:$A$810),NA(),IFERROR(LOOKUP(2,1/(('Match Log'!$D$4:$D$810=$P$24)*('Match Log'!$A$4:$A$810&lt;=$J244)),'Match Log'!$N$4:$N$810),NA()))</f>
        <v>0</v>
      </c>
      <c r="Q244">
        <f>IF($J244&gt;MAX('Match Log'!$A$4:$A$810),NA(),IFERROR(LOOKUP(2,1/(('Match Log'!$D$4:$D$810=$Q$24)*('Match Log'!$A$4:$A$810&lt;=$J244)),'Match Log'!$N$4:$N$810),NA()))</f>
        <v>0</v>
      </c>
      <c r="R244">
        <f>IF($J244&gt;MAX('Match Log'!$A$4:$A$810),NA(),IFERROR(LOOKUP(2,1/(('Match Log'!$D$4:$D$810=$R$24)*('Match Log'!$A$4:$A$810&lt;=$J244)),'Match Log'!$N$4:$N$810),NA()))</f>
        <v>0</v>
      </c>
      <c r="S244">
        <f>IF($J244&gt;MAX('Match Log'!$A$4:$A$810),NA(),IFERROR(LOOKUP(2,1/(('Match Log'!$D$4:$D$810=$S$24)*('Match Log'!$A$4:$A$810&lt;=$J244)),'Match Log'!$N$4:$N$810),NA()))</f>
        <v>0</v>
      </c>
      <c r="T244">
        <f>IF($J244&gt;MAX('Match Log'!$A$4:$A$810),NA(),IFERROR(LOOKUP(2,1/(('Match Log'!$D$4:$D$810=$T$24)*('Match Log'!$A$4:$A$810&lt;=$J244)),'Match Log'!$N$4:$N$810),NA()))</f>
        <v>0</v>
      </c>
      <c r="U244">
        <f>IF($J244&gt;MAX('Match Log'!$A$4:$A$810),NA(),IFERROR(LOOKUP(2,1/(('Match Log'!$D$4:$D$810=$U$24)*('Match Log'!$A$4:$A$810&lt;=$J244)),'Match Log'!$N$4:$N$810),NA()))</f>
        <v>0</v>
      </c>
      <c r="V244">
        <f>IF($J244&gt;MAX('Match Log'!$A$4:$A$810),NA(),IFERROR(LOOKUP(2,1/(('Match Log'!$D$4:$D$810=$V$24)*('Match Log'!$A$4:$A$810&lt;=$J244)),'Match Log'!$N$4:$N$810),NA()))</f>
        <v>0</v>
      </c>
      <c r="W244">
        <f>IF($J244&gt;MAX('Match Log'!$A$4:$A$810),NA(),IFERROR(LOOKUP(2,1/(('Match Log'!$D$4:$D$810=$W$24)*('Match Log'!$A$4:$A$810&lt;=$J244)),'Match Log'!$N$4:$N$810),NA()))</f>
        <v>0</v>
      </c>
      <c r="X244">
        <f>IF($J244&gt;MAX('Match Log'!$A$4:$A$810),NA(),IFERROR(LOOKUP(2,1/(('Match Log'!$D$4:$D$810=$X$24)*('Match Log'!$A$4:$A$810&lt;=$J244)),'Match Log'!$N$4:$N$810),NA()))</f>
        <v>0</v>
      </c>
      <c r="Y244" t="str">
        <f>IF(AND($B244&lt;&gt;"",$B244&gt;=$B$5,$I244&lt;&gt;""),$I244,"")</f>
      </c>
    </row>
    <row r="245">
      <c r="A245">
        <v>221</v>
      </c>
      <c r="B245">
        <f>IFERROR(INDEX('Match Log'!$B$4:$B$810,MATCH(221,'Match Log'!$A$4:$A$810,0)),"")</f>
        <v>0</v>
      </c>
      <c r="C245" t="str">
        <f>IFERROR(INDEX('Match Log'!$C$4:$C$810,MATCH(221,'Match Log'!$A$4:$A$810,0)),"")</f>
      </c>
      <c r="D245" t="str">
        <f>IFERROR(INDEX('Match Log'!$G$4:$G$810,MATCH(221,'Match Log'!$A$4:$A$810,0)),"")</f>
      </c>
      <c r="E245">
        <f>IFERROR(INDEX('Match Log'!$F$4:$F$810,MATCH(221,'Match Log'!$A$4:$A$810,0)),"")</f>
        <v>0</v>
      </c>
      <c r="F245">
        <f>IFERROR(SUMIFS('Match Log'!$I$4:$I$810,'Match Log'!$A$4:$A$810,221,'Match Log'!$E$4:$E$810,"Win"),"")</f>
        <v>0</v>
      </c>
      <c r="G245">
        <f>IF($D245="","",1-$F245*$E245)</f>
        <v>0</v>
      </c>
      <c r="H245" t="str">
        <f>IFERROR(IF($E245=2,LOOKUP(2,1/(('Match Log'!$A$4:$A$810=221)*('Match Log'!$E$4:$E$810="Loss")),'Match Log'!$D$4:$D$810),"the field"),"")</f>
      </c>
      <c r="I245">
        <f>IF($G245="","",$G245-$A245/1000000)</f>
        <v>0</v>
      </c>
      <c r="J245">
        <v>221</v>
      </c>
      <c r="K245">
        <f>IF($J245&gt;MAX('Match Log'!$A$4:$A$810),NA(),IFERROR(LOOKUP(2,1/(('Match Log'!$D$4:$D$810=$K$24)*('Match Log'!$A$4:$A$810&lt;=$J245)),'Match Log'!$N$4:$N$810),NA()))</f>
        <v>0</v>
      </c>
      <c r="L245">
        <f>IF($J245&gt;MAX('Match Log'!$A$4:$A$810),NA(),IFERROR(LOOKUP(2,1/(('Match Log'!$D$4:$D$810=$L$24)*('Match Log'!$A$4:$A$810&lt;=$J245)),'Match Log'!$N$4:$N$810),NA()))</f>
        <v>0</v>
      </c>
      <c r="M245">
        <f>IF($J245&gt;MAX('Match Log'!$A$4:$A$810),NA(),IFERROR(LOOKUP(2,1/(('Match Log'!$D$4:$D$810=$M$24)*('Match Log'!$A$4:$A$810&lt;=$J245)),'Match Log'!$N$4:$N$810),NA()))</f>
        <v>0</v>
      </c>
      <c r="N245">
        <f>IF($J245&gt;MAX('Match Log'!$A$4:$A$810),NA(),IFERROR(LOOKUP(2,1/(('Match Log'!$D$4:$D$810=$N$24)*('Match Log'!$A$4:$A$810&lt;=$J245)),'Match Log'!$N$4:$N$810),NA()))</f>
        <v>0</v>
      </c>
      <c r="O245">
        <f>IF($J245&gt;MAX('Match Log'!$A$4:$A$810),NA(),IFERROR(LOOKUP(2,1/(('Match Log'!$D$4:$D$810=$O$24)*('Match Log'!$A$4:$A$810&lt;=$J245)),'Match Log'!$N$4:$N$810),NA()))</f>
        <v>0</v>
      </c>
      <c r="P245">
        <f>IF($J245&gt;MAX('Match Log'!$A$4:$A$810),NA(),IFERROR(LOOKUP(2,1/(('Match Log'!$D$4:$D$810=$P$24)*('Match Log'!$A$4:$A$810&lt;=$J245)),'Match Log'!$N$4:$N$810),NA()))</f>
        <v>0</v>
      </c>
      <c r="Q245">
        <f>IF($J245&gt;MAX('Match Log'!$A$4:$A$810),NA(),IFERROR(LOOKUP(2,1/(('Match Log'!$D$4:$D$810=$Q$24)*('Match Log'!$A$4:$A$810&lt;=$J245)),'Match Log'!$N$4:$N$810),NA()))</f>
        <v>0</v>
      </c>
      <c r="R245">
        <f>IF($J245&gt;MAX('Match Log'!$A$4:$A$810),NA(),IFERROR(LOOKUP(2,1/(('Match Log'!$D$4:$D$810=$R$24)*('Match Log'!$A$4:$A$810&lt;=$J245)),'Match Log'!$N$4:$N$810),NA()))</f>
        <v>0</v>
      </c>
      <c r="S245">
        <f>IF($J245&gt;MAX('Match Log'!$A$4:$A$810),NA(),IFERROR(LOOKUP(2,1/(('Match Log'!$D$4:$D$810=$S$24)*('Match Log'!$A$4:$A$810&lt;=$J245)),'Match Log'!$N$4:$N$810),NA()))</f>
        <v>0</v>
      </c>
      <c r="T245">
        <f>IF($J245&gt;MAX('Match Log'!$A$4:$A$810),NA(),IFERROR(LOOKUP(2,1/(('Match Log'!$D$4:$D$810=$T$24)*('Match Log'!$A$4:$A$810&lt;=$J245)),'Match Log'!$N$4:$N$810),NA()))</f>
        <v>0</v>
      </c>
      <c r="U245">
        <f>IF($J245&gt;MAX('Match Log'!$A$4:$A$810),NA(),IFERROR(LOOKUP(2,1/(('Match Log'!$D$4:$D$810=$U$24)*('Match Log'!$A$4:$A$810&lt;=$J245)),'Match Log'!$N$4:$N$810),NA()))</f>
        <v>0</v>
      </c>
      <c r="V245">
        <f>IF($J245&gt;MAX('Match Log'!$A$4:$A$810),NA(),IFERROR(LOOKUP(2,1/(('Match Log'!$D$4:$D$810=$V$24)*('Match Log'!$A$4:$A$810&lt;=$J245)),'Match Log'!$N$4:$N$810),NA()))</f>
        <v>0</v>
      </c>
      <c r="W245">
        <f>IF($J245&gt;MAX('Match Log'!$A$4:$A$810),NA(),IFERROR(LOOKUP(2,1/(('Match Log'!$D$4:$D$810=$W$24)*('Match Log'!$A$4:$A$810&lt;=$J245)),'Match Log'!$N$4:$N$810),NA()))</f>
        <v>0</v>
      </c>
      <c r="X245">
        <f>IF($J245&gt;MAX('Match Log'!$A$4:$A$810),NA(),IFERROR(LOOKUP(2,1/(('Match Log'!$D$4:$D$810=$X$24)*('Match Log'!$A$4:$A$810&lt;=$J245)),'Match Log'!$N$4:$N$810),NA()))</f>
        <v>0</v>
      </c>
      <c r="Y245" t="str">
        <f>IF(AND($B245&lt;&gt;"",$B245&gt;=$B$5,$I245&lt;&gt;""),$I245,"")</f>
      </c>
    </row>
    <row r="246">
      <c r="A246">
        <v>222</v>
      </c>
      <c r="B246">
        <f>IFERROR(INDEX('Match Log'!$B$4:$B$810,MATCH(222,'Match Log'!$A$4:$A$810,0)),"")</f>
        <v>0</v>
      </c>
      <c r="C246" t="str">
        <f>IFERROR(INDEX('Match Log'!$C$4:$C$810,MATCH(222,'Match Log'!$A$4:$A$810,0)),"")</f>
      </c>
      <c r="D246" t="str">
        <f>IFERROR(INDEX('Match Log'!$G$4:$G$810,MATCH(222,'Match Log'!$A$4:$A$810,0)),"")</f>
      </c>
      <c r="E246">
        <f>IFERROR(INDEX('Match Log'!$F$4:$F$810,MATCH(222,'Match Log'!$A$4:$A$810,0)),"")</f>
        <v>0</v>
      </c>
      <c r="F246">
        <f>IFERROR(SUMIFS('Match Log'!$I$4:$I$810,'Match Log'!$A$4:$A$810,222,'Match Log'!$E$4:$E$810,"Win"),"")</f>
        <v>0</v>
      </c>
      <c r="G246">
        <f>IF($D246="","",1-$F246*$E246)</f>
        <v>0</v>
      </c>
      <c r="H246" t="str">
        <f>IFERROR(IF($E246=2,LOOKUP(2,1/(('Match Log'!$A$4:$A$810=222)*('Match Log'!$E$4:$E$810="Loss")),'Match Log'!$D$4:$D$810),"the field"),"")</f>
      </c>
      <c r="I246">
        <f>IF($G246="","",$G246-$A246/1000000)</f>
        <v>0</v>
      </c>
      <c r="J246">
        <v>222</v>
      </c>
      <c r="K246">
        <f>IF($J246&gt;MAX('Match Log'!$A$4:$A$810),NA(),IFERROR(LOOKUP(2,1/(('Match Log'!$D$4:$D$810=$K$24)*('Match Log'!$A$4:$A$810&lt;=$J246)),'Match Log'!$N$4:$N$810),NA()))</f>
        <v>0</v>
      </c>
      <c r="L246">
        <f>IF($J246&gt;MAX('Match Log'!$A$4:$A$810),NA(),IFERROR(LOOKUP(2,1/(('Match Log'!$D$4:$D$810=$L$24)*('Match Log'!$A$4:$A$810&lt;=$J246)),'Match Log'!$N$4:$N$810),NA()))</f>
        <v>0</v>
      </c>
      <c r="M246">
        <f>IF($J246&gt;MAX('Match Log'!$A$4:$A$810),NA(),IFERROR(LOOKUP(2,1/(('Match Log'!$D$4:$D$810=$M$24)*('Match Log'!$A$4:$A$810&lt;=$J246)),'Match Log'!$N$4:$N$810),NA()))</f>
        <v>0</v>
      </c>
      <c r="N246">
        <f>IF($J246&gt;MAX('Match Log'!$A$4:$A$810),NA(),IFERROR(LOOKUP(2,1/(('Match Log'!$D$4:$D$810=$N$24)*('Match Log'!$A$4:$A$810&lt;=$J246)),'Match Log'!$N$4:$N$810),NA()))</f>
        <v>0</v>
      </c>
      <c r="O246">
        <f>IF($J246&gt;MAX('Match Log'!$A$4:$A$810),NA(),IFERROR(LOOKUP(2,1/(('Match Log'!$D$4:$D$810=$O$24)*('Match Log'!$A$4:$A$810&lt;=$J246)),'Match Log'!$N$4:$N$810),NA()))</f>
        <v>0</v>
      </c>
      <c r="P246">
        <f>IF($J246&gt;MAX('Match Log'!$A$4:$A$810),NA(),IFERROR(LOOKUP(2,1/(('Match Log'!$D$4:$D$810=$P$24)*('Match Log'!$A$4:$A$810&lt;=$J246)),'Match Log'!$N$4:$N$810),NA()))</f>
        <v>0</v>
      </c>
      <c r="Q246">
        <f>IF($J246&gt;MAX('Match Log'!$A$4:$A$810),NA(),IFERROR(LOOKUP(2,1/(('Match Log'!$D$4:$D$810=$Q$24)*('Match Log'!$A$4:$A$810&lt;=$J246)),'Match Log'!$N$4:$N$810),NA()))</f>
        <v>0</v>
      </c>
      <c r="R246">
        <f>IF($J246&gt;MAX('Match Log'!$A$4:$A$810),NA(),IFERROR(LOOKUP(2,1/(('Match Log'!$D$4:$D$810=$R$24)*('Match Log'!$A$4:$A$810&lt;=$J246)),'Match Log'!$N$4:$N$810),NA()))</f>
        <v>0</v>
      </c>
      <c r="S246">
        <f>IF($J246&gt;MAX('Match Log'!$A$4:$A$810),NA(),IFERROR(LOOKUP(2,1/(('Match Log'!$D$4:$D$810=$S$24)*('Match Log'!$A$4:$A$810&lt;=$J246)),'Match Log'!$N$4:$N$810),NA()))</f>
        <v>0</v>
      </c>
      <c r="T246">
        <f>IF($J246&gt;MAX('Match Log'!$A$4:$A$810),NA(),IFERROR(LOOKUP(2,1/(('Match Log'!$D$4:$D$810=$T$24)*('Match Log'!$A$4:$A$810&lt;=$J246)),'Match Log'!$N$4:$N$810),NA()))</f>
        <v>0</v>
      </c>
      <c r="U246">
        <f>IF($J246&gt;MAX('Match Log'!$A$4:$A$810),NA(),IFERROR(LOOKUP(2,1/(('Match Log'!$D$4:$D$810=$U$24)*('Match Log'!$A$4:$A$810&lt;=$J246)),'Match Log'!$N$4:$N$810),NA()))</f>
        <v>0</v>
      </c>
      <c r="V246">
        <f>IF($J246&gt;MAX('Match Log'!$A$4:$A$810),NA(),IFERROR(LOOKUP(2,1/(('Match Log'!$D$4:$D$810=$V$24)*('Match Log'!$A$4:$A$810&lt;=$J246)),'Match Log'!$N$4:$N$810),NA()))</f>
        <v>0</v>
      </c>
      <c r="W246">
        <f>IF($J246&gt;MAX('Match Log'!$A$4:$A$810),NA(),IFERROR(LOOKUP(2,1/(('Match Log'!$D$4:$D$810=$W$24)*('Match Log'!$A$4:$A$810&lt;=$J246)),'Match Log'!$N$4:$N$810),NA()))</f>
        <v>0</v>
      </c>
      <c r="X246">
        <f>IF($J246&gt;MAX('Match Log'!$A$4:$A$810),NA(),IFERROR(LOOKUP(2,1/(('Match Log'!$D$4:$D$810=$X$24)*('Match Log'!$A$4:$A$810&lt;=$J246)),'Match Log'!$N$4:$N$810),NA()))</f>
        <v>0</v>
      </c>
      <c r="Y246" t="str">
        <f>IF(AND($B246&lt;&gt;"",$B246&gt;=$B$5,$I246&lt;&gt;""),$I246,"")</f>
      </c>
    </row>
    <row r="247">
      <c r="A247">
        <v>223</v>
      </c>
      <c r="B247">
        <f>IFERROR(INDEX('Match Log'!$B$4:$B$810,MATCH(223,'Match Log'!$A$4:$A$810,0)),"")</f>
        <v>0</v>
      </c>
      <c r="C247" t="str">
        <f>IFERROR(INDEX('Match Log'!$C$4:$C$810,MATCH(223,'Match Log'!$A$4:$A$810,0)),"")</f>
      </c>
      <c r="D247" t="str">
        <f>IFERROR(INDEX('Match Log'!$G$4:$G$810,MATCH(223,'Match Log'!$A$4:$A$810,0)),"")</f>
      </c>
      <c r="E247">
        <f>IFERROR(INDEX('Match Log'!$F$4:$F$810,MATCH(223,'Match Log'!$A$4:$A$810,0)),"")</f>
        <v>0</v>
      </c>
      <c r="F247">
        <f>IFERROR(SUMIFS('Match Log'!$I$4:$I$810,'Match Log'!$A$4:$A$810,223,'Match Log'!$E$4:$E$810,"Win"),"")</f>
        <v>0</v>
      </c>
      <c r="G247">
        <f>IF($D247="","",1-$F247*$E247)</f>
        <v>0</v>
      </c>
      <c r="H247" t="str">
        <f>IFERROR(IF($E247=2,LOOKUP(2,1/(('Match Log'!$A$4:$A$810=223)*('Match Log'!$E$4:$E$810="Loss")),'Match Log'!$D$4:$D$810),"the field"),"")</f>
      </c>
      <c r="I247">
        <f>IF($G247="","",$G247-$A247/1000000)</f>
        <v>0</v>
      </c>
      <c r="J247">
        <v>223</v>
      </c>
      <c r="K247">
        <f>IF($J247&gt;MAX('Match Log'!$A$4:$A$810),NA(),IFERROR(LOOKUP(2,1/(('Match Log'!$D$4:$D$810=$K$24)*('Match Log'!$A$4:$A$810&lt;=$J247)),'Match Log'!$N$4:$N$810),NA()))</f>
        <v>0</v>
      </c>
      <c r="L247">
        <f>IF($J247&gt;MAX('Match Log'!$A$4:$A$810),NA(),IFERROR(LOOKUP(2,1/(('Match Log'!$D$4:$D$810=$L$24)*('Match Log'!$A$4:$A$810&lt;=$J247)),'Match Log'!$N$4:$N$810),NA()))</f>
        <v>0</v>
      </c>
      <c r="M247">
        <f>IF($J247&gt;MAX('Match Log'!$A$4:$A$810),NA(),IFERROR(LOOKUP(2,1/(('Match Log'!$D$4:$D$810=$M$24)*('Match Log'!$A$4:$A$810&lt;=$J247)),'Match Log'!$N$4:$N$810),NA()))</f>
        <v>0</v>
      </c>
      <c r="N247">
        <f>IF($J247&gt;MAX('Match Log'!$A$4:$A$810),NA(),IFERROR(LOOKUP(2,1/(('Match Log'!$D$4:$D$810=$N$24)*('Match Log'!$A$4:$A$810&lt;=$J247)),'Match Log'!$N$4:$N$810),NA()))</f>
        <v>0</v>
      </c>
      <c r="O247">
        <f>IF($J247&gt;MAX('Match Log'!$A$4:$A$810),NA(),IFERROR(LOOKUP(2,1/(('Match Log'!$D$4:$D$810=$O$24)*('Match Log'!$A$4:$A$810&lt;=$J247)),'Match Log'!$N$4:$N$810),NA()))</f>
        <v>0</v>
      </c>
      <c r="P247">
        <f>IF($J247&gt;MAX('Match Log'!$A$4:$A$810),NA(),IFERROR(LOOKUP(2,1/(('Match Log'!$D$4:$D$810=$P$24)*('Match Log'!$A$4:$A$810&lt;=$J247)),'Match Log'!$N$4:$N$810),NA()))</f>
        <v>0</v>
      </c>
      <c r="Q247">
        <f>IF($J247&gt;MAX('Match Log'!$A$4:$A$810),NA(),IFERROR(LOOKUP(2,1/(('Match Log'!$D$4:$D$810=$Q$24)*('Match Log'!$A$4:$A$810&lt;=$J247)),'Match Log'!$N$4:$N$810),NA()))</f>
        <v>0</v>
      </c>
      <c r="R247">
        <f>IF($J247&gt;MAX('Match Log'!$A$4:$A$810),NA(),IFERROR(LOOKUP(2,1/(('Match Log'!$D$4:$D$810=$R$24)*('Match Log'!$A$4:$A$810&lt;=$J247)),'Match Log'!$N$4:$N$810),NA()))</f>
        <v>0</v>
      </c>
      <c r="S247">
        <f>IF($J247&gt;MAX('Match Log'!$A$4:$A$810),NA(),IFERROR(LOOKUP(2,1/(('Match Log'!$D$4:$D$810=$S$24)*('Match Log'!$A$4:$A$810&lt;=$J247)),'Match Log'!$N$4:$N$810),NA()))</f>
        <v>0</v>
      </c>
      <c r="T247">
        <f>IF($J247&gt;MAX('Match Log'!$A$4:$A$810),NA(),IFERROR(LOOKUP(2,1/(('Match Log'!$D$4:$D$810=$T$24)*('Match Log'!$A$4:$A$810&lt;=$J247)),'Match Log'!$N$4:$N$810),NA()))</f>
        <v>0</v>
      </c>
      <c r="U247">
        <f>IF($J247&gt;MAX('Match Log'!$A$4:$A$810),NA(),IFERROR(LOOKUP(2,1/(('Match Log'!$D$4:$D$810=$U$24)*('Match Log'!$A$4:$A$810&lt;=$J247)),'Match Log'!$N$4:$N$810),NA()))</f>
        <v>0</v>
      </c>
      <c r="V247">
        <f>IF($J247&gt;MAX('Match Log'!$A$4:$A$810),NA(),IFERROR(LOOKUP(2,1/(('Match Log'!$D$4:$D$810=$V$24)*('Match Log'!$A$4:$A$810&lt;=$J247)),'Match Log'!$N$4:$N$810),NA()))</f>
        <v>0</v>
      </c>
      <c r="W247">
        <f>IF($J247&gt;MAX('Match Log'!$A$4:$A$810),NA(),IFERROR(LOOKUP(2,1/(('Match Log'!$D$4:$D$810=$W$24)*('Match Log'!$A$4:$A$810&lt;=$J247)),'Match Log'!$N$4:$N$810),NA()))</f>
        <v>0</v>
      </c>
      <c r="X247">
        <f>IF($J247&gt;MAX('Match Log'!$A$4:$A$810),NA(),IFERROR(LOOKUP(2,1/(('Match Log'!$D$4:$D$810=$X$24)*('Match Log'!$A$4:$A$810&lt;=$J247)),'Match Log'!$N$4:$N$810),NA()))</f>
        <v>0</v>
      </c>
      <c r="Y247" t="str">
        <f>IF(AND($B247&lt;&gt;"",$B247&gt;=$B$5,$I247&lt;&gt;""),$I247,"")</f>
      </c>
    </row>
    <row r="248">
      <c r="A248">
        <v>224</v>
      </c>
      <c r="B248">
        <f>IFERROR(INDEX('Match Log'!$B$4:$B$810,MATCH(224,'Match Log'!$A$4:$A$810,0)),"")</f>
        <v>0</v>
      </c>
      <c r="C248" t="str">
        <f>IFERROR(INDEX('Match Log'!$C$4:$C$810,MATCH(224,'Match Log'!$A$4:$A$810,0)),"")</f>
      </c>
      <c r="D248" t="str">
        <f>IFERROR(INDEX('Match Log'!$G$4:$G$810,MATCH(224,'Match Log'!$A$4:$A$810,0)),"")</f>
      </c>
      <c r="E248">
        <f>IFERROR(INDEX('Match Log'!$F$4:$F$810,MATCH(224,'Match Log'!$A$4:$A$810,0)),"")</f>
        <v>0</v>
      </c>
      <c r="F248">
        <f>IFERROR(SUMIFS('Match Log'!$I$4:$I$810,'Match Log'!$A$4:$A$810,224,'Match Log'!$E$4:$E$810,"Win"),"")</f>
        <v>0</v>
      </c>
      <c r="G248">
        <f>IF($D248="","",1-$F248*$E248)</f>
        <v>0</v>
      </c>
      <c r="H248" t="str">
        <f>IFERROR(IF($E248=2,LOOKUP(2,1/(('Match Log'!$A$4:$A$810=224)*('Match Log'!$E$4:$E$810="Loss")),'Match Log'!$D$4:$D$810),"the field"),"")</f>
      </c>
      <c r="I248">
        <f>IF($G248="","",$G248-$A248/1000000)</f>
        <v>0</v>
      </c>
      <c r="J248">
        <v>224</v>
      </c>
      <c r="K248">
        <f>IF($J248&gt;MAX('Match Log'!$A$4:$A$810),NA(),IFERROR(LOOKUP(2,1/(('Match Log'!$D$4:$D$810=$K$24)*('Match Log'!$A$4:$A$810&lt;=$J248)),'Match Log'!$N$4:$N$810),NA()))</f>
        <v>0</v>
      </c>
      <c r="L248">
        <f>IF($J248&gt;MAX('Match Log'!$A$4:$A$810),NA(),IFERROR(LOOKUP(2,1/(('Match Log'!$D$4:$D$810=$L$24)*('Match Log'!$A$4:$A$810&lt;=$J248)),'Match Log'!$N$4:$N$810),NA()))</f>
        <v>0</v>
      </c>
      <c r="M248">
        <f>IF($J248&gt;MAX('Match Log'!$A$4:$A$810),NA(),IFERROR(LOOKUP(2,1/(('Match Log'!$D$4:$D$810=$M$24)*('Match Log'!$A$4:$A$810&lt;=$J248)),'Match Log'!$N$4:$N$810),NA()))</f>
        <v>0</v>
      </c>
      <c r="N248">
        <f>IF($J248&gt;MAX('Match Log'!$A$4:$A$810),NA(),IFERROR(LOOKUP(2,1/(('Match Log'!$D$4:$D$810=$N$24)*('Match Log'!$A$4:$A$810&lt;=$J248)),'Match Log'!$N$4:$N$810),NA()))</f>
        <v>0</v>
      </c>
      <c r="O248">
        <f>IF($J248&gt;MAX('Match Log'!$A$4:$A$810),NA(),IFERROR(LOOKUP(2,1/(('Match Log'!$D$4:$D$810=$O$24)*('Match Log'!$A$4:$A$810&lt;=$J248)),'Match Log'!$N$4:$N$810),NA()))</f>
        <v>0</v>
      </c>
      <c r="P248">
        <f>IF($J248&gt;MAX('Match Log'!$A$4:$A$810),NA(),IFERROR(LOOKUP(2,1/(('Match Log'!$D$4:$D$810=$P$24)*('Match Log'!$A$4:$A$810&lt;=$J248)),'Match Log'!$N$4:$N$810),NA()))</f>
        <v>0</v>
      </c>
      <c r="Q248">
        <f>IF($J248&gt;MAX('Match Log'!$A$4:$A$810),NA(),IFERROR(LOOKUP(2,1/(('Match Log'!$D$4:$D$810=$Q$24)*('Match Log'!$A$4:$A$810&lt;=$J248)),'Match Log'!$N$4:$N$810),NA()))</f>
        <v>0</v>
      </c>
      <c r="R248">
        <f>IF($J248&gt;MAX('Match Log'!$A$4:$A$810),NA(),IFERROR(LOOKUP(2,1/(('Match Log'!$D$4:$D$810=$R$24)*('Match Log'!$A$4:$A$810&lt;=$J248)),'Match Log'!$N$4:$N$810),NA()))</f>
        <v>0</v>
      </c>
      <c r="S248">
        <f>IF($J248&gt;MAX('Match Log'!$A$4:$A$810),NA(),IFERROR(LOOKUP(2,1/(('Match Log'!$D$4:$D$810=$S$24)*('Match Log'!$A$4:$A$810&lt;=$J248)),'Match Log'!$N$4:$N$810),NA()))</f>
        <v>0</v>
      </c>
      <c r="T248">
        <f>IF($J248&gt;MAX('Match Log'!$A$4:$A$810),NA(),IFERROR(LOOKUP(2,1/(('Match Log'!$D$4:$D$810=$T$24)*('Match Log'!$A$4:$A$810&lt;=$J248)),'Match Log'!$N$4:$N$810),NA()))</f>
        <v>0</v>
      </c>
      <c r="U248">
        <f>IF($J248&gt;MAX('Match Log'!$A$4:$A$810),NA(),IFERROR(LOOKUP(2,1/(('Match Log'!$D$4:$D$810=$U$24)*('Match Log'!$A$4:$A$810&lt;=$J248)),'Match Log'!$N$4:$N$810),NA()))</f>
        <v>0</v>
      </c>
      <c r="V248">
        <f>IF($J248&gt;MAX('Match Log'!$A$4:$A$810),NA(),IFERROR(LOOKUP(2,1/(('Match Log'!$D$4:$D$810=$V$24)*('Match Log'!$A$4:$A$810&lt;=$J248)),'Match Log'!$N$4:$N$810),NA()))</f>
        <v>0</v>
      </c>
      <c r="W248">
        <f>IF($J248&gt;MAX('Match Log'!$A$4:$A$810),NA(),IFERROR(LOOKUP(2,1/(('Match Log'!$D$4:$D$810=$W$24)*('Match Log'!$A$4:$A$810&lt;=$J248)),'Match Log'!$N$4:$N$810),NA()))</f>
        <v>0</v>
      </c>
      <c r="X248">
        <f>IF($J248&gt;MAX('Match Log'!$A$4:$A$810),NA(),IFERROR(LOOKUP(2,1/(('Match Log'!$D$4:$D$810=$X$24)*('Match Log'!$A$4:$A$810&lt;=$J248)),'Match Log'!$N$4:$N$810),NA()))</f>
        <v>0</v>
      </c>
      <c r="Y248" t="str">
        <f>IF(AND($B248&lt;&gt;"",$B248&gt;=$B$5,$I248&lt;&gt;""),$I248,"")</f>
      </c>
    </row>
    <row r="249">
      <c r="A249">
        <v>225</v>
      </c>
      <c r="B249">
        <f>IFERROR(INDEX('Match Log'!$B$4:$B$810,MATCH(225,'Match Log'!$A$4:$A$810,0)),"")</f>
        <v>0</v>
      </c>
      <c r="C249" t="str">
        <f>IFERROR(INDEX('Match Log'!$C$4:$C$810,MATCH(225,'Match Log'!$A$4:$A$810,0)),"")</f>
      </c>
      <c r="D249" t="str">
        <f>IFERROR(INDEX('Match Log'!$G$4:$G$810,MATCH(225,'Match Log'!$A$4:$A$810,0)),"")</f>
      </c>
      <c r="E249">
        <f>IFERROR(INDEX('Match Log'!$F$4:$F$810,MATCH(225,'Match Log'!$A$4:$A$810,0)),"")</f>
        <v>0</v>
      </c>
      <c r="F249">
        <f>IFERROR(SUMIFS('Match Log'!$I$4:$I$810,'Match Log'!$A$4:$A$810,225,'Match Log'!$E$4:$E$810,"Win"),"")</f>
        <v>0</v>
      </c>
      <c r="G249">
        <f>IF($D249="","",1-$F249*$E249)</f>
        <v>0</v>
      </c>
      <c r="H249" t="str">
        <f>IFERROR(IF($E249=2,LOOKUP(2,1/(('Match Log'!$A$4:$A$810=225)*('Match Log'!$E$4:$E$810="Loss")),'Match Log'!$D$4:$D$810),"the field"),"")</f>
      </c>
      <c r="I249">
        <f>IF($G249="","",$G249-$A249/1000000)</f>
        <v>0</v>
      </c>
      <c r="J249">
        <v>225</v>
      </c>
      <c r="K249">
        <f>IF($J249&gt;MAX('Match Log'!$A$4:$A$810),NA(),IFERROR(LOOKUP(2,1/(('Match Log'!$D$4:$D$810=$K$24)*('Match Log'!$A$4:$A$810&lt;=$J249)),'Match Log'!$N$4:$N$810),NA()))</f>
        <v>0</v>
      </c>
      <c r="L249">
        <f>IF($J249&gt;MAX('Match Log'!$A$4:$A$810),NA(),IFERROR(LOOKUP(2,1/(('Match Log'!$D$4:$D$810=$L$24)*('Match Log'!$A$4:$A$810&lt;=$J249)),'Match Log'!$N$4:$N$810),NA()))</f>
        <v>0</v>
      </c>
      <c r="M249">
        <f>IF($J249&gt;MAX('Match Log'!$A$4:$A$810),NA(),IFERROR(LOOKUP(2,1/(('Match Log'!$D$4:$D$810=$M$24)*('Match Log'!$A$4:$A$810&lt;=$J249)),'Match Log'!$N$4:$N$810),NA()))</f>
        <v>0</v>
      </c>
      <c r="N249">
        <f>IF($J249&gt;MAX('Match Log'!$A$4:$A$810),NA(),IFERROR(LOOKUP(2,1/(('Match Log'!$D$4:$D$810=$N$24)*('Match Log'!$A$4:$A$810&lt;=$J249)),'Match Log'!$N$4:$N$810),NA()))</f>
        <v>0</v>
      </c>
      <c r="O249">
        <f>IF($J249&gt;MAX('Match Log'!$A$4:$A$810),NA(),IFERROR(LOOKUP(2,1/(('Match Log'!$D$4:$D$810=$O$24)*('Match Log'!$A$4:$A$810&lt;=$J249)),'Match Log'!$N$4:$N$810),NA()))</f>
        <v>0</v>
      </c>
      <c r="P249">
        <f>IF($J249&gt;MAX('Match Log'!$A$4:$A$810),NA(),IFERROR(LOOKUP(2,1/(('Match Log'!$D$4:$D$810=$P$24)*('Match Log'!$A$4:$A$810&lt;=$J249)),'Match Log'!$N$4:$N$810),NA()))</f>
        <v>0</v>
      </c>
      <c r="Q249">
        <f>IF($J249&gt;MAX('Match Log'!$A$4:$A$810),NA(),IFERROR(LOOKUP(2,1/(('Match Log'!$D$4:$D$810=$Q$24)*('Match Log'!$A$4:$A$810&lt;=$J249)),'Match Log'!$N$4:$N$810),NA()))</f>
        <v>0</v>
      </c>
      <c r="R249">
        <f>IF($J249&gt;MAX('Match Log'!$A$4:$A$810),NA(),IFERROR(LOOKUP(2,1/(('Match Log'!$D$4:$D$810=$R$24)*('Match Log'!$A$4:$A$810&lt;=$J249)),'Match Log'!$N$4:$N$810),NA()))</f>
        <v>0</v>
      </c>
      <c r="S249">
        <f>IF($J249&gt;MAX('Match Log'!$A$4:$A$810),NA(),IFERROR(LOOKUP(2,1/(('Match Log'!$D$4:$D$810=$S$24)*('Match Log'!$A$4:$A$810&lt;=$J249)),'Match Log'!$N$4:$N$810),NA()))</f>
        <v>0</v>
      </c>
      <c r="T249">
        <f>IF($J249&gt;MAX('Match Log'!$A$4:$A$810),NA(),IFERROR(LOOKUP(2,1/(('Match Log'!$D$4:$D$810=$T$24)*('Match Log'!$A$4:$A$810&lt;=$J249)),'Match Log'!$N$4:$N$810),NA()))</f>
        <v>0</v>
      </c>
      <c r="U249">
        <f>IF($J249&gt;MAX('Match Log'!$A$4:$A$810),NA(),IFERROR(LOOKUP(2,1/(('Match Log'!$D$4:$D$810=$U$24)*('Match Log'!$A$4:$A$810&lt;=$J249)),'Match Log'!$N$4:$N$810),NA()))</f>
        <v>0</v>
      </c>
      <c r="V249">
        <f>IF($J249&gt;MAX('Match Log'!$A$4:$A$810),NA(),IFERROR(LOOKUP(2,1/(('Match Log'!$D$4:$D$810=$V$24)*('Match Log'!$A$4:$A$810&lt;=$J249)),'Match Log'!$N$4:$N$810),NA()))</f>
        <v>0</v>
      </c>
      <c r="W249">
        <f>IF($J249&gt;MAX('Match Log'!$A$4:$A$810),NA(),IFERROR(LOOKUP(2,1/(('Match Log'!$D$4:$D$810=$W$24)*('Match Log'!$A$4:$A$810&lt;=$J249)),'Match Log'!$N$4:$N$810),NA()))</f>
        <v>0</v>
      </c>
      <c r="X249">
        <f>IF($J249&gt;MAX('Match Log'!$A$4:$A$810),NA(),IFERROR(LOOKUP(2,1/(('Match Log'!$D$4:$D$810=$X$24)*('Match Log'!$A$4:$A$810&lt;=$J249)),'Match Log'!$N$4:$N$810),NA()))</f>
        <v>0</v>
      </c>
      <c r="Y249" t="str">
        <f>IF(AND($B249&lt;&gt;"",$B249&gt;=$B$5,$I249&lt;&gt;""),$I249,"")</f>
      </c>
    </row>
    <row r="250">
      <c r="A250">
        <v>226</v>
      </c>
      <c r="B250">
        <f>IFERROR(INDEX('Match Log'!$B$4:$B$810,MATCH(226,'Match Log'!$A$4:$A$810,0)),"")</f>
        <v>0</v>
      </c>
      <c r="C250" t="str">
        <f>IFERROR(INDEX('Match Log'!$C$4:$C$810,MATCH(226,'Match Log'!$A$4:$A$810,0)),"")</f>
      </c>
      <c r="D250" t="str">
        <f>IFERROR(INDEX('Match Log'!$G$4:$G$810,MATCH(226,'Match Log'!$A$4:$A$810,0)),"")</f>
      </c>
      <c r="E250">
        <f>IFERROR(INDEX('Match Log'!$F$4:$F$810,MATCH(226,'Match Log'!$A$4:$A$810,0)),"")</f>
        <v>0</v>
      </c>
      <c r="F250">
        <f>IFERROR(SUMIFS('Match Log'!$I$4:$I$810,'Match Log'!$A$4:$A$810,226,'Match Log'!$E$4:$E$810,"Win"),"")</f>
        <v>0</v>
      </c>
      <c r="G250">
        <f>IF($D250="","",1-$F250*$E250)</f>
        <v>0</v>
      </c>
      <c r="H250" t="str">
        <f>IFERROR(IF($E250=2,LOOKUP(2,1/(('Match Log'!$A$4:$A$810=226)*('Match Log'!$E$4:$E$810="Loss")),'Match Log'!$D$4:$D$810),"the field"),"")</f>
      </c>
      <c r="I250">
        <f>IF($G250="","",$G250-$A250/1000000)</f>
        <v>0</v>
      </c>
      <c r="J250">
        <v>226</v>
      </c>
      <c r="K250">
        <f>IF($J250&gt;MAX('Match Log'!$A$4:$A$810),NA(),IFERROR(LOOKUP(2,1/(('Match Log'!$D$4:$D$810=$K$24)*('Match Log'!$A$4:$A$810&lt;=$J250)),'Match Log'!$N$4:$N$810),NA()))</f>
        <v>0</v>
      </c>
      <c r="L250">
        <f>IF($J250&gt;MAX('Match Log'!$A$4:$A$810),NA(),IFERROR(LOOKUP(2,1/(('Match Log'!$D$4:$D$810=$L$24)*('Match Log'!$A$4:$A$810&lt;=$J250)),'Match Log'!$N$4:$N$810),NA()))</f>
        <v>0</v>
      </c>
      <c r="M250">
        <f>IF($J250&gt;MAX('Match Log'!$A$4:$A$810),NA(),IFERROR(LOOKUP(2,1/(('Match Log'!$D$4:$D$810=$M$24)*('Match Log'!$A$4:$A$810&lt;=$J250)),'Match Log'!$N$4:$N$810),NA()))</f>
        <v>0</v>
      </c>
      <c r="N250">
        <f>IF($J250&gt;MAX('Match Log'!$A$4:$A$810),NA(),IFERROR(LOOKUP(2,1/(('Match Log'!$D$4:$D$810=$N$24)*('Match Log'!$A$4:$A$810&lt;=$J250)),'Match Log'!$N$4:$N$810),NA()))</f>
        <v>0</v>
      </c>
      <c r="O250">
        <f>IF($J250&gt;MAX('Match Log'!$A$4:$A$810),NA(),IFERROR(LOOKUP(2,1/(('Match Log'!$D$4:$D$810=$O$24)*('Match Log'!$A$4:$A$810&lt;=$J250)),'Match Log'!$N$4:$N$810),NA()))</f>
        <v>0</v>
      </c>
      <c r="P250">
        <f>IF($J250&gt;MAX('Match Log'!$A$4:$A$810),NA(),IFERROR(LOOKUP(2,1/(('Match Log'!$D$4:$D$810=$P$24)*('Match Log'!$A$4:$A$810&lt;=$J250)),'Match Log'!$N$4:$N$810),NA()))</f>
        <v>0</v>
      </c>
      <c r="Q250">
        <f>IF($J250&gt;MAX('Match Log'!$A$4:$A$810),NA(),IFERROR(LOOKUP(2,1/(('Match Log'!$D$4:$D$810=$Q$24)*('Match Log'!$A$4:$A$810&lt;=$J250)),'Match Log'!$N$4:$N$810),NA()))</f>
        <v>0</v>
      </c>
      <c r="R250">
        <f>IF($J250&gt;MAX('Match Log'!$A$4:$A$810),NA(),IFERROR(LOOKUP(2,1/(('Match Log'!$D$4:$D$810=$R$24)*('Match Log'!$A$4:$A$810&lt;=$J250)),'Match Log'!$N$4:$N$810),NA()))</f>
        <v>0</v>
      </c>
      <c r="S250">
        <f>IF($J250&gt;MAX('Match Log'!$A$4:$A$810),NA(),IFERROR(LOOKUP(2,1/(('Match Log'!$D$4:$D$810=$S$24)*('Match Log'!$A$4:$A$810&lt;=$J250)),'Match Log'!$N$4:$N$810),NA()))</f>
        <v>0</v>
      </c>
      <c r="T250">
        <f>IF($J250&gt;MAX('Match Log'!$A$4:$A$810),NA(),IFERROR(LOOKUP(2,1/(('Match Log'!$D$4:$D$810=$T$24)*('Match Log'!$A$4:$A$810&lt;=$J250)),'Match Log'!$N$4:$N$810),NA()))</f>
        <v>0</v>
      </c>
      <c r="U250">
        <f>IF($J250&gt;MAX('Match Log'!$A$4:$A$810),NA(),IFERROR(LOOKUP(2,1/(('Match Log'!$D$4:$D$810=$U$24)*('Match Log'!$A$4:$A$810&lt;=$J250)),'Match Log'!$N$4:$N$810),NA()))</f>
        <v>0</v>
      </c>
      <c r="V250">
        <f>IF($J250&gt;MAX('Match Log'!$A$4:$A$810),NA(),IFERROR(LOOKUP(2,1/(('Match Log'!$D$4:$D$810=$V$24)*('Match Log'!$A$4:$A$810&lt;=$J250)),'Match Log'!$N$4:$N$810),NA()))</f>
        <v>0</v>
      </c>
      <c r="W250">
        <f>IF($J250&gt;MAX('Match Log'!$A$4:$A$810),NA(),IFERROR(LOOKUP(2,1/(('Match Log'!$D$4:$D$810=$W$24)*('Match Log'!$A$4:$A$810&lt;=$J250)),'Match Log'!$N$4:$N$810),NA()))</f>
        <v>0</v>
      </c>
      <c r="X250">
        <f>IF($J250&gt;MAX('Match Log'!$A$4:$A$810),NA(),IFERROR(LOOKUP(2,1/(('Match Log'!$D$4:$D$810=$X$24)*('Match Log'!$A$4:$A$810&lt;=$J250)),'Match Log'!$N$4:$N$810),NA()))</f>
        <v>0</v>
      </c>
      <c r="Y250" t="str">
        <f>IF(AND($B250&lt;&gt;"",$B250&gt;=$B$5,$I250&lt;&gt;""),$I250,"")</f>
      </c>
    </row>
    <row r="251">
      <c r="A251">
        <v>227</v>
      </c>
      <c r="B251">
        <f>IFERROR(INDEX('Match Log'!$B$4:$B$810,MATCH(227,'Match Log'!$A$4:$A$810,0)),"")</f>
        <v>0</v>
      </c>
      <c r="C251" t="str">
        <f>IFERROR(INDEX('Match Log'!$C$4:$C$810,MATCH(227,'Match Log'!$A$4:$A$810,0)),"")</f>
      </c>
      <c r="D251" t="str">
        <f>IFERROR(INDEX('Match Log'!$G$4:$G$810,MATCH(227,'Match Log'!$A$4:$A$810,0)),"")</f>
      </c>
      <c r="E251">
        <f>IFERROR(INDEX('Match Log'!$F$4:$F$810,MATCH(227,'Match Log'!$A$4:$A$810,0)),"")</f>
        <v>0</v>
      </c>
      <c r="F251">
        <f>IFERROR(SUMIFS('Match Log'!$I$4:$I$810,'Match Log'!$A$4:$A$810,227,'Match Log'!$E$4:$E$810,"Win"),"")</f>
        <v>0</v>
      </c>
      <c r="G251">
        <f>IF($D251="","",1-$F251*$E251)</f>
        <v>0</v>
      </c>
      <c r="H251" t="str">
        <f>IFERROR(IF($E251=2,LOOKUP(2,1/(('Match Log'!$A$4:$A$810=227)*('Match Log'!$E$4:$E$810="Loss")),'Match Log'!$D$4:$D$810),"the field"),"")</f>
      </c>
      <c r="I251">
        <f>IF($G251="","",$G251-$A251/1000000)</f>
        <v>0</v>
      </c>
      <c r="J251">
        <v>227</v>
      </c>
      <c r="K251">
        <f>IF($J251&gt;MAX('Match Log'!$A$4:$A$810),NA(),IFERROR(LOOKUP(2,1/(('Match Log'!$D$4:$D$810=$K$24)*('Match Log'!$A$4:$A$810&lt;=$J251)),'Match Log'!$N$4:$N$810),NA()))</f>
        <v>0</v>
      </c>
      <c r="L251">
        <f>IF($J251&gt;MAX('Match Log'!$A$4:$A$810),NA(),IFERROR(LOOKUP(2,1/(('Match Log'!$D$4:$D$810=$L$24)*('Match Log'!$A$4:$A$810&lt;=$J251)),'Match Log'!$N$4:$N$810),NA()))</f>
        <v>0</v>
      </c>
      <c r="M251">
        <f>IF($J251&gt;MAX('Match Log'!$A$4:$A$810),NA(),IFERROR(LOOKUP(2,1/(('Match Log'!$D$4:$D$810=$M$24)*('Match Log'!$A$4:$A$810&lt;=$J251)),'Match Log'!$N$4:$N$810),NA()))</f>
        <v>0</v>
      </c>
      <c r="N251">
        <f>IF($J251&gt;MAX('Match Log'!$A$4:$A$810),NA(),IFERROR(LOOKUP(2,1/(('Match Log'!$D$4:$D$810=$N$24)*('Match Log'!$A$4:$A$810&lt;=$J251)),'Match Log'!$N$4:$N$810),NA()))</f>
        <v>0</v>
      </c>
      <c r="O251">
        <f>IF($J251&gt;MAX('Match Log'!$A$4:$A$810),NA(),IFERROR(LOOKUP(2,1/(('Match Log'!$D$4:$D$810=$O$24)*('Match Log'!$A$4:$A$810&lt;=$J251)),'Match Log'!$N$4:$N$810),NA()))</f>
        <v>0</v>
      </c>
      <c r="P251">
        <f>IF($J251&gt;MAX('Match Log'!$A$4:$A$810),NA(),IFERROR(LOOKUP(2,1/(('Match Log'!$D$4:$D$810=$P$24)*('Match Log'!$A$4:$A$810&lt;=$J251)),'Match Log'!$N$4:$N$810),NA()))</f>
        <v>0</v>
      </c>
      <c r="Q251">
        <f>IF($J251&gt;MAX('Match Log'!$A$4:$A$810),NA(),IFERROR(LOOKUP(2,1/(('Match Log'!$D$4:$D$810=$Q$24)*('Match Log'!$A$4:$A$810&lt;=$J251)),'Match Log'!$N$4:$N$810),NA()))</f>
        <v>0</v>
      </c>
      <c r="R251">
        <f>IF($J251&gt;MAX('Match Log'!$A$4:$A$810),NA(),IFERROR(LOOKUP(2,1/(('Match Log'!$D$4:$D$810=$R$24)*('Match Log'!$A$4:$A$810&lt;=$J251)),'Match Log'!$N$4:$N$810),NA()))</f>
        <v>0</v>
      </c>
      <c r="S251">
        <f>IF($J251&gt;MAX('Match Log'!$A$4:$A$810),NA(),IFERROR(LOOKUP(2,1/(('Match Log'!$D$4:$D$810=$S$24)*('Match Log'!$A$4:$A$810&lt;=$J251)),'Match Log'!$N$4:$N$810),NA()))</f>
        <v>0</v>
      </c>
      <c r="T251">
        <f>IF($J251&gt;MAX('Match Log'!$A$4:$A$810),NA(),IFERROR(LOOKUP(2,1/(('Match Log'!$D$4:$D$810=$T$24)*('Match Log'!$A$4:$A$810&lt;=$J251)),'Match Log'!$N$4:$N$810),NA()))</f>
        <v>0</v>
      </c>
      <c r="U251">
        <f>IF($J251&gt;MAX('Match Log'!$A$4:$A$810),NA(),IFERROR(LOOKUP(2,1/(('Match Log'!$D$4:$D$810=$U$24)*('Match Log'!$A$4:$A$810&lt;=$J251)),'Match Log'!$N$4:$N$810),NA()))</f>
        <v>0</v>
      </c>
      <c r="V251">
        <f>IF($J251&gt;MAX('Match Log'!$A$4:$A$810),NA(),IFERROR(LOOKUP(2,1/(('Match Log'!$D$4:$D$810=$V$24)*('Match Log'!$A$4:$A$810&lt;=$J251)),'Match Log'!$N$4:$N$810),NA()))</f>
        <v>0</v>
      </c>
      <c r="W251">
        <f>IF($J251&gt;MAX('Match Log'!$A$4:$A$810),NA(),IFERROR(LOOKUP(2,1/(('Match Log'!$D$4:$D$810=$W$24)*('Match Log'!$A$4:$A$810&lt;=$J251)),'Match Log'!$N$4:$N$810),NA()))</f>
        <v>0</v>
      </c>
      <c r="X251">
        <f>IF($J251&gt;MAX('Match Log'!$A$4:$A$810),NA(),IFERROR(LOOKUP(2,1/(('Match Log'!$D$4:$D$810=$X$24)*('Match Log'!$A$4:$A$810&lt;=$J251)),'Match Log'!$N$4:$N$810),NA()))</f>
        <v>0</v>
      </c>
      <c r="Y251" t="str">
        <f>IF(AND($B251&lt;&gt;"",$B251&gt;=$B$5,$I251&lt;&gt;""),$I251,"")</f>
      </c>
    </row>
    <row r="252">
      <c r="A252">
        <v>228</v>
      </c>
      <c r="B252">
        <f>IFERROR(INDEX('Match Log'!$B$4:$B$810,MATCH(228,'Match Log'!$A$4:$A$810,0)),"")</f>
        <v>0</v>
      </c>
      <c r="C252" t="str">
        <f>IFERROR(INDEX('Match Log'!$C$4:$C$810,MATCH(228,'Match Log'!$A$4:$A$810,0)),"")</f>
      </c>
      <c r="D252" t="str">
        <f>IFERROR(INDEX('Match Log'!$G$4:$G$810,MATCH(228,'Match Log'!$A$4:$A$810,0)),"")</f>
      </c>
      <c r="E252">
        <f>IFERROR(INDEX('Match Log'!$F$4:$F$810,MATCH(228,'Match Log'!$A$4:$A$810,0)),"")</f>
        <v>0</v>
      </c>
      <c r="F252">
        <f>IFERROR(SUMIFS('Match Log'!$I$4:$I$810,'Match Log'!$A$4:$A$810,228,'Match Log'!$E$4:$E$810,"Win"),"")</f>
        <v>0</v>
      </c>
      <c r="G252">
        <f>IF($D252="","",1-$F252*$E252)</f>
        <v>0</v>
      </c>
      <c r="H252" t="str">
        <f>IFERROR(IF($E252=2,LOOKUP(2,1/(('Match Log'!$A$4:$A$810=228)*('Match Log'!$E$4:$E$810="Loss")),'Match Log'!$D$4:$D$810),"the field"),"")</f>
      </c>
      <c r="I252">
        <f>IF($G252="","",$G252-$A252/1000000)</f>
        <v>0</v>
      </c>
      <c r="J252">
        <v>228</v>
      </c>
      <c r="K252">
        <f>IF($J252&gt;MAX('Match Log'!$A$4:$A$810),NA(),IFERROR(LOOKUP(2,1/(('Match Log'!$D$4:$D$810=$K$24)*('Match Log'!$A$4:$A$810&lt;=$J252)),'Match Log'!$N$4:$N$810),NA()))</f>
        <v>0</v>
      </c>
      <c r="L252">
        <f>IF($J252&gt;MAX('Match Log'!$A$4:$A$810),NA(),IFERROR(LOOKUP(2,1/(('Match Log'!$D$4:$D$810=$L$24)*('Match Log'!$A$4:$A$810&lt;=$J252)),'Match Log'!$N$4:$N$810),NA()))</f>
        <v>0</v>
      </c>
      <c r="M252">
        <f>IF($J252&gt;MAX('Match Log'!$A$4:$A$810),NA(),IFERROR(LOOKUP(2,1/(('Match Log'!$D$4:$D$810=$M$24)*('Match Log'!$A$4:$A$810&lt;=$J252)),'Match Log'!$N$4:$N$810),NA()))</f>
        <v>0</v>
      </c>
      <c r="N252">
        <f>IF($J252&gt;MAX('Match Log'!$A$4:$A$810),NA(),IFERROR(LOOKUP(2,1/(('Match Log'!$D$4:$D$810=$N$24)*('Match Log'!$A$4:$A$810&lt;=$J252)),'Match Log'!$N$4:$N$810),NA()))</f>
        <v>0</v>
      </c>
      <c r="O252">
        <f>IF($J252&gt;MAX('Match Log'!$A$4:$A$810),NA(),IFERROR(LOOKUP(2,1/(('Match Log'!$D$4:$D$810=$O$24)*('Match Log'!$A$4:$A$810&lt;=$J252)),'Match Log'!$N$4:$N$810),NA()))</f>
        <v>0</v>
      </c>
      <c r="P252">
        <f>IF($J252&gt;MAX('Match Log'!$A$4:$A$810),NA(),IFERROR(LOOKUP(2,1/(('Match Log'!$D$4:$D$810=$P$24)*('Match Log'!$A$4:$A$810&lt;=$J252)),'Match Log'!$N$4:$N$810),NA()))</f>
        <v>0</v>
      </c>
      <c r="Q252">
        <f>IF($J252&gt;MAX('Match Log'!$A$4:$A$810),NA(),IFERROR(LOOKUP(2,1/(('Match Log'!$D$4:$D$810=$Q$24)*('Match Log'!$A$4:$A$810&lt;=$J252)),'Match Log'!$N$4:$N$810),NA()))</f>
        <v>0</v>
      </c>
      <c r="R252">
        <f>IF($J252&gt;MAX('Match Log'!$A$4:$A$810),NA(),IFERROR(LOOKUP(2,1/(('Match Log'!$D$4:$D$810=$R$24)*('Match Log'!$A$4:$A$810&lt;=$J252)),'Match Log'!$N$4:$N$810),NA()))</f>
        <v>0</v>
      </c>
      <c r="S252">
        <f>IF($J252&gt;MAX('Match Log'!$A$4:$A$810),NA(),IFERROR(LOOKUP(2,1/(('Match Log'!$D$4:$D$810=$S$24)*('Match Log'!$A$4:$A$810&lt;=$J252)),'Match Log'!$N$4:$N$810),NA()))</f>
        <v>0</v>
      </c>
      <c r="T252">
        <f>IF($J252&gt;MAX('Match Log'!$A$4:$A$810),NA(),IFERROR(LOOKUP(2,1/(('Match Log'!$D$4:$D$810=$T$24)*('Match Log'!$A$4:$A$810&lt;=$J252)),'Match Log'!$N$4:$N$810),NA()))</f>
        <v>0</v>
      </c>
      <c r="U252">
        <f>IF($J252&gt;MAX('Match Log'!$A$4:$A$810),NA(),IFERROR(LOOKUP(2,1/(('Match Log'!$D$4:$D$810=$U$24)*('Match Log'!$A$4:$A$810&lt;=$J252)),'Match Log'!$N$4:$N$810),NA()))</f>
        <v>0</v>
      </c>
      <c r="V252">
        <f>IF($J252&gt;MAX('Match Log'!$A$4:$A$810),NA(),IFERROR(LOOKUP(2,1/(('Match Log'!$D$4:$D$810=$V$24)*('Match Log'!$A$4:$A$810&lt;=$J252)),'Match Log'!$N$4:$N$810),NA()))</f>
        <v>0</v>
      </c>
      <c r="W252">
        <f>IF($J252&gt;MAX('Match Log'!$A$4:$A$810),NA(),IFERROR(LOOKUP(2,1/(('Match Log'!$D$4:$D$810=$W$24)*('Match Log'!$A$4:$A$810&lt;=$J252)),'Match Log'!$N$4:$N$810),NA()))</f>
        <v>0</v>
      </c>
      <c r="X252">
        <f>IF($J252&gt;MAX('Match Log'!$A$4:$A$810),NA(),IFERROR(LOOKUP(2,1/(('Match Log'!$D$4:$D$810=$X$24)*('Match Log'!$A$4:$A$810&lt;=$J252)),'Match Log'!$N$4:$N$810),NA()))</f>
        <v>0</v>
      </c>
      <c r="Y252" t="str">
        <f>IF(AND($B252&lt;&gt;"",$B252&gt;=$B$5,$I252&lt;&gt;""),$I252,"")</f>
      </c>
    </row>
    <row r="253">
      <c r="A253">
        <v>229</v>
      </c>
      <c r="B253">
        <f>IFERROR(INDEX('Match Log'!$B$4:$B$810,MATCH(229,'Match Log'!$A$4:$A$810,0)),"")</f>
        <v>0</v>
      </c>
      <c r="C253" t="str">
        <f>IFERROR(INDEX('Match Log'!$C$4:$C$810,MATCH(229,'Match Log'!$A$4:$A$810,0)),"")</f>
      </c>
      <c r="D253" t="str">
        <f>IFERROR(INDEX('Match Log'!$G$4:$G$810,MATCH(229,'Match Log'!$A$4:$A$810,0)),"")</f>
      </c>
      <c r="E253">
        <f>IFERROR(INDEX('Match Log'!$F$4:$F$810,MATCH(229,'Match Log'!$A$4:$A$810,0)),"")</f>
        <v>0</v>
      </c>
      <c r="F253">
        <f>IFERROR(SUMIFS('Match Log'!$I$4:$I$810,'Match Log'!$A$4:$A$810,229,'Match Log'!$E$4:$E$810,"Win"),"")</f>
        <v>0</v>
      </c>
      <c r="G253">
        <f>IF($D253="","",1-$F253*$E253)</f>
        <v>0</v>
      </c>
      <c r="H253" t="str">
        <f>IFERROR(IF($E253=2,LOOKUP(2,1/(('Match Log'!$A$4:$A$810=229)*('Match Log'!$E$4:$E$810="Loss")),'Match Log'!$D$4:$D$810),"the field"),"")</f>
      </c>
      <c r="I253">
        <f>IF($G253="","",$G253-$A253/1000000)</f>
        <v>0</v>
      </c>
      <c r="J253">
        <v>229</v>
      </c>
      <c r="K253">
        <f>IF($J253&gt;MAX('Match Log'!$A$4:$A$810),NA(),IFERROR(LOOKUP(2,1/(('Match Log'!$D$4:$D$810=$K$24)*('Match Log'!$A$4:$A$810&lt;=$J253)),'Match Log'!$N$4:$N$810),NA()))</f>
        <v>0</v>
      </c>
      <c r="L253">
        <f>IF($J253&gt;MAX('Match Log'!$A$4:$A$810),NA(),IFERROR(LOOKUP(2,1/(('Match Log'!$D$4:$D$810=$L$24)*('Match Log'!$A$4:$A$810&lt;=$J253)),'Match Log'!$N$4:$N$810),NA()))</f>
        <v>0</v>
      </c>
      <c r="M253">
        <f>IF($J253&gt;MAX('Match Log'!$A$4:$A$810),NA(),IFERROR(LOOKUP(2,1/(('Match Log'!$D$4:$D$810=$M$24)*('Match Log'!$A$4:$A$810&lt;=$J253)),'Match Log'!$N$4:$N$810),NA()))</f>
        <v>0</v>
      </c>
      <c r="N253">
        <f>IF($J253&gt;MAX('Match Log'!$A$4:$A$810),NA(),IFERROR(LOOKUP(2,1/(('Match Log'!$D$4:$D$810=$N$24)*('Match Log'!$A$4:$A$810&lt;=$J253)),'Match Log'!$N$4:$N$810),NA()))</f>
        <v>0</v>
      </c>
      <c r="O253">
        <f>IF($J253&gt;MAX('Match Log'!$A$4:$A$810),NA(),IFERROR(LOOKUP(2,1/(('Match Log'!$D$4:$D$810=$O$24)*('Match Log'!$A$4:$A$810&lt;=$J253)),'Match Log'!$N$4:$N$810),NA()))</f>
        <v>0</v>
      </c>
      <c r="P253">
        <f>IF($J253&gt;MAX('Match Log'!$A$4:$A$810),NA(),IFERROR(LOOKUP(2,1/(('Match Log'!$D$4:$D$810=$P$24)*('Match Log'!$A$4:$A$810&lt;=$J253)),'Match Log'!$N$4:$N$810),NA()))</f>
        <v>0</v>
      </c>
      <c r="Q253">
        <f>IF($J253&gt;MAX('Match Log'!$A$4:$A$810),NA(),IFERROR(LOOKUP(2,1/(('Match Log'!$D$4:$D$810=$Q$24)*('Match Log'!$A$4:$A$810&lt;=$J253)),'Match Log'!$N$4:$N$810),NA()))</f>
        <v>0</v>
      </c>
      <c r="R253">
        <f>IF($J253&gt;MAX('Match Log'!$A$4:$A$810),NA(),IFERROR(LOOKUP(2,1/(('Match Log'!$D$4:$D$810=$R$24)*('Match Log'!$A$4:$A$810&lt;=$J253)),'Match Log'!$N$4:$N$810),NA()))</f>
        <v>0</v>
      </c>
      <c r="S253">
        <f>IF($J253&gt;MAX('Match Log'!$A$4:$A$810),NA(),IFERROR(LOOKUP(2,1/(('Match Log'!$D$4:$D$810=$S$24)*('Match Log'!$A$4:$A$810&lt;=$J253)),'Match Log'!$N$4:$N$810),NA()))</f>
        <v>0</v>
      </c>
      <c r="T253">
        <f>IF($J253&gt;MAX('Match Log'!$A$4:$A$810),NA(),IFERROR(LOOKUP(2,1/(('Match Log'!$D$4:$D$810=$T$24)*('Match Log'!$A$4:$A$810&lt;=$J253)),'Match Log'!$N$4:$N$810),NA()))</f>
        <v>0</v>
      </c>
      <c r="U253">
        <f>IF($J253&gt;MAX('Match Log'!$A$4:$A$810),NA(),IFERROR(LOOKUP(2,1/(('Match Log'!$D$4:$D$810=$U$24)*('Match Log'!$A$4:$A$810&lt;=$J253)),'Match Log'!$N$4:$N$810),NA()))</f>
        <v>0</v>
      </c>
      <c r="V253">
        <f>IF($J253&gt;MAX('Match Log'!$A$4:$A$810),NA(),IFERROR(LOOKUP(2,1/(('Match Log'!$D$4:$D$810=$V$24)*('Match Log'!$A$4:$A$810&lt;=$J253)),'Match Log'!$N$4:$N$810),NA()))</f>
        <v>0</v>
      </c>
      <c r="W253">
        <f>IF($J253&gt;MAX('Match Log'!$A$4:$A$810),NA(),IFERROR(LOOKUP(2,1/(('Match Log'!$D$4:$D$810=$W$24)*('Match Log'!$A$4:$A$810&lt;=$J253)),'Match Log'!$N$4:$N$810),NA()))</f>
        <v>0</v>
      </c>
      <c r="X253">
        <f>IF($J253&gt;MAX('Match Log'!$A$4:$A$810),NA(),IFERROR(LOOKUP(2,1/(('Match Log'!$D$4:$D$810=$X$24)*('Match Log'!$A$4:$A$810&lt;=$J253)),'Match Log'!$N$4:$N$810),NA()))</f>
        <v>0</v>
      </c>
      <c r="Y253" t="str">
        <f>IF(AND($B253&lt;&gt;"",$B253&gt;=$B$5,$I253&lt;&gt;""),$I253,"")</f>
      </c>
    </row>
    <row r="254">
      <c r="A254">
        <v>230</v>
      </c>
      <c r="B254">
        <f>IFERROR(INDEX('Match Log'!$B$4:$B$810,MATCH(230,'Match Log'!$A$4:$A$810,0)),"")</f>
        <v>0</v>
      </c>
      <c r="C254" t="str">
        <f>IFERROR(INDEX('Match Log'!$C$4:$C$810,MATCH(230,'Match Log'!$A$4:$A$810,0)),"")</f>
      </c>
      <c r="D254" t="str">
        <f>IFERROR(INDEX('Match Log'!$G$4:$G$810,MATCH(230,'Match Log'!$A$4:$A$810,0)),"")</f>
      </c>
      <c r="E254">
        <f>IFERROR(INDEX('Match Log'!$F$4:$F$810,MATCH(230,'Match Log'!$A$4:$A$810,0)),"")</f>
        <v>0</v>
      </c>
      <c r="F254">
        <f>IFERROR(SUMIFS('Match Log'!$I$4:$I$810,'Match Log'!$A$4:$A$810,230,'Match Log'!$E$4:$E$810,"Win"),"")</f>
        <v>0</v>
      </c>
      <c r="G254">
        <f>IF($D254="","",1-$F254*$E254)</f>
        <v>0</v>
      </c>
      <c r="H254" t="str">
        <f>IFERROR(IF($E254=2,LOOKUP(2,1/(('Match Log'!$A$4:$A$810=230)*('Match Log'!$E$4:$E$810="Loss")),'Match Log'!$D$4:$D$810),"the field"),"")</f>
      </c>
      <c r="I254">
        <f>IF($G254="","",$G254-$A254/1000000)</f>
        <v>0</v>
      </c>
      <c r="J254">
        <v>230</v>
      </c>
      <c r="K254">
        <f>IF($J254&gt;MAX('Match Log'!$A$4:$A$810),NA(),IFERROR(LOOKUP(2,1/(('Match Log'!$D$4:$D$810=$K$24)*('Match Log'!$A$4:$A$810&lt;=$J254)),'Match Log'!$N$4:$N$810),NA()))</f>
        <v>0</v>
      </c>
      <c r="L254">
        <f>IF($J254&gt;MAX('Match Log'!$A$4:$A$810),NA(),IFERROR(LOOKUP(2,1/(('Match Log'!$D$4:$D$810=$L$24)*('Match Log'!$A$4:$A$810&lt;=$J254)),'Match Log'!$N$4:$N$810),NA()))</f>
        <v>0</v>
      </c>
      <c r="M254">
        <f>IF($J254&gt;MAX('Match Log'!$A$4:$A$810),NA(),IFERROR(LOOKUP(2,1/(('Match Log'!$D$4:$D$810=$M$24)*('Match Log'!$A$4:$A$810&lt;=$J254)),'Match Log'!$N$4:$N$810),NA()))</f>
        <v>0</v>
      </c>
      <c r="N254">
        <f>IF($J254&gt;MAX('Match Log'!$A$4:$A$810),NA(),IFERROR(LOOKUP(2,1/(('Match Log'!$D$4:$D$810=$N$24)*('Match Log'!$A$4:$A$810&lt;=$J254)),'Match Log'!$N$4:$N$810),NA()))</f>
        <v>0</v>
      </c>
      <c r="O254">
        <f>IF($J254&gt;MAX('Match Log'!$A$4:$A$810),NA(),IFERROR(LOOKUP(2,1/(('Match Log'!$D$4:$D$810=$O$24)*('Match Log'!$A$4:$A$810&lt;=$J254)),'Match Log'!$N$4:$N$810),NA()))</f>
        <v>0</v>
      </c>
      <c r="P254">
        <f>IF($J254&gt;MAX('Match Log'!$A$4:$A$810),NA(),IFERROR(LOOKUP(2,1/(('Match Log'!$D$4:$D$810=$P$24)*('Match Log'!$A$4:$A$810&lt;=$J254)),'Match Log'!$N$4:$N$810),NA()))</f>
        <v>0</v>
      </c>
      <c r="Q254">
        <f>IF($J254&gt;MAX('Match Log'!$A$4:$A$810),NA(),IFERROR(LOOKUP(2,1/(('Match Log'!$D$4:$D$810=$Q$24)*('Match Log'!$A$4:$A$810&lt;=$J254)),'Match Log'!$N$4:$N$810),NA()))</f>
        <v>0</v>
      </c>
      <c r="R254">
        <f>IF($J254&gt;MAX('Match Log'!$A$4:$A$810),NA(),IFERROR(LOOKUP(2,1/(('Match Log'!$D$4:$D$810=$R$24)*('Match Log'!$A$4:$A$810&lt;=$J254)),'Match Log'!$N$4:$N$810),NA()))</f>
        <v>0</v>
      </c>
      <c r="S254">
        <f>IF($J254&gt;MAX('Match Log'!$A$4:$A$810),NA(),IFERROR(LOOKUP(2,1/(('Match Log'!$D$4:$D$810=$S$24)*('Match Log'!$A$4:$A$810&lt;=$J254)),'Match Log'!$N$4:$N$810),NA()))</f>
        <v>0</v>
      </c>
      <c r="T254">
        <f>IF($J254&gt;MAX('Match Log'!$A$4:$A$810),NA(),IFERROR(LOOKUP(2,1/(('Match Log'!$D$4:$D$810=$T$24)*('Match Log'!$A$4:$A$810&lt;=$J254)),'Match Log'!$N$4:$N$810),NA()))</f>
        <v>0</v>
      </c>
      <c r="U254">
        <f>IF($J254&gt;MAX('Match Log'!$A$4:$A$810),NA(),IFERROR(LOOKUP(2,1/(('Match Log'!$D$4:$D$810=$U$24)*('Match Log'!$A$4:$A$810&lt;=$J254)),'Match Log'!$N$4:$N$810),NA()))</f>
        <v>0</v>
      </c>
      <c r="V254">
        <f>IF($J254&gt;MAX('Match Log'!$A$4:$A$810),NA(),IFERROR(LOOKUP(2,1/(('Match Log'!$D$4:$D$810=$V$24)*('Match Log'!$A$4:$A$810&lt;=$J254)),'Match Log'!$N$4:$N$810),NA()))</f>
        <v>0</v>
      </c>
      <c r="W254">
        <f>IF($J254&gt;MAX('Match Log'!$A$4:$A$810),NA(),IFERROR(LOOKUP(2,1/(('Match Log'!$D$4:$D$810=$W$24)*('Match Log'!$A$4:$A$810&lt;=$J254)),'Match Log'!$N$4:$N$810),NA()))</f>
        <v>0</v>
      </c>
      <c r="X254">
        <f>IF($J254&gt;MAX('Match Log'!$A$4:$A$810),NA(),IFERROR(LOOKUP(2,1/(('Match Log'!$D$4:$D$810=$X$24)*('Match Log'!$A$4:$A$810&lt;=$J254)),'Match Log'!$N$4:$N$810),NA()))</f>
        <v>0</v>
      </c>
      <c r="Y254" t="str">
        <f>IF(AND($B254&lt;&gt;"",$B254&gt;=$B$5,$I254&lt;&gt;""),$I254,"")</f>
      </c>
    </row>
    <row r="255">
      <c r="A255">
        <v>231</v>
      </c>
      <c r="B255">
        <f>IFERROR(INDEX('Match Log'!$B$4:$B$810,MATCH(231,'Match Log'!$A$4:$A$810,0)),"")</f>
        <v>0</v>
      </c>
      <c r="C255" t="str">
        <f>IFERROR(INDEX('Match Log'!$C$4:$C$810,MATCH(231,'Match Log'!$A$4:$A$810,0)),"")</f>
      </c>
      <c r="D255" t="str">
        <f>IFERROR(INDEX('Match Log'!$G$4:$G$810,MATCH(231,'Match Log'!$A$4:$A$810,0)),"")</f>
      </c>
      <c r="E255">
        <f>IFERROR(INDEX('Match Log'!$F$4:$F$810,MATCH(231,'Match Log'!$A$4:$A$810,0)),"")</f>
        <v>0</v>
      </c>
      <c r="F255">
        <f>IFERROR(SUMIFS('Match Log'!$I$4:$I$810,'Match Log'!$A$4:$A$810,231,'Match Log'!$E$4:$E$810,"Win"),"")</f>
        <v>0</v>
      </c>
      <c r="G255">
        <f>IF($D255="","",1-$F255*$E255)</f>
        <v>0</v>
      </c>
      <c r="H255" t="str">
        <f>IFERROR(IF($E255=2,LOOKUP(2,1/(('Match Log'!$A$4:$A$810=231)*('Match Log'!$E$4:$E$810="Loss")),'Match Log'!$D$4:$D$810),"the field"),"")</f>
      </c>
      <c r="I255">
        <f>IF($G255="","",$G255-$A255/1000000)</f>
        <v>0</v>
      </c>
      <c r="J255">
        <v>231</v>
      </c>
      <c r="K255">
        <f>IF($J255&gt;MAX('Match Log'!$A$4:$A$810),NA(),IFERROR(LOOKUP(2,1/(('Match Log'!$D$4:$D$810=$K$24)*('Match Log'!$A$4:$A$810&lt;=$J255)),'Match Log'!$N$4:$N$810),NA()))</f>
        <v>0</v>
      </c>
      <c r="L255">
        <f>IF($J255&gt;MAX('Match Log'!$A$4:$A$810),NA(),IFERROR(LOOKUP(2,1/(('Match Log'!$D$4:$D$810=$L$24)*('Match Log'!$A$4:$A$810&lt;=$J255)),'Match Log'!$N$4:$N$810),NA()))</f>
        <v>0</v>
      </c>
      <c r="M255">
        <f>IF($J255&gt;MAX('Match Log'!$A$4:$A$810),NA(),IFERROR(LOOKUP(2,1/(('Match Log'!$D$4:$D$810=$M$24)*('Match Log'!$A$4:$A$810&lt;=$J255)),'Match Log'!$N$4:$N$810),NA()))</f>
        <v>0</v>
      </c>
      <c r="N255">
        <f>IF($J255&gt;MAX('Match Log'!$A$4:$A$810),NA(),IFERROR(LOOKUP(2,1/(('Match Log'!$D$4:$D$810=$N$24)*('Match Log'!$A$4:$A$810&lt;=$J255)),'Match Log'!$N$4:$N$810),NA()))</f>
        <v>0</v>
      </c>
      <c r="O255">
        <f>IF($J255&gt;MAX('Match Log'!$A$4:$A$810),NA(),IFERROR(LOOKUP(2,1/(('Match Log'!$D$4:$D$810=$O$24)*('Match Log'!$A$4:$A$810&lt;=$J255)),'Match Log'!$N$4:$N$810),NA()))</f>
        <v>0</v>
      </c>
      <c r="P255">
        <f>IF($J255&gt;MAX('Match Log'!$A$4:$A$810),NA(),IFERROR(LOOKUP(2,1/(('Match Log'!$D$4:$D$810=$P$24)*('Match Log'!$A$4:$A$810&lt;=$J255)),'Match Log'!$N$4:$N$810),NA()))</f>
        <v>0</v>
      </c>
      <c r="Q255">
        <f>IF($J255&gt;MAX('Match Log'!$A$4:$A$810),NA(),IFERROR(LOOKUP(2,1/(('Match Log'!$D$4:$D$810=$Q$24)*('Match Log'!$A$4:$A$810&lt;=$J255)),'Match Log'!$N$4:$N$810),NA()))</f>
        <v>0</v>
      </c>
      <c r="R255">
        <f>IF($J255&gt;MAX('Match Log'!$A$4:$A$810),NA(),IFERROR(LOOKUP(2,1/(('Match Log'!$D$4:$D$810=$R$24)*('Match Log'!$A$4:$A$810&lt;=$J255)),'Match Log'!$N$4:$N$810),NA()))</f>
        <v>0</v>
      </c>
      <c r="S255">
        <f>IF($J255&gt;MAX('Match Log'!$A$4:$A$810),NA(),IFERROR(LOOKUP(2,1/(('Match Log'!$D$4:$D$810=$S$24)*('Match Log'!$A$4:$A$810&lt;=$J255)),'Match Log'!$N$4:$N$810),NA()))</f>
        <v>0</v>
      </c>
      <c r="T255">
        <f>IF($J255&gt;MAX('Match Log'!$A$4:$A$810),NA(),IFERROR(LOOKUP(2,1/(('Match Log'!$D$4:$D$810=$T$24)*('Match Log'!$A$4:$A$810&lt;=$J255)),'Match Log'!$N$4:$N$810),NA()))</f>
        <v>0</v>
      </c>
      <c r="U255">
        <f>IF($J255&gt;MAX('Match Log'!$A$4:$A$810),NA(),IFERROR(LOOKUP(2,1/(('Match Log'!$D$4:$D$810=$U$24)*('Match Log'!$A$4:$A$810&lt;=$J255)),'Match Log'!$N$4:$N$810),NA()))</f>
        <v>0</v>
      </c>
      <c r="V255">
        <f>IF($J255&gt;MAX('Match Log'!$A$4:$A$810),NA(),IFERROR(LOOKUP(2,1/(('Match Log'!$D$4:$D$810=$V$24)*('Match Log'!$A$4:$A$810&lt;=$J255)),'Match Log'!$N$4:$N$810),NA()))</f>
        <v>0</v>
      </c>
      <c r="W255">
        <f>IF($J255&gt;MAX('Match Log'!$A$4:$A$810),NA(),IFERROR(LOOKUP(2,1/(('Match Log'!$D$4:$D$810=$W$24)*('Match Log'!$A$4:$A$810&lt;=$J255)),'Match Log'!$N$4:$N$810),NA()))</f>
        <v>0</v>
      </c>
      <c r="X255">
        <f>IF($J255&gt;MAX('Match Log'!$A$4:$A$810),NA(),IFERROR(LOOKUP(2,1/(('Match Log'!$D$4:$D$810=$X$24)*('Match Log'!$A$4:$A$810&lt;=$J255)),'Match Log'!$N$4:$N$810),NA()))</f>
        <v>0</v>
      </c>
      <c r="Y255" t="str">
        <f>IF(AND($B255&lt;&gt;"",$B255&gt;=$B$5,$I255&lt;&gt;""),$I255,"")</f>
      </c>
    </row>
    <row r="256">
      <c r="A256">
        <v>232</v>
      </c>
      <c r="B256">
        <f>IFERROR(INDEX('Match Log'!$B$4:$B$810,MATCH(232,'Match Log'!$A$4:$A$810,0)),"")</f>
        <v>0</v>
      </c>
      <c r="C256" t="str">
        <f>IFERROR(INDEX('Match Log'!$C$4:$C$810,MATCH(232,'Match Log'!$A$4:$A$810,0)),"")</f>
      </c>
      <c r="D256" t="str">
        <f>IFERROR(INDEX('Match Log'!$G$4:$G$810,MATCH(232,'Match Log'!$A$4:$A$810,0)),"")</f>
      </c>
      <c r="E256">
        <f>IFERROR(INDEX('Match Log'!$F$4:$F$810,MATCH(232,'Match Log'!$A$4:$A$810,0)),"")</f>
        <v>0</v>
      </c>
      <c r="F256">
        <f>IFERROR(SUMIFS('Match Log'!$I$4:$I$810,'Match Log'!$A$4:$A$810,232,'Match Log'!$E$4:$E$810,"Win"),"")</f>
        <v>0</v>
      </c>
      <c r="G256">
        <f>IF($D256="","",1-$F256*$E256)</f>
        <v>0</v>
      </c>
      <c r="H256" t="str">
        <f>IFERROR(IF($E256=2,LOOKUP(2,1/(('Match Log'!$A$4:$A$810=232)*('Match Log'!$E$4:$E$810="Loss")),'Match Log'!$D$4:$D$810),"the field"),"")</f>
      </c>
      <c r="I256">
        <f>IF($G256="","",$G256-$A256/1000000)</f>
        <v>0</v>
      </c>
      <c r="J256">
        <v>232</v>
      </c>
      <c r="K256">
        <f>IF($J256&gt;MAX('Match Log'!$A$4:$A$810),NA(),IFERROR(LOOKUP(2,1/(('Match Log'!$D$4:$D$810=$K$24)*('Match Log'!$A$4:$A$810&lt;=$J256)),'Match Log'!$N$4:$N$810),NA()))</f>
        <v>0</v>
      </c>
      <c r="L256">
        <f>IF($J256&gt;MAX('Match Log'!$A$4:$A$810),NA(),IFERROR(LOOKUP(2,1/(('Match Log'!$D$4:$D$810=$L$24)*('Match Log'!$A$4:$A$810&lt;=$J256)),'Match Log'!$N$4:$N$810),NA()))</f>
        <v>0</v>
      </c>
      <c r="M256">
        <f>IF($J256&gt;MAX('Match Log'!$A$4:$A$810),NA(),IFERROR(LOOKUP(2,1/(('Match Log'!$D$4:$D$810=$M$24)*('Match Log'!$A$4:$A$810&lt;=$J256)),'Match Log'!$N$4:$N$810),NA()))</f>
        <v>0</v>
      </c>
      <c r="N256">
        <f>IF($J256&gt;MAX('Match Log'!$A$4:$A$810),NA(),IFERROR(LOOKUP(2,1/(('Match Log'!$D$4:$D$810=$N$24)*('Match Log'!$A$4:$A$810&lt;=$J256)),'Match Log'!$N$4:$N$810),NA()))</f>
        <v>0</v>
      </c>
      <c r="O256">
        <f>IF($J256&gt;MAX('Match Log'!$A$4:$A$810),NA(),IFERROR(LOOKUP(2,1/(('Match Log'!$D$4:$D$810=$O$24)*('Match Log'!$A$4:$A$810&lt;=$J256)),'Match Log'!$N$4:$N$810),NA()))</f>
        <v>0</v>
      </c>
      <c r="P256">
        <f>IF($J256&gt;MAX('Match Log'!$A$4:$A$810),NA(),IFERROR(LOOKUP(2,1/(('Match Log'!$D$4:$D$810=$P$24)*('Match Log'!$A$4:$A$810&lt;=$J256)),'Match Log'!$N$4:$N$810),NA()))</f>
        <v>0</v>
      </c>
      <c r="Q256">
        <f>IF($J256&gt;MAX('Match Log'!$A$4:$A$810),NA(),IFERROR(LOOKUP(2,1/(('Match Log'!$D$4:$D$810=$Q$24)*('Match Log'!$A$4:$A$810&lt;=$J256)),'Match Log'!$N$4:$N$810),NA()))</f>
        <v>0</v>
      </c>
      <c r="R256">
        <f>IF($J256&gt;MAX('Match Log'!$A$4:$A$810),NA(),IFERROR(LOOKUP(2,1/(('Match Log'!$D$4:$D$810=$R$24)*('Match Log'!$A$4:$A$810&lt;=$J256)),'Match Log'!$N$4:$N$810),NA()))</f>
        <v>0</v>
      </c>
      <c r="S256">
        <f>IF($J256&gt;MAX('Match Log'!$A$4:$A$810),NA(),IFERROR(LOOKUP(2,1/(('Match Log'!$D$4:$D$810=$S$24)*('Match Log'!$A$4:$A$810&lt;=$J256)),'Match Log'!$N$4:$N$810),NA()))</f>
        <v>0</v>
      </c>
      <c r="T256">
        <f>IF($J256&gt;MAX('Match Log'!$A$4:$A$810),NA(),IFERROR(LOOKUP(2,1/(('Match Log'!$D$4:$D$810=$T$24)*('Match Log'!$A$4:$A$810&lt;=$J256)),'Match Log'!$N$4:$N$810),NA()))</f>
        <v>0</v>
      </c>
      <c r="U256">
        <f>IF($J256&gt;MAX('Match Log'!$A$4:$A$810),NA(),IFERROR(LOOKUP(2,1/(('Match Log'!$D$4:$D$810=$U$24)*('Match Log'!$A$4:$A$810&lt;=$J256)),'Match Log'!$N$4:$N$810),NA()))</f>
        <v>0</v>
      </c>
      <c r="V256">
        <f>IF($J256&gt;MAX('Match Log'!$A$4:$A$810),NA(),IFERROR(LOOKUP(2,1/(('Match Log'!$D$4:$D$810=$V$24)*('Match Log'!$A$4:$A$810&lt;=$J256)),'Match Log'!$N$4:$N$810),NA()))</f>
        <v>0</v>
      </c>
      <c r="W256">
        <f>IF($J256&gt;MAX('Match Log'!$A$4:$A$810),NA(),IFERROR(LOOKUP(2,1/(('Match Log'!$D$4:$D$810=$W$24)*('Match Log'!$A$4:$A$810&lt;=$J256)),'Match Log'!$N$4:$N$810),NA()))</f>
        <v>0</v>
      </c>
      <c r="X256">
        <f>IF($J256&gt;MAX('Match Log'!$A$4:$A$810),NA(),IFERROR(LOOKUP(2,1/(('Match Log'!$D$4:$D$810=$X$24)*('Match Log'!$A$4:$A$810&lt;=$J256)),'Match Log'!$N$4:$N$810),NA()))</f>
        <v>0</v>
      </c>
      <c r="Y256" t="str">
        <f>IF(AND($B256&lt;&gt;"",$B256&gt;=$B$5,$I256&lt;&gt;""),$I256,"")</f>
      </c>
    </row>
    <row r="257">
      <c r="A257">
        <v>233</v>
      </c>
      <c r="B257">
        <f>IFERROR(INDEX('Match Log'!$B$4:$B$810,MATCH(233,'Match Log'!$A$4:$A$810,0)),"")</f>
        <v>0</v>
      </c>
      <c r="C257" t="str">
        <f>IFERROR(INDEX('Match Log'!$C$4:$C$810,MATCH(233,'Match Log'!$A$4:$A$810,0)),"")</f>
      </c>
      <c r="D257" t="str">
        <f>IFERROR(INDEX('Match Log'!$G$4:$G$810,MATCH(233,'Match Log'!$A$4:$A$810,0)),"")</f>
      </c>
      <c r="E257">
        <f>IFERROR(INDEX('Match Log'!$F$4:$F$810,MATCH(233,'Match Log'!$A$4:$A$810,0)),"")</f>
        <v>0</v>
      </c>
      <c r="F257">
        <f>IFERROR(SUMIFS('Match Log'!$I$4:$I$810,'Match Log'!$A$4:$A$810,233,'Match Log'!$E$4:$E$810,"Win"),"")</f>
        <v>0</v>
      </c>
      <c r="G257">
        <f>IF($D257="","",1-$F257*$E257)</f>
        <v>0</v>
      </c>
      <c r="H257" t="str">
        <f>IFERROR(IF($E257=2,LOOKUP(2,1/(('Match Log'!$A$4:$A$810=233)*('Match Log'!$E$4:$E$810="Loss")),'Match Log'!$D$4:$D$810),"the field"),"")</f>
      </c>
      <c r="I257">
        <f>IF($G257="","",$G257-$A257/1000000)</f>
        <v>0</v>
      </c>
      <c r="J257">
        <v>233</v>
      </c>
      <c r="K257">
        <f>IF($J257&gt;MAX('Match Log'!$A$4:$A$810),NA(),IFERROR(LOOKUP(2,1/(('Match Log'!$D$4:$D$810=$K$24)*('Match Log'!$A$4:$A$810&lt;=$J257)),'Match Log'!$N$4:$N$810),NA()))</f>
        <v>0</v>
      </c>
      <c r="L257">
        <f>IF($J257&gt;MAX('Match Log'!$A$4:$A$810),NA(),IFERROR(LOOKUP(2,1/(('Match Log'!$D$4:$D$810=$L$24)*('Match Log'!$A$4:$A$810&lt;=$J257)),'Match Log'!$N$4:$N$810),NA()))</f>
        <v>0</v>
      </c>
      <c r="M257">
        <f>IF($J257&gt;MAX('Match Log'!$A$4:$A$810),NA(),IFERROR(LOOKUP(2,1/(('Match Log'!$D$4:$D$810=$M$24)*('Match Log'!$A$4:$A$810&lt;=$J257)),'Match Log'!$N$4:$N$810),NA()))</f>
        <v>0</v>
      </c>
      <c r="N257">
        <f>IF($J257&gt;MAX('Match Log'!$A$4:$A$810),NA(),IFERROR(LOOKUP(2,1/(('Match Log'!$D$4:$D$810=$N$24)*('Match Log'!$A$4:$A$810&lt;=$J257)),'Match Log'!$N$4:$N$810),NA()))</f>
        <v>0</v>
      </c>
      <c r="O257">
        <f>IF($J257&gt;MAX('Match Log'!$A$4:$A$810),NA(),IFERROR(LOOKUP(2,1/(('Match Log'!$D$4:$D$810=$O$24)*('Match Log'!$A$4:$A$810&lt;=$J257)),'Match Log'!$N$4:$N$810),NA()))</f>
        <v>0</v>
      </c>
      <c r="P257">
        <f>IF($J257&gt;MAX('Match Log'!$A$4:$A$810),NA(),IFERROR(LOOKUP(2,1/(('Match Log'!$D$4:$D$810=$P$24)*('Match Log'!$A$4:$A$810&lt;=$J257)),'Match Log'!$N$4:$N$810),NA()))</f>
        <v>0</v>
      </c>
      <c r="Q257">
        <f>IF($J257&gt;MAX('Match Log'!$A$4:$A$810),NA(),IFERROR(LOOKUP(2,1/(('Match Log'!$D$4:$D$810=$Q$24)*('Match Log'!$A$4:$A$810&lt;=$J257)),'Match Log'!$N$4:$N$810),NA()))</f>
        <v>0</v>
      </c>
      <c r="R257">
        <f>IF($J257&gt;MAX('Match Log'!$A$4:$A$810),NA(),IFERROR(LOOKUP(2,1/(('Match Log'!$D$4:$D$810=$R$24)*('Match Log'!$A$4:$A$810&lt;=$J257)),'Match Log'!$N$4:$N$810),NA()))</f>
        <v>0</v>
      </c>
      <c r="S257">
        <f>IF($J257&gt;MAX('Match Log'!$A$4:$A$810),NA(),IFERROR(LOOKUP(2,1/(('Match Log'!$D$4:$D$810=$S$24)*('Match Log'!$A$4:$A$810&lt;=$J257)),'Match Log'!$N$4:$N$810),NA()))</f>
        <v>0</v>
      </c>
      <c r="T257">
        <f>IF($J257&gt;MAX('Match Log'!$A$4:$A$810),NA(),IFERROR(LOOKUP(2,1/(('Match Log'!$D$4:$D$810=$T$24)*('Match Log'!$A$4:$A$810&lt;=$J257)),'Match Log'!$N$4:$N$810),NA()))</f>
        <v>0</v>
      </c>
      <c r="U257">
        <f>IF($J257&gt;MAX('Match Log'!$A$4:$A$810),NA(),IFERROR(LOOKUP(2,1/(('Match Log'!$D$4:$D$810=$U$24)*('Match Log'!$A$4:$A$810&lt;=$J257)),'Match Log'!$N$4:$N$810),NA()))</f>
        <v>0</v>
      </c>
      <c r="V257">
        <f>IF($J257&gt;MAX('Match Log'!$A$4:$A$810),NA(),IFERROR(LOOKUP(2,1/(('Match Log'!$D$4:$D$810=$V$24)*('Match Log'!$A$4:$A$810&lt;=$J257)),'Match Log'!$N$4:$N$810),NA()))</f>
        <v>0</v>
      </c>
      <c r="W257">
        <f>IF($J257&gt;MAX('Match Log'!$A$4:$A$810),NA(),IFERROR(LOOKUP(2,1/(('Match Log'!$D$4:$D$810=$W$24)*('Match Log'!$A$4:$A$810&lt;=$J257)),'Match Log'!$N$4:$N$810),NA()))</f>
        <v>0</v>
      </c>
      <c r="X257">
        <f>IF($J257&gt;MAX('Match Log'!$A$4:$A$810),NA(),IFERROR(LOOKUP(2,1/(('Match Log'!$D$4:$D$810=$X$24)*('Match Log'!$A$4:$A$810&lt;=$J257)),'Match Log'!$N$4:$N$810),NA()))</f>
        <v>0</v>
      </c>
      <c r="Y257" t="str">
        <f>IF(AND($B257&lt;&gt;"",$B257&gt;=$B$5,$I257&lt;&gt;""),$I257,"")</f>
      </c>
    </row>
    <row r="258">
      <c r="A258">
        <v>234</v>
      </c>
      <c r="B258">
        <f>IFERROR(INDEX('Match Log'!$B$4:$B$810,MATCH(234,'Match Log'!$A$4:$A$810,0)),"")</f>
        <v>0</v>
      </c>
      <c r="C258" t="str">
        <f>IFERROR(INDEX('Match Log'!$C$4:$C$810,MATCH(234,'Match Log'!$A$4:$A$810,0)),"")</f>
      </c>
      <c r="D258" t="str">
        <f>IFERROR(INDEX('Match Log'!$G$4:$G$810,MATCH(234,'Match Log'!$A$4:$A$810,0)),"")</f>
      </c>
      <c r="E258">
        <f>IFERROR(INDEX('Match Log'!$F$4:$F$810,MATCH(234,'Match Log'!$A$4:$A$810,0)),"")</f>
        <v>0</v>
      </c>
      <c r="F258">
        <f>IFERROR(SUMIFS('Match Log'!$I$4:$I$810,'Match Log'!$A$4:$A$810,234,'Match Log'!$E$4:$E$810,"Win"),"")</f>
        <v>0</v>
      </c>
      <c r="G258">
        <f>IF($D258="","",1-$F258*$E258)</f>
        <v>0</v>
      </c>
      <c r="H258" t="str">
        <f>IFERROR(IF($E258=2,LOOKUP(2,1/(('Match Log'!$A$4:$A$810=234)*('Match Log'!$E$4:$E$810="Loss")),'Match Log'!$D$4:$D$810),"the field"),"")</f>
      </c>
      <c r="I258">
        <f>IF($G258="","",$G258-$A258/1000000)</f>
        <v>0</v>
      </c>
      <c r="J258">
        <v>234</v>
      </c>
      <c r="K258">
        <f>IF($J258&gt;MAX('Match Log'!$A$4:$A$810),NA(),IFERROR(LOOKUP(2,1/(('Match Log'!$D$4:$D$810=$K$24)*('Match Log'!$A$4:$A$810&lt;=$J258)),'Match Log'!$N$4:$N$810),NA()))</f>
        <v>0</v>
      </c>
      <c r="L258">
        <f>IF($J258&gt;MAX('Match Log'!$A$4:$A$810),NA(),IFERROR(LOOKUP(2,1/(('Match Log'!$D$4:$D$810=$L$24)*('Match Log'!$A$4:$A$810&lt;=$J258)),'Match Log'!$N$4:$N$810),NA()))</f>
        <v>0</v>
      </c>
      <c r="M258">
        <f>IF($J258&gt;MAX('Match Log'!$A$4:$A$810),NA(),IFERROR(LOOKUP(2,1/(('Match Log'!$D$4:$D$810=$M$24)*('Match Log'!$A$4:$A$810&lt;=$J258)),'Match Log'!$N$4:$N$810),NA()))</f>
        <v>0</v>
      </c>
      <c r="N258">
        <f>IF($J258&gt;MAX('Match Log'!$A$4:$A$810),NA(),IFERROR(LOOKUP(2,1/(('Match Log'!$D$4:$D$810=$N$24)*('Match Log'!$A$4:$A$810&lt;=$J258)),'Match Log'!$N$4:$N$810),NA()))</f>
        <v>0</v>
      </c>
      <c r="O258">
        <f>IF($J258&gt;MAX('Match Log'!$A$4:$A$810),NA(),IFERROR(LOOKUP(2,1/(('Match Log'!$D$4:$D$810=$O$24)*('Match Log'!$A$4:$A$810&lt;=$J258)),'Match Log'!$N$4:$N$810),NA()))</f>
        <v>0</v>
      </c>
      <c r="P258">
        <f>IF($J258&gt;MAX('Match Log'!$A$4:$A$810),NA(),IFERROR(LOOKUP(2,1/(('Match Log'!$D$4:$D$810=$P$24)*('Match Log'!$A$4:$A$810&lt;=$J258)),'Match Log'!$N$4:$N$810),NA()))</f>
        <v>0</v>
      </c>
      <c r="Q258">
        <f>IF($J258&gt;MAX('Match Log'!$A$4:$A$810),NA(),IFERROR(LOOKUP(2,1/(('Match Log'!$D$4:$D$810=$Q$24)*('Match Log'!$A$4:$A$810&lt;=$J258)),'Match Log'!$N$4:$N$810),NA()))</f>
        <v>0</v>
      </c>
      <c r="R258">
        <f>IF($J258&gt;MAX('Match Log'!$A$4:$A$810),NA(),IFERROR(LOOKUP(2,1/(('Match Log'!$D$4:$D$810=$R$24)*('Match Log'!$A$4:$A$810&lt;=$J258)),'Match Log'!$N$4:$N$810),NA()))</f>
        <v>0</v>
      </c>
      <c r="S258">
        <f>IF($J258&gt;MAX('Match Log'!$A$4:$A$810),NA(),IFERROR(LOOKUP(2,1/(('Match Log'!$D$4:$D$810=$S$24)*('Match Log'!$A$4:$A$810&lt;=$J258)),'Match Log'!$N$4:$N$810),NA()))</f>
        <v>0</v>
      </c>
      <c r="T258">
        <f>IF($J258&gt;MAX('Match Log'!$A$4:$A$810),NA(),IFERROR(LOOKUP(2,1/(('Match Log'!$D$4:$D$810=$T$24)*('Match Log'!$A$4:$A$810&lt;=$J258)),'Match Log'!$N$4:$N$810),NA()))</f>
        <v>0</v>
      </c>
      <c r="U258">
        <f>IF($J258&gt;MAX('Match Log'!$A$4:$A$810),NA(),IFERROR(LOOKUP(2,1/(('Match Log'!$D$4:$D$810=$U$24)*('Match Log'!$A$4:$A$810&lt;=$J258)),'Match Log'!$N$4:$N$810),NA()))</f>
        <v>0</v>
      </c>
      <c r="V258">
        <f>IF($J258&gt;MAX('Match Log'!$A$4:$A$810),NA(),IFERROR(LOOKUP(2,1/(('Match Log'!$D$4:$D$810=$V$24)*('Match Log'!$A$4:$A$810&lt;=$J258)),'Match Log'!$N$4:$N$810),NA()))</f>
        <v>0</v>
      </c>
      <c r="W258">
        <f>IF($J258&gt;MAX('Match Log'!$A$4:$A$810),NA(),IFERROR(LOOKUP(2,1/(('Match Log'!$D$4:$D$810=$W$24)*('Match Log'!$A$4:$A$810&lt;=$J258)),'Match Log'!$N$4:$N$810),NA()))</f>
        <v>0</v>
      </c>
      <c r="X258">
        <f>IF($J258&gt;MAX('Match Log'!$A$4:$A$810),NA(),IFERROR(LOOKUP(2,1/(('Match Log'!$D$4:$D$810=$X$24)*('Match Log'!$A$4:$A$810&lt;=$J258)),'Match Log'!$N$4:$N$810),NA()))</f>
        <v>0</v>
      </c>
      <c r="Y258" t="str">
        <f>IF(AND($B258&lt;&gt;"",$B258&gt;=$B$5,$I258&lt;&gt;""),$I258,"")</f>
      </c>
    </row>
    <row r="259">
      <c r="A259">
        <v>235</v>
      </c>
      <c r="B259">
        <f>IFERROR(INDEX('Match Log'!$B$4:$B$810,MATCH(235,'Match Log'!$A$4:$A$810,0)),"")</f>
        <v>0</v>
      </c>
      <c r="C259" t="str">
        <f>IFERROR(INDEX('Match Log'!$C$4:$C$810,MATCH(235,'Match Log'!$A$4:$A$810,0)),"")</f>
      </c>
      <c r="D259" t="str">
        <f>IFERROR(INDEX('Match Log'!$G$4:$G$810,MATCH(235,'Match Log'!$A$4:$A$810,0)),"")</f>
      </c>
      <c r="E259">
        <f>IFERROR(INDEX('Match Log'!$F$4:$F$810,MATCH(235,'Match Log'!$A$4:$A$810,0)),"")</f>
        <v>0</v>
      </c>
      <c r="F259">
        <f>IFERROR(SUMIFS('Match Log'!$I$4:$I$810,'Match Log'!$A$4:$A$810,235,'Match Log'!$E$4:$E$810,"Win"),"")</f>
        <v>0</v>
      </c>
      <c r="G259">
        <f>IF($D259="","",1-$F259*$E259)</f>
        <v>0</v>
      </c>
      <c r="H259" t="str">
        <f>IFERROR(IF($E259=2,LOOKUP(2,1/(('Match Log'!$A$4:$A$810=235)*('Match Log'!$E$4:$E$810="Loss")),'Match Log'!$D$4:$D$810),"the field"),"")</f>
      </c>
      <c r="I259">
        <f>IF($G259="","",$G259-$A259/1000000)</f>
        <v>0</v>
      </c>
      <c r="J259">
        <v>235</v>
      </c>
      <c r="K259">
        <f>IF($J259&gt;MAX('Match Log'!$A$4:$A$810),NA(),IFERROR(LOOKUP(2,1/(('Match Log'!$D$4:$D$810=$K$24)*('Match Log'!$A$4:$A$810&lt;=$J259)),'Match Log'!$N$4:$N$810),NA()))</f>
        <v>0</v>
      </c>
      <c r="L259">
        <f>IF($J259&gt;MAX('Match Log'!$A$4:$A$810),NA(),IFERROR(LOOKUP(2,1/(('Match Log'!$D$4:$D$810=$L$24)*('Match Log'!$A$4:$A$810&lt;=$J259)),'Match Log'!$N$4:$N$810),NA()))</f>
        <v>0</v>
      </c>
      <c r="M259">
        <f>IF($J259&gt;MAX('Match Log'!$A$4:$A$810),NA(),IFERROR(LOOKUP(2,1/(('Match Log'!$D$4:$D$810=$M$24)*('Match Log'!$A$4:$A$810&lt;=$J259)),'Match Log'!$N$4:$N$810),NA()))</f>
        <v>0</v>
      </c>
      <c r="N259">
        <f>IF($J259&gt;MAX('Match Log'!$A$4:$A$810),NA(),IFERROR(LOOKUP(2,1/(('Match Log'!$D$4:$D$810=$N$24)*('Match Log'!$A$4:$A$810&lt;=$J259)),'Match Log'!$N$4:$N$810),NA()))</f>
        <v>0</v>
      </c>
      <c r="O259">
        <f>IF($J259&gt;MAX('Match Log'!$A$4:$A$810),NA(),IFERROR(LOOKUP(2,1/(('Match Log'!$D$4:$D$810=$O$24)*('Match Log'!$A$4:$A$810&lt;=$J259)),'Match Log'!$N$4:$N$810),NA()))</f>
        <v>0</v>
      </c>
      <c r="P259">
        <f>IF($J259&gt;MAX('Match Log'!$A$4:$A$810),NA(),IFERROR(LOOKUP(2,1/(('Match Log'!$D$4:$D$810=$P$24)*('Match Log'!$A$4:$A$810&lt;=$J259)),'Match Log'!$N$4:$N$810),NA()))</f>
        <v>0</v>
      </c>
      <c r="Q259">
        <f>IF($J259&gt;MAX('Match Log'!$A$4:$A$810),NA(),IFERROR(LOOKUP(2,1/(('Match Log'!$D$4:$D$810=$Q$24)*('Match Log'!$A$4:$A$810&lt;=$J259)),'Match Log'!$N$4:$N$810),NA()))</f>
        <v>0</v>
      </c>
      <c r="R259">
        <f>IF($J259&gt;MAX('Match Log'!$A$4:$A$810),NA(),IFERROR(LOOKUP(2,1/(('Match Log'!$D$4:$D$810=$R$24)*('Match Log'!$A$4:$A$810&lt;=$J259)),'Match Log'!$N$4:$N$810),NA()))</f>
        <v>0</v>
      </c>
      <c r="S259">
        <f>IF($J259&gt;MAX('Match Log'!$A$4:$A$810),NA(),IFERROR(LOOKUP(2,1/(('Match Log'!$D$4:$D$810=$S$24)*('Match Log'!$A$4:$A$810&lt;=$J259)),'Match Log'!$N$4:$N$810),NA()))</f>
        <v>0</v>
      </c>
      <c r="T259">
        <f>IF($J259&gt;MAX('Match Log'!$A$4:$A$810),NA(),IFERROR(LOOKUP(2,1/(('Match Log'!$D$4:$D$810=$T$24)*('Match Log'!$A$4:$A$810&lt;=$J259)),'Match Log'!$N$4:$N$810),NA()))</f>
        <v>0</v>
      </c>
      <c r="U259">
        <f>IF($J259&gt;MAX('Match Log'!$A$4:$A$810),NA(),IFERROR(LOOKUP(2,1/(('Match Log'!$D$4:$D$810=$U$24)*('Match Log'!$A$4:$A$810&lt;=$J259)),'Match Log'!$N$4:$N$810),NA()))</f>
        <v>0</v>
      </c>
      <c r="V259">
        <f>IF($J259&gt;MAX('Match Log'!$A$4:$A$810),NA(),IFERROR(LOOKUP(2,1/(('Match Log'!$D$4:$D$810=$V$24)*('Match Log'!$A$4:$A$810&lt;=$J259)),'Match Log'!$N$4:$N$810),NA()))</f>
        <v>0</v>
      </c>
      <c r="W259">
        <f>IF($J259&gt;MAX('Match Log'!$A$4:$A$810),NA(),IFERROR(LOOKUP(2,1/(('Match Log'!$D$4:$D$810=$W$24)*('Match Log'!$A$4:$A$810&lt;=$J259)),'Match Log'!$N$4:$N$810),NA()))</f>
        <v>0</v>
      </c>
      <c r="X259">
        <f>IF($J259&gt;MAX('Match Log'!$A$4:$A$810),NA(),IFERROR(LOOKUP(2,1/(('Match Log'!$D$4:$D$810=$X$24)*('Match Log'!$A$4:$A$810&lt;=$J259)),'Match Log'!$N$4:$N$810),NA()))</f>
        <v>0</v>
      </c>
      <c r="Y259" t="str">
        <f>IF(AND($B259&lt;&gt;"",$B259&gt;=$B$5,$I259&lt;&gt;""),$I259,"")</f>
      </c>
    </row>
    <row r="260">
      <c r="A260">
        <v>236</v>
      </c>
      <c r="B260">
        <f>IFERROR(INDEX('Match Log'!$B$4:$B$810,MATCH(236,'Match Log'!$A$4:$A$810,0)),"")</f>
        <v>0</v>
      </c>
      <c r="C260" t="str">
        <f>IFERROR(INDEX('Match Log'!$C$4:$C$810,MATCH(236,'Match Log'!$A$4:$A$810,0)),"")</f>
      </c>
      <c r="D260" t="str">
        <f>IFERROR(INDEX('Match Log'!$G$4:$G$810,MATCH(236,'Match Log'!$A$4:$A$810,0)),"")</f>
      </c>
      <c r="E260">
        <f>IFERROR(INDEX('Match Log'!$F$4:$F$810,MATCH(236,'Match Log'!$A$4:$A$810,0)),"")</f>
        <v>0</v>
      </c>
      <c r="F260">
        <f>IFERROR(SUMIFS('Match Log'!$I$4:$I$810,'Match Log'!$A$4:$A$810,236,'Match Log'!$E$4:$E$810,"Win"),"")</f>
        <v>0</v>
      </c>
      <c r="G260">
        <f>IF($D260="","",1-$F260*$E260)</f>
        <v>0</v>
      </c>
      <c r="H260" t="str">
        <f>IFERROR(IF($E260=2,LOOKUP(2,1/(('Match Log'!$A$4:$A$810=236)*('Match Log'!$E$4:$E$810="Loss")),'Match Log'!$D$4:$D$810),"the field"),"")</f>
      </c>
      <c r="I260">
        <f>IF($G260="","",$G260-$A260/1000000)</f>
        <v>0</v>
      </c>
      <c r="J260">
        <v>236</v>
      </c>
      <c r="K260">
        <f>IF($J260&gt;MAX('Match Log'!$A$4:$A$810),NA(),IFERROR(LOOKUP(2,1/(('Match Log'!$D$4:$D$810=$K$24)*('Match Log'!$A$4:$A$810&lt;=$J260)),'Match Log'!$N$4:$N$810),NA()))</f>
        <v>0</v>
      </c>
      <c r="L260">
        <f>IF($J260&gt;MAX('Match Log'!$A$4:$A$810),NA(),IFERROR(LOOKUP(2,1/(('Match Log'!$D$4:$D$810=$L$24)*('Match Log'!$A$4:$A$810&lt;=$J260)),'Match Log'!$N$4:$N$810),NA()))</f>
        <v>0</v>
      </c>
      <c r="M260">
        <f>IF($J260&gt;MAX('Match Log'!$A$4:$A$810),NA(),IFERROR(LOOKUP(2,1/(('Match Log'!$D$4:$D$810=$M$24)*('Match Log'!$A$4:$A$810&lt;=$J260)),'Match Log'!$N$4:$N$810),NA()))</f>
        <v>0</v>
      </c>
      <c r="N260">
        <f>IF($J260&gt;MAX('Match Log'!$A$4:$A$810),NA(),IFERROR(LOOKUP(2,1/(('Match Log'!$D$4:$D$810=$N$24)*('Match Log'!$A$4:$A$810&lt;=$J260)),'Match Log'!$N$4:$N$810),NA()))</f>
        <v>0</v>
      </c>
      <c r="O260">
        <f>IF($J260&gt;MAX('Match Log'!$A$4:$A$810),NA(),IFERROR(LOOKUP(2,1/(('Match Log'!$D$4:$D$810=$O$24)*('Match Log'!$A$4:$A$810&lt;=$J260)),'Match Log'!$N$4:$N$810),NA()))</f>
        <v>0</v>
      </c>
      <c r="P260">
        <f>IF($J260&gt;MAX('Match Log'!$A$4:$A$810),NA(),IFERROR(LOOKUP(2,1/(('Match Log'!$D$4:$D$810=$P$24)*('Match Log'!$A$4:$A$810&lt;=$J260)),'Match Log'!$N$4:$N$810),NA()))</f>
        <v>0</v>
      </c>
      <c r="Q260">
        <f>IF($J260&gt;MAX('Match Log'!$A$4:$A$810),NA(),IFERROR(LOOKUP(2,1/(('Match Log'!$D$4:$D$810=$Q$24)*('Match Log'!$A$4:$A$810&lt;=$J260)),'Match Log'!$N$4:$N$810),NA()))</f>
        <v>0</v>
      </c>
      <c r="R260">
        <f>IF($J260&gt;MAX('Match Log'!$A$4:$A$810),NA(),IFERROR(LOOKUP(2,1/(('Match Log'!$D$4:$D$810=$R$24)*('Match Log'!$A$4:$A$810&lt;=$J260)),'Match Log'!$N$4:$N$810),NA()))</f>
        <v>0</v>
      </c>
      <c r="S260">
        <f>IF($J260&gt;MAX('Match Log'!$A$4:$A$810),NA(),IFERROR(LOOKUP(2,1/(('Match Log'!$D$4:$D$810=$S$24)*('Match Log'!$A$4:$A$810&lt;=$J260)),'Match Log'!$N$4:$N$810),NA()))</f>
        <v>0</v>
      </c>
      <c r="T260">
        <f>IF($J260&gt;MAX('Match Log'!$A$4:$A$810),NA(),IFERROR(LOOKUP(2,1/(('Match Log'!$D$4:$D$810=$T$24)*('Match Log'!$A$4:$A$810&lt;=$J260)),'Match Log'!$N$4:$N$810),NA()))</f>
        <v>0</v>
      </c>
      <c r="U260">
        <f>IF($J260&gt;MAX('Match Log'!$A$4:$A$810),NA(),IFERROR(LOOKUP(2,1/(('Match Log'!$D$4:$D$810=$U$24)*('Match Log'!$A$4:$A$810&lt;=$J260)),'Match Log'!$N$4:$N$810),NA()))</f>
        <v>0</v>
      </c>
      <c r="V260">
        <f>IF($J260&gt;MAX('Match Log'!$A$4:$A$810),NA(),IFERROR(LOOKUP(2,1/(('Match Log'!$D$4:$D$810=$V$24)*('Match Log'!$A$4:$A$810&lt;=$J260)),'Match Log'!$N$4:$N$810),NA()))</f>
        <v>0</v>
      </c>
      <c r="W260">
        <f>IF($J260&gt;MAX('Match Log'!$A$4:$A$810),NA(),IFERROR(LOOKUP(2,1/(('Match Log'!$D$4:$D$810=$W$24)*('Match Log'!$A$4:$A$810&lt;=$J260)),'Match Log'!$N$4:$N$810),NA()))</f>
        <v>0</v>
      </c>
      <c r="X260">
        <f>IF($J260&gt;MAX('Match Log'!$A$4:$A$810),NA(),IFERROR(LOOKUP(2,1/(('Match Log'!$D$4:$D$810=$X$24)*('Match Log'!$A$4:$A$810&lt;=$J260)),'Match Log'!$N$4:$N$810),NA()))</f>
        <v>0</v>
      </c>
      <c r="Y260" t="str">
        <f>IF(AND($B260&lt;&gt;"",$B260&gt;=$B$5,$I260&lt;&gt;""),$I260,"")</f>
      </c>
    </row>
    <row r="261">
      <c r="A261">
        <v>237</v>
      </c>
      <c r="B261">
        <f>IFERROR(INDEX('Match Log'!$B$4:$B$810,MATCH(237,'Match Log'!$A$4:$A$810,0)),"")</f>
        <v>0</v>
      </c>
      <c r="C261" t="str">
        <f>IFERROR(INDEX('Match Log'!$C$4:$C$810,MATCH(237,'Match Log'!$A$4:$A$810,0)),"")</f>
      </c>
      <c r="D261" t="str">
        <f>IFERROR(INDEX('Match Log'!$G$4:$G$810,MATCH(237,'Match Log'!$A$4:$A$810,0)),"")</f>
      </c>
      <c r="E261">
        <f>IFERROR(INDEX('Match Log'!$F$4:$F$810,MATCH(237,'Match Log'!$A$4:$A$810,0)),"")</f>
        <v>0</v>
      </c>
      <c r="F261">
        <f>IFERROR(SUMIFS('Match Log'!$I$4:$I$810,'Match Log'!$A$4:$A$810,237,'Match Log'!$E$4:$E$810,"Win"),"")</f>
        <v>0</v>
      </c>
      <c r="G261">
        <f>IF($D261="","",1-$F261*$E261)</f>
        <v>0</v>
      </c>
      <c r="H261" t="str">
        <f>IFERROR(IF($E261=2,LOOKUP(2,1/(('Match Log'!$A$4:$A$810=237)*('Match Log'!$E$4:$E$810="Loss")),'Match Log'!$D$4:$D$810),"the field"),"")</f>
      </c>
      <c r="I261">
        <f>IF($G261="","",$G261-$A261/1000000)</f>
        <v>0</v>
      </c>
      <c r="J261">
        <v>237</v>
      </c>
      <c r="K261">
        <f>IF($J261&gt;MAX('Match Log'!$A$4:$A$810),NA(),IFERROR(LOOKUP(2,1/(('Match Log'!$D$4:$D$810=$K$24)*('Match Log'!$A$4:$A$810&lt;=$J261)),'Match Log'!$N$4:$N$810),NA()))</f>
        <v>0</v>
      </c>
      <c r="L261">
        <f>IF($J261&gt;MAX('Match Log'!$A$4:$A$810),NA(),IFERROR(LOOKUP(2,1/(('Match Log'!$D$4:$D$810=$L$24)*('Match Log'!$A$4:$A$810&lt;=$J261)),'Match Log'!$N$4:$N$810),NA()))</f>
        <v>0</v>
      </c>
      <c r="M261">
        <f>IF($J261&gt;MAX('Match Log'!$A$4:$A$810),NA(),IFERROR(LOOKUP(2,1/(('Match Log'!$D$4:$D$810=$M$24)*('Match Log'!$A$4:$A$810&lt;=$J261)),'Match Log'!$N$4:$N$810),NA()))</f>
        <v>0</v>
      </c>
      <c r="N261">
        <f>IF($J261&gt;MAX('Match Log'!$A$4:$A$810),NA(),IFERROR(LOOKUP(2,1/(('Match Log'!$D$4:$D$810=$N$24)*('Match Log'!$A$4:$A$810&lt;=$J261)),'Match Log'!$N$4:$N$810),NA()))</f>
        <v>0</v>
      </c>
      <c r="O261">
        <f>IF($J261&gt;MAX('Match Log'!$A$4:$A$810),NA(),IFERROR(LOOKUP(2,1/(('Match Log'!$D$4:$D$810=$O$24)*('Match Log'!$A$4:$A$810&lt;=$J261)),'Match Log'!$N$4:$N$810),NA()))</f>
        <v>0</v>
      </c>
      <c r="P261">
        <f>IF($J261&gt;MAX('Match Log'!$A$4:$A$810),NA(),IFERROR(LOOKUP(2,1/(('Match Log'!$D$4:$D$810=$P$24)*('Match Log'!$A$4:$A$810&lt;=$J261)),'Match Log'!$N$4:$N$810),NA()))</f>
        <v>0</v>
      </c>
      <c r="Q261">
        <f>IF($J261&gt;MAX('Match Log'!$A$4:$A$810),NA(),IFERROR(LOOKUP(2,1/(('Match Log'!$D$4:$D$810=$Q$24)*('Match Log'!$A$4:$A$810&lt;=$J261)),'Match Log'!$N$4:$N$810),NA()))</f>
        <v>0</v>
      </c>
      <c r="R261">
        <f>IF($J261&gt;MAX('Match Log'!$A$4:$A$810),NA(),IFERROR(LOOKUP(2,1/(('Match Log'!$D$4:$D$810=$R$24)*('Match Log'!$A$4:$A$810&lt;=$J261)),'Match Log'!$N$4:$N$810),NA()))</f>
        <v>0</v>
      </c>
      <c r="S261">
        <f>IF($J261&gt;MAX('Match Log'!$A$4:$A$810),NA(),IFERROR(LOOKUP(2,1/(('Match Log'!$D$4:$D$810=$S$24)*('Match Log'!$A$4:$A$810&lt;=$J261)),'Match Log'!$N$4:$N$810),NA()))</f>
        <v>0</v>
      </c>
      <c r="T261">
        <f>IF($J261&gt;MAX('Match Log'!$A$4:$A$810),NA(),IFERROR(LOOKUP(2,1/(('Match Log'!$D$4:$D$810=$T$24)*('Match Log'!$A$4:$A$810&lt;=$J261)),'Match Log'!$N$4:$N$810),NA()))</f>
        <v>0</v>
      </c>
      <c r="U261">
        <f>IF($J261&gt;MAX('Match Log'!$A$4:$A$810),NA(),IFERROR(LOOKUP(2,1/(('Match Log'!$D$4:$D$810=$U$24)*('Match Log'!$A$4:$A$810&lt;=$J261)),'Match Log'!$N$4:$N$810),NA()))</f>
        <v>0</v>
      </c>
      <c r="V261">
        <f>IF($J261&gt;MAX('Match Log'!$A$4:$A$810),NA(),IFERROR(LOOKUP(2,1/(('Match Log'!$D$4:$D$810=$V$24)*('Match Log'!$A$4:$A$810&lt;=$J261)),'Match Log'!$N$4:$N$810),NA()))</f>
        <v>0</v>
      </c>
      <c r="W261">
        <f>IF($J261&gt;MAX('Match Log'!$A$4:$A$810),NA(),IFERROR(LOOKUP(2,1/(('Match Log'!$D$4:$D$810=$W$24)*('Match Log'!$A$4:$A$810&lt;=$J261)),'Match Log'!$N$4:$N$810),NA()))</f>
        <v>0</v>
      </c>
      <c r="X261">
        <f>IF($J261&gt;MAX('Match Log'!$A$4:$A$810),NA(),IFERROR(LOOKUP(2,1/(('Match Log'!$D$4:$D$810=$X$24)*('Match Log'!$A$4:$A$810&lt;=$J261)),'Match Log'!$N$4:$N$810),NA()))</f>
        <v>0</v>
      </c>
      <c r="Y261" t="str">
        <f>IF(AND($B261&lt;&gt;"",$B261&gt;=$B$5,$I261&lt;&gt;""),$I261,"")</f>
      </c>
    </row>
    <row r="262">
      <c r="A262">
        <v>238</v>
      </c>
      <c r="B262">
        <f>IFERROR(INDEX('Match Log'!$B$4:$B$810,MATCH(238,'Match Log'!$A$4:$A$810,0)),"")</f>
        <v>0</v>
      </c>
      <c r="C262" t="str">
        <f>IFERROR(INDEX('Match Log'!$C$4:$C$810,MATCH(238,'Match Log'!$A$4:$A$810,0)),"")</f>
      </c>
      <c r="D262" t="str">
        <f>IFERROR(INDEX('Match Log'!$G$4:$G$810,MATCH(238,'Match Log'!$A$4:$A$810,0)),"")</f>
      </c>
      <c r="E262">
        <f>IFERROR(INDEX('Match Log'!$F$4:$F$810,MATCH(238,'Match Log'!$A$4:$A$810,0)),"")</f>
        <v>0</v>
      </c>
      <c r="F262">
        <f>IFERROR(SUMIFS('Match Log'!$I$4:$I$810,'Match Log'!$A$4:$A$810,238,'Match Log'!$E$4:$E$810,"Win"),"")</f>
        <v>0</v>
      </c>
      <c r="G262">
        <f>IF($D262="","",1-$F262*$E262)</f>
        <v>0</v>
      </c>
      <c r="H262" t="str">
        <f>IFERROR(IF($E262=2,LOOKUP(2,1/(('Match Log'!$A$4:$A$810=238)*('Match Log'!$E$4:$E$810="Loss")),'Match Log'!$D$4:$D$810),"the field"),"")</f>
      </c>
      <c r="I262">
        <f>IF($G262="","",$G262-$A262/1000000)</f>
        <v>0</v>
      </c>
      <c r="J262">
        <v>238</v>
      </c>
      <c r="K262">
        <f>IF($J262&gt;MAX('Match Log'!$A$4:$A$810),NA(),IFERROR(LOOKUP(2,1/(('Match Log'!$D$4:$D$810=$K$24)*('Match Log'!$A$4:$A$810&lt;=$J262)),'Match Log'!$N$4:$N$810),NA()))</f>
        <v>0</v>
      </c>
      <c r="L262">
        <f>IF($J262&gt;MAX('Match Log'!$A$4:$A$810),NA(),IFERROR(LOOKUP(2,1/(('Match Log'!$D$4:$D$810=$L$24)*('Match Log'!$A$4:$A$810&lt;=$J262)),'Match Log'!$N$4:$N$810),NA()))</f>
        <v>0</v>
      </c>
      <c r="M262">
        <f>IF($J262&gt;MAX('Match Log'!$A$4:$A$810),NA(),IFERROR(LOOKUP(2,1/(('Match Log'!$D$4:$D$810=$M$24)*('Match Log'!$A$4:$A$810&lt;=$J262)),'Match Log'!$N$4:$N$810),NA()))</f>
        <v>0</v>
      </c>
      <c r="N262">
        <f>IF($J262&gt;MAX('Match Log'!$A$4:$A$810),NA(),IFERROR(LOOKUP(2,1/(('Match Log'!$D$4:$D$810=$N$24)*('Match Log'!$A$4:$A$810&lt;=$J262)),'Match Log'!$N$4:$N$810),NA()))</f>
        <v>0</v>
      </c>
      <c r="O262">
        <f>IF($J262&gt;MAX('Match Log'!$A$4:$A$810),NA(),IFERROR(LOOKUP(2,1/(('Match Log'!$D$4:$D$810=$O$24)*('Match Log'!$A$4:$A$810&lt;=$J262)),'Match Log'!$N$4:$N$810),NA()))</f>
        <v>0</v>
      </c>
      <c r="P262">
        <f>IF($J262&gt;MAX('Match Log'!$A$4:$A$810),NA(),IFERROR(LOOKUP(2,1/(('Match Log'!$D$4:$D$810=$P$24)*('Match Log'!$A$4:$A$810&lt;=$J262)),'Match Log'!$N$4:$N$810),NA()))</f>
        <v>0</v>
      </c>
      <c r="Q262">
        <f>IF($J262&gt;MAX('Match Log'!$A$4:$A$810),NA(),IFERROR(LOOKUP(2,1/(('Match Log'!$D$4:$D$810=$Q$24)*('Match Log'!$A$4:$A$810&lt;=$J262)),'Match Log'!$N$4:$N$810),NA()))</f>
        <v>0</v>
      </c>
      <c r="R262">
        <f>IF($J262&gt;MAX('Match Log'!$A$4:$A$810),NA(),IFERROR(LOOKUP(2,1/(('Match Log'!$D$4:$D$810=$R$24)*('Match Log'!$A$4:$A$810&lt;=$J262)),'Match Log'!$N$4:$N$810),NA()))</f>
        <v>0</v>
      </c>
      <c r="S262">
        <f>IF($J262&gt;MAX('Match Log'!$A$4:$A$810),NA(),IFERROR(LOOKUP(2,1/(('Match Log'!$D$4:$D$810=$S$24)*('Match Log'!$A$4:$A$810&lt;=$J262)),'Match Log'!$N$4:$N$810),NA()))</f>
        <v>0</v>
      </c>
      <c r="T262">
        <f>IF($J262&gt;MAX('Match Log'!$A$4:$A$810),NA(),IFERROR(LOOKUP(2,1/(('Match Log'!$D$4:$D$810=$T$24)*('Match Log'!$A$4:$A$810&lt;=$J262)),'Match Log'!$N$4:$N$810),NA()))</f>
        <v>0</v>
      </c>
      <c r="U262">
        <f>IF($J262&gt;MAX('Match Log'!$A$4:$A$810),NA(),IFERROR(LOOKUP(2,1/(('Match Log'!$D$4:$D$810=$U$24)*('Match Log'!$A$4:$A$810&lt;=$J262)),'Match Log'!$N$4:$N$810),NA()))</f>
        <v>0</v>
      </c>
      <c r="V262">
        <f>IF($J262&gt;MAX('Match Log'!$A$4:$A$810),NA(),IFERROR(LOOKUP(2,1/(('Match Log'!$D$4:$D$810=$V$24)*('Match Log'!$A$4:$A$810&lt;=$J262)),'Match Log'!$N$4:$N$810),NA()))</f>
        <v>0</v>
      </c>
      <c r="W262">
        <f>IF($J262&gt;MAX('Match Log'!$A$4:$A$810),NA(),IFERROR(LOOKUP(2,1/(('Match Log'!$D$4:$D$810=$W$24)*('Match Log'!$A$4:$A$810&lt;=$J262)),'Match Log'!$N$4:$N$810),NA()))</f>
        <v>0</v>
      </c>
      <c r="X262">
        <f>IF($J262&gt;MAX('Match Log'!$A$4:$A$810),NA(),IFERROR(LOOKUP(2,1/(('Match Log'!$D$4:$D$810=$X$24)*('Match Log'!$A$4:$A$810&lt;=$J262)),'Match Log'!$N$4:$N$810),NA()))</f>
        <v>0</v>
      </c>
      <c r="Y262" t="str">
        <f>IF(AND($B262&lt;&gt;"",$B262&gt;=$B$5,$I262&lt;&gt;""),$I262,"")</f>
      </c>
    </row>
    <row r="263">
      <c r="A263">
        <v>239</v>
      </c>
      <c r="B263">
        <f>IFERROR(INDEX('Match Log'!$B$4:$B$810,MATCH(239,'Match Log'!$A$4:$A$810,0)),"")</f>
        <v>0</v>
      </c>
      <c r="C263" t="str">
        <f>IFERROR(INDEX('Match Log'!$C$4:$C$810,MATCH(239,'Match Log'!$A$4:$A$810,0)),"")</f>
      </c>
      <c r="D263" t="str">
        <f>IFERROR(INDEX('Match Log'!$G$4:$G$810,MATCH(239,'Match Log'!$A$4:$A$810,0)),"")</f>
      </c>
      <c r="E263">
        <f>IFERROR(INDEX('Match Log'!$F$4:$F$810,MATCH(239,'Match Log'!$A$4:$A$810,0)),"")</f>
        <v>0</v>
      </c>
      <c r="F263">
        <f>IFERROR(SUMIFS('Match Log'!$I$4:$I$810,'Match Log'!$A$4:$A$810,239,'Match Log'!$E$4:$E$810,"Win"),"")</f>
        <v>0</v>
      </c>
      <c r="G263">
        <f>IF($D263="","",1-$F263*$E263)</f>
        <v>0</v>
      </c>
      <c r="H263" t="str">
        <f>IFERROR(IF($E263=2,LOOKUP(2,1/(('Match Log'!$A$4:$A$810=239)*('Match Log'!$E$4:$E$810="Loss")),'Match Log'!$D$4:$D$810),"the field"),"")</f>
      </c>
      <c r="I263">
        <f>IF($G263="","",$G263-$A263/1000000)</f>
        <v>0</v>
      </c>
      <c r="J263">
        <v>239</v>
      </c>
      <c r="K263">
        <f>IF($J263&gt;MAX('Match Log'!$A$4:$A$810),NA(),IFERROR(LOOKUP(2,1/(('Match Log'!$D$4:$D$810=$K$24)*('Match Log'!$A$4:$A$810&lt;=$J263)),'Match Log'!$N$4:$N$810),NA()))</f>
        <v>0</v>
      </c>
      <c r="L263">
        <f>IF($J263&gt;MAX('Match Log'!$A$4:$A$810),NA(),IFERROR(LOOKUP(2,1/(('Match Log'!$D$4:$D$810=$L$24)*('Match Log'!$A$4:$A$810&lt;=$J263)),'Match Log'!$N$4:$N$810),NA()))</f>
        <v>0</v>
      </c>
      <c r="M263">
        <f>IF($J263&gt;MAX('Match Log'!$A$4:$A$810),NA(),IFERROR(LOOKUP(2,1/(('Match Log'!$D$4:$D$810=$M$24)*('Match Log'!$A$4:$A$810&lt;=$J263)),'Match Log'!$N$4:$N$810),NA()))</f>
        <v>0</v>
      </c>
      <c r="N263">
        <f>IF($J263&gt;MAX('Match Log'!$A$4:$A$810),NA(),IFERROR(LOOKUP(2,1/(('Match Log'!$D$4:$D$810=$N$24)*('Match Log'!$A$4:$A$810&lt;=$J263)),'Match Log'!$N$4:$N$810),NA()))</f>
        <v>0</v>
      </c>
      <c r="O263">
        <f>IF($J263&gt;MAX('Match Log'!$A$4:$A$810),NA(),IFERROR(LOOKUP(2,1/(('Match Log'!$D$4:$D$810=$O$24)*('Match Log'!$A$4:$A$810&lt;=$J263)),'Match Log'!$N$4:$N$810),NA()))</f>
        <v>0</v>
      </c>
      <c r="P263">
        <f>IF($J263&gt;MAX('Match Log'!$A$4:$A$810),NA(),IFERROR(LOOKUP(2,1/(('Match Log'!$D$4:$D$810=$P$24)*('Match Log'!$A$4:$A$810&lt;=$J263)),'Match Log'!$N$4:$N$810),NA()))</f>
        <v>0</v>
      </c>
      <c r="Q263">
        <f>IF($J263&gt;MAX('Match Log'!$A$4:$A$810),NA(),IFERROR(LOOKUP(2,1/(('Match Log'!$D$4:$D$810=$Q$24)*('Match Log'!$A$4:$A$810&lt;=$J263)),'Match Log'!$N$4:$N$810),NA()))</f>
        <v>0</v>
      </c>
      <c r="R263">
        <f>IF($J263&gt;MAX('Match Log'!$A$4:$A$810),NA(),IFERROR(LOOKUP(2,1/(('Match Log'!$D$4:$D$810=$R$24)*('Match Log'!$A$4:$A$810&lt;=$J263)),'Match Log'!$N$4:$N$810),NA()))</f>
        <v>0</v>
      </c>
      <c r="S263">
        <f>IF($J263&gt;MAX('Match Log'!$A$4:$A$810),NA(),IFERROR(LOOKUP(2,1/(('Match Log'!$D$4:$D$810=$S$24)*('Match Log'!$A$4:$A$810&lt;=$J263)),'Match Log'!$N$4:$N$810),NA()))</f>
        <v>0</v>
      </c>
      <c r="T263">
        <f>IF($J263&gt;MAX('Match Log'!$A$4:$A$810),NA(),IFERROR(LOOKUP(2,1/(('Match Log'!$D$4:$D$810=$T$24)*('Match Log'!$A$4:$A$810&lt;=$J263)),'Match Log'!$N$4:$N$810),NA()))</f>
        <v>0</v>
      </c>
      <c r="U263">
        <f>IF($J263&gt;MAX('Match Log'!$A$4:$A$810),NA(),IFERROR(LOOKUP(2,1/(('Match Log'!$D$4:$D$810=$U$24)*('Match Log'!$A$4:$A$810&lt;=$J263)),'Match Log'!$N$4:$N$810),NA()))</f>
        <v>0</v>
      </c>
      <c r="V263">
        <f>IF($J263&gt;MAX('Match Log'!$A$4:$A$810),NA(),IFERROR(LOOKUP(2,1/(('Match Log'!$D$4:$D$810=$V$24)*('Match Log'!$A$4:$A$810&lt;=$J263)),'Match Log'!$N$4:$N$810),NA()))</f>
        <v>0</v>
      </c>
      <c r="W263">
        <f>IF($J263&gt;MAX('Match Log'!$A$4:$A$810),NA(),IFERROR(LOOKUP(2,1/(('Match Log'!$D$4:$D$810=$W$24)*('Match Log'!$A$4:$A$810&lt;=$J263)),'Match Log'!$N$4:$N$810),NA()))</f>
        <v>0</v>
      </c>
      <c r="X263">
        <f>IF($J263&gt;MAX('Match Log'!$A$4:$A$810),NA(),IFERROR(LOOKUP(2,1/(('Match Log'!$D$4:$D$810=$X$24)*('Match Log'!$A$4:$A$810&lt;=$J263)),'Match Log'!$N$4:$N$810),NA()))</f>
        <v>0</v>
      </c>
      <c r="Y263" t="str">
        <f>IF(AND($B263&lt;&gt;"",$B263&gt;=$B$5,$I263&lt;&gt;""),$I263,"")</f>
      </c>
    </row>
    <row r="264">
      <c r="A264">
        <v>240</v>
      </c>
      <c r="B264">
        <f>IFERROR(INDEX('Match Log'!$B$4:$B$810,MATCH(240,'Match Log'!$A$4:$A$810,0)),"")</f>
        <v>0</v>
      </c>
      <c r="C264" t="str">
        <f>IFERROR(INDEX('Match Log'!$C$4:$C$810,MATCH(240,'Match Log'!$A$4:$A$810,0)),"")</f>
      </c>
      <c r="D264" t="str">
        <f>IFERROR(INDEX('Match Log'!$G$4:$G$810,MATCH(240,'Match Log'!$A$4:$A$810,0)),"")</f>
      </c>
      <c r="E264">
        <f>IFERROR(INDEX('Match Log'!$F$4:$F$810,MATCH(240,'Match Log'!$A$4:$A$810,0)),"")</f>
        <v>0</v>
      </c>
      <c r="F264">
        <f>IFERROR(SUMIFS('Match Log'!$I$4:$I$810,'Match Log'!$A$4:$A$810,240,'Match Log'!$E$4:$E$810,"Win"),"")</f>
        <v>0</v>
      </c>
      <c r="G264">
        <f>IF($D264="","",1-$F264*$E264)</f>
        <v>0</v>
      </c>
      <c r="H264" t="str">
        <f>IFERROR(IF($E264=2,LOOKUP(2,1/(('Match Log'!$A$4:$A$810=240)*('Match Log'!$E$4:$E$810="Loss")),'Match Log'!$D$4:$D$810),"the field"),"")</f>
      </c>
      <c r="I264">
        <f>IF($G264="","",$G264-$A264/1000000)</f>
        <v>0</v>
      </c>
      <c r="J264">
        <v>240</v>
      </c>
      <c r="K264">
        <f>IF($J264&gt;MAX('Match Log'!$A$4:$A$810),NA(),IFERROR(LOOKUP(2,1/(('Match Log'!$D$4:$D$810=$K$24)*('Match Log'!$A$4:$A$810&lt;=$J264)),'Match Log'!$N$4:$N$810),NA()))</f>
        <v>0</v>
      </c>
      <c r="L264">
        <f>IF($J264&gt;MAX('Match Log'!$A$4:$A$810),NA(),IFERROR(LOOKUP(2,1/(('Match Log'!$D$4:$D$810=$L$24)*('Match Log'!$A$4:$A$810&lt;=$J264)),'Match Log'!$N$4:$N$810),NA()))</f>
        <v>0</v>
      </c>
      <c r="M264">
        <f>IF($J264&gt;MAX('Match Log'!$A$4:$A$810),NA(),IFERROR(LOOKUP(2,1/(('Match Log'!$D$4:$D$810=$M$24)*('Match Log'!$A$4:$A$810&lt;=$J264)),'Match Log'!$N$4:$N$810),NA()))</f>
        <v>0</v>
      </c>
      <c r="N264">
        <f>IF($J264&gt;MAX('Match Log'!$A$4:$A$810),NA(),IFERROR(LOOKUP(2,1/(('Match Log'!$D$4:$D$810=$N$24)*('Match Log'!$A$4:$A$810&lt;=$J264)),'Match Log'!$N$4:$N$810),NA()))</f>
        <v>0</v>
      </c>
      <c r="O264">
        <f>IF($J264&gt;MAX('Match Log'!$A$4:$A$810),NA(),IFERROR(LOOKUP(2,1/(('Match Log'!$D$4:$D$810=$O$24)*('Match Log'!$A$4:$A$810&lt;=$J264)),'Match Log'!$N$4:$N$810),NA()))</f>
        <v>0</v>
      </c>
      <c r="P264">
        <f>IF($J264&gt;MAX('Match Log'!$A$4:$A$810),NA(),IFERROR(LOOKUP(2,1/(('Match Log'!$D$4:$D$810=$P$24)*('Match Log'!$A$4:$A$810&lt;=$J264)),'Match Log'!$N$4:$N$810),NA()))</f>
        <v>0</v>
      </c>
      <c r="Q264">
        <f>IF($J264&gt;MAX('Match Log'!$A$4:$A$810),NA(),IFERROR(LOOKUP(2,1/(('Match Log'!$D$4:$D$810=$Q$24)*('Match Log'!$A$4:$A$810&lt;=$J264)),'Match Log'!$N$4:$N$810),NA()))</f>
        <v>0</v>
      </c>
      <c r="R264">
        <f>IF($J264&gt;MAX('Match Log'!$A$4:$A$810),NA(),IFERROR(LOOKUP(2,1/(('Match Log'!$D$4:$D$810=$R$24)*('Match Log'!$A$4:$A$810&lt;=$J264)),'Match Log'!$N$4:$N$810),NA()))</f>
        <v>0</v>
      </c>
      <c r="S264">
        <f>IF($J264&gt;MAX('Match Log'!$A$4:$A$810),NA(),IFERROR(LOOKUP(2,1/(('Match Log'!$D$4:$D$810=$S$24)*('Match Log'!$A$4:$A$810&lt;=$J264)),'Match Log'!$N$4:$N$810),NA()))</f>
        <v>0</v>
      </c>
      <c r="T264">
        <f>IF($J264&gt;MAX('Match Log'!$A$4:$A$810),NA(),IFERROR(LOOKUP(2,1/(('Match Log'!$D$4:$D$810=$T$24)*('Match Log'!$A$4:$A$810&lt;=$J264)),'Match Log'!$N$4:$N$810),NA()))</f>
        <v>0</v>
      </c>
      <c r="U264">
        <f>IF($J264&gt;MAX('Match Log'!$A$4:$A$810),NA(),IFERROR(LOOKUP(2,1/(('Match Log'!$D$4:$D$810=$U$24)*('Match Log'!$A$4:$A$810&lt;=$J264)),'Match Log'!$N$4:$N$810),NA()))</f>
        <v>0</v>
      </c>
      <c r="V264">
        <f>IF($J264&gt;MAX('Match Log'!$A$4:$A$810),NA(),IFERROR(LOOKUP(2,1/(('Match Log'!$D$4:$D$810=$V$24)*('Match Log'!$A$4:$A$810&lt;=$J264)),'Match Log'!$N$4:$N$810),NA()))</f>
        <v>0</v>
      </c>
      <c r="W264">
        <f>IF($J264&gt;MAX('Match Log'!$A$4:$A$810),NA(),IFERROR(LOOKUP(2,1/(('Match Log'!$D$4:$D$810=$W$24)*('Match Log'!$A$4:$A$810&lt;=$J264)),'Match Log'!$N$4:$N$810),NA()))</f>
        <v>0</v>
      </c>
      <c r="X264">
        <f>IF($J264&gt;MAX('Match Log'!$A$4:$A$810),NA(),IFERROR(LOOKUP(2,1/(('Match Log'!$D$4:$D$810=$X$24)*('Match Log'!$A$4:$A$810&lt;=$J264)),'Match Log'!$N$4:$N$810),NA()))</f>
        <v>0</v>
      </c>
      <c r="Y264" t="str">
        <f>IF(AND($B264&lt;&gt;"",$B264&gt;=$B$5,$I264&lt;&gt;""),$I264,"")</f>
      </c>
    </row>
    <row r="265">
      <c r="A265">
        <v>241</v>
      </c>
      <c r="B265">
        <f>IFERROR(INDEX('Match Log'!$B$4:$B$810,MATCH(241,'Match Log'!$A$4:$A$810,0)),"")</f>
        <v>0</v>
      </c>
      <c r="C265" t="str">
        <f>IFERROR(INDEX('Match Log'!$C$4:$C$810,MATCH(241,'Match Log'!$A$4:$A$810,0)),"")</f>
      </c>
      <c r="D265" t="str">
        <f>IFERROR(INDEX('Match Log'!$G$4:$G$810,MATCH(241,'Match Log'!$A$4:$A$810,0)),"")</f>
      </c>
      <c r="E265">
        <f>IFERROR(INDEX('Match Log'!$F$4:$F$810,MATCH(241,'Match Log'!$A$4:$A$810,0)),"")</f>
        <v>0</v>
      </c>
      <c r="F265">
        <f>IFERROR(SUMIFS('Match Log'!$I$4:$I$810,'Match Log'!$A$4:$A$810,241,'Match Log'!$E$4:$E$810,"Win"),"")</f>
        <v>0</v>
      </c>
      <c r="G265">
        <f>IF($D265="","",1-$F265*$E265)</f>
        <v>0</v>
      </c>
      <c r="H265" t="str">
        <f>IFERROR(IF($E265=2,LOOKUP(2,1/(('Match Log'!$A$4:$A$810=241)*('Match Log'!$E$4:$E$810="Loss")),'Match Log'!$D$4:$D$810),"the field"),"")</f>
      </c>
      <c r="I265">
        <f>IF($G265="","",$G265-$A265/1000000)</f>
        <v>0</v>
      </c>
      <c r="J265">
        <v>241</v>
      </c>
      <c r="K265">
        <f>IF($J265&gt;MAX('Match Log'!$A$4:$A$810),NA(),IFERROR(LOOKUP(2,1/(('Match Log'!$D$4:$D$810=$K$24)*('Match Log'!$A$4:$A$810&lt;=$J265)),'Match Log'!$N$4:$N$810),NA()))</f>
        <v>0</v>
      </c>
      <c r="L265">
        <f>IF($J265&gt;MAX('Match Log'!$A$4:$A$810),NA(),IFERROR(LOOKUP(2,1/(('Match Log'!$D$4:$D$810=$L$24)*('Match Log'!$A$4:$A$810&lt;=$J265)),'Match Log'!$N$4:$N$810),NA()))</f>
        <v>0</v>
      </c>
      <c r="M265">
        <f>IF($J265&gt;MAX('Match Log'!$A$4:$A$810),NA(),IFERROR(LOOKUP(2,1/(('Match Log'!$D$4:$D$810=$M$24)*('Match Log'!$A$4:$A$810&lt;=$J265)),'Match Log'!$N$4:$N$810),NA()))</f>
        <v>0</v>
      </c>
      <c r="N265">
        <f>IF($J265&gt;MAX('Match Log'!$A$4:$A$810),NA(),IFERROR(LOOKUP(2,1/(('Match Log'!$D$4:$D$810=$N$24)*('Match Log'!$A$4:$A$810&lt;=$J265)),'Match Log'!$N$4:$N$810),NA()))</f>
        <v>0</v>
      </c>
      <c r="O265">
        <f>IF($J265&gt;MAX('Match Log'!$A$4:$A$810),NA(),IFERROR(LOOKUP(2,1/(('Match Log'!$D$4:$D$810=$O$24)*('Match Log'!$A$4:$A$810&lt;=$J265)),'Match Log'!$N$4:$N$810),NA()))</f>
        <v>0</v>
      </c>
      <c r="P265">
        <f>IF($J265&gt;MAX('Match Log'!$A$4:$A$810),NA(),IFERROR(LOOKUP(2,1/(('Match Log'!$D$4:$D$810=$P$24)*('Match Log'!$A$4:$A$810&lt;=$J265)),'Match Log'!$N$4:$N$810),NA()))</f>
        <v>0</v>
      </c>
      <c r="Q265">
        <f>IF($J265&gt;MAX('Match Log'!$A$4:$A$810),NA(),IFERROR(LOOKUP(2,1/(('Match Log'!$D$4:$D$810=$Q$24)*('Match Log'!$A$4:$A$810&lt;=$J265)),'Match Log'!$N$4:$N$810),NA()))</f>
        <v>0</v>
      </c>
      <c r="R265">
        <f>IF($J265&gt;MAX('Match Log'!$A$4:$A$810),NA(),IFERROR(LOOKUP(2,1/(('Match Log'!$D$4:$D$810=$R$24)*('Match Log'!$A$4:$A$810&lt;=$J265)),'Match Log'!$N$4:$N$810),NA()))</f>
        <v>0</v>
      </c>
      <c r="S265">
        <f>IF($J265&gt;MAX('Match Log'!$A$4:$A$810),NA(),IFERROR(LOOKUP(2,1/(('Match Log'!$D$4:$D$810=$S$24)*('Match Log'!$A$4:$A$810&lt;=$J265)),'Match Log'!$N$4:$N$810),NA()))</f>
        <v>0</v>
      </c>
      <c r="T265">
        <f>IF($J265&gt;MAX('Match Log'!$A$4:$A$810),NA(),IFERROR(LOOKUP(2,1/(('Match Log'!$D$4:$D$810=$T$24)*('Match Log'!$A$4:$A$810&lt;=$J265)),'Match Log'!$N$4:$N$810),NA()))</f>
        <v>0</v>
      </c>
      <c r="U265">
        <f>IF($J265&gt;MAX('Match Log'!$A$4:$A$810),NA(),IFERROR(LOOKUP(2,1/(('Match Log'!$D$4:$D$810=$U$24)*('Match Log'!$A$4:$A$810&lt;=$J265)),'Match Log'!$N$4:$N$810),NA()))</f>
        <v>0</v>
      </c>
      <c r="V265">
        <f>IF($J265&gt;MAX('Match Log'!$A$4:$A$810),NA(),IFERROR(LOOKUP(2,1/(('Match Log'!$D$4:$D$810=$V$24)*('Match Log'!$A$4:$A$810&lt;=$J265)),'Match Log'!$N$4:$N$810),NA()))</f>
        <v>0</v>
      </c>
      <c r="W265">
        <f>IF($J265&gt;MAX('Match Log'!$A$4:$A$810),NA(),IFERROR(LOOKUP(2,1/(('Match Log'!$D$4:$D$810=$W$24)*('Match Log'!$A$4:$A$810&lt;=$J265)),'Match Log'!$N$4:$N$810),NA()))</f>
        <v>0</v>
      </c>
      <c r="X265">
        <f>IF($J265&gt;MAX('Match Log'!$A$4:$A$810),NA(),IFERROR(LOOKUP(2,1/(('Match Log'!$D$4:$D$810=$X$24)*('Match Log'!$A$4:$A$810&lt;=$J265)),'Match Log'!$N$4:$N$810),NA()))</f>
        <v>0</v>
      </c>
      <c r="Y265" t="str">
        <f>IF(AND($B265&lt;&gt;"",$B265&gt;=$B$5,$I265&lt;&gt;""),$I265,"")</f>
      </c>
    </row>
    <row r="266">
      <c r="A266">
        <v>242</v>
      </c>
      <c r="B266">
        <f>IFERROR(INDEX('Match Log'!$B$4:$B$810,MATCH(242,'Match Log'!$A$4:$A$810,0)),"")</f>
        <v>0</v>
      </c>
      <c r="C266" t="str">
        <f>IFERROR(INDEX('Match Log'!$C$4:$C$810,MATCH(242,'Match Log'!$A$4:$A$810,0)),"")</f>
      </c>
      <c r="D266" t="str">
        <f>IFERROR(INDEX('Match Log'!$G$4:$G$810,MATCH(242,'Match Log'!$A$4:$A$810,0)),"")</f>
      </c>
      <c r="E266">
        <f>IFERROR(INDEX('Match Log'!$F$4:$F$810,MATCH(242,'Match Log'!$A$4:$A$810,0)),"")</f>
        <v>0</v>
      </c>
      <c r="F266">
        <f>IFERROR(SUMIFS('Match Log'!$I$4:$I$810,'Match Log'!$A$4:$A$810,242,'Match Log'!$E$4:$E$810,"Win"),"")</f>
        <v>0</v>
      </c>
      <c r="G266">
        <f>IF($D266="","",1-$F266*$E266)</f>
        <v>0</v>
      </c>
      <c r="H266" t="str">
        <f>IFERROR(IF($E266=2,LOOKUP(2,1/(('Match Log'!$A$4:$A$810=242)*('Match Log'!$E$4:$E$810="Loss")),'Match Log'!$D$4:$D$810),"the field"),"")</f>
      </c>
      <c r="I266">
        <f>IF($G266="","",$G266-$A266/1000000)</f>
        <v>0</v>
      </c>
      <c r="J266">
        <v>242</v>
      </c>
      <c r="K266">
        <f>IF($J266&gt;MAX('Match Log'!$A$4:$A$810),NA(),IFERROR(LOOKUP(2,1/(('Match Log'!$D$4:$D$810=$K$24)*('Match Log'!$A$4:$A$810&lt;=$J266)),'Match Log'!$N$4:$N$810),NA()))</f>
        <v>0</v>
      </c>
      <c r="L266">
        <f>IF($J266&gt;MAX('Match Log'!$A$4:$A$810),NA(),IFERROR(LOOKUP(2,1/(('Match Log'!$D$4:$D$810=$L$24)*('Match Log'!$A$4:$A$810&lt;=$J266)),'Match Log'!$N$4:$N$810),NA()))</f>
        <v>0</v>
      </c>
      <c r="M266">
        <f>IF($J266&gt;MAX('Match Log'!$A$4:$A$810),NA(),IFERROR(LOOKUP(2,1/(('Match Log'!$D$4:$D$810=$M$24)*('Match Log'!$A$4:$A$810&lt;=$J266)),'Match Log'!$N$4:$N$810),NA()))</f>
        <v>0</v>
      </c>
      <c r="N266">
        <f>IF($J266&gt;MAX('Match Log'!$A$4:$A$810),NA(),IFERROR(LOOKUP(2,1/(('Match Log'!$D$4:$D$810=$N$24)*('Match Log'!$A$4:$A$810&lt;=$J266)),'Match Log'!$N$4:$N$810),NA()))</f>
        <v>0</v>
      </c>
      <c r="O266">
        <f>IF($J266&gt;MAX('Match Log'!$A$4:$A$810),NA(),IFERROR(LOOKUP(2,1/(('Match Log'!$D$4:$D$810=$O$24)*('Match Log'!$A$4:$A$810&lt;=$J266)),'Match Log'!$N$4:$N$810),NA()))</f>
        <v>0</v>
      </c>
      <c r="P266">
        <f>IF($J266&gt;MAX('Match Log'!$A$4:$A$810),NA(),IFERROR(LOOKUP(2,1/(('Match Log'!$D$4:$D$810=$P$24)*('Match Log'!$A$4:$A$810&lt;=$J266)),'Match Log'!$N$4:$N$810),NA()))</f>
        <v>0</v>
      </c>
      <c r="Q266">
        <f>IF($J266&gt;MAX('Match Log'!$A$4:$A$810),NA(),IFERROR(LOOKUP(2,1/(('Match Log'!$D$4:$D$810=$Q$24)*('Match Log'!$A$4:$A$810&lt;=$J266)),'Match Log'!$N$4:$N$810),NA()))</f>
        <v>0</v>
      </c>
      <c r="R266">
        <f>IF($J266&gt;MAX('Match Log'!$A$4:$A$810),NA(),IFERROR(LOOKUP(2,1/(('Match Log'!$D$4:$D$810=$R$24)*('Match Log'!$A$4:$A$810&lt;=$J266)),'Match Log'!$N$4:$N$810),NA()))</f>
        <v>0</v>
      </c>
      <c r="S266">
        <f>IF($J266&gt;MAX('Match Log'!$A$4:$A$810),NA(),IFERROR(LOOKUP(2,1/(('Match Log'!$D$4:$D$810=$S$24)*('Match Log'!$A$4:$A$810&lt;=$J266)),'Match Log'!$N$4:$N$810),NA()))</f>
        <v>0</v>
      </c>
      <c r="T266">
        <f>IF($J266&gt;MAX('Match Log'!$A$4:$A$810),NA(),IFERROR(LOOKUP(2,1/(('Match Log'!$D$4:$D$810=$T$24)*('Match Log'!$A$4:$A$810&lt;=$J266)),'Match Log'!$N$4:$N$810),NA()))</f>
        <v>0</v>
      </c>
      <c r="U266">
        <f>IF($J266&gt;MAX('Match Log'!$A$4:$A$810),NA(),IFERROR(LOOKUP(2,1/(('Match Log'!$D$4:$D$810=$U$24)*('Match Log'!$A$4:$A$810&lt;=$J266)),'Match Log'!$N$4:$N$810),NA()))</f>
        <v>0</v>
      </c>
      <c r="V266">
        <f>IF($J266&gt;MAX('Match Log'!$A$4:$A$810),NA(),IFERROR(LOOKUP(2,1/(('Match Log'!$D$4:$D$810=$V$24)*('Match Log'!$A$4:$A$810&lt;=$J266)),'Match Log'!$N$4:$N$810),NA()))</f>
        <v>0</v>
      </c>
      <c r="W266">
        <f>IF($J266&gt;MAX('Match Log'!$A$4:$A$810),NA(),IFERROR(LOOKUP(2,1/(('Match Log'!$D$4:$D$810=$W$24)*('Match Log'!$A$4:$A$810&lt;=$J266)),'Match Log'!$N$4:$N$810),NA()))</f>
        <v>0</v>
      </c>
      <c r="X266">
        <f>IF($J266&gt;MAX('Match Log'!$A$4:$A$810),NA(),IFERROR(LOOKUP(2,1/(('Match Log'!$D$4:$D$810=$X$24)*('Match Log'!$A$4:$A$810&lt;=$J266)),'Match Log'!$N$4:$N$810),NA()))</f>
        <v>0</v>
      </c>
      <c r="Y266" t="str">
        <f>IF(AND($B266&lt;&gt;"",$B266&gt;=$B$5,$I266&lt;&gt;""),$I266,"")</f>
      </c>
    </row>
    <row r="267">
      <c r="A267">
        <v>243</v>
      </c>
      <c r="B267">
        <f>IFERROR(INDEX('Match Log'!$B$4:$B$810,MATCH(243,'Match Log'!$A$4:$A$810,0)),"")</f>
        <v>0</v>
      </c>
      <c r="C267" t="str">
        <f>IFERROR(INDEX('Match Log'!$C$4:$C$810,MATCH(243,'Match Log'!$A$4:$A$810,0)),"")</f>
      </c>
      <c r="D267" t="str">
        <f>IFERROR(INDEX('Match Log'!$G$4:$G$810,MATCH(243,'Match Log'!$A$4:$A$810,0)),"")</f>
      </c>
      <c r="E267">
        <f>IFERROR(INDEX('Match Log'!$F$4:$F$810,MATCH(243,'Match Log'!$A$4:$A$810,0)),"")</f>
        <v>0</v>
      </c>
      <c r="F267">
        <f>IFERROR(SUMIFS('Match Log'!$I$4:$I$810,'Match Log'!$A$4:$A$810,243,'Match Log'!$E$4:$E$810,"Win"),"")</f>
        <v>0</v>
      </c>
      <c r="G267">
        <f>IF($D267="","",1-$F267*$E267)</f>
        <v>0</v>
      </c>
      <c r="H267" t="str">
        <f>IFERROR(IF($E267=2,LOOKUP(2,1/(('Match Log'!$A$4:$A$810=243)*('Match Log'!$E$4:$E$810="Loss")),'Match Log'!$D$4:$D$810),"the field"),"")</f>
      </c>
      <c r="I267">
        <f>IF($G267="","",$G267-$A267/1000000)</f>
        <v>0</v>
      </c>
      <c r="J267">
        <v>243</v>
      </c>
      <c r="K267">
        <f>IF($J267&gt;MAX('Match Log'!$A$4:$A$810),NA(),IFERROR(LOOKUP(2,1/(('Match Log'!$D$4:$D$810=$K$24)*('Match Log'!$A$4:$A$810&lt;=$J267)),'Match Log'!$N$4:$N$810),NA()))</f>
        <v>0</v>
      </c>
      <c r="L267">
        <f>IF($J267&gt;MAX('Match Log'!$A$4:$A$810),NA(),IFERROR(LOOKUP(2,1/(('Match Log'!$D$4:$D$810=$L$24)*('Match Log'!$A$4:$A$810&lt;=$J267)),'Match Log'!$N$4:$N$810),NA()))</f>
        <v>0</v>
      </c>
      <c r="M267">
        <f>IF($J267&gt;MAX('Match Log'!$A$4:$A$810),NA(),IFERROR(LOOKUP(2,1/(('Match Log'!$D$4:$D$810=$M$24)*('Match Log'!$A$4:$A$810&lt;=$J267)),'Match Log'!$N$4:$N$810),NA()))</f>
        <v>0</v>
      </c>
      <c r="N267">
        <f>IF($J267&gt;MAX('Match Log'!$A$4:$A$810),NA(),IFERROR(LOOKUP(2,1/(('Match Log'!$D$4:$D$810=$N$24)*('Match Log'!$A$4:$A$810&lt;=$J267)),'Match Log'!$N$4:$N$810),NA()))</f>
        <v>0</v>
      </c>
      <c r="O267">
        <f>IF($J267&gt;MAX('Match Log'!$A$4:$A$810),NA(),IFERROR(LOOKUP(2,1/(('Match Log'!$D$4:$D$810=$O$24)*('Match Log'!$A$4:$A$810&lt;=$J267)),'Match Log'!$N$4:$N$810),NA()))</f>
        <v>0</v>
      </c>
      <c r="P267">
        <f>IF($J267&gt;MAX('Match Log'!$A$4:$A$810),NA(),IFERROR(LOOKUP(2,1/(('Match Log'!$D$4:$D$810=$P$24)*('Match Log'!$A$4:$A$810&lt;=$J267)),'Match Log'!$N$4:$N$810),NA()))</f>
        <v>0</v>
      </c>
      <c r="Q267">
        <f>IF($J267&gt;MAX('Match Log'!$A$4:$A$810),NA(),IFERROR(LOOKUP(2,1/(('Match Log'!$D$4:$D$810=$Q$24)*('Match Log'!$A$4:$A$810&lt;=$J267)),'Match Log'!$N$4:$N$810),NA()))</f>
        <v>0</v>
      </c>
      <c r="R267">
        <f>IF($J267&gt;MAX('Match Log'!$A$4:$A$810),NA(),IFERROR(LOOKUP(2,1/(('Match Log'!$D$4:$D$810=$R$24)*('Match Log'!$A$4:$A$810&lt;=$J267)),'Match Log'!$N$4:$N$810),NA()))</f>
        <v>0</v>
      </c>
      <c r="S267">
        <f>IF($J267&gt;MAX('Match Log'!$A$4:$A$810),NA(),IFERROR(LOOKUP(2,1/(('Match Log'!$D$4:$D$810=$S$24)*('Match Log'!$A$4:$A$810&lt;=$J267)),'Match Log'!$N$4:$N$810),NA()))</f>
        <v>0</v>
      </c>
      <c r="T267">
        <f>IF($J267&gt;MAX('Match Log'!$A$4:$A$810),NA(),IFERROR(LOOKUP(2,1/(('Match Log'!$D$4:$D$810=$T$24)*('Match Log'!$A$4:$A$810&lt;=$J267)),'Match Log'!$N$4:$N$810),NA()))</f>
        <v>0</v>
      </c>
      <c r="U267">
        <f>IF($J267&gt;MAX('Match Log'!$A$4:$A$810),NA(),IFERROR(LOOKUP(2,1/(('Match Log'!$D$4:$D$810=$U$24)*('Match Log'!$A$4:$A$810&lt;=$J267)),'Match Log'!$N$4:$N$810),NA()))</f>
        <v>0</v>
      </c>
      <c r="V267">
        <f>IF($J267&gt;MAX('Match Log'!$A$4:$A$810),NA(),IFERROR(LOOKUP(2,1/(('Match Log'!$D$4:$D$810=$V$24)*('Match Log'!$A$4:$A$810&lt;=$J267)),'Match Log'!$N$4:$N$810),NA()))</f>
        <v>0</v>
      </c>
      <c r="W267">
        <f>IF($J267&gt;MAX('Match Log'!$A$4:$A$810),NA(),IFERROR(LOOKUP(2,1/(('Match Log'!$D$4:$D$810=$W$24)*('Match Log'!$A$4:$A$810&lt;=$J267)),'Match Log'!$N$4:$N$810),NA()))</f>
        <v>0</v>
      </c>
      <c r="X267">
        <f>IF($J267&gt;MAX('Match Log'!$A$4:$A$810),NA(),IFERROR(LOOKUP(2,1/(('Match Log'!$D$4:$D$810=$X$24)*('Match Log'!$A$4:$A$810&lt;=$J267)),'Match Log'!$N$4:$N$810),NA()))</f>
        <v>0</v>
      </c>
      <c r="Y267" t="str">
        <f>IF(AND($B267&lt;&gt;"",$B267&gt;=$B$5,$I267&lt;&gt;""),$I267,"")</f>
      </c>
    </row>
    <row r="268">
      <c r="A268">
        <v>244</v>
      </c>
      <c r="B268">
        <f>IFERROR(INDEX('Match Log'!$B$4:$B$810,MATCH(244,'Match Log'!$A$4:$A$810,0)),"")</f>
        <v>0</v>
      </c>
      <c r="C268" t="str">
        <f>IFERROR(INDEX('Match Log'!$C$4:$C$810,MATCH(244,'Match Log'!$A$4:$A$810,0)),"")</f>
      </c>
      <c r="D268" t="str">
        <f>IFERROR(INDEX('Match Log'!$G$4:$G$810,MATCH(244,'Match Log'!$A$4:$A$810,0)),"")</f>
      </c>
      <c r="E268">
        <f>IFERROR(INDEX('Match Log'!$F$4:$F$810,MATCH(244,'Match Log'!$A$4:$A$810,0)),"")</f>
        <v>0</v>
      </c>
      <c r="F268">
        <f>IFERROR(SUMIFS('Match Log'!$I$4:$I$810,'Match Log'!$A$4:$A$810,244,'Match Log'!$E$4:$E$810,"Win"),"")</f>
        <v>0</v>
      </c>
      <c r="G268">
        <f>IF($D268="","",1-$F268*$E268)</f>
        <v>0</v>
      </c>
      <c r="H268" t="str">
        <f>IFERROR(IF($E268=2,LOOKUP(2,1/(('Match Log'!$A$4:$A$810=244)*('Match Log'!$E$4:$E$810="Loss")),'Match Log'!$D$4:$D$810),"the field"),"")</f>
      </c>
      <c r="I268">
        <f>IF($G268="","",$G268-$A268/1000000)</f>
        <v>0</v>
      </c>
      <c r="J268">
        <v>244</v>
      </c>
      <c r="K268">
        <f>IF($J268&gt;MAX('Match Log'!$A$4:$A$810),NA(),IFERROR(LOOKUP(2,1/(('Match Log'!$D$4:$D$810=$K$24)*('Match Log'!$A$4:$A$810&lt;=$J268)),'Match Log'!$N$4:$N$810),NA()))</f>
        <v>0</v>
      </c>
      <c r="L268">
        <f>IF($J268&gt;MAX('Match Log'!$A$4:$A$810),NA(),IFERROR(LOOKUP(2,1/(('Match Log'!$D$4:$D$810=$L$24)*('Match Log'!$A$4:$A$810&lt;=$J268)),'Match Log'!$N$4:$N$810),NA()))</f>
        <v>0</v>
      </c>
      <c r="M268">
        <f>IF($J268&gt;MAX('Match Log'!$A$4:$A$810),NA(),IFERROR(LOOKUP(2,1/(('Match Log'!$D$4:$D$810=$M$24)*('Match Log'!$A$4:$A$810&lt;=$J268)),'Match Log'!$N$4:$N$810),NA()))</f>
        <v>0</v>
      </c>
      <c r="N268">
        <f>IF($J268&gt;MAX('Match Log'!$A$4:$A$810),NA(),IFERROR(LOOKUP(2,1/(('Match Log'!$D$4:$D$810=$N$24)*('Match Log'!$A$4:$A$810&lt;=$J268)),'Match Log'!$N$4:$N$810),NA()))</f>
        <v>0</v>
      </c>
      <c r="O268">
        <f>IF($J268&gt;MAX('Match Log'!$A$4:$A$810),NA(),IFERROR(LOOKUP(2,1/(('Match Log'!$D$4:$D$810=$O$24)*('Match Log'!$A$4:$A$810&lt;=$J268)),'Match Log'!$N$4:$N$810),NA()))</f>
        <v>0</v>
      </c>
      <c r="P268">
        <f>IF($J268&gt;MAX('Match Log'!$A$4:$A$810),NA(),IFERROR(LOOKUP(2,1/(('Match Log'!$D$4:$D$810=$P$24)*('Match Log'!$A$4:$A$810&lt;=$J268)),'Match Log'!$N$4:$N$810),NA()))</f>
        <v>0</v>
      </c>
      <c r="Q268">
        <f>IF($J268&gt;MAX('Match Log'!$A$4:$A$810),NA(),IFERROR(LOOKUP(2,1/(('Match Log'!$D$4:$D$810=$Q$24)*('Match Log'!$A$4:$A$810&lt;=$J268)),'Match Log'!$N$4:$N$810),NA()))</f>
        <v>0</v>
      </c>
      <c r="R268">
        <f>IF($J268&gt;MAX('Match Log'!$A$4:$A$810),NA(),IFERROR(LOOKUP(2,1/(('Match Log'!$D$4:$D$810=$R$24)*('Match Log'!$A$4:$A$810&lt;=$J268)),'Match Log'!$N$4:$N$810),NA()))</f>
        <v>0</v>
      </c>
      <c r="S268">
        <f>IF($J268&gt;MAX('Match Log'!$A$4:$A$810),NA(),IFERROR(LOOKUP(2,1/(('Match Log'!$D$4:$D$810=$S$24)*('Match Log'!$A$4:$A$810&lt;=$J268)),'Match Log'!$N$4:$N$810),NA()))</f>
        <v>0</v>
      </c>
      <c r="T268">
        <f>IF($J268&gt;MAX('Match Log'!$A$4:$A$810),NA(),IFERROR(LOOKUP(2,1/(('Match Log'!$D$4:$D$810=$T$24)*('Match Log'!$A$4:$A$810&lt;=$J268)),'Match Log'!$N$4:$N$810),NA()))</f>
        <v>0</v>
      </c>
      <c r="U268">
        <f>IF($J268&gt;MAX('Match Log'!$A$4:$A$810),NA(),IFERROR(LOOKUP(2,1/(('Match Log'!$D$4:$D$810=$U$24)*('Match Log'!$A$4:$A$810&lt;=$J268)),'Match Log'!$N$4:$N$810),NA()))</f>
        <v>0</v>
      </c>
      <c r="V268">
        <f>IF($J268&gt;MAX('Match Log'!$A$4:$A$810),NA(),IFERROR(LOOKUP(2,1/(('Match Log'!$D$4:$D$810=$V$24)*('Match Log'!$A$4:$A$810&lt;=$J268)),'Match Log'!$N$4:$N$810),NA()))</f>
        <v>0</v>
      </c>
      <c r="W268">
        <f>IF($J268&gt;MAX('Match Log'!$A$4:$A$810),NA(),IFERROR(LOOKUP(2,1/(('Match Log'!$D$4:$D$810=$W$24)*('Match Log'!$A$4:$A$810&lt;=$J268)),'Match Log'!$N$4:$N$810),NA()))</f>
        <v>0</v>
      </c>
      <c r="X268">
        <f>IF($J268&gt;MAX('Match Log'!$A$4:$A$810),NA(),IFERROR(LOOKUP(2,1/(('Match Log'!$D$4:$D$810=$X$24)*('Match Log'!$A$4:$A$810&lt;=$J268)),'Match Log'!$N$4:$N$810),NA()))</f>
        <v>0</v>
      </c>
      <c r="Y268" t="str">
        <f>IF(AND($B268&lt;&gt;"",$B268&gt;=$B$5,$I268&lt;&gt;""),$I268,"")</f>
      </c>
    </row>
    <row r="269">
      <c r="A269">
        <v>245</v>
      </c>
      <c r="B269">
        <f>IFERROR(INDEX('Match Log'!$B$4:$B$810,MATCH(245,'Match Log'!$A$4:$A$810,0)),"")</f>
        <v>0</v>
      </c>
      <c r="C269" t="str">
        <f>IFERROR(INDEX('Match Log'!$C$4:$C$810,MATCH(245,'Match Log'!$A$4:$A$810,0)),"")</f>
      </c>
      <c r="D269" t="str">
        <f>IFERROR(INDEX('Match Log'!$G$4:$G$810,MATCH(245,'Match Log'!$A$4:$A$810,0)),"")</f>
      </c>
      <c r="E269">
        <f>IFERROR(INDEX('Match Log'!$F$4:$F$810,MATCH(245,'Match Log'!$A$4:$A$810,0)),"")</f>
        <v>0</v>
      </c>
      <c r="F269">
        <f>IFERROR(SUMIFS('Match Log'!$I$4:$I$810,'Match Log'!$A$4:$A$810,245,'Match Log'!$E$4:$E$810,"Win"),"")</f>
        <v>0</v>
      </c>
      <c r="G269">
        <f>IF($D269="","",1-$F269*$E269)</f>
        <v>0</v>
      </c>
      <c r="H269" t="str">
        <f>IFERROR(IF($E269=2,LOOKUP(2,1/(('Match Log'!$A$4:$A$810=245)*('Match Log'!$E$4:$E$810="Loss")),'Match Log'!$D$4:$D$810),"the field"),"")</f>
      </c>
      <c r="I269">
        <f>IF($G269="","",$G269-$A269/1000000)</f>
        <v>0</v>
      </c>
      <c r="J269">
        <v>245</v>
      </c>
      <c r="K269">
        <f>IF($J269&gt;MAX('Match Log'!$A$4:$A$810),NA(),IFERROR(LOOKUP(2,1/(('Match Log'!$D$4:$D$810=$K$24)*('Match Log'!$A$4:$A$810&lt;=$J269)),'Match Log'!$N$4:$N$810),NA()))</f>
        <v>0</v>
      </c>
      <c r="L269">
        <f>IF($J269&gt;MAX('Match Log'!$A$4:$A$810),NA(),IFERROR(LOOKUP(2,1/(('Match Log'!$D$4:$D$810=$L$24)*('Match Log'!$A$4:$A$810&lt;=$J269)),'Match Log'!$N$4:$N$810),NA()))</f>
        <v>0</v>
      </c>
      <c r="M269">
        <f>IF($J269&gt;MAX('Match Log'!$A$4:$A$810),NA(),IFERROR(LOOKUP(2,1/(('Match Log'!$D$4:$D$810=$M$24)*('Match Log'!$A$4:$A$810&lt;=$J269)),'Match Log'!$N$4:$N$810),NA()))</f>
        <v>0</v>
      </c>
      <c r="N269">
        <f>IF($J269&gt;MAX('Match Log'!$A$4:$A$810),NA(),IFERROR(LOOKUP(2,1/(('Match Log'!$D$4:$D$810=$N$24)*('Match Log'!$A$4:$A$810&lt;=$J269)),'Match Log'!$N$4:$N$810),NA()))</f>
        <v>0</v>
      </c>
      <c r="O269">
        <f>IF($J269&gt;MAX('Match Log'!$A$4:$A$810),NA(),IFERROR(LOOKUP(2,1/(('Match Log'!$D$4:$D$810=$O$24)*('Match Log'!$A$4:$A$810&lt;=$J269)),'Match Log'!$N$4:$N$810),NA()))</f>
        <v>0</v>
      </c>
      <c r="P269">
        <f>IF($J269&gt;MAX('Match Log'!$A$4:$A$810),NA(),IFERROR(LOOKUP(2,1/(('Match Log'!$D$4:$D$810=$P$24)*('Match Log'!$A$4:$A$810&lt;=$J269)),'Match Log'!$N$4:$N$810),NA()))</f>
        <v>0</v>
      </c>
      <c r="Q269">
        <f>IF($J269&gt;MAX('Match Log'!$A$4:$A$810),NA(),IFERROR(LOOKUP(2,1/(('Match Log'!$D$4:$D$810=$Q$24)*('Match Log'!$A$4:$A$810&lt;=$J269)),'Match Log'!$N$4:$N$810),NA()))</f>
        <v>0</v>
      </c>
      <c r="R269">
        <f>IF($J269&gt;MAX('Match Log'!$A$4:$A$810),NA(),IFERROR(LOOKUP(2,1/(('Match Log'!$D$4:$D$810=$R$24)*('Match Log'!$A$4:$A$810&lt;=$J269)),'Match Log'!$N$4:$N$810),NA()))</f>
        <v>0</v>
      </c>
      <c r="S269">
        <f>IF($J269&gt;MAX('Match Log'!$A$4:$A$810),NA(),IFERROR(LOOKUP(2,1/(('Match Log'!$D$4:$D$810=$S$24)*('Match Log'!$A$4:$A$810&lt;=$J269)),'Match Log'!$N$4:$N$810),NA()))</f>
        <v>0</v>
      </c>
      <c r="T269">
        <f>IF($J269&gt;MAX('Match Log'!$A$4:$A$810),NA(),IFERROR(LOOKUP(2,1/(('Match Log'!$D$4:$D$810=$T$24)*('Match Log'!$A$4:$A$810&lt;=$J269)),'Match Log'!$N$4:$N$810),NA()))</f>
        <v>0</v>
      </c>
      <c r="U269">
        <f>IF($J269&gt;MAX('Match Log'!$A$4:$A$810),NA(),IFERROR(LOOKUP(2,1/(('Match Log'!$D$4:$D$810=$U$24)*('Match Log'!$A$4:$A$810&lt;=$J269)),'Match Log'!$N$4:$N$810),NA()))</f>
        <v>0</v>
      </c>
      <c r="V269">
        <f>IF($J269&gt;MAX('Match Log'!$A$4:$A$810),NA(),IFERROR(LOOKUP(2,1/(('Match Log'!$D$4:$D$810=$V$24)*('Match Log'!$A$4:$A$810&lt;=$J269)),'Match Log'!$N$4:$N$810),NA()))</f>
        <v>0</v>
      </c>
      <c r="W269">
        <f>IF($J269&gt;MAX('Match Log'!$A$4:$A$810),NA(),IFERROR(LOOKUP(2,1/(('Match Log'!$D$4:$D$810=$W$24)*('Match Log'!$A$4:$A$810&lt;=$J269)),'Match Log'!$N$4:$N$810),NA()))</f>
        <v>0</v>
      </c>
      <c r="X269">
        <f>IF($J269&gt;MAX('Match Log'!$A$4:$A$810),NA(),IFERROR(LOOKUP(2,1/(('Match Log'!$D$4:$D$810=$X$24)*('Match Log'!$A$4:$A$810&lt;=$J269)),'Match Log'!$N$4:$N$810),NA()))</f>
        <v>0</v>
      </c>
      <c r="Y269" t="str">
        <f>IF(AND($B269&lt;&gt;"",$B269&gt;=$B$5,$I269&lt;&gt;""),$I269,"")</f>
      </c>
    </row>
    <row r="270">
      <c r="A270">
        <v>246</v>
      </c>
      <c r="B270">
        <f>IFERROR(INDEX('Match Log'!$B$4:$B$810,MATCH(246,'Match Log'!$A$4:$A$810,0)),"")</f>
        <v>0</v>
      </c>
      <c r="C270" t="str">
        <f>IFERROR(INDEX('Match Log'!$C$4:$C$810,MATCH(246,'Match Log'!$A$4:$A$810,0)),"")</f>
      </c>
      <c r="D270" t="str">
        <f>IFERROR(INDEX('Match Log'!$G$4:$G$810,MATCH(246,'Match Log'!$A$4:$A$810,0)),"")</f>
      </c>
      <c r="E270">
        <f>IFERROR(INDEX('Match Log'!$F$4:$F$810,MATCH(246,'Match Log'!$A$4:$A$810,0)),"")</f>
        <v>0</v>
      </c>
      <c r="F270">
        <f>IFERROR(SUMIFS('Match Log'!$I$4:$I$810,'Match Log'!$A$4:$A$810,246,'Match Log'!$E$4:$E$810,"Win"),"")</f>
        <v>0</v>
      </c>
      <c r="G270">
        <f>IF($D270="","",1-$F270*$E270)</f>
        <v>0</v>
      </c>
      <c r="H270" t="str">
        <f>IFERROR(IF($E270=2,LOOKUP(2,1/(('Match Log'!$A$4:$A$810=246)*('Match Log'!$E$4:$E$810="Loss")),'Match Log'!$D$4:$D$810),"the field"),"")</f>
      </c>
      <c r="I270">
        <f>IF($G270="","",$G270-$A270/1000000)</f>
        <v>0</v>
      </c>
      <c r="J270">
        <v>246</v>
      </c>
      <c r="K270">
        <f>IF($J270&gt;MAX('Match Log'!$A$4:$A$810),NA(),IFERROR(LOOKUP(2,1/(('Match Log'!$D$4:$D$810=$K$24)*('Match Log'!$A$4:$A$810&lt;=$J270)),'Match Log'!$N$4:$N$810),NA()))</f>
        <v>0</v>
      </c>
      <c r="L270">
        <f>IF($J270&gt;MAX('Match Log'!$A$4:$A$810),NA(),IFERROR(LOOKUP(2,1/(('Match Log'!$D$4:$D$810=$L$24)*('Match Log'!$A$4:$A$810&lt;=$J270)),'Match Log'!$N$4:$N$810),NA()))</f>
        <v>0</v>
      </c>
      <c r="M270">
        <f>IF($J270&gt;MAX('Match Log'!$A$4:$A$810),NA(),IFERROR(LOOKUP(2,1/(('Match Log'!$D$4:$D$810=$M$24)*('Match Log'!$A$4:$A$810&lt;=$J270)),'Match Log'!$N$4:$N$810),NA()))</f>
        <v>0</v>
      </c>
      <c r="N270">
        <f>IF($J270&gt;MAX('Match Log'!$A$4:$A$810),NA(),IFERROR(LOOKUP(2,1/(('Match Log'!$D$4:$D$810=$N$24)*('Match Log'!$A$4:$A$810&lt;=$J270)),'Match Log'!$N$4:$N$810),NA()))</f>
        <v>0</v>
      </c>
      <c r="O270">
        <f>IF($J270&gt;MAX('Match Log'!$A$4:$A$810),NA(),IFERROR(LOOKUP(2,1/(('Match Log'!$D$4:$D$810=$O$24)*('Match Log'!$A$4:$A$810&lt;=$J270)),'Match Log'!$N$4:$N$810),NA()))</f>
        <v>0</v>
      </c>
      <c r="P270">
        <f>IF($J270&gt;MAX('Match Log'!$A$4:$A$810),NA(),IFERROR(LOOKUP(2,1/(('Match Log'!$D$4:$D$810=$P$24)*('Match Log'!$A$4:$A$810&lt;=$J270)),'Match Log'!$N$4:$N$810),NA()))</f>
        <v>0</v>
      </c>
      <c r="Q270">
        <f>IF($J270&gt;MAX('Match Log'!$A$4:$A$810),NA(),IFERROR(LOOKUP(2,1/(('Match Log'!$D$4:$D$810=$Q$24)*('Match Log'!$A$4:$A$810&lt;=$J270)),'Match Log'!$N$4:$N$810),NA()))</f>
        <v>0</v>
      </c>
      <c r="R270">
        <f>IF($J270&gt;MAX('Match Log'!$A$4:$A$810),NA(),IFERROR(LOOKUP(2,1/(('Match Log'!$D$4:$D$810=$R$24)*('Match Log'!$A$4:$A$810&lt;=$J270)),'Match Log'!$N$4:$N$810),NA()))</f>
        <v>0</v>
      </c>
      <c r="S270">
        <f>IF($J270&gt;MAX('Match Log'!$A$4:$A$810),NA(),IFERROR(LOOKUP(2,1/(('Match Log'!$D$4:$D$810=$S$24)*('Match Log'!$A$4:$A$810&lt;=$J270)),'Match Log'!$N$4:$N$810),NA()))</f>
        <v>0</v>
      </c>
      <c r="T270">
        <f>IF($J270&gt;MAX('Match Log'!$A$4:$A$810),NA(),IFERROR(LOOKUP(2,1/(('Match Log'!$D$4:$D$810=$T$24)*('Match Log'!$A$4:$A$810&lt;=$J270)),'Match Log'!$N$4:$N$810),NA()))</f>
        <v>0</v>
      </c>
      <c r="U270">
        <f>IF($J270&gt;MAX('Match Log'!$A$4:$A$810),NA(),IFERROR(LOOKUP(2,1/(('Match Log'!$D$4:$D$810=$U$24)*('Match Log'!$A$4:$A$810&lt;=$J270)),'Match Log'!$N$4:$N$810),NA()))</f>
        <v>0</v>
      </c>
      <c r="V270">
        <f>IF($J270&gt;MAX('Match Log'!$A$4:$A$810),NA(),IFERROR(LOOKUP(2,1/(('Match Log'!$D$4:$D$810=$V$24)*('Match Log'!$A$4:$A$810&lt;=$J270)),'Match Log'!$N$4:$N$810),NA()))</f>
        <v>0</v>
      </c>
      <c r="W270">
        <f>IF($J270&gt;MAX('Match Log'!$A$4:$A$810),NA(),IFERROR(LOOKUP(2,1/(('Match Log'!$D$4:$D$810=$W$24)*('Match Log'!$A$4:$A$810&lt;=$J270)),'Match Log'!$N$4:$N$810),NA()))</f>
        <v>0</v>
      </c>
      <c r="X270">
        <f>IF($J270&gt;MAX('Match Log'!$A$4:$A$810),NA(),IFERROR(LOOKUP(2,1/(('Match Log'!$D$4:$D$810=$X$24)*('Match Log'!$A$4:$A$810&lt;=$J270)),'Match Log'!$N$4:$N$810),NA()))</f>
        <v>0</v>
      </c>
      <c r="Y270" t="str">
        <f>IF(AND($B270&lt;&gt;"",$B270&gt;=$B$5,$I270&lt;&gt;""),$I270,"")</f>
      </c>
    </row>
    <row r="271">
      <c r="A271">
        <v>247</v>
      </c>
      <c r="B271">
        <f>IFERROR(INDEX('Match Log'!$B$4:$B$810,MATCH(247,'Match Log'!$A$4:$A$810,0)),"")</f>
        <v>0</v>
      </c>
      <c r="C271" t="str">
        <f>IFERROR(INDEX('Match Log'!$C$4:$C$810,MATCH(247,'Match Log'!$A$4:$A$810,0)),"")</f>
      </c>
      <c r="D271" t="str">
        <f>IFERROR(INDEX('Match Log'!$G$4:$G$810,MATCH(247,'Match Log'!$A$4:$A$810,0)),"")</f>
      </c>
      <c r="E271">
        <f>IFERROR(INDEX('Match Log'!$F$4:$F$810,MATCH(247,'Match Log'!$A$4:$A$810,0)),"")</f>
        <v>0</v>
      </c>
      <c r="F271">
        <f>IFERROR(SUMIFS('Match Log'!$I$4:$I$810,'Match Log'!$A$4:$A$810,247,'Match Log'!$E$4:$E$810,"Win"),"")</f>
        <v>0</v>
      </c>
      <c r="G271">
        <f>IF($D271="","",1-$F271*$E271)</f>
        <v>0</v>
      </c>
      <c r="H271" t="str">
        <f>IFERROR(IF($E271=2,LOOKUP(2,1/(('Match Log'!$A$4:$A$810=247)*('Match Log'!$E$4:$E$810="Loss")),'Match Log'!$D$4:$D$810),"the field"),"")</f>
      </c>
      <c r="I271">
        <f>IF($G271="","",$G271-$A271/1000000)</f>
        <v>0</v>
      </c>
      <c r="J271">
        <v>247</v>
      </c>
      <c r="K271">
        <f>IF($J271&gt;MAX('Match Log'!$A$4:$A$810),NA(),IFERROR(LOOKUP(2,1/(('Match Log'!$D$4:$D$810=$K$24)*('Match Log'!$A$4:$A$810&lt;=$J271)),'Match Log'!$N$4:$N$810),NA()))</f>
        <v>0</v>
      </c>
      <c r="L271">
        <f>IF($J271&gt;MAX('Match Log'!$A$4:$A$810),NA(),IFERROR(LOOKUP(2,1/(('Match Log'!$D$4:$D$810=$L$24)*('Match Log'!$A$4:$A$810&lt;=$J271)),'Match Log'!$N$4:$N$810),NA()))</f>
        <v>0</v>
      </c>
      <c r="M271">
        <f>IF($J271&gt;MAX('Match Log'!$A$4:$A$810),NA(),IFERROR(LOOKUP(2,1/(('Match Log'!$D$4:$D$810=$M$24)*('Match Log'!$A$4:$A$810&lt;=$J271)),'Match Log'!$N$4:$N$810),NA()))</f>
        <v>0</v>
      </c>
      <c r="N271">
        <f>IF($J271&gt;MAX('Match Log'!$A$4:$A$810),NA(),IFERROR(LOOKUP(2,1/(('Match Log'!$D$4:$D$810=$N$24)*('Match Log'!$A$4:$A$810&lt;=$J271)),'Match Log'!$N$4:$N$810),NA()))</f>
        <v>0</v>
      </c>
      <c r="O271">
        <f>IF($J271&gt;MAX('Match Log'!$A$4:$A$810),NA(),IFERROR(LOOKUP(2,1/(('Match Log'!$D$4:$D$810=$O$24)*('Match Log'!$A$4:$A$810&lt;=$J271)),'Match Log'!$N$4:$N$810),NA()))</f>
        <v>0</v>
      </c>
      <c r="P271">
        <f>IF($J271&gt;MAX('Match Log'!$A$4:$A$810),NA(),IFERROR(LOOKUP(2,1/(('Match Log'!$D$4:$D$810=$P$24)*('Match Log'!$A$4:$A$810&lt;=$J271)),'Match Log'!$N$4:$N$810),NA()))</f>
        <v>0</v>
      </c>
      <c r="Q271">
        <f>IF($J271&gt;MAX('Match Log'!$A$4:$A$810),NA(),IFERROR(LOOKUP(2,1/(('Match Log'!$D$4:$D$810=$Q$24)*('Match Log'!$A$4:$A$810&lt;=$J271)),'Match Log'!$N$4:$N$810),NA()))</f>
        <v>0</v>
      </c>
      <c r="R271">
        <f>IF($J271&gt;MAX('Match Log'!$A$4:$A$810),NA(),IFERROR(LOOKUP(2,1/(('Match Log'!$D$4:$D$810=$R$24)*('Match Log'!$A$4:$A$810&lt;=$J271)),'Match Log'!$N$4:$N$810),NA()))</f>
        <v>0</v>
      </c>
      <c r="S271">
        <f>IF($J271&gt;MAX('Match Log'!$A$4:$A$810),NA(),IFERROR(LOOKUP(2,1/(('Match Log'!$D$4:$D$810=$S$24)*('Match Log'!$A$4:$A$810&lt;=$J271)),'Match Log'!$N$4:$N$810),NA()))</f>
        <v>0</v>
      </c>
      <c r="T271">
        <f>IF($J271&gt;MAX('Match Log'!$A$4:$A$810),NA(),IFERROR(LOOKUP(2,1/(('Match Log'!$D$4:$D$810=$T$24)*('Match Log'!$A$4:$A$810&lt;=$J271)),'Match Log'!$N$4:$N$810),NA()))</f>
        <v>0</v>
      </c>
      <c r="U271">
        <f>IF($J271&gt;MAX('Match Log'!$A$4:$A$810),NA(),IFERROR(LOOKUP(2,1/(('Match Log'!$D$4:$D$810=$U$24)*('Match Log'!$A$4:$A$810&lt;=$J271)),'Match Log'!$N$4:$N$810),NA()))</f>
        <v>0</v>
      </c>
      <c r="V271">
        <f>IF($J271&gt;MAX('Match Log'!$A$4:$A$810),NA(),IFERROR(LOOKUP(2,1/(('Match Log'!$D$4:$D$810=$V$24)*('Match Log'!$A$4:$A$810&lt;=$J271)),'Match Log'!$N$4:$N$810),NA()))</f>
        <v>0</v>
      </c>
      <c r="W271">
        <f>IF($J271&gt;MAX('Match Log'!$A$4:$A$810),NA(),IFERROR(LOOKUP(2,1/(('Match Log'!$D$4:$D$810=$W$24)*('Match Log'!$A$4:$A$810&lt;=$J271)),'Match Log'!$N$4:$N$810),NA()))</f>
        <v>0</v>
      </c>
      <c r="X271">
        <f>IF($J271&gt;MAX('Match Log'!$A$4:$A$810),NA(),IFERROR(LOOKUP(2,1/(('Match Log'!$D$4:$D$810=$X$24)*('Match Log'!$A$4:$A$810&lt;=$J271)),'Match Log'!$N$4:$N$810),NA()))</f>
        <v>0</v>
      </c>
      <c r="Y271" t="str">
        <f>IF(AND($B271&lt;&gt;"",$B271&gt;=$B$5,$I271&lt;&gt;""),$I271,"")</f>
      </c>
    </row>
    <row r="272">
      <c r="A272">
        <v>248</v>
      </c>
      <c r="B272">
        <f>IFERROR(INDEX('Match Log'!$B$4:$B$810,MATCH(248,'Match Log'!$A$4:$A$810,0)),"")</f>
        <v>0</v>
      </c>
      <c r="C272" t="str">
        <f>IFERROR(INDEX('Match Log'!$C$4:$C$810,MATCH(248,'Match Log'!$A$4:$A$810,0)),"")</f>
      </c>
      <c r="D272" t="str">
        <f>IFERROR(INDEX('Match Log'!$G$4:$G$810,MATCH(248,'Match Log'!$A$4:$A$810,0)),"")</f>
      </c>
      <c r="E272">
        <f>IFERROR(INDEX('Match Log'!$F$4:$F$810,MATCH(248,'Match Log'!$A$4:$A$810,0)),"")</f>
        <v>0</v>
      </c>
      <c r="F272">
        <f>IFERROR(SUMIFS('Match Log'!$I$4:$I$810,'Match Log'!$A$4:$A$810,248,'Match Log'!$E$4:$E$810,"Win"),"")</f>
        <v>0</v>
      </c>
      <c r="G272">
        <f>IF($D272="","",1-$F272*$E272)</f>
        <v>0</v>
      </c>
      <c r="H272" t="str">
        <f>IFERROR(IF($E272=2,LOOKUP(2,1/(('Match Log'!$A$4:$A$810=248)*('Match Log'!$E$4:$E$810="Loss")),'Match Log'!$D$4:$D$810),"the field"),"")</f>
      </c>
      <c r="I272">
        <f>IF($G272="","",$G272-$A272/1000000)</f>
        <v>0</v>
      </c>
      <c r="J272">
        <v>248</v>
      </c>
      <c r="K272">
        <f>IF($J272&gt;MAX('Match Log'!$A$4:$A$810),NA(),IFERROR(LOOKUP(2,1/(('Match Log'!$D$4:$D$810=$K$24)*('Match Log'!$A$4:$A$810&lt;=$J272)),'Match Log'!$N$4:$N$810),NA()))</f>
        <v>0</v>
      </c>
      <c r="L272">
        <f>IF($J272&gt;MAX('Match Log'!$A$4:$A$810),NA(),IFERROR(LOOKUP(2,1/(('Match Log'!$D$4:$D$810=$L$24)*('Match Log'!$A$4:$A$810&lt;=$J272)),'Match Log'!$N$4:$N$810),NA()))</f>
        <v>0</v>
      </c>
      <c r="M272">
        <f>IF($J272&gt;MAX('Match Log'!$A$4:$A$810),NA(),IFERROR(LOOKUP(2,1/(('Match Log'!$D$4:$D$810=$M$24)*('Match Log'!$A$4:$A$810&lt;=$J272)),'Match Log'!$N$4:$N$810),NA()))</f>
        <v>0</v>
      </c>
      <c r="N272">
        <f>IF($J272&gt;MAX('Match Log'!$A$4:$A$810),NA(),IFERROR(LOOKUP(2,1/(('Match Log'!$D$4:$D$810=$N$24)*('Match Log'!$A$4:$A$810&lt;=$J272)),'Match Log'!$N$4:$N$810),NA()))</f>
        <v>0</v>
      </c>
      <c r="O272">
        <f>IF($J272&gt;MAX('Match Log'!$A$4:$A$810),NA(),IFERROR(LOOKUP(2,1/(('Match Log'!$D$4:$D$810=$O$24)*('Match Log'!$A$4:$A$810&lt;=$J272)),'Match Log'!$N$4:$N$810),NA()))</f>
        <v>0</v>
      </c>
      <c r="P272">
        <f>IF($J272&gt;MAX('Match Log'!$A$4:$A$810),NA(),IFERROR(LOOKUP(2,1/(('Match Log'!$D$4:$D$810=$P$24)*('Match Log'!$A$4:$A$810&lt;=$J272)),'Match Log'!$N$4:$N$810),NA()))</f>
        <v>0</v>
      </c>
      <c r="Q272">
        <f>IF($J272&gt;MAX('Match Log'!$A$4:$A$810),NA(),IFERROR(LOOKUP(2,1/(('Match Log'!$D$4:$D$810=$Q$24)*('Match Log'!$A$4:$A$810&lt;=$J272)),'Match Log'!$N$4:$N$810),NA()))</f>
        <v>0</v>
      </c>
      <c r="R272">
        <f>IF($J272&gt;MAX('Match Log'!$A$4:$A$810),NA(),IFERROR(LOOKUP(2,1/(('Match Log'!$D$4:$D$810=$R$24)*('Match Log'!$A$4:$A$810&lt;=$J272)),'Match Log'!$N$4:$N$810),NA()))</f>
        <v>0</v>
      </c>
      <c r="S272">
        <f>IF($J272&gt;MAX('Match Log'!$A$4:$A$810),NA(),IFERROR(LOOKUP(2,1/(('Match Log'!$D$4:$D$810=$S$24)*('Match Log'!$A$4:$A$810&lt;=$J272)),'Match Log'!$N$4:$N$810),NA()))</f>
        <v>0</v>
      </c>
      <c r="T272">
        <f>IF($J272&gt;MAX('Match Log'!$A$4:$A$810),NA(),IFERROR(LOOKUP(2,1/(('Match Log'!$D$4:$D$810=$T$24)*('Match Log'!$A$4:$A$810&lt;=$J272)),'Match Log'!$N$4:$N$810),NA()))</f>
        <v>0</v>
      </c>
      <c r="U272">
        <f>IF($J272&gt;MAX('Match Log'!$A$4:$A$810),NA(),IFERROR(LOOKUP(2,1/(('Match Log'!$D$4:$D$810=$U$24)*('Match Log'!$A$4:$A$810&lt;=$J272)),'Match Log'!$N$4:$N$810),NA()))</f>
        <v>0</v>
      </c>
      <c r="V272">
        <f>IF($J272&gt;MAX('Match Log'!$A$4:$A$810),NA(),IFERROR(LOOKUP(2,1/(('Match Log'!$D$4:$D$810=$V$24)*('Match Log'!$A$4:$A$810&lt;=$J272)),'Match Log'!$N$4:$N$810),NA()))</f>
        <v>0</v>
      </c>
      <c r="W272">
        <f>IF($J272&gt;MAX('Match Log'!$A$4:$A$810),NA(),IFERROR(LOOKUP(2,1/(('Match Log'!$D$4:$D$810=$W$24)*('Match Log'!$A$4:$A$810&lt;=$J272)),'Match Log'!$N$4:$N$810),NA()))</f>
        <v>0</v>
      </c>
      <c r="X272">
        <f>IF($J272&gt;MAX('Match Log'!$A$4:$A$810),NA(),IFERROR(LOOKUP(2,1/(('Match Log'!$D$4:$D$810=$X$24)*('Match Log'!$A$4:$A$810&lt;=$J272)),'Match Log'!$N$4:$N$810),NA()))</f>
        <v>0</v>
      </c>
      <c r="Y272" t="str">
        <f>IF(AND($B272&lt;&gt;"",$B272&gt;=$B$5,$I272&lt;&gt;""),$I272,"")</f>
      </c>
    </row>
    <row r="273">
      <c r="A273">
        <v>249</v>
      </c>
      <c r="B273">
        <f>IFERROR(INDEX('Match Log'!$B$4:$B$810,MATCH(249,'Match Log'!$A$4:$A$810,0)),"")</f>
        <v>0</v>
      </c>
      <c r="C273" t="str">
        <f>IFERROR(INDEX('Match Log'!$C$4:$C$810,MATCH(249,'Match Log'!$A$4:$A$810,0)),"")</f>
      </c>
      <c r="D273" t="str">
        <f>IFERROR(INDEX('Match Log'!$G$4:$G$810,MATCH(249,'Match Log'!$A$4:$A$810,0)),"")</f>
      </c>
      <c r="E273">
        <f>IFERROR(INDEX('Match Log'!$F$4:$F$810,MATCH(249,'Match Log'!$A$4:$A$810,0)),"")</f>
        <v>0</v>
      </c>
      <c r="F273">
        <f>IFERROR(SUMIFS('Match Log'!$I$4:$I$810,'Match Log'!$A$4:$A$810,249,'Match Log'!$E$4:$E$810,"Win"),"")</f>
        <v>0</v>
      </c>
      <c r="G273">
        <f>IF($D273="","",1-$F273*$E273)</f>
        <v>0</v>
      </c>
      <c r="H273" t="str">
        <f>IFERROR(IF($E273=2,LOOKUP(2,1/(('Match Log'!$A$4:$A$810=249)*('Match Log'!$E$4:$E$810="Loss")),'Match Log'!$D$4:$D$810),"the field"),"")</f>
      </c>
      <c r="I273">
        <f>IF($G273="","",$G273-$A273/1000000)</f>
        <v>0</v>
      </c>
      <c r="J273">
        <v>249</v>
      </c>
      <c r="K273">
        <f>IF($J273&gt;MAX('Match Log'!$A$4:$A$810),NA(),IFERROR(LOOKUP(2,1/(('Match Log'!$D$4:$D$810=$K$24)*('Match Log'!$A$4:$A$810&lt;=$J273)),'Match Log'!$N$4:$N$810),NA()))</f>
        <v>0</v>
      </c>
      <c r="L273">
        <f>IF($J273&gt;MAX('Match Log'!$A$4:$A$810),NA(),IFERROR(LOOKUP(2,1/(('Match Log'!$D$4:$D$810=$L$24)*('Match Log'!$A$4:$A$810&lt;=$J273)),'Match Log'!$N$4:$N$810),NA()))</f>
        <v>0</v>
      </c>
      <c r="M273">
        <f>IF($J273&gt;MAX('Match Log'!$A$4:$A$810),NA(),IFERROR(LOOKUP(2,1/(('Match Log'!$D$4:$D$810=$M$24)*('Match Log'!$A$4:$A$810&lt;=$J273)),'Match Log'!$N$4:$N$810),NA()))</f>
        <v>0</v>
      </c>
      <c r="N273">
        <f>IF($J273&gt;MAX('Match Log'!$A$4:$A$810),NA(),IFERROR(LOOKUP(2,1/(('Match Log'!$D$4:$D$810=$N$24)*('Match Log'!$A$4:$A$810&lt;=$J273)),'Match Log'!$N$4:$N$810),NA()))</f>
        <v>0</v>
      </c>
      <c r="O273">
        <f>IF($J273&gt;MAX('Match Log'!$A$4:$A$810),NA(),IFERROR(LOOKUP(2,1/(('Match Log'!$D$4:$D$810=$O$24)*('Match Log'!$A$4:$A$810&lt;=$J273)),'Match Log'!$N$4:$N$810),NA()))</f>
        <v>0</v>
      </c>
      <c r="P273">
        <f>IF($J273&gt;MAX('Match Log'!$A$4:$A$810),NA(),IFERROR(LOOKUP(2,1/(('Match Log'!$D$4:$D$810=$P$24)*('Match Log'!$A$4:$A$810&lt;=$J273)),'Match Log'!$N$4:$N$810),NA()))</f>
        <v>0</v>
      </c>
      <c r="Q273">
        <f>IF($J273&gt;MAX('Match Log'!$A$4:$A$810),NA(),IFERROR(LOOKUP(2,1/(('Match Log'!$D$4:$D$810=$Q$24)*('Match Log'!$A$4:$A$810&lt;=$J273)),'Match Log'!$N$4:$N$810),NA()))</f>
        <v>0</v>
      </c>
      <c r="R273">
        <f>IF($J273&gt;MAX('Match Log'!$A$4:$A$810),NA(),IFERROR(LOOKUP(2,1/(('Match Log'!$D$4:$D$810=$R$24)*('Match Log'!$A$4:$A$810&lt;=$J273)),'Match Log'!$N$4:$N$810),NA()))</f>
        <v>0</v>
      </c>
      <c r="S273">
        <f>IF($J273&gt;MAX('Match Log'!$A$4:$A$810),NA(),IFERROR(LOOKUP(2,1/(('Match Log'!$D$4:$D$810=$S$24)*('Match Log'!$A$4:$A$810&lt;=$J273)),'Match Log'!$N$4:$N$810),NA()))</f>
        <v>0</v>
      </c>
      <c r="T273">
        <f>IF($J273&gt;MAX('Match Log'!$A$4:$A$810),NA(),IFERROR(LOOKUP(2,1/(('Match Log'!$D$4:$D$810=$T$24)*('Match Log'!$A$4:$A$810&lt;=$J273)),'Match Log'!$N$4:$N$810),NA()))</f>
        <v>0</v>
      </c>
      <c r="U273">
        <f>IF($J273&gt;MAX('Match Log'!$A$4:$A$810),NA(),IFERROR(LOOKUP(2,1/(('Match Log'!$D$4:$D$810=$U$24)*('Match Log'!$A$4:$A$810&lt;=$J273)),'Match Log'!$N$4:$N$810),NA()))</f>
        <v>0</v>
      </c>
      <c r="V273">
        <f>IF($J273&gt;MAX('Match Log'!$A$4:$A$810),NA(),IFERROR(LOOKUP(2,1/(('Match Log'!$D$4:$D$810=$V$24)*('Match Log'!$A$4:$A$810&lt;=$J273)),'Match Log'!$N$4:$N$810),NA()))</f>
        <v>0</v>
      </c>
      <c r="W273">
        <f>IF($J273&gt;MAX('Match Log'!$A$4:$A$810),NA(),IFERROR(LOOKUP(2,1/(('Match Log'!$D$4:$D$810=$W$24)*('Match Log'!$A$4:$A$810&lt;=$J273)),'Match Log'!$N$4:$N$810),NA()))</f>
        <v>0</v>
      </c>
      <c r="X273">
        <f>IF($J273&gt;MAX('Match Log'!$A$4:$A$810),NA(),IFERROR(LOOKUP(2,1/(('Match Log'!$D$4:$D$810=$X$24)*('Match Log'!$A$4:$A$810&lt;=$J273)),'Match Log'!$N$4:$N$810),NA()))</f>
        <v>0</v>
      </c>
      <c r="Y273" t="str">
        <f>IF(AND($B273&lt;&gt;"",$B273&gt;=$B$5,$I273&lt;&gt;""),$I273,"")</f>
      </c>
    </row>
    <row r="274">
      <c r="A274">
        <v>250</v>
      </c>
      <c r="B274">
        <f>IFERROR(INDEX('Match Log'!$B$4:$B$810,MATCH(250,'Match Log'!$A$4:$A$810,0)),"")</f>
        <v>0</v>
      </c>
      <c r="C274" t="str">
        <f>IFERROR(INDEX('Match Log'!$C$4:$C$810,MATCH(250,'Match Log'!$A$4:$A$810,0)),"")</f>
      </c>
      <c r="D274" t="str">
        <f>IFERROR(INDEX('Match Log'!$G$4:$G$810,MATCH(250,'Match Log'!$A$4:$A$810,0)),"")</f>
      </c>
      <c r="E274">
        <f>IFERROR(INDEX('Match Log'!$F$4:$F$810,MATCH(250,'Match Log'!$A$4:$A$810,0)),"")</f>
        <v>0</v>
      </c>
      <c r="F274">
        <f>IFERROR(SUMIFS('Match Log'!$I$4:$I$810,'Match Log'!$A$4:$A$810,250,'Match Log'!$E$4:$E$810,"Win"),"")</f>
        <v>0</v>
      </c>
      <c r="G274">
        <f>IF($D274="","",1-$F274*$E274)</f>
        <v>0</v>
      </c>
      <c r="H274" t="str">
        <f>IFERROR(IF($E274=2,LOOKUP(2,1/(('Match Log'!$A$4:$A$810=250)*('Match Log'!$E$4:$E$810="Loss")),'Match Log'!$D$4:$D$810),"the field"),"")</f>
      </c>
      <c r="I274">
        <f>IF($G274="","",$G274-$A274/1000000)</f>
        <v>0</v>
      </c>
      <c r="J274">
        <v>250</v>
      </c>
      <c r="K274">
        <f>IF($J274&gt;MAX('Match Log'!$A$4:$A$810),NA(),IFERROR(LOOKUP(2,1/(('Match Log'!$D$4:$D$810=$K$24)*('Match Log'!$A$4:$A$810&lt;=$J274)),'Match Log'!$N$4:$N$810),NA()))</f>
        <v>0</v>
      </c>
      <c r="L274">
        <f>IF($J274&gt;MAX('Match Log'!$A$4:$A$810),NA(),IFERROR(LOOKUP(2,1/(('Match Log'!$D$4:$D$810=$L$24)*('Match Log'!$A$4:$A$810&lt;=$J274)),'Match Log'!$N$4:$N$810),NA()))</f>
        <v>0</v>
      </c>
      <c r="M274">
        <f>IF($J274&gt;MAX('Match Log'!$A$4:$A$810),NA(),IFERROR(LOOKUP(2,1/(('Match Log'!$D$4:$D$810=$M$24)*('Match Log'!$A$4:$A$810&lt;=$J274)),'Match Log'!$N$4:$N$810),NA()))</f>
        <v>0</v>
      </c>
      <c r="N274">
        <f>IF($J274&gt;MAX('Match Log'!$A$4:$A$810),NA(),IFERROR(LOOKUP(2,1/(('Match Log'!$D$4:$D$810=$N$24)*('Match Log'!$A$4:$A$810&lt;=$J274)),'Match Log'!$N$4:$N$810),NA()))</f>
        <v>0</v>
      </c>
      <c r="O274">
        <f>IF($J274&gt;MAX('Match Log'!$A$4:$A$810),NA(),IFERROR(LOOKUP(2,1/(('Match Log'!$D$4:$D$810=$O$24)*('Match Log'!$A$4:$A$810&lt;=$J274)),'Match Log'!$N$4:$N$810),NA()))</f>
        <v>0</v>
      </c>
      <c r="P274">
        <f>IF($J274&gt;MAX('Match Log'!$A$4:$A$810),NA(),IFERROR(LOOKUP(2,1/(('Match Log'!$D$4:$D$810=$P$24)*('Match Log'!$A$4:$A$810&lt;=$J274)),'Match Log'!$N$4:$N$810),NA()))</f>
        <v>0</v>
      </c>
      <c r="Q274">
        <f>IF($J274&gt;MAX('Match Log'!$A$4:$A$810),NA(),IFERROR(LOOKUP(2,1/(('Match Log'!$D$4:$D$810=$Q$24)*('Match Log'!$A$4:$A$810&lt;=$J274)),'Match Log'!$N$4:$N$810),NA()))</f>
        <v>0</v>
      </c>
      <c r="R274">
        <f>IF($J274&gt;MAX('Match Log'!$A$4:$A$810),NA(),IFERROR(LOOKUP(2,1/(('Match Log'!$D$4:$D$810=$R$24)*('Match Log'!$A$4:$A$810&lt;=$J274)),'Match Log'!$N$4:$N$810),NA()))</f>
        <v>0</v>
      </c>
      <c r="S274">
        <f>IF($J274&gt;MAX('Match Log'!$A$4:$A$810),NA(),IFERROR(LOOKUP(2,1/(('Match Log'!$D$4:$D$810=$S$24)*('Match Log'!$A$4:$A$810&lt;=$J274)),'Match Log'!$N$4:$N$810),NA()))</f>
        <v>0</v>
      </c>
      <c r="T274">
        <f>IF($J274&gt;MAX('Match Log'!$A$4:$A$810),NA(),IFERROR(LOOKUP(2,1/(('Match Log'!$D$4:$D$810=$T$24)*('Match Log'!$A$4:$A$810&lt;=$J274)),'Match Log'!$N$4:$N$810),NA()))</f>
        <v>0</v>
      </c>
      <c r="U274">
        <f>IF($J274&gt;MAX('Match Log'!$A$4:$A$810),NA(),IFERROR(LOOKUP(2,1/(('Match Log'!$D$4:$D$810=$U$24)*('Match Log'!$A$4:$A$810&lt;=$J274)),'Match Log'!$N$4:$N$810),NA()))</f>
        <v>0</v>
      </c>
      <c r="V274">
        <f>IF($J274&gt;MAX('Match Log'!$A$4:$A$810),NA(),IFERROR(LOOKUP(2,1/(('Match Log'!$D$4:$D$810=$V$24)*('Match Log'!$A$4:$A$810&lt;=$J274)),'Match Log'!$N$4:$N$810),NA()))</f>
        <v>0</v>
      </c>
      <c r="W274">
        <f>IF($J274&gt;MAX('Match Log'!$A$4:$A$810),NA(),IFERROR(LOOKUP(2,1/(('Match Log'!$D$4:$D$810=$W$24)*('Match Log'!$A$4:$A$810&lt;=$J274)),'Match Log'!$N$4:$N$810),NA()))</f>
        <v>0</v>
      </c>
      <c r="X274">
        <f>IF($J274&gt;MAX('Match Log'!$A$4:$A$810),NA(),IFERROR(LOOKUP(2,1/(('Match Log'!$D$4:$D$810=$X$24)*('Match Log'!$A$4:$A$810&lt;=$J274)),'Match Log'!$N$4:$N$810),NA()))</f>
        <v>0</v>
      </c>
      <c r="Y274" t="str">
        <f>IF(AND($B274&lt;&gt;"",$B274&gt;=$B$5,$I274&lt;&gt;""),$I274,"")</f>
      </c>
    </row>
    <row r="275">
      <c r="A275">
        <v>251</v>
      </c>
      <c r="B275">
        <f>IFERROR(INDEX('Match Log'!$B$4:$B$810,MATCH(251,'Match Log'!$A$4:$A$810,0)),"")</f>
        <v>0</v>
      </c>
      <c r="C275" t="str">
        <f>IFERROR(INDEX('Match Log'!$C$4:$C$810,MATCH(251,'Match Log'!$A$4:$A$810,0)),"")</f>
      </c>
      <c r="D275" t="str">
        <f>IFERROR(INDEX('Match Log'!$G$4:$G$810,MATCH(251,'Match Log'!$A$4:$A$810,0)),"")</f>
      </c>
      <c r="E275">
        <f>IFERROR(INDEX('Match Log'!$F$4:$F$810,MATCH(251,'Match Log'!$A$4:$A$810,0)),"")</f>
        <v>0</v>
      </c>
      <c r="F275">
        <f>IFERROR(SUMIFS('Match Log'!$I$4:$I$810,'Match Log'!$A$4:$A$810,251,'Match Log'!$E$4:$E$810,"Win"),"")</f>
        <v>0</v>
      </c>
      <c r="G275">
        <f>IF($D275="","",1-$F275*$E275)</f>
        <v>0</v>
      </c>
      <c r="H275" t="str">
        <f>IFERROR(IF($E275=2,LOOKUP(2,1/(('Match Log'!$A$4:$A$810=251)*('Match Log'!$E$4:$E$810="Loss")),'Match Log'!$D$4:$D$810),"the field"),"")</f>
      </c>
      <c r="I275">
        <f>IF($G275="","",$G275-$A275/1000000)</f>
        <v>0</v>
      </c>
      <c r="J275">
        <v>251</v>
      </c>
      <c r="K275">
        <f>IF($J275&gt;MAX('Match Log'!$A$4:$A$810),NA(),IFERROR(LOOKUP(2,1/(('Match Log'!$D$4:$D$810=$K$24)*('Match Log'!$A$4:$A$810&lt;=$J275)),'Match Log'!$N$4:$N$810),NA()))</f>
        <v>0</v>
      </c>
      <c r="L275">
        <f>IF($J275&gt;MAX('Match Log'!$A$4:$A$810),NA(),IFERROR(LOOKUP(2,1/(('Match Log'!$D$4:$D$810=$L$24)*('Match Log'!$A$4:$A$810&lt;=$J275)),'Match Log'!$N$4:$N$810),NA()))</f>
        <v>0</v>
      </c>
      <c r="M275">
        <f>IF($J275&gt;MAX('Match Log'!$A$4:$A$810),NA(),IFERROR(LOOKUP(2,1/(('Match Log'!$D$4:$D$810=$M$24)*('Match Log'!$A$4:$A$810&lt;=$J275)),'Match Log'!$N$4:$N$810),NA()))</f>
        <v>0</v>
      </c>
      <c r="N275">
        <f>IF($J275&gt;MAX('Match Log'!$A$4:$A$810),NA(),IFERROR(LOOKUP(2,1/(('Match Log'!$D$4:$D$810=$N$24)*('Match Log'!$A$4:$A$810&lt;=$J275)),'Match Log'!$N$4:$N$810),NA()))</f>
        <v>0</v>
      </c>
      <c r="O275">
        <f>IF($J275&gt;MAX('Match Log'!$A$4:$A$810),NA(),IFERROR(LOOKUP(2,1/(('Match Log'!$D$4:$D$810=$O$24)*('Match Log'!$A$4:$A$810&lt;=$J275)),'Match Log'!$N$4:$N$810),NA()))</f>
        <v>0</v>
      </c>
      <c r="P275">
        <f>IF($J275&gt;MAX('Match Log'!$A$4:$A$810),NA(),IFERROR(LOOKUP(2,1/(('Match Log'!$D$4:$D$810=$P$24)*('Match Log'!$A$4:$A$810&lt;=$J275)),'Match Log'!$N$4:$N$810),NA()))</f>
        <v>0</v>
      </c>
      <c r="Q275">
        <f>IF($J275&gt;MAX('Match Log'!$A$4:$A$810),NA(),IFERROR(LOOKUP(2,1/(('Match Log'!$D$4:$D$810=$Q$24)*('Match Log'!$A$4:$A$810&lt;=$J275)),'Match Log'!$N$4:$N$810),NA()))</f>
        <v>0</v>
      </c>
      <c r="R275">
        <f>IF($J275&gt;MAX('Match Log'!$A$4:$A$810),NA(),IFERROR(LOOKUP(2,1/(('Match Log'!$D$4:$D$810=$R$24)*('Match Log'!$A$4:$A$810&lt;=$J275)),'Match Log'!$N$4:$N$810),NA()))</f>
        <v>0</v>
      </c>
      <c r="S275">
        <f>IF($J275&gt;MAX('Match Log'!$A$4:$A$810),NA(),IFERROR(LOOKUP(2,1/(('Match Log'!$D$4:$D$810=$S$24)*('Match Log'!$A$4:$A$810&lt;=$J275)),'Match Log'!$N$4:$N$810),NA()))</f>
        <v>0</v>
      </c>
      <c r="T275">
        <f>IF($J275&gt;MAX('Match Log'!$A$4:$A$810),NA(),IFERROR(LOOKUP(2,1/(('Match Log'!$D$4:$D$810=$T$24)*('Match Log'!$A$4:$A$810&lt;=$J275)),'Match Log'!$N$4:$N$810),NA()))</f>
        <v>0</v>
      </c>
      <c r="U275">
        <f>IF($J275&gt;MAX('Match Log'!$A$4:$A$810),NA(),IFERROR(LOOKUP(2,1/(('Match Log'!$D$4:$D$810=$U$24)*('Match Log'!$A$4:$A$810&lt;=$J275)),'Match Log'!$N$4:$N$810),NA()))</f>
        <v>0</v>
      </c>
      <c r="V275">
        <f>IF($J275&gt;MAX('Match Log'!$A$4:$A$810),NA(),IFERROR(LOOKUP(2,1/(('Match Log'!$D$4:$D$810=$V$24)*('Match Log'!$A$4:$A$810&lt;=$J275)),'Match Log'!$N$4:$N$810),NA()))</f>
        <v>0</v>
      </c>
      <c r="W275">
        <f>IF($J275&gt;MAX('Match Log'!$A$4:$A$810),NA(),IFERROR(LOOKUP(2,1/(('Match Log'!$D$4:$D$810=$W$24)*('Match Log'!$A$4:$A$810&lt;=$J275)),'Match Log'!$N$4:$N$810),NA()))</f>
        <v>0</v>
      </c>
      <c r="X275">
        <f>IF($J275&gt;MAX('Match Log'!$A$4:$A$810),NA(),IFERROR(LOOKUP(2,1/(('Match Log'!$D$4:$D$810=$X$24)*('Match Log'!$A$4:$A$810&lt;=$J275)),'Match Log'!$N$4:$N$810),NA()))</f>
        <v>0</v>
      </c>
      <c r="Y275" t="str">
        <f>IF(AND($B275&lt;&gt;"",$B275&gt;=$B$5,$I275&lt;&gt;""),$I275,"")</f>
      </c>
    </row>
    <row r="276">
      <c r="A276">
        <v>252</v>
      </c>
      <c r="B276">
        <f>IFERROR(INDEX('Match Log'!$B$4:$B$810,MATCH(252,'Match Log'!$A$4:$A$810,0)),"")</f>
        <v>0</v>
      </c>
      <c r="C276" t="str">
        <f>IFERROR(INDEX('Match Log'!$C$4:$C$810,MATCH(252,'Match Log'!$A$4:$A$810,0)),"")</f>
      </c>
      <c r="D276" t="str">
        <f>IFERROR(INDEX('Match Log'!$G$4:$G$810,MATCH(252,'Match Log'!$A$4:$A$810,0)),"")</f>
      </c>
      <c r="E276">
        <f>IFERROR(INDEX('Match Log'!$F$4:$F$810,MATCH(252,'Match Log'!$A$4:$A$810,0)),"")</f>
        <v>0</v>
      </c>
      <c r="F276">
        <f>IFERROR(SUMIFS('Match Log'!$I$4:$I$810,'Match Log'!$A$4:$A$810,252,'Match Log'!$E$4:$E$810,"Win"),"")</f>
        <v>0</v>
      </c>
      <c r="G276">
        <f>IF($D276="","",1-$F276*$E276)</f>
        <v>0</v>
      </c>
      <c r="H276" t="str">
        <f>IFERROR(IF($E276=2,LOOKUP(2,1/(('Match Log'!$A$4:$A$810=252)*('Match Log'!$E$4:$E$810="Loss")),'Match Log'!$D$4:$D$810),"the field"),"")</f>
      </c>
      <c r="I276">
        <f>IF($G276="","",$G276-$A276/1000000)</f>
        <v>0</v>
      </c>
      <c r="J276">
        <v>252</v>
      </c>
      <c r="K276">
        <f>IF($J276&gt;MAX('Match Log'!$A$4:$A$810),NA(),IFERROR(LOOKUP(2,1/(('Match Log'!$D$4:$D$810=$K$24)*('Match Log'!$A$4:$A$810&lt;=$J276)),'Match Log'!$N$4:$N$810),NA()))</f>
        <v>0</v>
      </c>
      <c r="L276">
        <f>IF($J276&gt;MAX('Match Log'!$A$4:$A$810),NA(),IFERROR(LOOKUP(2,1/(('Match Log'!$D$4:$D$810=$L$24)*('Match Log'!$A$4:$A$810&lt;=$J276)),'Match Log'!$N$4:$N$810),NA()))</f>
        <v>0</v>
      </c>
      <c r="M276">
        <f>IF($J276&gt;MAX('Match Log'!$A$4:$A$810),NA(),IFERROR(LOOKUP(2,1/(('Match Log'!$D$4:$D$810=$M$24)*('Match Log'!$A$4:$A$810&lt;=$J276)),'Match Log'!$N$4:$N$810),NA()))</f>
        <v>0</v>
      </c>
      <c r="N276">
        <f>IF($J276&gt;MAX('Match Log'!$A$4:$A$810),NA(),IFERROR(LOOKUP(2,1/(('Match Log'!$D$4:$D$810=$N$24)*('Match Log'!$A$4:$A$810&lt;=$J276)),'Match Log'!$N$4:$N$810),NA()))</f>
        <v>0</v>
      </c>
      <c r="O276">
        <f>IF($J276&gt;MAX('Match Log'!$A$4:$A$810),NA(),IFERROR(LOOKUP(2,1/(('Match Log'!$D$4:$D$810=$O$24)*('Match Log'!$A$4:$A$810&lt;=$J276)),'Match Log'!$N$4:$N$810),NA()))</f>
        <v>0</v>
      </c>
      <c r="P276">
        <f>IF($J276&gt;MAX('Match Log'!$A$4:$A$810),NA(),IFERROR(LOOKUP(2,1/(('Match Log'!$D$4:$D$810=$P$24)*('Match Log'!$A$4:$A$810&lt;=$J276)),'Match Log'!$N$4:$N$810),NA()))</f>
        <v>0</v>
      </c>
      <c r="Q276">
        <f>IF($J276&gt;MAX('Match Log'!$A$4:$A$810),NA(),IFERROR(LOOKUP(2,1/(('Match Log'!$D$4:$D$810=$Q$24)*('Match Log'!$A$4:$A$810&lt;=$J276)),'Match Log'!$N$4:$N$810),NA()))</f>
        <v>0</v>
      </c>
      <c r="R276">
        <f>IF($J276&gt;MAX('Match Log'!$A$4:$A$810),NA(),IFERROR(LOOKUP(2,1/(('Match Log'!$D$4:$D$810=$R$24)*('Match Log'!$A$4:$A$810&lt;=$J276)),'Match Log'!$N$4:$N$810),NA()))</f>
        <v>0</v>
      </c>
      <c r="S276">
        <f>IF($J276&gt;MAX('Match Log'!$A$4:$A$810),NA(),IFERROR(LOOKUP(2,1/(('Match Log'!$D$4:$D$810=$S$24)*('Match Log'!$A$4:$A$810&lt;=$J276)),'Match Log'!$N$4:$N$810),NA()))</f>
        <v>0</v>
      </c>
      <c r="T276">
        <f>IF($J276&gt;MAX('Match Log'!$A$4:$A$810),NA(),IFERROR(LOOKUP(2,1/(('Match Log'!$D$4:$D$810=$T$24)*('Match Log'!$A$4:$A$810&lt;=$J276)),'Match Log'!$N$4:$N$810),NA()))</f>
        <v>0</v>
      </c>
      <c r="U276">
        <f>IF($J276&gt;MAX('Match Log'!$A$4:$A$810),NA(),IFERROR(LOOKUP(2,1/(('Match Log'!$D$4:$D$810=$U$24)*('Match Log'!$A$4:$A$810&lt;=$J276)),'Match Log'!$N$4:$N$810),NA()))</f>
        <v>0</v>
      </c>
      <c r="V276">
        <f>IF($J276&gt;MAX('Match Log'!$A$4:$A$810),NA(),IFERROR(LOOKUP(2,1/(('Match Log'!$D$4:$D$810=$V$24)*('Match Log'!$A$4:$A$810&lt;=$J276)),'Match Log'!$N$4:$N$810),NA()))</f>
        <v>0</v>
      </c>
      <c r="W276">
        <f>IF($J276&gt;MAX('Match Log'!$A$4:$A$810),NA(),IFERROR(LOOKUP(2,1/(('Match Log'!$D$4:$D$810=$W$24)*('Match Log'!$A$4:$A$810&lt;=$J276)),'Match Log'!$N$4:$N$810),NA()))</f>
        <v>0</v>
      </c>
      <c r="X276">
        <f>IF($J276&gt;MAX('Match Log'!$A$4:$A$810),NA(),IFERROR(LOOKUP(2,1/(('Match Log'!$D$4:$D$810=$X$24)*('Match Log'!$A$4:$A$810&lt;=$J276)),'Match Log'!$N$4:$N$810),NA()))</f>
        <v>0</v>
      </c>
      <c r="Y276" t="str">
        <f>IF(AND($B276&lt;&gt;"",$B276&gt;=$B$5,$I276&lt;&gt;""),$I276,"")</f>
      </c>
    </row>
    <row r="277">
      <c r="A277">
        <v>253</v>
      </c>
      <c r="B277">
        <f>IFERROR(INDEX('Match Log'!$B$4:$B$810,MATCH(253,'Match Log'!$A$4:$A$810,0)),"")</f>
        <v>0</v>
      </c>
      <c r="C277" t="str">
        <f>IFERROR(INDEX('Match Log'!$C$4:$C$810,MATCH(253,'Match Log'!$A$4:$A$810,0)),"")</f>
      </c>
      <c r="D277" t="str">
        <f>IFERROR(INDEX('Match Log'!$G$4:$G$810,MATCH(253,'Match Log'!$A$4:$A$810,0)),"")</f>
      </c>
      <c r="E277">
        <f>IFERROR(INDEX('Match Log'!$F$4:$F$810,MATCH(253,'Match Log'!$A$4:$A$810,0)),"")</f>
        <v>0</v>
      </c>
      <c r="F277">
        <f>IFERROR(SUMIFS('Match Log'!$I$4:$I$810,'Match Log'!$A$4:$A$810,253,'Match Log'!$E$4:$E$810,"Win"),"")</f>
        <v>0</v>
      </c>
      <c r="G277">
        <f>IF($D277="","",1-$F277*$E277)</f>
        <v>0</v>
      </c>
      <c r="H277" t="str">
        <f>IFERROR(IF($E277=2,LOOKUP(2,1/(('Match Log'!$A$4:$A$810=253)*('Match Log'!$E$4:$E$810="Loss")),'Match Log'!$D$4:$D$810),"the field"),"")</f>
      </c>
      <c r="I277">
        <f>IF($G277="","",$G277-$A277/1000000)</f>
        <v>0</v>
      </c>
      <c r="J277">
        <v>253</v>
      </c>
      <c r="K277">
        <f>IF($J277&gt;MAX('Match Log'!$A$4:$A$810),NA(),IFERROR(LOOKUP(2,1/(('Match Log'!$D$4:$D$810=$K$24)*('Match Log'!$A$4:$A$810&lt;=$J277)),'Match Log'!$N$4:$N$810),NA()))</f>
        <v>0</v>
      </c>
      <c r="L277">
        <f>IF($J277&gt;MAX('Match Log'!$A$4:$A$810),NA(),IFERROR(LOOKUP(2,1/(('Match Log'!$D$4:$D$810=$L$24)*('Match Log'!$A$4:$A$810&lt;=$J277)),'Match Log'!$N$4:$N$810),NA()))</f>
        <v>0</v>
      </c>
      <c r="M277">
        <f>IF($J277&gt;MAX('Match Log'!$A$4:$A$810),NA(),IFERROR(LOOKUP(2,1/(('Match Log'!$D$4:$D$810=$M$24)*('Match Log'!$A$4:$A$810&lt;=$J277)),'Match Log'!$N$4:$N$810),NA()))</f>
        <v>0</v>
      </c>
      <c r="N277">
        <f>IF($J277&gt;MAX('Match Log'!$A$4:$A$810),NA(),IFERROR(LOOKUP(2,1/(('Match Log'!$D$4:$D$810=$N$24)*('Match Log'!$A$4:$A$810&lt;=$J277)),'Match Log'!$N$4:$N$810),NA()))</f>
        <v>0</v>
      </c>
      <c r="O277">
        <f>IF($J277&gt;MAX('Match Log'!$A$4:$A$810),NA(),IFERROR(LOOKUP(2,1/(('Match Log'!$D$4:$D$810=$O$24)*('Match Log'!$A$4:$A$810&lt;=$J277)),'Match Log'!$N$4:$N$810),NA()))</f>
        <v>0</v>
      </c>
      <c r="P277">
        <f>IF($J277&gt;MAX('Match Log'!$A$4:$A$810),NA(),IFERROR(LOOKUP(2,1/(('Match Log'!$D$4:$D$810=$P$24)*('Match Log'!$A$4:$A$810&lt;=$J277)),'Match Log'!$N$4:$N$810),NA()))</f>
        <v>0</v>
      </c>
      <c r="Q277">
        <f>IF($J277&gt;MAX('Match Log'!$A$4:$A$810),NA(),IFERROR(LOOKUP(2,1/(('Match Log'!$D$4:$D$810=$Q$24)*('Match Log'!$A$4:$A$810&lt;=$J277)),'Match Log'!$N$4:$N$810),NA()))</f>
        <v>0</v>
      </c>
      <c r="R277">
        <f>IF($J277&gt;MAX('Match Log'!$A$4:$A$810),NA(),IFERROR(LOOKUP(2,1/(('Match Log'!$D$4:$D$810=$R$24)*('Match Log'!$A$4:$A$810&lt;=$J277)),'Match Log'!$N$4:$N$810),NA()))</f>
        <v>0</v>
      </c>
      <c r="S277">
        <f>IF($J277&gt;MAX('Match Log'!$A$4:$A$810),NA(),IFERROR(LOOKUP(2,1/(('Match Log'!$D$4:$D$810=$S$24)*('Match Log'!$A$4:$A$810&lt;=$J277)),'Match Log'!$N$4:$N$810),NA()))</f>
        <v>0</v>
      </c>
      <c r="T277">
        <f>IF($J277&gt;MAX('Match Log'!$A$4:$A$810),NA(),IFERROR(LOOKUP(2,1/(('Match Log'!$D$4:$D$810=$T$24)*('Match Log'!$A$4:$A$810&lt;=$J277)),'Match Log'!$N$4:$N$810),NA()))</f>
        <v>0</v>
      </c>
      <c r="U277">
        <f>IF($J277&gt;MAX('Match Log'!$A$4:$A$810),NA(),IFERROR(LOOKUP(2,1/(('Match Log'!$D$4:$D$810=$U$24)*('Match Log'!$A$4:$A$810&lt;=$J277)),'Match Log'!$N$4:$N$810),NA()))</f>
        <v>0</v>
      </c>
      <c r="V277">
        <f>IF($J277&gt;MAX('Match Log'!$A$4:$A$810),NA(),IFERROR(LOOKUP(2,1/(('Match Log'!$D$4:$D$810=$V$24)*('Match Log'!$A$4:$A$810&lt;=$J277)),'Match Log'!$N$4:$N$810),NA()))</f>
        <v>0</v>
      </c>
      <c r="W277">
        <f>IF($J277&gt;MAX('Match Log'!$A$4:$A$810),NA(),IFERROR(LOOKUP(2,1/(('Match Log'!$D$4:$D$810=$W$24)*('Match Log'!$A$4:$A$810&lt;=$J277)),'Match Log'!$N$4:$N$810),NA()))</f>
        <v>0</v>
      </c>
      <c r="X277">
        <f>IF($J277&gt;MAX('Match Log'!$A$4:$A$810),NA(),IFERROR(LOOKUP(2,1/(('Match Log'!$D$4:$D$810=$X$24)*('Match Log'!$A$4:$A$810&lt;=$J277)),'Match Log'!$N$4:$N$810),NA()))</f>
        <v>0</v>
      </c>
      <c r="Y277" t="str">
        <f>IF(AND($B277&lt;&gt;"",$B277&gt;=$B$5,$I277&lt;&gt;""),$I277,"")</f>
      </c>
    </row>
    <row r="278">
      <c r="A278">
        <v>254</v>
      </c>
      <c r="B278">
        <f>IFERROR(INDEX('Match Log'!$B$4:$B$810,MATCH(254,'Match Log'!$A$4:$A$810,0)),"")</f>
        <v>0</v>
      </c>
      <c r="C278" t="str">
        <f>IFERROR(INDEX('Match Log'!$C$4:$C$810,MATCH(254,'Match Log'!$A$4:$A$810,0)),"")</f>
      </c>
      <c r="D278" t="str">
        <f>IFERROR(INDEX('Match Log'!$G$4:$G$810,MATCH(254,'Match Log'!$A$4:$A$810,0)),"")</f>
      </c>
      <c r="E278">
        <f>IFERROR(INDEX('Match Log'!$F$4:$F$810,MATCH(254,'Match Log'!$A$4:$A$810,0)),"")</f>
        <v>0</v>
      </c>
      <c r="F278">
        <f>IFERROR(SUMIFS('Match Log'!$I$4:$I$810,'Match Log'!$A$4:$A$810,254,'Match Log'!$E$4:$E$810,"Win"),"")</f>
        <v>0</v>
      </c>
      <c r="G278">
        <f>IF($D278="","",1-$F278*$E278)</f>
        <v>0</v>
      </c>
      <c r="H278" t="str">
        <f>IFERROR(IF($E278=2,LOOKUP(2,1/(('Match Log'!$A$4:$A$810=254)*('Match Log'!$E$4:$E$810="Loss")),'Match Log'!$D$4:$D$810),"the field"),"")</f>
      </c>
      <c r="I278">
        <f>IF($G278="","",$G278-$A278/1000000)</f>
        <v>0</v>
      </c>
      <c r="J278">
        <v>254</v>
      </c>
      <c r="K278">
        <f>IF($J278&gt;MAX('Match Log'!$A$4:$A$810),NA(),IFERROR(LOOKUP(2,1/(('Match Log'!$D$4:$D$810=$K$24)*('Match Log'!$A$4:$A$810&lt;=$J278)),'Match Log'!$N$4:$N$810),NA()))</f>
        <v>0</v>
      </c>
      <c r="L278">
        <f>IF($J278&gt;MAX('Match Log'!$A$4:$A$810),NA(),IFERROR(LOOKUP(2,1/(('Match Log'!$D$4:$D$810=$L$24)*('Match Log'!$A$4:$A$810&lt;=$J278)),'Match Log'!$N$4:$N$810),NA()))</f>
        <v>0</v>
      </c>
      <c r="M278">
        <f>IF($J278&gt;MAX('Match Log'!$A$4:$A$810),NA(),IFERROR(LOOKUP(2,1/(('Match Log'!$D$4:$D$810=$M$24)*('Match Log'!$A$4:$A$810&lt;=$J278)),'Match Log'!$N$4:$N$810),NA()))</f>
        <v>0</v>
      </c>
      <c r="N278">
        <f>IF($J278&gt;MAX('Match Log'!$A$4:$A$810),NA(),IFERROR(LOOKUP(2,1/(('Match Log'!$D$4:$D$810=$N$24)*('Match Log'!$A$4:$A$810&lt;=$J278)),'Match Log'!$N$4:$N$810),NA()))</f>
        <v>0</v>
      </c>
      <c r="O278">
        <f>IF($J278&gt;MAX('Match Log'!$A$4:$A$810),NA(),IFERROR(LOOKUP(2,1/(('Match Log'!$D$4:$D$810=$O$24)*('Match Log'!$A$4:$A$810&lt;=$J278)),'Match Log'!$N$4:$N$810),NA()))</f>
        <v>0</v>
      </c>
      <c r="P278">
        <f>IF($J278&gt;MAX('Match Log'!$A$4:$A$810),NA(),IFERROR(LOOKUP(2,1/(('Match Log'!$D$4:$D$810=$P$24)*('Match Log'!$A$4:$A$810&lt;=$J278)),'Match Log'!$N$4:$N$810),NA()))</f>
        <v>0</v>
      </c>
      <c r="Q278">
        <f>IF($J278&gt;MAX('Match Log'!$A$4:$A$810),NA(),IFERROR(LOOKUP(2,1/(('Match Log'!$D$4:$D$810=$Q$24)*('Match Log'!$A$4:$A$810&lt;=$J278)),'Match Log'!$N$4:$N$810),NA()))</f>
        <v>0</v>
      </c>
      <c r="R278">
        <f>IF($J278&gt;MAX('Match Log'!$A$4:$A$810),NA(),IFERROR(LOOKUP(2,1/(('Match Log'!$D$4:$D$810=$R$24)*('Match Log'!$A$4:$A$810&lt;=$J278)),'Match Log'!$N$4:$N$810),NA()))</f>
        <v>0</v>
      </c>
      <c r="S278">
        <f>IF($J278&gt;MAX('Match Log'!$A$4:$A$810),NA(),IFERROR(LOOKUP(2,1/(('Match Log'!$D$4:$D$810=$S$24)*('Match Log'!$A$4:$A$810&lt;=$J278)),'Match Log'!$N$4:$N$810),NA()))</f>
        <v>0</v>
      </c>
      <c r="T278">
        <f>IF($J278&gt;MAX('Match Log'!$A$4:$A$810),NA(),IFERROR(LOOKUP(2,1/(('Match Log'!$D$4:$D$810=$T$24)*('Match Log'!$A$4:$A$810&lt;=$J278)),'Match Log'!$N$4:$N$810),NA()))</f>
        <v>0</v>
      </c>
      <c r="U278">
        <f>IF($J278&gt;MAX('Match Log'!$A$4:$A$810),NA(),IFERROR(LOOKUP(2,1/(('Match Log'!$D$4:$D$810=$U$24)*('Match Log'!$A$4:$A$810&lt;=$J278)),'Match Log'!$N$4:$N$810),NA()))</f>
        <v>0</v>
      </c>
      <c r="V278">
        <f>IF($J278&gt;MAX('Match Log'!$A$4:$A$810),NA(),IFERROR(LOOKUP(2,1/(('Match Log'!$D$4:$D$810=$V$24)*('Match Log'!$A$4:$A$810&lt;=$J278)),'Match Log'!$N$4:$N$810),NA()))</f>
        <v>0</v>
      </c>
      <c r="W278">
        <f>IF($J278&gt;MAX('Match Log'!$A$4:$A$810),NA(),IFERROR(LOOKUP(2,1/(('Match Log'!$D$4:$D$810=$W$24)*('Match Log'!$A$4:$A$810&lt;=$J278)),'Match Log'!$N$4:$N$810),NA()))</f>
        <v>0</v>
      </c>
      <c r="X278">
        <f>IF($J278&gt;MAX('Match Log'!$A$4:$A$810),NA(),IFERROR(LOOKUP(2,1/(('Match Log'!$D$4:$D$810=$X$24)*('Match Log'!$A$4:$A$810&lt;=$J278)),'Match Log'!$N$4:$N$810),NA()))</f>
        <v>0</v>
      </c>
      <c r="Y278" t="str">
        <f>IF(AND($B278&lt;&gt;"",$B278&gt;=$B$5,$I278&lt;&gt;""),$I278,"")</f>
      </c>
    </row>
    <row r="279">
      <c r="A279">
        <v>255</v>
      </c>
      <c r="B279">
        <f>IFERROR(INDEX('Match Log'!$B$4:$B$810,MATCH(255,'Match Log'!$A$4:$A$810,0)),"")</f>
        <v>0</v>
      </c>
      <c r="C279" t="str">
        <f>IFERROR(INDEX('Match Log'!$C$4:$C$810,MATCH(255,'Match Log'!$A$4:$A$810,0)),"")</f>
      </c>
      <c r="D279" t="str">
        <f>IFERROR(INDEX('Match Log'!$G$4:$G$810,MATCH(255,'Match Log'!$A$4:$A$810,0)),"")</f>
      </c>
      <c r="E279">
        <f>IFERROR(INDEX('Match Log'!$F$4:$F$810,MATCH(255,'Match Log'!$A$4:$A$810,0)),"")</f>
        <v>0</v>
      </c>
      <c r="F279">
        <f>IFERROR(SUMIFS('Match Log'!$I$4:$I$810,'Match Log'!$A$4:$A$810,255,'Match Log'!$E$4:$E$810,"Win"),"")</f>
        <v>0</v>
      </c>
      <c r="G279">
        <f>IF($D279="","",1-$F279*$E279)</f>
        <v>0</v>
      </c>
      <c r="H279" t="str">
        <f>IFERROR(IF($E279=2,LOOKUP(2,1/(('Match Log'!$A$4:$A$810=255)*('Match Log'!$E$4:$E$810="Loss")),'Match Log'!$D$4:$D$810),"the field"),"")</f>
      </c>
      <c r="I279">
        <f>IF($G279="","",$G279-$A279/1000000)</f>
        <v>0</v>
      </c>
      <c r="J279">
        <v>255</v>
      </c>
      <c r="K279">
        <f>IF($J279&gt;MAX('Match Log'!$A$4:$A$810),NA(),IFERROR(LOOKUP(2,1/(('Match Log'!$D$4:$D$810=$K$24)*('Match Log'!$A$4:$A$810&lt;=$J279)),'Match Log'!$N$4:$N$810),NA()))</f>
        <v>0</v>
      </c>
      <c r="L279">
        <f>IF($J279&gt;MAX('Match Log'!$A$4:$A$810),NA(),IFERROR(LOOKUP(2,1/(('Match Log'!$D$4:$D$810=$L$24)*('Match Log'!$A$4:$A$810&lt;=$J279)),'Match Log'!$N$4:$N$810),NA()))</f>
        <v>0</v>
      </c>
      <c r="M279">
        <f>IF($J279&gt;MAX('Match Log'!$A$4:$A$810),NA(),IFERROR(LOOKUP(2,1/(('Match Log'!$D$4:$D$810=$M$24)*('Match Log'!$A$4:$A$810&lt;=$J279)),'Match Log'!$N$4:$N$810),NA()))</f>
        <v>0</v>
      </c>
      <c r="N279">
        <f>IF($J279&gt;MAX('Match Log'!$A$4:$A$810),NA(),IFERROR(LOOKUP(2,1/(('Match Log'!$D$4:$D$810=$N$24)*('Match Log'!$A$4:$A$810&lt;=$J279)),'Match Log'!$N$4:$N$810),NA()))</f>
        <v>0</v>
      </c>
      <c r="O279">
        <f>IF($J279&gt;MAX('Match Log'!$A$4:$A$810),NA(),IFERROR(LOOKUP(2,1/(('Match Log'!$D$4:$D$810=$O$24)*('Match Log'!$A$4:$A$810&lt;=$J279)),'Match Log'!$N$4:$N$810),NA()))</f>
        <v>0</v>
      </c>
      <c r="P279">
        <f>IF($J279&gt;MAX('Match Log'!$A$4:$A$810),NA(),IFERROR(LOOKUP(2,1/(('Match Log'!$D$4:$D$810=$P$24)*('Match Log'!$A$4:$A$810&lt;=$J279)),'Match Log'!$N$4:$N$810),NA()))</f>
        <v>0</v>
      </c>
      <c r="Q279">
        <f>IF($J279&gt;MAX('Match Log'!$A$4:$A$810),NA(),IFERROR(LOOKUP(2,1/(('Match Log'!$D$4:$D$810=$Q$24)*('Match Log'!$A$4:$A$810&lt;=$J279)),'Match Log'!$N$4:$N$810),NA()))</f>
        <v>0</v>
      </c>
      <c r="R279">
        <f>IF($J279&gt;MAX('Match Log'!$A$4:$A$810),NA(),IFERROR(LOOKUP(2,1/(('Match Log'!$D$4:$D$810=$R$24)*('Match Log'!$A$4:$A$810&lt;=$J279)),'Match Log'!$N$4:$N$810),NA()))</f>
        <v>0</v>
      </c>
      <c r="S279">
        <f>IF($J279&gt;MAX('Match Log'!$A$4:$A$810),NA(),IFERROR(LOOKUP(2,1/(('Match Log'!$D$4:$D$810=$S$24)*('Match Log'!$A$4:$A$810&lt;=$J279)),'Match Log'!$N$4:$N$810),NA()))</f>
        <v>0</v>
      </c>
      <c r="T279">
        <f>IF($J279&gt;MAX('Match Log'!$A$4:$A$810),NA(),IFERROR(LOOKUP(2,1/(('Match Log'!$D$4:$D$810=$T$24)*('Match Log'!$A$4:$A$810&lt;=$J279)),'Match Log'!$N$4:$N$810),NA()))</f>
        <v>0</v>
      </c>
      <c r="U279">
        <f>IF($J279&gt;MAX('Match Log'!$A$4:$A$810),NA(),IFERROR(LOOKUP(2,1/(('Match Log'!$D$4:$D$810=$U$24)*('Match Log'!$A$4:$A$810&lt;=$J279)),'Match Log'!$N$4:$N$810),NA()))</f>
        <v>0</v>
      </c>
      <c r="V279">
        <f>IF($J279&gt;MAX('Match Log'!$A$4:$A$810),NA(),IFERROR(LOOKUP(2,1/(('Match Log'!$D$4:$D$810=$V$24)*('Match Log'!$A$4:$A$810&lt;=$J279)),'Match Log'!$N$4:$N$810),NA()))</f>
        <v>0</v>
      </c>
      <c r="W279">
        <f>IF($J279&gt;MAX('Match Log'!$A$4:$A$810),NA(),IFERROR(LOOKUP(2,1/(('Match Log'!$D$4:$D$810=$W$24)*('Match Log'!$A$4:$A$810&lt;=$J279)),'Match Log'!$N$4:$N$810),NA()))</f>
        <v>0</v>
      </c>
      <c r="X279">
        <f>IF($J279&gt;MAX('Match Log'!$A$4:$A$810),NA(),IFERROR(LOOKUP(2,1/(('Match Log'!$D$4:$D$810=$X$24)*('Match Log'!$A$4:$A$810&lt;=$J279)),'Match Log'!$N$4:$N$810),NA()))</f>
        <v>0</v>
      </c>
      <c r="Y279" t="str">
        <f>IF(AND($B279&lt;&gt;"",$B279&gt;=$B$5,$I279&lt;&gt;""),$I279,"")</f>
      </c>
    </row>
    <row r="280">
      <c r="A280">
        <v>256</v>
      </c>
      <c r="B280">
        <f>IFERROR(INDEX('Match Log'!$B$4:$B$810,MATCH(256,'Match Log'!$A$4:$A$810,0)),"")</f>
        <v>0</v>
      </c>
      <c r="C280" t="str">
        <f>IFERROR(INDEX('Match Log'!$C$4:$C$810,MATCH(256,'Match Log'!$A$4:$A$810,0)),"")</f>
      </c>
      <c r="D280" t="str">
        <f>IFERROR(INDEX('Match Log'!$G$4:$G$810,MATCH(256,'Match Log'!$A$4:$A$810,0)),"")</f>
      </c>
      <c r="E280">
        <f>IFERROR(INDEX('Match Log'!$F$4:$F$810,MATCH(256,'Match Log'!$A$4:$A$810,0)),"")</f>
        <v>0</v>
      </c>
      <c r="F280">
        <f>IFERROR(SUMIFS('Match Log'!$I$4:$I$810,'Match Log'!$A$4:$A$810,256,'Match Log'!$E$4:$E$810,"Win"),"")</f>
        <v>0</v>
      </c>
      <c r="G280">
        <f>IF($D280="","",1-$F280*$E280)</f>
        <v>0</v>
      </c>
      <c r="H280" t="str">
        <f>IFERROR(IF($E280=2,LOOKUP(2,1/(('Match Log'!$A$4:$A$810=256)*('Match Log'!$E$4:$E$810="Loss")),'Match Log'!$D$4:$D$810),"the field"),"")</f>
      </c>
      <c r="I280">
        <f>IF($G280="","",$G280-$A280/1000000)</f>
        <v>0</v>
      </c>
      <c r="J280">
        <v>256</v>
      </c>
      <c r="K280">
        <f>IF($J280&gt;MAX('Match Log'!$A$4:$A$810),NA(),IFERROR(LOOKUP(2,1/(('Match Log'!$D$4:$D$810=$K$24)*('Match Log'!$A$4:$A$810&lt;=$J280)),'Match Log'!$N$4:$N$810),NA()))</f>
        <v>0</v>
      </c>
      <c r="L280">
        <f>IF($J280&gt;MAX('Match Log'!$A$4:$A$810),NA(),IFERROR(LOOKUP(2,1/(('Match Log'!$D$4:$D$810=$L$24)*('Match Log'!$A$4:$A$810&lt;=$J280)),'Match Log'!$N$4:$N$810),NA()))</f>
        <v>0</v>
      </c>
      <c r="M280">
        <f>IF($J280&gt;MAX('Match Log'!$A$4:$A$810),NA(),IFERROR(LOOKUP(2,1/(('Match Log'!$D$4:$D$810=$M$24)*('Match Log'!$A$4:$A$810&lt;=$J280)),'Match Log'!$N$4:$N$810),NA()))</f>
        <v>0</v>
      </c>
      <c r="N280">
        <f>IF($J280&gt;MAX('Match Log'!$A$4:$A$810),NA(),IFERROR(LOOKUP(2,1/(('Match Log'!$D$4:$D$810=$N$24)*('Match Log'!$A$4:$A$810&lt;=$J280)),'Match Log'!$N$4:$N$810),NA()))</f>
        <v>0</v>
      </c>
      <c r="O280">
        <f>IF($J280&gt;MAX('Match Log'!$A$4:$A$810),NA(),IFERROR(LOOKUP(2,1/(('Match Log'!$D$4:$D$810=$O$24)*('Match Log'!$A$4:$A$810&lt;=$J280)),'Match Log'!$N$4:$N$810),NA()))</f>
        <v>0</v>
      </c>
      <c r="P280">
        <f>IF($J280&gt;MAX('Match Log'!$A$4:$A$810),NA(),IFERROR(LOOKUP(2,1/(('Match Log'!$D$4:$D$810=$P$24)*('Match Log'!$A$4:$A$810&lt;=$J280)),'Match Log'!$N$4:$N$810),NA()))</f>
        <v>0</v>
      </c>
      <c r="Q280">
        <f>IF($J280&gt;MAX('Match Log'!$A$4:$A$810),NA(),IFERROR(LOOKUP(2,1/(('Match Log'!$D$4:$D$810=$Q$24)*('Match Log'!$A$4:$A$810&lt;=$J280)),'Match Log'!$N$4:$N$810),NA()))</f>
        <v>0</v>
      </c>
      <c r="R280">
        <f>IF($J280&gt;MAX('Match Log'!$A$4:$A$810),NA(),IFERROR(LOOKUP(2,1/(('Match Log'!$D$4:$D$810=$R$24)*('Match Log'!$A$4:$A$810&lt;=$J280)),'Match Log'!$N$4:$N$810),NA()))</f>
        <v>0</v>
      </c>
      <c r="S280">
        <f>IF($J280&gt;MAX('Match Log'!$A$4:$A$810),NA(),IFERROR(LOOKUP(2,1/(('Match Log'!$D$4:$D$810=$S$24)*('Match Log'!$A$4:$A$810&lt;=$J280)),'Match Log'!$N$4:$N$810),NA()))</f>
        <v>0</v>
      </c>
      <c r="T280">
        <f>IF($J280&gt;MAX('Match Log'!$A$4:$A$810),NA(),IFERROR(LOOKUP(2,1/(('Match Log'!$D$4:$D$810=$T$24)*('Match Log'!$A$4:$A$810&lt;=$J280)),'Match Log'!$N$4:$N$810),NA()))</f>
        <v>0</v>
      </c>
      <c r="U280">
        <f>IF($J280&gt;MAX('Match Log'!$A$4:$A$810),NA(),IFERROR(LOOKUP(2,1/(('Match Log'!$D$4:$D$810=$U$24)*('Match Log'!$A$4:$A$810&lt;=$J280)),'Match Log'!$N$4:$N$810),NA()))</f>
        <v>0</v>
      </c>
      <c r="V280">
        <f>IF($J280&gt;MAX('Match Log'!$A$4:$A$810),NA(),IFERROR(LOOKUP(2,1/(('Match Log'!$D$4:$D$810=$V$24)*('Match Log'!$A$4:$A$810&lt;=$J280)),'Match Log'!$N$4:$N$810),NA()))</f>
        <v>0</v>
      </c>
      <c r="W280">
        <f>IF($J280&gt;MAX('Match Log'!$A$4:$A$810),NA(),IFERROR(LOOKUP(2,1/(('Match Log'!$D$4:$D$810=$W$24)*('Match Log'!$A$4:$A$810&lt;=$J280)),'Match Log'!$N$4:$N$810),NA()))</f>
        <v>0</v>
      </c>
      <c r="X280">
        <f>IF($J280&gt;MAX('Match Log'!$A$4:$A$810),NA(),IFERROR(LOOKUP(2,1/(('Match Log'!$D$4:$D$810=$X$24)*('Match Log'!$A$4:$A$810&lt;=$J280)),'Match Log'!$N$4:$N$810),NA()))</f>
        <v>0</v>
      </c>
      <c r="Y280" t="str">
        <f>IF(AND($B280&lt;&gt;"",$B280&gt;=$B$5,$I280&lt;&gt;""),$I280,"")</f>
      </c>
    </row>
    <row r="281">
      <c r="A281">
        <v>257</v>
      </c>
      <c r="B281">
        <f>IFERROR(INDEX('Match Log'!$B$4:$B$810,MATCH(257,'Match Log'!$A$4:$A$810,0)),"")</f>
        <v>0</v>
      </c>
      <c r="C281" t="str">
        <f>IFERROR(INDEX('Match Log'!$C$4:$C$810,MATCH(257,'Match Log'!$A$4:$A$810,0)),"")</f>
      </c>
      <c r="D281" t="str">
        <f>IFERROR(INDEX('Match Log'!$G$4:$G$810,MATCH(257,'Match Log'!$A$4:$A$810,0)),"")</f>
      </c>
      <c r="E281">
        <f>IFERROR(INDEX('Match Log'!$F$4:$F$810,MATCH(257,'Match Log'!$A$4:$A$810,0)),"")</f>
        <v>0</v>
      </c>
      <c r="F281">
        <f>IFERROR(SUMIFS('Match Log'!$I$4:$I$810,'Match Log'!$A$4:$A$810,257,'Match Log'!$E$4:$E$810,"Win"),"")</f>
        <v>0</v>
      </c>
      <c r="G281">
        <f>IF($D281="","",1-$F281*$E281)</f>
        <v>0</v>
      </c>
      <c r="H281" t="str">
        <f>IFERROR(IF($E281=2,LOOKUP(2,1/(('Match Log'!$A$4:$A$810=257)*('Match Log'!$E$4:$E$810="Loss")),'Match Log'!$D$4:$D$810),"the field"),"")</f>
      </c>
      <c r="I281">
        <f>IF($G281="","",$G281-$A281/1000000)</f>
        <v>0</v>
      </c>
      <c r="J281">
        <v>257</v>
      </c>
      <c r="K281">
        <f>IF($J281&gt;MAX('Match Log'!$A$4:$A$810),NA(),IFERROR(LOOKUP(2,1/(('Match Log'!$D$4:$D$810=$K$24)*('Match Log'!$A$4:$A$810&lt;=$J281)),'Match Log'!$N$4:$N$810),NA()))</f>
        <v>0</v>
      </c>
      <c r="L281">
        <f>IF($J281&gt;MAX('Match Log'!$A$4:$A$810),NA(),IFERROR(LOOKUP(2,1/(('Match Log'!$D$4:$D$810=$L$24)*('Match Log'!$A$4:$A$810&lt;=$J281)),'Match Log'!$N$4:$N$810),NA()))</f>
        <v>0</v>
      </c>
      <c r="M281">
        <f>IF($J281&gt;MAX('Match Log'!$A$4:$A$810),NA(),IFERROR(LOOKUP(2,1/(('Match Log'!$D$4:$D$810=$M$24)*('Match Log'!$A$4:$A$810&lt;=$J281)),'Match Log'!$N$4:$N$810),NA()))</f>
        <v>0</v>
      </c>
      <c r="N281">
        <f>IF($J281&gt;MAX('Match Log'!$A$4:$A$810),NA(),IFERROR(LOOKUP(2,1/(('Match Log'!$D$4:$D$810=$N$24)*('Match Log'!$A$4:$A$810&lt;=$J281)),'Match Log'!$N$4:$N$810),NA()))</f>
        <v>0</v>
      </c>
      <c r="O281">
        <f>IF($J281&gt;MAX('Match Log'!$A$4:$A$810),NA(),IFERROR(LOOKUP(2,1/(('Match Log'!$D$4:$D$810=$O$24)*('Match Log'!$A$4:$A$810&lt;=$J281)),'Match Log'!$N$4:$N$810),NA()))</f>
        <v>0</v>
      </c>
      <c r="P281">
        <f>IF($J281&gt;MAX('Match Log'!$A$4:$A$810),NA(),IFERROR(LOOKUP(2,1/(('Match Log'!$D$4:$D$810=$P$24)*('Match Log'!$A$4:$A$810&lt;=$J281)),'Match Log'!$N$4:$N$810),NA()))</f>
        <v>0</v>
      </c>
      <c r="Q281">
        <f>IF($J281&gt;MAX('Match Log'!$A$4:$A$810),NA(),IFERROR(LOOKUP(2,1/(('Match Log'!$D$4:$D$810=$Q$24)*('Match Log'!$A$4:$A$810&lt;=$J281)),'Match Log'!$N$4:$N$810),NA()))</f>
        <v>0</v>
      </c>
      <c r="R281">
        <f>IF($J281&gt;MAX('Match Log'!$A$4:$A$810),NA(),IFERROR(LOOKUP(2,1/(('Match Log'!$D$4:$D$810=$R$24)*('Match Log'!$A$4:$A$810&lt;=$J281)),'Match Log'!$N$4:$N$810),NA()))</f>
        <v>0</v>
      </c>
      <c r="S281">
        <f>IF($J281&gt;MAX('Match Log'!$A$4:$A$810),NA(),IFERROR(LOOKUP(2,1/(('Match Log'!$D$4:$D$810=$S$24)*('Match Log'!$A$4:$A$810&lt;=$J281)),'Match Log'!$N$4:$N$810),NA()))</f>
        <v>0</v>
      </c>
      <c r="T281">
        <f>IF($J281&gt;MAX('Match Log'!$A$4:$A$810),NA(),IFERROR(LOOKUP(2,1/(('Match Log'!$D$4:$D$810=$T$24)*('Match Log'!$A$4:$A$810&lt;=$J281)),'Match Log'!$N$4:$N$810),NA()))</f>
        <v>0</v>
      </c>
      <c r="U281">
        <f>IF($J281&gt;MAX('Match Log'!$A$4:$A$810),NA(),IFERROR(LOOKUP(2,1/(('Match Log'!$D$4:$D$810=$U$24)*('Match Log'!$A$4:$A$810&lt;=$J281)),'Match Log'!$N$4:$N$810),NA()))</f>
        <v>0</v>
      </c>
      <c r="V281">
        <f>IF($J281&gt;MAX('Match Log'!$A$4:$A$810),NA(),IFERROR(LOOKUP(2,1/(('Match Log'!$D$4:$D$810=$V$24)*('Match Log'!$A$4:$A$810&lt;=$J281)),'Match Log'!$N$4:$N$810),NA()))</f>
        <v>0</v>
      </c>
      <c r="W281">
        <f>IF($J281&gt;MAX('Match Log'!$A$4:$A$810),NA(),IFERROR(LOOKUP(2,1/(('Match Log'!$D$4:$D$810=$W$24)*('Match Log'!$A$4:$A$810&lt;=$J281)),'Match Log'!$N$4:$N$810),NA()))</f>
        <v>0</v>
      </c>
      <c r="X281">
        <f>IF($J281&gt;MAX('Match Log'!$A$4:$A$810),NA(),IFERROR(LOOKUP(2,1/(('Match Log'!$D$4:$D$810=$X$24)*('Match Log'!$A$4:$A$810&lt;=$J281)),'Match Log'!$N$4:$N$810),NA()))</f>
        <v>0</v>
      </c>
      <c r="Y281" t="str">
        <f>IF(AND($B281&lt;&gt;"",$B281&gt;=$B$5,$I281&lt;&gt;""),$I281,"")</f>
      </c>
    </row>
    <row r="282">
      <c r="A282">
        <v>258</v>
      </c>
      <c r="B282">
        <f>IFERROR(INDEX('Match Log'!$B$4:$B$810,MATCH(258,'Match Log'!$A$4:$A$810,0)),"")</f>
        <v>0</v>
      </c>
      <c r="C282" t="str">
        <f>IFERROR(INDEX('Match Log'!$C$4:$C$810,MATCH(258,'Match Log'!$A$4:$A$810,0)),"")</f>
      </c>
      <c r="D282" t="str">
        <f>IFERROR(INDEX('Match Log'!$G$4:$G$810,MATCH(258,'Match Log'!$A$4:$A$810,0)),"")</f>
      </c>
      <c r="E282">
        <f>IFERROR(INDEX('Match Log'!$F$4:$F$810,MATCH(258,'Match Log'!$A$4:$A$810,0)),"")</f>
        <v>0</v>
      </c>
      <c r="F282">
        <f>IFERROR(SUMIFS('Match Log'!$I$4:$I$810,'Match Log'!$A$4:$A$810,258,'Match Log'!$E$4:$E$810,"Win"),"")</f>
        <v>0</v>
      </c>
      <c r="G282">
        <f>IF($D282="","",1-$F282*$E282)</f>
        <v>0</v>
      </c>
      <c r="H282" t="str">
        <f>IFERROR(IF($E282=2,LOOKUP(2,1/(('Match Log'!$A$4:$A$810=258)*('Match Log'!$E$4:$E$810="Loss")),'Match Log'!$D$4:$D$810),"the field"),"")</f>
      </c>
      <c r="I282">
        <f>IF($G282="","",$G282-$A282/1000000)</f>
        <v>0</v>
      </c>
      <c r="J282">
        <v>258</v>
      </c>
      <c r="K282">
        <f>IF($J282&gt;MAX('Match Log'!$A$4:$A$810),NA(),IFERROR(LOOKUP(2,1/(('Match Log'!$D$4:$D$810=$K$24)*('Match Log'!$A$4:$A$810&lt;=$J282)),'Match Log'!$N$4:$N$810),NA()))</f>
        <v>0</v>
      </c>
      <c r="L282">
        <f>IF($J282&gt;MAX('Match Log'!$A$4:$A$810),NA(),IFERROR(LOOKUP(2,1/(('Match Log'!$D$4:$D$810=$L$24)*('Match Log'!$A$4:$A$810&lt;=$J282)),'Match Log'!$N$4:$N$810),NA()))</f>
        <v>0</v>
      </c>
      <c r="M282">
        <f>IF($J282&gt;MAX('Match Log'!$A$4:$A$810),NA(),IFERROR(LOOKUP(2,1/(('Match Log'!$D$4:$D$810=$M$24)*('Match Log'!$A$4:$A$810&lt;=$J282)),'Match Log'!$N$4:$N$810),NA()))</f>
        <v>0</v>
      </c>
      <c r="N282">
        <f>IF($J282&gt;MAX('Match Log'!$A$4:$A$810),NA(),IFERROR(LOOKUP(2,1/(('Match Log'!$D$4:$D$810=$N$24)*('Match Log'!$A$4:$A$810&lt;=$J282)),'Match Log'!$N$4:$N$810),NA()))</f>
        <v>0</v>
      </c>
      <c r="O282">
        <f>IF($J282&gt;MAX('Match Log'!$A$4:$A$810),NA(),IFERROR(LOOKUP(2,1/(('Match Log'!$D$4:$D$810=$O$24)*('Match Log'!$A$4:$A$810&lt;=$J282)),'Match Log'!$N$4:$N$810),NA()))</f>
        <v>0</v>
      </c>
      <c r="P282">
        <f>IF($J282&gt;MAX('Match Log'!$A$4:$A$810),NA(),IFERROR(LOOKUP(2,1/(('Match Log'!$D$4:$D$810=$P$24)*('Match Log'!$A$4:$A$810&lt;=$J282)),'Match Log'!$N$4:$N$810),NA()))</f>
        <v>0</v>
      </c>
      <c r="Q282">
        <f>IF($J282&gt;MAX('Match Log'!$A$4:$A$810),NA(),IFERROR(LOOKUP(2,1/(('Match Log'!$D$4:$D$810=$Q$24)*('Match Log'!$A$4:$A$810&lt;=$J282)),'Match Log'!$N$4:$N$810),NA()))</f>
        <v>0</v>
      </c>
      <c r="R282">
        <f>IF($J282&gt;MAX('Match Log'!$A$4:$A$810),NA(),IFERROR(LOOKUP(2,1/(('Match Log'!$D$4:$D$810=$R$24)*('Match Log'!$A$4:$A$810&lt;=$J282)),'Match Log'!$N$4:$N$810),NA()))</f>
        <v>0</v>
      </c>
      <c r="S282">
        <f>IF($J282&gt;MAX('Match Log'!$A$4:$A$810),NA(),IFERROR(LOOKUP(2,1/(('Match Log'!$D$4:$D$810=$S$24)*('Match Log'!$A$4:$A$810&lt;=$J282)),'Match Log'!$N$4:$N$810),NA()))</f>
        <v>0</v>
      </c>
      <c r="T282">
        <f>IF($J282&gt;MAX('Match Log'!$A$4:$A$810),NA(),IFERROR(LOOKUP(2,1/(('Match Log'!$D$4:$D$810=$T$24)*('Match Log'!$A$4:$A$810&lt;=$J282)),'Match Log'!$N$4:$N$810),NA()))</f>
        <v>0</v>
      </c>
      <c r="U282">
        <f>IF($J282&gt;MAX('Match Log'!$A$4:$A$810),NA(),IFERROR(LOOKUP(2,1/(('Match Log'!$D$4:$D$810=$U$24)*('Match Log'!$A$4:$A$810&lt;=$J282)),'Match Log'!$N$4:$N$810),NA()))</f>
        <v>0</v>
      </c>
      <c r="V282">
        <f>IF($J282&gt;MAX('Match Log'!$A$4:$A$810),NA(),IFERROR(LOOKUP(2,1/(('Match Log'!$D$4:$D$810=$V$24)*('Match Log'!$A$4:$A$810&lt;=$J282)),'Match Log'!$N$4:$N$810),NA()))</f>
        <v>0</v>
      </c>
      <c r="W282">
        <f>IF($J282&gt;MAX('Match Log'!$A$4:$A$810),NA(),IFERROR(LOOKUP(2,1/(('Match Log'!$D$4:$D$810=$W$24)*('Match Log'!$A$4:$A$810&lt;=$J282)),'Match Log'!$N$4:$N$810),NA()))</f>
        <v>0</v>
      </c>
      <c r="X282">
        <f>IF($J282&gt;MAX('Match Log'!$A$4:$A$810),NA(),IFERROR(LOOKUP(2,1/(('Match Log'!$D$4:$D$810=$X$24)*('Match Log'!$A$4:$A$810&lt;=$J282)),'Match Log'!$N$4:$N$810),NA()))</f>
        <v>0</v>
      </c>
      <c r="Y282" t="str">
        <f>IF(AND($B282&lt;&gt;"",$B282&gt;=$B$5,$I282&lt;&gt;""),$I282,"")</f>
      </c>
    </row>
    <row r="283">
      <c r="A283">
        <v>259</v>
      </c>
      <c r="B283">
        <f>IFERROR(INDEX('Match Log'!$B$4:$B$810,MATCH(259,'Match Log'!$A$4:$A$810,0)),"")</f>
        <v>0</v>
      </c>
      <c r="C283" t="str">
        <f>IFERROR(INDEX('Match Log'!$C$4:$C$810,MATCH(259,'Match Log'!$A$4:$A$810,0)),"")</f>
      </c>
      <c r="D283" t="str">
        <f>IFERROR(INDEX('Match Log'!$G$4:$G$810,MATCH(259,'Match Log'!$A$4:$A$810,0)),"")</f>
      </c>
      <c r="E283">
        <f>IFERROR(INDEX('Match Log'!$F$4:$F$810,MATCH(259,'Match Log'!$A$4:$A$810,0)),"")</f>
        <v>0</v>
      </c>
      <c r="F283">
        <f>IFERROR(SUMIFS('Match Log'!$I$4:$I$810,'Match Log'!$A$4:$A$810,259,'Match Log'!$E$4:$E$810,"Win"),"")</f>
        <v>0</v>
      </c>
      <c r="G283">
        <f>IF($D283="","",1-$F283*$E283)</f>
        <v>0</v>
      </c>
      <c r="H283" t="str">
        <f>IFERROR(IF($E283=2,LOOKUP(2,1/(('Match Log'!$A$4:$A$810=259)*('Match Log'!$E$4:$E$810="Loss")),'Match Log'!$D$4:$D$810),"the field"),"")</f>
      </c>
      <c r="I283">
        <f>IF($G283="","",$G283-$A283/1000000)</f>
        <v>0</v>
      </c>
      <c r="J283">
        <v>259</v>
      </c>
      <c r="K283">
        <f>IF($J283&gt;MAX('Match Log'!$A$4:$A$810),NA(),IFERROR(LOOKUP(2,1/(('Match Log'!$D$4:$D$810=$K$24)*('Match Log'!$A$4:$A$810&lt;=$J283)),'Match Log'!$N$4:$N$810),NA()))</f>
        <v>0</v>
      </c>
      <c r="L283">
        <f>IF($J283&gt;MAX('Match Log'!$A$4:$A$810),NA(),IFERROR(LOOKUP(2,1/(('Match Log'!$D$4:$D$810=$L$24)*('Match Log'!$A$4:$A$810&lt;=$J283)),'Match Log'!$N$4:$N$810),NA()))</f>
        <v>0</v>
      </c>
      <c r="M283">
        <f>IF($J283&gt;MAX('Match Log'!$A$4:$A$810),NA(),IFERROR(LOOKUP(2,1/(('Match Log'!$D$4:$D$810=$M$24)*('Match Log'!$A$4:$A$810&lt;=$J283)),'Match Log'!$N$4:$N$810),NA()))</f>
        <v>0</v>
      </c>
      <c r="N283">
        <f>IF($J283&gt;MAX('Match Log'!$A$4:$A$810),NA(),IFERROR(LOOKUP(2,1/(('Match Log'!$D$4:$D$810=$N$24)*('Match Log'!$A$4:$A$810&lt;=$J283)),'Match Log'!$N$4:$N$810),NA()))</f>
        <v>0</v>
      </c>
      <c r="O283">
        <f>IF($J283&gt;MAX('Match Log'!$A$4:$A$810),NA(),IFERROR(LOOKUP(2,1/(('Match Log'!$D$4:$D$810=$O$24)*('Match Log'!$A$4:$A$810&lt;=$J283)),'Match Log'!$N$4:$N$810),NA()))</f>
        <v>0</v>
      </c>
      <c r="P283">
        <f>IF($J283&gt;MAX('Match Log'!$A$4:$A$810),NA(),IFERROR(LOOKUP(2,1/(('Match Log'!$D$4:$D$810=$P$24)*('Match Log'!$A$4:$A$810&lt;=$J283)),'Match Log'!$N$4:$N$810),NA()))</f>
        <v>0</v>
      </c>
      <c r="Q283">
        <f>IF($J283&gt;MAX('Match Log'!$A$4:$A$810),NA(),IFERROR(LOOKUP(2,1/(('Match Log'!$D$4:$D$810=$Q$24)*('Match Log'!$A$4:$A$810&lt;=$J283)),'Match Log'!$N$4:$N$810),NA()))</f>
        <v>0</v>
      </c>
      <c r="R283">
        <f>IF($J283&gt;MAX('Match Log'!$A$4:$A$810),NA(),IFERROR(LOOKUP(2,1/(('Match Log'!$D$4:$D$810=$R$24)*('Match Log'!$A$4:$A$810&lt;=$J283)),'Match Log'!$N$4:$N$810),NA()))</f>
        <v>0</v>
      </c>
      <c r="S283">
        <f>IF($J283&gt;MAX('Match Log'!$A$4:$A$810),NA(),IFERROR(LOOKUP(2,1/(('Match Log'!$D$4:$D$810=$S$24)*('Match Log'!$A$4:$A$810&lt;=$J283)),'Match Log'!$N$4:$N$810),NA()))</f>
        <v>0</v>
      </c>
      <c r="T283">
        <f>IF($J283&gt;MAX('Match Log'!$A$4:$A$810),NA(),IFERROR(LOOKUP(2,1/(('Match Log'!$D$4:$D$810=$T$24)*('Match Log'!$A$4:$A$810&lt;=$J283)),'Match Log'!$N$4:$N$810),NA()))</f>
        <v>0</v>
      </c>
      <c r="U283">
        <f>IF($J283&gt;MAX('Match Log'!$A$4:$A$810),NA(),IFERROR(LOOKUP(2,1/(('Match Log'!$D$4:$D$810=$U$24)*('Match Log'!$A$4:$A$810&lt;=$J283)),'Match Log'!$N$4:$N$810),NA()))</f>
        <v>0</v>
      </c>
      <c r="V283">
        <f>IF($J283&gt;MAX('Match Log'!$A$4:$A$810),NA(),IFERROR(LOOKUP(2,1/(('Match Log'!$D$4:$D$810=$V$24)*('Match Log'!$A$4:$A$810&lt;=$J283)),'Match Log'!$N$4:$N$810),NA()))</f>
        <v>0</v>
      </c>
      <c r="W283">
        <f>IF($J283&gt;MAX('Match Log'!$A$4:$A$810),NA(),IFERROR(LOOKUP(2,1/(('Match Log'!$D$4:$D$810=$W$24)*('Match Log'!$A$4:$A$810&lt;=$J283)),'Match Log'!$N$4:$N$810),NA()))</f>
        <v>0</v>
      </c>
      <c r="X283">
        <f>IF($J283&gt;MAX('Match Log'!$A$4:$A$810),NA(),IFERROR(LOOKUP(2,1/(('Match Log'!$D$4:$D$810=$X$24)*('Match Log'!$A$4:$A$810&lt;=$J283)),'Match Log'!$N$4:$N$810),NA()))</f>
        <v>0</v>
      </c>
      <c r="Y283" t="str">
        <f>IF(AND($B283&lt;&gt;"",$B283&gt;=$B$5,$I283&lt;&gt;""),$I283,"")</f>
      </c>
    </row>
    <row r="284">
      <c r="A284">
        <v>260</v>
      </c>
      <c r="B284">
        <f>IFERROR(INDEX('Match Log'!$B$4:$B$810,MATCH(260,'Match Log'!$A$4:$A$810,0)),"")</f>
        <v>0</v>
      </c>
      <c r="C284" t="str">
        <f>IFERROR(INDEX('Match Log'!$C$4:$C$810,MATCH(260,'Match Log'!$A$4:$A$810,0)),"")</f>
      </c>
      <c r="D284" t="str">
        <f>IFERROR(INDEX('Match Log'!$G$4:$G$810,MATCH(260,'Match Log'!$A$4:$A$810,0)),"")</f>
      </c>
      <c r="E284">
        <f>IFERROR(INDEX('Match Log'!$F$4:$F$810,MATCH(260,'Match Log'!$A$4:$A$810,0)),"")</f>
        <v>0</v>
      </c>
      <c r="F284">
        <f>IFERROR(SUMIFS('Match Log'!$I$4:$I$810,'Match Log'!$A$4:$A$810,260,'Match Log'!$E$4:$E$810,"Win"),"")</f>
        <v>0</v>
      </c>
      <c r="G284">
        <f>IF($D284="","",1-$F284*$E284)</f>
        <v>0</v>
      </c>
      <c r="H284" t="str">
        <f>IFERROR(IF($E284=2,LOOKUP(2,1/(('Match Log'!$A$4:$A$810=260)*('Match Log'!$E$4:$E$810="Loss")),'Match Log'!$D$4:$D$810),"the field"),"")</f>
      </c>
      <c r="I284">
        <f>IF($G284="","",$G284-$A284/1000000)</f>
        <v>0</v>
      </c>
      <c r="J284">
        <v>260</v>
      </c>
      <c r="K284">
        <f>IF($J284&gt;MAX('Match Log'!$A$4:$A$810),NA(),IFERROR(LOOKUP(2,1/(('Match Log'!$D$4:$D$810=$K$24)*('Match Log'!$A$4:$A$810&lt;=$J284)),'Match Log'!$N$4:$N$810),NA()))</f>
        <v>0</v>
      </c>
      <c r="L284">
        <f>IF($J284&gt;MAX('Match Log'!$A$4:$A$810),NA(),IFERROR(LOOKUP(2,1/(('Match Log'!$D$4:$D$810=$L$24)*('Match Log'!$A$4:$A$810&lt;=$J284)),'Match Log'!$N$4:$N$810),NA()))</f>
        <v>0</v>
      </c>
      <c r="M284">
        <f>IF($J284&gt;MAX('Match Log'!$A$4:$A$810),NA(),IFERROR(LOOKUP(2,1/(('Match Log'!$D$4:$D$810=$M$24)*('Match Log'!$A$4:$A$810&lt;=$J284)),'Match Log'!$N$4:$N$810),NA()))</f>
        <v>0</v>
      </c>
      <c r="N284">
        <f>IF($J284&gt;MAX('Match Log'!$A$4:$A$810),NA(),IFERROR(LOOKUP(2,1/(('Match Log'!$D$4:$D$810=$N$24)*('Match Log'!$A$4:$A$810&lt;=$J284)),'Match Log'!$N$4:$N$810),NA()))</f>
        <v>0</v>
      </c>
      <c r="O284">
        <f>IF($J284&gt;MAX('Match Log'!$A$4:$A$810),NA(),IFERROR(LOOKUP(2,1/(('Match Log'!$D$4:$D$810=$O$24)*('Match Log'!$A$4:$A$810&lt;=$J284)),'Match Log'!$N$4:$N$810),NA()))</f>
        <v>0</v>
      </c>
      <c r="P284">
        <f>IF($J284&gt;MAX('Match Log'!$A$4:$A$810),NA(),IFERROR(LOOKUP(2,1/(('Match Log'!$D$4:$D$810=$P$24)*('Match Log'!$A$4:$A$810&lt;=$J284)),'Match Log'!$N$4:$N$810),NA()))</f>
        <v>0</v>
      </c>
      <c r="Q284">
        <f>IF($J284&gt;MAX('Match Log'!$A$4:$A$810),NA(),IFERROR(LOOKUP(2,1/(('Match Log'!$D$4:$D$810=$Q$24)*('Match Log'!$A$4:$A$810&lt;=$J284)),'Match Log'!$N$4:$N$810),NA()))</f>
        <v>0</v>
      </c>
      <c r="R284">
        <f>IF($J284&gt;MAX('Match Log'!$A$4:$A$810),NA(),IFERROR(LOOKUP(2,1/(('Match Log'!$D$4:$D$810=$R$24)*('Match Log'!$A$4:$A$810&lt;=$J284)),'Match Log'!$N$4:$N$810),NA()))</f>
        <v>0</v>
      </c>
      <c r="S284">
        <f>IF($J284&gt;MAX('Match Log'!$A$4:$A$810),NA(),IFERROR(LOOKUP(2,1/(('Match Log'!$D$4:$D$810=$S$24)*('Match Log'!$A$4:$A$810&lt;=$J284)),'Match Log'!$N$4:$N$810),NA()))</f>
        <v>0</v>
      </c>
      <c r="T284">
        <f>IF($J284&gt;MAX('Match Log'!$A$4:$A$810),NA(),IFERROR(LOOKUP(2,1/(('Match Log'!$D$4:$D$810=$T$24)*('Match Log'!$A$4:$A$810&lt;=$J284)),'Match Log'!$N$4:$N$810),NA()))</f>
        <v>0</v>
      </c>
      <c r="U284">
        <f>IF($J284&gt;MAX('Match Log'!$A$4:$A$810),NA(),IFERROR(LOOKUP(2,1/(('Match Log'!$D$4:$D$810=$U$24)*('Match Log'!$A$4:$A$810&lt;=$J284)),'Match Log'!$N$4:$N$810),NA()))</f>
        <v>0</v>
      </c>
      <c r="V284">
        <f>IF($J284&gt;MAX('Match Log'!$A$4:$A$810),NA(),IFERROR(LOOKUP(2,1/(('Match Log'!$D$4:$D$810=$V$24)*('Match Log'!$A$4:$A$810&lt;=$J284)),'Match Log'!$N$4:$N$810),NA()))</f>
        <v>0</v>
      </c>
      <c r="W284">
        <f>IF($J284&gt;MAX('Match Log'!$A$4:$A$810),NA(),IFERROR(LOOKUP(2,1/(('Match Log'!$D$4:$D$810=$W$24)*('Match Log'!$A$4:$A$810&lt;=$J284)),'Match Log'!$N$4:$N$810),NA()))</f>
        <v>0</v>
      </c>
      <c r="X284">
        <f>IF($J284&gt;MAX('Match Log'!$A$4:$A$810),NA(),IFERROR(LOOKUP(2,1/(('Match Log'!$D$4:$D$810=$X$24)*('Match Log'!$A$4:$A$810&lt;=$J284)),'Match Log'!$N$4:$N$810),NA()))</f>
        <v>0</v>
      </c>
      <c r="Y284" t="str">
        <f>IF(AND($B284&lt;&gt;"",$B284&gt;=$B$5,$I284&lt;&gt;""),$I284,"")</f>
      </c>
    </row>
    <row r="285">
      <c r="A285">
        <v>261</v>
      </c>
      <c r="B285">
        <f>IFERROR(INDEX('Match Log'!$B$4:$B$810,MATCH(261,'Match Log'!$A$4:$A$810,0)),"")</f>
        <v>0</v>
      </c>
      <c r="C285" t="str">
        <f>IFERROR(INDEX('Match Log'!$C$4:$C$810,MATCH(261,'Match Log'!$A$4:$A$810,0)),"")</f>
      </c>
      <c r="D285" t="str">
        <f>IFERROR(INDEX('Match Log'!$G$4:$G$810,MATCH(261,'Match Log'!$A$4:$A$810,0)),"")</f>
      </c>
      <c r="E285">
        <f>IFERROR(INDEX('Match Log'!$F$4:$F$810,MATCH(261,'Match Log'!$A$4:$A$810,0)),"")</f>
        <v>0</v>
      </c>
      <c r="F285">
        <f>IFERROR(SUMIFS('Match Log'!$I$4:$I$810,'Match Log'!$A$4:$A$810,261,'Match Log'!$E$4:$E$810,"Win"),"")</f>
        <v>0</v>
      </c>
      <c r="G285">
        <f>IF($D285="","",1-$F285*$E285)</f>
        <v>0</v>
      </c>
      <c r="H285" t="str">
        <f>IFERROR(IF($E285=2,LOOKUP(2,1/(('Match Log'!$A$4:$A$810=261)*('Match Log'!$E$4:$E$810="Loss")),'Match Log'!$D$4:$D$810),"the field"),"")</f>
      </c>
      <c r="I285">
        <f>IF($G285="","",$G285-$A285/1000000)</f>
        <v>0</v>
      </c>
      <c r="J285">
        <v>261</v>
      </c>
      <c r="K285">
        <f>IF($J285&gt;MAX('Match Log'!$A$4:$A$810),NA(),IFERROR(LOOKUP(2,1/(('Match Log'!$D$4:$D$810=$K$24)*('Match Log'!$A$4:$A$810&lt;=$J285)),'Match Log'!$N$4:$N$810),NA()))</f>
        <v>0</v>
      </c>
      <c r="L285">
        <f>IF($J285&gt;MAX('Match Log'!$A$4:$A$810),NA(),IFERROR(LOOKUP(2,1/(('Match Log'!$D$4:$D$810=$L$24)*('Match Log'!$A$4:$A$810&lt;=$J285)),'Match Log'!$N$4:$N$810),NA()))</f>
        <v>0</v>
      </c>
      <c r="M285">
        <f>IF($J285&gt;MAX('Match Log'!$A$4:$A$810),NA(),IFERROR(LOOKUP(2,1/(('Match Log'!$D$4:$D$810=$M$24)*('Match Log'!$A$4:$A$810&lt;=$J285)),'Match Log'!$N$4:$N$810),NA()))</f>
        <v>0</v>
      </c>
      <c r="N285">
        <f>IF($J285&gt;MAX('Match Log'!$A$4:$A$810),NA(),IFERROR(LOOKUP(2,1/(('Match Log'!$D$4:$D$810=$N$24)*('Match Log'!$A$4:$A$810&lt;=$J285)),'Match Log'!$N$4:$N$810),NA()))</f>
        <v>0</v>
      </c>
      <c r="O285">
        <f>IF($J285&gt;MAX('Match Log'!$A$4:$A$810),NA(),IFERROR(LOOKUP(2,1/(('Match Log'!$D$4:$D$810=$O$24)*('Match Log'!$A$4:$A$810&lt;=$J285)),'Match Log'!$N$4:$N$810),NA()))</f>
        <v>0</v>
      </c>
      <c r="P285">
        <f>IF($J285&gt;MAX('Match Log'!$A$4:$A$810),NA(),IFERROR(LOOKUP(2,1/(('Match Log'!$D$4:$D$810=$P$24)*('Match Log'!$A$4:$A$810&lt;=$J285)),'Match Log'!$N$4:$N$810),NA()))</f>
        <v>0</v>
      </c>
      <c r="Q285">
        <f>IF($J285&gt;MAX('Match Log'!$A$4:$A$810),NA(),IFERROR(LOOKUP(2,1/(('Match Log'!$D$4:$D$810=$Q$24)*('Match Log'!$A$4:$A$810&lt;=$J285)),'Match Log'!$N$4:$N$810),NA()))</f>
        <v>0</v>
      </c>
      <c r="R285">
        <f>IF($J285&gt;MAX('Match Log'!$A$4:$A$810),NA(),IFERROR(LOOKUP(2,1/(('Match Log'!$D$4:$D$810=$R$24)*('Match Log'!$A$4:$A$810&lt;=$J285)),'Match Log'!$N$4:$N$810),NA()))</f>
        <v>0</v>
      </c>
      <c r="S285">
        <f>IF($J285&gt;MAX('Match Log'!$A$4:$A$810),NA(),IFERROR(LOOKUP(2,1/(('Match Log'!$D$4:$D$810=$S$24)*('Match Log'!$A$4:$A$810&lt;=$J285)),'Match Log'!$N$4:$N$810),NA()))</f>
        <v>0</v>
      </c>
      <c r="T285">
        <f>IF($J285&gt;MAX('Match Log'!$A$4:$A$810),NA(),IFERROR(LOOKUP(2,1/(('Match Log'!$D$4:$D$810=$T$24)*('Match Log'!$A$4:$A$810&lt;=$J285)),'Match Log'!$N$4:$N$810),NA()))</f>
        <v>0</v>
      </c>
      <c r="U285">
        <f>IF($J285&gt;MAX('Match Log'!$A$4:$A$810),NA(),IFERROR(LOOKUP(2,1/(('Match Log'!$D$4:$D$810=$U$24)*('Match Log'!$A$4:$A$810&lt;=$J285)),'Match Log'!$N$4:$N$810),NA()))</f>
        <v>0</v>
      </c>
      <c r="V285">
        <f>IF($J285&gt;MAX('Match Log'!$A$4:$A$810),NA(),IFERROR(LOOKUP(2,1/(('Match Log'!$D$4:$D$810=$V$24)*('Match Log'!$A$4:$A$810&lt;=$J285)),'Match Log'!$N$4:$N$810),NA()))</f>
        <v>0</v>
      </c>
      <c r="W285">
        <f>IF($J285&gt;MAX('Match Log'!$A$4:$A$810),NA(),IFERROR(LOOKUP(2,1/(('Match Log'!$D$4:$D$810=$W$24)*('Match Log'!$A$4:$A$810&lt;=$J285)),'Match Log'!$N$4:$N$810),NA()))</f>
        <v>0</v>
      </c>
      <c r="X285">
        <f>IF($J285&gt;MAX('Match Log'!$A$4:$A$810),NA(),IFERROR(LOOKUP(2,1/(('Match Log'!$D$4:$D$810=$X$24)*('Match Log'!$A$4:$A$810&lt;=$J285)),'Match Log'!$N$4:$N$810),NA()))</f>
        <v>0</v>
      </c>
      <c r="Y285" t="str">
        <f>IF(AND($B285&lt;&gt;"",$B285&gt;=$B$5,$I285&lt;&gt;""),$I285,"")</f>
      </c>
    </row>
    <row r="286">
      <c r="A286">
        <v>262</v>
      </c>
      <c r="B286">
        <f>IFERROR(INDEX('Match Log'!$B$4:$B$810,MATCH(262,'Match Log'!$A$4:$A$810,0)),"")</f>
        <v>0</v>
      </c>
      <c r="C286" t="str">
        <f>IFERROR(INDEX('Match Log'!$C$4:$C$810,MATCH(262,'Match Log'!$A$4:$A$810,0)),"")</f>
      </c>
      <c r="D286" t="str">
        <f>IFERROR(INDEX('Match Log'!$G$4:$G$810,MATCH(262,'Match Log'!$A$4:$A$810,0)),"")</f>
      </c>
      <c r="E286">
        <f>IFERROR(INDEX('Match Log'!$F$4:$F$810,MATCH(262,'Match Log'!$A$4:$A$810,0)),"")</f>
        <v>0</v>
      </c>
      <c r="F286">
        <f>IFERROR(SUMIFS('Match Log'!$I$4:$I$810,'Match Log'!$A$4:$A$810,262,'Match Log'!$E$4:$E$810,"Win"),"")</f>
        <v>0</v>
      </c>
      <c r="G286">
        <f>IF($D286="","",1-$F286*$E286)</f>
        <v>0</v>
      </c>
      <c r="H286" t="str">
        <f>IFERROR(IF($E286=2,LOOKUP(2,1/(('Match Log'!$A$4:$A$810=262)*('Match Log'!$E$4:$E$810="Loss")),'Match Log'!$D$4:$D$810),"the field"),"")</f>
      </c>
      <c r="I286">
        <f>IF($G286="","",$G286-$A286/1000000)</f>
        <v>0</v>
      </c>
      <c r="J286">
        <v>262</v>
      </c>
      <c r="K286">
        <f>IF($J286&gt;MAX('Match Log'!$A$4:$A$810),NA(),IFERROR(LOOKUP(2,1/(('Match Log'!$D$4:$D$810=$K$24)*('Match Log'!$A$4:$A$810&lt;=$J286)),'Match Log'!$N$4:$N$810),NA()))</f>
        <v>0</v>
      </c>
      <c r="L286">
        <f>IF($J286&gt;MAX('Match Log'!$A$4:$A$810),NA(),IFERROR(LOOKUP(2,1/(('Match Log'!$D$4:$D$810=$L$24)*('Match Log'!$A$4:$A$810&lt;=$J286)),'Match Log'!$N$4:$N$810),NA()))</f>
        <v>0</v>
      </c>
      <c r="M286">
        <f>IF($J286&gt;MAX('Match Log'!$A$4:$A$810),NA(),IFERROR(LOOKUP(2,1/(('Match Log'!$D$4:$D$810=$M$24)*('Match Log'!$A$4:$A$810&lt;=$J286)),'Match Log'!$N$4:$N$810),NA()))</f>
        <v>0</v>
      </c>
      <c r="N286">
        <f>IF($J286&gt;MAX('Match Log'!$A$4:$A$810),NA(),IFERROR(LOOKUP(2,1/(('Match Log'!$D$4:$D$810=$N$24)*('Match Log'!$A$4:$A$810&lt;=$J286)),'Match Log'!$N$4:$N$810),NA()))</f>
        <v>0</v>
      </c>
      <c r="O286">
        <f>IF($J286&gt;MAX('Match Log'!$A$4:$A$810),NA(),IFERROR(LOOKUP(2,1/(('Match Log'!$D$4:$D$810=$O$24)*('Match Log'!$A$4:$A$810&lt;=$J286)),'Match Log'!$N$4:$N$810),NA()))</f>
        <v>0</v>
      </c>
      <c r="P286">
        <f>IF($J286&gt;MAX('Match Log'!$A$4:$A$810),NA(),IFERROR(LOOKUP(2,1/(('Match Log'!$D$4:$D$810=$P$24)*('Match Log'!$A$4:$A$810&lt;=$J286)),'Match Log'!$N$4:$N$810),NA()))</f>
        <v>0</v>
      </c>
      <c r="Q286">
        <f>IF($J286&gt;MAX('Match Log'!$A$4:$A$810),NA(),IFERROR(LOOKUP(2,1/(('Match Log'!$D$4:$D$810=$Q$24)*('Match Log'!$A$4:$A$810&lt;=$J286)),'Match Log'!$N$4:$N$810),NA()))</f>
        <v>0</v>
      </c>
      <c r="R286">
        <f>IF($J286&gt;MAX('Match Log'!$A$4:$A$810),NA(),IFERROR(LOOKUP(2,1/(('Match Log'!$D$4:$D$810=$R$24)*('Match Log'!$A$4:$A$810&lt;=$J286)),'Match Log'!$N$4:$N$810),NA()))</f>
        <v>0</v>
      </c>
      <c r="S286">
        <f>IF($J286&gt;MAX('Match Log'!$A$4:$A$810),NA(),IFERROR(LOOKUP(2,1/(('Match Log'!$D$4:$D$810=$S$24)*('Match Log'!$A$4:$A$810&lt;=$J286)),'Match Log'!$N$4:$N$810),NA()))</f>
        <v>0</v>
      </c>
      <c r="T286">
        <f>IF($J286&gt;MAX('Match Log'!$A$4:$A$810),NA(),IFERROR(LOOKUP(2,1/(('Match Log'!$D$4:$D$810=$T$24)*('Match Log'!$A$4:$A$810&lt;=$J286)),'Match Log'!$N$4:$N$810),NA()))</f>
        <v>0</v>
      </c>
      <c r="U286">
        <f>IF($J286&gt;MAX('Match Log'!$A$4:$A$810),NA(),IFERROR(LOOKUP(2,1/(('Match Log'!$D$4:$D$810=$U$24)*('Match Log'!$A$4:$A$810&lt;=$J286)),'Match Log'!$N$4:$N$810),NA()))</f>
        <v>0</v>
      </c>
      <c r="V286">
        <f>IF($J286&gt;MAX('Match Log'!$A$4:$A$810),NA(),IFERROR(LOOKUP(2,1/(('Match Log'!$D$4:$D$810=$V$24)*('Match Log'!$A$4:$A$810&lt;=$J286)),'Match Log'!$N$4:$N$810),NA()))</f>
        <v>0</v>
      </c>
      <c r="W286">
        <f>IF($J286&gt;MAX('Match Log'!$A$4:$A$810),NA(),IFERROR(LOOKUP(2,1/(('Match Log'!$D$4:$D$810=$W$24)*('Match Log'!$A$4:$A$810&lt;=$J286)),'Match Log'!$N$4:$N$810),NA()))</f>
        <v>0</v>
      </c>
      <c r="X286">
        <f>IF($J286&gt;MAX('Match Log'!$A$4:$A$810),NA(),IFERROR(LOOKUP(2,1/(('Match Log'!$D$4:$D$810=$X$24)*('Match Log'!$A$4:$A$810&lt;=$J286)),'Match Log'!$N$4:$N$810),NA()))</f>
        <v>0</v>
      </c>
      <c r="Y286" t="str">
        <f>IF(AND($B286&lt;&gt;"",$B286&gt;=$B$5,$I286&lt;&gt;""),$I286,"")</f>
      </c>
    </row>
    <row r="287">
      <c r="A287">
        <v>263</v>
      </c>
      <c r="B287">
        <f>IFERROR(INDEX('Match Log'!$B$4:$B$810,MATCH(263,'Match Log'!$A$4:$A$810,0)),"")</f>
        <v>0</v>
      </c>
      <c r="C287" t="str">
        <f>IFERROR(INDEX('Match Log'!$C$4:$C$810,MATCH(263,'Match Log'!$A$4:$A$810,0)),"")</f>
      </c>
      <c r="D287" t="str">
        <f>IFERROR(INDEX('Match Log'!$G$4:$G$810,MATCH(263,'Match Log'!$A$4:$A$810,0)),"")</f>
      </c>
      <c r="E287">
        <f>IFERROR(INDEX('Match Log'!$F$4:$F$810,MATCH(263,'Match Log'!$A$4:$A$810,0)),"")</f>
        <v>0</v>
      </c>
      <c r="F287">
        <f>IFERROR(SUMIFS('Match Log'!$I$4:$I$810,'Match Log'!$A$4:$A$810,263,'Match Log'!$E$4:$E$810,"Win"),"")</f>
        <v>0</v>
      </c>
      <c r="G287">
        <f>IF($D287="","",1-$F287*$E287)</f>
        <v>0</v>
      </c>
      <c r="H287" t="str">
        <f>IFERROR(IF($E287=2,LOOKUP(2,1/(('Match Log'!$A$4:$A$810=263)*('Match Log'!$E$4:$E$810="Loss")),'Match Log'!$D$4:$D$810),"the field"),"")</f>
      </c>
      <c r="I287">
        <f>IF($G287="","",$G287-$A287/1000000)</f>
        <v>0</v>
      </c>
      <c r="J287">
        <v>263</v>
      </c>
      <c r="K287">
        <f>IF($J287&gt;MAX('Match Log'!$A$4:$A$810),NA(),IFERROR(LOOKUP(2,1/(('Match Log'!$D$4:$D$810=$K$24)*('Match Log'!$A$4:$A$810&lt;=$J287)),'Match Log'!$N$4:$N$810),NA()))</f>
        <v>0</v>
      </c>
      <c r="L287">
        <f>IF($J287&gt;MAX('Match Log'!$A$4:$A$810),NA(),IFERROR(LOOKUP(2,1/(('Match Log'!$D$4:$D$810=$L$24)*('Match Log'!$A$4:$A$810&lt;=$J287)),'Match Log'!$N$4:$N$810),NA()))</f>
        <v>0</v>
      </c>
      <c r="M287">
        <f>IF($J287&gt;MAX('Match Log'!$A$4:$A$810),NA(),IFERROR(LOOKUP(2,1/(('Match Log'!$D$4:$D$810=$M$24)*('Match Log'!$A$4:$A$810&lt;=$J287)),'Match Log'!$N$4:$N$810),NA()))</f>
        <v>0</v>
      </c>
      <c r="N287">
        <f>IF($J287&gt;MAX('Match Log'!$A$4:$A$810),NA(),IFERROR(LOOKUP(2,1/(('Match Log'!$D$4:$D$810=$N$24)*('Match Log'!$A$4:$A$810&lt;=$J287)),'Match Log'!$N$4:$N$810),NA()))</f>
        <v>0</v>
      </c>
      <c r="O287">
        <f>IF($J287&gt;MAX('Match Log'!$A$4:$A$810),NA(),IFERROR(LOOKUP(2,1/(('Match Log'!$D$4:$D$810=$O$24)*('Match Log'!$A$4:$A$810&lt;=$J287)),'Match Log'!$N$4:$N$810),NA()))</f>
        <v>0</v>
      </c>
      <c r="P287">
        <f>IF($J287&gt;MAX('Match Log'!$A$4:$A$810),NA(),IFERROR(LOOKUP(2,1/(('Match Log'!$D$4:$D$810=$P$24)*('Match Log'!$A$4:$A$810&lt;=$J287)),'Match Log'!$N$4:$N$810),NA()))</f>
        <v>0</v>
      </c>
      <c r="Q287">
        <f>IF($J287&gt;MAX('Match Log'!$A$4:$A$810),NA(),IFERROR(LOOKUP(2,1/(('Match Log'!$D$4:$D$810=$Q$24)*('Match Log'!$A$4:$A$810&lt;=$J287)),'Match Log'!$N$4:$N$810),NA()))</f>
        <v>0</v>
      </c>
      <c r="R287">
        <f>IF($J287&gt;MAX('Match Log'!$A$4:$A$810),NA(),IFERROR(LOOKUP(2,1/(('Match Log'!$D$4:$D$810=$R$24)*('Match Log'!$A$4:$A$810&lt;=$J287)),'Match Log'!$N$4:$N$810),NA()))</f>
        <v>0</v>
      </c>
      <c r="S287">
        <f>IF($J287&gt;MAX('Match Log'!$A$4:$A$810),NA(),IFERROR(LOOKUP(2,1/(('Match Log'!$D$4:$D$810=$S$24)*('Match Log'!$A$4:$A$810&lt;=$J287)),'Match Log'!$N$4:$N$810),NA()))</f>
        <v>0</v>
      </c>
      <c r="T287">
        <f>IF($J287&gt;MAX('Match Log'!$A$4:$A$810),NA(),IFERROR(LOOKUP(2,1/(('Match Log'!$D$4:$D$810=$T$24)*('Match Log'!$A$4:$A$810&lt;=$J287)),'Match Log'!$N$4:$N$810),NA()))</f>
        <v>0</v>
      </c>
      <c r="U287">
        <f>IF($J287&gt;MAX('Match Log'!$A$4:$A$810),NA(),IFERROR(LOOKUP(2,1/(('Match Log'!$D$4:$D$810=$U$24)*('Match Log'!$A$4:$A$810&lt;=$J287)),'Match Log'!$N$4:$N$810),NA()))</f>
        <v>0</v>
      </c>
      <c r="V287">
        <f>IF($J287&gt;MAX('Match Log'!$A$4:$A$810),NA(),IFERROR(LOOKUP(2,1/(('Match Log'!$D$4:$D$810=$V$24)*('Match Log'!$A$4:$A$810&lt;=$J287)),'Match Log'!$N$4:$N$810),NA()))</f>
        <v>0</v>
      </c>
      <c r="W287">
        <f>IF($J287&gt;MAX('Match Log'!$A$4:$A$810),NA(),IFERROR(LOOKUP(2,1/(('Match Log'!$D$4:$D$810=$W$24)*('Match Log'!$A$4:$A$810&lt;=$J287)),'Match Log'!$N$4:$N$810),NA()))</f>
        <v>0</v>
      </c>
      <c r="X287">
        <f>IF($J287&gt;MAX('Match Log'!$A$4:$A$810),NA(),IFERROR(LOOKUP(2,1/(('Match Log'!$D$4:$D$810=$X$24)*('Match Log'!$A$4:$A$810&lt;=$J287)),'Match Log'!$N$4:$N$810),NA()))</f>
        <v>0</v>
      </c>
      <c r="Y287" t="str">
        <f>IF(AND($B287&lt;&gt;"",$B287&gt;=$B$5,$I287&lt;&gt;""),$I287,"")</f>
      </c>
    </row>
    <row r="288">
      <c r="A288">
        <v>264</v>
      </c>
      <c r="B288">
        <f>IFERROR(INDEX('Match Log'!$B$4:$B$810,MATCH(264,'Match Log'!$A$4:$A$810,0)),"")</f>
        <v>0</v>
      </c>
      <c r="C288" t="str">
        <f>IFERROR(INDEX('Match Log'!$C$4:$C$810,MATCH(264,'Match Log'!$A$4:$A$810,0)),"")</f>
      </c>
      <c r="D288" t="str">
        <f>IFERROR(INDEX('Match Log'!$G$4:$G$810,MATCH(264,'Match Log'!$A$4:$A$810,0)),"")</f>
      </c>
      <c r="E288">
        <f>IFERROR(INDEX('Match Log'!$F$4:$F$810,MATCH(264,'Match Log'!$A$4:$A$810,0)),"")</f>
        <v>0</v>
      </c>
      <c r="F288">
        <f>IFERROR(SUMIFS('Match Log'!$I$4:$I$810,'Match Log'!$A$4:$A$810,264,'Match Log'!$E$4:$E$810,"Win"),"")</f>
        <v>0</v>
      </c>
      <c r="G288">
        <f>IF($D288="","",1-$F288*$E288)</f>
        <v>0</v>
      </c>
      <c r="H288" t="str">
        <f>IFERROR(IF($E288=2,LOOKUP(2,1/(('Match Log'!$A$4:$A$810=264)*('Match Log'!$E$4:$E$810="Loss")),'Match Log'!$D$4:$D$810),"the field"),"")</f>
      </c>
      <c r="I288">
        <f>IF($G288="","",$G288-$A288/1000000)</f>
        <v>0</v>
      </c>
      <c r="J288">
        <v>264</v>
      </c>
      <c r="K288">
        <f>IF($J288&gt;MAX('Match Log'!$A$4:$A$810),NA(),IFERROR(LOOKUP(2,1/(('Match Log'!$D$4:$D$810=$K$24)*('Match Log'!$A$4:$A$810&lt;=$J288)),'Match Log'!$N$4:$N$810),NA()))</f>
        <v>0</v>
      </c>
      <c r="L288">
        <f>IF($J288&gt;MAX('Match Log'!$A$4:$A$810),NA(),IFERROR(LOOKUP(2,1/(('Match Log'!$D$4:$D$810=$L$24)*('Match Log'!$A$4:$A$810&lt;=$J288)),'Match Log'!$N$4:$N$810),NA()))</f>
        <v>0</v>
      </c>
      <c r="M288">
        <f>IF($J288&gt;MAX('Match Log'!$A$4:$A$810),NA(),IFERROR(LOOKUP(2,1/(('Match Log'!$D$4:$D$810=$M$24)*('Match Log'!$A$4:$A$810&lt;=$J288)),'Match Log'!$N$4:$N$810),NA()))</f>
        <v>0</v>
      </c>
      <c r="N288">
        <f>IF($J288&gt;MAX('Match Log'!$A$4:$A$810),NA(),IFERROR(LOOKUP(2,1/(('Match Log'!$D$4:$D$810=$N$24)*('Match Log'!$A$4:$A$810&lt;=$J288)),'Match Log'!$N$4:$N$810),NA()))</f>
        <v>0</v>
      </c>
      <c r="O288">
        <f>IF($J288&gt;MAX('Match Log'!$A$4:$A$810),NA(),IFERROR(LOOKUP(2,1/(('Match Log'!$D$4:$D$810=$O$24)*('Match Log'!$A$4:$A$810&lt;=$J288)),'Match Log'!$N$4:$N$810),NA()))</f>
        <v>0</v>
      </c>
      <c r="P288">
        <f>IF($J288&gt;MAX('Match Log'!$A$4:$A$810),NA(),IFERROR(LOOKUP(2,1/(('Match Log'!$D$4:$D$810=$P$24)*('Match Log'!$A$4:$A$810&lt;=$J288)),'Match Log'!$N$4:$N$810),NA()))</f>
        <v>0</v>
      </c>
      <c r="Q288">
        <f>IF($J288&gt;MAX('Match Log'!$A$4:$A$810),NA(),IFERROR(LOOKUP(2,1/(('Match Log'!$D$4:$D$810=$Q$24)*('Match Log'!$A$4:$A$810&lt;=$J288)),'Match Log'!$N$4:$N$810),NA()))</f>
        <v>0</v>
      </c>
      <c r="R288">
        <f>IF($J288&gt;MAX('Match Log'!$A$4:$A$810),NA(),IFERROR(LOOKUP(2,1/(('Match Log'!$D$4:$D$810=$R$24)*('Match Log'!$A$4:$A$810&lt;=$J288)),'Match Log'!$N$4:$N$810),NA()))</f>
        <v>0</v>
      </c>
      <c r="S288">
        <f>IF($J288&gt;MAX('Match Log'!$A$4:$A$810),NA(),IFERROR(LOOKUP(2,1/(('Match Log'!$D$4:$D$810=$S$24)*('Match Log'!$A$4:$A$810&lt;=$J288)),'Match Log'!$N$4:$N$810),NA()))</f>
        <v>0</v>
      </c>
      <c r="T288">
        <f>IF($J288&gt;MAX('Match Log'!$A$4:$A$810),NA(),IFERROR(LOOKUP(2,1/(('Match Log'!$D$4:$D$810=$T$24)*('Match Log'!$A$4:$A$810&lt;=$J288)),'Match Log'!$N$4:$N$810),NA()))</f>
        <v>0</v>
      </c>
      <c r="U288">
        <f>IF($J288&gt;MAX('Match Log'!$A$4:$A$810),NA(),IFERROR(LOOKUP(2,1/(('Match Log'!$D$4:$D$810=$U$24)*('Match Log'!$A$4:$A$810&lt;=$J288)),'Match Log'!$N$4:$N$810),NA()))</f>
        <v>0</v>
      </c>
      <c r="V288">
        <f>IF($J288&gt;MAX('Match Log'!$A$4:$A$810),NA(),IFERROR(LOOKUP(2,1/(('Match Log'!$D$4:$D$810=$V$24)*('Match Log'!$A$4:$A$810&lt;=$J288)),'Match Log'!$N$4:$N$810),NA()))</f>
        <v>0</v>
      </c>
      <c r="W288">
        <f>IF($J288&gt;MAX('Match Log'!$A$4:$A$810),NA(),IFERROR(LOOKUP(2,1/(('Match Log'!$D$4:$D$810=$W$24)*('Match Log'!$A$4:$A$810&lt;=$J288)),'Match Log'!$N$4:$N$810),NA()))</f>
        <v>0</v>
      </c>
      <c r="X288">
        <f>IF($J288&gt;MAX('Match Log'!$A$4:$A$810),NA(),IFERROR(LOOKUP(2,1/(('Match Log'!$D$4:$D$810=$X$24)*('Match Log'!$A$4:$A$810&lt;=$J288)),'Match Log'!$N$4:$N$810),NA()))</f>
        <v>0</v>
      </c>
      <c r="Y288" t="str">
        <f>IF(AND($B288&lt;&gt;"",$B288&gt;=$B$5,$I288&lt;&gt;""),$I288,"")</f>
      </c>
    </row>
    <row r="289">
      <c r="A289">
        <v>265</v>
      </c>
      <c r="B289">
        <f>IFERROR(INDEX('Match Log'!$B$4:$B$810,MATCH(265,'Match Log'!$A$4:$A$810,0)),"")</f>
        <v>0</v>
      </c>
      <c r="C289" t="str">
        <f>IFERROR(INDEX('Match Log'!$C$4:$C$810,MATCH(265,'Match Log'!$A$4:$A$810,0)),"")</f>
      </c>
      <c r="D289" t="str">
        <f>IFERROR(INDEX('Match Log'!$G$4:$G$810,MATCH(265,'Match Log'!$A$4:$A$810,0)),"")</f>
      </c>
      <c r="E289">
        <f>IFERROR(INDEX('Match Log'!$F$4:$F$810,MATCH(265,'Match Log'!$A$4:$A$810,0)),"")</f>
        <v>0</v>
      </c>
      <c r="F289">
        <f>IFERROR(SUMIFS('Match Log'!$I$4:$I$810,'Match Log'!$A$4:$A$810,265,'Match Log'!$E$4:$E$810,"Win"),"")</f>
        <v>0</v>
      </c>
      <c r="G289">
        <f>IF($D289="","",1-$F289*$E289)</f>
        <v>0</v>
      </c>
      <c r="H289" t="str">
        <f>IFERROR(IF($E289=2,LOOKUP(2,1/(('Match Log'!$A$4:$A$810=265)*('Match Log'!$E$4:$E$810="Loss")),'Match Log'!$D$4:$D$810),"the field"),"")</f>
      </c>
      <c r="I289">
        <f>IF($G289="","",$G289-$A289/1000000)</f>
        <v>0</v>
      </c>
      <c r="J289">
        <v>265</v>
      </c>
      <c r="K289">
        <f>IF($J289&gt;MAX('Match Log'!$A$4:$A$810),NA(),IFERROR(LOOKUP(2,1/(('Match Log'!$D$4:$D$810=$K$24)*('Match Log'!$A$4:$A$810&lt;=$J289)),'Match Log'!$N$4:$N$810),NA()))</f>
        <v>0</v>
      </c>
      <c r="L289">
        <f>IF($J289&gt;MAX('Match Log'!$A$4:$A$810),NA(),IFERROR(LOOKUP(2,1/(('Match Log'!$D$4:$D$810=$L$24)*('Match Log'!$A$4:$A$810&lt;=$J289)),'Match Log'!$N$4:$N$810),NA()))</f>
        <v>0</v>
      </c>
      <c r="M289">
        <f>IF($J289&gt;MAX('Match Log'!$A$4:$A$810),NA(),IFERROR(LOOKUP(2,1/(('Match Log'!$D$4:$D$810=$M$24)*('Match Log'!$A$4:$A$810&lt;=$J289)),'Match Log'!$N$4:$N$810),NA()))</f>
        <v>0</v>
      </c>
      <c r="N289">
        <f>IF($J289&gt;MAX('Match Log'!$A$4:$A$810),NA(),IFERROR(LOOKUP(2,1/(('Match Log'!$D$4:$D$810=$N$24)*('Match Log'!$A$4:$A$810&lt;=$J289)),'Match Log'!$N$4:$N$810),NA()))</f>
        <v>0</v>
      </c>
      <c r="O289">
        <f>IF($J289&gt;MAX('Match Log'!$A$4:$A$810),NA(),IFERROR(LOOKUP(2,1/(('Match Log'!$D$4:$D$810=$O$24)*('Match Log'!$A$4:$A$810&lt;=$J289)),'Match Log'!$N$4:$N$810),NA()))</f>
        <v>0</v>
      </c>
      <c r="P289">
        <f>IF($J289&gt;MAX('Match Log'!$A$4:$A$810),NA(),IFERROR(LOOKUP(2,1/(('Match Log'!$D$4:$D$810=$P$24)*('Match Log'!$A$4:$A$810&lt;=$J289)),'Match Log'!$N$4:$N$810),NA()))</f>
        <v>0</v>
      </c>
      <c r="Q289">
        <f>IF($J289&gt;MAX('Match Log'!$A$4:$A$810),NA(),IFERROR(LOOKUP(2,1/(('Match Log'!$D$4:$D$810=$Q$24)*('Match Log'!$A$4:$A$810&lt;=$J289)),'Match Log'!$N$4:$N$810),NA()))</f>
        <v>0</v>
      </c>
      <c r="R289">
        <f>IF($J289&gt;MAX('Match Log'!$A$4:$A$810),NA(),IFERROR(LOOKUP(2,1/(('Match Log'!$D$4:$D$810=$R$24)*('Match Log'!$A$4:$A$810&lt;=$J289)),'Match Log'!$N$4:$N$810),NA()))</f>
        <v>0</v>
      </c>
      <c r="S289">
        <f>IF($J289&gt;MAX('Match Log'!$A$4:$A$810),NA(),IFERROR(LOOKUP(2,1/(('Match Log'!$D$4:$D$810=$S$24)*('Match Log'!$A$4:$A$810&lt;=$J289)),'Match Log'!$N$4:$N$810),NA()))</f>
        <v>0</v>
      </c>
      <c r="T289">
        <f>IF($J289&gt;MAX('Match Log'!$A$4:$A$810),NA(),IFERROR(LOOKUP(2,1/(('Match Log'!$D$4:$D$810=$T$24)*('Match Log'!$A$4:$A$810&lt;=$J289)),'Match Log'!$N$4:$N$810),NA()))</f>
        <v>0</v>
      </c>
      <c r="U289">
        <f>IF($J289&gt;MAX('Match Log'!$A$4:$A$810),NA(),IFERROR(LOOKUP(2,1/(('Match Log'!$D$4:$D$810=$U$24)*('Match Log'!$A$4:$A$810&lt;=$J289)),'Match Log'!$N$4:$N$810),NA()))</f>
        <v>0</v>
      </c>
      <c r="V289">
        <f>IF($J289&gt;MAX('Match Log'!$A$4:$A$810),NA(),IFERROR(LOOKUP(2,1/(('Match Log'!$D$4:$D$810=$V$24)*('Match Log'!$A$4:$A$810&lt;=$J289)),'Match Log'!$N$4:$N$810),NA()))</f>
        <v>0</v>
      </c>
      <c r="W289">
        <f>IF($J289&gt;MAX('Match Log'!$A$4:$A$810),NA(),IFERROR(LOOKUP(2,1/(('Match Log'!$D$4:$D$810=$W$24)*('Match Log'!$A$4:$A$810&lt;=$J289)),'Match Log'!$N$4:$N$810),NA()))</f>
        <v>0</v>
      </c>
      <c r="X289">
        <f>IF($J289&gt;MAX('Match Log'!$A$4:$A$810),NA(),IFERROR(LOOKUP(2,1/(('Match Log'!$D$4:$D$810=$X$24)*('Match Log'!$A$4:$A$810&lt;=$J289)),'Match Log'!$N$4:$N$810),NA()))</f>
        <v>0</v>
      </c>
      <c r="Y289" t="str">
        <f>IF(AND($B289&lt;&gt;"",$B289&gt;=$B$5,$I289&lt;&gt;""),$I289,"")</f>
      </c>
    </row>
    <row r="290">
      <c r="A290">
        <v>266</v>
      </c>
      <c r="B290">
        <f>IFERROR(INDEX('Match Log'!$B$4:$B$810,MATCH(266,'Match Log'!$A$4:$A$810,0)),"")</f>
        <v>0</v>
      </c>
      <c r="C290" t="str">
        <f>IFERROR(INDEX('Match Log'!$C$4:$C$810,MATCH(266,'Match Log'!$A$4:$A$810,0)),"")</f>
      </c>
      <c r="D290" t="str">
        <f>IFERROR(INDEX('Match Log'!$G$4:$G$810,MATCH(266,'Match Log'!$A$4:$A$810,0)),"")</f>
      </c>
      <c r="E290">
        <f>IFERROR(INDEX('Match Log'!$F$4:$F$810,MATCH(266,'Match Log'!$A$4:$A$810,0)),"")</f>
        <v>0</v>
      </c>
      <c r="F290">
        <f>IFERROR(SUMIFS('Match Log'!$I$4:$I$810,'Match Log'!$A$4:$A$810,266,'Match Log'!$E$4:$E$810,"Win"),"")</f>
        <v>0</v>
      </c>
      <c r="G290">
        <f>IF($D290="","",1-$F290*$E290)</f>
        <v>0</v>
      </c>
      <c r="H290" t="str">
        <f>IFERROR(IF($E290=2,LOOKUP(2,1/(('Match Log'!$A$4:$A$810=266)*('Match Log'!$E$4:$E$810="Loss")),'Match Log'!$D$4:$D$810),"the field"),"")</f>
      </c>
      <c r="I290">
        <f>IF($G290="","",$G290-$A290/1000000)</f>
        <v>0</v>
      </c>
      <c r="J290">
        <v>266</v>
      </c>
      <c r="K290">
        <f>IF($J290&gt;MAX('Match Log'!$A$4:$A$810),NA(),IFERROR(LOOKUP(2,1/(('Match Log'!$D$4:$D$810=$K$24)*('Match Log'!$A$4:$A$810&lt;=$J290)),'Match Log'!$N$4:$N$810),NA()))</f>
        <v>0</v>
      </c>
      <c r="L290">
        <f>IF($J290&gt;MAX('Match Log'!$A$4:$A$810),NA(),IFERROR(LOOKUP(2,1/(('Match Log'!$D$4:$D$810=$L$24)*('Match Log'!$A$4:$A$810&lt;=$J290)),'Match Log'!$N$4:$N$810),NA()))</f>
        <v>0</v>
      </c>
      <c r="M290">
        <f>IF($J290&gt;MAX('Match Log'!$A$4:$A$810),NA(),IFERROR(LOOKUP(2,1/(('Match Log'!$D$4:$D$810=$M$24)*('Match Log'!$A$4:$A$810&lt;=$J290)),'Match Log'!$N$4:$N$810),NA()))</f>
        <v>0</v>
      </c>
      <c r="N290">
        <f>IF($J290&gt;MAX('Match Log'!$A$4:$A$810),NA(),IFERROR(LOOKUP(2,1/(('Match Log'!$D$4:$D$810=$N$24)*('Match Log'!$A$4:$A$810&lt;=$J290)),'Match Log'!$N$4:$N$810),NA()))</f>
        <v>0</v>
      </c>
      <c r="O290">
        <f>IF($J290&gt;MAX('Match Log'!$A$4:$A$810),NA(),IFERROR(LOOKUP(2,1/(('Match Log'!$D$4:$D$810=$O$24)*('Match Log'!$A$4:$A$810&lt;=$J290)),'Match Log'!$N$4:$N$810),NA()))</f>
        <v>0</v>
      </c>
      <c r="P290">
        <f>IF($J290&gt;MAX('Match Log'!$A$4:$A$810),NA(),IFERROR(LOOKUP(2,1/(('Match Log'!$D$4:$D$810=$P$24)*('Match Log'!$A$4:$A$810&lt;=$J290)),'Match Log'!$N$4:$N$810),NA()))</f>
        <v>0</v>
      </c>
      <c r="Q290">
        <f>IF($J290&gt;MAX('Match Log'!$A$4:$A$810),NA(),IFERROR(LOOKUP(2,1/(('Match Log'!$D$4:$D$810=$Q$24)*('Match Log'!$A$4:$A$810&lt;=$J290)),'Match Log'!$N$4:$N$810),NA()))</f>
        <v>0</v>
      </c>
      <c r="R290">
        <f>IF($J290&gt;MAX('Match Log'!$A$4:$A$810),NA(),IFERROR(LOOKUP(2,1/(('Match Log'!$D$4:$D$810=$R$24)*('Match Log'!$A$4:$A$810&lt;=$J290)),'Match Log'!$N$4:$N$810),NA()))</f>
        <v>0</v>
      </c>
      <c r="S290">
        <f>IF($J290&gt;MAX('Match Log'!$A$4:$A$810),NA(),IFERROR(LOOKUP(2,1/(('Match Log'!$D$4:$D$810=$S$24)*('Match Log'!$A$4:$A$810&lt;=$J290)),'Match Log'!$N$4:$N$810),NA()))</f>
        <v>0</v>
      </c>
      <c r="T290">
        <f>IF($J290&gt;MAX('Match Log'!$A$4:$A$810),NA(),IFERROR(LOOKUP(2,1/(('Match Log'!$D$4:$D$810=$T$24)*('Match Log'!$A$4:$A$810&lt;=$J290)),'Match Log'!$N$4:$N$810),NA()))</f>
        <v>0</v>
      </c>
      <c r="U290">
        <f>IF($J290&gt;MAX('Match Log'!$A$4:$A$810),NA(),IFERROR(LOOKUP(2,1/(('Match Log'!$D$4:$D$810=$U$24)*('Match Log'!$A$4:$A$810&lt;=$J290)),'Match Log'!$N$4:$N$810),NA()))</f>
        <v>0</v>
      </c>
      <c r="V290">
        <f>IF($J290&gt;MAX('Match Log'!$A$4:$A$810),NA(),IFERROR(LOOKUP(2,1/(('Match Log'!$D$4:$D$810=$V$24)*('Match Log'!$A$4:$A$810&lt;=$J290)),'Match Log'!$N$4:$N$810),NA()))</f>
        <v>0</v>
      </c>
      <c r="W290">
        <f>IF($J290&gt;MAX('Match Log'!$A$4:$A$810),NA(),IFERROR(LOOKUP(2,1/(('Match Log'!$D$4:$D$810=$W$24)*('Match Log'!$A$4:$A$810&lt;=$J290)),'Match Log'!$N$4:$N$810),NA()))</f>
        <v>0</v>
      </c>
      <c r="X290">
        <f>IF($J290&gt;MAX('Match Log'!$A$4:$A$810),NA(),IFERROR(LOOKUP(2,1/(('Match Log'!$D$4:$D$810=$X$24)*('Match Log'!$A$4:$A$810&lt;=$J290)),'Match Log'!$N$4:$N$810),NA()))</f>
        <v>0</v>
      </c>
      <c r="Y290" t="str">
        <f>IF(AND($B290&lt;&gt;"",$B290&gt;=$B$5,$I290&lt;&gt;""),$I290,"")</f>
      </c>
    </row>
    <row r="291">
      <c r="A291">
        <v>267</v>
      </c>
      <c r="B291">
        <f>IFERROR(INDEX('Match Log'!$B$4:$B$810,MATCH(267,'Match Log'!$A$4:$A$810,0)),"")</f>
        <v>0</v>
      </c>
      <c r="C291" t="str">
        <f>IFERROR(INDEX('Match Log'!$C$4:$C$810,MATCH(267,'Match Log'!$A$4:$A$810,0)),"")</f>
      </c>
      <c r="D291" t="str">
        <f>IFERROR(INDEX('Match Log'!$G$4:$G$810,MATCH(267,'Match Log'!$A$4:$A$810,0)),"")</f>
      </c>
      <c r="E291">
        <f>IFERROR(INDEX('Match Log'!$F$4:$F$810,MATCH(267,'Match Log'!$A$4:$A$810,0)),"")</f>
        <v>0</v>
      </c>
      <c r="F291">
        <f>IFERROR(SUMIFS('Match Log'!$I$4:$I$810,'Match Log'!$A$4:$A$810,267,'Match Log'!$E$4:$E$810,"Win"),"")</f>
        <v>0</v>
      </c>
      <c r="G291">
        <f>IF($D291="","",1-$F291*$E291)</f>
        <v>0</v>
      </c>
      <c r="H291" t="str">
        <f>IFERROR(IF($E291=2,LOOKUP(2,1/(('Match Log'!$A$4:$A$810=267)*('Match Log'!$E$4:$E$810="Loss")),'Match Log'!$D$4:$D$810),"the field"),"")</f>
      </c>
      <c r="I291">
        <f>IF($G291="","",$G291-$A291/1000000)</f>
        <v>0</v>
      </c>
      <c r="J291">
        <v>267</v>
      </c>
      <c r="K291">
        <f>IF($J291&gt;MAX('Match Log'!$A$4:$A$810),NA(),IFERROR(LOOKUP(2,1/(('Match Log'!$D$4:$D$810=$K$24)*('Match Log'!$A$4:$A$810&lt;=$J291)),'Match Log'!$N$4:$N$810),NA()))</f>
        <v>0</v>
      </c>
      <c r="L291">
        <f>IF($J291&gt;MAX('Match Log'!$A$4:$A$810),NA(),IFERROR(LOOKUP(2,1/(('Match Log'!$D$4:$D$810=$L$24)*('Match Log'!$A$4:$A$810&lt;=$J291)),'Match Log'!$N$4:$N$810),NA()))</f>
        <v>0</v>
      </c>
      <c r="M291">
        <f>IF($J291&gt;MAX('Match Log'!$A$4:$A$810),NA(),IFERROR(LOOKUP(2,1/(('Match Log'!$D$4:$D$810=$M$24)*('Match Log'!$A$4:$A$810&lt;=$J291)),'Match Log'!$N$4:$N$810),NA()))</f>
        <v>0</v>
      </c>
      <c r="N291">
        <f>IF($J291&gt;MAX('Match Log'!$A$4:$A$810),NA(),IFERROR(LOOKUP(2,1/(('Match Log'!$D$4:$D$810=$N$24)*('Match Log'!$A$4:$A$810&lt;=$J291)),'Match Log'!$N$4:$N$810),NA()))</f>
        <v>0</v>
      </c>
      <c r="O291">
        <f>IF($J291&gt;MAX('Match Log'!$A$4:$A$810),NA(),IFERROR(LOOKUP(2,1/(('Match Log'!$D$4:$D$810=$O$24)*('Match Log'!$A$4:$A$810&lt;=$J291)),'Match Log'!$N$4:$N$810),NA()))</f>
        <v>0</v>
      </c>
      <c r="P291">
        <f>IF($J291&gt;MAX('Match Log'!$A$4:$A$810),NA(),IFERROR(LOOKUP(2,1/(('Match Log'!$D$4:$D$810=$P$24)*('Match Log'!$A$4:$A$810&lt;=$J291)),'Match Log'!$N$4:$N$810),NA()))</f>
        <v>0</v>
      </c>
      <c r="Q291">
        <f>IF($J291&gt;MAX('Match Log'!$A$4:$A$810),NA(),IFERROR(LOOKUP(2,1/(('Match Log'!$D$4:$D$810=$Q$24)*('Match Log'!$A$4:$A$810&lt;=$J291)),'Match Log'!$N$4:$N$810),NA()))</f>
        <v>0</v>
      </c>
      <c r="R291">
        <f>IF($J291&gt;MAX('Match Log'!$A$4:$A$810),NA(),IFERROR(LOOKUP(2,1/(('Match Log'!$D$4:$D$810=$R$24)*('Match Log'!$A$4:$A$810&lt;=$J291)),'Match Log'!$N$4:$N$810),NA()))</f>
        <v>0</v>
      </c>
      <c r="S291">
        <f>IF($J291&gt;MAX('Match Log'!$A$4:$A$810),NA(),IFERROR(LOOKUP(2,1/(('Match Log'!$D$4:$D$810=$S$24)*('Match Log'!$A$4:$A$810&lt;=$J291)),'Match Log'!$N$4:$N$810),NA()))</f>
        <v>0</v>
      </c>
      <c r="T291">
        <f>IF($J291&gt;MAX('Match Log'!$A$4:$A$810),NA(),IFERROR(LOOKUP(2,1/(('Match Log'!$D$4:$D$810=$T$24)*('Match Log'!$A$4:$A$810&lt;=$J291)),'Match Log'!$N$4:$N$810),NA()))</f>
        <v>0</v>
      </c>
      <c r="U291">
        <f>IF($J291&gt;MAX('Match Log'!$A$4:$A$810),NA(),IFERROR(LOOKUP(2,1/(('Match Log'!$D$4:$D$810=$U$24)*('Match Log'!$A$4:$A$810&lt;=$J291)),'Match Log'!$N$4:$N$810),NA()))</f>
        <v>0</v>
      </c>
      <c r="V291">
        <f>IF($J291&gt;MAX('Match Log'!$A$4:$A$810),NA(),IFERROR(LOOKUP(2,1/(('Match Log'!$D$4:$D$810=$V$24)*('Match Log'!$A$4:$A$810&lt;=$J291)),'Match Log'!$N$4:$N$810),NA()))</f>
        <v>0</v>
      </c>
      <c r="W291">
        <f>IF($J291&gt;MAX('Match Log'!$A$4:$A$810),NA(),IFERROR(LOOKUP(2,1/(('Match Log'!$D$4:$D$810=$W$24)*('Match Log'!$A$4:$A$810&lt;=$J291)),'Match Log'!$N$4:$N$810),NA()))</f>
        <v>0</v>
      </c>
      <c r="X291">
        <f>IF($J291&gt;MAX('Match Log'!$A$4:$A$810),NA(),IFERROR(LOOKUP(2,1/(('Match Log'!$D$4:$D$810=$X$24)*('Match Log'!$A$4:$A$810&lt;=$J291)),'Match Log'!$N$4:$N$810),NA()))</f>
        <v>0</v>
      </c>
      <c r="Y291" t="str">
        <f>IF(AND($B291&lt;&gt;"",$B291&gt;=$B$5,$I291&lt;&gt;""),$I291,"")</f>
      </c>
    </row>
    <row r="292">
      <c r="A292">
        <v>268</v>
      </c>
      <c r="B292">
        <f>IFERROR(INDEX('Match Log'!$B$4:$B$810,MATCH(268,'Match Log'!$A$4:$A$810,0)),"")</f>
        <v>0</v>
      </c>
      <c r="C292" t="str">
        <f>IFERROR(INDEX('Match Log'!$C$4:$C$810,MATCH(268,'Match Log'!$A$4:$A$810,0)),"")</f>
      </c>
      <c r="D292" t="str">
        <f>IFERROR(INDEX('Match Log'!$G$4:$G$810,MATCH(268,'Match Log'!$A$4:$A$810,0)),"")</f>
      </c>
      <c r="E292">
        <f>IFERROR(INDEX('Match Log'!$F$4:$F$810,MATCH(268,'Match Log'!$A$4:$A$810,0)),"")</f>
        <v>0</v>
      </c>
      <c r="F292">
        <f>IFERROR(SUMIFS('Match Log'!$I$4:$I$810,'Match Log'!$A$4:$A$810,268,'Match Log'!$E$4:$E$810,"Win"),"")</f>
        <v>0</v>
      </c>
      <c r="G292">
        <f>IF($D292="","",1-$F292*$E292)</f>
        <v>0</v>
      </c>
      <c r="H292" t="str">
        <f>IFERROR(IF($E292=2,LOOKUP(2,1/(('Match Log'!$A$4:$A$810=268)*('Match Log'!$E$4:$E$810="Loss")),'Match Log'!$D$4:$D$810),"the field"),"")</f>
      </c>
      <c r="I292">
        <f>IF($G292="","",$G292-$A292/1000000)</f>
        <v>0</v>
      </c>
      <c r="J292">
        <v>268</v>
      </c>
      <c r="K292">
        <f>IF($J292&gt;MAX('Match Log'!$A$4:$A$810),NA(),IFERROR(LOOKUP(2,1/(('Match Log'!$D$4:$D$810=$K$24)*('Match Log'!$A$4:$A$810&lt;=$J292)),'Match Log'!$N$4:$N$810),NA()))</f>
        <v>0</v>
      </c>
      <c r="L292">
        <f>IF($J292&gt;MAX('Match Log'!$A$4:$A$810),NA(),IFERROR(LOOKUP(2,1/(('Match Log'!$D$4:$D$810=$L$24)*('Match Log'!$A$4:$A$810&lt;=$J292)),'Match Log'!$N$4:$N$810),NA()))</f>
        <v>0</v>
      </c>
      <c r="M292">
        <f>IF($J292&gt;MAX('Match Log'!$A$4:$A$810),NA(),IFERROR(LOOKUP(2,1/(('Match Log'!$D$4:$D$810=$M$24)*('Match Log'!$A$4:$A$810&lt;=$J292)),'Match Log'!$N$4:$N$810),NA()))</f>
        <v>0</v>
      </c>
      <c r="N292">
        <f>IF($J292&gt;MAX('Match Log'!$A$4:$A$810),NA(),IFERROR(LOOKUP(2,1/(('Match Log'!$D$4:$D$810=$N$24)*('Match Log'!$A$4:$A$810&lt;=$J292)),'Match Log'!$N$4:$N$810),NA()))</f>
        <v>0</v>
      </c>
      <c r="O292">
        <f>IF($J292&gt;MAX('Match Log'!$A$4:$A$810),NA(),IFERROR(LOOKUP(2,1/(('Match Log'!$D$4:$D$810=$O$24)*('Match Log'!$A$4:$A$810&lt;=$J292)),'Match Log'!$N$4:$N$810),NA()))</f>
        <v>0</v>
      </c>
      <c r="P292">
        <f>IF($J292&gt;MAX('Match Log'!$A$4:$A$810),NA(),IFERROR(LOOKUP(2,1/(('Match Log'!$D$4:$D$810=$P$24)*('Match Log'!$A$4:$A$810&lt;=$J292)),'Match Log'!$N$4:$N$810),NA()))</f>
        <v>0</v>
      </c>
      <c r="Q292">
        <f>IF($J292&gt;MAX('Match Log'!$A$4:$A$810),NA(),IFERROR(LOOKUP(2,1/(('Match Log'!$D$4:$D$810=$Q$24)*('Match Log'!$A$4:$A$810&lt;=$J292)),'Match Log'!$N$4:$N$810),NA()))</f>
        <v>0</v>
      </c>
      <c r="R292">
        <f>IF($J292&gt;MAX('Match Log'!$A$4:$A$810),NA(),IFERROR(LOOKUP(2,1/(('Match Log'!$D$4:$D$810=$R$24)*('Match Log'!$A$4:$A$810&lt;=$J292)),'Match Log'!$N$4:$N$810),NA()))</f>
        <v>0</v>
      </c>
      <c r="S292">
        <f>IF($J292&gt;MAX('Match Log'!$A$4:$A$810),NA(),IFERROR(LOOKUP(2,1/(('Match Log'!$D$4:$D$810=$S$24)*('Match Log'!$A$4:$A$810&lt;=$J292)),'Match Log'!$N$4:$N$810),NA()))</f>
        <v>0</v>
      </c>
      <c r="T292">
        <f>IF($J292&gt;MAX('Match Log'!$A$4:$A$810),NA(),IFERROR(LOOKUP(2,1/(('Match Log'!$D$4:$D$810=$T$24)*('Match Log'!$A$4:$A$810&lt;=$J292)),'Match Log'!$N$4:$N$810),NA()))</f>
        <v>0</v>
      </c>
      <c r="U292">
        <f>IF($J292&gt;MAX('Match Log'!$A$4:$A$810),NA(),IFERROR(LOOKUP(2,1/(('Match Log'!$D$4:$D$810=$U$24)*('Match Log'!$A$4:$A$810&lt;=$J292)),'Match Log'!$N$4:$N$810),NA()))</f>
        <v>0</v>
      </c>
      <c r="V292">
        <f>IF($J292&gt;MAX('Match Log'!$A$4:$A$810),NA(),IFERROR(LOOKUP(2,1/(('Match Log'!$D$4:$D$810=$V$24)*('Match Log'!$A$4:$A$810&lt;=$J292)),'Match Log'!$N$4:$N$810),NA()))</f>
        <v>0</v>
      </c>
      <c r="W292">
        <f>IF($J292&gt;MAX('Match Log'!$A$4:$A$810),NA(),IFERROR(LOOKUP(2,1/(('Match Log'!$D$4:$D$810=$W$24)*('Match Log'!$A$4:$A$810&lt;=$J292)),'Match Log'!$N$4:$N$810),NA()))</f>
        <v>0</v>
      </c>
      <c r="X292">
        <f>IF($J292&gt;MAX('Match Log'!$A$4:$A$810),NA(),IFERROR(LOOKUP(2,1/(('Match Log'!$D$4:$D$810=$X$24)*('Match Log'!$A$4:$A$810&lt;=$J292)),'Match Log'!$N$4:$N$810),NA()))</f>
        <v>0</v>
      </c>
      <c r="Y292" t="str">
        <f>IF(AND($B292&lt;&gt;"",$B292&gt;=$B$5,$I292&lt;&gt;""),$I292,"")</f>
      </c>
    </row>
    <row r="293">
      <c r="A293">
        <v>269</v>
      </c>
      <c r="B293">
        <f>IFERROR(INDEX('Match Log'!$B$4:$B$810,MATCH(269,'Match Log'!$A$4:$A$810,0)),"")</f>
        <v>0</v>
      </c>
      <c r="C293" t="str">
        <f>IFERROR(INDEX('Match Log'!$C$4:$C$810,MATCH(269,'Match Log'!$A$4:$A$810,0)),"")</f>
      </c>
      <c r="D293" t="str">
        <f>IFERROR(INDEX('Match Log'!$G$4:$G$810,MATCH(269,'Match Log'!$A$4:$A$810,0)),"")</f>
      </c>
      <c r="E293">
        <f>IFERROR(INDEX('Match Log'!$F$4:$F$810,MATCH(269,'Match Log'!$A$4:$A$810,0)),"")</f>
        <v>0</v>
      </c>
      <c r="F293">
        <f>IFERROR(SUMIFS('Match Log'!$I$4:$I$810,'Match Log'!$A$4:$A$810,269,'Match Log'!$E$4:$E$810,"Win"),"")</f>
        <v>0</v>
      </c>
      <c r="G293">
        <f>IF($D293="","",1-$F293*$E293)</f>
        <v>0</v>
      </c>
      <c r="H293" t="str">
        <f>IFERROR(IF($E293=2,LOOKUP(2,1/(('Match Log'!$A$4:$A$810=269)*('Match Log'!$E$4:$E$810="Loss")),'Match Log'!$D$4:$D$810),"the field"),"")</f>
      </c>
      <c r="I293">
        <f>IF($G293="","",$G293-$A293/1000000)</f>
        <v>0</v>
      </c>
      <c r="J293">
        <v>269</v>
      </c>
      <c r="K293">
        <f>IF($J293&gt;MAX('Match Log'!$A$4:$A$810),NA(),IFERROR(LOOKUP(2,1/(('Match Log'!$D$4:$D$810=$K$24)*('Match Log'!$A$4:$A$810&lt;=$J293)),'Match Log'!$N$4:$N$810),NA()))</f>
        <v>0</v>
      </c>
      <c r="L293">
        <f>IF($J293&gt;MAX('Match Log'!$A$4:$A$810),NA(),IFERROR(LOOKUP(2,1/(('Match Log'!$D$4:$D$810=$L$24)*('Match Log'!$A$4:$A$810&lt;=$J293)),'Match Log'!$N$4:$N$810),NA()))</f>
        <v>0</v>
      </c>
      <c r="M293">
        <f>IF($J293&gt;MAX('Match Log'!$A$4:$A$810),NA(),IFERROR(LOOKUP(2,1/(('Match Log'!$D$4:$D$810=$M$24)*('Match Log'!$A$4:$A$810&lt;=$J293)),'Match Log'!$N$4:$N$810),NA()))</f>
        <v>0</v>
      </c>
      <c r="N293">
        <f>IF($J293&gt;MAX('Match Log'!$A$4:$A$810),NA(),IFERROR(LOOKUP(2,1/(('Match Log'!$D$4:$D$810=$N$24)*('Match Log'!$A$4:$A$810&lt;=$J293)),'Match Log'!$N$4:$N$810),NA()))</f>
        <v>0</v>
      </c>
      <c r="O293">
        <f>IF($J293&gt;MAX('Match Log'!$A$4:$A$810),NA(),IFERROR(LOOKUP(2,1/(('Match Log'!$D$4:$D$810=$O$24)*('Match Log'!$A$4:$A$810&lt;=$J293)),'Match Log'!$N$4:$N$810),NA()))</f>
        <v>0</v>
      </c>
      <c r="P293">
        <f>IF($J293&gt;MAX('Match Log'!$A$4:$A$810),NA(),IFERROR(LOOKUP(2,1/(('Match Log'!$D$4:$D$810=$P$24)*('Match Log'!$A$4:$A$810&lt;=$J293)),'Match Log'!$N$4:$N$810),NA()))</f>
        <v>0</v>
      </c>
      <c r="Q293">
        <f>IF($J293&gt;MAX('Match Log'!$A$4:$A$810),NA(),IFERROR(LOOKUP(2,1/(('Match Log'!$D$4:$D$810=$Q$24)*('Match Log'!$A$4:$A$810&lt;=$J293)),'Match Log'!$N$4:$N$810),NA()))</f>
        <v>0</v>
      </c>
      <c r="R293">
        <f>IF($J293&gt;MAX('Match Log'!$A$4:$A$810),NA(),IFERROR(LOOKUP(2,1/(('Match Log'!$D$4:$D$810=$R$24)*('Match Log'!$A$4:$A$810&lt;=$J293)),'Match Log'!$N$4:$N$810),NA()))</f>
        <v>0</v>
      </c>
      <c r="S293">
        <f>IF($J293&gt;MAX('Match Log'!$A$4:$A$810),NA(),IFERROR(LOOKUP(2,1/(('Match Log'!$D$4:$D$810=$S$24)*('Match Log'!$A$4:$A$810&lt;=$J293)),'Match Log'!$N$4:$N$810),NA()))</f>
        <v>0</v>
      </c>
      <c r="T293">
        <f>IF($J293&gt;MAX('Match Log'!$A$4:$A$810),NA(),IFERROR(LOOKUP(2,1/(('Match Log'!$D$4:$D$810=$T$24)*('Match Log'!$A$4:$A$810&lt;=$J293)),'Match Log'!$N$4:$N$810),NA()))</f>
        <v>0</v>
      </c>
      <c r="U293">
        <f>IF($J293&gt;MAX('Match Log'!$A$4:$A$810),NA(),IFERROR(LOOKUP(2,1/(('Match Log'!$D$4:$D$810=$U$24)*('Match Log'!$A$4:$A$810&lt;=$J293)),'Match Log'!$N$4:$N$810),NA()))</f>
        <v>0</v>
      </c>
      <c r="V293">
        <f>IF($J293&gt;MAX('Match Log'!$A$4:$A$810),NA(),IFERROR(LOOKUP(2,1/(('Match Log'!$D$4:$D$810=$V$24)*('Match Log'!$A$4:$A$810&lt;=$J293)),'Match Log'!$N$4:$N$810),NA()))</f>
        <v>0</v>
      </c>
      <c r="W293">
        <f>IF($J293&gt;MAX('Match Log'!$A$4:$A$810),NA(),IFERROR(LOOKUP(2,1/(('Match Log'!$D$4:$D$810=$W$24)*('Match Log'!$A$4:$A$810&lt;=$J293)),'Match Log'!$N$4:$N$810),NA()))</f>
        <v>0</v>
      </c>
      <c r="X293">
        <f>IF($J293&gt;MAX('Match Log'!$A$4:$A$810),NA(),IFERROR(LOOKUP(2,1/(('Match Log'!$D$4:$D$810=$X$24)*('Match Log'!$A$4:$A$810&lt;=$J293)),'Match Log'!$N$4:$N$810),NA()))</f>
        <v>0</v>
      </c>
      <c r="Y293" t="str">
        <f>IF(AND($B293&lt;&gt;"",$B293&gt;=$B$5,$I293&lt;&gt;""),$I293,"")</f>
      </c>
    </row>
    <row r="294">
      <c r="A294">
        <v>270</v>
      </c>
      <c r="B294">
        <f>IFERROR(INDEX('Match Log'!$B$4:$B$810,MATCH(270,'Match Log'!$A$4:$A$810,0)),"")</f>
        <v>0</v>
      </c>
      <c r="C294" t="str">
        <f>IFERROR(INDEX('Match Log'!$C$4:$C$810,MATCH(270,'Match Log'!$A$4:$A$810,0)),"")</f>
      </c>
      <c r="D294" t="str">
        <f>IFERROR(INDEX('Match Log'!$G$4:$G$810,MATCH(270,'Match Log'!$A$4:$A$810,0)),"")</f>
      </c>
      <c r="E294">
        <f>IFERROR(INDEX('Match Log'!$F$4:$F$810,MATCH(270,'Match Log'!$A$4:$A$810,0)),"")</f>
        <v>0</v>
      </c>
      <c r="F294">
        <f>IFERROR(SUMIFS('Match Log'!$I$4:$I$810,'Match Log'!$A$4:$A$810,270,'Match Log'!$E$4:$E$810,"Win"),"")</f>
        <v>0</v>
      </c>
      <c r="G294">
        <f>IF($D294="","",1-$F294*$E294)</f>
        <v>0</v>
      </c>
      <c r="H294" t="str">
        <f>IFERROR(IF($E294=2,LOOKUP(2,1/(('Match Log'!$A$4:$A$810=270)*('Match Log'!$E$4:$E$810="Loss")),'Match Log'!$D$4:$D$810),"the field"),"")</f>
      </c>
      <c r="I294">
        <f>IF($G294="","",$G294-$A294/1000000)</f>
        <v>0</v>
      </c>
      <c r="J294">
        <v>270</v>
      </c>
      <c r="K294">
        <f>IF($J294&gt;MAX('Match Log'!$A$4:$A$810),NA(),IFERROR(LOOKUP(2,1/(('Match Log'!$D$4:$D$810=$K$24)*('Match Log'!$A$4:$A$810&lt;=$J294)),'Match Log'!$N$4:$N$810),NA()))</f>
        <v>0</v>
      </c>
      <c r="L294">
        <f>IF($J294&gt;MAX('Match Log'!$A$4:$A$810),NA(),IFERROR(LOOKUP(2,1/(('Match Log'!$D$4:$D$810=$L$24)*('Match Log'!$A$4:$A$810&lt;=$J294)),'Match Log'!$N$4:$N$810),NA()))</f>
        <v>0</v>
      </c>
      <c r="M294">
        <f>IF($J294&gt;MAX('Match Log'!$A$4:$A$810),NA(),IFERROR(LOOKUP(2,1/(('Match Log'!$D$4:$D$810=$M$24)*('Match Log'!$A$4:$A$810&lt;=$J294)),'Match Log'!$N$4:$N$810),NA()))</f>
        <v>0</v>
      </c>
      <c r="N294">
        <f>IF($J294&gt;MAX('Match Log'!$A$4:$A$810),NA(),IFERROR(LOOKUP(2,1/(('Match Log'!$D$4:$D$810=$N$24)*('Match Log'!$A$4:$A$810&lt;=$J294)),'Match Log'!$N$4:$N$810),NA()))</f>
        <v>0</v>
      </c>
      <c r="O294">
        <f>IF($J294&gt;MAX('Match Log'!$A$4:$A$810),NA(),IFERROR(LOOKUP(2,1/(('Match Log'!$D$4:$D$810=$O$24)*('Match Log'!$A$4:$A$810&lt;=$J294)),'Match Log'!$N$4:$N$810),NA()))</f>
        <v>0</v>
      </c>
      <c r="P294">
        <f>IF($J294&gt;MAX('Match Log'!$A$4:$A$810),NA(),IFERROR(LOOKUP(2,1/(('Match Log'!$D$4:$D$810=$P$24)*('Match Log'!$A$4:$A$810&lt;=$J294)),'Match Log'!$N$4:$N$810),NA()))</f>
        <v>0</v>
      </c>
      <c r="Q294">
        <f>IF($J294&gt;MAX('Match Log'!$A$4:$A$810),NA(),IFERROR(LOOKUP(2,1/(('Match Log'!$D$4:$D$810=$Q$24)*('Match Log'!$A$4:$A$810&lt;=$J294)),'Match Log'!$N$4:$N$810),NA()))</f>
        <v>0</v>
      </c>
      <c r="R294">
        <f>IF($J294&gt;MAX('Match Log'!$A$4:$A$810),NA(),IFERROR(LOOKUP(2,1/(('Match Log'!$D$4:$D$810=$R$24)*('Match Log'!$A$4:$A$810&lt;=$J294)),'Match Log'!$N$4:$N$810),NA()))</f>
        <v>0</v>
      </c>
      <c r="S294">
        <f>IF($J294&gt;MAX('Match Log'!$A$4:$A$810),NA(),IFERROR(LOOKUP(2,1/(('Match Log'!$D$4:$D$810=$S$24)*('Match Log'!$A$4:$A$810&lt;=$J294)),'Match Log'!$N$4:$N$810),NA()))</f>
        <v>0</v>
      </c>
      <c r="T294">
        <f>IF($J294&gt;MAX('Match Log'!$A$4:$A$810),NA(),IFERROR(LOOKUP(2,1/(('Match Log'!$D$4:$D$810=$T$24)*('Match Log'!$A$4:$A$810&lt;=$J294)),'Match Log'!$N$4:$N$810),NA()))</f>
        <v>0</v>
      </c>
      <c r="U294">
        <f>IF($J294&gt;MAX('Match Log'!$A$4:$A$810),NA(),IFERROR(LOOKUP(2,1/(('Match Log'!$D$4:$D$810=$U$24)*('Match Log'!$A$4:$A$810&lt;=$J294)),'Match Log'!$N$4:$N$810),NA()))</f>
        <v>0</v>
      </c>
      <c r="V294">
        <f>IF($J294&gt;MAX('Match Log'!$A$4:$A$810),NA(),IFERROR(LOOKUP(2,1/(('Match Log'!$D$4:$D$810=$V$24)*('Match Log'!$A$4:$A$810&lt;=$J294)),'Match Log'!$N$4:$N$810),NA()))</f>
        <v>0</v>
      </c>
      <c r="W294">
        <f>IF($J294&gt;MAX('Match Log'!$A$4:$A$810),NA(),IFERROR(LOOKUP(2,1/(('Match Log'!$D$4:$D$810=$W$24)*('Match Log'!$A$4:$A$810&lt;=$J294)),'Match Log'!$N$4:$N$810),NA()))</f>
        <v>0</v>
      </c>
      <c r="X294">
        <f>IF($J294&gt;MAX('Match Log'!$A$4:$A$810),NA(),IFERROR(LOOKUP(2,1/(('Match Log'!$D$4:$D$810=$X$24)*('Match Log'!$A$4:$A$810&lt;=$J294)),'Match Log'!$N$4:$N$810),NA()))</f>
        <v>0</v>
      </c>
      <c r="Y294" t="str">
        <f>IF(AND($B294&lt;&gt;"",$B294&gt;=$B$5,$I294&lt;&gt;""),$I294,"")</f>
      </c>
    </row>
    <row r="295">
      <c r="A295">
        <v>271</v>
      </c>
      <c r="B295">
        <f>IFERROR(INDEX('Match Log'!$B$4:$B$810,MATCH(271,'Match Log'!$A$4:$A$810,0)),"")</f>
        <v>0</v>
      </c>
      <c r="C295" t="str">
        <f>IFERROR(INDEX('Match Log'!$C$4:$C$810,MATCH(271,'Match Log'!$A$4:$A$810,0)),"")</f>
      </c>
      <c r="D295" t="str">
        <f>IFERROR(INDEX('Match Log'!$G$4:$G$810,MATCH(271,'Match Log'!$A$4:$A$810,0)),"")</f>
      </c>
      <c r="E295">
        <f>IFERROR(INDEX('Match Log'!$F$4:$F$810,MATCH(271,'Match Log'!$A$4:$A$810,0)),"")</f>
        <v>0</v>
      </c>
      <c r="F295">
        <f>IFERROR(SUMIFS('Match Log'!$I$4:$I$810,'Match Log'!$A$4:$A$810,271,'Match Log'!$E$4:$E$810,"Win"),"")</f>
        <v>0</v>
      </c>
      <c r="G295">
        <f>IF($D295="","",1-$F295*$E295)</f>
        <v>0</v>
      </c>
      <c r="H295" t="str">
        <f>IFERROR(IF($E295=2,LOOKUP(2,1/(('Match Log'!$A$4:$A$810=271)*('Match Log'!$E$4:$E$810="Loss")),'Match Log'!$D$4:$D$810),"the field"),"")</f>
      </c>
      <c r="I295">
        <f>IF($G295="","",$G295-$A295/1000000)</f>
        <v>0</v>
      </c>
      <c r="J295">
        <v>271</v>
      </c>
      <c r="K295">
        <f>IF($J295&gt;MAX('Match Log'!$A$4:$A$810),NA(),IFERROR(LOOKUP(2,1/(('Match Log'!$D$4:$D$810=$K$24)*('Match Log'!$A$4:$A$810&lt;=$J295)),'Match Log'!$N$4:$N$810),NA()))</f>
        <v>0</v>
      </c>
      <c r="L295">
        <f>IF($J295&gt;MAX('Match Log'!$A$4:$A$810),NA(),IFERROR(LOOKUP(2,1/(('Match Log'!$D$4:$D$810=$L$24)*('Match Log'!$A$4:$A$810&lt;=$J295)),'Match Log'!$N$4:$N$810),NA()))</f>
        <v>0</v>
      </c>
      <c r="M295">
        <f>IF($J295&gt;MAX('Match Log'!$A$4:$A$810),NA(),IFERROR(LOOKUP(2,1/(('Match Log'!$D$4:$D$810=$M$24)*('Match Log'!$A$4:$A$810&lt;=$J295)),'Match Log'!$N$4:$N$810),NA()))</f>
        <v>0</v>
      </c>
      <c r="N295">
        <f>IF($J295&gt;MAX('Match Log'!$A$4:$A$810),NA(),IFERROR(LOOKUP(2,1/(('Match Log'!$D$4:$D$810=$N$24)*('Match Log'!$A$4:$A$810&lt;=$J295)),'Match Log'!$N$4:$N$810),NA()))</f>
        <v>0</v>
      </c>
      <c r="O295">
        <f>IF($J295&gt;MAX('Match Log'!$A$4:$A$810),NA(),IFERROR(LOOKUP(2,1/(('Match Log'!$D$4:$D$810=$O$24)*('Match Log'!$A$4:$A$810&lt;=$J295)),'Match Log'!$N$4:$N$810),NA()))</f>
        <v>0</v>
      </c>
      <c r="P295">
        <f>IF($J295&gt;MAX('Match Log'!$A$4:$A$810),NA(),IFERROR(LOOKUP(2,1/(('Match Log'!$D$4:$D$810=$P$24)*('Match Log'!$A$4:$A$810&lt;=$J295)),'Match Log'!$N$4:$N$810),NA()))</f>
        <v>0</v>
      </c>
      <c r="Q295">
        <f>IF($J295&gt;MAX('Match Log'!$A$4:$A$810),NA(),IFERROR(LOOKUP(2,1/(('Match Log'!$D$4:$D$810=$Q$24)*('Match Log'!$A$4:$A$810&lt;=$J295)),'Match Log'!$N$4:$N$810),NA()))</f>
        <v>0</v>
      </c>
      <c r="R295">
        <f>IF($J295&gt;MAX('Match Log'!$A$4:$A$810),NA(),IFERROR(LOOKUP(2,1/(('Match Log'!$D$4:$D$810=$R$24)*('Match Log'!$A$4:$A$810&lt;=$J295)),'Match Log'!$N$4:$N$810),NA()))</f>
        <v>0</v>
      </c>
      <c r="S295">
        <f>IF($J295&gt;MAX('Match Log'!$A$4:$A$810),NA(),IFERROR(LOOKUP(2,1/(('Match Log'!$D$4:$D$810=$S$24)*('Match Log'!$A$4:$A$810&lt;=$J295)),'Match Log'!$N$4:$N$810),NA()))</f>
        <v>0</v>
      </c>
      <c r="T295">
        <f>IF($J295&gt;MAX('Match Log'!$A$4:$A$810),NA(),IFERROR(LOOKUP(2,1/(('Match Log'!$D$4:$D$810=$T$24)*('Match Log'!$A$4:$A$810&lt;=$J295)),'Match Log'!$N$4:$N$810),NA()))</f>
        <v>0</v>
      </c>
      <c r="U295">
        <f>IF($J295&gt;MAX('Match Log'!$A$4:$A$810),NA(),IFERROR(LOOKUP(2,1/(('Match Log'!$D$4:$D$810=$U$24)*('Match Log'!$A$4:$A$810&lt;=$J295)),'Match Log'!$N$4:$N$810),NA()))</f>
        <v>0</v>
      </c>
      <c r="V295">
        <f>IF($J295&gt;MAX('Match Log'!$A$4:$A$810),NA(),IFERROR(LOOKUP(2,1/(('Match Log'!$D$4:$D$810=$V$24)*('Match Log'!$A$4:$A$810&lt;=$J295)),'Match Log'!$N$4:$N$810),NA()))</f>
        <v>0</v>
      </c>
      <c r="W295">
        <f>IF($J295&gt;MAX('Match Log'!$A$4:$A$810),NA(),IFERROR(LOOKUP(2,1/(('Match Log'!$D$4:$D$810=$W$24)*('Match Log'!$A$4:$A$810&lt;=$J295)),'Match Log'!$N$4:$N$810),NA()))</f>
        <v>0</v>
      </c>
      <c r="X295">
        <f>IF($J295&gt;MAX('Match Log'!$A$4:$A$810),NA(),IFERROR(LOOKUP(2,1/(('Match Log'!$D$4:$D$810=$X$24)*('Match Log'!$A$4:$A$810&lt;=$J295)),'Match Log'!$N$4:$N$810),NA()))</f>
        <v>0</v>
      </c>
      <c r="Y295" t="str">
        <f>IF(AND($B295&lt;&gt;"",$B295&gt;=$B$5,$I295&lt;&gt;""),$I295,"")</f>
      </c>
    </row>
    <row r="296">
      <c r="A296">
        <v>272</v>
      </c>
      <c r="B296">
        <f>IFERROR(INDEX('Match Log'!$B$4:$B$810,MATCH(272,'Match Log'!$A$4:$A$810,0)),"")</f>
        <v>0</v>
      </c>
      <c r="C296" t="str">
        <f>IFERROR(INDEX('Match Log'!$C$4:$C$810,MATCH(272,'Match Log'!$A$4:$A$810,0)),"")</f>
      </c>
      <c r="D296" t="str">
        <f>IFERROR(INDEX('Match Log'!$G$4:$G$810,MATCH(272,'Match Log'!$A$4:$A$810,0)),"")</f>
      </c>
      <c r="E296">
        <f>IFERROR(INDEX('Match Log'!$F$4:$F$810,MATCH(272,'Match Log'!$A$4:$A$810,0)),"")</f>
        <v>0</v>
      </c>
      <c r="F296">
        <f>IFERROR(SUMIFS('Match Log'!$I$4:$I$810,'Match Log'!$A$4:$A$810,272,'Match Log'!$E$4:$E$810,"Win"),"")</f>
        <v>0</v>
      </c>
      <c r="G296">
        <f>IF($D296="","",1-$F296*$E296)</f>
        <v>0</v>
      </c>
      <c r="H296" t="str">
        <f>IFERROR(IF($E296=2,LOOKUP(2,1/(('Match Log'!$A$4:$A$810=272)*('Match Log'!$E$4:$E$810="Loss")),'Match Log'!$D$4:$D$810),"the field"),"")</f>
      </c>
      <c r="I296">
        <f>IF($G296="","",$G296-$A296/1000000)</f>
        <v>0</v>
      </c>
      <c r="J296">
        <v>272</v>
      </c>
      <c r="K296">
        <f>IF($J296&gt;MAX('Match Log'!$A$4:$A$810),NA(),IFERROR(LOOKUP(2,1/(('Match Log'!$D$4:$D$810=$K$24)*('Match Log'!$A$4:$A$810&lt;=$J296)),'Match Log'!$N$4:$N$810),NA()))</f>
        <v>0</v>
      </c>
      <c r="L296">
        <f>IF($J296&gt;MAX('Match Log'!$A$4:$A$810),NA(),IFERROR(LOOKUP(2,1/(('Match Log'!$D$4:$D$810=$L$24)*('Match Log'!$A$4:$A$810&lt;=$J296)),'Match Log'!$N$4:$N$810),NA()))</f>
        <v>0</v>
      </c>
      <c r="M296">
        <f>IF($J296&gt;MAX('Match Log'!$A$4:$A$810),NA(),IFERROR(LOOKUP(2,1/(('Match Log'!$D$4:$D$810=$M$24)*('Match Log'!$A$4:$A$810&lt;=$J296)),'Match Log'!$N$4:$N$810),NA()))</f>
        <v>0</v>
      </c>
      <c r="N296">
        <f>IF($J296&gt;MAX('Match Log'!$A$4:$A$810),NA(),IFERROR(LOOKUP(2,1/(('Match Log'!$D$4:$D$810=$N$24)*('Match Log'!$A$4:$A$810&lt;=$J296)),'Match Log'!$N$4:$N$810),NA()))</f>
        <v>0</v>
      </c>
      <c r="O296">
        <f>IF($J296&gt;MAX('Match Log'!$A$4:$A$810),NA(),IFERROR(LOOKUP(2,1/(('Match Log'!$D$4:$D$810=$O$24)*('Match Log'!$A$4:$A$810&lt;=$J296)),'Match Log'!$N$4:$N$810),NA()))</f>
        <v>0</v>
      </c>
      <c r="P296">
        <f>IF($J296&gt;MAX('Match Log'!$A$4:$A$810),NA(),IFERROR(LOOKUP(2,1/(('Match Log'!$D$4:$D$810=$P$24)*('Match Log'!$A$4:$A$810&lt;=$J296)),'Match Log'!$N$4:$N$810),NA()))</f>
        <v>0</v>
      </c>
      <c r="Q296">
        <f>IF($J296&gt;MAX('Match Log'!$A$4:$A$810),NA(),IFERROR(LOOKUP(2,1/(('Match Log'!$D$4:$D$810=$Q$24)*('Match Log'!$A$4:$A$810&lt;=$J296)),'Match Log'!$N$4:$N$810),NA()))</f>
        <v>0</v>
      </c>
      <c r="R296">
        <f>IF($J296&gt;MAX('Match Log'!$A$4:$A$810),NA(),IFERROR(LOOKUP(2,1/(('Match Log'!$D$4:$D$810=$R$24)*('Match Log'!$A$4:$A$810&lt;=$J296)),'Match Log'!$N$4:$N$810),NA()))</f>
        <v>0</v>
      </c>
      <c r="S296">
        <f>IF($J296&gt;MAX('Match Log'!$A$4:$A$810),NA(),IFERROR(LOOKUP(2,1/(('Match Log'!$D$4:$D$810=$S$24)*('Match Log'!$A$4:$A$810&lt;=$J296)),'Match Log'!$N$4:$N$810),NA()))</f>
        <v>0</v>
      </c>
      <c r="T296">
        <f>IF($J296&gt;MAX('Match Log'!$A$4:$A$810),NA(),IFERROR(LOOKUP(2,1/(('Match Log'!$D$4:$D$810=$T$24)*('Match Log'!$A$4:$A$810&lt;=$J296)),'Match Log'!$N$4:$N$810),NA()))</f>
        <v>0</v>
      </c>
      <c r="U296">
        <f>IF($J296&gt;MAX('Match Log'!$A$4:$A$810),NA(),IFERROR(LOOKUP(2,1/(('Match Log'!$D$4:$D$810=$U$24)*('Match Log'!$A$4:$A$810&lt;=$J296)),'Match Log'!$N$4:$N$810),NA()))</f>
        <v>0</v>
      </c>
      <c r="V296">
        <f>IF($J296&gt;MAX('Match Log'!$A$4:$A$810),NA(),IFERROR(LOOKUP(2,1/(('Match Log'!$D$4:$D$810=$V$24)*('Match Log'!$A$4:$A$810&lt;=$J296)),'Match Log'!$N$4:$N$810),NA()))</f>
        <v>0</v>
      </c>
      <c r="W296">
        <f>IF($J296&gt;MAX('Match Log'!$A$4:$A$810),NA(),IFERROR(LOOKUP(2,1/(('Match Log'!$D$4:$D$810=$W$24)*('Match Log'!$A$4:$A$810&lt;=$J296)),'Match Log'!$N$4:$N$810),NA()))</f>
        <v>0</v>
      </c>
      <c r="X296">
        <f>IF($J296&gt;MAX('Match Log'!$A$4:$A$810),NA(),IFERROR(LOOKUP(2,1/(('Match Log'!$D$4:$D$810=$X$24)*('Match Log'!$A$4:$A$810&lt;=$J296)),'Match Log'!$N$4:$N$810),NA()))</f>
        <v>0</v>
      </c>
      <c r="Y296" t="str">
        <f>IF(AND($B296&lt;&gt;"",$B296&gt;=$B$5,$I296&lt;&gt;""),$I296,"")</f>
      </c>
    </row>
    <row r="297">
      <c r="A297">
        <v>273</v>
      </c>
      <c r="B297">
        <f>IFERROR(INDEX('Match Log'!$B$4:$B$810,MATCH(273,'Match Log'!$A$4:$A$810,0)),"")</f>
        <v>0</v>
      </c>
      <c r="C297" t="str">
        <f>IFERROR(INDEX('Match Log'!$C$4:$C$810,MATCH(273,'Match Log'!$A$4:$A$810,0)),"")</f>
      </c>
      <c r="D297" t="str">
        <f>IFERROR(INDEX('Match Log'!$G$4:$G$810,MATCH(273,'Match Log'!$A$4:$A$810,0)),"")</f>
      </c>
      <c r="E297">
        <f>IFERROR(INDEX('Match Log'!$F$4:$F$810,MATCH(273,'Match Log'!$A$4:$A$810,0)),"")</f>
        <v>0</v>
      </c>
      <c r="F297">
        <f>IFERROR(SUMIFS('Match Log'!$I$4:$I$810,'Match Log'!$A$4:$A$810,273,'Match Log'!$E$4:$E$810,"Win"),"")</f>
        <v>0</v>
      </c>
      <c r="G297">
        <f>IF($D297="","",1-$F297*$E297)</f>
        <v>0</v>
      </c>
      <c r="H297" t="str">
        <f>IFERROR(IF($E297=2,LOOKUP(2,1/(('Match Log'!$A$4:$A$810=273)*('Match Log'!$E$4:$E$810="Loss")),'Match Log'!$D$4:$D$810),"the field"),"")</f>
      </c>
      <c r="I297">
        <f>IF($G297="","",$G297-$A297/1000000)</f>
        <v>0</v>
      </c>
      <c r="J297">
        <v>273</v>
      </c>
      <c r="K297">
        <f>IF($J297&gt;MAX('Match Log'!$A$4:$A$810),NA(),IFERROR(LOOKUP(2,1/(('Match Log'!$D$4:$D$810=$K$24)*('Match Log'!$A$4:$A$810&lt;=$J297)),'Match Log'!$N$4:$N$810),NA()))</f>
        <v>0</v>
      </c>
      <c r="L297">
        <f>IF($J297&gt;MAX('Match Log'!$A$4:$A$810),NA(),IFERROR(LOOKUP(2,1/(('Match Log'!$D$4:$D$810=$L$24)*('Match Log'!$A$4:$A$810&lt;=$J297)),'Match Log'!$N$4:$N$810),NA()))</f>
        <v>0</v>
      </c>
      <c r="M297">
        <f>IF($J297&gt;MAX('Match Log'!$A$4:$A$810),NA(),IFERROR(LOOKUP(2,1/(('Match Log'!$D$4:$D$810=$M$24)*('Match Log'!$A$4:$A$810&lt;=$J297)),'Match Log'!$N$4:$N$810),NA()))</f>
        <v>0</v>
      </c>
      <c r="N297">
        <f>IF($J297&gt;MAX('Match Log'!$A$4:$A$810),NA(),IFERROR(LOOKUP(2,1/(('Match Log'!$D$4:$D$810=$N$24)*('Match Log'!$A$4:$A$810&lt;=$J297)),'Match Log'!$N$4:$N$810),NA()))</f>
        <v>0</v>
      </c>
      <c r="O297">
        <f>IF($J297&gt;MAX('Match Log'!$A$4:$A$810),NA(),IFERROR(LOOKUP(2,1/(('Match Log'!$D$4:$D$810=$O$24)*('Match Log'!$A$4:$A$810&lt;=$J297)),'Match Log'!$N$4:$N$810),NA()))</f>
        <v>0</v>
      </c>
      <c r="P297">
        <f>IF($J297&gt;MAX('Match Log'!$A$4:$A$810),NA(),IFERROR(LOOKUP(2,1/(('Match Log'!$D$4:$D$810=$P$24)*('Match Log'!$A$4:$A$810&lt;=$J297)),'Match Log'!$N$4:$N$810),NA()))</f>
        <v>0</v>
      </c>
      <c r="Q297">
        <f>IF($J297&gt;MAX('Match Log'!$A$4:$A$810),NA(),IFERROR(LOOKUP(2,1/(('Match Log'!$D$4:$D$810=$Q$24)*('Match Log'!$A$4:$A$810&lt;=$J297)),'Match Log'!$N$4:$N$810),NA()))</f>
        <v>0</v>
      </c>
      <c r="R297">
        <f>IF($J297&gt;MAX('Match Log'!$A$4:$A$810),NA(),IFERROR(LOOKUP(2,1/(('Match Log'!$D$4:$D$810=$R$24)*('Match Log'!$A$4:$A$810&lt;=$J297)),'Match Log'!$N$4:$N$810),NA()))</f>
        <v>0</v>
      </c>
      <c r="S297">
        <f>IF($J297&gt;MAX('Match Log'!$A$4:$A$810),NA(),IFERROR(LOOKUP(2,1/(('Match Log'!$D$4:$D$810=$S$24)*('Match Log'!$A$4:$A$810&lt;=$J297)),'Match Log'!$N$4:$N$810),NA()))</f>
        <v>0</v>
      </c>
      <c r="T297">
        <f>IF($J297&gt;MAX('Match Log'!$A$4:$A$810),NA(),IFERROR(LOOKUP(2,1/(('Match Log'!$D$4:$D$810=$T$24)*('Match Log'!$A$4:$A$810&lt;=$J297)),'Match Log'!$N$4:$N$810),NA()))</f>
        <v>0</v>
      </c>
      <c r="U297">
        <f>IF($J297&gt;MAX('Match Log'!$A$4:$A$810),NA(),IFERROR(LOOKUP(2,1/(('Match Log'!$D$4:$D$810=$U$24)*('Match Log'!$A$4:$A$810&lt;=$J297)),'Match Log'!$N$4:$N$810),NA()))</f>
        <v>0</v>
      </c>
      <c r="V297">
        <f>IF($J297&gt;MAX('Match Log'!$A$4:$A$810),NA(),IFERROR(LOOKUP(2,1/(('Match Log'!$D$4:$D$810=$V$24)*('Match Log'!$A$4:$A$810&lt;=$J297)),'Match Log'!$N$4:$N$810),NA()))</f>
        <v>0</v>
      </c>
      <c r="W297">
        <f>IF($J297&gt;MAX('Match Log'!$A$4:$A$810),NA(),IFERROR(LOOKUP(2,1/(('Match Log'!$D$4:$D$810=$W$24)*('Match Log'!$A$4:$A$810&lt;=$J297)),'Match Log'!$N$4:$N$810),NA()))</f>
        <v>0</v>
      </c>
      <c r="X297">
        <f>IF($J297&gt;MAX('Match Log'!$A$4:$A$810),NA(),IFERROR(LOOKUP(2,1/(('Match Log'!$D$4:$D$810=$X$24)*('Match Log'!$A$4:$A$810&lt;=$J297)),'Match Log'!$N$4:$N$810),NA()))</f>
        <v>0</v>
      </c>
      <c r="Y297" t="str">
        <f>IF(AND($B297&lt;&gt;"",$B297&gt;=$B$5,$I297&lt;&gt;""),$I297,"")</f>
      </c>
    </row>
    <row r="298">
      <c r="A298">
        <v>274</v>
      </c>
      <c r="B298">
        <f>IFERROR(INDEX('Match Log'!$B$4:$B$810,MATCH(274,'Match Log'!$A$4:$A$810,0)),"")</f>
        <v>0</v>
      </c>
      <c r="C298" t="str">
        <f>IFERROR(INDEX('Match Log'!$C$4:$C$810,MATCH(274,'Match Log'!$A$4:$A$810,0)),"")</f>
      </c>
      <c r="D298" t="str">
        <f>IFERROR(INDEX('Match Log'!$G$4:$G$810,MATCH(274,'Match Log'!$A$4:$A$810,0)),"")</f>
      </c>
      <c r="E298">
        <f>IFERROR(INDEX('Match Log'!$F$4:$F$810,MATCH(274,'Match Log'!$A$4:$A$810,0)),"")</f>
        <v>0</v>
      </c>
      <c r="F298">
        <f>IFERROR(SUMIFS('Match Log'!$I$4:$I$810,'Match Log'!$A$4:$A$810,274,'Match Log'!$E$4:$E$810,"Win"),"")</f>
        <v>0</v>
      </c>
      <c r="G298">
        <f>IF($D298="","",1-$F298*$E298)</f>
        <v>0</v>
      </c>
      <c r="H298" t="str">
        <f>IFERROR(IF($E298=2,LOOKUP(2,1/(('Match Log'!$A$4:$A$810=274)*('Match Log'!$E$4:$E$810="Loss")),'Match Log'!$D$4:$D$810),"the field"),"")</f>
      </c>
      <c r="I298">
        <f>IF($G298="","",$G298-$A298/1000000)</f>
        <v>0</v>
      </c>
      <c r="J298">
        <v>274</v>
      </c>
      <c r="K298">
        <f>IF($J298&gt;MAX('Match Log'!$A$4:$A$810),NA(),IFERROR(LOOKUP(2,1/(('Match Log'!$D$4:$D$810=$K$24)*('Match Log'!$A$4:$A$810&lt;=$J298)),'Match Log'!$N$4:$N$810),NA()))</f>
        <v>0</v>
      </c>
      <c r="L298">
        <f>IF($J298&gt;MAX('Match Log'!$A$4:$A$810),NA(),IFERROR(LOOKUP(2,1/(('Match Log'!$D$4:$D$810=$L$24)*('Match Log'!$A$4:$A$810&lt;=$J298)),'Match Log'!$N$4:$N$810),NA()))</f>
        <v>0</v>
      </c>
      <c r="M298">
        <f>IF($J298&gt;MAX('Match Log'!$A$4:$A$810),NA(),IFERROR(LOOKUP(2,1/(('Match Log'!$D$4:$D$810=$M$24)*('Match Log'!$A$4:$A$810&lt;=$J298)),'Match Log'!$N$4:$N$810),NA()))</f>
        <v>0</v>
      </c>
      <c r="N298">
        <f>IF($J298&gt;MAX('Match Log'!$A$4:$A$810),NA(),IFERROR(LOOKUP(2,1/(('Match Log'!$D$4:$D$810=$N$24)*('Match Log'!$A$4:$A$810&lt;=$J298)),'Match Log'!$N$4:$N$810),NA()))</f>
        <v>0</v>
      </c>
      <c r="O298">
        <f>IF($J298&gt;MAX('Match Log'!$A$4:$A$810),NA(),IFERROR(LOOKUP(2,1/(('Match Log'!$D$4:$D$810=$O$24)*('Match Log'!$A$4:$A$810&lt;=$J298)),'Match Log'!$N$4:$N$810),NA()))</f>
        <v>0</v>
      </c>
      <c r="P298">
        <f>IF($J298&gt;MAX('Match Log'!$A$4:$A$810),NA(),IFERROR(LOOKUP(2,1/(('Match Log'!$D$4:$D$810=$P$24)*('Match Log'!$A$4:$A$810&lt;=$J298)),'Match Log'!$N$4:$N$810),NA()))</f>
        <v>0</v>
      </c>
      <c r="Q298">
        <f>IF($J298&gt;MAX('Match Log'!$A$4:$A$810),NA(),IFERROR(LOOKUP(2,1/(('Match Log'!$D$4:$D$810=$Q$24)*('Match Log'!$A$4:$A$810&lt;=$J298)),'Match Log'!$N$4:$N$810),NA()))</f>
        <v>0</v>
      </c>
      <c r="R298">
        <f>IF($J298&gt;MAX('Match Log'!$A$4:$A$810),NA(),IFERROR(LOOKUP(2,1/(('Match Log'!$D$4:$D$810=$R$24)*('Match Log'!$A$4:$A$810&lt;=$J298)),'Match Log'!$N$4:$N$810),NA()))</f>
        <v>0</v>
      </c>
      <c r="S298">
        <f>IF($J298&gt;MAX('Match Log'!$A$4:$A$810),NA(),IFERROR(LOOKUP(2,1/(('Match Log'!$D$4:$D$810=$S$24)*('Match Log'!$A$4:$A$810&lt;=$J298)),'Match Log'!$N$4:$N$810),NA()))</f>
        <v>0</v>
      </c>
      <c r="T298">
        <f>IF($J298&gt;MAX('Match Log'!$A$4:$A$810),NA(),IFERROR(LOOKUP(2,1/(('Match Log'!$D$4:$D$810=$T$24)*('Match Log'!$A$4:$A$810&lt;=$J298)),'Match Log'!$N$4:$N$810),NA()))</f>
        <v>0</v>
      </c>
      <c r="U298">
        <f>IF($J298&gt;MAX('Match Log'!$A$4:$A$810),NA(),IFERROR(LOOKUP(2,1/(('Match Log'!$D$4:$D$810=$U$24)*('Match Log'!$A$4:$A$810&lt;=$J298)),'Match Log'!$N$4:$N$810),NA()))</f>
        <v>0</v>
      </c>
      <c r="V298">
        <f>IF($J298&gt;MAX('Match Log'!$A$4:$A$810),NA(),IFERROR(LOOKUP(2,1/(('Match Log'!$D$4:$D$810=$V$24)*('Match Log'!$A$4:$A$810&lt;=$J298)),'Match Log'!$N$4:$N$810),NA()))</f>
        <v>0</v>
      </c>
      <c r="W298">
        <f>IF($J298&gt;MAX('Match Log'!$A$4:$A$810),NA(),IFERROR(LOOKUP(2,1/(('Match Log'!$D$4:$D$810=$W$24)*('Match Log'!$A$4:$A$810&lt;=$J298)),'Match Log'!$N$4:$N$810),NA()))</f>
        <v>0</v>
      </c>
      <c r="X298">
        <f>IF($J298&gt;MAX('Match Log'!$A$4:$A$810),NA(),IFERROR(LOOKUP(2,1/(('Match Log'!$D$4:$D$810=$X$24)*('Match Log'!$A$4:$A$810&lt;=$J298)),'Match Log'!$N$4:$N$810),NA()))</f>
        <v>0</v>
      </c>
      <c r="Y298" t="str">
        <f>IF(AND($B298&lt;&gt;"",$B298&gt;=$B$5,$I298&lt;&gt;""),$I298,"")</f>
      </c>
    </row>
    <row r="299">
      <c r="A299">
        <v>275</v>
      </c>
      <c r="B299">
        <f>IFERROR(INDEX('Match Log'!$B$4:$B$810,MATCH(275,'Match Log'!$A$4:$A$810,0)),"")</f>
        <v>0</v>
      </c>
      <c r="C299" t="str">
        <f>IFERROR(INDEX('Match Log'!$C$4:$C$810,MATCH(275,'Match Log'!$A$4:$A$810,0)),"")</f>
      </c>
      <c r="D299" t="str">
        <f>IFERROR(INDEX('Match Log'!$G$4:$G$810,MATCH(275,'Match Log'!$A$4:$A$810,0)),"")</f>
      </c>
      <c r="E299">
        <f>IFERROR(INDEX('Match Log'!$F$4:$F$810,MATCH(275,'Match Log'!$A$4:$A$810,0)),"")</f>
        <v>0</v>
      </c>
      <c r="F299">
        <f>IFERROR(SUMIFS('Match Log'!$I$4:$I$810,'Match Log'!$A$4:$A$810,275,'Match Log'!$E$4:$E$810,"Win"),"")</f>
        <v>0</v>
      </c>
      <c r="G299">
        <f>IF($D299="","",1-$F299*$E299)</f>
        <v>0</v>
      </c>
      <c r="H299" t="str">
        <f>IFERROR(IF($E299=2,LOOKUP(2,1/(('Match Log'!$A$4:$A$810=275)*('Match Log'!$E$4:$E$810="Loss")),'Match Log'!$D$4:$D$810),"the field"),"")</f>
      </c>
      <c r="I299">
        <f>IF($G299="","",$G299-$A299/1000000)</f>
        <v>0</v>
      </c>
      <c r="J299">
        <v>275</v>
      </c>
      <c r="K299">
        <f>IF($J299&gt;MAX('Match Log'!$A$4:$A$810),NA(),IFERROR(LOOKUP(2,1/(('Match Log'!$D$4:$D$810=$K$24)*('Match Log'!$A$4:$A$810&lt;=$J299)),'Match Log'!$N$4:$N$810),NA()))</f>
        <v>0</v>
      </c>
      <c r="L299">
        <f>IF($J299&gt;MAX('Match Log'!$A$4:$A$810),NA(),IFERROR(LOOKUP(2,1/(('Match Log'!$D$4:$D$810=$L$24)*('Match Log'!$A$4:$A$810&lt;=$J299)),'Match Log'!$N$4:$N$810),NA()))</f>
        <v>0</v>
      </c>
      <c r="M299">
        <f>IF($J299&gt;MAX('Match Log'!$A$4:$A$810),NA(),IFERROR(LOOKUP(2,1/(('Match Log'!$D$4:$D$810=$M$24)*('Match Log'!$A$4:$A$810&lt;=$J299)),'Match Log'!$N$4:$N$810),NA()))</f>
        <v>0</v>
      </c>
      <c r="N299">
        <f>IF($J299&gt;MAX('Match Log'!$A$4:$A$810),NA(),IFERROR(LOOKUP(2,1/(('Match Log'!$D$4:$D$810=$N$24)*('Match Log'!$A$4:$A$810&lt;=$J299)),'Match Log'!$N$4:$N$810),NA()))</f>
        <v>0</v>
      </c>
      <c r="O299">
        <f>IF($J299&gt;MAX('Match Log'!$A$4:$A$810),NA(),IFERROR(LOOKUP(2,1/(('Match Log'!$D$4:$D$810=$O$24)*('Match Log'!$A$4:$A$810&lt;=$J299)),'Match Log'!$N$4:$N$810),NA()))</f>
        <v>0</v>
      </c>
      <c r="P299">
        <f>IF($J299&gt;MAX('Match Log'!$A$4:$A$810),NA(),IFERROR(LOOKUP(2,1/(('Match Log'!$D$4:$D$810=$P$24)*('Match Log'!$A$4:$A$810&lt;=$J299)),'Match Log'!$N$4:$N$810),NA()))</f>
        <v>0</v>
      </c>
      <c r="Q299">
        <f>IF($J299&gt;MAX('Match Log'!$A$4:$A$810),NA(),IFERROR(LOOKUP(2,1/(('Match Log'!$D$4:$D$810=$Q$24)*('Match Log'!$A$4:$A$810&lt;=$J299)),'Match Log'!$N$4:$N$810),NA()))</f>
        <v>0</v>
      </c>
      <c r="R299">
        <f>IF($J299&gt;MAX('Match Log'!$A$4:$A$810),NA(),IFERROR(LOOKUP(2,1/(('Match Log'!$D$4:$D$810=$R$24)*('Match Log'!$A$4:$A$810&lt;=$J299)),'Match Log'!$N$4:$N$810),NA()))</f>
        <v>0</v>
      </c>
      <c r="S299">
        <f>IF($J299&gt;MAX('Match Log'!$A$4:$A$810),NA(),IFERROR(LOOKUP(2,1/(('Match Log'!$D$4:$D$810=$S$24)*('Match Log'!$A$4:$A$810&lt;=$J299)),'Match Log'!$N$4:$N$810),NA()))</f>
        <v>0</v>
      </c>
      <c r="T299">
        <f>IF($J299&gt;MAX('Match Log'!$A$4:$A$810),NA(),IFERROR(LOOKUP(2,1/(('Match Log'!$D$4:$D$810=$T$24)*('Match Log'!$A$4:$A$810&lt;=$J299)),'Match Log'!$N$4:$N$810),NA()))</f>
        <v>0</v>
      </c>
      <c r="U299">
        <f>IF($J299&gt;MAX('Match Log'!$A$4:$A$810),NA(),IFERROR(LOOKUP(2,1/(('Match Log'!$D$4:$D$810=$U$24)*('Match Log'!$A$4:$A$810&lt;=$J299)),'Match Log'!$N$4:$N$810),NA()))</f>
        <v>0</v>
      </c>
      <c r="V299">
        <f>IF($J299&gt;MAX('Match Log'!$A$4:$A$810),NA(),IFERROR(LOOKUP(2,1/(('Match Log'!$D$4:$D$810=$V$24)*('Match Log'!$A$4:$A$810&lt;=$J299)),'Match Log'!$N$4:$N$810),NA()))</f>
        <v>0</v>
      </c>
      <c r="W299">
        <f>IF($J299&gt;MAX('Match Log'!$A$4:$A$810),NA(),IFERROR(LOOKUP(2,1/(('Match Log'!$D$4:$D$810=$W$24)*('Match Log'!$A$4:$A$810&lt;=$J299)),'Match Log'!$N$4:$N$810),NA()))</f>
        <v>0</v>
      </c>
      <c r="X299">
        <f>IF($J299&gt;MAX('Match Log'!$A$4:$A$810),NA(),IFERROR(LOOKUP(2,1/(('Match Log'!$D$4:$D$810=$X$24)*('Match Log'!$A$4:$A$810&lt;=$J299)),'Match Log'!$N$4:$N$810),NA()))</f>
        <v>0</v>
      </c>
      <c r="Y299" t="str">
        <f>IF(AND($B299&lt;&gt;"",$B299&gt;=$B$5,$I299&lt;&gt;""),$I299,"")</f>
      </c>
    </row>
    <row r="300">
      <c r="A300">
        <v>276</v>
      </c>
      <c r="B300">
        <f>IFERROR(INDEX('Match Log'!$B$4:$B$810,MATCH(276,'Match Log'!$A$4:$A$810,0)),"")</f>
        <v>0</v>
      </c>
      <c r="C300" t="str">
        <f>IFERROR(INDEX('Match Log'!$C$4:$C$810,MATCH(276,'Match Log'!$A$4:$A$810,0)),"")</f>
      </c>
      <c r="D300" t="str">
        <f>IFERROR(INDEX('Match Log'!$G$4:$G$810,MATCH(276,'Match Log'!$A$4:$A$810,0)),"")</f>
      </c>
      <c r="E300">
        <f>IFERROR(INDEX('Match Log'!$F$4:$F$810,MATCH(276,'Match Log'!$A$4:$A$810,0)),"")</f>
        <v>0</v>
      </c>
      <c r="F300">
        <f>IFERROR(SUMIFS('Match Log'!$I$4:$I$810,'Match Log'!$A$4:$A$810,276,'Match Log'!$E$4:$E$810,"Win"),"")</f>
        <v>0</v>
      </c>
      <c r="G300">
        <f>IF($D300="","",1-$F300*$E300)</f>
        <v>0</v>
      </c>
      <c r="H300" t="str">
        <f>IFERROR(IF($E300=2,LOOKUP(2,1/(('Match Log'!$A$4:$A$810=276)*('Match Log'!$E$4:$E$810="Loss")),'Match Log'!$D$4:$D$810),"the field"),"")</f>
      </c>
      <c r="I300">
        <f>IF($G300="","",$G300-$A300/1000000)</f>
        <v>0</v>
      </c>
      <c r="J300">
        <v>276</v>
      </c>
      <c r="K300">
        <f>IF($J300&gt;MAX('Match Log'!$A$4:$A$810),NA(),IFERROR(LOOKUP(2,1/(('Match Log'!$D$4:$D$810=$K$24)*('Match Log'!$A$4:$A$810&lt;=$J300)),'Match Log'!$N$4:$N$810),NA()))</f>
        <v>0</v>
      </c>
      <c r="L300">
        <f>IF($J300&gt;MAX('Match Log'!$A$4:$A$810),NA(),IFERROR(LOOKUP(2,1/(('Match Log'!$D$4:$D$810=$L$24)*('Match Log'!$A$4:$A$810&lt;=$J300)),'Match Log'!$N$4:$N$810),NA()))</f>
        <v>0</v>
      </c>
      <c r="M300">
        <f>IF($J300&gt;MAX('Match Log'!$A$4:$A$810),NA(),IFERROR(LOOKUP(2,1/(('Match Log'!$D$4:$D$810=$M$24)*('Match Log'!$A$4:$A$810&lt;=$J300)),'Match Log'!$N$4:$N$810),NA()))</f>
        <v>0</v>
      </c>
      <c r="N300">
        <f>IF($J300&gt;MAX('Match Log'!$A$4:$A$810),NA(),IFERROR(LOOKUP(2,1/(('Match Log'!$D$4:$D$810=$N$24)*('Match Log'!$A$4:$A$810&lt;=$J300)),'Match Log'!$N$4:$N$810),NA()))</f>
        <v>0</v>
      </c>
      <c r="O300">
        <f>IF($J300&gt;MAX('Match Log'!$A$4:$A$810),NA(),IFERROR(LOOKUP(2,1/(('Match Log'!$D$4:$D$810=$O$24)*('Match Log'!$A$4:$A$810&lt;=$J300)),'Match Log'!$N$4:$N$810),NA()))</f>
        <v>0</v>
      </c>
      <c r="P300">
        <f>IF($J300&gt;MAX('Match Log'!$A$4:$A$810),NA(),IFERROR(LOOKUP(2,1/(('Match Log'!$D$4:$D$810=$P$24)*('Match Log'!$A$4:$A$810&lt;=$J300)),'Match Log'!$N$4:$N$810),NA()))</f>
        <v>0</v>
      </c>
      <c r="Q300">
        <f>IF($J300&gt;MAX('Match Log'!$A$4:$A$810),NA(),IFERROR(LOOKUP(2,1/(('Match Log'!$D$4:$D$810=$Q$24)*('Match Log'!$A$4:$A$810&lt;=$J300)),'Match Log'!$N$4:$N$810),NA()))</f>
        <v>0</v>
      </c>
      <c r="R300">
        <f>IF($J300&gt;MAX('Match Log'!$A$4:$A$810),NA(),IFERROR(LOOKUP(2,1/(('Match Log'!$D$4:$D$810=$R$24)*('Match Log'!$A$4:$A$810&lt;=$J300)),'Match Log'!$N$4:$N$810),NA()))</f>
        <v>0</v>
      </c>
      <c r="S300">
        <f>IF($J300&gt;MAX('Match Log'!$A$4:$A$810),NA(),IFERROR(LOOKUP(2,1/(('Match Log'!$D$4:$D$810=$S$24)*('Match Log'!$A$4:$A$810&lt;=$J300)),'Match Log'!$N$4:$N$810),NA()))</f>
        <v>0</v>
      </c>
      <c r="T300">
        <f>IF($J300&gt;MAX('Match Log'!$A$4:$A$810),NA(),IFERROR(LOOKUP(2,1/(('Match Log'!$D$4:$D$810=$T$24)*('Match Log'!$A$4:$A$810&lt;=$J300)),'Match Log'!$N$4:$N$810),NA()))</f>
        <v>0</v>
      </c>
      <c r="U300">
        <f>IF($J300&gt;MAX('Match Log'!$A$4:$A$810),NA(),IFERROR(LOOKUP(2,1/(('Match Log'!$D$4:$D$810=$U$24)*('Match Log'!$A$4:$A$810&lt;=$J300)),'Match Log'!$N$4:$N$810),NA()))</f>
        <v>0</v>
      </c>
      <c r="V300">
        <f>IF($J300&gt;MAX('Match Log'!$A$4:$A$810),NA(),IFERROR(LOOKUP(2,1/(('Match Log'!$D$4:$D$810=$V$24)*('Match Log'!$A$4:$A$810&lt;=$J300)),'Match Log'!$N$4:$N$810),NA()))</f>
        <v>0</v>
      </c>
      <c r="W300">
        <f>IF($J300&gt;MAX('Match Log'!$A$4:$A$810),NA(),IFERROR(LOOKUP(2,1/(('Match Log'!$D$4:$D$810=$W$24)*('Match Log'!$A$4:$A$810&lt;=$J300)),'Match Log'!$N$4:$N$810),NA()))</f>
        <v>0</v>
      </c>
      <c r="X300">
        <f>IF($J300&gt;MAX('Match Log'!$A$4:$A$810),NA(),IFERROR(LOOKUP(2,1/(('Match Log'!$D$4:$D$810=$X$24)*('Match Log'!$A$4:$A$810&lt;=$J300)),'Match Log'!$N$4:$N$810),NA()))</f>
        <v>0</v>
      </c>
      <c r="Y300" t="str">
        <f>IF(AND($B300&lt;&gt;"",$B300&gt;=$B$5,$I300&lt;&gt;""),$I300,"")</f>
      </c>
    </row>
    <row r="301">
      <c r="A301">
        <v>277</v>
      </c>
      <c r="B301">
        <f>IFERROR(INDEX('Match Log'!$B$4:$B$810,MATCH(277,'Match Log'!$A$4:$A$810,0)),"")</f>
        <v>0</v>
      </c>
      <c r="C301" t="str">
        <f>IFERROR(INDEX('Match Log'!$C$4:$C$810,MATCH(277,'Match Log'!$A$4:$A$810,0)),"")</f>
      </c>
      <c r="D301" t="str">
        <f>IFERROR(INDEX('Match Log'!$G$4:$G$810,MATCH(277,'Match Log'!$A$4:$A$810,0)),"")</f>
      </c>
      <c r="E301">
        <f>IFERROR(INDEX('Match Log'!$F$4:$F$810,MATCH(277,'Match Log'!$A$4:$A$810,0)),"")</f>
        <v>0</v>
      </c>
      <c r="F301">
        <f>IFERROR(SUMIFS('Match Log'!$I$4:$I$810,'Match Log'!$A$4:$A$810,277,'Match Log'!$E$4:$E$810,"Win"),"")</f>
        <v>0</v>
      </c>
      <c r="G301">
        <f>IF($D301="","",1-$F301*$E301)</f>
        <v>0</v>
      </c>
      <c r="H301" t="str">
        <f>IFERROR(IF($E301=2,LOOKUP(2,1/(('Match Log'!$A$4:$A$810=277)*('Match Log'!$E$4:$E$810="Loss")),'Match Log'!$D$4:$D$810),"the field"),"")</f>
      </c>
      <c r="I301">
        <f>IF($G301="","",$G301-$A301/1000000)</f>
        <v>0</v>
      </c>
      <c r="J301">
        <v>277</v>
      </c>
      <c r="K301">
        <f>IF($J301&gt;MAX('Match Log'!$A$4:$A$810),NA(),IFERROR(LOOKUP(2,1/(('Match Log'!$D$4:$D$810=$K$24)*('Match Log'!$A$4:$A$810&lt;=$J301)),'Match Log'!$N$4:$N$810),NA()))</f>
        <v>0</v>
      </c>
      <c r="L301">
        <f>IF($J301&gt;MAX('Match Log'!$A$4:$A$810),NA(),IFERROR(LOOKUP(2,1/(('Match Log'!$D$4:$D$810=$L$24)*('Match Log'!$A$4:$A$810&lt;=$J301)),'Match Log'!$N$4:$N$810),NA()))</f>
        <v>0</v>
      </c>
      <c r="M301">
        <f>IF($J301&gt;MAX('Match Log'!$A$4:$A$810),NA(),IFERROR(LOOKUP(2,1/(('Match Log'!$D$4:$D$810=$M$24)*('Match Log'!$A$4:$A$810&lt;=$J301)),'Match Log'!$N$4:$N$810),NA()))</f>
        <v>0</v>
      </c>
      <c r="N301">
        <f>IF($J301&gt;MAX('Match Log'!$A$4:$A$810),NA(),IFERROR(LOOKUP(2,1/(('Match Log'!$D$4:$D$810=$N$24)*('Match Log'!$A$4:$A$810&lt;=$J301)),'Match Log'!$N$4:$N$810),NA()))</f>
        <v>0</v>
      </c>
      <c r="O301">
        <f>IF($J301&gt;MAX('Match Log'!$A$4:$A$810),NA(),IFERROR(LOOKUP(2,1/(('Match Log'!$D$4:$D$810=$O$24)*('Match Log'!$A$4:$A$810&lt;=$J301)),'Match Log'!$N$4:$N$810),NA()))</f>
        <v>0</v>
      </c>
      <c r="P301">
        <f>IF($J301&gt;MAX('Match Log'!$A$4:$A$810),NA(),IFERROR(LOOKUP(2,1/(('Match Log'!$D$4:$D$810=$P$24)*('Match Log'!$A$4:$A$810&lt;=$J301)),'Match Log'!$N$4:$N$810),NA()))</f>
        <v>0</v>
      </c>
      <c r="Q301">
        <f>IF($J301&gt;MAX('Match Log'!$A$4:$A$810),NA(),IFERROR(LOOKUP(2,1/(('Match Log'!$D$4:$D$810=$Q$24)*('Match Log'!$A$4:$A$810&lt;=$J301)),'Match Log'!$N$4:$N$810),NA()))</f>
        <v>0</v>
      </c>
      <c r="R301">
        <f>IF($J301&gt;MAX('Match Log'!$A$4:$A$810),NA(),IFERROR(LOOKUP(2,1/(('Match Log'!$D$4:$D$810=$R$24)*('Match Log'!$A$4:$A$810&lt;=$J301)),'Match Log'!$N$4:$N$810),NA()))</f>
        <v>0</v>
      </c>
      <c r="S301">
        <f>IF($J301&gt;MAX('Match Log'!$A$4:$A$810),NA(),IFERROR(LOOKUP(2,1/(('Match Log'!$D$4:$D$810=$S$24)*('Match Log'!$A$4:$A$810&lt;=$J301)),'Match Log'!$N$4:$N$810),NA()))</f>
        <v>0</v>
      </c>
      <c r="T301">
        <f>IF($J301&gt;MAX('Match Log'!$A$4:$A$810),NA(),IFERROR(LOOKUP(2,1/(('Match Log'!$D$4:$D$810=$T$24)*('Match Log'!$A$4:$A$810&lt;=$J301)),'Match Log'!$N$4:$N$810),NA()))</f>
        <v>0</v>
      </c>
      <c r="U301">
        <f>IF($J301&gt;MAX('Match Log'!$A$4:$A$810),NA(),IFERROR(LOOKUP(2,1/(('Match Log'!$D$4:$D$810=$U$24)*('Match Log'!$A$4:$A$810&lt;=$J301)),'Match Log'!$N$4:$N$810),NA()))</f>
        <v>0</v>
      </c>
      <c r="V301">
        <f>IF($J301&gt;MAX('Match Log'!$A$4:$A$810),NA(),IFERROR(LOOKUP(2,1/(('Match Log'!$D$4:$D$810=$V$24)*('Match Log'!$A$4:$A$810&lt;=$J301)),'Match Log'!$N$4:$N$810),NA()))</f>
        <v>0</v>
      </c>
      <c r="W301">
        <f>IF($J301&gt;MAX('Match Log'!$A$4:$A$810),NA(),IFERROR(LOOKUP(2,1/(('Match Log'!$D$4:$D$810=$W$24)*('Match Log'!$A$4:$A$810&lt;=$J301)),'Match Log'!$N$4:$N$810),NA()))</f>
        <v>0</v>
      </c>
      <c r="X301">
        <f>IF($J301&gt;MAX('Match Log'!$A$4:$A$810),NA(),IFERROR(LOOKUP(2,1/(('Match Log'!$D$4:$D$810=$X$24)*('Match Log'!$A$4:$A$810&lt;=$J301)),'Match Log'!$N$4:$N$810),NA()))</f>
        <v>0</v>
      </c>
      <c r="Y301" t="str">
        <f>IF(AND($B301&lt;&gt;"",$B301&gt;=$B$5,$I301&lt;&gt;""),$I301,"")</f>
      </c>
    </row>
    <row r="302">
      <c r="A302">
        <v>278</v>
      </c>
      <c r="B302">
        <f>IFERROR(INDEX('Match Log'!$B$4:$B$810,MATCH(278,'Match Log'!$A$4:$A$810,0)),"")</f>
        <v>0</v>
      </c>
      <c r="C302" t="str">
        <f>IFERROR(INDEX('Match Log'!$C$4:$C$810,MATCH(278,'Match Log'!$A$4:$A$810,0)),"")</f>
      </c>
      <c r="D302" t="str">
        <f>IFERROR(INDEX('Match Log'!$G$4:$G$810,MATCH(278,'Match Log'!$A$4:$A$810,0)),"")</f>
      </c>
      <c r="E302">
        <f>IFERROR(INDEX('Match Log'!$F$4:$F$810,MATCH(278,'Match Log'!$A$4:$A$810,0)),"")</f>
        <v>0</v>
      </c>
      <c r="F302">
        <f>IFERROR(SUMIFS('Match Log'!$I$4:$I$810,'Match Log'!$A$4:$A$810,278,'Match Log'!$E$4:$E$810,"Win"),"")</f>
        <v>0</v>
      </c>
      <c r="G302">
        <f>IF($D302="","",1-$F302*$E302)</f>
        <v>0</v>
      </c>
      <c r="H302" t="str">
        <f>IFERROR(IF($E302=2,LOOKUP(2,1/(('Match Log'!$A$4:$A$810=278)*('Match Log'!$E$4:$E$810="Loss")),'Match Log'!$D$4:$D$810),"the field"),"")</f>
      </c>
      <c r="I302">
        <f>IF($G302="","",$G302-$A302/1000000)</f>
        <v>0</v>
      </c>
      <c r="J302">
        <v>278</v>
      </c>
      <c r="K302">
        <f>IF($J302&gt;MAX('Match Log'!$A$4:$A$810),NA(),IFERROR(LOOKUP(2,1/(('Match Log'!$D$4:$D$810=$K$24)*('Match Log'!$A$4:$A$810&lt;=$J302)),'Match Log'!$N$4:$N$810),NA()))</f>
        <v>0</v>
      </c>
      <c r="L302">
        <f>IF($J302&gt;MAX('Match Log'!$A$4:$A$810),NA(),IFERROR(LOOKUP(2,1/(('Match Log'!$D$4:$D$810=$L$24)*('Match Log'!$A$4:$A$810&lt;=$J302)),'Match Log'!$N$4:$N$810),NA()))</f>
        <v>0</v>
      </c>
      <c r="M302">
        <f>IF($J302&gt;MAX('Match Log'!$A$4:$A$810),NA(),IFERROR(LOOKUP(2,1/(('Match Log'!$D$4:$D$810=$M$24)*('Match Log'!$A$4:$A$810&lt;=$J302)),'Match Log'!$N$4:$N$810),NA()))</f>
        <v>0</v>
      </c>
      <c r="N302">
        <f>IF($J302&gt;MAX('Match Log'!$A$4:$A$810),NA(),IFERROR(LOOKUP(2,1/(('Match Log'!$D$4:$D$810=$N$24)*('Match Log'!$A$4:$A$810&lt;=$J302)),'Match Log'!$N$4:$N$810),NA()))</f>
        <v>0</v>
      </c>
      <c r="O302">
        <f>IF($J302&gt;MAX('Match Log'!$A$4:$A$810),NA(),IFERROR(LOOKUP(2,1/(('Match Log'!$D$4:$D$810=$O$24)*('Match Log'!$A$4:$A$810&lt;=$J302)),'Match Log'!$N$4:$N$810),NA()))</f>
        <v>0</v>
      </c>
      <c r="P302">
        <f>IF($J302&gt;MAX('Match Log'!$A$4:$A$810),NA(),IFERROR(LOOKUP(2,1/(('Match Log'!$D$4:$D$810=$P$24)*('Match Log'!$A$4:$A$810&lt;=$J302)),'Match Log'!$N$4:$N$810),NA()))</f>
        <v>0</v>
      </c>
      <c r="Q302">
        <f>IF($J302&gt;MAX('Match Log'!$A$4:$A$810),NA(),IFERROR(LOOKUP(2,1/(('Match Log'!$D$4:$D$810=$Q$24)*('Match Log'!$A$4:$A$810&lt;=$J302)),'Match Log'!$N$4:$N$810),NA()))</f>
        <v>0</v>
      </c>
      <c r="R302">
        <f>IF($J302&gt;MAX('Match Log'!$A$4:$A$810),NA(),IFERROR(LOOKUP(2,1/(('Match Log'!$D$4:$D$810=$R$24)*('Match Log'!$A$4:$A$810&lt;=$J302)),'Match Log'!$N$4:$N$810),NA()))</f>
        <v>0</v>
      </c>
      <c r="S302">
        <f>IF($J302&gt;MAX('Match Log'!$A$4:$A$810),NA(),IFERROR(LOOKUP(2,1/(('Match Log'!$D$4:$D$810=$S$24)*('Match Log'!$A$4:$A$810&lt;=$J302)),'Match Log'!$N$4:$N$810),NA()))</f>
        <v>0</v>
      </c>
      <c r="T302">
        <f>IF($J302&gt;MAX('Match Log'!$A$4:$A$810),NA(),IFERROR(LOOKUP(2,1/(('Match Log'!$D$4:$D$810=$T$24)*('Match Log'!$A$4:$A$810&lt;=$J302)),'Match Log'!$N$4:$N$810),NA()))</f>
        <v>0</v>
      </c>
      <c r="U302">
        <f>IF($J302&gt;MAX('Match Log'!$A$4:$A$810),NA(),IFERROR(LOOKUP(2,1/(('Match Log'!$D$4:$D$810=$U$24)*('Match Log'!$A$4:$A$810&lt;=$J302)),'Match Log'!$N$4:$N$810),NA()))</f>
        <v>0</v>
      </c>
      <c r="V302">
        <f>IF($J302&gt;MAX('Match Log'!$A$4:$A$810),NA(),IFERROR(LOOKUP(2,1/(('Match Log'!$D$4:$D$810=$V$24)*('Match Log'!$A$4:$A$810&lt;=$J302)),'Match Log'!$N$4:$N$810),NA()))</f>
        <v>0</v>
      </c>
      <c r="W302">
        <f>IF($J302&gt;MAX('Match Log'!$A$4:$A$810),NA(),IFERROR(LOOKUP(2,1/(('Match Log'!$D$4:$D$810=$W$24)*('Match Log'!$A$4:$A$810&lt;=$J302)),'Match Log'!$N$4:$N$810),NA()))</f>
        <v>0</v>
      </c>
      <c r="X302">
        <f>IF($J302&gt;MAX('Match Log'!$A$4:$A$810),NA(),IFERROR(LOOKUP(2,1/(('Match Log'!$D$4:$D$810=$X$24)*('Match Log'!$A$4:$A$810&lt;=$J302)),'Match Log'!$N$4:$N$810),NA()))</f>
        <v>0</v>
      </c>
      <c r="Y302" t="str">
        <f>IF(AND($B302&lt;&gt;"",$B302&gt;=$B$5,$I302&lt;&gt;""),$I302,"")</f>
      </c>
    </row>
    <row r="303">
      <c r="A303">
        <v>279</v>
      </c>
      <c r="B303">
        <f>IFERROR(INDEX('Match Log'!$B$4:$B$810,MATCH(279,'Match Log'!$A$4:$A$810,0)),"")</f>
        <v>0</v>
      </c>
      <c r="C303" t="str">
        <f>IFERROR(INDEX('Match Log'!$C$4:$C$810,MATCH(279,'Match Log'!$A$4:$A$810,0)),"")</f>
      </c>
      <c r="D303" t="str">
        <f>IFERROR(INDEX('Match Log'!$G$4:$G$810,MATCH(279,'Match Log'!$A$4:$A$810,0)),"")</f>
      </c>
      <c r="E303">
        <f>IFERROR(INDEX('Match Log'!$F$4:$F$810,MATCH(279,'Match Log'!$A$4:$A$810,0)),"")</f>
        <v>0</v>
      </c>
      <c r="F303">
        <f>IFERROR(SUMIFS('Match Log'!$I$4:$I$810,'Match Log'!$A$4:$A$810,279,'Match Log'!$E$4:$E$810,"Win"),"")</f>
        <v>0</v>
      </c>
      <c r="G303">
        <f>IF($D303="","",1-$F303*$E303)</f>
        <v>0</v>
      </c>
      <c r="H303" t="str">
        <f>IFERROR(IF($E303=2,LOOKUP(2,1/(('Match Log'!$A$4:$A$810=279)*('Match Log'!$E$4:$E$810="Loss")),'Match Log'!$D$4:$D$810),"the field"),"")</f>
      </c>
      <c r="I303">
        <f>IF($G303="","",$G303-$A303/1000000)</f>
        <v>0</v>
      </c>
      <c r="J303">
        <v>279</v>
      </c>
      <c r="K303">
        <f>IF($J303&gt;MAX('Match Log'!$A$4:$A$810),NA(),IFERROR(LOOKUP(2,1/(('Match Log'!$D$4:$D$810=$K$24)*('Match Log'!$A$4:$A$810&lt;=$J303)),'Match Log'!$N$4:$N$810),NA()))</f>
        <v>0</v>
      </c>
      <c r="L303">
        <f>IF($J303&gt;MAX('Match Log'!$A$4:$A$810),NA(),IFERROR(LOOKUP(2,1/(('Match Log'!$D$4:$D$810=$L$24)*('Match Log'!$A$4:$A$810&lt;=$J303)),'Match Log'!$N$4:$N$810),NA()))</f>
        <v>0</v>
      </c>
      <c r="M303">
        <f>IF($J303&gt;MAX('Match Log'!$A$4:$A$810),NA(),IFERROR(LOOKUP(2,1/(('Match Log'!$D$4:$D$810=$M$24)*('Match Log'!$A$4:$A$810&lt;=$J303)),'Match Log'!$N$4:$N$810),NA()))</f>
        <v>0</v>
      </c>
      <c r="N303">
        <f>IF($J303&gt;MAX('Match Log'!$A$4:$A$810),NA(),IFERROR(LOOKUP(2,1/(('Match Log'!$D$4:$D$810=$N$24)*('Match Log'!$A$4:$A$810&lt;=$J303)),'Match Log'!$N$4:$N$810),NA()))</f>
        <v>0</v>
      </c>
      <c r="O303">
        <f>IF($J303&gt;MAX('Match Log'!$A$4:$A$810),NA(),IFERROR(LOOKUP(2,1/(('Match Log'!$D$4:$D$810=$O$24)*('Match Log'!$A$4:$A$810&lt;=$J303)),'Match Log'!$N$4:$N$810),NA()))</f>
        <v>0</v>
      </c>
      <c r="P303">
        <f>IF($J303&gt;MAX('Match Log'!$A$4:$A$810),NA(),IFERROR(LOOKUP(2,1/(('Match Log'!$D$4:$D$810=$P$24)*('Match Log'!$A$4:$A$810&lt;=$J303)),'Match Log'!$N$4:$N$810),NA()))</f>
        <v>0</v>
      </c>
      <c r="Q303">
        <f>IF($J303&gt;MAX('Match Log'!$A$4:$A$810),NA(),IFERROR(LOOKUP(2,1/(('Match Log'!$D$4:$D$810=$Q$24)*('Match Log'!$A$4:$A$810&lt;=$J303)),'Match Log'!$N$4:$N$810),NA()))</f>
        <v>0</v>
      </c>
      <c r="R303">
        <f>IF($J303&gt;MAX('Match Log'!$A$4:$A$810),NA(),IFERROR(LOOKUP(2,1/(('Match Log'!$D$4:$D$810=$R$24)*('Match Log'!$A$4:$A$810&lt;=$J303)),'Match Log'!$N$4:$N$810),NA()))</f>
        <v>0</v>
      </c>
      <c r="S303">
        <f>IF($J303&gt;MAX('Match Log'!$A$4:$A$810),NA(),IFERROR(LOOKUP(2,1/(('Match Log'!$D$4:$D$810=$S$24)*('Match Log'!$A$4:$A$810&lt;=$J303)),'Match Log'!$N$4:$N$810),NA()))</f>
        <v>0</v>
      </c>
      <c r="T303">
        <f>IF($J303&gt;MAX('Match Log'!$A$4:$A$810),NA(),IFERROR(LOOKUP(2,1/(('Match Log'!$D$4:$D$810=$T$24)*('Match Log'!$A$4:$A$810&lt;=$J303)),'Match Log'!$N$4:$N$810),NA()))</f>
        <v>0</v>
      </c>
      <c r="U303">
        <f>IF($J303&gt;MAX('Match Log'!$A$4:$A$810),NA(),IFERROR(LOOKUP(2,1/(('Match Log'!$D$4:$D$810=$U$24)*('Match Log'!$A$4:$A$810&lt;=$J303)),'Match Log'!$N$4:$N$810),NA()))</f>
        <v>0</v>
      </c>
      <c r="V303">
        <f>IF($J303&gt;MAX('Match Log'!$A$4:$A$810),NA(),IFERROR(LOOKUP(2,1/(('Match Log'!$D$4:$D$810=$V$24)*('Match Log'!$A$4:$A$810&lt;=$J303)),'Match Log'!$N$4:$N$810),NA()))</f>
        <v>0</v>
      </c>
      <c r="W303">
        <f>IF($J303&gt;MAX('Match Log'!$A$4:$A$810),NA(),IFERROR(LOOKUP(2,1/(('Match Log'!$D$4:$D$810=$W$24)*('Match Log'!$A$4:$A$810&lt;=$J303)),'Match Log'!$N$4:$N$810),NA()))</f>
        <v>0</v>
      </c>
      <c r="X303">
        <f>IF($J303&gt;MAX('Match Log'!$A$4:$A$810),NA(),IFERROR(LOOKUP(2,1/(('Match Log'!$D$4:$D$810=$X$24)*('Match Log'!$A$4:$A$810&lt;=$J303)),'Match Log'!$N$4:$N$810),NA()))</f>
        <v>0</v>
      </c>
      <c r="Y303" t="str">
        <f>IF(AND($B303&lt;&gt;"",$B303&gt;=$B$5,$I303&lt;&gt;""),$I303,"")</f>
      </c>
    </row>
    <row r="304">
      <c r="A304">
        <v>280</v>
      </c>
      <c r="B304">
        <f>IFERROR(INDEX('Match Log'!$B$4:$B$810,MATCH(280,'Match Log'!$A$4:$A$810,0)),"")</f>
        <v>0</v>
      </c>
      <c r="C304" t="str">
        <f>IFERROR(INDEX('Match Log'!$C$4:$C$810,MATCH(280,'Match Log'!$A$4:$A$810,0)),"")</f>
      </c>
      <c r="D304" t="str">
        <f>IFERROR(INDEX('Match Log'!$G$4:$G$810,MATCH(280,'Match Log'!$A$4:$A$810,0)),"")</f>
      </c>
      <c r="E304">
        <f>IFERROR(INDEX('Match Log'!$F$4:$F$810,MATCH(280,'Match Log'!$A$4:$A$810,0)),"")</f>
        <v>0</v>
      </c>
      <c r="F304">
        <f>IFERROR(SUMIFS('Match Log'!$I$4:$I$810,'Match Log'!$A$4:$A$810,280,'Match Log'!$E$4:$E$810,"Win"),"")</f>
        <v>0</v>
      </c>
      <c r="G304">
        <f>IF($D304="","",1-$F304*$E304)</f>
        <v>0</v>
      </c>
      <c r="H304" t="str">
        <f>IFERROR(IF($E304=2,LOOKUP(2,1/(('Match Log'!$A$4:$A$810=280)*('Match Log'!$E$4:$E$810="Loss")),'Match Log'!$D$4:$D$810),"the field"),"")</f>
      </c>
      <c r="I304">
        <f>IF($G304="","",$G304-$A304/1000000)</f>
        <v>0</v>
      </c>
      <c r="J304">
        <v>280</v>
      </c>
      <c r="K304">
        <f>IF($J304&gt;MAX('Match Log'!$A$4:$A$810),NA(),IFERROR(LOOKUP(2,1/(('Match Log'!$D$4:$D$810=$K$24)*('Match Log'!$A$4:$A$810&lt;=$J304)),'Match Log'!$N$4:$N$810),NA()))</f>
        <v>0</v>
      </c>
      <c r="L304">
        <f>IF($J304&gt;MAX('Match Log'!$A$4:$A$810),NA(),IFERROR(LOOKUP(2,1/(('Match Log'!$D$4:$D$810=$L$24)*('Match Log'!$A$4:$A$810&lt;=$J304)),'Match Log'!$N$4:$N$810),NA()))</f>
        <v>0</v>
      </c>
      <c r="M304">
        <f>IF($J304&gt;MAX('Match Log'!$A$4:$A$810),NA(),IFERROR(LOOKUP(2,1/(('Match Log'!$D$4:$D$810=$M$24)*('Match Log'!$A$4:$A$810&lt;=$J304)),'Match Log'!$N$4:$N$810),NA()))</f>
        <v>0</v>
      </c>
      <c r="N304">
        <f>IF($J304&gt;MAX('Match Log'!$A$4:$A$810),NA(),IFERROR(LOOKUP(2,1/(('Match Log'!$D$4:$D$810=$N$24)*('Match Log'!$A$4:$A$810&lt;=$J304)),'Match Log'!$N$4:$N$810),NA()))</f>
        <v>0</v>
      </c>
      <c r="O304">
        <f>IF($J304&gt;MAX('Match Log'!$A$4:$A$810),NA(),IFERROR(LOOKUP(2,1/(('Match Log'!$D$4:$D$810=$O$24)*('Match Log'!$A$4:$A$810&lt;=$J304)),'Match Log'!$N$4:$N$810),NA()))</f>
        <v>0</v>
      </c>
      <c r="P304">
        <f>IF($J304&gt;MAX('Match Log'!$A$4:$A$810),NA(),IFERROR(LOOKUP(2,1/(('Match Log'!$D$4:$D$810=$P$24)*('Match Log'!$A$4:$A$810&lt;=$J304)),'Match Log'!$N$4:$N$810),NA()))</f>
        <v>0</v>
      </c>
      <c r="Q304">
        <f>IF($J304&gt;MAX('Match Log'!$A$4:$A$810),NA(),IFERROR(LOOKUP(2,1/(('Match Log'!$D$4:$D$810=$Q$24)*('Match Log'!$A$4:$A$810&lt;=$J304)),'Match Log'!$N$4:$N$810),NA()))</f>
        <v>0</v>
      </c>
      <c r="R304">
        <f>IF($J304&gt;MAX('Match Log'!$A$4:$A$810),NA(),IFERROR(LOOKUP(2,1/(('Match Log'!$D$4:$D$810=$R$24)*('Match Log'!$A$4:$A$810&lt;=$J304)),'Match Log'!$N$4:$N$810),NA()))</f>
        <v>0</v>
      </c>
      <c r="S304">
        <f>IF($J304&gt;MAX('Match Log'!$A$4:$A$810),NA(),IFERROR(LOOKUP(2,1/(('Match Log'!$D$4:$D$810=$S$24)*('Match Log'!$A$4:$A$810&lt;=$J304)),'Match Log'!$N$4:$N$810),NA()))</f>
        <v>0</v>
      </c>
      <c r="T304">
        <f>IF($J304&gt;MAX('Match Log'!$A$4:$A$810),NA(),IFERROR(LOOKUP(2,1/(('Match Log'!$D$4:$D$810=$T$24)*('Match Log'!$A$4:$A$810&lt;=$J304)),'Match Log'!$N$4:$N$810),NA()))</f>
        <v>0</v>
      </c>
      <c r="U304">
        <f>IF($J304&gt;MAX('Match Log'!$A$4:$A$810),NA(),IFERROR(LOOKUP(2,1/(('Match Log'!$D$4:$D$810=$U$24)*('Match Log'!$A$4:$A$810&lt;=$J304)),'Match Log'!$N$4:$N$810),NA()))</f>
        <v>0</v>
      </c>
      <c r="V304">
        <f>IF($J304&gt;MAX('Match Log'!$A$4:$A$810),NA(),IFERROR(LOOKUP(2,1/(('Match Log'!$D$4:$D$810=$V$24)*('Match Log'!$A$4:$A$810&lt;=$J304)),'Match Log'!$N$4:$N$810),NA()))</f>
        <v>0</v>
      </c>
      <c r="W304">
        <f>IF($J304&gt;MAX('Match Log'!$A$4:$A$810),NA(),IFERROR(LOOKUP(2,1/(('Match Log'!$D$4:$D$810=$W$24)*('Match Log'!$A$4:$A$810&lt;=$J304)),'Match Log'!$N$4:$N$810),NA()))</f>
        <v>0</v>
      </c>
      <c r="X304">
        <f>IF($J304&gt;MAX('Match Log'!$A$4:$A$810),NA(),IFERROR(LOOKUP(2,1/(('Match Log'!$D$4:$D$810=$X$24)*('Match Log'!$A$4:$A$810&lt;=$J304)),'Match Log'!$N$4:$N$810),NA()))</f>
        <v>0</v>
      </c>
      <c r="Y304" t="str">
        <f>IF(AND($B304&lt;&gt;"",$B304&gt;=$B$5,$I304&lt;&gt;""),$I304,"")</f>
      </c>
    </row>
    <row r="305">
      <c r="A305">
        <v>281</v>
      </c>
      <c r="B305">
        <f>IFERROR(INDEX('Match Log'!$B$4:$B$810,MATCH(281,'Match Log'!$A$4:$A$810,0)),"")</f>
        <v>0</v>
      </c>
      <c r="C305" t="str">
        <f>IFERROR(INDEX('Match Log'!$C$4:$C$810,MATCH(281,'Match Log'!$A$4:$A$810,0)),"")</f>
      </c>
      <c r="D305" t="str">
        <f>IFERROR(INDEX('Match Log'!$G$4:$G$810,MATCH(281,'Match Log'!$A$4:$A$810,0)),"")</f>
      </c>
      <c r="E305">
        <f>IFERROR(INDEX('Match Log'!$F$4:$F$810,MATCH(281,'Match Log'!$A$4:$A$810,0)),"")</f>
        <v>0</v>
      </c>
      <c r="F305">
        <f>IFERROR(SUMIFS('Match Log'!$I$4:$I$810,'Match Log'!$A$4:$A$810,281,'Match Log'!$E$4:$E$810,"Win"),"")</f>
        <v>0</v>
      </c>
      <c r="G305">
        <f>IF($D305="","",1-$F305*$E305)</f>
        <v>0</v>
      </c>
      <c r="H305" t="str">
        <f>IFERROR(IF($E305=2,LOOKUP(2,1/(('Match Log'!$A$4:$A$810=281)*('Match Log'!$E$4:$E$810="Loss")),'Match Log'!$D$4:$D$810),"the field"),"")</f>
      </c>
      <c r="I305">
        <f>IF($G305="","",$G305-$A305/1000000)</f>
        <v>0</v>
      </c>
      <c r="J305">
        <v>281</v>
      </c>
      <c r="K305">
        <f>IF($J305&gt;MAX('Match Log'!$A$4:$A$810),NA(),IFERROR(LOOKUP(2,1/(('Match Log'!$D$4:$D$810=$K$24)*('Match Log'!$A$4:$A$810&lt;=$J305)),'Match Log'!$N$4:$N$810),NA()))</f>
        <v>0</v>
      </c>
      <c r="L305">
        <f>IF($J305&gt;MAX('Match Log'!$A$4:$A$810),NA(),IFERROR(LOOKUP(2,1/(('Match Log'!$D$4:$D$810=$L$24)*('Match Log'!$A$4:$A$810&lt;=$J305)),'Match Log'!$N$4:$N$810),NA()))</f>
        <v>0</v>
      </c>
      <c r="M305">
        <f>IF($J305&gt;MAX('Match Log'!$A$4:$A$810),NA(),IFERROR(LOOKUP(2,1/(('Match Log'!$D$4:$D$810=$M$24)*('Match Log'!$A$4:$A$810&lt;=$J305)),'Match Log'!$N$4:$N$810),NA()))</f>
        <v>0</v>
      </c>
      <c r="N305">
        <f>IF($J305&gt;MAX('Match Log'!$A$4:$A$810),NA(),IFERROR(LOOKUP(2,1/(('Match Log'!$D$4:$D$810=$N$24)*('Match Log'!$A$4:$A$810&lt;=$J305)),'Match Log'!$N$4:$N$810),NA()))</f>
        <v>0</v>
      </c>
      <c r="O305">
        <f>IF($J305&gt;MAX('Match Log'!$A$4:$A$810),NA(),IFERROR(LOOKUP(2,1/(('Match Log'!$D$4:$D$810=$O$24)*('Match Log'!$A$4:$A$810&lt;=$J305)),'Match Log'!$N$4:$N$810),NA()))</f>
        <v>0</v>
      </c>
      <c r="P305">
        <f>IF($J305&gt;MAX('Match Log'!$A$4:$A$810),NA(),IFERROR(LOOKUP(2,1/(('Match Log'!$D$4:$D$810=$P$24)*('Match Log'!$A$4:$A$810&lt;=$J305)),'Match Log'!$N$4:$N$810),NA()))</f>
        <v>0</v>
      </c>
      <c r="Q305">
        <f>IF($J305&gt;MAX('Match Log'!$A$4:$A$810),NA(),IFERROR(LOOKUP(2,1/(('Match Log'!$D$4:$D$810=$Q$24)*('Match Log'!$A$4:$A$810&lt;=$J305)),'Match Log'!$N$4:$N$810),NA()))</f>
        <v>0</v>
      </c>
      <c r="R305">
        <f>IF($J305&gt;MAX('Match Log'!$A$4:$A$810),NA(),IFERROR(LOOKUP(2,1/(('Match Log'!$D$4:$D$810=$R$24)*('Match Log'!$A$4:$A$810&lt;=$J305)),'Match Log'!$N$4:$N$810),NA()))</f>
        <v>0</v>
      </c>
      <c r="S305">
        <f>IF($J305&gt;MAX('Match Log'!$A$4:$A$810),NA(),IFERROR(LOOKUP(2,1/(('Match Log'!$D$4:$D$810=$S$24)*('Match Log'!$A$4:$A$810&lt;=$J305)),'Match Log'!$N$4:$N$810),NA()))</f>
        <v>0</v>
      </c>
      <c r="T305">
        <f>IF($J305&gt;MAX('Match Log'!$A$4:$A$810),NA(),IFERROR(LOOKUP(2,1/(('Match Log'!$D$4:$D$810=$T$24)*('Match Log'!$A$4:$A$810&lt;=$J305)),'Match Log'!$N$4:$N$810),NA()))</f>
        <v>0</v>
      </c>
      <c r="U305">
        <f>IF($J305&gt;MAX('Match Log'!$A$4:$A$810),NA(),IFERROR(LOOKUP(2,1/(('Match Log'!$D$4:$D$810=$U$24)*('Match Log'!$A$4:$A$810&lt;=$J305)),'Match Log'!$N$4:$N$810),NA()))</f>
        <v>0</v>
      </c>
      <c r="V305">
        <f>IF($J305&gt;MAX('Match Log'!$A$4:$A$810),NA(),IFERROR(LOOKUP(2,1/(('Match Log'!$D$4:$D$810=$V$24)*('Match Log'!$A$4:$A$810&lt;=$J305)),'Match Log'!$N$4:$N$810),NA()))</f>
        <v>0</v>
      </c>
      <c r="W305">
        <f>IF($J305&gt;MAX('Match Log'!$A$4:$A$810),NA(),IFERROR(LOOKUP(2,1/(('Match Log'!$D$4:$D$810=$W$24)*('Match Log'!$A$4:$A$810&lt;=$J305)),'Match Log'!$N$4:$N$810),NA()))</f>
        <v>0</v>
      </c>
      <c r="X305">
        <f>IF($J305&gt;MAX('Match Log'!$A$4:$A$810),NA(),IFERROR(LOOKUP(2,1/(('Match Log'!$D$4:$D$810=$X$24)*('Match Log'!$A$4:$A$810&lt;=$J305)),'Match Log'!$N$4:$N$810),NA()))</f>
        <v>0</v>
      </c>
      <c r="Y305" t="str">
        <f>IF(AND($B305&lt;&gt;"",$B305&gt;=$B$5,$I305&lt;&gt;""),$I305,"")</f>
      </c>
    </row>
    <row r="306">
      <c r="A306">
        <v>282</v>
      </c>
      <c r="B306">
        <f>IFERROR(INDEX('Match Log'!$B$4:$B$810,MATCH(282,'Match Log'!$A$4:$A$810,0)),"")</f>
        <v>0</v>
      </c>
      <c r="C306" t="str">
        <f>IFERROR(INDEX('Match Log'!$C$4:$C$810,MATCH(282,'Match Log'!$A$4:$A$810,0)),"")</f>
      </c>
      <c r="D306" t="str">
        <f>IFERROR(INDEX('Match Log'!$G$4:$G$810,MATCH(282,'Match Log'!$A$4:$A$810,0)),"")</f>
      </c>
      <c r="E306">
        <f>IFERROR(INDEX('Match Log'!$F$4:$F$810,MATCH(282,'Match Log'!$A$4:$A$810,0)),"")</f>
        <v>0</v>
      </c>
      <c r="F306">
        <f>IFERROR(SUMIFS('Match Log'!$I$4:$I$810,'Match Log'!$A$4:$A$810,282,'Match Log'!$E$4:$E$810,"Win"),"")</f>
        <v>0</v>
      </c>
      <c r="G306">
        <f>IF($D306="","",1-$F306*$E306)</f>
        <v>0</v>
      </c>
      <c r="H306" t="str">
        <f>IFERROR(IF($E306=2,LOOKUP(2,1/(('Match Log'!$A$4:$A$810=282)*('Match Log'!$E$4:$E$810="Loss")),'Match Log'!$D$4:$D$810),"the field"),"")</f>
      </c>
      <c r="I306">
        <f>IF($G306="","",$G306-$A306/1000000)</f>
        <v>0</v>
      </c>
      <c r="J306">
        <v>282</v>
      </c>
      <c r="K306">
        <f>IF($J306&gt;MAX('Match Log'!$A$4:$A$810),NA(),IFERROR(LOOKUP(2,1/(('Match Log'!$D$4:$D$810=$K$24)*('Match Log'!$A$4:$A$810&lt;=$J306)),'Match Log'!$N$4:$N$810),NA()))</f>
        <v>0</v>
      </c>
      <c r="L306">
        <f>IF($J306&gt;MAX('Match Log'!$A$4:$A$810),NA(),IFERROR(LOOKUP(2,1/(('Match Log'!$D$4:$D$810=$L$24)*('Match Log'!$A$4:$A$810&lt;=$J306)),'Match Log'!$N$4:$N$810),NA()))</f>
        <v>0</v>
      </c>
      <c r="M306">
        <f>IF($J306&gt;MAX('Match Log'!$A$4:$A$810),NA(),IFERROR(LOOKUP(2,1/(('Match Log'!$D$4:$D$810=$M$24)*('Match Log'!$A$4:$A$810&lt;=$J306)),'Match Log'!$N$4:$N$810),NA()))</f>
        <v>0</v>
      </c>
      <c r="N306">
        <f>IF($J306&gt;MAX('Match Log'!$A$4:$A$810),NA(),IFERROR(LOOKUP(2,1/(('Match Log'!$D$4:$D$810=$N$24)*('Match Log'!$A$4:$A$810&lt;=$J306)),'Match Log'!$N$4:$N$810),NA()))</f>
        <v>0</v>
      </c>
      <c r="O306">
        <f>IF($J306&gt;MAX('Match Log'!$A$4:$A$810),NA(),IFERROR(LOOKUP(2,1/(('Match Log'!$D$4:$D$810=$O$24)*('Match Log'!$A$4:$A$810&lt;=$J306)),'Match Log'!$N$4:$N$810),NA()))</f>
        <v>0</v>
      </c>
      <c r="P306">
        <f>IF($J306&gt;MAX('Match Log'!$A$4:$A$810),NA(),IFERROR(LOOKUP(2,1/(('Match Log'!$D$4:$D$810=$P$24)*('Match Log'!$A$4:$A$810&lt;=$J306)),'Match Log'!$N$4:$N$810),NA()))</f>
        <v>0</v>
      </c>
      <c r="Q306">
        <f>IF($J306&gt;MAX('Match Log'!$A$4:$A$810),NA(),IFERROR(LOOKUP(2,1/(('Match Log'!$D$4:$D$810=$Q$24)*('Match Log'!$A$4:$A$810&lt;=$J306)),'Match Log'!$N$4:$N$810),NA()))</f>
        <v>0</v>
      </c>
      <c r="R306">
        <f>IF($J306&gt;MAX('Match Log'!$A$4:$A$810),NA(),IFERROR(LOOKUP(2,1/(('Match Log'!$D$4:$D$810=$R$24)*('Match Log'!$A$4:$A$810&lt;=$J306)),'Match Log'!$N$4:$N$810),NA()))</f>
        <v>0</v>
      </c>
      <c r="S306">
        <f>IF($J306&gt;MAX('Match Log'!$A$4:$A$810),NA(),IFERROR(LOOKUP(2,1/(('Match Log'!$D$4:$D$810=$S$24)*('Match Log'!$A$4:$A$810&lt;=$J306)),'Match Log'!$N$4:$N$810),NA()))</f>
        <v>0</v>
      </c>
      <c r="T306">
        <f>IF($J306&gt;MAX('Match Log'!$A$4:$A$810),NA(),IFERROR(LOOKUP(2,1/(('Match Log'!$D$4:$D$810=$T$24)*('Match Log'!$A$4:$A$810&lt;=$J306)),'Match Log'!$N$4:$N$810),NA()))</f>
        <v>0</v>
      </c>
      <c r="U306">
        <f>IF($J306&gt;MAX('Match Log'!$A$4:$A$810),NA(),IFERROR(LOOKUP(2,1/(('Match Log'!$D$4:$D$810=$U$24)*('Match Log'!$A$4:$A$810&lt;=$J306)),'Match Log'!$N$4:$N$810),NA()))</f>
        <v>0</v>
      </c>
      <c r="V306">
        <f>IF($J306&gt;MAX('Match Log'!$A$4:$A$810),NA(),IFERROR(LOOKUP(2,1/(('Match Log'!$D$4:$D$810=$V$24)*('Match Log'!$A$4:$A$810&lt;=$J306)),'Match Log'!$N$4:$N$810),NA()))</f>
        <v>0</v>
      </c>
      <c r="W306">
        <f>IF($J306&gt;MAX('Match Log'!$A$4:$A$810),NA(),IFERROR(LOOKUP(2,1/(('Match Log'!$D$4:$D$810=$W$24)*('Match Log'!$A$4:$A$810&lt;=$J306)),'Match Log'!$N$4:$N$810),NA()))</f>
        <v>0</v>
      </c>
      <c r="X306">
        <f>IF($J306&gt;MAX('Match Log'!$A$4:$A$810),NA(),IFERROR(LOOKUP(2,1/(('Match Log'!$D$4:$D$810=$X$24)*('Match Log'!$A$4:$A$810&lt;=$J306)),'Match Log'!$N$4:$N$810),NA()))</f>
        <v>0</v>
      </c>
      <c r="Y306" t="str">
        <f>IF(AND($B306&lt;&gt;"",$B306&gt;=$B$5,$I306&lt;&gt;""),$I306,"")</f>
      </c>
    </row>
    <row r="307">
      <c r="A307">
        <v>283</v>
      </c>
      <c r="B307">
        <f>IFERROR(INDEX('Match Log'!$B$4:$B$810,MATCH(283,'Match Log'!$A$4:$A$810,0)),"")</f>
        <v>0</v>
      </c>
      <c r="C307" t="str">
        <f>IFERROR(INDEX('Match Log'!$C$4:$C$810,MATCH(283,'Match Log'!$A$4:$A$810,0)),"")</f>
      </c>
      <c r="D307" t="str">
        <f>IFERROR(INDEX('Match Log'!$G$4:$G$810,MATCH(283,'Match Log'!$A$4:$A$810,0)),"")</f>
      </c>
      <c r="E307">
        <f>IFERROR(INDEX('Match Log'!$F$4:$F$810,MATCH(283,'Match Log'!$A$4:$A$810,0)),"")</f>
        <v>0</v>
      </c>
      <c r="F307">
        <f>IFERROR(SUMIFS('Match Log'!$I$4:$I$810,'Match Log'!$A$4:$A$810,283,'Match Log'!$E$4:$E$810,"Win"),"")</f>
        <v>0</v>
      </c>
      <c r="G307">
        <f>IF($D307="","",1-$F307*$E307)</f>
        <v>0</v>
      </c>
      <c r="H307" t="str">
        <f>IFERROR(IF($E307=2,LOOKUP(2,1/(('Match Log'!$A$4:$A$810=283)*('Match Log'!$E$4:$E$810="Loss")),'Match Log'!$D$4:$D$810),"the field"),"")</f>
      </c>
      <c r="I307">
        <f>IF($G307="","",$G307-$A307/1000000)</f>
        <v>0</v>
      </c>
      <c r="J307">
        <v>283</v>
      </c>
      <c r="K307">
        <f>IF($J307&gt;MAX('Match Log'!$A$4:$A$810),NA(),IFERROR(LOOKUP(2,1/(('Match Log'!$D$4:$D$810=$K$24)*('Match Log'!$A$4:$A$810&lt;=$J307)),'Match Log'!$N$4:$N$810),NA()))</f>
        <v>0</v>
      </c>
      <c r="L307">
        <f>IF($J307&gt;MAX('Match Log'!$A$4:$A$810),NA(),IFERROR(LOOKUP(2,1/(('Match Log'!$D$4:$D$810=$L$24)*('Match Log'!$A$4:$A$810&lt;=$J307)),'Match Log'!$N$4:$N$810),NA()))</f>
        <v>0</v>
      </c>
      <c r="M307">
        <f>IF($J307&gt;MAX('Match Log'!$A$4:$A$810),NA(),IFERROR(LOOKUP(2,1/(('Match Log'!$D$4:$D$810=$M$24)*('Match Log'!$A$4:$A$810&lt;=$J307)),'Match Log'!$N$4:$N$810),NA()))</f>
        <v>0</v>
      </c>
      <c r="N307">
        <f>IF($J307&gt;MAX('Match Log'!$A$4:$A$810),NA(),IFERROR(LOOKUP(2,1/(('Match Log'!$D$4:$D$810=$N$24)*('Match Log'!$A$4:$A$810&lt;=$J307)),'Match Log'!$N$4:$N$810),NA()))</f>
        <v>0</v>
      </c>
      <c r="O307">
        <f>IF($J307&gt;MAX('Match Log'!$A$4:$A$810),NA(),IFERROR(LOOKUP(2,1/(('Match Log'!$D$4:$D$810=$O$24)*('Match Log'!$A$4:$A$810&lt;=$J307)),'Match Log'!$N$4:$N$810),NA()))</f>
        <v>0</v>
      </c>
      <c r="P307">
        <f>IF($J307&gt;MAX('Match Log'!$A$4:$A$810),NA(),IFERROR(LOOKUP(2,1/(('Match Log'!$D$4:$D$810=$P$24)*('Match Log'!$A$4:$A$810&lt;=$J307)),'Match Log'!$N$4:$N$810),NA()))</f>
        <v>0</v>
      </c>
      <c r="Q307">
        <f>IF($J307&gt;MAX('Match Log'!$A$4:$A$810),NA(),IFERROR(LOOKUP(2,1/(('Match Log'!$D$4:$D$810=$Q$24)*('Match Log'!$A$4:$A$810&lt;=$J307)),'Match Log'!$N$4:$N$810),NA()))</f>
        <v>0</v>
      </c>
      <c r="R307">
        <f>IF($J307&gt;MAX('Match Log'!$A$4:$A$810),NA(),IFERROR(LOOKUP(2,1/(('Match Log'!$D$4:$D$810=$R$24)*('Match Log'!$A$4:$A$810&lt;=$J307)),'Match Log'!$N$4:$N$810),NA()))</f>
        <v>0</v>
      </c>
      <c r="S307">
        <f>IF($J307&gt;MAX('Match Log'!$A$4:$A$810),NA(),IFERROR(LOOKUP(2,1/(('Match Log'!$D$4:$D$810=$S$24)*('Match Log'!$A$4:$A$810&lt;=$J307)),'Match Log'!$N$4:$N$810),NA()))</f>
        <v>0</v>
      </c>
      <c r="T307">
        <f>IF($J307&gt;MAX('Match Log'!$A$4:$A$810),NA(),IFERROR(LOOKUP(2,1/(('Match Log'!$D$4:$D$810=$T$24)*('Match Log'!$A$4:$A$810&lt;=$J307)),'Match Log'!$N$4:$N$810),NA()))</f>
        <v>0</v>
      </c>
      <c r="U307">
        <f>IF($J307&gt;MAX('Match Log'!$A$4:$A$810),NA(),IFERROR(LOOKUP(2,1/(('Match Log'!$D$4:$D$810=$U$24)*('Match Log'!$A$4:$A$810&lt;=$J307)),'Match Log'!$N$4:$N$810),NA()))</f>
        <v>0</v>
      </c>
      <c r="V307">
        <f>IF($J307&gt;MAX('Match Log'!$A$4:$A$810),NA(),IFERROR(LOOKUP(2,1/(('Match Log'!$D$4:$D$810=$V$24)*('Match Log'!$A$4:$A$810&lt;=$J307)),'Match Log'!$N$4:$N$810),NA()))</f>
        <v>0</v>
      </c>
      <c r="W307">
        <f>IF($J307&gt;MAX('Match Log'!$A$4:$A$810),NA(),IFERROR(LOOKUP(2,1/(('Match Log'!$D$4:$D$810=$W$24)*('Match Log'!$A$4:$A$810&lt;=$J307)),'Match Log'!$N$4:$N$810),NA()))</f>
        <v>0</v>
      </c>
      <c r="X307">
        <f>IF($J307&gt;MAX('Match Log'!$A$4:$A$810),NA(),IFERROR(LOOKUP(2,1/(('Match Log'!$D$4:$D$810=$X$24)*('Match Log'!$A$4:$A$810&lt;=$J307)),'Match Log'!$N$4:$N$810),NA()))</f>
        <v>0</v>
      </c>
      <c r="Y307" t="str">
        <f>IF(AND($B307&lt;&gt;"",$B307&gt;=$B$5,$I307&lt;&gt;""),$I307,"")</f>
      </c>
    </row>
    <row r="308">
      <c r="A308">
        <v>284</v>
      </c>
      <c r="B308">
        <f>IFERROR(INDEX('Match Log'!$B$4:$B$810,MATCH(284,'Match Log'!$A$4:$A$810,0)),"")</f>
        <v>0</v>
      </c>
      <c r="C308" t="str">
        <f>IFERROR(INDEX('Match Log'!$C$4:$C$810,MATCH(284,'Match Log'!$A$4:$A$810,0)),"")</f>
      </c>
      <c r="D308" t="str">
        <f>IFERROR(INDEX('Match Log'!$G$4:$G$810,MATCH(284,'Match Log'!$A$4:$A$810,0)),"")</f>
      </c>
      <c r="E308">
        <f>IFERROR(INDEX('Match Log'!$F$4:$F$810,MATCH(284,'Match Log'!$A$4:$A$810,0)),"")</f>
        <v>0</v>
      </c>
      <c r="F308">
        <f>IFERROR(SUMIFS('Match Log'!$I$4:$I$810,'Match Log'!$A$4:$A$810,284,'Match Log'!$E$4:$E$810,"Win"),"")</f>
        <v>0</v>
      </c>
      <c r="G308">
        <f>IF($D308="","",1-$F308*$E308)</f>
        <v>0</v>
      </c>
      <c r="H308" t="str">
        <f>IFERROR(IF($E308=2,LOOKUP(2,1/(('Match Log'!$A$4:$A$810=284)*('Match Log'!$E$4:$E$810="Loss")),'Match Log'!$D$4:$D$810),"the field"),"")</f>
      </c>
      <c r="I308">
        <f>IF($G308="","",$G308-$A308/1000000)</f>
        <v>0</v>
      </c>
      <c r="J308">
        <v>284</v>
      </c>
      <c r="K308">
        <f>IF($J308&gt;MAX('Match Log'!$A$4:$A$810),NA(),IFERROR(LOOKUP(2,1/(('Match Log'!$D$4:$D$810=$K$24)*('Match Log'!$A$4:$A$810&lt;=$J308)),'Match Log'!$N$4:$N$810),NA()))</f>
        <v>0</v>
      </c>
      <c r="L308">
        <f>IF($J308&gt;MAX('Match Log'!$A$4:$A$810),NA(),IFERROR(LOOKUP(2,1/(('Match Log'!$D$4:$D$810=$L$24)*('Match Log'!$A$4:$A$810&lt;=$J308)),'Match Log'!$N$4:$N$810),NA()))</f>
        <v>0</v>
      </c>
      <c r="M308">
        <f>IF($J308&gt;MAX('Match Log'!$A$4:$A$810),NA(),IFERROR(LOOKUP(2,1/(('Match Log'!$D$4:$D$810=$M$24)*('Match Log'!$A$4:$A$810&lt;=$J308)),'Match Log'!$N$4:$N$810),NA()))</f>
        <v>0</v>
      </c>
      <c r="N308">
        <f>IF($J308&gt;MAX('Match Log'!$A$4:$A$810),NA(),IFERROR(LOOKUP(2,1/(('Match Log'!$D$4:$D$810=$N$24)*('Match Log'!$A$4:$A$810&lt;=$J308)),'Match Log'!$N$4:$N$810),NA()))</f>
        <v>0</v>
      </c>
      <c r="O308">
        <f>IF($J308&gt;MAX('Match Log'!$A$4:$A$810),NA(),IFERROR(LOOKUP(2,1/(('Match Log'!$D$4:$D$810=$O$24)*('Match Log'!$A$4:$A$810&lt;=$J308)),'Match Log'!$N$4:$N$810),NA()))</f>
        <v>0</v>
      </c>
      <c r="P308">
        <f>IF($J308&gt;MAX('Match Log'!$A$4:$A$810),NA(),IFERROR(LOOKUP(2,1/(('Match Log'!$D$4:$D$810=$P$24)*('Match Log'!$A$4:$A$810&lt;=$J308)),'Match Log'!$N$4:$N$810),NA()))</f>
        <v>0</v>
      </c>
      <c r="Q308">
        <f>IF($J308&gt;MAX('Match Log'!$A$4:$A$810),NA(),IFERROR(LOOKUP(2,1/(('Match Log'!$D$4:$D$810=$Q$24)*('Match Log'!$A$4:$A$810&lt;=$J308)),'Match Log'!$N$4:$N$810),NA()))</f>
        <v>0</v>
      </c>
      <c r="R308">
        <f>IF($J308&gt;MAX('Match Log'!$A$4:$A$810),NA(),IFERROR(LOOKUP(2,1/(('Match Log'!$D$4:$D$810=$R$24)*('Match Log'!$A$4:$A$810&lt;=$J308)),'Match Log'!$N$4:$N$810),NA()))</f>
        <v>0</v>
      </c>
      <c r="S308">
        <f>IF($J308&gt;MAX('Match Log'!$A$4:$A$810),NA(),IFERROR(LOOKUP(2,1/(('Match Log'!$D$4:$D$810=$S$24)*('Match Log'!$A$4:$A$810&lt;=$J308)),'Match Log'!$N$4:$N$810),NA()))</f>
        <v>0</v>
      </c>
      <c r="T308">
        <f>IF($J308&gt;MAX('Match Log'!$A$4:$A$810),NA(),IFERROR(LOOKUP(2,1/(('Match Log'!$D$4:$D$810=$T$24)*('Match Log'!$A$4:$A$810&lt;=$J308)),'Match Log'!$N$4:$N$810),NA()))</f>
        <v>0</v>
      </c>
      <c r="U308">
        <f>IF($J308&gt;MAX('Match Log'!$A$4:$A$810),NA(),IFERROR(LOOKUP(2,1/(('Match Log'!$D$4:$D$810=$U$24)*('Match Log'!$A$4:$A$810&lt;=$J308)),'Match Log'!$N$4:$N$810),NA()))</f>
        <v>0</v>
      </c>
      <c r="V308">
        <f>IF($J308&gt;MAX('Match Log'!$A$4:$A$810),NA(),IFERROR(LOOKUP(2,1/(('Match Log'!$D$4:$D$810=$V$24)*('Match Log'!$A$4:$A$810&lt;=$J308)),'Match Log'!$N$4:$N$810),NA()))</f>
        <v>0</v>
      </c>
      <c r="W308">
        <f>IF($J308&gt;MAX('Match Log'!$A$4:$A$810),NA(),IFERROR(LOOKUP(2,1/(('Match Log'!$D$4:$D$810=$W$24)*('Match Log'!$A$4:$A$810&lt;=$J308)),'Match Log'!$N$4:$N$810),NA()))</f>
        <v>0</v>
      </c>
      <c r="X308">
        <f>IF($J308&gt;MAX('Match Log'!$A$4:$A$810),NA(),IFERROR(LOOKUP(2,1/(('Match Log'!$D$4:$D$810=$X$24)*('Match Log'!$A$4:$A$810&lt;=$J308)),'Match Log'!$N$4:$N$810),NA()))</f>
        <v>0</v>
      </c>
      <c r="Y308" t="str">
        <f>IF(AND($B308&lt;&gt;"",$B308&gt;=$B$5,$I308&lt;&gt;""),$I308,"")</f>
      </c>
    </row>
    <row r="309">
      <c r="A309">
        <v>285</v>
      </c>
      <c r="B309">
        <f>IFERROR(INDEX('Match Log'!$B$4:$B$810,MATCH(285,'Match Log'!$A$4:$A$810,0)),"")</f>
        <v>0</v>
      </c>
      <c r="C309" t="str">
        <f>IFERROR(INDEX('Match Log'!$C$4:$C$810,MATCH(285,'Match Log'!$A$4:$A$810,0)),"")</f>
      </c>
      <c r="D309" t="str">
        <f>IFERROR(INDEX('Match Log'!$G$4:$G$810,MATCH(285,'Match Log'!$A$4:$A$810,0)),"")</f>
      </c>
      <c r="E309">
        <f>IFERROR(INDEX('Match Log'!$F$4:$F$810,MATCH(285,'Match Log'!$A$4:$A$810,0)),"")</f>
        <v>0</v>
      </c>
      <c r="F309">
        <f>IFERROR(SUMIFS('Match Log'!$I$4:$I$810,'Match Log'!$A$4:$A$810,285,'Match Log'!$E$4:$E$810,"Win"),"")</f>
        <v>0</v>
      </c>
      <c r="G309">
        <f>IF($D309="","",1-$F309*$E309)</f>
        <v>0</v>
      </c>
      <c r="H309" t="str">
        <f>IFERROR(IF($E309=2,LOOKUP(2,1/(('Match Log'!$A$4:$A$810=285)*('Match Log'!$E$4:$E$810="Loss")),'Match Log'!$D$4:$D$810),"the field"),"")</f>
      </c>
      <c r="I309">
        <f>IF($G309="","",$G309-$A309/1000000)</f>
        <v>0</v>
      </c>
      <c r="J309">
        <v>285</v>
      </c>
      <c r="K309">
        <f>IF($J309&gt;MAX('Match Log'!$A$4:$A$810),NA(),IFERROR(LOOKUP(2,1/(('Match Log'!$D$4:$D$810=$K$24)*('Match Log'!$A$4:$A$810&lt;=$J309)),'Match Log'!$N$4:$N$810),NA()))</f>
        <v>0</v>
      </c>
      <c r="L309">
        <f>IF($J309&gt;MAX('Match Log'!$A$4:$A$810),NA(),IFERROR(LOOKUP(2,1/(('Match Log'!$D$4:$D$810=$L$24)*('Match Log'!$A$4:$A$810&lt;=$J309)),'Match Log'!$N$4:$N$810),NA()))</f>
        <v>0</v>
      </c>
      <c r="M309">
        <f>IF($J309&gt;MAX('Match Log'!$A$4:$A$810),NA(),IFERROR(LOOKUP(2,1/(('Match Log'!$D$4:$D$810=$M$24)*('Match Log'!$A$4:$A$810&lt;=$J309)),'Match Log'!$N$4:$N$810),NA()))</f>
        <v>0</v>
      </c>
      <c r="N309">
        <f>IF($J309&gt;MAX('Match Log'!$A$4:$A$810),NA(),IFERROR(LOOKUP(2,1/(('Match Log'!$D$4:$D$810=$N$24)*('Match Log'!$A$4:$A$810&lt;=$J309)),'Match Log'!$N$4:$N$810),NA()))</f>
        <v>0</v>
      </c>
      <c r="O309">
        <f>IF($J309&gt;MAX('Match Log'!$A$4:$A$810),NA(),IFERROR(LOOKUP(2,1/(('Match Log'!$D$4:$D$810=$O$24)*('Match Log'!$A$4:$A$810&lt;=$J309)),'Match Log'!$N$4:$N$810),NA()))</f>
        <v>0</v>
      </c>
      <c r="P309">
        <f>IF($J309&gt;MAX('Match Log'!$A$4:$A$810),NA(),IFERROR(LOOKUP(2,1/(('Match Log'!$D$4:$D$810=$P$24)*('Match Log'!$A$4:$A$810&lt;=$J309)),'Match Log'!$N$4:$N$810),NA()))</f>
        <v>0</v>
      </c>
      <c r="Q309">
        <f>IF($J309&gt;MAX('Match Log'!$A$4:$A$810),NA(),IFERROR(LOOKUP(2,1/(('Match Log'!$D$4:$D$810=$Q$24)*('Match Log'!$A$4:$A$810&lt;=$J309)),'Match Log'!$N$4:$N$810),NA()))</f>
        <v>0</v>
      </c>
      <c r="R309">
        <f>IF($J309&gt;MAX('Match Log'!$A$4:$A$810),NA(),IFERROR(LOOKUP(2,1/(('Match Log'!$D$4:$D$810=$R$24)*('Match Log'!$A$4:$A$810&lt;=$J309)),'Match Log'!$N$4:$N$810),NA()))</f>
        <v>0</v>
      </c>
      <c r="S309">
        <f>IF($J309&gt;MAX('Match Log'!$A$4:$A$810),NA(),IFERROR(LOOKUP(2,1/(('Match Log'!$D$4:$D$810=$S$24)*('Match Log'!$A$4:$A$810&lt;=$J309)),'Match Log'!$N$4:$N$810),NA()))</f>
        <v>0</v>
      </c>
      <c r="T309">
        <f>IF($J309&gt;MAX('Match Log'!$A$4:$A$810),NA(),IFERROR(LOOKUP(2,1/(('Match Log'!$D$4:$D$810=$T$24)*('Match Log'!$A$4:$A$810&lt;=$J309)),'Match Log'!$N$4:$N$810),NA()))</f>
        <v>0</v>
      </c>
      <c r="U309">
        <f>IF($J309&gt;MAX('Match Log'!$A$4:$A$810),NA(),IFERROR(LOOKUP(2,1/(('Match Log'!$D$4:$D$810=$U$24)*('Match Log'!$A$4:$A$810&lt;=$J309)),'Match Log'!$N$4:$N$810),NA()))</f>
        <v>0</v>
      </c>
      <c r="V309">
        <f>IF($J309&gt;MAX('Match Log'!$A$4:$A$810),NA(),IFERROR(LOOKUP(2,1/(('Match Log'!$D$4:$D$810=$V$24)*('Match Log'!$A$4:$A$810&lt;=$J309)),'Match Log'!$N$4:$N$810),NA()))</f>
        <v>0</v>
      </c>
      <c r="W309">
        <f>IF($J309&gt;MAX('Match Log'!$A$4:$A$810),NA(),IFERROR(LOOKUP(2,1/(('Match Log'!$D$4:$D$810=$W$24)*('Match Log'!$A$4:$A$810&lt;=$J309)),'Match Log'!$N$4:$N$810),NA()))</f>
        <v>0</v>
      </c>
      <c r="X309">
        <f>IF($J309&gt;MAX('Match Log'!$A$4:$A$810),NA(),IFERROR(LOOKUP(2,1/(('Match Log'!$D$4:$D$810=$X$24)*('Match Log'!$A$4:$A$810&lt;=$J309)),'Match Log'!$N$4:$N$810),NA()))</f>
        <v>0</v>
      </c>
      <c r="Y309" t="str">
        <f>IF(AND($B309&lt;&gt;"",$B309&gt;=$B$5,$I309&lt;&gt;""),$I309,"")</f>
      </c>
    </row>
    <row r="310">
      <c r="A310">
        <v>286</v>
      </c>
      <c r="B310">
        <f>IFERROR(INDEX('Match Log'!$B$4:$B$810,MATCH(286,'Match Log'!$A$4:$A$810,0)),"")</f>
        <v>0</v>
      </c>
      <c r="C310" t="str">
        <f>IFERROR(INDEX('Match Log'!$C$4:$C$810,MATCH(286,'Match Log'!$A$4:$A$810,0)),"")</f>
      </c>
      <c r="D310" t="str">
        <f>IFERROR(INDEX('Match Log'!$G$4:$G$810,MATCH(286,'Match Log'!$A$4:$A$810,0)),"")</f>
      </c>
      <c r="E310">
        <f>IFERROR(INDEX('Match Log'!$F$4:$F$810,MATCH(286,'Match Log'!$A$4:$A$810,0)),"")</f>
        <v>0</v>
      </c>
      <c r="F310">
        <f>IFERROR(SUMIFS('Match Log'!$I$4:$I$810,'Match Log'!$A$4:$A$810,286,'Match Log'!$E$4:$E$810,"Win"),"")</f>
        <v>0</v>
      </c>
      <c r="G310">
        <f>IF($D310="","",1-$F310*$E310)</f>
        <v>0</v>
      </c>
      <c r="H310" t="str">
        <f>IFERROR(IF($E310=2,LOOKUP(2,1/(('Match Log'!$A$4:$A$810=286)*('Match Log'!$E$4:$E$810="Loss")),'Match Log'!$D$4:$D$810),"the field"),"")</f>
      </c>
      <c r="I310">
        <f>IF($G310="","",$G310-$A310/1000000)</f>
        <v>0</v>
      </c>
      <c r="J310">
        <v>286</v>
      </c>
      <c r="K310">
        <f>IF($J310&gt;MAX('Match Log'!$A$4:$A$810),NA(),IFERROR(LOOKUP(2,1/(('Match Log'!$D$4:$D$810=$K$24)*('Match Log'!$A$4:$A$810&lt;=$J310)),'Match Log'!$N$4:$N$810),NA()))</f>
        <v>0</v>
      </c>
      <c r="L310">
        <f>IF($J310&gt;MAX('Match Log'!$A$4:$A$810),NA(),IFERROR(LOOKUP(2,1/(('Match Log'!$D$4:$D$810=$L$24)*('Match Log'!$A$4:$A$810&lt;=$J310)),'Match Log'!$N$4:$N$810),NA()))</f>
        <v>0</v>
      </c>
      <c r="M310">
        <f>IF($J310&gt;MAX('Match Log'!$A$4:$A$810),NA(),IFERROR(LOOKUP(2,1/(('Match Log'!$D$4:$D$810=$M$24)*('Match Log'!$A$4:$A$810&lt;=$J310)),'Match Log'!$N$4:$N$810),NA()))</f>
        <v>0</v>
      </c>
      <c r="N310">
        <f>IF($J310&gt;MAX('Match Log'!$A$4:$A$810),NA(),IFERROR(LOOKUP(2,1/(('Match Log'!$D$4:$D$810=$N$24)*('Match Log'!$A$4:$A$810&lt;=$J310)),'Match Log'!$N$4:$N$810),NA()))</f>
        <v>0</v>
      </c>
      <c r="O310">
        <f>IF($J310&gt;MAX('Match Log'!$A$4:$A$810),NA(),IFERROR(LOOKUP(2,1/(('Match Log'!$D$4:$D$810=$O$24)*('Match Log'!$A$4:$A$810&lt;=$J310)),'Match Log'!$N$4:$N$810),NA()))</f>
        <v>0</v>
      </c>
      <c r="P310">
        <f>IF($J310&gt;MAX('Match Log'!$A$4:$A$810),NA(),IFERROR(LOOKUP(2,1/(('Match Log'!$D$4:$D$810=$P$24)*('Match Log'!$A$4:$A$810&lt;=$J310)),'Match Log'!$N$4:$N$810),NA()))</f>
        <v>0</v>
      </c>
      <c r="Q310">
        <f>IF($J310&gt;MAX('Match Log'!$A$4:$A$810),NA(),IFERROR(LOOKUP(2,1/(('Match Log'!$D$4:$D$810=$Q$24)*('Match Log'!$A$4:$A$810&lt;=$J310)),'Match Log'!$N$4:$N$810),NA()))</f>
        <v>0</v>
      </c>
      <c r="R310">
        <f>IF($J310&gt;MAX('Match Log'!$A$4:$A$810),NA(),IFERROR(LOOKUP(2,1/(('Match Log'!$D$4:$D$810=$R$24)*('Match Log'!$A$4:$A$810&lt;=$J310)),'Match Log'!$N$4:$N$810),NA()))</f>
        <v>0</v>
      </c>
      <c r="S310">
        <f>IF($J310&gt;MAX('Match Log'!$A$4:$A$810),NA(),IFERROR(LOOKUP(2,1/(('Match Log'!$D$4:$D$810=$S$24)*('Match Log'!$A$4:$A$810&lt;=$J310)),'Match Log'!$N$4:$N$810),NA()))</f>
        <v>0</v>
      </c>
      <c r="T310">
        <f>IF($J310&gt;MAX('Match Log'!$A$4:$A$810),NA(),IFERROR(LOOKUP(2,1/(('Match Log'!$D$4:$D$810=$T$24)*('Match Log'!$A$4:$A$810&lt;=$J310)),'Match Log'!$N$4:$N$810),NA()))</f>
        <v>0</v>
      </c>
      <c r="U310">
        <f>IF($J310&gt;MAX('Match Log'!$A$4:$A$810),NA(),IFERROR(LOOKUP(2,1/(('Match Log'!$D$4:$D$810=$U$24)*('Match Log'!$A$4:$A$810&lt;=$J310)),'Match Log'!$N$4:$N$810),NA()))</f>
        <v>0</v>
      </c>
      <c r="V310">
        <f>IF($J310&gt;MAX('Match Log'!$A$4:$A$810),NA(),IFERROR(LOOKUP(2,1/(('Match Log'!$D$4:$D$810=$V$24)*('Match Log'!$A$4:$A$810&lt;=$J310)),'Match Log'!$N$4:$N$810),NA()))</f>
        <v>0</v>
      </c>
      <c r="W310">
        <f>IF($J310&gt;MAX('Match Log'!$A$4:$A$810),NA(),IFERROR(LOOKUP(2,1/(('Match Log'!$D$4:$D$810=$W$24)*('Match Log'!$A$4:$A$810&lt;=$J310)),'Match Log'!$N$4:$N$810),NA()))</f>
        <v>0</v>
      </c>
      <c r="X310">
        <f>IF($J310&gt;MAX('Match Log'!$A$4:$A$810),NA(),IFERROR(LOOKUP(2,1/(('Match Log'!$D$4:$D$810=$X$24)*('Match Log'!$A$4:$A$810&lt;=$J310)),'Match Log'!$N$4:$N$810),NA()))</f>
        <v>0</v>
      </c>
      <c r="Y310" t="str">
        <f>IF(AND($B310&lt;&gt;"",$B310&gt;=$B$5,$I310&lt;&gt;""),$I310,"")</f>
      </c>
    </row>
    <row r="311">
      <c r="A311">
        <v>287</v>
      </c>
      <c r="B311">
        <f>IFERROR(INDEX('Match Log'!$B$4:$B$810,MATCH(287,'Match Log'!$A$4:$A$810,0)),"")</f>
        <v>0</v>
      </c>
      <c r="C311" t="str">
        <f>IFERROR(INDEX('Match Log'!$C$4:$C$810,MATCH(287,'Match Log'!$A$4:$A$810,0)),"")</f>
      </c>
      <c r="D311" t="str">
        <f>IFERROR(INDEX('Match Log'!$G$4:$G$810,MATCH(287,'Match Log'!$A$4:$A$810,0)),"")</f>
      </c>
      <c r="E311">
        <f>IFERROR(INDEX('Match Log'!$F$4:$F$810,MATCH(287,'Match Log'!$A$4:$A$810,0)),"")</f>
        <v>0</v>
      </c>
      <c r="F311">
        <f>IFERROR(SUMIFS('Match Log'!$I$4:$I$810,'Match Log'!$A$4:$A$810,287,'Match Log'!$E$4:$E$810,"Win"),"")</f>
        <v>0</v>
      </c>
      <c r="G311">
        <f>IF($D311="","",1-$F311*$E311)</f>
        <v>0</v>
      </c>
      <c r="H311" t="str">
        <f>IFERROR(IF($E311=2,LOOKUP(2,1/(('Match Log'!$A$4:$A$810=287)*('Match Log'!$E$4:$E$810="Loss")),'Match Log'!$D$4:$D$810),"the field"),"")</f>
      </c>
      <c r="I311">
        <f>IF($G311="","",$G311-$A311/1000000)</f>
        <v>0</v>
      </c>
      <c r="J311">
        <v>287</v>
      </c>
      <c r="K311">
        <f>IF($J311&gt;MAX('Match Log'!$A$4:$A$810),NA(),IFERROR(LOOKUP(2,1/(('Match Log'!$D$4:$D$810=$K$24)*('Match Log'!$A$4:$A$810&lt;=$J311)),'Match Log'!$N$4:$N$810),NA()))</f>
        <v>0</v>
      </c>
      <c r="L311">
        <f>IF($J311&gt;MAX('Match Log'!$A$4:$A$810),NA(),IFERROR(LOOKUP(2,1/(('Match Log'!$D$4:$D$810=$L$24)*('Match Log'!$A$4:$A$810&lt;=$J311)),'Match Log'!$N$4:$N$810),NA()))</f>
        <v>0</v>
      </c>
      <c r="M311">
        <f>IF($J311&gt;MAX('Match Log'!$A$4:$A$810),NA(),IFERROR(LOOKUP(2,1/(('Match Log'!$D$4:$D$810=$M$24)*('Match Log'!$A$4:$A$810&lt;=$J311)),'Match Log'!$N$4:$N$810),NA()))</f>
        <v>0</v>
      </c>
      <c r="N311">
        <f>IF($J311&gt;MAX('Match Log'!$A$4:$A$810),NA(),IFERROR(LOOKUP(2,1/(('Match Log'!$D$4:$D$810=$N$24)*('Match Log'!$A$4:$A$810&lt;=$J311)),'Match Log'!$N$4:$N$810),NA()))</f>
        <v>0</v>
      </c>
      <c r="O311">
        <f>IF($J311&gt;MAX('Match Log'!$A$4:$A$810),NA(),IFERROR(LOOKUP(2,1/(('Match Log'!$D$4:$D$810=$O$24)*('Match Log'!$A$4:$A$810&lt;=$J311)),'Match Log'!$N$4:$N$810),NA()))</f>
        <v>0</v>
      </c>
      <c r="P311">
        <f>IF($J311&gt;MAX('Match Log'!$A$4:$A$810),NA(),IFERROR(LOOKUP(2,1/(('Match Log'!$D$4:$D$810=$P$24)*('Match Log'!$A$4:$A$810&lt;=$J311)),'Match Log'!$N$4:$N$810),NA()))</f>
        <v>0</v>
      </c>
      <c r="Q311">
        <f>IF($J311&gt;MAX('Match Log'!$A$4:$A$810),NA(),IFERROR(LOOKUP(2,1/(('Match Log'!$D$4:$D$810=$Q$24)*('Match Log'!$A$4:$A$810&lt;=$J311)),'Match Log'!$N$4:$N$810),NA()))</f>
        <v>0</v>
      </c>
      <c r="R311">
        <f>IF($J311&gt;MAX('Match Log'!$A$4:$A$810),NA(),IFERROR(LOOKUP(2,1/(('Match Log'!$D$4:$D$810=$R$24)*('Match Log'!$A$4:$A$810&lt;=$J311)),'Match Log'!$N$4:$N$810),NA()))</f>
        <v>0</v>
      </c>
      <c r="S311">
        <f>IF($J311&gt;MAX('Match Log'!$A$4:$A$810),NA(),IFERROR(LOOKUP(2,1/(('Match Log'!$D$4:$D$810=$S$24)*('Match Log'!$A$4:$A$810&lt;=$J311)),'Match Log'!$N$4:$N$810),NA()))</f>
        <v>0</v>
      </c>
      <c r="T311">
        <f>IF($J311&gt;MAX('Match Log'!$A$4:$A$810),NA(),IFERROR(LOOKUP(2,1/(('Match Log'!$D$4:$D$810=$T$24)*('Match Log'!$A$4:$A$810&lt;=$J311)),'Match Log'!$N$4:$N$810),NA()))</f>
        <v>0</v>
      </c>
      <c r="U311">
        <f>IF($J311&gt;MAX('Match Log'!$A$4:$A$810),NA(),IFERROR(LOOKUP(2,1/(('Match Log'!$D$4:$D$810=$U$24)*('Match Log'!$A$4:$A$810&lt;=$J311)),'Match Log'!$N$4:$N$810),NA()))</f>
        <v>0</v>
      </c>
      <c r="V311">
        <f>IF($J311&gt;MAX('Match Log'!$A$4:$A$810),NA(),IFERROR(LOOKUP(2,1/(('Match Log'!$D$4:$D$810=$V$24)*('Match Log'!$A$4:$A$810&lt;=$J311)),'Match Log'!$N$4:$N$810),NA()))</f>
        <v>0</v>
      </c>
      <c r="W311">
        <f>IF($J311&gt;MAX('Match Log'!$A$4:$A$810),NA(),IFERROR(LOOKUP(2,1/(('Match Log'!$D$4:$D$810=$W$24)*('Match Log'!$A$4:$A$810&lt;=$J311)),'Match Log'!$N$4:$N$810),NA()))</f>
        <v>0</v>
      </c>
      <c r="X311">
        <f>IF($J311&gt;MAX('Match Log'!$A$4:$A$810),NA(),IFERROR(LOOKUP(2,1/(('Match Log'!$D$4:$D$810=$X$24)*('Match Log'!$A$4:$A$810&lt;=$J311)),'Match Log'!$N$4:$N$810),NA()))</f>
        <v>0</v>
      </c>
      <c r="Y311" t="str">
        <f>IF(AND($B311&lt;&gt;"",$B311&gt;=$B$5,$I311&lt;&gt;""),$I311,"")</f>
      </c>
    </row>
    <row r="312">
      <c r="A312">
        <v>288</v>
      </c>
      <c r="B312">
        <f>IFERROR(INDEX('Match Log'!$B$4:$B$810,MATCH(288,'Match Log'!$A$4:$A$810,0)),"")</f>
        <v>0</v>
      </c>
      <c r="C312" t="str">
        <f>IFERROR(INDEX('Match Log'!$C$4:$C$810,MATCH(288,'Match Log'!$A$4:$A$810,0)),"")</f>
      </c>
      <c r="D312" t="str">
        <f>IFERROR(INDEX('Match Log'!$G$4:$G$810,MATCH(288,'Match Log'!$A$4:$A$810,0)),"")</f>
      </c>
      <c r="E312">
        <f>IFERROR(INDEX('Match Log'!$F$4:$F$810,MATCH(288,'Match Log'!$A$4:$A$810,0)),"")</f>
        <v>0</v>
      </c>
      <c r="F312">
        <f>IFERROR(SUMIFS('Match Log'!$I$4:$I$810,'Match Log'!$A$4:$A$810,288,'Match Log'!$E$4:$E$810,"Win"),"")</f>
        <v>0</v>
      </c>
      <c r="G312">
        <f>IF($D312="","",1-$F312*$E312)</f>
        <v>0</v>
      </c>
      <c r="H312" t="str">
        <f>IFERROR(IF($E312=2,LOOKUP(2,1/(('Match Log'!$A$4:$A$810=288)*('Match Log'!$E$4:$E$810="Loss")),'Match Log'!$D$4:$D$810),"the field"),"")</f>
      </c>
      <c r="I312">
        <f>IF($G312="","",$G312-$A312/1000000)</f>
        <v>0</v>
      </c>
      <c r="J312">
        <v>288</v>
      </c>
      <c r="K312">
        <f>IF($J312&gt;MAX('Match Log'!$A$4:$A$810),NA(),IFERROR(LOOKUP(2,1/(('Match Log'!$D$4:$D$810=$K$24)*('Match Log'!$A$4:$A$810&lt;=$J312)),'Match Log'!$N$4:$N$810),NA()))</f>
        <v>0</v>
      </c>
      <c r="L312">
        <f>IF($J312&gt;MAX('Match Log'!$A$4:$A$810),NA(),IFERROR(LOOKUP(2,1/(('Match Log'!$D$4:$D$810=$L$24)*('Match Log'!$A$4:$A$810&lt;=$J312)),'Match Log'!$N$4:$N$810),NA()))</f>
        <v>0</v>
      </c>
      <c r="M312">
        <f>IF($J312&gt;MAX('Match Log'!$A$4:$A$810),NA(),IFERROR(LOOKUP(2,1/(('Match Log'!$D$4:$D$810=$M$24)*('Match Log'!$A$4:$A$810&lt;=$J312)),'Match Log'!$N$4:$N$810),NA()))</f>
        <v>0</v>
      </c>
      <c r="N312">
        <f>IF($J312&gt;MAX('Match Log'!$A$4:$A$810),NA(),IFERROR(LOOKUP(2,1/(('Match Log'!$D$4:$D$810=$N$24)*('Match Log'!$A$4:$A$810&lt;=$J312)),'Match Log'!$N$4:$N$810),NA()))</f>
        <v>0</v>
      </c>
      <c r="O312">
        <f>IF($J312&gt;MAX('Match Log'!$A$4:$A$810),NA(),IFERROR(LOOKUP(2,1/(('Match Log'!$D$4:$D$810=$O$24)*('Match Log'!$A$4:$A$810&lt;=$J312)),'Match Log'!$N$4:$N$810),NA()))</f>
        <v>0</v>
      </c>
      <c r="P312">
        <f>IF($J312&gt;MAX('Match Log'!$A$4:$A$810),NA(),IFERROR(LOOKUP(2,1/(('Match Log'!$D$4:$D$810=$P$24)*('Match Log'!$A$4:$A$810&lt;=$J312)),'Match Log'!$N$4:$N$810),NA()))</f>
        <v>0</v>
      </c>
      <c r="Q312">
        <f>IF($J312&gt;MAX('Match Log'!$A$4:$A$810),NA(),IFERROR(LOOKUP(2,1/(('Match Log'!$D$4:$D$810=$Q$24)*('Match Log'!$A$4:$A$810&lt;=$J312)),'Match Log'!$N$4:$N$810),NA()))</f>
        <v>0</v>
      </c>
      <c r="R312">
        <f>IF($J312&gt;MAX('Match Log'!$A$4:$A$810),NA(),IFERROR(LOOKUP(2,1/(('Match Log'!$D$4:$D$810=$R$24)*('Match Log'!$A$4:$A$810&lt;=$J312)),'Match Log'!$N$4:$N$810),NA()))</f>
        <v>0</v>
      </c>
      <c r="S312">
        <f>IF($J312&gt;MAX('Match Log'!$A$4:$A$810),NA(),IFERROR(LOOKUP(2,1/(('Match Log'!$D$4:$D$810=$S$24)*('Match Log'!$A$4:$A$810&lt;=$J312)),'Match Log'!$N$4:$N$810),NA()))</f>
        <v>0</v>
      </c>
      <c r="T312">
        <f>IF($J312&gt;MAX('Match Log'!$A$4:$A$810),NA(),IFERROR(LOOKUP(2,1/(('Match Log'!$D$4:$D$810=$T$24)*('Match Log'!$A$4:$A$810&lt;=$J312)),'Match Log'!$N$4:$N$810),NA()))</f>
        <v>0</v>
      </c>
      <c r="U312">
        <f>IF($J312&gt;MAX('Match Log'!$A$4:$A$810),NA(),IFERROR(LOOKUP(2,1/(('Match Log'!$D$4:$D$810=$U$24)*('Match Log'!$A$4:$A$810&lt;=$J312)),'Match Log'!$N$4:$N$810),NA()))</f>
        <v>0</v>
      </c>
      <c r="V312">
        <f>IF($J312&gt;MAX('Match Log'!$A$4:$A$810),NA(),IFERROR(LOOKUP(2,1/(('Match Log'!$D$4:$D$810=$V$24)*('Match Log'!$A$4:$A$810&lt;=$J312)),'Match Log'!$N$4:$N$810),NA()))</f>
        <v>0</v>
      </c>
      <c r="W312">
        <f>IF($J312&gt;MAX('Match Log'!$A$4:$A$810),NA(),IFERROR(LOOKUP(2,1/(('Match Log'!$D$4:$D$810=$W$24)*('Match Log'!$A$4:$A$810&lt;=$J312)),'Match Log'!$N$4:$N$810),NA()))</f>
        <v>0</v>
      </c>
      <c r="X312">
        <f>IF($J312&gt;MAX('Match Log'!$A$4:$A$810),NA(),IFERROR(LOOKUP(2,1/(('Match Log'!$D$4:$D$810=$X$24)*('Match Log'!$A$4:$A$810&lt;=$J312)),'Match Log'!$N$4:$N$810),NA()))</f>
        <v>0</v>
      </c>
      <c r="Y312" t="str">
        <f>IF(AND($B312&lt;&gt;"",$B312&gt;=$B$5,$I312&lt;&gt;""),$I312,"")</f>
      </c>
    </row>
    <row r="313">
      <c r="A313">
        <v>289</v>
      </c>
      <c r="B313">
        <f>IFERROR(INDEX('Match Log'!$B$4:$B$810,MATCH(289,'Match Log'!$A$4:$A$810,0)),"")</f>
        <v>0</v>
      </c>
      <c r="C313" t="str">
        <f>IFERROR(INDEX('Match Log'!$C$4:$C$810,MATCH(289,'Match Log'!$A$4:$A$810,0)),"")</f>
      </c>
      <c r="D313" t="str">
        <f>IFERROR(INDEX('Match Log'!$G$4:$G$810,MATCH(289,'Match Log'!$A$4:$A$810,0)),"")</f>
      </c>
      <c r="E313">
        <f>IFERROR(INDEX('Match Log'!$F$4:$F$810,MATCH(289,'Match Log'!$A$4:$A$810,0)),"")</f>
        <v>0</v>
      </c>
      <c r="F313">
        <f>IFERROR(SUMIFS('Match Log'!$I$4:$I$810,'Match Log'!$A$4:$A$810,289,'Match Log'!$E$4:$E$810,"Win"),"")</f>
        <v>0</v>
      </c>
      <c r="G313">
        <f>IF($D313="","",1-$F313*$E313)</f>
        <v>0</v>
      </c>
      <c r="H313" t="str">
        <f>IFERROR(IF($E313=2,LOOKUP(2,1/(('Match Log'!$A$4:$A$810=289)*('Match Log'!$E$4:$E$810="Loss")),'Match Log'!$D$4:$D$810),"the field"),"")</f>
      </c>
      <c r="I313">
        <f>IF($G313="","",$G313-$A313/1000000)</f>
        <v>0</v>
      </c>
      <c r="J313">
        <v>289</v>
      </c>
      <c r="K313">
        <f>IF($J313&gt;MAX('Match Log'!$A$4:$A$810),NA(),IFERROR(LOOKUP(2,1/(('Match Log'!$D$4:$D$810=$K$24)*('Match Log'!$A$4:$A$810&lt;=$J313)),'Match Log'!$N$4:$N$810),NA()))</f>
        <v>0</v>
      </c>
      <c r="L313">
        <f>IF($J313&gt;MAX('Match Log'!$A$4:$A$810),NA(),IFERROR(LOOKUP(2,1/(('Match Log'!$D$4:$D$810=$L$24)*('Match Log'!$A$4:$A$810&lt;=$J313)),'Match Log'!$N$4:$N$810),NA()))</f>
        <v>0</v>
      </c>
      <c r="M313">
        <f>IF($J313&gt;MAX('Match Log'!$A$4:$A$810),NA(),IFERROR(LOOKUP(2,1/(('Match Log'!$D$4:$D$810=$M$24)*('Match Log'!$A$4:$A$810&lt;=$J313)),'Match Log'!$N$4:$N$810),NA()))</f>
        <v>0</v>
      </c>
      <c r="N313">
        <f>IF($J313&gt;MAX('Match Log'!$A$4:$A$810),NA(),IFERROR(LOOKUP(2,1/(('Match Log'!$D$4:$D$810=$N$24)*('Match Log'!$A$4:$A$810&lt;=$J313)),'Match Log'!$N$4:$N$810),NA()))</f>
        <v>0</v>
      </c>
      <c r="O313">
        <f>IF($J313&gt;MAX('Match Log'!$A$4:$A$810),NA(),IFERROR(LOOKUP(2,1/(('Match Log'!$D$4:$D$810=$O$24)*('Match Log'!$A$4:$A$810&lt;=$J313)),'Match Log'!$N$4:$N$810),NA()))</f>
        <v>0</v>
      </c>
      <c r="P313">
        <f>IF($J313&gt;MAX('Match Log'!$A$4:$A$810),NA(),IFERROR(LOOKUP(2,1/(('Match Log'!$D$4:$D$810=$P$24)*('Match Log'!$A$4:$A$810&lt;=$J313)),'Match Log'!$N$4:$N$810),NA()))</f>
        <v>0</v>
      </c>
      <c r="Q313">
        <f>IF($J313&gt;MAX('Match Log'!$A$4:$A$810),NA(),IFERROR(LOOKUP(2,1/(('Match Log'!$D$4:$D$810=$Q$24)*('Match Log'!$A$4:$A$810&lt;=$J313)),'Match Log'!$N$4:$N$810),NA()))</f>
        <v>0</v>
      </c>
      <c r="R313">
        <f>IF($J313&gt;MAX('Match Log'!$A$4:$A$810),NA(),IFERROR(LOOKUP(2,1/(('Match Log'!$D$4:$D$810=$R$24)*('Match Log'!$A$4:$A$810&lt;=$J313)),'Match Log'!$N$4:$N$810),NA()))</f>
        <v>0</v>
      </c>
      <c r="S313">
        <f>IF($J313&gt;MAX('Match Log'!$A$4:$A$810),NA(),IFERROR(LOOKUP(2,1/(('Match Log'!$D$4:$D$810=$S$24)*('Match Log'!$A$4:$A$810&lt;=$J313)),'Match Log'!$N$4:$N$810),NA()))</f>
        <v>0</v>
      </c>
      <c r="T313">
        <f>IF($J313&gt;MAX('Match Log'!$A$4:$A$810),NA(),IFERROR(LOOKUP(2,1/(('Match Log'!$D$4:$D$810=$T$24)*('Match Log'!$A$4:$A$810&lt;=$J313)),'Match Log'!$N$4:$N$810),NA()))</f>
        <v>0</v>
      </c>
      <c r="U313">
        <f>IF($J313&gt;MAX('Match Log'!$A$4:$A$810),NA(),IFERROR(LOOKUP(2,1/(('Match Log'!$D$4:$D$810=$U$24)*('Match Log'!$A$4:$A$810&lt;=$J313)),'Match Log'!$N$4:$N$810),NA()))</f>
        <v>0</v>
      </c>
      <c r="V313">
        <f>IF($J313&gt;MAX('Match Log'!$A$4:$A$810),NA(),IFERROR(LOOKUP(2,1/(('Match Log'!$D$4:$D$810=$V$24)*('Match Log'!$A$4:$A$810&lt;=$J313)),'Match Log'!$N$4:$N$810),NA()))</f>
        <v>0</v>
      </c>
      <c r="W313">
        <f>IF($J313&gt;MAX('Match Log'!$A$4:$A$810),NA(),IFERROR(LOOKUP(2,1/(('Match Log'!$D$4:$D$810=$W$24)*('Match Log'!$A$4:$A$810&lt;=$J313)),'Match Log'!$N$4:$N$810),NA()))</f>
        <v>0</v>
      </c>
      <c r="X313">
        <f>IF($J313&gt;MAX('Match Log'!$A$4:$A$810),NA(),IFERROR(LOOKUP(2,1/(('Match Log'!$D$4:$D$810=$X$24)*('Match Log'!$A$4:$A$810&lt;=$J313)),'Match Log'!$N$4:$N$810),NA()))</f>
        <v>0</v>
      </c>
      <c r="Y313" t="str">
        <f>IF(AND($B313&lt;&gt;"",$B313&gt;=$B$5,$I313&lt;&gt;""),$I313,"")</f>
      </c>
    </row>
    <row r="314">
      <c r="A314">
        <v>290</v>
      </c>
      <c r="B314">
        <f>IFERROR(INDEX('Match Log'!$B$4:$B$810,MATCH(290,'Match Log'!$A$4:$A$810,0)),"")</f>
        <v>0</v>
      </c>
      <c r="C314" t="str">
        <f>IFERROR(INDEX('Match Log'!$C$4:$C$810,MATCH(290,'Match Log'!$A$4:$A$810,0)),"")</f>
      </c>
      <c r="D314" t="str">
        <f>IFERROR(INDEX('Match Log'!$G$4:$G$810,MATCH(290,'Match Log'!$A$4:$A$810,0)),"")</f>
      </c>
      <c r="E314">
        <f>IFERROR(INDEX('Match Log'!$F$4:$F$810,MATCH(290,'Match Log'!$A$4:$A$810,0)),"")</f>
        <v>0</v>
      </c>
      <c r="F314">
        <f>IFERROR(SUMIFS('Match Log'!$I$4:$I$810,'Match Log'!$A$4:$A$810,290,'Match Log'!$E$4:$E$810,"Win"),"")</f>
        <v>0</v>
      </c>
      <c r="G314">
        <f>IF($D314="","",1-$F314*$E314)</f>
        <v>0</v>
      </c>
      <c r="H314" t="str">
        <f>IFERROR(IF($E314=2,LOOKUP(2,1/(('Match Log'!$A$4:$A$810=290)*('Match Log'!$E$4:$E$810="Loss")),'Match Log'!$D$4:$D$810),"the field"),"")</f>
      </c>
      <c r="I314">
        <f>IF($G314="","",$G314-$A314/1000000)</f>
        <v>0</v>
      </c>
      <c r="J314">
        <v>290</v>
      </c>
      <c r="K314">
        <f>IF($J314&gt;MAX('Match Log'!$A$4:$A$810),NA(),IFERROR(LOOKUP(2,1/(('Match Log'!$D$4:$D$810=$K$24)*('Match Log'!$A$4:$A$810&lt;=$J314)),'Match Log'!$N$4:$N$810),NA()))</f>
        <v>0</v>
      </c>
      <c r="L314">
        <f>IF($J314&gt;MAX('Match Log'!$A$4:$A$810),NA(),IFERROR(LOOKUP(2,1/(('Match Log'!$D$4:$D$810=$L$24)*('Match Log'!$A$4:$A$810&lt;=$J314)),'Match Log'!$N$4:$N$810),NA()))</f>
        <v>0</v>
      </c>
      <c r="M314">
        <f>IF($J314&gt;MAX('Match Log'!$A$4:$A$810),NA(),IFERROR(LOOKUP(2,1/(('Match Log'!$D$4:$D$810=$M$24)*('Match Log'!$A$4:$A$810&lt;=$J314)),'Match Log'!$N$4:$N$810),NA()))</f>
        <v>0</v>
      </c>
      <c r="N314">
        <f>IF($J314&gt;MAX('Match Log'!$A$4:$A$810),NA(),IFERROR(LOOKUP(2,1/(('Match Log'!$D$4:$D$810=$N$24)*('Match Log'!$A$4:$A$810&lt;=$J314)),'Match Log'!$N$4:$N$810),NA()))</f>
        <v>0</v>
      </c>
      <c r="O314">
        <f>IF($J314&gt;MAX('Match Log'!$A$4:$A$810),NA(),IFERROR(LOOKUP(2,1/(('Match Log'!$D$4:$D$810=$O$24)*('Match Log'!$A$4:$A$810&lt;=$J314)),'Match Log'!$N$4:$N$810),NA()))</f>
        <v>0</v>
      </c>
      <c r="P314">
        <f>IF($J314&gt;MAX('Match Log'!$A$4:$A$810),NA(),IFERROR(LOOKUP(2,1/(('Match Log'!$D$4:$D$810=$P$24)*('Match Log'!$A$4:$A$810&lt;=$J314)),'Match Log'!$N$4:$N$810),NA()))</f>
        <v>0</v>
      </c>
      <c r="Q314">
        <f>IF($J314&gt;MAX('Match Log'!$A$4:$A$810),NA(),IFERROR(LOOKUP(2,1/(('Match Log'!$D$4:$D$810=$Q$24)*('Match Log'!$A$4:$A$810&lt;=$J314)),'Match Log'!$N$4:$N$810),NA()))</f>
        <v>0</v>
      </c>
      <c r="R314">
        <f>IF($J314&gt;MAX('Match Log'!$A$4:$A$810),NA(),IFERROR(LOOKUP(2,1/(('Match Log'!$D$4:$D$810=$R$24)*('Match Log'!$A$4:$A$810&lt;=$J314)),'Match Log'!$N$4:$N$810),NA()))</f>
        <v>0</v>
      </c>
      <c r="S314">
        <f>IF($J314&gt;MAX('Match Log'!$A$4:$A$810),NA(),IFERROR(LOOKUP(2,1/(('Match Log'!$D$4:$D$810=$S$24)*('Match Log'!$A$4:$A$810&lt;=$J314)),'Match Log'!$N$4:$N$810),NA()))</f>
        <v>0</v>
      </c>
      <c r="T314">
        <f>IF($J314&gt;MAX('Match Log'!$A$4:$A$810),NA(),IFERROR(LOOKUP(2,1/(('Match Log'!$D$4:$D$810=$T$24)*('Match Log'!$A$4:$A$810&lt;=$J314)),'Match Log'!$N$4:$N$810),NA()))</f>
        <v>0</v>
      </c>
      <c r="U314">
        <f>IF($J314&gt;MAX('Match Log'!$A$4:$A$810),NA(),IFERROR(LOOKUP(2,1/(('Match Log'!$D$4:$D$810=$U$24)*('Match Log'!$A$4:$A$810&lt;=$J314)),'Match Log'!$N$4:$N$810),NA()))</f>
        <v>0</v>
      </c>
      <c r="V314">
        <f>IF($J314&gt;MAX('Match Log'!$A$4:$A$810),NA(),IFERROR(LOOKUP(2,1/(('Match Log'!$D$4:$D$810=$V$24)*('Match Log'!$A$4:$A$810&lt;=$J314)),'Match Log'!$N$4:$N$810),NA()))</f>
        <v>0</v>
      </c>
      <c r="W314">
        <f>IF($J314&gt;MAX('Match Log'!$A$4:$A$810),NA(),IFERROR(LOOKUP(2,1/(('Match Log'!$D$4:$D$810=$W$24)*('Match Log'!$A$4:$A$810&lt;=$J314)),'Match Log'!$N$4:$N$810),NA()))</f>
        <v>0</v>
      </c>
      <c r="X314">
        <f>IF($J314&gt;MAX('Match Log'!$A$4:$A$810),NA(),IFERROR(LOOKUP(2,1/(('Match Log'!$D$4:$D$810=$X$24)*('Match Log'!$A$4:$A$810&lt;=$J314)),'Match Log'!$N$4:$N$810),NA()))</f>
        <v>0</v>
      </c>
      <c r="Y314" t="str">
        <f>IF(AND($B314&lt;&gt;"",$B314&gt;=$B$5,$I314&lt;&gt;""),$I314,"")</f>
      </c>
    </row>
    <row r="315">
      <c r="A315">
        <v>291</v>
      </c>
      <c r="B315">
        <f>IFERROR(INDEX('Match Log'!$B$4:$B$810,MATCH(291,'Match Log'!$A$4:$A$810,0)),"")</f>
        <v>0</v>
      </c>
      <c r="C315" t="str">
        <f>IFERROR(INDEX('Match Log'!$C$4:$C$810,MATCH(291,'Match Log'!$A$4:$A$810,0)),"")</f>
      </c>
      <c r="D315" t="str">
        <f>IFERROR(INDEX('Match Log'!$G$4:$G$810,MATCH(291,'Match Log'!$A$4:$A$810,0)),"")</f>
      </c>
      <c r="E315">
        <f>IFERROR(INDEX('Match Log'!$F$4:$F$810,MATCH(291,'Match Log'!$A$4:$A$810,0)),"")</f>
        <v>0</v>
      </c>
      <c r="F315">
        <f>IFERROR(SUMIFS('Match Log'!$I$4:$I$810,'Match Log'!$A$4:$A$810,291,'Match Log'!$E$4:$E$810,"Win"),"")</f>
        <v>0</v>
      </c>
      <c r="G315">
        <f>IF($D315="","",1-$F315*$E315)</f>
        <v>0</v>
      </c>
      <c r="H315" t="str">
        <f>IFERROR(IF($E315=2,LOOKUP(2,1/(('Match Log'!$A$4:$A$810=291)*('Match Log'!$E$4:$E$810="Loss")),'Match Log'!$D$4:$D$810),"the field"),"")</f>
      </c>
      <c r="I315">
        <f>IF($G315="","",$G315-$A315/1000000)</f>
        <v>0</v>
      </c>
      <c r="J315">
        <v>291</v>
      </c>
      <c r="K315">
        <f>IF($J315&gt;MAX('Match Log'!$A$4:$A$810),NA(),IFERROR(LOOKUP(2,1/(('Match Log'!$D$4:$D$810=$K$24)*('Match Log'!$A$4:$A$810&lt;=$J315)),'Match Log'!$N$4:$N$810),NA()))</f>
        <v>0</v>
      </c>
      <c r="L315">
        <f>IF($J315&gt;MAX('Match Log'!$A$4:$A$810),NA(),IFERROR(LOOKUP(2,1/(('Match Log'!$D$4:$D$810=$L$24)*('Match Log'!$A$4:$A$810&lt;=$J315)),'Match Log'!$N$4:$N$810),NA()))</f>
        <v>0</v>
      </c>
      <c r="M315">
        <f>IF($J315&gt;MAX('Match Log'!$A$4:$A$810),NA(),IFERROR(LOOKUP(2,1/(('Match Log'!$D$4:$D$810=$M$24)*('Match Log'!$A$4:$A$810&lt;=$J315)),'Match Log'!$N$4:$N$810),NA()))</f>
        <v>0</v>
      </c>
      <c r="N315">
        <f>IF($J315&gt;MAX('Match Log'!$A$4:$A$810),NA(),IFERROR(LOOKUP(2,1/(('Match Log'!$D$4:$D$810=$N$24)*('Match Log'!$A$4:$A$810&lt;=$J315)),'Match Log'!$N$4:$N$810),NA()))</f>
        <v>0</v>
      </c>
      <c r="O315">
        <f>IF($J315&gt;MAX('Match Log'!$A$4:$A$810),NA(),IFERROR(LOOKUP(2,1/(('Match Log'!$D$4:$D$810=$O$24)*('Match Log'!$A$4:$A$810&lt;=$J315)),'Match Log'!$N$4:$N$810),NA()))</f>
        <v>0</v>
      </c>
      <c r="P315">
        <f>IF($J315&gt;MAX('Match Log'!$A$4:$A$810),NA(),IFERROR(LOOKUP(2,1/(('Match Log'!$D$4:$D$810=$P$24)*('Match Log'!$A$4:$A$810&lt;=$J315)),'Match Log'!$N$4:$N$810),NA()))</f>
        <v>0</v>
      </c>
      <c r="Q315">
        <f>IF($J315&gt;MAX('Match Log'!$A$4:$A$810),NA(),IFERROR(LOOKUP(2,1/(('Match Log'!$D$4:$D$810=$Q$24)*('Match Log'!$A$4:$A$810&lt;=$J315)),'Match Log'!$N$4:$N$810),NA()))</f>
        <v>0</v>
      </c>
      <c r="R315">
        <f>IF($J315&gt;MAX('Match Log'!$A$4:$A$810),NA(),IFERROR(LOOKUP(2,1/(('Match Log'!$D$4:$D$810=$R$24)*('Match Log'!$A$4:$A$810&lt;=$J315)),'Match Log'!$N$4:$N$810),NA()))</f>
        <v>0</v>
      </c>
      <c r="S315">
        <f>IF($J315&gt;MAX('Match Log'!$A$4:$A$810),NA(),IFERROR(LOOKUP(2,1/(('Match Log'!$D$4:$D$810=$S$24)*('Match Log'!$A$4:$A$810&lt;=$J315)),'Match Log'!$N$4:$N$810),NA()))</f>
        <v>0</v>
      </c>
      <c r="T315">
        <f>IF($J315&gt;MAX('Match Log'!$A$4:$A$810),NA(),IFERROR(LOOKUP(2,1/(('Match Log'!$D$4:$D$810=$T$24)*('Match Log'!$A$4:$A$810&lt;=$J315)),'Match Log'!$N$4:$N$810),NA()))</f>
        <v>0</v>
      </c>
      <c r="U315">
        <f>IF($J315&gt;MAX('Match Log'!$A$4:$A$810),NA(),IFERROR(LOOKUP(2,1/(('Match Log'!$D$4:$D$810=$U$24)*('Match Log'!$A$4:$A$810&lt;=$J315)),'Match Log'!$N$4:$N$810),NA()))</f>
        <v>0</v>
      </c>
      <c r="V315">
        <f>IF($J315&gt;MAX('Match Log'!$A$4:$A$810),NA(),IFERROR(LOOKUP(2,1/(('Match Log'!$D$4:$D$810=$V$24)*('Match Log'!$A$4:$A$810&lt;=$J315)),'Match Log'!$N$4:$N$810),NA()))</f>
        <v>0</v>
      </c>
      <c r="W315">
        <f>IF($J315&gt;MAX('Match Log'!$A$4:$A$810),NA(),IFERROR(LOOKUP(2,1/(('Match Log'!$D$4:$D$810=$W$24)*('Match Log'!$A$4:$A$810&lt;=$J315)),'Match Log'!$N$4:$N$810),NA()))</f>
        <v>0</v>
      </c>
      <c r="X315">
        <f>IF($J315&gt;MAX('Match Log'!$A$4:$A$810),NA(),IFERROR(LOOKUP(2,1/(('Match Log'!$D$4:$D$810=$X$24)*('Match Log'!$A$4:$A$810&lt;=$J315)),'Match Log'!$N$4:$N$810),NA()))</f>
        <v>0</v>
      </c>
      <c r="Y315" t="str">
        <f>IF(AND($B315&lt;&gt;"",$B315&gt;=$B$5,$I315&lt;&gt;""),$I315,"")</f>
      </c>
    </row>
    <row r="316">
      <c r="A316">
        <v>292</v>
      </c>
      <c r="B316">
        <f>IFERROR(INDEX('Match Log'!$B$4:$B$810,MATCH(292,'Match Log'!$A$4:$A$810,0)),"")</f>
        <v>0</v>
      </c>
      <c r="C316" t="str">
        <f>IFERROR(INDEX('Match Log'!$C$4:$C$810,MATCH(292,'Match Log'!$A$4:$A$810,0)),"")</f>
      </c>
      <c r="D316" t="str">
        <f>IFERROR(INDEX('Match Log'!$G$4:$G$810,MATCH(292,'Match Log'!$A$4:$A$810,0)),"")</f>
      </c>
      <c r="E316">
        <f>IFERROR(INDEX('Match Log'!$F$4:$F$810,MATCH(292,'Match Log'!$A$4:$A$810,0)),"")</f>
        <v>0</v>
      </c>
      <c r="F316">
        <f>IFERROR(SUMIFS('Match Log'!$I$4:$I$810,'Match Log'!$A$4:$A$810,292,'Match Log'!$E$4:$E$810,"Win"),"")</f>
        <v>0</v>
      </c>
      <c r="G316">
        <f>IF($D316="","",1-$F316*$E316)</f>
        <v>0</v>
      </c>
      <c r="H316" t="str">
        <f>IFERROR(IF($E316=2,LOOKUP(2,1/(('Match Log'!$A$4:$A$810=292)*('Match Log'!$E$4:$E$810="Loss")),'Match Log'!$D$4:$D$810),"the field"),"")</f>
      </c>
      <c r="I316">
        <f>IF($G316="","",$G316-$A316/1000000)</f>
        <v>0</v>
      </c>
      <c r="J316">
        <v>292</v>
      </c>
      <c r="K316">
        <f>IF($J316&gt;MAX('Match Log'!$A$4:$A$810),NA(),IFERROR(LOOKUP(2,1/(('Match Log'!$D$4:$D$810=$K$24)*('Match Log'!$A$4:$A$810&lt;=$J316)),'Match Log'!$N$4:$N$810),NA()))</f>
        <v>0</v>
      </c>
      <c r="L316">
        <f>IF($J316&gt;MAX('Match Log'!$A$4:$A$810),NA(),IFERROR(LOOKUP(2,1/(('Match Log'!$D$4:$D$810=$L$24)*('Match Log'!$A$4:$A$810&lt;=$J316)),'Match Log'!$N$4:$N$810),NA()))</f>
        <v>0</v>
      </c>
      <c r="M316">
        <f>IF($J316&gt;MAX('Match Log'!$A$4:$A$810),NA(),IFERROR(LOOKUP(2,1/(('Match Log'!$D$4:$D$810=$M$24)*('Match Log'!$A$4:$A$810&lt;=$J316)),'Match Log'!$N$4:$N$810),NA()))</f>
        <v>0</v>
      </c>
      <c r="N316">
        <f>IF($J316&gt;MAX('Match Log'!$A$4:$A$810),NA(),IFERROR(LOOKUP(2,1/(('Match Log'!$D$4:$D$810=$N$24)*('Match Log'!$A$4:$A$810&lt;=$J316)),'Match Log'!$N$4:$N$810),NA()))</f>
        <v>0</v>
      </c>
      <c r="O316">
        <f>IF($J316&gt;MAX('Match Log'!$A$4:$A$810),NA(),IFERROR(LOOKUP(2,1/(('Match Log'!$D$4:$D$810=$O$24)*('Match Log'!$A$4:$A$810&lt;=$J316)),'Match Log'!$N$4:$N$810),NA()))</f>
        <v>0</v>
      </c>
      <c r="P316">
        <f>IF($J316&gt;MAX('Match Log'!$A$4:$A$810),NA(),IFERROR(LOOKUP(2,1/(('Match Log'!$D$4:$D$810=$P$24)*('Match Log'!$A$4:$A$810&lt;=$J316)),'Match Log'!$N$4:$N$810),NA()))</f>
        <v>0</v>
      </c>
      <c r="Q316">
        <f>IF($J316&gt;MAX('Match Log'!$A$4:$A$810),NA(),IFERROR(LOOKUP(2,1/(('Match Log'!$D$4:$D$810=$Q$24)*('Match Log'!$A$4:$A$810&lt;=$J316)),'Match Log'!$N$4:$N$810),NA()))</f>
        <v>0</v>
      </c>
      <c r="R316">
        <f>IF($J316&gt;MAX('Match Log'!$A$4:$A$810),NA(),IFERROR(LOOKUP(2,1/(('Match Log'!$D$4:$D$810=$R$24)*('Match Log'!$A$4:$A$810&lt;=$J316)),'Match Log'!$N$4:$N$810),NA()))</f>
        <v>0</v>
      </c>
      <c r="S316">
        <f>IF($J316&gt;MAX('Match Log'!$A$4:$A$810),NA(),IFERROR(LOOKUP(2,1/(('Match Log'!$D$4:$D$810=$S$24)*('Match Log'!$A$4:$A$810&lt;=$J316)),'Match Log'!$N$4:$N$810),NA()))</f>
        <v>0</v>
      </c>
      <c r="T316">
        <f>IF($J316&gt;MAX('Match Log'!$A$4:$A$810),NA(),IFERROR(LOOKUP(2,1/(('Match Log'!$D$4:$D$810=$T$24)*('Match Log'!$A$4:$A$810&lt;=$J316)),'Match Log'!$N$4:$N$810),NA()))</f>
        <v>0</v>
      </c>
      <c r="U316">
        <f>IF($J316&gt;MAX('Match Log'!$A$4:$A$810),NA(),IFERROR(LOOKUP(2,1/(('Match Log'!$D$4:$D$810=$U$24)*('Match Log'!$A$4:$A$810&lt;=$J316)),'Match Log'!$N$4:$N$810),NA()))</f>
        <v>0</v>
      </c>
      <c r="V316">
        <f>IF($J316&gt;MAX('Match Log'!$A$4:$A$810),NA(),IFERROR(LOOKUP(2,1/(('Match Log'!$D$4:$D$810=$V$24)*('Match Log'!$A$4:$A$810&lt;=$J316)),'Match Log'!$N$4:$N$810),NA()))</f>
        <v>0</v>
      </c>
      <c r="W316">
        <f>IF($J316&gt;MAX('Match Log'!$A$4:$A$810),NA(),IFERROR(LOOKUP(2,1/(('Match Log'!$D$4:$D$810=$W$24)*('Match Log'!$A$4:$A$810&lt;=$J316)),'Match Log'!$N$4:$N$810),NA()))</f>
        <v>0</v>
      </c>
      <c r="X316">
        <f>IF($J316&gt;MAX('Match Log'!$A$4:$A$810),NA(),IFERROR(LOOKUP(2,1/(('Match Log'!$D$4:$D$810=$X$24)*('Match Log'!$A$4:$A$810&lt;=$J316)),'Match Log'!$N$4:$N$810),NA()))</f>
        <v>0</v>
      </c>
      <c r="Y316" t="str">
        <f>IF(AND($B316&lt;&gt;"",$B316&gt;=$B$5,$I316&lt;&gt;""),$I316,"")</f>
      </c>
    </row>
    <row r="317">
      <c r="A317">
        <v>293</v>
      </c>
      <c r="B317">
        <f>IFERROR(INDEX('Match Log'!$B$4:$B$810,MATCH(293,'Match Log'!$A$4:$A$810,0)),"")</f>
        <v>0</v>
      </c>
      <c r="C317" t="str">
        <f>IFERROR(INDEX('Match Log'!$C$4:$C$810,MATCH(293,'Match Log'!$A$4:$A$810,0)),"")</f>
      </c>
      <c r="D317" t="str">
        <f>IFERROR(INDEX('Match Log'!$G$4:$G$810,MATCH(293,'Match Log'!$A$4:$A$810,0)),"")</f>
      </c>
      <c r="E317">
        <f>IFERROR(INDEX('Match Log'!$F$4:$F$810,MATCH(293,'Match Log'!$A$4:$A$810,0)),"")</f>
        <v>0</v>
      </c>
      <c r="F317">
        <f>IFERROR(SUMIFS('Match Log'!$I$4:$I$810,'Match Log'!$A$4:$A$810,293,'Match Log'!$E$4:$E$810,"Win"),"")</f>
        <v>0</v>
      </c>
      <c r="G317">
        <f>IF($D317="","",1-$F317*$E317)</f>
        <v>0</v>
      </c>
      <c r="H317" t="str">
        <f>IFERROR(IF($E317=2,LOOKUP(2,1/(('Match Log'!$A$4:$A$810=293)*('Match Log'!$E$4:$E$810="Loss")),'Match Log'!$D$4:$D$810),"the field"),"")</f>
      </c>
      <c r="I317">
        <f>IF($G317="","",$G317-$A317/1000000)</f>
        <v>0</v>
      </c>
      <c r="J317">
        <v>293</v>
      </c>
      <c r="K317">
        <f>IF($J317&gt;MAX('Match Log'!$A$4:$A$810),NA(),IFERROR(LOOKUP(2,1/(('Match Log'!$D$4:$D$810=$K$24)*('Match Log'!$A$4:$A$810&lt;=$J317)),'Match Log'!$N$4:$N$810),NA()))</f>
        <v>0</v>
      </c>
      <c r="L317">
        <f>IF($J317&gt;MAX('Match Log'!$A$4:$A$810),NA(),IFERROR(LOOKUP(2,1/(('Match Log'!$D$4:$D$810=$L$24)*('Match Log'!$A$4:$A$810&lt;=$J317)),'Match Log'!$N$4:$N$810),NA()))</f>
        <v>0</v>
      </c>
      <c r="M317">
        <f>IF($J317&gt;MAX('Match Log'!$A$4:$A$810),NA(),IFERROR(LOOKUP(2,1/(('Match Log'!$D$4:$D$810=$M$24)*('Match Log'!$A$4:$A$810&lt;=$J317)),'Match Log'!$N$4:$N$810),NA()))</f>
        <v>0</v>
      </c>
      <c r="N317">
        <f>IF($J317&gt;MAX('Match Log'!$A$4:$A$810),NA(),IFERROR(LOOKUP(2,1/(('Match Log'!$D$4:$D$810=$N$24)*('Match Log'!$A$4:$A$810&lt;=$J317)),'Match Log'!$N$4:$N$810),NA()))</f>
        <v>0</v>
      </c>
      <c r="O317">
        <f>IF($J317&gt;MAX('Match Log'!$A$4:$A$810),NA(),IFERROR(LOOKUP(2,1/(('Match Log'!$D$4:$D$810=$O$24)*('Match Log'!$A$4:$A$810&lt;=$J317)),'Match Log'!$N$4:$N$810),NA()))</f>
        <v>0</v>
      </c>
      <c r="P317">
        <f>IF($J317&gt;MAX('Match Log'!$A$4:$A$810),NA(),IFERROR(LOOKUP(2,1/(('Match Log'!$D$4:$D$810=$P$24)*('Match Log'!$A$4:$A$810&lt;=$J317)),'Match Log'!$N$4:$N$810),NA()))</f>
        <v>0</v>
      </c>
      <c r="Q317">
        <f>IF($J317&gt;MAX('Match Log'!$A$4:$A$810),NA(),IFERROR(LOOKUP(2,1/(('Match Log'!$D$4:$D$810=$Q$24)*('Match Log'!$A$4:$A$810&lt;=$J317)),'Match Log'!$N$4:$N$810),NA()))</f>
        <v>0</v>
      </c>
      <c r="R317">
        <f>IF($J317&gt;MAX('Match Log'!$A$4:$A$810),NA(),IFERROR(LOOKUP(2,1/(('Match Log'!$D$4:$D$810=$R$24)*('Match Log'!$A$4:$A$810&lt;=$J317)),'Match Log'!$N$4:$N$810),NA()))</f>
        <v>0</v>
      </c>
      <c r="S317">
        <f>IF($J317&gt;MAX('Match Log'!$A$4:$A$810),NA(),IFERROR(LOOKUP(2,1/(('Match Log'!$D$4:$D$810=$S$24)*('Match Log'!$A$4:$A$810&lt;=$J317)),'Match Log'!$N$4:$N$810),NA()))</f>
        <v>0</v>
      </c>
      <c r="T317">
        <f>IF($J317&gt;MAX('Match Log'!$A$4:$A$810),NA(),IFERROR(LOOKUP(2,1/(('Match Log'!$D$4:$D$810=$T$24)*('Match Log'!$A$4:$A$810&lt;=$J317)),'Match Log'!$N$4:$N$810),NA()))</f>
        <v>0</v>
      </c>
      <c r="U317">
        <f>IF($J317&gt;MAX('Match Log'!$A$4:$A$810),NA(),IFERROR(LOOKUP(2,1/(('Match Log'!$D$4:$D$810=$U$24)*('Match Log'!$A$4:$A$810&lt;=$J317)),'Match Log'!$N$4:$N$810),NA()))</f>
        <v>0</v>
      </c>
      <c r="V317">
        <f>IF($J317&gt;MAX('Match Log'!$A$4:$A$810),NA(),IFERROR(LOOKUP(2,1/(('Match Log'!$D$4:$D$810=$V$24)*('Match Log'!$A$4:$A$810&lt;=$J317)),'Match Log'!$N$4:$N$810),NA()))</f>
        <v>0</v>
      </c>
      <c r="W317">
        <f>IF($J317&gt;MAX('Match Log'!$A$4:$A$810),NA(),IFERROR(LOOKUP(2,1/(('Match Log'!$D$4:$D$810=$W$24)*('Match Log'!$A$4:$A$810&lt;=$J317)),'Match Log'!$N$4:$N$810),NA()))</f>
        <v>0</v>
      </c>
      <c r="X317">
        <f>IF($J317&gt;MAX('Match Log'!$A$4:$A$810),NA(),IFERROR(LOOKUP(2,1/(('Match Log'!$D$4:$D$810=$X$24)*('Match Log'!$A$4:$A$810&lt;=$J317)),'Match Log'!$N$4:$N$810),NA()))</f>
        <v>0</v>
      </c>
      <c r="Y317" t="str">
        <f>IF(AND($B317&lt;&gt;"",$B317&gt;=$B$5,$I317&lt;&gt;""),$I317,"")</f>
      </c>
    </row>
    <row r="318">
      <c r="A318">
        <v>294</v>
      </c>
      <c r="B318">
        <f>IFERROR(INDEX('Match Log'!$B$4:$B$810,MATCH(294,'Match Log'!$A$4:$A$810,0)),"")</f>
        <v>0</v>
      </c>
      <c r="C318" t="str">
        <f>IFERROR(INDEX('Match Log'!$C$4:$C$810,MATCH(294,'Match Log'!$A$4:$A$810,0)),"")</f>
      </c>
      <c r="D318" t="str">
        <f>IFERROR(INDEX('Match Log'!$G$4:$G$810,MATCH(294,'Match Log'!$A$4:$A$810,0)),"")</f>
      </c>
      <c r="E318">
        <f>IFERROR(INDEX('Match Log'!$F$4:$F$810,MATCH(294,'Match Log'!$A$4:$A$810,0)),"")</f>
        <v>0</v>
      </c>
      <c r="F318">
        <f>IFERROR(SUMIFS('Match Log'!$I$4:$I$810,'Match Log'!$A$4:$A$810,294,'Match Log'!$E$4:$E$810,"Win"),"")</f>
        <v>0</v>
      </c>
      <c r="G318">
        <f>IF($D318="","",1-$F318*$E318)</f>
        <v>0</v>
      </c>
      <c r="H318" t="str">
        <f>IFERROR(IF($E318=2,LOOKUP(2,1/(('Match Log'!$A$4:$A$810=294)*('Match Log'!$E$4:$E$810="Loss")),'Match Log'!$D$4:$D$810),"the field"),"")</f>
      </c>
      <c r="I318">
        <f>IF($G318="","",$G318-$A318/1000000)</f>
        <v>0</v>
      </c>
      <c r="J318">
        <v>294</v>
      </c>
      <c r="K318">
        <f>IF($J318&gt;MAX('Match Log'!$A$4:$A$810),NA(),IFERROR(LOOKUP(2,1/(('Match Log'!$D$4:$D$810=$K$24)*('Match Log'!$A$4:$A$810&lt;=$J318)),'Match Log'!$N$4:$N$810),NA()))</f>
        <v>0</v>
      </c>
      <c r="L318">
        <f>IF($J318&gt;MAX('Match Log'!$A$4:$A$810),NA(),IFERROR(LOOKUP(2,1/(('Match Log'!$D$4:$D$810=$L$24)*('Match Log'!$A$4:$A$810&lt;=$J318)),'Match Log'!$N$4:$N$810),NA()))</f>
        <v>0</v>
      </c>
      <c r="M318">
        <f>IF($J318&gt;MAX('Match Log'!$A$4:$A$810),NA(),IFERROR(LOOKUP(2,1/(('Match Log'!$D$4:$D$810=$M$24)*('Match Log'!$A$4:$A$810&lt;=$J318)),'Match Log'!$N$4:$N$810),NA()))</f>
        <v>0</v>
      </c>
      <c r="N318">
        <f>IF($J318&gt;MAX('Match Log'!$A$4:$A$810),NA(),IFERROR(LOOKUP(2,1/(('Match Log'!$D$4:$D$810=$N$24)*('Match Log'!$A$4:$A$810&lt;=$J318)),'Match Log'!$N$4:$N$810),NA()))</f>
        <v>0</v>
      </c>
      <c r="O318">
        <f>IF($J318&gt;MAX('Match Log'!$A$4:$A$810),NA(),IFERROR(LOOKUP(2,1/(('Match Log'!$D$4:$D$810=$O$24)*('Match Log'!$A$4:$A$810&lt;=$J318)),'Match Log'!$N$4:$N$810),NA()))</f>
        <v>0</v>
      </c>
      <c r="P318">
        <f>IF($J318&gt;MAX('Match Log'!$A$4:$A$810),NA(),IFERROR(LOOKUP(2,1/(('Match Log'!$D$4:$D$810=$P$24)*('Match Log'!$A$4:$A$810&lt;=$J318)),'Match Log'!$N$4:$N$810),NA()))</f>
        <v>0</v>
      </c>
      <c r="Q318">
        <f>IF($J318&gt;MAX('Match Log'!$A$4:$A$810),NA(),IFERROR(LOOKUP(2,1/(('Match Log'!$D$4:$D$810=$Q$24)*('Match Log'!$A$4:$A$810&lt;=$J318)),'Match Log'!$N$4:$N$810),NA()))</f>
        <v>0</v>
      </c>
      <c r="R318">
        <f>IF($J318&gt;MAX('Match Log'!$A$4:$A$810),NA(),IFERROR(LOOKUP(2,1/(('Match Log'!$D$4:$D$810=$R$24)*('Match Log'!$A$4:$A$810&lt;=$J318)),'Match Log'!$N$4:$N$810),NA()))</f>
        <v>0</v>
      </c>
      <c r="S318">
        <f>IF($J318&gt;MAX('Match Log'!$A$4:$A$810),NA(),IFERROR(LOOKUP(2,1/(('Match Log'!$D$4:$D$810=$S$24)*('Match Log'!$A$4:$A$810&lt;=$J318)),'Match Log'!$N$4:$N$810),NA()))</f>
        <v>0</v>
      </c>
      <c r="T318">
        <f>IF($J318&gt;MAX('Match Log'!$A$4:$A$810),NA(),IFERROR(LOOKUP(2,1/(('Match Log'!$D$4:$D$810=$T$24)*('Match Log'!$A$4:$A$810&lt;=$J318)),'Match Log'!$N$4:$N$810),NA()))</f>
        <v>0</v>
      </c>
      <c r="U318">
        <f>IF($J318&gt;MAX('Match Log'!$A$4:$A$810),NA(),IFERROR(LOOKUP(2,1/(('Match Log'!$D$4:$D$810=$U$24)*('Match Log'!$A$4:$A$810&lt;=$J318)),'Match Log'!$N$4:$N$810),NA()))</f>
        <v>0</v>
      </c>
      <c r="V318">
        <f>IF($J318&gt;MAX('Match Log'!$A$4:$A$810),NA(),IFERROR(LOOKUP(2,1/(('Match Log'!$D$4:$D$810=$V$24)*('Match Log'!$A$4:$A$810&lt;=$J318)),'Match Log'!$N$4:$N$810),NA()))</f>
        <v>0</v>
      </c>
      <c r="W318">
        <f>IF($J318&gt;MAX('Match Log'!$A$4:$A$810),NA(),IFERROR(LOOKUP(2,1/(('Match Log'!$D$4:$D$810=$W$24)*('Match Log'!$A$4:$A$810&lt;=$J318)),'Match Log'!$N$4:$N$810),NA()))</f>
        <v>0</v>
      </c>
      <c r="X318">
        <f>IF($J318&gt;MAX('Match Log'!$A$4:$A$810),NA(),IFERROR(LOOKUP(2,1/(('Match Log'!$D$4:$D$810=$X$24)*('Match Log'!$A$4:$A$810&lt;=$J318)),'Match Log'!$N$4:$N$810),NA()))</f>
        <v>0</v>
      </c>
      <c r="Y318" t="str">
        <f>IF(AND($B318&lt;&gt;"",$B318&gt;=$B$5,$I318&lt;&gt;""),$I318,"")</f>
      </c>
    </row>
    <row r="319">
      <c r="A319">
        <v>295</v>
      </c>
      <c r="B319">
        <f>IFERROR(INDEX('Match Log'!$B$4:$B$810,MATCH(295,'Match Log'!$A$4:$A$810,0)),"")</f>
        <v>0</v>
      </c>
      <c r="C319" t="str">
        <f>IFERROR(INDEX('Match Log'!$C$4:$C$810,MATCH(295,'Match Log'!$A$4:$A$810,0)),"")</f>
      </c>
      <c r="D319" t="str">
        <f>IFERROR(INDEX('Match Log'!$G$4:$G$810,MATCH(295,'Match Log'!$A$4:$A$810,0)),"")</f>
      </c>
      <c r="E319">
        <f>IFERROR(INDEX('Match Log'!$F$4:$F$810,MATCH(295,'Match Log'!$A$4:$A$810,0)),"")</f>
        <v>0</v>
      </c>
      <c r="F319">
        <f>IFERROR(SUMIFS('Match Log'!$I$4:$I$810,'Match Log'!$A$4:$A$810,295,'Match Log'!$E$4:$E$810,"Win"),"")</f>
        <v>0</v>
      </c>
      <c r="G319">
        <f>IF($D319="","",1-$F319*$E319)</f>
        <v>0</v>
      </c>
      <c r="H319" t="str">
        <f>IFERROR(IF($E319=2,LOOKUP(2,1/(('Match Log'!$A$4:$A$810=295)*('Match Log'!$E$4:$E$810="Loss")),'Match Log'!$D$4:$D$810),"the field"),"")</f>
      </c>
      <c r="I319">
        <f>IF($G319="","",$G319-$A319/1000000)</f>
        <v>0</v>
      </c>
      <c r="J319">
        <v>295</v>
      </c>
      <c r="K319">
        <f>IF($J319&gt;MAX('Match Log'!$A$4:$A$810),NA(),IFERROR(LOOKUP(2,1/(('Match Log'!$D$4:$D$810=$K$24)*('Match Log'!$A$4:$A$810&lt;=$J319)),'Match Log'!$N$4:$N$810),NA()))</f>
        <v>0</v>
      </c>
      <c r="L319">
        <f>IF($J319&gt;MAX('Match Log'!$A$4:$A$810),NA(),IFERROR(LOOKUP(2,1/(('Match Log'!$D$4:$D$810=$L$24)*('Match Log'!$A$4:$A$810&lt;=$J319)),'Match Log'!$N$4:$N$810),NA()))</f>
        <v>0</v>
      </c>
      <c r="M319">
        <f>IF($J319&gt;MAX('Match Log'!$A$4:$A$810),NA(),IFERROR(LOOKUP(2,1/(('Match Log'!$D$4:$D$810=$M$24)*('Match Log'!$A$4:$A$810&lt;=$J319)),'Match Log'!$N$4:$N$810),NA()))</f>
        <v>0</v>
      </c>
      <c r="N319">
        <f>IF($J319&gt;MAX('Match Log'!$A$4:$A$810),NA(),IFERROR(LOOKUP(2,1/(('Match Log'!$D$4:$D$810=$N$24)*('Match Log'!$A$4:$A$810&lt;=$J319)),'Match Log'!$N$4:$N$810),NA()))</f>
        <v>0</v>
      </c>
      <c r="O319">
        <f>IF($J319&gt;MAX('Match Log'!$A$4:$A$810),NA(),IFERROR(LOOKUP(2,1/(('Match Log'!$D$4:$D$810=$O$24)*('Match Log'!$A$4:$A$810&lt;=$J319)),'Match Log'!$N$4:$N$810),NA()))</f>
        <v>0</v>
      </c>
      <c r="P319">
        <f>IF($J319&gt;MAX('Match Log'!$A$4:$A$810),NA(),IFERROR(LOOKUP(2,1/(('Match Log'!$D$4:$D$810=$P$24)*('Match Log'!$A$4:$A$810&lt;=$J319)),'Match Log'!$N$4:$N$810),NA()))</f>
        <v>0</v>
      </c>
      <c r="Q319">
        <f>IF($J319&gt;MAX('Match Log'!$A$4:$A$810),NA(),IFERROR(LOOKUP(2,1/(('Match Log'!$D$4:$D$810=$Q$24)*('Match Log'!$A$4:$A$810&lt;=$J319)),'Match Log'!$N$4:$N$810),NA()))</f>
        <v>0</v>
      </c>
      <c r="R319">
        <f>IF($J319&gt;MAX('Match Log'!$A$4:$A$810),NA(),IFERROR(LOOKUP(2,1/(('Match Log'!$D$4:$D$810=$R$24)*('Match Log'!$A$4:$A$810&lt;=$J319)),'Match Log'!$N$4:$N$810),NA()))</f>
        <v>0</v>
      </c>
      <c r="S319">
        <f>IF($J319&gt;MAX('Match Log'!$A$4:$A$810),NA(),IFERROR(LOOKUP(2,1/(('Match Log'!$D$4:$D$810=$S$24)*('Match Log'!$A$4:$A$810&lt;=$J319)),'Match Log'!$N$4:$N$810),NA()))</f>
        <v>0</v>
      </c>
      <c r="T319">
        <f>IF($J319&gt;MAX('Match Log'!$A$4:$A$810),NA(),IFERROR(LOOKUP(2,1/(('Match Log'!$D$4:$D$810=$T$24)*('Match Log'!$A$4:$A$810&lt;=$J319)),'Match Log'!$N$4:$N$810),NA()))</f>
        <v>0</v>
      </c>
      <c r="U319">
        <f>IF($J319&gt;MAX('Match Log'!$A$4:$A$810),NA(),IFERROR(LOOKUP(2,1/(('Match Log'!$D$4:$D$810=$U$24)*('Match Log'!$A$4:$A$810&lt;=$J319)),'Match Log'!$N$4:$N$810),NA()))</f>
        <v>0</v>
      </c>
      <c r="V319">
        <f>IF($J319&gt;MAX('Match Log'!$A$4:$A$810),NA(),IFERROR(LOOKUP(2,1/(('Match Log'!$D$4:$D$810=$V$24)*('Match Log'!$A$4:$A$810&lt;=$J319)),'Match Log'!$N$4:$N$810),NA()))</f>
        <v>0</v>
      </c>
      <c r="W319">
        <f>IF($J319&gt;MAX('Match Log'!$A$4:$A$810),NA(),IFERROR(LOOKUP(2,1/(('Match Log'!$D$4:$D$810=$W$24)*('Match Log'!$A$4:$A$810&lt;=$J319)),'Match Log'!$N$4:$N$810),NA()))</f>
        <v>0</v>
      </c>
      <c r="X319">
        <f>IF($J319&gt;MAX('Match Log'!$A$4:$A$810),NA(),IFERROR(LOOKUP(2,1/(('Match Log'!$D$4:$D$810=$X$24)*('Match Log'!$A$4:$A$810&lt;=$J319)),'Match Log'!$N$4:$N$810),NA()))</f>
        <v>0</v>
      </c>
      <c r="Y319" t="str">
        <f>IF(AND($B319&lt;&gt;"",$B319&gt;=$B$5,$I319&lt;&gt;""),$I319,"")</f>
      </c>
    </row>
    <row r="320">
      <c r="A320">
        <v>296</v>
      </c>
      <c r="B320">
        <f>IFERROR(INDEX('Match Log'!$B$4:$B$810,MATCH(296,'Match Log'!$A$4:$A$810,0)),"")</f>
        <v>0</v>
      </c>
      <c r="C320" t="str">
        <f>IFERROR(INDEX('Match Log'!$C$4:$C$810,MATCH(296,'Match Log'!$A$4:$A$810,0)),"")</f>
      </c>
      <c r="D320" t="str">
        <f>IFERROR(INDEX('Match Log'!$G$4:$G$810,MATCH(296,'Match Log'!$A$4:$A$810,0)),"")</f>
      </c>
      <c r="E320">
        <f>IFERROR(INDEX('Match Log'!$F$4:$F$810,MATCH(296,'Match Log'!$A$4:$A$810,0)),"")</f>
        <v>0</v>
      </c>
      <c r="F320">
        <f>IFERROR(SUMIFS('Match Log'!$I$4:$I$810,'Match Log'!$A$4:$A$810,296,'Match Log'!$E$4:$E$810,"Win"),"")</f>
        <v>0</v>
      </c>
      <c r="G320">
        <f>IF($D320="","",1-$F320*$E320)</f>
        <v>0</v>
      </c>
      <c r="H320" t="str">
        <f>IFERROR(IF($E320=2,LOOKUP(2,1/(('Match Log'!$A$4:$A$810=296)*('Match Log'!$E$4:$E$810="Loss")),'Match Log'!$D$4:$D$810),"the field"),"")</f>
      </c>
      <c r="I320">
        <f>IF($G320="","",$G320-$A320/1000000)</f>
        <v>0</v>
      </c>
      <c r="J320">
        <v>296</v>
      </c>
      <c r="K320">
        <f>IF($J320&gt;MAX('Match Log'!$A$4:$A$810),NA(),IFERROR(LOOKUP(2,1/(('Match Log'!$D$4:$D$810=$K$24)*('Match Log'!$A$4:$A$810&lt;=$J320)),'Match Log'!$N$4:$N$810),NA()))</f>
        <v>0</v>
      </c>
      <c r="L320">
        <f>IF($J320&gt;MAX('Match Log'!$A$4:$A$810),NA(),IFERROR(LOOKUP(2,1/(('Match Log'!$D$4:$D$810=$L$24)*('Match Log'!$A$4:$A$810&lt;=$J320)),'Match Log'!$N$4:$N$810),NA()))</f>
        <v>0</v>
      </c>
      <c r="M320">
        <f>IF($J320&gt;MAX('Match Log'!$A$4:$A$810),NA(),IFERROR(LOOKUP(2,1/(('Match Log'!$D$4:$D$810=$M$24)*('Match Log'!$A$4:$A$810&lt;=$J320)),'Match Log'!$N$4:$N$810),NA()))</f>
        <v>0</v>
      </c>
      <c r="N320">
        <f>IF($J320&gt;MAX('Match Log'!$A$4:$A$810),NA(),IFERROR(LOOKUP(2,1/(('Match Log'!$D$4:$D$810=$N$24)*('Match Log'!$A$4:$A$810&lt;=$J320)),'Match Log'!$N$4:$N$810),NA()))</f>
        <v>0</v>
      </c>
      <c r="O320">
        <f>IF($J320&gt;MAX('Match Log'!$A$4:$A$810),NA(),IFERROR(LOOKUP(2,1/(('Match Log'!$D$4:$D$810=$O$24)*('Match Log'!$A$4:$A$810&lt;=$J320)),'Match Log'!$N$4:$N$810),NA()))</f>
        <v>0</v>
      </c>
      <c r="P320">
        <f>IF($J320&gt;MAX('Match Log'!$A$4:$A$810),NA(),IFERROR(LOOKUP(2,1/(('Match Log'!$D$4:$D$810=$P$24)*('Match Log'!$A$4:$A$810&lt;=$J320)),'Match Log'!$N$4:$N$810),NA()))</f>
        <v>0</v>
      </c>
      <c r="Q320">
        <f>IF($J320&gt;MAX('Match Log'!$A$4:$A$810),NA(),IFERROR(LOOKUP(2,1/(('Match Log'!$D$4:$D$810=$Q$24)*('Match Log'!$A$4:$A$810&lt;=$J320)),'Match Log'!$N$4:$N$810),NA()))</f>
        <v>0</v>
      </c>
      <c r="R320">
        <f>IF($J320&gt;MAX('Match Log'!$A$4:$A$810),NA(),IFERROR(LOOKUP(2,1/(('Match Log'!$D$4:$D$810=$R$24)*('Match Log'!$A$4:$A$810&lt;=$J320)),'Match Log'!$N$4:$N$810),NA()))</f>
        <v>0</v>
      </c>
      <c r="S320">
        <f>IF($J320&gt;MAX('Match Log'!$A$4:$A$810),NA(),IFERROR(LOOKUP(2,1/(('Match Log'!$D$4:$D$810=$S$24)*('Match Log'!$A$4:$A$810&lt;=$J320)),'Match Log'!$N$4:$N$810),NA()))</f>
        <v>0</v>
      </c>
      <c r="T320">
        <f>IF($J320&gt;MAX('Match Log'!$A$4:$A$810),NA(),IFERROR(LOOKUP(2,1/(('Match Log'!$D$4:$D$810=$T$24)*('Match Log'!$A$4:$A$810&lt;=$J320)),'Match Log'!$N$4:$N$810),NA()))</f>
        <v>0</v>
      </c>
      <c r="U320">
        <f>IF($J320&gt;MAX('Match Log'!$A$4:$A$810),NA(),IFERROR(LOOKUP(2,1/(('Match Log'!$D$4:$D$810=$U$24)*('Match Log'!$A$4:$A$810&lt;=$J320)),'Match Log'!$N$4:$N$810),NA()))</f>
        <v>0</v>
      </c>
      <c r="V320">
        <f>IF($J320&gt;MAX('Match Log'!$A$4:$A$810),NA(),IFERROR(LOOKUP(2,1/(('Match Log'!$D$4:$D$810=$V$24)*('Match Log'!$A$4:$A$810&lt;=$J320)),'Match Log'!$N$4:$N$810),NA()))</f>
        <v>0</v>
      </c>
      <c r="W320">
        <f>IF($J320&gt;MAX('Match Log'!$A$4:$A$810),NA(),IFERROR(LOOKUP(2,1/(('Match Log'!$D$4:$D$810=$W$24)*('Match Log'!$A$4:$A$810&lt;=$J320)),'Match Log'!$N$4:$N$810),NA()))</f>
        <v>0</v>
      </c>
      <c r="X320">
        <f>IF($J320&gt;MAX('Match Log'!$A$4:$A$810),NA(),IFERROR(LOOKUP(2,1/(('Match Log'!$D$4:$D$810=$X$24)*('Match Log'!$A$4:$A$810&lt;=$J320)),'Match Log'!$N$4:$N$810),NA()))</f>
        <v>0</v>
      </c>
      <c r="Y320" t="str">
        <f>IF(AND($B320&lt;&gt;"",$B320&gt;=$B$5,$I320&lt;&gt;""),$I320,"")</f>
      </c>
    </row>
    <row r="321">
      <c r="A321">
        <v>297</v>
      </c>
      <c r="B321">
        <f>IFERROR(INDEX('Match Log'!$B$4:$B$810,MATCH(297,'Match Log'!$A$4:$A$810,0)),"")</f>
        <v>0</v>
      </c>
      <c r="C321" t="str">
        <f>IFERROR(INDEX('Match Log'!$C$4:$C$810,MATCH(297,'Match Log'!$A$4:$A$810,0)),"")</f>
      </c>
      <c r="D321" t="str">
        <f>IFERROR(INDEX('Match Log'!$G$4:$G$810,MATCH(297,'Match Log'!$A$4:$A$810,0)),"")</f>
      </c>
      <c r="E321">
        <f>IFERROR(INDEX('Match Log'!$F$4:$F$810,MATCH(297,'Match Log'!$A$4:$A$810,0)),"")</f>
        <v>0</v>
      </c>
      <c r="F321">
        <f>IFERROR(SUMIFS('Match Log'!$I$4:$I$810,'Match Log'!$A$4:$A$810,297,'Match Log'!$E$4:$E$810,"Win"),"")</f>
        <v>0</v>
      </c>
      <c r="G321">
        <f>IF($D321="","",1-$F321*$E321)</f>
        <v>0</v>
      </c>
      <c r="H321" t="str">
        <f>IFERROR(IF($E321=2,LOOKUP(2,1/(('Match Log'!$A$4:$A$810=297)*('Match Log'!$E$4:$E$810="Loss")),'Match Log'!$D$4:$D$810),"the field"),"")</f>
      </c>
      <c r="I321">
        <f>IF($G321="","",$G321-$A321/1000000)</f>
        <v>0</v>
      </c>
      <c r="J321">
        <v>297</v>
      </c>
      <c r="K321">
        <f>IF($J321&gt;MAX('Match Log'!$A$4:$A$810),NA(),IFERROR(LOOKUP(2,1/(('Match Log'!$D$4:$D$810=$K$24)*('Match Log'!$A$4:$A$810&lt;=$J321)),'Match Log'!$N$4:$N$810),NA()))</f>
        <v>0</v>
      </c>
      <c r="L321">
        <f>IF($J321&gt;MAX('Match Log'!$A$4:$A$810),NA(),IFERROR(LOOKUP(2,1/(('Match Log'!$D$4:$D$810=$L$24)*('Match Log'!$A$4:$A$810&lt;=$J321)),'Match Log'!$N$4:$N$810),NA()))</f>
        <v>0</v>
      </c>
      <c r="M321">
        <f>IF($J321&gt;MAX('Match Log'!$A$4:$A$810),NA(),IFERROR(LOOKUP(2,1/(('Match Log'!$D$4:$D$810=$M$24)*('Match Log'!$A$4:$A$810&lt;=$J321)),'Match Log'!$N$4:$N$810),NA()))</f>
        <v>0</v>
      </c>
      <c r="N321">
        <f>IF($J321&gt;MAX('Match Log'!$A$4:$A$810),NA(),IFERROR(LOOKUP(2,1/(('Match Log'!$D$4:$D$810=$N$24)*('Match Log'!$A$4:$A$810&lt;=$J321)),'Match Log'!$N$4:$N$810),NA()))</f>
        <v>0</v>
      </c>
      <c r="O321">
        <f>IF($J321&gt;MAX('Match Log'!$A$4:$A$810),NA(),IFERROR(LOOKUP(2,1/(('Match Log'!$D$4:$D$810=$O$24)*('Match Log'!$A$4:$A$810&lt;=$J321)),'Match Log'!$N$4:$N$810),NA()))</f>
        <v>0</v>
      </c>
      <c r="P321">
        <f>IF($J321&gt;MAX('Match Log'!$A$4:$A$810),NA(),IFERROR(LOOKUP(2,1/(('Match Log'!$D$4:$D$810=$P$24)*('Match Log'!$A$4:$A$810&lt;=$J321)),'Match Log'!$N$4:$N$810),NA()))</f>
        <v>0</v>
      </c>
      <c r="Q321">
        <f>IF($J321&gt;MAX('Match Log'!$A$4:$A$810),NA(),IFERROR(LOOKUP(2,1/(('Match Log'!$D$4:$D$810=$Q$24)*('Match Log'!$A$4:$A$810&lt;=$J321)),'Match Log'!$N$4:$N$810),NA()))</f>
        <v>0</v>
      </c>
      <c r="R321">
        <f>IF($J321&gt;MAX('Match Log'!$A$4:$A$810),NA(),IFERROR(LOOKUP(2,1/(('Match Log'!$D$4:$D$810=$R$24)*('Match Log'!$A$4:$A$810&lt;=$J321)),'Match Log'!$N$4:$N$810),NA()))</f>
        <v>0</v>
      </c>
      <c r="S321">
        <f>IF($J321&gt;MAX('Match Log'!$A$4:$A$810),NA(),IFERROR(LOOKUP(2,1/(('Match Log'!$D$4:$D$810=$S$24)*('Match Log'!$A$4:$A$810&lt;=$J321)),'Match Log'!$N$4:$N$810),NA()))</f>
        <v>0</v>
      </c>
      <c r="T321">
        <f>IF($J321&gt;MAX('Match Log'!$A$4:$A$810),NA(),IFERROR(LOOKUP(2,1/(('Match Log'!$D$4:$D$810=$T$24)*('Match Log'!$A$4:$A$810&lt;=$J321)),'Match Log'!$N$4:$N$810),NA()))</f>
        <v>0</v>
      </c>
      <c r="U321">
        <f>IF($J321&gt;MAX('Match Log'!$A$4:$A$810),NA(),IFERROR(LOOKUP(2,1/(('Match Log'!$D$4:$D$810=$U$24)*('Match Log'!$A$4:$A$810&lt;=$J321)),'Match Log'!$N$4:$N$810),NA()))</f>
        <v>0</v>
      </c>
      <c r="V321">
        <f>IF($J321&gt;MAX('Match Log'!$A$4:$A$810),NA(),IFERROR(LOOKUP(2,1/(('Match Log'!$D$4:$D$810=$V$24)*('Match Log'!$A$4:$A$810&lt;=$J321)),'Match Log'!$N$4:$N$810),NA()))</f>
        <v>0</v>
      </c>
      <c r="W321">
        <f>IF($J321&gt;MAX('Match Log'!$A$4:$A$810),NA(),IFERROR(LOOKUP(2,1/(('Match Log'!$D$4:$D$810=$W$24)*('Match Log'!$A$4:$A$810&lt;=$J321)),'Match Log'!$N$4:$N$810),NA()))</f>
        <v>0</v>
      </c>
      <c r="X321">
        <f>IF($J321&gt;MAX('Match Log'!$A$4:$A$810),NA(),IFERROR(LOOKUP(2,1/(('Match Log'!$D$4:$D$810=$X$24)*('Match Log'!$A$4:$A$810&lt;=$J321)),'Match Log'!$N$4:$N$810),NA()))</f>
        <v>0</v>
      </c>
      <c r="Y321" t="str">
        <f>IF(AND($B321&lt;&gt;"",$B321&gt;=$B$5,$I321&lt;&gt;""),$I321,"")</f>
      </c>
    </row>
    <row r="322">
      <c r="A322">
        <v>298</v>
      </c>
      <c r="B322">
        <f>IFERROR(INDEX('Match Log'!$B$4:$B$810,MATCH(298,'Match Log'!$A$4:$A$810,0)),"")</f>
        <v>0</v>
      </c>
      <c r="C322" t="str">
        <f>IFERROR(INDEX('Match Log'!$C$4:$C$810,MATCH(298,'Match Log'!$A$4:$A$810,0)),"")</f>
      </c>
      <c r="D322" t="str">
        <f>IFERROR(INDEX('Match Log'!$G$4:$G$810,MATCH(298,'Match Log'!$A$4:$A$810,0)),"")</f>
      </c>
      <c r="E322">
        <f>IFERROR(INDEX('Match Log'!$F$4:$F$810,MATCH(298,'Match Log'!$A$4:$A$810,0)),"")</f>
        <v>0</v>
      </c>
      <c r="F322">
        <f>IFERROR(SUMIFS('Match Log'!$I$4:$I$810,'Match Log'!$A$4:$A$810,298,'Match Log'!$E$4:$E$810,"Win"),"")</f>
        <v>0</v>
      </c>
      <c r="G322">
        <f>IF($D322="","",1-$F322*$E322)</f>
        <v>0</v>
      </c>
      <c r="H322" t="str">
        <f>IFERROR(IF($E322=2,LOOKUP(2,1/(('Match Log'!$A$4:$A$810=298)*('Match Log'!$E$4:$E$810="Loss")),'Match Log'!$D$4:$D$810),"the field"),"")</f>
      </c>
      <c r="I322">
        <f>IF($G322="","",$G322-$A322/1000000)</f>
        <v>0</v>
      </c>
      <c r="J322">
        <v>298</v>
      </c>
      <c r="K322">
        <f>IF($J322&gt;MAX('Match Log'!$A$4:$A$810),NA(),IFERROR(LOOKUP(2,1/(('Match Log'!$D$4:$D$810=$K$24)*('Match Log'!$A$4:$A$810&lt;=$J322)),'Match Log'!$N$4:$N$810),NA()))</f>
        <v>0</v>
      </c>
      <c r="L322">
        <f>IF($J322&gt;MAX('Match Log'!$A$4:$A$810),NA(),IFERROR(LOOKUP(2,1/(('Match Log'!$D$4:$D$810=$L$24)*('Match Log'!$A$4:$A$810&lt;=$J322)),'Match Log'!$N$4:$N$810),NA()))</f>
        <v>0</v>
      </c>
      <c r="M322">
        <f>IF($J322&gt;MAX('Match Log'!$A$4:$A$810),NA(),IFERROR(LOOKUP(2,1/(('Match Log'!$D$4:$D$810=$M$24)*('Match Log'!$A$4:$A$810&lt;=$J322)),'Match Log'!$N$4:$N$810),NA()))</f>
        <v>0</v>
      </c>
      <c r="N322">
        <f>IF($J322&gt;MAX('Match Log'!$A$4:$A$810),NA(),IFERROR(LOOKUP(2,1/(('Match Log'!$D$4:$D$810=$N$24)*('Match Log'!$A$4:$A$810&lt;=$J322)),'Match Log'!$N$4:$N$810),NA()))</f>
        <v>0</v>
      </c>
      <c r="O322">
        <f>IF($J322&gt;MAX('Match Log'!$A$4:$A$810),NA(),IFERROR(LOOKUP(2,1/(('Match Log'!$D$4:$D$810=$O$24)*('Match Log'!$A$4:$A$810&lt;=$J322)),'Match Log'!$N$4:$N$810),NA()))</f>
        <v>0</v>
      </c>
      <c r="P322">
        <f>IF($J322&gt;MAX('Match Log'!$A$4:$A$810),NA(),IFERROR(LOOKUP(2,1/(('Match Log'!$D$4:$D$810=$P$24)*('Match Log'!$A$4:$A$810&lt;=$J322)),'Match Log'!$N$4:$N$810),NA()))</f>
        <v>0</v>
      </c>
      <c r="Q322">
        <f>IF($J322&gt;MAX('Match Log'!$A$4:$A$810),NA(),IFERROR(LOOKUP(2,1/(('Match Log'!$D$4:$D$810=$Q$24)*('Match Log'!$A$4:$A$810&lt;=$J322)),'Match Log'!$N$4:$N$810),NA()))</f>
        <v>0</v>
      </c>
      <c r="R322">
        <f>IF($J322&gt;MAX('Match Log'!$A$4:$A$810),NA(),IFERROR(LOOKUP(2,1/(('Match Log'!$D$4:$D$810=$R$24)*('Match Log'!$A$4:$A$810&lt;=$J322)),'Match Log'!$N$4:$N$810),NA()))</f>
        <v>0</v>
      </c>
      <c r="S322">
        <f>IF($J322&gt;MAX('Match Log'!$A$4:$A$810),NA(),IFERROR(LOOKUP(2,1/(('Match Log'!$D$4:$D$810=$S$24)*('Match Log'!$A$4:$A$810&lt;=$J322)),'Match Log'!$N$4:$N$810),NA()))</f>
        <v>0</v>
      </c>
      <c r="T322">
        <f>IF($J322&gt;MAX('Match Log'!$A$4:$A$810),NA(),IFERROR(LOOKUP(2,1/(('Match Log'!$D$4:$D$810=$T$24)*('Match Log'!$A$4:$A$810&lt;=$J322)),'Match Log'!$N$4:$N$810),NA()))</f>
        <v>0</v>
      </c>
      <c r="U322">
        <f>IF($J322&gt;MAX('Match Log'!$A$4:$A$810),NA(),IFERROR(LOOKUP(2,1/(('Match Log'!$D$4:$D$810=$U$24)*('Match Log'!$A$4:$A$810&lt;=$J322)),'Match Log'!$N$4:$N$810),NA()))</f>
        <v>0</v>
      </c>
      <c r="V322">
        <f>IF($J322&gt;MAX('Match Log'!$A$4:$A$810),NA(),IFERROR(LOOKUP(2,1/(('Match Log'!$D$4:$D$810=$V$24)*('Match Log'!$A$4:$A$810&lt;=$J322)),'Match Log'!$N$4:$N$810),NA()))</f>
        <v>0</v>
      </c>
      <c r="W322">
        <f>IF($J322&gt;MAX('Match Log'!$A$4:$A$810),NA(),IFERROR(LOOKUP(2,1/(('Match Log'!$D$4:$D$810=$W$24)*('Match Log'!$A$4:$A$810&lt;=$J322)),'Match Log'!$N$4:$N$810),NA()))</f>
        <v>0</v>
      </c>
      <c r="X322">
        <f>IF($J322&gt;MAX('Match Log'!$A$4:$A$810),NA(),IFERROR(LOOKUP(2,1/(('Match Log'!$D$4:$D$810=$X$24)*('Match Log'!$A$4:$A$810&lt;=$J322)),'Match Log'!$N$4:$N$810),NA()))</f>
        <v>0</v>
      </c>
      <c r="Y322" t="str">
        <f>IF(AND($B322&lt;&gt;"",$B322&gt;=$B$5,$I322&lt;&gt;""),$I322,"")</f>
      </c>
    </row>
    <row r="323">
      <c r="A323">
        <v>299</v>
      </c>
      <c r="B323">
        <f>IFERROR(INDEX('Match Log'!$B$4:$B$810,MATCH(299,'Match Log'!$A$4:$A$810,0)),"")</f>
        <v>0</v>
      </c>
      <c r="C323" t="str">
        <f>IFERROR(INDEX('Match Log'!$C$4:$C$810,MATCH(299,'Match Log'!$A$4:$A$810,0)),"")</f>
      </c>
      <c r="D323" t="str">
        <f>IFERROR(INDEX('Match Log'!$G$4:$G$810,MATCH(299,'Match Log'!$A$4:$A$810,0)),"")</f>
      </c>
      <c r="E323">
        <f>IFERROR(INDEX('Match Log'!$F$4:$F$810,MATCH(299,'Match Log'!$A$4:$A$810,0)),"")</f>
        <v>0</v>
      </c>
      <c r="F323">
        <f>IFERROR(SUMIFS('Match Log'!$I$4:$I$810,'Match Log'!$A$4:$A$810,299,'Match Log'!$E$4:$E$810,"Win"),"")</f>
        <v>0</v>
      </c>
      <c r="G323">
        <f>IF($D323="","",1-$F323*$E323)</f>
        <v>0</v>
      </c>
      <c r="H323" t="str">
        <f>IFERROR(IF($E323=2,LOOKUP(2,1/(('Match Log'!$A$4:$A$810=299)*('Match Log'!$E$4:$E$810="Loss")),'Match Log'!$D$4:$D$810),"the field"),"")</f>
      </c>
      <c r="I323">
        <f>IF($G323="","",$G323-$A323/1000000)</f>
        <v>0</v>
      </c>
      <c r="J323">
        <v>299</v>
      </c>
      <c r="K323">
        <f>IF($J323&gt;MAX('Match Log'!$A$4:$A$810),NA(),IFERROR(LOOKUP(2,1/(('Match Log'!$D$4:$D$810=$K$24)*('Match Log'!$A$4:$A$810&lt;=$J323)),'Match Log'!$N$4:$N$810),NA()))</f>
        <v>0</v>
      </c>
      <c r="L323">
        <f>IF($J323&gt;MAX('Match Log'!$A$4:$A$810),NA(),IFERROR(LOOKUP(2,1/(('Match Log'!$D$4:$D$810=$L$24)*('Match Log'!$A$4:$A$810&lt;=$J323)),'Match Log'!$N$4:$N$810),NA()))</f>
        <v>0</v>
      </c>
      <c r="M323">
        <f>IF($J323&gt;MAX('Match Log'!$A$4:$A$810),NA(),IFERROR(LOOKUP(2,1/(('Match Log'!$D$4:$D$810=$M$24)*('Match Log'!$A$4:$A$810&lt;=$J323)),'Match Log'!$N$4:$N$810),NA()))</f>
        <v>0</v>
      </c>
      <c r="N323">
        <f>IF($J323&gt;MAX('Match Log'!$A$4:$A$810),NA(),IFERROR(LOOKUP(2,1/(('Match Log'!$D$4:$D$810=$N$24)*('Match Log'!$A$4:$A$810&lt;=$J323)),'Match Log'!$N$4:$N$810),NA()))</f>
        <v>0</v>
      </c>
      <c r="O323">
        <f>IF($J323&gt;MAX('Match Log'!$A$4:$A$810),NA(),IFERROR(LOOKUP(2,1/(('Match Log'!$D$4:$D$810=$O$24)*('Match Log'!$A$4:$A$810&lt;=$J323)),'Match Log'!$N$4:$N$810),NA()))</f>
        <v>0</v>
      </c>
      <c r="P323">
        <f>IF($J323&gt;MAX('Match Log'!$A$4:$A$810),NA(),IFERROR(LOOKUP(2,1/(('Match Log'!$D$4:$D$810=$P$24)*('Match Log'!$A$4:$A$810&lt;=$J323)),'Match Log'!$N$4:$N$810),NA()))</f>
        <v>0</v>
      </c>
      <c r="Q323">
        <f>IF($J323&gt;MAX('Match Log'!$A$4:$A$810),NA(),IFERROR(LOOKUP(2,1/(('Match Log'!$D$4:$D$810=$Q$24)*('Match Log'!$A$4:$A$810&lt;=$J323)),'Match Log'!$N$4:$N$810),NA()))</f>
        <v>0</v>
      </c>
      <c r="R323">
        <f>IF($J323&gt;MAX('Match Log'!$A$4:$A$810),NA(),IFERROR(LOOKUP(2,1/(('Match Log'!$D$4:$D$810=$R$24)*('Match Log'!$A$4:$A$810&lt;=$J323)),'Match Log'!$N$4:$N$810),NA()))</f>
        <v>0</v>
      </c>
      <c r="S323">
        <f>IF($J323&gt;MAX('Match Log'!$A$4:$A$810),NA(),IFERROR(LOOKUP(2,1/(('Match Log'!$D$4:$D$810=$S$24)*('Match Log'!$A$4:$A$810&lt;=$J323)),'Match Log'!$N$4:$N$810),NA()))</f>
        <v>0</v>
      </c>
      <c r="T323">
        <f>IF($J323&gt;MAX('Match Log'!$A$4:$A$810),NA(),IFERROR(LOOKUP(2,1/(('Match Log'!$D$4:$D$810=$T$24)*('Match Log'!$A$4:$A$810&lt;=$J323)),'Match Log'!$N$4:$N$810),NA()))</f>
        <v>0</v>
      </c>
      <c r="U323">
        <f>IF($J323&gt;MAX('Match Log'!$A$4:$A$810),NA(),IFERROR(LOOKUP(2,1/(('Match Log'!$D$4:$D$810=$U$24)*('Match Log'!$A$4:$A$810&lt;=$J323)),'Match Log'!$N$4:$N$810),NA()))</f>
        <v>0</v>
      </c>
      <c r="V323">
        <f>IF($J323&gt;MAX('Match Log'!$A$4:$A$810),NA(),IFERROR(LOOKUP(2,1/(('Match Log'!$D$4:$D$810=$V$24)*('Match Log'!$A$4:$A$810&lt;=$J323)),'Match Log'!$N$4:$N$810),NA()))</f>
        <v>0</v>
      </c>
      <c r="W323">
        <f>IF($J323&gt;MAX('Match Log'!$A$4:$A$810),NA(),IFERROR(LOOKUP(2,1/(('Match Log'!$D$4:$D$810=$W$24)*('Match Log'!$A$4:$A$810&lt;=$J323)),'Match Log'!$N$4:$N$810),NA()))</f>
        <v>0</v>
      </c>
      <c r="X323">
        <f>IF($J323&gt;MAX('Match Log'!$A$4:$A$810),NA(),IFERROR(LOOKUP(2,1/(('Match Log'!$D$4:$D$810=$X$24)*('Match Log'!$A$4:$A$810&lt;=$J323)),'Match Log'!$N$4:$N$810),NA()))</f>
        <v>0</v>
      </c>
      <c r="Y323" t="str">
        <f>IF(AND($B323&lt;&gt;"",$B323&gt;=$B$5,$I323&lt;&gt;""),$I323,"")</f>
      </c>
    </row>
    <row r="324">
      <c r="A324">
        <v>300</v>
      </c>
      <c r="B324">
        <f>IFERROR(INDEX('Match Log'!$B$4:$B$810,MATCH(300,'Match Log'!$A$4:$A$810,0)),"")</f>
        <v>0</v>
      </c>
      <c r="C324" t="str">
        <f>IFERROR(INDEX('Match Log'!$C$4:$C$810,MATCH(300,'Match Log'!$A$4:$A$810,0)),"")</f>
      </c>
      <c r="D324" t="str">
        <f>IFERROR(INDEX('Match Log'!$G$4:$G$810,MATCH(300,'Match Log'!$A$4:$A$810,0)),"")</f>
      </c>
      <c r="E324">
        <f>IFERROR(INDEX('Match Log'!$F$4:$F$810,MATCH(300,'Match Log'!$A$4:$A$810,0)),"")</f>
        <v>0</v>
      </c>
      <c r="F324">
        <f>IFERROR(SUMIFS('Match Log'!$I$4:$I$810,'Match Log'!$A$4:$A$810,300,'Match Log'!$E$4:$E$810,"Win"),"")</f>
        <v>0</v>
      </c>
      <c r="G324">
        <f>IF($D324="","",1-$F324*$E324)</f>
        <v>0</v>
      </c>
      <c r="H324" t="str">
        <f>IFERROR(IF($E324=2,LOOKUP(2,1/(('Match Log'!$A$4:$A$810=300)*('Match Log'!$E$4:$E$810="Loss")),'Match Log'!$D$4:$D$810),"the field"),"")</f>
      </c>
      <c r="I324">
        <f>IF($G324="","",$G324-$A324/1000000)</f>
        <v>0</v>
      </c>
      <c r="J324">
        <v>300</v>
      </c>
      <c r="K324">
        <f>IF($J324&gt;MAX('Match Log'!$A$4:$A$810),NA(),IFERROR(LOOKUP(2,1/(('Match Log'!$D$4:$D$810=$K$24)*('Match Log'!$A$4:$A$810&lt;=$J324)),'Match Log'!$N$4:$N$810),NA()))</f>
        <v>0</v>
      </c>
      <c r="L324">
        <f>IF($J324&gt;MAX('Match Log'!$A$4:$A$810),NA(),IFERROR(LOOKUP(2,1/(('Match Log'!$D$4:$D$810=$L$24)*('Match Log'!$A$4:$A$810&lt;=$J324)),'Match Log'!$N$4:$N$810),NA()))</f>
        <v>0</v>
      </c>
      <c r="M324">
        <f>IF($J324&gt;MAX('Match Log'!$A$4:$A$810),NA(),IFERROR(LOOKUP(2,1/(('Match Log'!$D$4:$D$810=$M$24)*('Match Log'!$A$4:$A$810&lt;=$J324)),'Match Log'!$N$4:$N$810),NA()))</f>
        <v>0</v>
      </c>
      <c r="N324">
        <f>IF($J324&gt;MAX('Match Log'!$A$4:$A$810),NA(),IFERROR(LOOKUP(2,1/(('Match Log'!$D$4:$D$810=$N$24)*('Match Log'!$A$4:$A$810&lt;=$J324)),'Match Log'!$N$4:$N$810),NA()))</f>
        <v>0</v>
      </c>
      <c r="O324">
        <f>IF($J324&gt;MAX('Match Log'!$A$4:$A$810),NA(),IFERROR(LOOKUP(2,1/(('Match Log'!$D$4:$D$810=$O$24)*('Match Log'!$A$4:$A$810&lt;=$J324)),'Match Log'!$N$4:$N$810),NA()))</f>
        <v>0</v>
      </c>
      <c r="P324">
        <f>IF($J324&gt;MAX('Match Log'!$A$4:$A$810),NA(),IFERROR(LOOKUP(2,1/(('Match Log'!$D$4:$D$810=$P$24)*('Match Log'!$A$4:$A$810&lt;=$J324)),'Match Log'!$N$4:$N$810),NA()))</f>
        <v>0</v>
      </c>
      <c r="Q324">
        <f>IF($J324&gt;MAX('Match Log'!$A$4:$A$810),NA(),IFERROR(LOOKUP(2,1/(('Match Log'!$D$4:$D$810=$Q$24)*('Match Log'!$A$4:$A$810&lt;=$J324)),'Match Log'!$N$4:$N$810),NA()))</f>
        <v>0</v>
      </c>
      <c r="R324">
        <f>IF($J324&gt;MAX('Match Log'!$A$4:$A$810),NA(),IFERROR(LOOKUP(2,1/(('Match Log'!$D$4:$D$810=$R$24)*('Match Log'!$A$4:$A$810&lt;=$J324)),'Match Log'!$N$4:$N$810),NA()))</f>
        <v>0</v>
      </c>
      <c r="S324">
        <f>IF($J324&gt;MAX('Match Log'!$A$4:$A$810),NA(),IFERROR(LOOKUP(2,1/(('Match Log'!$D$4:$D$810=$S$24)*('Match Log'!$A$4:$A$810&lt;=$J324)),'Match Log'!$N$4:$N$810),NA()))</f>
        <v>0</v>
      </c>
      <c r="T324">
        <f>IF($J324&gt;MAX('Match Log'!$A$4:$A$810),NA(),IFERROR(LOOKUP(2,1/(('Match Log'!$D$4:$D$810=$T$24)*('Match Log'!$A$4:$A$810&lt;=$J324)),'Match Log'!$N$4:$N$810),NA()))</f>
        <v>0</v>
      </c>
      <c r="U324">
        <f>IF($J324&gt;MAX('Match Log'!$A$4:$A$810),NA(),IFERROR(LOOKUP(2,1/(('Match Log'!$D$4:$D$810=$U$24)*('Match Log'!$A$4:$A$810&lt;=$J324)),'Match Log'!$N$4:$N$810),NA()))</f>
        <v>0</v>
      </c>
      <c r="V324">
        <f>IF($J324&gt;MAX('Match Log'!$A$4:$A$810),NA(),IFERROR(LOOKUP(2,1/(('Match Log'!$D$4:$D$810=$V$24)*('Match Log'!$A$4:$A$810&lt;=$J324)),'Match Log'!$N$4:$N$810),NA()))</f>
        <v>0</v>
      </c>
      <c r="W324">
        <f>IF($J324&gt;MAX('Match Log'!$A$4:$A$810),NA(),IFERROR(LOOKUP(2,1/(('Match Log'!$D$4:$D$810=$W$24)*('Match Log'!$A$4:$A$810&lt;=$J324)),'Match Log'!$N$4:$N$810),NA()))</f>
        <v>0</v>
      </c>
      <c r="X324">
        <f>IF($J324&gt;MAX('Match Log'!$A$4:$A$810),NA(),IFERROR(LOOKUP(2,1/(('Match Log'!$D$4:$D$810=$X$24)*('Match Log'!$A$4:$A$810&lt;=$J324)),'Match Log'!$N$4:$N$810),NA()))</f>
        <v>0</v>
      </c>
      <c r="Y324" t="str">
        <f>IF(AND($B324&lt;&gt;"",$B324&gt;=$B$5,$I324&lt;&gt;""),$I324,"")</f>
      </c>
    </row>
    <row r="325">
      <c r="A325">
        <v>301</v>
      </c>
      <c r="B325">
        <f>IFERROR(INDEX('Match Log'!$B$4:$B$810,MATCH(301,'Match Log'!$A$4:$A$810,0)),"")</f>
        <v>0</v>
      </c>
      <c r="C325" t="str">
        <f>IFERROR(INDEX('Match Log'!$C$4:$C$810,MATCH(301,'Match Log'!$A$4:$A$810,0)),"")</f>
      </c>
      <c r="D325" t="str">
        <f>IFERROR(INDEX('Match Log'!$G$4:$G$810,MATCH(301,'Match Log'!$A$4:$A$810,0)),"")</f>
      </c>
      <c r="E325">
        <f>IFERROR(INDEX('Match Log'!$F$4:$F$810,MATCH(301,'Match Log'!$A$4:$A$810,0)),"")</f>
        <v>0</v>
      </c>
      <c r="F325">
        <f>IFERROR(SUMIFS('Match Log'!$I$4:$I$810,'Match Log'!$A$4:$A$810,301,'Match Log'!$E$4:$E$810,"Win"),"")</f>
        <v>0</v>
      </c>
      <c r="G325">
        <f>IF($D325="","",1-$F325*$E325)</f>
        <v>0</v>
      </c>
      <c r="H325" t="str">
        <f>IFERROR(IF($E325=2,LOOKUP(2,1/(('Match Log'!$A$4:$A$810=301)*('Match Log'!$E$4:$E$810="Loss")),'Match Log'!$D$4:$D$810),"the field"),"")</f>
      </c>
      <c r="I325">
        <f>IF($G325="","",$G325-$A325/1000000)</f>
        <v>0</v>
      </c>
      <c r="J325">
        <v>301</v>
      </c>
      <c r="K325">
        <f>IF($J325&gt;MAX('Match Log'!$A$4:$A$810),NA(),IFERROR(LOOKUP(2,1/(('Match Log'!$D$4:$D$810=$K$24)*('Match Log'!$A$4:$A$810&lt;=$J325)),'Match Log'!$N$4:$N$810),NA()))</f>
        <v>0</v>
      </c>
      <c r="L325">
        <f>IF($J325&gt;MAX('Match Log'!$A$4:$A$810),NA(),IFERROR(LOOKUP(2,1/(('Match Log'!$D$4:$D$810=$L$24)*('Match Log'!$A$4:$A$810&lt;=$J325)),'Match Log'!$N$4:$N$810),NA()))</f>
        <v>0</v>
      </c>
      <c r="M325">
        <f>IF($J325&gt;MAX('Match Log'!$A$4:$A$810),NA(),IFERROR(LOOKUP(2,1/(('Match Log'!$D$4:$D$810=$M$24)*('Match Log'!$A$4:$A$810&lt;=$J325)),'Match Log'!$N$4:$N$810),NA()))</f>
        <v>0</v>
      </c>
      <c r="N325">
        <f>IF($J325&gt;MAX('Match Log'!$A$4:$A$810),NA(),IFERROR(LOOKUP(2,1/(('Match Log'!$D$4:$D$810=$N$24)*('Match Log'!$A$4:$A$810&lt;=$J325)),'Match Log'!$N$4:$N$810),NA()))</f>
        <v>0</v>
      </c>
      <c r="O325">
        <f>IF($J325&gt;MAX('Match Log'!$A$4:$A$810),NA(),IFERROR(LOOKUP(2,1/(('Match Log'!$D$4:$D$810=$O$24)*('Match Log'!$A$4:$A$810&lt;=$J325)),'Match Log'!$N$4:$N$810),NA()))</f>
        <v>0</v>
      </c>
      <c r="P325">
        <f>IF($J325&gt;MAX('Match Log'!$A$4:$A$810),NA(),IFERROR(LOOKUP(2,1/(('Match Log'!$D$4:$D$810=$P$24)*('Match Log'!$A$4:$A$810&lt;=$J325)),'Match Log'!$N$4:$N$810),NA()))</f>
        <v>0</v>
      </c>
      <c r="Q325">
        <f>IF($J325&gt;MAX('Match Log'!$A$4:$A$810),NA(),IFERROR(LOOKUP(2,1/(('Match Log'!$D$4:$D$810=$Q$24)*('Match Log'!$A$4:$A$810&lt;=$J325)),'Match Log'!$N$4:$N$810),NA()))</f>
        <v>0</v>
      </c>
      <c r="R325">
        <f>IF($J325&gt;MAX('Match Log'!$A$4:$A$810),NA(),IFERROR(LOOKUP(2,1/(('Match Log'!$D$4:$D$810=$R$24)*('Match Log'!$A$4:$A$810&lt;=$J325)),'Match Log'!$N$4:$N$810),NA()))</f>
        <v>0</v>
      </c>
      <c r="S325">
        <f>IF($J325&gt;MAX('Match Log'!$A$4:$A$810),NA(),IFERROR(LOOKUP(2,1/(('Match Log'!$D$4:$D$810=$S$24)*('Match Log'!$A$4:$A$810&lt;=$J325)),'Match Log'!$N$4:$N$810),NA()))</f>
        <v>0</v>
      </c>
      <c r="T325">
        <f>IF($J325&gt;MAX('Match Log'!$A$4:$A$810),NA(),IFERROR(LOOKUP(2,1/(('Match Log'!$D$4:$D$810=$T$24)*('Match Log'!$A$4:$A$810&lt;=$J325)),'Match Log'!$N$4:$N$810),NA()))</f>
        <v>0</v>
      </c>
      <c r="U325">
        <f>IF($J325&gt;MAX('Match Log'!$A$4:$A$810),NA(),IFERROR(LOOKUP(2,1/(('Match Log'!$D$4:$D$810=$U$24)*('Match Log'!$A$4:$A$810&lt;=$J325)),'Match Log'!$N$4:$N$810),NA()))</f>
        <v>0</v>
      </c>
      <c r="V325">
        <f>IF($J325&gt;MAX('Match Log'!$A$4:$A$810),NA(),IFERROR(LOOKUP(2,1/(('Match Log'!$D$4:$D$810=$V$24)*('Match Log'!$A$4:$A$810&lt;=$J325)),'Match Log'!$N$4:$N$810),NA()))</f>
        <v>0</v>
      </c>
      <c r="W325">
        <f>IF($J325&gt;MAX('Match Log'!$A$4:$A$810),NA(),IFERROR(LOOKUP(2,1/(('Match Log'!$D$4:$D$810=$W$24)*('Match Log'!$A$4:$A$810&lt;=$J325)),'Match Log'!$N$4:$N$810),NA()))</f>
        <v>0</v>
      </c>
      <c r="X325">
        <f>IF($J325&gt;MAX('Match Log'!$A$4:$A$810),NA(),IFERROR(LOOKUP(2,1/(('Match Log'!$D$4:$D$810=$X$24)*('Match Log'!$A$4:$A$810&lt;=$J325)),'Match Log'!$N$4:$N$810),NA()))</f>
        <v>0</v>
      </c>
      <c r="Y325" t="str">
        <f>IF(AND($B325&lt;&gt;"",$B325&gt;=$B$5,$I325&lt;&gt;""),$I325,"")</f>
      </c>
    </row>
    <row r="326">
      <c r="A326">
        <v>302</v>
      </c>
      <c r="B326">
        <f>IFERROR(INDEX('Match Log'!$B$4:$B$810,MATCH(302,'Match Log'!$A$4:$A$810,0)),"")</f>
        <v>0</v>
      </c>
      <c r="C326" t="str">
        <f>IFERROR(INDEX('Match Log'!$C$4:$C$810,MATCH(302,'Match Log'!$A$4:$A$810,0)),"")</f>
      </c>
      <c r="D326" t="str">
        <f>IFERROR(INDEX('Match Log'!$G$4:$G$810,MATCH(302,'Match Log'!$A$4:$A$810,0)),"")</f>
      </c>
      <c r="E326">
        <f>IFERROR(INDEX('Match Log'!$F$4:$F$810,MATCH(302,'Match Log'!$A$4:$A$810,0)),"")</f>
        <v>0</v>
      </c>
      <c r="F326">
        <f>IFERROR(SUMIFS('Match Log'!$I$4:$I$810,'Match Log'!$A$4:$A$810,302,'Match Log'!$E$4:$E$810,"Win"),"")</f>
        <v>0</v>
      </c>
      <c r="G326">
        <f>IF($D326="","",1-$F326*$E326)</f>
        <v>0</v>
      </c>
      <c r="H326" t="str">
        <f>IFERROR(IF($E326=2,LOOKUP(2,1/(('Match Log'!$A$4:$A$810=302)*('Match Log'!$E$4:$E$810="Loss")),'Match Log'!$D$4:$D$810),"the field"),"")</f>
      </c>
      <c r="I326">
        <f>IF($G326="","",$G326-$A326/1000000)</f>
        <v>0</v>
      </c>
      <c r="J326">
        <v>302</v>
      </c>
      <c r="K326">
        <f>IF($J326&gt;MAX('Match Log'!$A$4:$A$810),NA(),IFERROR(LOOKUP(2,1/(('Match Log'!$D$4:$D$810=$K$24)*('Match Log'!$A$4:$A$810&lt;=$J326)),'Match Log'!$N$4:$N$810),NA()))</f>
        <v>0</v>
      </c>
      <c r="L326">
        <f>IF($J326&gt;MAX('Match Log'!$A$4:$A$810),NA(),IFERROR(LOOKUP(2,1/(('Match Log'!$D$4:$D$810=$L$24)*('Match Log'!$A$4:$A$810&lt;=$J326)),'Match Log'!$N$4:$N$810),NA()))</f>
        <v>0</v>
      </c>
      <c r="M326">
        <f>IF($J326&gt;MAX('Match Log'!$A$4:$A$810),NA(),IFERROR(LOOKUP(2,1/(('Match Log'!$D$4:$D$810=$M$24)*('Match Log'!$A$4:$A$810&lt;=$J326)),'Match Log'!$N$4:$N$810),NA()))</f>
        <v>0</v>
      </c>
      <c r="N326">
        <f>IF($J326&gt;MAX('Match Log'!$A$4:$A$810),NA(),IFERROR(LOOKUP(2,1/(('Match Log'!$D$4:$D$810=$N$24)*('Match Log'!$A$4:$A$810&lt;=$J326)),'Match Log'!$N$4:$N$810),NA()))</f>
        <v>0</v>
      </c>
      <c r="O326">
        <f>IF($J326&gt;MAX('Match Log'!$A$4:$A$810),NA(),IFERROR(LOOKUP(2,1/(('Match Log'!$D$4:$D$810=$O$24)*('Match Log'!$A$4:$A$810&lt;=$J326)),'Match Log'!$N$4:$N$810),NA()))</f>
        <v>0</v>
      </c>
      <c r="P326">
        <f>IF($J326&gt;MAX('Match Log'!$A$4:$A$810),NA(),IFERROR(LOOKUP(2,1/(('Match Log'!$D$4:$D$810=$P$24)*('Match Log'!$A$4:$A$810&lt;=$J326)),'Match Log'!$N$4:$N$810),NA()))</f>
        <v>0</v>
      </c>
      <c r="Q326">
        <f>IF($J326&gt;MAX('Match Log'!$A$4:$A$810),NA(),IFERROR(LOOKUP(2,1/(('Match Log'!$D$4:$D$810=$Q$24)*('Match Log'!$A$4:$A$810&lt;=$J326)),'Match Log'!$N$4:$N$810),NA()))</f>
        <v>0</v>
      </c>
      <c r="R326">
        <f>IF($J326&gt;MAX('Match Log'!$A$4:$A$810),NA(),IFERROR(LOOKUP(2,1/(('Match Log'!$D$4:$D$810=$R$24)*('Match Log'!$A$4:$A$810&lt;=$J326)),'Match Log'!$N$4:$N$810),NA()))</f>
        <v>0</v>
      </c>
      <c r="S326">
        <f>IF($J326&gt;MAX('Match Log'!$A$4:$A$810),NA(),IFERROR(LOOKUP(2,1/(('Match Log'!$D$4:$D$810=$S$24)*('Match Log'!$A$4:$A$810&lt;=$J326)),'Match Log'!$N$4:$N$810),NA()))</f>
        <v>0</v>
      </c>
      <c r="T326">
        <f>IF($J326&gt;MAX('Match Log'!$A$4:$A$810),NA(),IFERROR(LOOKUP(2,1/(('Match Log'!$D$4:$D$810=$T$24)*('Match Log'!$A$4:$A$810&lt;=$J326)),'Match Log'!$N$4:$N$810),NA()))</f>
        <v>0</v>
      </c>
      <c r="U326">
        <f>IF($J326&gt;MAX('Match Log'!$A$4:$A$810),NA(),IFERROR(LOOKUP(2,1/(('Match Log'!$D$4:$D$810=$U$24)*('Match Log'!$A$4:$A$810&lt;=$J326)),'Match Log'!$N$4:$N$810),NA()))</f>
        <v>0</v>
      </c>
      <c r="V326">
        <f>IF($J326&gt;MAX('Match Log'!$A$4:$A$810),NA(),IFERROR(LOOKUP(2,1/(('Match Log'!$D$4:$D$810=$V$24)*('Match Log'!$A$4:$A$810&lt;=$J326)),'Match Log'!$N$4:$N$810),NA()))</f>
        <v>0</v>
      </c>
      <c r="W326">
        <f>IF($J326&gt;MAX('Match Log'!$A$4:$A$810),NA(),IFERROR(LOOKUP(2,1/(('Match Log'!$D$4:$D$810=$W$24)*('Match Log'!$A$4:$A$810&lt;=$J326)),'Match Log'!$N$4:$N$810),NA()))</f>
        <v>0</v>
      </c>
      <c r="X326">
        <f>IF($J326&gt;MAX('Match Log'!$A$4:$A$810),NA(),IFERROR(LOOKUP(2,1/(('Match Log'!$D$4:$D$810=$X$24)*('Match Log'!$A$4:$A$810&lt;=$J326)),'Match Log'!$N$4:$N$810),NA()))</f>
        <v>0</v>
      </c>
      <c r="Y326" t="str">
        <f>IF(AND($B326&lt;&gt;"",$B326&gt;=$B$5,$I326&lt;&gt;""),$I326,"")</f>
      </c>
    </row>
    <row r="327">
      <c r="A327">
        <v>303</v>
      </c>
      <c r="B327">
        <f>IFERROR(INDEX('Match Log'!$B$4:$B$810,MATCH(303,'Match Log'!$A$4:$A$810,0)),"")</f>
        <v>0</v>
      </c>
      <c r="C327" t="str">
        <f>IFERROR(INDEX('Match Log'!$C$4:$C$810,MATCH(303,'Match Log'!$A$4:$A$810,0)),"")</f>
      </c>
      <c r="D327" t="str">
        <f>IFERROR(INDEX('Match Log'!$G$4:$G$810,MATCH(303,'Match Log'!$A$4:$A$810,0)),"")</f>
      </c>
      <c r="E327">
        <f>IFERROR(INDEX('Match Log'!$F$4:$F$810,MATCH(303,'Match Log'!$A$4:$A$810,0)),"")</f>
        <v>0</v>
      </c>
      <c r="F327">
        <f>IFERROR(SUMIFS('Match Log'!$I$4:$I$810,'Match Log'!$A$4:$A$810,303,'Match Log'!$E$4:$E$810,"Win"),"")</f>
        <v>0</v>
      </c>
      <c r="G327">
        <f>IF($D327="","",1-$F327*$E327)</f>
        <v>0</v>
      </c>
      <c r="H327" t="str">
        <f>IFERROR(IF($E327=2,LOOKUP(2,1/(('Match Log'!$A$4:$A$810=303)*('Match Log'!$E$4:$E$810="Loss")),'Match Log'!$D$4:$D$810),"the field"),"")</f>
      </c>
      <c r="I327">
        <f>IF($G327="","",$G327-$A327/1000000)</f>
        <v>0</v>
      </c>
      <c r="J327">
        <v>303</v>
      </c>
      <c r="K327">
        <f>IF($J327&gt;MAX('Match Log'!$A$4:$A$810),NA(),IFERROR(LOOKUP(2,1/(('Match Log'!$D$4:$D$810=$K$24)*('Match Log'!$A$4:$A$810&lt;=$J327)),'Match Log'!$N$4:$N$810),NA()))</f>
        <v>0</v>
      </c>
      <c r="L327">
        <f>IF($J327&gt;MAX('Match Log'!$A$4:$A$810),NA(),IFERROR(LOOKUP(2,1/(('Match Log'!$D$4:$D$810=$L$24)*('Match Log'!$A$4:$A$810&lt;=$J327)),'Match Log'!$N$4:$N$810),NA()))</f>
        <v>0</v>
      </c>
      <c r="M327">
        <f>IF($J327&gt;MAX('Match Log'!$A$4:$A$810),NA(),IFERROR(LOOKUP(2,1/(('Match Log'!$D$4:$D$810=$M$24)*('Match Log'!$A$4:$A$810&lt;=$J327)),'Match Log'!$N$4:$N$810),NA()))</f>
        <v>0</v>
      </c>
      <c r="N327">
        <f>IF($J327&gt;MAX('Match Log'!$A$4:$A$810),NA(),IFERROR(LOOKUP(2,1/(('Match Log'!$D$4:$D$810=$N$24)*('Match Log'!$A$4:$A$810&lt;=$J327)),'Match Log'!$N$4:$N$810),NA()))</f>
        <v>0</v>
      </c>
      <c r="O327">
        <f>IF($J327&gt;MAX('Match Log'!$A$4:$A$810),NA(),IFERROR(LOOKUP(2,1/(('Match Log'!$D$4:$D$810=$O$24)*('Match Log'!$A$4:$A$810&lt;=$J327)),'Match Log'!$N$4:$N$810),NA()))</f>
        <v>0</v>
      </c>
      <c r="P327">
        <f>IF($J327&gt;MAX('Match Log'!$A$4:$A$810),NA(),IFERROR(LOOKUP(2,1/(('Match Log'!$D$4:$D$810=$P$24)*('Match Log'!$A$4:$A$810&lt;=$J327)),'Match Log'!$N$4:$N$810),NA()))</f>
        <v>0</v>
      </c>
      <c r="Q327">
        <f>IF($J327&gt;MAX('Match Log'!$A$4:$A$810),NA(),IFERROR(LOOKUP(2,1/(('Match Log'!$D$4:$D$810=$Q$24)*('Match Log'!$A$4:$A$810&lt;=$J327)),'Match Log'!$N$4:$N$810),NA()))</f>
        <v>0</v>
      </c>
      <c r="R327">
        <f>IF($J327&gt;MAX('Match Log'!$A$4:$A$810),NA(),IFERROR(LOOKUP(2,1/(('Match Log'!$D$4:$D$810=$R$24)*('Match Log'!$A$4:$A$810&lt;=$J327)),'Match Log'!$N$4:$N$810),NA()))</f>
        <v>0</v>
      </c>
      <c r="S327">
        <f>IF($J327&gt;MAX('Match Log'!$A$4:$A$810),NA(),IFERROR(LOOKUP(2,1/(('Match Log'!$D$4:$D$810=$S$24)*('Match Log'!$A$4:$A$810&lt;=$J327)),'Match Log'!$N$4:$N$810),NA()))</f>
        <v>0</v>
      </c>
      <c r="T327">
        <f>IF($J327&gt;MAX('Match Log'!$A$4:$A$810),NA(),IFERROR(LOOKUP(2,1/(('Match Log'!$D$4:$D$810=$T$24)*('Match Log'!$A$4:$A$810&lt;=$J327)),'Match Log'!$N$4:$N$810),NA()))</f>
        <v>0</v>
      </c>
      <c r="U327">
        <f>IF($J327&gt;MAX('Match Log'!$A$4:$A$810),NA(),IFERROR(LOOKUP(2,1/(('Match Log'!$D$4:$D$810=$U$24)*('Match Log'!$A$4:$A$810&lt;=$J327)),'Match Log'!$N$4:$N$810),NA()))</f>
        <v>0</v>
      </c>
      <c r="V327">
        <f>IF($J327&gt;MAX('Match Log'!$A$4:$A$810),NA(),IFERROR(LOOKUP(2,1/(('Match Log'!$D$4:$D$810=$V$24)*('Match Log'!$A$4:$A$810&lt;=$J327)),'Match Log'!$N$4:$N$810),NA()))</f>
        <v>0</v>
      </c>
      <c r="W327">
        <f>IF($J327&gt;MAX('Match Log'!$A$4:$A$810),NA(),IFERROR(LOOKUP(2,1/(('Match Log'!$D$4:$D$810=$W$24)*('Match Log'!$A$4:$A$810&lt;=$J327)),'Match Log'!$N$4:$N$810),NA()))</f>
        <v>0</v>
      </c>
      <c r="X327">
        <f>IF($J327&gt;MAX('Match Log'!$A$4:$A$810),NA(),IFERROR(LOOKUP(2,1/(('Match Log'!$D$4:$D$810=$X$24)*('Match Log'!$A$4:$A$810&lt;=$J327)),'Match Log'!$N$4:$N$810),NA()))</f>
        <v>0</v>
      </c>
      <c r="Y327" t="str">
        <f>IF(AND($B327&lt;&gt;"",$B327&gt;=$B$5,$I327&lt;&gt;""),$I327,"")</f>
      </c>
    </row>
    <row r="328">
      <c r="A328">
        <v>304</v>
      </c>
      <c r="B328">
        <f>IFERROR(INDEX('Match Log'!$B$4:$B$810,MATCH(304,'Match Log'!$A$4:$A$810,0)),"")</f>
        <v>0</v>
      </c>
      <c r="C328" t="str">
        <f>IFERROR(INDEX('Match Log'!$C$4:$C$810,MATCH(304,'Match Log'!$A$4:$A$810,0)),"")</f>
      </c>
      <c r="D328" t="str">
        <f>IFERROR(INDEX('Match Log'!$G$4:$G$810,MATCH(304,'Match Log'!$A$4:$A$810,0)),"")</f>
      </c>
      <c r="E328">
        <f>IFERROR(INDEX('Match Log'!$F$4:$F$810,MATCH(304,'Match Log'!$A$4:$A$810,0)),"")</f>
        <v>0</v>
      </c>
      <c r="F328">
        <f>IFERROR(SUMIFS('Match Log'!$I$4:$I$810,'Match Log'!$A$4:$A$810,304,'Match Log'!$E$4:$E$810,"Win"),"")</f>
        <v>0</v>
      </c>
      <c r="G328">
        <f>IF($D328="","",1-$F328*$E328)</f>
        <v>0</v>
      </c>
      <c r="H328" t="str">
        <f>IFERROR(IF($E328=2,LOOKUP(2,1/(('Match Log'!$A$4:$A$810=304)*('Match Log'!$E$4:$E$810="Loss")),'Match Log'!$D$4:$D$810),"the field"),"")</f>
      </c>
      <c r="I328">
        <f>IF($G328="","",$G328-$A328/1000000)</f>
        <v>0</v>
      </c>
      <c r="J328">
        <v>304</v>
      </c>
      <c r="K328">
        <f>IF($J328&gt;MAX('Match Log'!$A$4:$A$810),NA(),IFERROR(LOOKUP(2,1/(('Match Log'!$D$4:$D$810=$K$24)*('Match Log'!$A$4:$A$810&lt;=$J328)),'Match Log'!$N$4:$N$810),NA()))</f>
        <v>0</v>
      </c>
      <c r="L328">
        <f>IF($J328&gt;MAX('Match Log'!$A$4:$A$810),NA(),IFERROR(LOOKUP(2,1/(('Match Log'!$D$4:$D$810=$L$24)*('Match Log'!$A$4:$A$810&lt;=$J328)),'Match Log'!$N$4:$N$810),NA()))</f>
        <v>0</v>
      </c>
      <c r="M328">
        <f>IF($J328&gt;MAX('Match Log'!$A$4:$A$810),NA(),IFERROR(LOOKUP(2,1/(('Match Log'!$D$4:$D$810=$M$24)*('Match Log'!$A$4:$A$810&lt;=$J328)),'Match Log'!$N$4:$N$810),NA()))</f>
        <v>0</v>
      </c>
      <c r="N328">
        <f>IF($J328&gt;MAX('Match Log'!$A$4:$A$810),NA(),IFERROR(LOOKUP(2,1/(('Match Log'!$D$4:$D$810=$N$24)*('Match Log'!$A$4:$A$810&lt;=$J328)),'Match Log'!$N$4:$N$810),NA()))</f>
        <v>0</v>
      </c>
      <c r="O328">
        <f>IF($J328&gt;MAX('Match Log'!$A$4:$A$810),NA(),IFERROR(LOOKUP(2,1/(('Match Log'!$D$4:$D$810=$O$24)*('Match Log'!$A$4:$A$810&lt;=$J328)),'Match Log'!$N$4:$N$810),NA()))</f>
        <v>0</v>
      </c>
      <c r="P328">
        <f>IF($J328&gt;MAX('Match Log'!$A$4:$A$810),NA(),IFERROR(LOOKUP(2,1/(('Match Log'!$D$4:$D$810=$P$24)*('Match Log'!$A$4:$A$810&lt;=$J328)),'Match Log'!$N$4:$N$810),NA()))</f>
        <v>0</v>
      </c>
      <c r="Q328">
        <f>IF($J328&gt;MAX('Match Log'!$A$4:$A$810),NA(),IFERROR(LOOKUP(2,1/(('Match Log'!$D$4:$D$810=$Q$24)*('Match Log'!$A$4:$A$810&lt;=$J328)),'Match Log'!$N$4:$N$810),NA()))</f>
        <v>0</v>
      </c>
      <c r="R328">
        <f>IF($J328&gt;MAX('Match Log'!$A$4:$A$810),NA(),IFERROR(LOOKUP(2,1/(('Match Log'!$D$4:$D$810=$R$24)*('Match Log'!$A$4:$A$810&lt;=$J328)),'Match Log'!$N$4:$N$810),NA()))</f>
        <v>0</v>
      </c>
      <c r="S328">
        <f>IF($J328&gt;MAX('Match Log'!$A$4:$A$810),NA(),IFERROR(LOOKUP(2,1/(('Match Log'!$D$4:$D$810=$S$24)*('Match Log'!$A$4:$A$810&lt;=$J328)),'Match Log'!$N$4:$N$810),NA()))</f>
        <v>0</v>
      </c>
      <c r="T328">
        <f>IF($J328&gt;MAX('Match Log'!$A$4:$A$810),NA(),IFERROR(LOOKUP(2,1/(('Match Log'!$D$4:$D$810=$T$24)*('Match Log'!$A$4:$A$810&lt;=$J328)),'Match Log'!$N$4:$N$810),NA()))</f>
        <v>0</v>
      </c>
      <c r="U328">
        <f>IF($J328&gt;MAX('Match Log'!$A$4:$A$810),NA(),IFERROR(LOOKUP(2,1/(('Match Log'!$D$4:$D$810=$U$24)*('Match Log'!$A$4:$A$810&lt;=$J328)),'Match Log'!$N$4:$N$810),NA()))</f>
        <v>0</v>
      </c>
      <c r="V328">
        <f>IF($J328&gt;MAX('Match Log'!$A$4:$A$810),NA(),IFERROR(LOOKUP(2,1/(('Match Log'!$D$4:$D$810=$V$24)*('Match Log'!$A$4:$A$810&lt;=$J328)),'Match Log'!$N$4:$N$810),NA()))</f>
        <v>0</v>
      </c>
      <c r="W328">
        <f>IF($J328&gt;MAX('Match Log'!$A$4:$A$810),NA(),IFERROR(LOOKUP(2,1/(('Match Log'!$D$4:$D$810=$W$24)*('Match Log'!$A$4:$A$810&lt;=$J328)),'Match Log'!$N$4:$N$810),NA()))</f>
        <v>0</v>
      </c>
      <c r="X328">
        <f>IF($J328&gt;MAX('Match Log'!$A$4:$A$810),NA(),IFERROR(LOOKUP(2,1/(('Match Log'!$D$4:$D$810=$X$24)*('Match Log'!$A$4:$A$810&lt;=$J328)),'Match Log'!$N$4:$N$810),NA()))</f>
        <v>0</v>
      </c>
      <c r="Y328" t="str">
        <f>IF(AND($B328&lt;&gt;"",$B328&gt;=$B$5,$I328&lt;&gt;""),$I328,"")</f>
      </c>
    </row>
    <row r="329">
      <c r="A329">
        <v>305</v>
      </c>
      <c r="B329">
        <f>IFERROR(INDEX('Match Log'!$B$4:$B$810,MATCH(305,'Match Log'!$A$4:$A$810,0)),"")</f>
        <v>0</v>
      </c>
      <c r="C329" t="str">
        <f>IFERROR(INDEX('Match Log'!$C$4:$C$810,MATCH(305,'Match Log'!$A$4:$A$810,0)),"")</f>
      </c>
      <c r="D329" t="str">
        <f>IFERROR(INDEX('Match Log'!$G$4:$G$810,MATCH(305,'Match Log'!$A$4:$A$810,0)),"")</f>
      </c>
      <c r="E329">
        <f>IFERROR(INDEX('Match Log'!$F$4:$F$810,MATCH(305,'Match Log'!$A$4:$A$810,0)),"")</f>
        <v>0</v>
      </c>
      <c r="F329">
        <f>IFERROR(SUMIFS('Match Log'!$I$4:$I$810,'Match Log'!$A$4:$A$810,305,'Match Log'!$E$4:$E$810,"Win"),"")</f>
        <v>0</v>
      </c>
      <c r="G329">
        <f>IF($D329="","",1-$F329*$E329)</f>
        <v>0</v>
      </c>
      <c r="H329" t="str">
        <f>IFERROR(IF($E329=2,LOOKUP(2,1/(('Match Log'!$A$4:$A$810=305)*('Match Log'!$E$4:$E$810="Loss")),'Match Log'!$D$4:$D$810),"the field"),"")</f>
      </c>
      <c r="I329">
        <f>IF($G329="","",$G329-$A329/1000000)</f>
        <v>0</v>
      </c>
      <c r="J329">
        <v>305</v>
      </c>
      <c r="K329">
        <f>IF($J329&gt;MAX('Match Log'!$A$4:$A$810),NA(),IFERROR(LOOKUP(2,1/(('Match Log'!$D$4:$D$810=$K$24)*('Match Log'!$A$4:$A$810&lt;=$J329)),'Match Log'!$N$4:$N$810),NA()))</f>
        <v>0</v>
      </c>
      <c r="L329">
        <f>IF($J329&gt;MAX('Match Log'!$A$4:$A$810),NA(),IFERROR(LOOKUP(2,1/(('Match Log'!$D$4:$D$810=$L$24)*('Match Log'!$A$4:$A$810&lt;=$J329)),'Match Log'!$N$4:$N$810),NA()))</f>
        <v>0</v>
      </c>
      <c r="M329">
        <f>IF($J329&gt;MAX('Match Log'!$A$4:$A$810),NA(),IFERROR(LOOKUP(2,1/(('Match Log'!$D$4:$D$810=$M$24)*('Match Log'!$A$4:$A$810&lt;=$J329)),'Match Log'!$N$4:$N$810),NA()))</f>
        <v>0</v>
      </c>
      <c r="N329">
        <f>IF($J329&gt;MAX('Match Log'!$A$4:$A$810),NA(),IFERROR(LOOKUP(2,1/(('Match Log'!$D$4:$D$810=$N$24)*('Match Log'!$A$4:$A$810&lt;=$J329)),'Match Log'!$N$4:$N$810),NA()))</f>
        <v>0</v>
      </c>
      <c r="O329">
        <f>IF($J329&gt;MAX('Match Log'!$A$4:$A$810),NA(),IFERROR(LOOKUP(2,1/(('Match Log'!$D$4:$D$810=$O$24)*('Match Log'!$A$4:$A$810&lt;=$J329)),'Match Log'!$N$4:$N$810),NA()))</f>
        <v>0</v>
      </c>
      <c r="P329">
        <f>IF($J329&gt;MAX('Match Log'!$A$4:$A$810),NA(),IFERROR(LOOKUP(2,1/(('Match Log'!$D$4:$D$810=$P$24)*('Match Log'!$A$4:$A$810&lt;=$J329)),'Match Log'!$N$4:$N$810),NA()))</f>
        <v>0</v>
      </c>
      <c r="Q329">
        <f>IF($J329&gt;MAX('Match Log'!$A$4:$A$810),NA(),IFERROR(LOOKUP(2,1/(('Match Log'!$D$4:$D$810=$Q$24)*('Match Log'!$A$4:$A$810&lt;=$J329)),'Match Log'!$N$4:$N$810),NA()))</f>
        <v>0</v>
      </c>
      <c r="R329">
        <f>IF($J329&gt;MAX('Match Log'!$A$4:$A$810),NA(),IFERROR(LOOKUP(2,1/(('Match Log'!$D$4:$D$810=$R$24)*('Match Log'!$A$4:$A$810&lt;=$J329)),'Match Log'!$N$4:$N$810),NA()))</f>
        <v>0</v>
      </c>
      <c r="S329">
        <f>IF($J329&gt;MAX('Match Log'!$A$4:$A$810),NA(),IFERROR(LOOKUP(2,1/(('Match Log'!$D$4:$D$810=$S$24)*('Match Log'!$A$4:$A$810&lt;=$J329)),'Match Log'!$N$4:$N$810),NA()))</f>
        <v>0</v>
      </c>
      <c r="T329">
        <f>IF($J329&gt;MAX('Match Log'!$A$4:$A$810),NA(),IFERROR(LOOKUP(2,1/(('Match Log'!$D$4:$D$810=$T$24)*('Match Log'!$A$4:$A$810&lt;=$J329)),'Match Log'!$N$4:$N$810),NA()))</f>
        <v>0</v>
      </c>
      <c r="U329">
        <f>IF($J329&gt;MAX('Match Log'!$A$4:$A$810),NA(),IFERROR(LOOKUP(2,1/(('Match Log'!$D$4:$D$810=$U$24)*('Match Log'!$A$4:$A$810&lt;=$J329)),'Match Log'!$N$4:$N$810),NA()))</f>
        <v>0</v>
      </c>
      <c r="V329">
        <f>IF($J329&gt;MAX('Match Log'!$A$4:$A$810),NA(),IFERROR(LOOKUP(2,1/(('Match Log'!$D$4:$D$810=$V$24)*('Match Log'!$A$4:$A$810&lt;=$J329)),'Match Log'!$N$4:$N$810),NA()))</f>
        <v>0</v>
      </c>
      <c r="W329">
        <f>IF($J329&gt;MAX('Match Log'!$A$4:$A$810),NA(),IFERROR(LOOKUP(2,1/(('Match Log'!$D$4:$D$810=$W$24)*('Match Log'!$A$4:$A$810&lt;=$J329)),'Match Log'!$N$4:$N$810),NA()))</f>
        <v>0</v>
      </c>
      <c r="X329">
        <f>IF($J329&gt;MAX('Match Log'!$A$4:$A$810),NA(),IFERROR(LOOKUP(2,1/(('Match Log'!$D$4:$D$810=$X$24)*('Match Log'!$A$4:$A$810&lt;=$J329)),'Match Log'!$N$4:$N$810),NA()))</f>
        <v>0</v>
      </c>
      <c r="Y329" t="str">
        <f>IF(AND($B329&lt;&gt;"",$B329&gt;=$B$5,$I329&lt;&gt;""),$I329,"")</f>
      </c>
    </row>
    <row r="330">
      <c r="A330">
        <v>306</v>
      </c>
      <c r="B330">
        <f>IFERROR(INDEX('Match Log'!$B$4:$B$810,MATCH(306,'Match Log'!$A$4:$A$810,0)),"")</f>
        <v>0</v>
      </c>
      <c r="C330" t="str">
        <f>IFERROR(INDEX('Match Log'!$C$4:$C$810,MATCH(306,'Match Log'!$A$4:$A$810,0)),"")</f>
      </c>
      <c r="D330" t="str">
        <f>IFERROR(INDEX('Match Log'!$G$4:$G$810,MATCH(306,'Match Log'!$A$4:$A$810,0)),"")</f>
      </c>
      <c r="E330">
        <f>IFERROR(INDEX('Match Log'!$F$4:$F$810,MATCH(306,'Match Log'!$A$4:$A$810,0)),"")</f>
        <v>0</v>
      </c>
      <c r="F330">
        <f>IFERROR(SUMIFS('Match Log'!$I$4:$I$810,'Match Log'!$A$4:$A$810,306,'Match Log'!$E$4:$E$810,"Win"),"")</f>
        <v>0</v>
      </c>
      <c r="G330">
        <f>IF($D330="","",1-$F330*$E330)</f>
        <v>0</v>
      </c>
      <c r="H330" t="str">
        <f>IFERROR(IF($E330=2,LOOKUP(2,1/(('Match Log'!$A$4:$A$810=306)*('Match Log'!$E$4:$E$810="Loss")),'Match Log'!$D$4:$D$810),"the field"),"")</f>
      </c>
      <c r="I330">
        <f>IF($G330="","",$G330-$A330/1000000)</f>
        <v>0</v>
      </c>
      <c r="J330">
        <v>306</v>
      </c>
      <c r="K330">
        <f>IF($J330&gt;MAX('Match Log'!$A$4:$A$810),NA(),IFERROR(LOOKUP(2,1/(('Match Log'!$D$4:$D$810=$K$24)*('Match Log'!$A$4:$A$810&lt;=$J330)),'Match Log'!$N$4:$N$810),NA()))</f>
        <v>0</v>
      </c>
      <c r="L330">
        <f>IF($J330&gt;MAX('Match Log'!$A$4:$A$810),NA(),IFERROR(LOOKUP(2,1/(('Match Log'!$D$4:$D$810=$L$24)*('Match Log'!$A$4:$A$810&lt;=$J330)),'Match Log'!$N$4:$N$810),NA()))</f>
        <v>0</v>
      </c>
      <c r="M330">
        <f>IF($J330&gt;MAX('Match Log'!$A$4:$A$810),NA(),IFERROR(LOOKUP(2,1/(('Match Log'!$D$4:$D$810=$M$24)*('Match Log'!$A$4:$A$810&lt;=$J330)),'Match Log'!$N$4:$N$810),NA()))</f>
        <v>0</v>
      </c>
      <c r="N330">
        <f>IF($J330&gt;MAX('Match Log'!$A$4:$A$810),NA(),IFERROR(LOOKUP(2,1/(('Match Log'!$D$4:$D$810=$N$24)*('Match Log'!$A$4:$A$810&lt;=$J330)),'Match Log'!$N$4:$N$810),NA()))</f>
        <v>0</v>
      </c>
      <c r="O330">
        <f>IF($J330&gt;MAX('Match Log'!$A$4:$A$810),NA(),IFERROR(LOOKUP(2,1/(('Match Log'!$D$4:$D$810=$O$24)*('Match Log'!$A$4:$A$810&lt;=$J330)),'Match Log'!$N$4:$N$810),NA()))</f>
        <v>0</v>
      </c>
      <c r="P330">
        <f>IF($J330&gt;MAX('Match Log'!$A$4:$A$810),NA(),IFERROR(LOOKUP(2,1/(('Match Log'!$D$4:$D$810=$P$24)*('Match Log'!$A$4:$A$810&lt;=$J330)),'Match Log'!$N$4:$N$810),NA()))</f>
        <v>0</v>
      </c>
      <c r="Q330">
        <f>IF($J330&gt;MAX('Match Log'!$A$4:$A$810),NA(),IFERROR(LOOKUP(2,1/(('Match Log'!$D$4:$D$810=$Q$24)*('Match Log'!$A$4:$A$810&lt;=$J330)),'Match Log'!$N$4:$N$810),NA()))</f>
        <v>0</v>
      </c>
      <c r="R330">
        <f>IF($J330&gt;MAX('Match Log'!$A$4:$A$810),NA(),IFERROR(LOOKUP(2,1/(('Match Log'!$D$4:$D$810=$R$24)*('Match Log'!$A$4:$A$810&lt;=$J330)),'Match Log'!$N$4:$N$810),NA()))</f>
        <v>0</v>
      </c>
      <c r="S330">
        <f>IF($J330&gt;MAX('Match Log'!$A$4:$A$810),NA(),IFERROR(LOOKUP(2,1/(('Match Log'!$D$4:$D$810=$S$24)*('Match Log'!$A$4:$A$810&lt;=$J330)),'Match Log'!$N$4:$N$810),NA()))</f>
        <v>0</v>
      </c>
      <c r="T330">
        <f>IF($J330&gt;MAX('Match Log'!$A$4:$A$810),NA(),IFERROR(LOOKUP(2,1/(('Match Log'!$D$4:$D$810=$T$24)*('Match Log'!$A$4:$A$810&lt;=$J330)),'Match Log'!$N$4:$N$810),NA()))</f>
        <v>0</v>
      </c>
      <c r="U330">
        <f>IF($J330&gt;MAX('Match Log'!$A$4:$A$810),NA(),IFERROR(LOOKUP(2,1/(('Match Log'!$D$4:$D$810=$U$24)*('Match Log'!$A$4:$A$810&lt;=$J330)),'Match Log'!$N$4:$N$810),NA()))</f>
        <v>0</v>
      </c>
      <c r="V330">
        <f>IF($J330&gt;MAX('Match Log'!$A$4:$A$810),NA(),IFERROR(LOOKUP(2,1/(('Match Log'!$D$4:$D$810=$V$24)*('Match Log'!$A$4:$A$810&lt;=$J330)),'Match Log'!$N$4:$N$810),NA()))</f>
        <v>0</v>
      </c>
      <c r="W330">
        <f>IF($J330&gt;MAX('Match Log'!$A$4:$A$810),NA(),IFERROR(LOOKUP(2,1/(('Match Log'!$D$4:$D$810=$W$24)*('Match Log'!$A$4:$A$810&lt;=$J330)),'Match Log'!$N$4:$N$810),NA()))</f>
        <v>0</v>
      </c>
      <c r="X330">
        <f>IF($J330&gt;MAX('Match Log'!$A$4:$A$810),NA(),IFERROR(LOOKUP(2,1/(('Match Log'!$D$4:$D$810=$X$24)*('Match Log'!$A$4:$A$810&lt;=$J330)),'Match Log'!$N$4:$N$810),NA()))</f>
        <v>0</v>
      </c>
      <c r="Y330" t="str">
        <f>IF(AND($B330&lt;&gt;"",$B330&gt;=$B$5,$I330&lt;&gt;""),$I330,"")</f>
      </c>
    </row>
    <row r="331">
      <c r="A331">
        <v>307</v>
      </c>
      <c r="B331">
        <f>IFERROR(INDEX('Match Log'!$B$4:$B$810,MATCH(307,'Match Log'!$A$4:$A$810,0)),"")</f>
        <v>0</v>
      </c>
      <c r="C331" t="str">
        <f>IFERROR(INDEX('Match Log'!$C$4:$C$810,MATCH(307,'Match Log'!$A$4:$A$810,0)),"")</f>
      </c>
      <c r="D331" t="str">
        <f>IFERROR(INDEX('Match Log'!$G$4:$G$810,MATCH(307,'Match Log'!$A$4:$A$810,0)),"")</f>
      </c>
      <c r="E331">
        <f>IFERROR(INDEX('Match Log'!$F$4:$F$810,MATCH(307,'Match Log'!$A$4:$A$810,0)),"")</f>
        <v>0</v>
      </c>
      <c r="F331">
        <f>IFERROR(SUMIFS('Match Log'!$I$4:$I$810,'Match Log'!$A$4:$A$810,307,'Match Log'!$E$4:$E$810,"Win"),"")</f>
        <v>0</v>
      </c>
      <c r="G331">
        <f>IF($D331="","",1-$F331*$E331)</f>
        <v>0</v>
      </c>
      <c r="H331" t="str">
        <f>IFERROR(IF($E331=2,LOOKUP(2,1/(('Match Log'!$A$4:$A$810=307)*('Match Log'!$E$4:$E$810="Loss")),'Match Log'!$D$4:$D$810),"the field"),"")</f>
      </c>
      <c r="I331">
        <f>IF($G331="","",$G331-$A331/1000000)</f>
        <v>0</v>
      </c>
      <c r="J331">
        <v>307</v>
      </c>
      <c r="K331">
        <f>IF($J331&gt;MAX('Match Log'!$A$4:$A$810),NA(),IFERROR(LOOKUP(2,1/(('Match Log'!$D$4:$D$810=$K$24)*('Match Log'!$A$4:$A$810&lt;=$J331)),'Match Log'!$N$4:$N$810),NA()))</f>
        <v>0</v>
      </c>
      <c r="L331">
        <f>IF($J331&gt;MAX('Match Log'!$A$4:$A$810),NA(),IFERROR(LOOKUP(2,1/(('Match Log'!$D$4:$D$810=$L$24)*('Match Log'!$A$4:$A$810&lt;=$J331)),'Match Log'!$N$4:$N$810),NA()))</f>
        <v>0</v>
      </c>
      <c r="M331">
        <f>IF($J331&gt;MAX('Match Log'!$A$4:$A$810),NA(),IFERROR(LOOKUP(2,1/(('Match Log'!$D$4:$D$810=$M$24)*('Match Log'!$A$4:$A$810&lt;=$J331)),'Match Log'!$N$4:$N$810),NA()))</f>
        <v>0</v>
      </c>
      <c r="N331">
        <f>IF($J331&gt;MAX('Match Log'!$A$4:$A$810),NA(),IFERROR(LOOKUP(2,1/(('Match Log'!$D$4:$D$810=$N$24)*('Match Log'!$A$4:$A$810&lt;=$J331)),'Match Log'!$N$4:$N$810),NA()))</f>
        <v>0</v>
      </c>
      <c r="O331">
        <f>IF($J331&gt;MAX('Match Log'!$A$4:$A$810),NA(),IFERROR(LOOKUP(2,1/(('Match Log'!$D$4:$D$810=$O$24)*('Match Log'!$A$4:$A$810&lt;=$J331)),'Match Log'!$N$4:$N$810),NA()))</f>
        <v>0</v>
      </c>
      <c r="P331">
        <f>IF($J331&gt;MAX('Match Log'!$A$4:$A$810),NA(),IFERROR(LOOKUP(2,1/(('Match Log'!$D$4:$D$810=$P$24)*('Match Log'!$A$4:$A$810&lt;=$J331)),'Match Log'!$N$4:$N$810),NA()))</f>
        <v>0</v>
      </c>
      <c r="Q331">
        <f>IF($J331&gt;MAX('Match Log'!$A$4:$A$810),NA(),IFERROR(LOOKUP(2,1/(('Match Log'!$D$4:$D$810=$Q$24)*('Match Log'!$A$4:$A$810&lt;=$J331)),'Match Log'!$N$4:$N$810),NA()))</f>
        <v>0</v>
      </c>
      <c r="R331">
        <f>IF($J331&gt;MAX('Match Log'!$A$4:$A$810),NA(),IFERROR(LOOKUP(2,1/(('Match Log'!$D$4:$D$810=$R$24)*('Match Log'!$A$4:$A$810&lt;=$J331)),'Match Log'!$N$4:$N$810),NA()))</f>
        <v>0</v>
      </c>
      <c r="S331">
        <f>IF($J331&gt;MAX('Match Log'!$A$4:$A$810),NA(),IFERROR(LOOKUP(2,1/(('Match Log'!$D$4:$D$810=$S$24)*('Match Log'!$A$4:$A$810&lt;=$J331)),'Match Log'!$N$4:$N$810),NA()))</f>
        <v>0</v>
      </c>
      <c r="T331">
        <f>IF($J331&gt;MAX('Match Log'!$A$4:$A$810),NA(),IFERROR(LOOKUP(2,1/(('Match Log'!$D$4:$D$810=$T$24)*('Match Log'!$A$4:$A$810&lt;=$J331)),'Match Log'!$N$4:$N$810),NA()))</f>
        <v>0</v>
      </c>
      <c r="U331">
        <f>IF($J331&gt;MAX('Match Log'!$A$4:$A$810),NA(),IFERROR(LOOKUP(2,1/(('Match Log'!$D$4:$D$810=$U$24)*('Match Log'!$A$4:$A$810&lt;=$J331)),'Match Log'!$N$4:$N$810),NA()))</f>
        <v>0</v>
      </c>
      <c r="V331">
        <f>IF($J331&gt;MAX('Match Log'!$A$4:$A$810),NA(),IFERROR(LOOKUP(2,1/(('Match Log'!$D$4:$D$810=$V$24)*('Match Log'!$A$4:$A$810&lt;=$J331)),'Match Log'!$N$4:$N$810),NA()))</f>
        <v>0</v>
      </c>
      <c r="W331">
        <f>IF($J331&gt;MAX('Match Log'!$A$4:$A$810),NA(),IFERROR(LOOKUP(2,1/(('Match Log'!$D$4:$D$810=$W$24)*('Match Log'!$A$4:$A$810&lt;=$J331)),'Match Log'!$N$4:$N$810),NA()))</f>
        <v>0</v>
      </c>
      <c r="X331">
        <f>IF($J331&gt;MAX('Match Log'!$A$4:$A$810),NA(),IFERROR(LOOKUP(2,1/(('Match Log'!$D$4:$D$810=$X$24)*('Match Log'!$A$4:$A$810&lt;=$J331)),'Match Log'!$N$4:$N$810),NA()))</f>
        <v>0</v>
      </c>
      <c r="Y331" t="str">
        <f>IF(AND($B331&lt;&gt;"",$B331&gt;=$B$5,$I331&lt;&gt;""),$I331,"")</f>
      </c>
    </row>
    <row r="332">
      <c r="A332">
        <v>308</v>
      </c>
      <c r="B332">
        <f>IFERROR(INDEX('Match Log'!$B$4:$B$810,MATCH(308,'Match Log'!$A$4:$A$810,0)),"")</f>
        <v>0</v>
      </c>
      <c r="C332" t="str">
        <f>IFERROR(INDEX('Match Log'!$C$4:$C$810,MATCH(308,'Match Log'!$A$4:$A$810,0)),"")</f>
      </c>
      <c r="D332" t="str">
        <f>IFERROR(INDEX('Match Log'!$G$4:$G$810,MATCH(308,'Match Log'!$A$4:$A$810,0)),"")</f>
      </c>
      <c r="E332">
        <f>IFERROR(INDEX('Match Log'!$F$4:$F$810,MATCH(308,'Match Log'!$A$4:$A$810,0)),"")</f>
        <v>0</v>
      </c>
      <c r="F332">
        <f>IFERROR(SUMIFS('Match Log'!$I$4:$I$810,'Match Log'!$A$4:$A$810,308,'Match Log'!$E$4:$E$810,"Win"),"")</f>
        <v>0</v>
      </c>
      <c r="G332">
        <f>IF($D332="","",1-$F332*$E332)</f>
        <v>0</v>
      </c>
      <c r="H332" t="str">
        <f>IFERROR(IF($E332=2,LOOKUP(2,1/(('Match Log'!$A$4:$A$810=308)*('Match Log'!$E$4:$E$810="Loss")),'Match Log'!$D$4:$D$810),"the field"),"")</f>
      </c>
      <c r="I332">
        <f>IF($G332="","",$G332-$A332/1000000)</f>
        <v>0</v>
      </c>
      <c r="J332">
        <v>308</v>
      </c>
      <c r="K332">
        <f>IF($J332&gt;MAX('Match Log'!$A$4:$A$810),NA(),IFERROR(LOOKUP(2,1/(('Match Log'!$D$4:$D$810=$K$24)*('Match Log'!$A$4:$A$810&lt;=$J332)),'Match Log'!$N$4:$N$810),NA()))</f>
        <v>0</v>
      </c>
      <c r="L332">
        <f>IF($J332&gt;MAX('Match Log'!$A$4:$A$810),NA(),IFERROR(LOOKUP(2,1/(('Match Log'!$D$4:$D$810=$L$24)*('Match Log'!$A$4:$A$810&lt;=$J332)),'Match Log'!$N$4:$N$810),NA()))</f>
        <v>0</v>
      </c>
      <c r="M332">
        <f>IF($J332&gt;MAX('Match Log'!$A$4:$A$810),NA(),IFERROR(LOOKUP(2,1/(('Match Log'!$D$4:$D$810=$M$24)*('Match Log'!$A$4:$A$810&lt;=$J332)),'Match Log'!$N$4:$N$810),NA()))</f>
        <v>0</v>
      </c>
      <c r="N332">
        <f>IF($J332&gt;MAX('Match Log'!$A$4:$A$810),NA(),IFERROR(LOOKUP(2,1/(('Match Log'!$D$4:$D$810=$N$24)*('Match Log'!$A$4:$A$810&lt;=$J332)),'Match Log'!$N$4:$N$810),NA()))</f>
        <v>0</v>
      </c>
      <c r="O332">
        <f>IF($J332&gt;MAX('Match Log'!$A$4:$A$810),NA(),IFERROR(LOOKUP(2,1/(('Match Log'!$D$4:$D$810=$O$24)*('Match Log'!$A$4:$A$810&lt;=$J332)),'Match Log'!$N$4:$N$810),NA()))</f>
        <v>0</v>
      </c>
      <c r="P332">
        <f>IF($J332&gt;MAX('Match Log'!$A$4:$A$810),NA(),IFERROR(LOOKUP(2,1/(('Match Log'!$D$4:$D$810=$P$24)*('Match Log'!$A$4:$A$810&lt;=$J332)),'Match Log'!$N$4:$N$810),NA()))</f>
        <v>0</v>
      </c>
      <c r="Q332">
        <f>IF($J332&gt;MAX('Match Log'!$A$4:$A$810),NA(),IFERROR(LOOKUP(2,1/(('Match Log'!$D$4:$D$810=$Q$24)*('Match Log'!$A$4:$A$810&lt;=$J332)),'Match Log'!$N$4:$N$810),NA()))</f>
        <v>0</v>
      </c>
      <c r="R332">
        <f>IF($J332&gt;MAX('Match Log'!$A$4:$A$810),NA(),IFERROR(LOOKUP(2,1/(('Match Log'!$D$4:$D$810=$R$24)*('Match Log'!$A$4:$A$810&lt;=$J332)),'Match Log'!$N$4:$N$810),NA()))</f>
        <v>0</v>
      </c>
      <c r="S332">
        <f>IF($J332&gt;MAX('Match Log'!$A$4:$A$810),NA(),IFERROR(LOOKUP(2,1/(('Match Log'!$D$4:$D$810=$S$24)*('Match Log'!$A$4:$A$810&lt;=$J332)),'Match Log'!$N$4:$N$810),NA()))</f>
        <v>0</v>
      </c>
      <c r="T332">
        <f>IF($J332&gt;MAX('Match Log'!$A$4:$A$810),NA(),IFERROR(LOOKUP(2,1/(('Match Log'!$D$4:$D$810=$T$24)*('Match Log'!$A$4:$A$810&lt;=$J332)),'Match Log'!$N$4:$N$810),NA()))</f>
        <v>0</v>
      </c>
      <c r="U332">
        <f>IF($J332&gt;MAX('Match Log'!$A$4:$A$810),NA(),IFERROR(LOOKUP(2,1/(('Match Log'!$D$4:$D$810=$U$24)*('Match Log'!$A$4:$A$810&lt;=$J332)),'Match Log'!$N$4:$N$810),NA()))</f>
        <v>0</v>
      </c>
      <c r="V332">
        <f>IF($J332&gt;MAX('Match Log'!$A$4:$A$810),NA(),IFERROR(LOOKUP(2,1/(('Match Log'!$D$4:$D$810=$V$24)*('Match Log'!$A$4:$A$810&lt;=$J332)),'Match Log'!$N$4:$N$810),NA()))</f>
        <v>0</v>
      </c>
      <c r="W332">
        <f>IF($J332&gt;MAX('Match Log'!$A$4:$A$810),NA(),IFERROR(LOOKUP(2,1/(('Match Log'!$D$4:$D$810=$W$24)*('Match Log'!$A$4:$A$810&lt;=$J332)),'Match Log'!$N$4:$N$810),NA()))</f>
        <v>0</v>
      </c>
      <c r="X332">
        <f>IF($J332&gt;MAX('Match Log'!$A$4:$A$810),NA(),IFERROR(LOOKUP(2,1/(('Match Log'!$D$4:$D$810=$X$24)*('Match Log'!$A$4:$A$810&lt;=$J332)),'Match Log'!$N$4:$N$810),NA()))</f>
        <v>0</v>
      </c>
      <c r="Y332" t="str">
        <f>IF(AND($B332&lt;&gt;"",$B332&gt;=$B$5,$I332&lt;&gt;""),$I332,"")</f>
      </c>
    </row>
    <row r="333">
      <c r="A333">
        <v>309</v>
      </c>
      <c r="B333">
        <f>IFERROR(INDEX('Match Log'!$B$4:$B$810,MATCH(309,'Match Log'!$A$4:$A$810,0)),"")</f>
        <v>0</v>
      </c>
      <c r="C333" t="str">
        <f>IFERROR(INDEX('Match Log'!$C$4:$C$810,MATCH(309,'Match Log'!$A$4:$A$810,0)),"")</f>
      </c>
      <c r="D333" t="str">
        <f>IFERROR(INDEX('Match Log'!$G$4:$G$810,MATCH(309,'Match Log'!$A$4:$A$810,0)),"")</f>
      </c>
      <c r="E333">
        <f>IFERROR(INDEX('Match Log'!$F$4:$F$810,MATCH(309,'Match Log'!$A$4:$A$810,0)),"")</f>
        <v>0</v>
      </c>
      <c r="F333">
        <f>IFERROR(SUMIFS('Match Log'!$I$4:$I$810,'Match Log'!$A$4:$A$810,309,'Match Log'!$E$4:$E$810,"Win"),"")</f>
        <v>0</v>
      </c>
      <c r="G333">
        <f>IF($D333="","",1-$F333*$E333)</f>
        <v>0</v>
      </c>
      <c r="H333" t="str">
        <f>IFERROR(IF($E333=2,LOOKUP(2,1/(('Match Log'!$A$4:$A$810=309)*('Match Log'!$E$4:$E$810="Loss")),'Match Log'!$D$4:$D$810),"the field"),"")</f>
      </c>
      <c r="I333">
        <f>IF($G333="","",$G333-$A333/1000000)</f>
        <v>0</v>
      </c>
      <c r="J333">
        <v>309</v>
      </c>
      <c r="K333">
        <f>IF($J333&gt;MAX('Match Log'!$A$4:$A$810),NA(),IFERROR(LOOKUP(2,1/(('Match Log'!$D$4:$D$810=$K$24)*('Match Log'!$A$4:$A$810&lt;=$J333)),'Match Log'!$N$4:$N$810),NA()))</f>
        <v>0</v>
      </c>
      <c r="L333">
        <f>IF($J333&gt;MAX('Match Log'!$A$4:$A$810),NA(),IFERROR(LOOKUP(2,1/(('Match Log'!$D$4:$D$810=$L$24)*('Match Log'!$A$4:$A$810&lt;=$J333)),'Match Log'!$N$4:$N$810),NA()))</f>
        <v>0</v>
      </c>
      <c r="M333">
        <f>IF($J333&gt;MAX('Match Log'!$A$4:$A$810),NA(),IFERROR(LOOKUP(2,1/(('Match Log'!$D$4:$D$810=$M$24)*('Match Log'!$A$4:$A$810&lt;=$J333)),'Match Log'!$N$4:$N$810),NA()))</f>
        <v>0</v>
      </c>
      <c r="N333">
        <f>IF($J333&gt;MAX('Match Log'!$A$4:$A$810),NA(),IFERROR(LOOKUP(2,1/(('Match Log'!$D$4:$D$810=$N$24)*('Match Log'!$A$4:$A$810&lt;=$J333)),'Match Log'!$N$4:$N$810),NA()))</f>
        <v>0</v>
      </c>
      <c r="O333">
        <f>IF($J333&gt;MAX('Match Log'!$A$4:$A$810),NA(),IFERROR(LOOKUP(2,1/(('Match Log'!$D$4:$D$810=$O$24)*('Match Log'!$A$4:$A$810&lt;=$J333)),'Match Log'!$N$4:$N$810),NA()))</f>
        <v>0</v>
      </c>
      <c r="P333">
        <f>IF($J333&gt;MAX('Match Log'!$A$4:$A$810),NA(),IFERROR(LOOKUP(2,1/(('Match Log'!$D$4:$D$810=$P$24)*('Match Log'!$A$4:$A$810&lt;=$J333)),'Match Log'!$N$4:$N$810),NA()))</f>
        <v>0</v>
      </c>
      <c r="Q333">
        <f>IF($J333&gt;MAX('Match Log'!$A$4:$A$810),NA(),IFERROR(LOOKUP(2,1/(('Match Log'!$D$4:$D$810=$Q$24)*('Match Log'!$A$4:$A$810&lt;=$J333)),'Match Log'!$N$4:$N$810),NA()))</f>
        <v>0</v>
      </c>
      <c r="R333">
        <f>IF($J333&gt;MAX('Match Log'!$A$4:$A$810),NA(),IFERROR(LOOKUP(2,1/(('Match Log'!$D$4:$D$810=$R$24)*('Match Log'!$A$4:$A$810&lt;=$J333)),'Match Log'!$N$4:$N$810),NA()))</f>
        <v>0</v>
      </c>
      <c r="S333">
        <f>IF($J333&gt;MAX('Match Log'!$A$4:$A$810),NA(),IFERROR(LOOKUP(2,1/(('Match Log'!$D$4:$D$810=$S$24)*('Match Log'!$A$4:$A$810&lt;=$J333)),'Match Log'!$N$4:$N$810),NA()))</f>
        <v>0</v>
      </c>
      <c r="T333">
        <f>IF($J333&gt;MAX('Match Log'!$A$4:$A$810),NA(),IFERROR(LOOKUP(2,1/(('Match Log'!$D$4:$D$810=$T$24)*('Match Log'!$A$4:$A$810&lt;=$J333)),'Match Log'!$N$4:$N$810),NA()))</f>
        <v>0</v>
      </c>
      <c r="U333">
        <f>IF($J333&gt;MAX('Match Log'!$A$4:$A$810),NA(),IFERROR(LOOKUP(2,1/(('Match Log'!$D$4:$D$810=$U$24)*('Match Log'!$A$4:$A$810&lt;=$J333)),'Match Log'!$N$4:$N$810),NA()))</f>
        <v>0</v>
      </c>
      <c r="V333">
        <f>IF($J333&gt;MAX('Match Log'!$A$4:$A$810),NA(),IFERROR(LOOKUP(2,1/(('Match Log'!$D$4:$D$810=$V$24)*('Match Log'!$A$4:$A$810&lt;=$J333)),'Match Log'!$N$4:$N$810),NA()))</f>
        <v>0</v>
      </c>
      <c r="W333">
        <f>IF($J333&gt;MAX('Match Log'!$A$4:$A$810),NA(),IFERROR(LOOKUP(2,1/(('Match Log'!$D$4:$D$810=$W$24)*('Match Log'!$A$4:$A$810&lt;=$J333)),'Match Log'!$N$4:$N$810),NA()))</f>
        <v>0</v>
      </c>
      <c r="X333">
        <f>IF($J333&gt;MAX('Match Log'!$A$4:$A$810),NA(),IFERROR(LOOKUP(2,1/(('Match Log'!$D$4:$D$810=$X$24)*('Match Log'!$A$4:$A$810&lt;=$J333)),'Match Log'!$N$4:$N$810),NA()))</f>
        <v>0</v>
      </c>
      <c r="Y333" t="str">
        <f>IF(AND($B333&lt;&gt;"",$B333&gt;=$B$5,$I333&lt;&gt;""),$I333,"")</f>
      </c>
    </row>
    <row r="334">
      <c r="A334">
        <v>310</v>
      </c>
      <c r="B334">
        <f>IFERROR(INDEX('Match Log'!$B$4:$B$810,MATCH(310,'Match Log'!$A$4:$A$810,0)),"")</f>
        <v>0</v>
      </c>
      <c r="C334" t="str">
        <f>IFERROR(INDEX('Match Log'!$C$4:$C$810,MATCH(310,'Match Log'!$A$4:$A$810,0)),"")</f>
      </c>
      <c r="D334" t="str">
        <f>IFERROR(INDEX('Match Log'!$G$4:$G$810,MATCH(310,'Match Log'!$A$4:$A$810,0)),"")</f>
      </c>
      <c r="E334">
        <f>IFERROR(INDEX('Match Log'!$F$4:$F$810,MATCH(310,'Match Log'!$A$4:$A$810,0)),"")</f>
        <v>0</v>
      </c>
      <c r="F334">
        <f>IFERROR(SUMIFS('Match Log'!$I$4:$I$810,'Match Log'!$A$4:$A$810,310,'Match Log'!$E$4:$E$810,"Win"),"")</f>
        <v>0</v>
      </c>
      <c r="G334">
        <f>IF($D334="","",1-$F334*$E334)</f>
        <v>0</v>
      </c>
      <c r="H334" t="str">
        <f>IFERROR(IF($E334=2,LOOKUP(2,1/(('Match Log'!$A$4:$A$810=310)*('Match Log'!$E$4:$E$810="Loss")),'Match Log'!$D$4:$D$810),"the field"),"")</f>
      </c>
      <c r="I334">
        <f>IF($G334="","",$G334-$A334/1000000)</f>
        <v>0</v>
      </c>
      <c r="J334">
        <v>310</v>
      </c>
      <c r="K334">
        <f>IF($J334&gt;MAX('Match Log'!$A$4:$A$810),NA(),IFERROR(LOOKUP(2,1/(('Match Log'!$D$4:$D$810=$K$24)*('Match Log'!$A$4:$A$810&lt;=$J334)),'Match Log'!$N$4:$N$810),NA()))</f>
        <v>0</v>
      </c>
      <c r="L334">
        <f>IF($J334&gt;MAX('Match Log'!$A$4:$A$810),NA(),IFERROR(LOOKUP(2,1/(('Match Log'!$D$4:$D$810=$L$24)*('Match Log'!$A$4:$A$810&lt;=$J334)),'Match Log'!$N$4:$N$810),NA()))</f>
        <v>0</v>
      </c>
      <c r="M334">
        <f>IF($J334&gt;MAX('Match Log'!$A$4:$A$810),NA(),IFERROR(LOOKUP(2,1/(('Match Log'!$D$4:$D$810=$M$24)*('Match Log'!$A$4:$A$810&lt;=$J334)),'Match Log'!$N$4:$N$810),NA()))</f>
        <v>0</v>
      </c>
      <c r="N334">
        <f>IF($J334&gt;MAX('Match Log'!$A$4:$A$810),NA(),IFERROR(LOOKUP(2,1/(('Match Log'!$D$4:$D$810=$N$24)*('Match Log'!$A$4:$A$810&lt;=$J334)),'Match Log'!$N$4:$N$810),NA()))</f>
        <v>0</v>
      </c>
      <c r="O334">
        <f>IF($J334&gt;MAX('Match Log'!$A$4:$A$810),NA(),IFERROR(LOOKUP(2,1/(('Match Log'!$D$4:$D$810=$O$24)*('Match Log'!$A$4:$A$810&lt;=$J334)),'Match Log'!$N$4:$N$810),NA()))</f>
        <v>0</v>
      </c>
      <c r="P334">
        <f>IF($J334&gt;MAX('Match Log'!$A$4:$A$810),NA(),IFERROR(LOOKUP(2,1/(('Match Log'!$D$4:$D$810=$P$24)*('Match Log'!$A$4:$A$810&lt;=$J334)),'Match Log'!$N$4:$N$810),NA()))</f>
        <v>0</v>
      </c>
      <c r="Q334">
        <f>IF($J334&gt;MAX('Match Log'!$A$4:$A$810),NA(),IFERROR(LOOKUP(2,1/(('Match Log'!$D$4:$D$810=$Q$24)*('Match Log'!$A$4:$A$810&lt;=$J334)),'Match Log'!$N$4:$N$810),NA()))</f>
        <v>0</v>
      </c>
      <c r="R334">
        <f>IF($J334&gt;MAX('Match Log'!$A$4:$A$810),NA(),IFERROR(LOOKUP(2,1/(('Match Log'!$D$4:$D$810=$R$24)*('Match Log'!$A$4:$A$810&lt;=$J334)),'Match Log'!$N$4:$N$810),NA()))</f>
        <v>0</v>
      </c>
      <c r="S334">
        <f>IF($J334&gt;MAX('Match Log'!$A$4:$A$810),NA(),IFERROR(LOOKUP(2,1/(('Match Log'!$D$4:$D$810=$S$24)*('Match Log'!$A$4:$A$810&lt;=$J334)),'Match Log'!$N$4:$N$810),NA()))</f>
        <v>0</v>
      </c>
      <c r="T334">
        <f>IF($J334&gt;MAX('Match Log'!$A$4:$A$810),NA(),IFERROR(LOOKUP(2,1/(('Match Log'!$D$4:$D$810=$T$24)*('Match Log'!$A$4:$A$810&lt;=$J334)),'Match Log'!$N$4:$N$810),NA()))</f>
        <v>0</v>
      </c>
      <c r="U334">
        <f>IF($J334&gt;MAX('Match Log'!$A$4:$A$810),NA(),IFERROR(LOOKUP(2,1/(('Match Log'!$D$4:$D$810=$U$24)*('Match Log'!$A$4:$A$810&lt;=$J334)),'Match Log'!$N$4:$N$810),NA()))</f>
        <v>0</v>
      </c>
      <c r="V334">
        <f>IF($J334&gt;MAX('Match Log'!$A$4:$A$810),NA(),IFERROR(LOOKUP(2,1/(('Match Log'!$D$4:$D$810=$V$24)*('Match Log'!$A$4:$A$810&lt;=$J334)),'Match Log'!$N$4:$N$810),NA()))</f>
        <v>0</v>
      </c>
      <c r="W334">
        <f>IF($J334&gt;MAX('Match Log'!$A$4:$A$810),NA(),IFERROR(LOOKUP(2,1/(('Match Log'!$D$4:$D$810=$W$24)*('Match Log'!$A$4:$A$810&lt;=$J334)),'Match Log'!$N$4:$N$810),NA()))</f>
        <v>0</v>
      </c>
      <c r="X334">
        <f>IF($J334&gt;MAX('Match Log'!$A$4:$A$810),NA(),IFERROR(LOOKUP(2,1/(('Match Log'!$D$4:$D$810=$X$24)*('Match Log'!$A$4:$A$810&lt;=$J334)),'Match Log'!$N$4:$N$810),NA()))</f>
        <v>0</v>
      </c>
      <c r="Y334" t="str">
        <f>IF(AND($B334&lt;&gt;"",$B334&gt;=$B$5,$I334&lt;&gt;""),$I334,"")</f>
      </c>
    </row>
    <row r="335">
      <c r="A335">
        <v>311</v>
      </c>
      <c r="B335">
        <f>IFERROR(INDEX('Match Log'!$B$4:$B$810,MATCH(311,'Match Log'!$A$4:$A$810,0)),"")</f>
        <v>0</v>
      </c>
      <c r="C335" t="str">
        <f>IFERROR(INDEX('Match Log'!$C$4:$C$810,MATCH(311,'Match Log'!$A$4:$A$810,0)),"")</f>
      </c>
      <c r="D335" t="str">
        <f>IFERROR(INDEX('Match Log'!$G$4:$G$810,MATCH(311,'Match Log'!$A$4:$A$810,0)),"")</f>
      </c>
      <c r="E335">
        <f>IFERROR(INDEX('Match Log'!$F$4:$F$810,MATCH(311,'Match Log'!$A$4:$A$810,0)),"")</f>
        <v>0</v>
      </c>
      <c r="F335">
        <f>IFERROR(SUMIFS('Match Log'!$I$4:$I$810,'Match Log'!$A$4:$A$810,311,'Match Log'!$E$4:$E$810,"Win"),"")</f>
        <v>0</v>
      </c>
      <c r="G335">
        <f>IF($D335="","",1-$F335*$E335)</f>
        <v>0</v>
      </c>
      <c r="H335" t="str">
        <f>IFERROR(IF($E335=2,LOOKUP(2,1/(('Match Log'!$A$4:$A$810=311)*('Match Log'!$E$4:$E$810="Loss")),'Match Log'!$D$4:$D$810),"the field"),"")</f>
      </c>
      <c r="I335">
        <f>IF($G335="","",$G335-$A335/1000000)</f>
        <v>0</v>
      </c>
      <c r="J335">
        <v>311</v>
      </c>
      <c r="K335">
        <f>IF($J335&gt;MAX('Match Log'!$A$4:$A$810),NA(),IFERROR(LOOKUP(2,1/(('Match Log'!$D$4:$D$810=$K$24)*('Match Log'!$A$4:$A$810&lt;=$J335)),'Match Log'!$N$4:$N$810),NA()))</f>
        <v>0</v>
      </c>
      <c r="L335">
        <f>IF($J335&gt;MAX('Match Log'!$A$4:$A$810),NA(),IFERROR(LOOKUP(2,1/(('Match Log'!$D$4:$D$810=$L$24)*('Match Log'!$A$4:$A$810&lt;=$J335)),'Match Log'!$N$4:$N$810),NA()))</f>
        <v>0</v>
      </c>
      <c r="M335">
        <f>IF($J335&gt;MAX('Match Log'!$A$4:$A$810),NA(),IFERROR(LOOKUP(2,1/(('Match Log'!$D$4:$D$810=$M$24)*('Match Log'!$A$4:$A$810&lt;=$J335)),'Match Log'!$N$4:$N$810),NA()))</f>
        <v>0</v>
      </c>
      <c r="N335">
        <f>IF($J335&gt;MAX('Match Log'!$A$4:$A$810),NA(),IFERROR(LOOKUP(2,1/(('Match Log'!$D$4:$D$810=$N$24)*('Match Log'!$A$4:$A$810&lt;=$J335)),'Match Log'!$N$4:$N$810),NA()))</f>
        <v>0</v>
      </c>
      <c r="O335">
        <f>IF($J335&gt;MAX('Match Log'!$A$4:$A$810),NA(),IFERROR(LOOKUP(2,1/(('Match Log'!$D$4:$D$810=$O$24)*('Match Log'!$A$4:$A$810&lt;=$J335)),'Match Log'!$N$4:$N$810),NA()))</f>
        <v>0</v>
      </c>
      <c r="P335">
        <f>IF($J335&gt;MAX('Match Log'!$A$4:$A$810),NA(),IFERROR(LOOKUP(2,1/(('Match Log'!$D$4:$D$810=$P$24)*('Match Log'!$A$4:$A$810&lt;=$J335)),'Match Log'!$N$4:$N$810),NA()))</f>
        <v>0</v>
      </c>
      <c r="Q335">
        <f>IF($J335&gt;MAX('Match Log'!$A$4:$A$810),NA(),IFERROR(LOOKUP(2,1/(('Match Log'!$D$4:$D$810=$Q$24)*('Match Log'!$A$4:$A$810&lt;=$J335)),'Match Log'!$N$4:$N$810),NA()))</f>
        <v>0</v>
      </c>
      <c r="R335">
        <f>IF($J335&gt;MAX('Match Log'!$A$4:$A$810),NA(),IFERROR(LOOKUP(2,1/(('Match Log'!$D$4:$D$810=$R$24)*('Match Log'!$A$4:$A$810&lt;=$J335)),'Match Log'!$N$4:$N$810),NA()))</f>
        <v>0</v>
      </c>
      <c r="S335">
        <f>IF($J335&gt;MAX('Match Log'!$A$4:$A$810),NA(),IFERROR(LOOKUP(2,1/(('Match Log'!$D$4:$D$810=$S$24)*('Match Log'!$A$4:$A$810&lt;=$J335)),'Match Log'!$N$4:$N$810),NA()))</f>
        <v>0</v>
      </c>
      <c r="T335">
        <f>IF($J335&gt;MAX('Match Log'!$A$4:$A$810),NA(),IFERROR(LOOKUP(2,1/(('Match Log'!$D$4:$D$810=$T$24)*('Match Log'!$A$4:$A$810&lt;=$J335)),'Match Log'!$N$4:$N$810),NA()))</f>
        <v>0</v>
      </c>
      <c r="U335">
        <f>IF($J335&gt;MAX('Match Log'!$A$4:$A$810),NA(),IFERROR(LOOKUP(2,1/(('Match Log'!$D$4:$D$810=$U$24)*('Match Log'!$A$4:$A$810&lt;=$J335)),'Match Log'!$N$4:$N$810),NA()))</f>
        <v>0</v>
      </c>
      <c r="V335">
        <f>IF($J335&gt;MAX('Match Log'!$A$4:$A$810),NA(),IFERROR(LOOKUP(2,1/(('Match Log'!$D$4:$D$810=$V$24)*('Match Log'!$A$4:$A$810&lt;=$J335)),'Match Log'!$N$4:$N$810),NA()))</f>
        <v>0</v>
      </c>
      <c r="W335">
        <f>IF($J335&gt;MAX('Match Log'!$A$4:$A$810),NA(),IFERROR(LOOKUP(2,1/(('Match Log'!$D$4:$D$810=$W$24)*('Match Log'!$A$4:$A$810&lt;=$J335)),'Match Log'!$N$4:$N$810),NA()))</f>
        <v>0</v>
      </c>
      <c r="X335">
        <f>IF($J335&gt;MAX('Match Log'!$A$4:$A$810),NA(),IFERROR(LOOKUP(2,1/(('Match Log'!$D$4:$D$810=$X$24)*('Match Log'!$A$4:$A$810&lt;=$J335)),'Match Log'!$N$4:$N$810),NA()))</f>
        <v>0</v>
      </c>
      <c r="Y335" t="str">
        <f>IF(AND($B335&lt;&gt;"",$B335&gt;=$B$5,$I335&lt;&gt;""),$I335,"")</f>
      </c>
    </row>
    <row r="336">
      <c r="A336">
        <v>312</v>
      </c>
      <c r="B336">
        <f>IFERROR(INDEX('Match Log'!$B$4:$B$810,MATCH(312,'Match Log'!$A$4:$A$810,0)),"")</f>
        <v>0</v>
      </c>
      <c r="C336" t="str">
        <f>IFERROR(INDEX('Match Log'!$C$4:$C$810,MATCH(312,'Match Log'!$A$4:$A$810,0)),"")</f>
      </c>
      <c r="D336" t="str">
        <f>IFERROR(INDEX('Match Log'!$G$4:$G$810,MATCH(312,'Match Log'!$A$4:$A$810,0)),"")</f>
      </c>
      <c r="E336">
        <f>IFERROR(INDEX('Match Log'!$F$4:$F$810,MATCH(312,'Match Log'!$A$4:$A$810,0)),"")</f>
        <v>0</v>
      </c>
      <c r="F336">
        <f>IFERROR(SUMIFS('Match Log'!$I$4:$I$810,'Match Log'!$A$4:$A$810,312,'Match Log'!$E$4:$E$810,"Win"),"")</f>
        <v>0</v>
      </c>
      <c r="G336">
        <f>IF($D336="","",1-$F336*$E336)</f>
        <v>0</v>
      </c>
      <c r="H336" t="str">
        <f>IFERROR(IF($E336=2,LOOKUP(2,1/(('Match Log'!$A$4:$A$810=312)*('Match Log'!$E$4:$E$810="Loss")),'Match Log'!$D$4:$D$810),"the field"),"")</f>
      </c>
      <c r="I336">
        <f>IF($G336="","",$G336-$A336/1000000)</f>
        <v>0</v>
      </c>
      <c r="J336">
        <v>312</v>
      </c>
      <c r="K336">
        <f>IF($J336&gt;MAX('Match Log'!$A$4:$A$810),NA(),IFERROR(LOOKUP(2,1/(('Match Log'!$D$4:$D$810=$K$24)*('Match Log'!$A$4:$A$810&lt;=$J336)),'Match Log'!$N$4:$N$810),NA()))</f>
        <v>0</v>
      </c>
      <c r="L336">
        <f>IF($J336&gt;MAX('Match Log'!$A$4:$A$810),NA(),IFERROR(LOOKUP(2,1/(('Match Log'!$D$4:$D$810=$L$24)*('Match Log'!$A$4:$A$810&lt;=$J336)),'Match Log'!$N$4:$N$810),NA()))</f>
        <v>0</v>
      </c>
      <c r="M336">
        <f>IF($J336&gt;MAX('Match Log'!$A$4:$A$810),NA(),IFERROR(LOOKUP(2,1/(('Match Log'!$D$4:$D$810=$M$24)*('Match Log'!$A$4:$A$810&lt;=$J336)),'Match Log'!$N$4:$N$810),NA()))</f>
        <v>0</v>
      </c>
      <c r="N336">
        <f>IF($J336&gt;MAX('Match Log'!$A$4:$A$810),NA(),IFERROR(LOOKUP(2,1/(('Match Log'!$D$4:$D$810=$N$24)*('Match Log'!$A$4:$A$810&lt;=$J336)),'Match Log'!$N$4:$N$810),NA()))</f>
        <v>0</v>
      </c>
      <c r="O336">
        <f>IF($J336&gt;MAX('Match Log'!$A$4:$A$810),NA(),IFERROR(LOOKUP(2,1/(('Match Log'!$D$4:$D$810=$O$24)*('Match Log'!$A$4:$A$810&lt;=$J336)),'Match Log'!$N$4:$N$810),NA()))</f>
        <v>0</v>
      </c>
      <c r="P336">
        <f>IF($J336&gt;MAX('Match Log'!$A$4:$A$810),NA(),IFERROR(LOOKUP(2,1/(('Match Log'!$D$4:$D$810=$P$24)*('Match Log'!$A$4:$A$810&lt;=$J336)),'Match Log'!$N$4:$N$810),NA()))</f>
        <v>0</v>
      </c>
      <c r="Q336">
        <f>IF($J336&gt;MAX('Match Log'!$A$4:$A$810),NA(),IFERROR(LOOKUP(2,1/(('Match Log'!$D$4:$D$810=$Q$24)*('Match Log'!$A$4:$A$810&lt;=$J336)),'Match Log'!$N$4:$N$810),NA()))</f>
        <v>0</v>
      </c>
      <c r="R336">
        <f>IF($J336&gt;MAX('Match Log'!$A$4:$A$810),NA(),IFERROR(LOOKUP(2,1/(('Match Log'!$D$4:$D$810=$R$24)*('Match Log'!$A$4:$A$810&lt;=$J336)),'Match Log'!$N$4:$N$810),NA()))</f>
        <v>0</v>
      </c>
      <c r="S336">
        <f>IF($J336&gt;MAX('Match Log'!$A$4:$A$810),NA(),IFERROR(LOOKUP(2,1/(('Match Log'!$D$4:$D$810=$S$24)*('Match Log'!$A$4:$A$810&lt;=$J336)),'Match Log'!$N$4:$N$810),NA()))</f>
        <v>0</v>
      </c>
      <c r="T336">
        <f>IF($J336&gt;MAX('Match Log'!$A$4:$A$810),NA(),IFERROR(LOOKUP(2,1/(('Match Log'!$D$4:$D$810=$T$24)*('Match Log'!$A$4:$A$810&lt;=$J336)),'Match Log'!$N$4:$N$810),NA()))</f>
        <v>0</v>
      </c>
      <c r="U336">
        <f>IF($J336&gt;MAX('Match Log'!$A$4:$A$810),NA(),IFERROR(LOOKUP(2,1/(('Match Log'!$D$4:$D$810=$U$24)*('Match Log'!$A$4:$A$810&lt;=$J336)),'Match Log'!$N$4:$N$810),NA()))</f>
        <v>0</v>
      </c>
      <c r="V336">
        <f>IF($J336&gt;MAX('Match Log'!$A$4:$A$810),NA(),IFERROR(LOOKUP(2,1/(('Match Log'!$D$4:$D$810=$V$24)*('Match Log'!$A$4:$A$810&lt;=$J336)),'Match Log'!$N$4:$N$810),NA()))</f>
        <v>0</v>
      </c>
      <c r="W336">
        <f>IF($J336&gt;MAX('Match Log'!$A$4:$A$810),NA(),IFERROR(LOOKUP(2,1/(('Match Log'!$D$4:$D$810=$W$24)*('Match Log'!$A$4:$A$810&lt;=$J336)),'Match Log'!$N$4:$N$810),NA()))</f>
        <v>0</v>
      </c>
      <c r="X336">
        <f>IF($J336&gt;MAX('Match Log'!$A$4:$A$810),NA(),IFERROR(LOOKUP(2,1/(('Match Log'!$D$4:$D$810=$X$24)*('Match Log'!$A$4:$A$810&lt;=$J336)),'Match Log'!$N$4:$N$810),NA()))</f>
        <v>0</v>
      </c>
      <c r="Y336" t="str">
        <f>IF(AND($B336&lt;&gt;"",$B336&gt;=$B$5,$I336&lt;&gt;""),$I336,"")</f>
      </c>
    </row>
    <row r="337">
      <c r="A337">
        <v>313</v>
      </c>
      <c r="B337">
        <f>IFERROR(INDEX('Match Log'!$B$4:$B$810,MATCH(313,'Match Log'!$A$4:$A$810,0)),"")</f>
        <v>0</v>
      </c>
      <c r="C337" t="str">
        <f>IFERROR(INDEX('Match Log'!$C$4:$C$810,MATCH(313,'Match Log'!$A$4:$A$810,0)),"")</f>
      </c>
      <c r="D337" t="str">
        <f>IFERROR(INDEX('Match Log'!$G$4:$G$810,MATCH(313,'Match Log'!$A$4:$A$810,0)),"")</f>
      </c>
      <c r="E337">
        <f>IFERROR(INDEX('Match Log'!$F$4:$F$810,MATCH(313,'Match Log'!$A$4:$A$810,0)),"")</f>
        <v>0</v>
      </c>
      <c r="F337">
        <f>IFERROR(SUMIFS('Match Log'!$I$4:$I$810,'Match Log'!$A$4:$A$810,313,'Match Log'!$E$4:$E$810,"Win"),"")</f>
        <v>0</v>
      </c>
      <c r="G337">
        <f>IF($D337="","",1-$F337*$E337)</f>
        <v>0</v>
      </c>
      <c r="H337" t="str">
        <f>IFERROR(IF($E337=2,LOOKUP(2,1/(('Match Log'!$A$4:$A$810=313)*('Match Log'!$E$4:$E$810="Loss")),'Match Log'!$D$4:$D$810),"the field"),"")</f>
      </c>
      <c r="I337">
        <f>IF($G337="","",$G337-$A337/1000000)</f>
        <v>0</v>
      </c>
      <c r="J337">
        <v>313</v>
      </c>
      <c r="K337">
        <f>IF($J337&gt;MAX('Match Log'!$A$4:$A$810),NA(),IFERROR(LOOKUP(2,1/(('Match Log'!$D$4:$D$810=$K$24)*('Match Log'!$A$4:$A$810&lt;=$J337)),'Match Log'!$N$4:$N$810),NA()))</f>
        <v>0</v>
      </c>
      <c r="L337">
        <f>IF($J337&gt;MAX('Match Log'!$A$4:$A$810),NA(),IFERROR(LOOKUP(2,1/(('Match Log'!$D$4:$D$810=$L$24)*('Match Log'!$A$4:$A$810&lt;=$J337)),'Match Log'!$N$4:$N$810),NA()))</f>
        <v>0</v>
      </c>
      <c r="M337">
        <f>IF($J337&gt;MAX('Match Log'!$A$4:$A$810),NA(),IFERROR(LOOKUP(2,1/(('Match Log'!$D$4:$D$810=$M$24)*('Match Log'!$A$4:$A$810&lt;=$J337)),'Match Log'!$N$4:$N$810),NA()))</f>
        <v>0</v>
      </c>
      <c r="N337">
        <f>IF($J337&gt;MAX('Match Log'!$A$4:$A$810),NA(),IFERROR(LOOKUP(2,1/(('Match Log'!$D$4:$D$810=$N$24)*('Match Log'!$A$4:$A$810&lt;=$J337)),'Match Log'!$N$4:$N$810),NA()))</f>
        <v>0</v>
      </c>
      <c r="O337">
        <f>IF($J337&gt;MAX('Match Log'!$A$4:$A$810),NA(),IFERROR(LOOKUP(2,1/(('Match Log'!$D$4:$D$810=$O$24)*('Match Log'!$A$4:$A$810&lt;=$J337)),'Match Log'!$N$4:$N$810),NA()))</f>
        <v>0</v>
      </c>
      <c r="P337">
        <f>IF($J337&gt;MAX('Match Log'!$A$4:$A$810),NA(),IFERROR(LOOKUP(2,1/(('Match Log'!$D$4:$D$810=$P$24)*('Match Log'!$A$4:$A$810&lt;=$J337)),'Match Log'!$N$4:$N$810),NA()))</f>
        <v>0</v>
      </c>
      <c r="Q337">
        <f>IF($J337&gt;MAX('Match Log'!$A$4:$A$810),NA(),IFERROR(LOOKUP(2,1/(('Match Log'!$D$4:$D$810=$Q$24)*('Match Log'!$A$4:$A$810&lt;=$J337)),'Match Log'!$N$4:$N$810),NA()))</f>
        <v>0</v>
      </c>
      <c r="R337">
        <f>IF($J337&gt;MAX('Match Log'!$A$4:$A$810),NA(),IFERROR(LOOKUP(2,1/(('Match Log'!$D$4:$D$810=$R$24)*('Match Log'!$A$4:$A$810&lt;=$J337)),'Match Log'!$N$4:$N$810),NA()))</f>
        <v>0</v>
      </c>
      <c r="S337">
        <f>IF($J337&gt;MAX('Match Log'!$A$4:$A$810),NA(),IFERROR(LOOKUP(2,1/(('Match Log'!$D$4:$D$810=$S$24)*('Match Log'!$A$4:$A$810&lt;=$J337)),'Match Log'!$N$4:$N$810),NA()))</f>
        <v>0</v>
      </c>
      <c r="T337">
        <f>IF($J337&gt;MAX('Match Log'!$A$4:$A$810),NA(),IFERROR(LOOKUP(2,1/(('Match Log'!$D$4:$D$810=$T$24)*('Match Log'!$A$4:$A$810&lt;=$J337)),'Match Log'!$N$4:$N$810),NA()))</f>
        <v>0</v>
      </c>
      <c r="U337">
        <f>IF($J337&gt;MAX('Match Log'!$A$4:$A$810),NA(),IFERROR(LOOKUP(2,1/(('Match Log'!$D$4:$D$810=$U$24)*('Match Log'!$A$4:$A$810&lt;=$J337)),'Match Log'!$N$4:$N$810),NA()))</f>
        <v>0</v>
      </c>
      <c r="V337">
        <f>IF($J337&gt;MAX('Match Log'!$A$4:$A$810),NA(),IFERROR(LOOKUP(2,1/(('Match Log'!$D$4:$D$810=$V$24)*('Match Log'!$A$4:$A$810&lt;=$J337)),'Match Log'!$N$4:$N$810),NA()))</f>
        <v>0</v>
      </c>
      <c r="W337">
        <f>IF($J337&gt;MAX('Match Log'!$A$4:$A$810),NA(),IFERROR(LOOKUP(2,1/(('Match Log'!$D$4:$D$810=$W$24)*('Match Log'!$A$4:$A$810&lt;=$J337)),'Match Log'!$N$4:$N$810),NA()))</f>
        <v>0</v>
      </c>
      <c r="X337">
        <f>IF($J337&gt;MAX('Match Log'!$A$4:$A$810),NA(),IFERROR(LOOKUP(2,1/(('Match Log'!$D$4:$D$810=$X$24)*('Match Log'!$A$4:$A$810&lt;=$J337)),'Match Log'!$N$4:$N$810),NA()))</f>
        <v>0</v>
      </c>
      <c r="Y337" t="str">
        <f>IF(AND($B337&lt;&gt;"",$B337&gt;=$B$5,$I337&lt;&gt;""),$I337,"")</f>
      </c>
    </row>
    <row r="338">
      <c r="A338">
        <v>314</v>
      </c>
      <c r="B338">
        <f>IFERROR(INDEX('Match Log'!$B$4:$B$810,MATCH(314,'Match Log'!$A$4:$A$810,0)),"")</f>
        <v>0</v>
      </c>
      <c r="C338" t="str">
        <f>IFERROR(INDEX('Match Log'!$C$4:$C$810,MATCH(314,'Match Log'!$A$4:$A$810,0)),"")</f>
      </c>
      <c r="D338" t="str">
        <f>IFERROR(INDEX('Match Log'!$G$4:$G$810,MATCH(314,'Match Log'!$A$4:$A$810,0)),"")</f>
      </c>
      <c r="E338">
        <f>IFERROR(INDEX('Match Log'!$F$4:$F$810,MATCH(314,'Match Log'!$A$4:$A$810,0)),"")</f>
        <v>0</v>
      </c>
      <c r="F338">
        <f>IFERROR(SUMIFS('Match Log'!$I$4:$I$810,'Match Log'!$A$4:$A$810,314,'Match Log'!$E$4:$E$810,"Win"),"")</f>
        <v>0</v>
      </c>
      <c r="G338">
        <f>IF($D338="","",1-$F338*$E338)</f>
        <v>0</v>
      </c>
      <c r="H338" t="str">
        <f>IFERROR(IF($E338=2,LOOKUP(2,1/(('Match Log'!$A$4:$A$810=314)*('Match Log'!$E$4:$E$810="Loss")),'Match Log'!$D$4:$D$810),"the field"),"")</f>
      </c>
      <c r="I338">
        <f>IF($G338="","",$G338-$A338/1000000)</f>
        <v>0</v>
      </c>
      <c r="J338">
        <v>314</v>
      </c>
      <c r="K338">
        <f>IF($J338&gt;MAX('Match Log'!$A$4:$A$810),NA(),IFERROR(LOOKUP(2,1/(('Match Log'!$D$4:$D$810=$K$24)*('Match Log'!$A$4:$A$810&lt;=$J338)),'Match Log'!$N$4:$N$810),NA()))</f>
        <v>0</v>
      </c>
      <c r="L338">
        <f>IF($J338&gt;MAX('Match Log'!$A$4:$A$810),NA(),IFERROR(LOOKUP(2,1/(('Match Log'!$D$4:$D$810=$L$24)*('Match Log'!$A$4:$A$810&lt;=$J338)),'Match Log'!$N$4:$N$810),NA()))</f>
        <v>0</v>
      </c>
      <c r="M338">
        <f>IF($J338&gt;MAX('Match Log'!$A$4:$A$810),NA(),IFERROR(LOOKUP(2,1/(('Match Log'!$D$4:$D$810=$M$24)*('Match Log'!$A$4:$A$810&lt;=$J338)),'Match Log'!$N$4:$N$810),NA()))</f>
        <v>0</v>
      </c>
      <c r="N338">
        <f>IF($J338&gt;MAX('Match Log'!$A$4:$A$810),NA(),IFERROR(LOOKUP(2,1/(('Match Log'!$D$4:$D$810=$N$24)*('Match Log'!$A$4:$A$810&lt;=$J338)),'Match Log'!$N$4:$N$810),NA()))</f>
        <v>0</v>
      </c>
      <c r="O338">
        <f>IF($J338&gt;MAX('Match Log'!$A$4:$A$810),NA(),IFERROR(LOOKUP(2,1/(('Match Log'!$D$4:$D$810=$O$24)*('Match Log'!$A$4:$A$810&lt;=$J338)),'Match Log'!$N$4:$N$810),NA()))</f>
        <v>0</v>
      </c>
      <c r="P338">
        <f>IF($J338&gt;MAX('Match Log'!$A$4:$A$810),NA(),IFERROR(LOOKUP(2,1/(('Match Log'!$D$4:$D$810=$P$24)*('Match Log'!$A$4:$A$810&lt;=$J338)),'Match Log'!$N$4:$N$810),NA()))</f>
        <v>0</v>
      </c>
      <c r="Q338">
        <f>IF($J338&gt;MAX('Match Log'!$A$4:$A$810),NA(),IFERROR(LOOKUP(2,1/(('Match Log'!$D$4:$D$810=$Q$24)*('Match Log'!$A$4:$A$810&lt;=$J338)),'Match Log'!$N$4:$N$810),NA()))</f>
        <v>0</v>
      </c>
      <c r="R338">
        <f>IF($J338&gt;MAX('Match Log'!$A$4:$A$810),NA(),IFERROR(LOOKUP(2,1/(('Match Log'!$D$4:$D$810=$R$24)*('Match Log'!$A$4:$A$810&lt;=$J338)),'Match Log'!$N$4:$N$810),NA()))</f>
        <v>0</v>
      </c>
      <c r="S338">
        <f>IF($J338&gt;MAX('Match Log'!$A$4:$A$810),NA(),IFERROR(LOOKUP(2,1/(('Match Log'!$D$4:$D$810=$S$24)*('Match Log'!$A$4:$A$810&lt;=$J338)),'Match Log'!$N$4:$N$810),NA()))</f>
        <v>0</v>
      </c>
      <c r="T338">
        <f>IF($J338&gt;MAX('Match Log'!$A$4:$A$810),NA(),IFERROR(LOOKUP(2,1/(('Match Log'!$D$4:$D$810=$T$24)*('Match Log'!$A$4:$A$810&lt;=$J338)),'Match Log'!$N$4:$N$810),NA()))</f>
        <v>0</v>
      </c>
      <c r="U338">
        <f>IF($J338&gt;MAX('Match Log'!$A$4:$A$810),NA(),IFERROR(LOOKUP(2,1/(('Match Log'!$D$4:$D$810=$U$24)*('Match Log'!$A$4:$A$810&lt;=$J338)),'Match Log'!$N$4:$N$810),NA()))</f>
        <v>0</v>
      </c>
      <c r="V338">
        <f>IF($J338&gt;MAX('Match Log'!$A$4:$A$810),NA(),IFERROR(LOOKUP(2,1/(('Match Log'!$D$4:$D$810=$V$24)*('Match Log'!$A$4:$A$810&lt;=$J338)),'Match Log'!$N$4:$N$810),NA()))</f>
        <v>0</v>
      </c>
      <c r="W338">
        <f>IF($J338&gt;MAX('Match Log'!$A$4:$A$810),NA(),IFERROR(LOOKUP(2,1/(('Match Log'!$D$4:$D$810=$W$24)*('Match Log'!$A$4:$A$810&lt;=$J338)),'Match Log'!$N$4:$N$810),NA()))</f>
        <v>0</v>
      </c>
      <c r="X338">
        <f>IF($J338&gt;MAX('Match Log'!$A$4:$A$810),NA(),IFERROR(LOOKUP(2,1/(('Match Log'!$D$4:$D$810=$X$24)*('Match Log'!$A$4:$A$810&lt;=$J338)),'Match Log'!$N$4:$N$810),NA()))</f>
        <v>0</v>
      </c>
      <c r="Y338" t="str">
        <f>IF(AND($B338&lt;&gt;"",$B338&gt;=$B$5,$I338&lt;&gt;""),$I338,"")</f>
      </c>
    </row>
    <row r="339">
      <c r="A339">
        <v>315</v>
      </c>
      <c r="B339">
        <f>IFERROR(INDEX('Match Log'!$B$4:$B$810,MATCH(315,'Match Log'!$A$4:$A$810,0)),"")</f>
        <v>0</v>
      </c>
      <c r="C339" t="str">
        <f>IFERROR(INDEX('Match Log'!$C$4:$C$810,MATCH(315,'Match Log'!$A$4:$A$810,0)),"")</f>
      </c>
      <c r="D339" t="str">
        <f>IFERROR(INDEX('Match Log'!$G$4:$G$810,MATCH(315,'Match Log'!$A$4:$A$810,0)),"")</f>
      </c>
      <c r="E339">
        <f>IFERROR(INDEX('Match Log'!$F$4:$F$810,MATCH(315,'Match Log'!$A$4:$A$810,0)),"")</f>
        <v>0</v>
      </c>
      <c r="F339">
        <f>IFERROR(SUMIFS('Match Log'!$I$4:$I$810,'Match Log'!$A$4:$A$810,315,'Match Log'!$E$4:$E$810,"Win"),"")</f>
        <v>0</v>
      </c>
      <c r="G339">
        <f>IF($D339="","",1-$F339*$E339)</f>
        <v>0</v>
      </c>
      <c r="H339" t="str">
        <f>IFERROR(IF($E339=2,LOOKUP(2,1/(('Match Log'!$A$4:$A$810=315)*('Match Log'!$E$4:$E$810="Loss")),'Match Log'!$D$4:$D$810),"the field"),"")</f>
      </c>
      <c r="I339">
        <f>IF($G339="","",$G339-$A339/1000000)</f>
        <v>0</v>
      </c>
      <c r="J339">
        <v>315</v>
      </c>
      <c r="K339">
        <f>IF($J339&gt;MAX('Match Log'!$A$4:$A$810),NA(),IFERROR(LOOKUP(2,1/(('Match Log'!$D$4:$D$810=$K$24)*('Match Log'!$A$4:$A$810&lt;=$J339)),'Match Log'!$N$4:$N$810),NA()))</f>
        <v>0</v>
      </c>
      <c r="L339">
        <f>IF($J339&gt;MAX('Match Log'!$A$4:$A$810),NA(),IFERROR(LOOKUP(2,1/(('Match Log'!$D$4:$D$810=$L$24)*('Match Log'!$A$4:$A$810&lt;=$J339)),'Match Log'!$N$4:$N$810),NA()))</f>
        <v>0</v>
      </c>
      <c r="M339">
        <f>IF($J339&gt;MAX('Match Log'!$A$4:$A$810),NA(),IFERROR(LOOKUP(2,1/(('Match Log'!$D$4:$D$810=$M$24)*('Match Log'!$A$4:$A$810&lt;=$J339)),'Match Log'!$N$4:$N$810),NA()))</f>
        <v>0</v>
      </c>
      <c r="N339">
        <f>IF($J339&gt;MAX('Match Log'!$A$4:$A$810),NA(),IFERROR(LOOKUP(2,1/(('Match Log'!$D$4:$D$810=$N$24)*('Match Log'!$A$4:$A$810&lt;=$J339)),'Match Log'!$N$4:$N$810),NA()))</f>
        <v>0</v>
      </c>
      <c r="O339">
        <f>IF($J339&gt;MAX('Match Log'!$A$4:$A$810),NA(),IFERROR(LOOKUP(2,1/(('Match Log'!$D$4:$D$810=$O$24)*('Match Log'!$A$4:$A$810&lt;=$J339)),'Match Log'!$N$4:$N$810),NA()))</f>
        <v>0</v>
      </c>
      <c r="P339">
        <f>IF($J339&gt;MAX('Match Log'!$A$4:$A$810),NA(),IFERROR(LOOKUP(2,1/(('Match Log'!$D$4:$D$810=$P$24)*('Match Log'!$A$4:$A$810&lt;=$J339)),'Match Log'!$N$4:$N$810),NA()))</f>
        <v>0</v>
      </c>
      <c r="Q339">
        <f>IF($J339&gt;MAX('Match Log'!$A$4:$A$810),NA(),IFERROR(LOOKUP(2,1/(('Match Log'!$D$4:$D$810=$Q$24)*('Match Log'!$A$4:$A$810&lt;=$J339)),'Match Log'!$N$4:$N$810),NA()))</f>
        <v>0</v>
      </c>
      <c r="R339">
        <f>IF($J339&gt;MAX('Match Log'!$A$4:$A$810),NA(),IFERROR(LOOKUP(2,1/(('Match Log'!$D$4:$D$810=$R$24)*('Match Log'!$A$4:$A$810&lt;=$J339)),'Match Log'!$N$4:$N$810),NA()))</f>
        <v>0</v>
      </c>
      <c r="S339">
        <f>IF($J339&gt;MAX('Match Log'!$A$4:$A$810),NA(),IFERROR(LOOKUP(2,1/(('Match Log'!$D$4:$D$810=$S$24)*('Match Log'!$A$4:$A$810&lt;=$J339)),'Match Log'!$N$4:$N$810),NA()))</f>
        <v>0</v>
      </c>
      <c r="T339">
        <f>IF($J339&gt;MAX('Match Log'!$A$4:$A$810),NA(),IFERROR(LOOKUP(2,1/(('Match Log'!$D$4:$D$810=$T$24)*('Match Log'!$A$4:$A$810&lt;=$J339)),'Match Log'!$N$4:$N$810),NA()))</f>
        <v>0</v>
      </c>
      <c r="U339">
        <f>IF($J339&gt;MAX('Match Log'!$A$4:$A$810),NA(),IFERROR(LOOKUP(2,1/(('Match Log'!$D$4:$D$810=$U$24)*('Match Log'!$A$4:$A$810&lt;=$J339)),'Match Log'!$N$4:$N$810),NA()))</f>
        <v>0</v>
      </c>
      <c r="V339">
        <f>IF($J339&gt;MAX('Match Log'!$A$4:$A$810),NA(),IFERROR(LOOKUP(2,1/(('Match Log'!$D$4:$D$810=$V$24)*('Match Log'!$A$4:$A$810&lt;=$J339)),'Match Log'!$N$4:$N$810),NA()))</f>
        <v>0</v>
      </c>
      <c r="W339">
        <f>IF($J339&gt;MAX('Match Log'!$A$4:$A$810),NA(),IFERROR(LOOKUP(2,1/(('Match Log'!$D$4:$D$810=$W$24)*('Match Log'!$A$4:$A$810&lt;=$J339)),'Match Log'!$N$4:$N$810),NA()))</f>
        <v>0</v>
      </c>
      <c r="X339">
        <f>IF($J339&gt;MAX('Match Log'!$A$4:$A$810),NA(),IFERROR(LOOKUP(2,1/(('Match Log'!$D$4:$D$810=$X$24)*('Match Log'!$A$4:$A$810&lt;=$J339)),'Match Log'!$N$4:$N$810),NA()))</f>
        <v>0</v>
      </c>
      <c r="Y339" t="str">
        <f>IF(AND($B339&lt;&gt;"",$B339&gt;=$B$5,$I339&lt;&gt;""),$I339,"")</f>
      </c>
    </row>
    <row r="340">
      <c r="A340">
        <v>316</v>
      </c>
      <c r="B340">
        <f>IFERROR(INDEX('Match Log'!$B$4:$B$810,MATCH(316,'Match Log'!$A$4:$A$810,0)),"")</f>
        <v>0</v>
      </c>
      <c r="C340" t="str">
        <f>IFERROR(INDEX('Match Log'!$C$4:$C$810,MATCH(316,'Match Log'!$A$4:$A$810,0)),"")</f>
      </c>
      <c r="D340" t="str">
        <f>IFERROR(INDEX('Match Log'!$G$4:$G$810,MATCH(316,'Match Log'!$A$4:$A$810,0)),"")</f>
      </c>
      <c r="E340">
        <f>IFERROR(INDEX('Match Log'!$F$4:$F$810,MATCH(316,'Match Log'!$A$4:$A$810,0)),"")</f>
        <v>0</v>
      </c>
      <c r="F340">
        <f>IFERROR(SUMIFS('Match Log'!$I$4:$I$810,'Match Log'!$A$4:$A$810,316,'Match Log'!$E$4:$E$810,"Win"),"")</f>
        <v>0</v>
      </c>
      <c r="G340">
        <f>IF($D340="","",1-$F340*$E340)</f>
        <v>0</v>
      </c>
      <c r="H340" t="str">
        <f>IFERROR(IF($E340=2,LOOKUP(2,1/(('Match Log'!$A$4:$A$810=316)*('Match Log'!$E$4:$E$810="Loss")),'Match Log'!$D$4:$D$810),"the field"),"")</f>
      </c>
      <c r="I340">
        <f>IF($G340="","",$G340-$A340/1000000)</f>
        <v>0</v>
      </c>
      <c r="J340">
        <v>316</v>
      </c>
      <c r="K340">
        <f>IF($J340&gt;MAX('Match Log'!$A$4:$A$810),NA(),IFERROR(LOOKUP(2,1/(('Match Log'!$D$4:$D$810=$K$24)*('Match Log'!$A$4:$A$810&lt;=$J340)),'Match Log'!$N$4:$N$810),NA()))</f>
        <v>0</v>
      </c>
      <c r="L340">
        <f>IF($J340&gt;MAX('Match Log'!$A$4:$A$810),NA(),IFERROR(LOOKUP(2,1/(('Match Log'!$D$4:$D$810=$L$24)*('Match Log'!$A$4:$A$810&lt;=$J340)),'Match Log'!$N$4:$N$810),NA()))</f>
        <v>0</v>
      </c>
      <c r="M340">
        <f>IF($J340&gt;MAX('Match Log'!$A$4:$A$810),NA(),IFERROR(LOOKUP(2,1/(('Match Log'!$D$4:$D$810=$M$24)*('Match Log'!$A$4:$A$810&lt;=$J340)),'Match Log'!$N$4:$N$810),NA()))</f>
        <v>0</v>
      </c>
      <c r="N340">
        <f>IF($J340&gt;MAX('Match Log'!$A$4:$A$810),NA(),IFERROR(LOOKUP(2,1/(('Match Log'!$D$4:$D$810=$N$24)*('Match Log'!$A$4:$A$810&lt;=$J340)),'Match Log'!$N$4:$N$810),NA()))</f>
        <v>0</v>
      </c>
      <c r="O340">
        <f>IF($J340&gt;MAX('Match Log'!$A$4:$A$810),NA(),IFERROR(LOOKUP(2,1/(('Match Log'!$D$4:$D$810=$O$24)*('Match Log'!$A$4:$A$810&lt;=$J340)),'Match Log'!$N$4:$N$810),NA()))</f>
        <v>0</v>
      </c>
      <c r="P340">
        <f>IF($J340&gt;MAX('Match Log'!$A$4:$A$810),NA(),IFERROR(LOOKUP(2,1/(('Match Log'!$D$4:$D$810=$P$24)*('Match Log'!$A$4:$A$810&lt;=$J340)),'Match Log'!$N$4:$N$810),NA()))</f>
        <v>0</v>
      </c>
      <c r="Q340">
        <f>IF($J340&gt;MAX('Match Log'!$A$4:$A$810),NA(),IFERROR(LOOKUP(2,1/(('Match Log'!$D$4:$D$810=$Q$24)*('Match Log'!$A$4:$A$810&lt;=$J340)),'Match Log'!$N$4:$N$810),NA()))</f>
        <v>0</v>
      </c>
      <c r="R340">
        <f>IF($J340&gt;MAX('Match Log'!$A$4:$A$810),NA(),IFERROR(LOOKUP(2,1/(('Match Log'!$D$4:$D$810=$R$24)*('Match Log'!$A$4:$A$810&lt;=$J340)),'Match Log'!$N$4:$N$810),NA()))</f>
        <v>0</v>
      </c>
      <c r="S340">
        <f>IF($J340&gt;MAX('Match Log'!$A$4:$A$810),NA(),IFERROR(LOOKUP(2,1/(('Match Log'!$D$4:$D$810=$S$24)*('Match Log'!$A$4:$A$810&lt;=$J340)),'Match Log'!$N$4:$N$810),NA()))</f>
        <v>0</v>
      </c>
      <c r="T340">
        <f>IF($J340&gt;MAX('Match Log'!$A$4:$A$810),NA(),IFERROR(LOOKUP(2,1/(('Match Log'!$D$4:$D$810=$T$24)*('Match Log'!$A$4:$A$810&lt;=$J340)),'Match Log'!$N$4:$N$810),NA()))</f>
        <v>0</v>
      </c>
      <c r="U340">
        <f>IF($J340&gt;MAX('Match Log'!$A$4:$A$810),NA(),IFERROR(LOOKUP(2,1/(('Match Log'!$D$4:$D$810=$U$24)*('Match Log'!$A$4:$A$810&lt;=$J340)),'Match Log'!$N$4:$N$810),NA()))</f>
        <v>0</v>
      </c>
      <c r="V340">
        <f>IF($J340&gt;MAX('Match Log'!$A$4:$A$810),NA(),IFERROR(LOOKUP(2,1/(('Match Log'!$D$4:$D$810=$V$24)*('Match Log'!$A$4:$A$810&lt;=$J340)),'Match Log'!$N$4:$N$810),NA()))</f>
        <v>0</v>
      </c>
      <c r="W340">
        <f>IF($J340&gt;MAX('Match Log'!$A$4:$A$810),NA(),IFERROR(LOOKUP(2,1/(('Match Log'!$D$4:$D$810=$W$24)*('Match Log'!$A$4:$A$810&lt;=$J340)),'Match Log'!$N$4:$N$810),NA()))</f>
        <v>0</v>
      </c>
      <c r="X340">
        <f>IF($J340&gt;MAX('Match Log'!$A$4:$A$810),NA(),IFERROR(LOOKUP(2,1/(('Match Log'!$D$4:$D$810=$X$24)*('Match Log'!$A$4:$A$810&lt;=$J340)),'Match Log'!$N$4:$N$810),NA()))</f>
        <v>0</v>
      </c>
      <c r="Y340" t="str">
        <f>IF(AND($B340&lt;&gt;"",$B340&gt;=$B$5,$I340&lt;&gt;""),$I340,"")</f>
      </c>
    </row>
    <row r="341">
      <c r="A341">
        <v>317</v>
      </c>
      <c r="B341">
        <f>IFERROR(INDEX('Match Log'!$B$4:$B$810,MATCH(317,'Match Log'!$A$4:$A$810,0)),"")</f>
        <v>0</v>
      </c>
      <c r="C341" t="str">
        <f>IFERROR(INDEX('Match Log'!$C$4:$C$810,MATCH(317,'Match Log'!$A$4:$A$810,0)),"")</f>
      </c>
      <c r="D341" t="str">
        <f>IFERROR(INDEX('Match Log'!$G$4:$G$810,MATCH(317,'Match Log'!$A$4:$A$810,0)),"")</f>
      </c>
      <c r="E341">
        <f>IFERROR(INDEX('Match Log'!$F$4:$F$810,MATCH(317,'Match Log'!$A$4:$A$810,0)),"")</f>
        <v>0</v>
      </c>
      <c r="F341">
        <f>IFERROR(SUMIFS('Match Log'!$I$4:$I$810,'Match Log'!$A$4:$A$810,317,'Match Log'!$E$4:$E$810,"Win"),"")</f>
        <v>0</v>
      </c>
      <c r="G341">
        <f>IF($D341="","",1-$F341*$E341)</f>
        <v>0</v>
      </c>
      <c r="H341" t="str">
        <f>IFERROR(IF($E341=2,LOOKUP(2,1/(('Match Log'!$A$4:$A$810=317)*('Match Log'!$E$4:$E$810="Loss")),'Match Log'!$D$4:$D$810),"the field"),"")</f>
      </c>
      <c r="I341">
        <f>IF($G341="","",$G341-$A341/1000000)</f>
        <v>0</v>
      </c>
      <c r="J341">
        <v>317</v>
      </c>
      <c r="K341">
        <f>IF($J341&gt;MAX('Match Log'!$A$4:$A$810),NA(),IFERROR(LOOKUP(2,1/(('Match Log'!$D$4:$D$810=$K$24)*('Match Log'!$A$4:$A$810&lt;=$J341)),'Match Log'!$N$4:$N$810),NA()))</f>
        <v>0</v>
      </c>
      <c r="L341">
        <f>IF($J341&gt;MAX('Match Log'!$A$4:$A$810),NA(),IFERROR(LOOKUP(2,1/(('Match Log'!$D$4:$D$810=$L$24)*('Match Log'!$A$4:$A$810&lt;=$J341)),'Match Log'!$N$4:$N$810),NA()))</f>
        <v>0</v>
      </c>
      <c r="M341">
        <f>IF($J341&gt;MAX('Match Log'!$A$4:$A$810),NA(),IFERROR(LOOKUP(2,1/(('Match Log'!$D$4:$D$810=$M$24)*('Match Log'!$A$4:$A$810&lt;=$J341)),'Match Log'!$N$4:$N$810),NA()))</f>
        <v>0</v>
      </c>
      <c r="N341">
        <f>IF($J341&gt;MAX('Match Log'!$A$4:$A$810),NA(),IFERROR(LOOKUP(2,1/(('Match Log'!$D$4:$D$810=$N$24)*('Match Log'!$A$4:$A$810&lt;=$J341)),'Match Log'!$N$4:$N$810),NA()))</f>
        <v>0</v>
      </c>
      <c r="O341">
        <f>IF($J341&gt;MAX('Match Log'!$A$4:$A$810),NA(),IFERROR(LOOKUP(2,1/(('Match Log'!$D$4:$D$810=$O$24)*('Match Log'!$A$4:$A$810&lt;=$J341)),'Match Log'!$N$4:$N$810),NA()))</f>
        <v>0</v>
      </c>
      <c r="P341">
        <f>IF($J341&gt;MAX('Match Log'!$A$4:$A$810),NA(),IFERROR(LOOKUP(2,1/(('Match Log'!$D$4:$D$810=$P$24)*('Match Log'!$A$4:$A$810&lt;=$J341)),'Match Log'!$N$4:$N$810),NA()))</f>
        <v>0</v>
      </c>
      <c r="Q341">
        <f>IF($J341&gt;MAX('Match Log'!$A$4:$A$810),NA(),IFERROR(LOOKUP(2,1/(('Match Log'!$D$4:$D$810=$Q$24)*('Match Log'!$A$4:$A$810&lt;=$J341)),'Match Log'!$N$4:$N$810),NA()))</f>
        <v>0</v>
      </c>
      <c r="R341">
        <f>IF($J341&gt;MAX('Match Log'!$A$4:$A$810),NA(),IFERROR(LOOKUP(2,1/(('Match Log'!$D$4:$D$810=$R$24)*('Match Log'!$A$4:$A$810&lt;=$J341)),'Match Log'!$N$4:$N$810),NA()))</f>
        <v>0</v>
      </c>
      <c r="S341">
        <f>IF($J341&gt;MAX('Match Log'!$A$4:$A$810),NA(),IFERROR(LOOKUP(2,1/(('Match Log'!$D$4:$D$810=$S$24)*('Match Log'!$A$4:$A$810&lt;=$J341)),'Match Log'!$N$4:$N$810),NA()))</f>
        <v>0</v>
      </c>
      <c r="T341">
        <f>IF($J341&gt;MAX('Match Log'!$A$4:$A$810),NA(),IFERROR(LOOKUP(2,1/(('Match Log'!$D$4:$D$810=$T$24)*('Match Log'!$A$4:$A$810&lt;=$J341)),'Match Log'!$N$4:$N$810),NA()))</f>
        <v>0</v>
      </c>
      <c r="U341">
        <f>IF($J341&gt;MAX('Match Log'!$A$4:$A$810),NA(),IFERROR(LOOKUP(2,1/(('Match Log'!$D$4:$D$810=$U$24)*('Match Log'!$A$4:$A$810&lt;=$J341)),'Match Log'!$N$4:$N$810),NA()))</f>
        <v>0</v>
      </c>
      <c r="V341">
        <f>IF($J341&gt;MAX('Match Log'!$A$4:$A$810),NA(),IFERROR(LOOKUP(2,1/(('Match Log'!$D$4:$D$810=$V$24)*('Match Log'!$A$4:$A$810&lt;=$J341)),'Match Log'!$N$4:$N$810),NA()))</f>
        <v>0</v>
      </c>
      <c r="W341">
        <f>IF($J341&gt;MAX('Match Log'!$A$4:$A$810),NA(),IFERROR(LOOKUP(2,1/(('Match Log'!$D$4:$D$810=$W$24)*('Match Log'!$A$4:$A$810&lt;=$J341)),'Match Log'!$N$4:$N$810),NA()))</f>
        <v>0</v>
      </c>
      <c r="X341">
        <f>IF($J341&gt;MAX('Match Log'!$A$4:$A$810),NA(),IFERROR(LOOKUP(2,1/(('Match Log'!$D$4:$D$810=$X$24)*('Match Log'!$A$4:$A$810&lt;=$J341)),'Match Log'!$N$4:$N$810),NA()))</f>
        <v>0</v>
      </c>
      <c r="Y341" t="str">
        <f>IF(AND($B341&lt;&gt;"",$B341&gt;=$B$5,$I341&lt;&gt;""),$I341,"")</f>
      </c>
    </row>
    <row r="342">
      <c r="A342">
        <v>318</v>
      </c>
      <c r="B342">
        <f>IFERROR(INDEX('Match Log'!$B$4:$B$810,MATCH(318,'Match Log'!$A$4:$A$810,0)),"")</f>
        <v>0</v>
      </c>
      <c r="C342" t="str">
        <f>IFERROR(INDEX('Match Log'!$C$4:$C$810,MATCH(318,'Match Log'!$A$4:$A$810,0)),"")</f>
      </c>
      <c r="D342" t="str">
        <f>IFERROR(INDEX('Match Log'!$G$4:$G$810,MATCH(318,'Match Log'!$A$4:$A$810,0)),"")</f>
      </c>
      <c r="E342">
        <f>IFERROR(INDEX('Match Log'!$F$4:$F$810,MATCH(318,'Match Log'!$A$4:$A$810,0)),"")</f>
        <v>0</v>
      </c>
      <c r="F342">
        <f>IFERROR(SUMIFS('Match Log'!$I$4:$I$810,'Match Log'!$A$4:$A$810,318,'Match Log'!$E$4:$E$810,"Win"),"")</f>
        <v>0</v>
      </c>
      <c r="G342">
        <f>IF($D342="","",1-$F342*$E342)</f>
        <v>0</v>
      </c>
      <c r="H342" t="str">
        <f>IFERROR(IF($E342=2,LOOKUP(2,1/(('Match Log'!$A$4:$A$810=318)*('Match Log'!$E$4:$E$810="Loss")),'Match Log'!$D$4:$D$810),"the field"),"")</f>
      </c>
      <c r="I342">
        <f>IF($G342="","",$G342-$A342/1000000)</f>
        <v>0</v>
      </c>
      <c r="J342">
        <v>318</v>
      </c>
      <c r="K342">
        <f>IF($J342&gt;MAX('Match Log'!$A$4:$A$810),NA(),IFERROR(LOOKUP(2,1/(('Match Log'!$D$4:$D$810=$K$24)*('Match Log'!$A$4:$A$810&lt;=$J342)),'Match Log'!$N$4:$N$810),NA()))</f>
        <v>0</v>
      </c>
      <c r="L342">
        <f>IF($J342&gt;MAX('Match Log'!$A$4:$A$810),NA(),IFERROR(LOOKUP(2,1/(('Match Log'!$D$4:$D$810=$L$24)*('Match Log'!$A$4:$A$810&lt;=$J342)),'Match Log'!$N$4:$N$810),NA()))</f>
        <v>0</v>
      </c>
      <c r="M342">
        <f>IF($J342&gt;MAX('Match Log'!$A$4:$A$810),NA(),IFERROR(LOOKUP(2,1/(('Match Log'!$D$4:$D$810=$M$24)*('Match Log'!$A$4:$A$810&lt;=$J342)),'Match Log'!$N$4:$N$810),NA()))</f>
        <v>0</v>
      </c>
      <c r="N342">
        <f>IF($J342&gt;MAX('Match Log'!$A$4:$A$810),NA(),IFERROR(LOOKUP(2,1/(('Match Log'!$D$4:$D$810=$N$24)*('Match Log'!$A$4:$A$810&lt;=$J342)),'Match Log'!$N$4:$N$810),NA()))</f>
        <v>0</v>
      </c>
      <c r="O342">
        <f>IF($J342&gt;MAX('Match Log'!$A$4:$A$810),NA(),IFERROR(LOOKUP(2,1/(('Match Log'!$D$4:$D$810=$O$24)*('Match Log'!$A$4:$A$810&lt;=$J342)),'Match Log'!$N$4:$N$810),NA()))</f>
        <v>0</v>
      </c>
      <c r="P342">
        <f>IF($J342&gt;MAX('Match Log'!$A$4:$A$810),NA(),IFERROR(LOOKUP(2,1/(('Match Log'!$D$4:$D$810=$P$24)*('Match Log'!$A$4:$A$810&lt;=$J342)),'Match Log'!$N$4:$N$810),NA()))</f>
        <v>0</v>
      </c>
      <c r="Q342">
        <f>IF($J342&gt;MAX('Match Log'!$A$4:$A$810),NA(),IFERROR(LOOKUP(2,1/(('Match Log'!$D$4:$D$810=$Q$24)*('Match Log'!$A$4:$A$810&lt;=$J342)),'Match Log'!$N$4:$N$810),NA()))</f>
        <v>0</v>
      </c>
      <c r="R342">
        <f>IF($J342&gt;MAX('Match Log'!$A$4:$A$810),NA(),IFERROR(LOOKUP(2,1/(('Match Log'!$D$4:$D$810=$R$24)*('Match Log'!$A$4:$A$810&lt;=$J342)),'Match Log'!$N$4:$N$810),NA()))</f>
        <v>0</v>
      </c>
      <c r="S342">
        <f>IF($J342&gt;MAX('Match Log'!$A$4:$A$810),NA(),IFERROR(LOOKUP(2,1/(('Match Log'!$D$4:$D$810=$S$24)*('Match Log'!$A$4:$A$810&lt;=$J342)),'Match Log'!$N$4:$N$810),NA()))</f>
        <v>0</v>
      </c>
      <c r="T342">
        <f>IF($J342&gt;MAX('Match Log'!$A$4:$A$810),NA(),IFERROR(LOOKUP(2,1/(('Match Log'!$D$4:$D$810=$T$24)*('Match Log'!$A$4:$A$810&lt;=$J342)),'Match Log'!$N$4:$N$810),NA()))</f>
        <v>0</v>
      </c>
      <c r="U342">
        <f>IF($J342&gt;MAX('Match Log'!$A$4:$A$810),NA(),IFERROR(LOOKUP(2,1/(('Match Log'!$D$4:$D$810=$U$24)*('Match Log'!$A$4:$A$810&lt;=$J342)),'Match Log'!$N$4:$N$810),NA()))</f>
        <v>0</v>
      </c>
      <c r="V342">
        <f>IF($J342&gt;MAX('Match Log'!$A$4:$A$810),NA(),IFERROR(LOOKUP(2,1/(('Match Log'!$D$4:$D$810=$V$24)*('Match Log'!$A$4:$A$810&lt;=$J342)),'Match Log'!$N$4:$N$810),NA()))</f>
        <v>0</v>
      </c>
      <c r="W342">
        <f>IF($J342&gt;MAX('Match Log'!$A$4:$A$810),NA(),IFERROR(LOOKUP(2,1/(('Match Log'!$D$4:$D$810=$W$24)*('Match Log'!$A$4:$A$810&lt;=$J342)),'Match Log'!$N$4:$N$810),NA()))</f>
        <v>0</v>
      </c>
      <c r="X342">
        <f>IF($J342&gt;MAX('Match Log'!$A$4:$A$810),NA(),IFERROR(LOOKUP(2,1/(('Match Log'!$D$4:$D$810=$X$24)*('Match Log'!$A$4:$A$810&lt;=$J342)),'Match Log'!$N$4:$N$810),NA()))</f>
        <v>0</v>
      </c>
      <c r="Y342" t="str">
        <f>IF(AND($B342&lt;&gt;"",$B342&gt;=$B$5,$I342&lt;&gt;""),$I342,"")</f>
      </c>
    </row>
    <row r="343">
      <c r="A343">
        <v>319</v>
      </c>
      <c r="B343">
        <f>IFERROR(INDEX('Match Log'!$B$4:$B$810,MATCH(319,'Match Log'!$A$4:$A$810,0)),"")</f>
        <v>0</v>
      </c>
      <c r="C343" t="str">
        <f>IFERROR(INDEX('Match Log'!$C$4:$C$810,MATCH(319,'Match Log'!$A$4:$A$810,0)),"")</f>
      </c>
      <c r="D343" t="str">
        <f>IFERROR(INDEX('Match Log'!$G$4:$G$810,MATCH(319,'Match Log'!$A$4:$A$810,0)),"")</f>
      </c>
      <c r="E343">
        <f>IFERROR(INDEX('Match Log'!$F$4:$F$810,MATCH(319,'Match Log'!$A$4:$A$810,0)),"")</f>
        <v>0</v>
      </c>
      <c r="F343">
        <f>IFERROR(SUMIFS('Match Log'!$I$4:$I$810,'Match Log'!$A$4:$A$810,319,'Match Log'!$E$4:$E$810,"Win"),"")</f>
        <v>0</v>
      </c>
      <c r="G343">
        <f>IF($D343="","",1-$F343*$E343)</f>
        <v>0</v>
      </c>
      <c r="H343" t="str">
        <f>IFERROR(IF($E343=2,LOOKUP(2,1/(('Match Log'!$A$4:$A$810=319)*('Match Log'!$E$4:$E$810="Loss")),'Match Log'!$D$4:$D$810),"the field"),"")</f>
      </c>
      <c r="I343">
        <f>IF($G343="","",$G343-$A343/1000000)</f>
        <v>0</v>
      </c>
      <c r="J343">
        <v>319</v>
      </c>
      <c r="K343">
        <f>IF($J343&gt;MAX('Match Log'!$A$4:$A$810),NA(),IFERROR(LOOKUP(2,1/(('Match Log'!$D$4:$D$810=$K$24)*('Match Log'!$A$4:$A$810&lt;=$J343)),'Match Log'!$N$4:$N$810),NA()))</f>
        <v>0</v>
      </c>
      <c r="L343">
        <f>IF($J343&gt;MAX('Match Log'!$A$4:$A$810),NA(),IFERROR(LOOKUP(2,1/(('Match Log'!$D$4:$D$810=$L$24)*('Match Log'!$A$4:$A$810&lt;=$J343)),'Match Log'!$N$4:$N$810),NA()))</f>
        <v>0</v>
      </c>
      <c r="M343">
        <f>IF($J343&gt;MAX('Match Log'!$A$4:$A$810),NA(),IFERROR(LOOKUP(2,1/(('Match Log'!$D$4:$D$810=$M$24)*('Match Log'!$A$4:$A$810&lt;=$J343)),'Match Log'!$N$4:$N$810),NA()))</f>
        <v>0</v>
      </c>
      <c r="N343">
        <f>IF($J343&gt;MAX('Match Log'!$A$4:$A$810),NA(),IFERROR(LOOKUP(2,1/(('Match Log'!$D$4:$D$810=$N$24)*('Match Log'!$A$4:$A$810&lt;=$J343)),'Match Log'!$N$4:$N$810),NA()))</f>
        <v>0</v>
      </c>
      <c r="O343">
        <f>IF($J343&gt;MAX('Match Log'!$A$4:$A$810),NA(),IFERROR(LOOKUP(2,1/(('Match Log'!$D$4:$D$810=$O$24)*('Match Log'!$A$4:$A$810&lt;=$J343)),'Match Log'!$N$4:$N$810),NA()))</f>
        <v>0</v>
      </c>
      <c r="P343">
        <f>IF($J343&gt;MAX('Match Log'!$A$4:$A$810),NA(),IFERROR(LOOKUP(2,1/(('Match Log'!$D$4:$D$810=$P$24)*('Match Log'!$A$4:$A$810&lt;=$J343)),'Match Log'!$N$4:$N$810),NA()))</f>
        <v>0</v>
      </c>
      <c r="Q343">
        <f>IF($J343&gt;MAX('Match Log'!$A$4:$A$810),NA(),IFERROR(LOOKUP(2,1/(('Match Log'!$D$4:$D$810=$Q$24)*('Match Log'!$A$4:$A$810&lt;=$J343)),'Match Log'!$N$4:$N$810),NA()))</f>
        <v>0</v>
      </c>
      <c r="R343">
        <f>IF($J343&gt;MAX('Match Log'!$A$4:$A$810),NA(),IFERROR(LOOKUP(2,1/(('Match Log'!$D$4:$D$810=$R$24)*('Match Log'!$A$4:$A$810&lt;=$J343)),'Match Log'!$N$4:$N$810),NA()))</f>
        <v>0</v>
      </c>
      <c r="S343">
        <f>IF($J343&gt;MAX('Match Log'!$A$4:$A$810),NA(),IFERROR(LOOKUP(2,1/(('Match Log'!$D$4:$D$810=$S$24)*('Match Log'!$A$4:$A$810&lt;=$J343)),'Match Log'!$N$4:$N$810),NA()))</f>
        <v>0</v>
      </c>
      <c r="T343">
        <f>IF($J343&gt;MAX('Match Log'!$A$4:$A$810),NA(),IFERROR(LOOKUP(2,1/(('Match Log'!$D$4:$D$810=$T$24)*('Match Log'!$A$4:$A$810&lt;=$J343)),'Match Log'!$N$4:$N$810),NA()))</f>
        <v>0</v>
      </c>
      <c r="U343">
        <f>IF($J343&gt;MAX('Match Log'!$A$4:$A$810),NA(),IFERROR(LOOKUP(2,1/(('Match Log'!$D$4:$D$810=$U$24)*('Match Log'!$A$4:$A$810&lt;=$J343)),'Match Log'!$N$4:$N$810),NA()))</f>
        <v>0</v>
      </c>
      <c r="V343">
        <f>IF($J343&gt;MAX('Match Log'!$A$4:$A$810),NA(),IFERROR(LOOKUP(2,1/(('Match Log'!$D$4:$D$810=$V$24)*('Match Log'!$A$4:$A$810&lt;=$J343)),'Match Log'!$N$4:$N$810),NA()))</f>
        <v>0</v>
      </c>
      <c r="W343">
        <f>IF($J343&gt;MAX('Match Log'!$A$4:$A$810),NA(),IFERROR(LOOKUP(2,1/(('Match Log'!$D$4:$D$810=$W$24)*('Match Log'!$A$4:$A$810&lt;=$J343)),'Match Log'!$N$4:$N$810),NA()))</f>
        <v>0</v>
      </c>
      <c r="X343">
        <f>IF($J343&gt;MAX('Match Log'!$A$4:$A$810),NA(),IFERROR(LOOKUP(2,1/(('Match Log'!$D$4:$D$810=$X$24)*('Match Log'!$A$4:$A$810&lt;=$J343)),'Match Log'!$N$4:$N$810),NA()))</f>
        <v>0</v>
      </c>
      <c r="Y343" t="str">
        <f>IF(AND($B343&lt;&gt;"",$B343&gt;=$B$5,$I343&lt;&gt;""),$I343,"")</f>
      </c>
    </row>
    <row r="344">
      <c r="A344">
        <v>320</v>
      </c>
      <c r="B344">
        <f>IFERROR(INDEX('Match Log'!$B$4:$B$810,MATCH(320,'Match Log'!$A$4:$A$810,0)),"")</f>
        <v>0</v>
      </c>
      <c r="C344" t="str">
        <f>IFERROR(INDEX('Match Log'!$C$4:$C$810,MATCH(320,'Match Log'!$A$4:$A$810,0)),"")</f>
      </c>
      <c r="D344" t="str">
        <f>IFERROR(INDEX('Match Log'!$G$4:$G$810,MATCH(320,'Match Log'!$A$4:$A$810,0)),"")</f>
      </c>
      <c r="E344">
        <f>IFERROR(INDEX('Match Log'!$F$4:$F$810,MATCH(320,'Match Log'!$A$4:$A$810,0)),"")</f>
        <v>0</v>
      </c>
      <c r="F344">
        <f>IFERROR(SUMIFS('Match Log'!$I$4:$I$810,'Match Log'!$A$4:$A$810,320,'Match Log'!$E$4:$E$810,"Win"),"")</f>
        <v>0</v>
      </c>
      <c r="G344">
        <f>IF($D344="","",1-$F344*$E344)</f>
        <v>0</v>
      </c>
      <c r="H344" t="str">
        <f>IFERROR(IF($E344=2,LOOKUP(2,1/(('Match Log'!$A$4:$A$810=320)*('Match Log'!$E$4:$E$810="Loss")),'Match Log'!$D$4:$D$810),"the field"),"")</f>
      </c>
      <c r="I344">
        <f>IF($G344="","",$G344-$A344/1000000)</f>
        <v>0</v>
      </c>
      <c r="J344">
        <v>320</v>
      </c>
      <c r="K344">
        <f>IF($J344&gt;MAX('Match Log'!$A$4:$A$810),NA(),IFERROR(LOOKUP(2,1/(('Match Log'!$D$4:$D$810=$K$24)*('Match Log'!$A$4:$A$810&lt;=$J344)),'Match Log'!$N$4:$N$810),NA()))</f>
        <v>0</v>
      </c>
      <c r="L344">
        <f>IF($J344&gt;MAX('Match Log'!$A$4:$A$810),NA(),IFERROR(LOOKUP(2,1/(('Match Log'!$D$4:$D$810=$L$24)*('Match Log'!$A$4:$A$810&lt;=$J344)),'Match Log'!$N$4:$N$810),NA()))</f>
        <v>0</v>
      </c>
      <c r="M344">
        <f>IF($J344&gt;MAX('Match Log'!$A$4:$A$810),NA(),IFERROR(LOOKUP(2,1/(('Match Log'!$D$4:$D$810=$M$24)*('Match Log'!$A$4:$A$810&lt;=$J344)),'Match Log'!$N$4:$N$810),NA()))</f>
        <v>0</v>
      </c>
      <c r="N344">
        <f>IF($J344&gt;MAX('Match Log'!$A$4:$A$810),NA(),IFERROR(LOOKUP(2,1/(('Match Log'!$D$4:$D$810=$N$24)*('Match Log'!$A$4:$A$810&lt;=$J344)),'Match Log'!$N$4:$N$810),NA()))</f>
        <v>0</v>
      </c>
      <c r="O344">
        <f>IF($J344&gt;MAX('Match Log'!$A$4:$A$810),NA(),IFERROR(LOOKUP(2,1/(('Match Log'!$D$4:$D$810=$O$24)*('Match Log'!$A$4:$A$810&lt;=$J344)),'Match Log'!$N$4:$N$810),NA()))</f>
        <v>0</v>
      </c>
      <c r="P344">
        <f>IF($J344&gt;MAX('Match Log'!$A$4:$A$810),NA(),IFERROR(LOOKUP(2,1/(('Match Log'!$D$4:$D$810=$P$24)*('Match Log'!$A$4:$A$810&lt;=$J344)),'Match Log'!$N$4:$N$810),NA()))</f>
        <v>0</v>
      </c>
      <c r="Q344">
        <f>IF($J344&gt;MAX('Match Log'!$A$4:$A$810),NA(),IFERROR(LOOKUP(2,1/(('Match Log'!$D$4:$D$810=$Q$24)*('Match Log'!$A$4:$A$810&lt;=$J344)),'Match Log'!$N$4:$N$810),NA()))</f>
        <v>0</v>
      </c>
      <c r="R344">
        <f>IF($J344&gt;MAX('Match Log'!$A$4:$A$810),NA(),IFERROR(LOOKUP(2,1/(('Match Log'!$D$4:$D$810=$R$24)*('Match Log'!$A$4:$A$810&lt;=$J344)),'Match Log'!$N$4:$N$810),NA()))</f>
        <v>0</v>
      </c>
      <c r="S344">
        <f>IF($J344&gt;MAX('Match Log'!$A$4:$A$810),NA(),IFERROR(LOOKUP(2,1/(('Match Log'!$D$4:$D$810=$S$24)*('Match Log'!$A$4:$A$810&lt;=$J344)),'Match Log'!$N$4:$N$810),NA()))</f>
        <v>0</v>
      </c>
      <c r="T344">
        <f>IF($J344&gt;MAX('Match Log'!$A$4:$A$810),NA(),IFERROR(LOOKUP(2,1/(('Match Log'!$D$4:$D$810=$T$24)*('Match Log'!$A$4:$A$810&lt;=$J344)),'Match Log'!$N$4:$N$810),NA()))</f>
        <v>0</v>
      </c>
      <c r="U344">
        <f>IF($J344&gt;MAX('Match Log'!$A$4:$A$810),NA(),IFERROR(LOOKUP(2,1/(('Match Log'!$D$4:$D$810=$U$24)*('Match Log'!$A$4:$A$810&lt;=$J344)),'Match Log'!$N$4:$N$810),NA()))</f>
        <v>0</v>
      </c>
      <c r="V344">
        <f>IF($J344&gt;MAX('Match Log'!$A$4:$A$810),NA(),IFERROR(LOOKUP(2,1/(('Match Log'!$D$4:$D$810=$V$24)*('Match Log'!$A$4:$A$810&lt;=$J344)),'Match Log'!$N$4:$N$810),NA()))</f>
        <v>0</v>
      </c>
      <c r="W344">
        <f>IF($J344&gt;MAX('Match Log'!$A$4:$A$810),NA(),IFERROR(LOOKUP(2,1/(('Match Log'!$D$4:$D$810=$W$24)*('Match Log'!$A$4:$A$810&lt;=$J344)),'Match Log'!$N$4:$N$810),NA()))</f>
        <v>0</v>
      </c>
      <c r="X344">
        <f>IF($J344&gt;MAX('Match Log'!$A$4:$A$810),NA(),IFERROR(LOOKUP(2,1/(('Match Log'!$D$4:$D$810=$X$24)*('Match Log'!$A$4:$A$810&lt;=$J344)),'Match Log'!$N$4:$N$810),NA()))</f>
        <v>0</v>
      </c>
      <c r="Y344" t="str">
        <f>IF(AND($B344&lt;&gt;"",$B344&gt;=$B$5,$I344&lt;&gt;""),$I344,"")</f>
      </c>
    </row>
    <row r="345">
      <c r="A345">
        <v>321</v>
      </c>
      <c r="B345">
        <f>IFERROR(INDEX('Match Log'!$B$4:$B$810,MATCH(321,'Match Log'!$A$4:$A$810,0)),"")</f>
        <v>0</v>
      </c>
      <c r="C345" t="str">
        <f>IFERROR(INDEX('Match Log'!$C$4:$C$810,MATCH(321,'Match Log'!$A$4:$A$810,0)),"")</f>
      </c>
      <c r="D345" t="str">
        <f>IFERROR(INDEX('Match Log'!$G$4:$G$810,MATCH(321,'Match Log'!$A$4:$A$810,0)),"")</f>
      </c>
      <c r="E345">
        <f>IFERROR(INDEX('Match Log'!$F$4:$F$810,MATCH(321,'Match Log'!$A$4:$A$810,0)),"")</f>
        <v>0</v>
      </c>
      <c r="F345">
        <f>IFERROR(SUMIFS('Match Log'!$I$4:$I$810,'Match Log'!$A$4:$A$810,321,'Match Log'!$E$4:$E$810,"Win"),"")</f>
        <v>0</v>
      </c>
      <c r="G345">
        <f>IF($D345="","",1-$F345*$E345)</f>
        <v>0</v>
      </c>
      <c r="H345" t="str">
        <f>IFERROR(IF($E345=2,LOOKUP(2,1/(('Match Log'!$A$4:$A$810=321)*('Match Log'!$E$4:$E$810="Loss")),'Match Log'!$D$4:$D$810),"the field"),"")</f>
      </c>
      <c r="I345">
        <f>IF($G345="","",$G345-$A345/1000000)</f>
        <v>0</v>
      </c>
      <c r="J345">
        <v>321</v>
      </c>
      <c r="K345">
        <f>IF($J345&gt;MAX('Match Log'!$A$4:$A$810),NA(),IFERROR(LOOKUP(2,1/(('Match Log'!$D$4:$D$810=$K$24)*('Match Log'!$A$4:$A$810&lt;=$J345)),'Match Log'!$N$4:$N$810),NA()))</f>
        <v>0</v>
      </c>
      <c r="L345">
        <f>IF($J345&gt;MAX('Match Log'!$A$4:$A$810),NA(),IFERROR(LOOKUP(2,1/(('Match Log'!$D$4:$D$810=$L$24)*('Match Log'!$A$4:$A$810&lt;=$J345)),'Match Log'!$N$4:$N$810),NA()))</f>
        <v>0</v>
      </c>
      <c r="M345">
        <f>IF($J345&gt;MAX('Match Log'!$A$4:$A$810),NA(),IFERROR(LOOKUP(2,1/(('Match Log'!$D$4:$D$810=$M$24)*('Match Log'!$A$4:$A$810&lt;=$J345)),'Match Log'!$N$4:$N$810),NA()))</f>
        <v>0</v>
      </c>
      <c r="N345">
        <f>IF($J345&gt;MAX('Match Log'!$A$4:$A$810),NA(),IFERROR(LOOKUP(2,1/(('Match Log'!$D$4:$D$810=$N$24)*('Match Log'!$A$4:$A$810&lt;=$J345)),'Match Log'!$N$4:$N$810),NA()))</f>
        <v>0</v>
      </c>
      <c r="O345">
        <f>IF($J345&gt;MAX('Match Log'!$A$4:$A$810),NA(),IFERROR(LOOKUP(2,1/(('Match Log'!$D$4:$D$810=$O$24)*('Match Log'!$A$4:$A$810&lt;=$J345)),'Match Log'!$N$4:$N$810),NA()))</f>
        <v>0</v>
      </c>
      <c r="P345">
        <f>IF($J345&gt;MAX('Match Log'!$A$4:$A$810),NA(),IFERROR(LOOKUP(2,1/(('Match Log'!$D$4:$D$810=$P$24)*('Match Log'!$A$4:$A$810&lt;=$J345)),'Match Log'!$N$4:$N$810),NA()))</f>
        <v>0</v>
      </c>
      <c r="Q345">
        <f>IF($J345&gt;MAX('Match Log'!$A$4:$A$810),NA(),IFERROR(LOOKUP(2,1/(('Match Log'!$D$4:$D$810=$Q$24)*('Match Log'!$A$4:$A$810&lt;=$J345)),'Match Log'!$N$4:$N$810),NA()))</f>
        <v>0</v>
      </c>
      <c r="R345">
        <f>IF($J345&gt;MAX('Match Log'!$A$4:$A$810),NA(),IFERROR(LOOKUP(2,1/(('Match Log'!$D$4:$D$810=$R$24)*('Match Log'!$A$4:$A$810&lt;=$J345)),'Match Log'!$N$4:$N$810),NA()))</f>
        <v>0</v>
      </c>
      <c r="S345">
        <f>IF($J345&gt;MAX('Match Log'!$A$4:$A$810),NA(),IFERROR(LOOKUP(2,1/(('Match Log'!$D$4:$D$810=$S$24)*('Match Log'!$A$4:$A$810&lt;=$J345)),'Match Log'!$N$4:$N$810),NA()))</f>
        <v>0</v>
      </c>
      <c r="T345">
        <f>IF($J345&gt;MAX('Match Log'!$A$4:$A$810),NA(),IFERROR(LOOKUP(2,1/(('Match Log'!$D$4:$D$810=$T$24)*('Match Log'!$A$4:$A$810&lt;=$J345)),'Match Log'!$N$4:$N$810),NA()))</f>
        <v>0</v>
      </c>
      <c r="U345">
        <f>IF($J345&gt;MAX('Match Log'!$A$4:$A$810),NA(),IFERROR(LOOKUP(2,1/(('Match Log'!$D$4:$D$810=$U$24)*('Match Log'!$A$4:$A$810&lt;=$J345)),'Match Log'!$N$4:$N$810),NA()))</f>
        <v>0</v>
      </c>
      <c r="V345">
        <f>IF($J345&gt;MAX('Match Log'!$A$4:$A$810),NA(),IFERROR(LOOKUP(2,1/(('Match Log'!$D$4:$D$810=$V$24)*('Match Log'!$A$4:$A$810&lt;=$J345)),'Match Log'!$N$4:$N$810),NA()))</f>
        <v>0</v>
      </c>
      <c r="W345">
        <f>IF($J345&gt;MAX('Match Log'!$A$4:$A$810),NA(),IFERROR(LOOKUP(2,1/(('Match Log'!$D$4:$D$810=$W$24)*('Match Log'!$A$4:$A$810&lt;=$J345)),'Match Log'!$N$4:$N$810),NA()))</f>
        <v>0</v>
      </c>
      <c r="X345">
        <f>IF($J345&gt;MAX('Match Log'!$A$4:$A$810),NA(),IFERROR(LOOKUP(2,1/(('Match Log'!$D$4:$D$810=$X$24)*('Match Log'!$A$4:$A$810&lt;=$J345)),'Match Log'!$N$4:$N$810),NA()))</f>
        <v>0</v>
      </c>
      <c r="Y345" t="str">
        <f>IF(AND($B345&lt;&gt;"",$B345&gt;=$B$5,$I345&lt;&gt;""),$I345,"")</f>
      </c>
    </row>
    <row r="346">
      <c r="A346">
        <v>322</v>
      </c>
      <c r="B346">
        <f>IFERROR(INDEX('Match Log'!$B$4:$B$810,MATCH(322,'Match Log'!$A$4:$A$810,0)),"")</f>
        <v>0</v>
      </c>
      <c r="C346" t="str">
        <f>IFERROR(INDEX('Match Log'!$C$4:$C$810,MATCH(322,'Match Log'!$A$4:$A$810,0)),"")</f>
      </c>
      <c r="D346" t="str">
        <f>IFERROR(INDEX('Match Log'!$G$4:$G$810,MATCH(322,'Match Log'!$A$4:$A$810,0)),"")</f>
      </c>
      <c r="E346">
        <f>IFERROR(INDEX('Match Log'!$F$4:$F$810,MATCH(322,'Match Log'!$A$4:$A$810,0)),"")</f>
        <v>0</v>
      </c>
      <c r="F346">
        <f>IFERROR(SUMIFS('Match Log'!$I$4:$I$810,'Match Log'!$A$4:$A$810,322,'Match Log'!$E$4:$E$810,"Win"),"")</f>
        <v>0</v>
      </c>
      <c r="G346">
        <f>IF($D346="","",1-$F346*$E346)</f>
        <v>0</v>
      </c>
      <c r="H346" t="str">
        <f>IFERROR(IF($E346=2,LOOKUP(2,1/(('Match Log'!$A$4:$A$810=322)*('Match Log'!$E$4:$E$810="Loss")),'Match Log'!$D$4:$D$810),"the field"),"")</f>
      </c>
      <c r="I346">
        <f>IF($G346="","",$G346-$A346/1000000)</f>
        <v>0</v>
      </c>
      <c r="J346">
        <v>322</v>
      </c>
      <c r="K346">
        <f>IF($J346&gt;MAX('Match Log'!$A$4:$A$810),NA(),IFERROR(LOOKUP(2,1/(('Match Log'!$D$4:$D$810=$K$24)*('Match Log'!$A$4:$A$810&lt;=$J346)),'Match Log'!$N$4:$N$810),NA()))</f>
        <v>0</v>
      </c>
      <c r="L346">
        <f>IF($J346&gt;MAX('Match Log'!$A$4:$A$810),NA(),IFERROR(LOOKUP(2,1/(('Match Log'!$D$4:$D$810=$L$24)*('Match Log'!$A$4:$A$810&lt;=$J346)),'Match Log'!$N$4:$N$810),NA()))</f>
        <v>0</v>
      </c>
      <c r="M346">
        <f>IF($J346&gt;MAX('Match Log'!$A$4:$A$810),NA(),IFERROR(LOOKUP(2,1/(('Match Log'!$D$4:$D$810=$M$24)*('Match Log'!$A$4:$A$810&lt;=$J346)),'Match Log'!$N$4:$N$810),NA()))</f>
        <v>0</v>
      </c>
      <c r="N346">
        <f>IF($J346&gt;MAX('Match Log'!$A$4:$A$810),NA(),IFERROR(LOOKUP(2,1/(('Match Log'!$D$4:$D$810=$N$24)*('Match Log'!$A$4:$A$810&lt;=$J346)),'Match Log'!$N$4:$N$810),NA()))</f>
        <v>0</v>
      </c>
      <c r="O346">
        <f>IF($J346&gt;MAX('Match Log'!$A$4:$A$810),NA(),IFERROR(LOOKUP(2,1/(('Match Log'!$D$4:$D$810=$O$24)*('Match Log'!$A$4:$A$810&lt;=$J346)),'Match Log'!$N$4:$N$810),NA()))</f>
        <v>0</v>
      </c>
      <c r="P346">
        <f>IF($J346&gt;MAX('Match Log'!$A$4:$A$810),NA(),IFERROR(LOOKUP(2,1/(('Match Log'!$D$4:$D$810=$P$24)*('Match Log'!$A$4:$A$810&lt;=$J346)),'Match Log'!$N$4:$N$810),NA()))</f>
        <v>0</v>
      </c>
      <c r="Q346">
        <f>IF($J346&gt;MAX('Match Log'!$A$4:$A$810),NA(),IFERROR(LOOKUP(2,1/(('Match Log'!$D$4:$D$810=$Q$24)*('Match Log'!$A$4:$A$810&lt;=$J346)),'Match Log'!$N$4:$N$810),NA()))</f>
        <v>0</v>
      </c>
      <c r="R346">
        <f>IF($J346&gt;MAX('Match Log'!$A$4:$A$810),NA(),IFERROR(LOOKUP(2,1/(('Match Log'!$D$4:$D$810=$R$24)*('Match Log'!$A$4:$A$810&lt;=$J346)),'Match Log'!$N$4:$N$810),NA()))</f>
        <v>0</v>
      </c>
      <c r="S346">
        <f>IF($J346&gt;MAX('Match Log'!$A$4:$A$810),NA(),IFERROR(LOOKUP(2,1/(('Match Log'!$D$4:$D$810=$S$24)*('Match Log'!$A$4:$A$810&lt;=$J346)),'Match Log'!$N$4:$N$810),NA()))</f>
        <v>0</v>
      </c>
      <c r="T346">
        <f>IF($J346&gt;MAX('Match Log'!$A$4:$A$810),NA(),IFERROR(LOOKUP(2,1/(('Match Log'!$D$4:$D$810=$T$24)*('Match Log'!$A$4:$A$810&lt;=$J346)),'Match Log'!$N$4:$N$810),NA()))</f>
        <v>0</v>
      </c>
      <c r="U346">
        <f>IF($J346&gt;MAX('Match Log'!$A$4:$A$810),NA(),IFERROR(LOOKUP(2,1/(('Match Log'!$D$4:$D$810=$U$24)*('Match Log'!$A$4:$A$810&lt;=$J346)),'Match Log'!$N$4:$N$810),NA()))</f>
        <v>0</v>
      </c>
      <c r="V346">
        <f>IF($J346&gt;MAX('Match Log'!$A$4:$A$810),NA(),IFERROR(LOOKUP(2,1/(('Match Log'!$D$4:$D$810=$V$24)*('Match Log'!$A$4:$A$810&lt;=$J346)),'Match Log'!$N$4:$N$810),NA()))</f>
        <v>0</v>
      </c>
      <c r="W346">
        <f>IF($J346&gt;MAX('Match Log'!$A$4:$A$810),NA(),IFERROR(LOOKUP(2,1/(('Match Log'!$D$4:$D$810=$W$24)*('Match Log'!$A$4:$A$810&lt;=$J346)),'Match Log'!$N$4:$N$810),NA()))</f>
        <v>0</v>
      </c>
      <c r="X346">
        <f>IF($J346&gt;MAX('Match Log'!$A$4:$A$810),NA(),IFERROR(LOOKUP(2,1/(('Match Log'!$D$4:$D$810=$X$24)*('Match Log'!$A$4:$A$810&lt;=$J346)),'Match Log'!$N$4:$N$810),NA()))</f>
        <v>0</v>
      </c>
      <c r="Y346" t="str">
        <f>IF(AND($B346&lt;&gt;"",$B346&gt;=$B$5,$I346&lt;&gt;""),$I346,"")</f>
      </c>
    </row>
    <row r="347">
      <c r="A347">
        <v>323</v>
      </c>
      <c r="B347">
        <f>IFERROR(INDEX('Match Log'!$B$4:$B$810,MATCH(323,'Match Log'!$A$4:$A$810,0)),"")</f>
        <v>0</v>
      </c>
      <c r="C347" t="str">
        <f>IFERROR(INDEX('Match Log'!$C$4:$C$810,MATCH(323,'Match Log'!$A$4:$A$810,0)),"")</f>
      </c>
      <c r="D347" t="str">
        <f>IFERROR(INDEX('Match Log'!$G$4:$G$810,MATCH(323,'Match Log'!$A$4:$A$810,0)),"")</f>
      </c>
      <c r="E347">
        <f>IFERROR(INDEX('Match Log'!$F$4:$F$810,MATCH(323,'Match Log'!$A$4:$A$810,0)),"")</f>
        <v>0</v>
      </c>
      <c r="F347">
        <f>IFERROR(SUMIFS('Match Log'!$I$4:$I$810,'Match Log'!$A$4:$A$810,323,'Match Log'!$E$4:$E$810,"Win"),"")</f>
        <v>0</v>
      </c>
      <c r="G347">
        <f>IF($D347="","",1-$F347*$E347)</f>
        <v>0</v>
      </c>
      <c r="H347" t="str">
        <f>IFERROR(IF($E347=2,LOOKUP(2,1/(('Match Log'!$A$4:$A$810=323)*('Match Log'!$E$4:$E$810="Loss")),'Match Log'!$D$4:$D$810),"the field"),"")</f>
      </c>
      <c r="I347">
        <f>IF($G347="","",$G347-$A347/1000000)</f>
        <v>0</v>
      </c>
      <c r="J347">
        <v>323</v>
      </c>
      <c r="K347">
        <f>IF($J347&gt;MAX('Match Log'!$A$4:$A$810),NA(),IFERROR(LOOKUP(2,1/(('Match Log'!$D$4:$D$810=$K$24)*('Match Log'!$A$4:$A$810&lt;=$J347)),'Match Log'!$N$4:$N$810),NA()))</f>
        <v>0</v>
      </c>
      <c r="L347">
        <f>IF($J347&gt;MAX('Match Log'!$A$4:$A$810),NA(),IFERROR(LOOKUP(2,1/(('Match Log'!$D$4:$D$810=$L$24)*('Match Log'!$A$4:$A$810&lt;=$J347)),'Match Log'!$N$4:$N$810),NA()))</f>
        <v>0</v>
      </c>
      <c r="M347">
        <f>IF($J347&gt;MAX('Match Log'!$A$4:$A$810),NA(),IFERROR(LOOKUP(2,1/(('Match Log'!$D$4:$D$810=$M$24)*('Match Log'!$A$4:$A$810&lt;=$J347)),'Match Log'!$N$4:$N$810),NA()))</f>
        <v>0</v>
      </c>
      <c r="N347">
        <f>IF($J347&gt;MAX('Match Log'!$A$4:$A$810),NA(),IFERROR(LOOKUP(2,1/(('Match Log'!$D$4:$D$810=$N$24)*('Match Log'!$A$4:$A$810&lt;=$J347)),'Match Log'!$N$4:$N$810),NA()))</f>
        <v>0</v>
      </c>
      <c r="O347">
        <f>IF($J347&gt;MAX('Match Log'!$A$4:$A$810),NA(),IFERROR(LOOKUP(2,1/(('Match Log'!$D$4:$D$810=$O$24)*('Match Log'!$A$4:$A$810&lt;=$J347)),'Match Log'!$N$4:$N$810),NA()))</f>
        <v>0</v>
      </c>
      <c r="P347">
        <f>IF($J347&gt;MAX('Match Log'!$A$4:$A$810),NA(),IFERROR(LOOKUP(2,1/(('Match Log'!$D$4:$D$810=$P$24)*('Match Log'!$A$4:$A$810&lt;=$J347)),'Match Log'!$N$4:$N$810),NA()))</f>
        <v>0</v>
      </c>
      <c r="Q347">
        <f>IF($J347&gt;MAX('Match Log'!$A$4:$A$810),NA(),IFERROR(LOOKUP(2,1/(('Match Log'!$D$4:$D$810=$Q$24)*('Match Log'!$A$4:$A$810&lt;=$J347)),'Match Log'!$N$4:$N$810),NA()))</f>
        <v>0</v>
      </c>
      <c r="R347">
        <f>IF($J347&gt;MAX('Match Log'!$A$4:$A$810),NA(),IFERROR(LOOKUP(2,1/(('Match Log'!$D$4:$D$810=$R$24)*('Match Log'!$A$4:$A$810&lt;=$J347)),'Match Log'!$N$4:$N$810),NA()))</f>
        <v>0</v>
      </c>
      <c r="S347">
        <f>IF($J347&gt;MAX('Match Log'!$A$4:$A$810),NA(),IFERROR(LOOKUP(2,1/(('Match Log'!$D$4:$D$810=$S$24)*('Match Log'!$A$4:$A$810&lt;=$J347)),'Match Log'!$N$4:$N$810),NA()))</f>
        <v>0</v>
      </c>
      <c r="T347">
        <f>IF($J347&gt;MAX('Match Log'!$A$4:$A$810),NA(),IFERROR(LOOKUP(2,1/(('Match Log'!$D$4:$D$810=$T$24)*('Match Log'!$A$4:$A$810&lt;=$J347)),'Match Log'!$N$4:$N$810),NA()))</f>
        <v>0</v>
      </c>
      <c r="U347">
        <f>IF($J347&gt;MAX('Match Log'!$A$4:$A$810),NA(),IFERROR(LOOKUP(2,1/(('Match Log'!$D$4:$D$810=$U$24)*('Match Log'!$A$4:$A$810&lt;=$J347)),'Match Log'!$N$4:$N$810),NA()))</f>
        <v>0</v>
      </c>
      <c r="V347">
        <f>IF($J347&gt;MAX('Match Log'!$A$4:$A$810),NA(),IFERROR(LOOKUP(2,1/(('Match Log'!$D$4:$D$810=$V$24)*('Match Log'!$A$4:$A$810&lt;=$J347)),'Match Log'!$N$4:$N$810),NA()))</f>
        <v>0</v>
      </c>
      <c r="W347">
        <f>IF($J347&gt;MAX('Match Log'!$A$4:$A$810),NA(),IFERROR(LOOKUP(2,1/(('Match Log'!$D$4:$D$810=$W$24)*('Match Log'!$A$4:$A$810&lt;=$J347)),'Match Log'!$N$4:$N$810),NA()))</f>
        <v>0</v>
      </c>
      <c r="X347">
        <f>IF($J347&gt;MAX('Match Log'!$A$4:$A$810),NA(),IFERROR(LOOKUP(2,1/(('Match Log'!$D$4:$D$810=$X$24)*('Match Log'!$A$4:$A$810&lt;=$J347)),'Match Log'!$N$4:$N$810),NA()))</f>
        <v>0</v>
      </c>
      <c r="Y347" t="str">
        <f>IF(AND($B347&lt;&gt;"",$B347&gt;=$B$5,$I347&lt;&gt;""),$I347,"")</f>
      </c>
    </row>
    <row r="348">
      <c r="A348">
        <v>324</v>
      </c>
      <c r="B348">
        <f>IFERROR(INDEX('Match Log'!$B$4:$B$810,MATCH(324,'Match Log'!$A$4:$A$810,0)),"")</f>
        <v>0</v>
      </c>
      <c r="C348" t="str">
        <f>IFERROR(INDEX('Match Log'!$C$4:$C$810,MATCH(324,'Match Log'!$A$4:$A$810,0)),"")</f>
      </c>
      <c r="D348" t="str">
        <f>IFERROR(INDEX('Match Log'!$G$4:$G$810,MATCH(324,'Match Log'!$A$4:$A$810,0)),"")</f>
      </c>
      <c r="E348">
        <f>IFERROR(INDEX('Match Log'!$F$4:$F$810,MATCH(324,'Match Log'!$A$4:$A$810,0)),"")</f>
        <v>0</v>
      </c>
      <c r="F348">
        <f>IFERROR(SUMIFS('Match Log'!$I$4:$I$810,'Match Log'!$A$4:$A$810,324,'Match Log'!$E$4:$E$810,"Win"),"")</f>
        <v>0</v>
      </c>
      <c r="G348">
        <f>IF($D348="","",1-$F348*$E348)</f>
        <v>0</v>
      </c>
      <c r="H348" t="str">
        <f>IFERROR(IF($E348=2,LOOKUP(2,1/(('Match Log'!$A$4:$A$810=324)*('Match Log'!$E$4:$E$810="Loss")),'Match Log'!$D$4:$D$810),"the field"),"")</f>
      </c>
      <c r="I348">
        <f>IF($G348="","",$G348-$A348/1000000)</f>
        <v>0</v>
      </c>
      <c r="J348">
        <v>324</v>
      </c>
      <c r="K348">
        <f>IF($J348&gt;MAX('Match Log'!$A$4:$A$810),NA(),IFERROR(LOOKUP(2,1/(('Match Log'!$D$4:$D$810=$K$24)*('Match Log'!$A$4:$A$810&lt;=$J348)),'Match Log'!$N$4:$N$810),NA()))</f>
        <v>0</v>
      </c>
      <c r="L348">
        <f>IF($J348&gt;MAX('Match Log'!$A$4:$A$810),NA(),IFERROR(LOOKUP(2,1/(('Match Log'!$D$4:$D$810=$L$24)*('Match Log'!$A$4:$A$810&lt;=$J348)),'Match Log'!$N$4:$N$810),NA()))</f>
        <v>0</v>
      </c>
      <c r="M348">
        <f>IF($J348&gt;MAX('Match Log'!$A$4:$A$810),NA(),IFERROR(LOOKUP(2,1/(('Match Log'!$D$4:$D$810=$M$24)*('Match Log'!$A$4:$A$810&lt;=$J348)),'Match Log'!$N$4:$N$810),NA()))</f>
        <v>0</v>
      </c>
      <c r="N348">
        <f>IF($J348&gt;MAX('Match Log'!$A$4:$A$810),NA(),IFERROR(LOOKUP(2,1/(('Match Log'!$D$4:$D$810=$N$24)*('Match Log'!$A$4:$A$810&lt;=$J348)),'Match Log'!$N$4:$N$810),NA()))</f>
        <v>0</v>
      </c>
      <c r="O348">
        <f>IF($J348&gt;MAX('Match Log'!$A$4:$A$810),NA(),IFERROR(LOOKUP(2,1/(('Match Log'!$D$4:$D$810=$O$24)*('Match Log'!$A$4:$A$810&lt;=$J348)),'Match Log'!$N$4:$N$810),NA()))</f>
        <v>0</v>
      </c>
      <c r="P348">
        <f>IF($J348&gt;MAX('Match Log'!$A$4:$A$810),NA(),IFERROR(LOOKUP(2,1/(('Match Log'!$D$4:$D$810=$P$24)*('Match Log'!$A$4:$A$810&lt;=$J348)),'Match Log'!$N$4:$N$810),NA()))</f>
        <v>0</v>
      </c>
      <c r="Q348">
        <f>IF($J348&gt;MAX('Match Log'!$A$4:$A$810),NA(),IFERROR(LOOKUP(2,1/(('Match Log'!$D$4:$D$810=$Q$24)*('Match Log'!$A$4:$A$810&lt;=$J348)),'Match Log'!$N$4:$N$810),NA()))</f>
        <v>0</v>
      </c>
      <c r="R348">
        <f>IF($J348&gt;MAX('Match Log'!$A$4:$A$810),NA(),IFERROR(LOOKUP(2,1/(('Match Log'!$D$4:$D$810=$R$24)*('Match Log'!$A$4:$A$810&lt;=$J348)),'Match Log'!$N$4:$N$810),NA()))</f>
        <v>0</v>
      </c>
      <c r="S348">
        <f>IF($J348&gt;MAX('Match Log'!$A$4:$A$810),NA(),IFERROR(LOOKUP(2,1/(('Match Log'!$D$4:$D$810=$S$24)*('Match Log'!$A$4:$A$810&lt;=$J348)),'Match Log'!$N$4:$N$810),NA()))</f>
        <v>0</v>
      </c>
      <c r="T348">
        <f>IF($J348&gt;MAX('Match Log'!$A$4:$A$810),NA(),IFERROR(LOOKUP(2,1/(('Match Log'!$D$4:$D$810=$T$24)*('Match Log'!$A$4:$A$810&lt;=$J348)),'Match Log'!$N$4:$N$810),NA()))</f>
        <v>0</v>
      </c>
      <c r="U348">
        <f>IF($J348&gt;MAX('Match Log'!$A$4:$A$810),NA(),IFERROR(LOOKUP(2,1/(('Match Log'!$D$4:$D$810=$U$24)*('Match Log'!$A$4:$A$810&lt;=$J348)),'Match Log'!$N$4:$N$810),NA()))</f>
        <v>0</v>
      </c>
      <c r="V348">
        <f>IF($J348&gt;MAX('Match Log'!$A$4:$A$810),NA(),IFERROR(LOOKUP(2,1/(('Match Log'!$D$4:$D$810=$V$24)*('Match Log'!$A$4:$A$810&lt;=$J348)),'Match Log'!$N$4:$N$810),NA()))</f>
        <v>0</v>
      </c>
      <c r="W348">
        <f>IF($J348&gt;MAX('Match Log'!$A$4:$A$810),NA(),IFERROR(LOOKUP(2,1/(('Match Log'!$D$4:$D$810=$W$24)*('Match Log'!$A$4:$A$810&lt;=$J348)),'Match Log'!$N$4:$N$810),NA()))</f>
        <v>0</v>
      </c>
      <c r="X348">
        <f>IF($J348&gt;MAX('Match Log'!$A$4:$A$810),NA(),IFERROR(LOOKUP(2,1/(('Match Log'!$D$4:$D$810=$X$24)*('Match Log'!$A$4:$A$810&lt;=$J348)),'Match Log'!$N$4:$N$810),NA()))</f>
        <v>0</v>
      </c>
      <c r="Y348" t="str">
        <f>IF(AND($B348&lt;&gt;"",$B348&gt;=$B$5,$I348&lt;&gt;""),$I348,"")</f>
      </c>
    </row>
    <row r="349">
      <c r="A349">
        <v>325</v>
      </c>
      <c r="B349">
        <f>IFERROR(INDEX('Match Log'!$B$4:$B$810,MATCH(325,'Match Log'!$A$4:$A$810,0)),"")</f>
        <v>0</v>
      </c>
      <c r="C349" t="str">
        <f>IFERROR(INDEX('Match Log'!$C$4:$C$810,MATCH(325,'Match Log'!$A$4:$A$810,0)),"")</f>
      </c>
      <c r="D349" t="str">
        <f>IFERROR(INDEX('Match Log'!$G$4:$G$810,MATCH(325,'Match Log'!$A$4:$A$810,0)),"")</f>
      </c>
      <c r="E349">
        <f>IFERROR(INDEX('Match Log'!$F$4:$F$810,MATCH(325,'Match Log'!$A$4:$A$810,0)),"")</f>
        <v>0</v>
      </c>
      <c r="F349">
        <f>IFERROR(SUMIFS('Match Log'!$I$4:$I$810,'Match Log'!$A$4:$A$810,325,'Match Log'!$E$4:$E$810,"Win"),"")</f>
        <v>0</v>
      </c>
      <c r="G349">
        <f>IF($D349="","",1-$F349*$E349)</f>
        <v>0</v>
      </c>
      <c r="H349" t="str">
        <f>IFERROR(IF($E349=2,LOOKUP(2,1/(('Match Log'!$A$4:$A$810=325)*('Match Log'!$E$4:$E$810="Loss")),'Match Log'!$D$4:$D$810),"the field"),"")</f>
      </c>
      <c r="I349">
        <f>IF($G349="","",$G349-$A349/1000000)</f>
        <v>0</v>
      </c>
      <c r="J349">
        <v>325</v>
      </c>
      <c r="K349">
        <f>IF($J349&gt;MAX('Match Log'!$A$4:$A$810),NA(),IFERROR(LOOKUP(2,1/(('Match Log'!$D$4:$D$810=$K$24)*('Match Log'!$A$4:$A$810&lt;=$J349)),'Match Log'!$N$4:$N$810),NA()))</f>
        <v>0</v>
      </c>
      <c r="L349">
        <f>IF($J349&gt;MAX('Match Log'!$A$4:$A$810),NA(),IFERROR(LOOKUP(2,1/(('Match Log'!$D$4:$D$810=$L$24)*('Match Log'!$A$4:$A$810&lt;=$J349)),'Match Log'!$N$4:$N$810),NA()))</f>
        <v>0</v>
      </c>
      <c r="M349">
        <f>IF($J349&gt;MAX('Match Log'!$A$4:$A$810),NA(),IFERROR(LOOKUP(2,1/(('Match Log'!$D$4:$D$810=$M$24)*('Match Log'!$A$4:$A$810&lt;=$J349)),'Match Log'!$N$4:$N$810),NA()))</f>
        <v>0</v>
      </c>
      <c r="N349">
        <f>IF($J349&gt;MAX('Match Log'!$A$4:$A$810),NA(),IFERROR(LOOKUP(2,1/(('Match Log'!$D$4:$D$810=$N$24)*('Match Log'!$A$4:$A$810&lt;=$J349)),'Match Log'!$N$4:$N$810),NA()))</f>
        <v>0</v>
      </c>
      <c r="O349">
        <f>IF($J349&gt;MAX('Match Log'!$A$4:$A$810),NA(),IFERROR(LOOKUP(2,1/(('Match Log'!$D$4:$D$810=$O$24)*('Match Log'!$A$4:$A$810&lt;=$J349)),'Match Log'!$N$4:$N$810),NA()))</f>
        <v>0</v>
      </c>
      <c r="P349">
        <f>IF($J349&gt;MAX('Match Log'!$A$4:$A$810),NA(),IFERROR(LOOKUP(2,1/(('Match Log'!$D$4:$D$810=$P$24)*('Match Log'!$A$4:$A$810&lt;=$J349)),'Match Log'!$N$4:$N$810),NA()))</f>
        <v>0</v>
      </c>
      <c r="Q349">
        <f>IF($J349&gt;MAX('Match Log'!$A$4:$A$810),NA(),IFERROR(LOOKUP(2,1/(('Match Log'!$D$4:$D$810=$Q$24)*('Match Log'!$A$4:$A$810&lt;=$J349)),'Match Log'!$N$4:$N$810),NA()))</f>
        <v>0</v>
      </c>
      <c r="R349">
        <f>IF($J349&gt;MAX('Match Log'!$A$4:$A$810),NA(),IFERROR(LOOKUP(2,1/(('Match Log'!$D$4:$D$810=$R$24)*('Match Log'!$A$4:$A$810&lt;=$J349)),'Match Log'!$N$4:$N$810),NA()))</f>
        <v>0</v>
      </c>
      <c r="S349">
        <f>IF($J349&gt;MAX('Match Log'!$A$4:$A$810),NA(),IFERROR(LOOKUP(2,1/(('Match Log'!$D$4:$D$810=$S$24)*('Match Log'!$A$4:$A$810&lt;=$J349)),'Match Log'!$N$4:$N$810),NA()))</f>
        <v>0</v>
      </c>
      <c r="T349">
        <f>IF($J349&gt;MAX('Match Log'!$A$4:$A$810),NA(),IFERROR(LOOKUP(2,1/(('Match Log'!$D$4:$D$810=$T$24)*('Match Log'!$A$4:$A$810&lt;=$J349)),'Match Log'!$N$4:$N$810),NA()))</f>
        <v>0</v>
      </c>
      <c r="U349">
        <f>IF($J349&gt;MAX('Match Log'!$A$4:$A$810),NA(),IFERROR(LOOKUP(2,1/(('Match Log'!$D$4:$D$810=$U$24)*('Match Log'!$A$4:$A$810&lt;=$J349)),'Match Log'!$N$4:$N$810),NA()))</f>
        <v>0</v>
      </c>
      <c r="V349">
        <f>IF($J349&gt;MAX('Match Log'!$A$4:$A$810),NA(),IFERROR(LOOKUP(2,1/(('Match Log'!$D$4:$D$810=$V$24)*('Match Log'!$A$4:$A$810&lt;=$J349)),'Match Log'!$N$4:$N$810),NA()))</f>
        <v>0</v>
      </c>
      <c r="W349">
        <f>IF($J349&gt;MAX('Match Log'!$A$4:$A$810),NA(),IFERROR(LOOKUP(2,1/(('Match Log'!$D$4:$D$810=$W$24)*('Match Log'!$A$4:$A$810&lt;=$J349)),'Match Log'!$N$4:$N$810),NA()))</f>
        <v>0</v>
      </c>
      <c r="X349">
        <f>IF($J349&gt;MAX('Match Log'!$A$4:$A$810),NA(),IFERROR(LOOKUP(2,1/(('Match Log'!$D$4:$D$810=$X$24)*('Match Log'!$A$4:$A$810&lt;=$J349)),'Match Log'!$N$4:$N$810),NA()))</f>
        <v>0</v>
      </c>
      <c r="Y349" t="str">
        <f>IF(AND($B349&lt;&gt;"",$B349&gt;=$B$5,$I349&lt;&gt;""),$I349,"")</f>
      </c>
    </row>
    <row r="350">
      <c r="A350">
        <v>326</v>
      </c>
      <c r="B350">
        <f>IFERROR(INDEX('Match Log'!$B$4:$B$810,MATCH(326,'Match Log'!$A$4:$A$810,0)),"")</f>
        <v>0</v>
      </c>
      <c r="C350" t="str">
        <f>IFERROR(INDEX('Match Log'!$C$4:$C$810,MATCH(326,'Match Log'!$A$4:$A$810,0)),"")</f>
      </c>
      <c r="D350" t="str">
        <f>IFERROR(INDEX('Match Log'!$G$4:$G$810,MATCH(326,'Match Log'!$A$4:$A$810,0)),"")</f>
      </c>
      <c r="E350">
        <f>IFERROR(INDEX('Match Log'!$F$4:$F$810,MATCH(326,'Match Log'!$A$4:$A$810,0)),"")</f>
        <v>0</v>
      </c>
      <c r="F350">
        <f>IFERROR(SUMIFS('Match Log'!$I$4:$I$810,'Match Log'!$A$4:$A$810,326,'Match Log'!$E$4:$E$810,"Win"),"")</f>
        <v>0</v>
      </c>
      <c r="G350">
        <f>IF($D350="","",1-$F350*$E350)</f>
        <v>0</v>
      </c>
      <c r="H350" t="str">
        <f>IFERROR(IF($E350=2,LOOKUP(2,1/(('Match Log'!$A$4:$A$810=326)*('Match Log'!$E$4:$E$810="Loss")),'Match Log'!$D$4:$D$810),"the field"),"")</f>
      </c>
      <c r="I350">
        <f>IF($G350="","",$G350-$A350/1000000)</f>
        <v>0</v>
      </c>
      <c r="J350">
        <v>326</v>
      </c>
      <c r="K350">
        <f>IF($J350&gt;MAX('Match Log'!$A$4:$A$810),NA(),IFERROR(LOOKUP(2,1/(('Match Log'!$D$4:$D$810=$K$24)*('Match Log'!$A$4:$A$810&lt;=$J350)),'Match Log'!$N$4:$N$810),NA()))</f>
        <v>0</v>
      </c>
      <c r="L350">
        <f>IF($J350&gt;MAX('Match Log'!$A$4:$A$810),NA(),IFERROR(LOOKUP(2,1/(('Match Log'!$D$4:$D$810=$L$24)*('Match Log'!$A$4:$A$810&lt;=$J350)),'Match Log'!$N$4:$N$810),NA()))</f>
        <v>0</v>
      </c>
      <c r="M350">
        <f>IF($J350&gt;MAX('Match Log'!$A$4:$A$810),NA(),IFERROR(LOOKUP(2,1/(('Match Log'!$D$4:$D$810=$M$24)*('Match Log'!$A$4:$A$810&lt;=$J350)),'Match Log'!$N$4:$N$810),NA()))</f>
        <v>0</v>
      </c>
      <c r="N350">
        <f>IF($J350&gt;MAX('Match Log'!$A$4:$A$810),NA(),IFERROR(LOOKUP(2,1/(('Match Log'!$D$4:$D$810=$N$24)*('Match Log'!$A$4:$A$810&lt;=$J350)),'Match Log'!$N$4:$N$810),NA()))</f>
        <v>0</v>
      </c>
      <c r="O350">
        <f>IF($J350&gt;MAX('Match Log'!$A$4:$A$810),NA(),IFERROR(LOOKUP(2,1/(('Match Log'!$D$4:$D$810=$O$24)*('Match Log'!$A$4:$A$810&lt;=$J350)),'Match Log'!$N$4:$N$810),NA()))</f>
        <v>0</v>
      </c>
      <c r="P350">
        <f>IF($J350&gt;MAX('Match Log'!$A$4:$A$810),NA(),IFERROR(LOOKUP(2,1/(('Match Log'!$D$4:$D$810=$P$24)*('Match Log'!$A$4:$A$810&lt;=$J350)),'Match Log'!$N$4:$N$810),NA()))</f>
        <v>0</v>
      </c>
      <c r="Q350">
        <f>IF($J350&gt;MAX('Match Log'!$A$4:$A$810),NA(),IFERROR(LOOKUP(2,1/(('Match Log'!$D$4:$D$810=$Q$24)*('Match Log'!$A$4:$A$810&lt;=$J350)),'Match Log'!$N$4:$N$810),NA()))</f>
        <v>0</v>
      </c>
      <c r="R350">
        <f>IF($J350&gt;MAX('Match Log'!$A$4:$A$810),NA(),IFERROR(LOOKUP(2,1/(('Match Log'!$D$4:$D$810=$R$24)*('Match Log'!$A$4:$A$810&lt;=$J350)),'Match Log'!$N$4:$N$810),NA()))</f>
        <v>0</v>
      </c>
      <c r="S350">
        <f>IF($J350&gt;MAX('Match Log'!$A$4:$A$810),NA(),IFERROR(LOOKUP(2,1/(('Match Log'!$D$4:$D$810=$S$24)*('Match Log'!$A$4:$A$810&lt;=$J350)),'Match Log'!$N$4:$N$810),NA()))</f>
        <v>0</v>
      </c>
      <c r="T350">
        <f>IF($J350&gt;MAX('Match Log'!$A$4:$A$810),NA(),IFERROR(LOOKUP(2,1/(('Match Log'!$D$4:$D$810=$T$24)*('Match Log'!$A$4:$A$810&lt;=$J350)),'Match Log'!$N$4:$N$810),NA()))</f>
        <v>0</v>
      </c>
      <c r="U350">
        <f>IF($J350&gt;MAX('Match Log'!$A$4:$A$810),NA(),IFERROR(LOOKUP(2,1/(('Match Log'!$D$4:$D$810=$U$24)*('Match Log'!$A$4:$A$810&lt;=$J350)),'Match Log'!$N$4:$N$810),NA()))</f>
        <v>0</v>
      </c>
      <c r="V350">
        <f>IF($J350&gt;MAX('Match Log'!$A$4:$A$810),NA(),IFERROR(LOOKUP(2,1/(('Match Log'!$D$4:$D$810=$V$24)*('Match Log'!$A$4:$A$810&lt;=$J350)),'Match Log'!$N$4:$N$810),NA()))</f>
        <v>0</v>
      </c>
      <c r="W350">
        <f>IF($J350&gt;MAX('Match Log'!$A$4:$A$810),NA(),IFERROR(LOOKUP(2,1/(('Match Log'!$D$4:$D$810=$W$24)*('Match Log'!$A$4:$A$810&lt;=$J350)),'Match Log'!$N$4:$N$810),NA()))</f>
        <v>0</v>
      </c>
      <c r="X350">
        <f>IF($J350&gt;MAX('Match Log'!$A$4:$A$810),NA(),IFERROR(LOOKUP(2,1/(('Match Log'!$D$4:$D$810=$X$24)*('Match Log'!$A$4:$A$810&lt;=$J350)),'Match Log'!$N$4:$N$810),NA()))</f>
        <v>0</v>
      </c>
      <c r="Y350" t="str">
        <f>IF(AND($B350&lt;&gt;"",$B350&gt;=$B$5,$I350&lt;&gt;""),$I350,"")</f>
      </c>
    </row>
    <row r="351">
      <c r="A351">
        <v>327</v>
      </c>
      <c r="B351">
        <f>IFERROR(INDEX('Match Log'!$B$4:$B$810,MATCH(327,'Match Log'!$A$4:$A$810,0)),"")</f>
        <v>0</v>
      </c>
      <c r="C351" t="str">
        <f>IFERROR(INDEX('Match Log'!$C$4:$C$810,MATCH(327,'Match Log'!$A$4:$A$810,0)),"")</f>
      </c>
      <c r="D351" t="str">
        <f>IFERROR(INDEX('Match Log'!$G$4:$G$810,MATCH(327,'Match Log'!$A$4:$A$810,0)),"")</f>
      </c>
      <c r="E351">
        <f>IFERROR(INDEX('Match Log'!$F$4:$F$810,MATCH(327,'Match Log'!$A$4:$A$810,0)),"")</f>
        <v>0</v>
      </c>
      <c r="F351">
        <f>IFERROR(SUMIFS('Match Log'!$I$4:$I$810,'Match Log'!$A$4:$A$810,327,'Match Log'!$E$4:$E$810,"Win"),"")</f>
        <v>0</v>
      </c>
      <c r="G351">
        <f>IF($D351="","",1-$F351*$E351)</f>
        <v>0</v>
      </c>
      <c r="H351" t="str">
        <f>IFERROR(IF($E351=2,LOOKUP(2,1/(('Match Log'!$A$4:$A$810=327)*('Match Log'!$E$4:$E$810="Loss")),'Match Log'!$D$4:$D$810),"the field"),"")</f>
      </c>
      <c r="I351">
        <f>IF($G351="","",$G351-$A351/1000000)</f>
        <v>0</v>
      </c>
      <c r="J351">
        <v>327</v>
      </c>
      <c r="K351">
        <f>IF($J351&gt;MAX('Match Log'!$A$4:$A$810),NA(),IFERROR(LOOKUP(2,1/(('Match Log'!$D$4:$D$810=$K$24)*('Match Log'!$A$4:$A$810&lt;=$J351)),'Match Log'!$N$4:$N$810),NA()))</f>
        <v>0</v>
      </c>
      <c r="L351">
        <f>IF($J351&gt;MAX('Match Log'!$A$4:$A$810),NA(),IFERROR(LOOKUP(2,1/(('Match Log'!$D$4:$D$810=$L$24)*('Match Log'!$A$4:$A$810&lt;=$J351)),'Match Log'!$N$4:$N$810),NA()))</f>
        <v>0</v>
      </c>
      <c r="M351">
        <f>IF($J351&gt;MAX('Match Log'!$A$4:$A$810),NA(),IFERROR(LOOKUP(2,1/(('Match Log'!$D$4:$D$810=$M$24)*('Match Log'!$A$4:$A$810&lt;=$J351)),'Match Log'!$N$4:$N$810),NA()))</f>
        <v>0</v>
      </c>
      <c r="N351">
        <f>IF($J351&gt;MAX('Match Log'!$A$4:$A$810),NA(),IFERROR(LOOKUP(2,1/(('Match Log'!$D$4:$D$810=$N$24)*('Match Log'!$A$4:$A$810&lt;=$J351)),'Match Log'!$N$4:$N$810),NA()))</f>
        <v>0</v>
      </c>
      <c r="O351">
        <f>IF($J351&gt;MAX('Match Log'!$A$4:$A$810),NA(),IFERROR(LOOKUP(2,1/(('Match Log'!$D$4:$D$810=$O$24)*('Match Log'!$A$4:$A$810&lt;=$J351)),'Match Log'!$N$4:$N$810),NA()))</f>
        <v>0</v>
      </c>
      <c r="P351">
        <f>IF($J351&gt;MAX('Match Log'!$A$4:$A$810),NA(),IFERROR(LOOKUP(2,1/(('Match Log'!$D$4:$D$810=$P$24)*('Match Log'!$A$4:$A$810&lt;=$J351)),'Match Log'!$N$4:$N$810),NA()))</f>
        <v>0</v>
      </c>
      <c r="Q351">
        <f>IF($J351&gt;MAX('Match Log'!$A$4:$A$810),NA(),IFERROR(LOOKUP(2,1/(('Match Log'!$D$4:$D$810=$Q$24)*('Match Log'!$A$4:$A$810&lt;=$J351)),'Match Log'!$N$4:$N$810),NA()))</f>
        <v>0</v>
      </c>
      <c r="R351">
        <f>IF($J351&gt;MAX('Match Log'!$A$4:$A$810),NA(),IFERROR(LOOKUP(2,1/(('Match Log'!$D$4:$D$810=$R$24)*('Match Log'!$A$4:$A$810&lt;=$J351)),'Match Log'!$N$4:$N$810),NA()))</f>
        <v>0</v>
      </c>
      <c r="S351">
        <f>IF($J351&gt;MAX('Match Log'!$A$4:$A$810),NA(),IFERROR(LOOKUP(2,1/(('Match Log'!$D$4:$D$810=$S$24)*('Match Log'!$A$4:$A$810&lt;=$J351)),'Match Log'!$N$4:$N$810),NA()))</f>
        <v>0</v>
      </c>
      <c r="T351">
        <f>IF($J351&gt;MAX('Match Log'!$A$4:$A$810),NA(),IFERROR(LOOKUP(2,1/(('Match Log'!$D$4:$D$810=$T$24)*('Match Log'!$A$4:$A$810&lt;=$J351)),'Match Log'!$N$4:$N$810),NA()))</f>
        <v>0</v>
      </c>
      <c r="U351">
        <f>IF($J351&gt;MAX('Match Log'!$A$4:$A$810),NA(),IFERROR(LOOKUP(2,1/(('Match Log'!$D$4:$D$810=$U$24)*('Match Log'!$A$4:$A$810&lt;=$J351)),'Match Log'!$N$4:$N$810),NA()))</f>
        <v>0</v>
      </c>
      <c r="V351">
        <f>IF($J351&gt;MAX('Match Log'!$A$4:$A$810),NA(),IFERROR(LOOKUP(2,1/(('Match Log'!$D$4:$D$810=$V$24)*('Match Log'!$A$4:$A$810&lt;=$J351)),'Match Log'!$N$4:$N$810),NA()))</f>
        <v>0</v>
      </c>
      <c r="W351">
        <f>IF($J351&gt;MAX('Match Log'!$A$4:$A$810),NA(),IFERROR(LOOKUP(2,1/(('Match Log'!$D$4:$D$810=$W$24)*('Match Log'!$A$4:$A$810&lt;=$J351)),'Match Log'!$N$4:$N$810),NA()))</f>
        <v>0</v>
      </c>
      <c r="X351">
        <f>IF($J351&gt;MAX('Match Log'!$A$4:$A$810),NA(),IFERROR(LOOKUP(2,1/(('Match Log'!$D$4:$D$810=$X$24)*('Match Log'!$A$4:$A$810&lt;=$J351)),'Match Log'!$N$4:$N$810),NA()))</f>
        <v>0</v>
      </c>
      <c r="Y351" t="str">
        <f>IF(AND($B351&lt;&gt;"",$B351&gt;=$B$5,$I351&lt;&gt;""),$I351,"")</f>
      </c>
    </row>
    <row r="352">
      <c r="A352">
        <v>328</v>
      </c>
      <c r="B352">
        <f>IFERROR(INDEX('Match Log'!$B$4:$B$810,MATCH(328,'Match Log'!$A$4:$A$810,0)),"")</f>
        <v>0</v>
      </c>
      <c r="C352" t="str">
        <f>IFERROR(INDEX('Match Log'!$C$4:$C$810,MATCH(328,'Match Log'!$A$4:$A$810,0)),"")</f>
      </c>
      <c r="D352" t="str">
        <f>IFERROR(INDEX('Match Log'!$G$4:$G$810,MATCH(328,'Match Log'!$A$4:$A$810,0)),"")</f>
      </c>
      <c r="E352">
        <f>IFERROR(INDEX('Match Log'!$F$4:$F$810,MATCH(328,'Match Log'!$A$4:$A$810,0)),"")</f>
        <v>0</v>
      </c>
      <c r="F352">
        <f>IFERROR(SUMIFS('Match Log'!$I$4:$I$810,'Match Log'!$A$4:$A$810,328,'Match Log'!$E$4:$E$810,"Win"),"")</f>
        <v>0</v>
      </c>
      <c r="G352">
        <f>IF($D352="","",1-$F352*$E352)</f>
        <v>0</v>
      </c>
      <c r="H352" t="str">
        <f>IFERROR(IF($E352=2,LOOKUP(2,1/(('Match Log'!$A$4:$A$810=328)*('Match Log'!$E$4:$E$810="Loss")),'Match Log'!$D$4:$D$810),"the field"),"")</f>
      </c>
      <c r="I352">
        <f>IF($G352="","",$G352-$A352/1000000)</f>
        <v>0</v>
      </c>
      <c r="J352">
        <v>328</v>
      </c>
      <c r="K352">
        <f>IF($J352&gt;MAX('Match Log'!$A$4:$A$810),NA(),IFERROR(LOOKUP(2,1/(('Match Log'!$D$4:$D$810=$K$24)*('Match Log'!$A$4:$A$810&lt;=$J352)),'Match Log'!$N$4:$N$810),NA()))</f>
        <v>0</v>
      </c>
      <c r="L352">
        <f>IF($J352&gt;MAX('Match Log'!$A$4:$A$810),NA(),IFERROR(LOOKUP(2,1/(('Match Log'!$D$4:$D$810=$L$24)*('Match Log'!$A$4:$A$810&lt;=$J352)),'Match Log'!$N$4:$N$810),NA()))</f>
        <v>0</v>
      </c>
      <c r="M352">
        <f>IF($J352&gt;MAX('Match Log'!$A$4:$A$810),NA(),IFERROR(LOOKUP(2,1/(('Match Log'!$D$4:$D$810=$M$24)*('Match Log'!$A$4:$A$810&lt;=$J352)),'Match Log'!$N$4:$N$810),NA()))</f>
        <v>0</v>
      </c>
      <c r="N352">
        <f>IF($J352&gt;MAX('Match Log'!$A$4:$A$810),NA(),IFERROR(LOOKUP(2,1/(('Match Log'!$D$4:$D$810=$N$24)*('Match Log'!$A$4:$A$810&lt;=$J352)),'Match Log'!$N$4:$N$810),NA()))</f>
        <v>0</v>
      </c>
      <c r="O352">
        <f>IF($J352&gt;MAX('Match Log'!$A$4:$A$810),NA(),IFERROR(LOOKUP(2,1/(('Match Log'!$D$4:$D$810=$O$24)*('Match Log'!$A$4:$A$810&lt;=$J352)),'Match Log'!$N$4:$N$810),NA()))</f>
        <v>0</v>
      </c>
      <c r="P352">
        <f>IF($J352&gt;MAX('Match Log'!$A$4:$A$810),NA(),IFERROR(LOOKUP(2,1/(('Match Log'!$D$4:$D$810=$P$24)*('Match Log'!$A$4:$A$810&lt;=$J352)),'Match Log'!$N$4:$N$810),NA()))</f>
        <v>0</v>
      </c>
      <c r="Q352">
        <f>IF($J352&gt;MAX('Match Log'!$A$4:$A$810),NA(),IFERROR(LOOKUP(2,1/(('Match Log'!$D$4:$D$810=$Q$24)*('Match Log'!$A$4:$A$810&lt;=$J352)),'Match Log'!$N$4:$N$810),NA()))</f>
        <v>0</v>
      </c>
      <c r="R352">
        <f>IF($J352&gt;MAX('Match Log'!$A$4:$A$810),NA(),IFERROR(LOOKUP(2,1/(('Match Log'!$D$4:$D$810=$R$24)*('Match Log'!$A$4:$A$810&lt;=$J352)),'Match Log'!$N$4:$N$810),NA()))</f>
        <v>0</v>
      </c>
      <c r="S352">
        <f>IF($J352&gt;MAX('Match Log'!$A$4:$A$810),NA(),IFERROR(LOOKUP(2,1/(('Match Log'!$D$4:$D$810=$S$24)*('Match Log'!$A$4:$A$810&lt;=$J352)),'Match Log'!$N$4:$N$810),NA()))</f>
        <v>0</v>
      </c>
      <c r="T352">
        <f>IF($J352&gt;MAX('Match Log'!$A$4:$A$810),NA(),IFERROR(LOOKUP(2,1/(('Match Log'!$D$4:$D$810=$T$24)*('Match Log'!$A$4:$A$810&lt;=$J352)),'Match Log'!$N$4:$N$810),NA()))</f>
        <v>0</v>
      </c>
      <c r="U352">
        <f>IF($J352&gt;MAX('Match Log'!$A$4:$A$810),NA(),IFERROR(LOOKUP(2,1/(('Match Log'!$D$4:$D$810=$U$24)*('Match Log'!$A$4:$A$810&lt;=$J352)),'Match Log'!$N$4:$N$810),NA()))</f>
        <v>0</v>
      </c>
      <c r="V352">
        <f>IF($J352&gt;MAX('Match Log'!$A$4:$A$810),NA(),IFERROR(LOOKUP(2,1/(('Match Log'!$D$4:$D$810=$V$24)*('Match Log'!$A$4:$A$810&lt;=$J352)),'Match Log'!$N$4:$N$810),NA()))</f>
        <v>0</v>
      </c>
      <c r="W352">
        <f>IF($J352&gt;MAX('Match Log'!$A$4:$A$810),NA(),IFERROR(LOOKUP(2,1/(('Match Log'!$D$4:$D$810=$W$24)*('Match Log'!$A$4:$A$810&lt;=$J352)),'Match Log'!$N$4:$N$810),NA()))</f>
        <v>0</v>
      </c>
      <c r="X352">
        <f>IF($J352&gt;MAX('Match Log'!$A$4:$A$810),NA(),IFERROR(LOOKUP(2,1/(('Match Log'!$D$4:$D$810=$X$24)*('Match Log'!$A$4:$A$810&lt;=$J352)),'Match Log'!$N$4:$N$810),NA()))</f>
        <v>0</v>
      </c>
      <c r="Y352" t="str">
        <f>IF(AND($B352&lt;&gt;"",$B352&gt;=$B$5,$I352&lt;&gt;""),$I352,"")</f>
      </c>
    </row>
    <row r="353">
      <c r="A353">
        <v>329</v>
      </c>
      <c r="B353">
        <f>IFERROR(INDEX('Match Log'!$B$4:$B$810,MATCH(329,'Match Log'!$A$4:$A$810,0)),"")</f>
        <v>0</v>
      </c>
      <c r="C353" t="str">
        <f>IFERROR(INDEX('Match Log'!$C$4:$C$810,MATCH(329,'Match Log'!$A$4:$A$810,0)),"")</f>
      </c>
      <c r="D353" t="str">
        <f>IFERROR(INDEX('Match Log'!$G$4:$G$810,MATCH(329,'Match Log'!$A$4:$A$810,0)),"")</f>
      </c>
      <c r="E353">
        <f>IFERROR(INDEX('Match Log'!$F$4:$F$810,MATCH(329,'Match Log'!$A$4:$A$810,0)),"")</f>
        <v>0</v>
      </c>
      <c r="F353">
        <f>IFERROR(SUMIFS('Match Log'!$I$4:$I$810,'Match Log'!$A$4:$A$810,329,'Match Log'!$E$4:$E$810,"Win"),"")</f>
        <v>0</v>
      </c>
      <c r="G353">
        <f>IF($D353="","",1-$F353*$E353)</f>
        <v>0</v>
      </c>
      <c r="H353" t="str">
        <f>IFERROR(IF($E353=2,LOOKUP(2,1/(('Match Log'!$A$4:$A$810=329)*('Match Log'!$E$4:$E$810="Loss")),'Match Log'!$D$4:$D$810),"the field"),"")</f>
      </c>
      <c r="I353">
        <f>IF($G353="","",$G353-$A353/1000000)</f>
        <v>0</v>
      </c>
      <c r="J353">
        <v>329</v>
      </c>
      <c r="K353">
        <f>IF($J353&gt;MAX('Match Log'!$A$4:$A$810),NA(),IFERROR(LOOKUP(2,1/(('Match Log'!$D$4:$D$810=$K$24)*('Match Log'!$A$4:$A$810&lt;=$J353)),'Match Log'!$N$4:$N$810),NA()))</f>
        <v>0</v>
      </c>
      <c r="L353">
        <f>IF($J353&gt;MAX('Match Log'!$A$4:$A$810),NA(),IFERROR(LOOKUP(2,1/(('Match Log'!$D$4:$D$810=$L$24)*('Match Log'!$A$4:$A$810&lt;=$J353)),'Match Log'!$N$4:$N$810),NA()))</f>
        <v>0</v>
      </c>
      <c r="M353">
        <f>IF($J353&gt;MAX('Match Log'!$A$4:$A$810),NA(),IFERROR(LOOKUP(2,1/(('Match Log'!$D$4:$D$810=$M$24)*('Match Log'!$A$4:$A$810&lt;=$J353)),'Match Log'!$N$4:$N$810),NA()))</f>
        <v>0</v>
      </c>
      <c r="N353">
        <f>IF($J353&gt;MAX('Match Log'!$A$4:$A$810),NA(),IFERROR(LOOKUP(2,1/(('Match Log'!$D$4:$D$810=$N$24)*('Match Log'!$A$4:$A$810&lt;=$J353)),'Match Log'!$N$4:$N$810),NA()))</f>
        <v>0</v>
      </c>
      <c r="O353">
        <f>IF($J353&gt;MAX('Match Log'!$A$4:$A$810),NA(),IFERROR(LOOKUP(2,1/(('Match Log'!$D$4:$D$810=$O$24)*('Match Log'!$A$4:$A$810&lt;=$J353)),'Match Log'!$N$4:$N$810),NA()))</f>
        <v>0</v>
      </c>
      <c r="P353">
        <f>IF($J353&gt;MAX('Match Log'!$A$4:$A$810),NA(),IFERROR(LOOKUP(2,1/(('Match Log'!$D$4:$D$810=$P$24)*('Match Log'!$A$4:$A$810&lt;=$J353)),'Match Log'!$N$4:$N$810),NA()))</f>
        <v>0</v>
      </c>
      <c r="Q353">
        <f>IF($J353&gt;MAX('Match Log'!$A$4:$A$810),NA(),IFERROR(LOOKUP(2,1/(('Match Log'!$D$4:$D$810=$Q$24)*('Match Log'!$A$4:$A$810&lt;=$J353)),'Match Log'!$N$4:$N$810),NA()))</f>
        <v>0</v>
      </c>
      <c r="R353">
        <f>IF($J353&gt;MAX('Match Log'!$A$4:$A$810),NA(),IFERROR(LOOKUP(2,1/(('Match Log'!$D$4:$D$810=$R$24)*('Match Log'!$A$4:$A$810&lt;=$J353)),'Match Log'!$N$4:$N$810),NA()))</f>
        <v>0</v>
      </c>
      <c r="S353">
        <f>IF($J353&gt;MAX('Match Log'!$A$4:$A$810),NA(),IFERROR(LOOKUP(2,1/(('Match Log'!$D$4:$D$810=$S$24)*('Match Log'!$A$4:$A$810&lt;=$J353)),'Match Log'!$N$4:$N$810),NA()))</f>
        <v>0</v>
      </c>
      <c r="T353">
        <f>IF($J353&gt;MAX('Match Log'!$A$4:$A$810),NA(),IFERROR(LOOKUP(2,1/(('Match Log'!$D$4:$D$810=$T$24)*('Match Log'!$A$4:$A$810&lt;=$J353)),'Match Log'!$N$4:$N$810),NA()))</f>
        <v>0</v>
      </c>
      <c r="U353">
        <f>IF($J353&gt;MAX('Match Log'!$A$4:$A$810),NA(),IFERROR(LOOKUP(2,1/(('Match Log'!$D$4:$D$810=$U$24)*('Match Log'!$A$4:$A$810&lt;=$J353)),'Match Log'!$N$4:$N$810),NA()))</f>
        <v>0</v>
      </c>
      <c r="V353">
        <f>IF($J353&gt;MAX('Match Log'!$A$4:$A$810),NA(),IFERROR(LOOKUP(2,1/(('Match Log'!$D$4:$D$810=$V$24)*('Match Log'!$A$4:$A$810&lt;=$J353)),'Match Log'!$N$4:$N$810),NA()))</f>
        <v>0</v>
      </c>
      <c r="W353">
        <f>IF($J353&gt;MAX('Match Log'!$A$4:$A$810),NA(),IFERROR(LOOKUP(2,1/(('Match Log'!$D$4:$D$810=$W$24)*('Match Log'!$A$4:$A$810&lt;=$J353)),'Match Log'!$N$4:$N$810),NA()))</f>
        <v>0</v>
      </c>
      <c r="X353">
        <f>IF($J353&gt;MAX('Match Log'!$A$4:$A$810),NA(),IFERROR(LOOKUP(2,1/(('Match Log'!$D$4:$D$810=$X$24)*('Match Log'!$A$4:$A$810&lt;=$J353)),'Match Log'!$N$4:$N$810),NA()))</f>
        <v>0</v>
      </c>
      <c r="Y353" t="str">
        <f>IF(AND($B353&lt;&gt;"",$B353&gt;=$B$5,$I353&lt;&gt;""),$I353,"")</f>
      </c>
    </row>
    <row r="354">
      <c r="A354">
        <v>330</v>
      </c>
      <c r="B354">
        <f>IFERROR(INDEX('Match Log'!$B$4:$B$810,MATCH(330,'Match Log'!$A$4:$A$810,0)),"")</f>
        <v>0</v>
      </c>
      <c r="C354" t="str">
        <f>IFERROR(INDEX('Match Log'!$C$4:$C$810,MATCH(330,'Match Log'!$A$4:$A$810,0)),"")</f>
      </c>
      <c r="D354" t="str">
        <f>IFERROR(INDEX('Match Log'!$G$4:$G$810,MATCH(330,'Match Log'!$A$4:$A$810,0)),"")</f>
      </c>
      <c r="E354">
        <f>IFERROR(INDEX('Match Log'!$F$4:$F$810,MATCH(330,'Match Log'!$A$4:$A$810,0)),"")</f>
        <v>0</v>
      </c>
      <c r="F354">
        <f>IFERROR(SUMIFS('Match Log'!$I$4:$I$810,'Match Log'!$A$4:$A$810,330,'Match Log'!$E$4:$E$810,"Win"),"")</f>
        <v>0</v>
      </c>
      <c r="G354">
        <f>IF($D354="","",1-$F354*$E354)</f>
        <v>0</v>
      </c>
      <c r="H354" t="str">
        <f>IFERROR(IF($E354=2,LOOKUP(2,1/(('Match Log'!$A$4:$A$810=330)*('Match Log'!$E$4:$E$810="Loss")),'Match Log'!$D$4:$D$810),"the field"),"")</f>
      </c>
      <c r="I354">
        <f>IF($G354="","",$G354-$A354/1000000)</f>
        <v>0</v>
      </c>
      <c r="J354">
        <v>330</v>
      </c>
      <c r="K354">
        <f>IF($J354&gt;MAX('Match Log'!$A$4:$A$810),NA(),IFERROR(LOOKUP(2,1/(('Match Log'!$D$4:$D$810=$K$24)*('Match Log'!$A$4:$A$810&lt;=$J354)),'Match Log'!$N$4:$N$810),NA()))</f>
        <v>0</v>
      </c>
      <c r="L354">
        <f>IF($J354&gt;MAX('Match Log'!$A$4:$A$810),NA(),IFERROR(LOOKUP(2,1/(('Match Log'!$D$4:$D$810=$L$24)*('Match Log'!$A$4:$A$810&lt;=$J354)),'Match Log'!$N$4:$N$810),NA()))</f>
        <v>0</v>
      </c>
      <c r="M354">
        <f>IF($J354&gt;MAX('Match Log'!$A$4:$A$810),NA(),IFERROR(LOOKUP(2,1/(('Match Log'!$D$4:$D$810=$M$24)*('Match Log'!$A$4:$A$810&lt;=$J354)),'Match Log'!$N$4:$N$810),NA()))</f>
        <v>0</v>
      </c>
      <c r="N354">
        <f>IF($J354&gt;MAX('Match Log'!$A$4:$A$810),NA(),IFERROR(LOOKUP(2,1/(('Match Log'!$D$4:$D$810=$N$24)*('Match Log'!$A$4:$A$810&lt;=$J354)),'Match Log'!$N$4:$N$810),NA()))</f>
        <v>0</v>
      </c>
      <c r="O354">
        <f>IF($J354&gt;MAX('Match Log'!$A$4:$A$810),NA(),IFERROR(LOOKUP(2,1/(('Match Log'!$D$4:$D$810=$O$24)*('Match Log'!$A$4:$A$810&lt;=$J354)),'Match Log'!$N$4:$N$810),NA()))</f>
        <v>0</v>
      </c>
      <c r="P354">
        <f>IF($J354&gt;MAX('Match Log'!$A$4:$A$810),NA(),IFERROR(LOOKUP(2,1/(('Match Log'!$D$4:$D$810=$P$24)*('Match Log'!$A$4:$A$810&lt;=$J354)),'Match Log'!$N$4:$N$810),NA()))</f>
        <v>0</v>
      </c>
      <c r="Q354">
        <f>IF($J354&gt;MAX('Match Log'!$A$4:$A$810),NA(),IFERROR(LOOKUP(2,1/(('Match Log'!$D$4:$D$810=$Q$24)*('Match Log'!$A$4:$A$810&lt;=$J354)),'Match Log'!$N$4:$N$810),NA()))</f>
        <v>0</v>
      </c>
      <c r="R354">
        <f>IF($J354&gt;MAX('Match Log'!$A$4:$A$810),NA(),IFERROR(LOOKUP(2,1/(('Match Log'!$D$4:$D$810=$R$24)*('Match Log'!$A$4:$A$810&lt;=$J354)),'Match Log'!$N$4:$N$810),NA()))</f>
        <v>0</v>
      </c>
      <c r="S354">
        <f>IF($J354&gt;MAX('Match Log'!$A$4:$A$810),NA(),IFERROR(LOOKUP(2,1/(('Match Log'!$D$4:$D$810=$S$24)*('Match Log'!$A$4:$A$810&lt;=$J354)),'Match Log'!$N$4:$N$810),NA()))</f>
        <v>0</v>
      </c>
      <c r="T354">
        <f>IF($J354&gt;MAX('Match Log'!$A$4:$A$810),NA(),IFERROR(LOOKUP(2,1/(('Match Log'!$D$4:$D$810=$T$24)*('Match Log'!$A$4:$A$810&lt;=$J354)),'Match Log'!$N$4:$N$810),NA()))</f>
        <v>0</v>
      </c>
      <c r="U354">
        <f>IF($J354&gt;MAX('Match Log'!$A$4:$A$810),NA(),IFERROR(LOOKUP(2,1/(('Match Log'!$D$4:$D$810=$U$24)*('Match Log'!$A$4:$A$810&lt;=$J354)),'Match Log'!$N$4:$N$810),NA()))</f>
        <v>0</v>
      </c>
      <c r="V354">
        <f>IF($J354&gt;MAX('Match Log'!$A$4:$A$810),NA(),IFERROR(LOOKUP(2,1/(('Match Log'!$D$4:$D$810=$V$24)*('Match Log'!$A$4:$A$810&lt;=$J354)),'Match Log'!$N$4:$N$810),NA()))</f>
        <v>0</v>
      </c>
      <c r="W354">
        <f>IF($J354&gt;MAX('Match Log'!$A$4:$A$810),NA(),IFERROR(LOOKUP(2,1/(('Match Log'!$D$4:$D$810=$W$24)*('Match Log'!$A$4:$A$810&lt;=$J354)),'Match Log'!$N$4:$N$810),NA()))</f>
        <v>0</v>
      </c>
      <c r="X354">
        <f>IF($J354&gt;MAX('Match Log'!$A$4:$A$810),NA(),IFERROR(LOOKUP(2,1/(('Match Log'!$D$4:$D$810=$X$24)*('Match Log'!$A$4:$A$810&lt;=$J354)),'Match Log'!$N$4:$N$810),NA()))</f>
        <v>0</v>
      </c>
      <c r="Y354" t="str">
        <f>IF(AND($B354&lt;&gt;"",$B354&gt;=$B$5,$I354&lt;&gt;""),$I354,"")</f>
      </c>
    </row>
    <row r="355">
      <c r="A355">
        <v>331</v>
      </c>
      <c r="B355">
        <f>IFERROR(INDEX('Match Log'!$B$4:$B$810,MATCH(331,'Match Log'!$A$4:$A$810,0)),"")</f>
        <v>0</v>
      </c>
      <c r="C355" t="str">
        <f>IFERROR(INDEX('Match Log'!$C$4:$C$810,MATCH(331,'Match Log'!$A$4:$A$810,0)),"")</f>
      </c>
      <c r="D355" t="str">
        <f>IFERROR(INDEX('Match Log'!$G$4:$G$810,MATCH(331,'Match Log'!$A$4:$A$810,0)),"")</f>
      </c>
      <c r="E355">
        <f>IFERROR(INDEX('Match Log'!$F$4:$F$810,MATCH(331,'Match Log'!$A$4:$A$810,0)),"")</f>
        <v>0</v>
      </c>
      <c r="F355">
        <f>IFERROR(SUMIFS('Match Log'!$I$4:$I$810,'Match Log'!$A$4:$A$810,331,'Match Log'!$E$4:$E$810,"Win"),"")</f>
        <v>0</v>
      </c>
      <c r="G355">
        <f>IF($D355="","",1-$F355*$E355)</f>
        <v>0</v>
      </c>
      <c r="H355" t="str">
        <f>IFERROR(IF($E355=2,LOOKUP(2,1/(('Match Log'!$A$4:$A$810=331)*('Match Log'!$E$4:$E$810="Loss")),'Match Log'!$D$4:$D$810),"the field"),"")</f>
      </c>
      <c r="I355">
        <f>IF($G355="","",$G355-$A355/1000000)</f>
        <v>0</v>
      </c>
      <c r="J355">
        <v>331</v>
      </c>
      <c r="K355">
        <f>IF($J355&gt;MAX('Match Log'!$A$4:$A$810),NA(),IFERROR(LOOKUP(2,1/(('Match Log'!$D$4:$D$810=$K$24)*('Match Log'!$A$4:$A$810&lt;=$J355)),'Match Log'!$N$4:$N$810),NA()))</f>
        <v>0</v>
      </c>
      <c r="L355">
        <f>IF($J355&gt;MAX('Match Log'!$A$4:$A$810),NA(),IFERROR(LOOKUP(2,1/(('Match Log'!$D$4:$D$810=$L$24)*('Match Log'!$A$4:$A$810&lt;=$J355)),'Match Log'!$N$4:$N$810),NA()))</f>
        <v>0</v>
      </c>
      <c r="M355">
        <f>IF($J355&gt;MAX('Match Log'!$A$4:$A$810),NA(),IFERROR(LOOKUP(2,1/(('Match Log'!$D$4:$D$810=$M$24)*('Match Log'!$A$4:$A$810&lt;=$J355)),'Match Log'!$N$4:$N$810),NA()))</f>
        <v>0</v>
      </c>
      <c r="N355">
        <f>IF($J355&gt;MAX('Match Log'!$A$4:$A$810),NA(),IFERROR(LOOKUP(2,1/(('Match Log'!$D$4:$D$810=$N$24)*('Match Log'!$A$4:$A$810&lt;=$J355)),'Match Log'!$N$4:$N$810),NA()))</f>
        <v>0</v>
      </c>
      <c r="O355">
        <f>IF($J355&gt;MAX('Match Log'!$A$4:$A$810),NA(),IFERROR(LOOKUP(2,1/(('Match Log'!$D$4:$D$810=$O$24)*('Match Log'!$A$4:$A$810&lt;=$J355)),'Match Log'!$N$4:$N$810),NA()))</f>
        <v>0</v>
      </c>
      <c r="P355">
        <f>IF($J355&gt;MAX('Match Log'!$A$4:$A$810),NA(),IFERROR(LOOKUP(2,1/(('Match Log'!$D$4:$D$810=$P$24)*('Match Log'!$A$4:$A$810&lt;=$J355)),'Match Log'!$N$4:$N$810),NA()))</f>
        <v>0</v>
      </c>
      <c r="Q355">
        <f>IF($J355&gt;MAX('Match Log'!$A$4:$A$810),NA(),IFERROR(LOOKUP(2,1/(('Match Log'!$D$4:$D$810=$Q$24)*('Match Log'!$A$4:$A$810&lt;=$J355)),'Match Log'!$N$4:$N$810),NA()))</f>
        <v>0</v>
      </c>
      <c r="R355">
        <f>IF($J355&gt;MAX('Match Log'!$A$4:$A$810),NA(),IFERROR(LOOKUP(2,1/(('Match Log'!$D$4:$D$810=$R$24)*('Match Log'!$A$4:$A$810&lt;=$J355)),'Match Log'!$N$4:$N$810),NA()))</f>
        <v>0</v>
      </c>
      <c r="S355">
        <f>IF($J355&gt;MAX('Match Log'!$A$4:$A$810),NA(),IFERROR(LOOKUP(2,1/(('Match Log'!$D$4:$D$810=$S$24)*('Match Log'!$A$4:$A$810&lt;=$J355)),'Match Log'!$N$4:$N$810),NA()))</f>
        <v>0</v>
      </c>
      <c r="T355">
        <f>IF($J355&gt;MAX('Match Log'!$A$4:$A$810),NA(),IFERROR(LOOKUP(2,1/(('Match Log'!$D$4:$D$810=$T$24)*('Match Log'!$A$4:$A$810&lt;=$J355)),'Match Log'!$N$4:$N$810),NA()))</f>
        <v>0</v>
      </c>
      <c r="U355">
        <f>IF($J355&gt;MAX('Match Log'!$A$4:$A$810),NA(),IFERROR(LOOKUP(2,1/(('Match Log'!$D$4:$D$810=$U$24)*('Match Log'!$A$4:$A$810&lt;=$J355)),'Match Log'!$N$4:$N$810),NA()))</f>
        <v>0</v>
      </c>
      <c r="V355">
        <f>IF($J355&gt;MAX('Match Log'!$A$4:$A$810),NA(),IFERROR(LOOKUP(2,1/(('Match Log'!$D$4:$D$810=$V$24)*('Match Log'!$A$4:$A$810&lt;=$J355)),'Match Log'!$N$4:$N$810),NA()))</f>
        <v>0</v>
      </c>
      <c r="W355">
        <f>IF($J355&gt;MAX('Match Log'!$A$4:$A$810),NA(),IFERROR(LOOKUP(2,1/(('Match Log'!$D$4:$D$810=$W$24)*('Match Log'!$A$4:$A$810&lt;=$J355)),'Match Log'!$N$4:$N$810),NA()))</f>
        <v>0</v>
      </c>
      <c r="X355">
        <f>IF($J355&gt;MAX('Match Log'!$A$4:$A$810),NA(),IFERROR(LOOKUP(2,1/(('Match Log'!$D$4:$D$810=$X$24)*('Match Log'!$A$4:$A$810&lt;=$J355)),'Match Log'!$N$4:$N$810),NA()))</f>
        <v>0</v>
      </c>
      <c r="Y355" t="str">
        <f>IF(AND($B355&lt;&gt;"",$B355&gt;=$B$5,$I355&lt;&gt;""),$I355,"")</f>
      </c>
    </row>
    <row r="356">
      <c r="A356">
        <v>332</v>
      </c>
      <c r="B356">
        <f>IFERROR(INDEX('Match Log'!$B$4:$B$810,MATCH(332,'Match Log'!$A$4:$A$810,0)),"")</f>
        <v>0</v>
      </c>
      <c r="C356" t="str">
        <f>IFERROR(INDEX('Match Log'!$C$4:$C$810,MATCH(332,'Match Log'!$A$4:$A$810,0)),"")</f>
      </c>
      <c r="D356" t="str">
        <f>IFERROR(INDEX('Match Log'!$G$4:$G$810,MATCH(332,'Match Log'!$A$4:$A$810,0)),"")</f>
      </c>
      <c r="E356">
        <f>IFERROR(INDEX('Match Log'!$F$4:$F$810,MATCH(332,'Match Log'!$A$4:$A$810,0)),"")</f>
        <v>0</v>
      </c>
      <c r="F356">
        <f>IFERROR(SUMIFS('Match Log'!$I$4:$I$810,'Match Log'!$A$4:$A$810,332,'Match Log'!$E$4:$E$810,"Win"),"")</f>
        <v>0</v>
      </c>
      <c r="G356">
        <f>IF($D356="","",1-$F356*$E356)</f>
        <v>0</v>
      </c>
      <c r="H356" t="str">
        <f>IFERROR(IF($E356=2,LOOKUP(2,1/(('Match Log'!$A$4:$A$810=332)*('Match Log'!$E$4:$E$810="Loss")),'Match Log'!$D$4:$D$810),"the field"),"")</f>
      </c>
      <c r="I356">
        <f>IF($G356="","",$G356-$A356/1000000)</f>
        <v>0</v>
      </c>
      <c r="J356">
        <v>332</v>
      </c>
      <c r="K356">
        <f>IF($J356&gt;MAX('Match Log'!$A$4:$A$810),NA(),IFERROR(LOOKUP(2,1/(('Match Log'!$D$4:$D$810=$K$24)*('Match Log'!$A$4:$A$810&lt;=$J356)),'Match Log'!$N$4:$N$810),NA()))</f>
        <v>0</v>
      </c>
      <c r="L356">
        <f>IF($J356&gt;MAX('Match Log'!$A$4:$A$810),NA(),IFERROR(LOOKUP(2,1/(('Match Log'!$D$4:$D$810=$L$24)*('Match Log'!$A$4:$A$810&lt;=$J356)),'Match Log'!$N$4:$N$810),NA()))</f>
        <v>0</v>
      </c>
      <c r="M356">
        <f>IF($J356&gt;MAX('Match Log'!$A$4:$A$810),NA(),IFERROR(LOOKUP(2,1/(('Match Log'!$D$4:$D$810=$M$24)*('Match Log'!$A$4:$A$810&lt;=$J356)),'Match Log'!$N$4:$N$810),NA()))</f>
        <v>0</v>
      </c>
      <c r="N356">
        <f>IF($J356&gt;MAX('Match Log'!$A$4:$A$810),NA(),IFERROR(LOOKUP(2,1/(('Match Log'!$D$4:$D$810=$N$24)*('Match Log'!$A$4:$A$810&lt;=$J356)),'Match Log'!$N$4:$N$810),NA()))</f>
        <v>0</v>
      </c>
      <c r="O356">
        <f>IF($J356&gt;MAX('Match Log'!$A$4:$A$810),NA(),IFERROR(LOOKUP(2,1/(('Match Log'!$D$4:$D$810=$O$24)*('Match Log'!$A$4:$A$810&lt;=$J356)),'Match Log'!$N$4:$N$810),NA()))</f>
        <v>0</v>
      </c>
      <c r="P356">
        <f>IF($J356&gt;MAX('Match Log'!$A$4:$A$810),NA(),IFERROR(LOOKUP(2,1/(('Match Log'!$D$4:$D$810=$P$24)*('Match Log'!$A$4:$A$810&lt;=$J356)),'Match Log'!$N$4:$N$810),NA()))</f>
        <v>0</v>
      </c>
      <c r="Q356">
        <f>IF($J356&gt;MAX('Match Log'!$A$4:$A$810),NA(),IFERROR(LOOKUP(2,1/(('Match Log'!$D$4:$D$810=$Q$24)*('Match Log'!$A$4:$A$810&lt;=$J356)),'Match Log'!$N$4:$N$810),NA()))</f>
        <v>0</v>
      </c>
      <c r="R356">
        <f>IF($J356&gt;MAX('Match Log'!$A$4:$A$810),NA(),IFERROR(LOOKUP(2,1/(('Match Log'!$D$4:$D$810=$R$24)*('Match Log'!$A$4:$A$810&lt;=$J356)),'Match Log'!$N$4:$N$810),NA()))</f>
        <v>0</v>
      </c>
      <c r="S356">
        <f>IF($J356&gt;MAX('Match Log'!$A$4:$A$810),NA(),IFERROR(LOOKUP(2,1/(('Match Log'!$D$4:$D$810=$S$24)*('Match Log'!$A$4:$A$810&lt;=$J356)),'Match Log'!$N$4:$N$810),NA()))</f>
        <v>0</v>
      </c>
      <c r="T356">
        <f>IF($J356&gt;MAX('Match Log'!$A$4:$A$810),NA(),IFERROR(LOOKUP(2,1/(('Match Log'!$D$4:$D$810=$T$24)*('Match Log'!$A$4:$A$810&lt;=$J356)),'Match Log'!$N$4:$N$810),NA()))</f>
        <v>0</v>
      </c>
      <c r="U356">
        <f>IF($J356&gt;MAX('Match Log'!$A$4:$A$810),NA(),IFERROR(LOOKUP(2,1/(('Match Log'!$D$4:$D$810=$U$24)*('Match Log'!$A$4:$A$810&lt;=$J356)),'Match Log'!$N$4:$N$810),NA()))</f>
        <v>0</v>
      </c>
      <c r="V356">
        <f>IF($J356&gt;MAX('Match Log'!$A$4:$A$810),NA(),IFERROR(LOOKUP(2,1/(('Match Log'!$D$4:$D$810=$V$24)*('Match Log'!$A$4:$A$810&lt;=$J356)),'Match Log'!$N$4:$N$810),NA()))</f>
        <v>0</v>
      </c>
      <c r="W356">
        <f>IF($J356&gt;MAX('Match Log'!$A$4:$A$810),NA(),IFERROR(LOOKUP(2,1/(('Match Log'!$D$4:$D$810=$W$24)*('Match Log'!$A$4:$A$810&lt;=$J356)),'Match Log'!$N$4:$N$810),NA()))</f>
        <v>0</v>
      </c>
      <c r="X356">
        <f>IF($J356&gt;MAX('Match Log'!$A$4:$A$810),NA(),IFERROR(LOOKUP(2,1/(('Match Log'!$D$4:$D$810=$X$24)*('Match Log'!$A$4:$A$810&lt;=$J356)),'Match Log'!$N$4:$N$810),NA()))</f>
        <v>0</v>
      </c>
      <c r="Y356" t="str">
        <f>IF(AND($B356&lt;&gt;"",$B356&gt;=$B$5,$I356&lt;&gt;""),$I356,"")</f>
      </c>
    </row>
    <row r="357">
      <c r="A357">
        <v>333</v>
      </c>
      <c r="B357">
        <f>IFERROR(INDEX('Match Log'!$B$4:$B$810,MATCH(333,'Match Log'!$A$4:$A$810,0)),"")</f>
        <v>0</v>
      </c>
      <c r="C357" t="str">
        <f>IFERROR(INDEX('Match Log'!$C$4:$C$810,MATCH(333,'Match Log'!$A$4:$A$810,0)),"")</f>
      </c>
      <c r="D357" t="str">
        <f>IFERROR(INDEX('Match Log'!$G$4:$G$810,MATCH(333,'Match Log'!$A$4:$A$810,0)),"")</f>
      </c>
      <c r="E357">
        <f>IFERROR(INDEX('Match Log'!$F$4:$F$810,MATCH(333,'Match Log'!$A$4:$A$810,0)),"")</f>
        <v>0</v>
      </c>
      <c r="F357">
        <f>IFERROR(SUMIFS('Match Log'!$I$4:$I$810,'Match Log'!$A$4:$A$810,333,'Match Log'!$E$4:$E$810,"Win"),"")</f>
        <v>0</v>
      </c>
      <c r="G357">
        <f>IF($D357="","",1-$F357*$E357)</f>
        <v>0</v>
      </c>
      <c r="H357" t="str">
        <f>IFERROR(IF($E357=2,LOOKUP(2,1/(('Match Log'!$A$4:$A$810=333)*('Match Log'!$E$4:$E$810="Loss")),'Match Log'!$D$4:$D$810),"the field"),"")</f>
      </c>
      <c r="I357">
        <f>IF($G357="","",$G357-$A357/1000000)</f>
        <v>0</v>
      </c>
      <c r="J357">
        <v>333</v>
      </c>
      <c r="K357">
        <f>IF($J357&gt;MAX('Match Log'!$A$4:$A$810),NA(),IFERROR(LOOKUP(2,1/(('Match Log'!$D$4:$D$810=$K$24)*('Match Log'!$A$4:$A$810&lt;=$J357)),'Match Log'!$N$4:$N$810),NA()))</f>
        <v>0</v>
      </c>
      <c r="L357">
        <f>IF($J357&gt;MAX('Match Log'!$A$4:$A$810),NA(),IFERROR(LOOKUP(2,1/(('Match Log'!$D$4:$D$810=$L$24)*('Match Log'!$A$4:$A$810&lt;=$J357)),'Match Log'!$N$4:$N$810),NA()))</f>
        <v>0</v>
      </c>
      <c r="M357">
        <f>IF($J357&gt;MAX('Match Log'!$A$4:$A$810),NA(),IFERROR(LOOKUP(2,1/(('Match Log'!$D$4:$D$810=$M$24)*('Match Log'!$A$4:$A$810&lt;=$J357)),'Match Log'!$N$4:$N$810),NA()))</f>
        <v>0</v>
      </c>
      <c r="N357">
        <f>IF($J357&gt;MAX('Match Log'!$A$4:$A$810),NA(),IFERROR(LOOKUP(2,1/(('Match Log'!$D$4:$D$810=$N$24)*('Match Log'!$A$4:$A$810&lt;=$J357)),'Match Log'!$N$4:$N$810),NA()))</f>
        <v>0</v>
      </c>
      <c r="O357">
        <f>IF($J357&gt;MAX('Match Log'!$A$4:$A$810),NA(),IFERROR(LOOKUP(2,1/(('Match Log'!$D$4:$D$810=$O$24)*('Match Log'!$A$4:$A$810&lt;=$J357)),'Match Log'!$N$4:$N$810),NA()))</f>
        <v>0</v>
      </c>
      <c r="P357">
        <f>IF($J357&gt;MAX('Match Log'!$A$4:$A$810),NA(),IFERROR(LOOKUP(2,1/(('Match Log'!$D$4:$D$810=$P$24)*('Match Log'!$A$4:$A$810&lt;=$J357)),'Match Log'!$N$4:$N$810),NA()))</f>
        <v>0</v>
      </c>
      <c r="Q357">
        <f>IF($J357&gt;MAX('Match Log'!$A$4:$A$810),NA(),IFERROR(LOOKUP(2,1/(('Match Log'!$D$4:$D$810=$Q$24)*('Match Log'!$A$4:$A$810&lt;=$J357)),'Match Log'!$N$4:$N$810),NA()))</f>
        <v>0</v>
      </c>
      <c r="R357">
        <f>IF($J357&gt;MAX('Match Log'!$A$4:$A$810),NA(),IFERROR(LOOKUP(2,1/(('Match Log'!$D$4:$D$810=$R$24)*('Match Log'!$A$4:$A$810&lt;=$J357)),'Match Log'!$N$4:$N$810),NA()))</f>
        <v>0</v>
      </c>
      <c r="S357">
        <f>IF($J357&gt;MAX('Match Log'!$A$4:$A$810),NA(),IFERROR(LOOKUP(2,1/(('Match Log'!$D$4:$D$810=$S$24)*('Match Log'!$A$4:$A$810&lt;=$J357)),'Match Log'!$N$4:$N$810),NA()))</f>
        <v>0</v>
      </c>
      <c r="T357">
        <f>IF($J357&gt;MAX('Match Log'!$A$4:$A$810),NA(),IFERROR(LOOKUP(2,1/(('Match Log'!$D$4:$D$810=$T$24)*('Match Log'!$A$4:$A$810&lt;=$J357)),'Match Log'!$N$4:$N$810),NA()))</f>
        <v>0</v>
      </c>
      <c r="U357">
        <f>IF($J357&gt;MAX('Match Log'!$A$4:$A$810),NA(),IFERROR(LOOKUP(2,1/(('Match Log'!$D$4:$D$810=$U$24)*('Match Log'!$A$4:$A$810&lt;=$J357)),'Match Log'!$N$4:$N$810),NA()))</f>
        <v>0</v>
      </c>
      <c r="V357">
        <f>IF($J357&gt;MAX('Match Log'!$A$4:$A$810),NA(),IFERROR(LOOKUP(2,1/(('Match Log'!$D$4:$D$810=$V$24)*('Match Log'!$A$4:$A$810&lt;=$J357)),'Match Log'!$N$4:$N$810),NA()))</f>
        <v>0</v>
      </c>
      <c r="W357">
        <f>IF($J357&gt;MAX('Match Log'!$A$4:$A$810),NA(),IFERROR(LOOKUP(2,1/(('Match Log'!$D$4:$D$810=$W$24)*('Match Log'!$A$4:$A$810&lt;=$J357)),'Match Log'!$N$4:$N$810),NA()))</f>
        <v>0</v>
      </c>
      <c r="X357">
        <f>IF($J357&gt;MAX('Match Log'!$A$4:$A$810),NA(),IFERROR(LOOKUP(2,1/(('Match Log'!$D$4:$D$810=$X$24)*('Match Log'!$A$4:$A$810&lt;=$J357)),'Match Log'!$N$4:$N$810),NA()))</f>
        <v>0</v>
      </c>
      <c r="Y357" t="str">
        <f>IF(AND($B357&lt;&gt;"",$B357&gt;=$B$5,$I357&lt;&gt;""),$I357,"")</f>
      </c>
    </row>
    <row r="358">
      <c r="A358">
        <v>334</v>
      </c>
      <c r="B358">
        <f>IFERROR(INDEX('Match Log'!$B$4:$B$810,MATCH(334,'Match Log'!$A$4:$A$810,0)),"")</f>
        <v>0</v>
      </c>
      <c r="C358" t="str">
        <f>IFERROR(INDEX('Match Log'!$C$4:$C$810,MATCH(334,'Match Log'!$A$4:$A$810,0)),"")</f>
      </c>
      <c r="D358" t="str">
        <f>IFERROR(INDEX('Match Log'!$G$4:$G$810,MATCH(334,'Match Log'!$A$4:$A$810,0)),"")</f>
      </c>
      <c r="E358">
        <f>IFERROR(INDEX('Match Log'!$F$4:$F$810,MATCH(334,'Match Log'!$A$4:$A$810,0)),"")</f>
        <v>0</v>
      </c>
      <c r="F358">
        <f>IFERROR(SUMIFS('Match Log'!$I$4:$I$810,'Match Log'!$A$4:$A$810,334,'Match Log'!$E$4:$E$810,"Win"),"")</f>
        <v>0</v>
      </c>
      <c r="G358">
        <f>IF($D358="","",1-$F358*$E358)</f>
        <v>0</v>
      </c>
      <c r="H358" t="str">
        <f>IFERROR(IF($E358=2,LOOKUP(2,1/(('Match Log'!$A$4:$A$810=334)*('Match Log'!$E$4:$E$810="Loss")),'Match Log'!$D$4:$D$810),"the field"),"")</f>
      </c>
      <c r="I358">
        <f>IF($G358="","",$G358-$A358/1000000)</f>
        <v>0</v>
      </c>
      <c r="J358">
        <v>334</v>
      </c>
      <c r="K358">
        <f>IF($J358&gt;MAX('Match Log'!$A$4:$A$810),NA(),IFERROR(LOOKUP(2,1/(('Match Log'!$D$4:$D$810=$K$24)*('Match Log'!$A$4:$A$810&lt;=$J358)),'Match Log'!$N$4:$N$810),NA()))</f>
        <v>0</v>
      </c>
      <c r="L358">
        <f>IF($J358&gt;MAX('Match Log'!$A$4:$A$810),NA(),IFERROR(LOOKUP(2,1/(('Match Log'!$D$4:$D$810=$L$24)*('Match Log'!$A$4:$A$810&lt;=$J358)),'Match Log'!$N$4:$N$810),NA()))</f>
        <v>0</v>
      </c>
      <c r="M358">
        <f>IF($J358&gt;MAX('Match Log'!$A$4:$A$810),NA(),IFERROR(LOOKUP(2,1/(('Match Log'!$D$4:$D$810=$M$24)*('Match Log'!$A$4:$A$810&lt;=$J358)),'Match Log'!$N$4:$N$810),NA()))</f>
        <v>0</v>
      </c>
      <c r="N358">
        <f>IF($J358&gt;MAX('Match Log'!$A$4:$A$810),NA(),IFERROR(LOOKUP(2,1/(('Match Log'!$D$4:$D$810=$N$24)*('Match Log'!$A$4:$A$810&lt;=$J358)),'Match Log'!$N$4:$N$810),NA()))</f>
        <v>0</v>
      </c>
      <c r="O358">
        <f>IF($J358&gt;MAX('Match Log'!$A$4:$A$810),NA(),IFERROR(LOOKUP(2,1/(('Match Log'!$D$4:$D$810=$O$24)*('Match Log'!$A$4:$A$810&lt;=$J358)),'Match Log'!$N$4:$N$810),NA()))</f>
        <v>0</v>
      </c>
      <c r="P358">
        <f>IF($J358&gt;MAX('Match Log'!$A$4:$A$810),NA(),IFERROR(LOOKUP(2,1/(('Match Log'!$D$4:$D$810=$P$24)*('Match Log'!$A$4:$A$810&lt;=$J358)),'Match Log'!$N$4:$N$810),NA()))</f>
        <v>0</v>
      </c>
      <c r="Q358">
        <f>IF($J358&gt;MAX('Match Log'!$A$4:$A$810),NA(),IFERROR(LOOKUP(2,1/(('Match Log'!$D$4:$D$810=$Q$24)*('Match Log'!$A$4:$A$810&lt;=$J358)),'Match Log'!$N$4:$N$810),NA()))</f>
        <v>0</v>
      </c>
      <c r="R358">
        <f>IF($J358&gt;MAX('Match Log'!$A$4:$A$810),NA(),IFERROR(LOOKUP(2,1/(('Match Log'!$D$4:$D$810=$R$24)*('Match Log'!$A$4:$A$810&lt;=$J358)),'Match Log'!$N$4:$N$810),NA()))</f>
        <v>0</v>
      </c>
      <c r="S358">
        <f>IF($J358&gt;MAX('Match Log'!$A$4:$A$810),NA(),IFERROR(LOOKUP(2,1/(('Match Log'!$D$4:$D$810=$S$24)*('Match Log'!$A$4:$A$810&lt;=$J358)),'Match Log'!$N$4:$N$810),NA()))</f>
        <v>0</v>
      </c>
      <c r="T358">
        <f>IF($J358&gt;MAX('Match Log'!$A$4:$A$810),NA(),IFERROR(LOOKUP(2,1/(('Match Log'!$D$4:$D$810=$T$24)*('Match Log'!$A$4:$A$810&lt;=$J358)),'Match Log'!$N$4:$N$810),NA()))</f>
        <v>0</v>
      </c>
      <c r="U358">
        <f>IF($J358&gt;MAX('Match Log'!$A$4:$A$810),NA(),IFERROR(LOOKUP(2,1/(('Match Log'!$D$4:$D$810=$U$24)*('Match Log'!$A$4:$A$810&lt;=$J358)),'Match Log'!$N$4:$N$810),NA()))</f>
        <v>0</v>
      </c>
      <c r="V358">
        <f>IF($J358&gt;MAX('Match Log'!$A$4:$A$810),NA(),IFERROR(LOOKUP(2,1/(('Match Log'!$D$4:$D$810=$V$24)*('Match Log'!$A$4:$A$810&lt;=$J358)),'Match Log'!$N$4:$N$810),NA()))</f>
        <v>0</v>
      </c>
      <c r="W358">
        <f>IF($J358&gt;MAX('Match Log'!$A$4:$A$810),NA(),IFERROR(LOOKUP(2,1/(('Match Log'!$D$4:$D$810=$W$24)*('Match Log'!$A$4:$A$810&lt;=$J358)),'Match Log'!$N$4:$N$810),NA()))</f>
        <v>0</v>
      </c>
      <c r="X358">
        <f>IF($J358&gt;MAX('Match Log'!$A$4:$A$810),NA(),IFERROR(LOOKUP(2,1/(('Match Log'!$D$4:$D$810=$X$24)*('Match Log'!$A$4:$A$810&lt;=$J358)),'Match Log'!$N$4:$N$810),NA()))</f>
        <v>0</v>
      </c>
      <c r="Y358" t="str">
        <f>IF(AND($B358&lt;&gt;"",$B358&gt;=$B$5,$I358&lt;&gt;""),$I358,"")</f>
      </c>
    </row>
    <row r="359">
      <c r="A359">
        <v>335</v>
      </c>
      <c r="B359">
        <f>IFERROR(INDEX('Match Log'!$B$4:$B$810,MATCH(335,'Match Log'!$A$4:$A$810,0)),"")</f>
        <v>0</v>
      </c>
      <c r="C359" t="str">
        <f>IFERROR(INDEX('Match Log'!$C$4:$C$810,MATCH(335,'Match Log'!$A$4:$A$810,0)),"")</f>
      </c>
      <c r="D359" t="str">
        <f>IFERROR(INDEX('Match Log'!$G$4:$G$810,MATCH(335,'Match Log'!$A$4:$A$810,0)),"")</f>
      </c>
      <c r="E359">
        <f>IFERROR(INDEX('Match Log'!$F$4:$F$810,MATCH(335,'Match Log'!$A$4:$A$810,0)),"")</f>
        <v>0</v>
      </c>
      <c r="F359">
        <f>IFERROR(SUMIFS('Match Log'!$I$4:$I$810,'Match Log'!$A$4:$A$810,335,'Match Log'!$E$4:$E$810,"Win"),"")</f>
        <v>0</v>
      </c>
      <c r="G359">
        <f>IF($D359="","",1-$F359*$E359)</f>
        <v>0</v>
      </c>
      <c r="H359" t="str">
        <f>IFERROR(IF($E359=2,LOOKUP(2,1/(('Match Log'!$A$4:$A$810=335)*('Match Log'!$E$4:$E$810="Loss")),'Match Log'!$D$4:$D$810),"the field"),"")</f>
      </c>
      <c r="I359">
        <f>IF($G359="","",$G359-$A359/1000000)</f>
        <v>0</v>
      </c>
      <c r="J359">
        <v>335</v>
      </c>
      <c r="K359">
        <f>IF($J359&gt;MAX('Match Log'!$A$4:$A$810),NA(),IFERROR(LOOKUP(2,1/(('Match Log'!$D$4:$D$810=$K$24)*('Match Log'!$A$4:$A$810&lt;=$J359)),'Match Log'!$N$4:$N$810),NA()))</f>
        <v>0</v>
      </c>
      <c r="L359">
        <f>IF($J359&gt;MAX('Match Log'!$A$4:$A$810),NA(),IFERROR(LOOKUP(2,1/(('Match Log'!$D$4:$D$810=$L$24)*('Match Log'!$A$4:$A$810&lt;=$J359)),'Match Log'!$N$4:$N$810),NA()))</f>
        <v>0</v>
      </c>
      <c r="M359">
        <f>IF($J359&gt;MAX('Match Log'!$A$4:$A$810),NA(),IFERROR(LOOKUP(2,1/(('Match Log'!$D$4:$D$810=$M$24)*('Match Log'!$A$4:$A$810&lt;=$J359)),'Match Log'!$N$4:$N$810),NA()))</f>
        <v>0</v>
      </c>
      <c r="N359">
        <f>IF($J359&gt;MAX('Match Log'!$A$4:$A$810),NA(),IFERROR(LOOKUP(2,1/(('Match Log'!$D$4:$D$810=$N$24)*('Match Log'!$A$4:$A$810&lt;=$J359)),'Match Log'!$N$4:$N$810),NA()))</f>
        <v>0</v>
      </c>
      <c r="O359">
        <f>IF($J359&gt;MAX('Match Log'!$A$4:$A$810),NA(),IFERROR(LOOKUP(2,1/(('Match Log'!$D$4:$D$810=$O$24)*('Match Log'!$A$4:$A$810&lt;=$J359)),'Match Log'!$N$4:$N$810),NA()))</f>
        <v>0</v>
      </c>
      <c r="P359">
        <f>IF($J359&gt;MAX('Match Log'!$A$4:$A$810),NA(),IFERROR(LOOKUP(2,1/(('Match Log'!$D$4:$D$810=$P$24)*('Match Log'!$A$4:$A$810&lt;=$J359)),'Match Log'!$N$4:$N$810),NA()))</f>
        <v>0</v>
      </c>
      <c r="Q359">
        <f>IF($J359&gt;MAX('Match Log'!$A$4:$A$810),NA(),IFERROR(LOOKUP(2,1/(('Match Log'!$D$4:$D$810=$Q$24)*('Match Log'!$A$4:$A$810&lt;=$J359)),'Match Log'!$N$4:$N$810),NA()))</f>
        <v>0</v>
      </c>
      <c r="R359">
        <f>IF($J359&gt;MAX('Match Log'!$A$4:$A$810),NA(),IFERROR(LOOKUP(2,1/(('Match Log'!$D$4:$D$810=$R$24)*('Match Log'!$A$4:$A$810&lt;=$J359)),'Match Log'!$N$4:$N$810),NA()))</f>
        <v>0</v>
      </c>
      <c r="S359">
        <f>IF($J359&gt;MAX('Match Log'!$A$4:$A$810),NA(),IFERROR(LOOKUP(2,1/(('Match Log'!$D$4:$D$810=$S$24)*('Match Log'!$A$4:$A$810&lt;=$J359)),'Match Log'!$N$4:$N$810),NA()))</f>
        <v>0</v>
      </c>
      <c r="T359">
        <f>IF($J359&gt;MAX('Match Log'!$A$4:$A$810),NA(),IFERROR(LOOKUP(2,1/(('Match Log'!$D$4:$D$810=$T$24)*('Match Log'!$A$4:$A$810&lt;=$J359)),'Match Log'!$N$4:$N$810),NA()))</f>
        <v>0</v>
      </c>
      <c r="U359">
        <f>IF($J359&gt;MAX('Match Log'!$A$4:$A$810),NA(),IFERROR(LOOKUP(2,1/(('Match Log'!$D$4:$D$810=$U$24)*('Match Log'!$A$4:$A$810&lt;=$J359)),'Match Log'!$N$4:$N$810),NA()))</f>
        <v>0</v>
      </c>
      <c r="V359">
        <f>IF($J359&gt;MAX('Match Log'!$A$4:$A$810),NA(),IFERROR(LOOKUP(2,1/(('Match Log'!$D$4:$D$810=$V$24)*('Match Log'!$A$4:$A$810&lt;=$J359)),'Match Log'!$N$4:$N$810),NA()))</f>
        <v>0</v>
      </c>
      <c r="W359">
        <f>IF($J359&gt;MAX('Match Log'!$A$4:$A$810),NA(),IFERROR(LOOKUP(2,1/(('Match Log'!$D$4:$D$810=$W$24)*('Match Log'!$A$4:$A$810&lt;=$J359)),'Match Log'!$N$4:$N$810),NA()))</f>
        <v>0</v>
      </c>
      <c r="X359">
        <f>IF($J359&gt;MAX('Match Log'!$A$4:$A$810),NA(),IFERROR(LOOKUP(2,1/(('Match Log'!$D$4:$D$810=$X$24)*('Match Log'!$A$4:$A$810&lt;=$J359)),'Match Log'!$N$4:$N$810),NA()))</f>
        <v>0</v>
      </c>
      <c r="Y359" t="str">
        <f>IF(AND($B359&lt;&gt;"",$B359&gt;=$B$5,$I359&lt;&gt;""),$I359,"")</f>
      </c>
    </row>
    <row r="360">
      <c r="A360">
        <v>336</v>
      </c>
      <c r="B360">
        <f>IFERROR(INDEX('Match Log'!$B$4:$B$810,MATCH(336,'Match Log'!$A$4:$A$810,0)),"")</f>
        <v>0</v>
      </c>
      <c r="C360" t="str">
        <f>IFERROR(INDEX('Match Log'!$C$4:$C$810,MATCH(336,'Match Log'!$A$4:$A$810,0)),"")</f>
      </c>
      <c r="D360" t="str">
        <f>IFERROR(INDEX('Match Log'!$G$4:$G$810,MATCH(336,'Match Log'!$A$4:$A$810,0)),"")</f>
      </c>
      <c r="E360">
        <f>IFERROR(INDEX('Match Log'!$F$4:$F$810,MATCH(336,'Match Log'!$A$4:$A$810,0)),"")</f>
        <v>0</v>
      </c>
      <c r="F360">
        <f>IFERROR(SUMIFS('Match Log'!$I$4:$I$810,'Match Log'!$A$4:$A$810,336,'Match Log'!$E$4:$E$810,"Win"),"")</f>
        <v>0</v>
      </c>
      <c r="G360">
        <f>IF($D360="","",1-$F360*$E360)</f>
        <v>0</v>
      </c>
      <c r="H360" t="str">
        <f>IFERROR(IF($E360=2,LOOKUP(2,1/(('Match Log'!$A$4:$A$810=336)*('Match Log'!$E$4:$E$810="Loss")),'Match Log'!$D$4:$D$810),"the field"),"")</f>
      </c>
      <c r="I360">
        <f>IF($G360="","",$G360-$A360/1000000)</f>
        <v>0</v>
      </c>
      <c r="J360">
        <v>336</v>
      </c>
      <c r="K360">
        <f>IF($J360&gt;MAX('Match Log'!$A$4:$A$810),NA(),IFERROR(LOOKUP(2,1/(('Match Log'!$D$4:$D$810=$K$24)*('Match Log'!$A$4:$A$810&lt;=$J360)),'Match Log'!$N$4:$N$810),NA()))</f>
        <v>0</v>
      </c>
      <c r="L360">
        <f>IF($J360&gt;MAX('Match Log'!$A$4:$A$810),NA(),IFERROR(LOOKUP(2,1/(('Match Log'!$D$4:$D$810=$L$24)*('Match Log'!$A$4:$A$810&lt;=$J360)),'Match Log'!$N$4:$N$810),NA()))</f>
        <v>0</v>
      </c>
      <c r="M360">
        <f>IF($J360&gt;MAX('Match Log'!$A$4:$A$810),NA(),IFERROR(LOOKUP(2,1/(('Match Log'!$D$4:$D$810=$M$24)*('Match Log'!$A$4:$A$810&lt;=$J360)),'Match Log'!$N$4:$N$810),NA()))</f>
        <v>0</v>
      </c>
      <c r="N360">
        <f>IF($J360&gt;MAX('Match Log'!$A$4:$A$810),NA(),IFERROR(LOOKUP(2,1/(('Match Log'!$D$4:$D$810=$N$24)*('Match Log'!$A$4:$A$810&lt;=$J360)),'Match Log'!$N$4:$N$810),NA()))</f>
        <v>0</v>
      </c>
      <c r="O360">
        <f>IF($J360&gt;MAX('Match Log'!$A$4:$A$810),NA(),IFERROR(LOOKUP(2,1/(('Match Log'!$D$4:$D$810=$O$24)*('Match Log'!$A$4:$A$810&lt;=$J360)),'Match Log'!$N$4:$N$810),NA()))</f>
        <v>0</v>
      </c>
      <c r="P360">
        <f>IF($J360&gt;MAX('Match Log'!$A$4:$A$810),NA(),IFERROR(LOOKUP(2,1/(('Match Log'!$D$4:$D$810=$P$24)*('Match Log'!$A$4:$A$810&lt;=$J360)),'Match Log'!$N$4:$N$810),NA()))</f>
        <v>0</v>
      </c>
      <c r="Q360">
        <f>IF($J360&gt;MAX('Match Log'!$A$4:$A$810),NA(),IFERROR(LOOKUP(2,1/(('Match Log'!$D$4:$D$810=$Q$24)*('Match Log'!$A$4:$A$810&lt;=$J360)),'Match Log'!$N$4:$N$810),NA()))</f>
        <v>0</v>
      </c>
      <c r="R360">
        <f>IF($J360&gt;MAX('Match Log'!$A$4:$A$810),NA(),IFERROR(LOOKUP(2,1/(('Match Log'!$D$4:$D$810=$R$24)*('Match Log'!$A$4:$A$810&lt;=$J360)),'Match Log'!$N$4:$N$810),NA()))</f>
        <v>0</v>
      </c>
      <c r="S360">
        <f>IF($J360&gt;MAX('Match Log'!$A$4:$A$810),NA(),IFERROR(LOOKUP(2,1/(('Match Log'!$D$4:$D$810=$S$24)*('Match Log'!$A$4:$A$810&lt;=$J360)),'Match Log'!$N$4:$N$810),NA()))</f>
        <v>0</v>
      </c>
      <c r="T360">
        <f>IF($J360&gt;MAX('Match Log'!$A$4:$A$810),NA(),IFERROR(LOOKUP(2,1/(('Match Log'!$D$4:$D$810=$T$24)*('Match Log'!$A$4:$A$810&lt;=$J360)),'Match Log'!$N$4:$N$810),NA()))</f>
        <v>0</v>
      </c>
      <c r="U360">
        <f>IF($J360&gt;MAX('Match Log'!$A$4:$A$810),NA(),IFERROR(LOOKUP(2,1/(('Match Log'!$D$4:$D$810=$U$24)*('Match Log'!$A$4:$A$810&lt;=$J360)),'Match Log'!$N$4:$N$810),NA()))</f>
        <v>0</v>
      </c>
      <c r="V360">
        <f>IF($J360&gt;MAX('Match Log'!$A$4:$A$810),NA(),IFERROR(LOOKUP(2,1/(('Match Log'!$D$4:$D$810=$V$24)*('Match Log'!$A$4:$A$810&lt;=$J360)),'Match Log'!$N$4:$N$810),NA()))</f>
        <v>0</v>
      </c>
      <c r="W360">
        <f>IF($J360&gt;MAX('Match Log'!$A$4:$A$810),NA(),IFERROR(LOOKUP(2,1/(('Match Log'!$D$4:$D$810=$W$24)*('Match Log'!$A$4:$A$810&lt;=$J360)),'Match Log'!$N$4:$N$810),NA()))</f>
        <v>0</v>
      </c>
      <c r="X360">
        <f>IF($J360&gt;MAX('Match Log'!$A$4:$A$810),NA(),IFERROR(LOOKUP(2,1/(('Match Log'!$D$4:$D$810=$X$24)*('Match Log'!$A$4:$A$810&lt;=$J360)),'Match Log'!$N$4:$N$810),NA()))</f>
        <v>0</v>
      </c>
      <c r="Y360" t="str">
        <f>IF(AND($B360&lt;&gt;"",$B360&gt;=$B$5,$I360&lt;&gt;""),$I360,"")</f>
      </c>
    </row>
    <row r="361">
      <c r="A361">
        <v>337</v>
      </c>
      <c r="B361">
        <f>IFERROR(INDEX('Match Log'!$B$4:$B$810,MATCH(337,'Match Log'!$A$4:$A$810,0)),"")</f>
        <v>0</v>
      </c>
      <c r="C361" t="str">
        <f>IFERROR(INDEX('Match Log'!$C$4:$C$810,MATCH(337,'Match Log'!$A$4:$A$810,0)),"")</f>
      </c>
      <c r="D361" t="str">
        <f>IFERROR(INDEX('Match Log'!$G$4:$G$810,MATCH(337,'Match Log'!$A$4:$A$810,0)),"")</f>
      </c>
      <c r="E361">
        <f>IFERROR(INDEX('Match Log'!$F$4:$F$810,MATCH(337,'Match Log'!$A$4:$A$810,0)),"")</f>
        <v>0</v>
      </c>
      <c r="F361">
        <f>IFERROR(SUMIFS('Match Log'!$I$4:$I$810,'Match Log'!$A$4:$A$810,337,'Match Log'!$E$4:$E$810,"Win"),"")</f>
        <v>0</v>
      </c>
      <c r="G361">
        <f>IF($D361="","",1-$F361*$E361)</f>
        <v>0</v>
      </c>
      <c r="H361" t="str">
        <f>IFERROR(IF($E361=2,LOOKUP(2,1/(('Match Log'!$A$4:$A$810=337)*('Match Log'!$E$4:$E$810="Loss")),'Match Log'!$D$4:$D$810),"the field"),"")</f>
      </c>
      <c r="I361">
        <f>IF($G361="","",$G361-$A361/1000000)</f>
        <v>0</v>
      </c>
      <c r="J361">
        <v>337</v>
      </c>
      <c r="K361">
        <f>IF($J361&gt;MAX('Match Log'!$A$4:$A$810),NA(),IFERROR(LOOKUP(2,1/(('Match Log'!$D$4:$D$810=$K$24)*('Match Log'!$A$4:$A$810&lt;=$J361)),'Match Log'!$N$4:$N$810),NA()))</f>
        <v>0</v>
      </c>
      <c r="L361">
        <f>IF($J361&gt;MAX('Match Log'!$A$4:$A$810),NA(),IFERROR(LOOKUP(2,1/(('Match Log'!$D$4:$D$810=$L$24)*('Match Log'!$A$4:$A$810&lt;=$J361)),'Match Log'!$N$4:$N$810),NA()))</f>
        <v>0</v>
      </c>
      <c r="M361">
        <f>IF($J361&gt;MAX('Match Log'!$A$4:$A$810),NA(),IFERROR(LOOKUP(2,1/(('Match Log'!$D$4:$D$810=$M$24)*('Match Log'!$A$4:$A$810&lt;=$J361)),'Match Log'!$N$4:$N$810),NA()))</f>
        <v>0</v>
      </c>
      <c r="N361">
        <f>IF($J361&gt;MAX('Match Log'!$A$4:$A$810),NA(),IFERROR(LOOKUP(2,1/(('Match Log'!$D$4:$D$810=$N$24)*('Match Log'!$A$4:$A$810&lt;=$J361)),'Match Log'!$N$4:$N$810),NA()))</f>
        <v>0</v>
      </c>
      <c r="O361">
        <f>IF($J361&gt;MAX('Match Log'!$A$4:$A$810),NA(),IFERROR(LOOKUP(2,1/(('Match Log'!$D$4:$D$810=$O$24)*('Match Log'!$A$4:$A$810&lt;=$J361)),'Match Log'!$N$4:$N$810),NA()))</f>
        <v>0</v>
      </c>
      <c r="P361">
        <f>IF($J361&gt;MAX('Match Log'!$A$4:$A$810),NA(),IFERROR(LOOKUP(2,1/(('Match Log'!$D$4:$D$810=$P$24)*('Match Log'!$A$4:$A$810&lt;=$J361)),'Match Log'!$N$4:$N$810),NA()))</f>
        <v>0</v>
      </c>
      <c r="Q361">
        <f>IF($J361&gt;MAX('Match Log'!$A$4:$A$810),NA(),IFERROR(LOOKUP(2,1/(('Match Log'!$D$4:$D$810=$Q$24)*('Match Log'!$A$4:$A$810&lt;=$J361)),'Match Log'!$N$4:$N$810),NA()))</f>
        <v>0</v>
      </c>
      <c r="R361">
        <f>IF($J361&gt;MAX('Match Log'!$A$4:$A$810),NA(),IFERROR(LOOKUP(2,1/(('Match Log'!$D$4:$D$810=$R$24)*('Match Log'!$A$4:$A$810&lt;=$J361)),'Match Log'!$N$4:$N$810),NA()))</f>
        <v>0</v>
      </c>
      <c r="S361">
        <f>IF($J361&gt;MAX('Match Log'!$A$4:$A$810),NA(),IFERROR(LOOKUP(2,1/(('Match Log'!$D$4:$D$810=$S$24)*('Match Log'!$A$4:$A$810&lt;=$J361)),'Match Log'!$N$4:$N$810),NA()))</f>
        <v>0</v>
      </c>
      <c r="T361">
        <f>IF($J361&gt;MAX('Match Log'!$A$4:$A$810),NA(),IFERROR(LOOKUP(2,1/(('Match Log'!$D$4:$D$810=$T$24)*('Match Log'!$A$4:$A$810&lt;=$J361)),'Match Log'!$N$4:$N$810),NA()))</f>
        <v>0</v>
      </c>
      <c r="U361">
        <f>IF($J361&gt;MAX('Match Log'!$A$4:$A$810),NA(),IFERROR(LOOKUP(2,1/(('Match Log'!$D$4:$D$810=$U$24)*('Match Log'!$A$4:$A$810&lt;=$J361)),'Match Log'!$N$4:$N$810),NA()))</f>
        <v>0</v>
      </c>
      <c r="V361">
        <f>IF($J361&gt;MAX('Match Log'!$A$4:$A$810),NA(),IFERROR(LOOKUP(2,1/(('Match Log'!$D$4:$D$810=$V$24)*('Match Log'!$A$4:$A$810&lt;=$J361)),'Match Log'!$N$4:$N$810),NA()))</f>
        <v>0</v>
      </c>
      <c r="W361">
        <f>IF($J361&gt;MAX('Match Log'!$A$4:$A$810),NA(),IFERROR(LOOKUP(2,1/(('Match Log'!$D$4:$D$810=$W$24)*('Match Log'!$A$4:$A$810&lt;=$J361)),'Match Log'!$N$4:$N$810),NA()))</f>
        <v>0</v>
      </c>
      <c r="X361">
        <f>IF($J361&gt;MAX('Match Log'!$A$4:$A$810),NA(),IFERROR(LOOKUP(2,1/(('Match Log'!$D$4:$D$810=$X$24)*('Match Log'!$A$4:$A$810&lt;=$J361)),'Match Log'!$N$4:$N$810),NA()))</f>
        <v>0</v>
      </c>
      <c r="Y361" t="str">
        <f>IF(AND($B361&lt;&gt;"",$B361&gt;=$B$5,$I361&lt;&gt;""),$I361,"")</f>
      </c>
    </row>
    <row r="362">
      <c r="A362">
        <v>338</v>
      </c>
      <c r="B362">
        <f>IFERROR(INDEX('Match Log'!$B$4:$B$810,MATCH(338,'Match Log'!$A$4:$A$810,0)),"")</f>
        <v>0</v>
      </c>
      <c r="C362" t="str">
        <f>IFERROR(INDEX('Match Log'!$C$4:$C$810,MATCH(338,'Match Log'!$A$4:$A$810,0)),"")</f>
      </c>
      <c r="D362" t="str">
        <f>IFERROR(INDEX('Match Log'!$G$4:$G$810,MATCH(338,'Match Log'!$A$4:$A$810,0)),"")</f>
      </c>
      <c r="E362">
        <f>IFERROR(INDEX('Match Log'!$F$4:$F$810,MATCH(338,'Match Log'!$A$4:$A$810,0)),"")</f>
        <v>0</v>
      </c>
      <c r="F362">
        <f>IFERROR(SUMIFS('Match Log'!$I$4:$I$810,'Match Log'!$A$4:$A$810,338,'Match Log'!$E$4:$E$810,"Win"),"")</f>
        <v>0</v>
      </c>
      <c r="G362">
        <f>IF($D362="","",1-$F362*$E362)</f>
        <v>0</v>
      </c>
      <c r="H362" t="str">
        <f>IFERROR(IF($E362=2,LOOKUP(2,1/(('Match Log'!$A$4:$A$810=338)*('Match Log'!$E$4:$E$810="Loss")),'Match Log'!$D$4:$D$810),"the field"),"")</f>
      </c>
      <c r="I362">
        <f>IF($G362="","",$G362-$A362/1000000)</f>
        <v>0</v>
      </c>
      <c r="J362">
        <v>338</v>
      </c>
      <c r="K362">
        <f>IF($J362&gt;MAX('Match Log'!$A$4:$A$810),NA(),IFERROR(LOOKUP(2,1/(('Match Log'!$D$4:$D$810=$K$24)*('Match Log'!$A$4:$A$810&lt;=$J362)),'Match Log'!$N$4:$N$810),NA()))</f>
        <v>0</v>
      </c>
      <c r="L362">
        <f>IF($J362&gt;MAX('Match Log'!$A$4:$A$810),NA(),IFERROR(LOOKUP(2,1/(('Match Log'!$D$4:$D$810=$L$24)*('Match Log'!$A$4:$A$810&lt;=$J362)),'Match Log'!$N$4:$N$810),NA()))</f>
        <v>0</v>
      </c>
      <c r="M362">
        <f>IF($J362&gt;MAX('Match Log'!$A$4:$A$810),NA(),IFERROR(LOOKUP(2,1/(('Match Log'!$D$4:$D$810=$M$24)*('Match Log'!$A$4:$A$810&lt;=$J362)),'Match Log'!$N$4:$N$810),NA()))</f>
        <v>0</v>
      </c>
      <c r="N362">
        <f>IF($J362&gt;MAX('Match Log'!$A$4:$A$810),NA(),IFERROR(LOOKUP(2,1/(('Match Log'!$D$4:$D$810=$N$24)*('Match Log'!$A$4:$A$810&lt;=$J362)),'Match Log'!$N$4:$N$810),NA()))</f>
        <v>0</v>
      </c>
      <c r="O362">
        <f>IF($J362&gt;MAX('Match Log'!$A$4:$A$810),NA(),IFERROR(LOOKUP(2,1/(('Match Log'!$D$4:$D$810=$O$24)*('Match Log'!$A$4:$A$810&lt;=$J362)),'Match Log'!$N$4:$N$810),NA()))</f>
        <v>0</v>
      </c>
      <c r="P362">
        <f>IF($J362&gt;MAX('Match Log'!$A$4:$A$810),NA(),IFERROR(LOOKUP(2,1/(('Match Log'!$D$4:$D$810=$P$24)*('Match Log'!$A$4:$A$810&lt;=$J362)),'Match Log'!$N$4:$N$810),NA()))</f>
        <v>0</v>
      </c>
      <c r="Q362">
        <f>IF($J362&gt;MAX('Match Log'!$A$4:$A$810),NA(),IFERROR(LOOKUP(2,1/(('Match Log'!$D$4:$D$810=$Q$24)*('Match Log'!$A$4:$A$810&lt;=$J362)),'Match Log'!$N$4:$N$810),NA()))</f>
        <v>0</v>
      </c>
      <c r="R362">
        <f>IF($J362&gt;MAX('Match Log'!$A$4:$A$810),NA(),IFERROR(LOOKUP(2,1/(('Match Log'!$D$4:$D$810=$R$24)*('Match Log'!$A$4:$A$810&lt;=$J362)),'Match Log'!$N$4:$N$810),NA()))</f>
        <v>0</v>
      </c>
      <c r="S362">
        <f>IF($J362&gt;MAX('Match Log'!$A$4:$A$810),NA(),IFERROR(LOOKUP(2,1/(('Match Log'!$D$4:$D$810=$S$24)*('Match Log'!$A$4:$A$810&lt;=$J362)),'Match Log'!$N$4:$N$810),NA()))</f>
        <v>0</v>
      </c>
      <c r="T362">
        <f>IF($J362&gt;MAX('Match Log'!$A$4:$A$810),NA(),IFERROR(LOOKUP(2,1/(('Match Log'!$D$4:$D$810=$T$24)*('Match Log'!$A$4:$A$810&lt;=$J362)),'Match Log'!$N$4:$N$810),NA()))</f>
        <v>0</v>
      </c>
      <c r="U362">
        <f>IF($J362&gt;MAX('Match Log'!$A$4:$A$810),NA(),IFERROR(LOOKUP(2,1/(('Match Log'!$D$4:$D$810=$U$24)*('Match Log'!$A$4:$A$810&lt;=$J362)),'Match Log'!$N$4:$N$810),NA()))</f>
        <v>0</v>
      </c>
      <c r="V362">
        <f>IF($J362&gt;MAX('Match Log'!$A$4:$A$810),NA(),IFERROR(LOOKUP(2,1/(('Match Log'!$D$4:$D$810=$V$24)*('Match Log'!$A$4:$A$810&lt;=$J362)),'Match Log'!$N$4:$N$810),NA()))</f>
        <v>0</v>
      </c>
      <c r="W362">
        <f>IF($J362&gt;MAX('Match Log'!$A$4:$A$810),NA(),IFERROR(LOOKUP(2,1/(('Match Log'!$D$4:$D$810=$W$24)*('Match Log'!$A$4:$A$810&lt;=$J362)),'Match Log'!$N$4:$N$810),NA()))</f>
        <v>0</v>
      </c>
      <c r="X362">
        <f>IF($J362&gt;MAX('Match Log'!$A$4:$A$810),NA(),IFERROR(LOOKUP(2,1/(('Match Log'!$D$4:$D$810=$X$24)*('Match Log'!$A$4:$A$810&lt;=$J362)),'Match Log'!$N$4:$N$810),NA()))</f>
        <v>0</v>
      </c>
      <c r="Y362" t="str">
        <f>IF(AND($B362&lt;&gt;"",$B362&gt;=$B$5,$I362&lt;&gt;""),$I362,"")</f>
      </c>
    </row>
    <row r="363">
      <c r="A363">
        <v>339</v>
      </c>
      <c r="B363">
        <f>IFERROR(INDEX('Match Log'!$B$4:$B$810,MATCH(339,'Match Log'!$A$4:$A$810,0)),"")</f>
        <v>0</v>
      </c>
      <c r="C363" t="str">
        <f>IFERROR(INDEX('Match Log'!$C$4:$C$810,MATCH(339,'Match Log'!$A$4:$A$810,0)),"")</f>
      </c>
      <c r="D363" t="str">
        <f>IFERROR(INDEX('Match Log'!$G$4:$G$810,MATCH(339,'Match Log'!$A$4:$A$810,0)),"")</f>
      </c>
      <c r="E363">
        <f>IFERROR(INDEX('Match Log'!$F$4:$F$810,MATCH(339,'Match Log'!$A$4:$A$810,0)),"")</f>
        <v>0</v>
      </c>
      <c r="F363">
        <f>IFERROR(SUMIFS('Match Log'!$I$4:$I$810,'Match Log'!$A$4:$A$810,339,'Match Log'!$E$4:$E$810,"Win"),"")</f>
        <v>0</v>
      </c>
      <c r="G363">
        <f>IF($D363="","",1-$F363*$E363)</f>
        <v>0</v>
      </c>
      <c r="H363" t="str">
        <f>IFERROR(IF($E363=2,LOOKUP(2,1/(('Match Log'!$A$4:$A$810=339)*('Match Log'!$E$4:$E$810="Loss")),'Match Log'!$D$4:$D$810),"the field"),"")</f>
      </c>
      <c r="I363">
        <f>IF($G363="","",$G363-$A363/1000000)</f>
        <v>0</v>
      </c>
      <c r="J363">
        <v>339</v>
      </c>
      <c r="K363">
        <f>IF($J363&gt;MAX('Match Log'!$A$4:$A$810),NA(),IFERROR(LOOKUP(2,1/(('Match Log'!$D$4:$D$810=$K$24)*('Match Log'!$A$4:$A$810&lt;=$J363)),'Match Log'!$N$4:$N$810),NA()))</f>
        <v>0</v>
      </c>
      <c r="L363">
        <f>IF($J363&gt;MAX('Match Log'!$A$4:$A$810),NA(),IFERROR(LOOKUP(2,1/(('Match Log'!$D$4:$D$810=$L$24)*('Match Log'!$A$4:$A$810&lt;=$J363)),'Match Log'!$N$4:$N$810),NA()))</f>
        <v>0</v>
      </c>
      <c r="M363">
        <f>IF($J363&gt;MAX('Match Log'!$A$4:$A$810),NA(),IFERROR(LOOKUP(2,1/(('Match Log'!$D$4:$D$810=$M$24)*('Match Log'!$A$4:$A$810&lt;=$J363)),'Match Log'!$N$4:$N$810),NA()))</f>
        <v>0</v>
      </c>
      <c r="N363">
        <f>IF($J363&gt;MAX('Match Log'!$A$4:$A$810),NA(),IFERROR(LOOKUP(2,1/(('Match Log'!$D$4:$D$810=$N$24)*('Match Log'!$A$4:$A$810&lt;=$J363)),'Match Log'!$N$4:$N$810),NA()))</f>
        <v>0</v>
      </c>
      <c r="O363">
        <f>IF($J363&gt;MAX('Match Log'!$A$4:$A$810),NA(),IFERROR(LOOKUP(2,1/(('Match Log'!$D$4:$D$810=$O$24)*('Match Log'!$A$4:$A$810&lt;=$J363)),'Match Log'!$N$4:$N$810),NA()))</f>
        <v>0</v>
      </c>
      <c r="P363">
        <f>IF($J363&gt;MAX('Match Log'!$A$4:$A$810),NA(),IFERROR(LOOKUP(2,1/(('Match Log'!$D$4:$D$810=$P$24)*('Match Log'!$A$4:$A$810&lt;=$J363)),'Match Log'!$N$4:$N$810),NA()))</f>
        <v>0</v>
      </c>
      <c r="Q363">
        <f>IF($J363&gt;MAX('Match Log'!$A$4:$A$810),NA(),IFERROR(LOOKUP(2,1/(('Match Log'!$D$4:$D$810=$Q$24)*('Match Log'!$A$4:$A$810&lt;=$J363)),'Match Log'!$N$4:$N$810),NA()))</f>
        <v>0</v>
      </c>
      <c r="R363">
        <f>IF($J363&gt;MAX('Match Log'!$A$4:$A$810),NA(),IFERROR(LOOKUP(2,1/(('Match Log'!$D$4:$D$810=$R$24)*('Match Log'!$A$4:$A$810&lt;=$J363)),'Match Log'!$N$4:$N$810),NA()))</f>
        <v>0</v>
      </c>
      <c r="S363">
        <f>IF($J363&gt;MAX('Match Log'!$A$4:$A$810),NA(),IFERROR(LOOKUP(2,1/(('Match Log'!$D$4:$D$810=$S$24)*('Match Log'!$A$4:$A$810&lt;=$J363)),'Match Log'!$N$4:$N$810),NA()))</f>
        <v>0</v>
      </c>
      <c r="T363">
        <f>IF($J363&gt;MAX('Match Log'!$A$4:$A$810),NA(),IFERROR(LOOKUP(2,1/(('Match Log'!$D$4:$D$810=$T$24)*('Match Log'!$A$4:$A$810&lt;=$J363)),'Match Log'!$N$4:$N$810),NA()))</f>
        <v>0</v>
      </c>
      <c r="U363">
        <f>IF($J363&gt;MAX('Match Log'!$A$4:$A$810),NA(),IFERROR(LOOKUP(2,1/(('Match Log'!$D$4:$D$810=$U$24)*('Match Log'!$A$4:$A$810&lt;=$J363)),'Match Log'!$N$4:$N$810),NA()))</f>
        <v>0</v>
      </c>
      <c r="V363">
        <f>IF($J363&gt;MAX('Match Log'!$A$4:$A$810),NA(),IFERROR(LOOKUP(2,1/(('Match Log'!$D$4:$D$810=$V$24)*('Match Log'!$A$4:$A$810&lt;=$J363)),'Match Log'!$N$4:$N$810),NA()))</f>
        <v>0</v>
      </c>
      <c r="W363">
        <f>IF($J363&gt;MAX('Match Log'!$A$4:$A$810),NA(),IFERROR(LOOKUP(2,1/(('Match Log'!$D$4:$D$810=$W$24)*('Match Log'!$A$4:$A$810&lt;=$J363)),'Match Log'!$N$4:$N$810),NA()))</f>
        <v>0</v>
      </c>
      <c r="X363">
        <f>IF($J363&gt;MAX('Match Log'!$A$4:$A$810),NA(),IFERROR(LOOKUP(2,1/(('Match Log'!$D$4:$D$810=$X$24)*('Match Log'!$A$4:$A$810&lt;=$J363)),'Match Log'!$N$4:$N$810),NA()))</f>
        <v>0</v>
      </c>
      <c r="Y363" t="str">
        <f>IF(AND($B363&lt;&gt;"",$B363&gt;=$B$5,$I363&lt;&gt;""),$I363,"")</f>
      </c>
    </row>
    <row r="364">
      <c r="A364">
        <v>340</v>
      </c>
      <c r="B364">
        <f>IFERROR(INDEX('Match Log'!$B$4:$B$810,MATCH(340,'Match Log'!$A$4:$A$810,0)),"")</f>
        <v>0</v>
      </c>
      <c r="C364" t="str">
        <f>IFERROR(INDEX('Match Log'!$C$4:$C$810,MATCH(340,'Match Log'!$A$4:$A$810,0)),"")</f>
      </c>
      <c r="D364" t="str">
        <f>IFERROR(INDEX('Match Log'!$G$4:$G$810,MATCH(340,'Match Log'!$A$4:$A$810,0)),"")</f>
      </c>
      <c r="E364">
        <f>IFERROR(INDEX('Match Log'!$F$4:$F$810,MATCH(340,'Match Log'!$A$4:$A$810,0)),"")</f>
        <v>0</v>
      </c>
      <c r="F364">
        <f>IFERROR(SUMIFS('Match Log'!$I$4:$I$810,'Match Log'!$A$4:$A$810,340,'Match Log'!$E$4:$E$810,"Win"),"")</f>
        <v>0</v>
      </c>
      <c r="G364">
        <f>IF($D364="","",1-$F364*$E364)</f>
        <v>0</v>
      </c>
      <c r="H364" t="str">
        <f>IFERROR(IF($E364=2,LOOKUP(2,1/(('Match Log'!$A$4:$A$810=340)*('Match Log'!$E$4:$E$810="Loss")),'Match Log'!$D$4:$D$810),"the field"),"")</f>
      </c>
      <c r="I364">
        <f>IF($G364="","",$G364-$A364/1000000)</f>
        <v>0</v>
      </c>
      <c r="J364">
        <v>340</v>
      </c>
      <c r="K364">
        <f>IF($J364&gt;MAX('Match Log'!$A$4:$A$810),NA(),IFERROR(LOOKUP(2,1/(('Match Log'!$D$4:$D$810=$K$24)*('Match Log'!$A$4:$A$810&lt;=$J364)),'Match Log'!$N$4:$N$810),NA()))</f>
        <v>0</v>
      </c>
      <c r="L364">
        <f>IF($J364&gt;MAX('Match Log'!$A$4:$A$810),NA(),IFERROR(LOOKUP(2,1/(('Match Log'!$D$4:$D$810=$L$24)*('Match Log'!$A$4:$A$810&lt;=$J364)),'Match Log'!$N$4:$N$810),NA()))</f>
        <v>0</v>
      </c>
      <c r="M364">
        <f>IF($J364&gt;MAX('Match Log'!$A$4:$A$810),NA(),IFERROR(LOOKUP(2,1/(('Match Log'!$D$4:$D$810=$M$24)*('Match Log'!$A$4:$A$810&lt;=$J364)),'Match Log'!$N$4:$N$810),NA()))</f>
        <v>0</v>
      </c>
      <c r="N364">
        <f>IF($J364&gt;MAX('Match Log'!$A$4:$A$810),NA(),IFERROR(LOOKUP(2,1/(('Match Log'!$D$4:$D$810=$N$24)*('Match Log'!$A$4:$A$810&lt;=$J364)),'Match Log'!$N$4:$N$810),NA()))</f>
        <v>0</v>
      </c>
      <c r="O364">
        <f>IF($J364&gt;MAX('Match Log'!$A$4:$A$810),NA(),IFERROR(LOOKUP(2,1/(('Match Log'!$D$4:$D$810=$O$24)*('Match Log'!$A$4:$A$810&lt;=$J364)),'Match Log'!$N$4:$N$810),NA()))</f>
        <v>0</v>
      </c>
      <c r="P364">
        <f>IF($J364&gt;MAX('Match Log'!$A$4:$A$810),NA(),IFERROR(LOOKUP(2,1/(('Match Log'!$D$4:$D$810=$P$24)*('Match Log'!$A$4:$A$810&lt;=$J364)),'Match Log'!$N$4:$N$810),NA()))</f>
        <v>0</v>
      </c>
      <c r="Q364">
        <f>IF($J364&gt;MAX('Match Log'!$A$4:$A$810),NA(),IFERROR(LOOKUP(2,1/(('Match Log'!$D$4:$D$810=$Q$24)*('Match Log'!$A$4:$A$810&lt;=$J364)),'Match Log'!$N$4:$N$810),NA()))</f>
        <v>0</v>
      </c>
      <c r="R364">
        <f>IF($J364&gt;MAX('Match Log'!$A$4:$A$810),NA(),IFERROR(LOOKUP(2,1/(('Match Log'!$D$4:$D$810=$R$24)*('Match Log'!$A$4:$A$810&lt;=$J364)),'Match Log'!$N$4:$N$810),NA()))</f>
        <v>0</v>
      </c>
      <c r="S364">
        <f>IF($J364&gt;MAX('Match Log'!$A$4:$A$810),NA(),IFERROR(LOOKUP(2,1/(('Match Log'!$D$4:$D$810=$S$24)*('Match Log'!$A$4:$A$810&lt;=$J364)),'Match Log'!$N$4:$N$810),NA()))</f>
        <v>0</v>
      </c>
      <c r="T364">
        <f>IF($J364&gt;MAX('Match Log'!$A$4:$A$810),NA(),IFERROR(LOOKUP(2,1/(('Match Log'!$D$4:$D$810=$T$24)*('Match Log'!$A$4:$A$810&lt;=$J364)),'Match Log'!$N$4:$N$810),NA()))</f>
        <v>0</v>
      </c>
      <c r="U364">
        <f>IF($J364&gt;MAX('Match Log'!$A$4:$A$810),NA(),IFERROR(LOOKUP(2,1/(('Match Log'!$D$4:$D$810=$U$24)*('Match Log'!$A$4:$A$810&lt;=$J364)),'Match Log'!$N$4:$N$810),NA()))</f>
        <v>0</v>
      </c>
      <c r="V364">
        <f>IF($J364&gt;MAX('Match Log'!$A$4:$A$810),NA(),IFERROR(LOOKUP(2,1/(('Match Log'!$D$4:$D$810=$V$24)*('Match Log'!$A$4:$A$810&lt;=$J364)),'Match Log'!$N$4:$N$810),NA()))</f>
        <v>0</v>
      </c>
      <c r="W364">
        <f>IF($J364&gt;MAX('Match Log'!$A$4:$A$810),NA(),IFERROR(LOOKUP(2,1/(('Match Log'!$D$4:$D$810=$W$24)*('Match Log'!$A$4:$A$810&lt;=$J364)),'Match Log'!$N$4:$N$810),NA()))</f>
        <v>0</v>
      </c>
      <c r="X364">
        <f>IF($J364&gt;MAX('Match Log'!$A$4:$A$810),NA(),IFERROR(LOOKUP(2,1/(('Match Log'!$D$4:$D$810=$X$24)*('Match Log'!$A$4:$A$810&lt;=$J364)),'Match Log'!$N$4:$N$810),NA()))</f>
        <v>0</v>
      </c>
      <c r="Y364" t="str">
        <f>IF(AND($B364&lt;&gt;"",$B364&gt;=$B$5,$I364&lt;&gt;""),$I364,"")</f>
      </c>
    </row>
    <row r="365">
      <c r="A365">
        <v>341</v>
      </c>
      <c r="B365">
        <f>IFERROR(INDEX('Match Log'!$B$4:$B$810,MATCH(341,'Match Log'!$A$4:$A$810,0)),"")</f>
        <v>0</v>
      </c>
      <c r="C365" t="str">
        <f>IFERROR(INDEX('Match Log'!$C$4:$C$810,MATCH(341,'Match Log'!$A$4:$A$810,0)),"")</f>
      </c>
      <c r="D365" t="str">
        <f>IFERROR(INDEX('Match Log'!$G$4:$G$810,MATCH(341,'Match Log'!$A$4:$A$810,0)),"")</f>
      </c>
      <c r="E365">
        <f>IFERROR(INDEX('Match Log'!$F$4:$F$810,MATCH(341,'Match Log'!$A$4:$A$810,0)),"")</f>
        <v>0</v>
      </c>
      <c r="F365">
        <f>IFERROR(SUMIFS('Match Log'!$I$4:$I$810,'Match Log'!$A$4:$A$810,341,'Match Log'!$E$4:$E$810,"Win"),"")</f>
        <v>0</v>
      </c>
      <c r="G365">
        <f>IF($D365="","",1-$F365*$E365)</f>
        <v>0</v>
      </c>
      <c r="H365" t="str">
        <f>IFERROR(IF($E365=2,LOOKUP(2,1/(('Match Log'!$A$4:$A$810=341)*('Match Log'!$E$4:$E$810="Loss")),'Match Log'!$D$4:$D$810),"the field"),"")</f>
      </c>
      <c r="I365">
        <f>IF($G365="","",$G365-$A365/1000000)</f>
        <v>0</v>
      </c>
      <c r="J365">
        <v>341</v>
      </c>
      <c r="K365">
        <f>IF($J365&gt;MAX('Match Log'!$A$4:$A$810),NA(),IFERROR(LOOKUP(2,1/(('Match Log'!$D$4:$D$810=$K$24)*('Match Log'!$A$4:$A$810&lt;=$J365)),'Match Log'!$N$4:$N$810),NA()))</f>
        <v>0</v>
      </c>
      <c r="L365">
        <f>IF($J365&gt;MAX('Match Log'!$A$4:$A$810),NA(),IFERROR(LOOKUP(2,1/(('Match Log'!$D$4:$D$810=$L$24)*('Match Log'!$A$4:$A$810&lt;=$J365)),'Match Log'!$N$4:$N$810),NA()))</f>
        <v>0</v>
      </c>
      <c r="M365">
        <f>IF($J365&gt;MAX('Match Log'!$A$4:$A$810),NA(),IFERROR(LOOKUP(2,1/(('Match Log'!$D$4:$D$810=$M$24)*('Match Log'!$A$4:$A$810&lt;=$J365)),'Match Log'!$N$4:$N$810),NA()))</f>
        <v>0</v>
      </c>
      <c r="N365">
        <f>IF($J365&gt;MAX('Match Log'!$A$4:$A$810),NA(),IFERROR(LOOKUP(2,1/(('Match Log'!$D$4:$D$810=$N$24)*('Match Log'!$A$4:$A$810&lt;=$J365)),'Match Log'!$N$4:$N$810),NA()))</f>
        <v>0</v>
      </c>
      <c r="O365">
        <f>IF($J365&gt;MAX('Match Log'!$A$4:$A$810),NA(),IFERROR(LOOKUP(2,1/(('Match Log'!$D$4:$D$810=$O$24)*('Match Log'!$A$4:$A$810&lt;=$J365)),'Match Log'!$N$4:$N$810),NA()))</f>
        <v>0</v>
      </c>
      <c r="P365">
        <f>IF($J365&gt;MAX('Match Log'!$A$4:$A$810),NA(),IFERROR(LOOKUP(2,1/(('Match Log'!$D$4:$D$810=$P$24)*('Match Log'!$A$4:$A$810&lt;=$J365)),'Match Log'!$N$4:$N$810),NA()))</f>
        <v>0</v>
      </c>
      <c r="Q365">
        <f>IF($J365&gt;MAX('Match Log'!$A$4:$A$810),NA(),IFERROR(LOOKUP(2,1/(('Match Log'!$D$4:$D$810=$Q$24)*('Match Log'!$A$4:$A$810&lt;=$J365)),'Match Log'!$N$4:$N$810),NA()))</f>
        <v>0</v>
      </c>
      <c r="R365">
        <f>IF($J365&gt;MAX('Match Log'!$A$4:$A$810),NA(),IFERROR(LOOKUP(2,1/(('Match Log'!$D$4:$D$810=$R$24)*('Match Log'!$A$4:$A$810&lt;=$J365)),'Match Log'!$N$4:$N$810),NA()))</f>
        <v>0</v>
      </c>
      <c r="S365">
        <f>IF($J365&gt;MAX('Match Log'!$A$4:$A$810),NA(),IFERROR(LOOKUP(2,1/(('Match Log'!$D$4:$D$810=$S$24)*('Match Log'!$A$4:$A$810&lt;=$J365)),'Match Log'!$N$4:$N$810),NA()))</f>
        <v>0</v>
      </c>
      <c r="T365">
        <f>IF($J365&gt;MAX('Match Log'!$A$4:$A$810),NA(),IFERROR(LOOKUP(2,1/(('Match Log'!$D$4:$D$810=$T$24)*('Match Log'!$A$4:$A$810&lt;=$J365)),'Match Log'!$N$4:$N$810),NA()))</f>
        <v>0</v>
      </c>
      <c r="U365">
        <f>IF($J365&gt;MAX('Match Log'!$A$4:$A$810),NA(),IFERROR(LOOKUP(2,1/(('Match Log'!$D$4:$D$810=$U$24)*('Match Log'!$A$4:$A$810&lt;=$J365)),'Match Log'!$N$4:$N$810),NA()))</f>
        <v>0</v>
      </c>
      <c r="V365">
        <f>IF($J365&gt;MAX('Match Log'!$A$4:$A$810),NA(),IFERROR(LOOKUP(2,1/(('Match Log'!$D$4:$D$810=$V$24)*('Match Log'!$A$4:$A$810&lt;=$J365)),'Match Log'!$N$4:$N$810),NA()))</f>
        <v>0</v>
      </c>
      <c r="W365">
        <f>IF($J365&gt;MAX('Match Log'!$A$4:$A$810),NA(),IFERROR(LOOKUP(2,1/(('Match Log'!$D$4:$D$810=$W$24)*('Match Log'!$A$4:$A$810&lt;=$J365)),'Match Log'!$N$4:$N$810),NA()))</f>
        <v>0</v>
      </c>
      <c r="X365">
        <f>IF($J365&gt;MAX('Match Log'!$A$4:$A$810),NA(),IFERROR(LOOKUP(2,1/(('Match Log'!$D$4:$D$810=$X$24)*('Match Log'!$A$4:$A$810&lt;=$J365)),'Match Log'!$N$4:$N$810),NA()))</f>
        <v>0</v>
      </c>
      <c r="Y365" t="str">
        <f>IF(AND($B365&lt;&gt;"",$B365&gt;=$B$5,$I365&lt;&gt;""),$I365,"")</f>
      </c>
    </row>
    <row r="366">
      <c r="A366">
        <v>342</v>
      </c>
      <c r="B366">
        <f>IFERROR(INDEX('Match Log'!$B$4:$B$810,MATCH(342,'Match Log'!$A$4:$A$810,0)),"")</f>
        <v>0</v>
      </c>
      <c r="C366" t="str">
        <f>IFERROR(INDEX('Match Log'!$C$4:$C$810,MATCH(342,'Match Log'!$A$4:$A$810,0)),"")</f>
      </c>
      <c r="D366" t="str">
        <f>IFERROR(INDEX('Match Log'!$G$4:$G$810,MATCH(342,'Match Log'!$A$4:$A$810,0)),"")</f>
      </c>
      <c r="E366">
        <f>IFERROR(INDEX('Match Log'!$F$4:$F$810,MATCH(342,'Match Log'!$A$4:$A$810,0)),"")</f>
        <v>0</v>
      </c>
      <c r="F366">
        <f>IFERROR(SUMIFS('Match Log'!$I$4:$I$810,'Match Log'!$A$4:$A$810,342,'Match Log'!$E$4:$E$810,"Win"),"")</f>
        <v>0</v>
      </c>
      <c r="G366">
        <f>IF($D366="","",1-$F366*$E366)</f>
        <v>0</v>
      </c>
      <c r="H366" t="str">
        <f>IFERROR(IF($E366=2,LOOKUP(2,1/(('Match Log'!$A$4:$A$810=342)*('Match Log'!$E$4:$E$810="Loss")),'Match Log'!$D$4:$D$810),"the field"),"")</f>
      </c>
      <c r="I366">
        <f>IF($G366="","",$G366-$A366/1000000)</f>
        <v>0</v>
      </c>
      <c r="J366">
        <v>342</v>
      </c>
      <c r="K366">
        <f>IF($J366&gt;MAX('Match Log'!$A$4:$A$810),NA(),IFERROR(LOOKUP(2,1/(('Match Log'!$D$4:$D$810=$K$24)*('Match Log'!$A$4:$A$810&lt;=$J366)),'Match Log'!$N$4:$N$810),NA()))</f>
        <v>0</v>
      </c>
      <c r="L366">
        <f>IF($J366&gt;MAX('Match Log'!$A$4:$A$810),NA(),IFERROR(LOOKUP(2,1/(('Match Log'!$D$4:$D$810=$L$24)*('Match Log'!$A$4:$A$810&lt;=$J366)),'Match Log'!$N$4:$N$810),NA()))</f>
        <v>0</v>
      </c>
      <c r="M366">
        <f>IF($J366&gt;MAX('Match Log'!$A$4:$A$810),NA(),IFERROR(LOOKUP(2,1/(('Match Log'!$D$4:$D$810=$M$24)*('Match Log'!$A$4:$A$810&lt;=$J366)),'Match Log'!$N$4:$N$810),NA()))</f>
        <v>0</v>
      </c>
      <c r="N366">
        <f>IF($J366&gt;MAX('Match Log'!$A$4:$A$810),NA(),IFERROR(LOOKUP(2,1/(('Match Log'!$D$4:$D$810=$N$24)*('Match Log'!$A$4:$A$810&lt;=$J366)),'Match Log'!$N$4:$N$810),NA()))</f>
        <v>0</v>
      </c>
      <c r="O366">
        <f>IF($J366&gt;MAX('Match Log'!$A$4:$A$810),NA(),IFERROR(LOOKUP(2,1/(('Match Log'!$D$4:$D$810=$O$24)*('Match Log'!$A$4:$A$810&lt;=$J366)),'Match Log'!$N$4:$N$810),NA()))</f>
        <v>0</v>
      </c>
      <c r="P366">
        <f>IF($J366&gt;MAX('Match Log'!$A$4:$A$810),NA(),IFERROR(LOOKUP(2,1/(('Match Log'!$D$4:$D$810=$P$24)*('Match Log'!$A$4:$A$810&lt;=$J366)),'Match Log'!$N$4:$N$810),NA()))</f>
        <v>0</v>
      </c>
      <c r="Q366">
        <f>IF($J366&gt;MAX('Match Log'!$A$4:$A$810),NA(),IFERROR(LOOKUP(2,1/(('Match Log'!$D$4:$D$810=$Q$24)*('Match Log'!$A$4:$A$810&lt;=$J366)),'Match Log'!$N$4:$N$810),NA()))</f>
        <v>0</v>
      </c>
      <c r="R366">
        <f>IF($J366&gt;MAX('Match Log'!$A$4:$A$810),NA(),IFERROR(LOOKUP(2,1/(('Match Log'!$D$4:$D$810=$R$24)*('Match Log'!$A$4:$A$810&lt;=$J366)),'Match Log'!$N$4:$N$810),NA()))</f>
        <v>0</v>
      </c>
      <c r="S366">
        <f>IF($J366&gt;MAX('Match Log'!$A$4:$A$810),NA(),IFERROR(LOOKUP(2,1/(('Match Log'!$D$4:$D$810=$S$24)*('Match Log'!$A$4:$A$810&lt;=$J366)),'Match Log'!$N$4:$N$810),NA()))</f>
        <v>0</v>
      </c>
      <c r="T366">
        <f>IF($J366&gt;MAX('Match Log'!$A$4:$A$810),NA(),IFERROR(LOOKUP(2,1/(('Match Log'!$D$4:$D$810=$T$24)*('Match Log'!$A$4:$A$810&lt;=$J366)),'Match Log'!$N$4:$N$810),NA()))</f>
        <v>0</v>
      </c>
      <c r="U366">
        <f>IF($J366&gt;MAX('Match Log'!$A$4:$A$810),NA(),IFERROR(LOOKUP(2,1/(('Match Log'!$D$4:$D$810=$U$24)*('Match Log'!$A$4:$A$810&lt;=$J366)),'Match Log'!$N$4:$N$810),NA()))</f>
        <v>0</v>
      </c>
      <c r="V366">
        <f>IF($J366&gt;MAX('Match Log'!$A$4:$A$810),NA(),IFERROR(LOOKUP(2,1/(('Match Log'!$D$4:$D$810=$V$24)*('Match Log'!$A$4:$A$810&lt;=$J366)),'Match Log'!$N$4:$N$810),NA()))</f>
        <v>0</v>
      </c>
      <c r="W366">
        <f>IF($J366&gt;MAX('Match Log'!$A$4:$A$810),NA(),IFERROR(LOOKUP(2,1/(('Match Log'!$D$4:$D$810=$W$24)*('Match Log'!$A$4:$A$810&lt;=$J366)),'Match Log'!$N$4:$N$810),NA()))</f>
        <v>0</v>
      </c>
      <c r="X366">
        <f>IF($J366&gt;MAX('Match Log'!$A$4:$A$810),NA(),IFERROR(LOOKUP(2,1/(('Match Log'!$D$4:$D$810=$X$24)*('Match Log'!$A$4:$A$810&lt;=$J366)),'Match Log'!$N$4:$N$810),NA()))</f>
        <v>0</v>
      </c>
      <c r="Y366" t="str">
        <f>IF(AND($B366&lt;&gt;"",$B366&gt;=$B$5,$I366&lt;&gt;""),$I366,"")</f>
      </c>
    </row>
    <row r="367">
      <c r="A367">
        <v>343</v>
      </c>
      <c r="B367">
        <f>IFERROR(INDEX('Match Log'!$B$4:$B$810,MATCH(343,'Match Log'!$A$4:$A$810,0)),"")</f>
        <v>0</v>
      </c>
      <c r="C367" t="str">
        <f>IFERROR(INDEX('Match Log'!$C$4:$C$810,MATCH(343,'Match Log'!$A$4:$A$810,0)),"")</f>
      </c>
      <c r="D367" t="str">
        <f>IFERROR(INDEX('Match Log'!$G$4:$G$810,MATCH(343,'Match Log'!$A$4:$A$810,0)),"")</f>
      </c>
      <c r="E367">
        <f>IFERROR(INDEX('Match Log'!$F$4:$F$810,MATCH(343,'Match Log'!$A$4:$A$810,0)),"")</f>
        <v>0</v>
      </c>
      <c r="F367">
        <f>IFERROR(SUMIFS('Match Log'!$I$4:$I$810,'Match Log'!$A$4:$A$810,343,'Match Log'!$E$4:$E$810,"Win"),"")</f>
        <v>0</v>
      </c>
      <c r="G367">
        <f>IF($D367="","",1-$F367*$E367)</f>
        <v>0</v>
      </c>
      <c r="H367" t="str">
        <f>IFERROR(IF($E367=2,LOOKUP(2,1/(('Match Log'!$A$4:$A$810=343)*('Match Log'!$E$4:$E$810="Loss")),'Match Log'!$D$4:$D$810),"the field"),"")</f>
      </c>
      <c r="I367">
        <f>IF($G367="","",$G367-$A367/1000000)</f>
        <v>0</v>
      </c>
      <c r="J367">
        <v>343</v>
      </c>
      <c r="K367">
        <f>IF($J367&gt;MAX('Match Log'!$A$4:$A$810),NA(),IFERROR(LOOKUP(2,1/(('Match Log'!$D$4:$D$810=$K$24)*('Match Log'!$A$4:$A$810&lt;=$J367)),'Match Log'!$N$4:$N$810),NA()))</f>
        <v>0</v>
      </c>
      <c r="L367">
        <f>IF($J367&gt;MAX('Match Log'!$A$4:$A$810),NA(),IFERROR(LOOKUP(2,1/(('Match Log'!$D$4:$D$810=$L$24)*('Match Log'!$A$4:$A$810&lt;=$J367)),'Match Log'!$N$4:$N$810),NA()))</f>
        <v>0</v>
      </c>
      <c r="M367">
        <f>IF($J367&gt;MAX('Match Log'!$A$4:$A$810),NA(),IFERROR(LOOKUP(2,1/(('Match Log'!$D$4:$D$810=$M$24)*('Match Log'!$A$4:$A$810&lt;=$J367)),'Match Log'!$N$4:$N$810),NA()))</f>
        <v>0</v>
      </c>
      <c r="N367">
        <f>IF($J367&gt;MAX('Match Log'!$A$4:$A$810),NA(),IFERROR(LOOKUP(2,1/(('Match Log'!$D$4:$D$810=$N$24)*('Match Log'!$A$4:$A$810&lt;=$J367)),'Match Log'!$N$4:$N$810),NA()))</f>
        <v>0</v>
      </c>
      <c r="O367">
        <f>IF($J367&gt;MAX('Match Log'!$A$4:$A$810),NA(),IFERROR(LOOKUP(2,1/(('Match Log'!$D$4:$D$810=$O$24)*('Match Log'!$A$4:$A$810&lt;=$J367)),'Match Log'!$N$4:$N$810),NA()))</f>
        <v>0</v>
      </c>
      <c r="P367">
        <f>IF($J367&gt;MAX('Match Log'!$A$4:$A$810),NA(),IFERROR(LOOKUP(2,1/(('Match Log'!$D$4:$D$810=$P$24)*('Match Log'!$A$4:$A$810&lt;=$J367)),'Match Log'!$N$4:$N$810),NA()))</f>
        <v>0</v>
      </c>
      <c r="Q367">
        <f>IF($J367&gt;MAX('Match Log'!$A$4:$A$810),NA(),IFERROR(LOOKUP(2,1/(('Match Log'!$D$4:$D$810=$Q$24)*('Match Log'!$A$4:$A$810&lt;=$J367)),'Match Log'!$N$4:$N$810),NA()))</f>
        <v>0</v>
      </c>
      <c r="R367">
        <f>IF($J367&gt;MAX('Match Log'!$A$4:$A$810),NA(),IFERROR(LOOKUP(2,1/(('Match Log'!$D$4:$D$810=$R$24)*('Match Log'!$A$4:$A$810&lt;=$J367)),'Match Log'!$N$4:$N$810),NA()))</f>
        <v>0</v>
      </c>
      <c r="S367">
        <f>IF($J367&gt;MAX('Match Log'!$A$4:$A$810),NA(),IFERROR(LOOKUP(2,1/(('Match Log'!$D$4:$D$810=$S$24)*('Match Log'!$A$4:$A$810&lt;=$J367)),'Match Log'!$N$4:$N$810),NA()))</f>
        <v>0</v>
      </c>
      <c r="T367">
        <f>IF($J367&gt;MAX('Match Log'!$A$4:$A$810),NA(),IFERROR(LOOKUP(2,1/(('Match Log'!$D$4:$D$810=$T$24)*('Match Log'!$A$4:$A$810&lt;=$J367)),'Match Log'!$N$4:$N$810),NA()))</f>
        <v>0</v>
      </c>
      <c r="U367">
        <f>IF($J367&gt;MAX('Match Log'!$A$4:$A$810),NA(),IFERROR(LOOKUP(2,1/(('Match Log'!$D$4:$D$810=$U$24)*('Match Log'!$A$4:$A$810&lt;=$J367)),'Match Log'!$N$4:$N$810),NA()))</f>
        <v>0</v>
      </c>
      <c r="V367">
        <f>IF($J367&gt;MAX('Match Log'!$A$4:$A$810),NA(),IFERROR(LOOKUP(2,1/(('Match Log'!$D$4:$D$810=$V$24)*('Match Log'!$A$4:$A$810&lt;=$J367)),'Match Log'!$N$4:$N$810),NA()))</f>
        <v>0</v>
      </c>
      <c r="W367">
        <f>IF($J367&gt;MAX('Match Log'!$A$4:$A$810),NA(),IFERROR(LOOKUP(2,1/(('Match Log'!$D$4:$D$810=$W$24)*('Match Log'!$A$4:$A$810&lt;=$J367)),'Match Log'!$N$4:$N$810),NA()))</f>
        <v>0</v>
      </c>
      <c r="X367">
        <f>IF($J367&gt;MAX('Match Log'!$A$4:$A$810),NA(),IFERROR(LOOKUP(2,1/(('Match Log'!$D$4:$D$810=$X$24)*('Match Log'!$A$4:$A$810&lt;=$J367)),'Match Log'!$N$4:$N$810),NA()))</f>
        <v>0</v>
      </c>
      <c r="Y367" t="str">
        <f>IF(AND($B367&lt;&gt;"",$B367&gt;=$B$5,$I367&lt;&gt;""),$I367,"")</f>
      </c>
    </row>
    <row r="368">
      <c r="A368">
        <v>344</v>
      </c>
      <c r="B368">
        <f>IFERROR(INDEX('Match Log'!$B$4:$B$810,MATCH(344,'Match Log'!$A$4:$A$810,0)),"")</f>
        <v>0</v>
      </c>
      <c r="C368" t="str">
        <f>IFERROR(INDEX('Match Log'!$C$4:$C$810,MATCH(344,'Match Log'!$A$4:$A$810,0)),"")</f>
      </c>
      <c r="D368" t="str">
        <f>IFERROR(INDEX('Match Log'!$G$4:$G$810,MATCH(344,'Match Log'!$A$4:$A$810,0)),"")</f>
      </c>
      <c r="E368">
        <f>IFERROR(INDEX('Match Log'!$F$4:$F$810,MATCH(344,'Match Log'!$A$4:$A$810,0)),"")</f>
        <v>0</v>
      </c>
      <c r="F368">
        <f>IFERROR(SUMIFS('Match Log'!$I$4:$I$810,'Match Log'!$A$4:$A$810,344,'Match Log'!$E$4:$E$810,"Win"),"")</f>
        <v>0</v>
      </c>
      <c r="G368">
        <f>IF($D368="","",1-$F368*$E368)</f>
        <v>0</v>
      </c>
      <c r="H368" t="str">
        <f>IFERROR(IF($E368=2,LOOKUP(2,1/(('Match Log'!$A$4:$A$810=344)*('Match Log'!$E$4:$E$810="Loss")),'Match Log'!$D$4:$D$810),"the field"),"")</f>
      </c>
      <c r="I368">
        <f>IF($G368="","",$G368-$A368/1000000)</f>
        <v>0</v>
      </c>
      <c r="J368">
        <v>344</v>
      </c>
      <c r="K368">
        <f>IF($J368&gt;MAX('Match Log'!$A$4:$A$810),NA(),IFERROR(LOOKUP(2,1/(('Match Log'!$D$4:$D$810=$K$24)*('Match Log'!$A$4:$A$810&lt;=$J368)),'Match Log'!$N$4:$N$810),NA()))</f>
        <v>0</v>
      </c>
      <c r="L368">
        <f>IF($J368&gt;MAX('Match Log'!$A$4:$A$810),NA(),IFERROR(LOOKUP(2,1/(('Match Log'!$D$4:$D$810=$L$24)*('Match Log'!$A$4:$A$810&lt;=$J368)),'Match Log'!$N$4:$N$810),NA()))</f>
        <v>0</v>
      </c>
      <c r="M368">
        <f>IF($J368&gt;MAX('Match Log'!$A$4:$A$810),NA(),IFERROR(LOOKUP(2,1/(('Match Log'!$D$4:$D$810=$M$24)*('Match Log'!$A$4:$A$810&lt;=$J368)),'Match Log'!$N$4:$N$810),NA()))</f>
        <v>0</v>
      </c>
      <c r="N368">
        <f>IF($J368&gt;MAX('Match Log'!$A$4:$A$810),NA(),IFERROR(LOOKUP(2,1/(('Match Log'!$D$4:$D$810=$N$24)*('Match Log'!$A$4:$A$810&lt;=$J368)),'Match Log'!$N$4:$N$810),NA()))</f>
        <v>0</v>
      </c>
      <c r="O368">
        <f>IF($J368&gt;MAX('Match Log'!$A$4:$A$810),NA(),IFERROR(LOOKUP(2,1/(('Match Log'!$D$4:$D$810=$O$24)*('Match Log'!$A$4:$A$810&lt;=$J368)),'Match Log'!$N$4:$N$810),NA()))</f>
        <v>0</v>
      </c>
      <c r="P368">
        <f>IF($J368&gt;MAX('Match Log'!$A$4:$A$810),NA(),IFERROR(LOOKUP(2,1/(('Match Log'!$D$4:$D$810=$P$24)*('Match Log'!$A$4:$A$810&lt;=$J368)),'Match Log'!$N$4:$N$810),NA()))</f>
        <v>0</v>
      </c>
      <c r="Q368">
        <f>IF($J368&gt;MAX('Match Log'!$A$4:$A$810),NA(),IFERROR(LOOKUP(2,1/(('Match Log'!$D$4:$D$810=$Q$24)*('Match Log'!$A$4:$A$810&lt;=$J368)),'Match Log'!$N$4:$N$810),NA()))</f>
        <v>0</v>
      </c>
      <c r="R368">
        <f>IF($J368&gt;MAX('Match Log'!$A$4:$A$810),NA(),IFERROR(LOOKUP(2,1/(('Match Log'!$D$4:$D$810=$R$24)*('Match Log'!$A$4:$A$810&lt;=$J368)),'Match Log'!$N$4:$N$810),NA()))</f>
        <v>0</v>
      </c>
      <c r="S368">
        <f>IF($J368&gt;MAX('Match Log'!$A$4:$A$810),NA(),IFERROR(LOOKUP(2,1/(('Match Log'!$D$4:$D$810=$S$24)*('Match Log'!$A$4:$A$810&lt;=$J368)),'Match Log'!$N$4:$N$810),NA()))</f>
        <v>0</v>
      </c>
      <c r="T368">
        <f>IF($J368&gt;MAX('Match Log'!$A$4:$A$810),NA(),IFERROR(LOOKUP(2,1/(('Match Log'!$D$4:$D$810=$T$24)*('Match Log'!$A$4:$A$810&lt;=$J368)),'Match Log'!$N$4:$N$810),NA()))</f>
        <v>0</v>
      </c>
      <c r="U368">
        <f>IF($J368&gt;MAX('Match Log'!$A$4:$A$810),NA(),IFERROR(LOOKUP(2,1/(('Match Log'!$D$4:$D$810=$U$24)*('Match Log'!$A$4:$A$810&lt;=$J368)),'Match Log'!$N$4:$N$810),NA()))</f>
        <v>0</v>
      </c>
      <c r="V368">
        <f>IF($J368&gt;MAX('Match Log'!$A$4:$A$810),NA(),IFERROR(LOOKUP(2,1/(('Match Log'!$D$4:$D$810=$V$24)*('Match Log'!$A$4:$A$810&lt;=$J368)),'Match Log'!$N$4:$N$810),NA()))</f>
        <v>0</v>
      </c>
      <c r="W368">
        <f>IF($J368&gt;MAX('Match Log'!$A$4:$A$810),NA(),IFERROR(LOOKUP(2,1/(('Match Log'!$D$4:$D$810=$W$24)*('Match Log'!$A$4:$A$810&lt;=$J368)),'Match Log'!$N$4:$N$810),NA()))</f>
        <v>0</v>
      </c>
      <c r="X368">
        <f>IF($J368&gt;MAX('Match Log'!$A$4:$A$810),NA(),IFERROR(LOOKUP(2,1/(('Match Log'!$D$4:$D$810=$X$24)*('Match Log'!$A$4:$A$810&lt;=$J368)),'Match Log'!$N$4:$N$810),NA()))</f>
        <v>0</v>
      </c>
      <c r="Y368" t="str">
        <f>IF(AND($B368&lt;&gt;"",$B368&gt;=$B$5,$I368&lt;&gt;""),$I368,"")</f>
      </c>
    </row>
    <row r="369">
      <c r="A369">
        <v>345</v>
      </c>
      <c r="B369">
        <f>IFERROR(INDEX('Match Log'!$B$4:$B$810,MATCH(345,'Match Log'!$A$4:$A$810,0)),"")</f>
        <v>0</v>
      </c>
      <c r="C369" t="str">
        <f>IFERROR(INDEX('Match Log'!$C$4:$C$810,MATCH(345,'Match Log'!$A$4:$A$810,0)),"")</f>
      </c>
      <c r="D369" t="str">
        <f>IFERROR(INDEX('Match Log'!$G$4:$G$810,MATCH(345,'Match Log'!$A$4:$A$810,0)),"")</f>
      </c>
      <c r="E369">
        <f>IFERROR(INDEX('Match Log'!$F$4:$F$810,MATCH(345,'Match Log'!$A$4:$A$810,0)),"")</f>
        <v>0</v>
      </c>
      <c r="F369">
        <f>IFERROR(SUMIFS('Match Log'!$I$4:$I$810,'Match Log'!$A$4:$A$810,345,'Match Log'!$E$4:$E$810,"Win"),"")</f>
        <v>0</v>
      </c>
      <c r="G369">
        <f>IF($D369="","",1-$F369*$E369)</f>
        <v>0</v>
      </c>
      <c r="H369" t="str">
        <f>IFERROR(IF($E369=2,LOOKUP(2,1/(('Match Log'!$A$4:$A$810=345)*('Match Log'!$E$4:$E$810="Loss")),'Match Log'!$D$4:$D$810),"the field"),"")</f>
      </c>
      <c r="I369">
        <f>IF($G369="","",$G369-$A369/1000000)</f>
        <v>0</v>
      </c>
      <c r="J369">
        <v>345</v>
      </c>
      <c r="K369">
        <f>IF($J369&gt;MAX('Match Log'!$A$4:$A$810),NA(),IFERROR(LOOKUP(2,1/(('Match Log'!$D$4:$D$810=$K$24)*('Match Log'!$A$4:$A$810&lt;=$J369)),'Match Log'!$N$4:$N$810),NA()))</f>
        <v>0</v>
      </c>
      <c r="L369">
        <f>IF($J369&gt;MAX('Match Log'!$A$4:$A$810),NA(),IFERROR(LOOKUP(2,1/(('Match Log'!$D$4:$D$810=$L$24)*('Match Log'!$A$4:$A$810&lt;=$J369)),'Match Log'!$N$4:$N$810),NA()))</f>
        <v>0</v>
      </c>
      <c r="M369">
        <f>IF($J369&gt;MAX('Match Log'!$A$4:$A$810),NA(),IFERROR(LOOKUP(2,1/(('Match Log'!$D$4:$D$810=$M$24)*('Match Log'!$A$4:$A$810&lt;=$J369)),'Match Log'!$N$4:$N$810),NA()))</f>
        <v>0</v>
      </c>
      <c r="N369">
        <f>IF($J369&gt;MAX('Match Log'!$A$4:$A$810),NA(),IFERROR(LOOKUP(2,1/(('Match Log'!$D$4:$D$810=$N$24)*('Match Log'!$A$4:$A$810&lt;=$J369)),'Match Log'!$N$4:$N$810),NA()))</f>
        <v>0</v>
      </c>
      <c r="O369">
        <f>IF($J369&gt;MAX('Match Log'!$A$4:$A$810),NA(),IFERROR(LOOKUP(2,1/(('Match Log'!$D$4:$D$810=$O$24)*('Match Log'!$A$4:$A$810&lt;=$J369)),'Match Log'!$N$4:$N$810),NA()))</f>
        <v>0</v>
      </c>
      <c r="P369">
        <f>IF($J369&gt;MAX('Match Log'!$A$4:$A$810),NA(),IFERROR(LOOKUP(2,1/(('Match Log'!$D$4:$D$810=$P$24)*('Match Log'!$A$4:$A$810&lt;=$J369)),'Match Log'!$N$4:$N$810),NA()))</f>
        <v>0</v>
      </c>
      <c r="Q369">
        <f>IF($J369&gt;MAX('Match Log'!$A$4:$A$810),NA(),IFERROR(LOOKUP(2,1/(('Match Log'!$D$4:$D$810=$Q$24)*('Match Log'!$A$4:$A$810&lt;=$J369)),'Match Log'!$N$4:$N$810),NA()))</f>
        <v>0</v>
      </c>
      <c r="R369">
        <f>IF($J369&gt;MAX('Match Log'!$A$4:$A$810),NA(),IFERROR(LOOKUP(2,1/(('Match Log'!$D$4:$D$810=$R$24)*('Match Log'!$A$4:$A$810&lt;=$J369)),'Match Log'!$N$4:$N$810),NA()))</f>
        <v>0</v>
      </c>
      <c r="S369">
        <f>IF($J369&gt;MAX('Match Log'!$A$4:$A$810),NA(),IFERROR(LOOKUP(2,1/(('Match Log'!$D$4:$D$810=$S$24)*('Match Log'!$A$4:$A$810&lt;=$J369)),'Match Log'!$N$4:$N$810),NA()))</f>
        <v>0</v>
      </c>
      <c r="T369">
        <f>IF($J369&gt;MAX('Match Log'!$A$4:$A$810),NA(),IFERROR(LOOKUP(2,1/(('Match Log'!$D$4:$D$810=$T$24)*('Match Log'!$A$4:$A$810&lt;=$J369)),'Match Log'!$N$4:$N$810),NA()))</f>
        <v>0</v>
      </c>
      <c r="U369">
        <f>IF($J369&gt;MAX('Match Log'!$A$4:$A$810),NA(),IFERROR(LOOKUP(2,1/(('Match Log'!$D$4:$D$810=$U$24)*('Match Log'!$A$4:$A$810&lt;=$J369)),'Match Log'!$N$4:$N$810),NA()))</f>
        <v>0</v>
      </c>
      <c r="V369">
        <f>IF($J369&gt;MAX('Match Log'!$A$4:$A$810),NA(),IFERROR(LOOKUP(2,1/(('Match Log'!$D$4:$D$810=$V$24)*('Match Log'!$A$4:$A$810&lt;=$J369)),'Match Log'!$N$4:$N$810),NA()))</f>
        <v>0</v>
      </c>
      <c r="W369">
        <f>IF($J369&gt;MAX('Match Log'!$A$4:$A$810),NA(),IFERROR(LOOKUP(2,1/(('Match Log'!$D$4:$D$810=$W$24)*('Match Log'!$A$4:$A$810&lt;=$J369)),'Match Log'!$N$4:$N$810),NA()))</f>
        <v>0</v>
      </c>
      <c r="X369">
        <f>IF($J369&gt;MAX('Match Log'!$A$4:$A$810),NA(),IFERROR(LOOKUP(2,1/(('Match Log'!$D$4:$D$810=$X$24)*('Match Log'!$A$4:$A$810&lt;=$J369)),'Match Log'!$N$4:$N$810),NA()))</f>
        <v>0</v>
      </c>
      <c r="Y369" t="str">
        <f>IF(AND($B369&lt;&gt;"",$B369&gt;=$B$5,$I369&lt;&gt;""),$I369,"")</f>
      </c>
    </row>
    <row r="370">
      <c r="A370">
        <v>346</v>
      </c>
      <c r="B370">
        <f>IFERROR(INDEX('Match Log'!$B$4:$B$810,MATCH(346,'Match Log'!$A$4:$A$810,0)),"")</f>
        <v>0</v>
      </c>
      <c r="C370" t="str">
        <f>IFERROR(INDEX('Match Log'!$C$4:$C$810,MATCH(346,'Match Log'!$A$4:$A$810,0)),"")</f>
      </c>
      <c r="D370" t="str">
        <f>IFERROR(INDEX('Match Log'!$G$4:$G$810,MATCH(346,'Match Log'!$A$4:$A$810,0)),"")</f>
      </c>
      <c r="E370">
        <f>IFERROR(INDEX('Match Log'!$F$4:$F$810,MATCH(346,'Match Log'!$A$4:$A$810,0)),"")</f>
        <v>0</v>
      </c>
      <c r="F370">
        <f>IFERROR(SUMIFS('Match Log'!$I$4:$I$810,'Match Log'!$A$4:$A$810,346,'Match Log'!$E$4:$E$810,"Win"),"")</f>
        <v>0</v>
      </c>
      <c r="G370">
        <f>IF($D370="","",1-$F370*$E370)</f>
        <v>0</v>
      </c>
      <c r="H370" t="str">
        <f>IFERROR(IF($E370=2,LOOKUP(2,1/(('Match Log'!$A$4:$A$810=346)*('Match Log'!$E$4:$E$810="Loss")),'Match Log'!$D$4:$D$810),"the field"),"")</f>
      </c>
      <c r="I370">
        <f>IF($G370="","",$G370-$A370/1000000)</f>
        <v>0</v>
      </c>
      <c r="J370">
        <v>346</v>
      </c>
      <c r="K370">
        <f>IF($J370&gt;MAX('Match Log'!$A$4:$A$810),NA(),IFERROR(LOOKUP(2,1/(('Match Log'!$D$4:$D$810=$K$24)*('Match Log'!$A$4:$A$810&lt;=$J370)),'Match Log'!$N$4:$N$810),NA()))</f>
        <v>0</v>
      </c>
      <c r="L370">
        <f>IF($J370&gt;MAX('Match Log'!$A$4:$A$810),NA(),IFERROR(LOOKUP(2,1/(('Match Log'!$D$4:$D$810=$L$24)*('Match Log'!$A$4:$A$810&lt;=$J370)),'Match Log'!$N$4:$N$810),NA()))</f>
        <v>0</v>
      </c>
      <c r="M370">
        <f>IF($J370&gt;MAX('Match Log'!$A$4:$A$810),NA(),IFERROR(LOOKUP(2,1/(('Match Log'!$D$4:$D$810=$M$24)*('Match Log'!$A$4:$A$810&lt;=$J370)),'Match Log'!$N$4:$N$810),NA()))</f>
        <v>0</v>
      </c>
      <c r="N370">
        <f>IF($J370&gt;MAX('Match Log'!$A$4:$A$810),NA(),IFERROR(LOOKUP(2,1/(('Match Log'!$D$4:$D$810=$N$24)*('Match Log'!$A$4:$A$810&lt;=$J370)),'Match Log'!$N$4:$N$810),NA()))</f>
        <v>0</v>
      </c>
      <c r="O370">
        <f>IF($J370&gt;MAX('Match Log'!$A$4:$A$810),NA(),IFERROR(LOOKUP(2,1/(('Match Log'!$D$4:$D$810=$O$24)*('Match Log'!$A$4:$A$810&lt;=$J370)),'Match Log'!$N$4:$N$810),NA()))</f>
        <v>0</v>
      </c>
      <c r="P370">
        <f>IF($J370&gt;MAX('Match Log'!$A$4:$A$810),NA(),IFERROR(LOOKUP(2,1/(('Match Log'!$D$4:$D$810=$P$24)*('Match Log'!$A$4:$A$810&lt;=$J370)),'Match Log'!$N$4:$N$810),NA()))</f>
        <v>0</v>
      </c>
      <c r="Q370">
        <f>IF($J370&gt;MAX('Match Log'!$A$4:$A$810),NA(),IFERROR(LOOKUP(2,1/(('Match Log'!$D$4:$D$810=$Q$24)*('Match Log'!$A$4:$A$810&lt;=$J370)),'Match Log'!$N$4:$N$810),NA()))</f>
        <v>0</v>
      </c>
      <c r="R370">
        <f>IF($J370&gt;MAX('Match Log'!$A$4:$A$810),NA(),IFERROR(LOOKUP(2,1/(('Match Log'!$D$4:$D$810=$R$24)*('Match Log'!$A$4:$A$810&lt;=$J370)),'Match Log'!$N$4:$N$810),NA()))</f>
        <v>0</v>
      </c>
      <c r="S370">
        <f>IF($J370&gt;MAX('Match Log'!$A$4:$A$810),NA(),IFERROR(LOOKUP(2,1/(('Match Log'!$D$4:$D$810=$S$24)*('Match Log'!$A$4:$A$810&lt;=$J370)),'Match Log'!$N$4:$N$810),NA()))</f>
        <v>0</v>
      </c>
      <c r="T370">
        <f>IF($J370&gt;MAX('Match Log'!$A$4:$A$810),NA(),IFERROR(LOOKUP(2,1/(('Match Log'!$D$4:$D$810=$T$24)*('Match Log'!$A$4:$A$810&lt;=$J370)),'Match Log'!$N$4:$N$810),NA()))</f>
        <v>0</v>
      </c>
      <c r="U370">
        <f>IF($J370&gt;MAX('Match Log'!$A$4:$A$810),NA(),IFERROR(LOOKUP(2,1/(('Match Log'!$D$4:$D$810=$U$24)*('Match Log'!$A$4:$A$810&lt;=$J370)),'Match Log'!$N$4:$N$810),NA()))</f>
        <v>0</v>
      </c>
      <c r="V370">
        <f>IF($J370&gt;MAX('Match Log'!$A$4:$A$810),NA(),IFERROR(LOOKUP(2,1/(('Match Log'!$D$4:$D$810=$V$24)*('Match Log'!$A$4:$A$810&lt;=$J370)),'Match Log'!$N$4:$N$810),NA()))</f>
        <v>0</v>
      </c>
      <c r="W370">
        <f>IF($J370&gt;MAX('Match Log'!$A$4:$A$810),NA(),IFERROR(LOOKUP(2,1/(('Match Log'!$D$4:$D$810=$W$24)*('Match Log'!$A$4:$A$810&lt;=$J370)),'Match Log'!$N$4:$N$810),NA()))</f>
        <v>0</v>
      </c>
      <c r="X370">
        <f>IF($J370&gt;MAX('Match Log'!$A$4:$A$810),NA(),IFERROR(LOOKUP(2,1/(('Match Log'!$D$4:$D$810=$X$24)*('Match Log'!$A$4:$A$810&lt;=$J370)),'Match Log'!$N$4:$N$810),NA()))</f>
        <v>0</v>
      </c>
      <c r="Y370" t="str">
        <f>IF(AND($B370&lt;&gt;"",$B370&gt;=$B$5,$I370&lt;&gt;""),$I370,"")</f>
      </c>
    </row>
    <row r="371">
      <c r="A371">
        <v>347</v>
      </c>
      <c r="B371">
        <f>IFERROR(INDEX('Match Log'!$B$4:$B$810,MATCH(347,'Match Log'!$A$4:$A$810,0)),"")</f>
        <v>0</v>
      </c>
      <c r="C371" t="str">
        <f>IFERROR(INDEX('Match Log'!$C$4:$C$810,MATCH(347,'Match Log'!$A$4:$A$810,0)),"")</f>
      </c>
      <c r="D371" t="str">
        <f>IFERROR(INDEX('Match Log'!$G$4:$G$810,MATCH(347,'Match Log'!$A$4:$A$810,0)),"")</f>
      </c>
      <c r="E371">
        <f>IFERROR(INDEX('Match Log'!$F$4:$F$810,MATCH(347,'Match Log'!$A$4:$A$810,0)),"")</f>
        <v>0</v>
      </c>
      <c r="F371">
        <f>IFERROR(SUMIFS('Match Log'!$I$4:$I$810,'Match Log'!$A$4:$A$810,347,'Match Log'!$E$4:$E$810,"Win"),"")</f>
        <v>0</v>
      </c>
      <c r="G371">
        <f>IF($D371="","",1-$F371*$E371)</f>
        <v>0</v>
      </c>
      <c r="H371" t="str">
        <f>IFERROR(IF($E371=2,LOOKUP(2,1/(('Match Log'!$A$4:$A$810=347)*('Match Log'!$E$4:$E$810="Loss")),'Match Log'!$D$4:$D$810),"the field"),"")</f>
      </c>
      <c r="I371">
        <f>IF($G371="","",$G371-$A371/1000000)</f>
        <v>0</v>
      </c>
      <c r="J371">
        <v>347</v>
      </c>
      <c r="K371">
        <f>IF($J371&gt;MAX('Match Log'!$A$4:$A$810),NA(),IFERROR(LOOKUP(2,1/(('Match Log'!$D$4:$D$810=$K$24)*('Match Log'!$A$4:$A$810&lt;=$J371)),'Match Log'!$N$4:$N$810),NA()))</f>
        <v>0</v>
      </c>
      <c r="L371">
        <f>IF($J371&gt;MAX('Match Log'!$A$4:$A$810),NA(),IFERROR(LOOKUP(2,1/(('Match Log'!$D$4:$D$810=$L$24)*('Match Log'!$A$4:$A$810&lt;=$J371)),'Match Log'!$N$4:$N$810),NA()))</f>
        <v>0</v>
      </c>
      <c r="M371">
        <f>IF($J371&gt;MAX('Match Log'!$A$4:$A$810),NA(),IFERROR(LOOKUP(2,1/(('Match Log'!$D$4:$D$810=$M$24)*('Match Log'!$A$4:$A$810&lt;=$J371)),'Match Log'!$N$4:$N$810),NA()))</f>
        <v>0</v>
      </c>
      <c r="N371">
        <f>IF($J371&gt;MAX('Match Log'!$A$4:$A$810),NA(),IFERROR(LOOKUP(2,1/(('Match Log'!$D$4:$D$810=$N$24)*('Match Log'!$A$4:$A$810&lt;=$J371)),'Match Log'!$N$4:$N$810),NA()))</f>
        <v>0</v>
      </c>
      <c r="O371">
        <f>IF($J371&gt;MAX('Match Log'!$A$4:$A$810),NA(),IFERROR(LOOKUP(2,1/(('Match Log'!$D$4:$D$810=$O$24)*('Match Log'!$A$4:$A$810&lt;=$J371)),'Match Log'!$N$4:$N$810),NA()))</f>
        <v>0</v>
      </c>
      <c r="P371">
        <f>IF($J371&gt;MAX('Match Log'!$A$4:$A$810),NA(),IFERROR(LOOKUP(2,1/(('Match Log'!$D$4:$D$810=$P$24)*('Match Log'!$A$4:$A$810&lt;=$J371)),'Match Log'!$N$4:$N$810),NA()))</f>
        <v>0</v>
      </c>
      <c r="Q371">
        <f>IF($J371&gt;MAX('Match Log'!$A$4:$A$810),NA(),IFERROR(LOOKUP(2,1/(('Match Log'!$D$4:$D$810=$Q$24)*('Match Log'!$A$4:$A$810&lt;=$J371)),'Match Log'!$N$4:$N$810),NA()))</f>
        <v>0</v>
      </c>
      <c r="R371">
        <f>IF($J371&gt;MAX('Match Log'!$A$4:$A$810),NA(),IFERROR(LOOKUP(2,1/(('Match Log'!$D$4:$D$810=$R$24)*('Match Log'!$A$4:$A$810&lt;=$J371)),'Match Log'!$N$4:$N$810),NA()))</f>
        <v>0</v>
      </c>
      <c r="S371">
        <f>IF($J371&gt;MAX('Match Log'!$A$4:$A$810),NA(),IFERROR(LOOKUP(2,1/(('Match Log'!$D$4:$D$810=$S$24)*('Match Log'!$A$4:$A$810&lt;=$J371)),'Match Log'!$N$4:$N$810),NA()))</f>
        <v>0</v>
      </c>
      <c r="T371">
        <f>IF($J371&gt;MAX('Match Log'!$A$4:$A$810),NA(),IFERROR(LOOKUP(2,1/(('Match Log'!$D$4:$D$810=$T$24)*('Match Log'!$A$4:$A$810&lt;=$J371)),'Match Log'!$N$4:$N$810),NA()))</f>
        <v>0</v>
      </c>
      <c r="U371">
        <f>IF($J371&gt;MAX('Match Log'!$A$4:$A$810),NA(),IFERROR(LOOKUP(2,1/(('Match Log'!$D$4:$D$810=$U$24)*('Match Log'!$A$4:$A$810&lt;=$J371)),'Match Log'!$N$4:$N$810),NA()))</f>
        <v>0</v>
      </c>
      <c r="V371">
        <f>IF($J371&gt;MAX('Match Log'!$A$4:$A$810),NA(),IFERROR(LOOKUP(2,1/(('Match Log'!$D$4:$D$810=$V$24)*('Match Log'!$A$4:$A$810&lt;=$J371)),'Match Log'!$N$4:$N$810),NA()))</f>
        <v>0</v>
      </c>
      <c r="W371">
        <f>IF($J371&gt;MAX('Match Log'!$A$4:$A$810),NA(),IFERROR(LOOKUP(2,1/(('Match Log'!$D$4:$D$810=$W$24)*('Match Log'!$A$4:$A$810&lt;=$J371)),'Match Log'!$N$4:$N$810),NA()))</f>
        <v>0</v>
      </c>
      <c r="X371">
        <f>IF($J371&gt;MAX('Match Log'!$A$4:$A$810),NA(),IFERROR(LOOKUP(2,1/(('Match Log'!$D$4:$D$810=$X$24)*('Match Log'!$A$4:$A$810&lt;=$J371)),'Match Log'!$N$4:$N$810),NA()))</f>
        <v>0</v>
      </c>
      <c r="Y371" t="str">
        <f>IF(AND($B371&lt;&gt;"",$B371&gt;=$B$5,$I371&lt;&gt;""),$I371,"")</f>
      </c>
    </row>
    <row r="372">
      <c r="A372">
        <v>348</v>
      </c>
      <c r="B372">
        <f>IFERROR(INDEX('Match Log'!$B$4:$B$810,MATCH(348,'Match Log'!$A$4:$A$810,0)),"")</f>
        <v>0</v>
      </c>
      <c r="C372" t="str">
        <f>IFERROR(INDEX('Match Log'!$C$4:$C$810,MATCH(348,'Match Log'!$A$4:$A$810,0)),"")</f>
      </c>
      <c r="D372" t="str">
        <f>IFERROR(INDEX('Match Log'!$G$4:$G$810,MATCH(348,'Match Log'!$A$4:$A$810,0)),"")</f>
      </c>
      <c r="E372">
        <f>IFERROR(INDEX('Match Log'!$F$4:$F$810,MATCH(348,'Match Log'!$A$4:$A$810,0)),"")</f>
        <v>0</v>
      </c>
      <c r="F372">
        <f>IFERROR(SUMIFS('Match Log'!$I$4:$I$810,'Match Log'!$A$4:$A$810,348,'Match Log'!$E$4:$E$810,"Win"),"")</f>
        <v>0</v>
      </c>
      <c r="G372">
        <f>IF($D372="","",1-$F372*$E372)</f>
        <v>0</v>
      </c>
      <c r="H372" t="str">
        <f>IFERROR(IF($E372=2,LOOKUP(2,1/(('Match Log'!$A$4:$A$810=348)*('Match Log'!$E$4:$E$810="Loss")),'Match Log'!$D$4:$D$810),"the field"),"")</f>
      </c>
      <c r="I372">
        <f>IF($G372="","",$G372-$A372/1000000)</f>
        <v>0</v>
      </c>
      <c r="J372">
        <v>348</v>
      </c>
      <c r="K372">
        <f>IF($J372&gt;MAX('Match Log'!$A$4:$A$810),NA(),IFERROR(LOOKUP(2,1/(('Match Log'!$D$4:$D$810=$K$24)*('Match Log'!$A$4:$A$810&lt;=$J372)),'Match Log'!$N$4:$N$810),NA()))</f>
        <v>0</v>
      </c>
      <c r="L372">
        <f>IF($J372&gt;MAX('Match Log'!$A$4:$A$810),NA(),IFERROR(LOOKUP(2,1/(('Match Log'!$D$4:$D$810=$L$24)*('Match Log'!$A$4:$A$810&lt;=$J372)),'Match Log'!$N$4:$N$810),NA()))</f>
        <v>0</v>
      </c>
      <c r="M372">
        <f>IF($J372&gt;MAX('Match Log'!$A$4:$A$810),NA(),IFERROR(LOOKUP(2,1/(('Match Log'!$D$4:$D$810=$M$24)*('Match Log'!$A$4:$A$810&lt;=$J372)),'Match Log'!$N$4:$N$810),NA()))</f>
        <v>0</v>
      </c>
      <c r="N372">
        <f>IF($J372&gt;MAX('Match Log'!$A$4:$A$810),NA(),IFERROR(LOOKUP(2,1/(('Match Log'!$D$4:$D$810=$N$24)*('Match Log'!$A$4:$A$810&lt;=$J372)),'Match Log'!$N$4:$N$810),NA()))</f>
        <v>0</v>
      </c>
      <c r="O372">
        <f>IF($J372&gt;MAX('Match Log'!$A$4:$A$810),NA(),IFERROR(LOOKUP(2,1/(('Match Log'!$D$4:$D$810=$O$24)*('Match Log'!$A$4:$A$810&lt;=$J372)),'Match Log'!$N$4:$N$810),NA()))</f>
        <v>0</v>
      </c>
      <c r="P372">
        <f>IF($J372&gt;MAX('Match Log'!$A$4:$A$810),NA(),IFERROR(LOOKUP(2,1/(('Match Log'!$D$4:$D$810=$P$24)*('Match Log'!$A$4:$A$810&lt;=$J372)),'Match Log'!$N$4:$N$810),NA()))</f>
        <v>0</v>
      </c>
      <c r="Q372">
        <f>IF($J372&gt;MAX('Match Log'!$A$4:$A$810),NA(),IFERROR(LOOKUP(2,1/(('Match Log'!$D$4:$D$810=$Q$24)*('Match Log'!$A$4:$A$810&lt;=$J372)),'Match Log'!$N$4:$N$810),NA()))</f>
        <v>0</v>
      </c>
      <c r="R372">
        <f>IF($J372&gt;MAX('Match Log'!$A$4:$A$810),NA(),IFERROR(LOOKUP(2,1/(('Match Log'!$D$4:$D$810=$R$24)*('Match Log'!$A$4:$A$810&lt;=$J372)),'Match Log'!$N$4:$N$810),NA()))</f>
        <v>0</v>
      </c>
      <c r="S372">
        <f>IF($J372&gt;MAX('Match Log'!$A$4:$A$810),NA(),IFERROR(LOOKUP(2,1/(('Match Log'!$D$4:$D$810=$S$24)*('Match Log'!$A$4:$A$810&lt;=$J372)),'Match Log'!$N$4:$N$810),NA()))</f>
        <v>0</v>
      </c>
      <c r="T372">
        <f>IF($J372&gt;MAX('Match Log'!$A$4:$A$810),NA(),IFERROR(LOOKUP(2,1/(('Match Log'!$D$4:$D$810=$T$24)*('Match Log'!$A$4:$A$810&lt;=$J372)),'Match Log'!$N$4:$N$810),NA()))</f>
        <v>0</v>
      </c>
      <c r="U372">
        <f>IF($J372&gt;MAX('Match Log'!$A$4:$A$810),NA(),IFERROR(LOOKUP(2,1/(('Match Log'!$D$4:$D$810=$U$24)*('Match Log'!$A$4:$A$810&lt;=$J372)),'Match Log'!$N$4:$N$810),NA()))</f>
        <v>0</v>
      </c>
      <c r="V372">
        <f>IF($J372&gt;MAX('Match Log'!$A$4:$A$810),NA(),IFERROR(LOOKUP(2,1/(('Match Log'!$D$4:$D$810=$V$24)*('Match Log'!$A$4:$A$810&lt;=$J372)),'Match Log'!$N$4:$N$810),NA()))</f>
        <v>0</v>
      </c>
      <c r="W372">
        <f>IF($J372&gt;MAX('Match Log'!$A$4:$A$810),NA(),IFERROR(LOOKUP(2,1/(('Match Log'!$D$4:$D$810=$W$24)*('Match Log'!$A$4:$A$810&lt;=$J372)),'Match Log'!$N$4:$N$810),NA()))</f>
        <v>0</v>
      </c>
      <c r="X372">
        <f>IF($J372&gt;MAX('Match Log'!$A$4:$A$810),NA(),IFERROR(LOOKUP(2,1/(('Match Log'!$D$4:$D$810=$X$24)*('Match Log'!$A$4:$A$810&lt;=$J372)),'Match Log'!$N$4:$N$810),NA()))</f>
        <v>0</v>
      </c>
      <c r="Y372" t="str">
        <f>IF(AND($B372&lt;&gt;"",$B372&gt;=$B$5,$I372&lt;&gt;""),$I372,"")</f>
      </c>
    </row>
    <row r="373">
      <c r="A373">
        <v>349</v>
      </c>
      <c r="B373">
        <f>IFERROR(INDEX('Match Log'!$B$4:$B$810,MATCH(349,'Match Log'!$A$4:$A$810,0)),"")</f>
        <v>0</v>
      </c>
      <c r="C373" t="str">
        <f>IFERROR(INDEX('Match Log'!$C$4:$C$810,MATCH(349,'Match Log'!$A$4:$A$810,0)),"")</f>
      </c>
      <c r="D373" t="str">
        <f>IFERROR(INDEX('Match Log'!$G$4:$G$810,MATCH(349,'Match Log'!$A$4:$A$810,0)),"")</f>
      </c>
      <c r="E373">
        <f>IFERROR(INDEX('Match Log'!$F$4:$F$810,MATCH(349,'Match Log'!$A$4:$A$810,0)),"")</f>
        <v>0</v>
      </c>
      <c r="F373">
        <f>IFERROR(SUMIFS('Match Log'!$I$4:$I$810,'Match Log'!$A$4:$A$810,349,'Match Log'!$E$4:$E$810,"Win"),"")</f>
        <v>0</v>
      </c>
      <c r="G373">
        <f>IF($D373="","",1-$F373*$E373)</f>
        <v>0</v>
      </c>
      <c r="H373" t="str">
        <f>IFERROR(IF($E373=2,LOOKUP(2,1/(('Match Log'!$A$4:$A$810=349)*('Match Log'!$E$4:$E$810="Loss")),'Match Log'!$D$4:$D$810),"the field"),"")</f>
      </c>
      <c r="I373">
        <f>IF($G373="","",$G373-$A373/1000000)</f>
        <v>0</v>
      </c>
      <c r="J373">
        <v>349</v>
      </c>
      <c r="K373">
        <f>IF($J373&gt;MAX('Match Log'!$A$4:$A$810),NA(),IFERROR(LOOKUP(2,1/(('Match Log'!$D$4:$D$810=$K$24)*('Match Log'!$A$4:$A$810&lt;=$J373)),'Match Log'!$N$4:$N$810),NA()))</f>
        <v>0</v>
      </c>
      <c r="L373">
        <f>IF($J373&gt;MAX('Match Log'!$A$4:$A$810),NA(),IFERROR(LOOKUP(2,1/(('Match Log'!$D$4:$D$810=$L$24)*('Match Log'!$A$4:$A$810&lt;=$J373)),'Match Log'!$N$4:$N$810),NA()))</f>
        <v>0</v>
      </c>
      <c r="M373">
        <f>IF($J373&gt;MAX('Match Log'!$A$4:$A$810),NA(),IFERROR(LOOKUP(2,1/(('Match Log'!$D$4:$D$810=$M$24)*('Match Log'!$A$4:$A$810&lt;=$J373)),'Match Log'!$N$4:$N$810),NA()))</f>
        <v>0</v>
      </c>
      <c r="N373">
        <f>IF($J373&gt;MAX('Match Log'!$A$4:$A$810),NA(),IFERROR(LOOKUP(2,1/(('Match Log'!$D$4:$D$810=$N$24)*('Match Log'!$A$4:$A$810&lt;=$J373)),'Match Log'!$N$4:$N$810),NA()))</f>
        <v>0</v>
      </c>
      <c r="O373">
        <f>IF($J373&gt;MAX('Match Log'!$A$4:$A$810),NA(),IFERROR(LOOKUP(2,1/(('Match Log'!$D$4:$D$810=$O$24)*('Match Log'!$A$4:$A$810&lt;=$J373)),'Match Log'!$N$4:$N$810),NA()))</f>
        <v>0</v>
      </c>
      <c r="P373">
        <f>IF($J373&gt;MAX('Match Log'!$A$4:$A$810),NA(),IFERROR(LOOKUP(2,1/(('Match Log'!$D$4:$D$810=$P$24)*('Match Log'!$A$4:$A$810&lt;=$J373)),'Match Log'!$N$4:$N$810),NA()))</f>
        <v>0</v>
      </c>
      <c r="Q373">
        <f>IF($J373&gt;MAX('Match Log'!$A$4:$A$810),NA(),IFERROR(LOOKUP(2,1/(('Match Log'!$D$4:$D$810=$Q$24)*('Match Log'!$A$4:$A$810&lt;=$J373)),'Match Log'!$N$4:$N$810),NA()))</f>
        <v>0</v>
      </c>
      <c r="R373">
        <f>IF($J373&gt;MAX('Match Log'!$A$4:$A$810),NA(),IFERROR(LOOKUP(2,1/(('Match Log'!$D$4:$D$810=$R$24)*('Match Log'!$A$4:$A$810&lt;=$J373)),'Match Log'!$N$4:$N$810),NA()))</f>
        <v>0</v>
      </c>
      <c r="S373">
        <f>IF($J373&gt;MAX('Match Log'!$A$4:$A$810),NA(),IFERROR(LOOKUP(2,1/(('Match Log'!$D$4:$D$810=$S$24)*('Match Log'!$A$4:$A$810&lt;=$J373)),'Match Log'!$N$4:$N$810),NA()))</f>
        <v>0</v>
      </c>
      <c r="T373">
        <f>IF($J373&gt;MAX('Match Log'!$A$4:$A$810),NA(),IFERROR(LOOKUP(2,1/(('Match Log'!$D$4:$D$810=$T$24)*('Match Log'!$A$4:$A$810&lt;=$J373)),'Match Log'!$N$4:$N$810),NA()))</f>
        <v>0</v>
      </c>
      <c r="U373">
        <f>IF($J373&gt;MAX('Match Log'!$A$4:$A$810),NA(),IFERROR(LOOKUP(2,1/(('Match Log'!$D$4:$D$810=$U$24)*('Match Log'!$A$4:$A$810&lt;=$J373)),'Match Log'!$N$4:$N$810),NA()))</f>
        <v>0</v>
      </c>
      <c r="V373">
        <f>IF($J373&gt;MAX('Match Log'!$A$4:$A$810),NA(),IFERROR(LOOKUP(2,1/(('Match Log'!$D$4:$D$810=$V$24)*('Match Log'!$A$4:$A$810&lt;=$J373)),'Match Log'!$N$4:$N$810),NA()))</f>
        <v>0</v>
      </c>
      <c r="W373">
        <f>IF($J373&gt;MAX('Match Log'!$A$4:$A$810),NA(),IFERROR(LOOKUP(2,1/(('Match Log'!$D$4:$D$810=$W$24)*('Match Log'!$A$4:$A$810&lt;=$J373)),'Match Log'!$N$4:$N$810),NA()))</f>
        <v>0</v>
      </c>
      <c r="X373">
        <f>IF($J373&gt;MAX('Match Log'!$A$4:$A$810),NA(),IFERROR(LOOKUP(2,1/(('Match Log'!$D$4:$D$810=$X$24)*('Match Log'!$A$4:$A$810&lt;=$J373)),'Match Log'!$N$4:$N$810),NA()))</f>
        <v>0</v>
      </c>
      <c r="Y373" t="str">
        <f>IF(AND($B373&lt;&gt;"",$B373&gt;=$B$5,$I373&lt;&gt;""),$I373,"")</f>
      </c>
    </row>
    <row r="374">
      <c r="A374">
        <v>350</v>
      </c>
      <c r="B374">
        <f>IFERROR(INDEX('Match Log'!$B$4:$B$810,MATCH(350,'Match Log'!$A$4:$A$810,0)),"")</f>
        <v>0</v>
      </c>
      <c r="C374" t="str">
        <f>IFERROR(INDEX('Match Log'!$C$4:$C$810,MATCH(350,'Match Log'!$A$4:$A$810,0)),"")</f>
      </c>
      <c r="D374" t="str">
        <f>IFERROR(INDEX('Match Log'!$G$4:$G$810,MATCH(350,'Match Log'!$A$4:$A$810,0)),"")</f>
      </c>
      <c r="E374">
        <f>IFERROR(INDEX('Match Log'!$F$4:$F$810,MATCH(350,'Match Log'!$A$4:$A$810,0)),"")</f>
        <v>0</v>
      </c>
      <c r="F374">
        <f>IFERROR(SUMIFS('Match Log'!$I$4:$I$810,'Match Log'!$A$4:$A$810,350,'Match Log'!$E$4:$E$810,"Win"),"")</f>
        <v>0</v>
      </c>
      <c r="G374">
        <f>IF($D374="","",1-$F374*$E374)</f>
        <v>0</v>
      </c>
      <c r="H374" t="str">
        <f>IFERROR(IF($E374=2,LOOKUP(2,1/(('Match Log'!$A$4:$A$810=350)*('Match Log'!$E$4:$E$810="Loss")),'Match Log'!$D$4:$D$810),"the field"),"")</f>
      </c>
      <c r="I374">
        <f>IF($G374="","",$G374-$A374/1000000)</f>
        <v>0</v>
      </c>
      <c r="J374">
        <v>350</v>
      </c>
      <c r="K374">
        <f>IF($J374&gt;MAX('Match Log'!$A$4:$A$810),NA(),IFERROR(LOOKUP(2,1/(('Match Log'!$D$4:$D$810=$K$24)*('Match Log'!$A$4:$A$810&lt;=$J374)),'Match Log'!$N$4:$N$810),NA()))</f>
        <v>0</v>
      </c>
      <c r="L374">
        <f>IF($J374&gt;MAX('Match Log'!$A$4:$A$810),NA(),IFERROR(LOOKUP(2,1/(('Match Log'!$D$4:$D$810=$L$24)*('Match Log'!$A$4:$A$810&lt;=$J374)),'Match Log'!$N$4:$N$810),NA()))</f>
        <v>0</v>
      </c>
      <c r="M374">
        <f>IF($J374&gt;MAX('Match Log'!$A$4:$A$810),NA(),IFERROR(LOOKUP(2,1/(('Match Log'!$D$4:$D$810=$M$24)*('Match Log'!$A$4:$A$810&lt;=$J374)),'Match Log'!$N$4:$N$810),NA()))</f>
        <v>0</v>
      </c>
      <c r="N374">
        <f>IF($J374&gt;MAX('Match Log'!$A$4:$A$810),NA(),IFERROR(LOOKUP(2,1/(('Match Log'!$D$4:$D$810=$N$24)*('Match Log'!$A$4:$A$810&lt;=$J374)),'Match Log'!$N$4:$N$810),NA()))</f>
        <v>0</v>
      </c>
      <c r="O374">
        <f>IF($J374&gt;MAX('Match Log'!$A$4:$A$810),NA(),IFERROR(LOOKUP(2,1/(('Match Log'!$D$4:$D$810=$O$24)*('Match Log'!$A$4:$A$810&lt;=$J374)),'Match Log'!$N$4:$N$810),NA()))</f>
        <v>0</v>
      </c>
      <c r="P374">
        <f>IF($J374&gt;MAX('Match Log'!$A$4:$A$810),NA(),IFERROR(LOOKUP(2,1/(('Match Log'!$D$4:$D$810=$P$24)*('Match Log'!$A$4:$A$810&lt;=$J374)),'Match Log'!$N$4:$N$810),NA()))</f>
        <v>0</v>
      </c>
      <c r="Q374">
        <f>IF($J374&gt;MAX('Match Log'!$A$4:$A$810),NA(),IFERROR(LOOKUP(2,1/(('Match Log'!$D$4:$D$810=$Q$24)*('Match Log'!$A$4:$A$810&lt;=$J374)),'Match Log'!$N$4:$N$810),NA()))</f>
        <v>0</v>
      </c>
      <c r="R374">
        <f>IF($J374&gt;MAX('Match Log'!$A$4:$A$810),NA(),IFERROR(LOOKUP(2,1/(('Match Log'!$D$4:$D$810=$R$24)*('Match Log'!$A$4:$A$810&lt;=$J374)),'Match Log'!$N$4:$N$810),NA()))</f>
        <v>0</v>
      </c>
      <c r="S374">
        <f>IF($J374&gt;MAX('Match Log'!$A$4:$A$810),NA(),IFERROR(LOOKUP(2,1/(('Match Log'!$D$4:$D$810=$S$24)*('Match Log'!$A$4:$A$810&lt;=$J374)),'Match Log'!$N$4:$N$810),NA()))</f>
        <v>0</v>
      </c>
      <c r="T374">
        <f>IF($J374&gt;MAX('Match Log'!$A$4:$A$810),NA(),IFERROR(LOOKUP(2,1/(('Match Log'!$D$4:$D$810=$T$24)*('Match Log'!$A$4:$A$810&lt;=$J374)),'Match Log'!$N$4:$N$810),NA()))</f>
        <v>0</v>
      </c>
      <c r="U374">
        <f>IF($J374&gt;MAX('Match Log'!$A$4:$A$810),NA(),IFERROR(LOOKUP(2,1/(('Match Log'!$D$4:$D$810=$U$24)*('Match Log'!$A$4:$A$810&lt;=$J374)),'Match Log'!$N$4:$N$810),NA()))</f>
        <v>0</v>
      </c>
      <c r="V374">
        <f>IF($J374&gt;MAX('Match Log'!$A$4:$A$810),NA(),IFERROR(LOOKUP(2,1/(('Match Log'!$D$4:$D$810=$V$24)*('Match Log'!$A$4:$A$810&lt;=$J374)),'Match Log'!$N$4:$N$810),NA()))</f>
        <v>0</v>
      </c>
      <c r="W374">
        <f>IF($J374&gt;MAX('Match Log'!$A$4:$A$810),NA(),IFERROR(LOOKUP(2,1/(('Match Log'!$D$4:$D$810=$W$24)*('Match Log'!$A$4:$A$810&lt;=$J374)),'Match Log'!$N$4:$N$810),NA()))</f>
        <v>0</v>
      </c>
      <c r="X374">
        <f>IF($J374&gt;MAX('Match Log'!$A$4:$A$810),NA(),IFERROR(LOOKUP(2,1/(('Match Log'!$D$4:$D$810=$X$24)*('Match Log'!$A$4:$A$810&lt;=$J374)),'Match Log'!$N$4:$N$810),NA()))</f>
        <v>0</v>
      </c>
      <c r="Y374" t="str">
        <f>IF(AND($B374&lt;&gt;"",$B374&gt;=$B$5,$I374&lt;&gt;""),$I374,"")</f>
      </c>
    </row>
    <row r="375">
      <c r="A375">
        <v>351</v>
      </c>
      <c r="B375">
        <f>IFERROR(INDEX('Match Log'!$B$4:$B$810,MATCH(351,'Match Log'!$A$4:$A$810,0)),"")</f>
        <v>0</v>
      </c>
      <c r="C375" t="str">
        <f>IFERROR(INDEX('Match Log'!$C$4:$C$810,MATCH(351,'Match Log'!$A$4:$A$810,0)),"")</f>
      </c>
      <c r="D375" t="str">
        <f>IFERROR(INDEX('Match Log'!$G$4:$G$810,MATCH(351,'Match Log'!$A$4:$A$810,0)),"")</f>
      </c>
      <c r="E375">
        <f>IFERROR(INDEX('Match Log'!$F$4:$F$810,MATCH(351,'Match Log'!$A$4:$A$810,0)),"")</f>
        <v>0</v>
      </c>
      <c r="F375">
        <f>IFERROR(SUMIFS('Match Log'!$I$4:$I$810,'Match Log'!$A$4:$A$810,351,'Match Log'!$E$4:$E$810,"Win"),"")</f>
        <v>0</v>
      </c>
      <c r="G375">
        <f>IF($D375="","",1-$F375*$E375)</f>
        <v>0</v>
      </c>
      <c r="H375" t="str">
        <f>IFERROR(IF($E375=2,LOOKUP(2,1/(('Match Log'!$A$4:$A$810=351)*('Match Log'!$E$4:$E$810="Loss")),'Match Log'!$D$4:$D$810),"the field"),"")</f>
      </c>
      <c r="I375">
        <f>IF($G375="","",$G375-$A375/1000000)</f>
        <v>0</v>
      </c>
      <c r="J375">
        <v>351</v>
      </c>
      <c r="K375">
        <f>IF($J375&gt;MAX('Match Log'!$A$4:$A$810),NA(),IFERROR(LOOKUP(2,1/(('Match Log'!$D$4:$D$810=$K$24)*('Match Log'!$A$4:$A$810&lt;=$J375)),'Match Log'!$N$4:$N$810),NA()))</f>
        <v>0</v>
      </c>
      <c r="L375">
        <f>IF($J375&gt;MAX('Match Log'!$A$4:$A$810),NA(),IFERROR(LOOKUP(2,1/(('Match Log'!$D$4:$D$810=$L$24)*('Match Log'!$A$4:$A$810&lt;=$J375)),'Match Log'!$N$4:$N$810),NA()))</f>
        <v>0</v>
      </c>
      <c r="M375">
        <f>IF($J375&gt;MAX('Match Log'!$A$4:$A$810),NA(),IFERROR(LOOKUP(2,1/(('Match Log'!$D$4:$D$810=$M$24)*('Match Log'!$A$4:$A$810&lt;=$J375)),'Match Log'!$N$4:$N$810),NA()))</f>
        <v>0</v>
      </c>
      <c r="N375">
        <f>IF($J375&gt;MAX('Match Log'!$A$4:$A$810),NA(),IFERROR(LOOKUP(2,1/(('Match Log'!$D$4:$D$810=$N$24)*('Match Log'!$A$4:$A$810&lt;=$J375)),'Match Log'!$N$4:$N$810),NA()))</f>
        <v>0</v>
      </c>
      <c r="O375">
        <f>IF($J375&gt;MAX('Match Log'!$A$4:$A$810),NA(),IFERROR(LOOKUP(2,1/(('Match Log'!$D$4:$D$810=$O$24)*('Match Log'!$A$4:$A$810&lt;=$J375)),'Match Log'!$N$4:$N$810),NA()))</f>
        <v>0</v>
      </c>
      <c r="P375">
        <f>IF($J375&gt;MAX('Match Log'!$A$4:$A$810),NA(),IFERROR(LOOKUP(2,1/(('Match Log'!$D$4:$D$810=$P$24)*('Match Log'!$A$4:$A$810&lt;=$J375)),'Match Log'!$N$4:$N$810),NA()))</f>
        <v>0</v>
      </c>
      <c r="Q375">
        <f>IF($J375&gt;MAX('Match Log'!$A$4:$A$810),NA(),IFERROR(LOOKUP(2,1/(('Match Log'!$D$4:$D$810=$Q$24)*('Match Log'!$A$4:$A$810&lt;=$J375)),'Match Log'!$N$4:$N$810),NA()))</f>
        <v>0</v>
      </c>
      <c r="R375">
        <f>IF($J375&gt;MAX('Match Log'!$A$4:$A$810),NA(),IFERROR(LOOKUP(2,1/(('Match Log'!$D$4:$D$810=$R$24)*('Match Log'!$A$4:$A$810&lt;=$J375)),'Match Log'!$N$4:$N$810),NA()))</f>
        <v>0</v>
      </c>
      <c r="S375">
        <f>IF($J375&gt;MAX('Match Log'!$A$4:$A$810),NA(),IFERROR(LOOKUP(2,1/(('Match Log'!$D$4:$D$810=$S$24)*('Match Log'!$A$4:$A$810&lt;=$J375)),'Match Log'!$N$4:$N$810),NA()))</f>
        <v>0</v>
      </c>
      <c r="T375">
        <f>IF($J375&gt;MAX('Match Log'!$A$4:$A$810),NA(),IFERROR(LOOKUP(2,1/(('Match Log'!$D$4:$D$810=$T$24)*('Match Log'!$A$4:$A$810&lt;=$J375)),'Match Log'!$N$4:$N$810),NA()))</f>
        <v>0</v>
      </c>
      <c r="U375">
        <f>IF($J375&gt;MAX('Match Log'!$A$4:$A$810),NA(),IFERROR(LOOKUP(2,1/(('Match Log'!$D$4:$D$810=$U$24)*('Match Log'!$A$4:$A$810&lt;=$J375)),'Match Log'!$N$4:$N$810),NA()))</f>
        <v>0</v>
      </c>
      <c r="V375">
        <f>IF($J375&gt;MAX('Match Log'!$A$4:$A$810),NA(),IFERROR(LOOKUP(2,1/(('Match Log'!$D$4:$D$810=$V$24)*('Match Log'!$A$4:$A$810&lt;=$J375)),'Match Log'!$N$4:$N$810),NA()))</f>
        <v>0</v>
      </c>
      <c r="W375">
        <f>IF($J375&gt;MAX('Match Log'!$A$4:$A$810),NA(),IFERROR(LOOKUP(2,1/(('Match Log'!$D$4:$D$810=$W$24)*('Match Log'!$A$4:$A$810&lt;=$J375)),'Match Log'!$N$4:$N$810),NA()))</f>
        <v>0</v>
      </c>
      <c r="X375">
        <f>IF($J375&gt;MAX('Match Log'!$A$4:$A$810),NA(),IFERROR(LOOKUP(2,1/(('Match Log'!$D$4:$D$810=$X$24)*('Match Log'!$A$4:$A$810&lt;=$J375)),'Match Log'!$N$4:$N$810),NA()))</f>
        <v>0</v>
      </c>
      <c r="Y375" t="str">
        <f>IF(AND($B375&lt;&gt;"",$B375&gt;=$B$5,$I375&lt;&gt;""),$I375,"")</f>
      </c>
    </row>
    <row r="376">
      <c r="A376">
        <v>352</v>
      </c>
      <c r="B376">
        <f>IFERROR(INDEX('Match Log'!$B$4:$B$810,MATCH(352,'Match Log'!$A$4:$A$810,0)),"")</f>
        <v>0</v>
      </c>
      <c r="C376" t="str">
        <f>IFERROR(INDEX('Match Log'!$C$4:$C$810,MATCH(352,'Match Log'!$A$4:$A$810,0)),"")</f>
      </c>
      <c r="D376" t="str">
        <f>IFERROR(INDEX('Match Log'!$G$4:$G$810,MATCH(352,'Match Log'!$A$4:$A$810,0)),"")</f>
      </c>
      <c r="E376">
        <f>IFERROR(INDEX('Match Log'!$F$4:$F$810,MATCH(352,'Match Log'!$A$4:$A$810,0)),"")</f>
        <v>0</v>
      </c>
      <c r="F376">
        <f>IFERROR(SUMIFS('Match Log'!$I$4:$I$810,'Match Log'!$A$4:$A$810,352,'Match Log'!$E$4:$E$810,"Win"),"")</f>
        <v>0</v>
      </c>
      <c r="G376">
        <f>IF($D376="","",1-$F376*$E376)</f>
        <v>0</v>
      </c>
      <c r="H376" t="str">
        <f>IFERROR(IF($E376=2,LOOKUP(2,1/(('Match Log'!$A$4:$A$810=352)*('Match Log'!$E$4:$E$810="Loss")),'Match Log'!$D$4:$D$810),"the field"),"")</f>
      </c>
      <c r="I376">
        <f>IF($G376="","",$G376-$A376/1000000)</f>
        <v>0</v>
      </c>
      <c r="J376">
        <v>352</v>
      </c>
      <c r="K376">
        <f>IF($J376&gt;MAX('Match Log'!$A$4:$A$810),NA(),IFERROR(LOOKUP(2,1/(('Match Log'!$D$4:$D$810=$K$24)*('Match Log'!$A$4:$A$810&lt;=$J376)),'Match Log'!$N$4:$N$810),NA()))</f>
        <v>0</v>
      </c>
      <c r="L376">
        <f>IF($J376&gt;MAX('Match Log'!$A$4:$A$810),NA(),IFERROR(LOOKUP(2,1/(('Match Log'!$D$4:$D$810=$L$24)*('Match Log'!$A$4:$A$810&lt;=$J376)),'Match Log'!$N$4:$N$810),NA()))</f>
        <v>0</v>
      </c>
      <c r="M376">
        <f>IF($J376&gt;MAX('Match Log'!$A$4:$A$810),NA(),IFERROR(LOOKUP(2,1/(('Match Log'!$D$4:$D$810=$M$24)*('Match Log'!$A$4:$A$810&lt;=$J376)),'Match Log'!$N$4:$N$810),NA()))</f>
        <v>0</v>
      </c>
      <c r="N376">
        <f>IF($J376&gt;MAX('Match Log'!$A$4:$A$810),NA(),IFERROR(LOOKUP(2,1/(('Match Log'!$D$4:$D$810=$N$24)*('Match Log'!$A$4:$A$810&lt;=$J376)),'Match Log'!$N$4:$N$810),NA()))</f>
        <v>0</v>
      </c>
      <c r="O376">
        <f>IF($J376&gt;MAX('Match Log'!$A$4:$A$810),NA(),IFERROR(LOOKUP(2,1/(('Match Log'!$D$4:$D$810=$O$24)*('Match Log'!$A$4:$A$810&lt;=$J376)),'Match Log'!$N$4:$N$810),NA()))</f>
        <v>0</v>
      </c>
      <c r="P376">
        <f>IF($J376&gt;MAX('Match Log'!$A$4:$A$810),NA(),IFERROR(LOOKUP(2,1/(('Match Log'!$D$4:$D$810=$P$24)*('Match Log'!$A$4:$A$810&lt;=$J376)),'Match Log'!$N$4:$N$810),NA()))</f>
        <v>0</v>
      </c>
      <c r="Q376">
        <f>IF($J376&gt;MAX('Match Log'!$A$4:$A$810),NA(),IFERROR(LOOKUP(2,1/(('Match Log'!$D$4:$D$810=$Q$24)*('Match Log'!$A$4:$A$810&lt;=$J376)),'Match Log'!$N$4:$N$810),NA()))</f>
        <v>0</v>
      </c>
      <c r="R376">
        <f>IF($J376&gt;MAX('Match Log'!$A$4:$A$810),NA(),IFERROR(LOOKUP(2,1/(('Match Log'!$D$4:$D$810=$R$24)*('Match Log'!$A$4:$A$810&lt;=$J376)),'Match Log'!$N$4:$N$810),NA()))</f>
        <v>0</v>
      </c>
      <c r="S376">
        <f>IF($J376&gt;MAX('Match Log'!$A$4:$A$810),NA(),IFERROR(LOOKUP(2,1/(('Match Log'!$D$4:$D$810=$S$24)*('Match Log'!$A$4:$A$810&lt;=$J376)),'Match Log'!$N$4:$N$810),NA()))</f>
        <v>0</v>
      </c>
      <c r="T376">
        <f>IF($J376&gt;MAX('Match Log'!$A$4:$A$810),NA(),IFERROR(LOOKUP(2,1/(('Match Log'!$D$4:$D$810=$T$24)*('Match Log'!$A$4:$A$810&lt;=$J376)),'Match Log'!$N$4:$N$810),NA()))</f>
        <v>0</v>
      </c>
      <c r="U376">
        <f>IF($J376&gt;MAX('Match Log'!$A$4:$A$810),NA(),IFERROR(LOOKUP(2,1/(('Match Log'!$D$4:$D$810=$U$24)*('Match Log'!$A$4:$A$810&lt;=$J376)),'Match Log'!$N$4:$N$810),NA()))</f>
        <v>0</v>
      </c>
      <c r="V376">
        <f>IF($J376&gt;MAX('Match Log'!$A$4:$A$810),NA(),IFERROR(LOOKUP(2,1/(('Match Log'!$D$4:$D$810=$V$24)*('Match Log'!$A$4:$A$810&lt;=$J376)),'Match Log'!$N$4:$N$810),NA()))</f>
        <v>0</v>
      </c>
      <c r="W376">
        <f>IF($J376&gt;MAX('Match Log'!$A$4:$A$810),NA(),IFERROR(LOOKUP(2,1/(('Match Log'!$D$4:$D$810=$W$24)*('Match Log'!$A$4:$A$810&lt;=$J376)),'Match Log'!$N$4:$N$810),NA()))</f>
        <v>0</v>
      </c>
      <c r="X376">
        <f>IF($J376&gt;MAX('Match Log'!$A$4:$A$810),NA(),IFERROR(LOOKUP(2,1/(('Match Log'!$D$4:$D$810=$X$24)*('Match Log'!$A$4:$A$810&lt;=$J376)),'Match Log'!$N$4:$N$810),NA()))</f>
        <v>0</v>
      </c>
      <c r="Y376" t="str">
        <f>IF(AND($B376&lt;&gt;"",$B376&gt;=$B$5,$I376&lt;&gt;""),$I376,"")</f>
      </c>
    </row>
    <row r="377">
      <c r="A377">
        <v>353</v>
      </c>
      <c r="B377">
        <f>IFERROR(INDEX('Match Log'!$B$4:$B$810,MATCH(353,'Match Log'!$A$4:$A$810,0)),"")</f>
        <v>0</v>
      </c>
      <c r="C377" t="str">
        <f>IFERROR(INDEX('Match Log'!$C$4:$C$810,MATCH(353,'Match Log'!$A$4:$A$810,0)),"")</f>
      </c>
      <c r="D377" t="str">
        <f>IFERROR(INDEX('Match Log'!$G$4:$G$810,MATCH(353,'Match Log'!$A$4:$A$810,0)),"")</f>
      </c>
      <c r="E377">
        <f>IFERROR(INDEX('Match Log'!$F$4:$F$810,MATCH(353,'Match Log'!$A$4:$A$810,0)),"")</f>
        <v>0</v>
      </c>
      <c r="F377">
        <f>IFERROR(SUMIFS('Match Log'!$I$4:$I$810,'Match Log'!$A$4:$A$810,353,'Match Log'!$E$4:$E$810,"Win"),"")</f>
        <v>0</v>
      </c>
      <c r="G377">
        <f>IF($D377="","",1-$F377*$E377)</f>
        <v>0</v>
      </c>
      <c r="H377" t="str">
        <f>IFERROR(IF($E377=2,LOOKUP(2,1/(('Match Log'!$A$4:$A$810=353)*('Match Log'!$E$4:$E$810="Loss")),'Match Log'!$D$4:$D$810),"the field"),"")</f>
      </c>
      <c r="I377">
        <f>IF($G377="","",$G377-$A377/1000000)</f>
        <v>0</v>
      </c>
      <c r="J377">
        <v>353</v>
      </c>
      <c r="K377">
        <f>IF($J377&gt;MAX('Match Log'!$A$4:$A$810),NA(),IFERROR(LOOKUP(2,1/(('Match Log'!$D$4:$D$810=$K$24)*('Match Log'!$A$4:$A$810&lt;=$J377)),'Match Log'!$N$4:$N$810),NA()))</f>
        <v>0</v>
      </c>
      <c r="L377">
        <f>IF($J377&gt;MAX('Match Log'!$A$4:$A$810),NA(),IFERROR(LOOKUP(2,1/(('Match Log'!$D$4:$D$810=$L$24)*('Match Log'!$A$4:$A$810&lt;=$J377)),'Match Log'!$N$4:$N$810),NA()))</f>
        <v>0</v>
      </c>
      <c r="M377">
        <f>IF($J377&gt;MAX('Match Log'!$A$4:$A$810),NA(),IFERROR(LOOKUP(2,1/(('Match Log'!$D$4:$D$810=$M$24)*('Match Log'!$A$4:$A$810&lt;=$J377)),'Match Log'!$N$4:$N$810),NA()))</f>
        <v>0</v>
      </c>
      <c r="N377">
        <f>IF($J377&gt;MAX('Match Log'!$A$4:$A$810),NA(),IFERROR(LOOKUP(2,1/(('Match Log'!$D$4:$D$810=$N$24)*('Match Log'!$A$4:$A$810&lt;=$J377)),'Match Log'!$N$4:$N$810),NA()))</f>
        <v>0</v>
      </c>
      <c r="O377">
        <f>IF($J377&gt;MAX('Match Log'!$A$4:$A$810),NA(),IFERROR(LOOKUP(2,1/(('Match Log'!$D$4:$D$810=$O$24)*('Match Log'!$A$4:$A$810&lt;=$J377)),'Match Log'!$N$4:$N$810),NA()))</f>
        <v>0</v>
      </c>
      <c r="P377">
        <f>IF($J377&gt;MAX('Match Log'!$A$4:$A$810),NA(),IFERROR(LOOKUP(2,1/(('Match Log'!$D$4:$D$810=$P$24)*('Match Log'!$A$4:$A$810&lt;=$J377)),'Match Log'!$N$4:$N$810),NA()))</f>
        <v>0</v>
      </c>
      <c r="Q377">
        <f>IF($J377&gt;MAX('Match Log'!$A$4:$A$810),NA(),IFERROR(LOOKUP(2,1/(('Match Log'!$D$4:$D$810=$Q$24)*('Match Log'!$A$4:$A$810&lt;=$J377)),'Match Log'!$N$4:$N$810),NA()))</f>
        <v>0</v>
      </c>
      <c r="R377">
        <f>IF($J377&gt;MAX('Match Log'!$A$4:$A$810),NA(),IFERROR(LOOKUP(2,1/(('Match Log'!$D$4:$D$810=$R$24)*('Match Log'!$A$4:$A$810&lt;=$J377)),'Match Log'!$N$4:$N$810),NA()))</f>
        <v>0</v>
      </c>
      <c r="S377">
        <f>IF($J377&gt;MAX('Match Log'!$A$4:$A$810),NA(),IFERROR(LOOKUP(2,1/(('Match Log'!$D$4:$D$810=$S$24)*('Match Log'!$A$4:$A$810&lt;=$J377)),'Match Log'!$N$4:$N$810),NA()))</f>
        <v>0</v>
      </c>
      <c r="T377">
        <f>IF($J377&gt;MAX('Match Log'!$A$4:$A$810),NA(),IFERROR(LOOKUP(2,1/(('Match Log'!$D$4:$D$810=$T$24)*('Match Log'!$A$4:$A$810&lt;=$J377)),'Match Log'!$N$4:$N$810),NA()))</f>
        <v>0</v>
      </c>
      <c r="U377">
        <f>IF($J377&gt;MAX('Match Log'!$A$4:$A$810),NA(),IFERROR(LOOKUP(2,1/(('Match Log'!$D$4:$D$810=$U$24)*('Match Log'!$A$4:$A$810&lt;=$J377)),'Match Log'!$N$4:$N$810),NA()))</f>
        <v>0</v>
      </c>
      <c r="V377">
        <f>IF($J377&gt;MAX('Match Log'!$A$4:$A$810),NA(),IFERROR(LOOKUP(2,1/(('Match Log'!$D$4:$D$810=$V$24)*('Match Log'!$A$4:$A$810&lt;=$J377)),'Match Log'!$N$4:$N$810),NA()))</f>
        <v>0</v>
      </c>
      <c r="W377">
        <f>IF($J377&gt;MAX('Match Log'!$A$4:$A$810),NA(),IFERROR(LOOKUP(2,1/(('Match Log'!$D$4:$D$810=$W$24)*('Match Log'!$A$4:$A$810&lt;=$J377)),'Match Log'!$N$4:$N$810),NA()))</f>
        <v>0</v>
      </c>
      <c r="X377">
        <f>IF($J377&gt;MAX('Match Log'!$A$4:$A$810),NA(),IFERROR(LOOKUP(2,1/(('Match Log'!$D$4:$D$810=$X$24)*('Match Log'!$A$4:$A$810&lt;=$J377)),'Match Log'!$N$4:$N$810),NA()))</f>
        <v>0</v>
      </c>
      <c r="Y377" t="str">
        <f>IF(AND($B377&lt;&gt;"",$B377&gt;=$B$5,$I377&lt;&gt;""),$I377,"")</f>
      </c>
    </row>
    <row r="378">
      <c r="A378">
        <v>354</v>
      </c>
      <c r="B378">
        <f>IFERROR(INDEX('Match Log'!$B$4:$B$810,MATCH(354,'Match Log'!$A$4:$A$810,0)),"")</f>
        <v>0</v>
      </c>
      <c r="C378" t="str">
        <f>IFERROR(INDEX('Match Log'!$C$4:$C$810,MATCH(354,'Match Log'!$A$4:$A$810,0)),"")</f>
      </c>
      <c r="D378" t="str">
        <f>IFERROR(INDEX('Match Log'!$G$4:$G$810,MATCH(354,'Match Log'!$A$4:$A$810,0)),"")</f>
      </c>
      <c r="E378">
        <f>IFERROR(INDEX('Match Log'!$F$4:$F$810,MATCH(354,'Match Log'!$A$4:$A$810,0)),"")</f>
        <v>0</v>
      </c>
      <c r="F378">
        <f>IFERROR(SUMIFS('Match Log'!$I$4:$I$810,'Match Log'!$A$4:$A$810,354,'Match Log'!$E$4:$E$810,"Win"),"")</f>
        <v>0</v>
      </c>
      <c r="G378">
        <f>IF($D378="","",1-$F378*$E378)</f>
        <v>0</v>
      </c>
      <c r="H378" t="str">
        <f>IFERROR(IF($E378=2,LOOKUP(2,1/(('Match Log'!$A$4:$A$810=354)*('Match Log'!$E$4:$E$810="Loss")),'Match Log'!$D$4:$D$810),"the field"),"")</f>
      </c>
      <c r="I378">
        <f>IF($G378="","",$G378-$A378/1000000)</f>
        <v>0</v>
      </c>
      <c r="J378">
        <v>354</v>
      </c>
      <c r="K378">
        <f>IF($J378&gt;MAX('Match Log'!$A$4:$A$810),NA(),IFERROR(LOOKUP(2,1/(('Match Log'!$D$4:$D$810=$K$24)*('Match Log'!$A$4:$A$810&lt;=$J378)),'Match Log'!$N$4:$N$810),NA()))</f>
        <v>0</v>
      </c>
      <c r="L378">
        <f>IF($J378&gt;MAX('Match Log'!$A$4:$A$810),NA(),IFERROR(LOOKUP(2,1/(('Match Log'!$D$4:$D$810=$L$24)*('Match Log'!$A$4:$A$810&lt;=$J378)),'Match Log'!$N$4:$N$810),NA()))</f>
        <v>0</v>
      </c>
      <c r="M378">
        <f>IF($J378&gt;MAX('Match Log'!$A$4:$A$810),NA(),IFERROR(LOOKUP(2,1/(('Match Log'!$D$4:$D$810=$M$24)*('Match Log'!$A$4:$A$810&lt;=$J378)),'Match Log'!$N$4:$N$810),NA()))</f>
        <v>0</v>
      </c>
      <c r="N378">
        <f>IF($J378&gt;MAX('Match Log'!$A$4:$A$810),NA(),IFERROR(LOOKUP(2,1/(('Match Log'!$D$4:$D$810=$N$24)*('Match Log'!$A$4:$A$810&lt;=$J378)),'Match Log'!$N$4:$N$810),NA()))</f>
        <v>0</v>
      </c>
      <c r="O378">
        <f>IF($J378&gt;MAX('Match Log'!$A$4:$A$810),NA(),IFERROR(LOOKUP(2,1/(('Match Log'!$D$4:$D$810=$O$24)*('Match Log'!$A$4:$A$810&lt;=$J378)),'Match Log'!$N$4:$N$810),NA()))</f>
        <v>0</v>
      </c>
      <c r="P378">
        <f>IF($J378&gt;MAX('Match Log'!$A$4:$A$810),NA(),IFERROR(LOOKUP(2,1/(('Match Log'!$D$4:$D$810=$P$24)*('Match Log'!$A$4:$A$810&lt;=$J378)),'Match Log'!$N$4:$N$810),NA()))</f>
        <v>0</v>
      </c>
      <c r="Q378">
        <f>IF($J378&gt;MAX('Match Log'!$A$4:$A$810),NA(),IFERROR(LOOKUP(2,1/(('Match Log'!$D$4:$D$810=$Q$24)*('Match Log'!$A$4:$A$810&lt;=$J378)),'Match Log'!$N$4:$N$810),NA()))</f>
        <v>0</v>
      </c>
      <c r="R378">
        <f>IF($J378&gt;MAX('Match Log'!$A$4:$A$810),NA(),IFERROR(LOOKUP(2,1/(('Match Log'!$D$4:$D$810=$R$24)*('Match Log'!$A$4:$A$810&lt;=$J378)),'Match Log'!$N$4:$N$810),NA()))</f>
        <v>0</v>
      </c>
      <c r="S378">
        <f>IF($J378&gt;MAX('Match Log'!$A$4:$A$810),NA(),IFERROR(LOOKUP(2,1/(('Match Log'!$D$4:$D$810=$S$24)*('Match Log'!$A$4:$A$810&lt;=$J378)),'Match Log'!$N$4:$N$810),NA()))</f>
        <v>0</v>
      </c>
      <c r="T378">
        <f>IF($J378&gt;MAX('Match Log'!$A$4:$A$810),NA(),IFERROR(LOOKUP(2,1/(('Match Log'!$D$4:$D$810=$T$24)*('Match Log'!$A$4:$A$810&lt;=$J378)),'Match Log'!$N$4:$N$810),NA()))</f>
        <v>0</v>
      </c>
      <c r="U378">
        <f>IF($J378&gt;MAX('Match Log'!$A$4:$A$810),NA(),IFERROR(LOOKUP(2,1/(('Match Log'!$D$4:$D$810=$U$24)*('Match Log'!$A$4:$A$810&lt;=$J378)),'Match Log'!$N$4:$N$810),NA()))</f>
        <v>0</v>
      </c>
      <c r="V378">
        <f>IF($J378&gt;MAX('Match Log'!$A$4:$A$810),NA(),IFERROR(LOOKUP(2,1/(('Match Log'!$D$4:$D$810=$V$24)*('Match Log'!$A$4:$A$810&lt;=$J378)),'Match Log'!$N$4:$N$810),NA()))</f>
        <v>0</v>
      </c>
      <c r="W378">
        <f>IF($J378&gt;MAX('Match Log'!$A$4:$A$810),NA(),IFERROR(LOOKUP(2,1/(('Match Log'!$D$4:$D$810=$W$24)*('Match Log'!$A$4:$A$810&lt;=$J378)),'Match Log'!$N$4:$N$810),NA()))</f>
        <v>0</v>
      </c>
      <c r="X378">
        <f>IF($J378&gt;MAX('Match Log'!$A$4:$A$810),NA(),IFERROR(LOOKUP(2,1/(('Match Log'!$D$4:$D$810=$X$24)*('Match Log'!$A$4:$A$810&lt;=$J378)),'Match Log'!$N$4:$N$810),NA()))</f>
        <v>0</v>
      </c>
      <c r="Y378" t="str">
        <f>IF(AND($B378&lt;&gt;"",$B378&gt;=$B$5,$I378&lt;&gt;""),$I378,"")</f>
      </c>
    </row>
    <row r="379">
      <c r="A379">
        <v>355</v>
      </c>
      <c r="B379">
        <f>IFERROR(INDEX('Match Log'!$B$4:$B$810,MATCH(355,'Match Log'!$A$4:$A$810,0)),"")</f>
        <v>0</v>
      </c>
      <c r="C379" t="str">
        <f>IFERROR(INDEX('Match Log'!$C$4:$C$810,MATCH(355,'Match Log'!$A$4:$A$810,0)),"")</f>
      </c>
      <c r="D379" t="str">
        <f>IFERROR(INDEX('Match Log'!$G$4:$G$810,MATCH(355,'Match Log'!$A$4:$A$810,0)),"")</f>
      </c>
      <c r="E379">
        <f>IFERROR(INDEX('Match Log'!$F$4:$F$810,MATCH(355,'Match Log'!$A$4:$A$810,0)),"")</f>
        <v>0</v>
      </c>
      <c r="F379">
        <f>IFERROR(SUMIFS('Match Log'!$I$4:$I$810,'Match Log'!$A$4:$A$810,355,'Match Log'!$E$4:$E$810,"Win"),"")</f>
        <v>0</v>
      </c>
      <c r="G379">
        <f>IF($D379="","",1-$F379*$E379)</f>
        <v>0</v>
      </c>
      <c r="H379" t="str">
        <f>IFERROR(IF($E379=2,LOOKUP(2,1/(('Match Log'!$A$4:$A$810=355)*('Match Log'!$E$4:$E$810="Loss")),'Match Log'!$D$4:$D$810),"the field"),"")</f>
      </c>
      <c r="I379">
        <f>IF($G379="","",$G379-$A379/1000000)</f>
        <v>0</v>
      </c>
      <c r="J379">
        <v>355</v>
      </c>
      <c r="K379">
        <f>IF($J379&gt;MAX('Match Log'!$A$4:$A$810),NA(),IFERROR(LOOKUP(2,1/(('Match Log'!$D$4:$D$810=$K$24)*('Match Log'!$A$4:$A$810&lt;=$J379)),'Match Log'!$N$4:$N$810),NA()))</f>
        <v>0</v>
      </c>
      <c r="L379">
        <f>IF($J379&gt;MAX('Match Log'!$A$4:$A$810),NA(),IFERROR(LOOKUP(2,1/(('Match Log'!$D$4:$D$810=$L$24)*('Match Log'!$A$4:$A$810&lt;=$J379)),'Match Log'!$N$4:$N$810),NA()))</f>
        <v>0</v>
      </c>
      <c r="M379">
        <f>IF($J379&gt;MAX('Match Log'!$A$4:$A$810),NA(),IFERROR(LOOKUP(2,1/(('Match Log'!$D$4:$D$810=$M$24)*('Match Log'!$A$4:$A$810&lt;=$J379)),'Match Log'!$N$4:$N$810),NA()))</f>
        <v>0</v>
      </c>
      <c r="N379">
        <f>IF($J379&gt;MAX('Match Log'!$A$4:$A$810),NA(),IFERROR(LOOKUP(2,1/(('Match Log'!$D$4:$D$810=$N$24)*('Match Log'!$A$4:$A$810&lt;=$J379)),'Match Log'!$N$4:$N$810),NA()))</f>
        <v>0</v>
      </c>
      <c r="O379">
        <f>IF($J379&gt;MAX('Match Log'!$A$4:$A$810),NA(),IFERROR(LOOKUP(2,1/(('Match Log'!$D$4:$D$810=$O$24)*('Match Log'!$A$4:$A$810&lt;=$J379)),'Match Log'!$N$4:$N$810),NA()))</f>
        <v>0</v>
      </c>
      <c r="P379">
        <f>IF($J379&gt;MAX('Match Log'!$A$4:$A$810),NA(),IFERROR(LOOKUP(2,1/(('Match Log'!$D$4:$D$810=$P$24)*('Match Log'!$A$4:$A$810&lt;=$J379)),'Match Log'!$N$4:$N$810),NA()))</f>
        <v>0</v>
      </c>
      <c r="Q379">
        <f>IF($J379&gt;MAX('Match Log'!$A$4:$A$810),NA(),IFERROR(LOOKUP(2,1/(('Match Log'!$D$4:$D$810=$Q$24)*('Match Log'!$A$4:$A$810&lt;=$J379)),'Match Log'!$N$4:$N$810),NA()))</f>
        <v>0</v>
      </c>
      <c r="R379">
        <f>IF($J379&gt;MAX('Match Log'!$A$4:$A$810),NA(),IFERROR(LOOKUP(2,1/(('Match Log'!$D$4:$D$810=$R$24)*('Match Log'!$A$4:$A$810&lt;=$J379)),'Match Log'!$N$4:$N$810),NA()))</f>
        <v>0</v>
      </c>
      <c r="S379">
        <f>IF($J379&gt;MAX('Match Log'!$A$4:$A$810),NA(),IFERROR(LOOKUP(2,1/(('Match Log'!$D$4:$D$810=$S$24)*('Match Log'!$A$4:$A$810&lt;=$J379)),'Match Log'!$N$4:$N$810),NA()))</f>
        <v>0</v>
      </c>
      <c r="T379">
        <f>IF($J379&gt;MAX('Match Log'!$A$4:$A$810),NA(),IFERROR(LOOKUP(2,1/(('Match Log'!$D$4:$D$810=$T$24)*('Match Log'!$A$4:$A$810&lt;=$J379)),'Match Log'!$N$4:$N$810),NA()))</f>
        <v>0</v>
      </c>
      <c r="U379">
        <f>IF($J379&gt;MAX('Match Log'!$A$4:$A$810),NA(),IFERROR(LOOKUP(2,1/(('Match Log'!$D$4:$D$810=$U$24)*('Match Log'!$A$4:$A$810&lt;=$J379)),'Match Log'!$N$4:$N$810),NA()))</f>
        <v>0</v>
      </c>
      <c r="V379">
        <f>IF($J379&gt;MAX('Match Log'!$A$4:$A$810),NA(),IFERROR(LOOKUP(2,1/(('Match Log'!$D$4:$D$810=$V$24)*('Match Log'!$A$4:$A$810&lt;=$J379)),'Match Log'!$N$4:$N$810),NA()))</f>
        <v>0</v>
      </c>
      <c r="W379">
        <f>IF($J379&gt;MAX('Match Log'!$A$4:$A$810),NA(),IFERROR(LOOKUP(2,1/(('Match Log'!$D$4:$D$810=$W$24)*('Match Log'!$A$4:$A$810&lt;=$J379)),'Match Log'!$N$4:$N$810),NA()))</f>
        <v>0</v>
      </c>
      <c r="X379">
        <f>IF($J379&gt;MAX('Match Log'!$A$4:$A$810),NA(),IFERROR(LOOKUP(2,1/(('Match Log'!$D$4:$D$810=$X$24)*('Match Log'!$A$4:$A$810&lt;=$J379)),'Match Log'!$N$4:$N$810),NA()))</f>
        <v>0</v>
      </c>
      <c r="Y379" t="str">
        <f>IF(AND($B379&lt;&gt;"",$B379&gt;=$B$5,$I379&lt;&gt;""),$I379,"")</f>
      </c>
    </row>
    <row r="380">
      <c r="A380">
        <v>356</v>
      </c>
      <c r="B380">
        <f>IFERROR(INDEX('Match Log'!$B$4:$B$810,MATCH(356,'Match Log'!$A$4:$A$810,0)),"")</f>
        <v>0</v>
      </c>
      <c r="C380" t="str">
        <f>IFERROR(INDEX('Match Log'!$C$4:$C$810,MATCH(356,'Match Log'!$A$4:$A$810,0)),"")</f>
      </c>
      <c r="D380" t="str">
        <f>IFERROR(INDEX('Match Log'!$G$4:$G$810,MATCH(356,'Match Log'!$A$4:$A$810,0)),"")</f>
      </c>
      <c r="E380">
        <f>IFERROR(INDEX('Match Log'!$F$4:$F$810,MATCH(356,'Match Log'!$A$4:$A$810,0)),"")</f>
        <v>0</v>
      </c>
      <c r="F380">
        <f>IFERROR(SUMIFS('Match Log'!$I$4:$I$810,'Match Log'!$A$4:$A$810,356,'Match Log'!$E$4:$E$810,"Win"),"")</f>
        <v>0</v>
      </c>
      <c r="G380">
        <f>IF($D380="","",1-$F380*$E380)</f>
        <v>0</v>
      </c>
      <c r="H380" t="str">
        <f>IFERROR(IF($E380=2,LOOKUP(2,1/(('Match Log'!$A$4:$A$810=356)*('Match Log'!$E$4:$E$810="Loss")),'Match Log'!$D$4:$D$810),"the field"),"")</f>
      </c>
      <c r="I380">
        <f>IF($G380="","",$G380-$A380/1000000)</f>
        <v>0</v>
      </c>
      <c r="J380">
        <v>356</v>
      </c>
      <c r="K380">
        <f>IF($J380&gt;MAX('Match Log'!$A$4:$A$810),NA(),IFERROR(LOOKUP(2,1/(('Match Log'!$D$4:$D$810=$K$24)*('Match Log'!$A$4:$A$810&lt;=$J380)),'Match Log'!$N$4:$N$810),NA()))</f>
        <v>0</v>
      </c>
      <c r="L380">
        <f>IF($J380&gt;MAX('Match Log'!$A$4:$A$810),NA(),IFERROR(LOOKUP(2,1/(('Match Log'!$D$4:$D$810=$L$24)*('Match Log'!$A$4:$A$810&lt;=$J380)),'Match Log'!$N$4:$N$810),NA()))</f>
        <v>0</v>
      </c>
      <c r="M380">
        <f>IF($J380&gt;MAX('Match Log'!$A$4:$A$810),NA(),IFERROR(LOOKUP(2,1/(('Match Log'!$D$4:$D$810=$M$24)*('Match Log'!$A$4:$A$810&lt;=$J380)),'Match Log'!$N$4:$N$810),NA()))</f>
        <v>0</v>
      </c>
      <c r="N380">
        <f>IF($J380&gt;MAX('Match Log'!$A$4:$A$810),NA(),IFERROR(LOOKUP(2,1/(('Match Log'!$D$4:$D$810=$N$24)*('Match Log'!$A$4:$A$810&lt;=$J380)),'Match Log'!$N$4:$N$810),NA()))</f>
        <v>0</v>
      </c>
      <c r="O380">
        <f>IF($J380&gt;MAX('Match Log'!$A$4:$A$810),NA(),IFERROR(LOOKUP(2,1/(('Match Log'!$D$4:$D$810=$O$24)*('Match Log'!$A$4:$A$810&lt;=$J380)),'Match Log'!$N$4:$N$810),NA()))</f>
        <v>0</v>
      </c>
      <c r="P380">
        <f>IF($J380&gt;MAX('Match Log'!$A$4:$A$810),NA(),IFERROR(LOOKUP(2,1/(('Match Log'!$D$4:$D$810=$P$24)*('Match Log'!$A$4:$A$810&lt;=$J380)),'Match Log'!$N$4:$N$810),NA()))</f>
        <v>0</v>
      </c>
      <c r="Q380">
        <f>IF($J380&gt;MAX('Match Log'!$A$4:$A$810),NA(),IFERROR(LOOKUP(2,1/(('Match Log'!$D$4:$D$810=$Q$24)*('Match Log'!$A$4:$A$810&lt;=$J380)),'Match Log'!$N$4:$N$810),NA()))</f>
        <v>0</v>
      </c>
      <c r="R380">
        <f>IF($J380&gt;MAX('Match Log'!$A$4:$A$810),NA(),IFERROR(LOOKUP(2,1/(('Match Log'!$D$4:$D$810=$R$24)*('Match Log'!$A$4:$A$810&lt;=$J380)),'Match Log'!$N$4:$N$810),NA()))</f>
        <v>0</v>
      </c>
      <c r="S380">
        <f>IF($J380&gt;MAX('Match Log'!$A$4:$A$810),NA(),IFERROR(LOOKUP(2,1/(('Match Log'!$D$4:$D$810=$S$24)*('Match Log'!$A$4:$A$810&lt;=$J380)),'Match Log'!$N$4:$N$810),NA()))</f>
        <v>0</v>
      </c>
      <c r="T380">
        <f>IF($J380&gt;MAX('Match Log'!$A$4:$A$810),NA(),IFERROR(LOOKUP(2,1/(('Match Log'!$D$4:$D$810=$T$24)*('Match Log'!$A$4:$A$810&lt;=$J380)),'Match Log'!$N$4:$N$810),NA()))</f>
        <v>0</v>
      </c>
      <c r="U380">
        <f>IF($J380&gt;MAX('Match Log'!$A$4:$A$810),NA(),IFERROR(LOOKUP(2,1/(('Match Log'!$D$4:$D$810=$U$24)*('Match Log'!$A$4:$A$810&lt;=$J380)),'Match Log'!$N$4:$N$810),NA()))</f>
        <v>0</v>
      </c>
      <c r="V380">
        <f>IF($J380&gt;MAX('Match Log'!$A$4:$A$810),NA(),IFERROR(LOOKUP(2,1/(('Match Log'!$D$4:$D$810=$V$24)*('Match Log'!$A$4:$A$810&lt;=$J380)),'Match Log'!$N$4:$N$810),NA()))</f>
        <v>0</v>
      </c>
      <c r="W380">
        <f>IF($J380&gt;MAX('Match Log'!$A$4:$A$810),NA(),IFERROR(LOOKUP(2,1/(('Match Log'!$D$4:$D$810=$W$24)*('Match Log'!$A$4:$A$810&lt;=$J380)),'Match Log'!$N$4:$N$810),NA()))</f>
        <v>0</v>
      </c>
      <c r="X380">
        <f>IF($J380&gt;MAX('Match Log'!$A$4:$A$810),NA(),IFERROR(LOOKUP(2,1/(('Match Log'!$D$4:$D$810=$X$24)*('Match Log'!$A$4:$A$810&lt;=$J380)),'Match Log'!$N$4:$N$810),NA()))</f>
        <v>0</v>
      </c>
      <c r="Y380" t="str">
        <f>IF(AND($B380&lt;&gt;"",$B380&gt;=$B$5,$I380&lt;&gt;""),$I380,"")</f>
      </c>
    </row>
    <row r="381">
      <c r="A381">
        <v>357</v>
      </c>
      <c r="B381">
        <f>IFERROR(INDEX('Match Log'!$B$4:$B$810,MATCH(357,'Match Log'!$A$4:$A$810,0)),"")</f>
        <v>0</v>
      </c>
      <c r="C381" t="str">
        <f>IFERROR(INDEX('Match Log'!$C$4:$C$810,MATCH(357,'Match Log'!$A$4:$A$810,0)),"")</f>
      </c>
      <c r="D381" t="str">
        <f>IFERROR(INDEX('Match Log'!$G$4:$G$810,MATCH(357,'Match Log'!$A$4:$A$810,0)),"")</f>
      </c>
      <c r="E381">
        <f>IFERROR(INDEX('Match Log'!$F$4:$F$810,MATCH(357,'Match Log'!$A$4:$A$810,0)),"")</f>
        <v>0</v>
      </c>
      <c r="F381">
        <f>IFERROR(SUMIFS('Match Log'!$I$4:$I$810,'Match Log'!$A$4:$A$810,357,'Match Log'!$E$4:$E$810,"Win"),"")</f>
        <v>0</v>
      </c>
      <c r="G381">
        <f>IF($D381="","",1-$F381*$E381)</f>
        <v>0</v>
      </c>
      <c r="H381" t="str">
        <f>IFERROR(IF($E381=2,LOOKUP(2,1/(('Match Log'!$A$4:$A$810=357)*('Match Log'!$E$4:$E$810="Loss")),'Match Log'!$D$4:$D$810),"the field"),"")</f>
      </c>
      <c r="I381">
        <f>IF($G381="","",$G381-$A381/1000000)</f>
        <v>0</v>
      </c>
      <c r="J381">
        <v>357</v>
      </c>
      <c r="K381">
        <f>IF($J381&gt;MAX('Match Log'!$A$4:$A$810),NA(),IFERROR(LOOKUP(2,1/(('Match Log'!$D$4:$D$810=$K$24)*('Match Log'!$A$4:$A$810&lt;=$J381)),'Match Log'!$N$4:$N$810),NA()))</f>
        <v>0</v>
      </c>
      <c r="L381">
        <f>IF($J381&gt;MAX('Match Log'!$A$4:$A$810),NA(),IFERROR(LOOKUP(2,1/(('Match Log'!$D$4:$D$810=$L$24)*('Match Log'!$A$4:$A$810&lt;=$J381)),'Match Log'!$N$4:$N$810),NA()))</f>
        <v>0</v>
      </c>
      <c r="M381">
        <f>IF($J381&gt;MAX('Match Log'!$A$4:$A$810),NA(),IFERROR(LOOKUP(2,1/(('Match Log'!$D$4:$D$810=$M$24)*('Match Log'!$A$4:$A$810&lt;=$J381)),'Match Log'!$N$4:$N$810),NA()))</f>
        <v>0</v>
      </c>
      <c r="N381">
        <f>IF($J381&gt;MAX('Match Log'!$A$4:$A$810),NA(),IFERROR(LOOKUP(2,1/(('Match Log'!$D$4:$D$810=$N$24)*('Match Log'!$A$4:$A$810&lt;=$J381)),'Match Log'!$N$4:$N$810),NA()))</f>
        <v>0</v>
      </c>
      <c r="O381">
        <f>IF($J381&gt;MAX('Match Log'!$A$4:$A$810),NA(),IFERROR(LOOKUP(2,1/(('Match Log'!$D$4:$D$810=$O$24)*('Match Log'!$A$4:$A$810&lt;=$J381)),'Match Log'!$N$4:$N$810),NA()))</f>
        <v>0</v>
      </c>
      <c r="P381">
        <f>IF($J381&gt;MAX('Match Log'!$A$4:$A$810),NA(),IFERROR(LOOKUP(2,1/(('Match Log'!$D$4:$D$810=$P$24)*('Match Log'!$A$4:$A$810&lt;=$J381)),'Match Log'!$N$4:$N$810),NA()))</f>
        <v>0</v>
      </c>
      <c r="Q381">
        <f>IF($J381&gt;MAX('Match Log'!$A$4:$A$810),NA(),IFERROR(LOOKUP(2,1/(('Match Log'!$D$4:$D$810=$Q$24)*('Match Log'!$A$4:$A$810&lt;=$J381)),'Match Log'!$N$4:$N$810),NA()))</f>
        <v>0</v>
      </c>
      <c r="R381">
        <f>IF($J381&gt;MAX('Match Log'!$A$4:$A$810),NA(),IFERROR(LOOKUP(2,1/(('Match Log'!$D$4:$D$810=$R$24)*('Match Log'!$A$4:$A$810&lt;=$J381)),'Match Log'!$N$4:$N$810),NA()))</f>
        <v>0</v>
      </c>
      <c r="S381">
        <f>IF($J381&gt;MAX('Match Log'!$A$4:$A$810),NA(),IFERROR(LOOKUP(2,1/(('Match Log'!$D$4:$D$810=$S$24)*('Match Log'!$A$4:$A$810&lt;=$J381)),'Match Log'!$N$4:$N$810),NA()))</f>
        <v>0</v>
      </c>
      <c r="T381">
        <f>IF($J381&gt;MAX('Match Log'!$A$4:$A$810),NA(),IFERROR(LOOKUP(2,1/(('Match Log'!$D$4:$D$810=$T$24)*('Match Log'!$A$4:$A$810&lt;=$J381)),'Match Log'!$N$4:$N$810),NA()))</f>
        <v>0</v>
      </c>
      <c r="U381">
        <f>IF($J381&gt;MAX('Match Log'!$A$4:$A$810),NA(),IFERROR(LOOKUP(2,1/(('Match Log'!$D$4:$D$810=$U$24)*('Match Log'!$A$4:$A$810&lt;=$J381)),'Match Log'!$N$4:$N$810),NA()))</f>
        <v>0</v>
      </c>
      <c r="V381">
        <f>IF($J381&gt;MAX('Match Log'!$A$4:$A$810),NA(),IFERROR(LOOKUP(2,1/(('Match Log'!$D$4:$D$810=$V$24)*('Match Log'!$A$4:$A$810&lt;=$J381)),'Match Log'!$N$4:$N$810),NA()))</f>
        <v>0</v>
      </c>
      <c r="W381">
        <f>IF($J381&gt;MAX('Match Log'!$A$4:$A$810),NA(),IFERROR(LOOKUP(2,1/(('Match Log'!$D$4:$D$810=$W$24)*('Match Log'!$A$4:$A$810&lt;=$J381)),'Match Log'!$N$4:$N$810),NA()))</f>
        <v>0</v>
      </c>
      <c r="X381">
        <f>IF($J381&gt;MAX('Match Log'!$A$4:$A$810),NA(),IFERROR(LOOKUP(2,1/(('Match Log'!$D$4:$D$810=$X$24)*('Match Log'!$A$4:$A$810&lt;=$J381)),'Match Log'!$N$4:$N$810),NA()))</f>
        <v>0</v>
      </c>
      <c r="Y381" t="str">
        <f>IF(AND($B381&lt;&gt;"",$B381&gt;=$B$5,$I381&lt;&gt;""),$I381,"")</f>
      </c>
    </row>
    <row r="382">
      <c r="A382">
        <v>358</v>
      </c>
      <c r="B382">
        <f>IFERROR(INDEX('Match Log'!$B$4:$B$810,MATCH(358,'Match Log'!$A$4:$A$810,0)),"")</f>
        <v>0</v>
      </c>
      <c r="C382" t="str">
        <f>IFERROR(INDEX('Match Log'!$C$4:$C$810,MATCH(358,'Match Log'!$A$4:$A$810,0)),"")</f>
      </c>
      <c r="D382" t="str">
        <f>IFERROR(INDEX('Match Log'!$G$4:$G$810,MATCH(358,'Match Log'!$A$4:$A$810,0)),"")</f>
      </c>
      <c r="E382">
        <f>IFERROR(INDEX('Match Log'!$F$4:$F$810,MATCH(358,'Match Log'!$A$4:$A$810,0)),"")</f>
        <v>0</v>
      </c>
      <c r="F382">
        <f>IFERROR(SUMIFS('Match Log'!$I$4:$I$810,'Match Log'!$A$4:$A$810,358,'Match Log'!$E$4:$E$810,"Win"),"")</f>
        <v>0</v>
      </c>
      <c r="G382">
        <f>IF($D382="","",1-$F382*$E382)</f>
        <v>0</v>
      </c>
      <c r="H382" t="str">
        <f>IFERROR(IF($E382=2,LOOKUP(2,1/(('Match Log'!$A$4:$A$810=358)*('Match Log'!$E$4:$E$810="Loss")),'Match Log'!$D$4:$D$810),"the field"),"")</f>
      </c>
      <c r="I382">
        <f>IF($G382="","",$G382-$A382/1000000)</f>
        <v>0</v>
      </c>
      <c r="J382">
        <v>358</v>
      </c>
      <c r="K382">
        <f>IF($J382&gt;MAX('Match Log'!$A$4:$A$810),NA(),IFERROR(LOOKUP(2,1/(('Match Log'!$D$4:$D$810=$K$24)*('Match Log'!$A$4:$A$810&lt;=$J382)),'Match Log'!$N$4:$N$810),NA()))</f>
        <v>0</v>
      </c>
      <c r="L382">
        <f>IF($J382&gt;MAX('Match Log'!$A$4:$A$810),NA(),IFERROR(LOOKUP(2,1/(('Match Log'!$D$4:$D$810=$L$24)*('Match Log'!$A$4:$A$810&lt;=$J382)),'Match Log'!$N$4:$N$810),NA()))</f>
        <v>0</v>
      </c>
      <c r="M382">
        <f>IF($J382&gt;MAX('Match Log'!$A$4:$A$810),NA(),IFERROR(LOOKUP(2,1/(('Match Log'!$D$4:$D$810=$M$24)*('Match Log'!$A$4:$A$810&lt;=$J382)),'Match Log'!$N$4:$N$810),NA()))</f>
        <v>0</v>
      </c>
      <c r="N382">
        <f>IF($J382&gt;MAX('Match Log'!$A$4:$A$810),NA(),IFERROR(LOOKUP(2,1/(('Match Log'!$D$4:$D$810=$N$24)*('Match Log'!$A$4:$A$810&lt;=$J382)),'Match Log'!$N$4:$N$810),NA()))</f>
        <v>0</v>
      </c>
      <c r="O382">
        <f>IF($J382&gt;MAX('Match Log'!$A$4:$A$810),NA(),IFERROR(LOOKUP(2,1/(('Match Log'!$D$4:$D$810=$O$24)*('Match Log'!$A$4:$A$810&lt;=$J382)),'Match Log'!$N$4:$N$810),NA()))</f>
        <v>0</v>
      </c>
      <c r="P382">
        <f>IF($J382&gt;MAX('Match Log'!$A$4:$A$810),NA(),IFERROR(LOOKUP(2,1/(('Match Log'!$D$4:$D$810=$P$24)*('Match Log'!$A$4:$A$810&lt;=$J382)),'Match Log'!$N$4:$N$810),NA()))</f>
        <v>0</v>
      </c>
      <c r="Q382">
        <f>IF($J382&gt;MAX('Match Log'!$A$4:$A$810),NA(),IFERROR(LOOKUP(2,1/(('Match Log'!$D$4:$D$810=$Q$24)*('Match Log'!$A$4:$A$810&lt;=$J382)),'Match Log'!$N$4:$N$810),NA()))</f>
        <v>0</v>
      </c>
      <c r="R382">
        <f>IF($J382&gt;MAX('Match Log'!$A$4:$A$810),NA(),IFERROR(LOOKUP(2,1/(('Match Log'!$D$4:$D$810=$R$24)*('Match Log'!$A$4:$A$810&lt;=$J382)),'Match Log'!$N$4:$N$810),NA()))</f>
        <v>0</v>
      </c>
      <c r="S382">
        <f>IF($J382&gt;MAX('Match Log'!$A$4:$A$810),NA(),IFERROR(LOOKUP(2,1/(('Match Log'!$D$4:$D$810=$S$24)*('Match Log'!$A$4:$A$810&lt;=$J382)),'Match Log'!$N$4:$N$810),NA()))</f>
        <v>0</v>
      </c>
      <c r="T382">
        <f>IF($J382&gt;MAX('Match Log'!$A$4:$A$810),NA(),IFERROR(LOOKUP(2,1/(('Match Log'!$D$4:$D$810=$T$24)*('Match Log'!$A$4:$A$810&lt;=$J382)),'Match Log'!$N$4:$N$810),NA()))</f>
        <v>0</v>
      </c>
      <c r="U382">
        <f>IF($J382&gt;MAX('Match Log'!$A$4:$A$810),NA(),IFERROR(LOOKUP(2,1/(('Match Log'!$D$4:$D$810=$U$24)*('Match Log'!$A$4:$A$810&lt;=$J382)),'Match Log'!$N$4:$N$810),NA()))</f>
        <v>0</v>
      </c>
      <c r="V382">
        <f>IF($J382&gt;MAX('Match Log'!$A$4:$A$810),NA(),IFERROR(LOOKUP(2,1/(('Match Log'!$D$4:$D$810=$V$24)*('Match Log'!$A$4:$A$810&lt;=$J382)),'Match Log'!$N$4:$N$810),NA()))</f>
        <v>0</v>
      </c>
      <c r="W382">
        <f>IF($J382&gt;MAX('Match Log'!$A$4:$A$810),NA(),IFERROR(LOOKUP(2,1/(('Match Log'!$D$4:$D$810=$W$24)*('Match Log'!$A$4:$A$810&lt;=$J382)),'Match Log'!$N$4:$N$810),NA()))</f>
        <v>0</v>
      </c>
      <c r="X382">
        <f>IF($J382&gt;MAX('Match Log'!$A$4:$A$810),NA(),IFERROR(LOOKUP(2,1/(('Match Log'!$D$4:$D$810=$X$24)*('Match Log'!$A$4:$A$810&lt;=$J382)),'Match Log'!$N$4:$N$810),NA()))</f>
        <v>0</v>
      </c>
      <c r="Y382" t="str">
        <f>IF(AND($B382&lt;&gt;"",$B382&gt;=$B$5,$I382&lt;&gt;""),$I382,"")</f>
      </c>
    </row>
    <row r="383">
      <c r="A383">
        <v>359</v>
      </c>
      <c r="B383">
        <f>IFERROR(INDEX('Match Log'!$B$4:$B$810,MATCH(359,'Match Log'!$A$4:$A$810,0)),"")</f>
        <v>0</v>
      </c>
      <c r="C383" t="str">
        <f>IFERROR(INDEX('Match Log'!$C$4:$C$810,MATCH(359,'Match Log'!$A$4:$A$810,0)),"")</f>
      </c>
      <c r="D383" t="str">
        <f>IFERROR(INDEX('Match Log'!$G$4:$G$810,MATCH(359,'Match Log'!$A$4:$A$810,0)),"")</f>
      </c>
      <c r="E383">
        <f>IFERROR(INDEX('Match Log'!$F$4:$F$810,MATCH(359,'Match Log'!$A$4:$A$810,0)),"")</f>
        <v>0</v>
      </c>
      <c r="F383">
        <f>IFERROR(SUMIFS('Match Log'!$I$4:$I$810,'Match Log'!$A$4:$A$810,359,'Match Log'!$E$4:$E$810,"Win"),"")</f>
        <v>0</v>
      </c>
      <c r="G383">
        <f>IF($D383="","",1-$F383*$E383)</f>
        <v>0</v>
      </c>
      <c r="H383" t="str">
        <f>IFERROR(IF($E383=2,LOOKUP(2,1/(('Match Log'!$A$4:$A$810=359)*('Match Log'!$E$4:$E$810="Loss")),'Match Log'!$D$4:$D$810),"the field"),"")</f>
      </c>
      <c r="I383">
        <f>IF($G383="","",$G383-$A383/1000000)</f>
        <v>0</v>
      </c>
      <c r="J383">
        <v>359</v>
      </c>
      <c r="K383">
        <f>IF($J383&gt;MAX('Match Log'!$A$4:$A$810),NA(),IFERROR(LOOKUP(2,1/(('Match Log'!$D$4:$D$810=$K$24)*('Match Log'!$A$4:$A$810&lt;=$J383)),'Match Log'!$N$4:$N$810),NA()))</f>
        <v>0</v>
      </c>
      <c r="L383">
        <f>IF($J383&gt;MAX('Match Log'!$A$4:$A$810),NA(),IFERROR(LOOKUP(2,1/(('Match Log'!$D$4:$D$810=$L$24)*('Match Log'!$A$4:$A$810&lt;=$J383)),'Match Log'!$N$4:$N$810),NA()))</f>
        <v>0</v>
      </c>
      <c r="M383">
        <f>IF($J383&gt;MAX('Match Log'!$A$4:$A$810),NA(),IFERROR(LOOKUP(2,1/(('Match Log'!$D$4:$D$810=$M$24)*('Match Log'!$A$4:$A$810&lt;=$J383)),'Match Log'!$N$4:$N$810),NA()))</f>
        <v>0</v>
      </c>
      <c r="N383">
        <f>IF($J383&gt;MAX('Match Log'!$A$4:$A$810),NA(),IFERROR(LOOKUP(2,1/(('Match Log'!$D$4:$D$810=$N$24)*('Match Log'!$A$4:$A$810&lt;=$J383)),'Match Log'!$N$4:$N$810),NA()))</f>
        <v>0</v>
      </c>
      <c r="O383">
        <f>IF($J383&gt;MAX('Match Log'!$A$4:$A$810),NA(),IFERROR(LOOKUP(2,1/(('Match Log'!$D$4:$D$810=$O$24)*('Match Log'!$A$4:$A$810&lt;=$J383)),'Match Log'!$N$4:$N$810),NA()))</f>
        <v>0</v>
      </c>
      <c r="P383">
        <f>IF($J383&gt;MAX('Match Log'!$A$4:$A$810),NA(),IFERROR(LOOKUP(2,1/(('Match Log'!$D$4:$D$810=$P$24)*('Match Log'!$A$4:$A$810&lt;=$J383)),'Match Log'!$N$4:$N$810),NA()))</f>
        <v>0</v>
      </c>
      <c r="Q383">
        <f>IF($J383&gt;MAX('Match Log'!$A$4:$A$810),NA(),IFERROR(LOOKUP(2,1/(('Match Log'!$D$4:$D$810=$Q$24)*('Match Log'!$A$4:$A$810&lt;=$J383)),'Match Log'!$N$4:$N$810),NA()))</f>
        <v>0</v>
      </c>
      <c r="R383">
        <f>IF($J383&gt;MAX('Match Log'!$A$4:$A$810),NA(),IFERROR(LOOKUP(2,1/(('Match Log'!$D$4:$D$810=$R$24)*('Match Log'!$A$4:$A$810&lt;=$J383)),'Match Log'!$N$4:$N$810),NA()))</f>
        <v>0</v>
      </c>
      <c r="S383">
        <f>IF($J383&gt;MAX('Match Log'!$A$4:$A$810),NA(),IFERROR(LOOKUP(2,1/(('Match Log'!$D$4:$D$810=$S$24)*('Match Log'!$A$4:$A$810&lt;=$J383)),'Match Log'!$N$4:$N$810),NA()))</f>
        <v>0</v>
      </c>
      <c r="T383">
        <f>IF($J383&gt;MAX('Match Log'!$A$4:$A$810),NA(),IFERROR(LOOKUP(2,1/(('Match Log'!$D$4:$D$810=$T$24)*('Match Log'!$A$4:$A$810&lt;=$J383)),'Match Log'!$N$4:$N$810),NA()))</f>
        <v>0</v>
      </c>
      <c r="U383">
        <f>IF($J383&gt;MAX('Match Log'!$A$4:$A$810),NA(),IFERROR(LOOKUP(2,1/(('Match Log'!$D$4:$D$810=$U$24)*('Match Log'!$A$4:$A$810&lt;=$J383)),'Match Log'!$N$4:$N$810),NA()))</f>
        <v>0</v>
      </c>
      <c r="V383">
        <f>IF($J383&gt;MAX('Match Log'!$A$4:$A$810),NA(),IFERROR(LOOKUP(2,1/(('Match Log'!$D$4:$D$810=$V$24)*('Match Log'!$A$4:$A$810&lt;=$J383)),'Match Log'!$N$4:$N$810),NA()))</f>
        <v>0</v>
      </c>
      <c r="W383">
        <f>IF($J383&gt;MAX('Match Log'!$A$4:$A$810),NA(),IFERROR(LOOKUP(2,1/(('Match Log'!$D$4:$D$810=$W$24)*('Match Log'!$A$4:$A$810&lt;=$J383)),'Match Log'!$N$4:$N$810),NA()))</f>
        <v>0</v>
      </c>
      <c r="X383">
        <f>IF($J383&gt;MAX('Match Log'!$A$4:$A$810),NA(),IFERROR(LOOKUP(2,1/(('Match Log'!$D$4:$D$810=$X$24)*('Match Log'!$A$4:$A$810&lt;=$J383)),'Match Log'!$N$4:$N$810),NA()))</f>
        <v>0</v>
      </c>
      <c r="Y383" t="str">
        <f>IF(AND($B383&lt;&gt;"",$B383&gt;=$B$5,$I383&lt;&gt;""),$I383,"")</f>
      </c>
    </row>
    <row r="384">
      <c r="A384">
        <v>360</v>
      </c>
      <c r="B384">
        <f>IFERROR(INDEX('Match Log'!$B$4:$B$810,MATCH(360,'Match Log'!$A$4:$A$810,0)),"")</f>
        <v>0</v>
      </c>
      <c r="C384" t="str">
        <f>IFERROR(INDEX('Match Log'!$C$4:$C$810,MATCH(360,'Match Log'!$A$4:$A$810,0)),"")</f>
      </c>
      <c r="D384" t="str">
        <f>IFERROR(INDEX('Match Log'!$G$4:$G$810,MATCH(360,'Match Log'!$A$4:$A$810,0)),"")</f>
      </c>
      <c r="E384">
        <f>IFERROR(INDEX('Match Log'!$F$4:$F$810,MATCH(360,'Match Log'!$A$4:$A$810,0)),"")</f>
        <v>0</v>
      </c>
      <c r="F384">
        <f>IFERROR(SUMIFS('Match Log'!$I$4:$I$810,'Match Log'!$A$4:$A$810,360,'Match Log'!$E$4:$E$810,"Win"),"")</f>
        <v>0</v>
      </c>
      <c r="G384">
        <f>IF($D384="","",1-$F384*$E384)</f>
        <v>0</v>
      </c>
      <c r="H384" t="str">
        <f>IFERROR(IF($E384=2,LOOKUP(2,1/(('Match Log'!$A$4:$A$810=360)*('Match Log'!$E$4:$E$810="Loss")),'Match Log'!$D$4:$D$810),"the field"),"")</f>
      </c>
      <c r="I384">
        <f>IF($G384="","",$G384-$A384/1000000)</f>
        <v>0</v>
      </c>
      <c r="J384">
        <v>360</v>
      </c>
      <c r="K384">
        <f>IF($J384&gt;MAX('Match Log'!$A$4:$A$810),NA(),IFERROR(LOOKUP(2,1/(('Match Log'!$D$4:$D$810=$K$24)*('Match Log'!$A$4:$A$810&lt;=$J384)),'Match Log'!$N$4:$N$810),NA()))</f>
        <v>0</v>
      </c>
      <c r="L384">
        <f>IF($J384&gt;MAX('Match Log'!$A$4:$A$810),NA(),IFERROR(LOOKUP(2,1/(('Match Log'!$D$4:$D$810=$L$24)*('Match Log'!$A$4:$A$810&lt;=$J384)),'Match Log'!$N$4:$N$810),NA()))</f>
        <v>0</v>
      </c>
      <c r="M384">
        <f>IF($J384&gt;MAX('Match Log'!$A$4:$A$810),NA(),IFERROR(LOOKUP(2,1/(('Match Log'!$D$4:$D$810=$M$24)*('Match Log'!$A$4:$A$810&lt;=$J384)),'Match Log'!$N$4:$N$810),NA()))</f>
        <v>0</v>
      </c>
      <c r="N384">
        <f>IF($J384&gt;MAX('Match Log'!$A$4:$A$810),NA(),IFERROR(LOOKUP(2,1/(('Match Log'!$D$4:$D$810=$N$24)*('Match Log'!$A$4:$A$810&lt;=$J384)),'Match Log'!$N$4:$N$810),NA()))</f>
        <v>0</v>
      </c>
      <c r="O384">
        <f>IF($J384&gt;MAX('Match Log'!$A$4:$A$810),NA(),IFERROR(LOOKUP(2,1/(('Match Log'!$D$4:$D$810=$O$24)*('Match Log'!$A$4:$A$810&lt;=$J384)),'Match Log'!$N$4:$N$810),NA()))</f>
        <v>0</v>
      </c>
      <c r="P384">
        <f>IF($J384&gt;MAX('Match Log'!$A$4:$A$810),NA(),IFERROR(LOOKUP(2,1/(('Match Log'!$D$4:$D$810=$P$24)*('Match Log'!$A$4:$A$810&lt;=$J384)),'Match Log'!$N$4:$N$810),NA()))</f>
        <v>0</v>
      </c>
      <c r="Q384">
        <f>IF($J384&gt;MAX('Match Log'!$A$4:$A$810),NA(),IFERROR(LOOKUP(2,1/(('Match Log'!$D$4:$D$810=$Q$24)*('Match Log'!$A$4:$A$810&lt;=$J384)),'Match Log'!$N$4:$N$810),NA()))</f>
        <v>0</v>
      </c>
      <c r="R384">
        <f>IF($J384&gt;MAX('Match Log'!$A$4:$A$810),NA(),IFERROR(LOOKUP(2,1/(('Match Log'!$D$4:$D$810=$R$24)*('Match Log'!$A$4:$A$810&lt;=$J384)),'Match Log'!$N$4:$N$810),NA()))</f>
        <v>0</v>
      </c>
      <c r="S384">
        <f>IF($J384&gt;MAX('Match Log'!$A$4:$A$810),NA(),IFERROR(LOOKUP(2,1/(('Match Log'!$D$4:$D$810=$S$24)*('Match Log'!$A$4:$A$810&lt;=$J384)),'Match Log'!$N$4:$N$810),NA()))</f>
        <v>0</v>
      </c>
      <c r="T384">
        <f>IF($J384&gt;MAX('Match Log'!$A$4:$A$810),NA(),IFERROR(LOOKUP(2,1/(('Match Log'!$D$4:$D$810=$T$24)*('Match Log'!$A$4:$A$810&lt;=$J384)),'Match Log'!$N$4:$N$810),NA()))</f>
        <v>0</v>
      </c>
      <c r="U384">
        <f>IF($J384&gt;MAX('Match Log'!$A$4:$A$810),NA(),IFERROR(LOOKUP(2,1/(('Match Log'!$D$4:$D$810=$U$24)*('Match Log'!$A$4:$A$810&lt;=$J384)),'Match Log'!$N$4:$N$810),NA()))</f>
        <v>0</v>
      </c>
      <c r="V384">
        <f>IF($J384&gt;MAX('Match Log'!$A$4:$A$810),NA(),IFERROR(LOOKUP(2,1/(('Match Log'!$D$4:$D$810=$V$24)*('Match Log'!$A$4:$A$810&lt;=$J384)),'Match Log'!$N$4:$N$810),NA()))</f>
        <v>0</v>
      </c>
      <c r="W384">
        <f>IF($J384&gt;MAX('Match Log'!$A$4:$A$810),NA(),IFERROR(LOOKUP(2,1/(('Match Log'!$D$4:$D$810=$W$24)*('Match Log'!$A$4:$A$810&lt;=$J384)),'Match Log'!$N$4:$N$810),NA()))</f>
        <v>0</v>
      </c>
      <c r="X384">
        <f>IF($J384&gt;MAX('Match Log'!$A$4:$A$810),NA(),IFERROR(LOOKUP(2,1/(('Match Log'!$D$4:$D$810=$X$24)*('Match Log'!$A$4:$A$810&lt;=$J384)),'Match Log'!$N$4:$N$810),NA()))</f>
        <v>0</v>
      </c>
      <c r="Y384" t="str">
        <f>IF(AND($B384&lt;&gt;"",$B384&gt;=$B$5,$I384&lt;&gt;""),$I384,"")</f>
      </c>
    </row>
    <row r="385">
      <c r="A385">
        <v>361</v>
      </c>
      <c r="B385">
        <f>IFERROR(INDEX('Match Log'!$B$4:$B$810,MATCH(361,'Match Log'!$A$4:$A$810,0)),"")</f>
        <v>0</v>
      </c>
      <c r="C385" t="str">
        <f>IFERROR(INDEX('Match Log'!$C$4:$C$810,MATCH(361,'Match Log'!$A$4:$A$810,0)),"")</f>
      </c>
      <c r="D385" t="str">
        <f>IFERROR(INDEX('Match Log'!$G$4:$G$810,MATCH(361,'Match Log'!$A$4:$A$810,0)),"")</f>
      </c>
      <c r="E385">
        <f>IFERROR(INDEX('Match Log'!$F$4:$F$810,MATCH(361,'Match Log'!$A$4:$A$810,0)),"")</f>
        <v>0</v>
      </c>
      <c r="F385">
        <f>IFERROR(SUMIFS('Match Log'!$I$4:$I$810,'Match Log'!$A$4:$A$810,361,'Match Log'!$E$4:$E$810,"Win"),"")</f>
        <v>0</v>
      </c>
      <c r="G385">
        <f>IF($D385="","",1-$F385*$E385)</f>
        <v>0</v>
      </c>
      <c r="H385" t="str">
        <f>IFERROR(IF($E385=2,LOOKUP(2,1/(('Match Log'!$A$4:$A$810=361)*('Match Log'!$E$4:$E$810="Loss")),'Match Log'!$D$4:$D$810),"the field"),"")</f>
      </c>
      <c r="I385">
        <f>IF($G385="","",$G385-$A385/1000000)</f>
        <v>0</v>
      </c>
      <c r="J385">
        <v>361</v>
      </c>
      <c r="K385">
        <f>IF($J385&gt;MAX('Match Log'!$A$4:$A$810),NA(),IFERROR(LOOKUP(2,1/(('Match Log'!$D$4:$D$810=$K$24)*('Match Log'!$A$4:$A$810&lt;=$J385)),'Match Log'!$N$4:$N$810),NA()))</f>
        <v>0</v>
      </c>
      <c r="L385">
        <f>IF($J385&gt;MAX('Match Log'!$A$4:$A$810),NA(),IFERROR(LOOKUP(2,1/(('Match Log'!$D$4:$D$810=$L$24)*('Match Log'!$A$4:$A$810&lt;=$J385)),'Match Log'!$N$4:$N$810),NA()))</f>
        <v>0</v>
      </c>
      <c r="M385">
        <f>IF($J385&gt;MAX('Match Log'!$A$4:$A$810),NA(),IFERROR(LOOKUP(2,1/(('Match Log'!$D$4:$D$810=$M$24)*('Match Log'!$A$4:$A$810&lt;=$J385)),'Match Log'!$N$4:$N$810),NA()))</f>
        <v>0</v>
      </c>
      <c r="N385">
        <f>IF($J385&gt;MAX('Match Log'!$A$4:$A$810),NA(),IFERROR(LOOKUP(2,1/(('Match Log'!$D$4:$D$810=$N$24)*('Match Log'!$A$4:$A$810&lt;=$J385)),'Match Log'!$N$4:$N$810),NA()))</f>
        <v>0</v>
      </c>
      <c r="O385">
        <f>IF($J385&gt;MAX('Match Log'!$A$4:$A$810),NA(),IFERROR(LOOKUP(2,1/(('Match Log'!$D$4:$D$810=$O$24)*('Match Log'!$A$4:$A$810&lt;=$J385)),'Match Log'!$N$4:$N$810),NA()))</f>
        <v>0</v>
      </c>
      <c r="P385">
        <f>IF($J385&gt;MAX('Match Log'!$A$4:$A$810),NA(),IFERROR(LOOKUP(2,1/(('Match Log'!$D$4:$D$810=$P$24)*('Match Log'!$A$4:$A$810&lt;=$J385)),'Match Log'!$N$4:$N$810),NA()))</f>
        <v>0</v>
      </c>
      <c r="Q385">
        <f>IF($J385&gt;MAX('Match Log'!$A$4:$A$810),NA(),IFERROR(LOOKUP(2,1/(('Match Log'!$D$4:$D$810=$Q$24)*('Match Log'!$A$4:$A$810&lt;=$J385)),'Match Log'!$N$4:$N$810),NA()))</f>
        <v>0</v>
      </c>
      <c r="R385">
        <f>IF($J385&gt;MAX('Match Log'!$A$4:$A$810),NA(),IFERROR(LOOKUP(2,1/(('Match Log'!$D$4:$D$810=$R$24)*('Match Log'!$A$4:$A$810&lt;=$J385)),'Match Log'!$N$4:$N$810),NA()))</f>
        <v>0</v>
      </c>
      <c r="S385">
        <f>IF($J385&gt;MAX('Match Log'!$A$4:$A$810),NA(),IFERROR(LOOKUP(2,1/(('Match Log'!$D$4:$D$810=$S$24)*('Match Log'!$A$4:$A$810&lt;=$J385)),'Match Log'!$N$4:$N$810),NA()))</f>
        <v>0</v>
      </c>
      <c r="T385">
        <f>IF($J385&gt;MAX('Match Log'!$A$4:$A$810),NA(),IFERROR(LOOKUP(2,1/(('Match Log'!$D$4:$D$810=$T$24)*('Match Log'!$A$4:$A$810&lt;=$J385)),'Match Log'!$N$4:$N$810),NA()))</f>
        <v>0</v>
      </c>
      <c r="U385">
        <f>IF($J385&gt;MAX('Match Log'!$A$4:$A$810),NA(),IFERROR(LOOKUP(2,1/(('Match Log'!$D$4:$D$810=$U$24)*('Match Log'!$A$4:$A$810&lt;=$J385)),'Match Log'!$N$4:$N$810),NA()))</f>
        <v>0</v>
      </c>
      <c r="V385">
        <f>IF($J385&gt;MAX('Match Log'!$A$4:$A$810),NA(),IFERROR(LOOKUP(2,1/(('Match Log'!$D$4:$D$810=$V$24)*('Match Log'!$A$4:$A$810&lt;=$J385)),'Match Log'!$N$4:$N$810),NA()))</f>
        <v>0</v>
      </c>
      <c r="W385">
        <f>IF($J385&gt;MAX('Match Log'!$A$4:$A$810),NA(),IFERROR(LOOKUP(2,1/(('Match Log'!$D$4:$D$810=$W$24)*('Match Log'!$A$4:$A$810&lt;=$J385)),'Match Log'!$N$4:$N$810),NA()))</f>
        <v>0</v>
      </c>
      <c r="X385">
        <f>IF($J385&gt;MAX('Match Log'!$A$4:$A$810),NA(),IFERROR(LOOKUP(2,1/(('Match Log'!$D$4:$D$810=$X$24)*('Match Log'!$A$4:$A$810&lt;=$J385)),'Match Log'!$N$4:$N$810),NA()))</f>
        <v>0</v>
      </c>
      <c r="Y385" t="str">
        <f>IF(AND($B385&lt;&gt;"",$B385&gt;=$B$5,$I385&lt;&gt;""),$I385,"")</f>
      </c>
    </row>
    <row r="386">
      <c r="A386">
        <v>362</v>
      </c>
      <c r="B386">
        <f>IFERROR(INDEX('Match Log'!$B$4:$B$810,MATCH(362,'Match Log'!$A$4:$A$810,0)),"")</f>
        <v>0</v>
      </c>
      <c r="C386" t="str">
        <f>IFERROR(INDEX('Match Log'!$C$4:$C$810,MATCH(362,'Match Log'!$A$4:$A$810,0)),"")</f>
      </c>
      <c r="D386" t="str">
        <f>IFERROR(INDEX('Match Log'!$G$4:$G$810,MATCH(362,'Match Log'!$A$4:$A$810,0)),"")</f>
      </c>
      <c r="E386">
        <f>IFERROR(INDEX('Match Log'!$F$4:$F$810,MATCH(362,'Match Log'!$A$4:$A$810,0)),"")</f>
        <v>0</v>
      </c>
      <c r="F386">
        <f>IFERROR(SUMIFS('Match Log'!$I$4:$I$810,'Match Log'!$A$4:$A$810,362,'Match Log'!$E$4:$E$810,"Win"),"")</f>
        <v>0</v>
      </c>
      <c r="G386">
        <f>IF($D386="","",1-$F386*$E386)</f>
        <v>0</v>
      </c>
      <c r="H386" t="str">
        <f>IFERROR(IF($E386=2,LOOKUP(2,1/(('Match Log'!$A$4:$A$810=362)*('Match Log'!$E$4:$E$810="Loss")),'Match Log'!$D$4:$D$810),"the field"),"")</f>
      </c>
      <c r="I386">
        <f>IF($G386="","",$G386-$A386/1000000)</f>
        <v>0</v>
      </c>
      <c r="J386">
        <v>362</v>
      </c>
      <c r="K386">
        <f>IF($J386&gt;MAX('Match Log'!$A$4:$A$810),NA(),IFERROR(LOOKUP(2,1/(('Match Log'!$D$4:$D$810=$K$24)*('Match Log'!$A$4:$A$810&lt;=$J386)),'Match Log'!$N$4:$N$810),NA()))</f>
        <v>0</v>
      </c>
      <c r="L386">
        <f>IF($J386&gt;MAX('Match Log'!$A$4:$A$810),NA(),IFERROR(LOOKUP(2,1/(('Match Log'!$D$4:$D$810=$L$24)*('Match Log'!$A$4:$A$810&lt;=$J386)),'Match Log'!$N$4:$N$810),NA()))</f>
        <v>0</v>
      </c>
      <c r="M386">
        <f>IF($J386&gt;MAX('Match Log'!$A$4:$A$810),NA(),IFERROR(LOOKUP(2,1/(('Match Log'!$D$4:$D$810=$M$24)*('Match Log'!$A$4:$A$810&lt;=$J386)),'Match Log'!$N$4:$N$810),NA()))</f>
        <v>0</v>
      </c>
      <c r="N386">
        <f>IF($J386&gt;MAX('Match Log'!$A$4:$A$810),NA(),IFERROR(LOOKUP(2,1/(('Match Log'!$D$4:$D$810=$N$24)*('Match Log'!$A$4:$A$810&lt;=$J386)),'Match Log'!$N$4:$N$810),NA()))</f>
        <v>0</v>
      </c>
      <c r="O386">
        <f>IF($J386&gt;MAX('Match Log'!$A$4:$A$810),NA(),IFERROR(LOOKUP(2,1/(('Match Log'!$D$4:$D$810=$O$24)*('Match Log'!$A$4:$A$810&lt;=$J386)),'Match Log'!$N$4:$N$810),NA()))</f>
        <v>0</v>
      </c>
      <c r="P386">
        <f>IF($J386&gt;MAX('Match Log'!$A$4:$A$810),NA(),IFERROR(LOOKUP(2,1/(('Match Log'!$D$4:$D$810=$P$24)*('Match Log'!$A$4:$A$810&lt;=$J386)),'Match Log'!$N$4:$N$810),NA()))</f>
        <v>0</v>
      </c>
      <c r="Q386">
        <f>IF($J386&gt;MAX('Match Log'!$A$4:$A$810),NA(),IFERROR(LOOKUP(2,1/(('Match Log'!$D$4:$D$810=$Q$24)*('Match Log'!$A$4:$A$810&lt;=$J386)),'Match Log'!$N$4:$N$810),NA()))</f>
        <v>0</v>
      </c>
      <c r="R386">
        <f>IF($J386&gt;MAX('Match Log'!$A$4:$A$810),NA(),IFERROR(LOOKUP(2,1/(('Match Log'!$D$4:$D$810=$R$24)*('Match Log'!$A$4:$A$810&lt;=$J386)),'Match Log'!$N$4:$N$810),NA()))</f>
        <v>0</v>
      </c>
      <c r="S386">
        <f>IF($J386&gt;MAX('Match Log'!$A$4:$A$810),NA(),IFERROR(LOOKUP(2,1/(('Match Log'!$D$4:$D$810=$S$24)*('Match Log'!$A$4:$A$810&lt;=$J386)),'Match Log'!$N$4:$N$810),NA()))</f>
        <v>0</v>
      </c>
      <c r="T386">
        <f>IF($J386&gt;MAX('Match Log'!$A$4:$A$810),NA(),IFERROR(LOOKUP(2,1/(('Match Log'!$D$4:$D$810=$T$24)*('Match Log'!$A$4:$A$810&lt;=$J386)),'Match Log'!$N$4:$N$810),NA()))</f>
        <v>0</v>
      </c>
      <c r="U386">
        <f>IF($J386&gt;MAX('Match Log'!$A$4:$A$810),NA(),IFERROR(LOOKUP(2,1/(('Match Log'!$D$4:$D$810=$U$24)*('Match Log'!$A$4:$A$810&lt;=$J386)),'Match Log'!$N$4:$N$810),NA()))</f>
        <v>0</v>
      </c>
      <c r="V386">
        <f>IF($J386&gt;MAX('Match Log'!$A$4:$A$810),NA(),IFERROR(LOOKUP(2,1/(('Match Log'!$D$4:$D$810=$V$24)*('Match Log'!$A$4:$A$810&lt;=$J386)),'Match Log'!$N$4:$N$810),NA()))</f>
        <v>0</v>
      </c>
      <c r="W386">
        <f>IF($J386&gt;MAX('Match Log'!$A$4:$A$810),NA(),IFERROR(LOOKUP(2,1/(('Match Log'!$D$4:$D$810=$W$24)*('Match Log'!$A$4:$A$810&lt;=$J386)),'Match Log'!$N$4:$N$810),NA()))</f>
        <v>0</v>
      </c>
      <c r="X386">
        <f>IF($J386&gt;MAX('Match Log'!$A$4:$A$810),NA(),IFERROR(LOOKUP(2,1/(('Match Log'!$D$4:$D$810=$X$24)*('Match Log'!$A$4:$A$810&lt;=$J386)),'Match Log'!$N$4:$N$810),NA()))</f>
        <v>0</v>
      </c>
      <c r="Y386" t="str">
        <f>IF(AND($B386&lt;&gt;"",$B386&gt;=$B$5,$I386&lt;&gt;""),$I386,"")</f>
      </c>
    </row>
    <row r="387">
      <c r="A387">
        <v>363</v>
      </c>
      <c r="B387">
        <f>IFERROR(INDEX('Match Log'!$B$4:$B$810,MATCH(363,'Match Log'!$A$4:$A$810,0)),"")</f>
        <v>0</v>
      </c>
      <c r="C387" t="str">
        <f>IFERROR(INDEX('Match Log'!$C$4:$C$810,MATCH(363,'Match Log'!$A$4:$A$810,0)),"")</f>
      </c>
      <c r="D387" t="str">
        <f>IFERROR(INDEX('Match Log'!$G$4:$G$810,MATCH(363,'Match Log'!$A$4:$A$810,0)),"")</f>
      </c>
      <c r="E387">
        <f>IFERROR(INDEX('Match Log'!$F$4:$F$810,MATCH(363,'Match Log'!$A$4:$A$810,0)),"")</f>
        <v>0</v>
      </c>
      <c r="F387">
        <f>IFERROR(SUMIFS('Match Log'!$I$4:$I$810,'Match Log'!$A$4:$A$810,363,'Match Log'!$E$4:$E$810,"Win"),"")</f>
        <v>0</v>
      </c>
      <c r="G387">
        <f>IF($D387="","",1-$F387*$E387)</f>
        <v>0</v>
      </c>
      <c r="H387" t="str">
        <f>IFERROR(IF($E387=2,LOOKUP(2,1/(('Match Log'!$A$4:$A$810=363)*('Match Log'!$E$4:$E$810="Loss")),'Match Log'!$D$4:$D$810),"the field"),"")</f>
      </c>
      <c r="I387">
        <f>IF($G387="","",$G387-$A387/1000000)</f>
        <v>0</v>
      </c>
      <c r="J387">
        <v>363</v>
      </c>
      <c r="K387">
        <f>IF($J387&gt;MAX('Match Log'!$A$4:$A$810),NA(),IFERROR(LOOKUP(2,1/(('Match Log'!$D$4:$D$810=$K$24)*('Match Log'!$A$4:$A$810&lt;=$J387)),'Match Log'!$N$4:$N$810),NA()))</f>
        <v>0</v>
      </c>
      <c r="L387">
        <f>IF($J387&gt;MAX('Match Log'!$A$4:$A$810),NA(),IFERROR(LOOKUP(2,1/(('Match Log'!$D$4:$D$810=$L$24)*('Match Log'!$A$4:$A$810&lt;=$J387)),'Match Log'!$N$4:$N$810),NA()))</f>
        <v>0</v>
      </c>
      <c r="M387">
        <f>IF($J387&gt;MAX('Match Log'!$A$4:$A$810),NA(),IFERROR(LOOKUP(2,1/(('Match Log'!$D$4:$D$810=$M$24)*('Match Log'!$A$4:$A$810&lt;=$J387)),'Match Log'!$N$4:$N$810),NA()))</f>
        <v>0</v>
      </c>
      <c r="N387">
        <f>IF($J387&gt;MAX('Match Log'!$A$4:$A$810),NA(),IFERROR(LOOKUP(2,1/(('Match Log'!$D$4:$D$810=$N$24)*('Match Log'!$A$4:$A$810&lt;=$J387)),'Match Log'!$N$4:$N$810),NA()))</f>
        <v>0</v>
      </c>
      <c r="O387">
        <f>IF($J387&gt;MAX('Match Log'!$A$4:$A$810),NA(),IFERROR(LOOKUP(2,1/(('Match Log'!$D$4:$D$810=$O$24)*('Match Log'!$A$4:$A$810&lt;=$J387)),'Match Log'!$N$4:$N$810),NA()))</f>
        <v>0</v>
      </c>
      <c r="P387">
        <f>IF($J387&gt;MAX('Match Log'!$A$4:$A$810),NA(),IFERROR(LOOKUP(2,1/(('Match Log'!$D$4:$D$810=$P$24)*('Match Log'!$A$4:$A$810&lt;=$J387)),'Match Log'!$N$4:$N$810),NA()))</f>
        <v>0</v>
      </c>
      <c r="Q387">
        <f>IF($J387&gt;MAX('Match Log'!$A$4:$A$810),NA(),IFERROR(LOOKUP(2,1/(('Match Log'!$D$4:$D$810=$Q$24)*('Match Log'!$A$4:$A$810&lt;=$J387)),'Match Log'!$N$4:$N$810),NA()))</f>
        <v>0</v>
      </c>
      <c r="R387">
        <f>IF($J387&gt;MAX('Match Log'!$A$4:$A$810),NA(),IFERROR(LOOKUP(2,1/(('Match Log'!$D$4:$D$810=$R$24)*('Match Log'!$A$4:$A$810&lt;=$J387)),'Match Log'!$N$4:$N$810),NA()))</f>
        <v>0</v>
      </c>
      <c r="S387">
        <f>IF($J387&gt;MAX('Match Log'!$A$4:$A$810),NA(),IFERROR(LOOKUP(2,1/(('Match Log'!$D$4:$D$810=$S$24)*('Match Log'!$A$4:$A$810&lt;=$J387)),'Match Log'!$N$4:$N$810),NA()))</f>
        <v>0</v>
      </c>
      <c r="T387">
        <f>IF($J387&gt;MAX('Match Log'!$A$4:$A$810),NA(),IFERROR(LOOKUP(2,1/(('Match Log'!$D$4:$D$810=$T$24)*('Match Log'!$A$4:$A$810&lt;=$J387)),'Match Log'!$N$4:$N$810),NA()))</f>
        <v>0</v>
      </c>
      <c r="U387">
        <f>IF($J387&gt;MAX('Match Log'!$A$4:$A$810),NA(),IFERROR(LOOKUP(2,1/(('Match Log'!$D$4:$D$810=$U$24)*('Match Log'!$A$4:$A$810&lt;=$J387)),'Match Log'!$N$4:$N$810),NA()))</f>
        <v>0</v>
      </c>
      <c r="V387">
        <f>IF($J387&gt;MAX('Match Log'!$A$4:$A$810),NA(),IFERROR(LOOKUP(2,1/(('Match Log'!$D$4:$D$810=$V$24)*('Match Log'!$A$4:$A$810&lt;=$J387)),'Match Log'!$N$4:$N$810),NA()))</f>
        <v>0</v>
      </c>
      <c r="W387">
        <f>IF($J387&gt;MAX('Match Log'!$A$4:$A$810),NA(),IFERROR(LOOKUP(2,1/(('Match Log'!$D$4:$D$810=$W$24)*('Match Log'!$A$4:$A$810&lt;=$J387)),'Match Log'!$N$4:$N$810),NA()))</f>
        <v>0</v>
      </c>
      <c r="X387">
        <f>IF($J387&gt;MAX('Match Log'!$A$4:$A$810),NA(),IFERROR(LOOKUP(2,1/(('Match Log'!$D$4:$D$810=$X$24)*('Match Log'!$A$4:$A$810&lt;=$J387)),'Match Log'!$N$4:$N$810),NA()))</f>
        <v>0</v>
      </c>
      <c r="Y387" t="str">
        <f>IF(AND($B387&lt;&gt;"",$B387&gt;=$B$5,$I387&lt;&gt;""),$I387,"")</f>
      </c>
    </row>
    <row r="388">
      <c r="A388">
        <v>364</v>
      </c>
      <c r="B388">
        <f>IFERROR(INDEX('Match Log'!$B$4:$B$810,MATCH(364,'Match Log'!$A$4:$A$810,0)),"")</f>
        <v>0</v>
      </c>
      <c r="C388" t="str">
        <f>IFERROR(INDEX('Match Log'!$C$4:$C$810,MATCH(364,'Match Log'!$A$4:$A$810,0)),"")</f>
      </c>
      <c r="D388" t="str">
        <f>IFERROR(INDEX('Match Log'!$G$4:$G$810,MATCH(364,'Match Log'!$A$4:$A$810,0)),"")</f>
      </c>
      <c r="E388">
        <f>IFERROR(INDEX('Match Log'!$F$4:$F$810,MATCH(364,'Match Log'!$A$4:$A$810,0)),"")</f>
        <v>0</v>
      </c>
      <c r="F388">
        <f>IFERROR(SUMIFS('Match Log'!$I$4:$I$810,'Match Log'!$A$4:$A$810,364,'Match Log'!$E$4:$E$810,"Win"),"")</f>
        <v>0</v>
      </c>
      <c r="G388">
        <f>IF($D388="","",1-$F388*$E388)</f>
        <v>0</v>
      </c>
      <c r="H388" t="str">
        <f>IFERROR(IF($E388=2,LOOKUP(2,1/(('Match Log'!$A$4:$A$810=364)*('Match Log'!$E$4:$E$810="Loss")),'Match Log'!$D$4:$D$810),"the field"),"")</f>
      </c>
      <c r="I388">
        <f>IF($G388="","",$G388-$A388/1000000)</f>
        <v>0</v>
      </c>
      <c r="J388">
        <v>364</v>
      </c>
      <c r="K388">
        <f>IF($J388&gt;MAX('Match Log'!$A$4:$A$810),NA(),IFERROR(LOOKUP(2,1/(('Match Log'!$D$4:$D$810=$K$24)*('Match Log'!$A$4:$A$810&lt;=$J388)),'Match Log'!$N$4:$N$810),NA()))</f>
        <v>0</v>
      </c>
      <c r="L388">
        <f>IF($J388&gt;MAX('Match Log'!$A$4:$A$810),NA(),IFERROR(LOOKUP(2,1/(('Match Log'!$D$4:$D$810=$L$24)*('Match Log'!$A$4:$A$810&lt;=$J388)),'Match Log'!$N$4:$N$810),NA()))</f>
        <v>0</v>
      </c>
      <c r="M388">
        <f>IF($J388&gt;MAX('Match Log'!$A$4:$A$810),NA(),IFERROR(LOOKUP(2,1/(('Match Log'!$D$4:$D$810=$M$24)*('Match Log'!$A$4:$A$810&lt;=$J388)),'Match Log'!$N$4:$N$810),NA()))</f>
        <v>0</v>
      </c>
      <c r="N388">
        <f>IF($J388&gt;MAX('Match Log'!$A$4:$A$810),NA(),IFERROR(LOOKUP(2,1/(('Match Log'!$D$4:$D$810=$N$24)*('Match Log'!$A$4:$A$810&lt;=$J388)),'Match Log'!$N$4:$N$810),NA()))</f>
        <v>0</v>
      </c>
      <c r="O388">
        <f>IF($J388&gt;MAX('Match Log'!$A$4:$A$810),NA(),IFERROR(LOOKUP(2,1/(('Match Log'!$D$4:$D$810=$O$24)*('Match Log'!$A$4:$A$810&lt;=$J388)),'Match Log'!$N$4:$N$810),NA()))</f>
        <v>0</v>
      </c>
      <c r="P388">
        <f>IF($J388&gt;MAX('Match Log'!$A$4:$A$810),NA(),IFERROR(LOOKUP(2,1/(('Match Log'!$D$4:$D$810=$P$24)*('Match Log'!$A$4:$A$810&lt;=$J388)),'Match Log'!$N$4:$N$810),NA()))</f>
        <v>0</v>
      </c>
      <c r="Q388">
        <f>IF($J388&gt;MAX('Match Log'!$A$4:$A$810),NA(),IFERROR(LOOKUP(2,1/(('Match Log'!$D$4:$D$810=$Q$24)*('Match Log'!$A$4:$A$810&lt;=$J388)),'Match Log'!$N$4:$N$810),NA()))</f>
        <v>0</v>
      </c>
      <c r="R388">
        <f>IF($J388&gt;MAX('Match Log'!$A$4:$A$810),NA(),IFERROR(LOOKUP(2,1/(('Match Log'!$D$4:$D$810=$R$24)*('Match Log'!$A$4:$A$810&lt;=$J388)),'Match Log'!$N$4:$N$810),NA()))</f>
        <v>0</v>
      </c>
      <c r="S388">
        <f>IF($J388&gt;MAX('Match Log'!$A$4:$A$810),NA(),IFERROR(LOOKUP(2,1/(('Match Log'!$D$4:$D$810=$S$24)*('Match Log'!$A$4:$A$810&lt;=$J388)),'Match Log'!$N$4:$N$810),NA()))</f>
        <v>0</v>
      </c>
      <c r="T388">
        <f>IF($J388&gt;MAX('Match Log'!$A$4:$A$810),NA(),IFERROR(LOOKUP(2,1/(('Match Log'!$D$4:$D$810=$T$24)*('Match Log'!$A$4:$A$810&lt;=$J388)),'Match Log'!$N$4:$N$810),NA()))</f>
        <v>0</v>
      </c>
      <c r="U388">
        <f>IF($J388&gt;MAX('Match Log'!$A$4:$A$810),NA(),IFERROR(LOOKUP(2,1/(('Match Log'!$D$4:$D$810=$U$24)*('Match Log'!$A$4:$A$810&lt;=$J388)),'Match Log'!$N$4:$N$810),NA()))</f>
        <v>0</v>
      </c>
      <c r="V388">
        <f>IF($J388&gt;MAX('Match Log'!$A$4:$A$810),NA(),IFERROR(LOOKUP(2,1/(('Match Log'!$D$4:$D$810=$V$24)*('Match Log'!$A$4:$A$810&lt;=$J388)),'Match Log'!$N$4:$N$810),NA()))</f>
        <v>0</v>
      </c>
      <c r="W388">
        <f>IF($J388&gt;MAX('Match Log'!$A$4:$A$810),NA(),IFERROR(LOOKUP(2,1/(('Match Log'!$D$4:$D$810=$W$24)*('Match Log'!$A$4:$A$810&lt;=$J388)),'Match Log'!$N$4:$N$810),NA()))</f>
        <v>0</v>
      </c>
      <c r="X388">
        <f>IF($J388&gt;MAX('Match Log'!$A$4:$A$810),NA(),IFERROR(LOOKUP(2,1/(('Match Log'!$D$4:$D$810=$X$24)*('Match Log'!$A$4:$A$810&lt;=$J388)),'Match Log'!$N$4:$N$810),NA()))</f>
        <v>0</v>
      </c>
      <c r="Y388" t="str">
        <f>IF(AND($B388&lt;&gt;"",$B388&gt;=$B$5,$I388&lt;&gt;""),$I388,"")</f>
      </c>
    </row>
    <row r="389">
      <c r="A389">
        <v>365</v>
      </c>
      <c r="B389">
        <f>IFERROR(INDEX('Match Log'!$B$4:$B$810,MATCH(365,'Match Log'!$A$4:$A$810,0)),"")</f>
        <v>0</v>
      </c>
      <c r="C389" t="str">
        <f>IFERROR(INDEX('Match Log'!$C$4:$C$810,MATCH(365,'Match Log'!$A$4:$A$810,0)),"")</f>
      </c>
      <c r="D389" t="str">
        <f>IFERROR(INDEX('Match Log'!$G$4:$G$810,MATCH(365,'Match Log'!$A$4:$A$810,0)),"")</f>
      </c>
      <c r="E389">
        <f>IFERROR(INDEX('Match Log'!$F$4:$F$810,MATCH(365,'Match Log'!$A$4:$A$810,0)),"")</f>
        <v>0</v>
      </c>
      <c r="F389">
        <f>IFERROR(SUMIFS('Match Log'!$I$4:$I$810,'Match Log'!$A$4:$A$810,365,'Match Log'!$E$4:$E$810,"Win"),"")</f>
        <v>0</v>
      </c>
      <c r="G389">
        <f>IF($D389="","",1-$F389*$E389)</f>
        <v>0</v>
      </c>
      <c r="H389" t="str">
        <f>IFERROR(IF($E389=2,LOOKUP(2,1/(('Match Log'!$A$4:$A$810=365)*('Match Log'!$E$4:$E$810="Loss")),'Match Log'!$D$4:$D$810),"the field"),"")</f>
      </c>
      <c r="I389">
        <f>IF($G389="","",$G389-$A389/1000000)</f>
        <v>0</v>
      </c>
      <c r="J389">
        <v>365</v>
      </c>
      <c r="K389">
        <f>IF($J389&gt;MAX('Match Log'!$A$4:$A$810),NA(),IFERROR(LOOKUP(2,1/(('Match Log'!$D$4:$D$810=$K$24)*('Match Log'!$A$4:$A$810&lt;=$J389)),'Match Log'!$N$4:$N$810),NA()))</f>
        <v>0</v>
      </c>
      <c r="L389">
        <f>IF($J389&gt;MAX('Match Log'!$A$4:$A$810),NA(),IFERROR(LOOKUP(2,1/(('Match Log'!$D$4:$D$810=$L$24)*('Match Log'!$A$4:$A$810&lt;=$J389)),'Match Log'!$N$4:$N$810),NA()))</f>
        <v>0</v>
      </c>
      <c r="M389">
        <f>IF($J389&gt;MAX('Match Log'!$A$4:$A$810),NA(),IFERROR(LOOKUP(2,1/(('Match Log'!$D$4:$D$810=$M$24)*('Match Log'!$A$4:$A$810&lt;=$J389)),'Match Log'!$N$4:$N$810),NA()))</f>
        <v>0</v>
      </c>
      <c r="N389">
        <f>IF($J389&gt;MAX('Match Log'!$A$4:$A$810),NA(),IFERROR(LOOKUP(2,1/(('Match Log'!$D$4:$D$810=$N$24)*('Match Log'!$A$4:$A$810&lt;=$J389)),'Match Log'!$N$4:$N$810),NA()))</f>
        <v>0</v>
      </c>
      <c r="O389">
        <f>IF($J389&gt;MAX('Match Log'!$A$4:$A$810),NA(),IFERROR(LOOKUP(2,1/(('Match Log'!$D$4:$D$810=$O$24)*('Match Log'!$A$4:$A$810&lt;=$J389)),'Match Log'!$N$4:$N$810),NA()))</f>
        <v>0</v>
      </c>
      <c r="P389">
        <f>IF($J389&gt;MAX('Match Log'!$A$4:$A$810),NA(),IFERROR(LOOKUP(2,1/(('Match Log'!$D$4:$D$810=$P$24)*('Match Log'!$A$4:$A$810&lt;=$J389)),'Match Log'!$N$4:$N$810),NA()))</f>
        <v>0</v>
      </c>
      <c r="Q389">
        <f>IF($J389&gt;MAX('Match Log'!$A$4:$A$810),NA(),IFERROR(LOOKUP(2,1/(('Match Log'!$D$4:$D$810=$Q$24)*('Match Log'!$A$4:$A$810&lt;=$J389)),'Match Log'!$N$4:$N$810),NA()))</f>
        <v>0</v>
      </c>
      <c r="R389">
        <f>IF($J389&gt;MAX('Match Log'!$A$4:$A$810),NA(),IFERROR(LOOKUP(2,1/(('Match Log'!$D$4:$D$810=$R$24)*('Match Log'!$A$4:$A$810&lt;=$J389)),'Match Log'!$N$4:$N$810),NA()))</f>
        <v>0</v>
      </c>
      <c r="S389">
        <f>IF($J389&gt;MAX('Match Log'!$A$4:$A$810),NA(),IFERROR(LOOKUP(2,1/(('Match Log'!$D$4:$D$810=$S$24)*('Match Log'!$A$4:$A$810&lt;=$J389)),'Match Log'!$N$4:$N$810),NA()))</f>
        <v>0</v>
      </c>
      <c r="T389">
        <f>IF($J389&gt;MAX('Match Log'!$A$4:$A$810),NA(),IFERROR(LOOKUP(2,1/(('Match Log'!$D$4:$D$810=$T$24)*('Match Log'!$A$4:$A$810&lt;=$J389)),'Match Log'!$N$4:$N$810),NA()))</f>
        <v>0</v>
      </c>
      <c r="U389">
        <f>IF($J389&gt;MAX('Match Log'!$A$4:$A$810),NA(),IFERROR(LOOKUP(2,1/(('Match Log'!$D$4:$D$810=$U$24)*('Match Log'!$A$4:$A$810&lt;=$J389)),'Match Log'!$N$4:$N$810),NA()))</f>
        <v>0</v>
      </c>
      <c r="V389">
        <f>IF($J389&gt;MAX('Match Log'!$A$4:$A$810),NA(),IFERROR(LOOKUP(2,1/(('Match Log'!$D$4:$D$810=$V$24)*('Match Log'!$A$4:$A$810&lt;=$J389)),'Match Log'!$N$4:$N$810),NA()))</f>
        <v>0</v>
      </c>
      <c r="W389">
        <f>IF($J389&gt;MAX('Match Log'!$A$4:$A$810),NA(),IFERROR(LOOKUP(2,1/(('Match Log'!$D$4:$D$810=$W$24)*('Match Log'!$A$4:$A$810&lt;=$J389)),'Match Log'!$N$4:$N$810),NA()))</f>
        <v>0</v>
      </c>
      <c r="X389">
        <f>IF($J389&gt;MAX('Match Log'!$A$4:$A$810),NA(),IFERROR(LOOKUP(2,1/(('Match Log'!$D$4:$D$810=$X$24)*('Match Log'!$A$4:$A$810&lt;=$J389)),'Match Log'!$N$4:$N$810),NA()))</f>
        <v>0</v>
      </c>
      <c r="Y389" t="str">
        <f>IF(AND($B389&lt;&gt;"",$B389&gt;=$B$5,$I389&lt;&gt;""),$I389,"")</f>
      </c>
    </row>
    <row r="390">
      <c r="A390">
        <v>366</v>
      </c>
      <c r="B390">
        <f>IFERROR(INDEX('Match Log'!$B$4:$B$810,MATCH(366,'Match Log'!$A$4:$A$810,0)),"")</f>
        <v>0</v>
      </c>
      <c r="C390" t="str">
        <f>IFERROR(INDEX('Match Log'!$C$4:$C$810,MATCH(366,'Match Log'!$A$4:$A$810,0)),"")</f>
      </c>
      <c r="D390" t="str">
        <f>IFERROR(INDEX('Match Log'!$G$4:$G$810,MATCH(366,'Match Log'!$A$4:$A$810,0)),"")</f>
      </c>
      <c r="E390">
        <f>IFERROR(INDEX('Match Log'!$F$4:$F$810,MATCH(366,'Match Log'!$A$4:$A$810,0)),"")</f>
        <v>0</v>
      </c>
      <c r="F390">
        <f>IFERROR(SUMIFS('Match Log'!$I$4:$I$810,'Match Log'!$A$4:$A$810,366,'Match Log'!$E$4:$E$810,"Win"),"")</f>
        <v>0</v>
      </c>
      <c r="G390">
        <f>IF($D390="","",1-$F390*$E390)</f>
        <v>0</v>
      </c>
      <c r="H390" t="str">
        <f>IFERROR(IF($E390=2,LOOKUP(2,1/(('Match Log'!$A$4:$A$810=366)*('Match Log'!$E$4:$E$810="Loss")),'Match Log'!$D$4:$D$810),"the field"),"")</f>
      </c>
      <c r="I390">
        <f>IF($G390="","",$G390-$A390/1000000)</f>
        <v>0</v>
      </c>
      <c r="J390">
        <v>366</v>
      </c>
      <c r="K390">
        <f>IF($J390&gt;MAX('Match Log'!$A$4:$A$810),NA(),IFERROR(LOOKUP(2,1/(('Match Log'!$D$4:$D$810=$K$24)*('Match Log'!$A$4:$A$810&lt;=$J390)),'Match Log'!$N$4:$N$810),NA()))</f>
        <v>0</v>
      </c>
      <c r="L390">
        <f>IF($J390&gt;MAX('Match Log'!$A$4:$A$810),NA(),IFERROR(LOOKUP(2,1/(('Match Log'!$D$4:$D$810=$L$24)*('Match Log'!$A$4:$A$810&lt;=$J390)),'Match Log'!$N$4:$N$810),NA()))</f>
        <v>0</v>
      </c>
      <c r="M390">
        <f>IF($J390&gt;MAX('Match Log'!$A$4:$A$810),NA(),IFERROR(LOOKUP(2,1/(('Match Log'!$D$4:$D$810=$M$24)*('Match Log'!$A$4:$A$810&lt;=$J390)),'Match Log'!$N$4:$N$810),NA()))</f>
        <v>0</v>
      </c>
      <c r="N390">
        <f>IF($J390&gt;MAX('Match Log'!$A$4:$A$810),NA(),IFERROR(LOOKUP(2,1/(('Match Log'!$D$4:$D$810=$N$24)*('Match Log'!$A$4:$A$810&lt;=$J390)),'Match Log'!$N$4:$N$810),NA()))</f>
        <v>0</v>
      </c>
      <c r="O390">
        <f>IF($J390&gt;MAX('Match Log'!$A$4:$A$810),NA(),IFERROR(LOOKUP(2,1/(('Match Log'!$D$4:$D$810=$O$24)*('Match Log'!$A$4:$A$810&lt;=$J390)),'Match Log'!$N$4:$N$810),NA()))</f>
        <v>0</v>
      </c>
      <c r="P390">
        <f>IF($J390&gt;MAX('Match Log'!$A$4:$A$810),NA(),IFERROR(LOOKUP(2,1/(('Match Log'!$D$4:$D$810=$P$24)*('Match Log'!$A$4:$A$810&lt;=$J390)),'Match Log'!$N$4:$N$810),NA()))</f>
        <v>0</v>
      </c>
      <c r="Q390">
        <f>IF($J390&gt;MAX('Match Log'!$A$4:$A$810),NA(),IFERROR(LOOKUP(2,1/(('Match Log'!$D$4:$D$810=$Q$24)*('Match Log'!$A$4:$A$810&lt;=$J390)),'Match Log'!$N$4:$N$810),NA()))</f>
        <v>0</v>
      </c>
      <c r="R390">
        <f>IF($J390&gt;MAX('Match Log'!$A$4:$A$810),NA(),IFERROR(LOOKUP(2,1/(('Match Log'!$D$4:$D$810=$R$24)*('Match Log'!$A$4:$A$810&lt;=$J390)),'Match Log'!$N$4:$N$810),NA()))</f>
        <v>0</v>
      </c>
      <c r="S390">
        <f>IF($J390&gt;MAX('Match Log'!$A$4:$A$810),NA(),IFERROR(LOOKUP(2,1/(('Match Log'!$D$4:$D$810=$S$24)*('Match Log'!$A$4:$A$810&lt;=$J390)),'Match Log'!$N$4:$N$810),NA()))</f>
        <v>0</v>
      </c>
      <c r="T390">
        <f>IF($J390&gt;MAX('Match Log'!$A$4:$A$810),NA(),IFERROR(LOOKUP(2,1/(('Match Log'!$D$4:$D$810=$T$24)*('Match Log'!$A$4:$A$810&lt;=$J390)),'Match Log'!$N$4:$N$810),NA()))</f>
        <v>0</v>
      </c>
      <c r="U390">
        <f>IF($J390&gt;MAX('Match Log'!$A$4:$A$810),NA(),IFERROR(LOOKUP(2,1/(('Match Log'!$D$4:$D$810=$U$24)*('Match Log'!$A$4:$A$810&lt;=$J390)),'Match Log'!$N$4:$N$810),NA()))</f>
        <v>0</v>
      </c>
      <c r="V390">
        <f>IF($J390&gt;MAX('Match Log'!$A$4:$A$810),NA(),IFERROR(LOOKUP(2,1/(('Match Log'!$D$4:$D$810=$V$24)*('Match Log'!$A$4:$A$810&lt;=$J390)),'Match Log'!$N$4:$N$810),NA()))</f>
        <v>0</v>
      </c>
      <c r="W390">
        <f>IF($J390&gt;MAX('Match Log'!$A$4:$A$810),NA(),IFERROR(LOOKUP(2,1/(('Match Log'!$D$4:$D$810=$W$24)*('Match Log'!$A$4:$A$810&lt;=$J390)),'Match Log'!$N$4:$N$810),NA()))</f>
        <v>0</v>
      </c>
      <c r="X390">
        <f>IF($J390&gt;MAX('Match Log'!$A$4:$A$810),NA(),IFERROR(LOOKUP(2,1/(('Match Log'!$D$4:$D$810=$X$24)*('Match Log'!$A$4:$A$810&lt;=$J390)),'Match Log'!$N$4:$N$810),NA()))</f>
        <v>0</v>
      </c>
      <c r="Y390" t="str">
        <f>IF(AND($B390&lt;&gt;"",$B390&gt;=$B$5,$I390&lt;&gt;""),$I390,"")</f>
      </c>
    </row>
    <row r="391">
      <c r="A391">
        <v>367</v>
      </c>
      <c r="B391">
        <f>IFERROR(INDEX('Match Log'!$B$4:$B$810,MATCH(367,'Match Log'!$A$4:$A$810,0)),"")</f>
        <v>0</v>
      </c>
      <c r="C391" t="str">
        <f>IFERROR(INDEX('Match Log'!$C$4:$C$810,MATCH(367,'Match Log'!$A$4:$A$810,0)),"")</f>
      </c>
      <c r="D391" t="str">
        <f>IFERROR(INDEX('Match Log'!$G$4:$G$810,MATCH(367,'Match Log'!$A$4:$A$810,0)),"")</f>
      </c>
      <c r="E391">
        <f>IFERROR(INDEX('Match Log'!$F$4:$F$810,MATCH(367,'Match Log'!$A$4:$A$810,0)),"")</f>
        <v>0</v>
      </c>
      <c r="F391">
        <f>IFERROR(SUMIFS('Match Log'!$I$4:$I$810,'Match Log'!$A$4:$A$810,367,'Match Log'!$E$4:$E$810,"Win"),"")</f>
        <v>0</v>
      </c>
      <c r="G391">
        <f>IF($D391="","",1-$F391*$E391)</f>
        <v>0</v>
      </c>
      <c r="H391" t="str">
        <f>IFERROR(IF($E391=2,LOOKUP(2,1/(('Match Log'!$A$4:$A$810=367)*('Match Log'!$E$4:$E$810="Loss")),'Match Log'!$D$4:$D$810),"the field"),"")</f>
      </c>
      <c r="I391">
        <f>IF($G391="","",$G391-$A391/1000000)</f>
        <v>0</v>
      </c>
      <c r="J391">
        <v>367</v>
      </c>
      <c r="K391">
        <f>IF($J391&gt;MAX('Match Log'!$A$4:$A$810),NA(),IFERROR(LOOKUP(2,1/(('Match Log'!$D$4:$D$810=$K$24)*('Match Log'!$A$4:$A$810&lt;=$J391)),'Match Log'!$N$4:$N$810),NA()))</f>
        <v>0</v>
      </c>
      <c r="L391">
        <f>IF($J391&gt;MAX('Match Log'!$A$4:$A$810),NA(),IFERROR(LOOKUP(2,1/(('Match Log'!$D$4:$D$810=$L$24)*('Match Log'!$A$4:$A$810&lt;=$J391)),'Match Log'!$N$4:$N$810),NA()))</f>
        <v>0</v>
      </c>
      <c r="M391">
        <f>IF($J391&gt;MAX('Match Log'!$A$4:$A$810),NA(),IFERROR(LOOKUP(2,1/(('Match Log'!$D$4:$D$810=$M$24)*('Match Log'!$A$4:$A$810&lt;=$J391)),'Match Log'!$N$4:$N$810),NA()))</f>
        <v>0</v>
      </c>
      <c r="N391">
        <f>IF($J391&gt;MAX('Match Log'!$A$4:$A$810),NA(),IFERROR(LOOKUP(2,1/(('Match Log'!$D$4:$D$810=$N$24)*('Match Log'!$A$4:$A$810&lt;=$J391)),'Match Log'!$N$4:$N$810),NA()))</f>
        <v>0</v>
      </c>
      <c r="O391">
        <f>IF($J391&gt;MAX('Match Log'!$A$4:$A$810),NA(),IFERROR(LOOKUP(2,1/(('Match Log'!$D$4:$D$810=$O$24)*('Match Log'!$A$4:$A$810&lt;=$J391)),'Match Log'!$N$4:$N$810),NA()))</f>
        <v>0</v>
      </c>
      <c r="P391">
        <f>IF($J391&gt;MAX('Match Log'!$A$4:$A$810),NA(),IFERROR(LOOKUP(2,1/(('Match Log'!$D$4:$D$810=$P$24)*('Match Log'!$A$4:$A$810&lt;=$J391)),'Match Log'!$N$4:$N$810),NA()))</f>
        <v>0</v>
      </c>
      <c r="Q391">
        <f>IF($J391&gt;MAX('Match Log'!$A$4:$A$810),NA(),IFERROR(LOOKUP(2,1/(('Match Log'!$D$4:$D$810=$Q$24)*('Match Log'!$A$4:$A$810&lt;=$J391)),'Match Log'!$N$4:$N$810),NA()))</f>
        <v>0</v>
      </c>
      <c r="R391">
        <f>IF($J391&gt;MAX('Match Log'!$A$4:$A$810),NA(),IFERROR(LOOKUP(2,1/(('Match Log'!$D$4:$D$810=$R$24)*('Match Log'!$A$4:$A$810&lt;=$J391)),'Match Log'!$N$4:$N$810),NA()))</f>
        <v>0</v>
      </c>
      <c r="S391">
        <f>IF($J391&gt;MAX('Match Log'!$A$4:$A$810),NA(),IFERROR(LOOKUP(2,1/(('Match Log'!$D$4:$D$810=$S$24)*('Match Log'!$A$4:$A$810&lt;=$J391)),'Match Log'!$N$4:$N$810),NA()))</f>
        <v>0</v>
      </c>
      <c r="T391">
        <f>IF($J391&gt;MAX('Match Log'!$A$4:$A$810),NA(),IFERROR(LOOKUP(2,1/(('Match Log'!$D$4:$D$810=$T$24)*('Match Log'!$A$4:$A$810&lt;=$J391)),'Match Log'!$N$4:$N$810),NA()))</f>
        <v>0</v>
      </c>
      <c r="U391">
        <f>IF($J391&gt;MAX('Match Log'!$A$4:$A$810),NA(),IFERROR(LOOKUP(2,1/(('Match Log'!$D$4:$D$810=$U$24)*('Match Log'!$A$4:$A$810&lt;=$J391)),'Match Log'!$N$4:$N$810),NA()))</f>
        <v>0</v>
      </c>
      <c r="V391">
        <f>IF($J391&gt;MAX('Match Log'!$A$4:$A$810),NA(),IFERROR(LOOKUP(2,1/(('Match Log'!$D$4:$D$810=$V$24)*('Match Log'!$A$4:$A$810&lt;=$J391)),'Match Log'!$N$4:$N$810),NA()))</f>
        <v>0</v>
      </c>
      <c r="W391">
        <f>IF($J391&gt;MAX('Match Log'!$A$4:$A$810),NA(),IFERROR(LOOKUP(2,1/(('Match Log'!$D$4:$D$810=$W$24)*('Match Log'!$A$4:$A$810&lt;=$J391)),'Match Log'!$N$4:$N$810),NA()))</f>
        <v>0</v>
      </c>
      <c r="X391">
        <f>IF($J391&gt;MAX('Match Log'!$A$4:$A$810),NA(),IFERROR(LOOKUP(2,1/(('Match Log'!$D$4:$D$810=$X$24)*('Match Log'!$A$4:$A$810&lt;=$J391)),'Match Log'!$N$4:$N$810),NA()))</f>
        <v>0</v>
      </c>
      <c r="Y391" t="str">
        <f>IF(AND($B391&lt;&gt;"",$B391&gt;=$B$5,$I391&lt;&gt;""),$I391,"")</f>
      </c>
    </row>
    <row r="392">
      <c r="A392">
        <v>368</v>
      </c>
      <c r="B392">
        <f>IFERROR(INDEX('Match Log'!$B$4:$B$810,MATCH(368,'Match Log'!$A$4:$A$810,0)),"")</f>
        <v>0</v>
      </c>
      <c r="C392" t="str">
        <f>IFERROR(INDEX('Match Log'!$C$4:$C$810,MATCH(368,'Match Log'!$A$4:$A$810,0)),"")</f>
      </c>
      <c r="D392" t="str">
        <f>IFERROR(INDEX('Match Log'!$G$4:$G$810,MATCH(368,'Match Log'!$A$4:$A$810,0)),"")</f>
      </c>
      <c r="E392">
        <f>IFERROR(INDEX('Match Log'!$F$4:$F$810,MATCH(368,'Match Log'!$A$4:$A$810,0)),"")</f>
        <v>0</v>
      </c>
      <c r="F392">
        <f>IFERROR(SUMIFS('Match Log'!$I$4:$I$810,'Match Log'!$A$4:$A$810,368,'Match Log'!$E$4:$E$810,"Win"),"")</f>
        <v>0</v>
      </c>
      <c r="G392">
        <f>IF($D392="","",1-$F392*$E392)</f>
        <v>0</v>
      </c>
      <c r="H392" t="str">
        <f>IFERROR(IF($E392=2,LOOKUP(2,1/(('Match Log'!$A$4:$A$810=368)*('Match Log'!$E$4:$E$810="Loss")),'Match Log'!$D$4:$D$810),"the field"),"")</f>
      </c>
      <c r="I392">
        <f>IF($G392="","",$G392-$A392/1000000)</f>
        <v>0</v>
      </c>
      <c r="J392">
        <v>368</v>
      </c>
      <c r="K392">
        <f>IF($J392&gt;MAX('Match Log'!$A$4:$A$810),NA(),IFERROR(LOOKUP(2,1/(('Match Log'!$D$4:$D$810=$K$24)*('Match Log'!$A$4:$A$810&lt;=$J392)),'Match Log'!$N$4:$N$810),NA()))</f>
        <v>0</v>
      </c>
      <c r="L392">
        <f>IF($J392&gt;MAX('Match Log'!$A$4:$A$810),NA(),IFERROR(LOOKUP(2,1/(('Match Log'!$D$4:$D$810=$L$24)*('Match Log'!$A$4:$A$810&lt;=$J392)),'Match Log'!$N$4:$N$810),NA()))</f>
        <v>0</v>
      </c>
      <c r="M392">
        <f>IF($J392&gt;MAX('Match Log'!$A$4:$A$810),NA(),IFERROR(LOOKUP(2,1/(('Match Log'!$D$4:$D$810=$M$24)*('Match Log'!$A$4:$A$810&lt;=$J392)),'Match Log'!$N$4:$N$810),NA()))</f>
        <v>0</v>
      </c>
      <c r="N392">
        <f>IF($J392&gt;MAX('Match Log'!$A$4:$A$810),NA(),IFERROR(LOOKUP(2,1/(('Match Log'!$D$4:$D$810=$N$24)*('Match Log'!$A$4:$A$810&lt;=$J392)),'Match Log'!$N$4:$N$810),NA()))</f>
        <v>0</v>
      </c>
      <c r="O392">
        <f>IF($J392&gt;MAX('Match Log'!$A$4:$A$810),NA(),IFERROR(LOOKUP(2,1/(('Match Log'!$D$4:$D$810=$O$24)*('Match Log'!$A$4:$A$810&lt;=$J392)),'Match Log'!$N$4:$N$810),NA()))</f>
        <v>0</v>
      </c>
      <c r="P392">
        <f>IF($J392&gt;MAX('Match Log'!$A$4:$A$810),NA(),IFERROR(LOOKUP(2,1/(('Match Log'!$D$4:$D$810=$P$24)*('Match Log'!$A$4:$A$810&lt;=$J392)),'Match Log'!$N$4:$N$810),NA()))</f>
        <v>0</v>
      </c>
      <c r="Q392">
        <f>IF($J392&gt;MAX('Match Log'!$A$4:$A$810),NA(),IFERROR(LOOKUP(2,1/(('Match Log'!$D$4:$D$810=$Q$24)*('Match Log'!$A$4:$A$810&lt;=$J392)),'Match Log'!$N$4:$N$810),NA()))</f>
        <v>0</v>
      </c>
      <c r="R392">
        <f>IF($J392&gt;MAX('Match Log'!$A$4:$A$810),NA(),IFERROR(LOOKUP(2,1/(('Match Log'!$D$4:$D$810=$R$24)*('Match Log'!$A$4:$A$810&lt;=$J392)),'Match Log'!$N$4:$N$810),NA()))</f>
        <v>0</v>
      </c>
      <c r="S392">
        <f>IF($J392&gt;MAX('Match Log'!$A$4:$A$810),NA(),IFERROR(LOOKUP(2,1/(('Match Log'!$D$4:$D$810=$S$24)*('Match Log'!$A$4:$A$810&lt;=$J392)),'Match Log'!$N$4:$N$810),NA()))</f>
        <v>0</v>
      </c>
      <c r="T392">
        <f>IF($J392&gt;MAX('Match Log'!$A$4:$A$810),NA(),IFERROR(LOOKUP(2,1/(('Match Log'!$D$4:$D$810=$T$24)*('Match Log'!$A$4:$A$810&lt;=$J392)),'Match Log'!$N$4:$N$810),NA()))</f>
        <v>0</v>
      </c>
      <c r="U392">
        <f>IF($J392&gt;MAX('Match Log'!$A$4:$A$810),NA(),IFERROR(LOOKUP(2,1/(('Match Log'!$D$4:$D$810=$U$24)*('Match Log'!$A$4:$A$810&lt;=$J392)),'Match Log'!$N$4:$N$810),NA()))</f>
        <v>0</v>
      </c>
      <c r="V392">
        <f>IF($J392&gt;MAX('Match Log'!$A$4:$A$810),NA(),IFERROR(LOOKUP(2,1/(('Match Log'!$D$4:$D$810=$V$24)*('Match Log'!$A$4:$A$810&lt;=$J392)),'Match Log'!$N$4:$N$810),NA()))</f>
        <v>0</v>
      </c>
      <c r="W392">
        <f>IF($J392&gt;MAX('Match Log'!$A$4:$A$810),NA(),IFERROR(LOOKUP(2,1/(('Match Log'!$D$4:$D$810=$W$24)*('Match Log'!$A$4:$A$810&lt;=$J392)),'Match Log'!$N$4:$N$810),NA()))</f>
        <v>0</v>
      </c>
      <c r="X392">
        <f>IF($J392&gt;MAX('Match Log'!$A$4:$A$810),NA(),IFERROR(LOOKUP(2,1/(('Match Log'!$D$4:$D$810=$X$24)*('Match Log'!$A$4:$A$810&lt;=$J392)),'Match Log'!$N$4:$N$810),NA()))</f>
        <v>0</v>
      </c>
      <c r="Y392" t="str">
        <f>IF(AND($B392&lt;&gt;"",$B392&gt;=$B$5,$I392&lt;&gt;""),$I392,"")</f>
      </c>
    </row>
    <row r="393">
      <c r="A393">
        <v>369</v>
      </c>
      <c r="B393">
        <f>IFERROR(INDEX('Match Log'!$B$4:$B$810,MATCH(369,'Match Log'!$A$4:$A$810,0)),"")</f>
        <v>0</v>
      </c>
      <c r="C393" t="str">
        <f>IFERROR(INDEX('Match Log'!$C$4:$C$810,MATCH(369,'Match Log'!$A$4:$A$810,0)),"")</f>
      </c>
      <c r="D393" t="str">
        <f>IFERROR(INDEX('Match Log'!$G$4:$G$810,MATCH(369,'Match Log'!$A$4:$A$810,0)),"")</f>
      </c>
      <c r="E393">
        <f>IFERROR(INDEX('Match Log'!$F$4:$F$810,MATCH(369,'Match Log'!$A$4:$A$810,0)),"")</f>
        <v>0</v>
      </c>
      <c r="F393">
        <f>IFERROR(SUMIFS('Match Log'!$I$4:$I$810,'Match Log'!$A$4:$A$810,369,'Match Log'!$E$4:$E$810,"Win"),"")</f>
        <v>0</v>
      </c>
      <c r="G393">
        <f>IF($D393="","",1-$F393*$E393)</f>
        <v>0</v>
      </c>
      <c r="H393" t="str">
        <f>IFERROR(IF($E393=2,LOOKUP(2,1/(('Match Log'!$A$4:$A$810=369)*('Match Log'!$E$4:$E$810="Loss")),'Match Log'!$D$4:$D$810),"the field"),"")</f>
      </c>
      <c r="I393">
        <f>IF($G393="","",$G393-$A393/1000000)</f>
        <v>0</v>
      </c>
      <c r="J393">
        <v>369</v>
      </c>
      <c r="K393">
        <f>IF($J393&gt;MAX('Match Log'!$A$4:$A$810),NA(),IFERROR(LOOKUP(2,1/(('Match Log'!$D$4:$D$810=$K$24)*('Match Log'!$A$4:$A$810&lt;=$J393)),'Match Log'!$N$4:$N$810),NA()))</f>
        <v>0</v>
      </c>
      <c r="L393">
        <f>IF($J393&gt;MAX('Match Log'!$A$4:$A$810),NA(),IFERROR(LOOKUP(2,1/(('Match Log'!$D$4:$D$810=$L$24)*('Match Log'!$A$4:$A$810&lt;=$J393)),'Match Log'!$N$4:$N$810),NA()))</f>
        <v>0</v>
      </c>
      <c r="M393">
        <f>IF($J393&gt;MAX('Match Log'!$A$4:$A$810),NA(),IFERROR(LOOKUP(2,1/(('Match Log'!$D$4:$D$810=$M$24)*('Match Log'!$A$4:$A$810&lt;=$J393)),'Match Log'!$N$4:$N$810),NA()))</f>
        <v>0</v>
      </c>
      <c r="N393">
        <f>IF($J393&gt;MAX('Match Log'!$A$4:$A$810),NA(),IFERROR(LOOKUP(2,1/(('Match Log'!$D$4:$D$810=$N$24)*('Match Log'!$A$4:$A$810&lt;=$J393)),'Match Log'!$N$4:$N$810),NA()))</f>
        <v>0</v>
      </c>
      <c r="O393">
        <f>IF($J393&gt;MAX('Match Log'!$A$4:$A$810),NA(),IFERROR(LOOKUP(2,1/(('Match Log'!$D$4:$D$810=$O$24)*('Match Log'!$A$4:$A$810&lt;=$J393)),'Match Log'!$N$4:$N$810),NA()))</f>
        <v>0</v>
      </c>
      <c r="P393">
        <f>IF($J393&gt;MAX('Match Log'!$A$4:$A$810),NA(),IFERROR(LOOKUP(2,1/(('Match Log'!$D$4:$D$810=$P$24)*('Match Log'!$A$4:$A$810&lt;=$J393)),'Match Log'!$N$4:$N$810),NA()))</f>
        <v>0</v>
      </c>
      <c r="Q393">
        <f>IF($J393&gt;MAX('Match Log'!$A$4:$A$810),NA(),IFERROR(LOOKUP(2,1/(('Match Log'!$D$4:$D$810=$Q$24)*('Match Log'!$A$4:$A$810&lt;=$J393)),'Match Log'!$N$4:$N$810),NA()))</f>
        <v>0</v>
      </c>
      <c r="R393">
        <f>IF($J393&gt;MAX('Match Log'!$A$4:$A$810),NA(),IFERROR(LOOKUP(2,1/(('Match Log'!$D$4:$D$810=$R$24)*('Match Log'!$A$4:$A$810&lt;=$J393)),'Match Log'!$N$4:$N$810),NA()))</f>
        <v>0</v>
      </c>
      <c r="S393">
        <f>IF($J393&gt;MAX('Match Log'!$A$4:$A$810),NA(),IFERROR(LOOKUP(2,1/(('Match Log'!$D$4:$D$810=$S$24)*('Match Log'!$A$4:$A$810&lt;=$J393)),'Match Log'!$N$4:$N$810),NA()))</f>
        <v>0</v>
      </c>
      <c r="T393">
        <f>IF($J393&gt;MAX('Match Log'!$A$4:$A$810),NA(),IFERROR(LOOKUP(2,1/(('Match Log'!$D$4:$D$810=$T$24)*('Match Log'!$A$4:$A$810&lt;=$J393)),'Match Log'!$N$4:$N$810),NA()))</f>
        <v>0</v>
      </c>
      <c r="U393">
        <f>IF($J393&gt;MAX('Match Log'!$A$4:$A$810),NA(),IFERROR(LOOKUP(2,1/(('Match Log'!$D$4:$D$810=$U$24)*('Match Log'!$A$4:$A$810&lt;=$J393)),'Match Log'!$N$4:$N$810),NA()))</f>
        <v>0</v>
      </c>
      <c r="V393">
        <f>IF($J393&gt;MAX('Match Log'!$A$4:$A$810),NA(),IFERROR(LOOKUP(2,1/(('Match Log'!$D$4:$D$810=$V$24)*('Match Log'!$A$4:$A$810&lt;=$J393)),'Match Log'!$N$4:$N$810),NA()))</f>
        <v>0</v>
      </c>
      <c r="W393">
        <f>IF($J393&gt;MAX('Match Log'!$A$4:$A$810),NA(),IFERROR(LOOKUP(2,1/(('Match Log'!$D$4:$D$810=$W$24)*('Match Log'!$A$4:$A$810&lt;=$J393)),'Match Log'!$N$4:$N$810),NA()))</f>
        <v>0</v>
      </c>
      <c r="X393">
        <f>IF($J393&gt;MAX('Match Log'!$A$4:$A$810),NA(),IFERROR(LOOKUP(2,1/(('Match Log'!$D$4:$D$810=$X$24)*('Match Log'!$A$4:$A$810&lt;=$J393)),'Match Log'!$N$4:$N$810),NA()))</f>
        <v>0</v>
      </c>
      <c r="Y393" t="str">
        <f>IF(AND($B393&lt;&gt;"",$B393&gt;=$B$5,$I393&lt;&gt;""),$I393,"")</f>
      </c>
    </row>
    <row r="394">
      <c r="A394">
        <v>370</v>
      </c>
      <c r="B394">
        <f>IFERROR(INDEX('Match Log'!$B$4:$B$810,MATCH(370,'Match Log'!$A$4:$A$810,0)),"")</f>
        <v>0</v>
      </c>
      <c r="C394" t="str">
        <f>IFERROR(INDEX('Match Log'!$C$4:$C$810,MATCH(370,'Match Log'!$A$4:$A$810,0)),"")</f>
      </c>
      <c r="D394" t="str">
        <f>IFERROR(INDEX('Match Log'!$G$4:$G$810,MATCH(370,'Match Log'!$A$4:$A$810,0)),"")</f>
      </c>
      <c r="E394">
        <f>IFERROR(INDEX('Match Log'!$F$4:$F$810,MATCH(370,'Match Log'!$A$4:$A$810,0)),"")</f>
        <v>0</v>
      </c>
      <c r="F394">
        <f>IFERROR(SUMIFS('Match Log'!$I$4:$I$810,'Match Log'!$A$4:$A$810,370,'Match Log'!$E$4:$E$810,"Win"),"")</f>
        <v>0</v>
      </c>
      <c r="G394">
        <f>IF($D394="","",1-$F394*$E394)</f>
        <v>0</v>
      </c>
      <c r="H394" t="str">
        <f>IFERROR(IF($E394=2,LOOKUP(2,1/(('Match Log'!$A$4:$A$810=370)*('Match Log'!$E$4:$E$810="Loss")),'Match Log'!$D$4:$D$810),"the field"),"")</f>
      </c>
      <c r="I394">
        <f>IF($G394="","",$G394-$A394/1000000)</f>
        <v>0</v>
      </c>
      <c r="J394">
        <v>370</v>
      </c>
      <c r="K394">
        <f>IF($J394&gt;MAX('Match Log'!$A$4:$A$810),NA(),IFERROR(LOOKUP(2,1/(('Match Log'!$D$4:$D$810=$K$24)*('Match Log'!$A$4:$A$810&lt;=$J394)),'Match Log'!$N$4:$N$810),NA()))</f>
        <v>0</v>
      </c>
      <c r="L394">
        <f>IF($J394&gt;MAX('Match Log'!$A$4:$A$810),NA(),IFERROR(LOOKUP(2,1/(('Match Log'!$D$4:$D$810=$L$24)*('Match Log'!$A$4:$A$810&lt;=$J394)),'Match Log'!$N$4:$N$810),NA()))</f>
        <v>0</v>
      </c>
      <c r="M394">
        <f>IF($J394&gt;MAX('Match Log'!$A$4:$A$810),NA(),IFERROR(LOOKUP(2,1/(('Match Log'!$D$4:$D$810=$M$24)*('Match Log'!$A$4:$A$810&lt;=$J394)),'Match Log'!$N$4:$N$810),NA()))</f>
        <v>0</v>
      </c>
      <c r="N394">
        <f>IF($J394&gt;MAX('Match Log'!$A$4:$A$810),NA(),IFERROR(LOOKUP(2,1/(('Match Log'!$D$4:$D$810=$N$24)*('Match Log'!$A$4:$A$810&lt;=$J394)),'Match Log'!$N$4:$N$810),NA()))</f>
        <v>0</v>
      </c>
      <c r="O394">
        <f>IF($J394&gt;MAX('Match Log'!$A$4:$A$810),NA(),IFERROR(LOOKUP(2,1/(('Match Log'!$D$4:$D$810=$O$24)*('Match Log'!$A$4:$A$810&lt;=$J394)),'Match Log'!$N$4:$N$810),NA()))</f>
        <v>0</v>
      </c>
      <c r="P394">
        <f>IF($J394&gt;MAX('Match Log'!$A$4:$A$810),NA(),IFERROR(LOOKUP(2,1/(('Match Log'!$D$4:$D$810=$P$24)*('Match Log'!$A$4:$A$810&lt;=$J394)),'Match Log'!$N$4:$N$810),NA()))</f>
        <v>0</v>
      </c>
      <c r="Q394">
        <f>IF($J394&gt;MAX('Match Log'!$A$4:$A$810),NA(),IFERROR(LOOKUP(2,1/(('Match Log'!$D$4:$D$810=$Q$24)*('Match Log'!$A$4:$A$810&lt;=$J394)),'Match Log'!$N$4:$N$810),NA()))</f>
        <v>0</v>
      </c>
      <c r="R394">
        <f>IF($J394&gt;MAX('Match Log'!$A$4:$A$810),NA(),IFERROR(LOOKUP(2,1/(('Match Log'!$D$4:$D$810=$R$24)*('Match Log'!$A$4:$A$810&lt;=$J394)),'Match Log'!$N$4:$N$810),NA()))</f>
        <v>0</v>
      </c>
      <c r="S394">
        <f>IF($J394&gt;MAX('Match Log'!$A$4:$A$810),NA(),IFERROR(LOOKUP(2,1/(('Match Log'!$D$4:$D$810=$S$24)*('Match Log'!$A$4:$A$810&lt;=$J394)),'Match Log'!$N$4:$N$810),NA()))</f>
        <v>0</v>
      </c>
      <c r="T394">
        <f>IF($J394&gt;MAX('Match Log'!$A$4:$A$810),NA(),IFERROR(LOOKUP(2,1/(('Match Log'!$D$4:$D$810=$T$24)*('Match Log'!$A$4:$A$810&lt;=$J394)),'Match Log'!$N$4:$N$810),NA()))</f>
        <v>0</v>
      </c>
      <c r="U394">
        <f>IF($J394&gt;MAX('Match Log'!$A$4:$A$810),NA(),IFERROR(LOOKUP(2,1/(('Match Log'!$D$4:$D$810=$U$24)*('Match Log'!$A$4:$A$810&lt;=$J394)),'Match Log'!$N$4:$N$810),NA()))</f>
        <v>0</v>
      </c>
      <c r="V394">
        <f>IF($J394&gt;MAX('Match Log'!$A$4:$A$810),NA(),IFERROR(LOOKUP(2,1/(('Match Log'!$D$4:$D$810=$V$24)*('Match Log'!$A$4:$A$810&lt;=$J394)),'Match Log'!$N$4:$N$810),NA()))</f>
        <v>0</v>
      </c>
      <c r="W394">
        <f>IF($J394&gt;MAX('Match Log'!$A$4:$A$810),NA(),IFERROR(LOOKUP(2,1/(('Match Log'!$D$4:$D$810=$W$24)*('Match Log'!$A$4:$A$810&lt;=$J394)),'Match Log'!$N$4:$N$810),NA()))</f>
        <v>0</v>
      </c>
      <c r="X394">
        <f>IF($J394&gt;MAX('Match Log'!$A$4:$A$810),NA(),IFERROR(LOOKUP(2,1/(('Match Log'!$D$4:$D$810=$X$24)*('Match Log'!$A$4:$A$810&lt;=$J394)),'Match Log'!$N$4:$N$810),NA()))</f>
        <v>0</v>
      </c>
      <c r="Y394" t="str">
        <f>IF(AND($B394&lt;&gt;"",$B394&gt;=$B$5,$I394&lt;&gt;""),$I394,"")</f>
      </c>
    </row>
    <row r="395">
      <c r="A395">
        <v>371</v>
      </c>
      <c r="B395">
        <f>IFERROR(INDEX('Match Log'!$B$4:$B$810,MATCH(371,'Match Log'!$A$4:$A$810,0)),"")</f>
        <v>0</v>
      </c>
      <c r="C395" t="str">
        <f>IFERROR(INDEX('Match Log'!$C$4:$C$810,MATCH(371,'Match Log'!$A$4:$A$810,0)),"")</f>
      </c>
      <c r="D395" t="str">
        <f>IFERROR(INDEX('Match Log'!$G$4:$G$810,MATCH(371,'Match Log'!$A$4:$A$810,0)),"")</f>
      </c>
      <c r="E395">
        <f>IFERROR(INDEX('Match Log'!$F$4:$F$810,MATCH(371,'Match Log'!$A$4:$A$810,0)),"")</f>
        <v>0</v>
      </c>
      <c r="F395">
        <f>IFERROR(SUMIFS('Match Log'!$I$4:$I$810,'Match Log'!$A$4:$A$810,371,'Match Log'!$E$4:$E$810,"Win"),"")</f>
        <v>0</v>
      </c>
      <c r="G395">
        <f>IF($D395="","",1-$F395*$E395)</f>
        <v>0</v>
      </c>
      <c r="H395" t="str">
        <f>IFERROR(IF($E395=2,LOOKUP(2,1/(('Match Log'!$A$4:$A$810=371)*('Match Log'!$E$4:$E$810="Loss")),'Match Log'!$D$4:$D$810),"the field"),"")</f>
      </c>
      <c r="I395">
        <f>IF($G395="","",$G395-$A395/1000000)</f>
        <v>0</v>
      </c>
      <c r="J395">
        <v>371</v>
      </c>
      <c r="K395">
        <f>IF($J395&gt;MAX('Match Log'!$A$4:$A$810),NA(),IFERROR(LOOKUP(2,1/(('Match Log'!$D$4:$D$810=$K$24)*('Match Log'!$A$4:$A$810&lt;=$J395)),'Match Log'!$N$4:$N$810),NA()))</f>
        <v>0</v>
      </c>
      <c r="L395">
        <f>IF($J395&gt;MAX('Match Log'!$A$4:$A$810),NA(),IFERROR(LOOKUP(2,1/(('Match Log'!$D$4:$D$810=$L$24)*('Match Log'!$A$4:$A$810&lt;=$J395)),'Match Log'!$N$4:$N$810),NA()))</f>
        <v>0</v>
      </c>
      <c r="M395">
        <f>IF($J395&gt;MAX('Match Log'!$A$4:$A$810),NA(),IFERROR(LOOKUP(2,1/(('Match Log'!$D$4:$D$810=$M$24)*('Match Log'!$A$4:$A$810&lt;=$J395)),'Match Log'!$N$4:$N$810),NA()))</f>
        <v>0</v>
      </c>
      <c r="N395">
        <f>IF($J395&gt;MAX('Match Log'!$A$4:$A$810),NA(),IFERROR(LOOKUP(2,1/(('Match Log'!$D$4:$D$810=$N$24)*('Match Log'!$A$4:$A$810&lt;=$J395)),'Match Log'!$N$4:$N$810),NA()))</f>
        <v>0</v>
      </c>
      <c r="O395">
        <f>IF($J395&gt;MAX('Match Log'!$A$4:$A$810),NA(),IFERROR(LOOKUP(2,1/(('Match Log'!$D$4:$D$810=$O$24)*('Match Log'!$A$4:$A$810&lt;=$J395)),'Match Log'!$N$4:$N$810),NA()))</f>
        <v>0</v>
      </c>
      <c r="P395">
        <f>IF($J395&gt;MAX('Match Log'!$A$4:$A$810),NA(),IFERROR(LOOKUP(2,1/(('Match Log'!$D$4:$D$810=$P$24)*('Match Log'!$A$4:$A$810&lt;=$J395)),'Match Log'!$N$4:$N$810),NA()))</f>
        <v>0</v>
      </c>
      <c r="Q395">
        <f>IF($J395&gt;MAX('Match Log'!$A$4:$A$810),NA(),IFERROR(LOOKUP(2,1/(('Match Log'!$D$4:$D$810=$Q$24)*('Match Log'!$A$4:$A$810&lt;=$J395)),'Match Log'!$N$4:$N$810),NA()))</f>
        <v>0</v>
      </c>
      <c r="R395">
        <f>IF($J395&gt;MAX('Match Log'!$A$4:$A$810),NA(),IFERROR(LOOKUP(2,1/(('Match Log'!$D$4:$D$810=$R$24)*('Match Log'!$A$4:$A$810&lt;=$J395)),'Match Log'!$N$4:$N$810),NA()))</f>
        <v>0</v>
      </c>
      <c r="S395">
        <f>IF($J395&gt;MAX('Match Log'!$A$4:$A$810),NA(),IFERROR(LOOKUP(2,1/(('Match Log'!$D$4:$D$810=$S$24)*('Match Log'!$A$4:$A$810&lt;=$J395)),'Match Log'!$N$4:$N$810),NA()))</f>
        <v>0</v>
      </c>
      <c r="T395">
        <f>IF($J395&gt;MAX('Match Log'!$A$4:$A$810),NA(),IFERROR(LOOKUP(2,1/(('Match Log'!$D$4:$D$810=$T$24)*('Match Log'!$A$4:$A$810&lt;=$J395)),'Match Log'!$N$4:$N$810),NA()))</f>
        <v>0</v>
      </c>
      <c r="U395">
        <f>IF($J395&gt;MAX('Match Log'!$A$4:$A$810),NA(),IFERROR(LOOKUP(2,1/(('Match Log'!$D$4:$D$810=$U$24)*('Match Log'!$A$4:$A$810&lt;=$J395)),'Match Log'!$N$4:$N$810),NA()))</f>
        <v>0</v>
      </c>
      <c r="V395">
        <f>IF($J395&gt;MAX('Match Log'!$A$4:$A$810),NA(),IFERROR(LOOKUP(2,1/(('Match Log'!$D$4:$D$810=$V$24)*('Match Log'!$A$4:$A$810&lt;=$J395)),'Match Log'!$N$4:$N$810),NA()))</f>
        <v>0</v>
      </c>
      <c r="W395">
        <f>IF($J395&gt;MAX('Match Log'!$A$4:$A$810),NA(),IFERROR(LOOKUP(2,1/(('Match Log'!$D$4:$D$810=$W$24)*('Match Log'!$A$4:$A$810&lt;=$J395)),'Match Log'!$N$4:$N$810),NA()))</f>
        <v>0</v>
      </c>
      <c r="X395">
        <f>IF($J395&gt;MAX('Match Log'!$A$4:$A$810),NA(),IFERROR(LOOKUP(2,1/(('Match Log'!$D$4:$D$810=$X$24)*('Match Log'!$A$4:$A$810&lt;=$J395)),'Match Log'!$N$4:$N$810),NA()))</f>
        <v>0</v>
      </c>
      <c r="Y395" t="str">
        <f>IF(AND($B395&lt;&gt;"",$B395&gt;=$B$5,$I395&lt;&gt;""),$I395,"")</f>
      </c>
    </row>
    <row r="396">
      <c r="A396">
        <v>372</v>
      </c>
      <c r="B396">
        <f>IFERROR(INDEX('Match Log'!$B$4:$B$810,MATCH(372,'Match Log'!$A$4:$A$810,0)),"")</f>
        <v>0</v>
      </c>
      <c r="C396" t="str">
        <f>IFERROR(INDEX('Match Log'!$C$4:$C$810,MATCH(372,'Match Log'!$A$4:$A$810,0)),"")</f>
      </c>
      <c r="D396" t="str">
        <f>IFERROR(INDEX('Match Log'!$G$4:$G$810,MATCH(372,'Match Log'!$A$4:$A$810,0)),"")</f>
      </c>
      <c r="E396">
        <f>IFERROR(INDEX('Match Log'!$F$4:$F$810,MATCH(372,'Match Log'!$A$4:$A$810,0)),"")</f>
        <v>0</v>
      </c>
      <c r="F396">
        <f>IFERROR(SUMIFS('Match Log'!$I$4:$I$810,'Match Log'!$A$4:$A$810,372,'Match Log'!$E$4:$E$810,"Win"),"")</f>
        <v>0</v>
      </c>
      <c r="G396">
        <f>IF($D396="","",1-$F396*$E396)</f>
        <v>0</v>
      </c>
      <c r="H396" t="str">
        <f>IFERROR(IF($E396=2,LOOKUP(2,1/(('Match Log'!$A$4:$A$810=372)*('Match Log'!$E$4:$E$810="Loss")),'Match Log'!$D$4:$D$810),"the field"),"")</f>
      </c>
      <c r="I396">
        <f>IF($G396="","",$G396-$A396/1000000)</f>
        <v>0</v>
      </c>
      <c r="J396">
        <v>372</v>
      </c>
      <c r="K396">
        <f>IF($J396&gt;MAX('Match Log'!$A$4:$A$810),NA(),IFERROR(LOOKUP(2,1/(('Match Log'!$D$4:$D$810=$K$24)*('Match Log'!$A$4:$A$810&lt;=$J396)),'Match Log'!$N$4:$N$810),NA()))</f>
        <v>0</v>
      </c>
      <c r="L396">
        <f>IF($J396&gt;MAX('Match Log'!$A$4:$A$810),NA(),IFERROR(LOOKUP(2,1/(('Match Log'!$D$4:$D$810=$L$24)*('Match Log'!$A$4:$A$810&lt;=$J396)),'Match Log'!$N$4:$N$810),NA()))</f>
        <v>0</v>
      </c>
      <c r="M396">
        <f>IF($J396&gt;MAX('Match Log'!$A$4:$A$810),NA(),IFERROR(LOOKUP(2,1/(('Match Log'!$D$4:$D$810=$M$24)*('Match Log'!$A$4:$A$810&lt;=$J396)),'Match Log'!$N$4:$N$810),NA()))</f>
        <v>0</v>
      </c>
      <c r="N396">
        <f>IF($J396&gt;MAX('Match Log'!$A$4:$A$810),NA(),IFERROR(LOOKUP(2,1/(('Match Log'!$D$4:$D$810=$N$24)*('Match Log'!$A$4:$A$810&lt;=$J396)),'Match Log'!$N$4:$N$810),NA()))</f>
        <v>0</v>
      </c>
      <c r="O396">
        <f>IF($J396&gt;MAX('Match Log'!$A$4:$A$810),NA(),IFERROR(LOOKUP(2,1/(('Match Log'!$D$4:$D$810=$O$24)*('Match Log'!$A$4:$A$810&lt;=$J396)),'Match Log'!$N$4:$N$810),NA()))</f>
        <v>0</v>
      </c>
      <c r="P396">
        <f>IF($J396&gt;MAX('Match Log'!$A$4:$A$810),NA(),IFERROR(LOOKUP(2,1/(('Match Log'!$D$4:$D$810=$P$24)*('Match Log'!$A$4:$A$810&lt;=$J396)),'Match Log'!$N$4:$N$810),NA()))</f>
        <v>0</v>
      </c>
      <c r="Q396">
        <f>IF($J396&gt;MAX('Match Log'!$A$4:$A$810),NA(),IFERROR(LOOKUP(2,1/(('Match Log'!$D$4:$D$810=$Q$24)*('Match Log'!$A$4:$A$810&lt;=$J396)),'Match Log'!$N$4:$N$810),NA()))</f>
        <v>0</v>
      </c>
      <c r="R396">
        <f>IF($J396&gt;MAX('Match Log'!$A$4:$A$810),NA(),IFERROR(LOOKUP(2,1/(('Match Log'!$D$4:$D$810=$R$24)*('Match Log'!$A$4:$A$810&lt;=$J396)),'Match Log'!$N$4:$N$810),NA()))</f>
        <v>0</v>
      </c>
      <c r="S396">
        <f>IF($J396&gt;MAX('Match Log'!$A$4:$A$810),NA(),IFERROR(LOOKUP(2,1/(('Match Log'!$D$4:$D$810=$S$24)*('Match Log'!$A$4:$A$810&lt;=$J396)),'Match Log'!$N$4:$N$810),NA()))</f>
        <v>0</v>
      </c>
      <c r="T396">
        <f>IF($J396&gt;MAX('Match Log'!$A$4:$A$810),NA(),IFERROR(LOOKUP(2,1/(('Match Log'!$D$4:$D$810=$T$24)*('Match Log'!$A$4:$A$810&lt;=$J396)),'Match Log'!$N$4:$N$810),NA()))</f>
        <v>0</v>
      </c>
      <c r="U396">
        <f>IF($J396&gt;MAX('Match Log'!$A$4:$A$810),NA(),IFERROR(LOOKUP(2,1/(('Match Log'!$D$4:$D$810=$U$24)*('Match Log'!$A$4:$A$810&lt;=$J396)),'Match Log'!$N$4:$N$810),NA()))</f>
        <v>0</v>
      </c>
      <c r="V396">
        <f>IF($J396&gt;MAX('Match Log'!$A$4:$A$810),NA(),IFERROR(LOOKUP(2,1/(('Match Log'!$D$4:$D$810=$V$24)*('Match Log'!$A$4:$A$810&lt;=$J396)),'Match Log'!$N$4:$N$810),NA()))</f>
        <v>0</v>
      </c>
      <c r="W396">
        <f>IF($J396&gt;MAX('Match Log'!$A$4:$A$810),NA(),IFERROR(LOOKUP(2,1/(('Match Log'!$D$4:$D$810=$W$24)*('Match Log'!$A$4:$A$810&lt;=$J396)),'Match Log'!$N$4:$N$810),NA()))</f>
        <v>0</v>
      </c>
      <c r="X396">
        <f>IF($J396&gt;MAX('Match Log'!$A$4:$A$810),NA(),IFERROR(LOOKUP(2,1/(('Match Log'!$D$4:$D$810=$X$24)*('Match Log'!$A$4:$A$810&lt;=$J396)),'Match Log'!$N$4:$N$810),NA()))</f>
        <v>0</v>
      </c>
      <c r="Y396" t="str">
        <f>IF(AND($B396&lt;&gt;"",$B396&gt;=$B$5,$I396&lt;&gt;""),$I396,"")</f>
      </c>
    </row>
    <row r="397">
      <c r="A397">
        <v>373</v>
      </c>
      <c r="B397">
        <f>IFERROR(INDEX('Match Log'!$B$4:$B$810,MATCH(373,'Match Log'!$A$4:$A$810,0)),"")</f>
        <v>0</v>
      </c>
      <c r="C397" t="str">
        <f>IFERROR(INDEX('Match Log'!$C$4:$C$810,MATCH(373,'Match Log'!$A$4:$A$810,0)),"")</f>
      </c>
      <c r="D397" t="str">
        <f>IFERROR(INDEX('Match Log'!$G$4:$G$810,MATCH(373,'Match Log'!$A$4:$A$810,0)),"")</f>
      </c>
      <c r="E397">
        <f>IFERROR(INDEX('Match Log'!$F$4:$F$810,MATCH(373,'Match Log'!$A$4:$A$810,0)),"")</f>
        <v>0</v>
      </c>
      <c r="F397">
        <f>IFERROR(SUMIFS('Match Log'!$I$4:$I$810,'Match Log'!$A$4:$A$810,373,'Match Log'!$E$4:$E$810,"Win"),"")</f>
        <v>0</v>
      </c>
      <c r="G397">
        <f>IF($D397="","",1-$F397*$E397)</f>
        <v>0</v>
      </c>
      <c r="H397" t="str">
        <f>IFERROR(IF($E397=2,LOOKUP(2,1/(('Match Log'!$A$4:$A$810=373)*('Match Log'!$E$4:$E$810="Loss")),'Match Log'!$D$4:$D$810),"the field"),"")</f>
      </c>
      <c r="I397">
        <f>IF($G397="","",$G397-$A397/1000000)</f>
        <v>0</v>
      </c>
      <c r="J397">
        <v>373</v>
      </c>
      <c r="K397">
        <f>IF($J397&gt;MAX('Match Log'!$A$4:$A$810),NA(),IFERROR(LOOKUP(2,1/(('Match Log'!$D$4:$D$810=$K$24)*('Match Log'!$A$4:$A$810&lt;=$J397)),'Match Log'!$N$4:$N$810),NA()))</f>
        <v>0</v>
      </c>
      <c r="L397">
        <f>IF($J397&gt;MAX('Match Log'!$A$4:$A$810),NA(),IFERROR(LOOKUP(2,1/(('Match Log'!$D$4:$D$810=$L$24)*('Match Log'!$A$4:$A$810&lt;=$J397)),'Match Log'!$N$4:$N$810),NA()))</f>
        <v>0</v>
      </c>
      <c r="M397">
        <f>IF($J397&gt;MAX('Match Log'!$A$4:$A$810),NA(),IFERROR(LOOKUP(2,1/(('Match Log'!$D$4:$D$810=$M$24)*('Match Log'!$A$4:$A$810&lt;=$J397)),'Match Log'!$N$4:$N$810),NA()))</f>
        <v>0</v>
      </c>
      <c r="N397">
        <f>IF($J397&gt;MAX('Match Log'!$A$4:$A$810),NA(),IFERROR(LOOKUP(2,1/(('Match Log'!$D$4:$D$810=$N$24)*('Match Log'!$A$4:$A$810&lt;=$J397)),'Match Log'!$N$4:$N$810),NA()))</f>
        <v>0</v>
      </c>
      <c r="O397">
        <f>IF($J397&gt;MAX('Match Log'!$A$4:$A$810),NA(),IFERROR(LOOKUP(2,1/(('Match Log'!$D$4:$D$810=$O$24)*('Match Log'!$A$4:$A$810&lt;=$J397)),'Match Log'!$N$4:$N$810),NA()))</f>
        <v>0</v>
      </c>
      <c r="P397">
        <f>IF($J397&gt;MAX('Match Log'!$A$4:$A$810),NA(),IFERROR(LOOKUP(2,1/(('Match Log'!$D$4:$D$810=$P$24)*('Match Log'!$A$4:$A$810&lt;=$J397)),'Match Log'!$N$4:$N$810),NA()))</f>
        <v>0</v>
      </c>
      <c r="Q397">
        <f>IF($J397&gt;MAX('Match Log'!$A$4:$A$810),NA(),IFERROR(LOOKUP(2,1/(('Match Log'!$D$4:$D$810=$Q$24)*('Match Log'!$A$4:$A$810&lt;=$J397)),'Match Log'!$N$4:$N$810),NA()))</f>
        <v>0</v>
      </c>
      <c r="R397">
        <f>IF($J397&gt;MAX('Match Log'!$A$4:$A$810),NA(),IFERROR(LOOKUP(2,1/(('Match Log'!$D$4:$D$810=$R$24)*('Match Log'!$A$4:$A$810&lt;=$J397)),'Match Log'!$N$4:$N$810),NA()))</f>
        <v>0</v>
      </c>
      <c r="S397">
        <f>IF($J397&gt;MAX('Match Log'!$A$4:$A$810),NA(),IFERROR(LOOKUP(2,1/(('Match Log'!$D$4:$D$810=$S$24)*('Match Log'!$A$4:$A$810&lt;=$J397)),'Match Log'!$N$4:$N$810),NA()))</f>
        <v>0</v>
      </c>
      <c r="T397">
        <f>IF($J397&gt;MAX('Match Log'!$A$4:$A$810),NA(),IFERROR(LOOKUP(2,1/(('Match Log'!$D$4:$D$810=$T$24)*('Match Log'!$A$4:$A$810&lt;=$J397)),'Match Log'!$N$4:$N$810),NA()))</f>
        <v>0</v>
      </c>
      <c r="U397">
        <f>IF($J397&gt;MAX('Match Log'!$A$4:$A$810),NA(),IFERROR(LOOKUP(2,1/(('Match Log'!$D$4:$D$810=$U$24)*('Match Log'!$A$4:$A$810&lt;=$J397)),'Match Log'!$N$4:$N$810),NA()))</f>
        <v>0</v>
      </c>
      <c r="V397">
        <f>IF($J397&gt;MAX('Match Log'!$A$4:$A$810),NA(),IFERROR(LOOKUP(2,1/(('Match Log'!$D$4:$D$810=$V$24)*('Match Log'!$A$4:$A$810&lt;=$J397)),'Match Log'!$N$4:$N$810),NA()))</f>
        <v>0</v>
      </c>
      <c r="W397">
        <f>IF($J397&gt;MAX('Match Log'!$A$4:$A$810),NA(),IFERROR(LOOKUP(2,1/(('Match Log'!$D$4:$D$810=$W$24)*('Match Log'!$A$4:$A$810&lt;=$J397)),'Match Log'!$N$4:$N$810),NA()))</f>
        <v>0</v>
      </c>
      <c r="X397">
        <f>IF($J397&gt;MAX('Match Log'!$A$4:$A$810),NA(),IFERROR(LOOKUP(2,1/(('Match Log'!$D$4:$D$810=$X$24)*('Match Log'!$A$4:$A$810&lt;=$J397)),'Match Log'!$N$4:$N$810),NA()))</f>
        <v>0</v>
      </c>
      <c r="Y397" t="str">
        <f>IF(AND($B397&lt;&gt;"",$B397&gt;=$B$5,$I397&lt;&gt;""),$I397,"")</f>
      </c>
    </row>
    <row r="398">
      <c r="A398">
        <v>374</v>
      </c>
      <c r="B398">
        <f>IFERROR(INDEX('Match Log'!$B$4:$B$810,MATCH(374,'Match Log'!$A$4:$A$810,0)),"")</f>
        <v>0</v>
      </c>
      <c r="C398" t="str">
        <f>IFERROR(INDEX('Match Log'!$C$4:$C$810,MATCH(374,'Match Log'!$A$4:$A$810,0)),"")</f>
      </c>
      <c r="D398" t="str">
        <f>IFERROR(INDEX('Match Log'!$G$4:$G$810,MATCH(374,'Match Log'!$A$4:$A$810,0)),"")</f>
      </c>
      <c r="E398">
        <f>IFERROR(INDEX('Match Log'!$F$4:$F$810,MATCH(374,'Match Log'!$A$4:$A$810,0)),"")</f>
        <v>0</v>
      </c>
      <c r="F398">
        <f>IFERROR(SUMIFS('Match Log'!$I$4:$I$810,'Match Log'!$A$4:$A$810,374,'Match Log'!$E$4:$E$810,"Win"),"")</f>
        <v>0</v>
      </c>
      <c r="G398">
        <f>IF($D398="","",1-$F398*$E398)</f>
        <v>0</v>
      </c>
      <c r="H398" t="str">
        <f>IFERROR(IF($E398=2,LOOKUP(2,1/(('Match Log'!$A$4:$A$810=374)*('Match Log'!$E$4:$E$810="Loss")),'Match Log'!$D$4:$D$810),"the field"),"")</f>
      </c>
      <c r="I398">
        <f>IF($G398="","",$G398-$A398/1000000)</f>
        <v>0</v>
      </c>
      <c r="J398">
        <v>374</v>
      </c>
      <c r="K398">
        <f>IF($J398&gt;MAX('Match Log'!$A$4:$A$810),NA(),IFERROR(LOOKUP(2,1/(('Match Log'!$D$4:$D$810=$K$24)*('Match Log'!$A$4:$A$810&lt;=$J398)),'Match Log'!$N$4:$N$810),NA()))</f>
        <v>0</v>
      </c>
      <c r="L398">
        <f>IF($J398&gt;MAX('Match Log'!$A$4:$A$810),NA(),IFERROR(LOOKUP(2,1/(('Match Log'!$D$4:$D$810=$L$24)*('Match Log'!$A$4:$A$810&lt;=$J398)),'Match Log'!$N$4:$N$810),NA()))</f>
        <v>0</v>
      </c>
      <c r="M398">
        <f>IF($J398&gt;MAX('Match Log'!$A$4:$A$810),NA(),IFERROR(LOOKUP(2,1/(('Match Log'!$D$4:$D$810=$M$24)*('Match Log'!$A$4:$A$810&lt;=$J398)),'Match Log'!$N$4:$N$810),NA()))</f>
        <v>0</v>
      </c>
      <c r="N398">
        <f>IF($J398&gt;MAX('Match Log'!$A$4:$A$810),NA(),IFERROR(LOOKUP(2,1/(('Match Log'!$D$4:$D$810=$N$24)*('Match Log'!$A$4:$A$810&lt;=$J398)),'Match Log'!$N$4:$N$810),NA()))</f>
        <v>0</v>
      </c>
      <c r="O398">
        <f>IF($J398&gt;MAX('Match Log'!$A$4:$A$810),NA(),IFERROR(LOOKUP(2,1/(('Match Log'!$D$4:$D$810=$O$24)*('Match Log'!$A$4:$A$810&lt;=$J398)),'Match Log'!$N$4:$N$810),NA()))</f>
        <v>0</v>
      </c>
      <c r="P398">
        <f>IF($J398&gt;MAX('Match Log'!$A$4:$A$810),NA(),IFERROR(LOOKUP(2,1/(('Match Log'!$D$4:$D$810=$P$24)*('Match Log'!$A$4:$A$810&lt;=$J398)),'Match Log'!$N$4:$N$810),NA()))</f>
        <v>0</v>
      </c>
      <c r="Q398">
        <f>IF($J398&gt;MAX('Match Log'!$A$4:$A$810),NA(),IFERROR(LOOKUP(2,1/(('Match Log'!$D$4:$D$810=$Q$24)*('Match Log'!$A$4:$A$810&lt;=$J398)),'Match Log'!$N$4:$N$810),NA()))</f>
        <v>0</v>
      </c>
      <c r="R398">
        <f>IF($J398&gt;MAX('Match Log'!$A$4:$A$810),NA(),IFERROR(LOOKUP(2,1/(('Match Log'!$D$4:$D$810=$R$24)*('Match Log'!$A$4:$A$810&lt;=$J398)),'Match Log'!$N$4:$N$810),NA()))</f>
        <v>0</v>
      </c>
      <c r="S398">
        <f>IF($J398&gt;MAX('Match Log'!$A$4:$A$810),NA(),IFERROR(LOOKUP(2,1/(('Match Log'!$D$4:$D$810=$S$24)*('Match Log'!$A$4:$A$810&lt;=$J398)),'Match Log'!$N$4:$N$810),NA()))</f>
        <v>0</v>
      </c>
      <c r="T398">
        <f>IF($J398&gt;MAX('Match Log'!$A$4:$A$810),NA(),IFERROR(LOOKUP(2,1/(('Match Log'!$D$4:$D$810=$T$24)*('Match Log'!$A$4:$A$810&lt;=$J398)),'Match Log'!$N$4:$N$810),NA()))</f>
        <v>0</v>
      </c>
      <c r="U398">
        <f>IF($J398&gt;MAX('Match Log'!$A$4:$A$810),NA(),IFERROR(LOOKUP(2,1/(('Match Log'!$D$4:$D$810=$U$24)*('Match Log'!$A$4:$A$810&lt;=$J398)),'Match Log'!$N$4:$N$810),NA()))</f>
        <v>0</v>
      </c>
      <c r="V398">
        <f>IF($J398&gt;MAX('Match Log'!$A$4:$A$810),NA(),IFERROR(LOOKUP(2,1/(('Match Log'!$D$4:$D$810=$V$24)*('Match Log'!$A$4:$A$810&lt;=$J398)),'Match Log'!$N$4:$N$810),NA()))</f>
        <v>0</v>
      </c>
      <c r="W398">
        <f>IF($J398&gt;MAX('Match Log'!$A$4:$A$810),NA(),IFERROR(LOOKUP(2,1/(('Match Log'!$D$4:$D$810=$W$24)*('Match Log'!$A$4:$A$810&lt;=$J398)),'Match Log'!$N$4:$N$810),NA()))</f>
        <v>0</v>
      </c>
      <c r="X398">
        <f>IF($J398&gt;MAX('Match Log'!$A$4:$A$810),NA(),IFERROR(LOOKUP(2,1/(('Match Log'!$D$4:$D$810=$X$24)*('Match Log'!$A$4:$A$810&lt;=$J398)),'Match Log'!$N$4:$N$810),NA()))</f>
        <v>0</v>
      </c>
      <c r="Y398" t="str">
        <f>IF(AND($B398&lt;&gt;"",$B398&gt;=$B$5,$I398&lt;&gt;""),$I398,"")</f>
      </c>
    </row>
    <row r="399">
      <c r="A399">
        <v>375</v>
      </c>
      <c r="B399">
        <f>IFERROR(INDEX('Match Log'!$B$4:$B$810,MATCH(375,'Match Log'!$A$4:$A$810,0)),"")</f>
        <v>0</v>
      </c>
      <c r="C399" t="str">
        <f>IFERROR(INDEX('Match Log'!$C$4:$C$810,MATCH(375,'Match Log'!$A$4:$A$810,0)),"")</f>
      </c>
      <c r="D399" t="str">
        <f>IFERROR(INDEX('Match Log'!$G$4:$G$810,MATCH(375,'Match Log'!$A$4:$A$810,0)),"")</f>
      </c>
      <c r="E399">
        <f>IFERROR(INDEX('Match Log'!$F$4:$F$810,MATCH(375,'Match Log'!$A$4:$A$810,0)),"")</f>
        <v>0</v>
      </c>
      <c r="F399">
        <f>IFERROR(SUMIFS('Match Log'!$I$4:$I$810,'Match Log'!$A$4:$A$810,375,'Match Log'!$E$4:$E$810,"Win"),"")</f>
        <v>0</v>
      </c>
      <c r="G399">
        <f>IF($D399="","",1-$F399*$E399)</f>
        <v>0</v>
      </c>
      <c r="H399" t="str">
        <f>IFERROR(IF($E399=2,LOOKUP(2,1/(('Match Log'!$A$4:$A$810=375)*('Match Log'!$E$4:$E$810="Loss")),'Match Log'!$D$4:$D$810),"the field"),"")</f>
      </c>
      <c r="I399">
        <f>IF($G399="","",$G399-$A399/1000000)</f>
        <v>0</v>
      </c>
      <c r="J399">
        <v>375</v>
      </c>
      <c r="K399">
        <f>IF($J399&gt;MAX('Match Log'!$A$4:$A$810),NA(),IFERROR(LOOKUP(2,1/(('Match Log'!$D$4:$D$810=$K$24)*('Match Log'!$A$4:$A$810&lt;=$J399)),'Match Log'!$N$4:$N$810),NA()))</f>
        <v>0</v>
      </c>
      <c r="L399">
        <f>IF($J399&gt;MAX('Match Log'!$A$4:$A$810),NA(),IFERROR(LOOKUP(2,1/(('Match Log'!$D$4:$D$810=$L$24)*('Match Log'!$A$4:$A$810&lt;=$J399)),'Match Log'!$N$4:$N$810),NA()))</f>
        <v>0</v>
      </c>
      <c r="M399">
        <f>IF($J399&gt;MAX('Match Log'!$A$4:$A$810),NA(),IFERROR(LOOKUP(2,1/(('Match Log'!$D$4:$D$810=$M$24)*('Match Log'!$A$4:$A$810&lt;=$J399)),'Match Log'!$N$4:$N$810),NA()))</f>
        <v>0</v>
      </c>
      <c r="N399">
        <f>IF($J399&gt;MAX('Match Log'!$A$4:$A$810),NA(),IFERROR(LOOKUP(2,1/(('Match Log'!$D$4:$D$810=$N$24)*('Match Log'!$A$4:$A$810&lt;=$J399)),'Match Log'!$N$4:$N$810),NA()))</f>
        <v>0</v>
      </c>
      <c r="O399">
        <f>IF($J399&gt;MAX('Match Log'!$A$4:$A$810),NA(),IFERROR(LOOKUP(2,1/(('Match Log'!$D$4:$D$810=$O$24)*('Match Log'!$A$4:$A$810&lt;=$J399)),'Match Log'!$N$4:$N$810),NA()))</f>
        <v>0</v>
      </c>
      <c r="P399">
        <f>IF($J399&gt;MAX('Match Log'!$A$4:$A$810),NA(),IFERROR(LOOKUP(2,1/(('Match Log'!$D$4:$D$810=$P$24)*('Match Log'!$A$4:$A$810&lt;=$J399)),'Match Log'!$N$4:$N$810),NA()))</f>
        <v>0</v>
      </c>
      <c r="Q399">
        <f>IF($J399&gt;MAX('Match Log'!$A$4:$A$810),NA(),IFERROR(LOOKUP(2,1/(('Match Log'!$D$4:$D$810=$Q$24)*('Match Log'!$A$4:$A$810&lt;=$J399)),'Match Log'!$N$4:$N$810),NA()))</f>
        <v>0</v>
      </c>
      <c r="R399">
        <f>IF($J399&gt;MAX('Match Log'!$A$4:$A$810),NA(),IFERROR(LOOKUP(2,1/(('Match Log'!$D$4:$D$810=$R$24)*('Match Log'!$A$4:$A$810&lt;=$J399)),'Match Log'!$N$4:$N$810),NA()))</f>
        <v>0</v>
      </c>
      <c r="S399">
        <f>IF($J399&gt;MAX('Match Log'!$A$4:$A$810),NA(),IFERROR(LOOKUP(2,1/(('Match Log'!$D$4:$D$810=$S$24)*('Match Log'!$A$4:$A$810&lt;=$J399)),'Match Log'!$N$4:$N$810),NA()))</f>
        <v>0</v>
      </c>
      <c r="T399">
        <f>IF($J399&gt;MAX('Match Log'!$A$4:$A$810),NA(),IFERROR(LOOKUP(2,1/(('Match Log'!$D$4:$D$810=$T$24)*('Match Log'!$A$4:$A$810&lt;=$J399)),'Match Log'!$N$4:$N$810),NA()))</f>
        <v>0</v>
      </c>
      <c r="U399">
        <f>IF($J399&gt;MAX('Match Log'!$A$4:$A$810),NA(),IFERROR(LOOKUP(2,1/(('Match Log'!$D$4:$D$810=$U$24)*('Match Log'!$A$4:$A$810&lt;=$J399)),'Match Log'!$N$4:$N$810),NA()))</f>
        <v>0</v>
      </c>
      <c r="V399">
        <f>IF($J399&gt;MAX('Match Log'!$A$4:$A$810),NA(),IFERROR(LOOKUP(2,1/(('Match Log'!$D$4:$D$810=$V$24)*('Match Log'!$A$4:$A$810&lt;=$J399)),'Match Log'!$N$4:$N$810),NA()))</f>
        <v>0</v>
      </c>
      <c r="W399">
        <f>IF($J399&gt;MAX('Match Log'!$A$4:$A$810),NA(),IFERROR(LOOKUP(2,1/(('Match Log'!$D$4:$D$810=$W$24)*('Match Log'!$A$4:$A$810&lt;=$J399)),'Match Log'!$N$4:$N$810),NA()))</f>
        <v>0</v>
      </c>
      <c r="X399">
        <f>IF($J399&gt;MAX('Match Log'!$A$4:$A$810),NA(),IFERROR(LOOKUP(2,1/(('Match Log'!$D$4:$D$810=$X$24)*('Match Log'!$A$4:$A$810&lt;=$J399)),'Match Log'!$N$4:$N$810),NA()))</f>
        <v>0</v>
      </c>
      <c r="Y399" t="str">
        <f>IF(AND($B399&lt;&gt;"",$B399&gt;=$B$5,$I399&lt;&gt;""),$I399,"")</f>
      </c>
    </row>
    <row r="400">
      <c r="A400">
        <v>376</v>
      </c>
      <c r="B400">
        <f>IFERROR(INDEX('Match Log'!$B$4:$B$810,MATCH(376,'Match Log'!$A$4:$A$810,0)),"")</f>
        <v>0</v>
      </c>
      <c r="C400" t="str">
        <f>IFERROR(INDEX('Match Log'!$C$4:$C$810,MATCH(376,'Match Log'!$A$4:$A$810,0)),"")</f>
      </c>
      <c r="D400" t="str">
        <f>IFERROR(INDEX('Match Log'!$G$4:$G$810,MATCH(376,'Match Log'!$A$4:$A$810,0)),"")</f>
      </c>
      <c r="E400">
        <f>IFERROR(INDEX('Match Log'!$F$4:$F$810,MATCH(376,'Match Log'!$A$4:$A$810,0)),"")</f>
        <v>0</v>
      </c>
      <c r="F400">
        <f>IFERROR(SUMIFS('Match Log'!$I$4:$I$810,'Match Log'!$A$4:$A$810,376,'Match Log'!$E$4:$E$810,"Win"),"")</f>
        <v>0</v>
      </c>
      <c r="G400">
        <f>IF($D400="","",1-$F400*$E400)</f>
        <v>0</v>
      </c>
      <c r="H400" t="str">
        <f>IFERROR(IF($E400=2,LOOKUP(2,1/(('Match Log'!$A$4:$A$810=376)*('Match Log'!$E$4:$E$810="Loss")),'Match Log'!$D$4:$D$810),"the field"),"")</f>
      </c>
      <c r="I400">
        <f>IF($G400="","",$G400-$A400/1000000)</f>
        <v>0</v>
      </c>
      <c r="J400">
        <v>376</v>
      </c>
      <c r="K400">
        <f>IF($J400&gt;MAX('Match Log'!$A$4:$A$810),NA(),IFERROR(LOOKUP(2,1/(('Match Log'!$D$4:$D$810=$K$24)*('Match Log'!$A$4:$A$810&lt;=$J400)),'Match Log'!$N$4:$N$810),NA()))</f>
        <v>0</v>
      </c>
      <c r="L400">
        <f>IF($J400&gt;MAX('Match Log'!$A$4:$A$810),NA(),IFERROR(LOOKUP(2,1/(('Match Log'!$D$4:$D$810=$L$24)*('Match Log'!$A$4:$A$810&lt;=$J400)),'Match Log'!$N$4:$N$810),NA()))</f>
        <v>0</v>
      </c>
      <c r="M400">
        <f>IF($J400&gt;MAX('Match Log'!$A$4:$A$810),NA(),IFERROR(LOOKUP(2,1/(('Match Log'!$D$4:$D$810=$M$24)*('Match Log'!$A$4:$A$810&lt;=$J400)),'Match Log'!$N$4:$N$810),NA()))</f>
        <v>0</v>
      </c>
      <c r="N400">
        <f>IF($J400&gt;MAX('Match Log'!$A$4:$A$810),NA(),IFERROR(LOOKUP(2,1/(('Match Log'!$D$4:$D$810=$N$24)*('Match Log'!$A$4:$A$810&lt;=$J400)),'Match Log'!$N$4:$N$810),NA()))</f>
        <v>0</v>
      </c>
      <c r="O400">
        <f>IF($J400&gt;MAX('Match Log'!$A$4:$A$810),NA(),IFERROR(LOOKUP(2,1/(('Match Log'!$D$4:$D$810=$O$24)*('Match Log'!$A$4:$A$810&lt;=$J400)),'Match Log'!$N$4:$N$810),NA()))</f>
        <v>0</v>
      </c>
      <c r="P400">
        <f>IF($J400&gt;MAX('Match Log'!$A$4:$A$810),NA(),IFERROR(LOOKUP(2,1/(('Match Log'!$D$4:$D$810=$P$24)*('Match Log'!$A$4:$A$810&lt;=$J400)),'Match Log'!$N$4:$N$810),NA()))</f>
        <v>0</v>
      </c>
      <c r="Q400">
        <f>IF($J400&gt;MAX('Match Log'!$A$4:$A$810),NA(),IFERROR(LOOKUP(2,1/(('Match Log'!$D$4:$D$810=$Q$24)*('Match Log'!$A$4:$A$810&lt;=$J400)),'Match Log'!$N$4:$N$810),NA()))</f>
        <v>0</v>
      </c>
      <c r="R400">
        <f>IF($J400&gt;MAX('Match Log'!$A$4:$A$810),NA(),IFERROR(LOOKUP(2,1/(('Match Log'!$D$4:$D$810=$R$24)*('Match Log'!$A$4:$A$810&lt;=$J400)),'Match Log'!$N$4:$N$810),NA()))</f>
        <v>0</v>
      </c>
      <c r="S400">
        <f>IF($J400&gt;MAX('Match Log'!$A$4:$A$810),NA(),IFERROR(LOOKUP(2,1/(('Match Log'!$D$4:$D$810=$S$24)*('Match Log'!$A$4:$A$810&lt;=$J400)),'Match Log'!$N$4:$N$810),NA()))</f>
        <v>0</v>
      </c>
      <c r="T400">
        <f>IF($J400&gt;MAX('Match Log'!$A$4:$A$810),NA(),IFERROR(LOOKUP(2,1/(('Match Log'!$D$4:$D$810=$T$24)*('Match Log'!$A$4:$A$810&lt;=$J400)),'Match Log'!$N$4:$N$810),NA()))</f>
        <v>0</v>
      </c>
      <c r="U400">
        <f>IF($J400&gt;MAX('Match Log'!$A$4:$A$810),NA(),IFERROR(LOOKUP(2,1/(('Match Log'!$D$4:$D$810=$U$24)*('Match Log'!$A$4:$A$810&lt;=$J400)),'Match Log'!$N$4:$N$810),NA()))</f>
        <v>0</v>
      </c>
      <c r="V400">
        <f>IF($J400&gt;MAX('Match Log'!$A$4:$A$810),NA(),IFERROR(LOOKUP(2,1/(('Match Log'!$D$4:$D$810=$V$24)*('Match Log'!$A$4:$A$810&lt;=$J400)),'Match Log'!$N$4:$N$810),NA()))</f>
        <v>0</v>
      </c>
      <c r="W400">
        <f>IF($J400&gt;MAX('Match Log'!$A$4:$A$810),NA(),IFERROR(LOOKUP(2,1/(('Match Log'!$D$4:$D$810=$W$24)*('Match Log'!$A$4:$A$810&lt;=$J400)),'Match Log'!$N$4:$N$810),NA()))</f>
        <v>0</v>
      </c>
      <c r="X400">
        <f>IF($J400&gt;MAX('Match Log'!$A$4:$A$810),NA(),IFERROR(LOOKUP(2,1/(('Match Log'!$D$4:$D$810=$X$24)*('Match Log'!$A$4:$A$810&lt;=$J400)),'Match Log'!$N$4:$N$810),NA()))</f>
        <v>0</v>
      </c>
      <c r="Y400" t="str">
        <f>IF(AND($B400&lt;&gt;"",$B400&gt;=$B$5,$I400&lt;&gt;""),$I400,"")</f>
      </c>
    </row>
    <row r="401">
      <c r="A401">
        <v>377</v>
      </c>
      <c r="B401">
        <f>IFERROR(INDEX('Match Log'!$B$4:$B$810,MATCH(377,'Match Log'!$A$4:$A$810,0)),"")</f>
        <v>0</v>
      </c>
      <c r="C401" t="str">
        <f>IFERROR(INDEX('Match Log'!$C$4:$C$810,MATCH(377,'Match Log'!$A$4:$A$810,0)),"")</f>
      </c>
      <c r="D401" t="str">
        <f>IFERROR(INDEX('Match Log'!$G$4:$G$810,MATCH(377,'Match Log'!$A$4:$A$810,0)),"")</f>
      </c>
      <c r="E401">
        <f>IFERROR(INDEX('Match Log'!$F$4:$F$810,MATCH(377,'Match Log'!$A$4:$A$810,0)),"")</f>
        <v>0</v>
      </c>
      <c r="F401">
        <f>IFERROR(SUMIFS('Match Log'!$I$4:$I$810,'Match Log'!$A$4:$A$810,377,'Match Log'!$E$4:$E$810,"Win"),"")</f>
        <v>0</v>
      </c>
      <c r="G401">
        <f>IF($D401="","",1-$F401*$E401)</f>
        <v>0</v>
      </c>
      <c r="H401" t="str">
        <f>IFERROR(IF($E401=2,LOOKUP(2,1/(('Match Log'!$A$4:$A$810=377)*('Match Log'!$E$4:$E$810="Loss")),'Match Log'!$D$4:$D$810),"the field"),"")</f>
      </c>
      <c r="I401">
        <f>IF($G401="","",$G401-$A401/1000000)</f>
        <v>0</v>
      </c>
      <c r="J401">
        <v>377</v>
      </c>
      <c r="K401">
        <f>IF($J401&gt;MAX('Match Log'!$A$4:$A$810),NA(),IFERROR(LOOKUP(2,1/(('Match Log'!$D$4:$D$810=$K$24)*('Match Log'!$A$4:$A$810&lt;=$J401)),'Match Log'!$N$4:$N$810),NA()))</f>
        <v>0</v>
      </c>
      <c r="L401">
        <f>IF($J401&gt;MAX('Match Log'!$A$4:$A$810),NA(),IFERROR(LOOKUP(2,1/(('Match Log'!$D$4:$D$810=$L$24)*('Match Log'!$A$4:$A$810&lt;=$J401)),'Match Log'!$N$4:$N$810),NA()))</f>
        <v>0</v>
      </c>
      <c r="M401">
        <f>IF($J401&gt;MAX('Match Log'!$A$4:$A$810),NA(),IFERROR(LOOKUP(2,1/(('Match Log'!$D$4:$D$810=$M$24)*('Match Log'!$A$4:$A$810&lt;=$J401)),'Match Log'!$N$4:$N$810),NA()))</f>
        <v>0</v>
      </c>
      <c r="N401">
        <f>IF($J401&gt;MAX('Match Log'!$A$4:$A$810),NA(),IFERROR(LOOKUP(2,1/(('Match Log'!$D$4:$D$810=$N$24)*('Match Log'!$A$4:$A$810&lt;=$J401)),'Match Log'!$N$4:$N$810),NA()))</f>
        <v>0</v>
      </c>
      <c r="O401">
        <f>IF($J401&gt;MAX('Match Log'!$A$4:$A$810),NA(),IFERROR(LOOKUP(2,1/(('Match Log'!$D$4:$D$810=$O$24)*('Match Log'!$A$4:$A$810&lt;=$J401)),'Match Log'!$N$4:$N$810),NA()))</f>
        <v>0</v>
      </c>
      <c r="P401">
        <f>IF($J401&gt;MAX('Match Log'!$A$4:$A$810),NA(),IFERROR(LOOKUP(2,1/(('Match Log'!$D$4:$D$810=$P$24)*('Match Log'!$A$4:$A$810&lt;=$J401)),'Match Log'!$N$4:$N$810),NA()))</f>
        <v>0</v>
      </c>
      <c r="Q401">
        <f>IF($J401&gt;MAX('Match Log'!$A$4:$A$810),NA(),IFERROR(LOOKUP(2,1/(('Match Log'!$D$4:$D$810=$Q$24)*('Match Log'!$A$4:$A$810&lt;=$J401)),'Match Log'!$N$4:$N$810),NA()))</f>
        <v>0</v>
      </c>
      <c r="R401">
        <f>IF($J401&gt;MAX('Match Log'!$A$4:$A$810),NA(),IFERROR(LOOKUP(2,1/(('Match Log'!$D$4:$D$810=$R$24)*('Match Log'!$A$4:$A$810&lt;=$J401)),'Match Log'!$N$4:$N$810),NA()))</f>
        <v>0</v>
      </c>
      <c r="S401">
        <f>IF($J401&gt;MAX('Match Log'!$A$4:$A$810),NA(),IFERROR(LOOKUP(2,1/(('Match Log'!$D$4:$D$810=$S$24)*('Match Log'!$A$4:$A$810&lt;=$J401)),'Match Log'!$N$4:$N$810),NA()))</f>
        <v>0</v>
      </c>
      <c r="T401">
        <f>IF($J401&gt;MAX('Match Log'!$A$4:$A$810),NA(),IFERROR(LOOKUP(2,1/(('Match Log'!$D$4:$D$810=$T$24)*('Match Log'!$A$4:$A$810&lt;=$J401)),'Match Log'!$N$4:$N$810),NA()))</f>
        <v>0</v>
      </c>
      <c r="U401">
        <f>IF($J401&gt;MAX('Match Log'!$A$4:$A$810),NA(),IFERROR(LOOKUP(2,1/(('Match Log'!$D$4:$D$810=$U$24)*('Match Log'!$A$4:$A$810&lt;=$J401)),'Match Log'!$N$4:$N$810),NA()))</f>
        <v>0</v>
      </c>
      <c r="V401">
        <f>IF($J401&gt;MAX('Match Log'!$A$4:$A$810),NA(),IFERROR(LOOKUP(2,1/(('Match Log'!$D$4:$D$810=$V$24)*('Match Log'!$A$4:$A$810&lt;=$J401)),'Match Log'!$N$4:$N$810),NA()))</f>
        <v>0</v>
      </c>
      <c r="W401">
        <f>IF($J401&gt;MAX('Match Log'!$A$4:$A$810),NA(),IFERROR(LOOKUP(2,1/(('Match Log'!$D$4:$D$810=$W$24)*('Match Log'!$A$4:$A$810&lt;=$J401)),'Match Log'!$N$4:$N$810),NA()))</f>
        <v>0</v>
      </c>
      <c r="X401">
        <f>IF($J401&gt;MAX('Match Log'!$A$4:$A$810),NA(),IFERROR(LOOKUP(2,1/(('Match Log'!$D$4:$D$810=$X$24)*('Match Log'!$A$4:$A$810&lt;=$J401)),'Match Log'!$N$4:$N$810),NA()))</f>
        <v>0</v>
      </c>
      <c r="Y401" t="str">
        <f>IF(AND($B401&lt;&gt;"",$B401&gt;=$B$5,$I401&lt;&gt;""),$I401,"")</f>
      </c>
    </row>
    <row r="402">
      <c r="A402">
        <v>378</v>
      </c>
      <c r="B402">
        <f>IFERROR(INDEX('Match Log'!$B$4:$B$810,MATCH(378,'Match Log'!$A$4:$A$810,0)),"")</f>
        <v>0</v>
      </c>
      <c r="C402" t="str">
        <f>IFERROR(INDEX('Match Log'!$C$4:$C$810,MATCH(378,'Match Log'!$A$4:$A$810,0)),"")</f>
      </c>
      <c r="D402" t="str">
        <f>IFERROR(INDEX('Match Log'!$G$4:$G$810,MATCH(378,'Match Log'!$A$4:$A$810,0)),"")</f>
      </c>
      <c r="E402">
        <f>IFERROR(INDEX('Match Log'!$F$4:$F$810,MATCH(378,'Match Log'!$A$4:$A$810,0)),"")</f>
        <v>0</v>
      </c>
      <c r="F402">
        <f>IFERROR(SUMIFS('Match Log'!$I$4:$I$810,'Match Log'!$A$4:$A$810,378,'Match Log'!$E$4:$E$810,"Win"),"")</f>
        <v>0</v>
      </c>
      <c r="G402">
        <f>IF($D402="","",1-$F402*$E402)</f>
        <v>0</v>
      </c>
      <c r="H402" t="str">
        <f>IFERROR(IF($E402=2,LOOKUP(2,1/(('Match Log'!$A$4:$A$810=378)*('Match Log'!$E$4:$E$810="Loss")),'Match Log'!$D$4:$D$810),"the field"),"")</f>
      </c>
      <c r="I402">
        <f>IF($G402="","",$G402-$A402/1000000)</f>
        <v>0</v>
      </c>
      <c r="J402">
        <v>378</v>
      </c>
      <c r="K402">
        <f>IF($J402&gt;MAX('Match Log'!$A$4:$A$810),NA(),IFERROR(LOOKUP(2,1/(('Match Log'!$D$4:$D$810=$K$24)*('Match Log'!$A$4:$A$810&lt;=$J402)),'Match Log'!$N$4:$N$810),NA()))</f>
        <v>0</v>
      </c>
      <c r="L402">
        <f>IF($J402&gt;MAX('Match Log'!$A$4:$A$810),NA(),IFERROR(LOOKUP(2,1/(('Match Log'!$D$4:$D$810=$L$24)*('Match Log'!$A$4:$A$810&lt;=$J402)),'Match Log'!$N$4:$N$810),NA()))</f>
        <v>0</v>
      </c>
      <c r="M402">
        <f>IF($J402&gt;MAX('Match Log'!$A$4:$A$810),NA(),IFERROR(LOOKUP(2,1/(('Match Log'!$D$4:$D$810=$M$24)*('Match Log'!$A$4:$A$810&lt;=$J402)),'Match Log'!$N$4:$N$810),NA()))</f>
        <v>0</v>
      </c>
      <c r="N402">
        <f>IF($J402&gt;MAX('Match Log'!$A$4:$A$810),NA(),IFERROR(LOOKUP(2,1/(('Match Log'!$D$4:$D$810=$N$24)*('Match Log'!$A$4:$A$810&lt;=$J402)),'Match Log'!$N$4:$N$810),NA()))</f>
        <v>0</v>
      </c>
      <c r="O402">
        <f>IF($J402&gt;MAX('Match Log'!$A$4:$A$810),NA(),IFERROR(LOOKUP(2,1/(('Match Log'!$D$4:$D$810=$O$24)*('Match Log'!$A$4:$A$810&lt;=$J402)),'Match Log'!$N$4:$N$810),NA()))</f>
        <v>0</v>
      </c>
      <c r="P402">
        <f>IF($J402&gt;MAX('Match Log'!$A$4:$A$810),NA(),IFERROR(LOOKUP(2,1/(('Match Log'!$D$4:$D$810=$P$24)*('Match Log'!$A$4:$A$810&lt;=$J402)),'Match Log'!$N$4:$N$810),NA()))</f>
        <v>0</v>
      </c>
      <c r="Q402">
        <f>IF($J402&gt;MAX('Match Log'!$A$4:$A$810),NA(),IFERROR(LOOKUP(2,1/(('Match Log'!$D$4:$D$810=$Q$24)*('Match Log'!$A$4:$A$810&lt;=$J402)),'Match Log'!$N$4:$N$810),NA()))</f>
        <v>0</v>
      </c>
      <c r="R402">
        <f>IF($J402&gt;MAX('Match Log'!$A$4:$A$810),NA(),IFERROR(LOOKUP(2,1/(('Match Log'!$D$4:$D$810=$R$24)*('Match Log'!$A$4:$A$810&lt;=$J402)),'Match Log'!$N$4:$N$810),NA()))</f>
        <v>0</v>
      </c>
      <c r="S402">
        <f>IF($J402&gt;MAX('Match Log'!$A$4:$A$810),NA(),IFERROR(LOOKUP(2,1/(('Match Log'!$D$4:$D$810=$S$24)*('Match Log'!$A$4:$A$810&lt;=$J402)),'Match Log'!$N$4:$N$810),NA()))</f>
        <v>0</v>
      </c>
      <c r="T402">
        <f>IF($J402&gt;MAX('Match Log'!$A$4:$A$810),NA(),IFERROR(LOOKUP(2,1/(('Match Log'!$D$4:$D$810=$T$24)*('Match Log'!$A$4:$A$810&lt;=$J402)),'Match Log'!$N$4:$N$810),NA()))</f>
        <v>0</v>
      </c>
      <c r="U402">
        <f>IF($J402&gt;MAX('Match Log'!$A$4:$A$810),NA(),IFERROR(LOOKUP(2,1/(('Match Log'!$D$4:$D$810=$U$24)*('Match Log'!$A$4:$A$810&lt;=$J402)),'Match Log'!$N$4:$N$810),NA()))</f>
        <v>0</v>
      </c>
      <c r="V402">
        <f>IF($J402&gt;MAX('Match Log'!$A$4:$A$810),NA(),IFERROR(LOOKUP(2,1/(('Match Log'!$D$4:$D$810=$V$24)*('Match Log'!$A$4:$A$810&lt;=$J402)),'Match Log'!$N$4:$N$810),NA()))</f>
        <v>0</v>
      </c>
      <c r="W402">
        <f>IF($J402&gt;MAX('Match Log'!$A$4:$A$810),NA(),IFERROR(LOOKUP(2,1/(('Match Log'!$D$4:$D$810=$W$24)*('Match Log'!$A$4:$A$810&lt;=$J402)),'Match Log'!$N$4:$N$810),NA()))</f>
        <v>0</v>
      </c>
      <c r="X402">
        <f>IF($J402&gt;MAX('Match Log'!$A$4:$A$810),NA(),IFERROR(LOOKUP(2,1/(('Match Log'!$D$4:$D$810=$X$24)*('Match Log'!$A$4:$A$810&lt;=$J402)),'Match Log'!$N$4:$N$810),NA()))</f>
        <v>0</v>
      </c>
      <c r="Y402" t="str">
        <f>IF(AND($B402&lt;&gt;"",$B402&gt;=$B$5,$I402&lt;&gt;""),$I402,"")</f>
      </c>
    </row>
    <row r="403">
      <c r="A403">
        <v>379</v>
      </c>
      <c r="B403">
        <f>IFERROR(INDEX('Match Log'!$B$4:$B$810,MATCH(379,'Match Log'!$A$4:$A$810,0)),"")</f>
        <v>0</v>
      </c>
      <c r="C403" t="str">
        <f>IFERROR(INDEX('Match Log'!$C$4:$C$810,MATCH(379,'Match Log'!$A$4:$A$810,0)),"")</f>
      </c>
      <c r="D403" t="str">
        <f>IFERROR(INDEX('Match Log'!$G$4:$G$810,MATCH(379,'Match Log'!$A$4:$A$810,0)),"")</f>
      </c>
      <c r="E403">
        <f>IFERROR(INDEX('Match Log'!$F$4:$F$810,MATCH(379,'Match Log'!$A$4:$A$810,0)),"")</f>
        <v>0</v>
      </c>
      <c r="F403">
        <f>IFERROR(SUMIFS('Match Log'!$I$4:$I$810,'Match Log'!$A$4:$A$810,379,'Match Log'!$E$4:$E$810,"Win"),"")</f>
        <v>0</v>
      </c>
      <c r="G403">
        <f>IF($D403="","",1-$F403*$E403)</f>
        <v>0</v>
      </c>
      <c r="H403" t="str">
        <f>IFERROR(IF($E403=2,LOOKUP(2,1/(('Match Log'!$A$4:$A$810=379)*('Match Log'!$E$4:$E$810="Loss")),'Match Log'!$D$4:$D$810),"the field"),"")</f>
      </c>
      <c r="I403">
        <f>IF($G403="","",$G403-$A403/1000000)</f>
        <v>0</v>
      </c>
      <c r="J403">
        <v>379</v>
      </c>
      <c r="K403">
        <f>IF($J403&gt;MAX('Match Log'!$A$4:$A$810),NA(),IFERROR(LOOKUP(2,1/(('Match Log'!$D$4:$D$810=$K$24)*('Match Log'!$A$4:$A$810&lt;=$J403)),'Match Log'!$N$4:$N$810),NA()))</f>
        <v>0</v>
      </c>
      <c r="L403">
        <f>IF($J403&gt;MAX('Match Log'!$A$4:$A$810),NA(),IFERROR(LOOKUP(2,1/(('Match Log'!$D$4:$D$810=$L$24)*('Match Log'!$A$4:$A$810&lt;=$J403)),'Match Log'!$N$4:$N$810),NA()))</f>
        <v>0</v>
      </c>
      <c r="M403">
        <f>IF($J403&gt;MAX('Match Log'!$A$4:$A$810),NA(),IFERROR(LOOKUP(2,1/(('Match Log'!$D$4:$D$810=$M$24)*('Match Log'!$A$4:$A$810&lt;=$J403)),'Match Log'!$N$4:$N$810),NA()))</f>
        <v>0</v>
      </c>
      <c r="N403">
        <f>IF($J403&gt;MAX('Match Log'!$A$4:$A$810),NA(),IFERROR(LOOKUP(2,1/(('Match Log'!$D$4:$D$810=$N$24)*('Match Log'!$A$4:$A$810&lt;=$J403)),'Match Log'!$N$4:$N$810),NA()))</f>
        <v>0</v>
      </c>
      <c r="O403">
        <f>IF($J403&gt;MAX('Match Log'!$A$4:$A$810),NA(),IFERROR(LOOKUP(2,1/(('Match Log'!$D$4:$D$810=$O$24)*('Match Log'!$A$4:$A$810&lt;=$J403)),'Match Log'!$N$4:$N$810),NA()))</f>
        <v>0</v>
      </c>
      <c r="P403">
        <f>IF($J403&gt;MAX('Match Log'!$A$4:$A$810),NA(),IFERROR(LOOKUP(2,1/(('Match Log'!$D$4:$D$810=$P$24)*('Match Log'!$A$4:$A$810&lt;=$J403)),'Match Log'!$N$4:$N$810),NA()))</f>
        <v>0</v>
      </c>
      <c r="Q403">
        <f>IF($J403&gt;MAX('Match Log'!$A$4:$A$810),NA(),IFERROR(LOOKUP(2,1/(('Match Log'!$D$4:$D$810=$Q$24)*('Match Log'!$A$4:$A$810&lt;=$J403)),'Match Log'!$N$4:$N$810),NA()))</f>
        <v>0</v>
      </c>
      <c r="R403">
        <f>IF($J403&gt;MAX('Match Log'!$A$4:$A$810),NA(),IFERROR(LOOKUP(2,1/(('Match Log'!$D$4:$D$810=$R$24)*('Match Log'!$A$4:$A$810&lt;=$J403)),'Match Log'!$N$4:$N$810),NA()))</f>
        <v>0</v>
      </c>
      <c r="S403">
        <f>IF($J403&gt;MAX('Match Log'!$A$4:$A$810),NA(),IFERROR(LOOKUP(2,1/(('Match Log'!$D$4:$D$810=$S$24)*('Match Log'!$A$4:$A$810&lt;=$J403)),'Match Log'!$N$4:$N$810),NA()))</f>
        <v>0</v>
      </c>
      <c r="T403">
        <f>IF($J403&gt;MAX('Match Log'!$A$4:$A$810),NA(),IFERROR(LOOKUP(2,1/(('Match Log'!$D$4:$D$810=$T$24)*('Match Log'!$A$4:$A$810&lt;=$J403)),'Match Log'!$N$4:$N$810),NA()))</f>
        <v>0</v>
      </c>
      <c r="U403">
        <f>IF($J403&gt;MAX('Match Log'!$A$4:$A$810),NA(),IFERROR(LOOKUP(2,1/(('Match Log'!$D$4:$D$810=$U$24)*('Match Log'!$A$4:$A$810&lt;=$J403)),'Match Log'!$N$4:$N$810),NA()))</f>
        <v>0</v>
      </c>
      <c r="V403">
        <f>IF($J403&gt;MAX('Match Log'!$A$4:$A$810),NA(),IFERROR(LOOKUP(2,1/(('Match Log'!$D$4:$D$810=$V$24)*('Match Log'!$A$4:$A$810&lt;=$J403)),'Match Log'!$N$4:$N$810),NA()))</f>
        <v>0</v>
      </c>
      <c r="W403">
        <f>IF($J403&gt;MAX('Match Log'!$A$4:$A$810),NA(),IFERROR(LOOKUP(2,1/(('Match Log'!$D$4:$D$810=$W$24)*('Match Log'!$A$4:$A$810&lt;=$J403)),'Match Log'!$N$4:$N$810),NA()))</f>
        <v>0</v>
      </c>
      <c r="X403">
        <f>IF($J403&gt;MAX('Match Log'!$A$4:$A$810),NA(),IFERROR(LOOKUP(2,1/(('Match Log'!$D$4:$D$810=$X$24)*('Match Log'!$A$4:$A$810&lt;=$J403)),'Match Log'!$N$4:$N$810),NA()))</f>
        <v>0</v>
      </c>
      <c r="Y403" t="str">
        <f>IF(AND($B403&lt;&gt;"",$B403&gt;=$B$5,$I403&lt;&gt;""),$I403,"")</f>
      </c>
    </row>
    <row r="404">
      <c r="A404">
        <v>380</v>
      </c>
      <c r="B404">
        <f>IFERROR(INDEX('Match Log'!$B$4:$B$810,MATCH(380,'Match Log'!$A$4:$A$810,0)),"")</f>
        <v>0</v>
      </c>
      <c r="C404" t="str">
        <f>IFERROR(INDEX('Match Log'!$C$4:$C$810,MATCH(380,'Match Log'!$A$4:$A$810,0)),"")</f>
      </c>
      <c r="D404" t="str">
        <f>IFERROR(INDEX('Match Log'!$G$4:$G$810,MATCH(380,'Match Log'!$A$4:$A$810,0)),"")</f>
      </c>
      <c r="E404">
        <f>IFERROR(INDEX('Match Log'!$F$4:$F$810,MATCH(380,'Match Log'!$A$4:$A$810,0)),"")</f>
        <v>0</v>
      </c>
      <c r="F404">
        <f>IFERROR(SUMIFS('Match Log'!$I$4:$I$810,'Match Log'!$A$4:$A$810,380,'Match Log'!$E$4:$E$810,"Win"),"")</f>
        <v>0</v>
      </c>
      <c r="G404">
        <f>IF($D404="","",1-$F404*$E404)</f>
        <v>0</v>
      </c>
      <c r="H404" t="str">
        <f>IFERROR(IF($E404=2,LOOKUP(2,1/(('Match Log'!$A$4:$A$810=380)*('Match Log'!$E$4:$E$810="Loss")),'Match Log'!$D$4:$D$810),"the field"),"")</f>
      </c>
      <c r="I404">
        <f>IF($G404="","",$G404-$A404/1000000)</f>
        <v>0</v>
      </c>
      <c r="J404">
        <v>380</v>
      </c>
      <c r="K404">
        <f>IF($J404&gt;MAX('Match Log'!$A$4:$A$810),NA(),IFERROR(LOOKUP(2,1/(('Match Log'!$D$4:$D$810=$K$24)*('Match Log'!$A$4:$A$810&lt;=$J404)),'Match Log'!$N$4:$N$810),NA()))</f>
        <v>0</v>
      </c>
      <c r="L404">
        <f>IF($J404&gt;MAX('Match Log'!$A$4:$A$810),NA(),IFERROR(LOOKUP(2,1/(('Match Log'!$D$4:$D$810=$L$24)*('Match Log'!$A$4:$A$810&lt;=$J404)),'Match Log'!$N$4:$N$810),NA()))</f>
        <v>0</v>
      </c>
      <c r="M404">
        <f>IF($J404&gt;MAX('Match Log'!$A$4:$A$810),NA(),IFERROR(LOOKUP(2,1/(('Match Log'!$D$4:$D$810=$M$24)*('Match Log'!$A$4:$A$810&lt;=$J404)),'Match Log'!$N$4:$N$810),NA()))</f>
        <v>0</v>
      </c>
      <c r="N404">
        <f>IF($J404&gt;MAX('Match Log'!$A$4:$A$810),NA(),IFERROR(LOOKUP(2,1/(('Match Log'!$D$4:$D$810=$N$24)*('Match Log'!$A$4:$A$810&lt;=$J404)),'Match Log'!$N$4:$N$810),NA()))</f>
        <v>0</v>
      </c>
      <c r="O404">
        <f>IF($J404&gt;MAX('Match Log'!$A$4:$A$810),NA(),IFERROR(LOOKUP(2,1/(('Match Log'!$D$4:$D$810=$O$24)*('Match Log'!$A$4:$A$810&lt;=$J404)),'Match Log'!$N$4:$N$810),NA()))</f>
        <v>0</v>
      </c>
      <c r="P404">
        <f>IF($J404&gt;MAX('Match Log'!$A$4:$A$810),NA(),IFERROR(LOOKUP(2,1/(('Match Log'!$D$4:$D$810=$P$24)*('Match Log'!$A$4:$A$810&lt;=$J404)),'Match Log'!$N$4:$N$810),NA()))</f>
        <v>0</v>
      </c>
      <c r="Q404">
        <f>IF($J404&gt;MAX('Match Log'!$A$4:$A$810),NA(),IFERROR(LOOKUP(2,1/(('Match Log'!$D$4:$D$810=$Q$24)*('Match Log'!$A$4:$A$810&lt;=$J404)),'Match Log'!$N$4:$N$810),NA()))</f>
        <v>0</v>
      </c>
      <c r="R404">
        <f>IF($J404&gt;MAX('Match Log'!$A$4:$A$810),NA(),IFERROR(LOOKUP(2,1/(('Match Log'!$D$4:$D$810=$R$24)*('Match Log'!$A$4:$A$810&lt;=$J404)),'Match Log'!$N$4:$N$810),NA()))</f>
        <v>0</v>
      </c>
      <c r="S404">
        <f>IF($J404&gt;MAX('Match Log'!$A$4:$A$810),NA(),IFERROR(LOOKUP(2,1/(('Match Log'!$D$4:$D$810=$S$24)*('Match Log'!$A$4:$A$810&lt;=$J404)),'Match Log'!$N$4:$N$810),NA()))</f>
        <v>0</v>
      </c>
      <c r="T404">
        <f>IF($J404&gt;MAX('Match Log'!$A$4:$A$810),NA(),IFERROR(LOOKUP(2,1/(('Match Log'!$D$4:$D$810=$T$24)*('Match Log'!$A$4:$A$810&lt;=$J404)),'Match Log'!$N$4:$N$810),NA()))</f>
        <v>0</v>
      </c>
      <c r="U404">
        <f>IF($J404&gt;MAX('Match Log'!$A$4:$A$810),NA(),IFERROR(LOOKUP(2,1/(('Match Log'!$D$4:$D$810=$U$24)*('Match Log'!$A$4:$A$810&lt;=$J404)),'Match Log'!$N$4:$N$810),NA()))</f>
        <v>0</v>
      </c>
      <c r="V404">
        <f>IF($J404&gt;MAX('Match Log'!$A$4:$A$810),NA(),IFERROR(LOOKUP(2,1/(('Match Log'!$D$4:$D$810=$V$24)*('Match Log'!$A$4:$A$810&lt;=$J404)),'Match Log'!$N$4:$N$810),NA()))</f>
        <v>0</v>
      </c>
      <c r="W404">
        <f>IF($J404&gt;MAX('Match Log'!$A$4:$A$810),NA(),IFERROR(LOOKUP(2,1/(('Match Log'!$D$4:$D$810=$W$24)*('Match Log'!$A$4:$A$810&lt;=$J404)),'Match Log'!$N$4:$N$810),NA()))</f>
        <v>0</v>
      </c>
      <c r="X404">
        <f>IF($J404&gt;MAX('Match Log'!$A$4:$A$810),NA(),IFERROR(LOOKUP(2,1/(('Match Log'!$D$4:$D$810=$X$24)*('Match Log'!$A$4:$A$810&lt;=$J404)),'Match Log'!$N$4:$N$810),NA()))</f>
        <v>0</v>
      </c>
      <c r="Y404" t="str">
        <f>IF(AND($B404&lt;&gt;"",$B404&gt;=$B$5,$I404&lt;&gt;""),$I404,"")</f>
      </c>
    </row>
    <row r="405">
      <c r="A405">
        <v>381</v>
      </c>
      <c r="B405">
        <f>IFERROR(INDEX('Match Log'!$B$4:$B$810,MATCH(381,'Match Log'!$A$4:$A$810,0)),"")</f>
        <v>0</v>
      </c>
      <c r="C405" t="str">
        <f>IFERROR(INDEX('Match Log'!$C$4:$C$810,MATCH(381,'Match Log'!$A$4:$A$810,0)),"")</f>
      </c>
      <c r="D405" t="str">
        <f>IFERROR(INDEX('Match Log'!$G$4:$G$810,MATCH(381,'Match Log'!$A$4:$A$810,0)),"")</f>
      </c>
      <c r="E405">
        <f>IFERROR(INDEX('Match Log'!$F$4:$F$810,MATCH(381,'Match Log'!$A$4:$A$810,0)),"")</f>
        <v>0</v>
      </c>
      <c r="F405">
        <f>IFERROR(SUMIFS('Match Log'!$I$4:$I$810,'Match Log'!$A$4:$A$810,381,'Match Log'!$E$4:$E$810,"Win"),"")</f>
        <v>0</v>
      </c>
      <c r="G405">
        <f>IF($D405="","",1-$F405*$E405)</f>
        <v>0</v>
      </c>
      <c r="H405" t="str">
        <f>IFERROR(IF($E405=2,LOOKUP(2,1/(('Match Log'!$A$4:$A$810=381)*('Match Log'!$E$4:$E$810="Loss")),'Match Log'!$D$4:$D$810),"the field"),"")</f>
      </c>
      <c r="I405">
        <f>IF($G405="","",$G405-$A405/1000000)</f>
        <v>0</v>
      </c>
      <c r="J405">
        <v>381</v>
      </c>
      <c r="K405">
        <f>IF($J405&gt;MAX('Match Log'!$A$4:$A$810),NA(),IFERROR(LOOKUP(2,1/(('Match Log'!$D$4:$D$810=$K$24)*('Match Log'!$A$4:$A$810&lt;=$J405)),'Match Log'!$N$4:$N$810),NA()))</f>
        <v>0</v>
      </c>
      <c r="L405">
        <f>IF($J405&gt;MAX('Match Log'!$A$4:$A$810),NA(),IFERROR(LOOKUP(2,1/(('Match Log'!$D$4:$D$810=$L$24)*('Match Log'!$A$4:$A$810&lt;=$J405)),'Match Log'!$N$4:$N$810),NA()))</f>
        <v>0</v>
      </c>
      <c r="M405">
        <f>IF($J405&gt;MAX('Match Log'!$A$4:$A$810),NA(),IFERROR(LOOKUP(2,1/(('Match Log'!$D$4:$D$810=$M$24)*('Match Log'!$A$4:$A$810&lt;=$J405)),'Match Log'!$N$4:$N$810),NA()))</f>
        <v>0</v>
      </c>
      <c r="N405">
        <f>IF($J405&gt;MAX('Match Log'!$A$4:$A$810),NA(),IFERROR(LOOKUP(2,1/(('Match Log'!$D$4:$D$810=$N$24)*('Match Log'!$A$4:$A$810&lt;=$J405)),'Match Log'!$N$4:$N$810),NA()))</f>
        <v>0</v>
      </c>
      <c r="O405">
        <f>IF($J405&gt;MAX('Match Log'!$A$4:$A$810),NA(),IFERROR(LOOKUP(2,1/(('Match Log'!$D$4:$D$810=$O$24)*('Match Log'!$A$4:$A$810&lt;=$J405)),'Match Log'!$N$4:$N$810),NA()))</f>
        <v>0</v>
      </c>
      <c r="P405">
        <f>IF($J405&gt;MAX('Match Log'!$A$4:$A$810),NA(),IFERROR(LOOKUP(2,1/(('Match Log'!$D$4:$D$810=$P$24)*('Match Log'!$A$4:$A$810&lt;=$J405)),'Match Log'!$N$4:$N$810),NA()))</f>
        <v>0</v>
      </c>
      <c r="Q405">
        <f>IF($J405&gt;MAX('Match Log'!$A$4:$A$810),NA(),IFERROR(LOOKUP(2,1/(('Match Log'!$D$4:$D$810=$Q$24)*('Match Log'!$A$4:$A$810&lt;=$J405)),'Match Log'!$N$4:$N$810),NA()))</f>
        <v>0</v>
      </c>
      <c r="R405">
        <f>IF($J405&gt;MAX('Match Log'!$A$4:$A$810),NA(),IFERROR(LOOKUP(2,1/(('Match Log'!$D$4:$D$810=$R$24)*('Match Log'!$A$4:$A$810&lt;=$J405)),'Match Log'!$N$4:$N$810),NA()))</f>
        <v>0</v>
      </c>
      <c r="S405">
        <f>IF($J405&gt;MAX('Match Log'!$A$4:$A$810),NA(),IFERROR(LOOKUP(2,1/(('Match Log'!$D$4:$D$810=$S$24)*('Match Log'!$A$4:$A$810&lt;=$J405)),'Match Log'!$N$4:$N$810),NA()))</f>
        <v>0</v>
      </c>
      <c r="T405">
        <f>IF($J405&gt;MAX('Match Log'!$A$4:$A$810),NA(),IFERROR(LOOKUP(2,1/(('Match Log'!$D$4:$D$810=$T$24)*('Match Log'!$A$4:$A$810&lt;=$J405)),'Match Log'!$N$4:$N$810),NA()))</f>
        <v>0</v>
      </c>
      <c r="U405">
        <f>IF($J405&gt;MAX('Match Log'!$A$4:$A$810),NA(),IFERROR(LOOKUP(2,1/(('Match Log'!$D$4:$D$810=$U$24)*('Match Log'!$A$4:$A$810&lt;=$J405)),'Match Log'!$N$4:$N$810),NA()))</f>
        <v>0</v>
      </c>
      <c r="V405">
        <f>IF($J405&gt;MAX('Match Log'!$A$4:$A$810),NA(),IFERROR(LOOKUP(2,1/(('Match Log'!$D$4:$D$810=$V$24)*('Match Log'!$A$4:$A$810&lt;=$J405)),'Match Log'!$N$4:$N$810),NA()))</f>
        <v>0</v>
      </c>
      <c r="W405">
        <f>IF($J405&gt;MAX('Match Log'!$A$4:$A$810),NA(),IFERROR(LOOKUP(2,1/(('Match Log'!$D$4:$D$810=$W$24)*('Match Log'!$A$4:$A$810&lt;=$J405)),'Match Log'!$N$4:$N$810),NA()))</f>
        <v>0</v>
      </c>
      <c r="X405">
        <f>IF($J405&gt;MAX('Match Log'!$A$4:$A$810),NA(),IFERROR(LOOKUP(2,1/(('Match Log'!$D$4:$D$810=$X$24)*('Match Log'!$A$4:$A$810&lt;=$J405)),'Match Log'!$N$4:$N$810),NA()))</f>
        <v>0</v>
      </c>
      <c r="Y405" t="str">
        <f>IF(AND($B405&lt;&gt;"",$B405&gt;=$B$5,$I405&lt;&gt;""),$I405,"")</f>
      </c>
    </row>
    <row r="406">
      <c r="A406">
        <v>382</v>
      </c>
      <c r="B406">
        <f>IFERROR(INDEX('Match Log'!$B$4:$B$810,MATCH(382,'Match Log'!$A$4:$A$810,0)),"")</f>
        <v>0</v>
      </c>
      <c r="C406" t="str">
        <f>IFERROR(INDEX('Match Log'!$C$4:$C$810,MATCH(382,'Match Log'!$A$4:$A$810,0)),"")</f>
      </c>
      <c r="D406" t="str">
        <f>IFERROR(INDEX('Match Log'!$G$4:$G$810,MATCH(382,'Match Log'!$A$4:$A$810,0)),"")</f>
      </c>
      <c r="E406">
        <f>IFERROR(INDEX('Match Log'!$F$4:$F$810,MATCH(382,'Match Log'!$A$4:$A$810,0)),"")</f>
        <v>0</v>
      </c>
      <c r="F406">
        <f>IFERROR(SUMIFS('Match Log'!$I$4:$I$810,'Match Log'!$A$4:$A$810,382,'Match Log'!$E$4:$E$810,"Win"),"")</f>
        <v>0</v>
      </c>
      <c r="G406">
        <f>IF($D406="","",1-$F406*$E406)</f>
        <v>0</v>
      </c>
      <c r="H406" t="str">
        <f>IFERROR(IF($E406=2,LOOKUP(2,1/(('Match Log'!$A$4:$A$810=382)*('Match Log'!$E$4:$E$810="Loss")),'Match Log'!$D$4:$D$810),"the field"),"")</f>
      </c>
      <c r="I406">
        <f>IF($G406="","",$G406-$A406/1000000)</f>
        <v>0</v>
      </c>
      <c r="J406">
        <v>382</v>
      </c>
      <c r="K406">
        <f>IF($J406&gt;MAX('Match Log'!$A$4:$A$810),NA(),IFERROR(LOOKUP(2,1/(('Match Log'!$D$4:$D$810=$K$24)*('Match Log'!$A$4:$A$810&lt;=$J406)),'Match Log'!$N$4:$N$810),NA()))</f>
        <v>0</v>
      </c>
      <c r="L406">
        <f>IF($J406&gt;MAX('Match Log'!$A$4:$A$810),NA(),IFERROR(LOOKUP(2,1/(('Match Log'!$D$4:$D$810=$L$24)*('Match Log'!$A$4:$A$810&lt;=$J406)),'Match Log'!$N$4:$N$810),NA()))</f>
        <v>0</v>
      </c>
      <c r="M406">
        <f>IF($J406&gt;MAX('Match Log'!$A$4:$A$810),NA(),IFERROR(LOOKUP(2,1/(('Match Log'!$D$4:$D$810=$M$24)*('Match Log'!$A$4:$A$810&lt;=$J406)),'Match Log'!$N$4:$N$810),NA()))</f>
        <v>0</v>
      </c>
      <c r="N406">
        <f>IF($J406&gt;MAX('Match Log'!$A$4:$A$810),NA(),IFERROR(LOOKUP(2,1/(('Match Log'!$D$4:$D$810=$N$24)*('Match Log'!$A$4:$A$810&lt;=$J406)),'Match Log'!$N$4:$N$810),NA()))</f>
        <v>0</v>
      </c>
      <c r="O406">
        <f>IF($J406&gt;MAX('Match Log'!$A$4:$A$810),NA(),IFERROR(LOOKUP(2,1/(('Match Log'!$D$4:$D$810=$O$24)*('Match Log'!$A$4:$A$810&lt;=$J406)),'Match Log'!$N$4:$N$810),NA()))</f>
        <v>0</v>
      </c>
      <c r="P406">
        <f>IF($J406&gt;MAX('Match Log'!$A$4:$A$810),NA(),IFERROR(LOOKUP(2,1/(('Match Log'!$D$4:$D$810=$P$24)*('Match Log'!$A$4:$A$810&lt;=$J406)),'Match Log'!$N$4:$N$810),NA()))</f>
        <v>0</v>
      </c>
      <c r="Q406">
        <f>IF($J406&gt;MAX('Match Log'!$A$4:$A$810),NA(),IFERROR(LOOKUP(2,1/(('Match Log'!$D$4:$D$810=$Q$24)*('Match Log'!$A$4:$A$810&lt;=$J406)),'Match Log'!$N$4:$N$810),NA()))</f>
        <v>0</v>
      </c>
      <c r="R406">
        <f>IF($J406&gt;MAX('Match Log'!$A$4:$A$810),NA(),IFERROR(LOOKUP(2,1/(('Match Log'!$D$4:$D$810=$R$24)*('Match Log'!$A$4:$A$810&lt;=$J406)),'Match Log'!$N$4:$N$810),NA()))</f>
        <v>0</v>
      </c>
      <c r="S406">
        <f>IF($J406&gt;MAX('Match Log'!$A$4:$A$810),NA(),IFERROR(LOOKUP(2,1/(('Match Log'!$D$4:$D$810=$S$24)*('Match Log'!$A$4:$A$810&lt;=$J406)),'Match Log'!$N$4:$N$810),NA()))</f>
        <v>0</v>
      </c>
      <c r="T406">
        <f>IF($J406&gt;MAX('Match Log'!$A$4:$A$810),NA(),IFERROR(LOOKUP(2,1/(('Match Log'!$D$4:$D$810=$T$24)*('Match Log'!$A$4:$A$810&lt;=$J406)),'Match Log'!$N$4:$N$810),NA()))</f>
        <v>0</v>
      </c>
      <c r="U406">
        <f>IF($J406&gt;MAX('Match Log'!$A$4:$A$810),NA(),IFERROR(LOOKUP(2,1/(('Match Log'!$D$4:$D$810=$U$24)*('Match Log'!$A$4:$A$810&lt;=$J406)),'Match Log'!$N$4:$N$810),NA()))</f>
        <v>0</v>
      </c>
      <c r="V406">
        <f>IF($J406&gt;MAX('Match Log'!$A$4:$A$810),NA(),IFERROR(LOOKUP(2,1/(('Match Log'!$D$4:$D$810=$V$24)*('Match Log'!$A$4:$A$810&lt;=$J406)),'Match Log'!$N$4:$N$810),NA()))</f>
        <v>0</v>
      </c>
      <c r="W406">
        <f>IF($J406&gt;MAX('Match Log'!$A$4:$A$810),NA(),IFERROR(LOOKUP(2,1/(('Match Log'!$D$4:$D$810=$W$24)*('Match Log'!$A$4:$A$810&lt;=$J406)),'Match Log'!$N$4:$N$810),NA()))</f>
        <v>0</v>
      </c>
      <c r="X406">
        <f>IF($J406&gt;MAX('Match Log'!$A$4:$A$810),NA(),IFERROR(LOOKUP(2,1/(('Match Log'!$D$4:$D$810=$X$24)*('Match Log'!$A$4:$A$810&lt;=$J406)),'Match Log'!$N$4:$N$810),NA()))</f>
        <v>0</v>
      </c>
      <c r="Y406" t="str">
        <f>IF(AND($B406&lt;&gt;"",$B406&gt;=$B$5,$I406&lt;&gt;""),$I406,"")</f>
      </c>
    </row>
    <row r="407">
      <c r="A407">
        <v>383</v>
      </c>
      <c r="B407">
        <f>IFERROR(INDEX('Match Log'!$B$4:$B$810,MATCH(383,'Match Log'!$A$4:$A$810,0)),"")</f>
        <v>0</v>
      </c>
      <c r="C407" t="str">
        <f>IFERROR(INDEX('Match Log'!$C$4:$C$810,MATCH(383,'Match Log'!$A$4:$A$810,0)),"")</f>
      </c>
      <c r="D407" t="str">
        <f>IFERROR(INDEX('Match Log'!$G$4:$G$810,MATCH(383,'Match Log'!$A$4:$A$810,0)),"")</f>
      </c>
      <c r="E407">
        <f>IFERROR(INDEX('Match Log'!$F$4:$F$810,MATCH(383,'Match Log'!$A$4:$A$810,0)),"")</f>
        <v>0</v>
      </c>
      <c r="F407">
        <f>IFERROR(SUMIFS('Match Log'!$I$4:$I$810,'Match Log'!$A$4:$A$810,383,'Match Log'!$E$4:$E$810,"Win"),"")</f>
        <v>0</v>
      </c>
      <c r="G407">
        <f>IF($D407="","",1-$F407*$E407)</f>
        <v>0</v>
      </c>
      <c r="H407" t="str">
        <f>IFERROR(IF($E407=2,LOOKUP(2,1/(('Match Log'!$A$4:$A$810=383)*('Match Log'!$E$4:$E$810="Loss")),'Match Log'!$D$4:$D$810),"the field"),"")</f>
      </c>
      <c r="I407">
        <f>IF($G407="","",$G407-$A407/1000000)</f>
        <v>0</v>
      </c>
      <c r="J407">
        <v>383</v>
      </c>
      <c r="K407">
        <f>IF($J407&gt;MAX('Match Log'!$A$4:$A$810),NA(),IFERROR(LOOKUP(2,1/(('Match Log'!$D$4:$D$810=$K$24)*('Match Log'!$A$4:$A$810&lt;=$J407)),'Match Log'!$N$4:$N$810),NA()))</f>
        <v>0</v>
      </c>
      <c r="L407">
        <f>IF($J407&gt;MAX('Match Log'!$A$4:$A$810),NA(),IFERROR(LOOKUP(2,1/(('Match Log'!$D$4:$D$810=$L$24)*('Match Log'!$A$4:$A$810&lt;=$J407)),'Match Log'!$N$4:$N$810),NA()))</f>
        <v>0</v>
      </c>
      <c r="M407">
        <f>IF($J407&gt;MAX('Match Log'!$A$4:$A$810),NA(),IFERROR(LOOKUP(2,1/(('Match Log'!$D$4:$D$810=$M$24)*('Match Log'!$A$4:$A$810&lt;=$J407)),'Match Log'!$N$4:$N$810),NA()))</f>
        <v>0</v>
      </c>
      <c r="N407">
        <f>IF($J407&gt;MAX('Match Log'!$A$4:$A$810),NA(),IFERROR(LOOKUP(2,1/(('Match Log'!$D$4:$D$810=$N$24)*('Match Log'!$A$4:$A$810&lt;=$J407)),'Match Log'!$N$4:$N$810),NA()))</f>
        <v>0</v>
      </c>
      <c r="O407">
        <f>IF($J407&gt;MAX('Match Log'!$A$4:$A$810),NA(),IFERROR(LOOKUP(2,1/(('Match Log'!$D$4:$D$810=$O$24)*('Match Log'!$A$4:$A$810&lt;=$J407)),'Match Log'!$N$4:$N$810),NA()))</f>
        <v>0</v>
      </c>
      <c r="P407">
        <f>IF($J407&gt;MAX('Match Log'!$A$4:$A$810),NA(),IFERROR(LOOKUP(2,1/(('Match Log'!$D$4:$D$810=$P$24)*('Match Log'!$A$4:$A$810&lt;=$J407)),'Match Log'!$N$4:$N$810),NA()))</f>
        <v>0</v>
      </c>
      <c r="Q407">
        <f>IF($J407&gt;MAX('Match Log'!$A$4:$A$810),NA(),IFERROR(LOOKUP(2,1/(('Match Log'!$D$4:$D$810=$Q$24)*('Match Log'!$A$4:$A$810&lt;=$J407)),'Match Log'!$N$4:$N$810),NA()))</f>
        <v>0</v>
      </c>
      <c r="R407">
        <f>IF($J407&gt;MAX('Match Log'!$A$4:$A$810),NA(),IFERROR(LOOKUP(2,1/(('Match Log'!$D$4:$D$810=$R$24)*('Match Log'!$A$4:$A$810&lt;=$J407)),'Match Log'!$N$4:$N$810),NA()))</f>
        <v>0</v>
      </c>
      <c r="S407">
        <f>IF($J407&gt;MAX('Match Log'!$A$4:$A$810),NA(),IFERROR(LOOKUP(2,1/(('Match Log'!$D$4:$D$810=$S$24)*('Match Log'!$A$4:$A$810&lt;=$J407)),'Match Log'!$N$4:$N$810),NA()))</f>
        <v>0</v>
      </c>
      <c r="T407">
        <f>IF($J407&gt;MAX('Match Log'!$A$4:$A$810),NA(),IFERROR(LOOKUP(2,1/(('Match Log'!$D$4:$D$810=$T$24)*('Match Log'!$A$4:$A$810&lt;=$J407)),'Match Log'!$N$4:$N$810),NA()))</f>
        <v>0</v>
      </c>
      <c r="U407">
        <f>IF($J407&gt;MAX('Match Log'!$A$4:$A$810),NA(),IFERROR(LOOKUP(2,1/(('Match Log'!$D$4:$D$810=$U$24)*('Match Log'!$A$4:$A$810&lt;=$J407)),'Match Log'!$N$4:$N$810),NA()))</f>
        <v>0</v>
      </c>
      <c r="V407">
        <f>IF($J407&gt;MAX('Match Log'!$A$4:$A$810),NA(),IFERROR(LOOKUP(2,1/(('Match Log'!$D$4:$D$810=$V$24)*('Match Log'!$A$4:$A$810&lt;=$J407)),'Match Log'!$N$4:$N$810),NA()))</f>
        <v>0</v>
      </c>
      <c r="W407">
        <f>IF($J407&gt;MAX('Match Log'!$A$4:$A$810),NA(),IFERROR(LOOKUP(2,1/(('Match Log'!$D$4:$D$810=$W$24)*('Match Log'!$A$4:$A$810&lt;=$J407)),'Match Log'!$N$4:$N$810),NA()))</f>
        <v>0</v>
      </c>
      <c r="X407">
        <f>IF($J407&gt;MAX('Match Log'!$A$4:$A$810),NA(),IFERROR(LOOKUP(2,1/(('Match Log'!$D$4:$D$810=$X$24)*('Match Log'!$A$4:$A$810&lt;=$J407)),'Match Log'!$N$4:$N$810),NA()))</f>
        <v>0</v>
      </c>
      <c r="Y407" t="str">
        <f>IF(AND($B407&lt;&gt;"",$B407&gt;=$B$5,$I407&lt;&gt;""),$I407,"")</f>
      </c>
    </row>
    <row r="408">
      <c r="A408">
        <v>384</v>
      </c>
      <c r="B408">
        <f>IFERROR(INDEX('Match Log'!$B$4:$B$810,MATCH(384,'Match Log'!$A$4:$A$810,0)),"")</f>
        <v>0</v>
      </c>
      <c r="C408" t="str">
        <f>IFERROR(INDEX('Match Log'!$C$4:$C$810,MATCH(384,'Match Log'!$A$4:$A$810,0)),"")</f>
      </c>
      <c r="D408" t="str">
        <f>IFERROR(INDEX('Match Log'!$G$4:$G$810,MATCH(384,'Match Log'!$A$4:$A$810,0)),"")</f>
      </c>
      <c r="E408">
        <f>IFERROR(INDEX('Match Log'!$F$4:$F$810,MATCH(384,'Match Log'!$A$4:$A$810,0)),"")</f>
        <v>0</v>
      </c>
      <c r="F408">
        <f>IFERROR(SUMIFS('Match Log'!$I$4:$I$810,'Match Log'!$A$4:$A$810,384,'Match Log'!$E$4:$E$810,"Win"),"")</f>
        <v>0</v>
      </c>
      <c r="G408">
        <f>IF($D408="","",1-$F408*$E408)</f>
        <v>0</v>
      </c>
      <c r="H408" t="str">
        <f>IFERROR(IF($E408=2,LOOKUP(2,1/(('Match Log'!$A$4:$A$810=384)*('Match Log'!$E$4:$E$810="Loss")),'Match Log'!$D$4:$D$810),"the field"),"")</f>
      </c>
      <c r="I408">
        <f>IF($G408="","",$G408-$A408/1000000)</f>
        <v>0</v>
      </c>
      <c r="J408">
        <v>384</v>
      </c>
      <c r="K408">
        <f>IF($J408&gt;MAX('Match Log'!$A$4:$A$810),NA(),IFERROR(LOOKUP(2,1/(('Match Log'!$D$4:$D$810=$K$24)*('Match Log'!$A$4:$A$810&lt;=$J408)),'Match Log'!$N$4:$N$810),NA()))</f>
        <v>0</v>
      </c>
      <c r="L408">
        <f>IF($J408&gt;MAX('Match Log'!$A$4:$A$810),NA(),IFERROR(LOOKUP(2,1/(('Match Log'!$D$4:$D$810=$L$24)*('Match Log'!$A$4:$A$810&lt;=$J408)),'Match Log'!$N$4:$N$810),NA()))</f>
        <v>0</v>
      </c>
      <c r="M408">
        <f>IF($J408&gt;MAX('Match Log'!$A$4:$A$810),NA(),IFERROR(LOOKUP(2,1/(('Match Log'!$D$4:$D$810=$M$24)*('Match Log'!$A$4:$A$810&lt;=$J408)),'Match Log'!$N$4:$N$810),NA()))</f>
        <v>0</v>
      </c>
      <c r="N408">
        <f>IF($J408&gt;MAX('Match Log'!$A$4:$A$810),NA(),IFERROR(LOOKUP(2,1/(('Match Log'!$D$4:$D$810=$N$24)*('Match Log'!$A$4:$A$810&lt;=$J408)),'Match Log'!$N$4:$N$810),NA()))</f>
        <v>0</v>
      </c>
      <c r="O408">
        <f>IF($J408&gt;MAX('Match Log'!$A$4:$A$810),NA(),IFERROR(LOOKUP(2,1/(('Match Log'!$D$4:$D$810=$O$24)*('Match Log'!$A$4:$A$810&lt;=$J408)),'Match Log'!$N$4:$N$810),NA()))</f>
        <v>0</v>
      </c>
      <c r="P408">
        <f>IF($J408&gt;MAX('Match Log'!$A$4:$A$810),NA(),IFERROR(LOOKUP(2,1/(('Match Log'!$D$4:$D$810=$P$24)*('Match Log'!$A$4:$A$810&lt;=$J408)),'Match Log'!$N$4:$N$810),NA()))</f>
        <v>0</v>
      </c>
      <c r="Q408">
        <f>IF($J408&gt;MAX('Match Log'!$A$4:$A$810),NA(),IFERROR(LOOKUP(2,1/(('Match Log'!$D$4:$D$810=$Q$24)*('Match Log'!$A$4:$A$810&lt;=$J408)),'Match Log'!$N$4:$N$810),NA()))</f>
        <v>0</v>
      </c>
      <c r="R408">
        <f>IF($J408&gt;MAX('Match Log'!$A$4:$A$810),NA(),IFERROR(LOOKUP(2,1/(('Match Log'!$D$4:$D$810=$R$24)*('Match Log'!$A$4:$A$810&lt;=$J408)),'Match Log'!$N$4:$N$810),NA()))</f>
        <v>0</v>
      </c>
      <c r="S408">
        <f>IF($J408&gt;MAX('Match Log'!$A$4:$A$810),NA(),IFERROR(LOOKUP(2,1/(('Match Log'!$D$4:$D$810=$S$24)*('Match Log'!$A$4:$A$810&lt;=$J408)),'Match Log'!$N$4:$N$810),NA()))</f>
        <v>0</v>
      </c>
      <c r="T408">
        <f>IF($J408&gt;MAX('Match Log'!$A$4:$A$810),NA(),IFERROR(LOOKUP(2,1/(('Match Log'!$D$4:$D$810=$T$24)*('Match Log'!$A$4:$A$810&lt;=$J408)),'Match Log'!$N$4:$N$810),NA()))</f>
        <v>0</v>
      </c>
      <c r="U408">
        <f>IF($J408&gt;MAX('Match Log'!$A$4:$A$810),NA(),IFERROR(LOOKUP(2,1/(('Match Log'!$D$4:$D$810=$U$24)*('Match Log'!$A$4:$A$810&lt;=$J408)),'Match Log'!$N$4:$N$810),NA()))</f>
        <v>0</v>
      </c>
      <c r="V408">
        <f>IF($J408&gt;MAX('Match Log'!$A$4:$A$810),NA(),IFERROR(LOOKUP(2,1/(('Match Log'!$D$4:$D$810=$V$24)*('Match Log'!$A$4:$A$810&lt;=$J408)),'Match Log'!$N$4:$N$810),NA()))</f>
        <v>0</v>
      </c>
      <c r="W408">
        <f>IF($J408&gt;MAX('Match Log'!$A$4:$A$810),NA(),IFERROR(LOOKUP(2,1/(('Match Log'!$D$4:$D$810=$W$24)*('Match Log'!$A$4:$A$810&lt;=$J408)),'Match Log'!$N$4:$N$810),NA()))</f>
        <v>0</v>
      </c>
      <c r="X408">
        <f>IF($J408&gt;MAX('Match Log'!$A$4:$A$810),NA(),IFERROR(LOOKUP(2,1/(('Match Log'!$D$4:$D$810=$X$24)*('Match Log'!$A$4:$A$810&lt;=$J408)),'Match Log'!$N$4:$N$810),NA()))</f>
        <v>0</v>
      </c>
      <c r="Y408" t="str">
        <f>IF(AND($B408&lt;&gt;"",$B408&gt;=$B$5,$I408&lt;&gt;""),$I408,"")</f>
      </c>
    </row>
    <row r="409">
      <c r="A409">
        <v>385</v>
      </c>
      <c r="B409">
        <f>IFERROR(INDEX('Match Log'!$B$4:$B$810,MATCH(385,'Match Log'!$A$4:$A$810,0)),"")</f>
        <v>0</v>
      </c>
      <c r="C409" t="str">
        <f>IFERROR(INDEX('Match Log'!$C$4:$C$810,MATCH(385,'Match Log'!$A$4:$A$810,0)),"")</f>
      </c>
      <c r="D409" t="str">
        <f>IFERROR(INDEX('Match Log'!$G$4:$G$810,MATCH(385,'Match Log'!$A$4:$A$810,0)),"")</f>
      </c>
      <c r="E409">
        <f>IFERROR(INDEX('Match Log'!$F$4:$F$810,MATCH(385,'Match Log'!$A$4:$A$810,0)),"")</f>
        <v>0</v>
      </c>
      <c r="F409">
        <f>IFERROR(SUMIFS('Match Log'!$I$4:$I$810,'Match Log'!$A$4:$A$810,385,'Match Log'!$E$4:$E$810,"Win"),"")</f>
        <v>0</v>
      </c>
      <c r="G409">
        <f>IF($D409="","",1-$F409*$E409)</f>
        <v>0</v>
      </c>
      <c r="H409" t="str">
        <f>IFERROR(IF($E409=2,LOOKUP(2,1/(('Match Log'!$A$4:$A$810=385)*('Match Log'!$E$4:$E$810="Loss")),'Match Log'!$D$4:$D$810),"the field"),"")</f>
      </c>
      <c r="I409">
        <f>IF($G409="","",$G409-$A409/1000000)</f>
        <v>0</v>
      </c>
      <c r="J409">
        <v>385</v>
      </c>
      <c r="K409">
        <f>IF($J409&gt;MAX('Match Log'!$A$4:$A$810),NA(),IFERROR(LOOKUP(2,1/(('Match Log'!$D$4:$D$810=$K$24)*('Match Log'!$A$4:$A$810&lt;=$J409)),'Match Log'!$N$4:$N$810),NA()))</f>
        <v>0</v>
      </c>
      <c r="L409">
        <f>IF($J409&gt;MAX('Match Log'!$A$4:$A$810),NA(),IFERROR(LOOKUP(2,1/(('Match Log'!$D$4:$D$810=$L$24)*('Match Log'!$A$4:$A$810&lt;=$J409)),'Match Log'!$N$4:$N$810),NA()))</f>
        <v>0</v>
      </c>
      <c r="M409">
        <f>IF($J409&gt;MAX('Match Log'!$A$4:$A$810),NA(),IFERROR(LOOKUP(2,1/(('Match Log'!$D$4:$D$810=$M$24)*('Match Log'!$A$4:$A$810&lt;=$J409)),'Match Log'!$N$4:$N$810),NA()))</f>
        <v>0</v>
      </c>
      <c r="N409">
        <f>IF($J409&gt;MAX('Match Log'!$A$4:$A$810),NA(),IFERROR(LOOKUP(2,1/(('Match Log'!$D$4:$D$810=$N$24)*('Match Log'!$A$4:$A$810&lt;=$J409)),'Match Log'!$N$4:$N$810),NA()))</f>
        <v>0</v>
      </c>
      <c r="O409">
        <f>IF($J409&gt;MAX('Match Log'!$A$4:$A$810),NA(),IFERROR(LOOKUP(2,1/(('Match Log'!$D$4:$D$810=$O$24)*('Match Log'!$A$4:$A$810&lt;=$J409)),'Match Log'!$N$4:$N$810),NA()))</f>
        <v>0</v>
      </c>
      <c r="P409">
        <f>IF($J409&gt;MAX('Match Log'!$A$4:$A$810),NA(),IFERROR(LOOKUP(2,1/(('Match Log'!$D$4:$D$810=$P$24)*('Match Log'!$A$4:$A$810&lt;=$J409)),'Match Log'!$N$4:$N$810),NA()))</f>
        <v>0</v>
      </c>
      <c r="Q409">
        <f>IF($J409&gt;MAX('Match Log'!$A$4:$A$810),NA(),IFERROR(LOOKUP(2,1/(('Match Log'!$D$4:$D$810=$Q$24)*('Match Log'!$A$4:$A$810&lt;=$J409)),'Match Log'!$N$4:$N$810),NA()))</f>
        <v>0</v>
      </c>
      <c r="R409">
        <f>IF($J409&gt;MAX('Match Log'!$A$4:$A$810),NA(),IFERROR(LOOKUP(2,1/(('Match Log'!$D$4:$D$810=$R$24)*('Match Log'!$A$4:$A$810&lt;=$J409)),'Match Log'!$N$4:$N$810),NA()))</f>
        <v>0</v>
      </c>
      <c r="S409">
        <f>IF($J409&gt;MAX('Match Log'!$A$4:$A$810),NA(),IFERROR(LOOKUP(2,1/(('Match Log'!$D$4:$D$810=$S$24)*('Match Log'!$A$4:$A$810&lt;=$J409)),'Match Log'!$N$4:$N$810),NA()))</f>
        <v>0</v>
      </c>
      <c r="T409">
        <f>IF($J409&gt;MAX('Match Log'!$A$4:$A$810),NA(),IFERROR(LOOKUP(2,1/(('Match Log'!$D$4:$D$810=$T$24)*('Match Log'!$A$4:$A$810&lt;=$J409)),'Match Log'!$N$4:$N$810),NA()))</f>
        <v>0</v>
      </c>
      <c r="U409">
        <f>IF($J409&gt;MAX('Match Log'!$A$4:$A$810),NA(),IFERROR(LOOKUP(2,1/(('Match Log'!$D$4:$D$810=$U$24)*('Match Log'!$A$4:$A$810&lt;=$J409)),'Match Log'!$N$4:$N$810),NA()))</f>
        <v>0</v>
      </c>
      <c r="V409">
        <f>IF($J409&gt;MAX('Match Log'!$A$4:$A$810),NA(),IFERROR(LOOKUP(2,1/(('Match Log'!$D$4:$D$810=$V$24)*('Match Log'!$A$4:$A$810&lt;=$J409)),'Match Log'!$N$4:$N$810),NA()))</f>
        <v>0</v>
      </c>
      <c r="W409">
        <f>IF($J409&gt;MAX('Match Log'!$A$4:$A$810),NA(),IFERROR(LOOKUP(2,1/(('Match Log'!$D$4:$D$810=$W$24)*('Match Log'!$A$4:$A$810&lt;=$J409)),'Match Log'!$N$4:$N$810),NA()))</f>
        <v>0</v>
      </c>
      <c r="X409">
        <f>IF($J409&gt;MAX('Match Log'!$A$4:$A$810),NA(),IFERROR(LOOKUP(2,1/(('Match Log'!$D$4:$D$810=$X$24)*('Match Log'!$A$4:$A$810&lt;=$J409)),'Match Log'!$N$4:$N$810),NA()))</f>
        <v>0</v>
      </c>
      <c r="Y409" t="str">
        <f>IF(AND($B409&lt;&gt;"",$B409&gt;=$B$5,$I409&lt;&gt;""),$I409,"")</f>
      </c>
    </row>
    <row r="410">
      <c r="A410">
        <v>386</v>
      </c>
      <c r="B410">
        <f>IFERROR(INDEX('Match Log'!$B$4:$B$810,MATCH(386,'Match Log'!$A$4:$A$810,0)),"")</f>
        <v>0</v>
      </c>
      <c r="C410" t="str">
        <f>IFERROR(INDEX('Match Log'!$C$4:$C$810,MATCH(386,'Match Log'!$A$4:$A$810,0)),"")</f>
      </c>
      <c r="D410" t="str">
        <f>IFERROR(INDEX('Match Log'!$G$4:$G$810,MATCH(386,'Match Log'!$A$4:$A$810,0)),"")</f>
      </c>
      <c r="E410">
        <f>IFERROR(INDEX('Match Log'!$F$4:$F$810,MATCH(386,'Match Log'!$A$4:$A$810,0)),"")</f>
        <v>0</v>
      </c>
      <c r="F410">
        <f>IFERROR(SUMIFS('Match Log'!$I$4:$I$810,'Match Log'!$A$4:$A$810,386,'Match Log'!$E$4:$E$810,"Win"),"")</f>
        <v>0</v>
      </c>
      <c r="G410">
        <f>IF($D410="","",1-$F410*$E410)</f>
        <v>0</v>
      </c>
      <c r="H410" t="str">
        <f>IFERROR(IF($E410=2,LOOKUP(2,1/(('Match Log'!$A$4:$A$810=386)*('Match Log'!$E$4:$E$810="Loss")),'Match Log'!$D$4:$D$810),"the field"),"")</f>
      </c>
      <c r="I410">
        <f>IF($G410="","",$G410-$A410/1000000)</f>
        <v>0</v>
      </c>
      <c r="J410">
        <v>386</v>
      </c>
      <c r="K410">
        <f>IF($J410&gt;MAX('Match Log'!$A$4:$A$810),NA(),IFERROR(LOOKUP(2,1/(('Match Log'!$D$4:$D$810=$K$24)*('Match Log'!$A$4:$A$810&lt;=$J410)),'Match Log'!$N$4:$N$810),NA()))</f>
        <v>0</v>
      </c>
      <c r="L410">
        <f>IF($J410&gt;MAX('Match Log'!$A$4:$A$810),NA(),IFERROR(LOOKUP(2,1/(('Match Log'!$D$4:$D$810=$L$24)*('Match Log'!$A$4:$A$810&lt;=$J410)),'Match Log'!$N$4:$N$810),NA()))</f>
        <v>0</v>
      </c>
      <c r="M410">
        <f>IF($J410&gt;MAX('Match Log'!$A$4:$A$810),NA(),IFERROR(LOOKUP(2,1/(('Match Log'!$D$4:$D$810=$M$24)*('Match Log'!$A$4:$A$810&lt;=$J410)),'Match Log'!$N$4:$N$810),NA()))</f>
        <v>0</v>
      </c>
      <c r="N410">
        <f>IF($J410&gt;MAX('Match Log'!$A$4:$A$810),NA(),IFERROR(LOOKUP(2,1/(('Match Log'!$D$4:$D$810=$N$24)*('Match Log'!$A$4:$A$810&lt;=$J410)),'Match Log'!$N$4:$N$810),NA()))</f>
        <v>0</v>
      </c>
      <c r="O410">
        <f>IF($J410&gt;MAX('Match Log'!$A$4:$A$810),NA(),IFERROR(LOOKUP(2,1/(('Match Log'!$D$4:$D$810=$O$24)*('Match Log'!$A$4:$A$810&lt;=$J410)),'Match Log'!$N$4:$N$810),NA()))</f>
        <v>0</v>
      </c>
      <c r="P410">
        <f>IF($J410&gt;MAX('Match Log'!$A$4:$A$810),NA(),IFERROR(LOOKUP(2,1/(('Match Log'!$D$4:$D$810=$P$24)*('Match Log'!$A$4:$A$810&lt;=$J410)),'Match Log'!$N$4:$N$810),NA()))</f>
        <v>0</v>
      </c>
      <c r="Q410">
        <f>IF($J410&gt;MAX('Match Log'!$A$4:$A$810),NA(),IFERROR(LOOKUP(2,1/(('Match Log'!$D$4:$D$810=$Q$24)*('Match Log'!$A$4:$A$810&lt;=$J410)),'Match Log'!$N$4:$N$810),NA()))</f>
        <v>0</v>
      </c>
      <c r="R410">
        <f>IF($J410&gt;MAX('Match Log'!$A$4:$A$810),NA(),IFERROR(LOOKUP(2,1/(('Match Log'!$D$4:$D$810=$R$24)*('Match Log'!$A$4:$A$810&lt;=$J410)),'Match Log'!$N$4:$N$810),NA()))</f>
        <v>0</v>
      </c>
      <c r="S410">
        <f>IF($J410&gt;MAX('Match Log'!$A$4:$A$810),NA(),IFERROR(LOOKUP(2,1/(('Match Log'!$D$4:$D$810=$S$24)*('Match Log'!$A$4:$A$810&lt;=$J410)),'Match Log'!$N$4:$N$810),NA()))</f>
        <v>0</v>
      </c>
      <c r="T410">
        <f>IF($J410&gt;MAX('Match Log'!$A$4:$A$810),NA(),IFERROR(LOOKUP(2,1/(('Match Log'!$D$4:$D$810=$T$24)*('Match Log'!$A$4:$A$810&lt;=$J410)),'Match Log'!$N$4:$N$810),NA()))</f>
        <v>0</v>
      </c>
      <c r="U410">
        <f>IF($J410&gt;MAX('Match Log'!$A$4:$A$810),NA(),IFERROR(LOOKUP(2,1/(('Match Log'!$D$4:$D$810=$U$24)*('Match Log'!$A$4:$A$810&lt;=$J410)),'Match Log'!$N$4:$N$810),NA()))</f>
        <v>0</v>
      </c>
      <c r="V410">
        <f>IF($J410&gt;MAX('Match Log'!$A$4:$A$810),NA(),IFERROR(LOOKUP(2,1/(('Match Log'!$D$4:$D$810=$V$24)*('Match Log'!$A$4:$A$810&lt;=$J410)),'Match Log'!$N$4:$N$810),NA()))</f>
        <v>0</v>
      </c>
      <c r="W410">
        <f>IF($J410&gt;MAX('Match Log'!$A$4:$A$810),NA(),IFERROR(LOOKUP(2,1/(('Match Log'!$D$4:$D$810=$W$24)*('Match Log'!$A$4:$A$810&lt;=$J410)),'Match Log'!$N$4:$N$810),NA()))</f>
        <v>0</v>
      </c>
      <c r="X410">
        <f>IF($J410&gt;MAX('Match Log'!$A$4:$A$810),NA(),IFERROR(LOOKUP(2,1/(('Match Log'!$D$4:$D$810=$X$24)*('Match Log'!$A$4:$A$810&lt;=$J410)),'Match Log'!$N$4:$N$810),NA()))</f>
        <v>0</v>
      </c>
      <c r="Y410" t="str">
        <f>IF(AND($B410&lt;&gt;"",$B410&gt;=$B$5,$I410&lt;&gt;""),$I410,"")</f>
      </c>
    </row>
    <row r="411">
      <c r="A411">
        <v>387</v>
      </c>
      <c r="B411">
        <f>IFERROR(INDEX('Match Log'!$B$4:$B$810,MATCH(387,'Match Log'!$A$4:$A$810,0)),"")</f>
        <v>0</v>
      </c>
      <c r="C411" t="str">
        <f>IFERROR(INDEX('Match Log'!$C$4:$C$810,MATCH(387,'Match Log'!$A$4:$A$810,0)),"")</f>
      </c>
      <c r="D411" t="str">
        <f>IFERROR(INDEX('Match Log'!$G$4:$G$810,MATCH(387,'Match Log'!$A$4:$A$810,0)),"")</f>
      </c>
      <c r="E411">
        <f>IFERROR(INDEX('Match Log'!$F$4:$F$810,MATCH(387,'Match Log'!$A$4:$A$810,0)),"")</f>
        <v>0</v>
      </c>
      <c r="F411">
        <f>IFERROR(SUMIFS('Match Log'!$I$4:$I$810,'Match Log'!$A$4:$A$810,387,'Match Log'!$E$4:$E$810,"Win"),"")</f>
        <v>0</v>
      </c>
      <c r="G411">
        <f>IF($D411="","",1-$F411*$E411)</f>
        <v>0</v>
      </c>
      <c r="H411" t="str">
        <f>IFERROR(IF($E411=2,LOOKUP(2,1/(('Match Log'!$A$4:$A$810=387)*('Match Log'!$E$4:$E$810="Loss")),'Match Log'!$D$4:$D$810),"the field"),"")</f>
      </c>
      <c r="I411">
        <f>IF($G411="","",$G411-$A411/1000000)</f>
        <v>0</v>
      </c>
      <c r="J411">
        <v>387</v>
      </c>
      <c r="K411">
        <f>IF($J411&gt;MAX('Match Log'!$A$4:$A$810),NA(),IFERROR(LOOKUP(2,1/(('Match Log'!$D$4:$D$810=$K$24)*('Match Log'!$A$4:$A$810&lt;=$J411)),'Match Log'!$N$4:$N$810),NA()))</f>
        <v>0</v>
      </c>
      <c r="L411">
        <f>IF($J411&gt;MAX('Match Log'!$A$4:$A$810),NA(),IFERROR(LOOKUP(2,1/(('Match Log'!$D$4:$D$810=$L$24)*('Match Log'!$A$4:$A$810&lt;=$J411)),'Match Log'!$N$4:$N$810),NA()))</f>
        <v>0</v>
      </c>
      <c r="M411">
        <f>IF($J411&gt;MAX('Match Log'!$A$4:$A$810),NA(),IFERROR(LOOKUP(2,1/(('Match Log'!$D$4:$D$810=$M$24)*('Match Log'!$A$4:$A$810&lt;=$J411)),'Match Log'!$N$4:$N$810),NA()))</f>
        <v>0</v>
      </c>
      <c r="N411">
        <f>IF($J411&gt;MAX('Match Log'!$A$4:$A$810),NA(),IFERROR(LOOKUP(2,1/(('Match Log'!$D$4:$D$810=$N$24)*('Match Log'!$A$4:$A$810&lt;=$J411)),'Match Log'!$N$4:$N$810),NA()))</f>
        <v>0</v>
      </c>
      <c r="O411">
        <f>IF($J411&gt;MAX('Match Log'!$A$4:$A$810),NA(),IFERROR(LOOKUP(2,1/(('Match Log'!$D$4:$D$810=$O$24)*('Match Log'!$A$4:$A$810&lt;=$J411)),'Match Log'!$N$4:$N$810),NA()))</f>
        <v>0</v>
      </c>
      <c r="P411">
        <f>IF($J411&gt;MAX('Match Log'!$A$4:$A$810),NA(),IFERROR(LOOKUP(2,1/(('Match Log'!$D$4:$D$810=$P$24)*('Match Log'!$A$4:$A$810&lt;=$J411)),'Match Log'!$N$4:$N$810),NA()))</f>
        <v>0</v>
      </c>
      <c r="Q411">
        <f>IF($J411&gt;MAX('Match Log'!$A$4:$A$810),NA(),IFERROR(LOOKUP(2,1/(('Match Log'!$D$4:$D$810=$Q$24)*('Match Log'!$A$4:$A$810&lt;=$J411)),'Match Log'!$N$4:$N$810),NA()))</f>
        <v>0</v>
      </c>
      <c r="R411">
        <f>IF($J411&gt;MAX('Match Log'!$A$4:$A$810),NA(),IFERROR(LOOKUP(2,1/(('Match Log'!$D$4:$D$810=$R$24)*('Match Log'!$A$4:$A$810&lt;=$J411)),'Match Log'!$N$4:$N$810),NA()))</f>
        <v>0</v>
      </c>
      <c r="S411">
        <f>IF($J411&gt;MAX('Match Log'!$A$4:$A$810),NA(),IFERROR(LOOKUP(2,1/(('Match Log'!$D$4:$D$810=$S$24)*('Match Log'!$A$4:$A$810&lt;=$J411)),'Match Log'!$N$4:$N$810),NA()))</f>
        <v>0</v>
      </c>
      <c r="T411">
        <f>IF($J411&gt;MAX('Match Log'!$A$4:$A$810),NA(),IFERROR(LOOKUP(2,1/(('Match Log'!$D$4:$D$810=$T$24)*('Match Log'!$A$4:$A$810&lt;=$J411)),'Match Log'!$N$4:$N$810),NA()))</f>
        <v>0</v>
      </c>
      <c r="U411">
        <f>IF($J411&gt;MAX('Match Log'!$A$4:$A$810),NA(),IFERROR(LOOKUP(2,1/(('Match Log'!$D$4:$D$810=$U$24)*('Match Log'!$A$4:$A$810&lt;=$J411)),'Match Log'!$N$4:$N$810),NA()))</f>
        <v>0</v>
      </c>
      <c r="V411">
        <f>IF($J411&gt;MAX('Match Log'!$A$4:$A$810),NA(),IFERROR(LOOKUP(2,1/(('Match Log'!$D$4:$D$810=$V$24)*('Match Log'!$A$4:$A$810&lt;=$J411)),'Match Log'!$N$4:$N$810),NA()))</f>
        <v>0</v>
      </c>
      <c r="W411">
        <f>IF($J411&gt;MAX('Match Log'!$A$4:$A$810),NA(),IFERROR(LOOKUP(2,1/(('Match Log'!$D$4:$D$810=$W$24)*('Match Log'!$A$4:$A$810&lt;=$J411)),'Match Log'!$N$4:$N$810),NA()))</f>
        <v>0</v>
      </c>
      <c r="X411">
        <f>IF($J411&gt;MAX('Match Log'!$A$4:$A$810),NA(),IFERROR(LOOKUP(2,1/(('Match Log'!$D$4:$D$810=$X$24)*('Match Log'!$A$4:$A$810&lt;=$J411)),'Match Log'!$N$4:$N$810),NA()))</f>
        <v>0</v>
      </c>
      <c r="Y411" t="str">
        <f>IF(AND($B411&lt;&gt;"",$B411&gt;=$B$5,$I411&lt;&gt;""),$I411,"")</f>
      </c>
    </row>
    <row r="412">
      <c r="A412">
        <v>388</v>
      </c>
      <c r="B412">
        <f>IFERROR(INDEX('Match Log'!$B$4:$B$810,MATCH(388,'Match Log'!$A$4:$A$810,0)),"")</f>
        <v>0</v>
      </c>
      <c r="C412" t="str">
        <f>IFERROR(INDEX('Match Log'!$C$4:$C$810,MATCH(388,'Match Log'!$A$4:$A$810,0)),"")</f>
      </c>
      <c r="D412" t="str">
        <f>IFERROR(INDEX('Match Log'!$G$4:$G$810,MATCH(388,'Match Log'!$A$4:$A$810,0)),"")</f>
      </c>
      <c r="E412">
        <f>IFERROR(INDEX('Match Log'!$F$4:$F$810,MATCH(388,'Match Log'!$A$4:$A$810,0)),"")</f>
        <v>0</v>
      </c>
      <c r="F412">
        <f>IFERROR(SUMIFS('Match Log'!$I$4:$I$810,'Match Log'!$A$4:$A$810,388,'Match Log'!$E$4:$E$810,"Win"),"")</f>
        <v>0</v>
      </c>
      <c r="G412">
        <f>IF($D412="","",1-$F412*$E412)</f>
        <v>0</v>
      </c>
      <c r="H412" t="str">
        <f>IFERROR(IF($E412=2,LOOKUP(2,1/(('Match Log'!$A$4:$A$810=388)*('Match Log'!$E$4:$E$810="Loss")),'Match Log'!$D$4:$D$810),"the field"),"")</f>
      </c>
      <c r="I412">
        <f>IF($G412="","",$G412-$A412/1000000)</f>
        <v>0</v>
      </c>
      <c r="J412">
        <v>388</v>
      </c>
      <c r="K412">
        <f>IF($J412&gt;MAX('Match Log'!$A$4:$A$810),NA(),IFERROR(LOOKUP(2,1/(('Match Log'!$D$4:$D$810=$K$24)*('Match Log'!$A$4:$A$810&lt;=$J412)),'Match Log'!$N$4:$N$810),NA()))</f>
        <v>0</v>
      </c>
      <c r="L412">
        <f>IF($J412&gt;MAX('Match Log'!$A$4:$A$810),NA(),IFERROR(LOOKUP(2,1/(('Match Log'!$D$4:$D$810=$L$24)*('Match Log'!$A$4:$A$810&lt;=$J412)),'Match Log'!$N$4:$N$810),NA()))</f>
        <v>0</v>
      </c>
      <c r="M412">
        <f>IF($J412&gt;MAX('Match Log'!$A$4:$A$810),NA(),IFERROR(LOOKUP(2,1/(('Match Log'!$D$4:$D$810=$M$24)*('Match Log'!$A$4:$A$810&lt;=$J412)),'Match Log'!$N$4:$N$810),NA()))</f>
        <v>0</v>
      </c>
      <c r="N412">
        <f>IF($J412&gt;MAX('Match Log'!$A$4:$A$810),NA(),IFERROR(LOOKUP(2,1/(('Match Log'!$D$4:$D$810=$N$24)*('Match Log'!$A$4:$A$810&lt;=$J412)),'Match Log'!$N$4:$N$810),NA()))</f>
        <v>0</v>
      </c>
      <c r="O412">
        <f>IF($J412&gt;MAX('Match Log'!$A$4:$A$810),NA(),IFERROR(LOOKUP(2,1/(('Match Log'!$D$4:$D$810=$O$24)*('Match Log'!$A$4:$A$810&lt;=$J412)),'Match Log'!$N$4:$N$810),NA()))</f>
        <v>0</v>
      </c>
      <c r="P412">
        <f>IF($J412&gt;MAX('Match Log'!$A$4:$A$810),NA(),IFERROR(LOOKUP(2,1/(('Match Log'!$D$4:$D$810=$P$24)*('Match Log'!$A$4:$A$810&lt;=$J412)),'Match Log'!$N$4:$N$810),NA()))</f>
        <v>0</v>
      </c>
      <c r="Q412">
        <f>IF($J412&gt;MAX('Match Log'!$A$4:$A$810),NA(),IFERROR(LOOKUP(2,1/(('Match Log'!$D$4:$D$810=$Q$24)*('Match Log'!$A$4:$A$810&lt;=$J412)),'Match Log'!$N$4:$N$810),NA()))</f>
        <v>0</v>
      </c>
      <c r="R412">
        <f>IF($J412&gt;MAX('Match Log'!$A$4:$A$810),NA(),IFERROR(LOOKUP(2,1/(('Match Log'!$D$4:$D$810=$R$24)*('Match Log'!$A$4:$A$810&lt;=$J412)),'Match Log'!$N$4:$N$810),NA()))</f>
        <v>0</v>
      </c>
      <c r="S412">
        <f>IF($J412&gt;MAX('Match Log'!$A$4:$A$810),NA(),IFERROR(LOOKUP(2,1/(('Match Log'!$D$4:$D$810=$S$24)*('Match Log'!$A$4:$A$810&lt;=$J412)),'Match Log'!$N$4:$N$810),NA()))</f>
        <v>0</v>
      </c>
      <c r="T412">
        <f>IF($J412&gt;MAX('Match Log'!$A$4:$A$810),NA(),IFERROR(LOOKUP(2,1/(('Match Log'!$D$4:$D$810=$T$24)*('Match Log'!$A$4:$A$810&lt;=$J412)),'Match Log'!$N$4:$N$810),NA()))</f>
        <v>0</v>
      </c>
      <c r="U412">
        <f>IF($J412&gt;MAX('Match Log'!$A$4:$A$810),NA(),IFERROR(LOOKUP(2,1/(('Match Log'!$D$4:$D$810=$U$24)*('Match Log'!$A$4:$A$810&lt;=$J412)),'Match Log'!$N$4:$N$810),NA()))</f>
        <v>0</v>
      </c>
      <c r="V412">
        <f>IF($J412&gt;MAX('Match Log'!$A$4:$A$810),NA(),IFERROR(LOOKUP(2,1/(('Match Log'!$D$4:$D$810=$V$24)*('Match Log'!$A$4:$A$810&lt;=$J412)),'Match Log'!$N$4:$N$810),NA()))</f>
        <v>0</v>
      </c>
      <c r="W412">
        <f>IF($J412&gt;MAX('Match Log'!$A$4:$A$810),NA(),IFERROR(LOOKUP(2,1/(('Match Log'!$D$4:$D$810=$W$24)*('Match Log'!$A$4:$A$810&lt;=$J412)),'Match Log'!$N$4:$N$810),NA()))</f>
        <v>0</v>
      </c>
      <c r="X412">
        <f>IF($J412&gt;MAX('Match Log'!$A$4:$A$810),NA(),IFERROR(LOOKUP(2,1/(('Match Log'!$D$4:$D$810=$X$24)*('Match Log'!$A$4:$A$810&lt;=$J412)),'Match Log'!$N$4:$N$810),NA()))</f>
        <v>0</v>
      </c>
      <c r="Y412" t="str">
        <f>IF(AND($B412&lt;&gt;"",$B412&gt;=$B$5,$I412&lt;&gt;""),$I412,"")</f>
      </c>
    </row>
    <row r="413">
      <c r="A413">
        <v>389</v>
      </c>
      <c r="B413">
        <f>IFERROR(INDEX('Match Log'!$B$4:$B$810,MATCH(389,'Match Log'!$A$4:$A$810,0)),"")</f>
        <v>0</v>
      </c>
      <c r="C413" t="str">
        <f>IFERROR(INDEX('Match Log'!$C$4:$C$810,MATCH(389,'Match Log'!$A$4:$A$810,0)),"")</f>
      </c>
      <c r="D413" t="str">
        <f>IFERROR(INDEX('Match Log'!$G$4:$G$810,MATCH(389,'Match Log'!$A$4:$A$810,0)),"")</f>
      </c>
      <c r="E413">
        <f>IFERROR(INDEX('Match Log'!$F$4:$F$810,MATCH(389,'Match Log'!$A$4:$A$810,0)),"")</f>
        <v>0</v>
      </c>
      <c r="F413">
        <f>IFERROR(SUMIFS('Match Log'!$I$4:$I$810,'Match Log'!$A$4:$A$810,389,'Match Log'!$E$4:$E$810,"Win"),"")</f>
        <v>0</v>
      </c>
      <c r="G413">
        <f>IF($D413="","",1-$F413*$E413)</f>
        <v>0</v>
      </c>
      <c r="H413" t="str">
        <f>IFERROR(IF($E413=2,LOOKUP(2,1/(('Match Log'!$A$4:$A$810=389)*('Match Log'!$E$4:$E$810="Loss")),'Match Log'!$D$4:$D$810),"the field"),"")</f>
      </c>
      <c r="I413">
        <f>IF($G413="","",$G413-$A413/1000000)</f>
        <v>0</v>
      </c>
      <c r="J413">
        <v>389</v>
      </c>
      <c r="K413">
        <f>IF($J413&gt;MAX('Match Log'!$A$4:$A$810),NA(),IFERROR(LOOKUP(2,1/(('Match Log'!$D$4:$D$810=$K$24)*('Match Log'!$A$4:$A$810&lt;=$J413)),'Match Log'!$N$4:$N$810),NA()))</f>
        <v>0</v>
      </c>
      <c r="L413">
        <f>IF($J413&gt;MAX('Match Log'!$A$4:$A$810),NA(),IFERROR(LOOKUP(2,1/(('Match Log'!$D$4:$D$810=$L$24)*('Match Log'!$A$4:$A$810&lt;=$J413)),'Match Log'!$N$4:$N$810),NA()))</f>
        <v>0</v>
      </c>
      <c r="M413">
        <f>IF($J413&gt;MAX('Match Log'!$A$4:$A$810),NA(),IFERROR(LOOKUP(2,1/(('Match Log'!$D$4:$D$810=$M$24)*('Match Log'!$A$4:$A$810&lt;=$J413)),'Match Log'!$N$4:$N$810),NA()))</f>
        <v>0</v>
      </c>
      <c r="N413">
        <f>IF($J413&gt;MAX('Match Log'!$A$4:$A$810),NA(),IFERROR(LOOKUP(2,1/(('Match Log'!$D$4:$D$810=$N$24)*('Match Log'!$A$4:$A$810&lt;=$J413)),'Match Log'!$N$4:$N$810),NA()))</f>
        <v>0</v>
      </c>
      <c r="O413">
        <f>IF($J413&gt;MAX('Match Log'!$A$4:$A$810),NA(),IFERROR(LOOKUP(2,1/(('Match Log'!$D$4:$D$810=$O$24)*('Match Log'!$A$4:$A$810&lt;=$J413)),'Match Log'!$N$4:$N$810),NA()))</f>
        <v>0</v>
      </c>
      <c r="P413">
        <f>IF($J413&gt;MAX('Match Log'!$A$4:$A$810),NA(),IFERROR(LOOKUP(2,1/(('Match Log'!$D$4:$D$810=$P$24)*('Match Log'!$A$4:$A$810&lt;=$J413)),'Match Log'!$N$4:$N$810),NA()))</f>
        <v>0</v>
      </c>
      <c r="Q413">
        <f>IF($J413&gt;MAX('Match Log'!$A$4:$A$810),NA(),IFERROR(LOOKUP(2,1/(('Match Log'!$D$4:$D$810=$Q$24)*('Match Log'!$A$4:$A$810&lt;=$J413)),'Match Log'!$N$4:$N$810),NA()))</f>
        <v>0</v>
      </c>
      <c r="R413">
        <f>IF($J413&gt;MAX('Match Log'!$A$4:$A$810),NA(),IFERROR(LOOKUP(2,1/(('Match Log'!$D$4:$D$810=$R$24)*('Match Log'!$A$4:$A$810&lt;=$J413)),'Match Log'!$N$4:$N$810),NA()))</f>
        <v>0</v>
      </c>
      <c r="S413">
        <f>IF($J413&gt;MAX('Match Log'!$A$4:$A$810),NA(),IFERROR(LOOKUP(2,1/(('Match Log'!$D$4:$D$810=$S$24)*('Match Log'!$A$4:$A$810&lt;=$J413)),'Match Log'!$N$4:$N$810),NA()))</f>
        <v>0</v>
      </c>
      <c r="T413">
        <f>IF($J413&gt;MAX('Match Log'!$A$4:$A$810),NA(),IFERROR(LOOKUP(2,1/(('Match Log'!$D$4:$D$810=$T$24)*('Match Log'!$A$4:$A$810&lt;=$J413)),'Match Log'!$N$4:$N$810),NA()))</f>
        <v>0</v>
      </c>
      <c r="U413">
        <f>IF($J413&gt;MAX('Match Log'!$A$4:$A$810),NA(),IFERROR(LOOKUP(2,1/(('Match Log'!$D$4:$D$810=$U$24)*('Match Log'!$A$4:$A$810&lt;=$J413)),'Match Log'!$N$4:$N$810),NA()))</f>
        <v>0</v>
      </c>
      <c r="V413">
        <f>IF($J413&gt;MAX('Match Log'!$A$4:$A$810),NA(),IFERROR(LOOKUP(2,1/(('Match Log'!$D$4:$D$810=$V$24)*('Match Log'!$A$4:$A$810&lt;=$J413)),'Match Log'!$N$4:$N$810),NA()))</f>
        <v>0</v>
      </c>
      <c r="W413">
        <f>IF($J413&gt;MAX('Match Log'!$A$4:$A$810),NA(),IFERROR(LOOKUP(2,1/(('Match Log'!$D$4:$D$810=$W$24)*('Match Log'!$A$4:$A$810&lt;=$J413)),'Match Log'!$N$4:$N$810),NA()))</f>
        <v>0</v>
      </c>
      <c r="X413">
        <f>IF($J413&gt;MAX('Match Log'!$A$4:$A$810),NA(),IFERROR(LOOKUP(2,1/(('Match Log'!$D$4:$D$810=$X$24)*('Match Log'!$A$4:$A$810&lt;=$J413)),'Match Log'!$N$4:$N$810),NA()))</f>
        <v>0</v>
      </c>
      <c r="Y413" t="str">
        <f>IF(AND($B413&lt;&gt;"",$B413&gt;=$B$5,$I413&lt;&gt;""),$I413,"")</f>
      </c>
    </row>
    <row r="414">
      <c r="A414">
        <v>390</v>
      </c>
      <c r="B414">
        <f>IFERROR(INDEX('Match Log'!$B$4:$B$810,MATCH(390,'Match Log'!$A$4:$A$810,0)),"")</f>
        <v>0</v>
      </c>
      <c r="C414" t="str">
        <f>IFERROR(INDEX('Match Log'!$C$4:$C$810,MATCH(390,'Match Log'!$A$4:$A$810,0)),"")</f>
      </c>
      <c r="D414" t="str">
        <f>IFERROR(INDEX('Match Log'!$G$4:$G$810,MATCH(390,'Match Log'!$A$4:$A$810,0)),"")</f>
      </c>
      <c r="E414">
        <f>IFERROR(INDEX('Match Log'!$F$4:$F$810,MATCH(390,'Match Log'!$A$4:$A$810,0)),"")</f>
        <v>0</v>
      </c>
      <c r="F414">
        <f>IFERROR(SUMIFS('Match Log'!$I$4:$I$810,'Match Log'!$A$4:$A$810,390,'Match Log'!$E$4:$E$810,"Win"),"")</f>
        <v>0</v>
      </c>
      <c r="G414">
        <f>IF($D414="","",1-$F414*$E414)</f>
        <v>0</v>
      </c>
      <c r="H414" t="str">
        <f>IFERROR(IF($E414=2,LOOKUP(2,1/(('Match Log'!$A$4:$A$810=390)*('Match Log'!$E$4:$E$810="Loss")),'Match Log'!$D$4:$D$810),"the field"),"")</f>
      </c>
      <c r="I414">
        <f>IF($G414="","",$G414-$A414/1000000)</f>
        <v>0</v>
      </c>
      <c r="J414">
        <v>390</v>
      </c>
      <c r="K414">
        <f>IF($J414&gt;MAX('Match Log'!$A$4:$A$810),NA(),IFERROR(LOOKUP(2,1/(('Match Log'!$D$4:$D$810=$K$24)*('Match Log'!$A$4:$A$810&lt;=$J414)),'Match Log'!$N$4:$N$810),NA()))</f>
        <v>0</v>
      </c>
      <c r="L414">
        <f>IF($J414&gt;MAX('Match Log'!$A$4:$A$810),NA(),IFERROR(LOOKUP(2,1/(('Match Log'!$D$4:$D$810=$L$24)*('Match Log'!$A$4:$A$810&lt;=$J414)),'Match Log'!$N$4:$N$810),NA()))</f>
        <v>0</v>
      </c>
      <c r="M414">
        <f>IF($J414&gt;MAX('Match Log'!$A$4:$A$810),NA(),IFERROR(LOOKUP(2,1/(('Match Log'!$D$4:$D$810=$M$24)*('Match Log'!$A$4:$A$810&lt;=$J414)),'Match Log'!$N$4:$N$810),NA()))</f>
        <v>0</v>
      </c>
      <c r="N414">
        <f>IF($J414&gt;MAX('Match Log'!$A$4:$A$810),NA(),IFERROR(LOOKUP(2,1/(('Match Log'!$D$4:$D$810=$N$24)*('Match Log'!$A$4:$A$810&lt;=$J414)),'Match Log'!$N$4:$N$810),NA()))</f>
        <v>0</v>
      </c>
      <c r="O414">
        <f>IF($J414&gt;MAX('Match Log'!$A$4:$A$810),NA(),IFERROR(LOOKUP(2,1/(('Match Log'!$D$4:$D$810=$O$24)*('Match Log'!$A$4:$A$810&lt;=$J414)),'Match Log'!$N$4:$N$810),NA()))</f>
        <v>0</v>
      </c>
      <c r="P414">
        <f>IF($J414&gt;MAX('Match Log'!$A$4:$A$810),NA(),IFERROR(LOOKUP(2,1/(('Match Log'!$D$4:$D$810=$P$24)*('Match Log'!$A$4:$A$810&lt;=$J414)),'Match Log'!$N$4:$N$810),NA()))</f>
        <v>0</v>
      </c>
      <c r="Q414">
        <f>IF($J414&gt;MAX('Match Log'!$A$4:$A$810),NA(),IFERROR(LOOKUP(2,1/(('Match Log'!$D$4:$D$810=$Q$24)*('Match Log'!$A$4:$A$810&lt;=$J414)),'Match Log'!$N$4:$N$810),NA()))</f>
        <v>0</v>
      </c>
      <c r="R414">
        <f>IF($J414&gt;MAX('Match Log'!$A$4:$A$810),NA(),IFERROR(LOOKUP(2,1/(('Match Log'!$D$4:$D$810=$R$24)*('Match Log'!$A$4:$A$810&lt;=$J414)),'Match Log'!$N$4:$N$810),NA()))</f>
        <v>0</v>
      </c>
      <c r="S414">
        <f>IF($J414&gt;MAX('Match Log'!$A$4:$A$810),NA(),IFERROR(LOOKUP(2,1/(('Match Log'!$D$4:$D$810=$S$24)*('Match Log'!$A$4:$A$810&lt;=$J414)),'Match Log'!$N$4:$N$810),NA()))</f>
        <v>0</v>
      </c>
      <c r="T414">
        <f>IF($J414&gt;MAX('Match Log'!$A$4:$A$810),NA(),IFERROR(LOOKUP(2,1/(('Match Log'!$D$4:$D$810=$T$24)*('Match Log'!$A$4:$A$810&lt;=$J414)),'Match Log'!$N$4:$N$810),NA()))</f>
        <v>0</v>
      </c>
      <c r="U414">
        <f>IF($J414&gt;MAX('Match Log'!$A$4:$A$810),NA(),IFERROR(LOOKUP(2,1/(('Match Log'!$D$4:$D$810=$U$24)*('Match Log'!$A$4:$A$810&lt;=$J414)),'Match Log'!$N$4:$N$810),NA()))</f>
        <v>0</v>
      </c>
      <c r="V414">
        <f>IF($J414&gt;MAX('Match Log'!$A$4:$A$810),NA(),IFERROR(LOOKUP(2,1/(('Match Log'!$D$4:$D$810=$V$24)*('Match Log'!$A$4:$A$810&lt;=$J414)),'Match Log'!$N$4:$N$810),NA()))</f>
        <v>0</v>
      </c>
      <c r="W414">
        <f>IF($J414&gt;MAX('Match Log'!$A$4:$A$810),NA(),IFERROR(LOOKUP(2,1/(('Match Log'!$D$4:$D$810=$W$24)*('Match Log'!$A$4:$A$810&lt;=$J414)),'Match Log'!$N$4:$N$810),NA()))</f>
        <v>0</v>
      </c>
      <c r="X414">
        <f>IF($J414&gt;MAX('Match Log'!$A$4:$A$810),NA(),IFERROR(LOOKUP(2,1/(('Match Log'!$D$4:$D$810=$X$24)*('Match Log'!$A$4:$A$810&lt;=$J414)),'Match Log'!$N$4:$N$810),NA()))</f>
        <v>0</v>
      </c>
      <c r="Y414" t="str">
        <f>IF(AND($B414&lt;&gt;"",$B414&gt;=$B$5,$I414&lt;&gt;""),$I414,"")</f>
      </c>
    </row>
    <row r="415">
      <c r="A415">
        <v>391</v>
      </c>
      <c r="B415">
        <f>IFERROR(INDEX('Match Log'!$B$4:$B$810,MATCH(391,'Match Log'!$A$4:$A$810,0)),"")</f>
        <v>0</v>
      </c>
      <c r="C415" t="str">
        <f>IFERROR(INDEX('Match Log'!$C$4:$C$810,MATCH(391,'Match Log'!$A$4:$A$810,0)),"")</f>
      </c>
      <c r="D415" t="str">
        <f>IFERROR(INDEX('Match Log'!$G$4:$G$810,MATCH(391,'Match Log'!$A$4:$A$810,0)),"")</f>
      </c>
      <c r="E415">
        <f>IFERROR(INDEX('Match Log'!$F$4:$F$810,MATCH(391,'Match Log'!$A$4:$A$810,0)),"")</f>
        <v>0</v>
      </c>
      <c r="F415">
        <f>IFERROR(SUMIFS('Match Log'!$I$4:$I$810,'Match Log'!$A$4:$A$810,391,'Match Log'!$E$4:$E$810,"Win"),"")</f>
        <v>0</v>
      </c>
      <c r="G415">
        <f>IF($D415="","",1-$F415*$E415)</f>
        <v>0</v>
      </c>
      <c r="H415" t="str">
        <f>IFERROR(IF($E415=2,LOOKUP(2,1/(('Match Log'!$A$4:$A$810=391)*('Match Log'!$E$4:$E$810="Loss")),'Match Log'!$D$4:$D$810),"the field"),"")</f>
      </c>
      <c r="I415">
        <f>IF($G415="","",$G415-$A415/1000000)</f>
        <v>0</v>
      </c>
      <c r="J415">
        <v>391</v>
      </c>
      <c r="K415">
        <f>IF($J415&gt;MAX('Match Log'!$A$4:$A$810),NA(),IFERROR(LOOKUP(2,1/(('Match Log'!$D$4:$D$810=$K$24)*('Match Log'!$A$4:$A$810&lt;=$J415)),'Match Log'!$N$4:$N$810),NA()))</f>
        <v>0</v>
      </c>
      <c r="L415">
        <f>IF($J415&gt;MAX('Match Log'!$A$4:$A$810),NA(),IFERROR(LOOKUP(2,1/(('Match Log'!$D$4:$D$810=$L$24)*('Match Log'!$A$4:$A$810&lt;=$J415)),'Match Log'!$N$4:$N$810),NA()))</f>
        <v>0</v>
      </c>
      <c r="M415">
        <f>IF($J415&gt;MAX('Match Log'!$A$4:$A$810),NA(),IFERROR(LOOKUP(2,1/(('Match Log'!$D$4:$D$810=$M$24)*('Match Log'!$A$4:$A$810&lt;=$J415)),'Match Log'!$N$4:$N$810),NA()))</f>
        <v>0</v>
      </c>
      <c r="N415">
        <f>IF($J415&gt;MAX('Match Log'!$A$4:$A$810),NA(),IFERROR(LOOKUP(2,1/(('Match Log'!$D$4:$D$810=$N$24)*('Match Log'!$A$4:$A$810&lt;=$J415)),'Match Log'!$N$4:$N$810),NA()))</f>
        <v>0</v>
      </c>
      <c r="O415">
        <f>IF($J415&gt;MAX('Match Log'!$A$4:$A$810),NA(),IFERROR(LOOKUP(2,1/(('Match Log'!$D$4:$D$810=$O$24)*('Match Log'!$A$4:$A$810&lt;=$J415)),'Match Log'!$N$4:$N$810),NA()))</f>
        <v>0</v>
      </c>
      <c r="P415">
        <f>IF($J415&gt;MAX('Match Log'!$A$4:$A$810),NA(),IFERROR(LOOKUP(2,1/(('Match Log'!$D$4:$D$810=$P$24)*('Match Log'!$A$4:$A$810&lt;=$J415)),'Match Log'!$N$4:$N$810),NA()))</f>
        <v>0</v>
      </c>
      <c r="Q415">
        <f>IF($J415&gt;MAX('Match Log'!$A$4:$A$810),NA(),IFERROR(LOOKUP(2,1/(('Match Log'!$D$4:$D$810=$Q$24)*('Match Log'!$A$4:$A$810&lt;=$J415)),'Match Log'!$N$4:$N$810),NA()))</f>
        <v>0</v>
      </c>
      <c r="R415">
        <f>IF($J415&gt;MAX('Match Log'!$A$4:$A$810),NA(),IFERROR(LOOKUP(2,1/(('Match Log'!$D$4:$D$810=$R$24)*('Match Log'!$A$4:$A$810&lt;=$J415)),'Match Log'!$N$4:$N$810),NA()))</f>
        <v>0</v>
      </c>
      <c r="S415">
        <f>IF($J415&gt;MAX('Match Log'!$A$4:$A$810),NA(),IFERROR(LOOKUP(2,1/(('Match Log'!$D$4:$D$810=$S$24)*('Match Log'!$A$4:$A$810&lt;=$J415)),'Match Log'!$N$4:$N$810),NA()))</f>
        <v>0</v>
      </c>
      <c r="T415">
        <f>IF($J415&gt;MAX('Match Log'!$A$4:$A$810),NA(),IFERROR(LOOKUP(2,1/(('Match Log'!$D$4:$D$810=$T$24)*('Match Log'!$A$4:$A$810&lt;=$J415)),'Match Log'!$N$4:$N$810),NA()))</f>
        <v>0</v>
      </c>
      <c r="U415">
        <f>IF($J415&gt;MAX('Match Log'!$A$4:$A$810),NA(),IFERROR(LOOKUP(2,1/(('Match Log'!$D$4:$D$810=$U$24)*('Match Log'!$A$4:$A$810&lt;=$J415)),'Match Log'!$N$4:$N$810),NA()))</f>
        <v>0</v>
      </c>
      <c r="V415">
        <f>IF($J415&gt;MAX('Match Log'!$A$4:$A$810),NA(),IFERROR(LOOKUP(2,1/(('Match Log'!$D$4:$D$810=$V$24)*('Match Log'!$A$4:$A$810&lt;=$J415)),'Match Log'!$N$4:$N$810),NA()))</f>
        <v>0</v>
      </c>
      <c r="W415">
        <f>IF($J415&gt;MAX('Match Log'!$A$4:$A$810),NA(),IFERROR(LOOKUP(2,1/(('Match Log'!$D$4:$D$810=$W$24)*('Match Log'!$A$4:$A$810&lt;=$J415)),'Match Log'!$N$4:$N$810),NA()))</f>
        <v>0</v>
      </c>
      <c r="X415">
        <f>IF($J415&gt;MAX('Match Log'!$A$4:$A$810),NA(),IFERROR(LOOKUP(2,1/(('Match Log'!$D$4:$D$810=$X$24)*('Match Log'!$A$4:$A$810&lt;=$J415)),'Match Log'!$N$4:$N$810),NA()))</f>
        <v>0</v>
      </c>
      <c r="Y415" t="str">
        <f>IF(AND($B415&lt;&gt;"",$B415&gt;=$B$5,$I415&lt;&gt;""),$I415,"")</f>
      </c>
    </row>
    <row r="416">
      <c r="A416">
        <v>392</v>
      </c>
      <c r="B416">
        <f>IFERROR(INDEX('Match Log'!$B$4:$B$810,MATCH(392,'Match Log'!$A$4:$A$810,0)),"")</f>
        <v>0</v>
      </c>
      <c r="C416" t="str">
        <f>IFERROR(INDEX('Match Log'!$C$4:$C$810,MATCH(392,'Match Log'!$A$4:$A$810,0)),"")</f>
      </c>
      <c r="D416" t="str">
        <f>IFERROR(INDEX('Match Log'!$G$4:$G$810,MATCH(392,'Match Log'!$A$4:$A$810,0)),"")</f>
      </c>
      <c r="E416">
        <f>IFERROR(INDEX('Match Log'!$F$4:$F$810,MATCH(392,'Match Log'!$A$4:$A$810,0)),"")</f>
        <v>0</v>
      </c>
      <c r="F416">
        <f>IFERROR(SUMIFS('Match Log'!$I$4:$I$810,'Match Log'!$A$4:$A$810,392,'Match Log'!$E$4:$E$810,"Win"),"")</f>
        <v>0</v>
      </c>
      <c r="G416">
        <f>IF($D416="","",1-$F416*$E416)</f>
        <v>0</v>
      </c>
      <c r="H416" t="str">
        <f>IFERROR(IF($E416=2,LOOKUP(2,1/(('Match Log'!$A$4:$A$810=392)*('Match Log'!$E$4:$E$810="Loss")),'Match Log'!$D$4:$D$810),"the field"),"")</f>
      </c>
      <c r="I416">
        <f>IF($G416="","",$G416-$A416/1000000)</f>
        <v>0</v>
      </c>
      <c r="J416">
        <v>392</v>
      </c>
      <c r="K416">
        <f>IF($J416&gt;MAX('Match Log'!$A$4:$A$810),NA(),IFERROR(LOOKUP(2,1/(('Match Log'!$D$4:$D$810=$K$24)*('Match Log'!$A$4:$A$810&lt;=$J416)),'Match Log'!$N$4:$N$810),NA()))</f>
        <v>0</v>
      </c>
      <c r="L416">
        <f>IF($J416&gt;MAX('Match Log'!$A$4:$A$810),NA(),IFERROR(LOOKUP(2,1/(('Match Log'!$D$4:$D$810=$L$24)*('Match Log'!$A$4:$A$810&lt;=$J416)),'Match Log'!$N$4:$N$810),NA()))</f>
        <v>0</v>
      </c>
      <c r="M416">
        <f>IF($J416&gt;MAX('Match Log'!$A$4:$A$810),NA(),IFERROR(LOOKUP(2,1/(('Match Log'!$D$4:$D$810=$M$24)*('Match Log'!$A$4:$A$810&lt;=$J416)),'Match Log'!$N$4:$N$810),NA()))</f>
        <v>0</v>
      </c>
      <c r="N416">
        <f>IF($J416&gt;MAX('Match Log'!$A$4:$A$810),NA(),IFERROR(LOOKUP(2,1/(('Match Log'!$D$4:$D$810=$N$24)*('Match Log'!$A$4:$A$810&lt;=$J416)),'Match Log'!$N$4:$N$810),NA()))</f>
        <v>0</v>
      </c>
      <c r="O416">
        <f>IF($J416&gt;MAX('Match Log'!$A$4:$A$810),NA(),IFERROR(LOOKUP(2,1/(('Match Log'!$D$4:$D$810=$O$24)*('Match Log'!$A$4:$A$810&lt;=$J416)),'Match Log'!$N$4:$N$810),NA()))</f>
        <v>0</v>
      </c>
      <c r="P416">
        <f>IF($J416&gt;MAX('Match Log'!$A$4:$A$810),NA(),IFERROR(LOOKUP(2,1/(('Match Log'!$D$4:$D$810=$P$24)*('Match Log'!$A$4:$A$810&lt;=$J416)),'Match Log'!$N$4:$N$810),NA()))</f>
        <v>0</v>
      </c>
      <c r="Q416">
        <f>IF($J416&gt;MAX('Match Log'!$A$4:$A$810),NA(),IFERROR(LOOKUP(2,1/(('Match Log'!$D$4:$D$810=$Q$24)*('Match Log'!$A$4:$A$810&lt;=$J416)),'Match Log'!$N$4:$N$810),NA()))</f>
        <v>0</v>
      </c>
      <c r="R416">
        <f>IF($J416&gt;MAX('Match Log'!$A$4:$A$810),NA(),IFERROR(LOOKUP(2,1/(('Match Log'!$D$4:$D$810=$R$24)*('Match Log'!$A$4:$A$810&lt;=$J416)),'Match Log'!$N$4:$N$810),NA()))</f>
        <v>0</v>
      </c>
      <c r="S416">
        <f>IF($J416&gt;MAX('Match Log'!$A$4:$A$810),NA(),IFERROR(LOOKUP(2,1/(('Match Log'!$D$4:$D$810=$S$24)*('Match Log'!$A$4:$A$810&lt;=$J416)),'Match Log'!$N$4:$N$810),NA()))</f>
        <v>0</v>
      </c>
      <c r="T416">
        <f>IF($J416&gt;MAX('Match Log'!$A$4:$A$810),NA(),IFERROR(LOOKUP(2,1/(('Match Log'!$D$4:$D$810=$T$24)*('Match Log'!$A$4:$A$810&lt;=$J416)),'Match Log'!$N$4:$N$810),NA()))</f>
        <v>0</v>
      </c>
      <c r="U416">
        <f>IF($J416&gt;MAX('Match Log'!$A$4:$A$810),NA(),IFERROR(LOOKUP(2,1/(('Match Log'!$D$4:$D$810=$U$24)*('Match Log'!$A$4:$A$810&lt;=$J416)),'Match Log'!$N$4:$N$810),NA()))</f>
        <v>0</v>
      </c>
      <c r="V416">
        <f>IF($J416&gt;MAX('Match Log'!$A$4:$A$810),NA(),IFERROR(LOOKUP(2,1/(('Match Log'!$D$4:$D$810=$V$24)*('Match Log'!$A$4:$A$810&lt;=$J416)),'Match Log'!$N$4:$N$810),NA()))</f>
        <v>0</v>
      </c>
      <c r="W416">
        <f>IF($J416&gt;MAX('Match Log'!$A$4:$A$810),NA(),IFERROR(LOOKUP(2,1/(('Match Log'!$D$4:$D$810=$W$24)*('Match Log'!$A$4:$A$810&lt;=$J416)),'Match Log'!$N$4:$N$810),NA()))</f>
        <v>0</v>
      </c>
      <c r="X416">
        <f>IF($J416&gt;MAX('Match Log'!$A$4:$A$810),NA(),IFERROR(LOOKUP(2,1/(('Match Log'!$D$4:$D$810=$X$24)*('Match Log'!$A$4:$A$810&lt;=$J416)),'Match Log'!$N$4:$N$810),NA()))</f>
        <v>0</v>
      </c>
      <c r="Y416" t="str">
        <f>IF(AND($B416&lt;&gt;"",$B416&gt;=$B$5,$I416&lt;&gt;""),$I416,"")</f>
      </c>
    </row>
    <row r="417">
      <c r="A417">
        <v>393</v>
      </c>
      <c r="B417">
        <f>IFERROR(INDEX('Match Log'!$B$4:$B$810,MATCH(393,'Match Log'!$A$4:$A$810,0)),"")</f>
        <v>0</v>
      </c>
      <c r="C417" t="str">
        <f>IFERROR(INDEX('Match Log'!$C$4:$C$810,MATCH(393,'Match Log'!$A$4:$A$810,0)),"")</f>
      </c>
      <c r="D417" t="str">
        <f>IFERROR(INDEX('Match Log'!$G$4:$G$810,MATCH(393,'Match Log'!$A$4:$A$810,0)),"")</f>
      </c>
      <c r="E417">
        <f>IFERROR(INDEX('Match Log'!$F$4:$F$810,MATCH(393,'Match Log'!$A$4:$A$810,0)),"")</f>
        <v>0</v>
      </c>
      <c r="F417">
        <f>IFERROR(SUMIFS('Match Log'!$I$4:$I$810,'Match Log'!$A$4:$A$810,393,'Match Log'!$E$4:$E$810,"Win"),"")</f>
        <v>0</v>
      </c>
      <c r="G417">
        <f>IF($D417="","",1-$F417*$E417)</f>
        <v>0</v>
      </c>
      <c r="H417" t="str">
        <f>IFERROR(IF($E417=2,LOOKUP(2,1/(('Match Log'!$A$4:$A$810=393)*('Match Log'!$E$4:$E$810="Loss")),'Match Log'!$D$4:$D$810),"the field"),"")</f>
      </c>
      <c r="I417">
        <f>IF($G417="","",$G417-$A417/1000000)</f>
        <v>0</v>
      </c>
      <c r="J417">
        <v>393</v>
      </c>
      <c r="K417">
        <f>IF($J417&gt;MAX('Match Log'!$A$4:$A$810),NA(),IFERROR(LOOKUP(2,1/(('Match Log'!$D$4:$D$810=$K$24)*('Match Log'!$A$4:$A$810&lt;=$J417)),'Match Log'!$N$4:$N$810),NA()))</f>
        <v>0</v>
      </c>
      <c r="L417">
        <f>IF($J417&gt;MAX('Match Log'!$A$4:$A$810),NA(),IFERROR(LOOKUP(2,1/(('Match Log'!$D$4:$D$810=$L$24)*('Match Log'!$A$4:$A$810&lt;=$J417)),'Match Log'!$N$4:$N$810),NA()))</f>
        <v>0</v>
      </c>
      <c r="M417">
        <f>IF($J417&gt;MAX('Match Log'!$A$4:$A$810),NA(),IFERROR(LOOKUP(2,1/(('Match Log'!$D$4:$D$810=$M$24)*('Match Log'!$A$4:$A$810&lt;=$J417)),'Match Log'!$N$4:$N$810),NA()))</f>
        <v>0</v>
      </c>
      <c r="N417">
        <f>IF($J417&gt;MAX('Match Log'!$A$4:$A$810),NA(),IFERROR(LOOKUP(2,1/(('Match Log'!$D$4:$D$810=$N$24)*('Match Log'!$A$4:$A$810&lt;=$J417)),'Match Log'!$N$4:$N$810),NA()))</f>
        <v>0</v>
      </c>
      <c r="O417">
        <f>IF($J417&gt;MAX('Match Log'!$A$4:$A$810),NA(),IFERROR(LOOKUP(2,1/(('Match Log'!$D$4:$D$810=$O$24)*('Match Log'!$A$4:$A$810&lt;=$J417)),'Match Log'!$N$4:$N$810),NA()))</f>
        <v>0</v>
      </c>
      <c r="P417">
        <f>IF($J417&gt;MAX('Match Log'!$A$4:$A$810),NA(),IFERROR(LOOKUP(2,1/(('Match Log'!$D$4:$D$810=$P$24)*('Match Log'!$A$4:$A$810&lt;=$J417)),'Match Log'!$N$4:$N$810),NA()))</f>
        <v>0</v>
      </c>
      <c r="Q417">
        <f>IF($J417&gt;MAX('Match Log'!$A$4:$A$810),NA(),IFERROR(LOOKUP(2,1/(('Match Log'!$D$4:$D$810=$Q$24)*('Match Log'!$A$4:$A$810&lt;=$J417)),'Match Log'!$N$4:$N$810),NA()))</f>
        <v>0</v>
      </c>
      <c r="R417">
        <f>IF($J417&gt;MAX('Match Log'!$A$4:$A$810),NA(),IFERROR(LOOKUP(2,1/(('Match Log'!$D$4:$D$810=$R$24)*('Match Log'!$A$4:$A$810&lt;=$J417)),'Match Log'!$N$4:$N$810),NA()))</f>
        <v>0</v>
      </c>
      <c r="S417">
        <f>IF($J417&gt;MAX('Match Log'!$A$4:$A$810),NA(),IFERROR(LOOKUP(2,1/(('Match Log'!$D$4:$D$810=$S$24)*('Match Log'!$A$4:$A$810&lt;=$J417)),'Match Log'!$N$4:$N$810),NA()))</f>
        <v>0</v>
      </c>
      <c r="T417">
        <f>IF($J417&gt;MAX('Match Log'!$A$4:$A$810),NA(),IFERROR(LOOKUP(2,1/(('Match Log'!$D$4:$D$810=$T$24)*('Match Log'!$A$4:$A$810&lt;=$J417)),'Match Log'!$N$4:$N$810),NA()))</f>
        <v>0</v>
      </c>
      <c r="U417">
        <f>IF($J417&gt;MAX('Match Log'!$A$4:$A$810),NA(),IFERROR(LOOKUP(2,1/(('Match Log'!$D$4:$D$810=$U$24)*('Match Log'!$A$4:$A$810&lt;=$J417)),'Match Log'!$N$4:$N$810),NA()))</f>
        <v>0</v>
      </c>
      <c r="V417">
        <f>IF($J417&gt;MAX('Match Log'!$A$4:$A$810),NA(),IFERROR(LOOKUP(2,1/(('Match Log'!$D$4:$D$810=$V$24)*('Match Log'!$A$4:$A$810&lt;=$J417)),'Match Log'!$N$4:$N$810),NA()))</f>
        <v>0</v>
      </c>
      <c r="W417">
        <f>IF($J417&gt;MAX('Match Log'!$A$4:$A$810),NA(),IFERROR(LOOKUP(2,1/(('Match Log'!$D$4:$D$810=$W$24)*('Match Log'!$A$4:$A$810&lt;=$J417)),'Match Log'!$N$4:$N$810),NA()))</f>
        <v>0</v>
      </c>
      <c r="X417">
        <f>IF($J417&gt;MAX('Match Log'!$A$4:$A$810),NA(),IFERROR(LOOKUP(2,1/(('Match Log'!$D$4:$D$810=$X$24)*('Match Log'!$A$4:$A$810&lt;=$J417)),'Match Log'!$N$4:$N$810),NA()))</f>
        <v>0</v>
      </c>
      <c r="Y417" t="str">
        <f>IF(AND($B417&lt;&gt;"",$B417&gt;=$B$5,$I417&lt;&gt;""),$I417,"")</f>
      </c>
    </row>
    <row r="418">
      <c r="A418">
        <v>394</v>
      </c>
      <c r="B418">
        <f>IFERROR(INDEX('Match Log'!$B$4:$B$810,MATCH(394,'Match Log'!$A$4:$A$810,0)),"")</f>
        <v>0</v>
      </c>
      <c r="C418" t="str">
        <f>IFERROR(INDEX('Match Log'!$C$4:$C$810,MATCH(394,'Match Log'!$A$4:$A$810,0)),"")</f>
      </c>
      <c r="D418" t="str">
        <f>IFERROR(INDEX('Match Log'!$G$4:$G$810,MATCH(394,'Match Log'!$A$4:$A$810,0)),"")</f>
      </c>
      <c r="E418">
        <f>IFERROR(INDEX('Match Log'!$F$4:$F$810,MATCH(394,'Match Log'!$A$4:$A$810,0)),"")</f>
        <v>0</v>
      </c>
      <c r="F418">
        <f>IFERROR(SUMIFS('Match Log'!$I$4:$I$810,'Match Log'!$A$4:$A$810,394,'Match Log'!$E$4:$E$810,"Win"),"")</f>
        <v>0</v>
      </c>
      <c r="G418">
        <f>IF($D418="","",1-$F418*$E418)</f>
        <v>0</v>
      </c>
      <c r="H418" t="str">
        <f>IFERROR(IF($E418=2,LOOKUP(2,1/(('Match Log'!$A$4:$A$810=394)*('Match Log'!$E$4:$E$810="Loss")),'Match Log'!$D$4:$D$810),"the field"),"")</f>
      </c>
      <c r="I418">
        <f>IF($G418="","",$G418-$A418/1000000)</f>
        <v>0</v>
      </c>
      <c r="J418">
        <v>394</v>
      </c>
      <c r="K418">
        <f>IF($J418&gt;MAX('Match Log'!$A$4:$A$810),NA(),IFERROR(LOOKUP(2,1/(('Match Log'!$D$4:$D$810=$K$24)*('Match Log'!$A$4:$A$810&lt;=$J418)),'Match Log'!$N$4:$N$810),NA()))</f>
        <v>0</v>
      </c>
      <c r="L418">
        <f>IF($J418&gt;MAX('Match Log'!$A$4:$A$810),NA(),IFERROR(LOOKUP(2,1/(('Match Log'!$D$4:$D$810=$L$24)*('Match Log'!$A$4:$A$810&lt;=$J418)),'Match Log'!$N$4:$N$810),NA()))</f>
        <v>0</v>
      </c>
      <c r="M418">
        <f>IF($J418&gt;MAX('Match Log'!$A$4:$A$810),NA(),IFERROR(LOOKUP(2,1/(('Match Log'!$D$4:$D$810=$M$24)*('Match Log'!$A$4:$A$810&lt;=$J418)),'Match Log'!$N$4:$N$810),NA()))</f>
        <v>0</v>
      </c>
      <c r="N418">
        <f>IF($J418&gt;MAX('Match Log'!$A$4:$A$810),NA(),IFERROR(LOOKUP(2,1/(('Match Log'!$D$4:$D$810=$N$24)*('Match Log'!$A$4:$A$810&lt;=$J418)),'Match Log'!$N$4:$N$810),NA()))</f>
        <v>0</v>
      </c>
      <c r="O418">
        <f>IF($J418&gt;MAX('Match Log'!$A$4:$A$810),NA(),IFERROR(LOOKUP(2,1/(('Match Log'!$D$4:$D$810=$O$24)*('Match Log'!$A$4:$A$810&lt;=$J418)),'Match Log'!$N$4:$N$810),NA()))</f>
        <v>0</v>
      </c>
      <c r="P418">
        <f>IF($J418&gt;MAX('Match Log'!$A$4:$A$810),NA(),IFERROR(LOOKUP(2,1/(('Match Log'!$D$4:$D$810=$P$24)*('Match Log'!$A$4:$A$810&lt;=$J418)),'Match Log'!$N$4:$N$810),NA()))</f>
        <v>0</v>
      </c>
      <c r="Q418">
        <f>IF($J418&gt;MAX('Match Log'!$A$4:$A$810),NA(),IFERROR(LOOKUP(2,1/(('Match Log'!$D$4:$D$810=$Q$24)*('Match Log'!$A$4:$A$810&lt;=$J418)),'Match Log'!$N$4:$N$810),NA()))</f>
        <v>0</v>
      </c>
      <c r="R418">
        <f>IF($J418&gt;MAX('Match Log'!$A$4:$A$810),NA(),IFERROR(LOOKUP(2,1/(('Match Log'!$D$4:$D$810=$R$24)*('Match Log'!$A$4:$A$810&lt;=$J418)),'Match Log'!$N$4:$N$810),NA()))</f>
        <v>0</v>
      </c>
      <c r="S418">
        <f>IF($J418&gt;MAX('Match Log'!$A$4:$A$810),NA(),IFERROR(LOOKUP(2,1/(('Match Log'!$D$4:$D$810=$S$24)*('Match Log'!$A$4:$A$810&lt;=$J418)),'Match Log'!$N$4:$N$810),NA()))</f>
        <v>0</v>
      </c>
      <c r="T418">
        <f>IF($J418&gt;MAX('Match Log'!$A$4:$A$810),NA(),IFERROR(LOOKUP(2,1/(('Match Log'!$D$4:$D$810=$T$24)*('Match Log'!$A$4:$A$810&lt;=$J418)),'Match Log'!$N$4:$N$810),NA()))</f>
        <v>0</v>
      </c>
      <c r="U418">
        <f>IF($J418&gt;MAX('Match Log'!$A$4:$A$810),NA(),IFERROR(LOOKUP(2,1/(('Match Log'!$D$4:$D$810=$U$24)*('Match Log'!$A$4:$A$810&lt;=$J418)),'Match Log'!$N$4:$N$810),NA()))</f>
        <v>0</v>
      </c>
      <c r="V418">
        <f>IF($J418&gt;MAX('Match Log'!$A$4:$A$810),NA(),IFERROR(LOOKUP(2,1/(('Match Log'!$D$4:$D$810=$V$24)*('Match Log'!$A$4:$A$810&lt;=$J418)),'Match Log'!$N$4:$N$810),NA()))</f>
        <v>0</v>
      </c>
      <c r="W418">
        <f>IF($J418&gt;MAX('Match Log'!$A$4:$A$810),NA(),IFERROR(LOOKUP(2,1/(('Match Log'!$D$4:$D$810=$W$24)*('Match Log'!$A$4:$A$810&lt;=$J418)),'Match Log'!$N$4:$N$810),NA()))</f>
        <v>0</v>
      </c>
      <c r="X418">
        <f>IF($J418&gt;MAX('Match Log'!$A$4:$A$810),NA(),IFERROR(LOOKUP(2,1/(('Match Log'!$D$4:$D$810=$X$24)*('Match Log'!$A$4:$A$810&lt;=$J418)),'Match Log'!$N$4:$N$810),NA()))</f>
        <v>0</v>
      </c>
      <c r="Y418" t="str">
        <f>IF(AND($B418&lt;&gt;"",$B418&gt;=$B$5,$I418&lt;&gt;""),$I418,"")</f>
      </c>
    </row>
    <row r="419">
      <c r="A419">
        <v>395</v>
      </c>
      <c r="B419">
        <f>IFERROR(INDEX('Match Log'!$B$4:$B$810,MATCH(395,'Match Log'!$A$4:$A$810,0)),"")</f>
        <v>0</v>
      </c>
      <c r="C419" t="str">
        <f>IFERROR(INDEX('Match Log'!$C$4:$C$810,MATCH(395,'Match Log'!$A$4:$A$810,0)),"")</f>
      </c>
      <c r="D419" t="str">
        <f>IFERROR(INDEX('Match Log'!$G$4:$G$810,MATCH(395,'Match Log'!$A$4:$A$810,0)),"")</f>
      </c>
      <c r="E419">
        <f>IFERROR(INDEX('Match Log'!$F$4:$F$810,MATCH(395,'Match Log'!$A$4:$A$810,0)),"")</f>
        <v>0</v>
      </c>
      <c r="F419">
        <f>IFERROR(SUMIFS('Match Log'!$I$4:$I$810,'Match Log'!$A$4:$A$810,395,'Match Log'!$E$4:$E$810,"Win"),"")</f>
        <v>0</v>
      </c>
      <c r="G419">
        <f>IF($D419="","",1-$F419*$E419)</f>
        <v>0</v>
      </c>
      <c r="H419" t="str">
        <f>IFERROR(IF($E419=2,LOOKUP(2,1/(('Match Log'!$A$4:$A$810=395)*('Match Log'!$E$4:$E$810="Loss")),'Match Log'!$D$4:$D$810),"the field"),"")</f>
      </c>
      <c r="I419">
        <f>IF($G419="","",$G419-$A419/1000000)</f>
        <v>0</v>
      </c>
      <c r="J419">
        <v>395</v>
      </c>
      <c r="K419">
        <f>IF($J419&gt;MAX('Match Log'!$A$4:$A$810),NA(),IFERROR(LOOKUP(2,1/(('Match Log'!$D$4:$D$810=$K$24)*('Match Log'!$A$4:$A$810&lt;=$J419)),'Match Log'!$N$4:$N$810),NA()))</f>
        <v>0</v>
      </c>
      <c r="L419">
        <f>IF($J419&gt;MAX('Match Log'!$A$4:$A$810),NA(),IFERROR(LOOKUP(2,1/(('Match Log'!$D$4:$D$810=$L$24)*('Match Log'!$A$4:$A$810&lt;=$J419)),'Match Log'!$N$4:$N$810),NA()))</f>
        <v>0</v>
      </c>
      <c r="M419">
        <f>IF($J419&gt;MAX('Match Log'!$A$4:$A$810),NA(),IFERROR(LOOKUP(2,1/(('Match Log'!$D$4:$D$810=$M$24)*('Match Log'!$A$4:$A$810&lt;=$J419)),'Match Log'!$N$4:$N$810),NA()))</f>
        <v>0</v>
      </c>
      <c r="N419">
        <f>IF($J419&gt;MAX('Match Log'!$A$4:$A$810),NA(),IFERROR(LOOKUP(2,1/(('Match Log'!$D$4:$D$810=$N$24)*('Match Log'!$A$4:$A$810&lt;=$J419)),'Match Log'!$N$4:$N$810),NA()))</f>
        <v>0</v>
      </c>
      <c r="O419">
        <f>IF($J419&gt;MAX('Match Log'!$A$4:$A$810),NA(),IFERROR(LOOKUP(2,1/(('Match Log'!$D$4:$D$810=$O$24)*('Match Log'!$A$4:$A$810&lt;=$J419)),'Match Log'!$N$4:$N$810),NA()))</f>
        <v>0</v>
      </c>
      <c r="P419">
        <f>IF($J419&gt;MAX('Match Log'!$A$4:$A$810),NA(),IFERROR(LOOKUP(2,1/(('Match Log'!$D$4:$D$810=$P$24)*('Match Log'!$A$4:$A$810&lt;=$J419)),'Match Log'!$N$4:$N$810),NA()))</f>
        <v>0</v>
      </c>
      <c r="Q419">
        <f>IF($J419&gt;MAX('Match Log'!$A$4:$A$810),NA(),IFERROR(LOOKUP(2,1/(('Match Log'!$D$4:$D$810=$Q$24)*('Match Log'!$A$4:$A$810&lt;=$J419)),'Match Log'!$N$4:$N$810),NA()))</f>
        <v>0</v>
      </c>
      <c r="R419">
        <f>IF($J419&gt;MAX('Match Log'!$A$4:$A$810),NA(),IFERROR(LOOKUP(2,1/(('Match Log'!$D$4:$D$810=$R$24)*('Match Log'!$A$4:$A$810&lt;=$J419)),'Match Log'!$N$4:$N$810),NA()))</f>
        <v>0</v>
      </c>
      <c r="S419">
        <f>IF($J419&gt;MAX('Match Log'!$A$4:$A$810),NA(),IFERROR(LOOKUP(2,1/(('Match Log'!$D$4:$D$810=$S$24)*('Match Log'!$A$4:$A$810&lt;=$J419)),'Match Log'!$N$4:$N$810),NA()))</f>
        <v>0</v>
      </c>
      <c r="T419">
        <f>IF($J419&gt;MAX('Match Log'!$A$4:$A$810),NA(),IFERROR(LOOKUP(2,1/(('Match Log'!$D$4:$D$810=$T$24)*('Match Log'!$A$4:$A$810&lt;=$J419)),'Match Log'!$N$4:$N$810),NA()))</f>
        <v>0</v>
      </c>
      <c r="U419">
        <f>IF($J419&gt;MAX('Match Log'!$A$4:$A$810),NA(),IFERROR(LOOKUP(2,1/(('Match Log'!$D$4:$D$810=$U$24)*('Match Log'!$A$4:$A$810&lt;=$J419)),'Match Log'!$N$4:$N$810),NA()))</f>
        <v>0</v>
      </c>
      <c r="V419">
        <f>IF($J419&gt;MAX('Match Log'!$A$4:$A$810),NA(),IFERROR(LOOKUP(2,1/(('Match Log'!$D$4:$D$810=$V$24)*('Match Log'!$A$4:$A$810&lt;=$J419)),'Match Log'!$N$4:$N$810),NA()))</f>
        <v>0</v>
      </c>
      <c r="W419">
        <f>IF($J419&gt;MAX('Match Log'!$A$4:$A$810),NA(),IFERROR(LOOKUP(2,1/(('Match Log'!$D$4:$D$810=$W$24)*('Match Log'!$A$4:$A$810&lt;=$J419)),'Match Log'!$N$4:$N$810),NA()))</f>
        <v>0</v>
      </c>
      <c r="X419">
        <f>IF($J419&gt;MAX('Match Log'!$A$4:$A$810),NA(),IFERROR(LOOKUP(2,1/(('Match Log'!$D$4:$D$810=$X$24)*('Match Log'!$A$4:$A$810&lt;=$J419)),'Match Log'!$N$4:$N$810),NA()))</f>
        <v>0</v>
      </c>
      <c r="Y419" t="str">
        <f>IF(AND($B419&lt;&gt;"",$B419&gt;=$B$5,$I419&lt;&gt;""),$I419,"")</f>
      </c>
    </row>
    <row r="420">
      <c r="A420">
        <v>396</v>
      </c>
      <c r="B420">
        <f>IFERROR(INDEX('Match Log'!$B$4:$B$810,MATCH(396,'Match Log'!$A$4:$A$810,0)),"")</f>
        <v>0</v>
      </c>
      <c r="C420" t="str">
        <f>IFERROR(INDEX('Match Log'!$C$4:$C$810,MATCH(396,'Match Log'!$A$4:$A$810,0)),"")</f>
      </c>
      <c r="D420" t="str">
        <f>IFERROR(INDEX('Match Log'!$G$4:$G$810,MATCH(396,'Match Log'!$A$4:$A$810,0)),"")</f>
      </c>
      <c r="E420">
        <f>IFERROR(INDEX('Match Log'!$F$4:$F$810,MATCH(396,'Match Log'!$A$4:$A$810,0)),"")</f>
        <v>0</v>
      </c>
      <c r="F420">
        <f>IFERROR(SUMIFS('Match Log'!$I$4:$I$810,'Match Log'!$A$4:$A$810,396,'Match Log'!$E$4:$E$810,"Win"),"")</f>
        <v>0</v>
      </c>
      <c r="G420">
        <f>IF($D420="","",1-$F420*$E420)</f>
        <v>0</v>
      </c>
      <c r="H420" t="str">
        <f>IFERROR(IF($E420=2,LOOKUP(2,1/(('Match Log'!$A$4:$A$810=396)*('Match Log'!$E$4:$E$810="Loss")),'Match Log'!$D$4:$D$810),"the field"),"")</f>
      </c>
      <c r="I420">
        <f>IF($G420="","",$G420-$A420/1000000)</f>
        <v>0</v>
      </c>
      <c r="J420">
        <v>396</v>
      </c>
      <c r="K420">
        <f>IF($J420&gt;MAX('Match Log'!$A$4:$A$810),NA(),IFERROR(LOOKUP(2,1/(('Match Log'!$D$4:$D$810=$K$24)*('Match Log'!$A$4:$A$810&lt;=$J420)),'Match Log'!$N$4:$N$810),NA()))</f>
        <v>0</v>
      </c>
      <c r="L420">
        <f>IF($J420&gt;MAX('Match Log'!$A$4:$A$810),NA(),IFERROR(LOOKUP(2,1/(('Match Log'!$D$4:$D$810=$L$24)*('Match Log'!$A$4:$A$810&lt;=$J420)),'Match Log'!$N$4:$N$810),NA()))</f>
        <v>0</v>
      </c>
      <c r="M420">
        <f>IF($J420&gt;MAX('Match Log'!$A$4:$A$810),NA(),IFERROR(LOOKUP(2,1/(('Match Log'!$D$4:$D$810=$M$24)*('Match Log'!$A$4:$A$810&lt;=$J420)),'Match Log'!$N$4:$N$810),NA()))</f>
        <v>0</v>
      </c>
      <c r="N420">
        <f>IF($J420&gt;MAX('Match Log'!$A$4:$A$810),NA(),IFERROR(LOOKUP(2,1/(('Match Log'!$D$4:$D$810=$N$24)*('Match Log'!$A$4:$A$810&lt;=$J420)),'Match Log'!$N$4:$N$810),NA()))</f>
        <v>0</v>
      </c>
      <c r="O420">
        <f>IF($J420&gt;MAX('Match Log'!$A$4:$A$810),NA(),IFERROR(LOOKUP(2,1/(('Match Log'!$D$4:$D$810=$O$24)*('Match Log'!$A$4:$A$810&lt;=$J420)),'Match Log'!$N$4:$N$810),NA()))</f>
        <v>0</v>
      </c>
      <c r="P420">
        <f>IF($J420&gt;MAX('Match Log'!$A$4:$A$810),NA(),IFERROR(LOOKUP(2,1/(('Match Log'!$D$4:$D$810=$P$24)*('Match Log'!$A$4:$A$810&lt;=$J420)),'Match Log'!$N$4:$N$810),NA()))</f>
        <v>0</v>
      </c>
      <c r="Q420">
        <f>IF($J420&gt;MAX('Match Log'!$A$4:$A$810),NA(),IFERROR(LOOKUP(2,1/(('Match Log'!$D$4:$D$810=$Q$24)*('Match Log'!$A$4:$A$810&lt;=$J420)),'Match Log'!$N$4:$N$810),NA()))</f>
        <v>0</v>
      </c>
      <c r="R420">
        <f>IF($J420&gt;MAX('Match Log'!$A$4:$A$810),NA(),IFERROR(LOOKUP(2,1/(('Match Log'!$D$4:$D$810=$R$24)*('Match Log'!$A$4:$A$810&lt;=$J420)),'Match Log'!$N$4:$N$810),NA()))</f>
        <v>0</v>
      </c>
      <c r="S420">
        <f>IF($J420&gt;MAX('Match Log'!$A$4:$A$810),NA(),IFERROR(LOOKUP(2,1/(('Match Log'!$D$4:$D$810=$S$24)*('Match Log'!$A$4:$A$810&lt;=$J420)),'Match Log'!$N$4:$N$810),NA()))</f>
        <v>0</v>
      </c>
      <c r="T420">
        <f>IF($J420&gt;MAX('Match Log'!$A$4:$A$810),NA(),IFERROR(LOOKUP(2,1/(('Match Log'!$D$4:$D$810=$T$24)*('Match Log'!$A$4:$A$810&lt;=$J420)),'Match Log'!$N$4:$N$810),NA()))</f>
        <v>0</v>
      </c>
      <c r="U420">
        <f>IF($J420&gt;MAX('Match Log'!$A$4:$A$810),NA(),IFERROR(LOOKUP(2,1/(('Match Log'!$D$4:$D$810=$U$24)*('Match Log'!$A$4:$A$810&lt;=$J420)),'Match Log'!$N$4:$N$810),NA()))</f>
        <v>0</v>
      </c>
      <c r="V420">
        <f>IF($J420&gt;MAX('Match Log'!$A$4:$A$810),NA(),IFERROR(LOOKUP(2,1/(('Match Log'!$D$4:$D$810=$V$24)*('Match Log'!$A$4:$A$810&lt;=$J420)),'Match Log'!$N$4:$N$810),NA()))</f>
        <v>0</v>
      </c>
      <c r="W420">
        <f>IF($J420&gt;MAX('Match Log'!$A$4:$A$810),NA(),IFERROR(LOOKUP(2,1/(('Match Log'!$D$4:$D$810=$W$24)*('Match Log'!$A$4:$A$810&lt;=$J420)),'Match Log'!$N$4:$N$810),NA()))</f>
        <v>0</v>
      </c>
      <c r="X420">
        <f>IF($J420&gt;MAX('Match Log'!$A$4:$A$810),NA(),IFERROR(LOOKUP(2,1/(('Match Log'!$D$4:$D$810=$X$24)*('Match Log'!$A$4:$A$810&lt;=$J420)),'Match Log'!$N$4:$N$810),NA()))</f>
        <v>0</v>
      </c>
      <c r="Y420" t="str">
        <f>IF(AND($B420&lt;&gt;"",$B420&gt;=$B$5,$I420&lt;&gt;""),$I420,"")</f>
      </c>
    </row>
    <row r="421">
      <c r="A421">
        <v>397</v>
      </c>
      <c r="B421">
        <f>IFERROR(INDEX('Match Log'!$B$4:$B$810,MATCH(397,'Match Log'!$A$4:$A$810,0)),"")</f>
        <v>0</v>
      </c>
      <c r="C421" t="str">
        <f>IFERROR(INDEX('Match Log'!$C$4:$C$810,MATCH(397,'Match Log'!$A$4:$A$810,0)),"")</f>
      </c>
      <c r="D421" t="str">
        <f>IFERROR(INDEX('Match Log'!$G$4:$G$810,MATCH(397,'Match Log'!$A$4:$A$810,0)),"")</f>
      </c>
      <c r="E421">
        <f>IFERROR(INDEX('Match Log'!$F$4:$F$810,MATCH(397,'Match Log'!$A$4:$A$810,0)),"")</f>
        <v>0</v>
      </c>
      <c r="F421">
        <f>IFERROR(SUMIFS('Match Log'!$I$4:$I$810,'Match Log'!$A$4:$A$810,397,'Match Log'!$E$4:$E$810,"Win"),"")</f>
        <v>0</v>
      </c>
      <c r="G421">
        <f>IF($D421="","",1-$F421*$E421)</f>
        <v>0</v>
      </c>
      <c r="H421" t="str">
        <f>IFERROR(IF($E421=2,LOOKUP(2,1/(('Match Log'!$A$4:$A$810=397)*('Match Log'!$E$4:$E$810="Loss")),'Match Log'!$D$4:$D$810),"the field"),"")</f>
      </c>
      <c r="I421">
        <f>IF($G421="","",$G421-$A421/1000000)</f>
        <v>0</v>
      </c>
      <c r="J421">
        <v>397</v>
      </c>
      <c r="K421">
        <f>IF($J421&gt;MAX('Match Log'!$A$4:$A$810),NA(),IFERROR(LOOKUP(2,1/(('Match Log'!$D$4:$D$810=$K$24)*('Match Log'!$A$4:$A$810&lt;=$J421)),'Match Log'!$N$4:$N$810),NA()))</f>
        <v>0</v>
      </c>
      <c r="L421">
        <f>IF($J421&gt;MAX('Match Log'!$A$4:$A$810),NA(),IFERROR(LOOKUP(2,1/(('Match Log'!$D$4:$D$810=$L$24)*('Match Log'!$A$4:$A$810&lt;=$J421)),'Match Log'!$N$4:$N$810),NA()))</f>
        <v>0</v>
      </c>
      <c r="M421">
        <f>IF($J421&gt;MAX('Match Log'!$A$4:$A$810),NA(),IFERROR(LOOKUP(2,1/(('Match Log'!$D$4:$D$810=$M$24)*('Match Log'!$A$4:$A$810&lt;=$J421)),'Match Log'!$N$4:$N$810),NA()))</f>
        <v>0</v>
      </c>
      <c r="N421">
        <f>IF($J421&gt;MAX('Match Log'!$A$4:$A$810),NA(),IFERROR(LOOKUP(2,1/(('Match Log'!$D$4:$D$810=$N$24)*('Match Log'!$A$4:$A$810&lt;=$J421)),'Match Log'!$N$4:$N$810),NA()))</f>
        <v>0</v>
      </c>
      <c r="O421">
        <f>IF($J421&gt;MAX('Match Log'!$A$4:$A$810),NA(),IFERROR(LOOKUP(2,1/(('Match Log'!$D$4:$D$810=$O$24)*('Match Log'!$A$4:$A$810&lt;=$J421)),'Match Log'!$N$4:$N$810),NA()))</f>
        <v>0</v>
      </c>
      <c r="P421">
        <f>IF($J421&gt;MAX('Match Log'!$A$4:$A$810),NA(),IFERROR(LOOKUP(2,1/(('Match Log'!$D$4:$D$810=$P$24)*('Match Log'!$A$4:$A$810&lt;=$J421)),'Match Log'!$N$4:$N$810),NA()))</f>
        <v>0</v>
      </c>
      <c r="Q421">
        <f>IF($J421&gt;MAX('Match Log'!$A$4:$A$810),NA(),IFERROR(LOOKUP(2,1/(('Match Log'!$D$4:$D$810=$Q$24)*('Match Log'!$A$4:$A$810&lt;=$J421)),'Match Log'!$N$4:$N$810),NA()))</f>
        <v>0</v>
      </c>
      <c r="R421">
        <f>IF($J421&gt;MAX('Match Log'!$A$4:$A$810),NA(),IFERROR(LOOKUP(2,1/(('Match Log'!$D$4:$D$810=$R$24)*('Match Log'!$A$4:$A$810&lt;=$J421)),'Match Log'!$N$4:$N$810),NA()))</f>
        <v>0</v>
      </c>
      <c r="S421">
        <f>IF($J421&gt;MAX('Match Log'!$A$4:$A$810),NA(),IFERROR(LOOKUP(2,1/(('Match Log'!$D$4:$D$810=$S$24)*('Match Log'!$A$4:$A$810&lt;=$J421)),'Match Log'!$N$4:$N$810),NA()))</f>
        <v>0</v>
      </c>
      <c r="T421">
        <f>IF($J421&gt;MAX('Match Log'!$A$4:$A$810),NA(),IFERROR(LOOKUP(2,1/(('Match Log'!$D$4:$D$810=$T$24)*('Match Log'!$A$4:$A$810&lt;=$J421)),'Match Log'!$N$4:$N$810),NA()))</f>
        <v>0</v>
      </c>
      <c r="U421">
        <f>IF($J421&gt;MAX('Match Log'!$A$4:$A$810),NA(),IFERROR(LOOKUP(2,1/(('Match Log'!$D$4:$D$810=$U$24)*('Match Log'!$A$4:$A$810&lt;=$J421)),'Match Log'!$N$4:$N$810),NA()))</f>
        <v>0</v>
      </c>
      <c r="V421">
        <f>IF($J421&gt;MAX('Match Log'!$A$4:$A$810),NA(),IFERROR(LOOKUP(2,1/(('Match Log'!$D$4:$D$810=$V$24)*('Match Log'!$A$4:$A$810&lt;=$J421)),'Match Log'!$N$4:$N$810),NA()))</f>
        <v>0</v>
      </c>
      <c r="W421">
        <f>IF($J421&gt;MAX('Match Log'!$A$4:$A$810),NA(),IFERROR(LOOKUP(2,1/(('Match Log'!$D$4:$D$810=$W$24)*('Match Log'!$A$4:$A$810&lt;=$J421)),'Match Log'!$N$4:$N$810),NA()))</f>
        <v>0</v>
      </c>
      <c r="X421">
        <f>IF($J421&gt;MAX('Match Log'!$A$4:$A$810),NA(),IFERROR(LOOKUP(2,1/(('Match Log'!$D$4:$D$810=$X$24)*('Match Log'!$A$4:$A$810&lt;=$J421)),'Match Log'!$N$4:$N$810),NA()))</f>
        <v>0</v>
      </c>
      <c r="Y421" t="str">
        <f>IF(AND($B421&lt;&gt;"",$B421&gt;=$B$5,$I421&lt;&gt;""),$I421,"")</f>
      </c>
    </row>
    <row r="422">
      <c r="A422">
        <v>398</v>
      </c>
      <c r="B422">
        <f>IFERROR(INDEX('Match Log'!$B$4:$B$810,MATCH(398,'Match Log'!$A$4:$A$810,0)),"")</f>
        <v>0</v>
      </c>
      <c r="C422" t="str">
        <f>IFERROR(INDEX('Match Log'!$C$4:$C$810,MATCH(398,'Match Log'!$A$4:$A$810,0)),"")</f>
      </c>
      <c r="D422" t="str">
        <f>IFERROR(INDEX('Match Log'!$G$4:$G$810,MATCH(398,'Match Log'!$A$4:$A$810,0)),"")</f>
      </c>
      <c r="E422">
        <f>IFERROR(INDEX('Match Log'!$F$4:$F$810,MATCH(398,'Match Log'!$A$4:$A$810,0)),"")</f>
        <v>0</v>
      </c>
      <c r="F422">
        <f>IFERROR(SUMIFS('Match Log'!$I$4:$I$810,'Match Log'!$A$4:$A$810,398,'Match Log'!$E$4:$E$810,"Win"),"")</f>
        <v>0</v>
      </c>
      <c r="G422">
        <f>IF($D422="","",1-$F422*$E422)</f>
        <v>0</v>
      </c>
      <c r="H422" t="str">
        <f>IFERROR(IF($E422=2,LOOKUP(2,1/(('Match Log'!$A$4:$A$810=398)*('Match Log'!$E$4:$E$810="Loss")),'Match Log'!$D$4:$D$810),"the field"),"")</f>
      </c>
      <c r="I422">
        <f>IF($G422="","",$G422-$A422/1000000)</f>
        <v>0</v>
      </c>
      <c r="J422">
        <v>398</v>
      </c>
      <c r="K422">
        <f>IF($J422&gt;MAX('Match Log'!$A$4:$A$810),NA(),IFERROR(LOOKUP(2,1/(('Match Log'!$D$4:$D$810=$K$24)*('Match Log'!$A$4:$A$810&lt;=$J422)),'Match Log'!$N$4:$N$810),NA()))</f>
        <v>0</v>
      </c>
      <c r="L422">
        <f>IF($J422&gt;MAX('Match Log'!$A$4:$A$810),NA(),IFERROR(LOOKUP(2,1/(('Match Log'!$D$4:$D$810=$L$24)*('Match Log'!$A$4:$A$810&lt;=$J422)),'Match Log'!$N$4:$N$810),NA()))</f>
        <v>0</v>
      </c>
      <c r="M422">
        <f>IF($J422&gt;MAX('Match Log'!$A$4:$A$810),NA(),IFERROR(LOOKUP(2,1/(('Match Log'!$D$4:$D$810=$M$24)*('Match Log'!$A$4:$A$810&lt;=$J422)),'Match Log'!$N$4:$N$810),NA()))</f>
        <v>0</v>
      </c>
      <c r="N422">
        <f>IF($J422&gt;MAX('Match Log'!$A$4:$A$810),NA(),IFERROR(LOOKUP(2,1/(('Match Log'!$D$4:$D$810=$N$24)*('Match Log'!$A$4:$A$810&lt;=$J422)),'Match Log'!$N$4:$N$810),NA()))</f>
        <v>0</v>
      </c>
      <c r="O422">
        <f>IF($J422&gt;MAX('Match Log'!$A$4:$A$810),NA(),IFERROR(LOOKUP(2,1/(('Match Log'!$D$4:$D$810=$O$24)*('Match Log'!$A$4:$A$810&lt;=$J422)),'Match Log'!$N$4:$N$810),NA()))</f>
        <v>0</v>
      </c>
      <c r="P422">
        <f>IF($J422&gt;MAX('Match Log'!$A$4:$A$810),NA(),IFERROR(LOOKUP(2,1/(('Match Log'!$D$4:$D$810=$P$24)*('Match Log'!$A$4:$A$810&lt;=$J422)),'Match Log'!$N$4:$N$810),NA()))</f>
        <v>0</v>
      </c>
      <c r="Q422">
        <f>IF($J422&gt;MAX('Match Log'!$A$4:$A$810),NA(),IFERROR(LOOKUP(2,1/(('Match Log'!$D$4:$D$810=$Q$24)*('Match Log'!$A$4:$A$810&lt;=$J422)),'Match Log'!$N$4:$N$810),NA()))</f>
        <v>0</v>
      </c>
      <c r="R422">
        <f>IF($J422&gt;MAX('Match Log'!$A$4:$A$810),NA(),IFERROR(LOOKUP(2,1/(('Match Log'!$D$4:$D$810=$R$24)*('Match Log'!$A$4:$A$810&lt;=$J422)),'Match Log'!$N$4:$N$810),NA()))</f>
        <v>0</v>
      </c>
      <c r="S422">
        <f>IF($J422&gt;MAX('Match Log'!$A$4:$A$810),NA(),IFERROR(LOOKUP(2,1/(('Match Log'!$D$4:$D$810=$S$24)*('Match Log'!$A$4:$A$810&lt;=$J422)),'Match Log'!$N$4:$N$810),NA()))</f>
        <v>0</v>
      </c>
      <c r="T422">
        <f>IF($J422&gt;MAX('Match Log'!$A$4:$A$810),NA(),IFERROR(LOOKUP(2,1/(('Match Log'!$D$4:$D$810=$T$24)*('Match Log'!$A$4:$A$810&lt;=$J422)),'Match Log'!$N$4:$N$810),NA()))</f>
        <v>0</v>
      </c>
      <c r="U422">
        <f>IF($J422&gt;MAX('Match Log'!$A$4:$A$810),NA(),IFERROR(LOOKUP(2,1/(('Match Log'!$D$4:$D$810=$U$24)*('Match Log'!$A$4:$A$810&lt;=$J422)),'Match Log'!$N$4:$N$810),NA()))</f>
        <v>0</v>
      </c>
      <c r="V422">
        <f>IF($J422&gt;MAX('Match Log'!$A$4:$A$810),NA(),IFERROR(LOOKUP(2,1/(('Match Log'!$D$4:$D$810=$V$24)*('Match Log'!$A$4:$A$810&lt;=$J422)),'Match Log'!$N$4:$N$810),NA()))</f>
        <v>0</v>
      </c>
      <c r="W422">
        <f>IF($J422&gt;MAX('Match Log'!$A$4:$A$810),NA(),IFERROR(LOOKUP(2,1/(('Match Log'!$D$4:$D$810=$W$24)*('Match Log'!$A$4:$A$810&lt;=$J422)),'Match Log'!$N$4:$N$810),NA()))</f>
        <v>0</v>
      </c>
      <c r="X422">
        <f>IF($J422&gt;MAX('Match Log'!$A$4:$A$810),NA(),IFERROR(LOOKUP(2,1/(('Match Log'!$D$4:$D$810=$X$24)*('Match Log'!$A$4:$A$810&lt;=$J422)),'Match Log'!$N$4:$N$810),NA()))</f>
        <v>0</v>
      </c>
      <c r="Y422" t="str">
        <f>IF(AND($B422&lt;&gt;"",$B422&gt;=$B$5,$I422&lt;&gt;""),$I422,"")</f>
      </c>
    </row>
    <row r="423">
      <c r="A423">
        <v>399</v>
      </c>
      <c r="B423">
        <f>IFERROR(INDEX('Match Log'!$B$4:$B$810,MATCH(399,'Match Log'!$A$4:$A$810,0)),"")</f>
        <v>0</v>
      </c>
      <c r="C423" t="str">
        <f>IFERROR(INDEX('Match Log'!$C$4:$C$810,MATCH(399,'Match Log'!$A$4:$A$810,0)),"")</f>
      </c>
      <c r="D423" t="str">
        <f>IFERROR(INDEX('Match Log'!$G$4:$G$810,MATCH(399,'Match Log'!$A$4:$A$810,0)),"")</f>
      </c>
      <c r="E423">
        <f>IFERROR(INDEX('Match Log'!$F$4:$F$810,MATCH(399,'Match Log'!$A$4:$A$810,0)),"")</f>
        <v>0</v>
      </c>
      <c r="F423">
        <f>IFERROR(SUMIFS('Match Log'!$I$4:$I$810,'Match Log'!$A$4:$A$810,399,'Match Log'!$E$4:$E$810,"Win"),"")</f>
        <v>0</v>
      </c>
      <c r="G423">
        <f>IF($D423="","",1-$F423*$E423)</f>
        <v>0</v>
      </c>
      <c r="H423" t="str">
        <f>IFERROR(IF($E423=2,LOOKUP(2,1/(('Match Log'!$A$4:$A$810=399)*('Match Log'!$E$4:$E$810="Loss")),'Match Log'!$D$4:$D$810),"the field"),"")</f>
      </c>
      <c r="I423">
        <f>IF($G423="","",$G423-$A423/1000000)</f>
        <v>0</v>
      </c>
      <c r="J423">
        <v>399</v>
      </c>
      <c r="K423">
        <f>IF($J423&gt;MAX('Match Log'!$A$4:$A$810),NA(),IFERROR(LOOKUP(2,1/(('Match Log'!$D$4:$D$810=$K$24)*('Match Log'!$A$4:$A$810&lt;=$J423)),'Match Log'!$N$4:$N$810),NA()))</f>
        <v>0</v>
      </c>
      <c r="L423">
        <f>IF($J423&gt;MAX('Match Log'!$A$4:$A$810),NA(),IFERROR(LOOKUP(2,1/(('Match Log'!$D$4:$D$810=$L$24)*('Match Log'!$A$4:$A$810&lt;=$J423)),'Match Log'!$N$4:$N$810),NA()))</f>
        <v>0</v>
      </c>
      <c r="M423">
        <f>IF($J423&gt;MAX('Match Log'!$A$4:$A$810),NA(),IFERROR(LOOKUP(2,1/(('Match Log'!$D$4:$D$810=$M$24)*('Match Log'!$A$4:$A$810&lt;=$J423)),'Match Log'!$N$4:$N$810),NA()))</f>
        <v>0</v>
      </c>
      <c r="N423">
        <f>IF($J423&gt;MAX('Match Log'!$A$4:$A$810),NA(),IFERROR(LOOKUP(2,1/(('Match Log'!$D$4:$D$810=$N$24)*('Match Log'!$A$4:$A$810&lt;=$J423)),'Match Log'!$N$4:$N$810),NA()))</f>
        <v>0</v>
      </c>
      <c r="O423">
        <f>IF($J423&gt;MAX('Match Log'!$A$4:$A$810),NA(),IFERROR(LOOKUP(2,1/(('Match Log'!$D$4:$D$810=$O$24)*('Match Log'!$A$4:$A$810&lt;=$J423)),'Match Log'!$N$4:$N$810),NA()))</f>
        <v>0</v>
      </c>
      <c r="P423">
        <f>IF($J423&gt;MAX('Match Log'!$A$4:$A$810),NA(),IFERROR(LOOKUP(2,1/(('Match Log'!$D$4:$D$810=$P$24)*('Match Log'!$A$4:$A$810&lt;=$J423)),'Match Log'!$N$4:$N$810),NA()))</f>
        <v>0</v>
      </c>
      <c r="Q423">
        <f>IF($J423&gt;MAX('Match Log'!$A$4:$A$810),NA(),IFERROR(LOOKUP(2,1/(('Match Log'!$D$4:$D$810=$Q$24)*('Match Log'!$A$4:$A$810&lt;=$J423)),'Match Log'!$N$4:$N$810),NA()))</f>
        <v>0</v>
      </c>
      <c r="R423">
        <f>IF($J423&gt;MAX('Match Log'!$A$4:$A$810),NA(),IFERROR(LOOKUP(2,1/(('Match Log'!$D$4:$D$810=$R$24)*('Match Log'!$A$4:$A$810&lt;=$J423)),'Match Log'!$N$4:$N$810),NA()))</f>
        <v>0</v>
      </c>
      <c r="S423">
        <f>IF($J423&gt;MAX('Match Log'!$A$4:$A$810),NA(),IFERROR(LOOKUP(2,1/(('Match Log'!$D$4:$D$810=$S$24)*('Match Log'!$A$4:$A$810&lt;=$J423)),'Match Log'!$N$4:$N$810),NA()))</f>
        <v>0</v>
      </c>
      <c r="T423">
        <f>IF($J423&gt;MAX('Match Log'!$A$4:$A$810),NA(),IFERROR(LOOKUP(2,1/(('Match Log'!$D$4:$D$810=$T$24)*('Match Log'!$A$4:$A$810&lt;=$J423)),'Match Log'!$N$4:$N$810),NA()))</f>
        <v>0</v>
      </c>
      <c r="U423">
        <f>IF($J423&gt;MAX('Match Log'!$A$4:$A$810),NA(),IFERROR(LOOKUP(2,1/(('Match Log'!$D$4:$D$810=$U$24)*('Match Log'!$A$4:$A$810&lt;=$J423)),'Match Log'!$N$4:$N$810),NA()))</f>
        <v>0</v>
      </c>
      <c r="V423">
        <f>IF($J423&gt;MAX('Match Log'!$A$4:$A$810),NA(),IFERROR(LOOKUP(2,1/(('Match Log'!$D$4:$D$810=$V$24)*('Match Log'!$A$4:$A$810&lt;=$J423)),'Match Log'!$N$4:$N$810),NA()))</f>
        <v>0</v>
      </c>
      <c r="W423">
        <f>IF($J423&gt;MAX('Match Log'!$A$4:$A$810),NA(),IFERROR(LOOKUP(2,1/(('Match Log'!$D$4:$D$810=$W$24)*('Match Log'!$A$4:$A$810&lt;=$J423)),'Match Log'!$N$4:$N$810),NA()))</f>
        <v>0</v>
      </c>
      <c r="X423">
        <f>IF($J423&gt;MAX('Match Log'!$A$4:$A$810),NA(),IFERROR(LOOKUP(2,1/(('Match Log'!$D$4:$D$810=$X$24)*('Match Log'!$A$4:$A$810&lt;=$J423)),'Match Log'!$N$4:$N$810),NA()))</f>
        <v>0</v>
      </c>
      <c r="Y423" t="str">
        <f>IF(AND($B423&lt;&gt;"",$B423&gt;=$B$5,$I423&lt;&gt;""),$I423,"")</f>
      </c>
    </row>
    <row r="424">
      <c r="A424">
        <v>400</v>
      </c>
      <c r="B424">
        <f>IFERROR(INDEX('Match Log'!$B$4:$B$810,MATCH(400,'Match Log'!$A$4:$A$810,0)),"")</f>
        <v>0</v>
      </c>
      <c r="C424" t="str">
        <f>IFERROR(INDEX('Match Log'!$C$4:$C$810,MATCH(400,'Match Log'!$A$4:$A$810,0)),"")</f>
      </c>
      <c r="D424" t="str">
        <f>IFERROR(INDEX('Match Log'!$G$4:$G$810,MATCH(400,'Match Log'!$A$4:$A$810,0)),"")</f>
      </c>
      <c r="E424">
        <f>IFERROR(INDEX('Match Log'!$F$4:$F$810,MATCH(400,'Match Log'!$A$4:$A$810,0)),"")</f>
        <v>0</v>
      </c>
      <c r="F424">
        <f>IFERROR(SUMIFS('Match Log'!$I$4:$I$810,'Match Log'!$A$4:$A$810,400,'Match Log'!$E$4:$E$810,"Win"),"")</f>
        <v>0</v>
      </c>
      <c r="G424">
        <f>IF($D424="","",1-$F424*$E424)</f>
        <v>0</v>
      </c>
      <c r="H424" t="str">
        <f>IFERROR(IF($E424=2,LOOKUP(2,1/(('Match Log'!$A$4:$A$810=400)*('Match Log'!$E$4:$E$810="Loss")),'Match Log'!$D$4:$D$810),"the field"),"")</f>
      </c>
      <c r="I424">
        <f>IF($G424="","",$G424-$A424/1000000)</f>
        <v>0</v>
      </c>
      <c r="J424">
        <v>400</v>
      </c>
      <c r="K424">
        <f>IF($J424&gt;MAX('Match Log'!$A$4:$A$810),NA(),IFERROR(LOOKUP(2,1/(('Match Log'!$D$4:$D$810=$K$24)*('Match Log'!$A$4:$A$810&lt;=$J424)),'Match Log'!$N$4:$N$810),NA()))</f>
        <v>0</v>
      </c>
      <c r="L424">
        <f>IF($J424&gt;MAX('Match Log'!$A$4:$A$810),NA(),IFERROR(LOOKUP(2,1/(('Match Log'!$D$4:$D$810=$L$24)*('Match Log'!$A$4:$A$810&lt;=$J424)),'Match Log'!$N$4:$N$810),NA()))</f>
        <v>0</v>
      </c>
      <c r="M424">
        <f>IF($J424&gt;MAX('Match Log'!$A$4:$A$810),NA(),IFERROR(LOOKUP(2,1/(('Match Log'!$D$4:$D$810=$M$24)*('Match Log'!$A$4:$A$810&lt;=$J424)),'Match Log'!$N$4:$N$810),NA()))</f>
        <v>0</v>
      </c>
      <c r="N424">
        <f>IF($J424&gt;MAX('Match Log'!$A$4:$A$810),NA(),IFERROR(LOOKUP(2,1/(('Match Log'!$D$4:$D$810=$N$24)*('Match Log'!$A$4:$A$810&lt;=$J424)),'Match Log'!$N$4:$N$810),NA()))</f>
        <v>0</v>
      </c>
      <c r="O424">
        <f>IF($J424&gt;MAX('Match Log'!$A$4:$A$810),NA(),IFERROR(LOOKUP(2,1/(('Match Log'!$D$4:$D$810=$O$24)*('Match Log'!$A$4:$A$810&lt;=$J424)),'Match Log'!$N$4:$N$810),NA()))</f>
        <v>0</v>
      </c>
      <c r="P424">
        <f>IF($J424&gt;MAX('Match Log'!$A$4:$A$810),NA(),IFERROR(LOOKUP(2,1/(('Match Log'!$D$4:$D$810=$P$24)*('Match Log'!$A$4:$A$810&lt;=$J424)),'Match Log'!$N$4:$N$810),NA()))</f>
        <v>0</v>
      </c>
      <c r="Q424">
        <f>IF($J424&gt;MAX('Match Log'!$A$4:$A$810),NA(),IFERROR(LOOKUP(2,1/(('Match Log'!$D$4:$D$810=$Q$24)*('Match Log'!$A$4:$A$810&lt;=$J424)),'Match Log'!$N$4:$N$810),NA()))</f>
        <v>0</v>
      </c>
      <c r="R424">
        <f>IF($J424&gt;MAX('Match Log'!$A$4:$A$810),NA(),IFERROR(LOOKUP(2,1/(('Match Log'!$D$4:$D$810=$R$24)*('Match Log'!$A$4:$A$810&lt;=$J424)),'Match Log'!$N$4:$N$810),NA()))</f>
        <v>0</v>
      </c>
      <c r="S424">
        <f>IF($J424&gt;MAX('Match Log'!$A$4:$A$810),NA(),IFERROR(LOOKUP(2,1/(('Match Log'!$D$4:$D$810=$S$24)*('Match Log'!$A$4:$A$810&lt;=$J424)),'Match Log'!$N$4:$N$810),NA()))</f>
        <v>0</v>
      </c>
      <c r="T424">
        <f>IF($J424&gt;MAX('Match Log'!$A$4:$A$810),NA(),IFERROR(LOOKUP(2,1/(('Match Log'!$D$4:$D$810=$T$24)*('Match Log'!$A$4:$A$810&lt;=$J424)),'Match Log'!$N$4:$N$810),NA()))</f>
        <v>0</v>
      </c>
      <c r="U424">
        <f>IF($J424&gt;MAX('Match Log'!$A$4:$A$810),NA(),IFERROR(LOOKUP(2,1/(('Match Log'!$D$4:$D$810=$U$24)*('Match Log'!$A$4:$A$810&lt;=$J424)),'Match Log'!$N$4:$N$810),NA()))</f>
        <v>0</v>
      </c>
      <c r="V424">
        <f>IF($J424&gt;MAX('Match Log'!$A$4:$A$810),NA(),IFERROR(LOOKUP(2,1/(('Match Log'!$D$4:$D$810=$V$24)*('Match Log'!$A$4:$A$810&lt;=$J424)),'Match Log'!$N$4:$N$810),NA()))</f>
        <v>0</v>
      </c>
      <c r="W424">
        <f>IF($J424&gt;MAX('Match Log'!$A$4:$A$810),NA(),IFERROR(LOOKUP(2,1/(('Match Log'!$D$4:$D$810=$W$24)*('Match Log'!$A$4:$A$810&lt;=$J424)),'Match Log'!$N$4:$N$810),NA()))</f>
        <v>0</v>
      </c>
      <c r="X424">
        <f>IF($J424&gt;MAX('Match Log'!$A$4:$A$810),NA(),IFERROR(LOOKUP(2,1/(('Match Log'!$D$4:$D$810=$X$24)*('Match Log'!$A$4:$A$810&lt;=$J424)),'Match Log'!$N$4:$N$810),NA()))</f>
        <v>0</v>
      </c>
      <c r="Y424" t="str">
        <f>IF(AND($B424&lt;&gt;"",$B424&gt;=$B$5,$I424&lt;&gt;""),$I424,"")</f>
      </c>
    </row>
    <row r="425">
      <c r="A425">
        <v>401</v>
      </c>
      <c r="B425">
        <f>IFERROR(INDEX('Match Log'!$B$4:$B$810,MATCH(401,'Match Log'!$A$4:$A$810,0)),"")</f>
        <v>0</v>
      </c>
      <c r="C425" t="str">
        <f>IFERROR(INDEX('Match Log'!$C$4:$C$810,MATCH(401,'Match Log'!$A$4:$A$810,0)),"")</f>
      </c>
      <c r="D425" t="str">
        <f>IFERROR(INDEX('Match Log'!$G$4:$G$810,MATCH(401,'Match Log'!$A$4:$A$810,0)),"")</f>
      </c>
      <c r="E425">
        <f>IFERROR(INDEX('Match Log'!$F$4:$F$810,MATCH(401,'Match Log'!$A$4:$A$810,0)),"")</f>
        <v>0</v>
      </c>
      <c r="F425">
        <f>IFERROR(SUMIFS('Match Log'!$I$4:$I$810,'Match Log'!$A$4:$A$810,401,'Match Log'!$E$4:$E$810,"Win"),"")</f>
        <v>0</v>
      </c>
      <c r="G425">
        <f>IF($D425="","",1-$F425*$E425)</f>
        <v>0</v>
      </c>
      <c r="H425" t="str">
        <f>IFERROR(IF($E425=2,LOOKUP(2,1/(('Match Log'!$A$4:$A$810=401)*('Match Log'!$E$4:$E$810="Loss")),'Match Log'!$D$4:$D$810),"the field"),"")</f>
      </c>
      <c r="I425">
        <f>IF($G425="","",$G425-$A425/1000000)</f>
        <v>0</v>
      </c>
      <c r="J425">
        <v>401</v>
      </c>
      <c r="K425">
        <f>IF($J425&gt;MAX('Match Log'!$A$4:$A$810),NA(),IFERROR(LOOKUP(2,1/(('Match Log'!$D$4:$D$810=$K$24)*('Match Log'!$A$4:$A$810&lt;=$J425)),'Match Log'!$N$4:$N$810),NA()))</f>
        <v>0</v>
      </c>
      <c r="L425">
        <f>IF($J425&gt;MAX('Match Log'!$A$4:$A$810),NA(),IFERROR(LOOKUP(2,1/(('Match Log'!$D$4:$D$810=$L$24)*('Match Log'!$A$4:$A$810&lt;=$J425)),'Match Log'!$N$4:$N$810),NA()))</f>
        <v>0</v>
      </c>
      <c r="M425">
        <f>IF($J425&gt;MAX('Match Log'!$A$4:$A$810),NA(),IFERROR(LOOKUP(2,1/(('Match Log'!$D$4:$D$810=$M$24)*('Match Log'!$A$4:$A$810&lt;=$J425)),'Match Log'!$N$4:$N$810),NA()))</f>
        <v>0</v>
      </c>
      <c r="N425">
        <f>IF($J425&gt;MAX('Match Log'!$A$4:$A$810),NA(),IFERROR(LOOKUP(2,1/(('Match Log'!$D$4:$D$810=$N$24)*('Match Log'!$A$4:$A$810&lt;=$J425)),'Match Log'!$N$4:$N$810),NA()))</f>
        <v>0</v>
      </c>
      <c r="O425">
        <f>IF($J425&gt;MAX('Match Log'!$A$4:$A$810),NA(),IFERROR(LOOKUP(2,1/(('Match Log'!$D$4:$D$810=$O$24)*('Match Log'!$A$4:$A$810&lt;=$J425)),'Match Log'!$N$4:$N$810),NA()))</f>
        <v>0</v>
      </c>
      <c r="P425">
        <f>IF($J425&gt;MAX('Match Log'!$A$4:$A$810),NA(),IFERROR(LOOKUP(2,1/(('Match Log'!$D$4:$D$810=$P$24)*('Match Log'!$A$4:$A$810&lt;=$J425)),'Match Log'!$N$4:$N$810),NA()))</f>
        <v>0</v>
      </c>
      <c r="Q425">
        <f>IF($J425&gt;MAX('Match Log'!$A$4:$A$810),NA(),IFERROR(LOOKUP(2,1/(('Match Log'!$D$4:$D$810=$Q$24)*('Match Log'!$A$4:$A$810&lt;=$J425)),'Match Log'!$N$4:$N$810),NA()))</f>
        <v>0</v>
      </c>
      <c r="R425">
        <f>IF($J425&gt;MAX('Match Log'!$A$4:$A$810),NA(),IFERROR(LOOKUP(2,1/(('Match Log'!$D$4:$D$810=$R$24)*('Match Log'!$A$4:$A$810&lt;=$J425)),'Match Log'!$N$4:$N$810),NA()))</f>
        <v>0</v>
      </c>
      <c r="S425">
        <f>IF($J425&gt;MAX('Match Log'!$A$4:$A$810),NA(),IFERROR(LOOKUP(2,1/(('Match Log'!$D$4:$D$810=$S$24)*('Match Log'!$A$4:$A$810&lt;=$J425)),'Match Log'!$N$4:$N$810),NA()))</f>
        <v>0</v>
      </c>
      <c r="T425">
        <f>IF($J425&gt;MAX('Match Log'!$A$4:$A$810),NA(),IFERROR(LOOKUP(2,1/(('Match Log'!$D$4:$D$810=$T$24)*('Match Log'!$A$4:$A$810&lt;=$J425)),'Match Log'!$N$4:$N$810),NA()))</f>
        <v>0</v>
      </c>
      <c r="U425">
        <f>IF($J425&gt;MAX('Match Log'!$A$4:$A$810),NA(),IFERROR(LOOKUP(2,1/(('Match Log'!$D$4:$D$810=$U$24)*('Match Log'!$A$4:$A$810&lt;=$J425)),'Match Log'!$N$4:$N$810),NA()))</f>
        <v>0</v>
      </c>
      <c r="V425">
        <f>IF($J425&gt;MAX('Match Log'!$A$4:$A$810),NA(),IFERROR(LOOKUP(2,1/(('Match Log'!$D$4:$D$810=$V$24)*('Match Log'!$A$4:$A$810&lt;=$J425)),'Match Log'!$N$4:$N$810),NA()))</f>
        <v>0</v>
      </c>
      <c r="W425">
        <f>IF($J425&gt;MAX('Match Log'!$A$4:$A$810),NA(),IFERROR(LOOKUP(2,1/(('Match Log'!$D$4:$D$810=$W$24)*('Match Log'!$A$4:$A$810&lt;=$J425)),'Match Log'!$N$4:$N$810),NA()))</f>
        <v>0</v>
      </c>
      <c r="X425">
        <f>IF($J425&gt;MAX('Match Log'!$A$4:$A$810),NA(),IFERROR(LOOKUP(2,1/(('Match Log'!$D$4:$D$810=$X$24)*('Match Log'!$A$4:$A$810&lt;=$J425)),'Match Log'!$N$4:$N$810),NA()))</f>
        <v>0</v>
      </c>
      <c r="Y425" t="str">
        <f>IF(AND($B425&lt;&gt;"",$B425&gt;=$B$5,$I425&lt;&gt;""),$I425,"")</f>
      </c>
    </row>
    <row r="426">
      <c r="A426">
        <v>402</v>
      </c>
      <c r="B426">
        <f>IFERROR(INDEX('Match Log'!$B$4:$B$810,MATCH(402,'Match Log'!$A$4:$A$810,0)),"")</f>
        <v>0</v>
      </c>
      <c r="C426" t="str">
        <f>IFERROR(INDEX('Match Log'!$C$4:$C$810,MATCH(402,'Match Log'!$A$4:$A$810,0)),"")</f>
      </c>
      <c r="D426" t="str">
        <f>IFERROR(INDEX('Match Log'!$G$4:$G$810,MATCH(402,'Match Log'!$A$4:$A$810,0)),"")</f>
      </c>
      <c r="E426">
        <f>IFERROR(INDEX('Match Log'!$F$4:$F$810,MATCH(402,'Match Log'!$A$4:$A$810,0)),"")</f>
        <v>0</v>
      </c>
      <c r="F426">
        <f>IFERROR(SUMIFS('Match Log'!$I$4:$I$810,'Match Log'!$A$4:$A$810,402,'Match Log'!$E$4:$E$810,"Win"),"")</f>
        <v>0</v>
      </c>
      <c r="G426">
        <f>IF($D426="","",1-$F426*$E426)</f>
        <v>0</v>
      </c>
      <c r="H426" t="str">
        <f>IFERROR(IF($E426=2,LOOKUP(2,1/(('Match Log'!$A$4:$A$810=402)*('Match Log'!$E$4:$E$810="Loss")),'Match Log'!$D$4:$D$810),"the field"),"")</f>
      </c>
      <c r="I426">
        <f>IF($G426="","",$G426-$A426/1000000)</f>
        <v>0</v>
      </c>
      <c r="J426">
        <v>402</v>
      </c>
      <c r="K426">
        <f>IF($J426&gt;MAX('Match Log'!$A$4:$A$810),NA(),IFERROR(LOOKUP(2,1/(('Match Log'!$D$4:$D$810=$K$24)*('Match Log'!$A$4:$A$810&lt;=$J426)),'Match Log'!$N$4:$N$810),NA()))</f>
        <v>0</v>
      </c>
      <c r="L426">
        <f>IF($J426&gt;MAX('Match Log'!$A$4:$A$810),NA(),IFERROR(LOOKUP(2,1/(('Match Log'!$D$4:$D$810=$L$24)*('Match Log'!$A$4:$A$810&lt;=$J426)),'Match Log'!$N$4:$N$810),NA()))</f>
        <v>0</v>
      </c>
      <c r="M426">
        <f>IF($J426&gt;MAX('Match Log'!$A$4:$A$810),NA(),IFERROR(LOOKUP(2,1/(('Match Log'!$D$4:$D$810=$M$24)*('Match Log'!$A$4:$A$810&lt;=$J426)),'Match Log'!$N$4:$N$810),NA()))</f>
        <v>0</v>
      </c>
      <c r="N426">
        <f>IF($J426&gt;MAX('Match Log'!$A$4:$A$810),NA(),IFERROR(LOOKUP(2,1/(('Match Log'!$D$4:$D$810=$N$24)*('Match Log'!$A$4:$A$810&lt;=$J426)),'Match Log'!$N$4:$N$810),NA()))</f>
        <v>0</v>
      </c>
      <c r="O426">
        <f>IF($J426&gt;MAX('Match Log'!$A$4:$A$810),NA(),IFERROR(LOOKUP(2,1/(('Match Log'!$D$4:$D$810=$O$24)*('Match Log'!$A$4:$A$810&lt;=$J426)),'Match Log'!$N$4:$N$810),NA()))</f>
        <v>0</v>
      </c>
      <c r="P426">
        <f>IF($J426&gt;MAX('Match Log'!$A$4:$A$810),NA(),IFERROR(LOOKUP(2,1/(('Match Log'!$D$4:$D$810=$P$24)*('Match Log'!$A$4:$A$810&lt;=$J426)),'Match Log'!$N$4:$N$810),NA()))</f>
        <v>0</v>
      </c>
      <c r="Q426">
        <f>IF($J426&gt;MAX('Match Log'!$A$4:$A$810),NA(),IFERROR(LOOKUP(2,1/(('Match Log'!$D$4:$D$810=$Q$24)*('Match Log'!$A$4:$A$810&lt;=$J426)),'Match Log'!$N$4:$N$810),NA()))</f>
        <v>0</v>
      </c>
      <c r="R426">
        <f>IF($J426&gt;MAX('Match Log'!$A$4:$A$810),NA(),IFERROR(LOOKUP(2,1/(('Match Log'!$D$4:$D$810=$R$24)*('Match Log'!$A$4:$A$810&lt;=$J426)),'Match Log'!$N$4:$N$810),NA()))</f>
        <v>0</v>
      </c>
      <c r="S426">
        <f>IF($J426&gt;MAX('Match Log'!$A$4:$A$810),NA(),IFERROR(LOOKUP(2,1/(('Match Log'!$D$4:$D$810=$S$24)*('Match Log'!$A$4:$A$810&lt;=$J426)),'Match Log'!$N$4:$N$810),NA()))</f>
        <v>0</v>
      </c>
      <c r="T426">
        <f>IF($J426&gt;MAX('Match Log'!$A$4:$A$810),NA(),IFERROR(LOOKUP(2,1/(('Match Log'!$D$4:$D$810=$T$24)*('Match Log'!$A$4:$A$810&lt;=$J426)),'Match Log'!$N$4:$N$810),NA()))</f>
        <v>0</v>
      </c>
      <c r="U426">
        <f>IF($J426&gt;MAX('Match Log'!$A$4:$A$810),NA(),IFERROR(LOOKUP(2,1/(('Match Log'!$D$4:$D$810=$U$24)*('Match Log'!$A$4:$A$810&lt;=$J426)),'Match Log'!$N$4:$N$810),NA()))</f>
        <v>0</v>
      </c>
      <c r="V426">
        <f>IF($J426&gt;MAX('Match Log'!$A$4:$A$810),NA(),IFERROR(LOOKUP(2,1/(('Match Log'!$D$4:$D$810=$V$24)*('Match Log'!$A$4:$A$810&lt;=$J426)),'Match Log'!$N$4:$N$810),NA()))</f>
        <v>0</v>
      </c>
      <c r="W426">
        <f>IF($J426&gt;MAX('Match Log'!$A$4:$A$810),NA(),IFERROR(LOOKUP(2,1/(('Match Log'!$D$4:$D$810=$W$24)*('Match Log'!$A$4:$A$810&lt;=$J426)),'Match Log'!$N$4:$N$810),NA()))</f>
        <v>0</v>
      </c>
      <c r="X426">
        <f>IF($J426&gt;MAX('Match Log'!$A$4:$A$810),NA(),IFERROR(LOOKUP(2,1/(('Match Log'!$D$4:$D$810=$X$24)*('Match Log'!$A$4:$A$810&lt;=$J426)),'Match Log'!$N$4:$N$810),NA()))</f>
        <v>0</v>
      </c>
      <c r="Y426" t="str">
        <f>IF(AND($B426&lt;&gt;"",$B426&gt;=$B$5,$I426&lt;&gt;""),$I426,"")</f>
      </c>
    </row>
    <row r="427">
      <c r="A427">
        <v>403</v>
      </c>
      <c r="B427">
        <f>IFERROR(INDEX('Match Log'!$B$4:$B$810,MATCH(403,'Match Log'!$A$4:$A$810,0)),"")</f>
        <v>0</v>
      </c>
      <c r="C427" t="str">
        <f>IFERROR(INDEX('Match Log'!$C$4:$C$810,MATCH(403,'Match Log'!$A$4:$A$810,0)),"")</f>
      </c>
      <c r="D427" t="str">
        <f>IFERROR(INDEX('Match Log'!$G$4:$G$810,MATCH(403,'Match Log'!$A$4:$A$810,0)),"")</f>
      </c>
      <c r="E427">
        <f>IFERROR(INDEX('Match Log'!$F$4:$F$810,MATCH(403,'Match Log'!$A$4:$A$810,0)),"")</f>
        <v>0</v>
      </c>
      <c r="F427">
        <f>IFERROR(SUMIFS('Match Log'!$I$4:$I$810,'Match Log'!$A$4:$A$810,403,'Match Log'!$E$4:$E$810,"Win"),"")</f>
        <v>0</v>
      </c>
      <c r="G427">
        <f>IF($D427="","",1-$F427*$E427)</f>
        <v>0</v>
      </c>
      <c r="H427" t="str">
        <f>IFERROR(IF($E427=2,LOOKUP(2,1/(('Match Log'!$A$4:$A$810=403)*('Match Log'!$E$4:$E$810="Loss")),'Match Log'!$D$4:$D$810),"the field"),"")</f>
      </c>
      <c r="I427">
        <f>IF($G427="","",$G427-$A427/1000000)</f>
        <v>0</v>
      </c>
      <c r="J427">
        <v>403</v>
      </c>
      <c r="K427">
        <f>IF($J427&gt;MAX('Match Log'!$A$4:$A$810),NA(),IFERROR(LOOKUP(2,1/(('Match Log'!$D$4:$D$810=$K$24)*('Match Log'!$A$4:$A$810&lt;=$J427)),'Match Log'!$N$4:$N$810),NA()))</f>
        <v>0</v>
      </c>
      <c r="L427">
        <f>IF($J427&gt;MAX('Match Log'!$A$4:$A$810),NA(),IFERROR(LOOKUP(2,1/(('Match Log'!$D$4:$D$810=$L$24)*('Match Log'!$A$4:$A$810&lt;=$J427)),'Match Log'!$N$4:$N$810),NA()))</f>
        <v>0</v>
      </c>
      <c r="M427">
        <f>IF($J427&gt;MAX('Match Log'!$A$4:$A$810),NA(),IFERROR(LOOKUP(2,1/(('Match Log'!$D$4:$D$810=$M$24)*('Match Log'!$A$4:$A$810&lt;=$J427)),'Match Log'!$N$4:$N$810),NA()))</f>
        <v>0</v>
      </c>
      <c r="N427">
        <f>IF($J427&gt;MAX('Match Log'!$A$4:$A$810),NA(),IFERROR(LOOKUP(2,1/(('Match Log'!$D$4:$D$810=$N$24)*('Match Log'!$A$4:$A$810&lt;=$J427)),'Match Log'!$N$4:$N$810),NA()))</f>
        <v>0</v>
      </c>
      <c r="O427">
        <f>IF($J427&gt;MAX('Match Log'!$A$4:$A$810),NA(),IFERROR(LOOKUP(2,1/(('Match Log'!$D$4:$D$810=$O$24)*('Match Log'!$A$4:$A$810&lt;=$J427)),'Match Log'!$N$4:$N$810),NA()))</f>
        <v>0</v>
      </c>
      <c r="P427">
        <f>IF($J427&gt;MAX('Match Log'!$A$4:$A$810),NA(),IFERROR(LOOKUP(2,1/(('Match Log'!$D$4:$D$810=$P$24)*('Match Log'!$A$4:$A$810&lt;=$J427)),'Match Log'!$N$4:$N$810),NA()))</f>
        <v>0</v>
      </c>
      <c r="Q427">
        <f>IF($J427&gt;MAX('Match Log'!$A$4:$A$810),NA(),IFERROR(LOOKUP(2,1/(('Match Log'!$D$4:$D$810=$Q$24)*('Match Log'!$A$4:$A$810&lt;=$J427)),'Match Log'!$N$4:$N$810),NA()))</f>
        <v>0</v>
      </c>
      <c r="R427">
        <f>IF($J427&gt;MAX('Match Log'!$A$4:$A$810),NA(),IFERROR(LOOKUP(2,1/(('Match Log'!$D$4:$D$810=$R$24)*('Match Log'!$A$4:$A$810&lt;=$J427)),'Match Log'!$N$4:$N$810),NA()))</f>
        <v>0</v>
      </c>
      <c r="S427">
        <f>IF($J427&gt;MAX('Match Log'!$A$4:$A$810),NA(),IFERROR(LOOKUP(2,1/(('Match Log'!$D$4:$D$810=$S$24)*('Match Log'!$A$4:$A$810&lt;=$J427)),'Match Log'!$N$4:$N$810),NA()))</f>
        <v>0</v>
      </c>
      <c r="T427">
        <f>IF($J427&gt;MAX('Match Log'!$A$4:$A$810),NA(),IFERROR(LOOKUP(2,1/(('Match Log'!$D$4:$D$810=$T$24)*('Match Log'!$A$4:$A$810&lt;=$J427)),'Match Log'!$N$4:$N$810),NA()))</f>
        <v>0</v>
      </c>
      <c r="U427">
        <f>IF($J427&gt;MAX('Match Log'!$A$4:$A$810),NA(),IFERROR(LOOKUP(2,1/(('Match Log'!$D$4:$D$810=$U$24)*('Match Log'!$A$4:$A$810&lt;=$J427)),'Match Log'!$N$4:$N$810),NA()))</f>
        <v>0</v>
      </c>
      <c r="V427">
        <f>IF($J427&gt;MAX('Match Log'!$A$4:$A$810),NA(),IFERROR(LOOKUP(2,1/(('Match Log'!$D$4:$D$810=$V$24)*('Match Log'!$A$4:$A$810&lt;=$J427)),'Match Log'!$N$4:$N$810),NA()))</f>
        <v>0</v>
      </c>
      <c r="W427">
        <f>IF($J427&gt;MAX('Match Log'!$A$4:$A$810),NA(),IFERROR(LOOKUP(2,1/(('Match Log'!$D$4:$D$810=$W$24)*('Match Log'!$A$4:$A$810&lt;=$J427)),'Match Log'!$N$4:$N$810),NA()))</f>
        <v>0</v>
      </c>
      <c r="X427">
        <f>IF($J427&gt;MAX('Match Log'!$A$4:$A$810),NA(),IFERROR(LOOKUP(2,1/(('Match Log'!$D$4:$D$810=$X$24)*('Match Log'!$A$4:$A$810&lt;=$J427)),'Match Log'!$N$4:$N$810),NA()))</f>
        <v>0</v>
      </c>
      <c r="Y427" t="str">
        <f>IF(AND($B427&lt;&gt;"",$B427&gt;=$B$5,$I427&lt;&gt;""),$I427,"")</f>
      </c>
    </row>
    <row r="428">
      <c r="A428">
        <v>404</v>
      </c>
      <c r="B428">
        <f>IFERROR(INDEX('Match Log'!$B$4:$B$810,MATCH(404,'Match Log'!$A$4:$A$810,0)),"")</f>
        <v>0</v>
      </c>
      <c r="C428" t="str">
        <f>IFERROR(INDEX('Match Log'!$C$4:$C$810,MATCH(404,'Match Log'!$A$4:$A$810,0)),"")</f>
      </c>
      <c r="D428" t="str">
        <f>IFERROR(INDEX('Match Log'!$G$4:$G$810,MATCH(404,'Match Log'!$A$4:$A$810,0)),"")</f>
      </c>
      <c r="E428">
        <f>IFERROR(INDEX('Match Log'!$F$4:$F$810,MATCH(404,'Match Log'!$A$4:$A$810,0)),"")</f>
        <v>0</v>
      </c>
      <c r="F428">
        <f>IFERROR(SUMIFS('Match Log'!$I$4:$I$810,'Match Log'!$A$4:$A$810,404,'Match Log'!$E$4:$E$810,"Win"),"")</f>
        <v>0</v>
      </c>
      <c r="G428">
        <f>IF($D428="","",1-$F428*$E428)</f>
        <v>0</v>
      </c>
      <c r="H428" t="str">
        <f>IFERROR(IF($E428=2,LOOKUP(2,1/(('Match Log'!$A$4:$A$810=404)*('Match Log'!$E$4:$E$810="Loss")),'Match Log'!$D$4:$D$810),"the field"),"")</f>
      </c>
      <c r="I428">
        <f>IF($G428="","",$G428-$A428/1000000)</f>
        <v>0</v>
      </c>
      <c r="J428">
        <v>404</v>
      </c>
      <c r="K428">
        <f>IF($J428&gt;MAX('Match Log'!$A$4:$A$810),NA(),IFERROR(LOOKUP(2,1/(('Match Log'!$D$4:$D$810=$K$24)*('Match Log'!$A$4:$A$810&lt;=$J428)),'Match Log'!$N$4:$N$810),NA()))</f>
        <v>0</v>
      </c>
      <c r="L428">
        <f>IF($J428&gt;MAX('Match Log'!$A$4:$A$810),NA(),IFERROR(LOOKUP(2,1/(('Match Log'!$D$4:$D$810=$L$24)*('Match Log'!$A$4:$A$810&lt;=$J428)),'Match Log'!$N$4:$N$810),NA()))</f>
        <v>0</v>
      </c>
      <c r="M428">
        <f>IF($J428&gt;MAX('Match Log'!$A$4:$A$810),NA(),IFERROR(LOOKUP(2,1/(('Match Log'!$D$4:$D$810=$M$24)*('Match Log'!$A$4:$A$810&lt;=$J428)),'Match Log'!$N$4:$N$810),NA()))</f>
        <v>0</v>
      </c>
      <c r="N428">
        <f>IF($J428&gt;MAX('Match Log'!$A$4:$A$810),NA(),IFERROR(LOOKUP(2,1/(('Match Log'!$D$4:$D$810=$N$24)*('Match Log'!$A$4:$A$810&lt;=$J428)),'Match Log'!$N$4:$N$810),NA()))</f>
        <v>0</v>
      </c>
      <c r="O428">
        <f>IF($J428&gt;MAX('Match Log'!$A$4:$A$810),NA(),IFERROR(LOOKUP(2,1/(('Match Log'!$D$4:$D$810=$O$24)*('Match Log'!$A$4:$A$810&lt;=$J428)),'Match Log'!$N$4:$N$810),NA()))</f>
        <v>0</v>
      </c>
      <c r="P428">
        <f>IF($J428&gt;MAX('Match Log'!$A$4:$A$810),NA(),IFERROR(LOOKUP(2,1/(('Match Log'!$D$4:$D$810=$P$24)*('Match Log'!$A$4:$A$810&lt;=$J428)),'Match Log'!$N$4:$N$810),NA()))</f>
        <v>0</v>
      </c>
      <c r="Q428">
        <f>IF($J428&gt;MAX('Match Log'!$A$4:$A$810),NA(),IFERROR(LOOKUP(2,1/(('Match Log'!$D$4:$D$810=$Q$24)*('Match Log'!$A$4:$A$810&lt;=$J428)),'Match Log'!$N$4:$N$810),NA()))</f>
        <v>0</v>
      </c>
      <c r="R428">
        <f>IF($J428&gt;MAX('Match Log'!$A$4:$A$810),NA(),IFERROR(LOOKUP(2,1/(('Match Log'!$D$4:$D$810=$R$24)*('Match Log'!$A$4:$A$810&lt;=$J428)),'Match Log'!$N$4:$N$810),NA()))</f>
        <v>0</v>
      </c>
      <c r="S428">
        <f>IF($J428&gt;MAX('Match Log'!$A$4:$A$810),NA(),IFERROR(LOOKUP(2,1/(('Match Log'!$D$4:$D$810=$S$24)*('Match Log'!$A$4:$A$810&lt;=$J428)),'Match Log'!$N$4:$N$810),NA()))</f>
        <v>0</v>
      </c>
      <c r="T428">
        <f>IF($J428&gt;MAX('Match Log'!$A$4:$A$810),NA(),IFERROR(LOOKUP(2,1/(('Match Log'!$D$4:$D$810=$T$24)*('Match Log'!$A$4:$A$810&lt;=$J428)),'Match Log'!$N$4:$N$810),NA()))</f>
        <v>0</v>
      </c>
      <c r="U428">
        <f>IF($J428&gt;MAX('Match Log'!$A$4:$A$810),NA(),IFERROR(LOOKUP(2,1/(('Match Log'!$D$4:$D$810=$U$24)*('Match Log'!$A$4:$A$810&lt;=$J428)),'Match Log'!$N$4:$N$810),NA()))</f>
        <v>0</v>
      </c>
      <c r="V428">
        <f>IF($J428&gt;MAX('Match Log'!$A$4:$A$810),NA(),IFERROR(LOOKUP(2,1/(('Match Log'!$D$4:$D$810=$V$24)*('Match Log'!$A$4:$A$810&lt;=$J428)),'Match Log'!$N$4:$N$810),NA()))</f>
        <v>0</v>
      </c>
      <c r="W428">
        <f>IF($J428&gt;MAX('Match Log'!$A$4:$A$810),NA(),IFERROR(LOOKUP(2,1/(('Match Log'!$D$4:$D$810=$W$24)*('Match Log'!$A$4:$A$810&lt;=$J428)),'Match Log'!$N$4:$N$810),NA()))</f>
        <v>0</v>
      </c>
      <c r="X428">
        <f>IF($J428&gt;MAX('Match Log'!$A$4:$A$810),NA(),IFERROR(LOOKUP(2,1/(('Match Log'!$D$4:$D$810=$X$24)*('Match Log'!$A$4:$A$810&lt;=$J428)),'Match Log'!$N$4:$N$810),NA()))</f>
        <v>0</v>
      </c>
      <c r="Y428" t="str">
        <f>IF(AND($B428&lt;&gt;"",$B428&gt;=$B$5,$I428&lt;&gt;""),$I428,"")</f>
      </c>
    </row>
    <row r="429">
      <c r="A429">
        <v>405</v>
      </c>
      <c r="B429">
        <f>IFERROR(INDEX('Match Log'!$B$4:$B$810,MATCH(405,'Match Log'!$A$4:$A$810,0)),"")</f>
        <v>0</v>
      </c>
      <c r="C429" t="str">
        <f>IFERROR(INDEX('Match Log'!$C$4:$C$810,MATCH(405,'Match Log'!$A$4:$A$810,0)),"")</f>
      </c>
      <c r="D429" t="str">
        <f>IFERROR(INDEX('Match Log'!$G$4:$G$810,MATCH(405,'Match Log'!$A$4:$A$810,0)),"")</f>
      </c>
      <c r="E429">
        <f>IFERROR(INDEX('Match Log'!$F$4:$F$810,MATCH(405,'Match Log'!$A$4:$A$810,0)),"")</f>
        <v>0</v>
      </c>
      <c r="F429">
        <f>IFERROR(SUMIFS('Match Log'!$I$4:$I$810,'Match Log'!$A$4:$A$810,405,'Match Log'!$E$4:$E$810,"Win"),"")</f>
        <v>0</v>
      </c>
      <c r="G429">
        <f>IF($D429="","",1-$F429*$E429)</f>
        <v>0</v>
      </c>
      <c r="H429" t="str">
        <f>IFERROR(IF($E429=2,LOOKUP(2,1/(('Match Log'!$A$4:$A$810=405)*('Match Log'!$E$4:$E$810="Loss")),'Match Log'!$D$4:$D$810),"the field"),"")</f>
      </c>
      <c r="I429">
        <f>IF($G429="","",$G429-$A429/1000000)</f>
        <v>0</v>
      </c>
      <c r="J429">
        <v>405</v>
      </c>
      <c r="K429">
        <f>IF($J429&gt;MAX('Match Log'!$A$4:$A$810),NA(),IFERROR(LOOKUP(2,1/(('Match Log'!$D$4:$D$810=$K$24)*('Match Log'!$A$4:$A$810&lt;=$J429)),'Match Log'!$N$4:$N$810),NA()))</f>
        <v>0</v>
      </c>
      <c r="L429">
        <f>IF($J429&gt;MAX('Match Log'!$A$4:$A$810),NA(),IFERROR(LOOKUP(2,1/(('Match Log'!$D$4:$D$810=$L$24)*('Match Log'!$A$4:$A$810&lt;=$J429)),'Match Log'!$N$4:$N$810),NA()))</f>
        <v>0</v>
      </c>
      <c r="M429">
        <f>IF($J429&gt;MAX('Match Log'!$A$4:$A$810),NA(),IFERROR(LOOKUP(2,1/(('Match Log'!$D$4:$D$810=$M$24)*('Match Log'!$A$4:$A$810&lt;=$J429)),'Match Log'!$N$4:$N$810),NA()))</f>
        <v>0</v>
      </c>
      <c r="N429">
        <f>IF($J429&gt;MAX('Match Log'!$A$4:$A$810),NA(),IFERROR(LOOKUP(2,1/(('Match Log'!$D$4:$D$810=$N$24)*('Match Log'!$A$4:$A$810&lt;=$J429)),'Match Log'!$N$4:$N$810),NA()))</f>
        <v>0</v>
      </c>
      <c r="O429">
        <f>IF($J429&gt;MAX('Match Log'!$A$4:$A$810),NA(),IFERROR(LOOKUP(2,1/(('Match Log'!$D$4:$D$810=$O$24)*('Match Log'!$A$4:$A$810&lt;=$J429)),'Match Log'!$N$4:$N$810),NA()))</f>
        <v>0</v>
      </c>
      <c r="P429">
        <f>IF($J429&gt;MAX('Match Log'!$A$4:$A$810),NA(),IFERROR(LOOKUP(2,1/(('Match Log'!$D$4:$D$810=$P$24)*('Match Log'!$A$4:$A$810&lt;=$J429)),'Match Log'!$N$4:$N$810),NA()))</f>
        <v>0</v>
      </c>
      <c r="Q429">
        <f>IF($J429&gt;MAX('Match Log'!$A$4:$A$810),NA(),IFERROR(LOOKUP(2,1/(('Match Log'!$D$4:$D$810=$Q$24)*('Match Log'!$A$4:$A$810&lt;=$J429)),'Match Log'!$N$4:$N$810),NA()))</f>
        <v>0</v>
      </c>
      <c r="R429">
        <f>IF($J429&gt;MAX('Match Log'!$A$4:$A$810),NA(),IFERROR(LOOKUP(2,1/(('Match Log'!$D$4:$D$810=$R$24)*('Match Log'!$A$4:$A$810&lt;=$J429)),'Match Log'!$N$4:$N$810),NA()))</f>
        <v>0</v>
      </c>
      <c r="S429">
        <f>IF($J429&gt;MAX('Match Log'!$A$4:$A$810),NA(),IFERROR(LOOKUP(2,1/(('Match Log'!$D$4:$D$810=$S$24)*('Match Log'!$A$4:$A$810&lt;=$J429)),'Match Log'!$N$4:$N$810),NA()))</f>
        <v>0</v>
      </c>
      <c r="T429">
        <f>IF($J429&gt;MAX('Match Log'!$A$4:$A$810),NA(),IFERROR(LOOKUP(2,1/(('Match Log'!$D$4:$D$810=$T$24)*('Match Log'!$A$4:$A$810&lt;=$J429)),'Match Log'!$N$4:$N$810),NA()))</f>
        <v>0</v>
      </c>
      <c r="U429">
        <f>IF($J429&gt;MAX('Match Log'!$A$4:$A$810),NA(),IFERROR(LOOKUP(2,1/(('Match Log'!$D$4:$D$810=$U$24)*('Match Log'!$A$4:$A$810&lt;=$J429)),'Match Log'!$N$4:$N$810),NA()))</f>
        <v>0</v>
      </c>
      <c r="V429">
        <f>IF($J429&gt;MAX('Match Log'!$A$4:$A$810),NA(),IFERROR(LOOKUP(2,1/(('Match Log'!$D$4:$D$810=$V$24)*('Match Log'!$A$4:$A$810&lt;=$J429)),'Match Log'!$N$4:$N$810),NA()))</f>
        <v>0</v>
      </c>
      <c r="W429">
        <f>IF($J429&gt;MAX('Match Log'!$A$4:$A$810),NA(),IFERROR(LOOKUP(2,1/(('Match Log'!$D$4:$D$810=$W$24)*('Match Log'!$A$4:$A$810&lt;=$J429)),'Match Log'!$N$4:$N$810),NA()))</f>
        <v>0</v>
      </c>
      <c r="X429">
        <f>IF($J429&gt;MAX('Match Log'!$A$4:$A$810),NA(),IFERROR(LOOKUP(2,1/(('Match Log'!$D$4:$D$810=$X$24)*('Match Log'!$A$4:$A$810&lt;=$J429)),'Match Log'!$N$4:$N$810),NA()))</f>
        <v>0</v>
      </c>
      <c r="Y429" t="str">
        <f>IF(AND($B429&lt;&gt;"",$B429&gt;=$B$5,$I429&lt;&gt;""),$I429,"")</f>
      </c>
    </row>
    <row r="430">
      <c r="A430">
        <v>406</v>
      </c>
      <c r="B430">
        <f>IFERROR(INDEX('Match Log'!$B$4:$B$810,MATCH(406,'Match Log'!$A$4:$A$810,0)),"")</f>
        <v>0</v>
      </c>
      <c r="C430" t="str">
        <f>IFERROR(INDEX('Match Log'!$C$4:$C$810,MATCH(406,'Match Log'!$A$4:$A$810,0)),"")</f>
      </c>
      <c r="D430" t="str">
        <f>IFERROR(INDEX('Match Log'!$G$4:$G$810,MATCH(406,'Match Log'!$A$4:$A$810,0)),"")</f>
      </c>
      <c r="E430">
        <f>IFERROR(INDEX('Match Log'!$F$4:$F$810,MATCH(406,'Match Log'!$A$4:$A$810,0)),"")</f>
        <v>0</v>
      </c>
      <c r="F430">
        <f>IFERROR(SUMIFS('Match Log'!$I$4:$I$810,'Match Log'!$A$4:$A$810,406,'Match Log'!$E$4:$E$810,"Win"),"")</f>
        <v>0</v>
      </c>
      <c r="G430">
        <f>IF($D430="","",1-$F430*$E430)</f>
        <v>0</v>
      </c>
      <c r="H430" t="str">
        <f>IFERROR(IF($E430=2,LOOKUP(2,1/(('Match Log'!$A$4:$A$810=406)*('Match Log'!$E$4:$E$810="Loss")),'Match Log'!$D$4:$D$810),"the field"),"")</f>
      </c>
      <c r="I430">
        <f>IF($G430="","",$G430-$A430/1000000)</f>
        <v>0</v>
      </c>
      <c r="J430">
        <v>406</v>
      </c>
      <c r="K430">
        <f>IF($J430&gt;MAX('Match Log'!$A$4:$A$810),NA(),IFERROR(LOOKUP(2,1/(('Match Log'!$D$4:$D$810=$K$24)*('Match Log'!$A$4:$A$810&lt;=$J430)),'Match Log'!$N$4:$N$810),NA()))</f>
        <v>0</v>
      </c>
      <c r="L430">
        <f>IF($J430&gt;MAX('Match Log'!$A$4:$A$810),NA(),IFERROR(LOOKUP(2,1/(('Match Log'!$D$4:$D$810=$L$24)*('Match Log'!$A$4:$A$810&lt;=$J430)),'Match Log'!$N$4:$N$810),NA()))</f>
        <v>0</v>
      </c>
      <c r="M430">
        <f>IF($J430&gt;MAX('Match Log'!$A$4:$A$810),NA(),IFERROR(LOOKUP(2,1/(('Match Log'!$D$4:$D$810=$M$24)*('Match Log'!$A$4:$A$810&lt;=$J430)),'Match Log'!$N$4:$N$810),NA()))</f>
        <v>0</v>
      </c>
      <c r="N430">
        <f>IF($J430&gt;MAX('Match Log'!$A$4:$A$810),NA(),IFERROR(LOOKUP(2,1/(('Match Log'!$D$4:$D$810=$N$24)*('Match Log'!$A$4:$A$810&lt;=$J430)),'Match Log'!$N$4:$N$810),NA()))</f>
        <v>0</v>
      </c>
      <c r="O430">
        <f>IF($J430&gt;MAX('Match Log'!$A$4:$A$810),NA(),IFERROR(LOOKUP(2,1/(('Match Log'!$D$4:$D$810=$O$24)*('Match Log'!$A$4:$A$810&lt;=$J430)),'Match Log'!$N$4:$N$810),NA()))</f>
        <v>0</v>
      </c>
      <c r="P430">
        <f>IF($J430&gt;MAX('Match Log'!$A$4:$A$810),NA(),IFERROR(LOOKUP(2,1/(('Match Log'!$D$4:$D$810=$P$24)*('Match Log'!$A$4:$A$810&lt;=$J430)),'Match Log'!$N$4:$N$810),NA()))</f>
        <v>0</v>
      </c>
      <c r="Q430">
        <f>IF($J430&gt;MAX('Match Log'!$A$4:$A$810),NA(),IFERROR(LOOKUP(2,1/(('Match Log'!$D$4:$D$810=$Q$24)*('Match Log'!$A$4:$A$810&lt;=$J430)),'Match Log'!$N$4:$N$810),NA()))</f>
        <v>0</v>
      </c>
      <c r="R430">
        <f>IF($J430&gt;MAX('Match Log'!$A$4:$A$810),NA(),IFERROR(LOOKUP(2,1/(('Match Log'!$D$4:$D$810=$R$24)*('Match Log'!$A$4:$A$810&lt;=$J430)),'Match Log'!$N$4:$N$810),NA()))</f>
        <v>0</v>
      </c>
      <c r="S430">
        <f>IF($J430&gt;MAX('Match Log'!$A$4:$A$810),NA(),IFERROR(LOOKUP(2,1/(('Match Log'!$D$4:$D$810=$S$24)*('Match Log'!$A$4:$A$810&lt;=$J430)),'Match Log'!$N$4:$N$810),NA()))</f>
        <v>0</v>
      </c>
      <c r="T430">
        <f>IF($J430&gt;MAX('Match Log'!$A$4:$A$810),NA(),IFERROR(LOOKUP(2,1/(('Match Log'!$D$4:$D$810=$T$24)*('Match Log'!$A$4:$A$810&lt;=$J430)),'Match Log'!$N$4:$N$810),NA()))</f>
        <v>0</v>
      </c>
      <c r="U430">
        <f>IF($J430&gt;MAX('Match Log'!$A$4:$A$810),NA(),IFERROR(LOOKUP(2,1/(('Match Log'!$D$4:$D$810=$U$24)*('Match Log'!$A$4:$A$810&lt;=$J430)),'Match Log'!$N$4:$N$810),NA()))</f>
        <v>0</v>
      </c>
      <c r="V430">
        <f>IF($J430&gt;MAX('Match Log'!$A$4:$A$810),NA(),IFERROR(LOOKUP(2,1/(('Match Log'!$D$4:$D$810=$V$24)*('Match Log'!$A$4:$A$810&lt;=$J430)),'Match Log'!$N$4:$N$810),NA()))</f>
        <v>0</v>
      </c>
      <c r="W430">
        <f>IF($J430&gt;MAX('Match Log'!$A$4:$A$810),NA(),IFERROR(LOOKUP(2,1/(('Match Log'!$D$4:$D$810=$W$24)*('Match Log'!$A$4:$A$810&lt;=$J430)),'Match Log'!$N$4:$N$810),NA()))</f>
        <v>0</v>
      </c>
      <c r="X430">
        <f>IF($J430&gt;MAX('Match Log'!$A$4:$A$810),NA(),IFERROR(LOOKUP(2,1/(('Match Log'!$D$4:$D$810=$X$24)*('Match Log'!$A$4:$A$810&lt;=$J430)),'Match Log'!$N$4:$N$810),NA()))</f>
        <v>0</v>
      </c>
      <c r="Y430" t="str">
        <f>IF(AND($B430&lt;&gt;"",$B430&gt;=$B$5,$I430&lt;&gt;""),$I430,"")</f>
      </c>
    </row>
    <row r="431">
      <c r="A431">
        <v>407</v>
      </c>
      <c r="B431">
        <f>IFERROR(INDEX('Match Log'!$B$4:$B$810,MATCH(407,'Match Log'!$A$4:$A$810,0)),"")</f>
        <v>0</v>
      </c>
      <c r="C431" t="str">
        <f>IFERROR(INDEX('Match Log'!$C$4:$C$810,MATCH(407,'Match Log'!$A$4:$A$810,0)),"")</f>
      </c>
      <c r="D431" t="str">
        <f>IFERROR(INDEX('Match Log'!$G$4:$G$810,MATCH(407,'Match Log'!$A$4:$A$810,0)),"")</f>
      </c>
      <c r="E431">
        <f>IFERROR(INDEX('Match Log'!$F$4:$F$810,MATCH(407,'Match Log'!$A$4:$A$810,0)),"")</f>
        <v>0</v>
      </c>
      <c r="F431">
        <f>IFERROR(SUMIFS('Match Log'!$I$4:$I$810,'Match Log'!$A$4:$A$810,407,'Match Log'!$E$4:$E$810,"Win"),"")</f>
        <v>0</v>
      </c>
      <c r="G431">
        <f>IF($D431="","",1-$F431*$E431)</f>
        <v>0</v>
      </c>
      <c r="H431" t="str">
        <f>IFERROR(IF($E431=2,LOOKUP(2,1/(('Match Log'!$A$4:$A$810=407)*('Match Log'!$E$4:$E$810="Loss")),'Match Log'!$D$4:$D$810),"the field"),"")</f>
      </c>
      <c r="I431">
        <f>IF($G431="","",$G431-$A431/1000000)</f>
        <v>0</v>
      </c>
      <c r="J431">
        <v>407</v>
      </c>
      <c r="K431">
        <f>IF($J431&gt;MAX('Match Log'!$A$4:$A$810),NA(),IFERROR(LOOKUP(2,1/(('Match Log'!$D$4:$D$810=$K$24)*('Match Log'!$A$4:$A$810&lt;=$J431)),'Match Log'!$N$4:$N$810),NA()))</f>
        <v>0</v>
      </c>
      <c r="L431">
        <f>IF($J431&gt;MAX('Match Log'!$A$4:$A$810),NA(),IFERROR(LOOKUP(2,1/(('Match Log'!$D$4:$D$810=$L$24)*('Match Log'!$A$4:$A$810&lt;=$J431)),'Match Log'!$N$4:$N$810),NA()))</f>
        <v>0</v>
      </c>
      <c r="M431">
        <f>IF($J431&gt;MAX('Match Log'!$A$4:$A$810),NA(),IFERROR(LOOKUP(2,1/(('Match Log'!$D$4:$D$810=$M$24)*('Match Log'!$A$4:$A$810&lt;=$J431)),'Match Log'!$N$4:$N$810),NA()))</f>
        <v>0</v>
      </c>
      <c r="N431">
        <f>IF($J431&gt;MAX('Match Log'!$A$4:$A$810),NA(),IFERROR(LOOKUP(2,1/(('Match Log'!$D$4:$D$810=$N$24)*('Match Log'!$A$4:$A$810&lt;=$J431)),'Match Log'!$N$4:$N$810),NA()))</f>
        <v>0</v>
      </c>
      <c r="O431">
        <f>IF($J431&gt;MAX('Match Log'!$A$4:$A$810),NA(),IFERROR(LOOKUP(2,1/(('Match Log'!$D$4:$D$810=$O$24)*('Match Log'!$A$4:$A$810&lt;=$J431)),'Match Log'!$N$4:$N$810),NA()))</f>
        <v>0</v>
      </c>
      <c r="P431">
        <f>IF($J431&gt;MAX('Match Log'!$A$4:$A$810),NA(),IFERROR(LOOKUP(2,1/(('Match Log'!$D$4:$D$810=$P$24)*('Match Log'!$A$4:$A$810&lt;=$J431)),'Match Log'!$N$4:$N$810),NA()))</f>
        <v>0</v>
      </c>
      <c r="Q431">
        <f>IF($J431&gt;MAX('Match Log'!$A$4:$A$810),NA(),IFERROR(LOOKUP(2,1/(('Match Log'!$D$4:$D$810=$Q$24)*('Match Log'!$A$4:$A$810&lt;=$J431)),'Match Log'!$N$4:$N$810),NA()))</f>
        <v>0</v>
      </c>
      <c r="R431">
        <f>IF($J431&gt;MAX('Match Log'!$A$4:$A$810),NA(),IFERROR(LOOKUP(2,1/(('Match Log'!$D$4:$D$810=$R$24)*('Match Log'!$A$4:$A$810&lt;=$J431)),'Match Log'!$N$4:$N$810),NA()))</f>
        <v>0</v>
      </c>
      <c r="S431">
        <f>IF($J431&gt;MAX('Match Log'!$A$4:$A$810),NA(),IFERROR(LOOKUP(2,1/(('Match Log'!$D$4:$D$810=$S$24)*('Match Log'!$A$4:$A$810&lt;=$J431)),'Match Log'!$N$4:$N$810),NA()))</f>
        <v>0</v>
      </c>
      <c r="T431">
        <f>IF($J431&gt;MAX('Match Log'!$A$4:$A$810),NA(),IFERROR(LOOKUP(2,1/(('Match Log'!$D$4:$D$810=$T$24)*('Match Log'!$A$4:$A$810&lt;=$J431)),'Match Log'!$N$4:$N$810),NA()))</f>
        <v>0</v>
      </c>
      <c r="U431">
        <f>IF($J431&gt;MAX('Match Log'!$A$4:$A$810),NA(),IFERROR(LOOKUP(2,1/(('Match Log'!$D$4:$D$810=$U$24)*('Match Log'!$A$4:$A$810&lt;=$J431)),'Match Log'!$N$4:$N$810),NA()))</f>
        <v>0</v>
      </c>
      <c r="V431">
        <f>IF($J431&gt;MAX('Match Log'!$A$4:$A$810),NA(),IFERROR(LOOKUP(2,1/(('Match Log'!$D$4:$D$810=$V$24)*('Match Log'!$A$4:$A$810&lt;=$J431)),'Match Log'!$N$4:$N$810),NA()))</f>
        <v>0</v>
      </c>
      <c r="W431">
        <f>IF($J431&gt;MAX('Match Log'!$A$4:$A$810),NA(),IFERROR(LOOKUP(2,1/(('Match Log'!$D$4:$D$810=$W$24)*('Match Log'!$A$4:$A$810&lt;=$J431)),'Match Log'!$N$4:$N$810),NA()))</f>
        <v>0</v>
      </c>
      <c r="X431">
        <f>IF($J431&gt;MAX('Match Log'!$A$4:$A$810),NA(),IFERROR(LOOKUP(2,1/(('Match Log'!$D$4:$D$810=$X$24)*('Match Log'!$A$4:$A$810&lt;=$J431)),'Match Log'!$N$4:$N$810),NA()))</f>
        <v>0</v>
      </c>
      <c r="Y431" t="str">
        <f>IF(AND($B431&lt;&gt;"",$B431&gt;=$B$5,$I431&lt;&gt;""),$I431,"")</f>
      </c>
    </row>
    <row r="432">
      <c r="A432">
        <v>408</v>
      </c>
      <c r="B432">
        <f>IFERROR(INDEX('Match Log'!$B$4:$B$810,MATCH(408,'Match Log'!$A$4:$A$810,0)),"")</f>
        <v>0</v>
      </c>
      <c r="C432" t="str">
        <f>IFERROR(INDEX('Match Log'!$C$4:$C$810,MATCH(408,'Match Log'!$A$4:$A$810,0)),"")</f>
      </c>
      <c r="D432" t="str">
        <f>IFERROR(INDEX('Match Log'!$G$4:$G$810,MATCH(408,'Match Log'!$A$4:$A$810,0)),"")</f>
      </c>
      <c r="E432">
        <f>IFERROR(INDEX('Match Log'!$F$4:$F$810,MATCH(408,'Match Log'!$A$4:$A$810,0)),"")</f>
        <v>0</v>
      </c>
      <c r="F432">
        <f>IFERROR(SUMIFS('Match Log'!$I$4:$I$810,'Match Log'!$A$4:$A$810,408,'Match Log'!$E$4:$E$810,"Win"),"")</f>
        <v>0</v>
      </c>
      <c r="G432">
        <f>IF($D432="","",1-$F432*$E432)</f>
        <v>0</v>
      </c>
      <c r="H432" t="str">
        <f>IFERROR(IF($E432=2,LOOKUP(2,1/(('Match Log'!$A$4:$A$810=408)*('Match Log'!$E$4:$E$810="Loss")),'Match Log'!$D$4:$D$810),"the field"),"")</f>
      </c>
      <c r="I432">
        <f>IF($G432="","",$G432-$A432/1000000)</f>
        <v>0</v>
      </c>
      <c r="J432">
        <v>408</v>
      </c>
      <c r="K432">
        <f>IF($J432&gt;MAX('Match Log'!$A$4:$A$810),NA(),IFERROR(LOOKUP(2,1/(('Match Log'!$D$4:$D$810=$K$24)*('Match Log'!$A$4:$A$810&lt;=$J432)),'Match Log'!$N$4:$N$810),NA()))</f>
        <v>0</v>
      </c>
      <c r="L432">
        <f>IF($J432&gt;MAX('Match Log'!$A$4:$A$810),NA(),IFERROR(LOOKUP(2,1/(('Match Log'!$D$4:$D$810=$L$24)*('Match Log'!$A$4:$A$810&lt;=$J432)),'Match Log'!$N$4:$N$810),NA()))</f>
        <v>0</v>
      </c>
      <c r="M432">
        <f>IF($J432&gt;MAX('Match Log'!$A$4:$A$810),NA(),IFERROR(LOOKUP(2,1/(('Match Log'!$D$4:$D$810=$M$24)*('Match Log'!$A$4:$A$810&lt;=$J432)),'Match Log'!$N$4:$N$810),NA()))</f>
        <v>0</v>
      </c>
      <c r="N432">
        <f>IF($J432&gt;MAX('Match Log'!$A$4:$A$810),NA(),IFERROR(LOOKUP(2,1/(('Match Log'!$D$4:$D$810=$N$24)*('Match Log'!$A$4:$A$810&lt;=$J432)),'Match Log'!$N$4:$N$810),NA()))</f>
        <v>0</v>
      </c>
      <c r="O432">
        <f>IF($J432&gt;MAX('Match Log'!$A$4:$A$810),NA(),IFERROR(LOOKUP(2,1/(('Match Log'!$D$4:$D$810=$O$24)*('Match Log'!$A$4:$A$810&lt;=$J432)),'Match Log'!$N$4:$N$810),NA()))</f>
        <v>0</v>
      </c>
      <c r="P432">
        <f>IF($J432&gt;MAX('Match Log'!$A$4:$A$810),NA(),IFERROR(LOOKUP(2,1/(('Match Log'!$D$4:$D$810=$P$24)*('Match Log'!$A$4:$A$810&lt;=$J432)),'Match Log'!$N$4:$N$810),NA()))</f>
        <v>0</v>
      </c>
      <c r="Q432">
        <f>IF($J432&gt;MAX('Match Log'!$A$4:$A$810),NA(),IFERROR(LOOKUP(2,1/(('Match Log'!$D$4:$D$810=$Q$24)*('Match Log'!$A$4:$A$810&lt;=$J432)),'Match Log'!$N$4:$N$810),NA()))</f>
        <v>0</v>
      </c>
      <c r="R432">
        <f>IF($J432&gt;MAX('Match Log'!$A$4:$A$810),NA(),IFERROR(LOOKUP(2,1/(('Match Log'!$D$4:$D$810=$R$24)*('Match Log'!$A$4:$A$810&lt;=$J432)),'Match Log'!$N$4:$N$810),NA()))</f>
        <v>0</v>
      </c>
      <c r="S432">
        <f>IF($J432&gt;MAX('Match Log'!$A$4:$A$810),NA(),IFERROR(LOOKUP(2,1/(('Match Log'!$D$4:$D$810=$S$24)*('Match Log'!$A$4:$A$810&lt;=$J432)),'Match Log'!$N$4:$N$810),NA()))</f>
        <v>0</v>
      </c>
      <c r="T432">
        <f>IF($J432&gt;MAX('Match Log'!$A$4:$A$810),NA(),IFERROR(LOOKUP(2,1/(('Match Log'!$D$4:$D$810=$T$24)*('Match Log'!$A$4:$A$810&lt;=$J432)),'Match Log'!$N$4:$N$810),NA()))</f>
        <v>0</v>
      </c>
      <c r="U432">
        <f>IF($J432&gt;MAX('Match Log'!$A$4:$A$810),NA(),IFERROR(LOOKUP(2,1/(('Match Log'!$D$4:$D$810=$U$24)*('Match Log'!$A$4:$A$810&lt;=$J432)),'Match Log'!$N$4:$N$810),NA()))</f>
        <v>0</v>
      </c>
      <c r="V432">
        <f>IF($J432&gt;MAX('Match Log'!$A$4:$A$810),NA(),IFERROR(LOOKUP(2,1/(('Match Log'!$D$4:$D$810=$V$24)*('Match Log'!$A$4:$A$810&lt;=$J432)),'Match Log'!$N$4:$N$810),NA()))</f>
        <v>0</v>
      </c>
      <c r="W432">
        <f>IF($J432&gt;MAX('Match Log'!$A$4:$A$810),NA(),IFERROR(LOOKUP(2,1/(('Match Log'!$D$4:$D$810=$W$24)*('Match Log'!$A$4:$A$810&lt;=$J432)),'Match Log'!$N$4:$N$810),NA()))</f>
        <v>0</v>
      </c>
      <c r="X432">
        <f>IF($J432&gt;MAX('Match Log'!$A$4:$A$810),NA(),IFERROR(LOOKUP(2,1/(('Match Log'!$D$4:$D$810=$X$24)*('Match Log'!$A$4:$A$810&lt;=$J432)),'Match Log'!$N$4:$N$810),NA()))</f>
        <v>0</v>
      </c>
      <c r="Y432" t="str">
        <f>IF(AND($B432&lt;&gt;"",$B432&gt;=$B$5,$I432&lt;&gt;""),$I432,"")</f>
      </c>
    </row>
    <row r="433">
      <c r="A433">
        <v>409</v>
      </c>
      <c r="B433">
        <f>IFERROR(INDEX('Match Log'!$B$4:$B$810,MATCH(409,'Match Log'!$A$4:$A$810,0)),"")</f>
        <v>0</v>
      </c>
      <c r="C433" t="str">
        <f>IFERROR(INDEX('Match Log'!$C$4:$C$810,MATCH(409,'Match Log'!$A$4:$A$810,0)),"")</f>
      </c>
      <c r="D433" t="str">
        <f>IFERROR(INDEX('Match Log'!$G$4:$G$810,MATCH(409,'Match Log'!$A$4:$A$810,0)),"")</f>
      </c>
      <c r="E433">
        <f>IFERROR(INDEX('Match Log'!$F$4:$F$810,MATCH(409,'Match Log'!$A$4:$A$810,0)),"")</f>
        <v>0</v>
      </c>
      <c r="F433">
        <f>IFERROR(SUMIFS('Match Log'!$I$4:$I$810,'Match Log'!$A$4:$A$810,409,'Match Log'!$E$4:$E$810,"Win"),"")</f>
        <v>0</v>
      </c>
      <c r="G433">
        <f>IF($D433="","",1-$F433*$E433)</f>
        <v>0</v>
      </c>
      <c r="H433" t="str">
        <f>IFERROR(IF($E433=2,LOOKUP(2,1/(('Match Log'!$A$4:$A$810=409)*('Match Log'!$E$4:$E$810="Loss")),'Match Log'!$D$4:$D$810),"the field"),"")</f>
      </c>
      <c r="I433">
        <f>IF($G433="","",$G433-$A433/1000000)</f>
        <v>0</v>
      </c>
      <c r="J433">
        <v>409</v>
      </c>
      <c r="K433">
        <f>IF($J433&gt;MAX('Match Log'!$A$4:$A$810),NA(),IFERROR(LOOKUP(2,1/(('Match Log'!$D$4:$D$810=$K$24)*('Match Log'!$A$4:$A$810&lt;=$J433)),'Match Log'!$N$4:$N$810),NA()))</f>
        <v>0</v>
      </c>
      <c r="L433">
        <f>IF($J433&gt;MAX('Match Log'!$A$4:$A$810),NA(),IFERROR(LOOKUP(2,1/(('Match Log'!$D$4:$D$810=$L$24)*('Match Log'!$A$4:$A$810&lt;=$J433)),'Match Log'!$N$4:$N$810),NA()))</f>
        <v>0</v>
      </c>
      <c r="M433">
        <f>IF($J433&gt;MAX('Match Log'!$A$4:$A$810),NA(),IFERROR(LOOKUP(2,1/(('Match Log'!$D$4:$D$810=$M$24)*('Match Log'!$A$4:$A$810&lt;=$J433)),'Match Log'!$N$4:$N$810),NA()))</f>
        <v>0</v>
      </c>
      <c r="N433">
        <f>IF($J433&gt;MAX('Match Log'!$A$4:$A$810),NA(),IFERROR(LOOKUP(2,1/(('Match Log'!$D$4:$D$810=$N$24)*('Match Log'!$A$4:$A$810&lt;=$J433)),'Match Log'!$N$4:$N$810),NA()))</f>
        <v>0</v>
      </c>
      <c r="O433">
        <f>IF($J433&gt;MAX('Match Log'!$A$4:$A$810),NA(),IFERROR(LOOKUP(2,1/(('Match Log'!$D$4:$D$810=$O$24)*('Match Log'!$A$4:$A$810&lt;=$J433)),'Match Log'!$N$4:$N$810),NA()))</f>
        <v>0</v>
      </c>
      <c r="P433">
        <f>IF($J433&gt;MAX('Match Log'!$A$4:$A$810),NA(),IFERROR(LOOKUP(2,1/(('Match Log'!$D$4:$D$810=$P$24)*('Match Log'!$A$4:$A$810&lt;=$J433)),'Match Log'!$N$4:$N$810),NA()))</f>
        <v>0</v>
      </c>
      <c r="Q433">
        <f>IF($J433&gt;MAX('Match Log'!$A$4:$A$810),NA(),IFERROR(LOOKUP(2,1/(('Match Log'!$D$4:$D$810=$Q$24)*('Match Log'!$A$4:$A$810&lt;=$J433)),'Match Log'!$N$4:$N$810),NA()))</f>
        <v>0</v>
      </c>
      <c r="R433">
        <f>IF($J433&gt;MAX('Match Log'!$A$4:$A$810),NA(),IFERROR(LOOKUP(2,1/(('Match Log'!$D$4:$D$810=$R$24)*('Match Log'!$A$4:$A$810&lt;=$J433)),'Match Log'!$N$4:$N$810),NA()))</f>
        <v>0</v>
      </c>
      <c r="S433">
        <f>IF($J433&gt;MAX('Match Log'!$A$4:$A$810),NA(),IFERROR(LOOKUP(2,1/(('Match Log'!$D$4:$D$810=$S$24)*('Match Log'!$A$4:$A$810&lt;=$J433)),'Match Log'!$N$4:$N$810),NA()))</f>
        <v>0</v>
      </c>
      <c r="T433">
        <f>IF($J433&gt;MAX('Match Log'!$A$4:$A$810),NA(),IFERROR(LOOKUP(2,1/(('Match Log'!$D$4:$D$810=$T$24)*('Match Log'!$A$4:$A$810&lt;=$J433)),'Match Log'!$N$4:$N$810),NA()))</f>
        <v>0</v>
      </c>
      <c r="U433">
        <f>IF($J433&gt;MAX('Match Log'!$A$4:$A$810),NA(),IFERROR(LOOKUP(2,1/(('Match Log'!$D$4:$D$810=$U$24)*('Match Log'!$A$4:$A$810&lt;=$J433)),'Match Log'!$N$4:$N$810),NA()))</f>
        <v>0</v>
      </c>
      <c r="V433">
        <f>IF($J433&gt;MAX('Match Log'!$A$4:$A$810),NA(),IFERROR(LOOKUP(2,1/(('Match Log'!$D$4:$D$810=$V$24)*('Match Log'!$A$4:$A$810&lt;=$J433)),'Match Log'!$N$4:$N$810),NA()))</f>
        <v>0</v>
      </c>
      <c r="W433">
        <f>IF($J433&gt;MAX('Match Log'!$A$4:$A$810),NA(),IFERROR(LOOKUP(2,1/(('Match Log'!$D$4:$D$810=$W$24)*('Match Log'!$A$4:$A$810&lt;=$J433)),'Match Log'!$N$4:$N$810),NA()))</f>
        <v>0</v>
      </c>
      <c r="X433">
        <f>IF($J433&gt;MAX('Match Log'!$A$4:$A$810),NA(),IFERROR(LOOKUP(2,1/(('Match Log'!$D$4:$D$810=$X$24)*('Match Log'!$A$4:$A$810&lt;=$J433)),'Match Log'!$N$4:$N$810),NA()))</f>
        <v>0</v>
      </c>
      <c r="Y433" t="str">
        <f>IF(AND($B433&lt;&gt;"",$B433&gt;=$B$5,$I433&lt;&gt;""),$I433,"")</f>
      </c>
    </row>
    <row r="434">
      <c r="A434">
        <v>410</v>
      </c>
      <c r="B434">
        <f>IFERROR(INDEX('Match Log'!$B$4:$B$810,MATCH(410,'Match Log'!$A$4:$A$810,0)),"")</f>
        <v>0</v>
      </c>
      <c r="C434" t="str">
        <f>IFERROR(INDEX('Match Log'!$C$4:$C$810,MATCH(410,'Match Log'!$A$4:$A$810,0)),"")</f>
      </c>
      <c r="D434" t="str">
        <f>IFERROR(INDEX('Match Log'!$G$4:$G$810,MATCH(410,'Match Log'!$A$4:$A$810,0)),"")</f>
      </c>
      <c r="E434">
        <f>IFERROR(INDEX('Match Log'!$F$4:$F$810,MATCH(410,'Match Log'!$A$4:$A$810,0)),"")</f>
        <v>0</v>
      </c>
      <c r="F434">
        <f>IFERROR(SUMIFS('Match Log'!$I$4:$I$810,'Match Log'!$A$4:$A$810,410,'Match Log'!$E$4:$E$810,"Win"),"")</f>
        <v>0</v>
      </c>
      <c r="G434">
        <f>IF($D434="","",1-$F434*$E434)</f>
        <v>0</v>
      </c>
      <c r="H434" t="str">
        <f>IFERROR(IF($E434=2,LOOKUP(2,1/(('Match Log'!$A$4:$A$810=410)*('Match Log'!$E$4:$E$810="Loss")),'Match Log'!$D$4:$D$810),"the field"),"")</f>
      </c>
      <c r="I434">
        <f>IF($G434="","",$G434-$A434/1000000)</f>
        <v>0</v>
      </c>
      <c r="J434">
        <v>410</v>
      </c>
      <c r="K434">
        <f>IF($J434&gt;MAX('Match Log'!$A$4:$A$810),NA(),IFERROR(LOOKUP(2,1/(('Match Log'!$D$4:$D$810=$K$24)*('Match Log'!$A$4:$A$810&lt;=$J434)),'Match Log'!$N$4:$N$810),NA()))</f>
        <v>0</v>
      </c>
      <c r="L434">
        <f>IF($J434&gt;MAX('Match Log'!$A$4:$A$810),NA(),IFERROR(LOOKUP(2,1/(('Match Log'!$D$4:$D$810=$L$24)*('Match Log'!$A$4:$A$810&lt;=$J434)),'Match Log'!$N$4:$N$810),NA()))</f>
        <v>0</v>
      </c>
      <c r="M434">
        <f>IF($J434&gt;MAX('Match Log'!$A$4:$A$810),NA(),IFERROR(LOOKUP(2,1/(('Match Log'!$D$4:$D$810=$M$24)*('Match Log'!$A$4:$A$810&lt;=$J434)),'Match Log'!$N$4:$N$810),NA()))</f>
        <v>0</v>
      </c>
      <c r="N434">
        <f>IF($J434&gt;MAX('Match Log'!$A$4:$A$810),NA(),IFERROR(LOOKUP(2,1/(('Match Log'!$D$4:$D$810=$N$24)*('Match Log'!$A$4:$A$810&lt;=$J434)),'Match Log'!$N$4:$N$810),NA()))</f>
        <v>0</v>
      </c>
      <c r="O434">
        <f>IF($J434&gt;MAX('Match Log'!$A$4:$A$810),NA(),IFERROR(LOOKUP(2,1/(('Match Log'!$D$4:$D$810=$O$24)*('Match Log'!$A$4:$A$810&lt;=$J434)),'Match Log'!$N$4:$N$810),NA()))</f>
        <v>0</v>
      </c>
      <c r="P434">
        <f>IF($J434&gt;MAX('Match Log'!$A$4:$A$810),NA(),IFERROR(LOOKUP(2,1/(('Match Log'!$D$4:$D$810=$P$24)*('Match Log'!$A$4:$A$810&lt;=$J434)),'Match Log'!$N$4:$N$810),NA()))</f>
        <v>0</v>
      </c>
      <c r="Q434">
        <f>IF($J434&gt;MAX('Match Log'!$A$4:$A$810),NA(),IFERROR(LOOKUP(2,1/(('Match Log'!$D$4:$D$810=$Q$24)*('Match Log'!$A$4:$A$810&lt;=$J434)),'Match Log'!$N$4:$N$810),NA()))</f>
        <v>0</v>
      </c>
      <c r="R434">
        <f>IF($J434&gt;MAX('Match Log'!$A$4:$A$810),NA(),IFERROR(LOOKUP(2,1/(('Match Log'!$D$4:$D$810=$R$24)*('Match Log'!$A$4:$A$810&lt;=$J434)),'Match Log'!$N$4:$N$810),NA()))</f>
        <v>0</v>
      </c>
      <c r="S434">
        <f>IF($J434&gt;MAX('Match Log'!$A$4:$A$810),NA(),IFERROR(LOOKUP(2,1/(('Match Log'!$D$4:$D$810=$S$24)*('Match Log'!$A$4:$A$810&lt;=$J434)),'Match Log'!$N$4:$N$810),NA()))</f>
        <v>0</v>
      </c>
      <c r="T434">
        <f>IF($J434&gt;MAX('Match Log'!$A$4:$A$810),NA(),IFERROR(LOOKUP(2,1/(('Match Log'!$D$4:$D$810=$T$24)*('Match Log'!$A$4:$A$810&lt;=$J434)),'Match Log'!$N$4:$N$810),NA()))</f>
        <v>0</v>
      </c>
      <c r="U434">
        <f>IF($J434&gt;MAX('Match Log'!$A$4:$A$810),NA(),IFERROR(LOOKUP(2,1/(('Match Log'!$D$4:$D$810=$U$24)*('Match Log'!$A$4:$A$810&lt;=$J434)),'Match Log'!$N$4:$N$810),NA()))</f>
        <v>0</v>
      </c>
      <c r="V434">
        <f>IF($J434&gt;MAX('Match Log'!$A$4:$A$810),NA(),IFERROR(LOOKUP(2,1/(('Match Log'!$D$4:$D$810=$V$24)*('Match Log'!$A$4:$A$810&lt;=$J434)),'Match Log'!$N$4:$N$810),NA()))</f>
        <v>0</v>
      </c>
      <c r="W434">
        <f>IF($J434&gt;MAX('Match Log'!$A$4:$A$810),NA(),IFERROR(LOOKUP(2,1/(('Match Log'!$D$4:$D$810=$W$24)*('Match Log'!$A$4:$A$810&lt;=$J434)),'Match Log'!$N$4:$N$810),NA()))</f>
        <v>0</v>
      </c>
      <c r="X434">
        <f>IF($J434&gt;MAX('Match Log'!$A$4:$A$810),NA(),IFERROR(LOOKUP(2,1/(('Match Log'!$D$4:$D$810=$X$24)*('Match Log'!$A$4:$A$810&lt;=$J434)),'Match Log'!$N$4:$N$810),NA()))</f>
        <v>0</v>
      </c>
      <c r="Y434" t="str">
        <f>IF(AND($B434&lt;&gt;"",$B434&gt;=$B$5,$I434&lt;&gt;""),$I434,"")</f>
      </c>
    </row>
    <row r="435">
      <c r="A435">
        <v>411</v>
      </c>
      <c r="B435">
        <f>IFERROR(INDEX('Match Log'!$B$4:$B$810,MATCH(411,'Match Log'!$A$4:$A$810,0)),"")</f>
        <v>0</v>
      </c>
      <c r="C435" t="str">
        <f>IFERROR(INDEX('Match Log'!$C$4:$C$810,MATCH(411,'Match Log'!$A$4:$A$810,0)),"")</f>
      </c>
      <c r="D435" t="str">
        <f>IFERROR(INDEX('Match Log'!$G$4:$G$810,MATCH(411,'Match Log'!$A$4:$A$810,0)),"")</f>
      </c>
      <c r="E435">
        <f>IFERROR(INDEX('Match Log'!$F$4:$F$810,MATCH(411,'Match Log'!$A$4:$A$810,0)),"")</f>
        <v>0</v>
      </c>
      <c r="F435">
        <f>IFERROR(SUMIFS('Match Log'!$I$4:$I$810,'Match Log'!$A$4:$A$810,411,'Match Log'!$E$4:$E$810,"Win"),"")</f>
        <v>0</v>
      </c>
      <c r="G435">
        <f>IF($D435="","",1-$F435*$E435)</f>
        <v>0</v>
      </c>
      <c r="H435" t="str">
        <f>IFERROR(IF($E435=2,LOOKUP(2,1/(('Match Log'!$A$4:$A$810=411)*('Match Log'!$E$4:$E$810="Loss")),'Match Log'!$D$4:$D$810),"the field"),"")</f>
      </c>
      <c r="I435">
        <f>IF($G435="","",$G435-$A435/1000000)</f>
        <v>0</v>
      </c>
      <c r="J435">
        <v>411</v>
      </c>
      <c r="K435">
        <f>IF($J435&gt;MAX('Match Log'!$A$4:$A$810),NA(),IFERROR(LOOKUP(2,1/(('Match Log'!$D$4:$D$810=$K$24)*('Match Log'!$A$4:$A$810&lt;=$J435)),'Match Log'!$N$4:$N$810),NA()))</f>
        <v>0</v>
      </c>
      <c r="L435">
        <f>IF($J435&gt;MAX('Match Log'!$A$4:$A$810),NA(),IFERROR(LOOKUP(2,1/(('Match Log'!$D$4:$D$810=$L$24)*('Match Log'!$A$4:$A$810&lt;=$J435)),'Match Log'!$N$4:$N$810),NA()))</f>
        <v>0</v>
      </c>
      <c r="M435">
        <f>IF($J435&gt;MAX('Match Log'!$A$4:$A$810),NA(),IFERROR(LOOKUP(2,1/(('Match Log'!$D$4:$D$810=$M$24)*('Match Log'!$A$4:$A$810&lt;=$J435)),'Match Log'!$N$4:$N$810),NA()))</f>
        <v>0</v>
      </c>
      <c r="N435">
        <f>IF($J435&gt;MAX('Match Log'!$A$4:$A$810),NA(),IFERROR(LOOKUP(2,1/(('Match Log'!$D$4:$D$810=$N$24)*('Match Log'!$A$4:$A$810&lt;=$J435)),'Match Log'!$N$4:$N$810),NA()))</f>
        <v>0</v>
      </c>
      <c r="O435">
        <f>IF($J435&gt;MAX('Match Log'!$A$4:$A$810),NA(),IFERROR(LOOKUP(2,1/(('Match Log'!$D$4:$D$810=$O$24)*('Match Log'!$A$4:$A$810&lt;=$J435)),'Match Log'!$N$4:$N$810),NA()))</f>
        <v>0</v>
      </c>
      <c r="P435">
        <f>IF($J435&gt;MAX('Match Log'!$A$4:$A$810),NA(),IFERROR(LOOKUP(2,1/(('Match Log'!$D$4:$D$810=$P$24)*('Match Log'!$A$4:$A$810&lt;=$J435)),'Match Log'!$N$4:$N$810),NA()))</f>
        <v>0</v>
      </c>
      <c r="Q435">
        <f>IF($J435&gt;MAX('Match Log'!$A$4:$A$810),NA(),IFERROR(LOOKUP(2,1/(('Match Log'!$D$4:$D$810=$Q$24)*('Match Log'!$A$4:$A$810&lt;=$J435)),'Match Log'!$N$4:$N$810),NA()))</f>
        <v>0</v>
      </c>
      <c r="R435">
        <f>IF($J435&gt;MAX('Match Log'!$A$4:$A$810),NA(),IFERROR(LOOKUP(2,1/(('Match Log'!$D$4:$D$810=$R$24)*('Match Log'!$A$4:$A$810&lt;=$J435)),'Match Log'!$N$4:$N$810),NA()))</f>
        <v>0</v>
      </c>
      <c r="S435">
        <f>IF($J435&gt;MAX('Match Log'!$A$4:$A$810),NA(),IFERROR(LOOKUP(2,1/(('Match Log'!$D$4:$D$810=$S$24)*('Match Log'!$A$4:$A$810&lt;=$J435)),'Match Log'!$N$4:$N$810),NA()))</f>
        <v>0</v>
      </c>
      <c r="T435">
        <f>IF($J435&gt;MAX('Match Log'!$A$4:$A$810),NA(),IFERROR(LOOKUP(2,1/(('Match Log'!$D$4:$D$810=$T$24)*('Match Log'!$A$4:$A$810&lt;=$J435)),'Match Log'!$N$4:$N$810),NA()))</f>
        <v>0</v>
      </c>
      <c r="U435">
        <f>IF($J435&gt;MAX('Match Log'!$A$4:$A$810),NA(),IFERROR(LOOKUP(2,1/(('Match Log'!$D$4:$D$810=$U$24)*('Match Log'!$A$4:$A$810&lt;=$J435)),'Match Log'!$N$4:$N$810),NA()))</f>
        <v>0</v>
      </c>
      <c r="V435">
        <f>IF($J435&gt;MAX('Match Log'!$A$4:$A$810),NA(),IFERROR(LOOKUP(2,1/(('Match Log'!$D$4:$D$810=$V$24)*('Match Log'!$A$4:$A$810&lt;=$J435)),'Match Log'!$N$4:$N$810),NA()))</f>
        <v>0</v>
      </c>
      <c r="W435">
        <f>IF($J435&gt;MAX('Match Log'!$A$4:$A$810),NA(),IFERROR(LOOKUP(2,1/(('Match Log'!$D$4:$D$810=$W$24)*('Match Log'!$A$4:$A$810&lt;=$J435)),'Match Log'!$N$4:$N$810),NA()))</f>
        <v>0</v>
      </c>
      <c r="X435">
        <f>IF($J435&gt;MAX('Match Log'!$A$4:$A$810),NA(),IFERROR(LOOKUP(2,1/(('Match Log'!$D$4:$D$810=$X$24)*('Match Log'!$A$4:$A$810&lt;=$J435)),'Match Log'!$N$4:$N$810),NA()))</f>
        <v>0</v>
      </c>
      <c r="Y435" t="str">
        <f>IF(AND($B435&lt;&gt;"",$B435&gt;=$B$5,$I435&lt;&gt;""),$I435,"")</f>
      </c>
    </row>
    <row r="436">
      <c r="A436">
        <v>412</v>
      </c>
      <c r="B436">
        <f>IFERROR(INDEX('Match Log'!$B$4:$B$810,MATCH(412,'Match Log'!$A$4:$A$810,0)),"")</f>
        <v>0</v>
      </c>
      <c r="C436" t="str">
        <f>IFERROR(INDEX('Match Log'!$C$4:$C$810,MATCH(412,'Match Log'!$A$4:$A$810,0)),"")</f>
      </c>
      <c r="D436" t="str">
        <f>IFERROR(INDEX('Match Log'!$G$4:$G$810,MATCH(412,'Match Log'!$A$4:$A$810,0)),"")</f>
      </c>
      <c r="E436">
        <f>IFERROR(INDEX('Match Log'!$F$4:$F$810,MATCH(412,'Match Log'!$A$4:$A$810,0)),"")</f>
        <v>0</v>
      </c>
      <c r="F436">
        <f>IFERROR(SUMIFS('Match Log'!$I$4:$I$810,'Match Log'!$A$4:$A$810,412,'Match Log'!$E$4:$E$810,"Win"),"")</f>
        <v>0</v>
      </c>
      <c r="G436">
        <f>IF($D436="","",1-$F436*$E436)</f>
        <v>0</v>
      </c>
      <c r="H436" t="str">
        <f>IFERROR(IF($E436=2,LOOKUP(2,1/(('Match Log'!$A$4:$A$810=412)*('Match Log'!$E$4:$E$810="Loss")),'Match Log'!$D$4:$D$810),"the field"),"")</f>
      </c>
      <c r="I436">
        <f>IF($G436="","",$G436-$A436/1000000)</f>
        <v>0</v>
      </c>
      <c r="J436">
        <v>412</v>
      </c>
      <c r="K436">
        <f>IF($J436&gt;MAX('Match Log'!$A$4:$A$810),NA(),IFERROR(LOOKUP(2,1/(('Match Log'!$D$4:$D$810=$K$24)*('Match Log'!$A$4:$A$810&lt;=$J436)),'Match Log'!$N$4:$N$810),NA()))</f>
        <v>0</v>
      </c>
      <c r="L436">
        <f>IF($J436&gt;MAX('Match Log'!$A$4:$A$810),NA(),IFERROR(LOOKUP(2,1/(('Match Log'!$D$4:$D$810=$L$24)*('Match Log'!$A$4:$A$810&lt;=$J436)),'Match Log'!$N$4:$N$810),NA()))</f>
        <v>0</v>
      </c>
      <c r="M436">
        <f>IF($J436&gt;MAX('Match Log'!$A$4:$A$810),NA(),IFERROR(LOOKUP(2,1/(('Match Log'!$D$4:$D$810=$M$24)*('Match Log'!$A$4:$A$810&lt;=$J436)),'Match Log'!$N$4:$N$810),NA()))</f>
        <v>0</v>
      </c>
      <c r="N436">
        <f>IF($J436&gt;MAX('Match Log'!$A$4:$A$810),NA(),IFERROR(LOOKUP(2,1/(('Match Log'!$D$4:$D$810=$N$24)*('Match Log'!$A$4:$A$810&lt;=$J436)),'Match Log'!$N$4:$N$810),NA()))</f>
        <v>0</v>
      </c>
      <c r="O436">
        <f>IF($J436&gt;MAX('Match Log'!$A$4:$A$810),NA(),IFERROR(LOOKUP(2,1/(('Match Log'!$D$4:$D$810=$O$24)*('Match Log'!$A$4:$A$810&lt;=$J436)),'Match Log'!$N$4:$N$810),NA()))</f>
        <v>0</v>
      </c>
      <c r="P436">
        <f>IF($J436&gt;MAX('Match Log'!$A$4:$A$810),NA(),IFERROR(LOOKUP(2,1/(('Match Log'!$D$4:$D$810=$P$24)*('Match Log'!$A$4:$A$810&lt;=$J436)),'Match Log'!$N$4:$N$810),NA()))</f>
        <v>0</v>
      </c>
      <c r="Q436">
        <f>IF($J436&gt;MAX('Match Log'!$A$4:$A$810),NA(),IFERROR(LOOKUP(2,1/(('Match Log'!$D$4:$D$810=$Q$24)*('Match Log'!$A$4:$A$810&lt;=$J436)),'Match Log'!$N$4:$N$810),NA()))</f>
        <v>0</v>
      </c>
      <c r="R436">
        <f>IF($J436&gt;MAX('Match Log'!$A$4:$A$810),NA(),IFERROR(LOOKUP(2,1/(('Match Log'!$D$4:$D$810=$R$24)*('Match Log'!$A$4:$A$810&lt;=$J436)),'Match Log'!$N$4:$N$810),NA()))</f>
        <v>0</v>
      </c>
      <c r="S436">
        <f>IF($J436&gt;MAX('Match Log'!$A$4:$A$810),NA(),IFERROR(LOOKUP(2,1/(('Match Log'!$D$4:$D$810=$S$24)*('Match Log'!$A$4:$A$810&lt;=$J436)),'Match Log'!$N$4:$N$810),NA()))</f>
        <v>0</v>
      </c>
      <c r="T436">
        <f>IF($J436&gt;MAX('Match Log'!$A$4:$A$810),NA(),IFERROR(LOOKUP(2,1/(('Match Log'!$D$4:$D$810=$T$24)*('Match Log'!$A$4:$A$810&lt;=$J436)),'Match Log'!$N$4:$N$810),NA()))</f>
        <v>0</v>
      </c>
      <c r="U436">
        <f>IF($J436&gt;MAX('Match Log'!$A$4:$A$810),NA(),IFERROR(LOOKUP(2,1/(('Match Log'!$D$4:$D$810=$U$24)*('Match Log'!$A$4:$A$810&lt;=$J436)),'Match Log'!$N$4:$N$810),NA()))</f>
        <v>0</v>
      </c>
      <c r="V436">
        <f>IF($J436&gt;MAX('Match Log'!$A$4:$A$810),NA(),IFERROR(LOOKUP(2,1/(('Match Log'!$D$4:$D$810=$V$24)*('Match Log'!$A$4:$A$810&lt;=$J436)),'Match Log'!$N$4:$N$810),NA()))</f>
        <v>0</v>
      </c>
      <c r="W436">
        <f>IF($J436&gt;MAX('Match Log'!$A$4:$A$810),NA(),IFERROR(LOOKUP(2,1/(('Match Log'!$D$4:$D$810=$W$24)*('Match Log'!$A$4:$A$810&lt;=$J436)),'Match Log'!$N$4:$N$810),NA()))</f>
        <v>0</v>
      </c>
      <c r="X436">
        <f>IF($J436&gt;MAX('Match Log'!$A$4:$A$810),NA(),IFERROR(LOOKUP(2,1/(('Match Log'!$D$4:$D$810=$X$24)*('Match Log'!$A$4:$A$810&lt;=$J436)),'Match Log'!$N$4:$N$810),NA()))</f>
        <v>0</v>
      </c>
      <c r="Y436" t="str">
        <f>IF(AND($B436&lt;&gt;"",$B436&gt;=$B$5,$I436&lt;&gt;""),$I436,"")</f>
      </c>
    </row>
    <row r="437">
      <c r="A437">
        <v>413</v>
      </c>
      <c r="B437">
        <f>IFERROR(INDEX('Match Log'!$B$4:$B$810,MATCH(413,'Match Log'!$A$4:$A$810,0)),"")</f>
        <v>0</v>
      </c>
      <c r="C437" t="str">
        <f>IFERROR(INDEX('Match Log'!$C$4:$C$810,MATCH(413,'Match Log'!$A$4:$A$810,0)),"")</f>
      </c>
      <c r="D437" t="str">
        <f>IFERROR(INDEX('Match Log'!$G$4:$G$810,MATCH(413,'Match Log'!$A$4:$A$810,0)),"")</f>
      </c>
      <c r="E437">
        <f>IFERROR(INDEX('Match Log'!$F$4:$F$810,MATCH(413,'Match Log'!$A$4:$A$810,0)),"")</f>
        <v>0</v>
      </c>
      <c r="F437">
        <f>IFERROR(SUMIFS('Match Log'!$I$4:$I$810,'Match Log'!$A$4:$A$810,413,'Match Log'!$E$4:$E$810,"Win"),"")</f>
        <v>0</v>
      </c>
      <c r="G437">
        <f>IF($D437="","",1-$F437*$E437)</f>
        <v>0</v>
      </c>
      <c r="H437" t="str">
        <f>IFERROR(IF($E437=2,LOOKUP(2,1/(('Match Log'!$A$4:$A$810=413)*('Match Log'!$E$4:$E$810="Loss")),'Match Log'!$D$4:$D$810),"the field"),"")</f>
      </c>
      <c r="I437">
        <f>IF($G437="","",$G437-$A437/1000000)</f>
        <v>0</v>
      </c>
      <c r="J437">
        <v>413</v>
      </c>
      <c r="K437">
        <f>IF($J437&gt;MAX('Match Log'!$A$4:$A$810),NA(),IFERROR(LOOKUP(2,1/(('Match Log'!$D$4:$D$810=$K$24)*('Match Log'!$A$4:$A$810&lt;=$J437)),'Match Log'!$N$4:$N$810),NA()))</f>
        <v>0</v>
      </c>
      <c r="L437">
        <f>IF($J437&gt;MAX('Match Log'!$A$4:$A$810),NA(),IFERROR(LOOKUP(2,1/(('Match Log'!$D$4:$D$810=$L$24)*('Match Log'!$A$4:$A$810&lt;=$J437)),'Match Log'!$N$4:$N$810),NA()))</f>
        <v>0</v>
      </c>
      <c r="M437">
        <f>IF($J437&gt;MAX('Match Log'!$A$4:$A$810),NA(),IFERROR(LOOKUP(2,1/(('Match Log'!$D$4:$D$810=$M$24)*('Match Log'!$A$4:$A$810&lt;=$J437)),'Match Log'!$N$4:$N$810),NA()))</f>
        <v>0</v>
      </c>
      <c r="N437">
        <f>IF($J437&gt;MAX('Match Log'!$A$4:$A$810),NA(),IFERROR(LOOKUP(2,1/(('Match Log'!$D$4:$D$810=$N$24)*('Match Log'!$A$4:$A$810&lt;=$J437)),'Match Log'!$N$4:$N$810),NA()))</f>
        <v>0</v>
      </c>
      <c r="O437">
        <f>IF($J437&gt;MAX('Match Log'!$A$4:$A$810),NA(),IFERROR(LOOKUP(2,1/(('Match Log'!$D$4:$D$810=$O$24)*('Match Log'!$A$4:$A$810&lt;=$J437)),'Match Log'!$N$4:$N$810),NA()))</f>
        <v>0</v>
      </c>
      <c r="P437">
        <f>IF($J437&gt;MAX('Match Log'!$A$4:$A$810),NA(),IFERROR(LOOKUP(2,1/(('Match Log'!$D$4:$D$810=$P$24)*('Match Log'!$A$4:$A$810&lt;=$J437)),'Match Log'!$N$4:$N$810),NA()))</f>
        <v>0</v>
      </c>
      <c r="Q437">
        <f>IF($J437&gt;MAX('Match Log'!$A$4:$A$810),NA(),IFERROR(LOOKUP(2,1/(('Match Log'!$D$4:$D$810=$Q$24)*('Match Log'!$A$4:$A$810&lt;=$J437)),'Match Log'!$N$4:$N$810),NA()))</f>
        <v>0</v>
      </c>
      <c r="R437">
        <f>IF($J437&gt;MAX('Match Log'!$A$4:$A$810),NA(),IFERROR(LOOKUP(2,1/(('Match Log'!$D$4:$D$810=$R$24)*('Match Log'!$A$4:$A$810&lt;=$J437)),'Match Log'!$N$4:$N$810),NA()))</f>
        <v>0</v>
      </c>
      <c r="S437">
        <f>IF($J437&gt;MAX('Match Log'!$A$4:$A$810),NA(),IFERROR(LOOKUP(2,1/(('Match Log'!$D$4:$D$810=$S$24)*('Match Log'!$A$4:$A$810&lt;=$J437)),'Match Log'!$N$4:$N$810),NA()))</f>
        <v>0</v>
      </c>
      <c r="T437">
        <f>IF($J437&gt;MAX('Match Log'!$A$4:$A$810),NA(),IFERROR(LOOKUP(2,1/(('Match Log'!$D$4:$D$810=$T$24)*('Match Log'!$A$4:$A$810&lt;=$J437)),'Match Log'!$N$4:$N$810),NA()))</f>
        <v>0</v>
      </c>
      <c r="U437">
        <f>IF($J437&gt;MAX('Match Log'!$A$4:$A$810),NA(),IFERROR(LOOKUP(2,1/(('Match Log'!$D$4:$D$810=$U$24)*('Match Log'!$A$4:$A$810&lt;=$J437)),'Match Log'!$N$4:$N$810),NA()))</f>
        <v>0</v>
      </c>
      <c r="V437">
        <f>IF($J437&gt;MAX('Match Log'!$A$4:$A$810),NA(),IFERROR(LOOKUP(2,1/(('Match Log'!$D$4:$D$810=$V$24)*('Match Log'!$A$4:$A$810&lt;=$J437)),'Match Log'!$N$4:$N$810),NA()))</f>
        <v>0</v>
      </c>
      <c r="W437">
        <f>IF($J437&gt;MAX('Match Log'!$A$4:$A$810),NA(),IFERROR(LOOKUP(2,1/(('Match Log'!$D$4:$D$810=$W$24)*('Match Log'!$A$4:$A$810&lt;=$J437)),'Match Log'!$N$4:$N$810),NA()))</f>
        <v>0</v>
      </c>
      <c r="X437">
        <f>IF($J437&gt;MAX('Match Log'!$A$4:$A$810),NA(),IFERROR(LOOKUP(2,1/(('Match Log'!$D$4:$D$810=$X$24)*('Match Log'!$A$4:$A$810&lt;=$J437)),'Match Log'!$N$4:$N$810),NA()))</f>
        <v>0</v>
      </c>
      <c r="Y437" t="str">
        <f>IF(AND($B437&lt;&gt;"",$B437&gt;=$B$5,$I437&lt;&gt;""),$I437,"")</f>
      </c>
    </row>
    <row r="438">
      <c r="A438">
        <v>414</v>
      </c>
      <c r="B438">
        <f>IFERROR(INDEX('Match Log'!$B$4:$B$810,MATCH(414,'Match Log'!$A$4:$A$810,0)),"")</f>
        <v>0</v>
      </c>
      <c r="C438" t="str">
        <f>IFERROR(INDEX('Match Log'!$C$4:$C$810,MATCH(414,'Match Log'!$A$4:$A$810,0)),"")</f>
      </c>
      <c r="D438" t="str">
        <f>IFERROR(INDEX('Match Log'!$G$4:$G$810,MATCH(414,'Match Log'!$A$4:$A$810,0)),"")</f>
      </c>
      <c r="E438">
        <f>IFERROR(INDEX('Match Log'!$F$4:$F$810,MATCH(414,'Match Log'!$A$4:$A$810,0)),"")</f>
        <v>0</v>
      </c>
      <c r="F438">
        <f>IFERROR(SUMIFS('Match Log'!$I$4:$I$810,'Match Log'!$A$4:$A$810,414,'Match Log'!$E$4:$E$810,"Win"),"")</f>
        <v>0</v>
      </c>
      <c r="G438">
        <f>IF($D438="","",1-$F438*$E438)</f>
        <v>0</v>
      </c>
      <c r="H438" t="str">
        <f>IFERROR(IF($E438=2,LOOKUP(2,1/(('Match Log'!$A$4:$A$810=414)*('Match Log'!$E$4:$E$810="Loss")),'Match Log'!$D$4:$D$810),"the field"),"")</f>
      </c>
      <c r="I438">
        <f>IF($G438="","",$G438-$A438/1000000)</f>
        <v>0</v>
      </c>
      <c r="J438">
        <v>414</v>
      </c>
      <c r="K438">
        <f>IF($J438&gt;MAX('Match Log'!$A$4:$A$810),NA(),IFERROR(LOOKUP(2,1/(('Match Log'!$D$4:$D$810=$K$24)*('Match Log'!$A$4:$A$810&lt;=$J438)),'Match Log'!$N$4:$N$810),NA()))</f>
        <v>0</v>
      </c>
      <c r="L438">
        <f>IF($J438&gt;MAX('Match Log'!$A$4:$A$810),NA(),IFERROR(LOOKUP(2,1/(('Match Log'!$D$4:$D$810=$L$24)*('Match Log'!$A$4:$A$810&lt;=$J438)),'Match Log'!$N$4:$N$810),NA()))</f>
        <v>0</v>
      </c>
      <c r="M438">
        <f>IF($J438&gt;MAX('Match Log'!$A$4:$A$810),NA(),IFERROR(LOOKUP(2,1/(('Match Log'!$D$4:$D$810=$M$24)*('Match Log'!$A$4:$A$810&lt;=$J438)),'Match Log'!$N$4:$N$810),NA()))</f>
        <v>0</v>
      </c>
      <c r="N438">
        <f>IF($J438&gt;MAX('Match Log'!$A$4:$A$810),NA(),IFERROR(LOOKUP(2,1/(('Match Log'!$D$4:$D$810=$N$24)*('Match Log'!$A$4:$A$810&lt;=$J438)),'Match Log'!$N$4:$N$810),NA()))</f>
        <v>0</v>
      </c>
      <c r="O438">
        <f>IF($J438&gt;MAX('Match Log'!$A$4:$A$810),NA(),IFERROR(LOOKUP(2,1/(('Match Log'!$D$4:$D$810=$O$24)*('Match Log'!$A$4:$A$810&lt;=$J438)),'Match Log'!$N$4:$N$810),NA()))</f>
        <v>0</v>
      </c>
      <c r="P438">
        <f>IF($J438&gt;MAX('Match Log'!$A$4:$A$810),NA(),IFERROR(LOOKUP(2,1/(('Match Log'!$D$4:$D$810=$P$24)*('Match Log'!$A$4:$A$810&lt;=$J438)),'Match Log'!$N$4:$N$810),NA()))</f>
        <v>0</v>
      </c>
      <c r="Q438">
        <f>IF($J438&gt;MAX('Match Log'!$A$4:$A$810),NA(),IFERROR(LOOKUP(2,1/(('Match Log'!$D$4:$D$810=$Q$24)*('Match Log'!$A$4:$A$810&lt;=$J438)),'Match Log'!$N$4:$N$810),NA()))</f>
        <v>0</v>
      </c>
      <c r="R438">
        <f>IF($J438&gt;MAX('Match Log'!$A$4:$A$810),NA(),IFERROR(LOOKUP(2,1/(('Match Log'!$D$4:$D$810=$R$24)*('Match Log'!$A$4:$A$810&lt;=$J438)),'Match Log'!$N$4:$N$810),NA()))</f>
        <v>0</v>
      </c>
      <c r="S438">
        <f>IF($J438&gt;MAX('Match Log'!$A$4:$A$810),NA(),IFERROR(LOOKUP(2,1/(('Match Log'!$D$4:$D$810=$S$24)*('Match Log'!$A$4:$A$810&lt;=$J438)),'Match Log'!$N$4:$N$810),NA()))</f>
        <v>0</v>
      </c>
      <c r="T438">
        <f>IF($J438&gt;MAX('Match Log'!$A$4:$A$810),NA(),IFERROR(LOOKUP(2,1/(('Match Log'!$D$4:$D$810=$T$24)*('Match Log'!$A$4:$A$810&lt;=$J438)),'Match Log'!$N$4:$N$810),NA()))</f>
        <v>0</v>
      </c>
      <c r="U438">
        <f>IF($J438&gt;MAX('Match Log'!$A$4:$A$810),NA(),IFERROR(LOOKUP(2,1/(('Match Log'!$D$4:$D$810=$U$24)*('Match Log'!$A$4:$A$810&lt;=$J438)),'Match Log'!$N$4:$N$810),NA()))</f>
        <v>0</v>
      </c>
      <c r="V438">
        <f>IF($J438&gt;MAX('Match Log'!$A$4:$A$810),NA(),IFERROR(LOOKUP(2,1/(('Match Log'!$D$4:$D$810=$V$24)*('Match Log'!$A$4:$A$810&lt;=$J438)),'Match Log'!$N$4:$N$810),NA()))</f>
        <v>0</v>
      </c>
      <c r="W438">
        <f>IF($J438&gt;MAX('Match Log'!$A$4:$A$810),NA(),IFERROR(LOOKUP(2,1/(('Match Log'!$D$4:$D$810=$W$24)*('Match Log'!$A$4:$A$810&lt;=$J438)),'Match Log'!$N$4:$N$810),NA()))</f>
        <v>0</v>
      </c>
      <c r="X438">
        <f>IF($J438&gt;MAX('Match Log'!$A$4:$A$810),NA(),IFERROR(LOOKUP(2,1/(('Match Log'!$D$4:$D$810=$X$24)*('Match Log'!$A$4:$A$810&lt;=$J438)),'Match Log'!$N$4:$N$810),NA()))</f>
        <v>0</v>
      </c>
      <c r="Y438" t="str">
        <f>IF(AND($B438&lt;&gt;"",$B438&gt;=$B$5,$I438&lt;&gt;""),$I438,"")</f>
      </c>
    </row>
    <row r="439">
      <c r="A439">
        <v>415</v>
      </c>
      <c r="B439">
        <f>IFERROR(INDEX('Match Log'!$B$4:$B$810,MATCH(415,'Match Log'!$A$4:$A$810,0)),"")</f>
        <v>0</v>
      </c>
      <c r="C439" t="str">
        <f>IFERROR(INDEX('Match Log'!$C$4:$C$810,MATCH(415,'Match Log'!$A$4:$A$810,0)),"")</f>
      </c>
      <c r="D439" t="str">
        <f>IFERROR(INDEX('Match Log'!$G$4:$G$810,MATCH(415,'Match Log'!$A$4:$A$810,0)),"")</f>
      </c>
      <c r="E439">
        <f>IFERROR(INDEX('Match Log'!$F$4:$F$810,MATCH(415,'Match Log'!$A$4:$A$810,0)),"")</f>
        <v>0</v>
      </c>
      <c r="F439">
        <f>IFERROR(SUMIFS('Match Log'!$I$4:$I$810,'Match Log'!$A$4:$A$810,415,'Match Log'!$E$4:$E$810,"Win"),"")</f>
        <v>0</v>
      </c>
      <c r="G439">
        <f>IF($D439="","",1-$F439*$E439)</f>
        <v>0</v>
      </c>
      <c r="H439" t="str">
        <f>IFERROR(IF($E439=2,LOOKUP(2,1/(('Match Log'!$A$4:$A$810=415)*('Match Log'!$E$4:$E$810="Loss")),'Match Log'!$D$4:$D$810),"the field"),"")</f>
      </c>
      <c r="I439">
        <f>IF($G439="","",$G439-$A439/1000000)</f>
        <v>0</v>
      </c>
      <c r="J439">
        <v>415</v>
      </c>
      <c r="K439">
        <f>IF($J439&gt;MAX('Match Log'!$A$4:$A$810),NA(),IFERROR(LOOKUP(2,1/(('Match Log'!$D$4:$D$810=$K$24)*('Match Log'!$A$4:$A$810&lt;=$J439)),'Match Log'!$N$4:$N$810),NA()))</f>
        <v>0</v>
      </c>
      <c r="L439">
        <f>IF($J439&gt;MAX('Match Log'!$A$4:$A$810),NA(),IFERROR(LOOKUP(2,1/(('Match Log'!$D$4:$D$810=$L$24)*('Match Log'!$A$4:$A$810&lt;=$J439)),'Match Log'!$N$4:$N$810),NA()))</f>
        <v>0</v>
      </c>
      <c r="M439">
        <f>IF($J439&gt;MAX('Match Log'!$A$4:$A$810),NA(),IFERROR(LOOKUP(2,1/(('Match Log'!$D$4:$D$810=$M$24)*('Match Log'!$A$4:$A$810&lt;=$J439)),'Match Log'!$N$4:$N$810),NA()))</f>
        <v>0</v>
      </c>
      <c r="N439">
        <f>IF($J439&gt;MAX('Match Log'!$A$4:$A$810),NA(),IFERROR(LOOKUP(2,1/(('Match Log'!$D$4:$D$810=$N$24)*('Match Log'!$A$4:$A$810&lt;=$J439)),'Match Log'!$N$4:$N$810),NA()))</f>
        <v>0</v>
      </c>
      <c r="O439">
        <f>IF($J439&gt;MAX('Match Log'!$A$4:$A$810),NA(),IFERROR(LOOKUP(2,1/(('Match Log'!$D$4:$D$810=$O$24)*('Match Log'!$A$4:$A$810&lt;=$J439)),'Match Log'!$N$4:$N$810),NA()))</f>
        <v>0</v>
      </c>
      <c r="P439">
        <f>IF($J439&gt;MAX('Match Log'!$A$4:$A$810),NA(),IFERROR(LOOKUP(2,1/(('Match Log'!$D$4:$D$810=$P$24)*('Match Log'!$A$4:$A$810&lt;=$J439)),'Match Log'!$N$4:$N$810),NA()))</f>
        <v>0</v>
      </c>
      <c r="Q439">
        <f>IF($J439&gt;MAX('Match Log'!$A$4:$A$810),NA(),IFERROR(LOOKUP(2,1/(('Match Log'!$D$4:$D$810=$Q$24)*('Match Log'!$A$4:$A$810&lt;=$J439)),'Match Log'!$N$4:$N$810),NA()))</f>
        <v>0</v>
      </c>
      <c r="R439">
        <f>IF($J439&gt;MAX('Match Log'!$A$4:$A$810),NA(),IFERROR(LOOKUP(2,1/(('Match Log'!$D$4:$D$810=$R$24)*('Match Log'!$A$4:$A$810&lt;=$J439)),'Match Log'!$N$4:$N$810),NA()))</f>
        <v>0</v>
      </c>
      <c r="S439">
        <f>IF($J439&gt;MAX('Match Log'!$A$4:$A$810),NA(),IFERROR(LOOKUP(2,1/(('Match Log'!$D$4:$D$810=$S$24)*('Match Log'!$A$4:$A$810&lt;=$J439)),'Match Log'!$N$4:$N$810),NA()))</f>
        <v>0</v>
      </c>
      <c r="T439">
        <f>IF($J439&gt;MAX('Match Log'!$A$4:$A$810),NA(),IFERROR(LOOKUP(2,1/(('Match Log'!$D$4:$D$810=$T$24)*('Match Log'!$A$4:$A$810&lt;=$J439)),'Match Log'!$N$4:$N$810),NA()))</f>
        <v>0</v>
      </c>
      <c r="U439">
        <f>IF($J439&gt;MAX('Match Log'!$A$4:$A$810),NA(),IFERROR(LOOKUP(2,1/(('Match Log'!$D$4:$D$810=$U$24)*('Match Log'!$A$4:$A$810&lt;=$J439)),'Match Log'!$N$4:$N$810),NA()))</f>
        <v>0</v>
      </c>
      <c r="V439">
        <f>IF($J439&gt;MAX('Match Log'!$A$4:$A$810),NA(),IFERROR(LOOKUP(2,1/(('Match Log'!$D$4:$D$810=$V$24)*('Match Log'!$A$4:$A$810&lt;=$J439)),'Match Log'!$N$4:$N$810),NA()))</f>
        <v>0</v>
      </c>
      <c r="W439">
        <f>IF($J439&gt;MAX('Match Log'!$A$4:$A$810),NA(),IFERROR(LOOKUP(2,1/(('Match Log'!$D$4:$D$810=$W$24)*('Match Log'!$A$4:$A$810&lt;=$J439)),'Match Log'!$N$4:$N$810),NA()))</f>
        <v>0</v>
      </c>
      <c r="X439">
        <f>IF($J439&gt;MAX('Match Log'!$A$4:$A$810),NA(),IFERROR(LOOKUP(2,1/(('Match Log'!$D$4:$D$810=$X$24)*('Match Log'!$A$4:$A$810&lt;=$J439)),'Match Log'!$N$4:$N$810),NA()))</f>
        <v>0</v>
      </c>
      <c r="Y439" t="str">
        <f>IF(AND($B439&lt;&gt;"",$B439&gt;=$B$5,$I439&lt;&gt;""),$I439,"")</f>
      </c>
    </row>
    <row r="440">
      <c r="A440">
        <v>416</v>
      </c>
      <c r="B440">
        <f>IFERROR(INDEX('Match Log'!$B$4:$B$810,MATCH(416,'Match Log'!$A$4:$A$810,0)),"")</f>
        <v>0</v>
      </c>
      <c r="C440" t="str">
        <f>IFERROR(INDEX('Match Log'!$C$4:$C$810,MATCH(416,'Match Log'!$A$4:$A$810,0)),"")</f>
      </c>
      <c r="D440" t="str">
        <f>IFERROR(INDEX('Match Log'!$G$4:$G$810,MATCH(416,'Match Log'!$A$4:$A$810,0)),"")</f>
      </c>
      <c r="E440">
        <f>IFERROR(INDEX('Match Log'!$F$4:$F$810,MATCH(416,'Match Log'!$A$4:$A$810,0)),"")</f>
        <v>0</v>
      </c>
      <c r="F440">
        <f>IFERROR(SUMIFS('Match Log'!$I$4:$I$810,'Match Log'!$A$4:$A$810,416,'Match Log'!$E$4:$E$810,"Win"),"")</f>
        <v>0</v>
      </c>
      <c r="G440">
        <f>IF($D440="","",1-$F440*$E440)</f>
        <v>0</v>
      </c>
      <c r="H440" t="str">
        <f>IFERROR(IF($E440=2,LOOKUP(2,1/(('Match Log'!$A$4:$A$810=416)*('Match Log'!$E$4:$E$810="Loss")),'Match Log'!$D$4:$D$810),"the field"),"")</f>
      </c>
      <c r="I440">
        <f>IF($G440="","",$G440-$A440/1000000)</f>
        <v>0</v>
      </c>
      <c r="J440">
        <v>416</v>
      </c>
      <c r="K440">
        <f>IF($J440&gt;MAX('Match Log'!$A$4:$A$810),NA(),IFERROR(LOOKUP(2,1/(('Match Log'!$D$4:$D$810=$K$24)*('Match Log'!$A$4:$A$810&lt;=$J440)),'Match Log'!$N$4:$N$810),NA()))</f>
        <v>0</v>
      </c>
      <c r="L440">
        <f>IF($J440&gt;MAX('Match Log'!$A$4:$A$810),NA(),IFERROR(LOOKUP(2,1/(('Match Log'!$D$4:$D$810=$L$24)*('Match Log'!$A$4:$A$810&lt;=$J440)),'Match Log'!$N$4:$N$810),NA()))</f>
        <v>0</v>
      </c>
      <c r="M440">
        <f>IF($J440&gt;MAX('Match Log'!$A$4:$A$810),NA(),IFERROR(LOOKUP(2,1/(('Match Log'!$D$4:$D$810=$M$24)*('Match Log'!$A$4:$A$810&lt;=$J440)),'Match Log'!$N$4:$N$810),NA()))</f>
        <v>0</v>
      </c>
      <c r="N440">
        <f>IF($J440&gt;MAX('Match Log'!$A$4:$A$810),NA(),IFERROR(LOOKUP(2,1/(('Match Log'!$D$4:$D$810=$N$24)*('Match Log'!$A$4:$A$810&lt;=$J440)),'Match Log'!$N$4:$N$810),NA()))</f>
        <v>0</v>
      </c>
      <c r="O440">
        <f>IF($J440&gt;MAX('Match Log'!$A$4:$A$810),NA(),IFERROR(LOOKUP(2,1/(('Match Log'!$D$4:$D$810=$O$24)*('Match Log'!$A$4:$A$810&lt;=$J440)),'Match Log'!$N$4:$N$810),NA()))</f>
        <v>0</v>
      </c>
      <c r="P440">
        <f>IF($J440&gt;MAX('Match Log'!$A$4:$A$810),NA(),IFERROR(LOOKUP(2,1/(('Match Log'!$D$4:$D$810=$P$24)*('Match Log'!$A$4:$A$810&lt;=$J440)),'Match Log'!$N$4:$N$810),NA()))</f>
        <v>0</v>
      </c>
      <c r="Q440">
        <f>IF($J440&gt;MAX('Match Log'!$A$4:$A$810),NA(),IFERROR(LOOKUP(2,1/(('Match Log'!$D$4:$D$810=$Q$24)*('Match Log'!$A$4:$A$810&lt;=$J440)),'Match Log'!$N$4:$N$810),NA()))</f>
        <v>0</v>
      </c>
      <c r="R440">
        <f>IF($J440&gt;MAX('Match Log'!$A$4:$A$810),NA(),IFERROR(LOOKUP(2,1/(('Match Log'!$D$4:$D$810=$R$24)*('Match Log'!$A$4:$A$810&lt;=$J440)),'Match Log'!$N$4:$N$810),NA()))</f>
        <v>0</v>
      </c>
      <c r="S440">
        <f>IF($J440&gt;MAX('Match Log'!$A$4:$A$810),NA(),IFERROR(LOOKUP(2,1/(('Match Log'!$D$4:$D$810=$S$24)*('Match Log'!$A$4:$A$810&lt;=$J440)),'Match Log'!$N$4:$N$810),NA()))</f>
        <v>0</v>
      </c>
      <c r="T440">
        <f>IF($J440&gt;MAX('Match Log'!$A$4:$A$810),NA(),IFERROR(LOOKUP(2,1/(('Match Log'!$D$4:$D$810=$T$24)*('Match Log'!$A$4:$A$810&lt;=$J440)),'Match Log'!$N$4:$N$810),NA()))</f>
        <v>0</v>
      </c>
      <c r="U440">
        <f>IF($J440&gt;MAX('Match Log'!$A$4:$A$810),NA(),IFERROR(LOOKUP(2,1/(('Match Log'!$D$4:$D$810=$U$24)*('Match Log'!$A$4:$A$810&lt;=$J440)),'Match Log'!$N$4:$N$810),NA()))</f>
        <v>0</v>
      </c>
      <c r="V440">
        <f>IF($J440&gt;MAX('Match Log'!$A$4:$A$810),NA(),IFERROR(LOOKUP(2,1/(('Match Log'!$D$4:$D$810=$V$24)*('Match Log'!$A$4:$A$810&lt;=$J440)),'Match Log'!$N$4:$N$810),NA()))</f>
        <v>0</v>
      </c>
      <c r="W440">
        <f>IF($J440&gt;MAX('Match Log'!$A$4:$A$810),NA(),IFERROR(LOOKUP(2,1/(('Match Log'!$D$4:$D$810=$W$24)*('Match Log'!$A$4:$A$810&lt;=$J440)),'Match Log'!$N$4:$N$810),NA()))</f>
        <v>0</v>
      </c>
      <c r="X440">
        <f>IF($J440&gt;MAX('Match Log'!$A$4:$A$810),NA(),IFERROR(LOOKUP(2,1/(('Match Log'!$D$4:$D$810=$X$24)*('Match Log'!$A$4:$A$810&lt;=$J440)),'Match Log'!$N$4:$N$810),NA()))</f>
        <v>0</v>
      </c>
      <c r="Y440" t="str">
        <f>IF(AND($B440&lt;&gt;"",$B440&gt;=$B$5,$I440&lt;&gt;""),$I440,"")</f>
      </c>
    </row>
    <row r="441">
      <c r="A441">
        <v>417</v>
      </c>
      <c r="B441">
        <f>IFERROR(INDEX('Match Log'!$B$4:$B$810,MATCH(417,'Match Log'!$A$4:$A$810,0)),"")</f>
        <v>0</v>
      </c>
      <c r="C441" t="str">
        <f>IFERROR(INDEX('Match Log'!$C$4:$C$810,MATCH(417,'Match Log'!$A$4:$A$810,0)),"")</f>
      </c>
      <c r="D441" t="str">
        <f>IFERROR(INDEX('Match Log'!$G$4:$G$810,MATCH(417,'Match Log'!$A$4:$A$810,0)),"")</f>
      </c>
      <c r="E441">
        <f>IFERROR(INDEX('Match Log'!$F$4:$F$810,MATCH(417,'Match Log'!$A$4:$A$810,0)),"")</f>
        <v>0</v>
      </c>
      <c r="F441">
        <f>IFERROR(SUMIFS('Match Log'!$I$4:$I$810,'Match Log'!$A$4:$A$810,417,'Match Log'!$E$4:$E$810,"Win"),"")</f>
        <v>0</v>
      </c>
      <c r="G441">
        <f>IF($D441="","",1-$F441*$E441)</f>
        <v>0</v>
      </c>
      <c r="H441" t="str">
        <f>IFERROR(IF($E441=2,LOOKUP(2,1/(('Match Log'!$A$4:$A$810=417)*('Match Log'!$E$4:$E$810="Loss")),'Match Log'!$D$4:$D$810),"the field"),"")</f>
      </c>
      <c r="I441">
        <f>IF($G441="","",$G441-$A441/1000000)</f>
        <v>0</v>
      </c>
      <c r="J441">
        <v>417</v>
      </c>
      <c r="K441">
        <f>IF($J441&gt;MAX('Match Log'!$A$4:$A$810),NA(),IFERROR(LOOKUP(2,1/(('Match Log'!$D$4:$D$810=$K$24)*('Match Log'!$A$4:$A$810&lt;=$J441)),'Match Log'!$N$4:$N$810),NA()))</f>
        <v>0</v>
      </c>
      <c r="L441">
        <f>IF($J441&gt;MAX('Match Log'!$A$4:$A$810),NA(),IFERROR(LOOKUP(2,1/(('Match Log'!$D$4:$D$810=$L$24)*('Match Log'!$A$4:$A$810&lt;=$J441)),'Match Log'!$N$4:$N$810),NA()))</f>
        <v>0</v>
      </c>
      <c r="M441">
        <f>IF($J441&gt;MAX('Match Log'!$A$4:$A$810),NA(),IFERROR(LOOKUP(2,1/(('Match Log'!$D$4:$D$810=$M$24)*('Match Log'!$A$4:$A$810&lt;=$J441)),'Match Log'!$N$4:$N$810),NA()))</f>
        <v>0</v>
      </c>
      <c r="N441">
        <f>IF($J441&gt;MAX('Match Log'!$A$4:$A$810),NA(),IFERROR(LOOKUP(2,1/(('Match Log'!$D$4:$D$810=$N$24)*('Match Log'!$A$4:$A$810&lt;=$J441)),'Match Log'!$N$4:$N$810),NA()))</f>
        <v>0</v>
      </c>
      <c r="O441">
        <f>IF($J441&gt;MAX('Match Log'!$A$4:$A$810),NA(),IFERROR(LOOKUP(2,1/(('Match Log'!$D$4:$D$810=$O$24)*('Match Log'!$A$4:$A$810&lt;=$J441)),'Match Log'!$N$4:$N$810),NA()))</f>
        <v>0</v>
      </c>
      <c r="P441">
        <f>IF($J441&gt;MAX('Match Log'!$A$4:$A$810),NA(),IFERROR(LOOKUP(2,1/(('Match Log'!$D$4:$D$810=$P$24)*('Match Log'!$A$4:$A$810&lt;=$J441)),'Match Log'!$N$4:$N$810),NA()))</f>
        <v>0</v>
      </c>
      <c r="Q441">
        <f>IF($J441&gt;MAX('Match Log'!$A$4:$A$810),NA(),IFERROR(LOOKUP(2,1/(('Match Log'!$D$4:$D$810=$Q$24)*('Match Log'!$A$4:$A$810&lt;=$J441)),'Match Log'!$N$4:$N$810),NA()))</f>
        <v>0</v>
      </c>
      <c r="R441">
        <f>IF($J441&gt;MAX('Match Log'!$A$4:$A$810),NA(),IFERROR(LOOKUP(2,1/(('Match Log'!$D$4:$D$810=$R$24)*('Match Log'!$A$4:$A$810&lt;=$J441)),'Match Log'!$N$4:$N$810),NA()))</f>
        <v>0</v>
      </c>
      <c r="S441">
        <f>IF($J441&gt;MAX('Match Log'!$A$4:$A$810),NA(),IFERROR(LOOKUP(2,1/(('Match Log'!$D$4:$D$810=$S$24)*('Match Log'!$A$4:$A$810&lt;=$J441)),'Match Log'!$N$4:$N$810),NA()))</f>
        <v>0</v>
      </c>
      <c r="T441">
        <f>IF($J441&gt;MAX('Match Log'!$A$4:$A$810),NA(),IFERROR(LOOKUP(2,1/(('Match Log'!$D$4:$D$810=$T$24)*('Match Log'!$A$4:$A$810&lt;=$J441)),'Match Log'!$N$4:$N$810),NA()))</f>
        <v>0</v>
      </c>
      <c r="U441">
        <f>IF($J441&gt;MAX('Match Log'!$A$4:$A$810),NA(),IFERROR(LOOKUP(2,1/(('Match Log'!$D$4:$D$810=$U$24)*('Match Log'!$A$4:$A$810&lt;=$J441)),'Match Log'!$N$4:$N$810),NA()))</f>
        <v>0</v>
      </c>
      <c r="V441">
        <f>IF($J441&gt;MAX('Match Log'!$A$4:$A$810),NA(),IFERROR(LOOKUP(2,1/(('Match Log'!$D$4:$D$810=$V$24)*('Match Log'!$A$4:$A$810&lt;=$J441)),'Match Log'!$N$4:$N$810),NA()))</f>
        <v>0</v>
      </c>
      <c r="W441">
        <f>IF($J441&gt;MAX('Match Log'!$A$4:$A$810),NA(),IFERROR(LOOKUP(2,1/(('Match Log'!$D$4:$D$810=$W$24)*('Match Log'!$A$4:$A$810&lt;=$J441)),'Match Log'!$N$4:$N$810),NA()))</f>
        <v>0</v>
      </c>
      <c r="X441">
        <f>IF($J441&gt;MAX('Match Log'!$A$4:$A$810),NA(),IFERROR(LOOKUP(2,1/(('Match Log'!$D$4:$D$810=$X$24)*('Match Log'!$A$4:$A$810&lt;=$J441)),'Match Log'!$N$4:$N$810),NA()))</f>
        <v>0</v>
      </c>
      <c r="Y441" t="str">
        <f>IF(AND($B441&lt;&gt;"",$B441&gt;=$B$5,$I441&lt;&gt;""),$I441,"")</f>
      </c>
    </row>
    <row r="442">
      <c r="A442">
        <v>418</v>
      </c>
      <c r="B442">
        <f>IFERROR(INDEX('Match Log'!$B$4:$B$810,MATCH(418,'Match Log'!$A$4:$A$810,0)),"")</f>
        <v>0</v>
      </c>
      <c r="C442" t="str">
        <f>IFERROR(INDEX('Match Log'!$C$4:$C$810,MATCH(418,'Match Log'!$A$4:$A$810,0)),"")</f>
      </c>
      <c r="D442" t="str">
        <f>IFERROR(INDEX('Match Log'!$G$4:$G$810,MATCH(418,'Match Log'!$A$4:$A$810,0)),"")</f>
      </c>
      <c r="E442">
        <f>IFERROR(INDEX('Match Log'!$F$4:$F$810,MATCH(418,'Match Log'!$A$4:$A$810,0)),"")</f>
        <v>0</v>
      </c>
      <c r="F442">
        <f>IFERROR(SUMIFS('Match Log'!$I$4:$I$810,'Match Log'!$A$4:$A$810,418,'Match Log'!$E$4:$E$810,"Win"),"")</f>
        <v>0</v>
      </c>
      <c r="G442">
        <f>IF($D442="","",1-$F442*$E442)</f>
        <v>0</v>
      </c>
      <c r="H442" t="str">
        <f>IFERROR(IF($E442=2,LOOKUP(2,1/(('Match Log'!$A$4:$A$810=418)*('Match Log'!$E$4:$E$810="Loss")),'Match Log'!$D$4:$D$810),"the field"),"")</f>
      </c>
      <c r="I442">
        <f>IF($G442="","",$G442-$A442/1000000)</f>
        <v>0</v>
      </c>
      <c r="J442">
        <v>418</v>
      </c>
      <c r="K442">
        <f>IF($J442&gt;MAX('Match Log'!$A$4:$A$810),NA(),IFERROR(LOOKUP(2,1/(('Match Log'!$D$4:$D$810=$K$24)*('Match Log'!$A$4:$A$810&lt;=$J442)),'Match Log'!$N$4:$N$810),NA()))</f>
        <v>0</v>
      </c>
      <c r="L442">
        <f>IF($J442&gt;MAX('Match Log'!$A$4:$A$810),NA(),IFERROR(LOOKUP(2,1/(('Match Log'!$D$4:$D$810=$L$24)*('Match Log'!$A$4:$A$810&lt;=$J442)),'Match Log'!$N$4:$N$810),NA()))</f>
        <v>0</v>
      </c>
      <c r="M442">
        <f>IF($J442&gt;MAX('Match Log'!$A$4:$A$810),NA(),IFERROR(LOOKUP(2,1/(('Match Log'!$D$4:$D$810=$M$24)*('Match Log'!$A$4:$A$810&lt;=$J442)),'Match Log'!$N$4:$N$810),NA()))</f>
        <v>0</v>
      </c>
      <c r="N442">
        <f>IF($J442&gt;MAX('Match Log'!$A$4:$A$810),NA(),IFERROR(LOOKUP(2,1/(('Match Log'!$D$4:$D$810=$N$24)*('Match Log'!$A$4:$A$810&lt;=$J442)),'Match Log'!$N$4:$N$810),NA()))</f>
        <v>0</v>
      </c>
      <c r="O442">
        <f>IF($J442&gt;MAX('Match Log'!$A$4:$A$810),NA(),IFERROR(LOOKUP(2,1/(('Match Log'!$D$4:$D$810=$O$24)*('Match Log'!$A$4:$A$810&lt;=$J442)),'Match Log'!$N$4:$N$810),NA()))</f>
        <v>0</v>
      </c>
      <c r="P442">
        <f>IF($J442&gt;MAX('Match Log'!$A$4:$A$810),NA(),IFERROR(LOOKUP(2,1/(('Match Log'!$D$4:$D$810=$P$24)*('Match Log'!$A$4:$A$810&lt;=$J442)),'Match Log'!$N$4:$N$810),NA()))</f>
        <v>0</v>
      </c>
      <c r="Q442">
        <f>IF($J442&gt;MAX('Match Log'!$A$4:$A$810),NA(),IFERROR(LOOKUP(2,1/(('Match Log'!$D$4:$D$810=$Q$24)*('Match Log'!$A$4:$A$810&lt;=$J442)),'Match Log'!$N$4:$N$810),NA()))</f>
        <v>0</v>
      </c>
      <c r="R442">
        <f>IF($J442&gt;MAX('Match Log'!$A$4:$A$810),NA(),IFERROR(LOOKUP(2,1/(('Match Log'!$D$4:$D$810=$R$24)*('Match Log'!$A$4:$A$810&lt;=$J442)),'Match Log'!$N$4:$N$810),NA()))</f>
        <v>0</v>
      </c>
      <c r="S442">
        <f>IF($J442&gt;MAX('Match Log'!$A$4:$A$810),NA(),IFERROR(LOOKUP(2,1/(('Match Log'!$D$4:$D$810=$S$24)*('Match Log'!$A$4:$A$810&lt;=$J442)),'Match Log'!$N$4:$N$810),NA()))</f>
        <v>0</v>
      </c>
      <c r="T442">
        <f>IF($J442&gt;MAX('Match Log'!$A$4:$A$810),NA(),IFERROR(LOOKUP(2,1/(('Match Log'!$D$4:$D$810=$T$24)*('Match Log'!$A$4:$A$810&lt;=$J442)),'Match Log'!$N$4:$N$810),NA()))</f>
        <v>0</v>
      </c>
      <c r="U442">
        <f>IF($J442&gt;MAX('Match Log'!$A$4:$A$810),NA(),IFERROR(LOOKUP(2,1/(('Match Log'!$D$4:$D$810=$U$24)*('Match Log'!$A$4:$A$810&lt;=$J442)),'Match Log'!$N$4:$N$810),NA()))</f>
        <v>0</v>
      </c>
      <c r="V442">
        <f>IF($J442&gt;MAX('Match Log'!$A$4:$A$810),NA(),IFERROR(LOOKUP(2,1/(('Match Log'!$D$4:$D$810=$V$24)*('Match Log'!$A$4:$A$810&lt;=$J442)),'Match Log'!$N$4:$N$810),NA()))</f>
        <v>0</v>
      </c>
      <c r="W442">
        <f>IF($J442&gt;MAX('Match Log'!$A$4:$A$810),NA(),IFERROR(LOOKUP(2,1/(('Match Log'!$D$4:$D$810=$W$24)*('Match Log'!$A$4:$A$810&lt;=$J442)),'Match Log'!$N$4:$N$810),NA()))</f>
        <v>0</v>
      </c>
      <c r="X442">
        <f>IF($J442&gt;MAX('Match Log'!$A$4:$A$810),NA(),IFERROR(LOOKUP(2,1/(('Match Log'!$D$4:$D$810=$X$24)*('Match Log'!$A$4:$A$810&lt;=$J442)),'Match Log'!$N$4:$N$810),NA()))</f>
        <v>0</v>
      </c>
      <c r="Y442" t="str">
        <f>IF(AND($B442&lt;&gt;"",$B442&gt;=$B$5,$I442&lt;&gt;""),$I442,"")</f>
      </c>
    </row>
    <row r="443">
      <c r="A443">
        <v>419</v>
      </c>
      <c r="B443">
        <f>IFERROR(INDEX('Match Log'!$B$4:$B$810,MATCH(419,'Match Log'!$A$4:$A$810,0)),"")</f>
        <v>0</v>
      </c>
      <c r="C443" t="str">
        <f>IFERROR(INDEX('Match Log'!$C$4:$C$810,MATCH(419,'Match Log'!$A$4:$A$810,0)),"")</f>
      </c>
      <c r="D443" t="str">
        <f>IFERROR(INDEX('Match Log'!$G$4:$G$810,MATCH(419,'Match Log'!$A$4:$A$810,0)),"")</f>
      </c>
      <c r="E443">
        <f>IFERROR(INDEX('Match Log'!$F$4:$F$810,MATCH(419,'Match Log'!$A$4:$A$810,0)),"")</f>
        <v>0</v>
      </c>
      <c r="F443">
        <f>IFERROR(SUMIFS('Match Log'!$I$4:$I$810,'Match Log'!$A$4:$A$810,419,'Match Log'!$E$4:$E$810,"Win"),"")</f>
        <v>0</v>
      </c>
      <c r="G443">
        <f>IF($D443="","",1-$F443*$E443)</f>
        <v>0</v>
      </c>
      <c r="H443" t="str">
        <f>IFERROR(IF($E443=2,LOOKUP(2,1/(('Match Log'!$A$4:$A$810=419)*('Match Log'!$E$4:$E$810="Loss")),'Match Log'!$D$4:$D$810),"the field"),"")</f>
      </c>
      <c r="I443">
        <f>IF($G443="","",$G443-$A443/1000000)</f>
        <v>0</v>
      </c>
      <c r="J443">
        <v>419</v>
      </c>
      <c r="K443">
        <f>IF($J443&gt;MAX('Match Log'!$A$4:$A$810),NA(),IFERROR(LOOKUP(2,1/(('Match Log'!$D$4:$D$810=$K$24)*('Match Log'!$A$4:$A$810&lt;=$J443)),'Match Log'!$N$4:$N$810),NA()))</f>
        <v>0</v>
      </c>
      <c r="L443">
        <f>IF($J443&gt;MAX('Match Log'!$A$4:$A$810),NA(),IFERROR(LOOKUP(2,1/(('Match Log'!$D$4:$D$810=$L$24)*('Match Log'!$A$4:$A$810&lt;=$J443)),'Match Log'!$N$4:$N$810),NA()))</f>
        <v>0</v>
      </c>
      <c r="M443">
        <f>IF($J443&gt;MAX('Match Log'!$A$4:$A$810),NA(),IFERROR(LOOKUP(2,1/(('Match Log'!$D$4:$D$810=$M$24)*('Match Log'!$A$4:$A$810&lt;=$J443)),'Match Log'!$N$4:$N$810),NA()))</f>
        <v>0</v>
      </c>
      <c r="N443">
        <f>IF($J443&gt;MAX('Match Log'!$A$4:$A$810),NA(),IFERROR(LOOKUP(2,1/(('Match Log'!$D$4:$D$810=$N$24)*('Match Log'!$A$4:$A$810&lt;=$J443)),'Match Log'!$N$4:$N$810),NA()))</f>
        <v>0</v>
      </c>
      <c r="O443">
        <f>IF($J443&gt;MAX('Match Log'!$A$4:$A$810),NA(),IFERROR(LOOKUP(2,1/(('Match Log'!$D$4:$D$810=$O$24)*('Match Log'!$A$4:$A$810&lt;=$J443)),'Match Log'!$N$4:$N$810),NA()))</f>
        <v>0</v>
      </c>
      <c r="P443">
        <f>IF($J443&gt;MAX('Match Log'!$A$4:$A$810),NA(),IFERROR(LOOKUP(2,1/(('Match Log'!$D$4:$D$810=$P$24)*('Match Log'!$A$4:$A$810&lt;=$J443)),'Match Log'!$N$4:$N$810),NA()))</f>
        <v>0</v>
      </c>
      <c r="Q443">
        <f>IF($J443&gt;MAX('Match Log'!$A$4:$A$810),NA(),IFERROR(LOOKUP(2,1/(('Match Log'!$D$4:$D$810=$Q$24)*('Match Log'!$A$4:$A$810&lt;=$J443)),'Match Log'!$N$4:$N$810),NA()))</f>
        <v>0</v>
      </c>
      <c r="R443">
        <f>IF($J443&gt;MAX('Match Log'!$A$4:$A$810),NA(),IFERROR(LOOKUP(2,1/(('Match Log'!$D$4:$D$810=$R$24)*('Match Log'!$A$4:$A$810&lt;=$J443)),'Match Log'!$N$4:$N$810),NA()))</f>
        <v>0</v>
      </c>
      <c r="S443">
        <f>IF($J443&gt;MAX('Match Log'!$A$4:$A$810),NA(),IFERROR(LOOKUP(2,1/(('Match Log'!$D$4:$D$810=$S$24)*('Match Log'!$A$4:$A$810&lt;=$J443)),'Match Log'!$N$4:$N$810),NA()))</f>
        <v>0</v>
      </c>
      <c r="T443">
        <f>IF($J443&gt;MAX('Match Log'!$A$4:$A$810),NA(),IFERROR(LOOKUP(2,1/(('Match Log'!$D$4:$D$810=$T$24)*('Match Log'!$A$4:$A$810&lt;=$J443)),'Match Log'!$N$4:$N$810),NA()))</f>
        <v>0</v>
      </c>
      <c r="U443">
        <f>IF($J443&gt;MAX('Match Log'!$A$4:$A$810),NA(),IFERROR(LOOKUP(2,1/(('Match Log'!$D$4:$D$810=$U$24)*('Match Log'!$A$4:$A$810&lt;=$J443)),'Match Log'!$N$4:$N$810),NA()))</f>
        <v>0</v>
      </c>
      <c r="V443">
        <f>IF($J443&gt;MAX('Match Log'!$A$4:$A$810),NA(),IFERROR(LOOKUP(2,1/(('Match Log'!$D$4:$D$810=$V$24)*('Match Log'!$A$4:$A$810&lt;=$J443)),'Match Log'!$N$4:$N$810),NA()))</f>
        <v>0</v>
      </c>
      <c r="W443">
        <f>IF($J443&gt;MAX('Match Log'!$A$4:$A$810),NA(),IFERROR(LOOKUP(2,1/(('Match Log'!$D$4:$D$810=$W$24)*('Match Log'!$A$4:$A$810&lt;=$J443)),'Match Log'!$N$4:$N$810),NA()))</f>
        <v>0</v>
      </c>
      <c r="X443">
        <f>IF($J443&gt;MAX('Match Log'!$A$4:$A$810),NA(),IFERROR(LOOKUP(2,1/(('Match Log'!$D$4:$D$810=$X$24)*('Match Log'!$A$4:$A$810&lt;=$J443)),'Match Log'!$N$4:$N$810),NA()))</f>
        <v>0</v>
      </c>
      <c r="Y443" t="str">
        <f>IF(AND($B443&lt;&gt;"",$B443&gt;=$B$5,$I443&lt;&gt;""),$I443,"")</f>
      </c>
    </row>
    <row r="444">
      <c r="A444">
        <v>420</v>
      </c>
      <c r="B444">
        <f>IFERROR(INDEX('Match Log'!$B$4:$B$810,MATCH(420,'Match Log'!$A$4:$A$810,0)),"")</f>
        <v>0</v>
      </c>
      <c r="C444" t="str">
        <f>IFERROR(INDEX('Match Log'!$C$4:$C$810,MATCH(420,'Match Log'!$A$4:$A$810,0)),"")</f>
      </c>
      <c r="D444" t="str">
        <f>IFERROR(INDEX('Match Log'!$G$4:$G$810,MATCH(420,'Match Log'!$A$4:$A$810,0)),"")</f>
      </c>
      <c r="E444">
        <f>IFERROR(INDEX('Match Log'!$F$4:$F$810,MATCH(420,'Match Log'!$A$4:$A$810,0)),"")</f>
        <v>0</v>
      </c>
      <c r="F444">
        <f>IFERROR(SUMIFS('Match Log'!$I$4:$I$810,'Match Log'!$A$4:$A$810,420,'Match Log'!$E$4:$E$810,"Win"),"")</f>
        <v>0</v>
      </c>
      <c r="G444">
        <f>IF($D444="","",1-$F444*$E444)</f>
        <v>0</v>
      </c>
      <c r="H444" t="str">
        <f>IFERROR(IF($E444=2,LOOKUP(2,1/(('Match Log'!$A$4:$A$810=420)*('Match Log'!$E$4:$E$810="Loss")),'Match Log'!$D$4:$D$810),"the field"),"")</f>
      </c>
      <c r="I444">
        <f>IF($G444="","",$G444-$A444/1000000)</f>
        <v>0</v>
      </c>
      <c r="J444">
        <v>420</v>
      </c>
      <c r="K444">
        <f>IF($J444&gt;MAX('Match Log'!$A$4:$A$810),NA(),IFERROR(LOOKUP(2,1/(('Match Log'!$D$4:$D$810=$K$24)*('Match Log'!$A$4:$A$810&lt;=$J444)),'Match Log'!$N$4:$N$810),NA()))</f>
        <v>0</v>
      </c>
      <c r="L444">
        <f>IF($J444&gt;MAX('Match Log'!$A$4:$A$810),NA(),IFERROR(LOOKUP(2,1/(('Match Log'!$D$4:$D$810=$L$24)*('Match Log'!$A$4:$A$810&lt;=$J444)),'Match Log'!$N$4:$N$810),NA()))</f>
        <v>0</v>
      </c>
      <c r="M444">
        <f>IF($J444&gt;MAX('Match Log'!$A$4:$A$810),NA(),IFERROR(LOOKUP(2,1/(('Match Log'!$D$4:$D$810=$M$24)*('Match Log'!$A$4:$A$810&lt;=$J444)),'Match Log'!$N$4:$N$810),NA()))</f>
        <v>0</v>
      </c>
      <c r="N444">
        <f>IF($J444&gt;MAX('Match Log'!$A$4:$A$810),NA(),IFERROR(LOOKUP(2,1/(('Match Log'!$D$4:$D$810=$N$24)*('Match Log'!$A$4:$A$810&lt;=$J444)),'Match Log'!$N$4:$N$810),NA()))</f>
        <v>0</v>
      </c>
      <c r="O444">
        <f>IF($J444&gt;MAX('Match Log'!$A$4:$A$810),NA(),IFERROR(LOOKUP(2,1/(('Match Log'!$D$4:$D$810=$O$24)*('Match Log'!$A$4:$A$810&lt;=$J444)),'Match Log'!$N$4:$N$810),NA()))</f>
        <v>0</v>
      </c>
      <c r="P444">
        <f>IF($J444&gt;MAX('Match Log'!$A$4:$A$810),NA(),IFERROR(LOOKUP(2,1/(('Match Log'!$D$4:$D$810=$P$24)*('Match Log'!$A$4:$A$810&lt;=$J444)),'Match Log'!$N$4:$N$810),NA()))</f>
        <v>0</v>
      </c>
      <c r="Q444">
        <f>IF($J444&gt;MAX('Match Log'!$A$4:$A$810),NA(),IFERROR(LOOKUP(2,1/(('Match Log'!$D$4:$D$810=$Q$24)*('Match Log'!$A$4:$A$810&lt;=$J444)),'Match Log'!$N$4:$N$810),NA()))</f>
        <v>0</v>
      </c>
      <c r="R444">
        <f>IF($J444&gt;MAX('Match Log'!$A$4:$A$810),NA(),IFERROR(LOOKUP(2,1/(('Match Log'!$D$4:$D$810=$R$24)*('Match Log'!$A$4:$A$810&lt;=$J444)),'Match Log'!$N$4:$N$810),NA()))</f>
        <v>0</v>
      </c>
      <c r="S444">
        <f>IF($J444&gt;MAX('Match Log'!$A$4:$A$810),NA(),IFERROR(LOOKUP(2,1/(('Match Log'!$D$4:$D$810=$S$24)*('Match Log'!$A$4:$A$810&lt;=$J444)),'Match Log'!$N$4:$N$810),NA()))</f>
        <v>0</v>
      </c>
      <c r="T444">
        <f>IF($J444&gt;MAX('Match Log'!$A$4:$A$810),NA(),IFERROR(LOOKUP(2,1/(('Match Log'!$D$4:$D$810=$T$24)*('Match Log'!$A$4:$A$810&lt;=$J444)),'Match Log'!$N$4:$N$810),NA()))</f>
        <v>0</v>
      </c>
      <c r="U444">
        <f>IF($J444&gt;MAX('Match Log'!$A$4:$A$810),NA(),IFERROR(LOOKUP(2,1/(('Match Log'!$D$4:$D$810=$U$24)*('Match Log'!$A$4:$A$810&lt;=$J444)),'Match Log'!$N$4:$N$810),NA()))</f>
        <v>0</v>
      </c>
      <c r="V444">
        <f>IF($J444&gt;MAX('Match Log'!$A$4:$A$810),NA(),IFERROR(LOOKUP(2,1/(('Match Log'!$D$4:$D$810=$V$24)*('Match Log'!$A$4:$A$810&lt;=$J444)),'Match Log'!$N$4:$N$810),NA()))</f>
        <v>0</v>
      </c>
      <c r="W444">
        <f>IF($J444&gt;MAX('Match Log'!$A$4:$A$810),NA(),IFERROR(LOOKUP(2,1/(('Match Log'!$D$4:$D$810=$W$24)*('Match Log'!$A$4:$A$810&lt;=$J444)),'Match Log'!$N$4:$N$810),NA()))</f>
        <v>0</v>
      </c>
      <c r="X444">
        <f>IF($J444&gt;MAX('Match Log'!$A$4:$A$810),NA(),IFERROR(LOOKUP(2,1/(('Match Log'!$D$4:$D$810=$X$24)*('Match Log'!$A$4:$A$810&lt;=$J444)),'Match Log'!$N$4:$N$810),NA()))</f>
        <v>0</v>
      </c>
      <c r="Y444" t="str">
        <f>IF(AND($B444&lt;&gt;"",$B444&gt;=$B$5,$I444&lt;&gt;""),$I444,"")</f>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Log'!$D$4:$D$810,$A2)=0,'Guide &amp; Settings'!$C$41,IFERROR(LOOKUP(2,1/('Match Log'!$D$4:$D$810=$A2),'Match Log'!$N$4:$N$810),'Guide &amp; Settings'!$C$41))</f>
        <v>1125.1080177960646</v>
      </c>
      <c r="C2">
        <f>IFERROR(SUMPRODUCT(INDEX('Head-to-Head'!$B$22:$O$35,1,0),$D$2:$Q$2)/SUM(INDEX('Head-to-Head'!$B$22:$O$35,1,0)),"")</f>
        <v>1045.0971654340176</v>
      </c>
      <c r="D2">
        <f>$B$2</f>
        <v>1125.1080177960646</v>
      </c>
      <c r="E2">
        <f>$B$3</f>
        <v>1044.8691565259944</v>
      </c>
      <c r="F2">
        <f>$B$4</f>
        <v>1017.3466608720325</v>
      </c>
      <c r="G2">
        <f>$B$5</f>
        <v>990.8737469852914</v>
      </c>
      <c r="H2">
        <f>$B$6</f>
        <v>1147.1945550051951</v>
      </c>
      <c r="I2">
        <f>$B$7</f>
        <v>1000.1411171871149</v>
      </c>
      <c r="J2">
        <f>$B$8</f>
        <v>1099.9035033078371</v>
      </c>
      <c r="K2">
        <f>$B$9</f>
        <v>1072.8317255620282</v>
      </c>
      <c r="L2">
        <f>$B$10</f>
        <v>1189.3765078898728</v>
      </c>
      <c r="M2">
        <f>$B$11</f>
        <v>894.20718606929802</v>
      </c>
      <c r="N2">
        <f>$B$12</f>
        <v>1108.1045793188271</v>
      </c>
      <c r="O2">
        <f>$B$13</f>
        <v>1039.5415973556721</v>
      </c>
      <c r="P2">
        <f>$B$14</f>
        <v>1038.5016461247724</v>
      </c>
      <c r="Q2">
        <f>$B$15</f>
        <v>1000</v>
      </c>
    </row>
    <row r="3" spans="1:17" ht="15" customHeight="1" x14ac:dyDescent="0.2">
      <c r="A3" t="s">
        <v>142</v>
      </c>
      <c r="B3">
        <f>IF(COUNTIF('Match Log'!$D$4:$D$810,$A3)=0,'Guide &amp; Settings'!$C$41,IFERROR(LOOKUP(2,1/('Match Log'!$D$4:$D$810=$A3),'Match Log'!$N$4:$N$810),'Guide &amp; Settings'!$C$41))</f>
        <v>1044.8691565259944</v>
      </c>
      <c r="C3">
        <f>IFERROR(SUMPRODUCT(INDEX('Head-to-Head'!$B$22:$O$35,2,0),$D$2:$Q$2)/SUM(INDEX('Head-to-Head'!$B$22:$O$35,2,0)),"")</f>
        <v>1081.9141130796377</v>
      </c>
    </row>
    <row r="4" spans="1:17" ht="15" customHeight="1" x14ac:dyDescent="0.2">
      <c r="A4" t="s">
        <v>180</v>
      </c>
      <c r="B4">
        <f>IF(COUNTIF('Match Log'!$D$4:$D$810,$A4)=0,'Guide &amp; Settings'!$C$41,IFERROR(LOOKUP(2,1/('Match Log'!$D$4:$D$810=$A4),'Match Log'!$N$4:$N$810),'Guide &amp; Settings'!$C$41))</f>
        <v>1017.3466608720325</v>
      </c>
      <c r="C4">
        <f>IFERROR(SUMPRODUCT(INDEX('Head-to-Head'!$B$22:$O$35,3,0),$D$2:$Q$2)/SUM(INDEX('Head-to-Head'!$B$22:$O$35,3,0)),"")</f>
        <v>1074.8685514824206</v>
      </c>
    </row>
    <row r="5" spans="1:17" ht="15" customHeight="1" x14ac:dyDescent="0.2">
      <c r="A5" t="s">
        <v>147</v>
      </c>
      <c r="B5">
        <f>IF(COUNTIF('Match Log'!$D$4:$D$810,$A5)=0,'Guide &amp; Settings'!$C$41,IFERROR(LOOKUP(2,1/('Match Log'!$D$4:$D$810=$A5),'Match Log'!$N$4:$N$810),'Guide &amp; Settings'!$C$41))</f>
        <v>990.8737469852914</v>
      </c>
      <c r="C5">
        <f>IFERROR(SUMPRODUCT(INDEX('Head-to-Head'!$B$22:$O$35,4,0),$D$2:$Q$2)/SUM(INDEX('Head-to-Head'!$B$22:$O$35,4,0)),"")</f>
        <v>1088.8763554000404</v>
      </c>
    </row>
    <row r="6" spans="1:17" ht="15" customHeight="1" x14ac:dyDescent="0.2">
      <c r="A6" t="s">
        <v>144</v>
      </c>
      <c r="B6">
        <f>IF(COUNTIF('Match Log'!$D$4:$D$810,$A6)=0,'Guide &amp; Settings'!$C$41,IFERROR(LOOKUP(2,1/('Match Log'!$D$4:$D$810=$A6),'Match Log'!$N$4:$N$810),'Guide &amp; Settings'!$C$41))</f>
        <v>1147.1945550051951</v>
      </c>
      <c r="C6">
        <f>IFERROR(SUMPRODUCT(INDEX('Head-to-Head'!$B$22:$O$35,5,0),$D$2:$Q$2)/SUM(INDEX('Head-to-Head'!$B$22:$O$35,5,0)),"")</f>
        <v>1053.5290360246011</v>
      </c>
    </row>
    <row r="7" spans="1:17" ht="15" customHeight="1" x14ac:dyDescent="0.2">
      <c r="A7" t="s">
        <v>141</v>
      </c>
      <c r="B7">
        <f>IF(COUNTIF('Match Log'!$D$4:$D$810,$A7)=0,'Guide &amp; Settings'!$C$41,IFERROR(LOOKUP(2,1/('Match Log'!$D$4:$D$810=$A7),'Match Log'!$N$4:$N$810),'Guide &amp; Settings'!$C$41))</f>
        <v>1000.1411171871149</v>
      </c>
      <c r="C7">
        <f>IFERROR(SUMPRODUCT(INDEX('Head-to-Head'!$B$22:$O$35,6,0),$D$2:$Q$2)/SUM(INDEX('Head-to-Head'!$B$22:$O$35,6,0)),"")</f>
        <v>1100.7788754649137</v>
      </c>
    </row>
    <row r="8" spans="1:17" ht="15" customHeight="1" x14ac:dyDescent="0.2">
      <c r="A8" t="s">
        <v>175</v>
      </c>
      <c r="B8">
        <f>IF(COUNTIF('Match Log'!$D$4:$D$810,$A8)=0,'Guide &amp; Settings'!$C$41,IFERROR(LOOKUP(2,1/('Match Log'!$D$4:$D$810=$A8),'Match Log'!$N$4:$N$810),'Guide &amp; Settings'!$C$41))</f>
        <v>1099.9035033078371</v>
      </c>
      <c r="C8">
        <f>IFERROR(SUMPRODUCT(INDEX('Head-to-Head'!$B$22:$O$35,7,0),$D$2:$Q$2)/SUM(INDEX('Head-to-Head'!$B$22:$O$35,7,0)),"")</f>
        <v>1076.703898551679</v>
      </c>
    </row>
    <row r="9" spans="1:17" ht="15" customHeight="1" x14ac:dyDescent="0.2">
      <c r="A9" t="s">
        <v>177</v>
      </c>
      <c r="B9">
        <f>IF(COUNTIF('Match Log'!$D$4:$D$810,$A9)=0,'Guide &amp; Settings'!$C$41,IFERROR(LOOKUP(2,1/('Match Log'!$D$4:$D$810=$A9),'Match Log'!$N$4:$N$810),'Guide &amp; Settings'!$C$41))</f>
        <v>1072.8317255620282</v>
      </c>
      <c r="C9">
        <f>IFERROR(SUMPRODUCT(INDEX('Head-to-Head'!$B$22:$O$35,8,0),$D$2:$Q$2)/SUM(INDEX('Head-to-Head'!$B$22:$O$35,8,0)),"")</f>
        <v>1073.297170079685</v>
      </c>
    </row>
    <row r="10" spans="1:17" ht="15" customHeight="1" x14ac:dyDescent="0.2">
      <c r="A10" t="s">
        <v>174</v>
      </c>
      <c r="B10">
        <f>IF(COUNTIF('Match Log'!$D$4:$D$810,$A10)=0,'Guide &amp; Settings'!$C$41,IFERROR(LOOKUP(2,1/('Match Log'!$D$4:$D$810=$A10),'Match Log'!$N$4:$N$810),'Guide &amp; Settings'!$C$41))</f>
        <v>1189.3765078898728</v>
      </c>
      <c r="C10">
        <f>IFERROR(SUMPRODUCT(INDEX('Head-to-Head'!$B$22:$O$35,9,0),$D$2:$Q$2)/SUM(INDEX('Head-to-Head'!$B$22:$O$35,9,0)),"")</f>
        <v>1071.3635623683515</v>
      </c>
    </row>
    <row r="11" spans="1:17" ht="15" customHeight="1" x14ac:dyDescent="0.2">
      <c r="A11" t="s">
        <v>182</v>
      </c>
      <c r="B11">
        <f>IF(COUNTIF('Match Log'!$D$4:$D$810,$A11)=0,'Guide &amp; Settings'!$C$41,IFERROR(LOOKUP(2,1/('Match Log'!$D$4:$D$810=$A11),'Match Log'!$N$4:$N$810),'Guide &amp; Settings'!$C$41))</f>
        <v>894.20718606929802</v>
      </c>
      <c r="C11">
        <f>IFERROR(SUMPRODUCT(INDEX('Head-to-Head'!$B$22:$O$35,10,0),$D$2:$Q$2)/SUM(INDEX('Head-to-Head'!$B$22:$O$35,10,0)),"")</f>
        <v>1103.0143837401358</v>
      </c>
    </row>
    <row r="12" spans="1:17" ht="15" customHeight="1" x14ac:dyDescent="0.2">
      <c r="A12" t="s">
        <v>176</v>
      </c>
      <c r="B12">
        <f>IF(COUNTIF('Match Log'!$D$4:$D$810,$A12)=0,'Guide &amp; Settings'!$C$41,IFERROR(LOOKUP(2,1/('Match Log'!$D$4:$D$810=$A12),'Match Log'!$N$4:$N$810),'Guide &amp; Settings'!$C$41))</f>
        <v>1108.1045793188271</v>
      </c>
      <c r="C12">
        <f>IFERROR(SUMPRODUCT(INDEX('Head-to-Head'!$B$22:$O$35,11,0),$D$2:$Q$2)/SUM(INDEX('Head-to-Head'!$B$22:$O$35,11,0)),"")</f>
        <v>1069.1776707162376</v>
      </c>
    </row>
    <row r="13" spans="1:17" ht="15" customHeight="1" x14ac:dyDescent="0.2">
      <c r="A13" t="s">
        <v>178</v>
      </c>
      <c r="B13">
        <f>IF(COUNTIF('Match Log'!$D$4:$D$810,$A13)=0,'Guide &amp; Settings'!$C$41,IFERROR(LOOKUP(2,1/('Match Log'!$D$4:$D$810=$A13),'Match Log'!$N$4:$N$810),'Guide &amp; Settings'!$C$41))</f>
        <v>1039.5415973556721</v>
      </c>
      <c r="C13">
        <f>IFERROR(SUMPRODUCT(INDEX('Head-to-Head'!$B$22:$O$35,12,0),$D$2:$Q$2)/SUM(INDEX('Head-to-Head'!$B$22:$O$35,12,0)),"")</f>
        <v>1066.9404087314192</v>
      </c>
    </row>
    <row r="14" spans="1:17" ht="15" customHeight="1" x14ac:dyDescent="0.2">
      <c r="A14" t="s">
        <v>179</v>
      </c>
      <c r="B14">
        <f>IF(COUNTIF('Match Log'!$D$4:$D$810,$A14)=0,'Guide &amp; Settings'!$C$41,IFERROR(LOOKUP(2,1/('Match Log'!$D$4:$D$810=$A14),'Match Log'!$N$4:$N$810),'Guide &amp; Settings'!$C$41))</f>
        <v>1038.5016461247724</v>
      </c>
      <c r="C14">
        <f>IFERROR(SUMPRODUCT(INDEX('Head-to-Head'!$B$22:$O$35,13,0),$D$2:$Q$2)/SUM(INDEX('Head-to-Head'!$B$22:$O$35,13,0)),"")</f>
        <v>1083.7530580834596</v>
      </c>
    </row>
    <row r="15" spans="1:17" ht="15" customHeight="1" x14ac:dyDescent="0.2">
      <c r="A15" t="s">
        <v>181</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row r="21">
      <c r="C21" t="inlineStr">
        <is>
          <t>HORSE - Basketball</t>
        </is>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2026-07-06T01:28:28Z</dcterms:modified>
  <dc:language>en-US</dc:language>
</cp:coreProperties>
</file>