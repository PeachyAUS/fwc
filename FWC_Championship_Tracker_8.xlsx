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855E07A6-7999-E441-A906-02B23402DAAB}"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T445" i="9"/>
  <c r="R445" i="9"/>
  <c r="O445" i="9"/>
  <c r="L445" i="9"/>
  <c r="G445" i="9"/>
  <c r="F445" i="9"/>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43" i="9" l="1"/>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339" i="11"/>
  <c r="Y271" i="11"/>
  <c r="Y427" i="11"/>
  <c r="Y399" i="11"/>
  <c r="Y381" i="11"/>
  <c r="Y302" i="11"/>
  <c r="Y269" i="11"/>
  <c r="Y225" i="11"/>
  <c r="Y215" i="11"/>
  <c r="AG20" i="11"/>
  <c r="AG19" i="11"/>
  <c r="Y76" i="11"/>
  <c r="AH15" i="11"/>
  <c r="AH7" i="11"/>
  <c r="AH13" i="11"/>
  <c r="AH14" i="11"/>
  <c r="Q40" i="10"/>
  <c r="V20" i="11"/>
  <c r="P49" i="10"/>
  <c r="R49" i="10" s="1"/>
  <c r="G70" i="11"/>
  <c r="I70" i="11" s="1"/>
  <c r="Y70" i="11" s="1"/>
  <c r="G111" i="11"/>
  <c r="I111" i="11" s="1"/>
  <c r="Y111" i="11" s="1"/>
  <c r="Y332" i="11"/>
  <c r="Y216" i="11"/>
  <c r="Y222" i="11"/>
  <c r="Y260" i="11"/>
  <c r="Y270" i="11"/>
  <c r="Y294" i="11"/>
  <c r="Y387" i="11"/>
  <c r="Y226" i="11"/>
  <c r="Y230" i="11"/>
  <c r="Y267" i="11"/>
  <c r="Y316" i="11"/>
  <c r="Y340" i="11"/>
  <c r="Y223" i="11"/>
  <c r="Y250" i="11"/>
  <c r="Y264" i="11"/>
  <c r="Y326" i="11"/>
  <c r="Y237" i="11"/>
  <c r="Y299" i="11"/>
  <c r="Y303" i="11"/>
  <c r="Y411" i="11"/>
  <c r="Y217" i="11"/>
  <c r="Y278" i="11"/>
  <c r="Y227" i="11"/>
  <c r="Y254" i="11"/>
  <c r="Y268" i="11"/>
  <c r="Y310" i="11"/>
  <c r="Y348" i="11"/>
  <c r="Y355" i="11"/>
  <c r="Y220" i="11"/>
  <c r="Y231" i="11"/>
  <c r="Y262" i="11"/>
  <c r="Y292" i="11"/>
  <c r="Y295" i="11"/>
  <c r="Y307" i="11"/>
  <c r="Y324"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44" i="9" l="1"/>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L22" i="15" l="1"/>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22" i="9" l="1"/>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P108" i="6"/>
  <c r="B18" i="2" s="1"/>
  <c r="Y284" i="9"/>
  <c r="Y285" i="9"/>
  <c r="Z285" i="9" s="1"/>
  <c r="AA238" i="9"/>
  <c r="AB238" i="9" s="1"/>
  <c r="U257" i="9" s="1"/>
  <c r="AA237" i="9"/>
  <c r="AB237" i="9" s="1"/>
  <c r="U254" i="9" s="1"/>
  <c r="Y34" i="9"/>
  <c r="Z34" i="9" s="1"/>
  <c r="Y33" i="9"/>
  <c r="Z33" i="9" s="1"/>
  <c r="V13" i="9"/>
  <c r="X13" i="9" s="1"/>
  <c r="J13" i="9" s="1"/>
  <c r="M13" i="9" s="1"/>
  <c r="N13" i="9" s="1"/>
  <c r="Q13" i="9"/>
  <c r="AA424" i="9" l="1"/>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C26" i="2" l="1"/>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14" i="9" l="1"/>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AA425" i="9" l="1"/>
  <c r="AB425" i="9" s="1"/>
  <c r="AA426" i="9"/>
  <c r="AB426" i="9" s="1"/>
  <c r="H18" i="4"/>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U428" i="9" l="1"/>
  <c r="U427" i="9"/>
  <c r="C23" i="2"/>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Y428" i="9" l="1"/>
  <c r="Z428" i="9" s="1"/>
  <c r="AA428" i="9" s="1"/>
  <c r="AB428" i="9" s="1"/>
  <c r="Y427" i="9"/>
  <c r="Z427" i="9" s="1"/>
  <c r="AA427" i="9" s="1"/>
  <c r="AB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U430" i="9" l="1"/>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30" i="9" l="1"/>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32" i="9" l="1"/>
  <c r="U431" i="9"/>
  <c r="P102" i="6"/>
  <c r="B12" i="2" s="1"/>
  <c r="C12" i="2" s="1"/>
  <c r="Z214" i="9"/>
  <c r="Z215" i="9"/>
  <c r="AA215" i="9" s="1"/>
  <c r="AB215" i="9" s="1"/>
  <c r="C117" i="6" s="1"/>
  <c r="W38" i="9"/>
  <c r="X38" i="9" s="1"/>
  <c r="W37" i="9"/>
  <c r="X37" i="9" s="1"/>
  <c r="AA228" i="9"/>
  <c r="AB228" i="9" s="1"/>
  <c r="U230" i="9" s="1"/>
  <c r="AA227" i="9"/>
  <c r="AB227" i="9" s="1"/>
  <c r="U229" i="9" s="1"/>
  <c r="Y432" i="9" l="1"/>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AA432" i="9" l="1"/>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Y434" i="9" l="1"/>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U435" i="9" l="1"/>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L118" i="6" s="1"/>
  <c r="Y443" i="9"/>
  <c r="Z443" i="9" s="1"/>
  <c r="AA443" i="9" s="1"/>
  <c r="AB443" i="9" s="1"/>
  <c r="G118" i="6" s="1"/>
  <c r="Y444" i="9"/>
  <c r="Z444" i="9" s="1"/>
  <c r="AA444" i="9" s="1"/>
  <c r="AB444" i="9" s="1"/>
  <c r="I118" i="6" s="1"/>
  <c r="J48" i="9"/>
  <c r="M48" i="9" s="1"/>
  <c r="N48" i="9" s="1"/>
  <c r="J47" i="9"/>
  <c r="M47" i="9" s="1"/>
  <c r="N47" i="9" s="1"/>
  <c r="D21" i="2"/>
  <c r="C21" i="2"/>
  <c r="H23" i="4" l="1"/>
  <c r="B19" i="4" s="1"/>
  <c r="P118" i="6"/>
  <c r="B28" i="2" s="1"/>
  <c r="K52" i="11"/>
  <c r="K50" i="11"/>
  <c r="K51" i="11"/>
  <c r="K43" i="11"/>
  <c r="K49" i="11"/>
  <c r="K46" i="11"/>
  <c r="K44" i="11"/>
  <c r="K48" i="11"/>
  <c r="K47" i="11"/>
  <c r="K45" i="11"/>
  <c r="H67" i="9"/>
  <c r="R43" i="11"/>
  <c r="H50" i="9"/>
  <c r="D28" i="2" l="1"/>
  <c r="C28" i="2"/>
  <c r="V50" i="9"/>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6" i="9"/>
  <c r="M416" i="9" s="1"/>
  <c r="N416" i="9" s="1"/>
  <c r="W209" i="11"/>
  <c r="W210" i="11"/>
  <c r="W207" i="11"/>
  <c r="W208" i="11"/>
  <c r="J19" i="11"/>
  <c r="W206" i="11"/>
  <c r="W204" i="11"/>
  <c r="W205" i="11"/>
  <c r="J419" i="9"/>
  <c r="M419" i="9" s="1"/>
  <c r="N419" i="9" s="1"/>
  <c r="J418" i="9"/>
  <c r="M418" i="9" s="1"/>
  <c r="N418" i="9" s="1"/>
  <c r="V214" i="11" s="1"/>
  <c r="Q419" i="9"/>
  <c r="W203" i="11"/>
  <c r="B14" i="12"/>
  <c r="P2" i="12" s="1"/>
  <c r="B11" i="12"/>
  <c r="T203" i="11"/>
  <c r="P234" i="9"/>
  <c r="Q234" i="9" s="1"/>
  <c r="P233" i="9"/>
  <c r="Q233" i="9" s="1"/>
  <c r="V234" i="9"/>
  <c r="W245" i="9"/>
  <c r="W244" i="9"/>
  <c r="X244" i="9" s="1"/>
  <c r="T213" i="11" l="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B16" i="11"/>
  <c r="M2" i="12"/>
  <c r="W234" i="9"/>
  <c r="X234" i="9" s="1"/>
  <c r="W233" i="9"/>
  <c r="X233" i="9" s="1"/>
  <c r="O2" i="12" l="1"/>
  <c r="B18" i="11"/>
  <c r="J233" i="9"/>
  <c r="M233" i="9" s="1"/>
  <c r="N233" i="9" s="1"/>
  <c r="L214" i="11" s="1"/>
  <c r="J234" i="9"/>
  <c r="M234" i="9" s="1"/>
  <c r="N234" i="9" s="1"/>
  <c r="L212" i="11" l="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S214" i="11" s="1"/>
  <c r="R180" i="11"/>
  <c r="J306" i="9"/>
  <c r="M306" i="9" s="1"/>
  <c r="N306" i="9" s="1"/>
  <c r="J307" i="9"/>
  <c r="M307" i="9" s="1"/>
  <c r="N307" i="9" s="1"/>
  <c r="S212" i="11" l="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14" i="11" s="1"/>
  <c r="W327" i="9"/>
  <c r="X327" i="9" s="1"/>
  <c r="W326" i="9"/>
  <c r="X326" i="9" s="1"/>
  <c r="N212" i="11" l="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05" i="11"/>
  <c r="B8" i="12"/>
  <c r="V402" i="9"/>
  <c r="K194" i="11"/>
  <c r="K195" i="11"/>
  <c r="J386" i="9"/>
  <c r="M386" i="9" s="1"/>
  <c r="N386" i="9" s="1"/>
  <c r="H403" i="9" s="1"/>
  <c r="K192" i="11"/>
  <c r="K193" i="11"/>
  <c r="R191" i="11"/>
  <c r="K190" i="11"/>
  <c r="K191" i="11"/>
  <c r="W387" i="9"/>
  <c r="W388" i="9"/>
  <c r="X388" i="9" s="1"/>
  <c r="Q387" i="9"/>
  <c r="V387" i="9"/>
  <c r="K189" i="11"/>
  <c r="N380" i="9"/>
  <c r="H395" i="9" s="1"/>
  <c r="Q213" i="11" l="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Q421" i="9"/>
  <c r="H397" i="9"/>
  <c r="J394" i="9"/>
  <c r="M394" i="9" s="1"/>
  <c r="N394" i="9" s="1"/>
  <c r="J393" i="9"/>
  <c r="M393" i="9" s="1"/>
  <c r="N393" i="9" s="1"/>
  <c r="M193" i="11"/>
  <c r="K213" i="11" l="1"/>
  <c r="K214" i="11"/>
  <c r="K211" i="11"/>
  <c r="K212" i="11"/>
  <c r="K209" i="11"/>
  <c r="K210" i="11"/>
  <c r="K207" i="11"/>
  <c r="K208" i="11"/>
  <c r="P426" i="9"/>
  <c r="Q426" i="9" s="1"/>
  <c r="P425" i="9"/>
  <c r="V426" i="9"/>
  <c r="K206" i="11"/>
  <c r="J7" i="11"/>
  <c r="J14"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W401" i="9"/>
  <c r="X401" i="9" s="1"/>
  <c r="J401" i="9" s="1"/>
  <c r="M401" i="9" s="1"/>
  <c r="N401" i="9" s="1"/>
  <c r="W399" i="9"/>
  <c r="X399" i="9" s="1"/>
  <c r="J399" i="9" s="1"/>
  <c r="M399" i="9" s="1"/>
  <c r="M213" i="11" l="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F93" i="6"/>
  <c r="S93" i="6" s="1"/>
  <c r="AI9" i="11"/>
  <c r="W9" i="11"/>
  <c r="O213" i="11" l="1"/>
  <c r="O214" i="11"/>
  <c r="O211" i="11"/>
  <c r="O212" i="11"/>
  <c r="O209" i="11"/>
  <c r="O210" i="11"/>
  <c r="O207" i="11"/>
  <c r="O208" i="11"/>
  <c r="Q425" i="9"/>
  <c r="V425" i="9"/>
  <c r="X425" i="9" s="1"/>
  <c r="J12" i="11"/>
  <c r="O206" i="11"/>
  <c r="J11" i="11"/>
  <c r="O205" i="11"/>
  <c r="B6" i="12"/>
  <c r="P205" i="11"/>
  <c r="J425" i="9" l="1"/>
  <c r="M425" i="9" s="1"/>
  <c r="J426" i="9"/>
  <c r="M426" i="9" s="1"/>
  <c r="N426" i="9" s="1"/>
  <c r="K12" i="11"/>
  <c r="K16" i="11"/>
  <c r="K9" i="11"/>
  <c r="K18" i="11"/>
  <c r="K7" i="11"/>
  <c r="K10" i="11"/>
  <c r="K20" i="11"/>
  <c r="K14" i="11"/>
  <c r="K13" i="11"/>
  <c r="K17" i="11"/>
  <c r="K19" i="11"/>
  <c r="K11" i="11"/>
  <c r="K8" i="11"/>
  <c r="K15" i="11"/>
  <c r="H2" i="12"/>
  <c r="B11" i="11"/>
  <c r="S11" i="11" s="1"/>
  <c r="H428" i="9" l="1"/>
  <c r="R206" i="11"/>
  <c r="N425" i="9"/>
  <c r="W11" i="11"/>
  <c r="F84" i="6"/>
  <c r="S84" i="6" s="1"/>
  <c r="AI11" i="11"/>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H438" i="9" s="1"/>
  <c r="V438" i="9" s="1"/>
  <c r="R211" i="11"/>
  <c r="N433" i="9"/>
  <c r="R210" i="11"/>
  <c r="P210" i="11"/>
  <c r="H435" i="9" l="1"/>
  <c r="P435" i="9" l="1"/>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s="1"/>
  <c r="M444" i="9" s="1"/>
  <c r="N444" i="9" s="1"/>
  <c r="R214" i="11" l="1"/>
  <c r="B9" i="12"/>
  <c r="K2" i="12" s="1"/>
  <c r="H19" i="7"/>
  <c r="F19" i="7" s="1"/>
  <c r="B19" i="7"/>
  <c r="B18" i="7"/>
  <c r="H18" i="7"/>
  <c r="C18" i="7" s="1"/>
  <c r="N443" i="9"/>
  <c r="B17" i="7" s="1"/>
  <c r="U214" i="11"/>
  <c r="B12" i="12"/>
  <c r="P214" i="11"/>
  <c r="B7" i="12"/>
  <c r="H17" i="7" l="1"/>
  <c r="E17" i="7" s="1"/>
  <c r="E19" i="7"/>
  <c r="B14" i="11"/>
  <c r="S14" i="11" s="1"/>
  <c r="AI14" i="11" s="1"/>
  <c r="C19" i="7"/>
  <c r="N2" i="12"/>
  <c r="B17" i="11"/>
  <c r="S17" i="11" s="1"/>
  <c r="D19" i="7"/>
  <c r="E18" i="7"/>
  <c r="D18" i="7"/>
  <c r="F18" i="7"/>
  <c r="B12" i="11"/>
  <c r="I2" i="12"/>
  <c r="D17" i="7" l="1"/>
  <c r="C17" i="7"/>
  <c r="F17" i="7" s="1"/>
  <c r="F87" i="6"/>
  <c r="S87" i="6" s="1"/>
  <c r="AI17" i="11"/>
  <c r="W17" i="11"/>
  <c r="F86" i="6"/>
  <c r="S86" i="6" s="1"/>
  <c r="W14" i="11"/>
  <c r="C13" i="12"/>
  <c r="C18" i="11" s="1"/>
  <c r="AA18" i="11" s="1"/>
  <c r="C10" i="12"/>
  <c r="C15" i="11" s="1"/>
  <c r="AA15" i="11" s="1"/>
  <c r="C14" i="12"/>
  <c r="C19" i="11" s="1"/>
  <c r="AA19" i="11" s="1"/>
  <c r="C11" i="12"/>
  <c r="C16" i="11" s="1"/>
  <c r="AA16" i="11" s="1"/>
  <c r="C9" i="12"/>
  <c r="C14" i="11" s="1"/>
  <c r="AA14" i="11" s="1"/>
  <c r="C8" i="12"/>
  <c r="C13" i="11" s="1"/>
  <c r="AA13" i="11" s="1"/>
  <c r="C7" i="12"/>
  <c r="C12" i="11" s="1"/>
  <c r="C15" i="12"/>
  <c r="C20" i="11" s="1"/>
  <c r="AA20" i="11" s="1"/>
  <c r="C2" i="12"/>
  <c r="C7" i="11" s="1"/>
  <c r="AA7" i="11" s="1"/>
  <c r="C12" i="12"/>
  <c r="C17" i="11" s="1"/>
  <c r="AA17" i="11" s="1"/>
  <c r="C4" i="12"/>
  <c r="C9" i="11" s="1"/>
  <c r="AA9" i="11" s="1"/>
  <c r="C3" i="12"/>
  <c r="C8" i="11" s="1"/>
  <c r="AA8" i="11" s="1"/>
  <c r="C5" i="12"/>
  <c r="C10" i="11" s="1"/>
  <c r="AA10" i="11" s="1"/>
  <c r="C6" i="12"/>
  <c r="C11" i="11" s="1"/>
  <c r="AA11" i="11" s="1"/>
  <c r="D8" i="11"/>
  <c r="L8" i="11" s="1"/>
  <c r="C17" i="8"/>
  <c r="D14" i="11"/>
  <c r="L14" i="11" s="1"/>
  <c r="C18" i="8"/>
  <c r="B17" i="8"/>
  <c r="D18" i="8"/>
  <c r="E9" i="11"/>
  <c r="D18" i="11"/>
  <c r="L18" i="11" s="1"/>
  <c r="E15" i="11"/>
  <c r="C19" i="8"/>
  <c r="D10" i="11"/>
  <c r="L10" i="11" s="1"/>
  <c r="D12" i="11"/>
  <c r="L12" i="11" s="1"/>
  <c r="E11" i="11"/>
  <c r="B18" i="8"/>
  <c r="D19" i="11"/>
  <c r="L19" i="11" s="1"/>
  <c r="E7" i="11"/>
  <c r="D15" i="11"/>
  <c r="L15" i="11" s="1"/>
  <c r="D9" i="11"/>
  <c r="L9" i="11" s="1"/>
  <c r="S12" i="11"/>
  <c r="D13" i="11"/>
  <c r="L13" i="11" s="1"/>
  <c r="E16" i="11"/>
  <c r="E14" i="11"/>
  <c r="E10" i="11"/>
  <c r="E17" i="11"/>
  <c r="E19" i="11"/>
  <c r="D7" i="11"/>
  <c r="L7" i="11" s="1"/>
  <c r="E20" i="11"/>
  <c r="E13" i="11"/>
  <c r="D20" i="11"/>
  <c r="L20" i="11" s="1"/>
  <c r="D11" i="11"/>
  <c r="L11" i="11" s="1"/>
  <c r="E18" i="11"/>
  <c r="A5" i="8"/>
  <c r="E8" i="11"/>
  <c r="E12" i="11"/>
  <c r="B15" i="4" s="1"/>
  <c r="D19" i="8"/>
  <c r="D16" i="11"/>
  <c r="L16" i="11" s="1"/>
  <c r="D17" i="11"/>
  <c r="L17" i="11" s="1"/>
  <c r="B19" i="8"/>
  <c r="A8" i="8" l="1"/>
  <c r="AA12" i="11"/>
  <c r="B28" i="4" s="1"/>
  <c r="B12" i="4"/>
  <c r="AI12" i="11"/>
  <c r="W12" i="11"/>
  <c r="B24" i="4" s="1"/>
  <c r="F89" i="6"/>
  <c r="S89" i="6" s="1"/>
  <c r="C4" i="6" s="1"/>
  <c r="A5" i="2" l="1"/>
  <c r="B28" i="7" s="1"/>
  <c r="A6" i="2"/>
  <c r="B8" i="3"/>
  <c r="B15" i="3"/>
  <c r="B9" i="3"/>
  <c r="B12" i="3"/>
  <c r="B6" i="3"/>
  <c r="B13" i="3"/>
  <c r="B7" i="3"/>
  <c r="B11" i="3"/>
  <c r="B10" i="3"/>
  <c r="B5" i="3"/>
  <c r="B18" i="3"/>
  <c r="B17" i="3"/>
  <c r="B16" i="3"/>
  <c r="B14" i="3"/>
  <c r="V14" i="3" l="1"/>
  <c r="O14" i="3"/>
  <c r="C14" i="3"/>
  <c r="M14" i="3"/>
  <c r="R14" i="3"/>
  <c r="Q14" i="3"/>
  <c r="S14" i="3"/>
  <c r="P14" i="3"/>
  <c r="J14" i="3"/>
  <c r="E14" i="3"/>
  <c r="I14" i="3"/>
  <c r="U14" i="3"/>
  <c r="K14" i="3"/>
  <c r="AE20" i="11" s="1"/>
  <c r="H14" i="3"/>
  <c r="X14" i="3"/>
  <c r="D14" i="3"/>
  <c r="AD20" i="11" s="1"/>
  <c r="AF20" i="11" s="1"/>
  <c r="W14" i="3" s="1"/>
  <c r="T14" i="3"/>
  <c r="J5" i="3"/>
  <c r="S5" i="3"/>
  <c r="R5" i="3"/>
  <c r="V5" i="3"/>
  <c r="O5" i="3"/>
  <c r="M5" i="3"/>
  <c r="U5" i="3"/>
  <c r="T5" i="3"/>
  <c r="B5" i="4"/>
  <c r="E5" i="3"/>
  <c r="P5" i="3"/>
  <c r="X5" i="3"/>
  <c r="D5" i="3"/>
  <c r="AD15" i="11" s="1"/>
  <c r="H5" i="3"/>
  <c r="Q5" i="3"/>
  <c r="K5" i="3"/>
  <c r="Y15" i="11" s="1"/>
  <c r="I5" i="3"/>
  <c r="C5" i="3"/>
  <c r="H11" i="3"/>
  <c r="I11" i="3"/>
  <c r="V11" i="3"/>
  <c r="S11" i="3"/>
  <c r="P11" i="3"/>
  <c r="D11" i="3"/>
  <c r="C11" i="3"/>
  <c r="M11" i="3"/>
  <c r="T11" i="3"/>
  <c r="U11" i="3"/>
  <c r="J11" i="3"/>
  <c r="Q11" i="3"/>
  <c r="R11" i="3"/>
  <c r="O11" i="3"/>
  <c r="K11" i="3"/>
  <c r="Y13" i="11" s="1"/>
  <c r="E11" i="3"/>
  <c r="X11" i="3"/>
  <c r="Q18" i="3"/>
  <c r="I18" i="3"/>
  <c r="X18" i="3"/>
  <c r="S18" i="3"/>
  <c r="O18" i="3"/>
  <c r="P18" i="3"/>
  <c r="C18" i="3"/>
  <c r="U18" i="3"/>
  <c r="V18" i="3"/>
  <c r="J18" i="3"/>
  <c r="D18" i="3"/>
  <c r="M18" i="3"/>
  <c r="K18" i="3"/>
  <c r="Y16" i="11" s="1"/>
  <c r="E18" i="3"/>
  <c r="T18" i="3"/>
  <c r="R18" i="3"/>
  <c r="H18" i="3"/>
  <c r="C7" i="3"/>
  <c r="I7" i="3"/>
  <c r="Q7" i="3"/>
  <c r="O7" i="3"/>
  <c r="M7" i="3"/>
  <c r="T7" i="3"/>
  <c r="X7" i="3"/>
  <c r="K7" i="3"/>
  <c r="E7" i="3"/>
  <c r="S7" i="3"/>
  <c r="J7" i="3"/>
  <c r="V7" i="3"/>
  <c r="H7" i="3"/>
  <c r="P7" i="3"/>
  <c r="R7" i="3"/>
  <c r="D7" i="3"/>
  <c r="AD12" i="11" s="1"/>
  <c r="U7" i="3"/>
  <c r="T9" i="3"/>
  <c r="J9" i="3"/>
  <c r="I9" i="3"/>
  <c r="Q9" i="3"/>
  <c r="U9" i="3"/>
  <c r="V9" i="3"/>
  <c r="M9" i="3"/>
  <c r="O9" i="3"/>
  <c r="P9" i="3"/>
  <c r="K9" i="3"/>
  <c r="AE19" i="11" s="1"/>
  <c r="C9" i="3"/>
  <c r="E9" i="3"/>
  <c r="X9" i="3"/>
  <c r="S9" i="3"/>
  <c r="D9" i="3"/>
  <c r="H9" i="3"/>
  <c r="R9" i="3"/>
  <c r="U17" i="3"/>
  <c r="V17" i="3"/>
  <c r="J17" i="3"/>
  <c r="K17" i="3"/>
  <c r="AE10" i="11" s="1"/>
  <c r="H17" i="3"/>
  <c r="X17" i="3"/>
  <c r="C17" i="3"/>
  <c r="R17" i="3"/>
  <c r="P17" i="3"/>
  <c r="S17" i="3"/>
  <c r="T17" i="3"/>
  <c r="M17" i="3"/>
  <c r="O17" i="3"/>
  <c r="D17" i="3"/>
  <c r="E17" i="3"/>
  <c r="Q17" i="3"/>
  <c r="I17" i="3"/>
  <c r="V6" i="3"/>
  <c r="I6" i="3"/>
  <c r="O6" i="3"/>
  <c r="H6" i="3"/>
  <c r="K6" i="3"/>
  <c r="J6" i="3"/>
  <c r="S6" i="3"/>
  <c r="C6" i="3"/>
  <c r="B6" i="4" s="1"/>
  <c r="X6" i="3"/>
  <c r="P6" i="3"/>
  <c r="D6" i="3"/>
  <c r="E6" i="3"/>
  <c r="Q6" i="3"/>
  <c r="T6" i="3"/>
  <c r="U6" i="3"/>
  <c r="R6" i="3"/>
  <c r="M6" i="3"/>
  <c r="I16" i="3"/>
  <c r="R16" i="3"/>
  <c r="D16" i="3"/>
  <c r="AD8" i="11" s="1"/>
  <c r="T16" i="3"/>
  <c r="X16" i="3"/>
  <c r="V16" i="3"/>
  <c r="K16" i="3"/>
  <c r="AE8" i="11" s="1"/>
  <c r="M16" i="3"/>
  <c r="P16" i="3"/>
  <c r="Q16" i="3"/>
  <c r="C16" i="3"/>
  <c r="E16" i="3"/>
  <c r="U16" i="3"/>
  <c r="J16" i="3"/>
  <c r="S16" i="3"/>
  <c r="O16" i="3"/>
  <c r="H16" i="3"/>
  <c r="T10" i="3"/>
  <c r="Q10" i="3"/>
  <c r="J10" i="3"/>
  <c r="E10" i="3"/>
  <c r="K10" i="3"/>
  <c r="Y19" i="11" s="1"/>
  <c r="X10" i="3"/>
  <c r="V10" i="3"/>
  <c r="U10" i="3"/>
  <c r="P10" i="3"/>
  <c r="M10" i="3"/>
  <c r="D10" i="3"/>
  <c r="AD17" i="11" s="1"/>
  <c r="R10" i="3"/>
  <c r="H10" i="3"/>
  <c r="C10" i="3"/>
  <c r="I10" i="3"/>
  <c r="O10" i="3"/>
  <c r="S10" i="3"/>
  <c r="S8" i="3"/>
  <c r="P8" i="3"/>
  <c r="I8" i="3"/>
  <c r="Q8" i="3"/>
  <c r="R8" i="3"/>
  <c r="J8" i="3"/>
  <c r="K8" i="3"/>
  <c r="B11" i="4" s="1"/>
  <c r="T8" i="3"/>
  <c r="H8" i="3"/>
  <c r="D8" i="3"/>
  <c r="E8" i="3"/>
  <c r="V8" i="3"/>
  <c r="O8" i="3"/>
  <c r="X8" i="3"/>
  <c r="U8" i="3"/>
  <c r="M8" i="3"/>
  <c r="C8" i="3"/>
  <c r="V13" i="3"/>
  <c r="H13" i="3"/>
  <c r="O13" i="3"/>
  <c r="U13" i="3"/>
  <c r="D13" i="3"/>
  <c r="S13" i="3"/>
  <c r="M13" i="3"/>
  <c r="P13" i="3"/>
  <c r="T13" i="3"/>
  <c r="C13" i="3"/>
  <c r="I13" i="3"/>
  <c r="J13" i="3"/>
  <c r="R13" i="3"/>
  <c r="X13" i="3"/>
  <c r="Q13" i="3"/>
  <c r="K13" i="3"/>
  <c r="AE18" i="11" s="1"/>
  <c r="E13" i="3"/>
  <c r="E12" i="3"/>
  <c r="I12" i="3"/>
  <c r="P12" i="3"/>
  <c r="H12" i="3"/>
  <c r="O12" i="3"/>
  <c r="J12" i="3"/>
  <c r="C12" i="3"/>
  <c r="X12" i="3"/>
  <c r="T12" i="3"/>
  <c r="K12" i="3"/>
  <c r="AE9" i="11" s="1"/>
  <c r="U12" i="3"/>
  <c r="Q12" i="3"/>
  <c r="S12" i="3"/>
  <c r="D12" i="3"/>
  <c r="V12" i="3"/>
  <c r="R12" i="3"/>
  <c r="M12" i="3"/>
  <c r="S15" i="3"/>
  <c r="I15" i="3"/>
  <c r="X15" i="3"/>
  <c r="R15" i="3"/>
  <c r="P15" i="3"/>
  <c r="H15" i="3"/>
  <c r="C15" i="3"/>
  <c r="T15" i="3"/>
  <c r="O15" i="3"/>
  <c r="M15" i="3"/>
  <c r="U15" i="3"/>
  <c r="J15" i="3"/>
  <c r="K15" i="3"/>
  <c r="AE7" i="11" s="1"/>
  <c r="V15" i="3"/>
  <c r="E15" i="3"/>
  <c r="Q15" i="3"/>
  <c r="D15" i="3"/>
  <c r="Y11" i="11" l="1"/>
  <c r="F17" i="3"/>
  <c r="G17" i="3"/>
  <c r="X10" i="11" s="1"/>
  <c r="L17" i="3"/>
  <c r="AD14" i="11"/>
  <c r="F9" i="3"/>
  <c r="G9" i="3"/>
  <c r="X19" i="11" s="1"/>
  <c r="AB19" i="11" s="1"/>
  <c r="L9" i="3"/>
  <c r="G7" i="3"/>
  <c r="L7" i="3"/>
  <c r="F7" i="3"/>
  <c r="G14" i="3"/>
  <c r="X20" i="11" s="1"/>
  <c r="L14" i="3"/>
  <c r="F14" i="3"/>
  <c r="Y12" i="11"/>
  <c r="B26" i="4" s="1"/>
  <c r="AE16" i="11"/>
  <c r="G5" i="3"/>
  <c r="X15" i="11" s="1"/>
  <c r="AB15" i="11" s="1"/>
  <c r="A10" i="8"/>
  <c r="C21" i="7"/>
  <c r="F21" i="7" s="1"/>
  <c r="B21" i="7"/>
  <c r="F5" i="3"/>
  <c r="L5" i="3"/>
  <c r="B30" i="7"/>
  <c r="AE15" i="11"/>
  <c r="AE13" i="11"/>
  <c r="L15" i="3"/>
  <c r="G15" i="3"/>
  <c r="X7" i="11" s="1"/>
  <c r="F15" i="3"/>
  <c r="AD16" i="11"/>
  <c r="F18" i="3"/>
  <c r="G18" i="3"/>
  <c r="X16" i="11" s="1"/>
  <c r="AB16" i="11" s="1"/>
  <c r="L18" i="3"/>
  <c r="AD10" i="11"/>
  <c r="AE11" i="11"/>
  <c r="AE12" i="11"/>
  <c r="AE17" i="11"/>
  <c r="AD11" i="11"/>
  <c r="AD19" i="11"/>
  <c r="Y9" i="11"/>
  <c r="AD7" i="11"/>
  <c r="T2" i="3"/>
  <c r="Y10" i="11"/>
  <c r="Y20" i="11"/>
  <c r="G11" i="3"/>
  <c r="X13" i="11" s="1"/>
  <c r="AB13" i="11" s="1"/>
  <c r="L11" i="3"/>
  <c r="F11" i="3"/>
  <c r="Y8" i="11"/>
  <c r="AE14" i="11"/>
  <c r="AD9" i="11"/>
  <c r="F12" i="3"/>
  <c r="L12" i="3"/>
  <c r="G12" i="3"/>
  <c r="X9" i="11" s="1"/>
  <c r="L8" i="3"/>
  <c r="G8" i="3"/>
  <c r="F8" i="3"/>
  <c r="Y18" i="11"/>
  <c r="Y14" i="11"/>
  <c r="F16" i="3"/>
  <c r="G16" i="3"/>
  <c r="X8" i="11" s="1"/>
  <c r="L16" i="3"/>
  <c r="G10" i="3"/>
  <c r="X17" i="11" s="1"/>
  <c r="F10" i="3"/>
  <c r="L10" i="3"/>
  <c r="AD13" i="11"/>
  <c r="N9" i="3"/>
  <c r="N18" i="3"/>
  <c r="B33" i="7"/>
  <c r="N13" i="3"/>
  <c r="N14" i="3"/>
  <c r="N7" i="3"/>
  <c r="N11" i="3"/>
  <c r="N17" i="3"/>
  <c r="N8" i="3"/>
  <c r="N10" i="3"/>
  <c r="N6" i="3"/>
  <c r="N15" i="3"/>
  <c r="N16" i="3"/>
  <c r="N12" i="3"/>
  <c r="N5" i="3"/>
  <c r="Y7" i="11"/>
  <c r="B22" i="7"/>
  <c r="C22" i="7"/>
  <c r="B31" i="7"/>
  <c r="AD18" i="11"/>
  <c r="F13" i="3"/>
  <c r="G13" i="3"/>
  <c r="X18" i="11" s="1"/>
  <c r="L13" i="3"/>
  <c r="B10" i="4"/>
  <c r="L6" i="3"/>
  <c r="B16" i="4" s="1"/>
  <c r="F6" i="3"/>
  <c r="G6" i="3"/>
  <c r="X14" i="11" s="1"/>
  <c r="Y17" i="11"/>
  <c r="AB14" i="11" l="1"/>
  <c r="AB17" i="11"/>
  <c r="AF17" i="11" s="1"/>
  <c r="W10" i="3" s="1"/>
  <c r="X11" i="11"/>
  <c r="AB11" i="11" s="1"/>
  <c r="AF14" i="11"/>
  <c r="AB18" i="11"/>
  <c r="AF18" i="11" s="1"/>
  <c r="W13" i="3" s="1"/>
  <c r="AB7" i="11"/>
  <c r="AF7" i="11" s="1"/>
  <c r="W15" i="3" s="1"/>
  <c r="AB8" i="11"/>
  <c r="AF8" i="11" s="1"/>
  <c r="W16" i="3" s="1"/>
  <c r="B8" i="4"/>
  <c r="AF15" i="11"/>
  <c r="W5" i="3" s="1"/>
  <c r="AF13" i="11"/>
  <c r="W11" i="3" s="1"/>
  <c r="AF16" i="11"/>
  <c r="W18" i="3" s="1"/>
  <c r="AB20" i="11"/>
  <c r="AF11" i="11"/>
  <c r="AF19" i="11"/>
  <c r="W9" i="3" s="1"/>
  <c r="X12" i="11"/>
  <c r="B9" i="4"/>
  <c r="A3" i="3"/>
  <c r="AB9" i="11"/>
  <c r="AF9" i="11" s="1"/>
  <c r="W12" i="3" s="1"/>
  <c r="AB10" i="11"/>
  <c r="AF10" i="11" s="1"/>
  <c r="W17" i="3" s="1"/>
  <c r="W6" i="3" l="1"/>
  <c r="AB12" i="11"/>
  <c r="B25" i="4"/>
  <c r="B23" i="4" l="1"/>
  <c r="AF12" i="11"/>
  <c r="W7" i="3" s="1"/>
  <c r="W8" i="3" l="1"/>
  <c r="B7" i="4"/>
</calcChain>
</file>

<file path=xl/sharedStrings.xml><?xml version="1.0" encoding="utf-8"?>
<sst xmlns="http://schemas.openxmlformats.org/spreadsheetml/2006/main" count="2299" uniqueCount="454">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</sst>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8" t="s">
        <v>359</v>
      </c>
      <c r="B1" s="146"/>
      <c r="C1" s="146"/>
      <c r="D1" s="146"/>
      <c r="E1" s="146"/>
      <c r="F1" s="146"/>
      <c r="G1" s="146"/>
      <c r="H1" s="146"/>
    </row>
    <row r="2" spans="1:8" ht="18" customHeight="1" x14ac:dyDescent="0.2">
      <c r="A2" s="149" t="s">
        <v>372</v>
      </c>
      <c r="B2" s="146"/>
      <c r="C2" s="146"/>
      <c r="D2" s="146"/>
      <c r="E2" s="146"/>
      <c r="F2" s="146"/>
      <c r="G2" s="146"/>
      <c r="H2" s="146"/>
    </row>
    <row r="3" spans="1:8" ht="48" customHeight="1" x14ac:dyDescent="0.2">
      <c r="A3" s="150" t="s">
        <v>360</v>
      </c>
      <c r="B3" s="146"/>
      <c r="C3" s="146"/>
      <c r="D3" s="146"/>
      <c r="E3" s="146"/>
      <c r="F3" s="146"/>
      <c r="G3" s="146"/>
      <c r="H3" s="146"/>
    </row>
    <row r="6" spans="1:8" ht="22" customHeight="1" x14ac:dyDescent="0.2">
      <c r="A6" s="145" t="s">
        <v>361</v>
      </c>
      <c r="B6" s="146"/>
      <c r="C6" s="146"/>
      <c r="D6" s="146"/>
      <c r="E6" s="146"/>
      <c r="F6" s="146"/>
      <c r="G6" s="146"/>
      <c r="H6" s="146"/>
    </row>
    <row r="7" spans="1:8" ht="51" customHeight="1" x14ac:dyDescent="0.2">
      <c r="A7" s="129" t="s">
        <v>362</v>
      </c>
      <c r="B7" s="147" t="s">
        <v>373</v>
      </c>
      <c r="C7" s="146"/>
      <c r="D7" s="146"/>
      <c r="E7" s="146"/>
      <c r="F7" s="146"/>
      <c r="G7" s="146"/>
      <c r="H7" s="146"/>
    </row>
    <row r="8" spans="1:8" ht="36" customHeight="1" x14ac:dyDescent="0.2">
      <c r="A8" s="130" t="s">
        <v>363</v>
      </c>
      <c r="B8" s="147" t="s">
        <v>374</v>
      </c>
      <c r="C8" s="146"/>
      <c r="D8" s="146"/>
      <c r="E8" s="146"/>
      <c r="F8" s="146"/>
      <c r="G8" s="146"/>
      <c r="H8" s="146"/>
    </row>
    <row r="9" spans="1:8" ht="21" customHeight="1" x14ac:dyDescent="0.2">
      <c r="A9" s="129" t="s">
        <v>362</v>
      </c>
      <c r="B9" s="147" t="s">
        <v>375</v>
      </c>
      <c r="C9" s="146"/>
      <c r="D9" s="146"/>
      <c r="E9" s="146"/>
      <c r="F9" s="146"/>
      <c r="G9" s="146"/>
      <c r="H9" s="146"/>
    </row>
    <row r="10" spans="1:8" ht="36" customHeight="1" x14ac:dyDescent="0.2">
      <c r="A10" s="130" t="s">
        <v>363</v>
      </c>
      <c r="B10" s="147" t="s">
        <v>376</v>
      </c>
      <c r="C10" s="146"/>
      <c r="D10" s="146"/>
      <c r="E10" s="146"/>
      <c r="F10" s="146"/>
      <c r="G10" s="146"/>
      <c r="H10" s="146"/>
    </row>
    <row r="12" spans="1:8" ht="22" customHeight="1" x14ac:dyDescent="0.2">
      <c r="A12" s="145" t="s">
        <v>364</v>
      </c>
      <c r="B12" s="146"/>
      <c r="C12" s="146"/>
      <c r="D12" s="146"/>
      <c r="E12" s="146"/>
      <c r="F12" s="146"/>
      <c r="G12" s="146"/>
      <c r="H12" s="146"/>
    </row>
    <row r="13" spans="1:8" ht="36" customHeight="1" x14ac:dyDescent="0.2">
      <c r="A13" s="129" t="s">
        <v>362</v>
      </c>
      <c r="B13" s="147" t="s">
        <v>377</v>
      </c>
      <c r="C13" s="146"/>
      <c r="D13" s="146"/>
      <c r="E13" s="146"/>
      <c r="F13" s="146"/>
      <c r="G13" s="146"/>
      <c r="H13" s="146"/>
    </row>
    <row r="14" spans="1:8" ht="36" customHeight="1" x14ac:dyDescent="0.2">
      <c r="A14" s="130" t="s">
        <v>363</v>
      </c>
      <c r="B14" s="147" t="s">
        <v>378</v>
      </c>
      <c r="C14" s="146"/>
      <c r="D14" s="146"/>
      <c r="E14" s="146"/>
      <c r="F14" s="146"/>
      <c r="G14" s="146"/>
      <c r="H14" s="146"/>
    </row>
    <row r="15" spans="1:8" ht="21" customHeight="1" x14ac:dyDescent="0.2">
      <c r="A15" s="129" t="s">
        <v>362</v>
      </c>
      <c r="B15" s="147" t="s">
        <v>379</v>
      </c>
      <c r="C15" s="146"/>
      <c r="D15" s="146"/>
      <c r="E15" s="146"/>
      <c r="F15" s="146"/>
      <c r="G15" s="146"/>
      <c r="H15" s="146"/>
    </row>
    <row r="16" spans="1:8" ht="36" customHeight="1" x14ac:dyDescent="0.2">
      <c r="A16" s="130" t="s">
        <v>363</v>
      </c>
      <c r="B16" s="147" t="s">
        <v>380</v>
      </c>
      <c r="C16" s="146"/>
      <c r="D16" s="146"/>
      <c r="E16" s="146"/>
      <c r="F16" s="146"/>
      <c r="G16" s="146"/>
      <c r="H16" s="146"/>
    </row>
    <row r="18" spans="1:8" ht="22" customHeight="1" x14ac:dyDescent="0.2">
      <c r="A18" s="145" t="s">
        <v>365</v>
      </c>
      <c r="B18" s="146"/>
      <c r="C18" s="146"/>
      <c r="D18" s="146"/>
      <c r="E18" s="146"/>
      <c r="F18" s="146"/>
      <c r="G18" s="146"/>
      <c r="H18" s="146"/>
    </row>
    <row r="19" spans="1:8" ht="21" customHeight="1" x14ac:dyDescent="0.2">
      <c r="A19" s="129" t="s">
        <v>362</v>
      </c>
      <c r="B19" s="147" t="s">
        <v>381</v>
      </c>
      <c r="C19" s="146"/>
      <c r="D19" s="146"/>
      <c r="E19" s="146"/>
      <c r="F19" s="146"/>
      <c r="G19" s="146"/>
      <c r="H19" s="146"/>
    </row>
    <row r="20" spans="1:8" ht="51" customHeight="1" x14ac:dyDescent="0.2">
      <c r="A20" s="130" t="s">
        <v>363</v>
      </c>
      <c r="B20" s="147" t="s">
        <v>382</v>
      </c>
      <c r="C20" s="146"/>
      <c r="D20" s="146"/>
      <c r="E20" s="146"/>
      <c r="F20" s="146"/>
      <c r="G20" s="146"/>
      <c r="H20" s="146"/>
    </row>
    <row r="21" spans="1:8" ht="21" customHeight="1" x14ac:dyDescent="0.2">
      <c r="A21" s="129" t="s">
        <v>362</v>
      </c>
      <c r="B21" s="147" t="s">
        <v>383</v>
      </c>
      <c r="C21" s="146"/>
      <c r="D21" s="146"/>
      <c r="E21" s="146"/>
      <c r="F21" s="146"/>
      <c r="G21" s="146"/>
      <c r="H21" s="146"/>
    </row>
    <row r="22" spans="1:8" ht="51" customHeight="1" x14ac:dyDescent="0.2">
      <c r="A22" s="130" t="s">
        <v>363</v>
      </c>
      <c r="B22" s="147" t="s">
        <v>384</v>
      </c>
      <c r="C22" s="146"/>
      <c r="D22" s="146"/>
      <c r="E22" s="146"/>
      <c r="F22" s="146"/>
      <c r="G22" s="146"/>
      <c r="H22" s="146"/>
    </row>
    <row r="24" spans="1:8" ht="22" customHeight="1" x14ac:dyDescent="0.2">
      <c r="A24" s="145" t="s">
        <v>366</v>
      </c>
      <c r="B24" s="146"/>
      <c r="C24" s="146"/>
      <c r="D24" s="146"/>
      <c r="E24" s="146"/>
      <c r="F24" s="146"/>
      <c r="G24" s="146"/>
      <c r="H24" s="146"/>
    </row>
    <row r="25" spans="1:8" ht="21" customHeight="1" x14ac:dyDescent="0.2">
      <c r="A25" s="129" t="s">
        <v>362</v>
      </c>
      <c r="B25" s="147" t="s">
        <v>385</v>
      </c>
      <c r="C25" s="146"/>
      <c r="D25" s="146"/>
      <c r="E25" s="146"/>
      <c r="F25" s="146"/>
      <c r="G25" s="146"/>
      <c r="H25" s="146"/>
    </row>
    <row r="26" spans="1:8" ht="51" customHeight="1" x14ac:dyDescent="0.2">
      <c r="A26" s="130" t="s">
        <v>363</v>
      </c>
      <c r="B26" s="147" t="s">
        <v>386</v>
      </c>
      <c r="C26" s="146"/>
      <c r="D26" s="146"/>
      <c r="E26" s="146"/>
      <c r="F26" s="146"/>
      <c r="G26" s="146"/>
      <c r="H26" s="146"/>
    </row>
    <row r="27" spans="1:8" ht="21" customHeight="1" x14ac:dyDescent="0.2">
      <c r="A27" s="129" t="s">
        <v>362</v>
      </c>
      <c r="B27" s="147" t="s">
        <v>387</v>
      </c>
      <c r="C27" s="146"/>
      <c r="D27" s="146"/>
      <c r="E27" s="146"/>
      <c r="F27" s="146"/>
      <c r="G27" s="146"/>
      <c r="H27" s="146"/>
    </row>
    <row r="28" spans="1:8" ht="51" customHeight="1" x14ac:dyDescent="0.2">
      <c r="A28" s="130" t="s">
        <v>363</v>
      </c>
      <c r="B28" s="147" t="s">
        <v>388</v>
      </c>
      <c r="C28" s="146"/>
      <c r="D28" s="146"/>
      <c r="E28" s="146"/>
      <c r="F28" s="146"/>
      <c r="G28" s="146"/>
      <c r="H28" s="146"/>
    </row>
    <row r="29" spans="1:8" ht="21" customHeight="1" x14ac:dyDescent="0.2">
      <c r="A29" s="129" t="s">
        <v>362</v>
      </c>
      <c r="B29" s="147" t="s">
        <v>389</v>
      </c>
      <c r="C29" s="146"/>
      <c r="D29" s="146"/>
      <c r="E29" s="146"/>
      <c r="F29" s="146"/>
      <c r="G29" s="146"/>
      <c r="H29" s="146"/>
    </row>
    <row r="30" spans="1:8" ht="36" customHeight="1" x14ac:dyDescent="0.2">
      <c r="A30" s="130" t="s">
        <v>363</v>
      </c>
      <c r="B30" s="147" t="s">
        <v>390</v>
      </c>
      <c r="C30" s="146"/>
      <c r="D30" s="146"/>
      <c r="E30" s="146"/>
      <c r="F30" s="146"/>
      <c r="G30" s="146"/>
      <c r="H30" s="146"/>
    </row>
    <row r="32" spans="1:8" ht="22" customHeight="1" x14ac:dyDescent="0.2">
      <c r="A32" s="145" t="s">
        <v>367</v>
      </c>
      <c r="B32" s="146"/>
      <c r="C32" s="146"/>
      <c r="D32" s="146"/>
      <c r="E32" s="146"/>
      <c r="F32" s="146"/>
      <c r="G32" s="146"/>
      <c r="H32" s="146"/>
    </row>
    <row r="33" spans="1:8" ht="21" customHeight="1" x14ac:dyDescent="0.2">
      <c r="A33" s="129" t="s">
        <v>362</v>
      </c>
      <c r="B33" s="147" t="s">
        <v>391</v>
      </c>
      <c r="C33" s="146"/>
      <c r="D33" s="146"/>
      <c r="E33" s="146"/>
      <c r="F33" s="146"/>
      <c r="G33" s="146"/>
      <c r="H33" s="146"/>
    </row>
    <row r="34" spans="1:8" ht="51" customHeight="1" x14ac:dyDescent="0.2">
      <c r="A34" s="130" t="s">
        <v>363</v>
      </c>
      <c r="B34" s="147" t="s">
        <v>392</v>
      </c>
      <c r="C34" s="146"/>
      <c r="D34" s="146"/>
      <c r="E34" s="146"/>
      <c r="F34" s="146"/>
      <c r="G34" s="146"/>
      <c r="H34" s="146"/>
    </row>
    <row r="35" spans="1:8" ht="21" customHeight="1" x14ac:dyDescent="0.2">
      <c r="A35" s="129" t="s">
        <v>362</v>
      </c>
      <c r="B35" s="147" t="s">
        <v>393</v>
      </c>
      <c r="C35" s="146"/>
      <c r="D35" s="146"/>
      <c r="E35" s="146"/>
      <c r="F35" s="146"/>
      <c r="G35" s="146"/>
      <c r="H35" s="146"/>
    </row>
    <row r="36" spans="1:8" ht="36" customHeight="1" x14ac:dyDescent="0.2">
      <c r="A36" s="130" t="s">
        <v>363</v>
      </c>
      <c r="B36" s="147" t="s">
        <v>394</v>
      </c>
      <c r="C36" s="146"/>
      <c r="D36" s="146"/>
      <c r="E36" s="146"/>
      <c r="F36" s="146"/>
      <c r="G36" s="146"/>
      <c r="H36" s="146"/>
    </row>
    <row r="37" spans="1:8" ht="21" customHeight="1" x14ac:dyDescent="0.2">
      <c r="A37" s="129" t="s">
        <v>362</v>
      </c>
      <c r="B37" s="147" t="s">
        <v>395</v>
      </c>
      <c r="C37" s="146"/>
      <c r="D37" s="146"/>
      <c r="E37" s="146"/>
      <c r="F37" s="146"/>
      <c r="G37" s="146"/>
      <c r="H37" s="146"/>
    </row>
    <row r="38" spans="1:8" ht="51" customHeight="1" x14ac:dyDescent="0.2">
      <c r="A38" s="130" t="s">
        <v>363</v>
      </c>
      <c r="B38" s="147" t="s">
        <v>396</v>
      </c>
      <c r="C38" s="146"/>
      <c r="D38" s="146"/>
      <c r="E38" s="146"/>
      <c r="F38" s="146"/>
      <c r="G38" s="146"/>
      <c r="H38" s="146"/>
    </row>
    <row r="39" spans="1:8" ht="21" customHeight="1" x14ac:dyDescent="0.2">
      <c r="A39" s="129" t="s">
        <v>362</v>
      </c>
      <c r="B39" s="147" t="s">
        <v>397</v>
      </c>
      <c r="C39" s="146"/>
      <c r="D39" s="146"/>
      <c r="E39" s="146"/>
      <c r="F39" s="146"/>
      <c r="G39" s="146"/>
      <c r="H39" s="146"/>
    </row>
    <row r="41" spans="1:8" ht="22" customHeight="1" x14ac:dyDescent="0.2">
      <c r="A41" s="145" t="s">
        <v>368</v>
      </c>
      <c r="B41" s="146"/>
      <c r="C41" s="146"/>
      <c r="D41" s="146"/>
      <c r="E41" s="146"/>
      <c r="F41" s="146"/>
      <c r="G41" s="146"/>
      <c r="H41" s="146"/>
    </row>
    <row r="42" spans="1:8" ht="21" customHeight="1" x14ac:dyDescent="0.2">
      <c r="A42" s="129" t="s">
        <v>362</v>
      </c>
      <c r="B42" s="147" t="s">
        <v>398</v>
      </c>
      <c r="C42" s="146"/>
      <c r="D42" s="146"/>
      <c r="E42" s="146"/>
      <c r="F42" s="146"/>
      <c r="G42" s="146"/>
      <c r="H42" s="146"/>
    </row>
    <row r="43" spans="1:8" ht="51" customHeight="1" x14ac:dyDescent="0.2">
      <c r="A43" s="130" t="s">
        <v>363</v>
      </c>
      <c r="B43" s="147" t="s">
        <v>399</v>
      </c>
      <c r="C43" s="146"/>
      <c r="D43" s="146"/>
      <c r="E43" s="146"/>
      <c r="F43" s="146"/>
      <c r="G43" s="146"/>
      <c r="H43" s="146"/>
    </row>
    <row r="44" spans="1:8" ht="21" customHeight="1" x14ac:dyDescent="0.2">
      <c r="A44" s="129" t="s">
        <v>362</v>
      </c>
      <c r="B44" s="147" t="s">
        <v>400</v>
      </c>
      <c r="C44" s="146"/>
      <c r="D44" s="146"/>
      <c r="E44" s="146"/>
      <c r="F44" s="146"/>
      <c r="G44" s="146"/>
      <c r="H44" s="146"/>
    </row>
    <row r="45" spans="1:8" ht="36" customHeight="1" x14ac:dyDescent="0.2">
      <c r="A45" s="130" t="s">
        <v>363</v>
      </c>
      <c r="B45" s="147" t="s">
        <v>401</v>
      </c>
      <c r="C45" s="146"/>
      <c r="D45" s="146"/>
      <c r="E45" s="146"/>
      <c r="F45" s="146"/>
      <c r="G45" s="146"/>
      <c r="H45" s="146"/>
    </row>
    <row r="46" spans="1:8" ht="21" customHeight="1" x14ac:dyDescent="0.2">
      <c r="A46" s="129" t="s">
        <v>362</v>
      </c>
      <c r="B46" s="147" t="s">
        <v>402</v>
      </c>
      <c r="C46" s="146"/>
      <c r="D46" s="146"/>
      <c r="E46" s="146"/>
      <c r="F46" s="146"/>
      <c r="G46" s="146"/>
      <c r="H46" s="146"/>
    </row>
    <row r="47" spans="1:8" ht="21" customHeight="1" x14ac:dyDescent="0.2">
      <c r="A47" s="130" t="s">
        <v>363</v>
      </c>
      <c r="B47" s="147" t="s">
        <v>369</v>
      </c>
      <c r="C47" s="146"/>
      <c r="D47" s="146"/>
      <c r="E47" s="146"/>
      <c r="F47" s="146"/>
      <c r="G47" s="146"/>
      <c r="H47" s="146"/>
    </row>
    <row r="49" spans="1:8" ht="22" customHeight="1" x14ac:dyDescent="0.2">
      <c r="A49" s="145" t="s">
        <v>370</v>
      </c>
      <c r="B49" s="146"/>
      <c r="C49" s="146"/>
      <c r="D49" s="146"/>
      <c r="E49" s="146"/>
      <c r="F49" s="146"/>
      <c r="G49" s="146"/>
      <c r="H49" s="146"/>
    </row>
    <row r="50" spans="1:8" ht="36" customHeight="1" x14ac:dyDescent="0.2">
      <c r="A50" s="129" t="s">
        <v>362</v>
      </c>
      <c r="B50" s="147" t="s">
        <v>403</v>
      </c>
      <c r="C50" s="146"/>
      <c r="D50" s="146"/>
      <c r="E50" s="146"/>
      <c r="F50" s="146"/>
      <c r="G50" s="146"/>
      <c r="H50" s="146"/>
    </row>
    <row r="51" spans="1:8" ht="21" customHeight="1" x14ac:dyDescent="0.2">
      <c r="A51" s="130" t="s">
        <v>363</v>
      </c>
      <c r="B51" s="147" t="s">
        <v>404</v>
      </c>
      <c r="C51" s="146"/>
      <c r="D51" s="146"/>
      <c r="E51" s="146"/>
      <c r="F51" s="146"/>
      <c r="G51" s="146"/>
      <c r="H51" s="146"/>
    </row>
    <row r="52" spans="1:8" ht="21" customHeight="1" x14ac:dyDescent="0.2">
      <c r="A52" s="129" t="s">
        <v>362</v>
      </c>
      <c r="B52" s="147" t="s">
        <v>371</v>
      </c>
      <c r="C52" s="146"/>
      <c r="D52" s="146"/>
      <c r="E52" s="146"/>
      <c r="F52" s="146"/>
      <c r="G52" s="146"/>
      <c r="H52" s="146"/>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 ca="1">'Sport Records'!$C$4</f>
        <v>Dean B</v>
      </c>
      <c r="B5" s="155"/>
      <c r="C5" s="155"/>
      <c r="D5" s="155"/>
      <c r="E5" s="155"/>
      <c r="G5" s="26"/>
      <c r="H5" s="26"/>
      <c r="I5" s="26"/>
    </row>
    <row r="6" spans="1:9" ht="15" customHeight="1" x14ac:dyDescent="0.2">
      <c r="A6" s="156"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1035</v>
      </c>
      <c r="D28" s="30" t="str">
        <f>IF(OR($B28="—",$B28=""),"—",COUNTIFS('Match Log'!$D$4:$D$810,$B28,'Match Log'!$C$4:$C$810,$A28,'Match Log'!$E$4:$E$810,"Win")&amp;"–"&amp;(COUNTIFS('Match Log'!$D$4:$D$810,$B28,'Match Log'!$C$4:$C$810,$A28)-COUNTIFS('Match Log'!$D$4:$D$810,$B28,'Match Log'!$C$4:$C$810,$A28,'Match Log'!$E$4:$E$810,"Win")))</f>
        <v>14–10</v>
      </c>
      <c r="E28" s="30">
        <f>'Sport Records'!$P$26</f>
        <v>32</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Normal="100" workbookViewId="0">
      <pane xSplit="3" ySplit="4" topLeftCell="D5" activePane="bottomRight" state="frozen"/>
      <selection pane="topRight" activeCell="D1" sqref="D1"/>
      <selection pane="bottomLeft" activeCell="A5" sqref="A5"/>
      <selection pane="bottomRight" activeCell="F32" sqref="F32"/>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190  ·  7 Aug 2026</v>
      </c>
      <c r="T2" s="44"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1088.9197834328434</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3.7</v>
      </c>
      <c r="T5" s="49" t="str">
        <f ca="1">IFERROR(INDEX(Calcs!$T$7:$T$20,MATCH($B5,Calcs!$A$7:$A$20,0)),"")</f>
        <v>At risk</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Daniel (Ferret)</v>
      </c>
      <c r="C6" s="48">
        <f ca="1">IFERROR(INDEX(Calcs!$S$7:$S$20,MATCH($B6,Calcs!$A$7:$A$20,0)),"")</f>
        <v>1153.0208401956088</v>
      </c>
      <c r="D6" s="49">
        <f ca="1">COUNTIF('Match Log'!$D$4:$D$810,$B6)</f>
        <v>76</v>
      </c>
      <c r="E6" s="49">
        <f ca="1">COUNTIFS('Match Log'!$D$4:$D$810,$B6,'Match Log'!$E$4:$E$810,"Win")</f>
        <v>35</v>
      </c>
      <c r="F6" s="49">
        <f t="shared" ca="1" si="1"/>
        <v>41</v>
      </c>
      <c r="G6" s="50">
        <f t="shared" ca="1" si="2"/>
        <v>0.46052631578947367</v>
      </c>
      <c r="H6" s="51">
        <f ca="1">SUMIF('Match Log'!$D$4:$D$810,$B6,'Match Log'!$J$4:$J$810)</f>
        <v>41.774552221548468</v>
      </c>
      <c r="I6" s="51">
        <f ca="1">SUMIF('Match Log'!$D$4:$D$810,$B6,'Match Log'!$K$4:$K$810)</f>
        <v>43.596287974060196</v>
      </c>
      <c r="J6" s="51">
        <f ca="1">SUMIF('Match Log'!$D$4:$D$810,$B6,'Match Log'!$L$4:$L$810)</f>
        <v>69</v>
      </c>
      <c r="K6" s="49">
        <f ca="1">SUMPRODUCT(--(COUNTIFS('Match Log'!$D$4:$D$810,$B6,'Match Log'!$C$4:$C$810,Lists!$C$2:$C$24)&gt;0))</f>
        <v>14</v>
      </c>
      <c r="L6" s="49" t="str">
        <f ca="1">IF($D6=0,"No games",IF(AND($D6&gt;='Guide &amp; Settings'!$C$45,$K6&gt;='Guide &amp; Settings'!$C$46),"Eligible","Provisional"))</f>
        <v>Eligible</v>
      </c>
      <c r="M6" s="48">
        <f ca="1">IFERROR(INDEX(Calcs!$C$7:$C$20,MATCH($B6,Calcs!$A$7:$A$20,0)),"")</f>
        <v>1097.1084539801484</v>
      </c>
      <c r="N6" s="48">
        <f t="shared" ca="1" si="3"/>
        <v>88.682096129444517</v>
      </c>
      <c r="O6" s="49" t="str">
        <f ca="1">IFERROR(INDEX(Calcs!$H$7:$H$20,MATCH($B6,Calcs!$A$7:$A$20,0)),"")</f>
        <v>W2</v>
      </c>
      <c r="P6" s="49" t="str">
        <f ca="1">IFERROR(INDEX(Calcs!$I$7:$I$20,MATCH($B6,Calcs!$A$7:$A$20,0)),"")</f>
        <v>WWLWW</v>
      </c>
      <c r="Q6" s="49" t="str">
        <f ca="1">IFERROR(IF(INDEX(Calcs!$L$7:$L$20,MATCH($B6,Calcs!$A$7:$A$20,0))&gt;0,"▲"&amp;INDEX(Calcs!$L$7:$L$20,MATCH($B6,Calcs!$A$7:$A$20,0)),IF(INDEX(Calcs!$L$7:$L$20,MATCH($B6,Calcs!$A$7:$A$20,0))&lt;0,"▼"&amp;ABS(INDEX(Calcs!$L$7:$L$20,MATCH($B6,Calcs!$A$7:$A$20,0))),"–")),"")</f>
        <v>▲4</v>
      </c>
      <c r="R6" s="49" t="str">
        <f ca="1">IFERROR(IF(INDEX(Calcs!$P$7:$P$20,MATCH($B6,Calcs!$A$7:$A$20,0))=0,"—",TEXT(INDEX(Calcs!$P$7:$P$20,MATCH($B6,Calcs!$A$7:$A$20,0)),"d mmm")),"")</f>
        <v>7 Aug</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-1.4</v>
      </c>
    </row>
    <row r="7" spans="1:24" ht="15" customHeight="1" x14ac:dyDescent="0.2">
      <c r="A7" s="46">
        <f t="shared" si="0"/>
        <v>3</v>
      </c>
      <c r="B7" s="47" t="str">
        <f ca="1">IFERROR(INDEX(Calcs!$A$7:$A$20,MATCH(LARGE(Calcs!$AI$7:$AI$20,ROW()-4),Calcs!$AI$7:$AI$20,0)),"")</f>
        <v>Shawn</v>
      </c>
      <c r="C7" s="48">
        <f ca="1">IFERROR(INDEX(Calcs!$S$7:$S$20,MATCH($B7,Calcs!$A$7:$A$20,0)),"")</f>
        <v>1121.5801927780342</v>
      </c>
      <c r="D7" s="49">
        <f ca="1">COUNTIF('Match Log'!$D$4:$D$810,$B7)</f>
        <v>91</v>
      </c>
      <c r="E7" s="49">
        <f ca="1">COUNTIFS('Match Log'!$D$4:$D$810,$B7,'Match Log'!$E$4:$E$810,"Win")</f>
        <v>42</v>
      </c>
      <c r="F7" s="49">
        <f t="shared" ca="1" si="1"/>
        <v>49</v>
      </c>
      <c r="G7" s="50">
        <f t="shared" ca="1" si="2"/>
        <v>0.46153846153846156</v>
      </c>
      <c r="H7" s="51">
        <f ca="1">SUMIF('Match Log'!$D$4:$D$810,$B7,'Match Log'!$J$4:$J$810)</f>
        <v>41.340964793820795</v>
      </c>
      <c r="I7" s="51">
        <f ca="1">SUMIF('Match Log'!$D$4:$D$810,$B7,'Match Log'!$K$4:$K$810)</f>
        <v>1.9892279842137777</v>
      </c>
      <c r="J7" s="51">
        <f ca="1">SUMIF('Match Log'!$D$4:$D$810,$B7,'Match Log'!$L$4:$L$810)</f>
        <v>82</v>
      </c>
      <c r="K7" s="49">
        <f ca="1">SUMPRODUCT(--(COUNTIFS('Match Log'!$D$4:$D$810,$B7,'Match Log'!$C$4:$C$810,Lists!$C$2:$C$24)&gt;0))</f>
        <v>11</v>
      </c>
      <c r="L7" s="49" t="str">
        <f ca="1">IF($D7=0,"No games",IF(AND($D7&gt;='Guide &amp; Settings'!$C$45,$K7&gt;='Guide &amp; Settings'!$C$46),"Eligible","Provisional"))</f>
        <v>Eligible</v>
      </c>
      <c r="M7" s="48">
        <f ca="1">IFERROR(INDEX(Calcs!$C$7:$C$20,MATCH($B7,Calcs!$A$7:$A$20,0)),"")</f>
        <v>1077.2450214313078</v>
      </c>
      <c r="N7" s="48">
        <f t="shared" ca="1" si="3"/>
        <v>120.12274354701913</v>
      </c>
      <c r="O7" s="49" t="str">
        <f ca="1">IFERROR(INDEX(Calcs!$H$7:$H$20,MATCH($B7,Calcs!$A$7:$A$20,0)),"")</f>
        <v>L2</v>
      </c>
      <c r="P7" s="49" t="str">
        <f ca="1">IFERROR(INDEX(Calcs!$I$7:$I$20,MATCH($B7,Calcs!$A$7:$A$20,0)),"")</f>
        <v>LWWLL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7 Aug</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1122</v>
      </c>
      <c r="W7" s="49" t="str">
        <f ca="1">IFERROR(INDEX(Calcs!$AF$7:$AF$20,MATCH($B7,Calcs!$A$7:$A$20,0)),"")</f>
        <v>Strong</v>
      </c>
      <c r="X7" s="51">
        <f ca="1">IFERROR(ROUND(SUMIF('Poker Stake Ledger'!$C$18:$C$137,$B7,'Poker Stake Ledger'!$K$18:$K$137),1),0)</f>
        <v>-3.8</v>
      </c>
    </row>
    <row r="8" spans="1:24" ht="15" customHeight="1" x14ac:dyDescent="0.2">
      <c r="A8" s="46">
        <f t="shared" si="0"/>
        <v>4</v>
      </c>
      <c r="B8" s="47" t="str">
        <f ca="1">IFERROR(INDEX(Calcs!$A$7:$A$20,MATCH(LARGE(Calcs!$AI$7:$AI$20,ROW()-4),Calcs!$AI$7:$AI$20,0)),"")</f>
        <v>Josh</v>
      </c>
      <c r="C8" s="48">
        <f ca="1">IFERROR(INDEX(Calcs!$S$7:$S$20,MATCH($B8,Calcs!$A$7:$A$20,0)),"")</f>
        <v>1115.3515451357737</v>
      </c>
      <c r="D8" s="49">
        <f ca="1">COUNTIF('Match Log'!$D$4:$D$810,$B8)</f>
        <v>38</v>
      </c>
      <c r="E8" s="49">
        <f ca="1">COUNTIFS('Match Log'!$D$4:$D$810,$B8,'Match Log'!$E$4:$E$810,"Win")</f>
        <v>22</v>
      </c>
      <c r="F8" s="49">
        <f t="shared" ca="1" si="1"/>
        <v>16</v>
      </c>
      <c r="G8" s="50">
        <f t="shared" ca="1" si="2"/>
        <v>0.57894736842105265</v>
      </c>
      <c r="H8" s="51">
        <f ca="1">SUMIF('Match Log'!$D$4:$D$810,$B8,'Match Log'!$J$4:$J$810)</f>
        <v>4.6665579619380289</v>
      </c>
      <c r="I8" s="51">
        <f ca="1">SUMIF('Match Log'!$D$4:$D$810,$B8,'Match Log'!$K$4:$K$810)</f>
        <v>38.934987173835978</v>
      </c>
      <c r="J8" s="51">
        <f ca="1">SUMIF('Match Log'!$D$4:$D$810,$B8,'Match Log'!$L$4:$L$810)</f>
        <v>50</v>
      </c>
      <c r="K8" s="49">
        <f ca="1">SUMPRODUCT(--(COUNTIFS('Match Log'!$D$4:$D$810,$B8,'Match Log'!$C$4:$C$810,Lists!$C$2:$C$24)&gt;0))</f>
        <v>12</v>
      </c>
      <c r="L8" s="49" t="str">
        <f ca="1">IF($D8=0,"No games",IF(AND($D8&gt;='Guide &amp; Settings'!$C$45,$K8&gt;='Guide &amp; Settings'!$C$46),"Eligible","Provisional"))</f>
        <v>Eligible</v>
      </c>
      <c r="M8" s="48">
        <f ca="1">IFERROR(INDEX(Calcs!$C$7:$C$20,MATCH($B8,Calcs!$A$7:$A$20,0)),"")</f>
        <v>1096.5804830571178</v>
      </c>
      <c r="N8" s="48">
        <f t="shared" ca="1" si="3"/>
        <v>126.35139118927964</v>
      </c>
      <c r="O8" s="49" t="str">
        <f ca="1">IFERROR(INDEX(Calcs!$H$7:$H$20,MATCH($B8,Calcs!$A$7:$A$20,0)),"")</f>
        <v>W1</v>
      </c>
      <c r="P8" s="49" t="str">
        <f ca="1">IFERROR(INDEX(Calcs!$I$7:$I$20,MATCH($B8,Calcs!$A$7:$A$20,0)),"")</f>
        <v>LWLLW</v>
      </c>
      <c r="Q8" s="49" t="str">
        <f ca="1">IFERROR(IF(INDEX(Calcs!$L$7:$L$20,MATCH($B8,Calcs!$A$7:$A$20,0))&gt;0,"▲"&amp;INDEX(Calcs!$L$7:$L$20,MATCH($B8,Calcs!$A$7:$A$20,0)),IF(INDEX(Calcs!$L$7:$L$20,MATCH($B8,Calcs!$A$7:$A$20,0))&lt;0,"▼"&amp;ABS(INDEX(Calcs!$L$7:$L$20,MATCH($B8,Calcs!$A$7:$A$20,0))),"–")),"")</f>
        <v>–</v>
      </c>
      <c r="R8" s="49" t="str">
        <f ca="1">IFERROR(IF(INDEX(Calcs!$P$7:$P$20,MATCH($B8,Calcs!$A$7:$A$20,0))=0,"—",TEXT(INDEX(Calcs!$P$7:$P$20,MATCH($B8,Calcs!$A$7:$A$20,0)),"d mmm")),"")</f>
        <v>26 Jul</v>
      </c>
      <c r="S8" s="49">
        <f ca="1">IFERROR(ROUND(INDEX(Calcs!$Q$7:$Q$20,MATCH($B8,Calcs!$A$7:$A$20,0)),1),"")</f>
        <v>1.7</v>
      </c>
      <c r="T8" s="49" t="str">
        <f ca="1">IFERROR(INDEX(Calcs!$T$7:$T$20,MATCH($B8,Calcs!$A$7:$A$20,0)),"")</f>
        <v>Active</v>
      </c>
      <c r="U8">
        <f ca="1">IFERROR(ROUND(INDEX(Calcs!$R$7:$R$20,MATCH($B8,Calcs!$A$7:$A$20,0))+INDEX(Calcs!$U$7:$U$20,MATCH($B8,Calcs!$A$7:$A$20,0)),0),0)</f>
        <v>0</v>
      </c>
      <c r="V8" s="51">
        <f ca="1">IFERROR(ROUND(INDEX(Calcs!$S$7:$S$20,MATCH($B8,Calcs!$A$7:$A$20,0)),0),"")</f>
        <v>1115</v>
      </c>
      <c r="W8" s="49" t="str">
        <f ca="1">IFERROR(INDEX(Calcs!$AF$7:$AF$20,MATCH($B8,Calcs!$A$7:$A$20,0)),"")</f>
        <v>Elite</v>
      </c>
      <c r="X8" s="51">
        <f ca="1">IFERROR(ROUND(SUMIF('Poker Stake Ledger'!$C$18:$C$137,$B8,'Poker Stake Ledger'!$K$18:$K$137),1),0)</f>
        <v>21.8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1052.2126823944695</v>
      </c>
      <c r="N9" s="48">
        <f t="shared" ca="1" si="3"/>
        <v>161.31984435006098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v>
      </c>
      <c r="R9" s="49" t="str">
        <f ca="1">IFERROR(IF(INDEX(Calcs!$P$7:$P$20,MATCH($B9,Calcs!$A$7:$A$20,0))=0,"—",TEXT(INDEX(Calcs!$P$7:$P$20,MATCH($B9,Calcs!$A$7:$A$20,0)),"d mmm")),"")</f>
        <v>19 Jul</v>
      </c>
      <c r="S9" s="49">
        <f ca="1">IFERROR(ROUND(INDEX(Calcs!$Q$7:$Q$20,MATCH($B9,Calcs!$A$7:$A$20,0)),1),"")</f>
        <v>2.7</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1071.6582709895238</v>
      </c>
      <c r="D10" s="49">
        <f ca="1">COUNTIF('Match Log'!$D$4:$D$810,$B10)</f>
        <v>58</v>
      </c>
      <c r="E10" s="49">
        <f ca="1">COUNTIFS('Match Log'!$D$4:$D$810,$B10,'Match Log'!$E$4:$E$810,"Win")</f>
        <v>25</v>
      </c>
      <c r="F10" s="49">
        <f t="shared" ca="1" si="1"/>
        <v>33</v>
      </c>
      <c r="G10" s="50">
        <f t="shared" ca="1" si="2"/>
        <v>0.43103448275862066</v>
      </c>
      <c r="H10" s="51">
        <f ca="1">SUMIF('Match Log'!$D$4:$D$810,$B10,'Match Log'!$J$4:$J$810)</f>
        <v>-19.525006643265158</v>
      </c>
      <c r="I10" s="51">
        <f ca="1">SUMIF('Match Log'!$D$4:$D$810,$B10,'Match Log'!$K$4:$K$810)</f>
        <v>17.183277632788666</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1091.3883980956948</v>
      </c>
      <c r="N10" s="48">
        <f t="shared" ca="1" si="3"/>
        <v>170.04466533552954</v>
      </c>
      <c r="O10" s="49" t="str">
        <f ca="1">IFERROR(INDEX(Calcs!$H$7:$H$20,MATCH($B10,Calcs!$A$7:$A$20,0)),"")</f>
        <v>L5</v>
      </c>
      <c r="P10" s="49" t="str">
        <f ca="1">IFERROR(INDEX(Calcs!$I$7:$I$20,MATCH($B10,Calcs!$A$7:$A$20,0)),"")</f>
        <v>LLLLL</v>
      </c>
      <c r="Q10" s="49" t="str">
        <f ca="1">IFERROR(IF(INDEX(Calcs!$L$7:$L$20,MATCH($B10,Calcs!$A$7:$A$20,0))&gt;0,"▲"&amp;INDEX(Calcs!$L$7:$L$20,MATCH($B10,Calcs!$A$7:$A$20,0)),IF(INDEX(Calcs!$L$7:$L$20,MATCH($B10,Calcs!$A$7:$A$20,0))&lt;0,"▼"&amp;ABS(INDEX(Calcs!$L$7:$L$20,MATCH($B10,Calcs!$A$7:$A$20,0))),"–")),"")</f>
        <v>▼3</v>
      </c>
      <c r="R10" s="49" t="str">
        <f ca="1">IFERROR(IF(INDEX(Calcs!$P$7:$P$20,MATCH($B10,Calcs!$A$7:$A$20,0))=0,"—",TEXT(INDEX(Calcs!$P$7:$P$20,MATCH($B10,Calcs!$A$7:$A$20,0)),"d mmm")),"")</f>
        <v>7 Aug</v>
      </c>
      <c r="S10" s="49">
        <f ca="1">IFERROR(ROUND(INDEX(Calcs!$Q$7:$Q$20,MATCH($B10,Calcs!$A$7:$A$20,0)),1),"")</f>
        <v>0</v>
      </c>
      <c r="T10" s="49" t="str">
        <f ca="1">IFERROR(INDEX(Calcs!$T$7:$T$20,MATCH($B10,Calcs!$A$7:$A$20,0)),"")</f>
        <v>Active</v>
      </c>
      <c r="U10">
        <f ca="1">IFERROR(ROUND(INDEX(Calcs!$R$7:$R$20,MATCH($B10,Calcs!$A$7:$A$20,0))+INDEX(Calcs!$U$7:$U$20,MATCH($B10,Calcs!$A$7:$A$20,0)),0),0)</f>
        <v>0</v>
      </c>
      <c r="V10" s="51">
        <f ca="1">IFERROR(ROUND(INDEX(Calcs!$S$7:$S$20,MATCH($B10,Calcs!$A$7:$A$20,0)),0),"")</f>
        <v>1072</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1065.1272438158262</v>
      </c>
      <c r="N11" s="48">
        <f t="shared" ca="1" si="3"/>
        <v>197.0136290126959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1.7</v>
      </c>
      <c r="T11" s="49" t="str">
        <f ca="1">IFERROR(INDEX(Calcs!$T$7:$T$20,MATCH($B11,Calcs!$A$7:$A$20,0)),"")</f>
        <v>Active</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1083.8528433389447</v>
      </c>
      <c r="N12" s="48">
        <f t="shared" ca="1" si="3"/>
        <v>203.88322485295953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1061.10305883673</v>
      </c>
      <c r="N13" s="48">
        <f t="shared" ca="1" si="3"/>
        <v>229.57253637582289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2.7</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241.70293632505332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1097.9639313361192</v>
      </c>
      <c r="N15" s="48">
        <f t="shared" ca="1" si="3"/>
        <v>242.97683165558283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1.7</v>
      </c>
      <c r="T15" s="49" t="str">
        <f ca="1">IFERROR(INDEX(Calcs!$T$7:$T$20,MATCH($B15,Calcs!$A$7:$A$20,0)),"")</f>
        <v>Active</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989.51759653351382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1071.6104021817407</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7.6</v>
      </c>
      <c r="T16" s="49" t="str">
        <f ca="1">IFERROR(INDEX(Calcs!$T$7:$T$20,MATCH($B16,Calcs!$A$7:$A$20,0)),"")</f>
        <v>Inactive</v>
      </c>
      <c r="U16">
        <f ca="1">IFERROR(ROUND(INDEX(Calcs!$R$7:$R$20,MATCH($B16,Calcs!$A$7:$A$20,0))+INDEX(Calcs!$U$7:$U$20,MATCH($B16,Calcs!$A$7:$A$20,0)),0),0)</f>
        <v>40</v>
      </c>
      <c r="V16" s="51">
        <f ca="1">IFERROR(ROUND(INDEX(Calcs!$S$7:$S$20,MATCH($B16,Calcs!$A$7:$A$20,0)),0),"")</f>
        <v>990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1077.1790126628191</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3.9</v>
      </c>
      <c r="T17" s="49" t="str">
        <f ca="1">IFERROR(INDEX(Calcs!$T$7:$T$20,MATCH($B17,Calcs!$A$7:$A$20,0)),"")</f>
        <v>At risk</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1073.3160154236314</v>
      </c>
      <c r="N18" s="48">
        <f t="shared" ca="1" si="3"/>
        <v>379.47999258827838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2.7</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3</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1121.5801927780342</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42–49</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0.46153846153846156</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91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11</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1077.2450214313078</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L2</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LWWLL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116.37274354701913</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7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70</v>
      </c>
      <c r="D23" s="56" t="s">
        <v>208</v>
      </c>
      <c r="E23" s="36">
        <f>COUNTIFS('Match Log'!$D$4:$D$810,$B$3,'Match Log'!$C$4:$C$810,$D23)</f>
        <v>24</v>
      </c>
      <c r="F23" s="36">
        <f>COUNTIFS('Match Log'!$D$4:$D$810,$B$3,'Match Log'!$C$4:$C$810,$D23,'Match Log'!$E$4:$E$810,"Win")</f>
        <v>14</v>
      </c>
      <c r="G23" s="57">
        <f t="shared" si="0"/>
        <v>0.58333333333333337</v>
      </c>
      <c r="H23" s="58">
        <f>IFERROR(IF($E23=0,"",INDEX('Sport Records'!$B$100:$O$122,MATCH($D23,'Sport Records'!$A$100:$A$122,0),MATCH($B$3,'Sport Records'!$B$99:$O$99,0))),"")</f>
        <v>1034.7163058371079</v>
      </c>
    </row>
    <row r="24" spans="1:8" x14ac:dyDescent="0.2">
      <c r="A24" s="64" t="s">
        <v>209</v>
      </c>
      <c r="B24" s="65">
        <f ca="1">IFERROR(ROUND(INDEX(Calcs!$W$7:$W$20,MATCH($B$3,Calcs!$A$7:$A$20,0)),0),"")</f>
        <v>80</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46</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67% of 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33% of 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50% of 30</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46% of 24</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50% of 30</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54% of 24</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31</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33</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31</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190</v>
      </c>
    </row>
    <row r="4" spans="1:18" ht="18.75" customHeight="1" x14ac:dyDescent="0.2">
      <c r="A4" s="73" t="s">
        <v>223</v>
      </c>
      <c r="C4" s="161" t="str">
        <f ca="1">INDEX($A$83:$A$96,MATCH(MAX($S$83:$S$96),$S$83:$S$96,0))</f>
        <v>Dean B</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24</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32</v>
      </c>
      <c r="Q26" s="79" t="str">
        <f t="shared" si="0"/>
        <v>Shawn</v>
      </c>
      <c r="R26" s="78">
        <f t="shared" si="1"/>
        <v>14</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14</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0.58333333333333337</v>
      </c>
      <c r="H76" s="80">
        <f t="shared" si="20"/>
        <v>0</v>
      </c>
      <c r="I76" s="80">
        <f t="shared" si="20"/>
        <v>0.41176470588235292</v>
      </c>
      <c r="J76" s="80" t="str">
        <f t="shared" si="20"/>
        <v/>
      </c>
      <c r="K76" s="80" t="str">
        <f t="shared" si="20"/>
        <v/>
      </c>
      <c r="L76" s="80">
        <f t="shared" si="20"/>
        <v>0.2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38</v>
      </c>
      <c r="C84" s="77">
        <f>SUMPRODUCT(--(COUNTIFS('Match Log'!$D$4:$D$819,$A84,'Match Log'!$C$4:$C$819,Lists!$C$2:$C$24)&gt;0))</f>
        <v>12</v>
      </c>
      <c r="D84" s="77">
        <f>COUNTIFS('Match Log'!$D$4:$D$819,$A84,'Match Log'!$E$4:$E$819,"Win")</f>
        <v>22</v>
      </c>
      <c r="E84" s="80">
        <f t="shared" si="25"/>
        <v>0.57894736842105265</v>
      </c>
      <c r="F84" s="82">
        <f ca="1">IFERROR(INDEX(Calcs!$S$7:$S$20,MATCH($A84,Calcs!$A$7:$A$20,0)),"")</f>
        <v>1115.3515451357737</v>
      </c>
      <c r="G84" s="77" t="str">
        <f>IF($B84=0,"No games",IF(AND($B84&gt;='Guide &amp; Settings'!$C$45,$C84&gt;='Guide &amp; Settings'!$C$46),"Eligible","Provisional"))</f>
        <v>Eligible</v>
      </c>
      <c r="S84" s="83">
        <f ca="1">IF($G84="Eligible",IF(IFERROR(INDEX(Calcs!$T$7:$T$20,MATCH($A84,Calcs!$A$7:$A$20,0)),"")="Inactive",-1,$F84),-1)</f>
        <v>1115.3515451357737</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58</v>
      </c>
      <c r="C86" s="77">
        <f>SUMPRODUCT(--(COUNTIFS('Match Log'!$D$4:$D$819,$A86,'Match Log'!$C$4:$C$819,Lists!$C$2:$C$24)&gt;0))</f>
        <v>9</v>
      </c>
      <c r="D86" s="77">
        <f>COUNTIFS('Match Log'!$D$4:$D$819,$A86,'Match Log'!$E$4:$E$819,"Win")</f>
        <v>25</v>
      </c>
      <c r="E86" s="80">
        <f t="shared" si="25"/>
        <v>0.43103448275862066</v>
      </c>
      <c r="F86" s="82">
        <f ca="1">IFERROR(INDEX(Calcs!$S$7:$S$20,MATCH($A86,Calcs!$A$7:$A$20,0)),"")</f>
        <v>1071.6582709895238</v>
      </c>
      <c r="G86" s="77" t="str">
        <f>IF($B86=0,"No games",IF(AND($B86&gt;='Guide &amp; Settings'!$C$45,$C86&gt;='Guide &amp; Settings'!$C$46),"Eligible","Provisional"))</f>
        <v>Eligible</v>
      </c>
      <c r="S86" s="83">
        <f ca="1">IF($G86="Eligible",IF(IFERROR(INDEX(Calcs!$T$7:$T$20,MATCH($A86,Calcs!$A$7:$A$20,0)),"")="Inactive",-1,$F86),-1)</f>
        <v>1071.6582709895238</v>
      </c>
    </row>
    <row r="87" spans="1:19" ht="15" customHeight="1" x14ac:dyDescent="0.2">
      <c r="A87" s="76" t="s">
        <v>170</v>
      </c>
      <c r="B87" s="77">
        <f>COUNTIF('Match Log'!$D$4:$D$819,$A87)</f>
        <v>76</v>
      </c>
      <c r="C87" s="77">
        <f>SUMPRODUCT(--(COUNTIFS('Match Log'!$D$4:$D$819,$A87,'Match Log'!$C$4:$C$819,Lists!$C$2:$C$24)&gt;0))</f>
        <v>14</v>
      </c>
      <c r="D87" s="77">
        <f>COUNTIFS('Match Log'!$D$4:$D$819,$A87,'Match Log'!$E$4:$E$819,"Win")</f>
        <v>35</v>
      </c>
      <c r="E87" s="80">
        <f t="shared" si="25"/>
        <v>0.46052631578947367</v>
      </c>
      <c r="F87" s="82">
        <f ca="1">IFERROR(INDEX(Calcs!$S$7:$S$20,MATCH($A87,Calcs!$A$7:$A$20,0)),"")</f>
        <v>1153.0208401956088</v>
      </c>
      <c r="G87" s="77" t="str">
        <f>IF($B87=0,"No games",IF(AND($B87&gt;='Guide &amp; Settings'!$C$45,$C87&gt;='Guide &amp; Settings'!$C$46),"Eligible","Provisional"))</f>
        <v>Eligible</v>
      </c>
      <c r="S87" s="83">
        <f ca="1">IF($G87="Eligible",IF(IFERROR(INDEX(Calcs!$T$7:$T$20,MATCH($A87,Calcs!$A$7:$A$20,0)),"")="Inactive",-1,$F87),-1)</f>
        <v>1153.0208401956088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91</v>
      </c>
      <c r="C89" s="77">
        <f>SUMPRODUCT(--(COUNTIFS('Match Log'!$D$4:$D$819,$A89,'Match Log'!$C$4:$C$819,Lists!$C$2:$C$24)&gt;0))</f>
        <v>11</v>
      </c>
      <c r="D89" s="77">
        <f>COUNTIFS('Match Log'!$D$4:$D$819,$A89,'Match Log'!$E$4:$E$819,"Win")</f>
        <v>42</v>
      </c>
      <c r="E89" s="80">
        <f t="shared" si="25"/>
        <v>0.46153846153846156</v>
      </c>
      <c r="F89" s="82">
        <f ca="1">IFERROR(INDEX(Calcs!$S$7:$S$20,MATCH($A89,Calcs!$A$7:$A$20,0)),"")</f>
        <v>1121.5801927780342</v>
      </c>
      <c r="G89" s="77" t="str">
        <f>IF($B89=0,"No games",IF(AND($B89&gt;='Guide &amp; Settings'!$C$45,$C89&gt;='Guide &amp; Settings'!$C$46),"Eligible","Provisional"))</f>
        <v>Eligible</v>
      </c>
      <c r="S89" s="83">
        <f ca="1">IF($G89="Eligible",IF(IFERROR(INDEX(Calcs!$T$7:$T$20,MATCH($A89,Calcs!$A$7:$A$20,0)),"")="Inactive",-1,$F89),-1)</f>
        <v>1121.5801927780342</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989.51759653351382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1034.7163058371079</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964.03378162567117</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91</v>
      </c>
      <c r="C21" s="36" t="str">
        <f ca="1">INDEX(Dashboard!$B$5:$B$18,MATCH(MAX(Dashboard!$D$5:$D$18),Dashboard!$D$5:$D$18,0))</f>
        <v>Shawn</v>
      </c>
      <c r="D21" s="36" t="s">
        <v>252</v>
      </c>
      <c r="E21" s="36" t="s">
        <v>252</v>
      </c>
      <c r="F21" s="36" t="str">
        <f ca="1">"across "&amp;INDEX(Dashboard!$K$5:$K$18,MATCH($C21,Dashboard!$B$5:$B$18,0))&amp;" sports"</f>
        <v>across 11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32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2 wins</v>
      </c>
      <c r="C24" s="39" t="str">
        <f>INDEX(Calcs!$A$7:$A$20,MATCH(MAX(Calcs!$O$7:$O$20),Calcs!$O$7:$O$20,0))</f>
        <v>Daniel (Ferret)</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Daniel (Ferret)</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87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Daniel (Ferret)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Daniel (Ferret) is surging — up 4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91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32 contests.</v>
      </c>
      <c r="B11" s="91"/>
      <c r="C11" s="91"/>
      <c r="D11" s="96"/>
      <c r="E11" s="97"/>
      <c r="F11" s="91"/>
    </row>
    <row r="12" spans="1:6" ht="15" customHeight="1" x14ac:dyDescent="0.2">
      <c r="A12" s="92" t="str">
        <f>"🎲  "&amp;MAX('Match Log'!$A$4:$A$810)&amp;" games played across "&amp;COUNTIF('Sport Records'!$P$8:$P$30,"&gt;0")&amp;" different sports — and counting."</f>
        <v>🎲  190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1154</v>
      </c>
      <c r="D18" s="105" t="str">
        <f>IF(2=1,"— leader —",ROUND(MAX(Calcs!$B$7:$B$20)-LARGE(Calcs!$B$7:$B$20,2),0)&amp;" behind")</f>
        <v>87 behind</v>
      </c>
      <c r="E18" s="99"/>
      <c r="F18" s="26"/>
    </row>
    <row r="19" spans="1:6" ht="15" customHeight="1" x14ac:dyDescent="0.2">
      <c r="A19" s="104">
        <v>3</v>
      </c>
      <c r="B19" s="55" t="str">
        <f>INDEX(Calcs!$A$7:$A$20,MATCH(LARGE(Calcs!$B$7:$B$20,3),Calcs!$B$7:$B$20,0))</f>
        <v>Shawn</v>
      </c>
      <c r="C19" s="104">
        <f>ROUND(LARGE(Calcs!$B$7:$B$20,3),0)</f>
        <v>1125</v>
      </c>
      <c r="D19" s="105" t="str">
        <f>IF(3=1,"— leader —",ROUND(MAX(Calcs!$B$7:$B$20)-LARGE(Calcs!$B$7:$B$20,3),0)&amp;" behind")</f>
        <v>116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W</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W</v>
      </c>
      <c r="I44" s="107" t="str">
        <f>IFERROR(IF(INDEX('Match Log'!$E$1:$E$810,_xlfn.AGGREGATE(14,6,ROW('Match Log'!$A$4:$A$810)/('Match Log'!$D$4:$D$810=$A44),3))="Win","W","L"),"")</f>
        <v>L</v>
      </c>
      <c r="J44" s="107" t="str">
        <f>IFERROR(IF(INDEX('Match Log'!$E$1:$E$810,_xlfn.AGGREGATE(14,6,ROW('Match Log'!$A$4:$A$810)/('Match Log'!$D$4:$D$810=$A44),2))="Win","W","L"),"")</f>
        <v>L</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L</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0.58333333333333337</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424" activePane="bottomRight" state="frozen"/>
      <selection pane="topRight" activeCell="F1" sqref="F1"/>
      <selection pane="bottomLeft" activeCell="A244" sqref="A244"/>
      <selection pane="bottomRight" activeCell="I452" sqref="I452"/>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46234</v>
      </c>
    </row>
    <row r="4" spans="1:35" ht="15" customHeight="1" x14ac:dyDescent="0.2">
      <c r="A4" t="s">
        <v>330</v>
      </c>
      <c r="B4" s="127">
        <f>MAX('Match Log'!$B$4:$B$810)</f>
        <v>46241</v>
      </c>
      <c r="C4" t="s">
        <v>450</v>
      </c>
      <c r="D4" s="127">
        <f ca="1">MAX($B$4,TODAY())</f>
        <v>46241</v>
      </c>
    </row>
    <row r="5" spans="1:35" x14ac:dyDescent="0.2">
      <c r="B5">
        <f ca="1">TODAY()-7</f>
        <v>46234</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1097.9639313361192</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1.7142857142857142</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Active</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74.490982834029808</v>
      </c>
      <c r="AB7">
        <f t="shared" ref="AB7:AB20" ca="1" si="13">0.35*$W7+0.2*$X7+0.2*$Y7+0.15*$Z7+0.1*$AA7</f>
        <v>60.46726207161128</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1071.6104021817407</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7.5714285714285712</v>
      </c>
      <c r="R8">
        <f ca="1">IF($P8=0,0,IF($Q8&gt;='Guide &amp; Settings'!$C$48,(INT($Q8-'Guide &amp; Settings'!$C$48)+1)*'Guide &amp; Settings'!$C$49,0))</f>
        <v>40</v>
      </c>
      <c r="S8">
        <f ca="1">$B8-$R8-$U8+SUMIF('Poker Stake Ledger'!$C$18:$C$137,$A8,'Poker Stake Ledger'!$K$18:$K$137)</f>
        <v>989.51759653351382</v>
      </c>
      <c r="T8" t="str">
        <f ca="1">IF($P8=0,"No games",IF($Q8&gt;='Guide &amp; Settings'!$C$48,"Inactive",IF($Q8&gt;='Guide &amp; Settings'!$C$47,"At risk","Active")))</f>
        <v>Inactive</v>
      </c>
      <c r="U8">
        <f>SUMIF('Match Log'!$D$4:$D$810,$A8,'Match Log'!$AC$4:$AC$810)</f>
        <v>0</v>
      </c>
      <c r="V8">
        <f t="shared" si="9"/>
        <v>2</v>
      </c>
      <c r="W8">
        <f t="shared" ca="1" si="10"/>
        <v>47.379399133378456</v>
      </c>
      <c r="X8">
        <f ca="1">IFERROR(INDEX(Dashboard!$G$5:$G$18,MATCH($A8,Dashboard!$B$5:$B$18,0))*100,0)</f>
        <v>50</v>
      </c>
      <c r="Y8">
        <f ca="1">MIN(100,IFERROR(INDEX(Dashboard!$K$5:$K$18,MATCH($A8,Dashboard!$B$5:$B$18,0)),0)/5*50+$AC8/4*50)</f>
        <v>42.5</v>
      </c>
      <c r="Z8">
        <f t="shared" si="11"/>
        <v>40</v>
      </c>
      <c r="AA8">
        <f t="shared" si="12"/>
        <v>67.902600545435178</v>
      </c>
      <c r="AB8">
        <f t="shared" ca="1" si="13"/>
        <v>47.87304975122597</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989.51759733351378</v>
      </c>
    </row>
    <row r="9" spans="1:35" ht="15" customHeight="1" x14ac:dyDescent="0.2">
      <c r="A9" t="s">
        <v>173</v>
      </c>
      <c r="B9">
        <f>IFERROR(INDEX(Engine!$B$2:$B$15,MATCH($A9,Engine!$A$2:$A$15,0)),1000)</f>
        <v>1037.8197114720938</v>
      </c>
      <c r="C9">
        <f>IFERROR(INDEX(Engine!$C$2:$C$15,MATCH($A9,Engine!$A$2:$A$15,0)),"")</f>
        <v>1083.8528433389447</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70.963210834736174</v>
      </c>
      <c r="AB9">
        <f t="shared" ca="1" si="13"/>
        <v>58.155545837281828</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1077.1790126628191</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3.8571428571428572</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At risk</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69.294753165704776</v>
      </c>
      <c r="AB10">
        <f t="shared" ca="1" si="13"/>
        <v>41.417551306066358</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973.19705992757201</v>
      </c>
    </row>
    <row r="11" spans="1:35" ht="15" customHeight="1" x14ac:dyDescent="0.2">
      <c r="A11" t="s">
        <v>137</v>
      </c>
      <c r="B11">
        <f>IFERROR(INDEX(Engine!$B$2:$B$15,MATCH($A11,Engine!$A$2:$A$15,0)),1000)</f>
        <v>1093.6015451357737</v>
      </c>
      <c r="C11">
        <f>IFERROR(INDEX(Engine!$C$2:$C$15,MATCH($A11,Engine!$A$2:$A$15,0)),"")</f>
        <v>1096.5804830571178</v>
      </c>
      <c r="D11">
        <f t="shared" si="0"/>
        <v>4</v>
      </c>
      <c r="E11">
        <f t="shared" si="1"/>
        <v>148.10139118927964</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LWLLW</v>
      </c>
      <c r="J11">
        <f>IFERROR(LOOKUP(2,1/(('Match Log'!$D$4:$D$810=$A11)*('Match Log'!$B$4:$B$810&lt;=$B$3)),'Match Log'!$N$4:$N$810),1000)</f>
        <v>1093.6015451357737</v>
      </c>
      <c r="K11">
        <f t="shared" si="3"/>
        <v>4</v>
      </c>
      <c r="L11">
        <f t="shared" si="4"/>
        <v>0</v>
      </c>
      <c r="M11">
        <f t="shared" si="5"/>
        <v>0</v>
      </c>
      <c r="N11">
        <f t="shared" si="6"/>
        <v>2</v>
      </c>
      <c r="O11">
        <f t="shared" si="7"/>
        <v>1</v>
      </c>
      <c r="P11">
        <f>IFERROR(SUMPRODUCT(MAX(('Match Log'!$D$4:$D$810=$A11)*'Match Log'!$B$4:$B$810)),0)</f>
        <v>46229</v>
      </c>
      <c r="Q11">
        <f t="shared" ca="1" si="8"/>
        <v>1.7142857142857142</v>
      </c>
      <c r="R11">
        <f ca="1">IF($P11=0,0,IF($Q11&gt;='Guide &amp; Settings'!$C$48,(INT($Q11-'Guide &amp; Settings'!$C$48)+1)*'Guide &amp; Settings'!$C$49,0))</f>
        <v>0</v>
      </c>
      <c r="S11">
        <f ca="1">$B11-$R11-$U11+SUMIF('Poker Stake Ledger'!$C$18:$C$137,$A11,'Poker Stake Ledger'!$K$18:$K$137)</f>
        <v>1115.3515451357737</v>
      </c>
      <c r="T11" t="str">
        <f ca="1">IF($P11=0,"No games",IF($Q11&gt;='Guide &amp; Settings'!$C$48,"Inactive",IF($Q11&gt;='Guide &amp; Settings'!$C$47,"At risk","Active")))</f>
        <v>Active</v>
      </c>
      <c r="U11">
        <f>SUMIF('Match Log'!$D$4:$D$810,$A11,'Match Log'!$AC$4:$AC$810)</f>
        <v>0</v>
      </c>
      <c r="V11">
        <f t="shared" si="9"/>
        <v>0</v>
      </c>
      <c r="W11">
        <f t="shared" ca="1" si="10"/>
        <v>78.837886283943419</v>
      </c>
      <c r="X11">
        <f ca="1">IFERROR(INDEX(Dashboard!$G$5:$G$18,MATCH($A11,Dashboard!$B$5:$B$18,0))*100,0)</f>
        <v>57.894736842105267</v>
      </c>
      <c r="Y11">
        <f ca="1">MIN(100,IFERROR(INDEX(Dashboard!$K$5:$K$18,MATCH($A11,Dashboard!$B$5:$B$18,0)),0)/5*50+$AC11/4*50)</f>
        <v>100</v>
      </c>
      <c r="Z11">
        <f t="shared" si="11"/>
        <v>40</v>
      </c>
      <c r="AA11">
        <f t="shared" si="12"/>
        <v>74.145120764279454</v>
      </c>
      <c r="AB11">
        <f t="shared" ca="1" si="13"/>
        <v>72.586719644229191</v>
      </c>
      <c r="AC11">
        <f>IFERROR(SUMPRODUCT((INDEX('Sport Records'!$B$8:$O$26,0,MATCH($A11,'Sport Records'!$B$7:$O$7,0))&gt;=2)*(INDEX('Sport Records'!$B$58:$O$76,0,MATCH($A11,'Sport Records'!$B$57:$O$57,0))&gt;=0.5)),0)</f>
        <v>3</v>
      </c>
      <c r="AD11">
        <f ca="1">IFERROR(INDEX(Dashboard!$D$5:$D$18,MATCH($A11,Dashboard!$B$5:$B$18,0)),0)</f>
        <v>38</v>
      </c>
      <c r="AE11">
        <f ca="1">IFERROR(INDEX(Dashboard!$K$5:$K$18,MATCH($A11,Dashboard!$B$5:$B$18,0)),0)</f>
        <v>12</v>
      </c>
      <c r="AF11" t="str">
        <f t="shared" ca="1" si="14"/>
        <v>Elite</v>
      </c>
      <c r="AG11">
        <f ca="1">COUNTIFS('Match Log'!$D$4:$D$810,$A11,'Match Log'!$B$4:$B$810,"&gt;="&amp;$B$5)</f>
        <v>0</v>
      </c>
      <c r="AH11">
        <f ca="1">COUNTIFS('Match Log'!$D$4:$D$810,$A11,'Match Log'!$B$4:$B$810,"&gt;="&amp;$B$5,'Match Log'!$E$4:$E$810,"Win")</f>
        <v>0</v>
      </c>
      <c r="AI11">
        <f t="shared" ca="1" si="15"/>
        <v>1115.3515462357736</v>
      </c>
    </row>
    <row r="12" spans="1:35" ht="15" customHeight="1" x14ac:dyDescent="0.2">
      <c r="A12" t="s">
        <v>134</v>
      </c>
      <c r="B12">
        <f>IFERROR(INDEX(Engine!$B$2:$B$15,MATCH($A12,Engine!$A$2:$A$15,0)),1000)</f>
        <v>1125.3301927780342</v>
      </c>
      <c r="C12">
        <f>IFERROR(INDEX(Engine!$C$2:$C$15,MATCH($A12,Engine!$A$2:$A$15,0)),"")</f>
        <v>1077.2450214313078</v>
      </c>
      <c r="D12">
        <f t="shared" si="0"/>
        <v>3</v>
      </c>
      <c r="E12">
        <f t="shared" si="1"/>
        <v>116.37274354701913</v>
      </c>
      <c r="F12" t="str">
        <f>IFERROR(LOOKUP(2,1/('Match Log'!$D$4:$D$810=$A12),'Match Log'!$E$4:$E$810),"")</f>
        <v>Loss</v>
      </c>
      <c r="G12">
        <f>IF($F12="",0,SUMPRODUCT(('Match Log'!$D$4:$D$810=$A12)*(ROW('Match Log'!$A$4:$A$810)&gt;SUMPRODUCT(MAX(('Match Log'!$D$4:$D$810=$A12)*('Match Log'!$E$4:$E$810&lt;&gt;$F12)*ROW('Match Log'!$A$4:$A$810))))))</f>
        <v>2</v>
      </c>
      <c r="H12" t="str">
        <f t="shared" si="2"/>
        <v>L2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LWWLL</v>
      </c>
      <c r="J12">
        <f>IFERROR(LOOKUP(2,1/(('Match Log'!$D$4:$D$810=$A12)*('Match Log'!$B$4:$B$810&lt;=$B$3)),'Match Log'!$N$4:$N$810),1000)</f>
        <v>1156.6670987691946</v>
      </c>
      <c r="K12">
        <f t="shared" si="3"/>
        <v>2</v>
      </c>
      <c r="L12">
        <f t="shared" si="4"/>
        <v>-1</v>
      </c>
      <c r="M12">
        <f t="shared" si="5"/>
        <v>5</v>
      </c>
      <c r="N12">
        <f t="shared" si="6"/>
        <v>2</v>
      </c>
      <c r="O12">
        <f t="shared" si="7"/>
        <v>0</v>
      </c>
      <c r="P12">
        <f>IFERROR(SUMPRODUCT(MAX(('Match Log'!$D$4:$D$810=$A12)*'Match Log'!$B$4:$B$810)),0)</f>
        <v>46241</v>
      </c>
      <c r="Q12">
        <f t="shared" ca="1" si="8"/>
        <v>0</v>
      </c>
      <c r="R12">
        <f ca="1">IF($P12=0,0,IF($Q12&gt;='Guide &amp; Settings'!$C$48,(INT($Q12-'Guide &amp; Settings'!$C$48)+1)*'Guide &amp; Settings'!$C$49,0))</f>
        <v>0</v>
      </c>
      <c r="S12">
        <f ca="1">$B12-$R12-$U12+SUMIF('Poker Stake Ledger'!$C$18:$C$137,$A12,'Poker Stake Ledger'!$K$18:$K$137)</f>
        <v>1121.5801927780342</v>
      </c>
      <c r="T12" t="str">
        <f ca="1">IF($P12=0,"No games",IF($Q12&gt;='Guide &amp; Settings'!$C$48,"Inactive",IF($Q12&gt;='Guide &amp; Settings'!$C$47,"At risk","Active")))</f>
        <v>Active</v>
      </c>
      <c r="U12">
        <f>SUMIF('Match Log'!$D$4:$D$810,$A12,'Match Log'!$AC$4:$AC$810)</f>
        <v>0</v>
      </c>
      <c r="V12">
        <f t="shared" si="9"/>
        <v>2</v>
      </c>
      <c r="W12">
        <f t="shared" ca="1" si="10"/>
        <v>80.395048194508547</v>
      </c>
      <c r="X12">
        <f ca="1">IFERROR(INDEX(Dashboard!$G$5:$G$18,MATCH($A12,Dashboard!$B$5:$B$18,0))*100,0)</f>
        <v>46.153846153846153</v>
      </c>
      <c r="Y12">
        <f ca="1">MIN(100,IFERROR(INDEX(Dashboard!$K$5:$K$18,MATCH($A12,Dashboard!$B$5:$B$18,0)),0)/5*50+$AC12/4*50)</f>
        <v>100</v>
      </c>
      <c r="Z12">
        <f t="shared" si="11"/>
        <v>40</v>
      </c>
      <c r="AA12">
        <f t="shared" si="12"/>
        <v>69.311255357826951</v>
      </c>
      <c r="AB12">
        <f t="shared" ca="1" si="13"/>
        <v>70.300161634629916</v>
      </c>
      <c r="AC12">
        <f>IFERROR(SUMPRODUCT((INDEX('Sport Records'!$B$8:$O$26,0,MATCH($A12,'Sport Records'!$B$7:$O$7,0))&gt;=2)*(INDEX('Sport Records'!$B$58:$O$76,0,MATCH($A12,'Sport Records'!$B$57:$O$57,0))&gt;=0.5)),0)</f>
        <v>5</v>
      </c>
      <c r="AD12">
        <f ca="1">IFERROR(INDEX(Dashboard!$D$5:$D$18,MATCH($A12,Dashboard!$B$5:$B$18,0)),0)</f>
        <v>91</v>
      </c>
      <c r="AE12">
        <f ca="1">IFERROR(INDEX(Dashboard!$K$5:$K$18,MATCH($A12,Dashboard!$B$5:$B$18,0)),0)</f>
        <v>11</v>
      </c>
      <c r="AF12" t="str">
        <f t="shared" ca="1" si="14"/>
        <v>Strong</v>
      </c>
      <c r="AG12">
        <f ca="1">COUNTIFS('Match Log'!$D$4:$D$810,$A12,'Match Log'!$B$4:$B$810,"&gt;="&amp;$B$5)</f>
        <v>9</v>
      </c>
      <c r="AH12">
        <f ca="1">COUNTIFS('Match Log'!$D$4:$D$810,$A12,'Match Log'!$B$4:$B$810,"&gt;="&amp;$B$5,'Match Log'!$E$4:$E$810,"Win")</f>
        <v>4</v>
      </c>
      <c r="AI12">
        <f t="shared" ca="1" si="15"/>
        <v>1121.5801939780342</v>
      </c>
    </row>
    <row r="13" spans="1:35" ht="15" customHeight="1" x14ac:dyDescent="0.2">
      <c r="A13" t="s">
        <v>168</v>
      </c>
      <c r="B13">
        <f>IFERROR(INDEX(Engine!$B$2:$B$15,MATCH($A13,Engine!$A$2:$A$15,0)),1000)</f>
        <v>1050.2393073123574</v>
      </c>
      <c r="C13">
        <f>IFERROR(INDEX(Engine!$C$2:$C$15,MATCH($A13,Engine!$A$2:$A$15,0)),"")</f>
        <v>1065.1272438158262</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1.7142857142857142</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Active</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66.281810953956551</v>
      </c>
      <c r="AB13">
        <f t="shared" ca="1" si="13"/>
        <v>57.56230500903645</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1154.3708401956087</v>
      </c>
      <c r="C14">
        <f>IFERROR(INDEX(Engine!$C$2:$C$15,MATCH($A14,Engine!$A$2:$A$15,0)),"")</f>
        <v>1097.1084539801484</v>
      </c>
      <c r="D14">
        <f t="shared" si="0"/>
        <v>2</v>
      </c>
      <c r="E14">
        <f t="shared" si="1"/>
        <v>87.332096129444608</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WWLWW</v>
      </c>
      <c r="J14">
        <f>IFERROR(LOOKUP(2,1/(('Match Log'!$D$4:$D$810=$A14)*('Match Log'!$B$4:$B$810&lt;=$B$3)),'Match Log'!$N$4:$N$810),1000)</f>
        <v>1051.8710119667967</v>
      </c>
      <c r="K14">
        <f t="shared" si="3"/>
        <v>6</v>
      </c>
      <c r="L14">
        <f t="shared" si="4"/>
        <v>4</v>
      </c>
      <c r="M14">
        <f t="shared" si="5"/>
        <v>7</v>
      </c>
      <c r="N14">
        <f t="shared" si="6"/>
        <v>4</v>
      </c>
      <c r="O14">
        <f t="shared" si="7"/>
        <v>2</v>
      </c>
      <c r="P14">
        <f>IFERROR(SUMPRODUCT(MAX(('Match Log'!$D$4:$D$810=$A14)*'Match Log'!$B$4:$B$810)),0)</f>
        <v>46241</v>
      </c>
      <c r="Q14">
        <f t="shared" ca="1" si="8"/>
        <v>0</v>
      </c>
      <c r="R14">
        <f ca="1">IF($P14=0,0,IF($Q14&gt;='Guide &amp; Settings'!$C$48,(INT($Q14-'Guide &amp; Settings'!$C$48)+1)*'Guide &amp; Settings'!$C$49,0))</f>
        <v>0</v>
      </c>
      <c r="S14">
        <f ca="1">$B14-$R14-$U14+SUMIF('Poker Stake Ledger'!$C$18:$C$137,$A14,'Poker Stake Ledger'!$K$18:$K$137)</f>
        <v>1153.0208401956088</v>
      </c>
      <c r="T14" t="str">
        <f ca="1">IF($P14=0,"No games",IF($Q14&gt;='Guide &amp; Settings'!$C$48,"Inactive",IF($Q14&gt;='Guide &amp; Settings'!$C$47,"At risk","Active")))</f>
        <v>Active</v>
      </c>
      <c r="U14">
        <f>SUMIF('Match Log'!$D$4:$D$810,$A14,'Match Log'!$AC$4:$AC$810)</f>
        <v>0</v>
      </c>
      <c r="V14">
        <f t="shared" si="9"/>
        <v>0</v>
      </c>
      <c r="W14">
        <f t="shared" ca="1" si="10"/>
        <v>88.2552100489022</v>
      </c>
      <c r="X14">
        <f ca="1">IFERROR(INDEX(Dashboard!$G$5:$G$18,MATCH($A14,Dashboard!$B$5:$B$18,0))*100,0)</f>
        <v>46.05263157894737</v>
      </c>
      <c r="Y14">
        <f ca="1">MIN(100,IFERROR(INDEX(Dashboard!$K$5:$K$18,MATCH($A14,Dashboard!$B$5:$B$18,0)),0)/5*50+$AC14/4*50)</f>
        <v>100</v>
      </c>
      <c r="Z14">
        <f t="shared" si="11"/>
        <v>80</v>
      </c>
      <c r="AA14">
        <f t="shared" si="12"/>
        <v>74.277113495037099</v>
      </c>
      <c r="AB14">
        <f t="shared" ca="1" si="13"/>
        <v>79.527561182408959</v>
      </c>
      <c r="AC14">
        <f>IFERROR(SUMPRODUCT((INDEX('Sport Records'!$B$8:$O$26,0,MATCH($A14,'Sport Records'!$B$7:$O$7,0))&gt;=2)*(INDEX('Sport Records'!$B$58:$O$76,0,MATCH($A14,'Sport Records'!$B$57:$O$57,0))&gt;=0.5)),0)</f>
        <v>5</v>
      </c>
      <c r="AD14">
        <f ca="1">IFERROR(INDEX(Dashboard!$D$5:$D$18,MATCH($A14,Dashboard!$B$5:$B$18,0)),0)</f>
        <v>76</v>
      </c>
      <c r="AE14">
        <f ca="1">IFERROR(INDEX(Dashboard!$K$5:$K$18,MATCH($A14,Dashboard!$B$5:$B$18,0)),0)</f>
        <v>14</v>
      </c>
      <c r="AF14" t="str">
        <f t="shared" ca="1" si="14"/>
        <v>Elite</v>
      </c>
      <c r="AG14">
        <f ca="1">COUNTIFS('Match Log'!$D$4:$D$810,$A14,'Match Log'!$B$4:$B$810,"&gt;="&amp;$B$5)</f>
        <v>8</v>
      </c>
      <c r="AH14">
        <f ca="1">COUNTIFS('Match Log'!$D$4:$D$810,$A14,'Match Log'!$B$4:$B$810,"&gt;="&amp;$B$5,'Match Log'!$E$4:$E$810,"Win")</f>
        <v>5</v>
      </c>
      <c r="AI14">
        <f t="shared" ca="1" si="15"/>
        <v>1153.0208415956088</v>
      </c>
    </row>
    <row r="15" spans="1:35" ht="15" customHeight="1" x14ac:dyDescent="0.2">
      <c r="A15" t="s">
        <v>167</v>
      </c>
      <c r="B15">
        <f>IFERROR(INDEX(Engine!$B$2:$B$15,MATCH($A15,Engine!$A$2:$A$15,0)),1000)</f>
        <v>1241.7029363250533</v>
      </c>
      <c r="C15">
        <f>IFERROR(INDEX(Engine!$C$2:$C$15,MATCH($A15,Engine!$A$2:$A$15,0)),"")</f>
        <v>1088.9197834328434</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3.7142857142857144</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At risk</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72.22994585821084</v>
      </c>
      <c r="AB15">
        <f t="shared" ca="1" si="13"/>
        <v>85.516098034096956</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1241.7029378250534</v>
      </c>
    </row>
    <row r="16" spans="1:35" ht="15" customHeight="1" x14ac:dyDescent="0.2">
      <c r="A16" t="s">
        <v>175</v>
      </c>
      <c r="B16">
        <f>IFERROR(INDEX(Engine!$B$2:$B$15,MATCH($A16,Engine!$A$2:$A$15,0)),1000)</f>
        <v>862.22294373677494</v>
      </c>
      <c r="C16">
        <f>IFERROR(INDEX(Engine!$C$2:$C$15,MATCH($A16,Engine!$A$2:$A$15,0)),"")</f>
        <v>1073.3160154236314</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2.7142857142857144</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68.329003855907843</v>
      </c>
      <c r="AB16">
        <f t="shared" ca="1" si="13"/>
        <v>20.944074629225256</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1071.6582709895238</v>
      </c>
      <c r="C17">
        <f>IFERROR(INDEX(Engine!$C$2:$C$15,MATCH($A17,Engine!$A$2:$A$15,0)),"")</f>
        <v>1091.3883980956948</v>
      </c>
      <c r="D17">
        <f t="shared" si="0"/>
        <v>6</v>
      </c>
      <c r="E17">
        <f t="shared" si="1"/>
        <v>170.04466533552954</v>
      </c>
      <c r="F17" t="str">
        <f>IFERROR(LOOKUP(2,1/('Match Log'!$D$4:$D$810=$A17),'Match Log'!$E$4:$E$810),"")</f>
        <v>Loss</v>
      </c>
      <c r="G17">
        <f>IF($F17="",0,SUMPRODUCT(('Match Log'!$D$4:$D$810=$A17)*(ROW('Match Log'!$A$4:$A$810)&gt;SUMPRODUCT(MAX(('Match Log'!$D$4:$D$810=$A17)*('Match Log'!$E$4:$E$810&lt;&gt;$F17)*ROW('Match Log'!$A$4:$A$810))))))</f>
        <v>5</v>
      </c>
      <c r="H17" t="str">
        <f t="shared" si="2"/>
        <v>L5</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3</v>
      </c>
      <c r="L17">
        <f t="shared" si="4"/>
        <v>-3</v>
      </c>
      <c r="M17">
        <f t="shared" si="5"/>
        <v>4</v>
      </c>
      <c r="N17">
        <f t="shared" si="6"/>
        <v>0</v>
      </c>
      <c r="O17">
        <f t="shared" si="7"/>
        <v>0</v>
      </c>
      <c r="P17">
        <f>IFERROR(SUMPRODUCT(MAX(('Match Log'!$D$4:$D$810=$A17)*'Match Log'!$B$4:$B$810)),0)</f>
        <v>46241</v>
      </c>
      <c r="Q17">
        <f t="shared" ca="1" si="8"/>
        <v>0</v>
      </c>
      <c r="R17">
        <f ca="1">IF($P17=0,0,IF($Q17&gt;='Guide &amp; Settings'!$C$48,(INT($Q17-'Guide &amp; Settings'!$C$48)+1)*'Guide &amp; Settings'!$C$49,0))</f>
        <v>0</v>
      </c>
      <c r="S17">
        <f ca="1">$B17-$R17-$U17+SUMIF('Poker Stake Ledger'!$C$18:$C$137,$A17,'Poker Stake Ledger'!$K$18:$K$137)</f>
        <v>1071.6582709895238</v>
      </c>
      <c r="T17" t="str">
        <f ca="1">IF($P17=0,"No games",IF($Q17&gt;='Guide &amp; Settings'!$C$48,"Inactive",IF($Q17&gt;='Guide &amp; Settings'!$C$47,"At risk","Active")))</f>
        <v>Active</v>
      </c>
      <c r="U17">
        <f>SUMIF('Match Log'!$D$4:$D$810,$A17,'Match Log'!$AC$4:$AC$810)</f>
        <v>0</v>
      </c>
      <c r="V17">
        <f t="shared" si="9"/>
        <v>5</v>
      </c>
      <c r="W17">
        <f t="shared" ca="1" si="10"/>
        <v>67.914567747380943</v>
      </c>
      <c r="X17">
        <f ca="1">IFERROR(INDEX(Dashboard!$G$5:$G$18,MATCH($A17,Dashboard!$B$5:$B$18,0))*100,0)</f>
        <v>43.103448275862064</v>
      </c>
      <c r="Y17">
        <f ca="1">MIN(100,IFERROR(INDEX(Dashboard!$K$5:$K$18,MATCH($A17,Dashboard!$B$5:$B$18,0)),0)/5*50+$AC17/4*50)</f>
        <v>100</v>
      </c>
      <c r="Z17">
        <f t="shared" si="11"/>
        <v>0</v>
      </c>
      <c r="AA17">
        <f t="shared" si="12"/>
        <v>72.847099523923703</v>
      </c>
      <c r="AB17">
        <f t="shared" ca="1" si="13"/>
        <v>59.675498319148112</v>
      </c>
      <c r="AC17">
        <f>IFERROR(SUMPRODUCT((INDEX('Sport Records'!$B$8:$O$26,0,MATCH($A17,'Sport Records'!$B$7:$O$7,0))&gt;=2)*(INDEX('Sport Records'!$B$58:$O$76,0,MATCH($A17,'Sport Records'!$B$57:$O$57,0))&gt;=0.5)),0)</f>
        <v>2</v>
      </c>
      <c r="AD17">
        <f ca="1">IFERROR(INDEX(Dashboard!$D$5:$D$18,MATCH($A17,Dashboard!$B$5:$B$18,0)),0)</f>
        <v>58</v>
      </c>
      <c r="AE17">
        <f ca="1">IFERROR(INDEX(Dashboard!$K$5:$K$18,MATCH($A17,Dashboard!$B$5:$B$18,0)),0)</f>
        <v>9</v>
      </c>
      <c r="AF17" t="str">
        <f t="shared" ca="1" si="14"/>
        <v>Strong</v>
      </c>
      <c r="AG17">
        <f ca="1">COUNTIFS('Match Log'!$D$4:$D$810,$A17,'Match Log'!$B$4:$B$810,"&gt;="&amp;$B$5)</f>
        <v>4</v>
      </c>
      <c r="AH17">
        <f ca="1">COUNTIFS('Match Log'!$D$4:$D$810,$A17,'Match Log'!$B$4:$B$810,"&gt;="&amp;$B$5,'Match Log'!$E$4:$E$810,"Win")</f>
        <v>0</v>
      </c>
      <c r="AI17">
        <f t="shared" ca="1" si="15"/>
        <v>1071.6582726895238</v>
      </c>
    </row>
    <row r="18" spans="1:35" ht="15" customHeight="1" x14ac:dyDescent="0.2">
      <c r="A18" t="s">
        <v>171</v>
      </c>
      <c r="B18">
        <f>IFERROR(INDEX(Engine!$B$2:$B$15,MATCH($A18,Engine!$A$2:$A$15,0)),1000)</f>
        <v>1012.1303999492304</v>
      </c>
      <c r="C18">
        <f>IFERROR(INDEX(Engine!$C$2:$C$15,MATCH($A18,Engine!$A$2:$A$15,0)),"")</f>
        <v>1061.10305883673</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2.7142857142857144</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65.275764709182511</v>
      </c>
      <c r="AB18">
        <f t="shared" ca="1" si="13"/>
        <v>47.588986466475916</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1052.2126823944695</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5</v>
      </c>
      <c r="L19">
        <f t="shared" si="4"/>
        <v>0</v>
      </c>
      <c r="M19">
        <f t="shared" si="5"/>
        <v>0</v>
      </c>
      <c r="N19">
        <f t="shared" si="6"/>
        <v>4</v>
      </c>
      <c r="O19">
        <f t="shared" si="7"/>
        <v>2</v>
      </c>
      <c r="P19">
        <f>IFERROR(SUMPRODUCT(MAX(('Match Log'!$D$4:$D$810=$A19)*'Match Log'!$B$4:$B$810)),0)</f>
        <v>46222</v>
      </c>
      <c r="Q19">
        <f t="shared" ca="1" si="8"/>
        <v>2.7142857142857144</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63.053170598617385</v>
      </c>
      <c r="AB19">
        <f t="shared" ca="1" si="13"/>
        <v>67.172170941006897</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f t="shared" ca="1" si="30"/>
        <v>0.40679474418604655</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f t="shared" ca="1" si="30"/>
        <v>-0.29430064705882358</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f t="shared" ca="1" si="30"/>
        <v>-0.34501158620689659</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f t="shared" ref="Y209:Y272" ca="1" si="33">IF(AND($B209&lt;&gt;"",$B209&gt;=$B$5,$I209&lt;&gt;""),$I209,"")</f>
        <v>0.38912797709923674</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f t="shared" ca="1" si="33"/>
        <v>0.29981400000000002</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1097.9639313361192</v>
      </c>
      <c r="D2">
        <f>$B$2</f>
        <v>1009.8261046694705</v>
      </c>
      <c r="E2">
        <f>$B$3</f>
        <v>1029.5175965335138</v>
      </c>
      <c r="F2">
        <f>$B$4</f>
        <v>1037.8197114720938</v>
      </c>
      <c r="G2">
        <f>$B$5</f>
        <v>973.19705892757202</v>
      </c>
      <c r="H2">
        <f>$B$6</f>
        <v>1093.6015451357737</v>
      </c>
      <c r="I2">
        <f>$B$7</f>
        <v>1125.3301927780342</v>
      </c>
      <c r="J2">
        <f>$B$8</f>
        <v>1050.2393073123574</v>
      </c>
      <c r="K2">
        <f>$B$9</f>
        <v>1154.3708401956087</v>
      </c>
      <c r="L2">
        <f>$B$10</f>
        <v>1241.7029363250533</v>
      </c>
      <c r="M2">
        <f>$B$11</f>
        <v>862.22294373677494</v>
      </c>
      <c r="N2">
        <f>$B$12</f>
        <v>1071.6582709895238</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1071.6104021817407</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1083.8528433389447</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1077.1790126628191</v>
      </c>
    </row>
    <row r="6" spans="1:17" ht="15" customHeight="1" x14ac:dyDescent="0.2">
      <c r="A6" t="s">
        <v>137</v>
      </c>
      <c r="B6">
        <f>IF(COUNTIF('Match Log'!$D$4:$D$810,$A6)=0,'Guide &amp; Settings'!$C$41,IFERROR(LOOKUP(2,1/('Match Log'!$D$4:$D$810=$A6),'Match Log'!$N$4:$N$810),'Guide &amp; Settings'!$C$41))</f>
        <v>1093.6015451357737</v>
      </c>
      <c r="C6">
        <f>IFERROR(SUMPRODUCT(INDEX('Head-to-Head'!$B$22:$O$35,5,0),$D$2:$Q$2)/SUM(INDEX('Head-to-Head'!$B$22:$O$35,5,0)),"")</f>
        <v>1096.5804830571178</v>
      </c>
    </row>
    <row r="7" spans="1:17" ht="15" customHeight="1" x14ac:dyDescent="0.2">
      <c r="A7" t="s">
        <v>134</v>
      </c>
      <c r="B7">
        <f>IF(COUNTIF('Match Log'!$D$4:$D$810,$A7)=0,'Guide &amp; Settings'!$C$41,IFERROR(LOOKUP(2,1/('Match Log'!$D$4:$D$810=$A7),'Match Log'!$N$4:$N$810),'Guide &amp; Settings'!$C$41))</f>
        <v>1125.3301927780342</v>
      </c>
      <c r="C7">
        <f>IFERROR(SUMPRODUCT(INDEX('Head-to-Head'!$B$22:$O$35,6,0),$D$2:$Q$2)/SUM(INDEX('Head-to-Head'!$B$22:$O$35,6,0)),"")</f>
        <v>1077.2450214313078</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1065.1272438158262</v>
      </c>
    </row>
    <row r="9" spans="1:17" ht="15" customHeight="1" x14ac:dyDescent="0.2">
      <c r="A9" t="s">
        <v>170</v>
      </c>
      <c r="B9">
        <f>IF(COUNTIF('Match Log'!$D$4:$D$810,$A9)=0,'Guide &amp; Settings'!$C$41,IFERROR(LOOKUP(2,1/('Match Log'!$D$4:$D$810=$A9),'Match Log'!$N$4:$N$810),'Guide &amp; Settings'!$C$41))</f>
        <v>1154.3708401956087</v>
      </c>
      <c r="C9">
        <f>IFERROR(SUMPRODUCT(INDEX('Head-to-Head'!$B$22:$O$35,8,0),$D$2:$Q$2)/SUM(INDEX('Head-to-Head'!$B$22:$O$35,8,0)),"")</f>
        <v>1097.1084539801484</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1088.9197834328434</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1073.3160154236314</v>
      </c>
    </row>
    <row r="12" spans="1:17" ht="15" customHeight="1" x14ac:dyDescent="0.2">
      <c r="A12" t="s">
        <v>169</v>
      </c>
      <c r="B12">
        <f>IF(COUNTIF('Match Log'!$D$4:$D$810,$A12)=0,'Guide &amp; Settings'!$C$41,IFERROR(LOOKUP(2,1/('Match Log'!$D$4:$D$810=$A12),'Match Log'!$N$4:$N$810),'Guide &amp; Settings'!$C$41))</f>
        <v>1071.6582709895238</v>
      </c>
      <c r="C12">
        <f>IFERROR(SUMPRODUCT(INDEX('Head-to-Head'!$B$22:$O$35,11,0),$D$2:$Q$2)/SUM(INDEX('Head-to-Head'!$B$22:$O$35,11,0)),"")</f>
        <v>1091.3883980956948</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1061.10305883673</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1052.2126823944695</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2026-08-07T09:59:05Z</dcterms:modified>
  <dc:language>en-US</dc:language>
</cp:coreProperties>
</file>