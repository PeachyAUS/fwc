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C963678D-DF65-9547-9273-972313E7B358}" xr6:coauthVersionLast="47" xr6:coauthVersionMax="47" xr10:uidLastSave="{00000000-0000-0000-0000-000000000000}"/>
  <bookViews>
    <workbookView xWindow="0" yWindow="660" windowWidth="34560" windowHeight="20960" tabRatio="500" activeTab="11"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54" i="11" l="1"/>
  <c r="P54" i="11"/>
  <c r="R54" i="11" s="1"/>
  <c r="A54" i="11"/>
  <c r="F28" i="5"/>
  <c r="E28" i="5"/>
  <c r="H28" i="5" s="1"/>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W314" i="13"/>
  <c r="V314" i="13"/>
  <c r="U314" i="13"/>
  <c r="T314" i="13"/>
  <c r="S314" i="13"/>
  <c r="R314" i="13"/>
  <c r="Q314" i="13"/>
  <c r="P314" i="13"/>
  <c r="O314" i="13"/>
  <c r="N314" i="13"/>
  <c r="M314" i="13"/>
  <c r="L314" i="13"/>
  <c r="K314" i="13"/>
  <c r="F314" i="13"/>
  <c r="E314" i="13"/>
  <c r="H314" i="13" s="1" a="1"/>
  <c r="H314" i="13" s="1"/>
  <c r="D314" i="13" a="1"/>
  <c r="D314" i="13" s="1"/>
  <c r="G314" i="13" s="1"/>
  <c r="I314" i="13" s="1"/>
  <c r="C314" i="13"/>
  <c r="B314" i="13"/>
  <c r="X313" i="13"/>
  <c r="W313" i="13"/>
  <c r="V313" i="13"/>
  <c r="U313" i="13"/>
  <c r="T313" i="13"/>
  <c r="S313" i="13"/>
  <c r="R313" i="13"/>
  <c r="Q313" i="13"/>
  <c r="P313" i="13"/>
  <c r="O313" i="13"/>
  <c r="N313" i="13"/>
  <c r="M313" i="13"/>
  <c r="L313" i="13"/>
  <c r="K313" i="13"/>
  <c r="F313" i="13"/>
  <c r="E313" i="13"/>
  <c r="H313" i="13" s="1" a="1"/>
  <c r="H313" i="13" s="1"/>
  <c r="D313" i="13" a="1"/>
  <c r="D313" i="13" s="1"/>
  <c r="G313" i="13" s="1"/>
  <c r="I313" i="13" s="1"/>
  <c r="C313" i="13"/>
  <c r="B313" i="13"/>
  <c r="X312" i="13"/>
  <c r="W312" i="13"/>
  <c r="V312" i="13"/>
  <c r="U312" i="13"/>
  <c r="T312" i="13"/>
  <c r="S312" i="13"/>
  <c r="R312" i="13"/>
  <c r="Q312" i="13"/>
  <c r="P312" i="13"/>
  <c r="O312" i="13"/>
  <c r="N312" i="13"/>
  <c r="M312" i="13"/>
  <c r="L312" i="13"/>
  <c r="K312" i="13"/>
  <c r="F312" i="13"/>
  <c r="E312" i="13"/>
  <c r="H312" i="13" s="1" a="1"/>
  <c r="H312" i="13" s="1"/>
  <c r="D312" i="13" a="1"/>
  <c r="D312" i="13" s="1"/>
  <c r="G312" i="13" s="1"/>
  <c r="I312" i="13" s="1"/>
  <c r="C312" i="13"/>
  <c r="B312" i="13"/>
  <c r="X311" i="13"/>
  <c r="W311" i="13"/>
  <c r="V311" i="13"/>
  <c r="U311" i="13"/>
  <c r="T311" i="13"/>
  <c r="S311" i="13"/>
  <c r="R311" i="13"/>
  <c r="Q311" i="13"/>
  <c r="P311" i="13"/>
  <c r="O311" i="13"/>
  <c r="N311" i="13"/>
  <c r="M311" i="13"/>
  <c r="L311" i="13"/>
  <c r="K311" i="13"/>
  <c r="F311" i="13"/>
  <c r="E311" i="13"/>
  <c r="H311" i="13" s="1" a="1"/>
  <c r="H311" i="13" s="1"/>
  <c r="D311" i="13" a="1"/>
  <c r="D311" i="13" s="1"/>
  <c r="G311" i="13" s="1"/>
  <c r="I311" i="13" s="1"/>
  <c r="C311" i="13"/>
  <c r="B311" i="13"/>
  <c r="X310" i="13"/>
  <c r="W310" i="13"/>
  <c r="V310" i="13"/>
  <c r="U310" i="13"/>
  <c r="T310" i="13"/>
  <c r="S310" i="13"/>
  <c r="R310" i="13"/>
  <c r="Q310" i="13"/>
  <c r="P310" i="13"/>
  <c r="O310" i="13"/>
  <c r="N310" i="13"/>
  <c r="M310" i="13"/>
  <c r="L310" i="13"/>
  <c r="K310" i="13"/>
  <c r="F310" i="13"/>
  <c r="E310" i="13"/>
  <c r="H310" i="13" s="1" a="1"/>
  <c r="H310" i="13" s="1"/>
  <c r="D310" i="13" a="1"/>
  <c r="D310" i="13" s="1"/>
  <c r="G310" i="13" s="1"/>
  <c r="I310" i="13" s="1"/>
  <c r="C310" i="13"/>
  <c r="B310" i="13"/>
  <c r="X309" i="13"/>
  <c r="W309" i="13"/>
  <c r="V309" i="13"/>
  <c r="U309" i="13"/>
  <c r="T309" i="13"/>
  <c r="S309" i="13"/>
  <c r="R309" i="13"/>
  <c r="Q309" i="13"/>
  <c r="P309" i="13"/>
  <c r="O309" i="13"/>
  <c r="N309" i="13"/>
  <c r="M309" i="13"/>
  <c r="L309" i="13"/>
  <c r="K309" i="13"/>
  <c r="F309" i="13"/>
  <c r="E309" i="13"/>
  <c r="H309" i="13" s="1" a="1"/>
  <c r="H309" i="13" s="1"/>
  <c r="D309" i="13" a="1"/>
  <c r="D309" i="13" s="1"/>
  <c r="G309" i="13" s="1"/>
  <c r="I309" i="13" s="1"/>
  <c r="C309" i="13"/>
  <c r="B309" i="13"/>
  <c r="X308" i="13"/>
  <c r="W308" i="13"/>
  <c r="V308" i="13"/>
  <c r="U308" i="13"/>
  <c r="T308" i="13"/>
  <c r="S308" i="13"/>
  <c r="R308" i="13"/>
  <c r="Q308" i="13"/>
  <c r="P308" i="13"/>
  <c r="O308" i="13"/>
  <c r="N308" i="13"/>
  <c r="M308" i="13"/>
  <c r="L308" i="13"/>
  <c r="K308" i="13"/>
  <c r="F308" i="13"/>
  <c r="E308" i="13"/>
  <c r="H308" i="13" s="1" a="1"/>
  <c r="H308" i="13" s="1"/>
  <c r="D308" i="13" a="1"/>
  <c r="D308" i="13" s="1"/>
  <c r="G308" i="13" s="1"/>
  <c r="I308" i="13" s="1"/>
  <c r="C308" i="13"/>
  <c r="B308" i="13"/>
  <c r="X307" i="13"/>
  <c r="W307" i="13"/>
  <c r="V307" i="13"/>
  <c r="U307" i="13"/>
  <c r="T307" i="13"/>
  <c r="S307" i="13"/>
  <c r="R307" i="13"/>
  <c r="Q307" i="13"/>
  <c r="P307" i="13"/>
  <c r="O307" i="13"/>
  <c r="N307" i="13"/>
  <c r="M307" i="13"/>
  <c r="L307" i="13"/>
  <c r="K307" i="13"/>
  <c r="F307" i="13"/>
  <c r="E307" i="13"/>
  <c r="H307" i="13" s="1" a="1"/>
  <c r="H307" i="13" s="1"/>
  <c r="D307" i="13" a="1"/>
  <c r="D307" i="13" s="1"/>
  <c r="G307" i="13" s="1"/>
  <c r="I307" i="13" s="1"/>
  <c r="C307" i="13"/>
  <c r="B307" i="13"/>
  <c r="X306" i="13"/>
  <c r="W306" i="13"/>
  <c r="V306" i="13"/>
  <c r="U306" i="13"/>
  <c r="T306" i="13"/>
  <c r="S306" i="13"/>
  <c r="R306" i="13"/>
  <c r="Q306" i="13"/>
  <c r="P306" i="13"/>
  <c r="O306" i="13"/>
  <c r="N306" i="13"/>
  <c r="M306" i="13"/>
  <c r="L306" i="13"/>
  <c r="K306" i="13"/>
  <c r="F306" i="13"/>
  <c r="E306" i="13"/>
  <c r="H306" i="13" s="1" a="1"/>
  <c r="H306" i="13" s="1"/>
  <c r="D306" i="13" a="1"/>
  <c r="D306" i="13" s="1"/>
  <c r="G306" i="13" s="1"/>
  <c r="I306" i="13" s="1"/>
  <c r="C306" i="13"/>
  <c r="B306" i="13"/>
  <c r="X305" i="13"/>
  <c r="W305" i="13"/>
  <c r="V305" i="13"/>
  <c r="U305" i="13"/>
  <c r="T305" i="13"/>
  <c r="S305" i="13"/>
  <c r="R305" i="13"/>
  <c r="Q305" i="13"/>
  <c r="P305" i="13"/>
  <c r="O305" i="13"/>
  <c r="N305" i="13"/>
  <c r="M305" i="13"/>
  <c r="L305" i="13"/>
  <c r="K305" i="13"/>
  <c r="F305" i="13"/>
  <c r="E305" i="13"/>
  <c r="H305" i="13" s="1" a="1"/>
  <c r="H305" i="13" s="1"/>
  <c r="D305" i="13" a="1"/>
  <c r="D305" i="13" s="1"/>
  <c r="G305" i="13" s="1"/>
  <c r="I305" i="13" s="1"/>
  <c r="C305" i="13"/>
  <c r="B305" i="13"/>
  <c r="X304" i="13"/>
  <c r="W304" i="13"/>
  <c r="V304" i="13"/>
  <c r="U304" i="13"/>
  <c r="T304" i="13"/>
  <c r="S304" i="13"/>
  <c r="R304" i="13"/>
  <c r="Q304" i="13"/>
  <c r="P304" i="13"/>
  <c r="O304" i="13"/>
  <c r="N304" i="13"/>
  <c r="M304" i="13"/>
  <c r="L304" i="13"/>
  <c r="K304" i="13"/>
  <c r="F304" i="13"/>
  <c r="E304" i="13"/>
  <c r="H304" i="13" s="1" a="1"/>
  <c r="H304" i="13" s="1"/>
  <c r="D304" i="13" a="1"/>
  <c r="D304" i="13" s="1"/>
  <c r="G304" i="13" s="1"/>
  <c r="I304" i="13" s="1"/>
  <c r="C304" i="13"/>
  <c r="B304" i="13"/>
  <c r="X303" i="13"/>
  <c r="W303" i="13"/>
  <c r="V303" i="13"/>
  <c r="U303" i="13"/>
  <c r="T303" i="13"/>
  <c r="S303" i="13"/>
  <c r="R303" i="13"/>
  <c r="Q303" i="13"/>
  <c r="P303" i="13"/>
  <c r="O303" i="13"/>
  <c r="N303" i="13"/>
  <c r="M303" i="13"/>
  <c r="L303" i="13"/>
  <c r="K303" i="13"/>
  <c r="F303" i="13"/>
  <c r="E303" i="13"/>
  <c r="H303" i="13" s="1" a="1"/>
  <c r="H303" i="13" s="1"/>
  <c r="D303" i="13" a="1"/>
  <c r="D303" i="13" s="1"/>
  <c r="G303" i="13" s="1"/>
  <c r="I303" i="13" s="1"/>
  <c r="C303" i="13"/>
  <c r="B303" i="13"/>
  <c r="X302" i="13"/>
  <c r="W302" i="13"/>
  <c r="V302" i="13"/>
  <c r="U302" i="13"/>
  <c r="T302" i="13"/>
  <c r="S302" i="13"/>
  <c r="R302" i="13"/>
  <c r="Q302" i="13"/>
  <c r="P302" i="13"/>
  <c r="O302" i="13"/>
  <c r="N302" i="13"/>
  <c r="M302" i="13"/>
  <c r="L302" i="13"/>
  <c r="K302" i="13"/>
  <c r="F302" i="13"/>
  <c r="E302" i="13"/>
  <c r="H302" i="13" s="1" a="1"/>
  <c r="H302" i="13" s="1"/>
  <c r="D302" i="13" a="1"/>
  <c r="D302" i="13" s="1"/>
  <c r="G302" i="13" s="1"/>
  <c r="I302" i="13" s="1"/>
  <c r="C302" i="13"/>
  <c r="B302" i="13"/>
  <c r="X301" i="13"/>
  <c r="W301" i="13"/>
  <c r="V301" i="13"/>
  <c r="U301" i="13"/>
  <c r="T301" i="13"/>
  <c r="S301" i="13"/>
  <c r="R301" i="13"/>
  <c r="Q301" i="13"/>
  <c r="P301" i="13"/>
  <c r="O301" i="13"/>
  <c r="N301" i="13"/>
  <c r="M301" i="13"/>
  <c r="L301" i="13"/>
  <c r="K301" i="13"/>
  <c r="F301" i="13"/>
  <c r="E301" i="13"/>
  <c r="H301" i="13" s="1" a="1"/>
  <c r="H301" i="13" s="1"/>
  <c r="D301" i="13" a="1"/>
  <c r="D301" i="13" s="1"/>
  <c r="G301" i="13" s="1"/>
  <c r="I301" i="13" s="1"/>
  <c r="C301" i="13"/>
  <c r="B301" i="13"/>
  <c r="X300" i="13"/>
  <c r="W300" i="13"/>
  <c r="V300" i="13"/>
  <c r="U300" i="13"/>
  <c r="T300" i="13"/>
  <c r="S300" i="13"/>
  <c r="R300" i="13"/>
  <c r="Q300" i="13"/>
  <c r="P300" i="13"/>
  <c r="O300" i="13"/>
  <c r="N300" i="13"/>
  <c r="M300" i="13"/>
  <c r="L300" i="13"/>
  <c r="K300" i="13"/>
  <c r="F300" i="13"/>
  <c r="E300" i="13"/>
  <c r="H300" i="13" s="1" a="1"/>
  <c r="H300" i="13" s="1"/>
  <c r="D300" i="13" a="1"/>
  <c r="D300" i="13" s="1"/>
  <c r="G300" i="13" s="1"/>
  <c r="I300" i="13" s="1"/>
  <c r="C300" i="13"/>
  <c r="B300" i="13"/>
  <c r="X299" i="13"/>
  <c r="W299" i="13"/>
  <c r="V299" i="13"/>
  <c r="U299" i="13"/>
  <c r="T299" i="13"/>
  <c r="S299" i="13"/>
  <c r="R299" i="13"/>
  <c r="Q299" i="13"/>
  <c r="P299" i="13"/>
  <c r="O299" i="13"/>
  <c r="N299" i="13"/>
  <c r="M299" i="13"/>
  <c r="L299" i="13"/>
  <c r="K299" i="13"/>
  <c r="F299" i="13"/>
  <c r="E299" i="13"/>
  <c r="H299" i="13" s="1" a="1"/>
  <c r="H299" i="13" s="1"/>
  <c r="D299" i="13" a="1"/>
  <c r="D299" i="13" s="1"/>
  <c r="G299" i="13" s="1"/>
  <c r="I299" i="13" s="1"/>
  <c r="C299" i="13"/>
  <c r="B299" i="13"/>
  <c r="X298" i="13"/>
  <c r="W298" i="13"/>
  <c r="V298" i="13"/>
  <c r="U298" i="13"/>
  <c r="T298" i="13"/>
  <c r="S298" i="13"/>
  <c r="R298" i="13"/>
  <c r="Q298" i="13"/>
  <c r="P298" i="13"/>
  <c r="O298" i="13"/>
  <c r="N298" i="13"/>
  <c r="M298" i="13"/>
  <c r="L298" i="13"/>
  <c r="K298" i="13"/>
  <c r="F298" i="13"/>
  <c r="E298" i="13"/>
  <c r="H298" i="13" s="1" a="1"/>
  <c r="H298" i="13" s="1"/>
  <c r="D298" i="13" a="1"/>
  <c r="D298" i="13" s="1"/>
  <c r="G298" i="13" s="1"/>
  <c r="I298" i="13" s="1"/>
  <c r="C298" i="13"/>
  <c r="B298" i="13"/>
  <c r="X297" i="13"/>
  <c r="W297" i="13"/>
  <c r="V297" i="13"/>
  <c r="U297" i="13"/>
  <c r="T297" i="13"/>
  <c r="S297" i="13"/>
  <c r="R297" i="13"/>
  <c r="Q297" i="13"/>
  <c r="P297" i="13"/>
  <c r="O297" i="13"/>
  <c r="N297" i="13"/>
  <c r="M297" i="13"/>
  <c r="L297" i="13"/>
  <c r="K297" i="13"/>
  <c r="F297" i="13"/>
  <c r="E297" i="13"/>
  <c r="H297" i="13" s="1" a="1"/>
  <c r="H297" i="13" s="1"/>
  <c r="D297" i="13" a="1"/>
  <c r="D297" i="13" s="1"/>
  <c r="G297" i="13" s="1"/>
  <c r="I297" i="13" s="1"/>
  <c r="C297" i="13"/>
  <c r="B297" i="13"/>
  <c r="X296" i="13"/>
  <c r="W296" i="13"/>
  <c r="V296" i="13"/>
  <c r="U296" i="13"/>
  <c r="T296" i="13"/>
  <c r="S296" i="13"/>
  <c r="R296" i="13"/>
  <c r="Q296" i="13"/>
  <c r="P296" i="13"/>
  <c r="O296" i="13"/>
  <c r="N296" i="13"/>
  <c r="M296" i="13"/>
  <c r="L296" i="13"/>
  <c r="K296" i="13"/>
  <c r="F296" i="13"/>
  <c r="E296" i="13"/>
  <c r="H296" i="13" s="1" a="1"/>
  <c r="H296" i="13" s="1"/>
  <c r="D296" i="13" a="1"/>
  <c r="D296" i="13" s="1"/>
  <c r="G296" i="13" s="1"/>
  <c r="I296" i="13" s="1"/>
  <c r="C296" i="13"/>
  <c r="B296" i="13"/>
  <c r="X295" i="13"/>
  <c r="W295" i="13"/>
  <c r="V295" i="13"/>
  <c r="U295" i="13"/>
  <c r="T295" i="13"/>
  <c r="S295" i="13"/>
  <c r="R295" i="13"/>
  <c r="Q295" i="13"/>
  <c r="P295" i="13"/>
  <c r="O295" i="13"/>
  <c r="N295" i="13"/>
  <c r="M295" i="13"/>
  <c r="L295" i="13"/>
  <c r="K295" i="13"/>
  <c r="F295" i="13"/>
  <c r="E295" i="13"/>
  <c r="H295" i="13" s="1" a="1"/>
  <c r="H295" i="13" s="1"/>
  <c r="D295" i="13" a="1"/>
  <c r="D295" i="13" s="1"/>
  <c r="G295" i="13" s="1"/>
  <c r="I295" i="13" s="1"/>
  <c r="C295" i="13"/>
  <c r="B295" i="13"/>
  <c r="X294" i="13"/>
  <c r="W294" i="13"/>
  <c r="V294" i="13"/>
  <c r="U294" i="13"/>
  <c r="T294" i="13"/>
  <c r="S294" i="13"/>
  <c r="R294" i="13"/>
  <c r="Q294" i="13"/>
  <c r="P294" i="13"/>
  <c r="O294" i="13"/>
  <c r="N294" i="13"/>
  <c r="M294" i="13"/>
  <c r="L294" i="13"/>
  <c r="K294" i="13"/>
  <c r="F294" i="13"/>
  <c r="E294" i="13"/>
  <c r="H294" i="13" s="1" a="1"/>
  <c r="H294" i="13" s="1"/>
  <c r="D294" i="13" a="1"/>
  <c r="D294" i="13" s="1"/>
  <c r="G294" i="13" s="1"/>
  <c r="I294" i="13" s="1"/>
  <c r="C294" i="13"/>
  <c r="B294" i="13"/>
  <c r="X293" i="13"/>
  <c r="W293" i="13"/>
  <c r="V293" i="13"/>
  <c r="U293" i="13"/>
  <c r="T293" i="13"/>
  <c r="S293" i="13"/>
  <c r="R293" i="13"/>
  <c r="Q293" i="13"/>
  <c r="P293" i="13"/>
  <c r="O293" i="13"/>
  <c r="N293" i="13"/>
  <c r="M293" i="13"/>
  <c r="L293" i="13"/>
  <c r="K293" i="13"/>
  <c r="F293" i="13"/>
  <c r="E293" i="13"/>
  <c r="H293" i="13" s="1" a="1"/>
  <c r="H293" i="13" s="1"/>
  <c r="D293" i="13" a="1"/>
  <c r="D293" i="13" s="1"/>
  <c r="G293" i="13" s="1"/>
  <c r="I293" i="13" s="1"/>
  <c r="C293" i="13"/>
  <c r="B293" i="13"/>
  <c r="X292" i="13"/>
  <c r="W292" i="13"/>
  <c r="V292" i="13"/>
  <c r="U292" i="13"/>
  <c r="T292" i="13"/>
  <c r="S292" i="13"/>
  <c r="R292" i="13"/>
  <c r="Q292" i="13"/>
  <c r="P292" i="13"/>
  <c r="O292" i="13"/>
  <c r="N292" i="13"/>
  <c r="M292" i="13"/>
  <c r="L292" i="13"/>
  <c r="K292" i="13"/>
  <c r="F292" i="13"/>
  <c r="E292" i="13"/>
  <c r="H292" i="13" s="1" a="1"/>
  <c r="H292" i="13" s="1"/>
  <c r="D292" i="13" a="1"/>
  <c r="D292" i="13" s="1"/>
  <c r="G292" i="13" s="1"/>
  <c r="I292" i="13" s="1"/>
  <c r="C292" i="13"/>
  <c r="B292" i="13"/>
  <c r="X291" i="13"/>
  <c r="W291" i="13"/>
  <c r="V291" i="13"/>
  <c r="U291" i="13"/>
  <c r="T291" i="13"/>
  <c r="S291" i="13"/>
  <c r="R291" i="13"/>
  <c r="Q291" i="13"/>
  <c r="P291" i="13"/>
  <c r="O291" i="13"/>
  <c r="N291" i="13"/>
  <c r="M291" i="13"/>
  <c r="L291" i="13"/>
  <c r="K291" i="13"/>
  <c r="F291" i="13"/>
  <c r="E291" i="13"/>
  <c r="H291" i="13" s="1" a="1"/>
  <c r="H291" i="13" s="1"/>
  <c r="D291" i="13" a="1"/>
  <c r="D291" i="13" s="1"/>
  <c r="G291" i="13" s="1"/>
  <c r="I291" i="13" s="1"/>
  <c r="C291" i="13"/>
  <c r="B291" i="13"/>
  <c r="X290" i="13"/>
  <c r="W290" i="13"/>
  <c r="V290" i="13"/>
  <c r="U290" i="13"/>
  <c r="T290" i="13"/>
  <c r="S290" i="13"/>
  <c r="R290" i="13"/>
  <c r="Q290" i="13"/>
  <c r="P290" i="13"/>
  <c r="O290" i="13"/>
  <c r="N290" i="13"/>
  <c r="M290" i="13"/>
  <c r="L290" i="13"/>
  <c r="K290" i="13"/>
  <c r="F290" i="13"/>
  <c r="E290" i="13"/>
  <c r="H290" i="13" s="1" a="1"/>
  <c r="H290" i="13" s="1"/>
  <c r="D290" i="13" a="1"/>
  <c r="D290" i="13" s="1"/>
  <c r="G290" i="13" s="1"/>
  <c r="I290" i="13" s="1"/>
  <c r="C290" i="13"/>
  <c r="B290" i="13"/>
  <c r="X289" i="13"/>
  <c r="W289" i="13"/>
  <c r="V289" i="13"/>
  <c r="U289" i="13"/>
  <c r="T289" i="13"/>
  <c r="S289" i="13"/>
  <c r="R289" i="13"/>
  <c r="Q289" i="13"/>
  <c r="P289" i="13"/>
  <c r="O289" i="13"/>
  <c r="N289" i="13"/>
  <c r="M289" i="13"/>
  <c r="L289" i="13"/>
  <c r="K289" i="13"/>
  <c r="F289" i="13"/>
  <c r="E289" i="13"/>
  <c r="H289" i="13" s="1" a="1"/>
  <c r="H289" i="13" s="1"/>
  <c r="D289" i="13" a="1"/>
  <c r="D289" i="13" s="1"/>
  <c r="G289" i="13" s="1"/>
  <c r="I289" i="13" s="1"/>
  <c r="C289" i="13"/>
  <c r="B289" i="13"/>
  <c r="X288" i="13"/>
  <c r="W288" i="13"/>
  <c r="V288" i="13"/>
  <c r="U288" i="13"/>
  <c r="T288" i="13"/>
  <c r="S288" i="13"/>
  <c r="R288" i="13"/>
  <c r="Q288" i="13"/>
  <c r="P288" i="13"/>
  <c r="O288" i="13"/>
  <c r="N288" i="13"/>
  <c r="M288" i="13"/>
  <c r="L288" i="13"/>
  <c r="K288" i="13"/>
  <c r="F288" i="13"/>
  <c r="E288" i="13"/>
  <c r="H288" i="13" s="1" a="1"/>
  <c r="H288" i="13" s="1"/>
  <c r="D288" i="13" a="1"/>
  <c r="D288" i="13" s="1"/>
  <c r="G288" i="13" s="1"/>
  <c r="I288" i="13" s="1"/>
  <c r="C288" i="13"/>
  <c r="B288" i="13"/>
  <c r="X287" i="13"/>
  <c r="W287" i="13"/>
  <c r="V287" i="13"/>
  <c r="U287" i="13"/>
  <c r="T287" i="13"/>
  <c r="S287" i="13"/>
  <c r="R287" i="13"/>
  <c r="Q287" i="13"/>
  <c r="P287" i="13"/>
  <c r="O287" i="13"/>
  <c r="N287" i="13"/>
  <c r="M287" i="13"/>
  <c r="L287" i="13"/>
  <c r="K287" i="13"/>
  <c r="F287" i="13"/>
  <c r="E287" i="13"/>
  <c r="H287" i="13" s="1" a="1"/>
  <c r="H287" i="13" s="1"/>
  <c r="D287" i="13" a="1"/>
  <c r="D287" i="13" s="1"/>
  <c r="G287" i="13" s="1"/>
  <c r="I287" i="13" s="1"/>
  <c r="C287" i="13"/>
  <c r="B287" i="13"/>
  <c r="X286" i="13"/>
  <c r="W286" i="13"/>
  <c r="V286" i="13"/>
  <c r="U286" i="13"/>
  <c r="T286" i="13"/>
  <c r="S286" i="13"/>
  <c r="R286" i="13"/>
  <c r="Q286" i="13"/>
  <c r="P286" i="13"/>
  <c r="O286" i="13"/>
  <c r="N286" i="13"/>
  <c r="M286" i="13"/>
  <c r="L286" i="13"/>
  <c r="K286" i="13"/>
  <c r="F286" i="13"/>
  <c r="E286" i="13"/>
  <c r="H286" i="13" s="1" a="1"/>
  <c r="H286" i="13" s="1"/>
  <c r="D286" i="13" a="1"/>
  <c r="D286" i="13" s="1"/>
  <c r="G286" i="13" s="1"/>
  <c r="I286" i="13" s="1"/>
  <c r="C286" i="13"/>
  <c r="B286" i="13"/>
  <c r="X285" i="13"/>
  <c r="W285" i="13"/>
  <c r="V285" i="13"/>
  <c r="U285" i="13"/>
  <c r="T285" i="13"/>
  <c r="S285" i="13"/>
  <c r="R285" i="13"/>
  <c r="Q285" i="13"/>
  <c r="P285" i="13"/>
  <c r="O285" i="13"/>
  <c r="N285" i="13"/>
  <c r="M285" i="13"/>
  <c r="L285" i="13"/>
  <c r="K285" i="13"/>
  <c r="F285" i="13"/>
  <c r="E285" i="13"/>
  <c r="H285" i="13" s="1" a="1"/>
  <c r="H285" i="13" s="1"/>
  <c r="D285" i="13" a="1"/>
  <c r="D285" i="13" s="1"/>
  <c r="G285" i="13" s="1"/>
  <c r="I285" i="13" s="1"/>
  <c r="C285" i="13"/>
  <c r="B285" i="13"/>
  <c r="X284" i="13"/>
  <c r="W284" i="13"/>
  <c r="V284" i="13"/>
  <c r="U284" i="13"/>
  <c r="T284" i="13"/>
  <c r="S284" i="13"/>
  <c r="R284" i="13"/>
  <c r="Q284" i="13"/>
  <c r="P284" i="13"/>
  <c r="O284" i="13"/>
  <c r="N284" i="13"/>
  <c r="M284" i="13"/>
  <c r="L284" i="13"/>
  <c r="K284" i="13"/>
  <c r="F284" i="13"/>
  <c r="E284" i="13"/>
  <c r="H284" i="13" s="1" a="1"/>
  <c r="H284" i="13" s="1"/>
  <c r="D284" i="13" a="1"/>
  <c r="D284" i="13" s="1"/>
  <c r="G284" i="13" s="1"/>
  <c r="I284" i="13" s="1"/>
  <c r="C284" i="13"/>
  <c r="B284" i="13"/>
  <c r="X283" i="13"/>
  <c r="W283" i="13"/>
  <c r="V283" i="13"/>
  <c r="U283" i="13"/>
  <c r="T283" i="13"/>
  <c r="S283" i="13"/>
  <c r="R283" i="13"/>
  <c r="Q283" i="13"/>
  <c r="P283" i="13"/>
  <c r="O283" i="13"/>
  <c r="N283" i="13"/>
  <c r="M283" i="13"/>
  <c r="L283" i="13"/>
  <c r="K283" i="13"/>
  <c r="F283" i="13"/>
  <c r="E283" i="13"/>
  <c r="H283" i="13" s="1" a="1"/>
  <c r="H283" i="13" s="1"/>
  <c r="D283" i="13" a="1"/>
  <c r="D283" i="13" s="1"/>
  <c r="G283" i="13" s="1"/>
  <c r="I283" i="13" s="1"/>
  <c r="C283" i="13"/>
  <c r="B283" i="13"/>
  <c r="X282" i="13"/>
  <c r="W282" i="13"/>
  <c r="V282" i="13"/>
  <c r="U282" i="13"/>
  <c r="T282" i="13"/>
  <c r="S282" i="13"/>
  <c r="R282" i="13"/>
  <c r="Q282" i="13"/>
  <c r="P282" i="13"/>
  <c r="O282" i="13"/>
  <c r="N282" i="13"/>
  <c r="M282" i="13"/>
  <c r="L282" i="13"/>
  <c r="K282" i="13"/>
  <c r="F282" i="13"/>
  <c r="E282" i="13"/>
  <c r="H282" i="13" s="1" a="1"/>
  <c r="H282" i="13" s="1"/>
  <c r="D282" i="13" a="1"/>
  <c r="D282" i="13" s="1"/>
  <c r="G282" i="13" s="1"/>
  <c r="I282" i="13" s="1"/>
  <c r="C282" i="13"/>
  <c r="B282" i="13"/>
  <c r="X281" i="13"/>
  <c r="W281" i="13"/>
  <c r="V281" i="13"/>
  <c r="U281" i="13"/>
  <c r="T281" i="13"/>
  <c r="S281" i="13"/>
  <c r="R281" i="13"/>
  <c r="Q281" i="13"/>
  <c r="P281" i="13"/>
  <c r="O281" i="13"/>
  <c r="N281" i="13"/>
  <c r="M281" i="13"/>
  <c r="L281" i="13"/>
  <c r="K281" i="13"/>
  <c r="F281" i="13"/>
  <c r="E281" i="13"/>
  <c r="H281" i="13" s="1" a="1"/>
  <c r="H281" i="13" s="1"/>
  <c r="D281" i="13" a="1"/>
  <c r="D281" i="13" s="1"/>
  <c r="G281" i="13" s="1"/>
  <c r="I281" i="13" s="1"/>
  <c r="C281" i="13"/>
  <c r="B281" i="13"/>
  <c r="X280" i="13"/>
  <c r="W280" i="13"/>
  <c r="V280" i="13"/>
  <c r="U280" i="13"/>
  <c r="T280" i="13"/>
  <c r="S280" i="13"/>
  <c r="R280" i="13"/>
  <c r="Q280" i="13"/>
  <c r="P280" i="13"/>
  <c r="O280" i="13"/>
  <c r="N280" i="13"/>
  <c r="M280" i="13"/>
  <c r="L280" i="13"/>
  <c r="K280" i="13"/>
  <c r="F280" i="13"/>
  <c r="E280" i="13"/>
  <c r="H280" i="13" s="1" a="1"/>
  <c r="H280" i="13" s="1"/>
  <c r="D280" i="13" a="1"/>
  <c r="D280" i="13" s="1"/>
  <c r="G280" i="13" s="1"/>
  <c r="I280" i="13" s="1"/>
  <c r="C280" i="13"/>
  <c r="B280" i="13"/>
  <c r="X279" i="13"/>
  <c r="W279" i="13"/>
  <c r="V279" i="13"/>
  <c r="U279" i="13"/>
  <c r="T279" i="13"/>
  <c r="S279" i="13"/>
  <c r="R279" i="13"/>
  <c r="Q279" i="13"/>
  <c r="P279" i="13"/>
  <c r="O279" i="13"/>
  <c r="N279" i="13"/>
  <c r="M279" i="13"/>
  <c r="L279" i="13"/>
  <c r="K279" i="13"/>
  <c r="F279" i="13"/>
  <c r="E279" i="13"/>
  <c r="H279" i="13" s="1" a="1"/>
  <c r="H279" i="13" s="1"/>
  <c r="D279" i="13" a="1"/>
  <c r="D279" i="13" s="1"/>
  <c r="G279" i="13" s="1"/>
  <c r="I279" i="13" s="1"/>
  <c r="C279" i="13"/>
  <c r="B279" i="13"/>
  <c r="X278" i="13"/>
  <c r="W278" i="13"/>
  <c r="V278" i="13"/>
  <c r="U278" i="13"/>
  <c r="T278" i="13"/>
  <c r="S278" i="13"/>
  <c r="R278" i="13"/>
  <c r="Q278" i="13"/>
  <c r="P278" i="13"/>
  <c r="O278" i="13"/>
  <c r="N278" i="13"/>
  <c r="M278" i="13"/>
  <c r="L278" i="13"/>
  <c r="K278" i="13"/>
  <c r="F278" i="13"/>
  <c r="E278" i="13"/>
  <c r="H278" i="13" s="1" a="1"/>
  <c r="H278" i="13" s="1"/>
  <c r="D278" i="13" a="1"/>
  <c r="D278" i="13" s="1"/>
  <c r="G278" i="13" s="1"/>
  <c r="I278" i="13" s="1"/>
  <c r="C278" i="13"/>
  <c r="B278" i="13"/>
  <c r="X277" i="13"/>
  <c r="W277" i="13"/>
  <c r="V277" i="13"/>
  <c r="U277" i="13"/>
  <c r="T277" i="13"/>
  <c r="S277" i="13"/>
  <c r="R277" i="13"/>
  <c r="Q277" i="13"/>
  <c r="P277" i="13"/>
  <c r="O277" i="13"/>
  <c r="N277" i="13"/>
  <c r="M277" i="13"/>
  <c r="L277" i="13"/>
  <c r="K277" i="13"/>
  <c r="F277" i="13"/>
  <c r="E277" i="13"/>
  <c r="H277" i="13" s="1" a="1"/>
  <c r="H277" i="13" s="1"/>
  <c r="D277" i="13" a="1"/>
  <c r="D277" i="13" s="1"/>
  <c r="G277" i="13" s="1"/>
  <c r="I277" i="13" s="1"/>
  <c r="C277" i="13"/>
  <c r="B277" i="13"/>
  <c r="X276" i="13"/>
  <c r="W276" i="13"/>
  <c r="V276" i="13"/>
  <c r="U276" i="13"/>
  <c r="T276" i="13"/>
  <c r="S276" i="13"/>
  <c r="R276" i="13"/>
  <c r="Q276" i="13"/>
  <c r="P276" i="13"/>
  <c r="O276" i="13"/>
  <c r="N276" i="13"/>
  <c r="M276" i="13"/>
  <c r="L276" i="13"/>
  <c r="K276" i="13"/>
  <c r="F276" i="13"/>
  <c r="E276" i="13"/>
  <c r="H276" i="13" s="1" a="1"/>
  <c r="H276" i="13" s="1"/>
  <c r="D276" i="13" a="1"/>
  <c r="D276" i="13" s="1"/>
  <c r="G276" i="13" s="1"/>
  <c r="I276" i="13" s="1"/>
  <c r="C276" i="13"/>
  <c r="B276" i="13"/>
  <c r="X275" i="13"/>
  <c r="W275" i="13"/>
  <c r="V275" i="13"/>
  <c r="U275" i="13"/>
  <c r="T275" i="13"/>
  <c r="S275" i="13"/>
  <c r="R275" i="13"/>
  <c r="Q275" i="13"/>
  <c r="P275" i="13"/>
  <c r="O275" i="13"/>
  <c r="N275" i="13"/>
  <c r="M275" i="13"/>
  <c r="L275" i="13"/>
  <c r="K275" i="13"/>
  <c r="F275" i="13"/>
  <c r="E275" i="13"/>
  <c r="H275" i="13" s="1" a="1"/>
  <c r="H275" i="13" s="1"/>
  <c r="D275" i="13" a="1"/>
  <c r="D275" i="13" s="1"/>
  <c r="G275" i="13" s="1"/>
  <c r="I275" i="13" s="1"/>
  <c r="C275" i="13"/>
  <c r="B275" i="13"/>
  <c r="X274" i="13"/>
  <c r="W274" i="13"/>
  <c r="V274" i="13"/>
  <c r="U274" i="13"/>
  <c r="T274" i="13"/>
  <c r="S274" i="13"/>
  <c r="R274" i="13"/>
  <c r="Q274" i="13"/>
  <c r="P274" i="13"/>
  <c r="O274" i="13"/>
  <c r="N274" i="13"/>
  <c r="M274" i="13"/>
  <c r="L274" i="13"/>
  <c r="K274" i="13"/>
  <c r="F274" i="13"/>
  <c r="E274" i="13"/>
  <c r="H274" i="13" s="1" a="1"/>
  <c r="H274" i="13" s="1"/>
  <c r="D274" i="13" a="1"/>
  <c r="D274" i="13" s="1"/>
  <c r="G274" i="13" s="1"/>
  <c r="I274" i="13" s="1"/>
  <c r="C274" i="13"/>
  <c r="B274" i="13"/>
  <c r="X273" i="13"/>
  <c r="W273" i="13"/>
  <c r="V273" i="13"/>
  <c r="U273" i="13"/>
  <c r="T273" i="13"/>
  <c r="S273" i="13"/>
  <c r="R273" i="13"/>
  <c r="Q273" i="13"/>
  <c r="P273" i="13"/>
  <c r="O273" i="13"/>
  <c r="N273" i="13"/>
  <c r="M273" i="13"/>
  <c r="L273" i="13"/>
  <c r="K273" i="13"/>
  <c r="F273" i="13"/>
  <c r="E273" i="13"/>
  <c r="H273" i="13" s="1" a="1"/>
  <c r="H273" i="13" s="1"/>
  <c r="D273" i="13" a="1"/>
  <c r="D273" i="13" s="1"/>
  <c r="G273" i="13" s="1"/>
  <c r="I273" i="13" s="1"/>
  <c r="C273" i="13"/>
  <c r="B273" i="13"/>
  <c r="X272" i="13"/>
  <c r="W272" i="13"/>
  <c r="V272" i="13"/>
  <c r="U272" i="13"/>
  <c r="T272" i="13"/>
  <c r="S272" i="13"/>
  <c r="R272" i="13"/>
  <c r="Q272" i="13"/>
  <c r="P272" i="13"/>
  <c r="O272" i="13"/>
  <c r="N272" i="13"/>
  <c r="M272" i="13"/>
  <c r="L272" i="13"/>
  <c r="K272" i="13"/>
  <c r="F272" i="13"/>
  <c r="E272" i="13"/>
  <c r="H272" i="13" s="1" a="1"/>
  <c r="H272" i="13" s="1"/>
  <c r="D272" i="13" a="1"/>
  <c r="D272" i="13" s="1"/>
  <c r="G272" i="13" s="1"/>
  <c r="I272" i="13" s="1"/>
  <c r="C272" i="13"/>
  <c r="B272" i="13"/>
  <c r="X271" i="13"/>
  <c r="W271" i="13"/>
  <c r="V271" i="13"/>
  <c r="U271" i="13"/>
  <c r="T271" i="13"/>
  <c r="S271" i="13"/>
  <c r="R271" i="13"/>
  <c r="Q271" i="13"/>
  <c r="P271" i="13"/>
  <c r="O271" i="13"/>
  <c r="N271" i="13"/>
  <c r="M271" i="13"/>
  <c r="L271" i="13"/>
  <c r="K271" i="13"/>
  <c r="F271" i="13"/>
  <c r="E271" i="13"/>
  <c r="H271" i="13" s="1" a="1"/>
  <c r="H271" i="13" s="1"/>
  <c r="D271" i="13" a="1"/>
  <c r="D271" i="13" s="1"/>
  <c r="G271" i="13" s="1"/>
  <c r="I271" i="13" s="1"/>
  <c r="C271" i="13"/>
  <c r="B271" i="13"/>
  <c r="X270" i="13"/>
  <c r="W270" i="13"/>
  <c r="V270" i="13"/>
  <c r="U270" i="13"/>
  <c r="T270" i="13"/>
  <c r="S270" i="13"/>
  <c r="R270" i="13"/>
  <c r="Q270" i="13"/>
  <c r="P270" i="13"/>
  <c r="O270" i="13"/>
  <c r="N270" i="13"/>
  <c r="M270" i="13"/>
  <c r="L270" i="13"/>
  <c r="K270" i="13"/>
  <c r="F270" i="13"/>
  <c r="E270" i="13"/>
  <c r="H270" i="13" s="1" a="1"/>
  <c r="H270" i="13" s="1"/>
  <c r="D270" i="13" a="1"/>
  <c r="D270" i="13" s="1"/>
  <c r="G270" i="13" s="1"/>
  <c r="I270" i="13" s="1"/>
  <c r="C270" i="13"/>
  <c r="B270" i="13"/>
  <c r="X269" i="13"/>
  <c r="W269" i="13"/>
  <c r="V269" i="13"/>
  <c r="U269" i="13"/>
  <c r="T269" i="13"/>
  <c r="S269" i="13"/>
  <c r="R269" i="13"/>
  <c r="Q269" i="13"/>
  <c r="P269" i="13"/>
  <c r="O269" i="13"/>
  <c r="N269" i="13"/>
  <c r="M269" i="13"/>
  <c r="L269" i="13"/>
  <c r="K269" i="13"/>
  <c r="F269" i="13"/>
  <c r="E269" i="13"/>
  <c r="H269" i="13" s="1" a="1"/>
  <c r="H269" i="13" s="1"/>
  <c r="D269" i="13" a="1"/>
  <c r="D269" i="13" s="1"/>
  <c r="G269" i="13" s="1"/>
  <c r="I269" i="13" s="1"/>
  <c r="C269" i="13"/>
  <c r="B269" i="13"/>
  <c r="X268" i="13"/>
  <c r="W268" i="13"/>
  <c r="V268" i="13"/>
  <c r="U268" i="13"/>
  <c r="T268" i="13"/>
  <c r="S268" i="13"/>
  <c r="R268" i="13"/>
  <c r="Q268" i="13"/>
  <c r="P268" i="13"/>
  <c r="O268" i="13"/>
  <c r="N268" i="13"/>
  <c r="M268" i="13"/>
  <c r="L268" i="13"/>
  <c r="K268" i="13"/>
  <c r="F268" i="13"/>
  <c r="E268" i="13"/>
  <c r="H268" i="13" s="1" a="1"/>
  <c r="H268" i="13" s="1"/>
  <c r="D268" i="13" a="1"/>
  <c r="D268" i="13" s="1"/>
  <c r="G268" i="13" s="1"/>
  <c r="I268" i="13" s="1"/>
  <c r="C268" i="13"/>
  <c r="B268" i="13"/>
  <c r="X267" i="13"/>
  <c r="W267" i="13"/>
  <c r="V267" i="13"/>
  <c r="U267" i="13"/>
  <c r="T267" i="13"/>
  <c r="S267" i="13"/>
  <c r="R267" i="13"/>
  <c r="Q267" i="13"/>
  <c r="P267" i="13"/>
  <c r="O267" i="13"/>
  <c r="N267" i="13"/>
  <c r="M267" i="13"/>
  <c r="L267" i="13"/>
  <c r="K267" i="13"/>
  <c r="F267" i="13"/>
  <c r="E267" i="13"/>
  <c r="H267" i="13" s="1" a="1"/>
  <c r="H267" i="13" s="1"/>
  <c r="D267" i="13" a="1"/>
  <c r="D267" i="13" s="1"/>
  <c r="G267" i="13" s="1"/>
  <c r="I267" i="13" s="1"/>
  <c r="C267" i="13"/>
  <c r="B267" i="13"/>
  <c r="X266" i="13"/>
  <c r="W266" i="13"/>
  <c r="V266" i="13"/>
  <c r="U266" i="13"/>
  <c r="T266" i="13"/>
  <c r="S266" i="13"/>
  <c r="R266" i="13"/>
  <c r="Q266" i="13"/>
  <c r="P266" i="13"/>
  <c r="O266" i="13"/>
  <c r="N266" i="13"/>
  <c r="M266" i="13"/>
  <c r="L266" i="13"/>
  <c r="K266" i="13"/>
  <c r="F266" i="13"/>
  <c r="E266" i="13"/>
  <c r="H266" i="13" s="1" a="1"/>
  <c r="H266" i="13" s="1"/>
  <c r="D266" i="13" a="1"/>
  <c r="D266" i="13" s="1"/>
  <c r="G266" i="13" s="1"/>
  <c r="I266" i="13" s="1"/>
  <c r="C266" i="13"/>
  <c r="B266" i="13"/>
  <c r="X265" i="13"/>
  <c r="W265" i="13"/>
  <c r="V265" i="13"/>
  <c r="U265" i="13"/>
  <c r="T265" i="13"/>
  <c r="S265" i="13"/>
  <c r="R265" i="13"/>
  <c r="Q265" i="13"/>
  <c r="P265" i="13"/>
  <c r="O265" i="13"/>
  <c r="N265" i="13"/>
  <c r="M265" i="13"/>
  <c r="L265" i="13"/>
  <c r="K265" i="13"/>
  <c r="F265" i="13"/>
  <c r="E265" i="13"/>
  <c r="H265" i="13" s="1" a="1"/>
  <c r="H265" i="13" s="1"/>
  <c r="D265" i="13" a="1"/>
  <c r="D265" i="13" s="1"/>
  <c r="G265" i="13" s="1"/>
  <c r="I265" i="13" s="1"/>
  <c r="C265" i="13"/>
  <c r="B265" i="13"/>
  <c r="X264" i="13"/>
  <c r="W264" i="13"/>
  <c r="V264" i="13"/>
  <c r="U264" i="13"/>
  <c r="T264" i="13"/>
  <c r="S264" i="13"/>
  <c r="R264" i="13"/>
  <c r="Q264" i="13"/>
  <c r="P264" i="13"/>
  <c r="O264" i="13"/>
  <c r="N264" i="13"/>
  <c r="M264" i="13"/>
  <c r="L264" i="13"/>
  <c r="K264" i="13"/>
  <c r="F264" i="13"/>
  <c r="E264" i="13"/>
  <c r="H264" i="13" s="1" a="1"/>
  <c r="H264" i="13" s="1"/>
  <c r="D264" i="13" a="1"/>
  <c r="D264" i="13" s="1"/>
  <c r="G264" i="13" s="1"/>
  <c r="I264" i="13" s="1"/>
  <c r="C264" i="13"/>
  <c r="B264" i="13"/>
  <c r="X263" i="13"/>
  <c r="W263" i="13"/>
  <c r="V263" i="13"/>
  <c r="U263" i="13"/>
  <c r="T263" i="13"/>
  <c r="S263" i="13"/>
  <c r="R263" i="13"/>
  <c r="Q263" i="13"/>
  <c r="P263" i="13"/>
  <c r="O263" i="13"/>
  <c r="N263" i="13"/>
  <c r="M263" i="13"/>
  <c r="L263" i="13"/>
  <c r="K263" i="13"/>
  <c r="F263" i="13"/>
  <c r="E263" i="13"/>
  <c r="H263" i="13" s="1" a="1"/>
  <c r="H263" i="13" s="1"/>
  <c r="D263" i="13" a="1"/>
  <c r="D263" i="13" s="1"/>
  <c r="G263" i="13" s="1"/>
  <c r="I263" i="13" s="1"/>
  <c r="C263" i="13"/>
  <c r="B263" i="13"/>
  <c r="X262" i="13"/>
  <c r="W262" i="13"/>
  <c r="V262" i="13"/>
  <c r="U262" i="13"/>
  <c r="T262" i="13"/>
  <c r="S262" i="13"/>
  <c r="R262" i="13"/>
  <c r="Q262" i="13"/>
  <c r="P262" i="13"/>
  <c r="O262" i="13"/>
  <c r="N262" i="13"/>
  <c r="M262" i="13"/>
  <c r="L262" i="13"/>
  <c r="K262" i="13"/>
  <c r="F262" i="13"/>
  <c r="E262" i="13"/>
  <c r="H262" i="13" s="1" a="1"/>
  <c r="H262" i="13" s="1"/>
  <c r="D262" i="13" a="1"/>
  <c r="D262" i="13" s="1"/>
  <c r="G262" i="13" s="1"/>
  <c r="I262" i="13" s="1"/>
  <c r="C262" i="13"/>
  <c r="B262" i="13"/>
  <c r="X261" i="13"/>
  <c r="W261" i="13"/>
  <c r="V261" i="13"/>
  <c r="U261" i="13"/>
  <c r="T261" i="13"/>
  <c r="S261" i="13"/>
  <c r="R261" i="13"/>
  <c r="Q261" i="13"/>
  <c r="P261" i="13"/>
  <c r="O261" i="13"/>
  <c r="N261" i="13"/>
  <c r="M261" i="13"/>
  <c r="L261" i="13"/>
  <c r="K261" i="13"/>
  <c r="F261" i="13"/>
  <c r="E261" i="13"/>
  <c r="H261" i="13" s="1" a="1"/>
  <c r="H261" i="13" s="1"/>
  <c r="D261" i="13" a="1"/>
  <c r="D261" i="13" s="1"/>
  <c r="G261" i="13" s="1"/>
  <c r="I261" i="13" s="1"/>
  <c r="C261" i="13"/>
  <c r="B261" i="13"/>
  <c r="X260" i="13"/>
  <c r="W260" i="13"/>
  <c r="V260" i="13"/>
  <c r="U260" i="13"/>
  <c r="T260" i="13"/>
  <c r="S260" i="13"/>
  <c r="R260" i="13"/>
  <c r="Q260" i="13"/>
  <c r="P260" i="13"/>
  <c r="O260" i="13"/>
  <c r="N260" i="13"/>
  <c r="M260" i="13"/>
  <c r="L260" i="13"/>
  <c r="K260" i="13"/>
  <c r="F260" i="13"/>
  <c r="E260" i="13"/>
  <c r="H260" i="13" s="1" a="1"/>
  <c r="H260" i="13" s="1"/>
  <c r="D260" i="13" a="1"/>
  <c r="D260" i="13" s="1"/>
  <c r="G260" i="13" s="1"/>
  <c r="I260" i="13" s="1"/>
  <c r="C260" i="13"/>
  <c r="B260" i="13"/>
  <c r="X259" i="13"/>
  <c r="W259" i="13"/>
  <c r="V259" i="13"/>
  <c r="U259" i="13"/>
  <c r="T259" i="13"/>
  <c r="S259" i="13"/>
  <c r="R259" i="13"/>
  <c r="Q259" i="13"/>
  <c r="P259" i="13"/>
  <c r="O259" i="13"/>
  <c r="N259" i="13"/>
  <c r="M259" i="13"/>
  <c r="L259" i="13"/>
  <c r="K259" i="13"/>
  <c r="F259" i="13"/>
  <c r="E259" i="13"/>
  <c r="H259" i="13" s="1" a="1"/>
  <c r="H259" i="13" s="1"/>
  <c r="D259" i="13" a="1"/>
  <c r="D259" i="13" s="1"/>
  <c r="G259" i="13" s="1"/>
  <c r="I259" i="13" s="1"/>
  <c r="C259" i="13"/>
  <c r="B259" i="13"/>
  <c r="X258" i="13"/>
  <c r="W258" i="13"/>
  <c r="V258" i="13"/>
  <c r="U258" i="13"/>
  <c r="T258" i="13"/>
  <c r="S258" i="13"/>
  <c r="R258" i="13"/>
  <c r="Q258" i="13"/>
  <c r="P258" i="13"/>
  <c r="O258" i="13"/>
  <c r="N258" i="13"/>
  <c r="M258" i="13"/>
  <c r="L258" i="13"/>
  <c r="K258" i="13"/>
  <c r="F258" i="13"/>
  <c r="E258" i="13"/>
  <c r="H258" i="13" s="1" a="1"/>
  <c r="H258" i="13" s="1"/>
  <c r="D258" i="13" a="1"/>
  <c r="D258" i="13" s="1"/>
  <c r="G258" i="13" s="1"/>
  <c r="I258" i="13" s="1"/>
  <c r="C258" i="13"/>
  <c r="B258" i="13"/>
  <c r="X257" i="13"/>
  <c r="W257" i="13"/>
  <c r="V257" i="13"/>
  <c r="U257" i="13"/>
  <c r="T257" i="13"/>
  <c r="S257" i="13"/>
  <c r="R257" i="13"/>
  <c r="Q257" i="13"/>
  <c r="P257" i="13"/>
  <c r="O257" i="13"/>
  <c r="N257" i="13"/>
  <c r="M257" i="13"/>
  <c r="L257" i="13"/>
  <c r="K257" i="13"/>
  <c r="F257" i="13"/>
  <c r="E257" i="13"/>
  <c r="H257" i="13" s="1" a="1"/>
  <c r="H257" i="13" s="1"/>
  <c r="D257" i="13" a="1"/>
  <c r="D257" i="13" s="1"/>
  <c r="G257" i="13" s="1"/>
  <c r="I257" i="13" s="1"/>
  <c r="C257" i="13"/>
  <c r="B257" i="13"/>
  <c r="X256" i="13"/>
  <c r="W256" i="13"/>
  <c r="V256" i="13"/>
  <c r="U256" i="13"/>
  <c r="T256" i="13"/>
  <c r="S256" i="13"/>
  <c r="R256" i="13"/>
  <c r="Q256" i="13"/>
  <c r="P256" i="13"/>
  <c r="O256" i="13"/>
  <c r="N256" i="13"/>
  <c r="M256" i="13"/>
  <c r="L256" i="13"/>
  <c r="K256" i="13"/>
  <c r="F256" i="13"/>
  <c r="E256" i="13"/>
  <c r="H256" i="13" s="1" a="1"/>
  <c r="H256" i="13" s="1"/>
  <c r="D256" i="13" a="1"/>
  <c r="D256" i="13" s="1"/>
  <c r="G256" i="13" s="1"/>
  <c r="I256" i="13" s="1"/>
  <c r="C256" i="13"/>
  <c r="B256" i="13"/>
  <c r="X255" i="13"/>
  <c r="W255" i="13"/>
  <c r="V255" i="13"/>
  <c r="U255" i="13"/>
  <c r="T255" i="13"/>
  <c r="S255" i="13"/>
  <c r="R255" i="13"/>
  <c r="Q255" i="13"/>
  <c r="P255" i="13"/>
  <c r="O255" i="13"/>
  <c r="N255" i="13"/>
  <c r="M255" i="13"/>
  <c r="L255" i="13"/>
  <c r="K255" i="13"/>
  <c r="F255" i="13"/>
  <c r="E255" i="13"/>
  <c r="H255" i="13" s="1" a="1"/>
  <c r="H255" i="13" s="1"/>
  <c r="D255" i="13" a="1"/>
  <c r="D255" i="13" s="1"/>
  <c r="G255" i="13" s="1"/>
  <c r="I255" i="13" s="1"/>
  <c r="C255" i="13"/>
  <c r="B255" i="13"/>
  <c r="X254" i="13"/>
  <c r="W254" i="13"/>
  <c r="V254" i="13"/>
  <c r="U254" i="13"/>
  <c r="T254" i="13"/>
  <c r="S254" i="13"/>
  <c r="R254" i="13"/>
  <c r="Q254" i="13"/>
  <c r="P254" i="13"/>
  <c r="O254" i="13"/>
  <c r="N254" i="13"/>
  <c r="M254" i="13"/>
  <c r="L254" i="13"/>
  <c r="K254" i="13"/>
  <c r="F254" i="13"/>
  <c r="E254" i="13"/>
  <c r="H254" i="13" s="1" a="1"/>
  <c r="H254" i="13" s="1"/>
  <c r="D254" i="13" a="1"/>
  <c r="D254" i="13" s="1"/>
  <c r="G254" i="13" s="1"/>
  <c r="I254" i="13" s="1"/>
  <c r="C254" i="13"/>
  <c r="B254" i="13"/>
  <c r="X253" i="13"/>
  <c r="W253" i="13"/>
  <c r="V253" i="13"/>
  <c r="U253" i="13"/>
  <c r="T253" i="13"/>
  <c r="S253" i="13"/>
  <c r="R253" i="13"/>
  <c r="Q253" i="13"/>
  <c r="P253" i="13"/>
  <c r="O253" i="13"/>
  <c r="N253" i="13"/>
  <c r="M253" i="13"/>
  <c r="L253" i="13"/>
  <c r="K253" i="13"/>
  <c r="F253" i="13"/>
  <c r="E253" i="13"/>
  <c r="H253" i="13" s="1" a="1"/>
  <c r="H253" i="13" s="1"/>
  <c r="D253" i="13" a="1"/>
  <c r="D253" i="13" s="1"/>
  <c r="G253" i="13" s="1"/>
  <c r="I253" i="13" s="1"/>
  <c r="C253" i="13"/>
  <c r="B253" i="13"/>
  <c r="X252" i="13"/>
  <c r="W252" i="13"/>
  <c r="V252" i="13"/>
  <c r="U252" i="13"/>
  <c r="T252" i="13"/>
  <c r="S252" i="13"/>
  <c r="R252" i="13"/>
  <c r="Q252" i="13"/>
  <c r="P252" i="13"/>
  <c r="O252" i="13"/>
  <c r="N252" i="13"/>
  <c r="M252" i="13"/>
  <c r="L252" i="13"/>
  <c r="K252" i="13"/>
  <c r="F252" i="13"/>
  <c r="E252" i="13"/>
  <c r="H252" i="13" s="1" a="1"/>
  <c r="H252" i="13" s="1"/>
  <c r="D252" i="13" a="1"/>
  <c r="D252" i="13" s="1"/>
  <c r="G252" i="13" s="1"/>
  <c r="I252" i="13" s="1"/>
  <c r="C252" i="13"/>
  <c r="B252" i="13"/>
  <c r="X251" i="13"/>
  <c r="W251" i="13"/>
  <c r="V251" i="13"/>
  <c r="U251" i="13"/>
  <c r="T251" i="13"/>
  <c r="S251" i="13"/>
  <c r="R251" i="13"/>
  <c r="Q251" i="13"/>
  <c r="P251" i="13"/>
  <c r="O251" i="13"/>
  <c r="N251" i="13"/>
  <c r="M251" i="13"/>
  <c r="L251" i="13"/>
  <c r="K251" i="13"/>
  <c r="F251" i="13"/>
  <c r="E251" i="13"/>
  <c r="H251" i="13" s="1" a="1"/>
  <c r="H251" i="13" s="1"/>
  <c r="D251" i="13" a="1"/>
  <c r="D251" i="13" s="1"/>
  <c r="G251" i="13" s="1"/>
  <c r="I251" i="13" s="1"/>
  <c r="C251" i="13"/>
  <c r="B251" i="13"/>
  <c r="X250" i="13"/>
  <c r="W250" i="13"/>
  <c r="V250" i="13"/>
  <c r="U250" i="13"/>
  <c r="T250" i="13"/>
  <c r="S250" i="13"/>
  <c r="R250" i="13"/>
  <c r="Q250" i="13"/>
  <c r="P250" i="13"/>
  <c r="O250" i="13"/>
  <c r="N250" i="13"/>
  <c r="M250" i="13"/>
  <c r="L250" i="13"/>
  <c r="K250" i="13"/>
  <c r="F250" i="13"/>
  <c r="E250" i="13"/>
  <c r="H250" i="13" s="1" a="1"/>
  <c r="H250" i="13" s="1"/>
  <c r="D250" i="13" a="1"/>
  <c r="D250" i="13" s="1"/>
  <c r="G250" i="13" s="1"/>
  <c r="I250" i="13" s="1"/>
  <c r="C250" i="13"/>
  <c r="B250" i="13"/>
  <c r="X249" i="13"/>
  <c r="W249" i="13"/>
  <c r="V249" i="13"/>
  <c r="U249" i="13"/>
  <c r="T249" i="13"/>
  <c r="S249" i="13"/>
  <c r="R249" i="13"/>
  <c r="Q249" i="13"/>
  <c r="P249" i="13"/>
  <c r="O249" i="13"/>
  <c r="N249" i="13"/>
  <c r="M249" i="13"/>
  <c r="L249" i="13"/>
  <c r="K249" i="13"/>
  <c r="F249" i="13"/>
  <c r="E249" i="13"/>
  <c r="H249" i="13" s="1" a="1"/>
  <c r="H249" i="13" s="1"/>
  <c r="D249" i="13" a="1"/>
  <c r="D249" i="13" s="1"/>
  <c r="G249" i="13" s="1"/>
  <c r="I249" i="13" s="1"/>
  <c r="C249" i="13"/>
  <c r="B249" i="13"/>
  <c r="X248" i="13"/>
  <c r="W248" i="13"/>
  <c r="V248" i="13"/>
  <c r="U248" i="13"/>
  <c r="T248" i="13"/>
  <c r="S248" i="13"/>
  <c r="R248" i="13"/>
  <c r="Q248" i="13"/>
  <c r="P248" i="13"/>
  <c r="O248" i="13"/>
  <c r="N248" i="13"/>
  <c r="M248" i="13"/>
  <c r="L248" i="13"/>
  <c r="K248" i="13"/>
  <c r="F248" i="13"/>
  <c r="E248" i="13"/>
  <c r="H248" i="13" s="1" a="1"/>
  <c r="H248" i="13" s="1"/>
  <c r="D248" i="13" a="1"/>
  <c r="D248" i="13" s="1"/>
  <c r="G248" i="13" s="1"/>
  <c r="I248" i="13" s="1"/>
  <c r="C248" i="13"/>
  <c r="B248" i="13"/>
  <c r="X247" i="13"/>
  <c r="W247" i="13"/>
  <c r="V247" i="13"/>
  <c r="U247" i="13"/>
  <c r="T247" i="13"/>
  <c r="S247" i="13"/>
  <c r="R247" i="13"/>
  <c r="Q247" i="13"/>
  <c r="P247" i="13"/>
  <c r="O247" i="13"/>
  <c r="N247" i="13"/>
  <c r="M247" i="13"/>
  <c r="L247" i="13"/>
  <c r="K247" i="13"/>
  <c r="F247" i="13"/>
  <c r="E247" i="13"/>
  <c r="H247" i="13" s="1" a="1"/>
  <c r="H247" i="13" s="1"/>
  <c r="D247" i="13" a="1"/>
  <c r="D247" i="13" s="1"/>
  <c r="G247" i="13" s="1"/>
  <c r="I247" i="13" s="1"/>
  <c r="C247" i="13"/>
  <c r="B247" i="13"/>
  <c r="X246" i="13"/>
  <c r="W246" i="13"/>
  <c r="V246" i="13"/>
  <c r="U246" i="13"/>
  <c r="T246" i="13"/>
  <c r="S246" i="13"/>
  <c r="R246" i="13"/>
  <c r="Q246" i="13"/>
  <c r="P246" i="13"/>
  <c r="O246" i="13"/>
  <c r="N246" i="13"/>
  <c r="M246" i="13"/>
  <c r="L246" i="13"/>
  <c r="K246" i="13"/>
  <c r="F246" i="13"/>
  <c r="E246" i="13"/>
  <c r="H246" i="13" s="1" a="1"/>
  <c r="H246" i="13" s="1"/>
  <c r="D246" i="13" a="1"/>
  <c r="D246" i="13" s="1"/>
  <c r="G246" i="13" s="1"/>
  <c r="I246" i="13" s="1"/>
  <c r="C246" i="13"/>
  <c r="B246" i="13"/>
  <c r="X245" i="13"/>
  <c r="W245" i="13"/>
  <c r="V245" i="13"/>
  <c r="U245" i="13"/>
  <c r="T245" i="13"/>
  <c r="S245" i="13"/>
  <c r="R245" i="13"/>
  <c r="Q245" i="13"/>
  <c r="P245" i="13"/>
  <c r="O245" i="13"/>
  <c r="N245" i="13"/>
  <c r="M245" i="13"/>
  <c r="L245" i="13"/>
  <c r="K245" i="13"/>
  <c r="F245" i="13"/>
  <c r="E245" i="13"/>
  <c r="H245" i="13" s="1" a="1"/>
  <c r="H245" i="13" s="1"/>
  <c r="D245" i="13" a="1"/>
  <c r="D245" i="13" s="1"/>
  <c r="G245" i="13" s="1"/>
  <c r="I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Q25" i="13"/>
  <c r="N25" i="13"/>
  <c r="M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V15" i="13" s="1"/>
  <c r="P14" i="13"/>
  <c r="I14" i="13"/>
  <c r="N14" i="13" s="1"/>
  <c r="Z14" i="13" s="1"/>
  <c r="F14" i="13"/>
  <c r="P13" i="13"/>
  <c r="I13" i="13"/>
  <c r="N13" i="13" s="1"/>
  <c r="Z13" i="13" s="1"/>
  <c r="F13" i="13"/>
  <c r="O13" i="13" s="1"/>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O7" i="13" s="1"/>
  <c r="B5" i="13"/>
  <c r="AH13" i="13" s="1"/>
  <c r="B4" i="13"/>
  <c r="D4" i="13" s="1"/>
  <c r="B3" i="13"/>
  <c r="J20" i="13" s="1"/>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C810" i="10"/>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C809"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C808"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C807"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C806"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C805"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C804"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C803"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C802"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C801"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C800"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C799"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C798"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C797"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C796"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C795"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C794"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C793"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C792"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C791"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C790"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C789"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C788"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C787"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C786"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C785"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C784"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C783"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C782"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C781"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C780"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C779"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C778"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C777"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C776"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C775"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C774"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C773"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C772"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C771"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C770"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C769"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C768"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C767"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C766"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C765"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C764"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C763"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C762"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C761"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C760"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C759"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C758"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C757"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C756"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C755"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C754"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C753"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C752"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C751"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C750"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C749"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C748"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C747"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C746"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C745"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C744"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C743"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C742"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C741"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C740"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C739"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C738"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C737"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C736"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C735"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C734"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C733"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C732"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C731"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C730"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C729"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C728"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C727"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C726"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C725"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C724"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C723"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C722"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C721"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C720"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C719"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C718"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C717"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C716"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C715"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C714"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C713"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C712"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C711"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C710"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C709"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C708"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C707"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C706"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C705"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C704"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C703"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C702"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C701"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C700"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C699"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C698"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C697"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C696"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C695"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C694"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C693"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C692"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C691"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C690"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C689"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AC688" i="10"/>
  <c r="AB688" i="10"/>
  <c r="AA688" i="10"/>
  <c r="Z688" i="10"/>
  <c r="Y688" i="10"/>
  <c r="X688" i="10"/>
  <c r="W688" i="10"/>
  <c r="V688" i="10"/>
  <c r="U688" i="10"/>
  <c r="T688" i="10"/>
  <c r="S688" i="10"/>
  <c r="R688" i="10"/>
  <c r="Q688" i="10"/>
  <c r="P688" i="10"/>
  <c r="O688" i="10"/>
  <c r="N688" i="10"/>
  <c r="M688" i="10"/>
  <c r="L688" i="10"/>
  <c r="K688" i="10"/>
  <c r="J688" i="10"/>
  <c r="I688" i="10"/>
  <c r="H688" i="10"/>
  <c r="G688" i="10"/>
  <c r="F688" i="10"/>
  <c r="AC687" i="10"/>
  <c r="AB687" i="10"/>
  <c r="AA687" i="10"/>
  <c r="Z687" i="10"/>
  <c r="Y687" i="10"/>
  <c r="X687" i="10"/>
  <c r="W687" i="10"/>
  <c r="V687" i="10"/>
  <c r="U687" i="10"/>
  <c r="T687" i="10"/>
  <c r="S687" i="10"/>
  <c r="R687" i="10"/>
  <c r="Q687" i="10"/>
  <c r="P687" i="10"/>
  <c r="O687" i="10"/>
  <c r="N687" i="10"/>
  <c r="M687" i="10"/>
  <c r="L687" i="10"/>
  <c r="K687" i="10"/>
  <c r="J687" i="10"/>
  <c r="I687" i="10"/>
  <c r="H687" i="10"/>
  <c r="G687" i="10"/>
  <c r="F687" i="10"/>
  <c r="AC686" i="10"/>
  <c r="AB686" i="10"/>
  <c r="AA686" i="10"/>
  <c r="Z686" i="10"/>
  <c r="Y686" i="10"/>
  <c r="X686" i="10"/>
  <c r="W686" i="10"/>
  <c r="V686" i="10"/>
  <c r="U686" i="10"/>
  <c r="T686" i="10"/>
  <c r="S686" i="10"/>
  <c r="R686" i="10"/>
  <c r="Q686" i="10"/>
  <c r="P686" i="10"/>
  <c r="O686" i="10"/>
  <c r="N686" i="10"/>
  <c r="M686" i="10"/>
  <c r="L686" i="10"/>
  <c r="K686" i="10"/>
  <c r="J686" i="10"/>
  <c r="I686" i="10"/>
  <c r="H686" i="10"/>
  <c r="G686" i="10"/>
  <c r="F686" i="10"/>
  <c r="AC685" i="10"/>
  <c r="AB685" i="10"/>
  <c r="AA685" i="10"/>
  <c r="Z685" i="10"/>
  <c r="Y685" i="10"/>
  <c r="X685" i="10"/>
  <c r="W685" i="10"/>
  <c r="V685" i="10"/>
  <c r="U685" i="10"/>
  <c r="T685" i="10"/>
  <c r="S685" i="10"/>
  <c r="R685" i="10"/>
  <c r="Q685" i="10"/>
  <c r="P685" i="10"/>
  <c r="O685" i="10"/>
  <c r="N685" i="10"/>
  <c r="M685" i="10"/>
  <c r="L685" i="10"/>
  <c r="K685" i="10"/>
  <c r="J685" i="10"/>
  <c r="I685" i="10"/>
  <c r="H685" i="10"/>
  <c r="G685" i="10"/>
  <c r="F685" i="10"/>
  <c r="AC684" i="10"/>
  <c r="AB684" i="10"/>
  <c r="AA684" i="10"/>
  <c r="Z684" i="10"/>
  <c r="Y684" i="10"/>
  <c r="X684" i="10"/>
  <c r="W684" i="10"/>
  <c r="V684" i="10"/>
  <c r="U684" i="10"/>
  <c r="T684" i="10"/>
  <c r="S684" i="10"/>
  <c r="R684" i="10"/>
  <c r="Q684" i="10"/>
  <c r="P684" i="10"/>
  <c r="O684" i="10"/>
  <c r="N684" i="10"/>
  <c r="M684" i="10"/>
  <c r="L684" i="10"/>
  <c r="K684" i="10"/>
  <c r="J684" i="10"/>
  <c r="I684" i="10"/>
  <c r="H684" i="10"/>
  <c r="G684" i="10"/>
  <c r="F684" i="10"/>
  <c r="AC683" i="10"/>
  <c r="AB683" i="10"/>
  <c r="AA683" i="10"/>
  <c r="Z683" i="10"/>
  <c r="Y683" i="10"/>
  <c r="X683" i="10"/>
  <c r="W683" i="10"/>
  <c r="V683" i="10"/>
  <c r="U683" i="10"/>
  <c r="T683" i="10"/>
  <c r="S683" i="10"/>
  <c r="R683" i="10"/>
  <c r="Q683" i="10"/>
  <c r="P683" i="10"/>
  <c r="O683" i="10"/>
  <c r="N683" i="10"/>
  <c r="M683" i="10"/>
  <c r="L683" i="10"/>
  <c r="K683" i="10"/>
  <c r="J683" i="10"/>
  <c r="I683" i="10"/>
  <c r="H683" i="10"/>
  <c r="G683" i="10"/>
  <c r="F683" i="10"/>
  <c r="AC682" i="10"/>
  <c r="AB682" i="10"/>
  <c r="AA682" i="10"/>
  <c r="Z682" i="10"/>
  <c r="Y682" i="10"/>
  <c r="X682" i="10"/>
  <c r="W682" i="10"/>
  <c r="V682" i="10"/>
  <c r="U682" i="10"/>
  <c r="T682" i="10"/>
  <c r="S682" i="10"/>
  <c r="R682" i="10"/>
  <c r="Q682" i="10"/>
  <c r="P682" i="10"/>
  <c r="O682" i="10"/>
  <c r="N682" i="10"/>
  <c r="M682" i="10"/>
  <c r="L682" i="10"/>
  <c r="K682" i="10"/>
  <c r="J682" i="10"/>
  <c r="I682" i="10"/>
  <c r="H682" i="10"/>
  <c r="G682" i="10"/>
  <c r="F682" i="10"/>
  <c r="AC681" i="10"/>
  <c r="AB681" i="10"/>
  <c r="AA681" i="10"/>
  <c r="Z681" i="10"/>
  <c r="Y681" i="10"/>
  <c r="X681" i="10"/>
  <c r="W681" i="10"/>
  <c r="V681" i="10"/>
  <c r="U681" i="10"/>
  <c r="T681" i="10"/>
  <c r="S681" i="10"/>
  <c r="R681" i="10"/>
  <c r="Q681" i="10"/>
  <c r="P681" i="10"/>
  <c r="O681" i="10"/>
  <c r="N681" i="10"/>
  <c r="M681" i="10"/>
  <c r="L681" i="10"/>
  <c r="K681" i="10"/>
  <c r="J681" i="10"/>
  <c r="I681" i="10"/>
  <c r="H681" i="10"/>
  <c r="G681" i="10"/>
  <c r="F681" i="10"/>
  <c r="AC680" i="10"/>
  <c r="AB680" i="10"/>
  <c r="AA680" i="10"/>
  <c r="Z680" i="10"/>
  <c r="Y680" i="10"/>
  <c r="X680" i="10"/>
  <c r="W680" i="10"/>
  <c r="V680" i="10"/>
  <c r="U680" i="10"/>
  <c r="T680" i="10"/>
  <c r="S680" i="10"/>
  <c r="R680" i="10"/>
  <c r="Q680" i="10"/>
  <c r="P680" i="10"/>
  <c r="O680" i="10"/>
  <c r="N680" i="10"/>
  <c r="M680" i="10"/>
  <c r="L680" i="10"/>
  <c r="K680" i="10"/>
  <c r="J680" i="10"/>
  <c r="I680" i="10"/>
  <c r="H680" i="10"/>
  <c r="G680" i="10"/>
  <c r="F680" i="10"/>
  <c r="AC679" i="10"/>
  <c r="AB679" i="10"/>
  <c r="AA679" i="10"/>
  <c r="Z679" i="10"/>
  <c r="Y679" i="10"/>
  <c r="X679" i="10"/>
  <c r="W679" i="10"/>
  <c r="V679" i="10"/>
  <c r="U679" i="10"/>
  <c r="T679" i="10"/>
  <c r="S679" i="10"/>
  <c r="R679" i="10"/>
  <c r="Q679" i="10"/>
  <c r="P679" i="10"/>
  <c r="O679" i="10"/>
  <c r="N679" i="10"/>
  <c r="M679" i="10"/>
  <c r="L679" i="10"/>
  <c r="K679" i="10"/>
  <c r="J679" i="10"/>
  <c r="I679" i="10"/>
  <c r="H679" i="10"/>
  <c r="G679" i="10"/>
  <c r="F679" i="10"/>
  <c r="AC678" i="10"/>
  <c r="AB678" i="10"/>
  <c r="AA678" i="10"/>
  <c r="Z678" i="10"/>
  <c r="Y678" i="10"/>
  <c r="X678" i="10"/>
  <c r="W678" i="10"/>
  <c r="V678" i="10"/>
  <c r="U678" i="10"/>
  <c r="T678" i="10"/>
  <c r="S678" i="10"/>
  <c r="R678" i="10"/>
  <c r="Q678" i="10"/>
  <c r="P678" i="10"/>
  <c r="O678" i="10"/>
  <c r="N678" i="10"/>
  <c r="M678" i="10"/>
  <c r="L678" i="10"/>
  <c r="K678" i="10"/>
  <c r="J678" i="10"/>
  <c r="I678" i="10"/>
  <c r="H678" i="10"/>
  <c r="G678" i="10"/>
  <c r="F678" i="10"/>
  <c r="AC677" i="10"/>
  <c r="AB677" i="10"/>
  <c r="AA677" i="10"/>
  <c r="Z677" i="10"/>
  <c r="Y677" i="10"/>
  <c r="X677" i="10"/>
  <c r="W677" i="10"/>
  <c r="V677" i="10"/>
  <c r="U677" i="10"/>
  <c r="T677" i="10"/>
  <c r="S677" i="10"/>
  <c r="R677" i="10"/>
  <c r="Q677" i="10"/>
  <c r="P677" i="10"/>
  <c r="O677" i="10"/>
  <c r="N677" i="10"/>
  <c r="M677" i="10"/>
  <c r="L677" i="10"/>
  <c r="K677" i="10"/>
  <c r="J677" i="10"/>
  <c r="I677" i="10"/>
  <c r="H677" i="10"/>
  <c r="G677" i="10"/>
  <c r="F677" i="10"/>
  <c r="AC676" i="10"/>
  <c r="AB676" i="10"/>
  <c r="AA676" i="10"/>
  <c r="Z676" i="10"/>
  <c r="Y676" i="10"/>
  <c r="X676" i="10"/>
  <c r="W676" i="10"/>
  <c r="V676" i="10"/>
  <c r="U676" i="10"/>
  <c r="T676" i="10"/>
  <c r="S676" i="10"/>
  <c r="R676" i="10"/>
  <c r="Q676" i="10"/>
  <c r="P676" i="10"/>
  <c r="O676" i="10"/>
  <c r="N676" i="10"/>
  <c r="M676" i="10"/>
  <c r="L676" i="10"/>
  <c r="K676" i="10"/>
  <c r="J676" i="10"/>
  <c r="I676" i="10"/>
  <c r="H676" i="10"/>
  <c r="G676" i="10"/>
  <c r="F676" i="10"/>
  <c r="AC675" i="10"/>
  <c r="AB675" i="10"/>
  <c r="AA675" i="10"/>
  <c r="Z675" i="10"/>
  <c r="Y675" i="10"/>
  <c r="X675" i="10"/>
  <c r="W675" i="10"/>
  <c r="V675" i="10"/>
  <c r="U675" i="10"/>
  <c r="T675" i="10"/>
  <c r="S675" i="10"/>
  <c r="R675" i="10"/>
  <c r="Q675" i="10"/>
  <c r="P675" i="10"/>
  <c r="O675" i="10"/>
  <c r="N675" i="10"/>
  <c r="M675" i="10"/>
  <c r="L675" i="10"/>
  <c r="K675" i="10"/>
  <c r="J675" i="10"/>
  <c r="I675" i="10"/>
  <c r="H675" i="10"/>
  <c r="G675" i="10"/>
  <c r="F675" i="10"/>
  <c r="AC674" i="10"/>
  <c r="AB674" i="10"/>
  <c r="AA674" i="10"/>
  <c r="Z674" i="10"/>
  <c r="Y674" i="10"/>
  <c r="X674" i="10"/>
  <c r="W674" i="10"/>
  <c r="V674" i="10"/>
  <c r="U674" i="10"/>
  <c r="T674" i="10"/>
  <c r="S674" i="10"/>
  <c r="R674" i="10"/>
  <c r="Q674" i="10"/>
  <c r="P674" i="10"/>
  <c r="O674" i="10"/>
  <c r="N674" i="10"/>
  <c r="M674" i="10"/>
  <c r="L674" i="10"/>
  <c r="K674" i="10"/>
  <c r="J674" i="10"/>
  <c r="I674" i="10"/>
  <c r="H674" i="10"/>
  <c r="G674" i="10"/>
  <c r="F674" i="10"/>
  <c r="AC673" i="10"/>
  <c r="AB673" i="10"/>
  <c r="AA673" i="10"/>
  <c r="Z673" i="10"/>
  <c r="Y673" i="10"/>
  <c r="X673" i="10"/>
  <c r="W673" i="10"/>
  <c r="V673" i="10"/>
  <c r="U673" i="10"/>
  <c r="T673" i="10"/>
  <c r="S673" i="10"/>
  <c r="R673" i="10"/>
  <c r="Q673" i="10"/>
  <c r="P673" i="10"/>
  <c r="O673" i="10"/>
  <c r="N673" i="10"/>
  <c r="M673" i="10"/>
  <c r="L673" i="10"/>
  <c r="K673" i="10"/>
  <c r="J673" i="10"/>
  <c r="I673" i="10"/>
  <c r="H673" i="10"/>
  <c r="G673" i="10"/>
  <c r="F673" i="10"/>
  <c r="AC672" i="10"/>
  <c r="AB672" i="10"/>
  <c r="AA672" i="10"/>
  <c r="Z672" i="10"/>
  <c r="Y672" i="10"/>
  <c r="X672" i="10"/>
  <c r="W672" i="10"/>
  <c r="V672" i="10"/>
  <c r="U672" i="10"/>
  <c r="T672" i="10"/>
  <c r="S672" i="10"/>
  <c r="R672" i="10"/>
  <c r="Q672" i="10"/>
  <c r="P672" i="10"/>
  <c r="O672" i="10"/>
  <c r="N672" i="10"/>
  <c r="M672" i="10"/>
  <c r="L672" i="10"/>
  <c r="K672" i="10"/>
  <c r="J672" i="10"/>
  <c r="I672" i="10"/>
  <c r="H672" i="10"/>
  <c r="G672" i="10"/>
  <c r="F672" i="10"/>
  <c r="AC671" i="10"/>
  <c r="AB671" i="10"/>
  <c r="AA671" i="10"/>
  <c r="Z671" i="10"/>
  <c r="Y671" i="10"/>
  <c r="X671" i="10"/>
  <c r="W671" i="10"/>
  <c r="V671" i="10"/>
  <c r="U671" i="10"/>
  <c r="T671" i="10"/>
  <c r="S671" i="10"/>
  <c r="R671" i="10"/>
  <c r="Q671" i="10"/>
  <c r="P671" i="10"/>
  <c r="O671" i="10"/>
  <c r="N671" i="10"/>
  <c r="M671" i="10"/>
  <c r="L671" i="10"/>
  <c r="K671" i="10"/>
  <c r="J671" i="10"/>
  <c r="I671" i="10"/>
  <c r="H671" i="10"/>
  <c r="G671" i="10"/>
  <c r="F671" i="10"/>
  <c r="AC670" i="10"/>
  <c r="AB670" i="10"/>
  <c r="AA670" i="10"/>
  <c r="Z670" i="10"/>
  <c r="Y670" i="10"/>
  <c r="X670" i="10"/>
  <c r="W670" i="10"/>
  <c r="V670" i="10"/>
  <c r="U670" i="10"/>
  <c r="T670" i="10"/>
  <c r="S670" i="10"/>
  <c r="R670" i="10"/>
  <c r="Q670" i="10"/>
  <c r="P670" i="10"/>
  <c r="O670" i="10"/>
  <c r="N670" i="10"/>
  <c r="M670" i="10"/>
  <c r="L670" i="10"/>
  <c r="K670" i="10"/>
  <c r="J670" i="10"/>
  <c r="I670" i="10"/>
  <c r="H670" i="10"/>
  <c r="G670" i="10"/>
  <c r="F670" i="10"/>
  <c r="AC669" i="10"/>
  <c r="AB669" i="10"/>
  <c r="AA669" i="10"/>
  <c r="Z669" i="10"/>
  <c r="Y669" i="10"/>
  <c r="X669" i="10"/>
  <c r="W669" i="10"/>
  <c r="V669" i="10"/>
  <c r="U669" i="10"/>
  <c r="T669" i="10"/>
  <c r="S669" i="10"/>
  <c r="R669" i="10"/>
  <c r="Q669" i="10"/>
  <c r="P669" i="10"/>
  <c r="O669" i="10"/>
  <c r="N669" i="10"/>
  <c r="M669" i="10"/>
  <c r="L669" i="10"/>
  <c r="K669" i="10"/>
  <c r="J669" i="10"/>
  <c r="I669" i="10"/>
  <c r="H669" i="10"/>
  <c r="G669" i="10"/>
  <c r="F669" i="10"/>
  <c r="AC668" i="10"/>
  <c r="AB668" i="10"/>
  <c r="AA668" i="10"/>
  <c r="Z668" i="10"/>
  <c r="Y668" i="10"/>
  <c r="X668" i="10"/>
  <c r="W668" i="10"/>
  <c r="V668" i="10"/>
  <c r="U668" i="10"/>
  <c r="T668" i="10"/>
  <c r="S668" i="10"/>
  <c r="R668" i="10"/>
  <c r="Q668" i="10"/>
  <c r="P668" i="10"/>
  <c r="O668" i="10"/>
  <c r="N668" i="10"/>
  <c r="M668" i="10"/>
  <c r="L668" i="10"/>
  <c r="K668" i="10"/>
  <c r="J668" i="10"/>
  <c r="I668" i="10"/>
  <c r="H668" i="10"/>
  <c r="G668" i="10"/>
  <c r="F668" i="10"/>
  <c r="AC667" i="10"/>
  <c r="AB667" i="10"/>
  <c r="AA667" i="10"/>
  <c r="Z667" i="10"/>
  <c r="Y667" i="10"/>
  <c r="X667" i="10"/>
  <c r="W667" i="10"/>
  <c r="V667" i="10"/>
  <c r="U667" i="10"/>
  <c r="T667" i="10"/>
  <c r="S667" i="10"/>
  <c r="R667" i="10"/>
  <c r="Q667" i="10"/>
  <c r="P667" i="10"/>
  <c r="O667" i="10"/>
  <c r="N667" i="10"/>
  <c r="M667" i="10"/>
  <c r="L667" i="10"/>
  <c r="K667" i="10"/>
  <c r="J667" i="10"/>
  <c r="I667" i="10"/>
  <c r="H667" i="10"/>
  <c r="G667" i="10"/>
  <c r="F667" i="10"/>
  <c r="AC666" i="10"/>
  <c r="AB666" i="10"/>
  <c r="AA666" i="10"/>
  <c r="Z666" i="10"/>
  <c r="Y666" i="10"/>
  <c r="X666" i="10"/>
  <c r="W666" i="10"/>
  <c r="V666" i="10"/>
  <c r="U666" i="10"/>
  <c r="T666" i="10"/>
  <c r="S666" i="10"/>
  <c r="R666" i="10"/>
  <c r="Q666" i="10"/>
  <c r="P666" i="10"/>
  <c r="O666" i="10"/>
  <c r="N666" i="10"/>
  <c r="M666" i="10"/>
  <c r="L666" i="10"/>
  <c r="K666" i="10"/>
  <c r="J666" i="10"/>
  <c r="I666" i="10"/>
  <c r="H666" i="10"/>
  <c r="G666" i="10"/>
  <c r="F666" i="10"/>
  <c r="AC665" i="10"/>
  <c r="AB665" i="10"/>
  <c r="AA665" i="10"/>
  <c r="Z665" i="10"/>
  <c r="Y665" i="10"/>
  <c r="X665" i="10"/>
  <c r="W665" i="10"/>
  <c r="V665" i="10"/>
  <c r="U665" i="10"/>
  <c r="T665" i="10"/>
  <c r="S665" i="10"/>
  <c r="R665" i="10"/>
  <c r="Q665" i="10"/>
  <c r="P665" i="10"/>
  <c r="O665" i="10"/>
  <c r="N665" i="10"/>
  <c r="M665" i="10"/>
  <c r="L665" i="10"/>
  <c r="K665" i="10"/>
  <c r="J665" i="10"/>
  <c r="I665" i="10"/>
  <c r="H665" i="10"/>
  <c r="G665" i="10"/>
  <c r="F665" i="10"/>
  <c r="AC664" i="10"/>
  <c r="AB664" i="10"/>
  <c r="AA664" i="10"/>
  <c r="Z664" i="10"/>
  <c r="Y664" i="10"/>
  <c r="X664" i="10"/>
  <c r="W664" i="10"/>
  <c r="V664" i="10"/>
  <c r="U664" i="10"/>
  <c r="T664" i="10"/>
  <c r="S664" i="10"/>
  <c r="R664" i="10"/>
  <c r="Q664" i="10"/>
  <c r="P664" i="10"/>
  <c r="O664" i="10"/>
  <c r="N664" i="10"/>
  <c r="M664" i="10"/>
  <c r="L664" i="10"/>
  <c r="K664" i="10"/>
  <c r="J664" i="10"/>
  <c r="I664" i="10"/>
  <c r="H664" i="10"/>
  <c r="G664" i="10"/>
  <c r="F664" i="10"/>
  <c r="AC663" i="10"/>
  <c r="AB663" i="10"/>
  <c r="AA663" i="10"/>
  <c r="Z663" i="10"/>
  <c r="Y663" i="10"/>
  <c r="X663" i="10"/>
  <c r="W663" i="10"/>
  <c r="V663" i="10"/>
  <c r="U663" i="10"/>
  <c r="T663" i="10"/>
  <c r="S663" i="10"/>
  <c r="R663" i="10"/>
  <c r="Q663" i="10"/>
  <c r="P663" i="10"/>
  <c r="O663" i="10"/>
  <c r="N663" i="10"/>
  <c r="M663" i="10"/>
  <c r="L663" i="10"/>
  <c r="K663" i="10"/>
  <c r="J663" i="10"/>
  <c r="I663" i="10"/>
  <c r="H663" i="10"/>
  <c r="G663" i="10"/>
  <c r="F663" i="10"/>
  <c r="AC662" i="10"/>
  <c r="AB662" i="10"/>
  <c r="AA662" i="10"/>
  <c r="Z662" i="10"/>
  <c r="Y662" i="10"/>
  <c r="X662" i="10"/>
  <c r="W662" i="10"/>
  <c r="V662" i="10"/>
  <c r="U662" i="10"/>
  <c r="T662" i="10"/>
  <c r="S662" i="10"/>
  <c r="R662" i="10"/>
  <c r="Q662" i="10"/>
  <c r="P662" i="10"/>
  <c r="O662" i="10"/>
  <c r="N662" i="10"/>
  <c r="M662" i="10"/>
  <c r="L662" i="10"/>
  <c r="K662" i="10"/>
  <c r="J662" i="10"/>
  <c r="I662" i="10"/>
  <c r="H662" i="10"/>
  <c r="G662" i="10"/>
  <c r="F662" i="10"/>
  <c r="AC661" i="10"/>
  <c r="AB661" i="10"/>
  <c r="AA661" i="10"/>
  <c r="Z661" i="10"/>
  <c r="Y661" i="10"/>
  <c r="X661" i="10"/>
  <c r="W661" i="10"/>
  <c r="V661" i="10"/>
  <c r="U661" i="10"/>
  <c r="T661" i="10"/>
  <c r="S661" i="10"/>
  <c r="R661" i="10"/>
  <c r="Q661" i="10"/>
  <c r="P661" i="10"/>
  <c r="O661" i="10"/>
  <c r="N661" i="10"/>
  <c r="M661" i="10"/>
  <c r="L661" i="10"/>
  <c r="K661" i="10"/>
  <c r="J661" i="10"/>
  <c r="I661" i="10"/>
  <c r="H661" i="10"/>
  <c r="G661" i="10"/>
  <c r="F661" i="10"/>
  <c r="AC660" i="10"/>
  <c r="AB660" i="10"/>
  <c r="AA660" i="10"/>
  <c r="Z660" i="10"/>
  <c r="Y660" i="10"/>
  <c r="X660" i="10"/>
  <c r="W660" i="10"/>
  <c r="V660" i="10"/>
  <c r="U660" i="10"/>
  <c r="T660" i="10"/>
  <c r="S660" i="10"/>
  <c r="R660" i="10"/>
  <c r="Q660" i="10"/>
  <c r="P660" i="10"/>
  <c r="O660" i="10"/>
  <c r="N660" i="10"/>
  <c r="M660" i="10"/>
  <c r="L660" i="10"/>
  <c r="K660" i="10"/>
  <c r="J660" i="10"/>
  <c r="I660" i="10"/>
  <c r="H660" i="10"/>
  <c r="G660" i="10"/>
  <c r="F660" i="10"/>
  <c r="AC659" i="10"/>
  <c r="AB659" i="10"/>
  <c r="AA659" i="10"/>
  <c r="Z659" i="10"/>
  <c r="Y659" i="10"/>
  <c r="X659" i="10"/>
  <c r="W659" i="10"/>
  <c r="V659" i="10"/>
  <c r="U659" i="10"/>
  <c r="T659" i="10"/>
  <c r="S659" i="10"/>
  <c r="R659" i="10"/>
  <c r="Q659" i="10"/>
  <c r="P659" i="10"/>
  <c r="O659" i="10"/>
  <c r="N659" i="10"/>
  <c r="M659" i="10"/>
  <c r="L659" i="10"/>
  <c r="K659" i="10"/>
  <c r="J659" i="10"/>
  <c r="I659" i="10"/>
  <c r="H659" i="10"/>
  <c r="G659" i="10"/>
  <c r="F659" i="10"/>
  <c r="AC658" i="10"/>
  <c r="AB658" i="10"/>
  <c r="AA658" i="10"/>
  <c r="Z658" i="10"/>
  <c r="Y658" i="10"/>
  <c r="X658" i="10"/>
  <c r="W658" i="10"/>
  <c r="V658" i="10"/>
  <c r="U658" i="10"/>
  <c r="T658" i="10"/>
  <c r="S658" i="10"/>
  <c r="R658" i="10"/>
  <c r="Q658" i="10"/>
  <c r="P658" i="10"/>
  <c r="O658" i="10"/>
  <c r="N658" i="10"/>
  <c r="M658" i="10"/>
  <c r="L658" i="10"/>
  <c r="K658" i="10"/>
  <c r="J658" i="10"/>
  <c r="I658" i="10"/>
  <c r="H658" i="10"/>
  <c r="G658" i="10"/>
  <c r="F658" i="10"/>
  <c r="AC657" i="10"/>
  <c r="AB657" i="10"/>
  <c r="AA657" i="10"/>
  <c r="Z657" i="10"/>
  <c r="Y657" i="10"/>
  <c r="X657" i="10"/>
  <c r="W657" i="10"/>
  <c r="V657" i="10"/>
  <c r="U657" i="10"/>
  <c r="T657" i="10"/>
  <c r="S657" i="10"/>
  <c r="R657" i="10"/>
  <c r="Q657" i="10"/>
  <c r="P657" i="10"/>
  <c r="O657" i="10"/>
  <c r="N657" i="10"/>
  <c r="M657" i="10"/>
  <c r="L657" i="10"/>
  <c r="K657" i="10"/>
  <c r="J657" i="10"/>
  <c r="I657" i="10"/>
  <c r="H657" i="10"/>
  <c r="G657" i="10"/>
  <c r="F657" i="10"/>
  <c r="AC656" i="10"/>
  <c r="AB656" i="10"/>
  <c r="AA656" i="10"/>
  <c r="Z656" i="10"/>
  <c r="Y656" i="10"/>
  <c r="X656" i="10"/>
  <c r="W656" i="10"/>
  <c r="V656" i="10"/>
  <c r="U656" i="10"/>
  <c r="T656" i="10"/>
  <c r="S656" i="10"/>
  <c r="R656" i="10"/>
  <c r="Q656" i="10"/>
  <c r="P656" i="10"/>
  <c r="O656" i="10"/>
  <c r="N656" i="10"/>
  <c r="M656" i="10"/>
  <c r="L656" i="10"/>
  <c r="K656" i="10"/>
  <c r="J656" i="10"/>
  <c r="I656" i="10"/>
  <c r="H656" i="10"/>
  <c r="G656" i="10"/>
  <c r="F656" i="10"/>
  <c r="AC655" i="10"/>
  <c r="AB655" i="10"/>
  <c r="AA655" i="10"/>
  <c r="Z655" i="10"/>
  <c r="Y655" i="10"/>
  <c r="X655" i="10"/>
  <c r="W655" i="10"/>
  <c r="V655" i="10"/>
  <c r="U655" i="10"/>
  <c r="T655" i="10"/>
  <c r="S655" i="10"/>
  <c r="R655" i="10"/>
  <c r="Q655" i="10"/>
  <c r="P655" i="10"/>
  <c r="O655" i="10"/>
  <c r="N655" i="10"/>
  <c r="M655" i="10"/>
  <c r="L655" i="10"/>
  <c r="K655" i="10"/>
  <c r="J655" i="10"/>
  <c r="I655" i="10"/>
  <c r="H655" i="10"/>
  <c r="G655" i="10"/>
  <c r="F655" i="10"/>
  <c r="AC654" i="10"/>
  <c r="AB654" i="10"/>
  <c r="AA654" i="10"/>
  <c r="Z654" i="10"/>
  <c r="Y654" i="10"/>
  <c r="X654" i="10"/>
  <c r="W654" i="10"/>
  <c r="V654" i="10"/>
  <c r="U654" i="10"/>
  <c r="T654" i="10"/>
  <c r="S654" i="10"/>
  <c r="R654" i="10"/>
  <c r="Q654" i="10"/>
  <c r="P654" i="10"/>
  <c r="O654" i="10"/>
  <c r="N654" i="10"/>
  <c r="M654" i="10"/>
  <c r="L654" i="10"/>
  <c r="K654" i="10"/>
  <c r="J654" i="10"/>
  <c r="I654" i="10"/>
  <c r="H654" i="10"/>
  <c r="G654" i="10"/>
  <c r="F654" i="10"/>
  <c r="AC653" i="10"/>
  <c r="AB653" i="10"/>
  <c r="AA653" i="10"/>
  <c r="Z653" i="10"/>
  <c r="Y653" i="10"/>
  <c r="X653" i="10"/>
  <c r="W653" i="10"/>
  <c r="V653" i="10"/>
  <c r="U653" i="10"/>
  <c r="T653" i="10"/>
  <c r="S653" i="10"/>
  <c r="R653" i="10"/>
  <c r="Q653" i="10"/>
  <c r="P653" i="10"/>
  <c r="O653" i="10"/>
  <c r="N653" i="10"/>
  <c r="M653" i="10"/>
  <c r="L653" i="10"/>
  <c r="K653" i="10"/>
  <c r="J653" i="10"/>
  <c r="I653" i="10"/>
  <c r="H653" i="10"/>
  <c r="G653" i="10"/>
  <c r="F653" i="10"/>
  <c r="AC652" i="10"/>
  <c r="AB652" i="10"/>
  <c r="AA652" i="10"/>
  <c r="Z652" i="10"/>
  <c r="Y652" i="10"/>
  <c r="X652" i="10"/>
  <c r="W652" i="10"/>
  <c r="V652" i="10"/>
  <c r="U652" i="10"/>
  <c r="T652" i="10"/>
  <c r="S652" i="10"/>
  <c r="R652" i="10"/>
  <c r="Q652" i="10"/>
  <c r="P652" i="10"/>
  <c r="O652" i="10"/>
  <c r="N652" i="10"/>
  <c r="M652" i="10"/>
  <c r="L652" i="10"/>
  <c r="K652" i="10"/>
  <c r="J652" i="10"/>
  <c r="I652" i="10"/>
  <c r="H652" i="10"/>
  <c r="G652" i="10"/>
  <c r="F652" i="10"/>
  <c r="AC651" i="10"/>
  <c r="AB651" i="10"/>
  <c r="AA651" i="10"/>
  <c r="Z651" i="10"/>
  <c r="Y651" i="10"/>
  <c r="X651" i="10"/>
  <c r="W651" i="10"/>
  <c r="V651" i="10"/>
  <c r="U651" i="10"/>
  <c r="T651" i="10"/>
  <c r="S651" i="10"/>
  <c r="R651" i="10"/>
  <c r="Q651" i="10"/>
  <c r="P651" i="10"/>
  <c r="O651" i="10"/>
  <c r="N651" i="10"/>
  <c r="M651" i="10"/>
  <c r="L651" i="10"/>
  <c r="K651" i="10"/>
  <c r="J651" i="10"/>
  <c r="I651" i="10"/>
  <c r="H651" i="10"/>
  <c r="G651" i="10"/>
  <c r="F651" i="10"/>
  <c r="AC650" i="10"/>
  <c r="AB650" i="10"/>
  <c r="AA650" i="10"/>
  <c r="Z650" i="10"/>
  <c r="Y650" i="10"/>
  <c r="X650" i="10"/>
  <c r="W650" i="10"/>
  <c r="V650" i="10"/>
  <c r="U650" i="10"/>
  <c r="T650" i="10"/>
  <c r="S650" i="10"/>
  <c r="R650" i="10"/>
  <c r="Q650" i="10"/>
  <c r="P650" i="10"/>
  <c r="O650" i="10"/>
  <c r="N650" i="10"/>
  <c r="M650" i="10"/>
  <c r="L650" i="10"/>
  <c r="K650" i="10"/>
  <c r="J650" i="10"/>
  <c r="I650" i="10"/>
  <c r="H650" i="10"/>
  <c r="G650" i="10"/>
  <c r="F650" i="10"/>
  <c r="AC649" i="10"/>
  <c r="AB649" i="10"/>
  <c r="AA649" i="10"/>
  <c r="Z649" i="10"/>
  <c r="Y649" i="10"/>
  <c r="X649" i="10"/>
  <c r="W649" i="10"/>
  <c r="V649" i="10"/>
  <c r="U649" i="10"/>
  <c r="T649" i="10"/>
  <c r="S649" i="10"/>
  <c r="R649" i="10"/>
  <c r="Q649" i="10"/>
  <c r="P649" i="10"/>
  <c r="O649" i="10"/>
  <c r="N649" i="10"/>
  <c r="M649" i="10"/>
  <c r="L649" i="10"/>
  <c r="K649" i="10"/>
  <c r="J649" i="10"/>
  <c r="I649" i="10"/>
  <c r="H649" i="10"/>
  <c r="G649" i="10"/>
  <c r="F649" i="10"/>
  <c r="AC648" i="10"/>
  <c r="AB648" i="10"/>
  <c r="AA648" i="10"/>
  <c r="Z648" i="10"/>
  <c r="Y648" i="10"/>
  <c r="X648" i="10"/>
  <c r="W648" i="10"/>
  <c r="V648" i="10"/>
  <c r="U648" i="10"/>
  <c r="T648" i="10"/>
  <c r="S648" i="10"/>
  <c r="R648" i="10"/>
  <c r="Q648" i="10"/>
  <c r="P648" i="10"/>
  <c r="O648" i="10"/>
  <c r="N648" i="10"/>
  <c r="M648" i="10"/>
  <c r="L648" i="10"/>
  <c r="K648" i="10"/>
  <c r="J648" i="10"/>
  <c r="I648" i="10"/>
  <c r="H648" i="10"/>
  <c r="G648" i="10"/>
  <c r="F648" i="10"/>
  <c r="AC647" i="10"/>
  <c r="AB647" i="10"/>
  <c r="AA647" i="10"/>
  <c r="Z647" i="10"/>
  <c r="Y647" i="10"/>
  <c r="X647" i="10"/>
  <c r="W647" i="10"/>
  <c r="V647" i="10"/>
  <c r="U647" i="10"/>
  <c r="T647" i="10"/>
  <c r="S647" i="10"/>
  <c r="R647" i="10"/>
  <c r="Q647" i="10"/>
  <c r="P647" i="10"/>
  <c r="O647" i="10"/>
  <c r="N647" i="10"/>
  <c r="M647" i="10"/>
  <c r="L647" i="10"/>
  <c r="K647" i="10"/>
  <c r="J647" i="10"/>
  <c r="I647" i="10"/>
  <c r="H647" i="10"/>
  <c r="G647" i="10"/>
  <c r="F647" i="10"/>
  <c r="AC646" i="10"/>
  <c r="AB646" i="10"/>
  <c r="AA646" i="10"/>
  <c r="Z646" i="10"/>
  <c r="Y646" i="10"/>
  <c r="X646" i="10"/>
  <c r="W646" i="10"/>
  <c r="V646" i="10"/>
  <c r="U646" i="10"/>
  <c r="T646" i="10"/>
  <c r="S646" i="10"/>
  <c r="R646" i="10"/>
  <c r="Q646" i="10"/>
  <c r="P646" i="10"/>
  <c r="O646" i="10"/>
  <c r="N646" i="10"/>
  <c r="M646" i="10"/>
  <c r="L646" i="10"/>
  <c r="K646" i="10"/>
  <c r="J646" i="10"/>
  <c r="I646" i="10"/>
  <c r="H646" i="10"/>
  <c r="G646" i="10"/>
  <c r="F646" i="10"/>
  <c r="AC645" i="10"/>
  <c r="AB645" i="10"/>
  <c r="AA645" i="10"/>
  <c r="Z645" i="10"/>
  <c r="Y645" i="10"/>
  <c r="X645" i="10"/>
  <c r="W645" i="10"/>
  <c r="V645" i="10"/>
  <c r="U645" i="10"/>
  <c r="T645" i="10"/>
  <c r="S645" i="10"/>
  <c r="R645" i="10"/>
  <c r="Q645" i="10"/>
  <c r="P645" i="10"/>
  <c r="O645" i="10"/>
  <c r="N645" i="10"/>
  <c r="M645" i="10"/>
  <c r="L645" i="10"/>
  <c r="K645" i="10"/>
  <c r="J645" i="10"/>
  <c r="I645" i="10"/>
  <c r="H645" i="10"/>
  <c r="G645" i="10"/>
  <c r="F645" i="10"/>
  <c r="AC644" i="10"/>
  <c r="AB644" i="10"/>
  <c r="AA644" i="10"/>
  <c r="Z644" i="10"/>
  <c r="Y644" i="10"/>
  <c r="X644" i="10"/>
  <c r="W644" i="10"/>
  <c r="V644" i="10"/>
  <c r="U644" i="10"/>
  <c r="T644" i="10"/>
  <c r="S644" i="10"/>
  <c r="R644" i="10"/>
  <c r="Q644" i="10"/>
  <c r="P644" i="10"/>
  <c r="O644" i="10"/>
  <c r="N644" i="10"/>
  <c r="M644" i="10"/>
  <c r="L644" i="10"/>
  <c r="K644" i="10"/>
  <c r="J644" i="10"/>
  <c r="I644" i="10"/>
  <c r="H644" i="10"/>
  <c r="G644" i="10"/>
  <c r="F644" i="10"/>
  <c r="AC643" i="10"/>
  <c r="AB643" i="10"/>
  <c r="AA643" i="10"/>
  <c r="Z643" i="10"/>
  <c r="Y643" i="10"/>
  <c r="X643" i="10"/>
  <c r="W643" i="10"/>
  <c r="V643" i="10"/>
  <c r="U643" i="10"/>
  <c r="T643" i="10"/>
  <c r="S643" i="10"/>
  <c r="R643" i="10"/>
  <c r="Q643" i="10"/>
  <c r="P643" i="10"/>
  <c r="O643" i="10"/>
  <c r="N643" i="10"/>
  <c r="M643" i="10"/>
  <c r="L643" i="10"/>
  <c r="K643" i="10"/>
  <c r="J643" i="10"/>
  <c r="I643" i="10"/>
  <c r="H643" i="10"/>
  <c r="G643" i="10"/>
  <c r="F643" i="10"/>
  <c r="AC642" i="10"/>
  <c r="AB642" i="10"/>
  <c r="AA642" i="10"/>
  <c r="Z642" i="10"/>
  <c r="Y642" i="10"/>
  <c r="X642" i="10"/>
  <c r="W642" i="10"/>
  <c r="V642" i="10"/>
  <c r="U642" i="10"/>
  <c r="T642" i="10"/>
  <c r="S642" i="10"/>
  <c r="R642" i="10"/>
  <c r="Q642" i="10"/>
  <c r="P642" i="10"/>
  <c r="O642" i="10"/>
  <c r="N642" i="10"/>
  <c r="M642" i="10"/>
  <c r="L642" i="10"/>
  <c r="K642" i="10"/>
  <c r="J642" i="10"/>
  <c r="I642" i="10"/>
  <c r="H642" i="10"/>
  <c r="G642" i="10"/>
  <c r="F642" i="10"/>
  <c r="AC641" i="10"/>
  <c r="AB641" i="10"/>
  <c r="AA641" i="10"/>
  <c r="Z641" i="10"/>
  <c r="Y641" i="10"/>
  <c r="X641" i="10"/>
  <c r="W641" i="10"/>
  <c r="V641" i="10"/>
  <c r="U641" i="10"/>
  <c r="T641" i="10"/>
  <c r="S641" i="10"/>
  <c r="R641" i="10"/>
  <c r="Q641" i="10"/>
  <c r="P641" i="10"/>
  <c r="O641" i="10"/>
  <c r="N641" i="10"/>
  <c r="M641" i="10"/>
  <c r="L641" i="10"/>
  <c r="K641" i="10"/>
  <c r="J641" i="10"/>
  <c r="I641" i="10"/>
  <c r="H641" i="10"/>
  <c r="G641" i="10"/>
  <c r="F641" i="10"/>
  <c r="AC640" i="10"/>
  <c r="AB640" i="10"/>
  <c r="AA640" i="10"/>
  <c r="Z640" i="10"/>
  <c r="Y640" i="10"/>
  <c r="X640" i="10"/>
  <c r="W640" i="10"/>
  <c r="V640" i="10"/>
  <c r="U640" i="10"/>
  <c r="T640" i="10"/>
  <c r="S640" i="10"/>
  <c r="R640" i="10"/>
  <c r="Q640" i="10"/>
  <c r="P640" i="10"/>
  <c r="O640" i="10"/>
  <c r="N640" i="10"/>
  <c r="M640" i="10"/>
  <c r="L640" i="10"/>
  <c r="K640" i="10"/>
  <c r="J640" i="10"/>
  <c r="I640" i="10"/>
  <c r="H640" i="10"/>
  <c r="G640" i="10"/>
  <c r="F640" i="10"/>
  <c r="AC639" i="10"/>
  <c r="AB639" i="10"/>
  <c r="AA639" i="10"/>
  <c r="Z639" i="10"/>
  <c r="Y639" i="10"/>
  <c r="X639" i="10"/>
  <c r="W639" i="10"/>
  <c r="V639" i="10"/>
  <c r="U639" i="10"/>
  <c r="T639" i="10"/>
  <c r="S639" i="10"/>
  <c r="R639" i="10"/>
  <c r="Q639" i="10"/>
  <c r="P639" i="10"/>
  <c r="O639" i="10"/>
  <c r="N639" i="10"/>
  <c r="M639" i="10"/>
  <c r="L639" i="10"/>
  <c r="K639" i="10"/>
  <c r="J639" i="10"/>
  <c r="I639" i="10"/>
  <c r="H639" i="10"/>
  <c r="G639" i="10"/>
  <c r="F639" i="10"/>
  <c r="AC638" i="10"/>
  <c r="AB638" i="10"/>
  <c r="AA638" i="10"/>
  <c r="Z638" i="10"/>
  <c r="Y638" i="10"/>
  <c r="X638" i="10"/>
  <c r="W638" i="10"/>
  <c r="V638" i="10"/>
  <c r="U638" i="10"/>
  <c r="T638" i="10"/>
  <c r="S638" i="10"/>
  <c r="R638" i="10"/>
  <c r="Q638" i="10"/>
  <c r="P638" i="10"/>
  <c r="O638" i="10"/>
  <c r="N638" i="10"/>
  <c r="M638" i="10"/>
  <c r="L638" i="10"/>
  <c r="K638" i="10"/>
  <c r="J638" i="10"/>
  <c r="I638" i="10"/>
  <c r="H638" i="10"/>
  <c r="G638" i="10"/>
  <c r="F638" i="10"/>
  <c r="AC637" i="10"/>
  <c r="AB637" i="10"/>
  <c r="AA637" i="10"/>
  <c r="Z637" i="10"/>
  <c r="Y637" i="10"/>
  <c r="X637" i="10"/>
  <c r="W637" i="10"/>
  <c r="V637" i="10"/>
  <c r="U637" i="10"/>
  <c r="T637" i="10"/>
  <c r="S637" i="10"/>
  <c r="R637" i="10"/>
  <c r="Q637" i="10"/>
  <c r="P637" i="10"/>
  <c r="O637" i="10"/>
  <c r="N637" i="10"/>
  <c r="M637" i="10"/>
  <c r="L637" i="10"/>
  <c r="K637" i="10"/>
  <c r="J637" i="10"/>
  <c r="I637" i="10"/>
  <c r="H637" i="10"/>
  <c r="G637" i="10"/>
  <c r="F637" i="10"/>
  <c r="AC636" i="10"/>
  <c r="AB636" i="10"/>
  <c r="AA636" i="10"/>
  <c r="Z636" i="10"/>
  <c r="Y636" i="10"/>
  <c r="X636" i="10"/>
  <c r="W636" i="10"/>
  <c r="V636" i="10"/>
  <c r="U636" i="10"/>
  <c r="T636" i="10"/>
  <c r="S636" i="10"/>
  <c r="R636" i="10"/>
  <c r="Q636" i="10"/>
  <c r="P636" i="10"/>
  <c r="O636" i="10"/>
  <c r="N636" i="10"/>
  <c r="M636" i="10"/>
  <c r="L636" i="10"/>
  <c r="K636" i="10"/>
  <c r="J636" i="10"/>
  <c r="I636" i="10"/>
  <c r="H636" i="10"/>
  <c r="G636" i="10"/>
  <c r="F636" i="10"/>
  <c r="AC635" i="10"/>
  <c r="AB635" i="10"/>
  <c r="AA635" i="10"/>
  <c r="Z635" i="10"/>
  <c r="Y635" i="10"/>
  <c r="X635" i="10"/>
  <c r="W635" i="10"/>
  <c r="V635" i="10"/>
  <c r="U635" i="10"/>
  <c r="T635" i="10"/>
  <c r="S635" i="10"/>
  <c r="R635" i="10"/>
  <c r="Q635" i="10"/>
  <c r="P635" i="10"/>
  <c r="O635" i="10"/>
  <c r="N635" i="10"/>
  <c r="M635" i="10"/>
  <c r="L635" i="10"/>
  <c r="K635" i="10"/>
  <c r="J635" i="10"/>
  <c r="I635" i="10"/>
  <c r="H635" i="10"/>
  <c r="G635" i="10"/>
  <c r="F635" i="10"/>
  <c r="AC634" i="10"/>
  <c r="AB634" i="10"/>
  <c r="AA634" i="10"/>
  <c r="Z634" i="10"/>
  <c r="Y634" i="10"/>
  <c r="X634" i="10"/>
  <c r="W634" i="10"/>
  <c r="V634" i="10"/>
  <c r="U634" i="10"/>
  <c r="T634" i="10"/>
  <c r="S634" i="10"/>
  <c r="R634" i="10"/>
  <c r="Q634" i="10"/>
  <c r="P634" i="10"/>
  <c r="O634" i="10"/>
  <c r="N634" i="10"/>
  <c r="M634" i="10"/>
  <c r="L634" i="10"/>
  <c r="K634" i="10"/>
  <c r="J634" i="10"/>
  <c r="I634" i="10"/>
  <c r="H634" i="10"/>
  <c r="G634" i="10"/>
  <c r="F634" i="10"/>
  <c r="AC633" i="10"/>
  <c r="AB633" i="10"/>
  <c r="AA633" i="10"/>
  <c r="Z633" i="10"/>
  <c r="Y633" i="10"/>
  <c r="X633" i="10"/>
  <c r="W633" i="10"/>
  <c r="V633" i="10"/>
  <c r="U633" i="10"/>
  <c r="T633" i="10"/>
  <c r="S633" i="10"/>
  <c r="R633" i="10"/>
  <c r="Q633" i="10"/>
  <c r="P633" i="10"/>
  <c r="O633" i="10"/>
  <c r="N633" i="10"/>
  <c r="M633" i="10"/>
  <c r="L633" i="10"/>
  <c r="K633" i="10"/>
  <c r="J633" i="10"/>
  <c r="I633" i="10"/>
  <c r="H633" i="10"/>
  <c r="G633" i="10"/>
  <c r="F633" i="10"/>
  <c r="AC632" i="10"/>
  <c r="AB632" i="10"/>
  <c r="AA632" i="10"/>
  <c r="Z632" i="10"/>
  <c r="Y632" i="10"/>
  <c r="X632" i="10"/>
  <c r="W632" i="10"/>
  <c r="V632" i="10"/>
  <c r="U632" i="10"/>
  <c r="T632" i="10"/>
  <c r="S632" i="10"/>
  <c r="R632" i="10"/>
  <c r="Q632" i="10"/>
  <c r="P632" i="10"/>
  <c r="O632" i="10"/>
  <c r="N632" i="10"/>
  <c r="M632" i="10"/>
  <c r="L632" i="10"/>
  <c r="K632" i="10"/>
  <c r="J632" i="10"/>
  <c r="I632" i="10"/>
  <c r="H632" i="10"/>
  <c r="G632" i="10"/>
  <c r="F632" i="10"/>
  <c r="AC631" i="10"/>
  <c r="AB631" i="10"/>
  <c r="AA631" i="10"/>
  <c r="Z631" i="10"/>
  <c r="Y631" i="10"/>
  <c r="X631" i="10"/>
  <c r="W631" i="10"/>
  <c r="V631" i="10"/>
  <c r="U631" i="10"/>
  <c r="T631" i="10"/>
  <c r="S631" i="10"/>
  <c r="R631" i="10"/>
  <c r="Q631" i="10"/>
  <c r="P631" i="10"/>
  <c r="O631" i="10"/>
  <c r="N631" i="10"/>
  <c r="M631" i="10"/>
  <c r="L631" i="10"/>
  <c r="K631" i="10"/>
  <c r="J631" i="10"/>
  <c r="I631" i="10"/>
  <c r="H631" i="10"/>
  <c r="G631" i="10"/>
  <c r="F631" i="10"/>
  <c r="AC630" i="10"/>
  <c r="AB630" i="10"/>
  <c r="AA630" i="10"/>
  <c r="Z630" i="10"/>
  <c r="Y630" i="10"/>
  <c r="X630" i="10"/>
  <c r="W630" i="10"/>
  <c r="V630" i="10"/>
  <c r="U630" i="10"/>
  <c r="T630" i="10"/>
  <c r="S630" i="10"/>
  <c r="R630" i="10"/>
  <c r="Q630" i="10"/>
  <c r="P630" i="10"/>
  <c r="O630" i="10"/>
  <c r="N630" i="10"/>
  <c r="M630" i="10"/>
  <c r="L630" i="10"/>
  <c r="K630" i="10"/>
  <c r="J630" i="10"/>
  <c r="I630" i="10"/>
  <c r="H630" i="10"/>
  <c r="G630" i="10"/>
  <c r="F630" i="10"/>
  <c r="AC629" i="10"/>
  <c r="AB629" i="10"/>
  <c r="AA629" i="10"/>
  <c r="Z629" i="10"/>
  <c r="Y629" i="10"/>
  <c r="X629" i="10"/>
  <c r="W629" i="10"/>
  <c r="V629" i="10"/>
  <c r="U629" i="10"/>
  <c r="T629" i="10"/>
  <c r="S629" i="10"/>
  <c r="R629" i="10"/>
  <c r="Q629" i="10"/>
  <c r="P629" i="10"/>
  <c r="O629" i="10"/>
  <c r="N629" i="10"/>
  <c r="M629" i="10"/>
  <c r="L629" i="10"/>
  <c r="K629" i="10"/>
  <c r="J629" i="10"/>
  <c r="I629" i="10"/>
  <c r="H629" i="10"/>
  <c r="G629" i="10"/>
  <c r="F629" i="10"/>
  <c r="AC628" i="10"/>
  <c r="AB628" i="10"/>
  <c r="AA628" i="10"/>
  <c r="Z628" i="10"/>
  <c r="Y628" i="10"/>
  <c r="X628" i="10"/>
  <c r="W628" i="10"/>
  <c r="V628" i="10"/>
  <c r="U628" i="10"/>
  <c r="T628" i="10"/>
  <c r="S628" i="10"/>
  <c r="R628" i="10"/>
  <c r="Q628" i="10"/>
  <c r="P628" i="10"/>
  <c r="O628" i="10"/>
  <c r="N628" i="10"/>
  <c r="M628" i="10"/>
  <c r="L628" i="10"/>
  <c r="K628" i="10"/>
  <c r="J628" i="10"/>
  <c r="I628" i="10"/>
  <c r="H628" i="10"/>
  <c r="G628" i="10"/>
  <c r="F628" i="10"/>
  <c r="AC627" i="10"/>
  <c r="AB627" i="10"/>
  <c r="AA627" i="10"/>
  <c r="Z627" i="10"/>
  <c r="Y627" i="10"/>
  <c r="X627" i="10"/>
  <c r="W627" i="10"/>
  <c r="V627" i="10"/>
  <c r="U627" i="10"/>
  <c r="T627" i="10"/>
  <c r="S627" i="10"/>
  <c r="R627" i="10"/>
  <c r="Q627" i="10"/>
  <c r="P627" i="10"/>
  <c r="O627" i="10"/>
  <c r="N627" i="10"/>
  <c r="M627" i="10"/>
  <c r="L627" i="10"/>
  <c r="K627" i="10"/>
  <c r="J627" i="10"/>
  <c r="I627" i="10"/>
  <c r="H627" i="10"/>
  <c r="G627" i="10"/>
  <c r="F627" i="10"/>
  <c r="AC626" i="10"/>
  <c r="AB626" i="10"/>
  <c r="AA626" i="10"/>
  <c r="Z626" i="10"/>
  <c r="Y626" i="10"/>
  <c r="X626" i="10"/>
  <c r="W626" i="10"/>
  <c r="V626" i="10"/>
  <c r="U626" i="10"/>
  <c r="T626" i="10"/>
  <c r="S626" i="10"/>
  <c r="R626" i="10"/>
  <c r="Q626" i="10"/>
  <c r="P626" i="10"/>
  <c r="O626" i="10"/>
  <c r="N626" i="10"/>
  <c r="M626" i="10"/>
  <c r="L626" i="10"/>
  <c r="K626" i="10"/>
  <c r="J626" i="10"/>
  <c r="I626" i="10"/>
  <c r="H626" i="10"/>
  <c r="G626" i="10"/>
  <c r="F626" i="10"/>
  <c r="AC625" i="10"/>
  <c r="AB625" i="10"/>
  <c r="AA625" i="10"/>
  <c r="Z625" i="10"/>
  <c r="Y625" i="10"/>
  <c r="X625" i="10"/>
  <c r="W625" i="10"/>
  <c r="V625" i="10"/>
  <c r="U625" i="10"/>
  <c r="T625" i="10"/>
  <c r="S625" i="10"/>
  <c r="R625" i="10"/>
  <c r="Q625" i="10"/>
  <c r="P625" i="10"/>
  <c r="O625" i="10"/>
  <c r="N625" i="10"/>
  <c r="M625" i="10"/>
  <c r="L625" i="10"/>
  <c r="K625" i="10"/>
  <c r="J625" i="10"/>
  <c r="I625" i="10"/>
  <c r="H625" i="10"/>
  <c r="G625" i="10"/>
  <c r="F625" i="10"/>
  <c r="AC624" i="10"/>
  <c r="AB624" i="10"/>
  <c r="AA624" i="10"/>
  <c r="Z624" i="10"/>
  <c r="Y624" i="10"/>
  <c r="X624" i="10"/>
  <c r="W624" i="10"/>
  <c r="V624" i="10"/>
  <c r="U624" i="10"/>
  <c r="T624" i="10"/>
  <c r="S624" i="10"/>
  <c r="R624" i="10"/>
  <c r="Q624" i="10"/>
  <c r="P624" i="10"/>
  <c r="O624" i="10"/>
  <c r="N624" i="10"/>
  <c r="M624" i="10"/>
  <c r="L624" i="10"/>
  <c r="K624" i="10"/>
  <c r="J624" i="10"/>
  <c r="I624" i="10"/>
  <c r="H624" i="10"/>
  <c r="G624" i="10"/>
  <c r="F624" i="10"/>
  <c r="AC623" i="10"/>
  <c r="AB623" i="10"/>
  <c r="AA623" i="10"/>
  <c r="Z623" i="10"/>
  <c r="Y623" i="10"/>
  <c r="X623" i="10"/>
  <c r="W623" i="10"/>
  <c r="V623" i="10"/>
  <c r="U623" i="10"/>
  <c r="T623" i="10"/>
  <c r="S623" i="10"/>
  <c r="R623" i="10"/>
  <c r="Q623" i="10"/>
  <c r="P623" i="10"/>
  <c r="O623" i="10"/>
  <c r="N623" i="10"/>
  <c r="M623" i="10"/>
  <c r="L623" i="10"/>
  <c r="K623" i="10"/>
  <c r="J623" i="10"/>
  <c r="I623" i="10"/>
  <c r="H623" i="10"/>
  <c r="G623" i="10"/>
  <c r="F623" i="10"/>
  <c r="AC622" i="10"/>
  <c r="AB622" i="10"/>
  <c r="AA622" i="10"/>
  <c r="Z622" i="10"/>
  <c r="Y622" i="10"/>
  <c r="X622" i="10"/>
  <c r="W622" i="10"/>
  <c r="V622" i="10"/>
  <c r="U622" i="10"/>
  <c r="T622" i="10"/>
  <c r="S622" i="10"/>
  <c r="R622" i="10"/>
  <c r="Q622" i="10"/>
  <c r="P622" i="10"/>
  <c r="O622" i="10"/>
  <c r="N622" i="10"/>
  <c r="M622" i="10"/>
  <c r="L622" i="10"/>
  <c r="K622" i="10"/>
  <c r="J622" i="10"/>
  <c r="I622" i="10"/>
  <c r="H622" i="10"/>
  <c r="G622" i="10"/>
  <c r="F622" i="10"/>
  <c r="AC621" i="10"/>
  <c r="AB621" i="10"/>
  <c r="AA621" i="10"/>
  <c r="Z621" i="10"/>
  <c r="Y621" i="10"/>
  <c r="X621" i="10"/>
  <c r="W621" i="10"/>
  <c r="V621" i="10"/>
  <c r="U621" i="10"/>
  <c r="T621" i="10"/>
  <c r="S621" i="10"/>
  <c r="R621" i="10"/>
  <c r="Q621" i="10"/>
  <c r="P621" i="10"/>
  <c r="O621" i="10"/>
  <c r="N621" i="10"/>
  <c r="M621" i="10"/>
  <c r="L621" i="10"/>
  <c r="K621" i="10"/>
  <c r="J621" i="10"/>
  <c r="I621" i="10"/>
  <c r="H621" i="10"/>
  <c r="G621" i="10"/>
  <c r="F621" i="10"/>
  <c r="AC620" i="10"/>
  <c r="AB620" i="10"/>
  <c r="AA620" i="10"/>
  <c r="Z620" i="10"/>
  <c r="Y620" i="10"/>
  <c r="X620" i="10"/>
  <c r="W620" i="10"/>
  <c r="V620" i="10"/>
  <c r="U620" i="10"/>
  <c r="T620" i="10"/>
  <c r="S620" i="10"/>
  <c r="R620" i="10"/>
  <c r="Q620" i="10"/>
  <c r="P620" i="10"/>
  <c r="O620" i="10"/>
  <c r="N620" i="10"/>
  <c r="M620" i="10"/>
  <c r="L620" i="10"/>
  <c r="K620" i="10"/>
  <c r="J620" i="10"/>
  <c r="I620" i="10"/>
  <c r="H620" i="10"/>
  <c r="G620" i="10"/>
  <c r="F620" i="10"/>
  <c r="AC619" i="10"/>
  <c r="AB619" i="10"/>
  <c r="AA619" i="10"/>
  <c r="Z619" i="10"/>
  <c r="Y619" i="10"/>
  <c r="X619" i="10"/>
  <c r="W619" i="10"/>
  <c r="V619" i="10"/>
  <c r="U619" i="10"/>
  <c r="T619" i="10"/>
  <c r="S619" i="10"/>
  <c r="R619" i="10"/>
  <c r="Q619" i="10"/>
  <c r="P619" i="10"/>
  <c r="O619" i="10"/>
  <c r="N619" i="10"/>
  <c r="M619" i="10"/>
  <c r="L619" i="10"/>
  <c r="K619" i="10"/>
  <c r="J619" i="10"/>
  <c r="I619" i="10"/>
  <c r="H619" i="10"/>
  <c r="G619" i="10"/>
  <c r="F619" i="10"/>
  <c r="AC618" i="10"/>
  <c r="AB618" i="10"/>
  <c r="AA618" i="10"/>
  <c r="Z618" i="10"/>
  <c r="Y618" i="10"/>
  <c r="X618" i="10"/>
  <c r="W618" i="10"/>
  <c r="V618" i="10"/>
  <c r="U618" i="10"/>
  <c r="T618" i="10"/>
  <c r="S618" i="10"/>
  <c r="R618" i="10"/>
  <c r="Q618" i="10"/>
  <c r="P618" i="10"/>
  <c r="O618" i="10"/>
  <c r="N618" i="10"/>
  <c r="M618" i="10"/>
  <c r="L618" i="10"/>
  <c r="K618" i="10"/>
  <c r="J618" i="10"/>
  <c r="I618" i="10"/>
  <c r="H618" i="10"/>
  <c r="G618" i="10"/>
  <c r="F618" i="10"/>
  <c r="AC617" i="10"/>
  <c r="AB617" i="10"/>
  <c r="AA617" i="10"/>
  <c r="Z617" i="10"/>
  <c r="Y617" i="10"/>
  <c r="X617" i="10"/>
  <c r="W617" i="10"/>
  <c r="V617" i="10"/>
  <c r="U617" i="10"/>
  <c r="T617" i="10"/>
  <c r="S617" i="10"/>
  <c r="R617" i="10"/>
  <c r="Q617" i="10"/>
  <c r="P617" i="10"/>
  <c r="O617" i="10"/>
  <c r="N617" i="10"/>
  <c r="M617" i="10"/>
  <c r="L617" i="10"/>
  <c r="K617" i="10"/>
  <c r="J617" i="10"/>
  <c r="I617" i="10"/>
  <c r="H617" i="10"/>
  <c r="G617" i="10"/>
  <c r="F617" i="10"/>
  <c r="AC616" i="10"/>
  <c r="AB616" i="10"/>
  <c r="AA616" i="10"/>
  <c r="Z616" i="10"/>
  <c r="Y616" i="10"/>
  <c r="X616" i="10"/>
  <c r="W616" i="10"/>
  <c r="V616" i="10"/>
  <c r="U616" i="10"/>
  <c r="T616" i="10"/>
  <c r="S616" i="10"/>
  <c r="R616" i="10"/>
  <c r="Q616" i="10"/>
  <c r="P616" i="10"/>
  <c r="O616" i="10"/>
  <c r="N616" i="10"/>
  <c r="M616" i="10"/>
  <c r="L616" i="10"/>
  <c r="K616" i="10"/>
  <c r="J616" i="10"/>
  <c r="I616" i="10"/>
  <c r="H616" i="10"/>
  <c r="G616" i="10"/>
  <c r="F616" i="10"/>
  <c r="AC615" i="10"/>
  <c r="AB615" i="10"/>
  <c r="AA615" i="10"/>
  <c r="Z615" i="10"/>
  <c r="Y615" i="10"/>
  <c r="X615" i="10"/>
  <c r="W615" i="10"/>
  <c r="V615" i="10"/>
  <c r="U615" i="10"/>
  <c r="T615" i="10"/>
  <c r="S615" i="10"/>
  <c r="R615" i="10"/>
  <c r="Q615" i="10"/>
  <c r="P615" i="10"/>
  <c r="O615" i="10"/>
  <c r="N615" i="10"/>
  <c r="M615" i="10"/>
  <c r="L615" i="10"/>
  <c r="K615" i="10"/>
  <c r="J615" i="10"/>
  <c r="I615" i="10"/>
  <c r="H615" i="10"/>
  <c r="G615" i="10"/>
  <c r="F615" i="10"/>
  <c r="AC614" i="10"/>
  <c r="AB614" i="10"/>
  <c r="AA614" i="10"/>
  <c r="Z614" i="10"/>
  <c r="Y614" i="10"/>
  <c r="X614" i="10"/>
  <c r="W614" i="10"/>
  <c r="V614" i="10"/>
  <c r="U614" i="10"/>
  <c r="T614" i="10"/>
  <c r="S614" i="10"/>
  <c r="R614" i="10"/>
  <c r="Q614" i="10"/>
  <c r="P614" i="10"/>
  <c r="O614" i="10"/>
  <c r="N614" i="10"/>
  <c r="M614" i="10"/>
  <c r="L614" i="10"/>
  <c r="K614" i="10"/>
  <c r="J614" i="10"/>
  <c r="I614" i="10"/>
  <c r="H614" i="10"/>
  <c r="G614" i="10"/>
  <c r="F614" i="10"/>
  <c r="AC613" i="10"/>
  <c r="AB613" i="10"/>
  <c r="AA613" i="10"/>
  <c r="Z613" i="10"/>
  <c r="Y613" i="10"/>
  <c r="X613" i="10"/>
  <c r="W613" i="10"/>
  <c r="V613" i="10"/>
  <c r="U613" i="10"/>
  <c r="T613" i="10"/>
  <c r="S613" i="10"/>
  <c r="R613" i="10"/>
  <c r="Q613" i="10"/>
  <c r="P613" i="10"/>
  <c r="O613" i="10"/>
  <c r="N613" i="10"/>
  <c r="M613" i="10"/>
  <c r="L613" i="10"/>
  <c r="K613" i="10"/>
  <c r="J613" i="10"/>
  <c r="I613" i="10"/>
  <c r="H613" i="10"/>
  <c r="G613" i="10"/>
  <c r="F613" i="10"/>
  <c r="AC612" i="10"/>
  <c r="AB612" i="10"/>
  <c r="AA612" i="10"/>
  <c r="Z612" i="10"/>
  <c r="Y612" i="10"/>
  <c r="X612" i="10"/>
  <c r="W612" i="10"/>
  <c r="V612" i="10"/>
  <c r="U612" i="10"/>
  <c r="T612" i="10"/>
  <c r="S612" i="10"/>
  <c r="R612" i="10"/>
  <c r="Q612" i="10"/>
  <c r="P612" i="10"/>
  <c r="O612" i="10"/>
  <c r="N612" i="10"/>
  <c r="M612" i="10"/>
  <c r="L612" i="10"/>
  <c r="K612" i="10"/>
  <c r="J612" i="10"/>
  <c r="I612" i="10"/>
  <c r="H612" i="10"/>
  <c r="G612" i="10"/>
  <c r="F612" i="10"/>
  <c r="AC611" i="10"/>
  <c r="AB611" i="10"/>
  <c r="AA611" i="10"/>
  <c r="Z611" i="10"/>
  <c r="Y611" i="10"/>
  <c r="X611" i="10"/>
  <c r="W611" i="10"/>
  <c r="V611" i="10"/>
  <c r="U611" i="10"/>
  <c r="T611" i="10"/>
  <c r="S611" i="10"/>
  <c r="R611" i="10"/>
  <c r="Q611" i="10"/>
  <c r="P611" i="10"/>
  <c r="O611" i="10"/>
  <c r="N611" i="10"/>
  <c r="M611" i="10"/>
  <c r="L611" i="10"/>
  <c r="K611" i="10"/>
  <c r="J611" i="10"/>
  <c r="I611" i="10"/>
  <c r="H611" i="10"/>
  <c r="G611" i="10"/>
  <c r="F611" i="10"/>
  <c r="AC610" i="10"/>
  <c r="AB610" i="10"/>
  <c r="AA610" i="10"/>
  <c r="Z610" i="10"/>
  <c r="Y610" i="10"/>
  <c r="X610" i="10"/>
  <c r="W610" i="10"/>
  <c r="V610" i="10"/>
  <c r="U610" i="10"/>
  <c r="T610" i="10"/>
  <c r="S610" i="10"/>
  <c r="R610" i="10"/>
  <c r="Q610" i="10"/>
  <c r="P610" i="10"/>
  <c r="O610" i="10"/>
  <c r="N610" i="10"/>
  <c r="M610" i="10"/>
  <c r="L610" i="10"/>
  <c r="K610" i="10"/>
  <c r="J610" i="10"/>
  <c r="I610" i="10"/>
  <c r="H610" i="10"/>
  <c r="G610" i="10"/>
  <c r="F610" i="10"/>
  <c r="AC609" i="10"/>
  <c r="AB609" i="10"/>
  <c r="AA609" i="10"/>
  <c r="Z609" i="10"/>
  <c r="Y609" i="10"/>
  <c r="X609" i="10"/>
  <c r="W609" i="10"/>
  <c r="V609" i="10"/>
  <c r="U609" i="10"/>
  <c r="T609" i="10"/>
  <c r="S609" i="10"/>
  <c r="R609" i="10"/>
  <c r="Q609" i="10"/>
  <c r="P609" i="10"/>
  <c r="O609" i="10"/>
  <c r="N609" i="10"/>
  <c r="M609" i="10"/>
  <c r="L609" i="10"/>
  <c r="K609" i="10"/>
  <c r="J609" i="10"/>
  <c r="I609" i="10"/>
  <c r="H609" i="10"/>
  <c r="G609" i="10"/>
  <c r="F609" i="10"/>
  <c r="AC608" i="10"/>
  <c r="AB608" i="10"/>
  <c r="AA608" i="10"/>
  <c r="Z608" i="10"/>
  <c r="Y608" i="10"/>
  <c r="X608" i="10"/>
  <c r="W608" i="10"/>
  <c r="V608" i="10"/>
  <c r="U608" i="10"/>
  <c r="T608" i="10"/>
  <c r="S608" i="10"/>
  <c r="R608" i="10"/>
  <c r="Q608" i="10"/>
  <c r="P608" i="10"/>
  <c r="O608" i="10"/>
  <c r="N608" i="10"/>
  <c r="M608" i="10"/>
  <c r="L608" i="10"/>
  <c r="K608" i="10"/>
  <c r="J608" i="10"/>
  <c r="I608" i="10"/>
  <c r="H608" i="10"/>
  <c r="G608" i="10"/>
  <c r="F608" i="10"/>
  <c r="AC607" i="10"/>
  <c r="AB607" i="10"/>
  <c r="AA607" i="10"/>
  <c r="Z607" i="10"/>
  <c r="Y607" i="10"/>
  <c r="X607" i="10"/>
  <c r="W607" i="10"/>
  <c r="V607" i="10"/>
  <c r="U607" i="10"/>
  <c r="T607" i="10"/>
  <c r="S607" i="10"/>
  <c r="R607" i="10"/>
  <c r="Q607" i="10"/>
  <c r="P607" i="10"/>
  <c r="O607" i="10"/>
  <c r="N607" i="10"/>
  <c r="M607" i="10"/>
  <c r="L607" i="10"/>
  <c r="K607" i="10"/>
  <c r="J607" i="10"/>
  <c r="I607" i="10"/>
  <c r="H607" i="10"/>
  <c r="G607" i="10"/>
  <c r="F607" i="10"/>
  <c r="AC606" i="10"/>
  <c r="AB606" i="10"/>
  <c r="AA606" i="10"/>
  <c r="Z606" i="10"/>
  <c r="Y606" i="10"/>
  <c r="X606" i="10"/>
  <c r="W606" i="10"/>
  <c r="V606" i="10"/>
  <c r="U606" i="10"/>
  <c r="T606" i="10"/>
  <c r="S606" i="10"/>
  <c r="R606" i="10"/>
  <c r="Q606" i="10"/>
  <c r="P606" i="10"/>
  <c r="O606" i="10"/>
  <c r="N606" i="10"/>
  <c r="M606" i="10"/>
  <c r="L606" i="10"/>
  <c r="K606" i="10"/>
  <c r="J606" i="10"/>
  <c r="I606" i="10"/>
  <c r="H606" i="10"/>
  <c r="G606" i="10"/>
  <c r="F606" i="10"/>
  <c r="AC605" i="10"/>
  <c r="AB605" i="10"/>
  <c r="AA605" i="10"/>
  <c r="Z605" i="10"/>
  <c r="Y605" i="10"/>
  <c r="X605" i="10"/>
  <c r="W605" i="10"/>
  <c r="V605" i="10"/>
  <c r="U605" i="10"/>
  <c r="T605" i="10"/>
  <c r="S605" i="10"/>
  <c r="R605" i="10"/>
  <c r="Q605" i="10"/>
  <c r="P605" i="10"/>
  <c r="O605" i="10"/>
  <c r="N605" i="10"/>
  <c r="M605" i="10"/>
  <c r="L605" i="10"/>
  <c r="K605" i="10"/>
  <c r="J605" i="10"/>
  <c r="I605" i="10"/>
  <c r="H605" i="10"/>
  <c r="G605" i="10"/>
  <c r="F605" i="10"/>
  <c r="AC604" i="10"/>
  <c r="AB604" i="10"/>
  <c r="AA604" i="10"/>
  <c r="Z604" i="10"/>
  <c r="Y604" i="10"/>
  <c r="X604" i="10"/>
  <c r="W604" i="10"/>
  <c r="V604" i="10"/>
  <c r="U604" i="10"/>
  <c r="T604" i="10"/>
  <c r="S604" i="10"/>
  <c r="R604" i="10"/>
  <c r="Q604" i="10"/>
  <c r="P604" i="10"/>
  <c r="O604" i="10"/>
  <c r="N604" i="10"/>
  <c r="M604" i="10"/>
  <c r="L604" i="10"/>
  <c r="K604" i="10"/>
  <c r="J604" i="10"/>
  <c r="I604" i="10"/>
  <c r="H604" i="10"/>
  <c r="G604" i="10"/>
  <c r="F604" i="10"/>
  <c r="AC603" i="10"/>
  <c r="AB603" i="10"/>
  <c r="AA603" i="10"/>
  <c r="Z603" i="10"/>
  <c r="Y603" i="10"/>
  <c r="X603" i="10"/>
  <c r="W603" i="10"/>
  <c r="V603" i="10"/>
  <c r="U603" i="10"/>
  <c r="T603" i="10"/>
  <c r="S603" i="10"/>
  <c r="R603" i="10"/>
  <c r="Q603" i="10"/>
  <c r="P603" i="10"/>
  <c r="O603" i="10"/>
  <c r="N603" i="10"/>
  <c r="M603" i="10"/>
  <c r="L603" i="10"/>
  <c r="K603" i="10"/>
  <c r="J603" i="10"/>
  <c r="I603" i="10"/>
  <c r="H603" i="10"/>
  <c r="G603" i="10"/>
  <c r="F603" i="10"/>
  <c r="AC602" i="10"/>
  <c r="AB602" i="10"/>
  <c r="AA602" i="10"/>
  <c r="Z602" i="10"/>
  <c r="Y602" i="10"/>
  <c r="X602" i="10"/>
  <c r="W602" i="10"/>
  <c r="V602" i="10"/>
  <c r="U602" i="10"/>
  <c r="T602" i="10"/>
  <c r="S602" i="10"/>
  <c r="R602" i="10"/>
  <c r="Q602" i="10"/>
  <c r="P602" i="10"/>
  <c r="O602" i="10"/>
  <c r="N602" i="10"/>
  <c r="M602" i="10"/>
  <c r="L602" i="10"/>
  <c r="K602" i="10"/>
  <c r="J602" i="10"/>
  <c r="I602" i="10"/>
  <c r="H602" i="10"/>
  <c r="G602" i="10"/>
  <c r="F602" i="10"/>
  <c r="AC601" i="10"/>
  <c r="AB601" i="10"/>
  <c r="AA601" i="10"/>
  <c r="Z601" i="10"/>
  <c r="Y601" i="10"/>
  <c r="X601" i="10"/>
  <c r="W601" i="10"/>
  <c r="V601" i="10"/>
  <c r="U601" i="10"/>
  <c r="T601" i="10"/>
  <c r="S601" i="10"/>
  <c r="R601" i="10"/>
  <c r="Q601" i="10"/>
  <c r="P601" i="10"/>
  <c r="O601" i="10"/>
  <c r="N601" i="10"/>
  <c r="M601" i="10"/>
  <c r="L601" i="10"/>
  <c r="K601" i="10"/>
  <c r="J601" i="10"/>
  <c r="I601" i="10"/>
  <c r="H601" i="10"/>
  <c r="G601" i="10"/>
  <c r="F601" i="10"/>
  <c r="AC600" i="10"/>
  <c r="AB600" i="10"/>
  <c r="AA600" i="10"/>
  <c r="Z600" i="10"/>
  <c r="Y600" i="10"/>
  <c r="X600" i="10"/>
  <c r="W600" i="10"/>
  <c r="V600" i="10"/>
  <c r="U600" i="10"/>
  <c r="T600" i="10"/>
  <c r="S600" i="10"/>
  <c r="R600" i="10"/>
  <c r="Q600" i="10"/>
  <c r="P600" i="10"/>
  <c r="O600" i="10"/>
  <c r="N600" i="10"/>
  <c r="M600" i="10"/>
  <c r="L600" i="10"/>
  <c r="K600" i="10"/>
  <c r="J600" i="10"/>
  <c r="I600" i="10"/>
  <c r="H600" i="10"/>
  <c r="G600" i="10"/>
  <c r="F600" i="10"/>
  <c r="AC599" i="10"/>
  <c r="AB599" i="10"/>
  <c r="AA599" i="10"/>
  <c r="Z599" i="10"/>
  <c r="Y599" i="10"/>
  <c r="X599" i="10"/>
  <c r="W599" i="10"/>
  <c r="V599" i="10"/>
  <c r="U599" i="10"/>
  <c r="T599" i="10"/>
  <c r="S599" i="10"/>
  <c r="R599" i="10"/>
  <c r="Q599" i="10"/>
  <c r="P599" i="10"/>
  <c r="O599" i="10"/>
  <c r="N599" i="10"/>
  <c r="M599" i="10"/>
  <c r="L599" i="10"/>
  <c r="K599" i="10"/>
  <c r="J599" i="10"/>
  <c r="I599" i="10"/>
  <c r="H599" i="10"/>
  <c r="G599" i="10"/>
  <c r="F599" i="10"/>
  <c r="AC598" i="10"/>
  <c r="AB598" i="10"/>
  <c r="AA598" i="10"/>
  <c r="Z598" i="10"/>
  <c r="Y598" i="10"/>
  <c r="X598" i="10"/>
  <c r="W598" i="10"/>
  <c r="V598" i="10"/>
  <c r="U598" i="10"/>
  <c r="T598" i="10"/>
  <c r="S598" i="10"/>
  <c r="R598" i="10"/>
  <c r="Q598" i="10"/>
  <c r="P598" i="10"/>
  <c r="O598" i="10"/>
  <c r="N598" i="10"/>
  <c r="M598" i="10"/>
  <c r="L598" i="10"/>
  <c r="K598" i="10"/>
  <c r="J598" i="10"/>
  <c r="I598" i="10"/>
  <c r="H598" i="10"/>
  <c r="G598" i="10"/>
  <c r="F598" i="10"/>
  <c r="AC597" i="10"/>
  <c r="AB597" i="10"/>
  <c r="AA597" i="10"/>
  <c r="Z597" i="10"/>
  <c r="Y597" i="10"/>
  <c r="X597" i="10"/>
  <c r="W597" i="10"/>
  <c r="V597" i="10"/>
  <c r="U597" i="10"/>
  <c r="T597" i="10"/>
  <c r="S597" i="10"/>
  <c r="R597" i="10"/>
  <c r="Q597" i="10"/>
  <c r="P597" i="10"/>
  <c r="O597" i="10"/>
  <c r="N597" i="10"/>
  <c r="M597" i="10"/>
  <c r="L597" i="10"/>
  <c r="K597" i="10"/>
  <c r="J597" i="10"/>
  <c r="I597" i="10"/>
  <c r="H597" i="10"/>
  <c r="G597" i="10"/>
  <c r="F597" i="10"/>
  <c r="AC596" i="10"/>
  <c r="AB596" i="10"/>
  <c r="AA596" i="10"/>
  <c r="Z596" i="10"/>
  <c r="Y596" i="10"/>
  <c r="X596" i="10"/>
  <c r="W596" i="10"/>
  <c r="V596" i="10"/>
  <c r="U596" i="10"/>
  <c r="T596" i="10"/>
  <c r="S596" i="10"/>
  <c r="R596" i="10"/>
  <c r="Q596" i="10"/>
  <c r="P596" i="10"/>
  <c r="O596" i="10"/>
  <c r="N596" i="10"/>
  <c r="M596" i="10"/>
  <c r="L596" i="10"/>
  <c r="K596" i="10"/>
  <c r="J596" i="10"/>
  <c r="I596" i="10"/>
  <c r="H596" i="10"/>
  <c r="G596" i="10"/>
  <c r="F596" i="10"/>
  <c r="AC595" i="10"/>
  <c r="AB595" i="10"/>
  <c r="AA595" i="10"/>
  <c r="Z595" i="10"/>
  <c r="Y595" i="10"/>
  <c r="X595" i="10"/>
  <c r="W595" i="10"/>
  <c r="V595" i="10"/>
  <c r="U595" i="10"/>
  <c r="T595" i="10"/>
  <c r="S595" i="10"/>
  <c r="R595" i="10"/>
  <c r="Q595" i="10"/>
  <c r="P595" i="10"/>
  <c r="O595" i="10"/>
  <c r="N595" i="10"/>
  <c r="M595" i="10"/>
  <c r="L595" i="10"/>
  <c r="K595" i="10"/>
  <c r="J595" i="10"/>
  <c r="I595" i="10"/>
  <c r="H595" i="10"/>
  <c r="G595" i="10"/>
  <c r="F595" i="10"/>
  <c r="AC594" i="10"/>
  <c r="AB594" i="10"/>
  <c r="AA594" i="10"/>
  <c r="Z594" i="10"/>
  <c r="Y594" i="10"/>
  <c r="X594" i="10"/>
  <c r="W594" i="10"/>
  <c r="V594" i="10"/>
  <c r="U594" i="10"/>
  <c r="T594" i="10"/>
  <c r="S594" i="10"/>
  <c r="R594" i="10"/>
  <c r="Q594" i="10"/>
  <c r="P594" i="10"/>
  <c r="O594" i="10"/>
  <c r="N594" i="10"/>
  <c r="M594" i="10"/>
  <c r="L594" i="10"/>
  <c r="K594" i="10"/>
  <c r="J594" i="10"/>
  <c r="I594" i="10"/>
  <c r="H594" i="10"/>
  <c r="G594" i="10"/>
  <c r="F594" i="10"/>
  <c r="AC593" i="10"/>
  <c r="AB593" i="10"/>
  <c r="AA593" i="10"/>
  <c r="Z593" i="10"/>
  <c r="Y593" i="10"/>
  <c r="X593" i="10"/>
  <c r="W593" i="10"/>
  <c r="V593" i="10"/>
  <c r="U593" i="10"/>
  <c r="T593" i="10"/>
  <c r="S593" i="10"/>
  <c r="R593" i="10"/>
  <c r="Q593" i="10"/>
  <c r="P593" i="10"/>
  <c r="O593" i="10"/>
  <c r="N593" i="10"/>
  <c r="M593" i="10"/>
  <c r="L593" i="10"/>
  <c r="K593" i="10"/>
  <c r="J593" i="10"/>
  <c r="I593" i="10"/>
  <c r="H593" i="10"/>
  <c r="G593" i="10"/>
  <c r="F593" i="10"/>
  <c r="AC592" i="10"/>
  <c r="AB592" i="10"/>
  <c r="AA592" i="10"/>
  <c r="Z592" i="10"/>
  <c r="Y592" i="10"/>
  <c r="X592" i="10"/>
  <c r="W592" i="10"/>
  <c r="V592" i="10"/>
  <c r="U592" i="10"/>
  <c r="T592" i="10"/>
  <c r="S592" i="10"/>
  <c r="R592" i="10"/>
  <c r="Q592" i="10"/>
  <c r="P592" i="10"/>
  <c r="O592" i="10"/>
  <c r="N592" i="10"/>
  <c r="M592" i="10"/>
  <c r="L592" i="10"/>
  <c r="K592" i="10"/>
  <c r="J592" i="10"/>
  <c r="I592" i="10"/>
  <c r="H592" i="10"/>
  <c r="G592" i="10"/>
  <c r="F592" i="10"/>
  <c r="AC591" i="10"/>
  <c r="AB591" i="10"/>
  <c r="AA591" i="10"/>
  <c r="Z591" i="10"/>
  <c r="Y591" i="10"/>
  <c r="X591" i="10"/>
  <c r="W591" i="10"/>
  <c r="V591" i="10"/>
  <c r="U591" i="10"/>
  <c r="T591" i="10"/>
  <c r="S591" i="10"/>
  <c r="R591" i="10"/>
  <c r="Q591" i="10"/>
  <c r="P591" i="10"/>
  <c r="O591" i="10"/>
  <c r="N591" i="10"/>
  <c r="M591" i="10"/>
  <c r="L591" i="10"/>
  <c r="K591" i="10"/>
  <c r="J591" i="10"/>
  <c r="I591" i="10"/>
  <c r="H591" i="10"/>
  <c r="G591" i="10"/>
  <c r="F591" i="10"/>
  <c r="AC590" i="10"/>
  <c r="AB590" i="10"/>
  <c r="AA590" i="10"/>
  <c r="Z590" i="10"/>
  <c r="Y590" i="10"/>
  <c r="X590" i="10"/>
  <c r="W590" i="10"/>
  <c r="V590" i="10"/>
  <c r="U590" i="10"/>
  <c r="T590" i="10"/>
  <c r="S590" i="10"/>
  <c r="R590" i="10"/>
  <c r="Q590" i="10"/>
  <c r="P590" i="10"/>
  <c r="O590" i="10"/>
  <c r="N590" i="10"/>
  <c r="M590" i="10"/>
  <c r="L590" i="10"/>
  <c r="K590" i="10"/>
  <c r="J590" i="10"/>
  <c r="I590" i="10"/>
  <c r="H590" i="10"/>
  <c r="G590" i="10"/>
  <c r="F590" i="10"/>
  <c r="AC589" i="10"/>
  <c r="AB589" i="10"/>
  <c r="AA589" i="10"/>
  <c r="Z589" i="10"/>
  <c r="Y589" i="10"/>
  <c r="X589" i="10"/>
  <c r="W589" i="10"/>
  <c r="V589" i="10"/>
  <c r="U589" i="10"/>
  <c r="T589" i="10"/>
  <c r="S589" i="10"/>
  <c r="R589" i="10"/>
  <c r="Q589" i="10"/>
  <c r="P589" i="10"/>
  <c r="O589" i="10"/>
  <c r="N589" i="10"/>
  <c r="M589" i="10"/>
  <c r="L589" i="10"/>
  <c r="K589" i="10"/>
  <c r="J589" i="10"/>
  <c r="I589" i="10"/>
  <c r="H589" i="10"/>
  <c r="G589" i="10"/>
  <c r="F589" i="10"/>
  <c r="AC588" i="10"/>
  <c r="AB588" i="10"/>
  <c r="AA588" i="10"/>
  <c r="Z588" i="10"/>
  <c r="Y588" i="10"/>
  <c r="X588" i="10"/>
  <c r="W588" i="10"/>
  <c r="V588" i="10"/>
  <c r="U588" i="10"/>
  <c r="T588" i="10"/>
  <c r="S588" i="10"/>
  <c r="R588" i="10"/>
  <c r="Q588" i="10"/>
  <c r="P588" i="10"/>
  <c r="O588" i="10"/>
  <c r="N588" i="10"/>
  <c r="M588" i="10"/>
  <c r="L588" i="10"/>
  <c r="K588" i="10"/>
  <c r="J588" i="10"/>
  <c r="I588" i="10"/>
  <c r="H588" i="10"/>
  <c r="G588" i="10"/>
  <c r="F588" i="10"/>
  <c r="AC587" i="10"/>
  <c r="AB587" i="10"/>
  <c r="AA587" i="10"/>
  <c r="Z587" i="10"/>
  <c r="Y587" i="10"/>
  <c r="X587" i="10"/>
  <c r="W587" i="10"/>
  <c r="V587" i="10"/>
  <c r="U587" i="10"/>
  <c r="T587" i="10"/>
  <c r="S587" i="10"/>
  <c r="R587" i="10"/>
  <c r="Q587" i="10"/>
  <c r="P587" i="10"/>
  <c r="O587" i="10"/>
  <c r="N587" i="10"/>
  <c r="M587" i="10"/>
  <c r="L587" i="10"/>
  <c r="K587" i="10"/>
  <c r="J587" i="10"/>
  <c r="I587" i="10"/>
  <c r="H587" i="10"/>
  <c r="G587" i="10"/>
  <c r="F587" i="10"/>
  <c r="AC586" i="10"/>
  <c r="AB586" i="10"/>
  <c r="AA586" i="10"/>
  <c r="Z586" i="10"/>
  <c r="Y586" i="10"/>
  <c r="X586" i="10"/>
  <c r="W586" i="10"/>
  <c r="V586" i="10"/>
  <c r="U586" i="10"/>
  <c r="T586" i="10"/>
  <c r="S586" i="10"/>
  <c r="R586" i="10"/>
  <c r="Q586" i="10"/>
  <c r="P586" i="10"/>
  <c r="O586" i="10"/>
  <c r="N586" i="10"/>
  <c r="M586" i="10"/>
  <c r="L586" i="10"/>
  <c r="K586" i="10"/>
  <c r="J586" i="10"/>
  <c r="I586" i="10"/>
  <c r="H586" i="10"/>
  <c r="G586" i="10"/>
  <c r="F586" i="10"/>
  <c r="AC585" i="10"/>
  <c r="AB585" i="10"/>
  <c r="AA585" i="10"/>
  <c r="Z585" i="10"/>
  <c r="Y585" i="10"/>
  <c r="X585" i="10"/>
  <c r="W585" i="10"/>
  <c r="V585" i="10"/>
  <c r="U585" i="10"/>
  <c r="T585" i="10"/>
  <c r="S585" i="10"/>
  <c r="R585" i="10"/>
  <c r="Q585" i="10"/>
  <c r="P585" i="10"/>
  <c r="O585" i="10"/>
  <c r="N585" i="10"/>
  <c r="M585" i="10"/>
  <c r="L585" i="10"/>
  <c r="K585" i="10"/>
  <c r="J585" i="10"/>
  <c r="I585" i="10"/>
  <c r="H585" i="10"/>
  <c r="G585" i="10"/>
  <c r="F585" i="10"/>
  <c r="AC584" i="10"/>
  <c r="AB584" i="10"/>
  <c r="AA584" i="10"/>
  <c r="Z584" i="10"/>
  <c r="Y584" i="10"/>
  <c r="X584" i="10"/>
  <c r="W584" i="10"/>
  <c r="V584" i="10"/>
  <c r="U584" i="10"/>
  <c r="T584" i="10"/>
  <c r="S584" i="10"/>
  <c r="R584" i="10"/>
  <c r="Q584" i="10"/>
  <c r="P584" i="10"/>
  <c r="O584" i="10"/>
  <c r="N584" i="10"/>
  <c r="M584" i="10"/>
  <c r="L584" i="10"/>
  <c r="K584" i="10"/>
  <c r="J584" i="10"/>
  <c r="I584" i="10"/>
  <c r="H584" i="10"/>
  <c r="G584" i="10"/>
  <c r="F584" i="10"/>
  <c r="AC583" i="10"/>
  <c r="AB583" i="10"/>
  <c r="AA583" i="10"/>
  <c r="Z583" i="10"/>
  <c r="Y583" i="10"/>
  <c r="X583" i="10"/>
  <c r="W583" i="10"/>
  <c r="V583" i="10"/>
  <c r="U583" i="10"/>
  <c r="T583" i="10"/>
  <c r="S583" i="10"/>
  <c r="R583" i="10"/>
  <c r="Q583" i="10"/>
  <c r="P583" i="10"/>
  <c r="O583" i="10"/>
  <c r="N583" i="10"/>
  <c r="M583" i="10"/>
  <c r="L583" i="10"/>
  <c r="K583" i="10"/>
  <c r="J583" i="10"/>
  <c r="I583" i="10"/>
  <c r="H583" i="10"/>
  <c r="G583" i="10"/>
  <c r="F583" i="10"/>
  <c r="AC582" i="10"/>
  <c r="AB582" i="10"/>
  <c r="AA582" i="10"/>
  <c r="Z582" i="10"/>
  <c r="Y582" i="10"/>
  <c r="X582" i="10"/>
  <c r="W582" i="10"/>
  <c r="V582" i="10"/>
  <c r="U582" i="10"/>
  <c r="T582" i="10"/>
  <c r="S582" i="10"/>
  <c r="R582" i="10"/>
  <c r="Q582" i="10"/>
  <c r="P582" i="10"/>
  <c r="O582" i="10"/>
  <c r="N582" i="10"/>
  <c r="M582" i="10"/>
  <c r="L582" i="10"/>
  <c r="K582" i="10"/>
  <c r="J582" i="10"/>
  <c r="I582" i="10"/>
  <c r="H582" i="10"/>
  <c r="G582" i="10"/>
  <c r="F582" i="10"/>
  <c r="AC581" i="10"/>
  <c r="AB581" i="10"/>
  <c r="AA581" i="10"/>
  <c r="Z581" i="10"/>
  <c r="Y581" i="10"/>
  <c r="X581" i="10"/>
  <c r="W581" i="10"/>
  <c r="V581" i="10"/>
  <c r="U581" i="10"/>
  <c r="T581" i="10"/>
  <c r="S581" i="10"/>
  <c r="R581" i="10"/>
  <c r="Q581" i="10"/>
  <c r="P581" i="10"/>
  <c r="O581" i="10"/>
  <c r="N581" i="10"/>
  <c r="M581" i="10"/>
  <c r="L581" i="10"/>
  <c r="K581" i="10"/>
  <c r="J581" i="10"/>
  <c r="I581" i="10"/>
  <c r="H581" i="10"/>
  <c r="G581" i="10"/>
  <c r="F581" i="10"/>
  <c r="AC580" i="10"/>
  <c r="AB580" i="10"/>
  <c r="AA580" i="10"/>
  <c r="Z580" i="10"/>
  <c r="Y580" i="10"/>
  <c r="X580" i="10"/>
  <c r="W580" i="10"/>
  <c r="V580" i="10"/>
  <c r="U580" i="10"/>
  <c r="T580" i="10"/>
  <c r="S580" i="10"/>
  <c r="R580" i="10"/>
  <c r="Q580" i="10"/>
  <c r="P580" i="10"/>
  <c r="O580" i="10"/>
  <c r="N580" i="10"/>
  <c r="M580" i="10"/>
  <c r="L580" i="10"/>
  <c r="K580" i="10"/>
  <c r="J580" i="10"/>
  <c r="I580" i="10"/>
  <c r="H580" i="10"/>
  <c r="G580" i="10"/>
  <c r="F580" i="10"/>
  <c r="AC579" i="10"/>
  <c r="AB579" i="10"/>
  <c r="AA579" i="10"/>
  <c r="Z579" i="10"/>
  <c r="Y579" i="10"/>
  <c r="X579" i="10"/>
  <c r="W579" i="10"/>
  <c r="V579" i="10"/>
  <c r="U579" i="10"/>
  <c r="T579" i="10"/>
  <c r="S579" i="10"/>
  <c r="R579" i="10"/>
  <c r="Q579" i="10"/>
  <c r="P579" i="10"/>
  <c r="O579" i="10"/>
  <c r="N579" i="10"/>
  <c r="M579" i="10"/>
  <c r="L579" i="10"/>
  <c r="K579" i="10"/>
  <c r="J579" i="10"/>
  <c r="I579" i="10"/>
  <c r="H579" i="10"/>
  <c r="G579" i="10"/>
  <c r="F579" i="10"/>
  <c r="AC578" i="10"/>
  <c r="AB578" i="10"/>
  <c r="AA578" i="10"/>
  <c r="Z578" i="10"/>
  <c r="Y578" i="10"/>
  <c r="X578" i="10"/>
  <c r="W578" i="10"/>
  <c r="V578" i="10"/>
  <c r="U578" i="10"/>
  <c r="T578" i="10"/>
  <c r="S578" i="10"/>
  <c r="R578" i="10"/>
  <c r="Q578" i="10"/>
  <c r="P578" i="10"/>
  <c r="O578" i="10"/>
  <c r="N578" i="10"/>
  <c r="M578" i="10"/>
  <c r="L578" i="10"/>
  <c r="K578" i="10"/>
  <c r="J578" i="10"/>
  <c r="I578" i="10"/>
  <c r="H578" i="10"/>
  <c r="G578" i="10"/>
  <c r="F578" i="10"/>
  <c r="AC577" i="10"/>
  <c r="AB577" i="10"/>
  <c r="AA577" i="10"/>
  <c r="Z577" i="10"/>
  <c r="Y577" i="10"/>
  <c r="X577" i="10"/>
  <c r="W577" i="10"/>
  <c r="V577" i="10"/>
  <c r="U577" i="10"/>
  <c r="T577" i="10"/>
  <c r="S577" i="10"/>
  <c r="R577" i="10"/>
  <c r="Q577" i="10"/>
  <c r="P577" i="10"/>
  <c r="O577" i="10"/>
  <c r="N577" i="10"/>
  <c r="M577" i="10"/>
  <c r="L577" i="10"/>
  <c r="K577" i="10"/>
  <c r="J577" i="10"/>
  <c r="I577" i="10"/>
  <c r="H577" i="10"/>
  <c r="G577" i="10"/>
  <c r="F577" i="10"/>
  <c r="AC576" i="10"/>
  <c r="AB576" i="10"/>
  <c r="AA576" i="10"/>
  <c r="Z576" i="10"/>
  <c r="Y576" i="10"/>
  <c r="X576" i="10"/>
  <c r="W576" i="10"/>
  <c r="V576" i="10"/>
  <c r="U576" i="10"/>
  <c r="T576" i="10"/>
  <c r="S576" i="10"/>
  <c r="R576" i="10"/>
  <c r="Q576" i="10"/>
  <c r="P576" i="10"/>
  <c r="O576" i="10"/>
  <c r="N576" i="10"/>
  <c r="M576" i="10"/>
  <c r="L576" i="10"/>
  <c r="K576" i="10"/>
  <c r="J576" i="10"/>
  <c r="I576" i="10"/>
  <c r="H576" i="10"/>
  <c r="G576" i="10"/>
  <c r="F576" i="10"/>
  <c r="AC575" i="10"/>
  <c r="AB575" i="10"/>
  <c r="AA575" i="10"/>
  <c r="Z575" i="10"/>
  <c r="Y575" i="10"/>
  <c r="X575" i="10"/>
  <c r="W575" i="10"/>
  <c r="V575" i="10"/>
  <c r="U575" i="10"/>
  <c r="T575" i="10"/>
  <c r="S575" i="10"/>
  <c r="R575" i="10"/>
  <c r="Q575" i="10"/>
  <c r="P575" i="10"/>
  <c r="O575" i="10"/>
  <c r="N575" i="10"/>
  <c r="M575" i="10"/>
  <c r="L575" i="10"/>
  <c r="K575" i="10"/>
  <c r="J575" i="10"/>
  <c r="I575" i="10"/>
  <c r="H575" i="10"/>
  <c r="G575" i="10"/>
  <c r="F575" i="10"/>
  <c r="AC574" i="10"/>
  <c r="AB574" i="10"/>
  <c r="AA574" i="10"/>
  <c r="Z574" i="10"/>
  <c r="Y574" i="10"/>
  <c r="X574" i="10"/>
  <c r="W574" i="10"/>
  <c r="V574" i="10"/>
  <c r="U574" i="10"/>
  <c r="T574" i="10"/>
  <c r="S574" i="10"/>
  <c r="R574" i="10"/>
  <c r="Q574" i="10"/>
  <c r="P574" i="10"/>
  <c r="O574" i="10"/>
  <c r="N574" i="10"/>
  <c r="M574" i="10"/>
  <c r="L574" i="10"/>
  <c r="K574" i="10"/>
  <c r="J574" i="10"/>
  <c r="I574" i="10"/>
  <c r="H574" i="10"/>
  <c r="G574" i="10"/>
  <c r="F574" i="10"/>
  <c r="AC573" i="10"/>
  <c r="AB573" i="10"/>
  <c r="AA573" i="10"/>
  <c r="Z573" i="10"/>
  <c r="Y573" i="10"/>
  <c r="X573" i="10"/>
  <c r="W573" i="10"/>
  <c r="V573" i="10"/>
  <c r="U573" i="10"/>
  <c r="T573" i="10"/>
  <c r="S573" i="10"/>
  <c r="R573" i="10"/>
  <c r="Q573" i="10"/>
  <c r="P573" i="10"/>
  <c r="O573" i="10"/>
  <c r="N573" i="10"/>
  <c r="M573" i="10"/>
  <c r="L573" i="10"/>
  <c r="K573" i="10"/>
  <c r="J573" i="10"/>
  <c r="I573" i="10"/>
  <c r="H573" i="10"/>
  <c r="G573" i="10"/>
  <c r="F573" i="10"/>
  <c r="AC572" i="10"/>
  <c r="AB572" i="10"/>
  <c r="AA572" i="10"/>
  <c r="Z572" i="10"/>
  <c r="Y572" i="10"/>
  <c r="X572" i="10"/>
  <c r="W572" i="10"/>
  <c r="V572" i="10"/>
  <c r="U572" i="10"/>
  <c r="T572" i="10"/>
  <c r="S572" i="10"/>
  <c r="R572" i="10"/>
  <c r="Q572" i="10"/>
  <c r="P572" i="10"/>
  <c r="O572" i="10"/>
  <c r="N572" i="10"/>
  <c r="M572" i="10"/>
  <c r="L572" i="10"/>
  <c r="K572" i="10"/>
  <c r="J572" i="10"/>
  <c r="I572" i="10"/>
  <c r="H572" i="10"/>
  <c r="G572" i="10"/>
  <c r="F572" i="10"/>
  <c r="AC571" i="10"/>
  <c r="AB571" i="10"/>
  <c r="AA571" i="10"/>
  <c r="Z571" i="10"/>
  <c r="Y571" i="10"/>
  <c r="X571" i="10"/>
  <c r="W571" i="10"/>
  <c r="V571" i="10"/>
  <c r="U571" i="10"/>
  <c r="T571" i="10"/>
  <c r="S571" i="10"/>
  <c r="R571" i="10"/>
  <c r="Q571" i="10"/>
  <c r="P571" i="10"/>
  <c r="O571" i="10"/>
  <c r="N571" i="10"/>
  <c r="M571" i="10"/>
  <c r="L571" i="10"/>
  <c r="K571" i="10"/>
  <c r="J571" i="10"/>
  <c r="I571" i="10"/>
  <c r="H571" i="10"/>
  <c r="G571" i="10"/>
  <c r="F571" i="10"/>
  <c r="AC570" i="10"/>
  <c r="AB570" i="10"/>
  <c r="AA570" i="10"/>
  <c r="Z570" i="10"/>
  <c r="Y570" i="10"/>
  <c r="X570" i="10"/>
  <c r="W570" i="10"/>
  <c r="V570" i="10"/>
  <c r="U570" i="10"/>
  <c r="T570" i="10"/>
  <c r="S570" i="10"/>
  <c r="R570" i="10"/>
  <c r="Q570" i="10"/>
  <c r="P570" i="10"/>
  <c r="O570" i="10"/>
  <c r="N570" i="10"/>
  <c r="M570" i="10"/>
  <c r="L570" i="10"/>
  <c r="K570" i="10"/>
  <c r="J570" i="10"/>
  <c r="I570" i="10"/>
  <c r="H570" i="10"/>
  <c r="G570" i="10"/>
  <c r="F570" i="10"/>
  <c r="AC569" i="10"/>
  <c r="AB569" i="10"/>
  <c r="AA569" i="10"/>
  <c r="Z569" i="10"/>
  <c r="Y569" i="10"/>
  <c r="X569" i="10"/>
  <c r="W569" i="10"/>
  <c r="V569" i="10"/>
  <c r="U569" i="10"/>
  <c r="T569" i="10"/>
  <c r="S569" i="10"/>
  <c r="R569" i="10"/>
  <c r="Q569" i="10"/>
  <c r="P569" i="10"/>
  <c r="O569" i="10"/>
  <c r="N569" i="10"/>
  <c r="M569" i="10"/>
  <c r="L569" i="10"/>
  <c r="K569" i="10"/>
  <c r="J569" i="10"/>
  <c r="I569" i="10"/>
  <c r="H569" i="10"/>
  <c r="G569" i="10"/>
  <c r="F569" i="10"/>
  <c r="AC568" i="10"/>
  <c r="AB568" i="10"/>
  <c r="AA568" i="10"/>
  <c r="Z568" i="10"/>
  <c r="Y568" i="10"/>
  <c r="X568" i="10"/>
  <c r="W568" i="10"/>
  <c r="V568" i="10"/>
  <c r="U568" i="10"/>
  <c r="T568" i="10"/>
  <c r="S568" i="10"/>
  <c r="R568" i="10"/>
  <c r="Q568" i="10"/>
  <c r="P568" i="10"/>
  <c r="O568" i="10"/>
  <c r="N568" i="10"/>
  <c r="M568" i="10"/>
  <c r="L568" i="10"/>
  <c r="K568" i="10"/>
  <c r="J568" i="10"/>
  <c r="I568" i="10"/>
  <c r="H568" i="10"/>
  <c r="G568" i="10"/>
  <c r="F568" i="10"/>
  <c r="AC567" i="10"/>
  <c r="AB567" i="10"/>
  <c r="AA567" i="10"/>
  <c r="Z567" i="10"/>
  <c r="Y567" i="10"/>
  <c r="X567" i="10"/>
  <c r="W567" i="10"/>
  <c r="V567" i="10"/>
  <c r="U567" i="10"/>
  <c r="T567" i="10"/>
  <c r="S567" i="10"/>
  <c r="R567" i="10"/>
  <c r="Q567" i="10"/>
  <c r="P567" i="10"/>
  <c r="O567" i="10"/>
  <c r="N567" i="10"/>
  <c r="M567" i="10"/>
  <c r="L567" i="10"/>
  <c r="K567" i="10"/>
  <c r="J567" i="10"/>
  <c r="I567" i="10"/>
  <c r="H567" i="10"/>
  <c r="G567" i="10"/>
  <c r="F567" i="10"/>
  <c r="AC566" i="10"/>
  <c r="AB566" i="10"/>
  <c r="AA566" i="10"/>
  <c r="Z566" i="10"/>
  <c r="Y566" i="10"/>
  <c r="X566" i="10"/>
  <c r="W566" i="10"/>
  <c r="V566" i="10"/>
  <c r="U566" i="10"/>
  <c r="T566" i="10"/>
  <c r="S566" i="10"/>
  <c r="R566" i="10"/>
  <c r="Q566" i="10"/>
  <c r="P566" i="10"/>
  <c r="O566" i="10"/>
  <c r="N566" i="10"/>
  <c r="M566" i="10"/>
  <c r="L566" i="10"/>
  <c r="K566" i="10"/>
  <c r="J566" i="10"/>
  <c r="I566" i="10"/>
  <c r="H566" i="10"/>
  <c r="G566" i="10"/>
  <c r="F566" i="10"/>
  <c r="AC565" i="10"/>
  <c r="AB565" i="10"/>
  <c r="AA565" i="10"/>
  <c r="Z565" i="10"/>
  <c r="Y565" i="10"/>
  <c r="X565" i="10"/>
  <c r="W565" i="10"/>
  <c r="V565" i="10"/>
  <c r="U565" i="10"/>
  <c r="T565" i="10"/>
  <c r="S565" i="10"/>
  <c r="R565" i="10"/>
  <c r="Q565" i="10"/>
  <c r="P565" i="10"/>
  <c r="O565" i="10"/>
  <c r="N565" i="10"/>
  <c r="M565" i="10"/>
  <c r="L565" i="10"/>
  <c r="K565" i="10"/>
  <c r="J565" i="10"/>
  <c r="I565" i="10"/>
  <c r="H565" i="10"/>
  <c r="G565" i="10"/>
  <c r="F565" i="10"/>
  <c r="AC564" i="10"/>
  <c r="AB564" i="10"/>
  <c r="AA564" i="10"/>
  <c r="Z564" i="10"/>
  <c r="Y564" i="10"/>
  <c r="X564" i="10"/>
  <c r="W564" i="10"/>
  <c r="V564" i="10"/>
  <c r="U564" i="10"/>
  <c r="T564" i="10"/>
  <c r="S564" i="10"/>
  <c r="R564" i="10"/>
  <c r="Q564" i="10"/>
  <c r="P564" i="10"/>
  <c r="O564" i="10"/>
  <c r="N564" i="10"/>
  <c r="M564" i="10"/>
  <c r="L564" i="10"/>
  <c r="K564" i="10"/>
  <c r="J564" i="10"/>
  <c r="I564" i="10"/>
  <c r="H564" i="10"/>
  <c r="G564" i="10"/>
  <c r="F564" i="10"/>
  <c r="AC563" i="10"/>
  <c r="AB563" i="10"/>
  <c r="AA563" i="10"/>
  <c r="Z563" i="10"/>
  <c r="Y563" i="10"/>
  <c r="X563" i="10"/>
  <c r="W563" i="10"/>
  <c r="V563" i="10"/>
  <c r="U563" i="10"/>
  <c r="T563" i="10"/>
  <c r="S563" i="10"/>
  <c r="R563" i="10"/>
  <c r="Q563" i="10"/>
  <c r="P563" i="10"/>
  <c r="O563" i="10"/>
  <c r="N563" i="10"/>
  <c r="M563" i="10"/>
  <c r="L563" i="10"/>
  <c r="K563" i="10"/>
  <c r="J563" i="10"/>
  <c r="I563" i="10"/>
  <c r="H563" i="10"/>
  <c r="G563" i="10"/>
  <c r="F563" i="10"/>
  <c r="AC562" i="10"/>
  <c r="AB562" i="10"/>
  <c r="AA562" i="10"/>
  <c r="Z562" i="10"/>
  <c r="Y562" i="10"/>
  <c r="X562" i="10"/>
  <c r="W562" i="10"/>
  <c r="V562" i="10"/>
  <c r="U562" i="10"/>
  <c r="T562" i="10"/>
  <c r="S562" i="10"/>
  <c r="R562" i="10"/>
  <c r="Q562" i="10"/>
  <c r="P562" i="10"/>
  <c r="O562" i="10"/>
  <c r="N562" i="10"/>
  <c r="M562" i="10"/>
  <c r="L562" i="10"/>
  <c r="K562" i="10"/>
  <c r="J562" i="10"/>
  <c r="I562" i="10"/>
  <c r="H562" i="10"/>
  <c r="G562" i="10"/>
  <c r="F562" i="10"/>
  <c r="AC561" i="10"/>
  <c r="AB561" i="10"/>
  <c r="AA561" i="10"/>
  <c r="Z561" i="10"/>
  <c r="Y561" i="10"/>
  <c r="X561" i="10"/>
  <c r="W561" i="10"/>
  <c r="V561" i="10"/>
  <c r="U561" i="10"/>
  <c r="T561" i="10"/>
  <c r="S561" i="10"/>
  <c r="R561" i="10"/>
  <c r="Q561" i="10"/>
  <c r="P561" i="10"/>
  <c r="O561" i="10"/>
  <c r="N561" i="10"/>
  <c r="M561" i="10"/>
  <c r="L561" i="10"/>
  <c r="K561" i="10"/>
  <c r="J561" i="10"/>
  <c r="I561" i="10"/>
  <c r="H561" i="10"/>
  <c r="G561" i="10"/>
  <c r="F561" i="10"/>
  <c r="AC560" i="10"/>
  <c r="AB560" i="10"/>
  <c r="AA560" i="10"/>
  <c r="Z560" i="10"/>
  <c r="Y560" i="10"/>
  <c r="X560" i="10"/>
  <c r="W560" i="10"/>
  <c r="V560" i="10"/>
  <c r="U560" i="10"/>
  <c r="T560" i="10"/>
  <c r="S560" i="10"/>
  <c r="R560" i="10"/>
  <c r="Q560" i="10"/>
  <c r="P560" i="10"/>
  <c r="O560" i="10"/>
  <c r="N560" i="10"/>
  <c r="M560" i="10"/>
  <c r="L560" i="10"/>
  <c r="K560" i="10"/>
  <c r="J560" i="10"/>
  <c r="I560" i="10"/>
  <c r="H560" i="10"/>
  <c r="G560" i="10"/>
  <c r="F560" i="10"/>
  <c r="AC559" i="10"/>
  <c r="AB559" i="10"/>
  <c r="AA559" i="10"/>
  <c r="Z559" i="10"/>
  <c r="Y559" i="10"/>
  <c r="X559" i="10"/>
  <c r="W559" i="10"/>
  <c r="V559" i="10"/>
  <c r="U559" i="10"/>
  <c r="T559" i="10"/>
  <c r="S559" i="10"/>
  <c r="R559" i="10"/>
  <c r="Q559" i="10"/>
  <c r="P559" i="10"/>
  <c r="O559" i="10"/>
  <c r="N559" i="10"/>
  <c r="M559" i="10"/>
  <c r="L559" i="10"/>
  <c r="K559" i="10"/>
  <c r="J559" i="10"/>
  <c r="I559" i="10"/>
  <c r="H559" i="10"/>
  <c r="G559" i="10"/>
  <c r="F559" i="10"/>
  <c r="AC558" i="10"/>
  <c r="AB558" i="10"/>
  <c r="AA558" i="10"/>
  <c r="Z558" i="10"/>
  <c r="Y558" i="10"/>
  <c r="X558" i="10"/>
  <c r="W558" i="10"/>
  <c r="V558" i="10"/>
  <c r="U558" i="10"/>
  <c r="T558" i="10"/>
  <c r="S558" i="10"/>
  <c r="R558" i="10"/>
  <c r="Q558" i="10"/>
  <c r="P558" i="10"/>
  <c r="O558" i="10"/>
  <c r="N558" i="10"/>
  <c r="M558" i="10"/>
  <c r="L558" i="10"/>
  <c r="K558" i="10"/>
  <c r="J558" i="10"/>
  <c r="I558" i="10"/>
  <c r="H558" i="10"/>
  <c r="G558" i="10"/>
  <c r="F558" i="10"/>
  <c r="AC557" i="10"/>
  <c r="AB557" i="10"/>
  <c r="AA557" i="10"/>
  <c r="Z557" i="10"/>
  <c r="Y557" i="10"/>
  <c r="X557" i="10"/>
  <c r="W557" i="10"/>
  <c r="V557" i="10"/>
  <c r="U557" i="10"/>
  <c r="T557" i="10"/>
  <c r="S557" i="10"/>
  <c r="R557" i="10"/>
  <c r="Q557" i="10"/>
  <c r="P557" i="10"/>
  <c r="O557" i="10"/>
  <c r="N557" i="10"/>
  <c r="M557" i="10"/>
  <c r="L557" i="10"/>
  <c r="K557" i="10"/>
  <c r="J557" i="10"/>
  <c r="I557" i="10"/>
  <c r="H557" i="10"/>
  <c r="G557" i="10"/>
  <c r="F557" i="10"/>
  <c r="AC556" i="10"/>
  <c r="AB556" i="10"/>
  <c r="AA556" i="10"/>
  <c r="Z556" i="10"/>
  <c r="Y556" i="10"/>
  <c r="X556" i="10"/>
  <c r="W556" i="10"/>
  <c r="V556" i="10"/>
  <c r="U556" i="10"/>
  <c r="T556" i="10"/>
  <c r="S556" i="10"/>
  <c r="R556" i="10"/>
  <c r="Q556" i="10"/>
  <c r="P556" i="10"/>
  <c r="O556" i="10"/>
  <c r="N556" i="10"/>
  <c r="M556" i="10"/>
  <c r="L556" i="10"/>
  <c r="K556" i="10"/>
  <c r="J556" i="10"/>
  <c r="I556" i="10"/>
  <c r="H556" i="10"/>
  <c r="G556" i="10"/>
  <c r="F556" i="10"/>
  <c r="AC555" i="10"/>
  <c r="AB555" i="10"/>
  <c r="AA555" i="10"/>
  <c r="Z555" i="10"/>
  <c r="Y555" i="10"/>
  <c r="X555" i="10"/>
  <c r="W555" i="10"/>
  <c r="V555" i="10"/>
  <c r="U555" i="10"/>
  <c r="T555" i="10"/>
  <c r="S555" i="10"/>
  <c r="R555" i="10"/>
  <c r="Q555" i="10"/>
  <c r="P555" i="10"/>
  <c r="O555" i="10"/>
  <c r="N555" i="10"/>
  <c r="M555" i="10"/>
  <c r="L555" i="10"/>
  <c r="K555" i="10"/>
  <c r="J555" i="10"/>
  <c r="I555" i="10"/>
  <c r="H555" i="10"/>
  <c r="G555" i="10"/>
  <c r="F555" i="10"/>
  <c r="AC554" i="10"/>
  <c r="AB554" i="10"/>
  <c r="AA554" i="10"/>
  <c r="Z554" i="10"/>
  <c r="Y554" i="10"/>
  <c r="X554" i="10"/>
  <c r="W554" i="10"/>
  <c r="V554" i="10"/>
  <c r="U554" i="10"/>
  <c r="T554" i="10"/>
  <c r="S554" i="10"/>
  <c r="R554" i="10"/>
  <c r="Q554" i="10"/>
  <c r="P554" i="10"/>
  <c r="O554" i="10"/>
  <c r="N554" i="10"/>
  <c r="M554" i="10"/>
  <c r="L554" i="10"/>
  <c r="K554" i="10"/>
  <c r="J554" i="10"/>
  <c r="I554" i="10"/>
  <c r="H554" i="10"/>
  <c r="G554" i="10"/>
  <c r="F554" i="10"/>
  <c r="AC553" i="10"/>
  <c r="AB553" i="10"/>
  <c r="AA553" i="10"/>
  <c r="Z553" i="10"/>
  <c r="Y553" i="10"/>
  <c r="X553" i="10"/>
  <c r="W553" i="10"/>
  <c r="V553" i="10"/>
  <c r="U553" i="10"/>
  <c r="T553" i="10"/>
  <c r="S553" i="10"/>
  <c r="R553" i="10"/>
  <c r="Q553" i="10"/>
  <c r="P553" i="10"/>
  <c r="O553" i="10"/>
  <c r="N553" i="10"/>
  <c r="M553" i="10"/>
  <c r="L553" i="10"/>
  <c r="K553" i="10"/>
  <c r="J553" i="10"/>
  <c r="I553" i="10"/>
  <c r="H553" i="10"/>
  <c r="G553" i="10"/>
  <c r="F553" i="10"/>
  <c r="AC552" i="10"/>
  <c r="AB552" i="10"/>
  <c r="AA552" i="10"/>
  <c r="Z552" i="10"/>
  <c r="Y552" i="10"/>
  <c r="X552" i="10"/>
  <c r="W552" i="10"/>
  <c r="V552" i="10"/>
  <c r="U552" i="10"/>
  <c r="T552" i="10"/>
  <c r="S552" i="10"/>
  <c r="R552" i="10"/>
  <c r="Q552" i="10"/>
  <c r="P552" i="10"/>
  <c r="O552" i="10"/>
  <c r="N552" i="10"/>
  <c r="M552" i="10"/>
  <c r="L552" i="10"/>
  <c r="K552" i="10"/>
  <c r="J552" i="10"/>
  <c r="I552" i="10"/>
  <c r="H552" i="10"/>
  <c r="G552" i="10"/>
  <c r="F552" i="10"/>
  <c r="AC551" i="10"/>
  <c r="AB551" i="10"/>
  <c r="AA551" i="10"/>
  <c r="Z551" i="10"/>
  <c r="Y551" i="10"/>
  <c r="X551" i="10"/>
  <c r="W551" i="10"/>
  <c r="V551" i="10"/>
  <c r="U551" i="10"/>
  <c r="T551" i="10"/>
  <c r="S551" i="10"/>
  <c r="R551" i="10"/>
  <c r="Q551" i="10"/>
  <c r="P551" i="10"/>
  <c r="O551" i="10"/>
  <c r="N551" i="10"/>
  <c r="M551" i="10"/>
  <c r="L551" i="10"/>
  <c r="K551" i="10"/>
  <c r="J551" i="10"/>
  <c r="I551" i="10"/>
  <c r="H551" i="10"/>
  <c r="G551" i="10"/>
  <c r="F551" i="10"/>
  <c r="AC550" i="10"/>
  <c r="AB550" i="10"/>
  <c r="AA550" i="10"/>
  <c r="Z550" i="10"/>
  <c r="Y550" i="10"/>
  <c r="X550" i="10"/>
  <c r="W550" i="10"/>
  <c r="V550" i="10"/>
  <c r="U550" i="10"/>
  <c r="T550" i="10"/>
  <c r="S550" i="10"/>
  <c r="R550" i="10"/>
  <c r="Q550" i="10"/>
  <c r="P550" i="10"/>
  <c r="O550" i="10"/>
  <c r="N550" i="10"/>
  <c r="M550" i="10"/>
  <c r="L550" i="10"/>
  <c r="K550" i="10"/>
  <c r="J550" i="10"/>
  <c r="I550" i="10"/>
  <c r="H550" i="10"/>
  <c r="G550" i="10"/>
  <c r="F550" i="10"/>
  <c r="AC549" i="10"/>
  <c r="AB549" i="10"/>
  <c r="AA549" i="10"/>
  <c r="Z549" i="10"/>
  <c r="Y549" i="10"/>
  <c r="X549" i="10"/>
  <c r="W549" i="10"/>
  <c r="V549" i="10"/>
  <c r="U549" i="10"/>
  <c r="T549" i="10"/>
  <c r="S549" i="10"/>
  <c r="R549" i="10"/>
  <c r="Q549" i="10"/>
  <c r="P549" i="10"/>
  <c r="O549" i="10"/>
  <c r="N549" i="10"/>
  <c r="M549" i="10"/>
  <c r="L549" i="10"/>
  <c r="K549" i="10"/>
  <c r="J549" i="10"/>
  <c r="I549" i="10"/>
  <c r="H549" i="10"/>
  <c r="G549" i="10"/>
  <c r="F549" i="10"/>
  <c r="AC548" i="10"/>
  <c r="AB548" i="10"/>
  <c r="AA548" i="10"/>
  <c r="Z548" i="10"/>
  <c r="Y548" i="10"/>
  <c r="X548" i="10"/>
  <c r="W548" i="10"/>
  <c r="V548" i="10"/>
  <c r="U548" i="10"/>
  <c r="T548" i="10"/>
  <c r="S548" i="10"/>
  <c r="R548" i="10"/>
  <c r="Q548" i="10"/>
  <c r="P548" i="10"/>
  <c r="O548" i="10"/>
  <c r="N548" i="10"/>
  <c r="M548" i="10"/>
  <c r="L548" i="10"/>
  <c r="K548" i="10"/>
  <c r="J548" i="10"/>
  <c r="I548" i="10"/>
  <c r="H548" i="10"/>
  <c r="G548" i="10"/>
  <c r="F548" i="10"/>
  <c r="AC547" i="10"/>
  <c r="AB547" i="10"/>
  <c r="AA547" i="10"/>
  <c r="Z547" i="10"/>
  <c r="Y547" i="10"/>
  <c r="X547" i="10"/>
  <c r="W547" i="10"/>
  <c r="V547" i="10"/>
  <c r="U547" i="10"/>
  <c r="T547" i="10"/>
  <c r="S547" i="10"/>
  <c r="R547" i="10"/>
  <c r="Q547" i="10"/>
  <c r="P547" i="10"/>
  <c r="O547" i="10"/>
  <c r="N547" i="10"/>
  <c r="M547" i="10"/>
  <c r="L547" i="10"/>
  <c r="K547" i="10"/>
  <c r="J547" i="10"/>
  <c r="I547" i="10"/>
  <c r="H547" i="10"/>
  <c r="G547" i="10"/>
  <c r="F547" i="10"/>
  <c r="AC546" i="10"/>
  <c r="AB546" i="10"/>
  <c r="AA546" i="10"/>
  <c r="Z546" i="10"/>
  <c r="Y546" i="10"/>
  <c r="X546" i="10"/>
  <c r="W546" i="10"/>
  <c r="V546" i="10"/>
  <c r="U546" i="10"/>
  <c r="T546" i="10"/>
  <c r="S546" i="10"/>
  <c r="R546" i="10"/>
  <c r="Q546" i="10"/>
  <c r="P546" i="10"/>
  <c r="O546" i="10"/>
  <c r="N546" i="10"/>
  <c r="M546" i="10"/>
  <c r="L546" i="10"/>
  <c r="K546" i="10"/>
  <c r="J546" i="10"/>
  <c r="I546" i="10"/>
  <c r="H546" i="10"/>
  <c r="G546" i="10"/>
  <c r="F546" i="10"/>
  <c r="AC545" i="10"/>
  <c r="AB545" i="10"/>
  <c r="AA545" i="10"/>
  <c r="Z545" i="10"/>
  <c r="Y545" i="10"/>
  <c r="X545" i="10"/>
  <c r="W545" i="10"/>
  <c r="V545" i="10"/>
  <c r="U545" i="10"/>
  <c r="T545" i="10"/>
  <c r="S545" i="10"/>
  <c r="R545" i="10"/>
  <c r="Q545" i="10"/>
  <c r="P545" i="10"/>
  <c r="O545" i="10"/>
  <c r="N545" i="10"/>
  <c r="M545" i="10"/>
  <c r="L545" i="10"/>
  <c r="K545" i="10"/>
  <c r="J545" i="10"/>
  <c r="I545" i="10"/>
  <c r="H545" i="10"/>
  <c r="G545" i="10"/>
  <c r="F545" i="10"/>
  <c r="AC544" i="10"/>
  <c r="AB544" i="10"/>
  <c r="AA544" i="10"/>
  <c r="Z544" i="10"/>
  <c r="Y544" i="10"/>
  <c r="X544" i="10"/>
  <c r="W544" i="10"/>
  <c r="V544" i="10"/>
  <c r="U544" i="10"/>
  <c r="T544" i="10"/>
  <c r="S544" i="10"/>
  <c r="R544" i="10"/>
  <c r="Q544" i="10"/>
  <c r="P544" i="10"/>
  <c r="O544" i="10"/>
  <c r="N544" i="10"/>
  <c r="M544" i="10"/>
  <c r="L544" i="10"/>
  <c r="K544" i="10"/>
  <c r="J544" i="10"/>
  <c r="I544" i="10"/>
  <c r="H544" i="10"/>
  <c r="G544" i="10"/>
  <c r="F544" i="10"/>
  <c r="AC543" i="10"/>
  <c r="AB543" i="10"/>
  <c r="AA543" i="10"/>
  <c r="Z543" i="10"/>
  <c r="Y543" i="10"/>
  <c r="X543" i="10"/>
  <c r="W543" i="10"/>
  <c r="V543" i="10"/>
  <c r="U543" i="10"/>
  <c r="T543" i="10"/>
  <c r="S543" i="10"/>
  <c r="R543" i="10"/>
  <c r="Q543" i="10"/>
  <c r="P543" i="10"/>
  <c r="O543" i="10"/>
  <c r="N543" i="10"/>
  <c r="M543" i="10"/>
  <c r="L543" i="10"/>
  <c r="K543" i="10"/>
  <c r="J543" i="10"/>
  <c r="I543" i="10"/>
  <c r="H543" i="10"/>
  <c r="G543" i="10"/>
  <c r="F543" i="10"/>
  <c r="AC542" i="10"/>
  <c r="AB542" i="10"/>
  <c r="AA542" i="10"/>
  <c r="Z542" i="10"/>
  <c r="Y542" i="10"/>
  <c r="X542" i="10"/>
  <c r="W542" i="10"/>
  <c r="V542" i="10"/>
  <c r="U542" i="10"/>
  <c r="T542" i="10"/>
  <c r="S542" i="10"/>
  <c r="R542" i="10"/>
  <c r="Q542" i="10"/>
  <c r="P542" i="10"/>
  <c r="O542" i="10"/>
  <c r="N542" i="10"/>
  <c r="M542" i="10"/>
  <c r="L542" i="10"/>
  <c r="K542" i="10"/>
  <c r="J542" i="10"/>
  <c r="I542" i="10"/>
  <c r="H542" i="10"/>
  <c r="G542" i="10"/>
  <c r="F542" i="10"/>
  <c r="AC541" i="10"/>
  <c r="AB541" i="10"/>
  <c r="AA541" i="10"/>
  <c r="Z541" i="10"/>
  <c r="Y541" i="10"/>
  <c r="X541" i="10"/>
  <c r="W541" i="10"/>
  <c r="V541" i="10"/>
  <c r="U541" i="10"/>
  <c r="T541" i="10"/>
  <c r="S541" i="10"/>
  <c r="R541" i="10"/>
  <c r="Q541" i="10"/>
  <c r="P541" i="10"/>
  <c r="O541" i="10"/>
  <c r="N541" i="10"/>
  <c r="M541" i="10"/>
  <c r="L541" i="10"/>
  <c r="K541" i="10"/>
  <c r="J541" i="10"/>
  <c r="I541" i="10"/>
  <c r="H541" i="10"/>
  <c r="G541" i="10"/>
  <c r="F541" i="10"/>
  <c r="AC540" i="10"/>
  <c r="AB540" i="10"/>
  <c r="AA540" i="10"/>
  <c r="Z540" i="10"/>
  <c r="Y540" i="10"/>
  <c r="X540" i="10"/>
  <c r="W540" i="10"/>
  <c r="V540" i="10"/>
  <c r="U540" i="10"/>
  <c r="T540" i="10"/>
  <c r="S540" i="10"/>
  <c r="R540" i="10"/>
  <c r="Q540" i="10"/>
  <c r="P540" i="10"/>
  <c r="O540" i="10"/>
  <c r="N540" i="10"/>
  <c r="M540" i="10"/>
  <c r="L540" i="10"/>
  <c r="K540" i="10"/>
  <c r="J540" i="10"/>
  <c r="I540" i="10"/>
  <c r="H540" i="10"/>
  <c r="G540" i="10"/>
  <c r="F540" i="10"/>
  <c r="AC539" i="10"/>
  <c r="AB539" i="10"/>
  <c r="AA539" i="10"/>
  <c r="Z539" i="10"/>
  <c r="Y539" i="10"/>
  <c r="X539" i="10"/>
  <c r="W539" i="10"/>
  <c r="V539" i="10"/>
  <c r="U539" i="10"/>
  <c r="T539" i="10"/>
  <c r="S539" i="10"/>
  <c r="R539" i="10"/>
  <c r="Q539" i="10"/>
  <c r="P539" i="10"/>
  <c r="O539" i="10"/>
  <c r="N539" i="10"/>
  <c r="M539" i="10"/>
  <c r="L539" i="10"/>
  <c r="K539" i="10"/>
  <c r="J539" i="10"/>
  <c r="I539" i="10"/>
  <c r="H539" i="10"/>
  <c r="G539" i="10"/>
  <c r="F539" i="10"/>
  <c r="AC538" i="10"/>
  <c r="AB538" i="10"/>
  <c r="AA538" i="10"/>
  <c r="Z538" i="10"/>
  <c r="Y538" i="10"/>
  <c r="X538" i="10"/>
  <c r="W538" i="10"/>
  <c r="V538" i="10"/>
  <c r="U538" i="10"/>
  <c r="T538" i="10"/>
  <c r="S538" i="10"/>
  <c r="R538" i="10"/>
  <c r="Q538" i="10"/>
  <c r="P538" i="10"/>
  <c r="O538" i="10"/>
  <c r="N538" i="10"/>
  <c r="M538" i="10"/>
  <c r="L538" i="10"/>
  <c r="K538" i="10"/>
  <c r="J538" i="10"/>
  <c r="I538" i="10"/>
  <c r="H538" i="10"/>
  <c r="G538" i="10"/>
  <c r="F538" i="10"/>
  <c r="AC537" i="10"/>
  <c r="AB537" i="10"/>
  <c r="AA537" i="10"/>
  <c r="Z537" i="10"/>
  <c r="Y537" i="10"/>
  <c r="X537" i="10"/>
  <c r="W537" i="10"/>
  <c r="V537" i="10"/>
  <c r="U537" i="10"/>
  <c r="T537" i="10"/>
  <c r="S537" i="10"/>
  <c r="R537" i="10"/>
  <c r="Q537" i="10"/>
  <c r="P537" i="10"/>
  <c r="O537" i="10"/>
  <c r="N537" i="10"/>
  <c r="M537" i="10"/>
  <c r="L537" i="10"/>
  <c r="K537" i="10"/>
  <c r="J537" i="10"/>
  <c r="I537" i="10"/>
  <c r="H537" i="10"/>
  <c r="G537" i="10"/>
  <c r="F537" i="10"/>
  <c r="AC536" i="10"/>
  <c r="AB536" i="10"/>
  <c r="AA536" i="10"/>
  <c r="Z536" i="10"/>
  <c r="Y536" i="10"/>
  <c r="X536" i="10"/>
  <c r="W536" i="10"/>
  <c r="V536" i="10"/>
  <c r="U536" i="10"/>
  <c r="T536" i="10"/>
  <c r="S536" i="10"/>
  <c r="R536" i="10"/>
  <c r="Q536" i="10"/>
  <c r="P536" i="10"/>
  <c r="O536" i="10"/>
  <c r="N536" i="10"/>
  <c r="M536" i="10"/>
  <c r="L536" i="10"/>
  <c r="K536" i="10"/>
  <c r="J536" i="10"/>
  <c r="I536" i="10"/>
  <c r="H536" i="10"/>
  <c r="G536" i="10"/>
  <c r="F536" i="10"/>
  <c r="AC535" i="10"/>
  <c r="AB535" i="10"/>
  <c r="AA535" i="10"/>
  <c r="Z535" i="10"/>
  <c r="Y535" i="10"/>
  <c r="X535" i="10"/>
  <c r="W535" i="10"/>
  <c r="V535" i="10"/>
  <c r="U535" i="10"/>
  <c r="T535" i="10"/>
  <c r="S535" i="10"/>
  <c r="R535" i="10"/>
  <c r="Q535" i="10"/>
  <c r="P535" i="10"/>
  <c r="O535" i="10"/>
  <c r="N535" i="10"/>
  <c r="M535" i="10"/>
  <c r="L535" i="10"/>
  <c r="K535" i="10"/>
  <c r="J535" i="10"/>
  <c r="I535" i="10"/>
  <c r="H535" i="10"/>
  <c r="G535" i="10"/>
  <c r="F535" i="10"/>
  <c r="AC534" i="10"/>
  <c r="AB534" i="10"/>
  <c r="AA534" i="10"/>
  <c r="Z534" i="10"/>
  <c r="Y534" i="10"/>
  <c r="X534" i="10"/>
  <c r="W534" i="10"/>
  <c r="V534" i="10"/>
  <c r="U534" i="10"/>
  <c r="T534" i="10"/>
  <c r="S534" i="10"/>
  <c r="R534" i="10"/>
  <c r="Q534" i="10"/>
  <c r="P534" i="10"/>
  <c r="O534" i="10"/>
  <c r="N534" i="10"/>
  <c r="M534" i="10"/>
  <c r="L534" i="10"/>
  <c r="K534" i="10"/>
  <c r="J534" i="10"/>
  <c r="I534" i="10"/>
  <c r="H534" i="10"/>
  <c r="G534" i="10"/>
  <c r="F534" i="10"/>
  <c r="AC533" i="10"/>
  <c r="AB533" i="10"/>
  <c r="AA533" i="10"/>
  <c r="Z533" i="10"/>
  <c r="Y533" i="10"/>
  <c r="X533" i="10"/>
  <c r="W533" i="10"/>
  <c r="V533" i="10"/>
  <c r="U533" i="10"/>
  <c r="T533" i="10"/>
  <c r="S533" i="10"/>
  <c r="R533" i="10"/>
  <c r="Q533" i="10"/>
  <c r="P533" i="10"/>
  <c r="O533" i="10"/>
  <c r="N533" i="10"/>
  <c r="M533" i="10"/>
  <c r="L533" i="10"/>
  <c r="K533" i="10"/>
  <c r="J533" i="10"/>
  <c r="I533" i="10"/>
  <c r="H533" i="10"/>
  <c r="G533" i="10"/>
  <c r="F533" i="10"/>
  <c r="AC532" i="10"/>
  <c r="AB532" i="10"/>
  <c r="AA532" i="10"/>
  <c r="Z532" i="10"/>
  <c r="Y532" i="10"/>
  <c r="X532" i="10"/>
  <c r="W532" i="10"/>
  <c r="V532" i="10"/>
  <c r="U532" i="10"/>
  <c r="T532" i="10"/>
  <c r="S532" i="10"/>
  <c r="R532" i="10"/>
  <c r="Q532" i="10"/>
  <c r="P532" i="10"/>
  <c r="O532" i="10"/>
  <c r="N532" i="10"/>
  <c r="M532" i="10"/>
  <c r="L532" i="10"/>
  <c r="K532" i="10"/>
  <c r="J532" i="10"/>
  <c r="I532" i="10"/>
  <c r="H532" i="10"/>
  <c r="G532" i="10"/>
  <c r="F532" i="10"/>
  <c r="AC531" i="10"/>
  <c r="AB531" i="10"/>
  <c r="AA531" i="10"/>
  <c r="Z531" i="10"/>
  <c r="Y531" i="10"/>
  <c r="X531" i="10"/>
  <c r="W531" i="10"/>
  <c r="V531" i="10"/>
  <c r="U531" i="10"/>
  <c r="T531" i="10"/>
  <c r="S531" i="10"/>
  <c r="R531" i="10"/>
  <c r="Q531" i="10"/>
  <c r="P531" i="10"/>
  <c r="O531" i="10"/>
  <c r="N531" i="10"/>
  <c r="M531" i="10"/>
  <c r="L531" i="10"/>
  <c r="K531" i="10"/>
  <c r="J531" i="10"/>
  <c r="I531" i="10"/>
  <c r="H531" i="10"/>
  <c r="G531" i="10"/>
  <c r="F531" i="10"/>
  <c r="AC530" i="10"/>
  <c r="AB530" i="10"/>
  <c r="AA530" i="10"/>
  <c r="Z530" i="10"/>
  <c r="Y530" i="10"/>
  <c r="X530" i="10"/>
  <c r="W530" i="10"/>
  <c r="V530" i="10"/>
  <c r="U530" i="10"/>
  <c r="T530" i="10"/>
  <c r="S530" i="10"/>
  <c r="R530" i="10"/>
  <c r="Q530" i="10"/>
  <c r="P530" i="10"/>
  <c r="O530" i="10"/>
  <c r="N530" i="10"/>
  <c r="M530" i="10"/>
  <c r="L530" i="10"/>
  <c r="K530" i="10"/>
  <c r="J530" i="10"/>
  <c r="I530" i="10"/>
  <c r="H530" i="10"/>
  <c r="G530" i="10"/>
  <c r="F530" i="10"/>
  <c r="AC529" i="10"/>
  <c r="AB529" i="10"/>
  <c r="AA529" i="10"/>
  <c r="Z529" i="10"/>
  <c r="Y529" i="10"/>
  <c r="X529" i="10"/>
  <c r="W529" i="10"/>
  <c r="V529" i="10"/>
  <c r="U529" i="10"/>
  <c r="T529" i="10"/>
  <c r="S529" i="10"/>
  <c r="R529" i="10"/>
  <c r="Q529" i="10"/>
  <c r="P529" i="10"/>
  <c r="O529" i="10"/>
  <c r="N529" i="10"/>
  <c r="M529" i="10"/>
  <c r="L529" i="10"/>
  <c r="K529" i="10"/>
  <c r="J529" i="10"/>
  <c r="I529" i="10"/>
  <c r="H529" i="10"/>
  <c r="G529" i="10"/>
  <c r="F529" i="10"/>
  <c r="AC528" i="10"/>
  <c r="AB528" i="10"/>
  <c r="AA528" i="10"/>
  <c r="Z528" i="10"/>
  <c r="Y528" i="10"/>
  <c r="X528" i="10"/>
  <c r="W528" i="10"/>
  <c r="V528" i="10"/>
  <c r="U528" i="10"/>
  <c r="T528" i="10"/>
  <c r="S528" i="10"/>
  <c r="R528" i="10"/>
  <c r="Q528" i="10"/>
  <c r="P528" i="10"/>
  <c r="O528" i="10"/>
  <c r="N528" i="10"/>
  <c r="M528" i="10"/>
  <c r="L528" i="10"/>
  <c r="K528" i="10"/>
  <c r="J528" i="10"/>
  <c r="I528" i="10"/>
  <c r="H528" i="10"/>
  <c r="G528" i="10"/>
  <c r="F528" i="10"/>
  <c r="AC527" i="10"/>
  <c r="AB527" i="10"/>
  <c r="AA527" i="10"/>
  <c r="Z527" i="10"/>
  <c r="Y527" i="10"/>
  <c r="X527" i="10"/>
  <c r="W527" i="10"/>
  <c r="V527" i="10"/>
  <c r="U527" i="10"/>
  <c r="T527" i="10"/>
  <c r="S527" i="10"/>
  <c r="R527" i="10"/>
  <c r="Q527" i="10"/>
  <c r="P527" i="10"/>
  <c r="O527" i="10"/>
  <c r="N527" i="10"/>
  <c r="M527" i="10"/>
  <c r="L527" i="10"/>
  <c r="K527" i="10"/>
  <c r="J527" i="10"/>
  <c r="I527" i="10"/>
  <c r="H527" i="10"/>
  <c r="G527" i="10"/>
  <c r="F527" i="10"/>
  <c r="AC526" i="10"/>
  <c r="AB526" i="10"/>
  <c r="AA526" i="10"/>
  <c r="Z526" i="10"/>
  <c r="Y526" i="10"/>
  <c r="X526" i="10"/>
  <c r="W526" i="10"/>
  <c r="V526" i="10"/>
  <c r="U526" i="10"/>
  <c r="T526" i="10"/>
  <c r="S526" i="10"/>
  <c r="R526" i="10"/>
  <c r="Q526" i="10"/>
  <c r="P526" i="10"/>
  <c r="O526" i="10"/>
  <c r="N526" i="10"/>
  <c r="M526" i="10"/>
  <c r="L526" i="10"/>
  <c r="K526" i="10"/>
  <c r="J526" i="10"/>
  <c r="I526" i="10"/>
  <c r="H526" i="10"/>
  <c r="G526" i="10"/>
  <c r="F526" i="10"/>
  <c r="AC525" i="10"/>
  <c r="AB525" i="10"/>
  <c r="AA525" i="10"/>
  <c r="Z525" i="10"/>
  <c r="Y525" i="10"/>
  <c r="X525" i="10"/>
  <c r="W525" i="10"/>
  <c r="V525" i="10"/>
  <c r="U525" i="10"/>
  <c r="T525" i="10"/>
  <c r="S525" i="10"/>
  <c r="R525" i="10"/>
  <c r="Q525" i="10"/>
  <c r="P525" i="10"/>
  <c r="O525" i="10"/>
  <c r="N525" i="10"/>
  <c r="M525" i="10"/>
  <c r="L525" i="10"/>
  <c r="K525" i="10"/>
  <c r="J525" i="10"/>
  <c r="I525" i="10"/>
  <c r="H525" i="10"/>
  <c r="G525" i="10"/>
  <c r="F525" i="10"/>
  <c r="AC524" i="10"/>
  <c r="AB524" i="10"/>
  <c r="AA524" i="10"/>
  <c r="Z524" i="10"/>
  <c r="Y524" i="10"/>
  <c r="X524" i="10"/>
  <c r="W524" i="10"/>
  <c r="V524" i="10"/>
  <c r="U524" i="10"/>
  <c r="T524" i="10"/>
  <c r="S524" i="10"/>
  <c r="R524" i="10"/>
  <c r="Q524" i="10"/>
  <c r="P524" i="10"/>
  <c r="O524" i="10"/>
  <c r="N524" i="10"/>
  <c r="M524" i="10"/>
  <c r="L524" i="10"/>
  <c r="K524" i="10"/>
  <c r="J524" i="10"/>
  <c r="I524" i="10"/>
  <c r="H524" i="10"/>
  <c r="G524" i="10"/>
  <c r="F524" i="10"/>
  <c r="AC523" i="10"/>
  <c r="AB523" i="10"/>
  <c r="AA523" i="10"/>
  <c r="Z523" i="10"/>
  <c r="Y523" i="10"/>
  <c r="X523" i="10"/>
  <c r="W523" i="10"/>
  <c r="V523" i="10"/>
  <c r="U523" i="10"/>
  <c r="T523" i="10"/>
  <c r="S523" i="10"/>
  <c r="R523" i="10"/>
  <c r="Q523" i="10"/>
  <c r="P523" i="10"/>
  <c r="O523" i="10"/>
  <c r="N523" i="10"/>
  <c r="M523" i="10"/>
  <c r="L523" i="10"/>
  <c r="K523" i="10"/>
  <c r="J523" i="10"/>
  <c r="I523" i="10"/>
  <c r="H523" i="10"/>
  <c r="G523" i="10"/>
  <c r="F523" i="10"/>
  <c r="AC522" i="10"/>
  <c r="AB522" i="10"/>
  <c r="AA522" i="10"/>
  <c r="Z522" i="10"/>
  <c r="Y522" i="10"/>
  <c r="X522" i="10"/>
  <c r="W522" i="10"/>
  <c r="V522" i="10"/>
  <c r="U522" i="10"/>
  <c r="T522" i="10"/>
  <c r="S522" i="10"/>
  <c r="R522" i="10"/>
  <c r="Q522" i="10"/>
  <c r="P522" i="10"/>
  <c r="O522" i="10"/>
  <c r="N522" i="10"/>
  <c r="M522" i="10"/>
  <c r="L522" i="10"/>
  <c r="K522" i="10"/>
  <c r="J522" i="10"/>
  <c r="I522" i="10"/>
  <c r="H522" i="10"/>
  <c r="G522" i="10"/>
  <c r="F522" i="10"/>
  <c r="AC521" i="10"/>
  <c r="AB521" i="10"/>
  <c r="AA521" i="10"/>
  <c r="Z521" i="10"/>
  <c r="Y521" i="10"/>
  <c r="X521" i="10"/>
  <c r="W521" i="10"/>
  <c r="V521" i="10"/>
  <c r="U521" i="10"/>
  <c r="T521" i="10"/>
  <c r="S521" i="10"/>
  <c r="R521" i="10"/>
  <c r="Q521" i="10"/>
  <c r="P521" i="10"/>
  <c r="O521" i="10"/>
  <c r="N521" i="10"/>
  <c r="M521" i="10"/>
  <c r="L521" i="10"/>
  <c r="K521" i="10"/>
  <c r="J521" i="10"/>
  <c r="I521" i="10"/>
  <c r="H521" i="10"/>
  <c r="G521" i="10"/>
  <c r="F521" i="10"/>
  <c r="AC520" i="10"/>
  <c r="AB520" i="10"/>
  <c r="AA520" i="10"/>
  <c r="Z520" i="10"/>
  <c r="Y520" i="10"/>
  <c r="X520" i="10"/>
  <c r="W520" i="10"/>
  <c r="V520" i="10"/>
  <c r="U520" i="10"/>
  <c r="T520" i="10"/>
  <c r="S520" i="10"/>
  <c r="R520" i="10"/>
  <c r="Q520" i="10"/>
  <c r="P520" i="10"/>
  <c r="O520" i="10"/>
  <c r="N520" i="10"/>
  <c r="M520" i="10"/>
  <c r="L520" i="10"/>
  <c r="K520" i="10"/>
  <c r="J520" i="10"/>
  <c r="I520" i="10"/>
  <c r="H520" i="10"/>
  <c r="G520" i="10"/>
  <c r="F520" i="10"/>
  <c r="AC519" i="10"/>
  <c r="AB519" i="10"/>
  <c r="AA519" i="10"/>
  <c r="Z519" i="10"/>
  <c r="Y519" i="10"/>
  <c r="X519" i="10"/>
  <c r="W519" i="10"/>
  <c r="V519" i="10"/>
  <c r="U519" i="10"/>
  <c r="T519" i="10"/>
  <c r="S519" i="10"/>
  <c r="R519" i="10"/>
  <c r="Q519" i="10"/>
  <c r="P519" i="10"/>
  <c r="O519" i="10"/>
  <c r="N519" i="10"/>
  <c r="M519" i="10"/>
  <c r="L519" i="10"/>
  <c r="K519" i="10"/>
  <c r="J519" i="10"/>
  <c r="I519" i="10"/>
  <c r="H519" i="10"/>
  <c r="G519" i="10"/>
  <c r="F519" i="10"/>
  <c r="AC518" i="10"/>
  <c r="AB518" i="10"/>
  <c r="AA518" i="10"/>
  <c r="Z518" i="10"/>
  <c r="Y518" i="10"/>
  <c r="X518" i="10"/>
  <c r="W518" i="10"/>
  <c r="V518" i="10"/>
  <c r="U518" i="10"/>
  <c r="T518" i="10"/>
  <c r="S518" i="10"/>
  <c r="R518" i="10"/>
  <c r="Q518" i="10"/>
  <c r="P518" i="10"/>
  <c r="O518" i="10"/>
  <c r="N518" i="10"/>
  <c r="M518" i="10"/>
  <c r="L518" i="10"/>
  <c r="K518" i="10"/>
  <c r="J518" i="10"/>
  <c r="I518" i="10"/>
  <c r="H518" i="10"/>
  <c r="G518" i="10"/>
  <c r="F518" i="10"/>
  <c r="AC517" i="10"/>
  <c r="AB517" i="10"/>
  <c r="AA517" i="10"/>
  <c r="Z517" i="10"/>
  <c r="Y517" i="10"/>
  <c r="X517" i="10"/>
  <c r="W517" i="10"/>
  <c r="V517" i="10"/>
  <c r="U517" i="10"/>
  <c r="T517" i="10"/>
  <c r="S517" i="10"/>
  <c r="R517" i="10"/>
  <c r="Q517" i="10"/>
  <c r="P517" i="10"/>
  <c r="O517" i="10"/>
  <c r="N517" i="10"/>
  <c r="M517" i="10"/>
  <c r="L517" i="10"/>
  <c r="K517" i="10"/>
  <c r="J517" i="10"/>
  <c r="I517" i="10"/>
  <c r="H517" i="10"/>
  <c r="G517" i="10"/>
  <c r="F517" i="10"/>
  <c r="AC516" i="10"/>
  <c r="AB516" i="10"/>
  <c r="AA516" i="10"/>
  <c r="Z516" i="10"/>
  <c r="Y516" i="10"/>
  <c r="X516" i="10"/>
  <c r="W516" i="10"/>
  <c r="V516" i="10"/>
  <c r="U516" i="10"/>
  <c r="T516" i="10"/>
  <c r="S516" i="10"/>
  <c r="R516" i="10"/>
  <c r="Q516" i="10"/>
  <c r="P516" i="10"/>
  <c r="O516" i="10"/>
  <c r="N516" i="10"/>
  <c r="M516" i="10"/>
  <c r="L516" i="10"/>
  <c r="K516" i="10"/>
  <c r="J516" i="10"/>
  <c r="I516" i="10"/>
  <c r="H516" i="10"/>
  <c r="G516" i="10"/>
  <c r="F516" i="10"/>
  <c r="AC515" i="10"/>
  <c r="AB515" i="10"/>
  <c r="AA515" i="10"/>
  <c r="Z515" i="10"/>
  <c r="Y515" i="10"/>
  <c r="X515" i="10"/>
  <c r="W515" i="10"/>
  <c r="V515" i="10"/>
  <c r="U515" i="10"/>
  <c r="T515" i="10"/>
  <c r="S515" i="10"/>
  <c r="R515" i="10"/>
  <c r="Q515" i="10"/>
  <c r="P515" i="10"/>
  <c r="O515" i="10"/>
  <c r="N515" i="10"/>
  <c r="M515" i="10"/>
  <c r="L515" i="10"/>
  <c r="K515" i="10"/>
  <c r="J515" i="10"/>
  <c r="I515" i="10"/>
  <c r="H515" i="10"/>
  <c r="G515" i="10"/>
  <c r="F515" i="10"/>
  <c r="AC514" i="10"/>
  <c r="AB514" i="10"/>
  <c r="AA514" i="10"/>
  <c r="Z514" i="10"/>
  <c r="Y514" i="10"/>
  <c r="X514" i="10"/>
  <c r="W514" i="10"/>
  <c r="V514" i="10"/>
  <c r="U514" i="10"/>
  <c r="T514" i="10"/>
  <c r="S514" i="10"/>
  <c r="R514" i="10"/>
  <c r="Q514" i="10"/>
  <c r="P514" i="10"/>
  <c r="O514" i="10"/>
  <c r="N514" i="10"/>
  <c r="M514" i="10"/>
  <c r="L514" i="10"/>
  <c r="K514" i="10"/>
  <c r="J514" i="10"/>
  <c r="I514" i="10"/>
  <c r="H514" i="10"/>
  <c r="G514" i="10"/>
  <c r="F514" i="10"/>
  <c r="AC513" i="10"/>
  <c r="AB513" i="10"/>
  <c r="AA513" i="10"/>
  <c r="Z513" i="10"/>
  <c r="Y513" i="10"/>
  <c r="X513" i="10"/>
  <c r="W513" i="10"/>
  <c r="V513" i="10"/>
  <c r="U513" i="10"/>
  <c r="T513" i="10"/>
  <c r="S513" i="10"/>
  <c r="R513" i="10"/>
  <c r="Q513" i="10"/>
  <c r="P513" i="10"/>
  <c r="O513" i="10"/>
  <c r="N513" i="10"/>
  <c r="M513" i="10"/>
  <c r="L513" i="10"/>
  <c r="K513" i="10"/>
  <c r="J513" i="10"/>
  <c r="I513" i="10"/>
  <c r="H513" i="10"/>
  <c r="G513" i="10"/>
  <c r="F513" i="10"/>
  <c r="AC512" i="10"/>
  <c r="AB512" i="10"/>
  <c r="AA512" i="10"/>
  <c r="Z512" i="10"/>
  <c r="Y512" i="10"/>
  <c r="X512" i="10"/>
  <c r="W512" i="10"/>
  <c r="V512" i="10"/>
  <c r="U512" i="10"/>
  <c r="T512" i="10"/>
  <c r="S512" i="10"/>
  <c r="R512" i="10"/>
  <c r="Q512" i="10"/>
  <c r="P512" i="10"/>
  <c r="O512" i="10"/>
  <c r="N512" i="10"/>
  <c r="M512" i="10"/>
  <c r="L512" i="10"/>
  <c r="K512" i="10"/>
  <c r="J512" i="10"/>
  <c r="I512" i="10"/>
  <c r="H512" i="10"/>
  <c r="G512" i="10"/>
  <c r="F512" i="10"/>
  <c r="AC511" i="10"/>
  <c r="AB511" i="10"/>
  <c r="AA511" i="10"/>
  <c r="Z511" i="10"/>
  <c r="Y511" i="10"/>
  <c r="X511" i="10"/>
  <c r="W511" i="10"/>
  <c r="V511" i="10"/>
  <c r="U511" i="10"/>
  <c r="T511" i="10"/>
  <c r="S511" i="10"/>
  <c r="R511" i="10"/>
  <c r="Q511" i="10"/>
  <c r="P511" i="10"/>
  <c r="O511" i="10"/>
  <c r="N511" i="10"/>
  <c r="M511" i="10"/>
  <c r="L511" i="10"/>
  <c r="K511" i="10"/>
  <c r="J511" i="10"/>
  <c r="I511" i="10"/>
  <c r="H511" i="10"/>
  <c r="G511" i="10"/>
  <c r="F511" i="10"/>
  <c r="AC510" i="10"/>
  <c r="T510" i="10"/>
  <c r="R510" i="10"/>
  <c r="O510" i="10"/>
  <c r="G510" i="10"/>
  <c r="F510" i="10"/>
  <c r="L510" i="10" s="1"/>
  <c r="AC509" i="10"/>
  <c r="T509" i="10"/>
  <c r="R509" i="10"/>
  <c r="S509" i="10" s="1"/>
  <c r="I509" i="10" s="1"/>
  <c r="K509" i="10" s="1"/>
  <c r="O509" i="10"/>
  <c r="L509" i="10"/>
  <c r="G509" i="10"/>
  <c r="F509" i="10"/>
  <c r="E244" i="13" s="1"/>
  <c r="H244" i="13" s="1" a="1"/>
  <c r="H244" i="13" s="1"/>
  <c r="AC508" i="10"/>
  <c r="T508" i="10"/>
  <c r="R508" i="10"/>
  <c r="O508" i="10"/>
  <c r="G508" i="10"/>
  <c r="F508" i="10"/>
  <c r="L508" i="10" s="1"/>
  <c r="AC507" i="10"/>
  <c r="T507" i="10"/>
  <c r="R507" i="10"/>
  <c r="O507" i="10"/>
  <c r="G507" i="10"/>
  <c r="F507" i="10"/>
  <c r="E243" i="13" s="1"/>
  <c r="H243" i="13" s="1" a="1"/>
  <c r="H243" i="13" s="1"/>
  <c r="AC506" i="10"/>
  <c r="T506" i="10"/>
  <c r="R506" i="10"/>
  <c r="O506" i="10"/>
  <c r="G506" i="10"/>
  <c r="F506" i="10"/>
  <c r="L506" i="10" s="1"/>
  <c r="AC505" i="10"/>
  <c r="T505" i="10"/>
  <c r="R505" i="10"/>
  <c r="O505" i="10"/>
  <c r="G505" i="10"/>
  <c r="F505" i="10"/>
  <c r="E242" i="13" s="1"/>
  <c r="H242" i="13" s="1" a="1"/>
  <c r="H242" i="13" s="1"/>
  <c r="AC504" i="10"/>
  <c r="T504" i="10"/>
  <c r="R504" i="10"/>
  <c r="O504" i="10"/>
  <c r="G504" i="10"/>
  <c r="F504" i="10"/>
  <c r="L504" i="10" s="1"/>
  <c r="AC503" i="10"/>
  <c r="T503" i="10"/>
  <c r="R503" i="10"/>
  <c r="O503" i="10"/>
  <c r="G503" i="10"/>
  <c r="F503" i="10"/>
  <c r="E241" i="13" s="1"/>
  <c r="H241" i="13" s="1" a="1"/>
  <c r="H241" i="13" s="1"/>
  <c r="AC502" i="10"/>
  <c r="T502" i="10"/>
  <c r="R502" i="10"/>
  <c r="O502" i="10"/>
  <c r="G502" i="10"/>
  <c r="F502" i="10"/>
  <c r="L502" i="10" s="1"/>
  <c r="AC501" i="10"/>
  <c r="U501" i="10"/>
  <c r="Y501" i="10" s="1"/>
  <c r="Z501" i="10" s="1"/>
  <c r="T501" i="10"/>
  <c r="R501" i="10"/>
  <c r="O501" i="10"/>
  <c r="G501" i="10"/>
  <c r="F501" i="10"/>
  <c r="E240" i="13" s="1"/>
  <c r="H240" i="13" s="1" a="1"/>
  <c r="H240" i="13" s="1"/>
  <c r="AC500" i="10"/>
  <c r="T500" i="10"/>
  <c r="R500" i="10"/>
  <c r="O500" i="10"/>
  <c r="G500" i="10"/>
  <c r="F500" i="10"/>
  <c r="L500" i="10" s="1"/>
  <c r="AC499" i="10"/>
  <c r="T499" i="10"/>
  <c r="R499" i="10"/>
  <c r="O499" i="10"/>
  <c r="G499" i="10"/>
  <c r="F499" i="10"/>
  <c r="E239" i="13" s="1"/>
  <c r="H239" i="13" s="1" a="1"/>
  <c r="H239" i="13" s="1"/>
  <c r="AC498" i="10"/>
  <c r="T498" i="10"/>
  <c r="R498" i="10"/>
  <c r="O498" i="10"/>
  <c r="G498" i="10"/>
  <c r="F498" i="10"/>
  <c r="L498" i="10" s="1"/>
  <c r="AC497" i="10"/>
  <c r="T497" i="10"/>
  <c r="R497" i="10"/>
  <c r="O497" i="10"/>
  <c r="G497" i="10"/>
  <c r="F497" i="10"/>
  <c r="E238" i="13" s="1"/>
  <c r="H238" i="13" s="1" a="1"/>
  <c r="H238" i="13" s="1"/>
  <c r="AC496" i="10"/>
  <c r="U496" i="10"/>
  <c r="T496" i="10"/>
  <c r="R496" i="10"/>
  <c r="O496" i="10"/>
  <c r="G496" i="10"/>
  <c r="F496" i="10"/>
  <c r="L496" i="10" s="1"/>
  <c r="AC495" i="10"/>
  <c r="U495" i="10"/>
  <c r="Y496" i="10" s="1"/>
  <c r="T495" i="10"/>
  <c r="R495" i="10"/>
  <c r="O495" i="10"/>
  <c r="G495" i="10"/>
  <c r="F495" i="10"/>
  <c r="E237" i="13" s="1"/>
  <c r="H237" i="13" s="1" a="1"/>
  <c r="H237" i="13" s="1"/>
  <c r="AC494" i="10"/>
  <c r="T494" i="10"/>
  <c r="R494" i="10"/>
  <c r="O494" i="10"/>
  <c r="G494" i="10"/>
  <c r="F494" i="10"/>
  <c r="AC493" i="10"/>
  <c r="T493" i="10"/>
  <c r="R493" i="10"/>
  <c r="O493" i="10"/>
  <c r="G493" i="10"/>
  <c r="F493" i="10"/>
  <c r="E236" i="13" s="1"/>
  <c r="H236" i="13" s="1" a="1"/>
  <c r="H236" i="13" s="1"/>
  <c r="AC492" i="10"/>
  <c r="T492" i="10"/>
  <c r="R492" i="10"/>
  <c r="O492" i="10"/>
  <c r="G492" i="10"/>
  <c r="F492" i="10"/>
  <c r="AC491" i="10"/>
  <c r="T491" i="10"/>
  <c r="R491" i="10"/>
  <c r="O491" i="10"/>
  <c r="G491" i="10"/>
  <c r="F491" i="10"/>
  <c r="E235" i="13" s="1"/>
  <c r="H235" i="13" s="1" a="1"/>
  <c r="H235" i="13" s="1"/>
  <c r="AC490" i="10"/>
  <c r="T490" i="10"/>
  <c r="R490" i="10"/>
  <c r="O490" i="10"/>
  <c r="G490" i="10"/>
  <c r="F490" i="10"/>
  <c r="AC489" i="10"/>
  <c r="T489" i="10"/>
  <c r="R489" i="10"/>
  <c r="O489" i="10"/>
  <c r="G489" i="10"/>
  <c r="F489" i="10"/>
  <c r="E234" i="13" s="1"/>
  <c r="H234" i="13" s="1" a="1"/>
  <c r="H234" i="13" s="1"/>
  <c r="AC488" i="10"/>
  <c r="U488" i="10"/>
  <c r="T488" i="10"/>
  <c r="R488" i="10"/>
  <c r="O488" i="10"/>
  <c r="G488" i="10"/>
  <c r="F488" i="10"/>
  <c r="AC487" i="10"/>
  <c r="T487" i="10"/>
  <c r="R487" i="10"/>
  <c r="O487" i="10"/>
  <c r="G487" i="10"/>
  <c r="F487" i="10"/>
  <c r="AC486" i="10"/>
  <c r="T486" i="10"/>
  <c r="R486" i="10"/>
  <c r="O486" i="10"/>
  <c r="G486" i="10"/>
  <c r="F486" i="10"/>
  <c r="AC485" i="10"/>
  <c r="T485" i="10"/>
  <c r="R485" i="10"/>
  <c r="O485" i="10"/>
  <c r="G485" i="10"/>
  <c r="F485" i="10"/>
  <c r="L485" i="10" s="1"/>
  <c r="AC484" i="10"/>
  <c r="T484" i="10"/>
  <c r="R484" i="10"/>
  <c r="O484" i="10"/>
  <c r="G484" i="10"/>
  <c r="F484" i="10"/>
  <c r="AC483" i="10"/>
  <c r="T483" i="10"/>
  <c r="R483" i="10"/>
  <c r="O483" i="10"/>
  <c r="G483" i="10"/>
  <c r="F483" i="10"/>
  <c r="L483" i="10" s="1"/>
  <c r="AC482" i="10"/>
  <c r="T482" i="10"/>
  <c r="R482" i="10"/>
  <c r="O482" i="10"/>
  <c r="G482" i="10"/>
  <c r="F482" i="10"/>
  <c r="L482" i="10" s="1"/>
  <c r="AC481" i="10"/>
  <c r="T481" i="10"/>
  <c r="R481" i="10"/>
  <c r="O481" i="10"/>
  <c r="G481" i="10"/>
  <c r="F481" i="10"/>
  <c r="E231" i="13" s="1"/>
  <c r="H231" i="13" s="1" a="1"/>
  <c r="H231" i="13" s="1"/>
  <c r="AC480" i="10"/>
  <c r="U480" i="10"/>
  <c r="Y479" i="10" s="1"/>
  <c r="T480" i="10"/>
  <c r="R480" i="10"/>
  <c r="O480" i="10"/>
  <c r="G480" i="10"/>
  <c r="F480" i="10"/>
  <c r="AC479" i="10"/>
  <c r="U479" i="10"/>
  <c r="T479" i="10"/>
  <c r="R479" i="10"/>
  <c r="O479" i="10"/>
  <c r="G479" i="10"/>
  <c r="F479" i="10"/>
  <c r="L479" i="10" s="1"/>
  <c r="AC478" i="10"/>
  <c r="U478" i="10"/>
  <c r="T478" i="10"/>
  <c r="R478" i="10"/>
  <c r="O478" i="10"/>
  <c r="G478" i="10"/>
  <c r="F478" i="10"/>
  <c r="E230" i="13" s="1"/>
  <c r="H230" i="13" s="1" a="1"/>
  <c r="H230" i="13" s="1"/>
  <c r="AC477" i="10"/>
  <c r="T477" i="10"/>
  <c r="R477" i="10"/>
  <c r="O477" i="10"/>
  <c r="G477" i="10"/>
  <c r="F477" i="10"/>
  <c r="L477" i="10" s="1"/>
  <c r="AC476" i="10"/>
  <c r="T476" i="10"/>
  <c r="R476" i="10"/>
  <c r="O476" i="10"/>
  <c r="G476" i="10"/>
  <c r="F476" i="10"/>
  <c r="L476" i="10" s="1"/>
  <c r="AC475" i="10"/>
  <c r="T475" i="10"/>
  <c r="R475" i="10"/>
  <c r="O475" i="10"/>
  <c r="G475" i="10"/>
  <c r="F475" i="10"/>
  <c r="AC474" i="10"/>
  <c r="T474" i="10"/>
  <c r="R474" i="10"/>
  <c r="O474" i="10"/>
  <c r="G474" i="10"/>
  <c r="F474" i="10"/>
  <c r="L474" i="10" s="1"/>
  <c r="AC473" i="10"/>
  <c r="T473" i="10"/>
  <c r="R473" i="10"/>
  <c r="O473" i="10"/>
  <c r="G473" i="10"/>
  <c r="F473" i="10"/>
  <c r="E228" i="13" s="1"/>
  <c r="H228" i="13" s="1" a="1"/>
  <c r="H228" i="13" s="1"/>
  <c r="AC472" i="10"/>
  <c r="T472" i="10"/>
  <c r="R472" i="10"/>
  <c r="O472" i="10"/>
  <c r="G472" i="10"/>
  <c r="F472" i="10"/>
  <c r="L472" i="10" s="1"/>
  <c r="AC471" i="10"/>
  <c r="T471" i="10"/>
  <c r="R471" i="10"/>
  <c r="O471" i="10"/>
  <c r="G471" i="10"/>
  <c r="F471" i="10"/>
  <c r="L471" i="10" s="1"/>
  <c r="AC470" i="10"/>
  <c r="U470" i="10"/>
  <c r="Y472" i="10" s="1"/>
  <c r="T470" i="10"/>
  <c r="R470" i="10"/>
  <c r="O470" i="10"/>
  <c r="G470" i="10"/>
  <c r="F470" i="10"/>
  <c r="E227" i="13" s="1"/>
  <c r="H227" i="13" s="1" a="1"/>
  <c r="H227" i="13" s="1"/>
  <c r="AC469" i="10"/>
  <c r="T469" i="10"/>
  <c r="R469" i="10"/>
  <c r="O469" i="10"/>
  <c r="G469" i="10"/>
  <c r="F469" i="10"/>
  <c r="L469" i="10" s="1"/>
  <c r="AC468" i="10"/>
  <c r="T468" i="10"/>
  <c r="R468" i="10"/>
  <c r="O468" i="10"/>
  <c r="G468" i="10"/>
  <c r="F468" i="10"/>
  <c r="E226" i="13" s="1"/>
  <c r="H226" i="13" s="1" a="1"/>
  <c r="H226" i="13" s="1"/>
  <c r="AC467" i="10"/>
  <c r="T467" i="10"/>
  <c r="R467" i="10"/>
  <c r="O467" i="10"/>
  <c r="G467" i="10"/>
  <c r="F467" i="10"/>
  <c r="L467" i="10" s="1"/>
  <c r="AC466" i="10"/>
  <c r="T466" i="10"/>
  <c r="R466" i="10"/>
  <c r="O466" i="10"/>
  <c r="G466" i="10"/>
  <c r="F466" i="10"/>
  <c r="E225" i="13" s="1"/>
  <c r="H225" i="13" s="1" a="1"/>
  <c r="H225" i="13" s="1"/>
  <c r="AC465" i="10"/>
  <c r="T465" i="10"/>
  <c r="R465" i="10"/>
  <c r="O465" i="10"/>
  <c r="G465" i="10"/>
  <c r="F465" i="10"/>
  <c r="L465" i="10" s="1"/>
  <c r="AC464" i="10"/>
  <c r="T464" i="10"/>
  <c r="R464" i="10"/>
  <c r="O464" i="10"/>
  <c r="G464" i="10"/>
  <c r="F464" i="10"/>
  <c r="E224" i="13" s="1"/>
  <c r="H224" i="13" s="1" a="1"/>
  <c r="H224" i="13" s="1"/>
  <c r="AC463" i="10"/>
  <c r="T463" i="10"/>
  <c r="R463" i="10"/>
  <c r="O463" i="10"/>
  <c r="G463" i="10"/>
  <c r="F463" i="10"/>
  <c r="L463" i="10" s="1"/>
  <c r="AC462" i="10"/>
  <c r="T462" i="10"/>
  <c r="R462" i="10"/>
  <c r="O462" i="10"/>
  <c r="G462" i="10"/>
  <c r="F462" i="10"/>
  <c r="E223" i="13" s="1"/>
  <c r="H223" i="13" s="1" a="1"/>
  <c r="H223" i="13" s="1"/>
  <c r="AC461" i="10"/>
  <c r="T461" i="10"/>
  <c r="R461" i="10"/>
  <c r="O461" i="10"/>
  <c r="G461" i="10"/>
  <c r="F461" i="10"/>
  <c r="L461" i="10" s="1"/>
  <c r="AC460" i="10"/>
  <c r="T460" i="10"/>
  <c r="R460" i="10"/>
  <c r="O460" i="10"/>
  <c r="G460" i="10"/>
  <c r="F460" i="10"/>
  <c r="E222" i="13" s="1"/>
  <c r="H222" i="13" s="1" a="1"/>
  <c r="H222" i="13" s="1"/>
  <c r="AC459" i="10"/>
  <c r="T459" i="10"/>
  <c r="R459" i="10"/>
  <c r="O459" i="10"/>
  <c r="G459" i="10"/>
  <c r="F459" i="10"/>
  <c r="L459" i="10" s="1"/>
  <c r="AC458" i="10"/>
  <c r="U458" i="10"/>
  <c r="T458" i="10"/>
  <c r="R458" i="10"/>
  <c r="O458" i="10"/>
  <c r="G458" i="10"/>
  <c r="F458" i="10"/>
  <c r="AC457" i="10"/>
  <c r="T457" i="10"/>
  <c r="R457" i="10"/>
  <c r="O457" i="10"/>
  <c r="G457" i="10"/>
  <c r="F457" i="10"/>
  <c r="L457" i="10" s="1"/>
  <c r="AC456" i="10"/>
  <c r="U456" i="10"/>
  <c r="T456" i="10"/>
  <c r="R456" i="10"/>
  <c r="O456" i="10"/>
  <c r="G456" i="10"/>
  <c r="F456" i="10"/>
  <c r="AC455" i="10"/>
  <c r="T455" i="10"/>
  <c r="R455" i="10"/>
  <c r="O455" i="10"/>
  <c r="G455" i="10"/>
  <c r="F455" i="10"/>
  <c r="L455" i="10" s="1"/>
  <c r="AC454" i="10"/>
  <c r="T454" i="10"/>
  <c r="R454" i="10"/>
  <c r="O454" i="10"/>
  <c r="G454" i="10"/>
  <c r="F454" i="10"/>
  <c r="E219" i="13" s="1"/>
  <c r="H219" i="13" s="1" a="1"/>
  <c r="H219" i="13" s="1"/>
  <c r="AC453" i="10"/>
  <c r="T453" i="10"/>
  <c r="R453" i="10"/>
  <c r="O453" i="10"/>
  <c r="G453" i="10"/>
  <c r="F453" i="10"/>
  <c r="L453" i="10" s="1"/>
  <c r="AC452" i="10"/>
  <c r="U452" i="10"/>
  <c r="T452" i="10"/>
  <c r="R452" i="10"/>
  <c r="O452" i="10"/>
  <c r="G452" i="10"/>
  <c r="F452" i="10"/>
  <c r="AC451" i="10"/>
  <c r="T451" i="10"/>
  <c r="R451" i="10"/>
  <c r="O451" i="10"/>
  <c r="G451" i="10"/>
  <c r="F451" i="10"/>
  <c r="L451" i="10" s="1"/>
  <c r="AC450" i="10"/>
  <c r="U450" i="10"/>
  <c r="Y451" i="10" s="1"/>
  <c r="T450" i="10"/>
  <c r="R450" i="10"/>
  <c r="O450" i="10"/>
  <c r="G450" i="10"/>
  <c r="F450" i="10"/>
  <c r="E217" i="13" s="1"/>
  <c r="H217" i="13" s="1" a="1"/>
  <c r="H217" i="13" s="1"/>
  <c r="AC449" i="10"/>
  <c r="T449" i="10"/>
  <c r="R449" i="10"/>
  <c r="O449" i="10"/>
  <c r="G449" i="10"/>
  <c r="F449" i="10"/>
  <c r="L449" i="10" s="1"/>
  <c r="AC448" i="10"/>
  <c r="U448" i="10"/>
  <c r="Y448" i="10" s="1"/>
  <c r="Z448" i="10" s="1"/>
  <c r="T448" i="10"/>
  <c r="R448" i="10"/>
  <c r="O448" i="10"/>
  <c r="G448" i="10"/>
  <c r="F448" i="10"/>
  <c r="L448" i="10" s="1"/>
  <c r="AC447" i="10"/>
  <c r="T447" i="10"/>
  <c r="R447" i="10"/>
  <c r="O447" i="10"/>
  <c r="G447" i="10"/>
  <c r="F447" i="10"/>
  <c r="L447" i="10" s="1"/>
  <c r="AC446" i="10"/>
  <c r="T446" i="10"/>
  <c r="R446" i="10"/>
  <c r="O446" i="10"/>
  <c r="G446" i="10"/>
  <c r="F446" i="10"/>
  <c r="E215" i="13" s="1"/>
  <c r="H215" i="13" s="1" a="1"/>
  <c r="H215" i="13" s="1"/>
  <c r="AC445" i="10"/>
  <c r="T445" i="10"/>
  <c r="R445" i="10"/>
  <c r="O445" i="10"/>
  <c r="G445" i="10"/>
  <c r="F445" i="10"/>
  <c r="L445" i="10" s="1"/>
  <c r="AC444" i="10"/>
  <c r="T444" i="10"/>
  <c r="R444" i="10"/>
  <c r="O444" i="10"/>
  <c r="G444" i="10"/>
  <c r="F444" i="10"/>
  <c r="L444" i="10" s="1"/>
  <c r="AC443" i="10"/>
  <c r="T443" i="10"/>
  <c r="R443" i="10"/>
  <c r="O443" i="10"/>
  <c r="G443" i="10"/>
  <c r="F443" i="10"/>
  <c r="E214" i="13" s="1"/>
  <c r="H214" i="13" s="1" a="1"/>
  <c r="H214" i="13" s="1"/>
  <c r="AC442" i="10"/>
  <c r="T442" i="10"/>
  <c r="R442" i="10"/>
  <c r="O442" i="10"/>
  <c r="G442" i="10"/>
  <c r="F442" i="10"/>
  <c r="AC441" i="10"/>
  <c r="T441" i="10"/>
  <c r="R441" i="10"/>
  <c r="O441" i="10"/>
  <c r="G441" i="10"/>
  <c r="F441" i="10"/>
  <c r="L441" i="10" s="1"/>
  <c r="AC440" i="10"/>
  <c r="T440" i="10"/>
  <c r="R440" i="10"/>
  <c r="O440" i="10"/>
  <c r="G440" i="10"/>
  <c r="F440" i="10"/>
  <c r="E213" i="13" s="1"/>
  <c r="H213" i="13" s="1" a="1"/>
  <c r="H213" i="13" s="1"/>
  <c r="AC439" i="10"/>
  <c r="T439" i="10"/>
  <c r="R439" i="10"/>
  <c r="O439" i="10"/>
  <c r="G439" i="10"/>
  <c r="F439" i="10"/>
  <c r="L439" i="10" s="1"/>
  <c r="AC438" i="10"/>
  <c r="T438" i="10"/>
  <c r="R438" i="10"/>
  <c r="O438" i="10"/>
  <c r="G438" i="10"/>
  <c r="F438" i="10"/>
  <c r="AC437" i="10"/>
  <c r="T437" i="10"/>
  <c r="R437" i="10"/>
  <c r="O437" i="10"/>
  <c r="G437" i="10"/>
  <c r="F437" i="10"/>
  <c r="E212" i="13" s="1"/>
  <c r="H212" i="13" s="1" a="1"/>
  <c r="H212" i="13" s="1"/>
  <c r="AC436" i="10"/>
  <c r="T436" i="10"/>
  <c r="R436" i="10"/>
  <c r="O436" i="10"/>
  <c r="G436" i="10"/>
  <c r="F436" i="10"/>
  <c r="L436" i="10" s="1"/>
  <c r="AC435" i="10"/>
  <c r="T435" i="10"/>
  <c r="R435" i="10"/>
  <c r="O435" i="10"/>
  <c r="G435" i="10"/>
  <c r="F435" i="10"/>
  <c r="E211" i="13" s="1"/>
  <c r="H211" i="13" s="1" a="1"/>
  <c r="H211" i="13" s="1"/>
  <c r="AC434" i="10"/>
  <c r="T434" i="10"/>
  <c r="R434" i="10"/>
  <c r="O434" i="10"/>
  <c r="G434" i="10"/>
  <c r="F434" i="10"/>
  <c r="AC433" i="10"/>
  <c r="T433" i="10"/>
  <c r="R433" i="10"/>
  <c r="O433" i="10"/>
  <c r="G433" i="10"/>
  <c r="F433" i="10"/>
  <c r="E210" i="13" s="1"/>
  <c r="H210" i="13" s="1" a="1"/>
  <c r="H210" i="13" s="1"/>
  <c r="AC432" i="10"/>
  <c r="T432" i="10"/>
  <c r="R432" i="10"/>
  <c r="O432" i="10"/>
  <c r="G432" i="10"/>
  <c r="F432" i="10"/>
  <c r="AC431" i="10"/>
  <c r="T431" i="10"/>
  <c r="R431" i="10"/>
  <c r="O431" i="10"/>
  <c r="G431" i="10"/>
  <c r="F431" i="10"/>
  <c r="E209" i="13" s="1"/>
  <c r="H209" i="13" s="1" a="1"/>
  <c r="H209" i="13" s="1"/>
  <c r="AC430" i="10"/>
  <c r="T430" i="10"/>
  <c r="R430" i="10"/>
  <c r="O430" i="10"/>
  <c r="G430" i="10"/>
  <c r="F430" i="10"/>
  <c r="L430" i="10" s="1"/>
  <c r="AC429" i="10"/>
  <c r="T429" i="10"/>
  <c r="R429" i="10"/>
  <c r="O429" i="10"/>
  <c r="G429" i="10"/>
  <c r="F429" i="10"/>
  <c r="E208" i="13" s="1"/>
  <c r="H208" i="13" s="1" a="1"/>
  <c r="H208" i="13" s="1"/>
  <c r="AC428" i="10"/>
  <c r="T428" i="10"/>
  <c r="R428" i="10"/>
  <c r="O428" i="10"/>
  <c r="G428" i="10"/>
  <c r="F428" i="10"/>
  <c r="L428" i="10" s="1"/>
  <c r="AC427" i="10"/>
  <c r="T427" i="10"/>
  <c r="R427" i="10"/>
  <c r="O427" i="10"/>
  <c r="G427" i="10"/>
  <c r="F427" i="10"/>
  <c r="E207" i="13" s="1"/>
  <c r="H207" i="13" s="1" a="1"/>
  <c r="H207" i="13" s="1"/>
  <c r="AC426" i="10"/>
  <c r="T426" i="10"/>
  <c r="R426" i="10"/>
  <c r="O426" i="10"/>
  <c r="G426" i="10"/>
  <c r="F426" i="10"/>
  <c r="L426" i="10" s="1"/>
  <c r="AC425" i="10"/>
  <c r="T425" i="10"/>
  <c r="R425" i="10"/>
  <c r="O425" i="10"/>
  <c r="G425" i="10"/>
  <c r="F425" i="10"/>
  <c r="L425" i="10" s="1"/>
  <c r="AC424" i="10"/>
  <c r="T424" i="10"/>
  <c r="R424" i="10"/>
  <c r="O424" i="10"/>
  <c r="G424" i="10"/>
  <c r="F424" i="10"/>
  <c r="L424" i="10" s="1"/>
  <c r="AC423" i="10"/>
  <c r="U423" i="10"/>
  <c r="T423" i="10"/>
  <c r="R423" i="10"/>
  <c r="O423" i="10"/>
  <c r="G423" i="10"/>
  <c r="F423" i="10"/>
  <c r="L423" i="10" s="1"/>
  <c r="AC422" i="10"/>
  <c r="T422" i="10"/>
  <c r="R422" i="10"/>
  <c r="O422" i="10"/>
  <c r="G422" i="10"/>
  <c r="F422" i="10"/>
  <c r="AC421" i="10"/>
  <c r="U421" i="10"/>
  <c r="T421" i="10"/>
  <c r="R421" i="10"/>
  <c r="O421" i="10"/>
  <c r="G421" i="10"/>
  <c r="F421" i="10"/>
  <c r="L421" i="10" s="1"/>
  <c r="AC420" i="10"/>
  <c r="U420" i="10"/>
  <c r="T420" i="10"/>
  <c r="R420" i="10"/>
  <c r="O420" i="10"/>
  <c r="G420" i="10"/>
  <c r="F420" i="10"/>
  <c r="L420" i="10" s="1"/>
  <c r="AC419" i="10"/>
  <c r="T419" i="10"/>
  <c r="R419" i="10"/>
  <c r="O419" i="10"/>
  <c r="G419" i="10"/>
  <c r="F419" i="10"/>
  <c r="L419" i="10" s="1"/>
  <c r="AC418" i="10"/>
  <c r="T418" i="10"/>
  <c r="R418" i="10"/>
  <c r="O418" i="10"/>
  <c r="G418" i="10"/>
  <c r="F418" i="10"/>
  <c r="L418" i="10" s="1"/>
  <c r="AC417" i="10"/>
  <c r="T417" i="10"/>
  <c r="R417" i="10"/>
  <c r="O417" i="10"/>
  <c r="G417" i="10"/>
  <c r="F417" i="10"/>
  <c r="L417" i="10" s="1"/>
  <c r="AC416" i="10"/>
  <c r="T416" i="10"/>
  <c r="R416" i="10"/>
  <c r="O416" i="10"/>
  <c r="G416" i="10"/>
  <c r="F416" i="10"/>
  <c r="AC415" i="10"/>
  <c r="T415" i="10"/>
  <c r="R415" i="10"/>
  <c r="O415" i="10"/>
  <c r="G415" i="10"/>
  <c r="F415" i="10"/>
  <c r="L415" i="10" s="1"/>
  <c r="AC414" i="10"/>
  <c r="T414" i="10"/>
  <c r="R414" i="10"/>
  <c r="O414" i="10"/>
  <c r="G414" i="10"/>
  <c r="F414" i="10"/>
  <c r="L414" i="10" s="1"/>
  <c r="AC413" i="10"/>
  <c r="T413" i="10"/>
  <c r="R413" i="10"/>
  <c r="O413" i="10"/>
  <c r="G413" i="10"/>
  <c r="F413" i="10"/>
  <c r="AC412" i="10"/>
  <c r="T412" i="10"/>
  <c r="R412" i="10"/>
  <c r="O412" i="10"/>
  <c r="G412" i="10"/>
  <c r="F412" i="10"/>
  <c r="AC411" i="10"/>
  <c r="U411" i="10"/>
  <c r="T411" i="10"/>
  <c r="R411" i="10"/>
  <c r="O411" i="10"/>
  <c r="G411" i="10"/>
  <c r="F411" i="10"/>
  <c r="L411" i="10" s="1"/>
  <c r="AC410" i="10"/>
  <c r="U410" i="10"/>
  <c r="T410" i="10"/>
  <c r="R410" i="10"/>
  <c r="O410" i="10"/>
  <c r="G410" i="10"/>
  <c r="F410" i="10"/>
  <c r="L410" i="10" s="1"/>
  <c r="AC409" i="10"/>
  <c r="T409" i="10"/>
  <c r="R409" i="10"/>
  <c r="O409" i="10"/>
  <c r="G409" i="10"/>
  <c r="F409" i="10"/>
  <c r="L409" i="10" s="1"/>
  <c r="AC408" i="10"/>
  <c r="T408" i="10"/>
  <c r="R408" i="10"/>
  <c r="O408" i="10"/>
  <c r="G408" i="10"/>
  <c r="F408" i="10"/>
  <c r="AC407" i="10"/>
  <c r="T407" i="10"/>
  <c r="R407" i="10"/>
  <c r="O407" i="10"/>
  <c r="G407" i="10"/>
  <c r="F407" i="10"/>
  <c r="L407" i="10" s="1"/>
  <c r="AC406" i="10"/>
  <c r="T406" i="10"/>
  <c r="R406" i="10"/>
  <c r="O406" i="10"/>
  <c r="G406" i="10"/>
  <c r="F406" i="10"/>
  <c r="AC405" i="10"/>
  <c r="T405" i="10"/>
  <c r="R405" i="10"/>
  <c r="O405" i="10"/>
  <c r="G405" i="10"/>
  <c r="F405" i="10"/>
  <c r="L405" i="10" s="1"/>
  <c r="AC404" i="10"/>
  <c r="T404" i="10"/>
  <c r="R404" i="10"/>
  <c r="O404" i="10"/>
  <c r="G404" i="10"/>
  <c r="F404" i="10"/>
  <c r="AC403" i="10"/>
  <c r="T403" i="10"/>
  <c r="R403" i="10"/>
  <c r="O403" i="10"/>
  <c r="G403" i="10"/>
  <c r="F403" i="10"/>
  <c r="L403" i="10" s="1"/>
  <c r="AC402" i="10"/>
  <c r="T402" i="10"/>
  <c r="R402" i="10"/>
  <c r="O402" i="10"/>
  <c r="G402" i="10"/>
  <c r="F402" i="10"/>
  <c r="AC401" i="10"/>
  <c r="T401" i="10"/>
  <c r="R401" i="10"/>
  <c r="O401" i="10"/>
  <c r="G401" i="10"/>
  <c r="F401" i="10"/>
  <c r="L401" i="10" s="1"/>
  <c r="AC400" i="10"/>
  <c r="T400" i="10"/>
  <c r="R400" i="10"/>
  <c r="O400" i="10"/>
  <c r="G400" i="10"/>
  <c r="F400" i="10"/>
  <c r="L400" i="10" s="1"/>
  <c r="AC399" i="10"/>
  <c r="T399" i="10"/>
  <c r="R399" i="10"/>
  <c r="O399" i="10"/>
  <c r="G399" i="10"/>
  <c r="F399" i="10"/>
  <c r="E195" i="13" s="1"/>
  <c r="H195" i="13" s="1" a="1"/>
  <c r="H195" i="13" s="1"/>
  <c r="AC398" i="10"/>
  <c r="T398" i="10"/>
  <c r="R398" i="10"/>
  <c r="O398" i="10"/>
  <c r="G398" i="10"/>
  <c r="F398" i="10"/>
  <c r="L398" i="10" s="1"/>
  <c r="AC397" i="10"/>
  <c r="T397" i="10"/>
  <c r="R397" i="10"/>
  <c r="O397" i="10"/>
  <c r="G397" i="10"/>
  <c r="F397" i="10"/>
  <c r="L397" i="10" s="1"/>
  <c r="AC396" i="10"/>
  <c r="T396" i="10"/>
  <c r="R396" i="10"/>
  <c r="O396" i="10"/>
  <c r="G396" i="10"/>
  <c r="F396" i="10"/>
  <c r="AC395" i="10"/>
  <c r="T395" i="10"/>
  <c r="R395" i="10"/>
  <c r="O395" i="10"/>
  <c r="G395" i="10"/>
  <c r="F395" i="10"/>
  <c r="L395" i="10" s="1"/>
  <c r="AC394" i="10"/>
  <c r="T394" i="10"/>
  <c r="R394" i="10"/>
  <c r="O394" i="10"/>
  <c r="G394" i="10"/>
  <c r="F394" i="10"/>
  <c r="L394" i="10" s="1"/>
  <c r="AC393" i="10"/>
  <c r="T393" i="10"/>
  <c r="R393" i="10"/>
  <c r="O393" i="10"/>
  <c r="G393" i="10"/>
  <c r="F393" i="10"/>
  <c r="E193" i="13" s="1"/>
  <c r="H193" i="13" s="1" a="1"/>
  <c r="H193" i="13" s="1"/>
  <c r="AC392" i="10"/>
  <c r="T392" i="10"/>
  <c r="R392" i="10"/>
  <c r="O392" i="10"/>
  <c r="G392" i="10"/>
  <c r="F392" i="10"/>
  <c r="L392" i="10" s="1"/>
  <c r="AC391" i="10"/>
  <c r="T391" i="10"/>
  <c r="R391" i="10"/>
  <c r="O391" i="10"/>
  <c r="G391" i="10"/>
  <c r="F391" i="10"/>
  <c r="E192" i="13" s="1"/>
  <c r="H192" i="13" s="1" a="1"/>
  <c r="H192" i="13" s="1"/>
  <c r="AC390" i="10"/>
  <c r="T390" i="10"/>
  <c r="R390" i="10"/>
  <c r="O390" i="10"/>
  <c r="G390" i="10"/>
  <c r="F390" i="10"/>
  <c r="L390" i="10" s="1"/>
  <c r="AC389" i="10"/>
  <c r="T389" i="10"/>
  <c r="R389" i="10"/>
  <c r="O389" i="10"/>
  <c r="G389" i="10"/>
  <c r="F389" i="10"/>
  <c r="E191" i="13" s="1"/>
  <c r="H191" i="13" s="1" a="1"/>
  <c r="H191" i="13" s="1"/>
  <c r="AC388" i="10"/>
  <c r="T388" i="10"/>
  <c r="R388" i="10"/>
  <c r="O388" i="10"/>
  <c r="G388" i="10"/>
  <c r="F388" i="10"/>
  <c r="L388" i="10" s="1"/>
  <c r="AC387" i="10"/>
  <c r="T387" i="10"/>
  <c r="R387" i="10"/>
  <c r="O387" i="10"/>
  <c r="G387" i="10"/>
  <c r="F387" i="10"/>
  <c r="E190" i="13" s="1"/>
  <c r="H190" i="13" s="1" a="1"/>
  <c r="H190" i="13" s="1"/>
  <c r="AC386" i="10"/>
  <c r="T386" i="10"/>
  <c r="R386" i="10"/>
  <c r="O386" i="10"/>
  <c r="G386" i="10"/>
  <c r="F386" i="10"/>
  <c r="L386" i="10" s="1"/>
  <c r="AC385" i="10"/>
  <c r="T385" i="10"/>
  <c r="R385" i="10"/>
  <c r="O385" i="10"/>
  <c r="G385" i="10"/>
  <c r="F385" i="10"/>
  <c r="E189" i="13" s="1"/>
  <c r="H189" i="13" s="1" a="1"/>
  <c r="H189" i="13" s="1"/>
  <c r="AC384" i="10"/>
  <c r="T384" i="10"/>
  <c r="R384" i="10"/>
  <c r="O384" i="10"/>
  <c r="G384" i="10"/>
  <c r="F384" i="10"/>
  <c r="L384" i="10" s="1"/>
  <c r="AC383" i="10"/>
  <c r="T383" i="10"/>
  <c r="R383" i="10"/>
  <c r="O383" i="10"/>
  <c r="G383" i="10"/>
  <c r="F383" i="10"/>
  <c r="E188" i="13" s="1"/>
  <c r="H188" i="13" s="1" a="1"/>
  <c r="H188" i="13" s="1"/>
  <c r="AC382" i="10"/>
  <c r="T382" i="10"/>
  <c r="R382" i="10"/>
  <c r="O382" i="10"/>
  <c r="G382" i="10"/>
  <c r="F382" i="10"/>
  <c r="L382" i="10" s="1"/>
  <c r="AC381" i="10"/>
  <c r="T381" i="10"/>
  <c r="R381" i="10"/>
  <c r="O381" i="10"/>
  <c r="G381" i="10"/>
  <c r="F381" i="10"/>
  <c r="E187" i="13" s="1"/>
  <c r="H187" i="13" s="1" a="1"/>
  <c r="H187" i="13" s="1"/>
  <c r="AC380" i="10"/>
  <c r="U380" i="10"/>
  <c r="Y377" i="10" s="1"/>
  <c r="T380" i="10"/>
  <c r="R380" i="10"/>
  <c r="O380" i="10"/>
  <c r="G380" i="10"/>
  <c r="F380" i="10"/>
  <c r="L380" i="10" s="1"/>
  <c r="AC379" i="10"/>
  <c r="T379" i="10"/>
  <c r="R379" i="10"/>
  <c r="O379" i="10"/>
  <c r="G379" i="10"/>
  <c r="F379" i="10"/>
  <c r="L379" i="10" s="1"/>
  <c r="AC378" i="10"/>
  <c r="U378" i="10"/>
  <c r="T378" i="10"/>
  <c r="R378" i="10"/>
  <c r="O378" i="10"/>
  <c r="G378" i="10"/>
  <c r="F378" i="10"/>
  <c r="L378" i="10" s="1"/>
  <c r="AC377" i="10"/>
  <c r="T377" i="10"/>
  <c r="R377" i="10"/>
  <c r="O377" i="10"/>
  <c r="G377" i="10"/>
  <c r="F377" i="10"/>
  <c r="E186" i="13" s="1"/>
  <c r="H186" i="13" s="1" a="1"/>
  <c r="H186" i="13" s="1"/>
  <c r="AC376" i="10"/>
  <c r="T376" i="10"/>
  <c r="R376" i="10"/>
  <c r="O376" i="10"/>
  <c r="G376" i="10"/>
  <c r="F376" i="10"/>
  <c r="L376" i="10" s="1"/>
  <c r="AC375" i="10"/>
  <c r="T375" i="10"/>
  <c r="R375" i="10"/>
  <c r="O375" i="10"/>
  <c r="G375" i="10"/>
  <c r="F375" i="10"/>
  <c r="L375" i="10" s="1"/>
  <c r="AC374" i="10"/>
  <c r="U374" i="10"/>
  <c r="T374" i="10"/>
  <c r="R374" i="10"/>
  <c r="O374" i="10"/>
  <c r="G374" i="10"/>
  <c r="F374" i="10"/>
  <c r="L374" i="10" s="1"/>
  <c r="AC373" i="10"/>
  <c r="T373" i="10"/>
  <c r="R373" i="10"/>
  <c r="O373" i="10"/>
  <c r="G373" i="10"/>
  <c r="F373" i="10"/>
  <c r="E185" i="13" s="1"/>
  <c r="H185" i="13" s="1" a="1"/>
  <c r="H185" i="13" s="1"/>
  <c r="AC372" i="10"/>
  <c r="T372" i="10"/>
  <c r="R372" i="10"/>
  <c r="O372" i="10"/>
  <c r="G372" i="10"/>
  <c r="F372" i="10"/>
  <c r="L372" i="10" s="1"/>
  <c r="AC371" i="10"/>
  <c r="T371" i="10"/>
  <c r="R371" i="10"/>
  <c r="O371" i="10"/>
  <c r="G371" i="10"/>
  <c r="F371" i="10"/>
  <c r="L371" i="10" s="1"/>
  <c r="AC370" i="10"/>
  <c r="T370" i="10"/>
  <c r="R370" i="10"/>
  <c r="O370" i="10"/>
  <c r="G370" i="10"/>
  <c r="F370" i="10"/>
  <c r="AC369" i="10"/>
  <c r="U369" i="10"/>
  <c r="T369" i="10"/>
  <c r="R369" i="10"/>
  <c r="O369" i="10"/>
  <c r="G369" i="10"/>
  <c r="F369" i="10"/>
  <c r="L369" i="10" s="1"/>
  <c r="AC368" i="10"/>
  <c r="T368" i="10"/>
  <c r="R368" i="10"/>
  <c r="O368" i="10"/>
  <c r="G368" i="10"/>
  <c r="F368" i="10"/>
  <c r="AC367" i="10"/>
  <c r="U367" i="10"/>
  <c r="T367" i="10"/>
  <c r="R367" i="10"/>
  <c r="O367" i="10"/>
  <c r="G367" i="10"/>
  <c r="F367" i="10"/>
  <c r="L367" i="10" s="1"/>
  <c r="AC366" i="10"/>
  <c r="U366" i="10"/>
  <c r="T366" i="10"/>
  <c r="R366" i="10"/>
  <c r="O366" i="10"/>
  <c r="G366" i="10"/>
  <c r="F366" i="10"/>
  <c r="AC365" i="10"/>
  <c r="T365" i="10"/>
  <c r="R365" i="10"/>
  <c r="O365" i="10"/>
  <c r="G365" i="10"/>
  <c r="F365" i="10"/>
  <c r="L365" i="10" s="1"/>
  <c r="AC364" i="10"/>
  <c r="T364" i="10"/>
  <c r="R364" i="10"/>
  <c r="O364" i="10"/>
  <c r="G364" i="10"/>
  <c r="F364" i="10"/>
  <c r="AC363" i="10"/>
  <c r="T363" i="10"/>
  <c r="R363" i="10"/>
  <c r="O363" i="10"/>
  <c r="G363" i="10"/>
  <c r="F363" i="10"/>
  <c r="L363" i="10" s="1"/>
  <c r="AC362" i="10"/>
  <c r="T362" i="10"/>
  <c r="R362" i="10"/>
  <c r="O362" i="10"/>
  <c r="G362" i="10"/>
  <c r="F362" i="10"/>
  <c r="AC361" i="10"/>
  <c r="U361" i="10"/>
  <c r="T361" i="10"/>
  <c r="R361" i="10"/>
  <c r="O361" i="10"/>
  <c r="G361" i="10"/>
  <c r="F361" i="10"/>
  <c r="AC360" i="10"/>
  <c r="T360" i="10"/>
  <c r="R360" i="10"/>
  <c r="O360" i="10"/>
  <c r="G360" i="10"/>
  <c r="F360" i="10"/>
  <c r="AC359" i="10"/>
  <c r="U359" i="10"/>
  <c r="T359" i="10"/>
  <c r="R359" i="10"/>
  <c r="O359" i="10"/>
  <c r="G359" i="10"/>
  <c r="F359" i="10"/>
  <c r="L359" i="10" s="1"/>
  <c r="AC358" i="10"/>
  <c r="U358" i="10"/>
  <c r="T358" i="10"/>
  <c r="R358" i="10"/>
  <c r="O358" i="10"/>
  <c r="G358" i="10"/>
  <c r="F358" i="10"/>
  <c r="L358" i="10" s="1"/>
  <c r="AC357" i="10"/>
  <c r="U357" i="10"/>
  <c r="Y359" i="10" s="1"/>
  <c r="T357" i="10"/>
  <c r="R357" i="10"/>
  <c r="O357" i="10"/>
  <c r="G357" i="10"/>
  <c r="F357" i="10"/>
  <c r="E178" i="13" s="1"/>
  <c r="H178" i="13" s="1" a="1"/>
  <c r="H178" i="13" s="1"/>
  <c r="AC356" i="10"/>
  <c r="U356" i="10"/>
  <c r="T356" i="10"/>
  <c r="R356" i="10"/>
  <c r="O356" i="10"/>
  <c r="G356" i="10"/>
  <c r="F356" i="10"/>
  <c r="L356" i="10" s="1"/>
  <c r="AC355" i="10"/>
  <c r="U355" i="10"/>
  <c r="Y356" i="10" s="1"/>
  <c r="T355" i="10"/>
  <c r="R355" i="10"/>
  <c r="O355" i="10"/>
  <c r="G355" i="10"/>
  <c r="F355" i="10"/>
  <c r="E177" i="13" s="1"/>
  <c r="H177" i="13" s="1" a="1"/>
  <c r="H177" i="13" s="1"/>
  <c r="AC354" i="10"/>
  <c r="T354" i="10"/>
  <c r="R354" i="10"/>
  <c r="O354" i="10"/>
  <c r="G354" i="10"/>
  <c r="F354" i="10"/>
  <c r="AC353" i="10"/>
  <c r="T353" i="10"/>
  <c r="R353" i="10"/>
  <c r="O353" i="10"/>
  <c r="G353" i="10"/>
  <c r="F353" i="10"/>
  <c r="E176" i="13" s="1"/>
  <c r="H176" i="13" s="1" a="1"/>
  <c r="H176" i="13" s="1"/>
  <c r="AC352" i="10"/>
  <c r="U352" i="10"/>
  <c r="T352" i="10"/>
  <c r="R352" i="10"/>
  <c r="O352" i="10"/>
  <c r="G352" i="10"/>
  <c r="F352" i="10"/>
  <c r="L352" i="10" s="1"/>
  <c r="AC351" i="10"/>
  <c r="T351" i="10"/>
  <c r="R351" i="10"/>
  <c r="O351" i="10"/>
  <c r="G351" i="10"/>
  <c r="F351" i="10"/>
  <c r="E175" i="13" s="1"/>
  <c r="H175" i="13" s="1" a="1"/>
  <c r="H175" i="13" s="1"/>
  <c r="AC350" i="10"/>
  <c r="T350" i="10"/>
  <c r="R350" i="10"/>
  <c r="O350" i="10"/>
  <c r="G350" i="10"/>
  <c r="F350" i="10"/>
  <c r="L350" i="10" s="1"/>
  <c r="AC349" i="10"/>
  <c r="T349" i="10"/>
  <c r="R349" i="10"/>
  <c r="O349" i="10"/>
  <c r="G349" i="10"/>
  <c r="F349" i="10"/>
  <c r="E174" i="13" s="1"/>
  <c r="H174" i="13" s="1" a="1"/>
  <c r="H174" i="13" s="1"/>
  <c r="AC348" i="10"/>
  <c r="U348" i="10"/>
  <c r="T348" i="10"/>
  <c r="R348" i="10"/>
  <c r="O348" i="10"/>
  <c r="G348" i="10"/>
  <c r="F348" i="10"/>
  <c r="L348" i="10" s="1"/>
  <c r="AC347" i="10"/>
  <c r="U347" i="10"/>
  <c r="Y347" i="10" s="1"/>
  <c r="Z347" i="10" s="1"/>
  <c r="T347" i="10"/>
  <c r="R347" i="10"/>
  <c r="O347" i="10"/>
  <c r="G347" i="10"/>
  <c r="F347" i="10"/>
  <c r="E173" i="13" s="1"/>
  <c r="H173" i="13" s="1" a="1"/>
  <c r="H173" i="13" s="1"/>
  <c r="AC346" i="10"/>
  <c r="T346" i="10"/>
  <c r="R346" i="10"/>
  <c r="O346" i="10"/>
  <c r="G346" i="10"/>
  <c r="F346" i="10"/>
  <c r="L346" i="10" s="1"/>
  <c r="AC345" i="10"/>
  <c r="T345" i="10"/>
  <c r="R345" i="10"/>
  <c r="O345" i="10"/>
  <c r="G345" i="10"/>
  <c r="F345" i="10"/>
  <c r="AC344" i="10"/>
  <c r="T344" i="10"/>
  <c r="R344" i="10"/>
  <c r="O344" i="10"/>
  <c r="G344" i="10"/>
  <c r="F344" i="10"/>
  <c r="L344" i="10" s="1"/>
  <c r="AC343" i="10"/>
  <c r="T343" i="10"/>
  <c r="R343" i="10"/>
  <c r="O343" i="10"/>
  <c r="G343" i="10"/>
  <c r="F343" i="10"/>
  <c r="AC342" i="10"/>
  <c r="T342" i="10"/>
  <c r="R342" i="10"/>
  <c r="O342" i="10"/>
  <c r="G342" i="10"/>
  <c r="F342" i="10"/>
  <c r="L342" i="10" s="1"/>
  <c r="AC341" i="10"/>
  <c r="T341" i="10"/>
  <c r="R341" i="10"/>
  <c r="O341" i="10"/>
  <c r="G341" i="10"/>
  <c r="F341" i="10"/>
  <c r="AC340" i="10"/>
  <c r="T340" i="10"/>
  <c r="R340" i="10"/>
  <c r="O340" i="10"/>
  <c r="G340" i="10"/>
  <c r="F340" i="10"/>
  <c r="L340" i="10" s="1"/>
  <c r="AC339" i="10"/>
  <c r="T339" i="10"/>
  <c r="R339" i="10"/>
  <c r="O339" i="10"/>
  <c r="G339" i="10"/>
  <c r="F339" i="10"/>
  <c r="E169" i="13" s="1"/>
  <c r="H169" i="13" s="1" a="1"/>
  <c r="H169" i="13" s="1"/>
  <c r="AC338" i="10"/>
  <c r="U338" i="10"/>
  <c r="T338" i="10"/>
  <c r="R338" i="10"/>
  <c r="O338" i="10"/>
  <c r="G338" i="10"/>
  <c r="F338" i="10"/>
  <c r="L338" i="10" s="1"/>
  <c r="AC337" i="10"/>
  <c r="U337" i="10"/>
  <c r="Y337" i="10" s="1"/>
  <c r="Z337" i="10" s="1"/>
  <c r="T337" i="10"/>
  <c r="R337" i="10"/>
  <c r="O337" i="10"/>
  <c r="G337" i="10"/>
  <c r="F337" i="10"/>
  <c r="E168" i="13" s="1"/>
  <c r="H168" i="13" s="1" a="1"/>
  <c r="H168" i="13" s="1"/>
  <c r="AC336" i="10"/>
  <c r="T336" i="10"/>
  <c r="R336" i="10"/>
  <c r="O336" i="10"/>
  <c r="G336" i="10"/>
  <c r="F336" i="10"/>
  <c r="AC335" i="10"/>
  <c r="T335" i="10"/>
  <c r="R335" i="10"/>
  <c r="O335" i="10"/>
  <c r="G335" i="10"/>
  <c r="F335" i="10"/>
  <c r="E167" i="13" s="1"/>
  <c r="H167" i="13" s="1" a="1"/>
  <c r="H167" i="13" s="1"/>
  <c r="AC334" i="10"/>
  <c r="U334" i="10"/>
  <c r="T334" i="10"/>
  <c r="R334" i="10"/>
  <c r="O334" i="10"/>
  <c r="G334" i="10"/>
  <c r="F334" i="10"/>
  <c r="AC333" i="10"/>
  <c r="U333" i="10"/>
  <c r="T333" i="10"/>
  <c r="R333" i="10"/>
  <c r="O333" i="10"/>
  <c r="G333" i="10"/>
  <c r="F333" i="10"/>
  <c r="E166" i="13" s="1"/>
  <c r="H166" i="13" s="1" a="1"/>
  <c r="H166" i="13" s="1"/>
  <c r="AC332" i="10"/>
  <c r="T332" i="10"/>
  <c r="R332" i="10"/>
  <c r="O332" i="10"/>
  <c r="G332" i="10"/>
  <c r="F332" i="10"/>
  <c r="L332" i="10" s="1"/>
  <c r="AC331" i="10"/>
  <c r="T331" i="10"/>
  <c r="R331" i="10"/>
  <c r="O331" i="10"/>
  <c r="G331" i="10"/>
  <c r="F331" i="10"/>
  <c r="E165" i="13" s="1"/>
  <c r="H165" i="13" s="1" a="1"/>
  <c r="H165" i="13" s="1"/>
  <c r="AC330" i="10"/>
  <c r="T330" i="10"/>
  <c r="R330" i="10"/>
  <c r="O330" i="10"/>
  <c r="G330" i="10"/>
  <c r="F330" i="10"/>
  <c r="L330" i="10" s="1"/>
  <c r="AC329" i="10"/>
  <c r="T329" i="10"/>
  <c r="R329" i="10"/>
  <c r="O329" i="10"/>
  <c r="G329" i="10"/>
  <c r="F329" i="10"/>
  <c r="AC328" i="10"/>
  <c r="U328" i="10"/>
  <c r="T328" i="10"/>
  <c r="R328" i="10"/>
  <c r="O328" i="10"/>
  <c r="G328" i="10"/>
  <c r="F328" i="10"/>
  <c r="L328" i="10" s="1"/>
  <c r="AC327" i="10"/>
  <c r="U327" i="10"/>
  <c r="T327" i="10"/>
  <c r="R327" i="10"/>
  <c r="O327" i="10"/>
  <c r="G327" i="10"/>
  <c r="F327" i="10"/>
  <c r="AC326" i="10"/>
  <c r="T326" i="10"/>
  <c r="R326" i="10"/>
  <c r="O326" i="10"/>
  <c r="G326" i="10"/>
  <c r="F326" i="10"/>
  <c r="AC325" i="10"/>
  <c r="T325" i="10"/>
  <c r="R325" i="10"/>
  <c r="O325" i="10"/>
  <c r="G325" i="10"/>
  <c r="F325" i="10"/>
  <c r="AC324" i="10"/>
  <c r="T324" i="10"/>
  <c r="R324" i="10"/>
  <c r="O324" i="10"/>
  <c r="G324" i="10"/>
  <c r="F324" i="10"/>
  <c r="AC323" i="10"/>
  <c r="T323" i="10"/>
  <c r="R323" i="10"/>
  <c r="O323" i="10"/>
  <c r="G323" i="10"/>
  <c r="F323" i="10"/>
  <c r="L323" i="10" s="1"/>
  <c r="AC322" i="10"/>
  <c r="T322" i="10"/>
  <c r="R322" i="10"/>
  <c r="O322" i="10"/>
  <c r="G322" i="10"/>
  <c r="F322" i="10"/>
  <c r="AC321" i="10"/>
  <c r="T321" i="10"/>
  <c r="R321" i="10"/>
  <c r="O321" i="10"/>
  <c r="G321" i="10"/>
  <c r="F321" i="10"/>
  <c r="L321" i="10" s="1"/>
  <c r="AC320" i="10"/>
  <c r="T320" i="10"/>
  <c r="R320" i="10"/>
  <c r="O320" i="10"/>
  <c r="G320" i="10"/>
  <c r="F320" i="10"/>
  <c r="AC319" i="10"/>
  <c r="T319" i="10"/>
  <c r="R319" i="10"/>
  <c r="O319" i="10"/>
  <c r="G319" i="10"/>
  <c r="F319" i="10"/>
  <c r="AC318" i="10"/>
  <c r="T318" i="10"/>
  <c r="R318" i="10"/>
  <c r="O318" i="10"/>
  <c r="G318" i="10"/>
  <c r="F318" i="10"/>
  <c r="AC317" i="10"/>
  <c r="T317" i="10"/>
  <c r="R317" i="10"/>
  <c r="O317" i="10"/>
  <c r="G317" i="10"/>
  <c r="F317" i="10"/>
  <c r="AC316" i="10"/>
  <c r="T316" i="10"/>
  <c r="R316" i="10"/>
  <c r="O316" i="10"/>
  <c r="G316" i="10"/>
  <c r="F316" i="10"/>
  <c r="AC315" i="10"/>
  <c r="T315" i="10"/>
  <c r="R315" i="10"/>
  <c r="O315" i="10"/>
  <c r="G315" i="10"/>
  <c r="F315" i="10"/>
  <c r="L315" i="10" s="1"/>
  <c r="AC314" i="10"/>
  <c r="T314" i="10"/>
  <c r="R314" i="10"/>
  <c r="O314" i="10"/>
  <c r="G314" i="10"/>
  <c r="F314" i="10"/>
  <c r="AC313" i="10"/>
  <c r="T313" i="10"/>
  <c r="R313" i="10"/>
  <c r="O313" i="10"/>
  <c r="G313" i="10"/>
  <c r="F313" i="10"/>
  <c r="L313" i="10" s="1"/>
  <c r="AC312" i="10"/>
  <c r="T312" i="10"/>
  <c r="R312" i="10"/>
  <c r="O312" i="10"/>
  <c r="G312" i="10"/>
  <c r="F312" i="10"/>
  <c r="AC311" i="10"/>
  <c r="T311" i="10"/>
  <c r="R311" i="10"/>
  <c r="O311" i="10"/>
  <c r="G311" i="10"/>
  <c r="F311" i="10"/>
  <c r="AC310" i="10"/>
  <c r="T310" i="10"/>
  <c r="R310" i="10"/>
  <c r="O310" i="10"/>
  <c r="G310" i="10"/>
  <c r="F310" i="10"/>
  <c r="AC309" i="10"/>
  <c r="T309" i="10"/>
  <c r="R309" i="10"/>
  <c r="O309" i="10"/>
  <c r="G309" i="10"/>
  <c r="F309" i="10"/>
  <c r="L309" i="10" s="1"/>
  <c r="AC308" i="10"/>
  <c r="T308" i="10"/>
  <c r="R308" i="10"/>
  <c r="O308" i="10"/>
  <c r="G308" i="10"/>
  <c r="F308" i="10"/>
  <c r="AC307" i="10"/>
  <c r="U307" i="10"/>
  <c r="T307" i="10"/>
  <c r="R307" i="10"/>
  <c r="O307" i="10"/>
  <c r="G307" i="10"/>
  <c r="F307" i="10"/>
  <c r="L307" i="10" s="1"/>
  <c r="AC306" i="10"/>
  <c r="U306" i="10"/>
  <c r="Y307" i="10" s="1"/>
  <c r="T306" i="10"/>
  <c r="R306" i="10"/>
  <c r="O306" i="10"/>
  <c r="G306" i="10"/>
  <c r="F306" i="10"/>
  <c r="AC305" i="10"/>
  <c r="T305" i="10"/>
  <c r="R305" i="10"/>
  <c r="O305" i="10"/>
  <c r="G305" i="10"/>
  <c r="F305" i="10"/>
  <c r="L305" i="10" s="1"/>
  <c r="AC304" i="10"/>
  <c r="T304" i="10"/>
  <c r="R304" i="10"/>
  <c r="O304" i="10"/>
  <c r="G304" i="10"/>
  <c r="F304" i="10"/>
  <c r="AC303" i="10"/>
  <c r="T303" i="10"/>
  <c r="R303" i="10"/>
  <c r="O303" i="10"/>
  <c r="G303" i="10"/>
  <c r="F303" i="10"/>
  <c r="L303" i="10" s="1"/>
  <c r="AC302" i="10"/>
  <c r="T302" i="10"/>
  <c r="R302" i="10"/>
  <c r="O302" i="10"/>
  <c r="G302" i="10"/>
  <c r="F302" i="10"/>
  <c r="AC301" i="10"/>
  <c r="T301" i="10"/>
  <c r="R301" i="10"/>
  <c r="O301" i="10"/>
  <c r="G301" i="10"/>
  <c r="F301" i="10"/>
  <c r="L301" i="10" s="1"/>
  <c r="AC300" i="10"/>
  <c r="T300" i="10"/>
  <c r="R300" i="10"/>
  <c r="O300" i="10"/>
  <c r="G300" i="10"/>
  <c r="F300" i="10"/>
  <c r="AC299" i="10"/>
  <c r="T299" i="10"/>
  <c r="R299" i="10"/>
  <c r="O299" i="10"/>
  <c r="G299" i="10"/>
  <c r="F299" i="10"/>
  <c r="L299" i="10" s="1"/>
  <c r="AC298" i="10"/>
  <c r="T298" i="10"/>
  <c r="R298" i="10"/>
  <c r="O298" i="10"/>
  <c r="G298" i="10"/>
  <c r="F298" i="10"/>
  <c r="AC297" i="10"/>
  <c r="U297" i="10"/>
  <c r="T297" i="10"/>
  <c r="R297" i="10"/>
  <c r="O297" i="10"/>
  <c r="G297" i="10"/>
  <c r="F297" i="10"/>
  <c r="AC296" i="10"/>
  <c r="T296" i="10"/>
  <c r="R296" i="10"/>
  <c r="O296" i="10"/>
  <c r="G296" i="10"/>
  <c r="F296" i="10"/>
  <c r="AC295" i="10"/>
  <c r="T295" i="10"/>
  <c r="R295" i="10"/>
  <c r="O295" i="10"/>
  <c r="G295" i="10"/>
  <c r="F295" i="10"/>
  <c r="AC294" i="10"/>
  <c r="T294" i="10"/>
  <c r="R294" i="10"/>
  <c r="O294" i="10"/>
  <c r="G294" i="10"/>
  <c r="F294" i="10"/>
  <c r="AC293" i="10"/>
  <c r="T293" i="10"/>
  <c r="R293" i="10"/>
  <c r="O293" i="10"/>
  <c r="G293" i="10"/>
  <c r="F293" i="10"/>
  <c r="AC292" i="10"/>
  <c r="T292" i="10"/>
  <c r="R292" i="10"/>
  <c r="O292" i="10"/>
  <c r="G292" i="10"/>
  <c r="F292" i="10"/>
  <c r="AC291" i="10"/>
  <c r="T291" i="10"/>
  <c r="R291" i="10"/>
  <c r="O291" i="10"/>
  <c r="G291" i="10"/>
  <c r="F291" i="10"/>
  <c r="L291" i="10" s="1"/>
  <c r="AC290" i="10"/>
  <c r="T290" i="10"/>
  <c r="R290" i="10"/>
  <c r="O290" i="10"/>
  <c r="G290" i="10"/>
  <c r="F290" i="10"/>
  <c r="AC289" i="10"/>
  <c r="T289" i="10"/>
  <c r="R289" i="10"/>
  <c r="O289" i="10"/>
  <c r="G289" i="10"/>
  <c r="F289" i="10"/>
  <c r="L289" i="10" s="1"/>
  <c r="AC288" i="10"/>
  <c r="T288" i="10"/>
  <c r="R288" i="10"/>
  <c r="O288" i="10"/>
  <c r="G288" i="10"/>
  <c r="F288" i="10"/>
  <c r="E144" i="13" s="1"/>
  <c r="H144" i="13" s="1" a="1"/>
  <c r="H144" i="13" s="1"/>
  <c r="AC287" i="10"/>
  <c r="T287" i="10"/>
  <c r="R287" i="10"/>
  <c r="O287" i="10"/>
  <c r="G287" i="10"/>
  <c r="F287" i="10"/>
  <c r="L287" i="10" s="1"/>
  <c r="AC286" i="10"/>
  <c r="T286" i="10"/>
  <c r="R286" i="10"/>
  <c r="O286" i="10"/>
  <c r="G286" i="10"/>
  <c r="F286" i="10"/>
  <c r="E143" i="13" s="1"/>
  <c r="H143" i="13" s="1" a="1"/>
  <c r="H143" i="13" s="1"/>
  <c r="AC285" i="10"/>
  <c r="T285" i="10"/>
  <c r="R285" i="10"/>
  <c r="O285" i="10"/>
  <c r="G285" i="10"/>
  <c r="F285" i="10"/>
  <c r="L285" i="10" s="1"/>
  <c r="AC284" i="10"/>
  <c r="T284" i="10"/>
  <c r="R284" i="10"/>
  <c r="O284" i="10"/>
  <c r="G284" i="10"/>
  <c r="F284" i="10"/>
  <c r="E142" i="13" s="1"/>
  <c r="H142" i="13" s="1" a="1"/>
  <c r="H142" i="13" s="1"/>
  <c r="AC283" i="10"/>
  <c r="T283" i="10"/>
  <c r="R283" i="10"/>
  <c r="O283" i="10"/>
  <c r="G283" i="10"/>
  <c r="F283" i="10"/>
  <c r="L283" i="10" s="1"/>
  <c r="AC282" i="10"/>
  <c r="T282" i="10"/>
  <c r="R282" i="10"/>
  <c r="O282" i="10"/>
  <c r="G282" i="10"/>
  <c r="F282" i="10"/>
  <c r="AC281" i="10"/>
  <c r="T281" i="10"/>
  <c r="R281" i="10"/>
  <c r="O281" i="10"/>
  <c r="G281" i="10"/>
  <c r="F281" i="10"/>
  <c r="L281" i="10" s="1"/>
  <c r="AC280" i="10"/>
  <c r="T280" i="10"/>
  <c r="R280" i="10"/>
  <c r="O280" i="10"/>
  <c r="G280" i="10"/>
  <c r="F280" i="10"/>
  <c r="AC279" i="10"/>
  <c r="T279" i="10"/>
  <c r="R279" i="10"/>
  <c r="O279" i="10"/>
  <c r="G279" i="10"/>
  <c r="F279" i="10"/>
  <c r="L279" i="10" s="1"/>
  <c r="AC278" i="10"/>
  <c r="T278" i="10"/>
  <c r="R278" i="10"/>
  <c r="O278" i="10"/>
  <c r="G278" i="10"/>
  <c r="F278" i="10"/>
  <c r="AC277" i="10"/>
  <c r="T277" i="10"/>
  <c r="R277" i="10"/>
  <c r="O277" i="10"/>
  <c r="G277" i="10"/>
  <c r="F277" i="10"/>
  <c r="L277" i="10" s="1"/>
  <c r="AC276" i="10"/>
  <c r="T276" i="10"/>
  <c r="R276" i="10"/>
  <c r="O276" i="10"/>
  <c r="G276" i="10"/>
  <c r="F276" i="10"/>
  <c r="AC275" i="10"/>
  <c r="T275" i="10"/>
  <c r="R275" i="10"/>
  <c r="O275" i="10"/>
  <c r="G275" i="10"/>
  <c r="F275" i="10"/>
  <c r="L275" i="10" s="1"/>
  <c r="AC274" i="10"/>
  <c r="T274" i="10"/>
  <c r="R274" i="10"/>
  <c r="O274" i="10"/>
  <c r="G274" i="10"/>
  <c r="F274" i="10"/>
  <c r="AC273" i="10"/>
  <c r="T273" i="10"/>
  <c r="R273" i="10"/>
  <c r="O273" i="10"/>
  <c r="G273" i="10"/>
  <c r="F273" i="10"/>
  <c r="L273" i="10" s="1"/>
  <c r="AC272" i="10"/>
  <c r="T272" i="10"/>
  <c r="R272" i="10"/>
  <c r="O272" i="10"/>
  <c r="G272" i="10"/>
  <c r="F272" i="10"/>
  <c r="AC271" i="10"/>
  <c r="T271" i="10"/>
  <c r="R271" i="10"/>
  <c r="O271" i="10"/>
  <c r="G271" i="10"/>
  <c r="F271" i="10"/>
  <c r="L271" i="10" s="1"/>
  <c r="AC270" i="10"/>
  <c r="U270" i="10"/>
  <c r="Y271" i="10" s="1"/>
  <c r="T270" i="10"/>
  <c r="R270" i="10"/>
  <c r="O270" i="10"/>
  <c r="G270" i="10"/>
  <c r="F270" i="10"/>
  <c r="AC269" i="10"/>
  <c r="T269" i="10"/>
  <c r="R269" i="10"/>
  <c r="O269" i="10"/>
  <c r="G269" i="10"/>
  <c r="F269" i="10"/>
  <c r="L269" i="10" s="1"/>
  <c r="AC268" i="10"/>
  <c r="T268" i="10"/>
  <c r="R268" i="10"/>
  <c r="O268" i="10"/>
  <c r="G268" i="10"/>
  <c r="F268" i="10"/>
  <c r="AC267" i="10"/>
  <c r="T267" i="10"/>
  <c r="R267" i="10"/>
  <c r="O267" i="10"/>
  <c r="G267" i="10"/>
  <c r="F267" i="10"/>
  <c r="L267" i="10" s="1"/>
  <c r="AC266" i="10"/>
  <c r="T266" i="10"/>
  <c r="R266" i="10"/>
  <c r="O266" i="10"/>
  <c r="G266" i="10"/>
  <c r="F266" i="10"/>
  <c r="E133" i="13" s="1"/>
  <c r="H133" i="13" s="1" a="1"/>
  <c r="H133" i="13" s="1"/>
  <c r="AC265" i="10"/>
  <c r="T265" i="10"/>
  <c r="R265" i="10"/>
  <c r="O265" i="10"/>
  <c r="G265" i="10"/>
  <c r="F265" i="10"/>
  <c r="L265" i="10" s="1"/>
  <c r="AC264" i="10"/>
  <c r="T264" i="10"/>
  <c r="R264" i="10"/>
  <c r="O264" i="10"/>
  <c r="G264" i="10"/>
  <c r="F264" i="10"/>
  <c r="E132" i="13" s="1"/>
  <c r="H132" i="13" s="1" a="1"/>
  <c r="H132" i="13" s="1"/>
  <c r="AC263" i="10"/>
  <c r="T263" i="10"/>
  <c r="R263" i="10"/>
  <c r="O263" i="10"/>
  <c r="G263" i="10"/>
  <c r="F263" i="10"/>
  <c r="L263" i="10" s="1"/>
  <c r="AC262" i="10"/>
  <c r="T262" i="10"/>
  <c r="R262" i="10"/>
  <c r="O262" i="10"/>
  <c r="G262" i="10"/>
  <c r="F262" i="10"/>
  <c r="E131" i="13" s="1"/>
  <c r="H131" i="13" s="1" a="1"/>
  <c r="H131" i="13" s="1"/>
  <c r="AC261" i="10"/>
  <c r="T261" i="10"/>
  <c r="R261" i="10"/>
  <c r="O261" i="10"/>
  <c r="G261" i="10"/>
  <c r="F261" i="10"/>
  <c r="L261" i="10" s="1"/>
  <c r="AC260" i="10"/>
  <c r="T260" i="10"/>
  <c r="R260" i="10"/>
  <c r="O260" i="10"/>
  <c r="G260" i="10"/>
  <c r="F260" i="10"/>
  <c r="E130" i="13" s="1"/>
  <c r="H130" i="13" s="1" a="1"/>
  <c r="H130" i="13" s="1"/>
  <c r="AC259" i="10"/>
  <c r="T259" i="10"/>
  <c r="R259" i="10"/>
  <c r="O259" i="10"/>
  <c r="G259" i="10"/>
  <c r="F259" i="10"/>
  <c r="L259" i="10" s="1"/>
  <c r="AC258" i="10"/>
  <c r="T258" i="10"/>
  <c r="R258" i="10"/>
  <c r="O258" i="10"/>
  <c r="G258" i="10"/>
  <c r="F258" i="10"/>
  <c r="E129" i="13" s="1"/>
  <c r="H129" i="13" s="1" a="1"/>
  <c r="H129" i="13" s="1"/>
  <c r="AC257" i="10"/>
  <c r="T257" i="10"/>
  <c r="R257" i="10"/>
  <c r="O257" i="10"/>
  <c r="G257" i="10"/>
  <c r="F257" i="10"/>
  <c r="L257" i="10" s="1"/>
  <c r="AC256" i="10"/>
  <c r="U256" i="10"/>
  <c r="T256" i="10"/>
  <c r="R256" i="10"/>
  <c r="O256" i="10"/>
  <c r="G256" i="10"/>
  <c r="F256" i="10"/>
  <c r="E128" i="13" s="1"/>
  <c r="H128" i="13" s="1" a="1"/>
  <c r="H128" i="13" s="1"/>
  <c r="AC255" i="10"/>
  <c r="U255" i="10"/>
  <c r="T255" i="10"/>
  <c r="R255" i="10"/>
  <c r="O255" i="10"/>
  <c r="G255" i="10"/>
  <c r="F255" i="10"/>
  <c r="AC254" i="10"/>
  <c r="T254" i="10"/>
  <c r="R254" i="10"/>
  <c r="O254" i="10"/>
  <c r="G254" i="10"/>
  <c r="F254" i="10"/>
  <c r="E127" i="13" s="1"/>
  <c r="H127" i="13" s="1" a="1"/>
  <c r="H127" i="13" s="1"/>
  <c r="AC253" i="10"/>
  <c r="T253" i="10"/>
  <c r="R253" i="10"/>
  <c r="O253" i="10"/>
  <c r="G253" i="10"/>
  <c r="F253" i="10"/>
  <c r="AC252" i="10"/>
  <c r="T252" i="10"/>
  <c r="R252" i="10"/>
  <c r="O252" i="10"/>
  <c r="G252" i="10"/>
  <c r="F252" i="10"/>
  <c r="E126" i="13" s="1"/>
  <c r="H126" i="13" s="1" a="1"/>
  <c r="H126" i="13" s="1"/>
  <c r="AC251" i="10"/>
  <c r="T251" i="10"/>
  <c r="R251" i="10"/>
  <c r="O251" i="10"/>
  <c r="G251" i="10"/>
  <c r="F251" i="10"/>
  <c r="L251" i="10" s="1"/>
  <c r="AC250" i="10"/>
  <c r="T250" i="10"/>
  <c r="R250" i="10"/>
  <c r="O250" i="10"/>
  <c r="G250" i="10"/>
  <c r="F250" i="10"/>
  <c r="AC249" i="10"/>
  <c r="T249" i="10"/>
  <c r="R249" i="10"/>
  <c r="O249" i="10"/>
  <c r="G249" i="10"/>
  <c r="F249" i="10"/>
  <c r="L249" i="10" s="1"/>
  <c r="AC248" i="10"/>
  <c r="T248" i="10"/>
  <c r="R248" i="10"/>
  <c r="O248" i="10"/>
  <c r="G248" i="10"/>
  <c r="F248" i="10"/>
  <c r="AC247" i="10"/>
  <c r="U247" i="10"/>
  <c r="T247" i="10"/>
  <c r="R247" i="10"/>
  <c r="O247" i="10"/>
  <c r="G247" i="10"/>
  <c r="F247" i="10"/>
  <c r="L247" i="10" s="1"/>
  <c r="AC246" i="10"/>
  <c r="T246" i="10"/>
  <c r="R246" i="10"/>
  <c r="O246" i="10"/>
  <c r="G246" i="10"/>
  <c r="F246" i="10"/>
  <c r="E123" i="13" s="1"/>
  <c r="H123" i="13" s="1" a="1"/>
  <c r="H123" i="13" s="1"/>
  <c r="AC245" i="10"/>
  <c r="U245" i="10"/>
  <c r="T245" i="10"/>
  <c r="R245" i="10"/>
  <c r="O245" i="10"/>
  <c r="G245" i="10"/>
  <c r="F245" i="10"/>
  <c r="L245" i="10" s="1"/>
  <c r="AC244" i="10"/>
  <c r="U244" i="10"/>
  <c r="Y244" i="10" s="1"/>
  <c r="Z244" i="10" s="1"/>
  <c r="T244" i="10"/>
  <c r="R244" i="10"/>
  <c r="O244" i="10"/>
  <c r="G244" i="10"/>
  <c r="F244" i="10"/>
  <c r="E122" i="13" s="1"/>
  <c r="H122" i="13" s="1" a="1"/>
  <c r="H122" i="13" s="1"/>
  <c r="AC243" i="10"/>
  <c r="T243" i="10"/>
  <c r="R243" i="10"/>
  <c r="O243" i="10"/>
  <c r="G243" i="10"/>
  <c r="F243" i="10"/>
  <c r="AC242" i="10"/>
  <c r="T242" i="10"/>
  <c r="R242" i="10"/>
  <c r="O242" i="10"/>
  <c r="G242" i="10"/>
  <c r="F242" i="10"/>
  <c r="E121" i="13" s="1"/>
  <c r="H121" i="13" s="1" a="1"/>
  <c r="H121" i="13" s="1"/>
  <c r="AC241" i="10"/>
  <c r="T241" i="10"/>
  <c r="R241" i="10"/>
  <c r="O241" i="10"/>
  <c r="G241" i="10"/>
  <c r="F241" i="10"/>
  <c r="L241" i="10" s="1"/>
  <c r="AC240" i="10"/>
  <c r="T240" i="10"/>
  <c r="R240" i="10"/>
  <c r="O240" i="10"/>
  <c r="G240" i="10"/>
  <c r="F240" i="10"/>
  <c r="E120" i="13" s="1"/>
  <c r="H120" i="13" s="1" a="1"/>
  <c r="H120" i="13" s="1"/>
  <c r="AC239" i="10"/>
  <c r="T239" i="10"/>
  <c r="R239" i="10"/>
  <c r="O239" i="10"/>
  <c r="G239" i="10"/>
  <c r="F239" i="10"/>
  <c r="L239" i="10" s="1"/>
  <c r="AC238" i="10"/>
  <c r="T238" i="10"/>
  <c r="R238" i="10"/>
  <c r="O238" i="10"/>
  <c r="G238" i="10"/>
  <c r="F238" i="10"/>
  <c r="AC237" i="10"/>
  <c r="T237" i="10"/>
  <c r="R237" i="10"/>
  <c r="O237" i="10"/>
  <c r="G237" i="10"/>
  <c r="F237" i="10"/>
  <c r="E119" i="13" s="1"/>
  <c r="H119" i="13" s="1" a="1"/>
  <c r="H119" i="13" s="1"/>
  <c r="AC236" i="10"/>
  <c r="U236" i="10"/>
  <c r="T236" i="10"/>
  <c r="R236" i="10"/>
  <c r="O236" i="10"/>
  <c r="G236" i="10"/>
  <c r="F236" i="10"/>
  <c r="AC235" i="10"/>
  <c r="T235" i="10"/>
  <c r="R235" i="10"/>
  <c r="O235" i="10"/>
  <c r="G235" i="10"/>
  <c r="F235" i="10"/>
  <c r="E118" i="13" s="1"/>
  <c r="H118" i="13" s="1" a="1"/>
  <c r="H118" i="13" s="1"/>
  <c r="AC234" i="10"/>
  <c r="T234" i="10"/>
  <c r="R234" i="10"/>
  <c r="O234" i="10"/>
  <c r="G234" i="10"/>
  <c r="F234" i="10"/>
  <c r="L234" i="10" s="1"/>
  <c r="AC233" i="10"/>
  <c r="U233" i="10"/>
  <c r="T233" i="10"/>
  <c r="R233" i="10"/>
  <c r="O233" i="10"/>
  <c r="G233" i="10"/>
  <c r="F233" i="10"/>
  <c r="E117" i="13" s="1"/>
  <c r="H117" i="13" s="1" a="1"/>
  <c r="H117" i="13" s="1"/>
  <c r="AC232" i="10"/>
  <c r="T232" i="10"/>
  <c r="R232" i="10"/>
  <c r="O232" i="10"/>
  <c r="G232" i="10"/>
  <c r="F232" i="10"/>
  <c r="AC231" i="10"/>
  <c r="T231" i="10"/>
  <c r="R231" i="10"/>
  <c r="O231" i="10"/>
  <c r="G231" i="10"/>
  <c r="F231" i="10"/>
  <c r="E116" i="13" s="1"/>
  <c r="H116" i="13" s="1" a="1"/>
  <c r="H116" i="13" s="1"/>
  <c r="AC230" i="10"/>
  <c r="T230" i="10"/>
  <c r="R230" i="10"/>
  <c r="O230" i="10"/>
  <c r="G230" i="10"/>
  <c r="F230" i="10"/>
  <c r="AC229" i="10"/>
  <c r="T229" i="10"/>
  <c r="R229" i="10"/>
  <c r="O229" i="10"/>
  <c r="G229" i="10"/>
  <c r="F229" i="10"/>
  <c r="E115" i="13" s="1"/>
  <c r="H115" i="13" s="1" a="1"/>
  <c r="H115" i="13" s="1"/>
  <c r="AC228" i="10"/>
  <c r="U228" i="10"/>
  <c r="T228" i="10"/>
  <c r="R228" i="10"/>
  <c r="O228" i="10"/>
  <c r="G228" i="10"/>
  <c r="F228" i="10"/>
  <c r="L228" i="10" s="1"/>
  <c r="AC227" i="10"/>
  <c r="T227" i="10"/>
  <c r="R227" i="10"/>
  <c r="O227" i="10"/>
  <c r="G227" i="10"/>
  <c r="F227" i="10"/>
  <c r="E114" i="13" s="1"/>
  <c r="H114" i="13" s="1" a="1"/>
  <c r="H114" i="13" s="1"/>
  <c r="AC226" i="10"/>
  <c r="U226" i="10"/>
  <c r="T226" i="10"/>
  <c r="R226" i="10"/>
  <c r="O226" i="10"/>
  <c r="G226" i="10"/>
  <c r="F226" i="10"/>
  <c r="AC225" i="10"/>
  <c r="U225" i="10"/>
  <c r="T225" i="10"/>
  <c r="R225" i="10"/>
  <c r="O225" i="10"/>
  <c r="G225" i="10"/>
  <c r="F225" i="10"/>
  <c r="L225" i="10" s="1"/>
  <c r="AC224" i="10"/>
  <c r="U224" i="10"/>
  <c r="Y225" i="10" s="1"/>
  <c r="T224" i="10"/>
  <c r="R224" i="10"/>
  <c r="O224" i="10"/>
  <c r="G224" i="10"/>
  <c r="F224" i="10"/>
  <c r="AC223" i="10"/>
  <c r="T223" i="10"/>
  <c r="R223" i="10"/>
  <c r="O223" i="10"/>
  <c r="G223" i="10"/>
  <c r="F223" i="10"/>
  <c r="L223" i="10" s="1"/>
  <c r="AC222" i="10"/>
  <c r="T222" i="10"/>
  <c r="R222" i="10"/>
  <c r="O222" i="10"/>
  <c r="G222" i="10"/>
  <c r="F222" i="10"/>
  <c r="AC221" i="10"/>
  <c r="T221" i="10"/>
  <c r="R221" i="10"/>
  <c r="O221" i="10"/>
  <c r="G221" i="10"/>
  <c r="F221" i="10"/>
  <c r="L221" i="10" s="1"/>
  <c r="AC220" i="10"/>
  <c r="U220" i="10"/>
  <c r="Y220" i="10" s="1"/>
  <c r="Z220" i="10" s="1"/>
  <c r="T220" i="10"/>
  <c r="R220" i="10"/>
  <c r="O220" i="10"/>
  <c r="G220" i="10"/>
  <c r="F220" i="10"/>
  <c r="L220" i="10" s="1"/>
  <c r="AC219" i="10"/>
  <c r="T219" i="10"/>
  <c r="R219" i="10"/>
  <c r="O219" i="10"/>
  <c r="G219" i="10"/>
  <c r="F219" i="10"/>
  <c r="L219" i="10" s="1"/>
  <c r="AC218" i="10"/>
  <c r="T218" i="10"/>
  <c r="R218" i="10"/>
  <c r="O218" i="10"/>
  <c r="G218" i="10"/>
  <c r="F218" i="10"/>
  <c r="AC217" i="10"/>
  <c r="T217" i="10"/>
  <c r="R217" i="10"/>
  <c r="O217" i="10"/>
  <c r="G217" i="10"/>
  <c r="F217" i="10"/>
  <c r="L217" i="10" s="1"/>
  <c r="AC216" i="10"/>
  <c r="T216" i="10"/>
  <c r="R216" i="10"/>
  <c r="O216" i="10"/>
  <c r="G216" i="10"/>
  <c r="F216" i="10"/>
  <c r="AC215" i="10"/>
  <c r="T215" i="10"/>
  <c r="R215" i="10"/>
  <c r="O215" i="10"/>
  <c r="G215" i="10"/>
  <c r="F215" i="10"/>
  <c r="L215" i="10" s="1"/>
  <c r="AC214" i="10"/>
  <c r="T214" i="10"/>
  <c r="R214" i="10"/>
  <c r="O214" i="10"/>
  <c r="G214" i="10"/>
  <c r="F214" i="10"/>
  <c r="AC213" i="10"/>
  <c r="T213" i="10"/>
  <c r="R213" i="10"/>
  <c r="O213" i="10"/>
  <c r="G213" i="10"/>
  <c r="F213" i="10"/>
  <c r="AC212" i="10"/>
  <c r="T212" i="10"/>
  <c r="R212" i="10"/>
  <c r="O212" i="10"/>
  <c r="G212" i="10"/>
  <c r="F212" i="10"/>
  <c r="AC211" i="10"/>
  <c r="T211" i="10"/>
  <c r="R211" i="10"/>
  <c r="O211" i="10"/>
  <c r="G211" i="10"/>
  <c r="F211" i="10"/>
  <c r="L211" i="10" s="1"/>
  <c r="AC210" i="10"/>
  <c r="T210" i="10"/>
  <c r="R210" i="10"/>
  <c r="O210" i="10"/>
  <c r="G210" i="10"/>
  <c r="F210" i="10"/>
  <c r="AC209" i="10"/>
  <c r="T209" i="10"/>
  <c r="R209" i="10"/>
  <c r="O209" i="10"/>
  <c r="G209" i="10"/>
  <c r="F209" i="10"/>
  <c r="L209" i="10" s="1"/>
  <c r="AC208" i="10"/>
  <c r="T208" i="10"/>
  <c r="R208" i="10"/>
  <c r="O208" i="10"/>
  <c r="G208" i="10"/>
  <c r="F208" i="10"/>
  <c r="L208" i="10" s="1"/>
  <c r="AC207" i="10"/>
  <c r="T207" i="10"/>
  <c r="R207" i="10"/>
  <c r="O207" i="10"/>
  <c r="G207" i="10"/>
  <c r="F207" i="10"/>
  <c r="L207" i="10" s="1"/>
  <c r="AC206" i="10"/>
  <c r="T206" i="10"/>
  <c r="R206" i="10"/>
  <c r="O206" i="10"/>
  <c r="G206" i="10"/>
  <c r="F206" i="10"/>
  <c r="L206" i="10" s="1"/>
  <c r="AC205" i="10"/>
  <c r="T205" i="10"/>
  <c r="R205" i="10"/>
  <c r="O205" i="10"/>
  <c r="G205" i="10"/>
  <c r="F205" i="10"/>
  <c r="L205" i="10" s="1"/>
  <c r="AC204" i="10"/>
  <c r="T204" i="10"/>
  <c r="R204" i="10"/>
  <c r="O204" i="10"/>
  <c r="G204" i="10"/>
  <c r="F204" i="10"/>
  <c r="AC203" i="10"/>
  <c r="T203" i="10"/>
  <c r="R203" i="10"/>
  <c r="O203" i="10"/>
  <c r="G203" i="10"/>
  <c r="F203" i="10"/>
  <c r="L203" i="10" s="1"/>
  <c r="AC202" i="10"/>
  <c r="T202" i="10"/>
  <c r="R202" i="10"/>
  <c r="O202" i="10"/>
  <c r="G202" i="10"/>
  <c r="F202" i="10"/>
  <c r="L202" i="10" s="1"/>
  <c r="AC201" i="10"/>
  <c r="T201" i="10"/>
  <c r="R201" i="10"/>
  <c r="O201" i="10"/>
  <c r="G201" i="10"/>
  <c r="F201" i="10"/>
  <c r="AC200" i="10"/>
  <c r="T200" i="10"/>
  <c r="R200" i="10"/>
  <c r="O200" i="10"/>
  <c r="G200" i="10"/>
  <c r="F200" i="10"/>
  <c r="L200" i="10" s="1"/>
  <c r="AC199" i="10"/>
  <c r="T199" i="10"/>
  <c r="R199" i="10"/>
  <c r="O199" i="10"/>
  <c r="G199" i="10"/>
  <c r="F199" i="10"/>
  <c r="L199" i="10" s="1"/>
  <c r="AC198" i="10"/>
  <c r="T198" i="10"/>
  <c r="R198" i="10"/>
  <c r="O198" i="10"/>
  <c r="G198" i="10"/>
  <c r="F198" i="10"/>
  <c r="L198" i="10" s="1"/>
  <c r="AC197" i="10"/>
  <c r="T197" i="10"/>
  <c r="R197" i="10"/>
  <c r="O197" i="10"/>
  <c r="G197" i="10"/>
  <c r="F197" i="10"/>
  <c r="L197" i="10" s="1"/>
  <c r="AC196" i="10"/>
  <c r="T196" i="10"/>
  <c r="R196" i="10"/>
  <c r="O196" i="10"/>
  <c r="G196" i="10"/>
  <c r="F196" i="10"/>
  <c r="L196" i="10" s="1"/>
  <c r="AC195" i="10"/>
  <c r="T195" i="10"/>
  <c r="R195" i="10"/>
  <c r="O195" i="10"/>
  <c r="G195" i="10"/>
  <c r="F195" i="10"/>
  <c r="L195" i="10" s="1"/>
  <c r="AC194" i="10"/>
  <c r="T194" i="10"/>
  <c r="R194" i="10"/>
  <c r="O194" i="10"/>
  <c r="G194" i="10"/>
  <c r="F194" i="10"/>
  <c r="L194" i="10" s="1"/>
  <c r="AC193" i="10"/>
  <c r="T193" i="10"/>
  <c r="R193" i="10"/>
  <c r="O193" i="10"/>
  <c r="G193" i="10"/>
  <c r="F193" i="10"/>
  <c r="L193" i="10" s="1"/>
  <c r="AC192" i="10"/>
  <c r="T192" i="10"/>
  <c r="R192" i="10"/>
  <c r="O192" i="10"/>
  <c r="G192" i="10"/>
  <c r="F192" i="10"/>
  <c r="AC191" i="10"/>
  <c r="T191" i="10"/>
  <c r="R191" i="10"/>
  <c r="O191" i="10"/>
  <c r="G191" i="10"/>
  <c r="F191" i="10"/>
  <c r="L191" i="10" s="1"/>
  <c r="AC190" i="10"/>
  <c r="T190" i="10"/>
  <c r="R190" i="10"/>
  <c r="O190" i="10"/>
  <c r="G190" i="10"/>
  <c r="F190" i="10"/>
  <c r="AC189" i="10"/>
  <c r="T189" i="10"/>
  <c r="R189" i="10"/>
  <c r="O189" i="10"/>
  <c r="G189" i="10"/>
  <c r="F189" i="10"/>
  <c r="L189" i="10" s="1"/>
  <c r="AC188" i="10"/>
  <c r="T188" i="10"/>
  <c r="R188" i="10"/>
  <c r="O188" i="10"/>
  <c r="G188" i="10"/>
  <c r="F188" i="10"/>
  <c r="L188" i="10" s="1"/>
  <c r="AC187" i="10"/>
  <c r="T187" i="10"/>
  <c r="R187" i="10"/>
  <c r="O187" i="10"/>
  <c r="G187" i="10"/>
  <c r="F187" i="10"/>
  <c r="AC186" i="10"/>
  <c r="T186" i="10"/>
  <c r="R186" i="10"/>
  <c r="O186" i="10"/>
  <c r="G186" i="10"/>
  <c r="F186" i="10"/>
  <c r="AC185" i="10"/>
  <c r="T185" i="10"/>
  <c r="R185" i="10"/>
  <c r="O185" i="10"/>
  <c r="G185" i="10"/>
  <c r="F185" i="10"/>
  <c r="AC184" i="10"/>
  <c r="T184" i="10"/>
  <c r="R184" i="10"/>
  <c r="O184" i="10"/>
  <c r="G184" i="10"/>
  <c r="F184" i="10"/>
  <c r="L184" i="10" s="1"/>
  <c r="AC183" i="10"/>
  <c r="T183" i="10"/>
  <c r="R183" i="10"/>
  <c r="O183" i="10"/>
  <c r="G183" i="10"/>
  <c r="F183" i="10"/>
  <c r="L183" i="10" s="1"/>
  <c r="AC182" i="10"/>
  <c r="T182" i="10"/>
  <c r="R182" i="10"/>
  <c r="O182" i="10"/>
  <c r="G182" i="10"/>
  <c r="F182" i="10"/>
  <c r="AC181" i="10"/>
  <c r="T181" i="10"/>
  <c r="R181" i="10"/>
  <c r="O181" i="10"/>
  <c r="G181" i="10"/>
  <c r="F181" i="10"/>
  <c r="L181" i="10" s="1"/>
  <c r="AC180" i="10"/>
  <c r="T180" i="10"/>
  <c r="R180" i="10"/>
  <c r="O180" i="10"/>
  <c r="G180" i="10"/>
  <c r="F180" i="10"/>
  <c r="L180" i="10" s="1"/>
  <c r="AC179" i="10"/>
  <c r="T179" i="10"/>
  <c r="R179" i="10"/>
  <c r="O179" i="10"/>
  <c r="G179" i="10"/>
  <c r="F179" i="10"/>
  <c r="L179" i="10" s="1"/>
  <c r="AC178" i="10"/>
  <c r="T178" i="10"/>
  <c r="R178" i="10"/>
  <c r="O178" i="10"/>
  <c r="G178" i="10"/>
  <c r="F178" i="10"/>
  <c r="L178" i="10" s="1"/>
  <c r="AC177" i="10"/>
  <c r="T177" i="10"/>
  <c r="R177" i="10"/>
  <c r="O177" i="10"/>
  <c r="G177" i="10"/>
  <c r="F177" i="10"/>
  <c r="L177" i="10" s="1"/>
  <c r="AC176" i="10"/>
  <c r="T176" i="10"/>
  <c r="R176" i="10"/>
  <c r="O176" i="10"/>
  <c r="G176" i="10"/>
  <c r="F176" i="10"/>
  <c r="AC175" i="10"/>
  <c r="T175" i="10"/>
  <c r="R175" i="10"/>
  <c r="O175" i="10"/>
  <c r="G175" i="10"/>
  <c r="F175" i="10"/>
  <c r="L175" i="10" s="1"/>
  <c r="AC174" i="10"/>
  <c r="T174" i="10"/>
  <c r="R174" i="10"/>
  <c r="O174" i="10"/>
  <c r="G174" i="10"/>
  <c r="F174" i="10"/>
  <c r="L174" i="10" s="1"/>
  <c r="AC173" i="10"/>
  <c r="T173" i="10"/>
  <c r="R173" i="10"/>
  <c r="O173" i="10"/>
  <c r="G173" i="10"/>
  <c r="F173" i="10"/>
  <c r="L173" i="10" s="1"/>
  <c r="AC172" i="10"/>
  <c r="T172" i="10"/>
  <c r="R172" i="10"/>
  <c r="O172" i="10"/>
  <c r="G172" i="10"/>
  <c r="F172" i="10"/>
  <c r="AC171" i="10"/>
  <c r="T171" i="10"/>
  <c r="R171" i="10"/>
  <c r="O171" i="10"/>
  <c r="G171" i="10"/>
  <c r="F171" i="10"/>
  <c r="AC170" i="10"/>
  <c r="T170" i="10"/>
  <c r="R170" i="10"/>
  <c r="O170" i="10"/>
  <c r="G170" i="10"/>
  <c r="F170" i="10"/>
  <c r="L170" i="10" s="1"/>
  <c r="AC169" i="10"/>
  <c r="T169" i="10"/>
  <c r="R169" i="10"/>
  <c r="O169" i="10"/>
  <c r="G169" i="10"/>
  <c r="F169" i="10"/>
  <c r="L169" i="10" s="1"/>
  <c r="AC168" i="10"/>
  <c r="T168" i="10"/>
  <c r="R168" i="10"/>
  <c r="O168" i="10"/>
  <c r="G168" i="10"/>
  <c r="F168" i="10"/>
  <c r="E98" i="13" s="1"/>
  <c r="AC167" i="10"/>
  <c r="T167" i="10"/>
  <c r="R167" i="10"/>
  <c r="O167" i="10"/>
  <c r="G167" i="10"/>
  <c r="F167" i="10"/>
  <c r="L167" i="10" s="1"/>
  <c r="AC166" i="10"/>
  <c r="T166" i="10"/>
  <c r="R166" i="10"/>
  <c r="O166" i="10"/>
  <c r="G166" i="10"/>
  <c r="F166" i="10"/>
  <c r="L166" i="10" s="1"/>
  <c r="AC165" i="10"/>
  <c r="U165" i="10"/>
  <c r="T165" i="10"/>
  <c r="R165" i="10"/>
  <c r="O165" i="10"/>
  <c r="H165" i="10"/>
  <c r="G165" i="10"/>
  <c r="F165" i="10"/>
  <c r="L165" i="10" s="1"/>
  <c r="AC164" i="10"/>
  <c r="T164" i="10"/>
  <c r="R164" i="10"/>
  <c r="O164" i="10"/>
  <c r="G164" i="10"/>
  <c r="F164" i="10"/>
  <c r="E97" i="13" s="1"/>
  <c r="AC163" i="10"/>
  <c r="T163" i="10"/>
  <c r="R163" i="10"/>
  <c r="O163" i="10"/>
  <c r="G163" i="10"/>
  <c r="F163" i="10"/>
  <c r="L163" i="10" s="1"/>
  <c r="AC162" i="10"/>
  <c r="T162" i="10"/>
  <c r="R162" i="10"/>
  <c r="O162" i="10"/>
  <c r="G162" i="10"/>
  <c r="F162" i="10"/>
  <c r="L162" i="10" s="1"/>
  <c r="AC161" i="10"/>
  <c r="T161" i="10"/>
  <c r="R161" i="10"/>
  <c r="O161" i="10"/>
  <c r="G161" i="10"/>
  <c r="F161" i="10"/>
  <c r="L161" i="10" s="1"/>
  <c r="AC160" i="10"/>
  <c r="T160" i="10"/>
  <c r="R160" i="10"/>
  <c r="O160" i="10"/>
  <c r="G160" i="10"/>
  <c r="F160" i="10"/>
  <c r="E96" i="13" s="1"/>
  <c r="AC159" i="10"/>
  <c r="U159" i="10"/>
  <c r="T159" i="10"/>
  <c r="R159" i="10"/>
  <c r="O159" i="10"/>
  <c r="H159" i="10"/>
  <c r="G159" i="10"/>
  <c r="F159" i="10"/>
  <c r="L159" i="10" s="1"/>
  <c r="AC158" i="10"/>
  <c r="T158" i="10"/>
  <c r="R158" i="10"/>
  <c r="O158" i="10"/>
  <c r="G158" i="10"/>
  <c r="F158" i="10"/>
  <c r="L158" i="10" s="1"/>
  <c r="AC157" i="10"/>
  <c r="T157" i="10"/>
  <c r="R157" i="10"/>
  <c r="O157" i="10"/>
  <c r="G157" i="10"/>
  <c r="F157" i="10"/>
  <c r="L157" i="10" s="1"/>
  <c r="AC156" i="10"/>
  <c r="T156" i="10"/>
  <c r="R156" i="10"/>
  <c r="O156" i="10"/>
  <c r="G156" i="10"/>
  <c r="F156" i="10"/>
  <c r="E95" i="13" s="1"/>
  <c r="AC155" i="10"/>
  <c r="T155" i="10"/>
  <c r="R155" i="10"/>
  <c r="O155" i="10"/>
  <c r="G155" i="10"/>
  <c r="F155" i="10"/>
  <c r="L155" i="10" s="1"/>
  <c r="AC154" i="10"/>
  <c r="T154" i="10"/>
  <c r="R154" i="10"/>
  <c r="O154" i="10"/>
  <c r="G154" i="10"/>
  <c r="F154" i="10"/>
  <c r="L154" i="10" s="1"/>
  <c r="AC153" i="10"/>
  <c r="T153" i="10"/>
  <c r="R153" i="10"/>
  <c r="O153" i="10"/>
  <c r="G153" i="10"/>
  <c r="F153" i="10"/>
  <c r="L153" i="10" s="1"/>
  <c r="AC152" i="10"/>
  <c r="T152" i="10"/>
  <c r="R152" i="10"/>
  <c r="O152" i="10"/>
  <c r="G152" i="10"/>
  <c r="F152" i="10"/>
  <c r="E94" i="13" s="1"/>
  <c r="AC151" i="10"/>
  <c r="T151" i="10"/>
  <c r="R151" i="10"/>
  <c r="O151" i="10"/>
  <c r="G151" i="10"/>
  <c r="F151" i="10"/>
  <c r="L151" i="10" s="1"/>
  <c r="AC150" i="10"/>
  <c r="T150" i="10"/>
  <c r="R150" i="10"/>
  <c r="O150" i="10"/>
  <c r="G150" i="10"/>
  <c r="F150" i="10"/>
  <c r="L150" i="10" s="1"/>
  <c r="AC149" i="10"/>
  <c r="T149" i="10"/>
  <c r="R149" i="10"/>
  <c r="O149" i="10"/>
  <c r="G149" i="10"/>
  <c r="F149" i="10"/>
  <c r="L149" i="10" s="1"/>
  <c r="AC148" i="10"/>
  <c r="T148" i="10"/>
  <c r="R148" i="10"/>
  <c r="O148" i="10"/>
  <c r="G148" i="10"/>
  <c r="F148" i="10"/>
  <c r="E93" i="13" s="1"/>
  <c r="AC147" i="10"/>
  <c r="T147" i="10"/>
  <c r="R147" i="10"/>
  <c r="O147" i="10"/>
  <c r="G147" i="10"/>
  <c r="F147" i="10"/>
  <c r="L147" i="10" s="1"/>
  <c r="AC146" i="10"/>
  <c r="T146" i="10"/>
  <c r="R146" i="10"/>
  <c r="O146" i="10"/>
  <c r="G146" i="10"/>
  <c r="F146" i="10"/>
  <c r="E92" i="13" s="1"/>
  <c r="H92" i="13" s="1" a="1"/>
  <c r="H92" i="13" s="1"/>
  <c r="AC145" i="10"/>
  <c r="T145" i="10"/>
  <c r="R145" i="10"/>
  <c r="O145" i="10"/>
  <c r="G145" i="10"/>
  <c r="F145" i="10"/>
  <c r="L145" i="10" s="1"/>
  <c r="AC144" i="10"/>
  <c r="T144" i="10"/>
  <c r="R144" i="10"/>
  <c r="O144" i="10"/>
  <c r="G144" i="10"/>
  <c r="F144" i="10"/>
  <c r="E91" i="13" s="1"/>
  <c r="H91" i="13" s="1" a="1"/>
  <c r="H91" i="13" s="1"/>
  <c r="AC143" i="10"/>
  <c r="T143" i="10"/>
  <c r="R143" i="10"/>
  <c r="O143" i="10"/>
  <c r="G143" i="10"/>
  <c r="F143" i="10"/>
  <c r="L143" i="10" s="1"/>
  <c r="AC142" i="10"/>
  <c r="T142" i="10"/>
  <c r="R142" i="10"/>
  <c r="O142" i="10"/>
  <c r="G142" i="10"/>
  <c r="F142" i="10"/>
  <c r="E90" i="13" s="1"/>
  <c r="H90" i="13" s="1" a="1"/>
  <c r="H90" i="13" s="1"/>
  <c r="AC141" i="10"/>
  <c r="T141" i="10"/>
  <c r="R141" i="10"/>
  <c r="O141" i="10"/>
  <c r="G141" i="10"/>
  <c r="F141" i="10"/>
  <c r="L141" i="10" s="1"/>
  <c r="AC140" i="10"/>
  <c r="T140" i="10"/>
  <c r="R140" i="10"/>
  <c r="O140" i="10"/>
  <c r="G140" i="10"/>
  <c r="F140" i="10"/>
  <c r="E89" i="13" s="1"/>
  <c r="H89" i="13" s="1" a="1"/>
  <c r="H89" i="13" s="1"/>
  <c r="AC139" i="10"/>
  <c r="T139" i="10"/>
  <c r="R139" i="10"/>
  <c r="O139" i="10"/>
  <c r="G139" i="10"/>
  <c r="F139" i="10"/>
  <c r="L139" i="10" s="1"/>
  <c r="AC138" i="10"/>
  <c r="U138" i="10"/>
  <c r="Y138" i="10" s="1"/>
  <c r="Z138" i="10" s="1"/>
  <c r="T138" i="10"/>
  <c r="R138" i="10"/>
  <c r="O138" i="10"/>
  <c r="G138" i="10"/>
  <c r="F138" i="10"/>
  <c r="E88" i="13" s="1"/>
  <c r="H88" i="13" s="1" a="1"/>
  <c r="H88" i="13" s="1"/>
  <c r="AC137" i="10"/>
  <c r="T137" i="10"/>
  <c r="R137" i="10"/>
  <c r="O137" i="10"/>
  <c r="G137" i="10"/>
  <c r="F137" i="10"/>
  <c r="L137" i="10" s="1"/>
  <c r="AC136" i="10"/>
  <c r="T136" i="10"/>
  <c r="R136" i="10"/>
  <c r="O136" i="10"/>
  <c r="G136" i="10"/>
  <c r="F136" i="10"/>
  <c r="AC135" i="10"/>
  <c r="T135" i="10"/>
  <c r="R135" i="10"/>
  <c r="O135" i="10"/>
  <c r="G135" i="10"/>
  <c r="F135" i="10"/>
  <c r="L135" i="10" s="1"/>
  <c r="AC134" i="10"/>
  <c r="T134" i="10"/>
  <c r="R134" i="10"/>
  <c r="O134" i="10"/>
  <c r="G134" i="10"/>
  <c r="F134" i="10"/>
  <c r="E86" i="13" s="1"/>
  <c r="H86" i="13" s="1" a="1"/>
  <c r="H86" i="13" s="1"/>
  <c r="AC133" i="10"/>
  <c r="T133" i="10"/>
  <c r="R133" i="10"/>
  <c r="O133" i="10"/>
  <c r="G133" i="10"/>
  <c r="F133" i="10"/>
  <c r="L133" i="10" s="1"/>
  <c r="AC132" i="10"/>
  <c r="U132" i="10"/>
  <c r="Y133" i="10" s="1"/>
  <c r="T132" i="10"/>
  <c r="R132" i="10"/>
  <c r="O132" i="10"/>
  <c r="G132" i="10"/>
  <c r="F132" i="10"/>
  <c r="E85" i="13" s="1"/>
  <c r="H85" i="13" s="1" a="1"/>
  <c r="H85" i="13" s="1"/>
  <c r="AC131" i="10"/>
  <c r="U131" i="10"/>
  <c r="T131" i="10"/>
  <c r="R131" i="10"/>
  <c r="O131" i="10"/>
  <c r="G131" i="10"/>
  <c r="F131" i="10"/>
  <c r="L131" i="10" s="1"/>
  <c r="AC130" i="10"/>
  <c r="U130" i="10"/>
  <c r="T130" i="10"/>
  <c r="R130" i="10"/>
  <c r="O130" i="10"/>
  <c r="G130" i="10"/>
  <c r="F130" i="10"/>
  <c r="AC129" i="10"/>
  <c r="T129" i="10"/>
  <c r="R129" i="10"/>
  <c r="O129" i="10"/>
  <c r="G129" i="10"/>
  <c r="F129" i="10"/>
  <c r="L129" i="10" s="1"/>
  <c r="AC128" i="10"/>
  <c r="U128" i="10"/>
  <c r="T128" i="10"/>
  <c r="R128" i="10"/>
  <c r="O128" i="10"/>
  <c r="G128" i="10"/>
  <c r="F128" i="10"/>
  <c r="AC127" i="10"/>
  <c r="U127" i="10"/>
  <c r="T127" i="10"/>
  <c r="R127" i="10"/>
  <c r="O127" i="10"/>
  <c r="G127" i="10"/>
  <c r="F127" i="10"/>
  <c r="L127" i="10" s="1"/>
  <c r="AC126" i="10"/>
  <c r="U126" i="10"/>
  <c r="T126" i="10"/>
  <c r="R126" i="10"/>
  <c r="O126" i="10"/>
  <c r="G126" i="10"/>
  <c r="F126" i="10"/>
  <c r="E82" i="13" s="1"/>
  <c r="H82" i="13" s="1" a="1"/>
  <c r="H82" i="13" s="1"/>
  <c r="AC125" i="10"/>
  <c r="U125" i="10"/>
  <c r="T125" i="10"/>
  <c r="R125" i="10"/>
  <c r="O125" i="10"/>
  <c r="G125" i="10"/>
  <c r="F125" i="10"/>
  <c r="L125" i="10" s="1"/>
  <c r="AC124" i="10"/>
  <c r="U124" i="10"/>
  <c r="Y125" i="10" s="1"/>
  <c r="T124" i="10"/>
  <c r="R124" i="10"/>
  <c r="O124" i="10"/>
  <c r="G124" i="10"/>
  <c r="F124" i="10"/>
  <c r="E81" i="13" s="1"/>
  <c r="H81" i="13" s="1" a="1"/>
  <c r="H81" i="13" s="1"/>
  <c r="AC123" i="10"/>
  <c r="U123" i="10"/>
  <c r="T123" i="10"/>
  <c r="R123" i="10"/>
  <c r="O123" i="10"/>
  <c r="G123" i="10"/>
  <c r="F123" i="10"/>
  <c r="L123" i="10" s="1"/>
  <c r="AC122" i="10"/>
  <c r="U122" i="10"/>
  <c r="Y123" i="10" s="1"/>
  <c r="T122" i="10"/>
  <c r="R122" i="10"/>
  <c r="O122" i="10"/>
  <c r="G122" i="10"/>
  <c r="F122" i="10"/>
  <c r="E80" i="13" s="1"/>
  <c r="H80" i="13" s="1" a="1"/>
  <c r="H80" i="13" s="1"/>
  <c r="AC121" i="10"/>
  <c r="T121" i="10"/>
  <c r="R121" i="10"/>
  <c r="O121" i="10"/>
  <c r="G121" i="10"/>
  <c r="F121" i="10"/>
  <c r="L121" i="10" s="1"/>
  <c r="AC120" i="10"/>
  <c r="U120" i="10"/>
  <c r="T120" i="10"/>
  <c r="R120" i="10"/>
  <c r="O120" i="10"/>
  <c r="G120" i="10"/>
  <c r="F120" i="10"/>
  <c r="E79" i="13" s="1"/>
  <c r="H79" i="13" s="1" a="1"/>
  <c r="H79" i="13" s="1"/>
  <c r="AC119" i="10"/>
  <c r="U119" i="10"/>
  <c r="T119" i="10"/>
  <c r="R119" i="10"/>
  <c r="O119" i="10"/>
  <c r="H119" i="10"/>
  <c r="G119" i="10"/>
  <c r="F119" i="10"/>
  <c r="L119" i="10" s="1"/>
  <c r="AC118" i="10"/>
  <c r="T118" i="10"/>
  <c r="R118" i="10"/>
  <c r="O118" i="10"/>
  <c r="G118" i="10"/>
  <c r="F118" i="10"/>
  <c r="E78" i="13" s="1"/>
  <c r="H78" i="13" s="1" a="1"/>
  <c r="H78" i="13" s="1"/>
  <c r="AC117" i="10"/>
  <c r="T117" i="10"/>
  <c r="R117" i="10"/>
  <c r="O117" i="10"/>
  <c r="G117" i="10"/>
  <c r="F117" i="10"/>
  <c r="L117" i="10" s="1"/>
  <c r="AC116" i="10"/>
  <c r="T116" i="10"/>
  <c r="R116" i="10"/>
  <c r="O116" i="10"/>
  <c r="G116" i="10"/>
  <c r="F116" i="10"/>
  <c r="AC115" i="10"/>
  <c r="T115" i="10"/>
  <c r="R115" i="10"/>
  <c r="O115" i="10"/>
  <c r="G115" i="10"/>
  <c r="F115" i="10"/>
  <c r="L115" i="10" s="1"/>
  <c r="AC114" i="10"/>
  <c r="T114" i="10"/>
  <c r="R114" i="10"/>
  <c r="O114" i="10"/>
  <c r="G114" i="10"/>
  <c r="F114" i="10"/>
  <c r="AC113" i="10"/>
  <c r="T113" i="10"/>
  <c r="R113" i="10"/>
  <c r="O113" i="10"/>
  <c r="G113" i="10"/>
  <c r="F113" i="10"/>
  <c r="L113" i="10" s="1"/>
  <c r="AC112" i="10"/>
  <c r="T112" i="10"/>
  <c r="R112" i="10"/>
  <c r="O112" i="10"/>
  <c r="G112" i="10"/>
  <c r="F112" i="10"/>
  <c r="L112" i="10" s="1"/>
  <c r="AC111" i="10"/>
  <c r="T111" i="10"/>
  <c r="R111" i="10"/>
  <c r="O111" i="10"/>
  <c r="G111" i="10"/>
  <c r="F111" i="10"/>
  <c r="L111" i="10" s="1"/>
  <c r="AC110" i="10"/>
  <c r="T110" i="10"/>
  <c r="R110" i="10"/>
  <c r="O110" i="10"/>
  <c r="G110" i="10"/>
  <c r="F110" i="10"/>
  <c r="E74" i="13" s="1"/>
  <c r="H74" i="13" s="1" a="1"/>
  <c r="H74" i="13" s="1"/>
  <c r="AC109" i="10"/>
  <c r="T109" i="10"/>
  <c r="R109" i="10"/>
  <c r="O109" i="10"/>
  <c r="G109" i="10"/>
  <c r="F109" i="10"/>
  <c r="L109" i="10" s="1"/>
  <c r="AC108" i="10"/>
  <c r="T108" i="10"/>
  <c r="R108" i="10"/>
  <c r="O108" i="10"/>
  <c r="G108" i="10"/>
  <c r="F108" i="10"/>
  <c r="E73" i="13" s="1"/>
  <c r="H73" i="13" s="1" a="1"/>
  <c r="H73" i="13" s="1"/>
  <c r="AC107" i="10"/>
  <c r="T107" i="10"/>
  <c r="R107" i="10"/>
  <c r="O107" i="10"/>
  <c r="G107" i="10"/>
  <c r="F107" i="10"/>
  <c r="L107" i="10" s="1"/>
  <c r="AC106" i="10"/>
  <c r="T106" i="10"/>
  <c r="R106" i="10"/>
  <c r="O106" i="10"/>
  <c r="G106" i="10"/>
  <c r="F106" i="10"/>
  <c r="E72" i="13" s="1"/>
  <c r="H72" i="13" s="1" a="1"/>
  <c r="H72" i="13" s="1"/>
  <c r="AC105" i="10"/>
  <c r="U105" i="10"/>
  <c r="T105" i="10"/>
  <c r="R105" i="10"/>
  <c r="O105" i="10"/>
  <c r="G105" i="10"/>
  <c r="F105" i="10"/>
  <c r="L105" i="10" s="1"/>
  <c r="AC104" i="10"/>
  <c r="U104" i="10"/>
  <c r="Y104" i="10" s="1"/>
  <c r="Z104" i="10" s="1"/>
  <c r="T104" i="10"/>
  <c r="R104" i="10"/>
  <c r="O104" i="10"/>
  <c r="G104" i="10"/>
  <c r="F104" i="10"/>
  <c r="E71" i="13" s="1"/>
  <c r="H71" i="13" s="1" a="1"/>
  <c r="H71" i="13" s="1"/>
  <c r="AC103" i="10"/>
  <c r="T103" i="10"/>
  <c r="R103" i="10"/>
  <c r="O103" i="10"/>
  <c r="G103" i="10"/>
  <c r="F103" i="10"/>
  <c r="L103" i="10" s="1"/>
  <c r="AC102" i="10"/>
  <c r="T102" i="10"/>
  <c r="R102" i="10"/>
  <c r="O102" i="10"/>
  <c r="G102" i="10"/>
  <c r="F102" i="10"/>
  <c r="E70" i="13" s="1"/>
  <c r="H70" i="13" s="1" a="1"/>
  <c r="H70" i="13" s="1"/>
  <c r="AC101" i="10"/>
  <c r="T101" i="10"/>
  <c r="R101" i="10"/>
  <c r="O101" i="10"/>
  <c r="G101" i="10"/>
  <c r="F101" i="10"/>
  <c r="L101" i="10" s="1"/>
  <c r="AC100" i="10"/>
  <c r="T100" i="10"/>
  <c r="R100" i="10"/>
  <c r="O100" i="10"/>
  <c r="G100" i="10"/>
  <c r="F100" i="10"/>
  <c r="AC99" i="10"/>
  <c r="T99" i="10"/>
  <c r="R99" i="10"/>
  <c r="O99" i="10"/>
  <c r="G99" i="10"/>
  <c r="F99" i="10"/>
  <c r="L99" i="10" s="1"/>
  <c r="AC98" i="10"/>
  <c r="T98" i="10"/>
  <c r="R98" i="10"/>
  <c r="O98" i="10"/>
  <c r="G98" i="10"/>
  <c r="F98" i="10"/>
  <c r="AC97" i="10"/>
  <c r="T97" i="10"/>
  <c r="R97" i="10"/>
  <c r="O97" i="10"/>
  <c r="G97" i="10"/>
  <c r="F97" i="10"/>
  <c r="L97" i="10" s="1"/>
  <c r="AC96" i="10"/>
  <c r="T96" i="10"/>
  <c r="R96" i="10"/>
  <c r="O96" i="10"/>
  <c r="G96" i="10"/>
  <c r="F96" i="10"/>
  <c r="E67" i="13" s="1"/>
  <c r="H67" i="13" s="1" a="1"/>
  <c r="H67" i="13" s="1"/>
  <c r="AC95" i="10"/>
  <c r="U95" i="10"/>
  <c r="T95" i="10"/>
  <c r="R95" i="10"/>
  <c r="O95" i="10"/>
  <c r="G95" i="10"/>
  <c r="F95" i="10"/>
  <c r="L95" i="10" s="1"/>
  <c r="AC94" i="10"/>
  <c r="T94" i="10"/>
  <c r="R94" i="10"/>
  <c r="O94" i="10"/>
  <c r="G94" i="10"/>
  <c r="F94" i="10"/>
  <c r="E66" i="13" s="1"/>
  <c r="H66" i="13" s="1" a="1"/>
  <c r="H66" i="13" s="1"/>
  <c r="AC93" i="10"/>
  <c r="T93" i="10"/>
  <c r="R93" i="10"/>
  <c r="O93" i="10"/>
  <c r="G93" i="10"/>
  <c r="F93" i="10"/>
  <c r="L93" i="10" s="1"/>
  <c r="AC92" i="10"/>
  <c r="T92" i="10"/>
  <c r="R92" i="10"/>
  <c r="O92" i="10"/>
  <c r="G92" i="10"/>
  <c r="F92" i="10"/>
  <c r="E65" i="13" s="1"/>
  <c r="H65" i="13" s="1" a="1"/>
  <c r="H65" i="13" s="1"/>
  <c r="AC91" i="10"/>
  <c r="T91" i="10"/>
  <c r="R91" i="10"/>
  <c r="O91" i="10"/>
  <c r="G91" i="10"/>
  <c r="F91" i="10"/>
  <c r="L91" i="10" s="1"/>
  <c r="AC90" i="10"/>
  <c r="U90" i="10"/>
  <c r="Y91" i="10" s="1"/>
  <c r="T90" i="10"/>
  <c r="R90" i="10"/>
  <c r="O90" i="10"/>
  <c r="G90" i="10"/>
  <c r="F90" i="10"/>
  <c r="AC89" i="10"/>
  <c r="T89" i="10"/>
  <c r="R89" i="10"/>
  <c r="O89" i="10"/>
  <c r="G89" i="10"/>
  <c r="F89" i="10"/>
  <c r="L89" i="10" s="1"/>
  <c r="AC88" i="10"/>
  <c r="T88" i="10"/>
  <c r="R88" i="10"/>
  <c r="O88" i="10"/>
  <c r="G88" i="10"/>
  <c r="F88" i="10"/>
  <c r="E63" i="13" s="1"/>
  <c r="H63" i="13" s="1" a="1"/>
  <c r="H63" i="13" s="1"/>
  <c r="AC87" i="10"/>
  <c r="U87" i="10"/>
  <c r="T87" i="10"/>
  <c r="R87" i="10"/>
  <c r="O87" i="10"/>
  <c r="G87" i="10"/>
  <c r="F87" i="10"/>
  <c r="AC86" i="10"/>
  <c r="U86" i="10"/>
  <c r="Y87" i="10" s="1"/>
  <c r="T86" i="10"/>
  <c r="R86" i="10"/>
  <c r="O86" i="10"/>
  <c r="H86" i="10"/>
  <c r="P87" i="10" s="1"/>
  <c r="G86" i="10"/>
  <c r="F86" i="10"/>
  <c r="E62" i="13" s="1"/>
  <c r="H62" i="13" s="1" a="1"/>
  <c r="H62" i="13" s="1"/>
  <c r="AC85" i="10"/>
  <c r="T85" i="10"/>
  <c r="R85" i="10"/>
  <c r="O85" i="10"/>
  <c r="G85" i="10"/>
  <c r="F85" i="10"/>
  <c r="AC84" i="10"/>
  <c r="T84" i="10"/>
  <c r="R84" i="10"/>
  <c r="O84" i="10"/>
  <c r="G84" i="10"/>
  <c r="F84" i="10"/>
  <c r="E61" i="13" s="1"/>
  <c r="H61" i="13" s="1" a="1"/>
  <c r="H61" i="13" s="1"/>
  <c r="AC83" i="10"/>
  <c r="T83" i="10"/>
  <c r="R83" i="10"/>
  <c r="O83" i="10"/>
  <c r="G83" i="10"/>
  <c r="F83" i="10"/>
  <c r="AC82" i="10"/>
  <c r="T82" i="10"/>
  <c r="R82" i="10"/>
  <c r="O82" i="10"/>
  <c r="G82" i="10"/>
  <c r="F82" i="10"/>
  <c r="E60" i="13" s="1"/>
  <c r="H60" i="13" s="1" a="1"/>
  <c r="H60" i="13" s="1"/>
  <c r="AC81" i="10"/>
  <c r="T81" i="10"/>
  <c r="R81" i="10"/>
  <c r="O81" i="10"/>
  <c r="G81" i="10"/>
  <c r="F81" i="10"/>
  <c r="AC80" i="10"/>
  <c r="T80" i="10"/>
  <c r="R80" i="10"/>
  <c r="O80" i="10"/>
  <c r="G80" i="10"/>
  <c r="F80" i="10"/>
  <c r="E59" i="13" s="1"/>
  <c r="H59" i="13" s="1" a="1"/>
  <c r="H59" i="13" s="1"/>
  <c r="AC79" i="10"/>
  <c r="U79" i="10"/>
  <c r="T79" i="10"/>
  <c r="R79" i="10"/>
  <c r="O79" i="10"/>
  <c r="G79" i="10"/>
  <c r="F79" i="10"/>
  <c r="L79" i="10" s="1"/>
  <c r="AC78" i="10"/>
  <c r="U78" i="10"/>
  <c r="T78" i="10"/>
  <c r="R78" i="10"/>
  <c r="O78" i="10"/>
  <c r="G78" i="10"/>
  <c r="F78" i="10"/>
  <c r="L78" i="10" s="1"/>
  <c r="AC77" i="10"/>
  <c r="U77" i="10"/>
  <c r="T77" i="10"/>
  <c r="R77" i="10"/>
  <c r="O77" i="10"/>
  <c r="G77" i="10"/>
  <c r="F77" i="10"/>
  <c r="AC76" i="10"/>
  <c r="T76" i="10"/>
  <c r="R76" i="10"/>
  <c r="O76" i="10"/>
  <c r="G76" i="10"/>
  <c r="F76" i="10"/>
  <c r="L76" i="10" s="1"/>
  <c r="AC75" i="10"/>
  <c r="T75" i="10"/>
  <c r="R75" i="10"/>
  <c r="O75" i="10"/>
  <c r="G75" i="10"/>
  <c r="F75" i="10"/>
  <c r="AC74" i="10"/>
  <c r="U74" i="10"/>
  <c r="T74" i="10"/>
  <c r="R74" i="10"/>
  <c r="O74" i="10"/>
  <c r="G74" i="10"/>
  <c r="F74" i="10"/>
  <c r="L74" i="10" s="1"/>
  <c r="AC73" i="10"/>
  <c r="T73" i="10"/>
  <c r="R73" i="10"/>
  <c r="O73" i="10"/>
  <c r="G73" i="10"/>
  <c r="F73" i="10"/>
  <c r="AC72" i="10"/>
  <c r="U72" i="10"/>
  <c r="T72" i="10"/>
  <c r="R72" i="10"/>
  <c r="O72" i="10"/>
  <c r="G72" i="10"/>
  <c r="F72" i="10"/>
  <c r="AC71" i="10"/>
  <c r="U71" i="10"/>
  <c r="T71" i="10"/>
  <c r="R71" i="10"/>
  <c r="O71" i="10"/>
  <c r="G71" i="10"/>
  <c r="F71" i="10"/>
  <c r="AC70" i="10"/>
  <c r="T70" i="10"/>
  <c r="R70" i="10"/>
  <c r="O70" i="10"/>
  <c r="G70" i="10"/>
  <c r="F70" i="10"/>
  <c r="AC69" i="10"/>
  <c r="T69" i="10"/>
  <c r="R69" i="10"/>
  <c r="O69" i="10"/>
  <c r="G69" i="10"/>
  <c r="F69" i="10"/>
  <c r="AC68" i="10"/>
  <c r="U68" i="10"/>
  <c r="T68" i="10"/>
  <c r="R68" i="10"/>
  <c r="O68" i="10"/>
  <c r="G68" i="10"/>
  <c r="F68" i="10"/>
  <c r="AC67" i="10"/>
  <c r="U67" i="10"/>
  <c r="T67" i="10"/>
  <c r="R67" i="10"/>
  <c r="O67" i="10"/>
  <c r="G67" i="10"/>
  <c r="F67" i="10"/>
  <c r="AC66" i="10"/>
  <c r="T66" i="10"/>
  <c r="R66" i="10"/>
  <c r="O66" i="10"/>
  <c r="G66" i="10"/>
  <c r="F66" i="10"/>
  <c r="L66" i="10" s="1"/>
  <c r="AC65" i="10"/>
  <c r="T65" i="10"/>
  <c r="R65" i="10"/>
  <c r="O65" i="10"/>
  <c r="G65" i="10"/>
  <c r="F65" i="10"/>
  <c r="AC64" i="10"/>
  <c r="T64" i="10"/>
  <c r="R64" i="10"/>
  <c r="O64" i="10"/>
  <c r="G64" i="10"/>
  <c r="F64" i="10"/>
  <c r="AC63" i="10"/>
  <c r="T63" i="10"/>
  <c r="R63" i="10"/>
  <c r="O63" i="10"/>
  <c r="G63" i="10"/>
  <c r="F63" i="10"/>
  <c r="AC62" i="10"/>
  <c r="T62" i="10"/>
  <c r="R62" i="10"/>
  <c r="O62" i="10"/>
  <c r="G62" i="10"/>
  <c r="F62" i="10"/>
  <c r="L62" i="10" s="1"/>
  <c r="AC61" i="10"/>
  <c r="T61" i="10"/>
  <c r="R61" i="10"/>
  <c r="O61" i="10"/>
  <c r="G61" i="10"/>
  <c r="F61" i="10"/>
  <c r="AC60" i="10"/>
  <c r="U60" i="10"/>
  <c r="T60" i="10"/>
  <c r="R60" i="10"/>
  <c r="O60" i="10"/>
  <c r="G60" i="10"/>
  <c r="F60" i="10"/>
  <c r="AC59" i="10"/>
  <c r="T59" i="10"/>
  <c r="R59" i="10"/>
  <c r="O59" i="10"/>
  <c r="G59" i="10"/>
  <c r="F59" i="10"/>
  <c r="AC58" i="10"/>
  <c r="T58" i="10"/>
  <c r="R58" i="10"/>
  <c r="O58" i="10"/>
  <c r="G58" i="10"/>
  <c r="F58" i="10"/>
  <c r="L58" i="10" s="1"/>
  <c r="AC57" i="10"/>
  <c r="T57" i="10"/>
  <c r="R57" i="10"/>
  <c r="O57" i="10"/>
  <c r="G57" i="10"/>
  <c r="F57" i="10"/>
  <c r="AC56" i="10"/>
  <c r="T56" i="10"/>
  <c r="R56" i="10"/>
  <c r="O56" i="10"/>
  <c r="G56" i="10"/>
  <c r="F56" i="10"/>
  <c r="AC55" i="10"/>
  <c r="T55" i="10"/>
  <c r="R55" i="10"/>
  <c r="O55" i="10"/>
  <c r="G55" i="10"/>
  <c r="F55" i="10"/>
  <c r="AC54" i="10"/>
  <c r="T54" i="10"/>
  <c r="R54" i="10"/>
  <c r="O54" i="10"/>
  <c r="G54" i="10"/>
  <c r="F54" i="10"/>
  <c r="L54" i="10" s="1"/>
  <c r="AC53" i="10"/>
  <c r="T53" i="10"/>
  <c r="R53" i="10"/>
  <c r="O53" i="10"/>
  <c r="G53" i="10"/>
  <c r="F53" i="10"/>
  <c r="AC52" i="10"/>
  <c r="T52" i="10"/>
  <c r="R52" i="10"/>
  <c r="O52" i="10"/>
  <c r="G52" i="10"/>
  <c r="F52" i="10"/>
  <c r="L52" i="10" s="1"/>
  <c r="AC51" i="10"/>
  <c r="T51" i="10"/>
  <c r="R51" i="10"/>
  <c r="O51" i="10"/>
  <c r="G51" i="10"/>
  <c r="F51" i="10"/>
  <c r="AC50" i="10"/>
  <c r="U50" i="10"/>
  <c r="T50" i="10"/>
  <c r="R50" i="10"/>
  <c r="O50" i="10"/>
  <c r="G50" i="10"/>
  <c r="F50" i="10"/>
  <c r="AC49" i="10"/>
  <c r="U49" i="10"/>
  <c r="Y49" i="10" s="1"/>
  <c r="Z49" i="10" s="1"/>
  <c r="T49" i="10"/>
  <c r="R49" i="10"/>
  <c r="O49" i="10"/>
  <c r="G49" i="10"/>
  <c r="F49" i="10"/>
  <c r="AC48" i="10"/>
  <c r="T48" i="10"/>
  <c r="R48" i="10"/>
  <c r="O48" i="10"/>
  <c r="G48" i="10"/>
  <c r="F48" i="10"/>
  <c r="AC47" i="10"/>
  <c r="T47" i="10"/>
  <c r="R47" i="10"/>
  <c r="O47" i="10"/>
  <c r="G47" i="10"/>
  <c r="F47" i="10"/>
  <c r="AC46" i="10"/>
  <c r="U46" i="10"/>
  <c r="T46" i="10"/>
  <c r="R46" i="10"/>
  <c r="O46" i="10"/>
  <c r="G46" i="10"/>
  <c r="F46" i="10"/>
  <c r="L46" i="10" s="1"/>
  <c r="AC45" i="10"/>
  <c r="T45" i="10"/>
  <c r="R45" i="10"/>
  <c r="O45" i="10"/>
  <c r="G45" i="10"/>
  <c r="F45" i="10"/>
  <c r="E42" i="13" s="1"/>
  <c r="H42" i="13" s="1" a="1"/>
  <c r="H42" i="13" s="1"/>
  <c r="AC44" i="10"/>
  <c r="U44" i="10"/>
  <c r="T44" i="10"/>
  <c r="R44" i="10"/>
  <c r="O44" i="10"/>
  <c r="G44" i="10"/>
  <c r="F44" i="10"/>
  <c r="L44" i="10" s="1"/>
  <c r="AC43" i="10"/>
  <c r="U43" i="10"/>
  <c r="Y43" i="10" s="1"/>
  <c r="Z43" i="10" s="1"/>
  <c r="T43" i="10"/>
  <c r="R43" i="10"/>
  <c r="O43" i="10"/>
  <c r="G43" i="10"/>
  <c r="F43" i="10"/>
  <c r="E41" i="13" s="1"/>
  <c r="H41" i="13" s="1" a="1"/>
  <c r="H41" i="13" s="1"/>
  <c r="AC42" i="10"/>
  <c r="T42" i="10"/>
  <c r="R42" i="10"/>
  <c r="O42" i="10"/>
  <c r="G42" i="10"/>
  <c r="F42" i="10"/>
  <c r="AC41" i="10"/>
  <c r="T41" i="10"/>
  <c r="R41" i="10"/>
  <c r="O41" i="10"/>
  <c r="G41" i="10"/>
  <c r="F41" i="10"/>
  <c r="AC40" i="10"/>
  <c r="T40" i="10"/>
  <c r="R40" i="10"/>
  <c r="O40" i="10"/>
  <c r="G40" i="10"/>
  <c r="F40" i="10"/>
  <c r="AC39" i="10"/>
  <c r="T39" i="10"/>
  <c r="R39" i="10"/>
  <c r="O39" i="10"/>
  <c r="G39" i="10"/>
  <c r="F39" i="10"/>
  <c r="AC38" i="10"/>
  <c r="T38" i="10"/>
  <c r="R38" i="10"/>
  <c r="O38" i="10"/>
  <c r="G38" i="10"/>
  <c r="F38" i="10"/>
  <c r="L38" i="10" s="1"/>
  <c r="AC37" i="10"/>
  <c r="T37" i="10"/>
  <c r="R37" i="10"/>
  <c r="O37" i="10"/>
  <c r="G37" i="10"/>
  <c r="F37" i="10"/>
  <c r="E38" i="13" s="1"/>
  <c r="H38" i="13" s="1" a="1"/>
  <c r="H38" i="13" s="1"/>
  <c r="AC36" i="10"/>
  <c r="T36" i="10"/>
  <c r="R36" i="10"/>
  <c r="O36" i="10"/>
  <c r="G36" i="10"/>
  <c r="F36" i="10"/>
  <c r="L36" i="10" s="1"/>
  <c r="AC35" i="10"/>
  <c r="T35" i="10"/>
  <c r="R35" i="10"/>
  <c r="O35" i="10"/>
  <c r="G35" i="10"/>
  <c r="F35" i="10"/>
  <c r="E37" i="13" s="1"/>
  <c r="H37" i="13" s="1" a="1"/>
  <c r="H37" i="13" s="1"/>
  <c r="AC34" i="10"/>
  <c r="T34" i="10"/>
  <c r="R34" i="10"/>
  <c r="O34" i="10"/>
  <c r="G34" i="10"/>
  <c r="F34" i="10"/>
  <c r="AC33" i="10"/>
  <c r="T33" i="10"/>
  <c r="R33" i="10"/>
  <c r="O33" i="10"/>
  <c r="G33" i="10"/>
  <c r="F33" i="10"/>
  <c r="AC32" i="10"/>
  <c r="T32" i="10"/>
  <c r="R32" i="10"/>
  <c r="O32" i="10"/>
  <c r="G32" i="10"/>
  <c r="F32" i="10"/>
  <c r="L32" i="10" s="1"/>
  <c r="AC31" i="10"/>
  <c r="T31" i="10"/>
  <c r="R31" i="10"/>
  <c r="O31" i="10"/>
  <c r="G31" i="10"/>
  <c r="F31" i="10"/>
  <c r="AC30" i="10"/>
  <c r="U30" i="10"/>
  <c r="T30" i="10"/>
  <c r="R30" i="10"/>
  <c r="O30" i="10"/>
  <c r="H30" i="10"/>
  <c r="G30" i="10"/>
  <c r="F30" i="10"/>
  <c r="AC29" i="10"/>
  <c r="U29" i="10"/>
  <c r="Y29" i="10" s="1"/>
  <c r="Z29" i="10" s="1"/>
  <c r="T29" i="10"/>
  <c r="R29" i="10"/>
  <c r="O29" i="10"/>
  <c r="G29" i="10"/>
  <c r="F29" i="10"/>
  <c r="AC28" i="10"/>
  <c r="T28" i="10"/>
  <c r="R28" i="10"/>
  <c r="O28" i="10"/>
  <c r="G28" i="10"/>
  <c r="F28" i="10"/>
  <c r="L28" i="10" s="1"/>
  <c r="AC27" i="10"/>
  <c r="T27" i="10"/>
  <c r="R27" i="10"/>
  <c r="O27" i="10"/>
  <c r="G27" i="10"/>
  <c r="F27" i="10"/>
  <c r="E33" i="13" s="1"/>
  <c r="H33" i="13" s="1" a="1"/>
  <c r="H33" i="13" s="1"/>
  <c r="AC26" i="10"/>
  <c r="T26" i="10"/>
  <c r="R26" i="10"/>
  <c r="O26" i="10"/>
  <c r="G26" i="10"/>
  <c r="F26" i="10"/>
  <c r="L26" i="10" s="1"/>
  <c r="AC25" i="10"/>
  <c r="T25" i="10"/>
  <c r="R25" i="10"/>
  <c r="O25" i="10"/>
  <c r="G25" i="10"/>
  <c r="F25" i="10"/>
  <c r="AC24" i="10"/>
  <c r="U24" i="10"/>
  <c r="Y24" i="10" s="1"/>
  <c r="Z24" i="10" s="1"/>
  <c r="T24" i="10"/>
  <c r="R24" i="10"/>
  <c r="O24" i="10"/>
  <c r="G24" i="10"/>
  <c r="F24" i="10"/>
  <c r="AC23" i="10"/>
  <c r="U23" i="10"/>
  <c r="T23" i="10"/>
  <c r="R23" i="10"/>
  <c r="O23" i="10"/>
  <c r="G23" i="10"/>
  <c r="F23" i="10"/>
  <c r="E31" i="13" s="1"/>
  <c r="H31" i="13" s="1" a="1"/>
  <c r="H31" i="13" s="1"/>
  <c r="AC22" i="10"/>
  <c r="T22" i="10"/>
  <c r="R22" i="10"/>
  <c r="O22" i="10"/>
  <c r="G22" i="10"/>
  <c r="F22" i="10"/>
  <c r="AC21" i="10"/>
  <c r="T21" i="10"/>
  <c r="R21" i="10"/>
  <c r="O21" i="10"/>
  <c r="G21" i="10"/>
  <c r="F21" i="10"/>
  <c r="E30" i="13" s="1"/>
  <c r="H30" i="13" s="1" a="1"/>
  <c r="H30" i="13" s="1"/>
  <c r="AC20" i="10"/>
  <c r="T20" i="10"/>
  <c r="R20" i="10"/>
  <c r="O20" i="10"/>
  <c r="G20" i="10"/>
  <c r="F20" i="10"/>
  <c r="L20" i="10" s="1"/>
  <c r="AC19" i="10"/>
  <c r="T19" i="10"/>
  <c r="R19" i="10"/>
  <c r="O19" i="10"/>
  <c r="G19" i="10"/>
  <c r="F19" i="10"/>
  <c r="L19" i="10" s="1"/>
  <c r="AC18" i="10"/>
  <c r="T18" i="10"/>
  <c r="R18" i="10"/>
  <c r="O18" i="10"/>
  <c r="G18" i="10"/>
  <c r="F18" i="10"/>
  <c r="L18" i="10" s="1"/>
  <c r="AC17" i="10"/>
  <c r="T17" i="10"/>
  <c r="R17" i="10"/>
  <c r="O17" i="10"/>
  <c r="G17" i="10"/>
  <c r="F17" i="10"/>
  <c r="AC16" i="10"/>
  <c r="U16" i="10"/>
  <c r="Y16" i="10" s="1"/>
  <c r="Z16" i="10" s="1"/>
  <c r="T16" i="10"/>
  <c r="R16" i="10"/>
  <c r="O16" i="10"/>
  <c r="G16" i="10"/>
  <c r="F16" i="10"/>
  <c r="L16" i="10" s="1"/>
  <c r="AC15" i="10"/>
  <c r="U15" i="10"/>
  <c r="T15" i="10"/>
  <c r="R15" i="10"/>
  <c r="O15" i="10"/>
  <c r="G15" i="10"/>
  <c r="F15" i="10"/>
  <c r="L15" i="10" s="1"/>
  <c r="AC14" i="10"/>
  <c r="U14" i="10"/>
  <c r="T14" i="10"/>
  <c r="R14" i="10"/>
  <c r="O14" i="10"/>
  <c r="H14" i="10"/>
  <c r="G14" i="10"/>
  <c r="F14" i="10"/>
  <c r="L14" i="10" s="1"/>
  <c r="AC13" i="10"/>
  <c r="U13" i="10"/>
  <c r="T13" i="10"/>
  <c r="R13" i="10"/>
  <c r="O13" i="10"/>
  <c r="G13" i="10"/>
  <c r="F13" i="10"/>
  <c r="L13" i="10" s="1"/>
  <c r="AC12" i="10"/>
  <c r="U12" i="10"/>
  <c r="T12" i="10"/>
  <c r="R12" i="10"/>
  <c r="O12" i="10"/>
  <c r="H12" i="10"/>
  <c r="G12" i="10"/>
  <c r="F12" i="10"/>
  <c r="L12" i="10" s="1"/>
  <c r="AC11" i="10"/>
  <c r="U11" i="10"/>
  <c r="T11" i="10"/>
  <c r="R11" i="10"/>
  <c r="O11" i="10"/>
  <c r="H11" i="10"/>
  <c r="G11" i="10"/>
  <c r="F11" i="10"/>
  <c r="AC10" i="10"/>
  <c r="U10" i="10"/>
  <c r="T10" i="10"/>
  <c r="R10" i="10"/>
  <c r="O10" i="10"/>
  <c r="G10" i="10"/>
  <c r="F10" i="10"/>
  <c r="L10" i="10" s="1"/>
  <c r="AC9" i="10"/>
  <c r="U9" i="10"/>
  <c r="T9" i="10"/>
  <c r="R9" i="10"/>
  <c r="O9" i="10"/>
  <c r="H9" i="10"/>
  <c r="G9" i="10"/>
  <c r="F9" i="10"/>
  <c r="L9" i="10" s="1"/>
  <c r="AC8" i="10"/>
  <c r="U8" i="10"/>
  <c r="T8" i="10"/>
  <c r="R8" i="10"/>
  <c r="O8" i="10"/>
  <c r="G8" i="10"/>
  <c r="F8" i="10"/>
  <c r="L8" i="10" s="1"/>
  <c r="AC7" i="10"/>
  <c r="U7" i="10"/>
  <c r="Y7" i="10" s="1"/>
  <c r="Z7" i="10" s="1"/>
  <c r="T7" i="10"/>
  <c r="R7" i="10"/>
  <c r="O7" i="10"/>
  <c r="H7" i="10"/>
  <c r="P14" i="10" s="1"/>
  <c r="G7" i="10"/>
  <c r="F7" i="10"/>
  <c r="L7" i="10" s="1"/>
  <c r="AC6" i="10"/>
  <c r="Y6" i="10"/>
  <c r="U6" i="10"/>
  <c r="T6" i="10"/>
  <c r="R6" i="10"/>
  <c r="P6" i="10"/>
  <c r="O6" i="10"/>
  <c r="H6" i="10"/>
  <c r="G6" i="10"/>
  <c r="F6" i="10"/>
  <c r="L6" i="10" s="1"/>
  <c r="AC5" i="10"/>
  <c r="Y5" i="10"/>
  <c r="U5" i="10"/>
  <c r="T5" i="10"/>
  <c r="R5" i="10"/>
  <c r="O5" i="10"/>
  <c r="H5" i="10"/>
  <c r="G5" i="10"/>
  <c r="F5" i="10"/>
  <c r="AC4" i="10"/>
  <c r="Y4" i="10"/>
  <c r="Z4" i="10" s="1"/>
  <c r="U4" i="10"/>
  <c r="T4" i="10"/>
  <c r="V4" i="10" s="1"/>
  <c r="W4" i="10" s="1"/>
  <c r="X4" i="10" s="1"/>
  <c r="R4" i="10"/>
  <c r="P4" i="10"/>
  <c r="Q4" i="10" s="1"/>
  <c r="O4" i="10"/>
  <c r="H4" i="10"/>
  <c r="P5" i="10" s="1"/>
  <c r="G4" i="10"/>
  <c r="F4" i="10"/>
  <c r="E25" i="13" s="1"/>
  <c r="H25" i="13" s="1" a="1"/>
  <c r="H25" i="13" s="1"/>
  <c r="F22" i="8"/>
  <c r="O130" i="7"/>
  <c r="N130" i="7"/>
  <c r="M130" i="7"/>
  <c r="L130" i="7"/>
  <c r="K130" i="7"/>
  <c r="H130" i="7"/>
  <c r="E130" i="7"/>
  <c r="D130" i="7"/>
  <c r="C130" i="7"/>
  <c r="B130" i="7"/>
  <c r="O128" i="7"/>
  <c r="L128" i="7"/>
  <c r="K128" i="7"/>
  <c r="J128" i="7"/>
  <c r="H128" i="7"/>
  <c r="G128" i="7"/>
  <c r="E128" i="7"/>
  <c r="D128" i="7"/>
  <c r="C128" i="7"/>
  <c r="B128" i="7"/>
  <c r="O127" i="7"/>
  <c r="N127" i="7"/>
  <c r="M127" i="7"/>
  <c r="L127" i="7"/>
  <c r="K127" i="7"/>
  <c r="J127" i="7"/>
  <c r="H127" i="7"/>
  <c r="E127" i="7"/>
  <c r="D127" i="7"/>
  <c r="C127" i="7"/>
  <c r="B127" i="7"/>
  <c r="O126" i="7"/>
  <c r="N126" i="7"/>
  <c r="M126" i="7"/>
  <c r="L126" i="7"/>
  <c r="K126" i="7"/>
  <c r="H126" i="7"/>
  <c r="E126" i="7"/>
  <c r="D126" i="7"/>
  <c r="C126" i="7"/>
  <c r="B126" i="7"/>
  <c r="O125" i="7"/>
  <c r="N125" i="7"/>
  <c r="M125" i="7"/>
  <c r="L125" i="7"/>
  <c r="K125" i="7"/>
  <c r="J125" i="7"/>
  <c r="I125" i="7"/>
  <c r="H125" i="7"/>
  <c r="G125" i="7"/>
  <c r="F125" i="7"/>
  <c r="E125" i="7"/>
  <c r="D125" i="7"/>
  <c r="C125" i="7"/>
  <c r="B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L115" i="7"/>
  <c r="K115" i="7"/>
  <c r="J115" i="7"/>
  <c r="I115" i="7"/>
  <c r="H115" i="7"/>
  <c r="G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E110" i="7"/>
  <c r="D110" i="7"/>
  <c r="B110" i="7"/>
  <c r="O109" i="7"/>
  <c r="N109" i="7"/>
  <c r="M109" i="7"/>
  <c r="L109" i="7"/>
  <c r="K109" i="7"/>
  <c r="J109" i="7"/>
  <c r="I109" i="7"/>
  <c r="H109" i="7"/>
  <c r="G109" i="7"/>
  <c r="F109" i="7"/>
  <c r="E109" i="7"/>
  <c r="D109" i="7"/>
  <c r="C109" i="7"/>
  <c r="B109" i="7"/>
  <c r="O108" i="7"/>
  <c r="N108" i="7"/>
  <c r="M108" i="7"/>
  <c r="K108" i="7"/>
  <c r="J108" i="7"/>
  <c r="H108" i="7"/>
  <c r="E108" i="7"/>
  <c r="C108" i="7"/>
  <c r="O107" i="7"/>
  <c r="L107" i="7"/>
  <c r="K107" i="7"/>
  <c r="J107" i="7"/>
  <c r="H107" i="7"/>
  <c r="F107" i="7"/>
  <c r="E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H63" i="7" s="1"/>
  <c r="C64" i="9" s="1"/>
  <c r="G9" i="7"/>
  <c r="F9" i="7"/>
  <c r="F63" i="7" s="1"/>
  <c r="C62" i="9" s="1"/>
  <c r="E9" i="7"/>
  <c r="E63" i="7" s="1"/>
  <c r="C61" i="9" s="1"/>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G27" i="5" s="1"/>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S510" i="10" l="1"/>
  <c r="I510" i="10" s="1"/>
  <c r="K510" i="10" s="1"/>
  <c r="F244" i="13"/>
  <c r="G244" i="13" s="1"/>
  <c r="I244" i="13" s="1"/>
  <c r="Y244" i="13"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H27" i="5"/>
  <c r="O19" i="13"/>
  <c r="Y355" i="10"/>
  <c r="Z355" i="10" s="1"/>
  <c r="Y357" i="10"/>
  <c r="Z357" i="10" s="1"/>
  <c r="S235" i="10"/>
  <c r="I235" i="10" s="1"/>
  <c r="F118" i="13" s="1"/>
  <c r="S331" i="10"/>
  <c r="I331" i="10" s="1"/>
  <c r="K331" i="10" s="1"/>
  <c r="S36" i="10"/>
  <c r="I36" i="10" s="1"/>
  <c r="K36" i="10" s="1"/>
  <c r="S84" i="10"/>
  <c r="I84" i="10"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S433" i="10"/>
  <c r="I433" i="10" s="1"/>
  <c r="K433" i="10" s="1"/>
  <c r="S220" i="10"/>
  <c r="I220" i="10" s="1"/>
  <c r="F111" i="13" s="1"/>
  <c r="S334" i="10"/>
  <c r="I334" i="10" s="1"/>
  <c r="K334" i="10" s="1"/>
  <c r="S349" i="10"/>
  <c r="I349" i="10" s="1"/>
  <c r="S448" i="10"/>
  <c r="I448" i="10" s="1"/>
  <c r="S82" i="10"/>
  <c r="I82" i="10" s="1"/>
  <c r="S152" i="10"/>
  <c r="I152" i="10" s="1"/>
  <c r="S287" i="10"/>
  <c r="I287" i="10" s="1"/>
  <c r="K287" i="10" s="1"/>
  <c r="S340" i="10"/>
  <c r="I340" i="10" s="1"/>
  <c r="S347" i="10"/>
  <c r="I347" i="10" s="1"/>
  <c r="O8" i="13"/>
  <c r="S148" i="10"/>
  <c r="I148" i="10" s="1"/>
  <c r="S323" i="10"/>
  <c r="I323" i="10" s="1"/>
  <c r="S11" i="10"/>
  <c r="I11" i="10" s="1"/>
  <c r="K11" i="10" s="1"/>
  <c r="S64" i="10"/>
  <c r="I64" i="10" s="1"/>
  <c r="K64" i="10" s="1"/>
  <c r="S38" i="10"/>
  <c r="I38" i="10" s="1"/>
  <c r="F38" i="13" s="1"/>
  <c r="S30" i="10"/>
  <c r="I30" i="10" s="1"/>
  <c r="K30" i="10" s="1"/>
  <c r="Y50" i="10"/>
  <c r="S98" i="10"/>
  <c r="I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U18" i="13"/>
  <c r="S274" i="10"/>
  <c r="I274" i="10" s="1"/>
  <c r="S298" i="10"/>
  <c r="I298" i="10" s="1"/>
  <c r="K298" i="10" s="1"/>
  <c r="S337" i="10"/>
  <c r="I337" i="10" s="1"/>
  <c r="F168" i="13" s="1"/>
  <c r="S49" i="10"/>
  <c r="I49" i="10" s="1"/>
  <c r="S97" i="10"/>
  <c r="I97" i="10" s="1"/>
  <c r="S108" i="10"/>
  <c r="I108" i="10" s="1"/>
  <c r="K108" i="10" s="1"/>
  <c r="Z125" i="10"/>
  <c r="S330" i="10"/>
  <c r="I330" i="10" s="1"/>
  <c r="K330" i="10" s="1"/>
  <c r="S364" i="10"/>
  <c r="I364" i="10" s="1"/>
  <c r="S85" i="10"/>
  <c r="I85" i="10" s="1"/>
  <c r="K85" i="10" s="1"/>
  <c r="S121" i="10"/>
  <c r="I121" i="10" s="1"/>
  <c r="S193" i="10"/>
  <c r="I193" i="10" s="1"/>
  <c r="K193" i="10" s="1"/>
  <c r="S346" i="10"/>
  <c r="I346" i="10" s="1"/>
  <c r="K346" i="10" s="1"/>
  <c r="S406" i="10"/>
  <c r="I406" i="10" s="1"/>
  <c r="K406" i="10" s="1"/>
  <c r="P17" i="7"/>
  <c r="R17" i="7" s="1"/>
  <c r="S53" i="10"/>
  <c r="I53" i="10" s="1"/>
  <c r="S99" i="10"/>
  <c r="I99" i="10" s="1"/>
  <c r="K99" i="10" s="1"/>
  <c r="S336" i="10"/>
  <c r="I336" i="10" s="1"/>
  <c r="K336" i="10" s="1"/>
  <c r="G11" i="13"/>
  <c r="V11" i="13" s="1"/>
  <c r="G15" i="13"/>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L114" i="7" s="1"/>
  <c r="S26" i="10"/>
  <c r="I26" i="10" s="1"/>
  <c r="F32" i="13" s="1"/>
  <c r="S63" i="10"/>
  <c r="I63" i="10" s="1"/>
  <c r="K63" i="10" s="1"/>
  <c r="S129" i="10"/>
  <c r="I129" i="10" s="1"/>
  <c r="K129" i="10" s="1"/>
  <c r="S153" i="10"/>
  <c r="I153" i="10" s="1"/>
  <c r="K153" i="10" s="1"/>
  <c r="S215" i="10"/>
  <c r="I215" i="10" s="1"/>
  <c r="K215" i="10" s="1"/>
  <c r="Y245" i="10"/>
  <c r="Z245" i="10" s="1"/>
  <c r="AA244" i="10" s="1"/>
  <c r="S260" i="10"/>
  <c r="I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S333" i="10"/>
  <c r="I333" i="10"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S350" i="10"/>
  <c r="I350" i="10" s="1"/>
  <c r="K350" i="10" s="1"/>
  <c r="I73" i="7"/>
  <c r="M65" i="9" s="1"/>
  <c r="S22" i="10"/>
  <c r="I22" i="10" s="1"/>
  <c r="K22" i="10" s="1"/>
  <c r="S436" i="10"/>
  <c r="I436" i="10" s="1"/>
  <c r="K436" i="10" s="1"/>
  <c r="Z5" i="10"/>
  <c r="AA5" i="10" s="1"/>
  <c r="AB5" i="10" s="1"/>
  <c r="U32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S487" i="10"/>
  <c r="I487" i="10"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H10" i="5"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K38"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W5" i="10"/>
  <c r="X5" i="10" s="1"/>
  <c r="J5" i="10" s="1"/>
  <c r="L27" i="10"/>
  <c r="S123" i="10"/>
  <c r="I123" i="10" s="1"/>
  <c r="K123" i="10" s="1"/>
  <c r="S130" i="10"/>
  <c r="I130" i="10" s="1"/>
  <c r="F84" i="13" s="1"/>
  <c r="K134" i="10"/>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F30" i="13" s="1"/>
  <c r="G30" i="13" s="1"/>
  <c r="I30" i="13" s="1"/>
  <c r="Y30" i="13" s="1"/>
  <c r="K75" i="10"/>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15" i="7"/>
  <c r="B19" i="3" s="1"/>
  <c r="C19" i="3" s="1"/>
  <c r="P120" i="7"/>
  <c r="B24" i="3" s="1"/>
  <c r="I67" i="7"/>
  <c r="G65" i="9" s="1"/>
  <c r="B79" i="7"/>
  <c r="S58" i="9" s="1"/>
  <c r="F83" i="7"/>
  <c r="W62" i="9" s="1"/>
  <c r="I78" i="7"/>
  <c r="R65" i="9" s="1"/>
  <c r="G92" i="7"/>
  <c r="J66" i="7"/>
  <c r="F66" i="9" s="1"/>
  <c r="G82" i="7"/>
  <c r="V63" i="9" s="1"/>
  <c r="I84" i="7"/>
  <c r="X65" i="9" s="1"/>
  <c r="J86" i="7"/>
  <c r="Z66" i="9" s="1"/>
  <c r="I77" i="7"/>
  <c r="Q65" i="9" s="1"/>
  <c r="G101" i="7"/>
  <c r="G93" i="7"/>
  <c r="P109" i="7"/>
  <c r="B13" i="3" s="1"/>
  <c r="D13" i="3" s="1"/>
  <c r="E97" i="7"/>
  <c r="C73" i="7"/>
  <c r="M59" i="9" s="1"/>
  <c r="D75" i="7"/>
  <c r="O60" i="9" s="1"/>
  <c r="J82" i="7"/>
  <c r="V66" i="9" s="1"/>
  <c r="H75" i="7"/>
  <c r="O64" i="9" s="1"/>
  <c r="B80" i="7"/>
  <c r="T58" i="9" s="1"/>
  <c r="E89" i="7"/>
  <c r="G102" i="7"/>
  <c r="B70" i="7"/>
  <c r="J58" i="9" s="1"/>
  <c r="E73" i="7"/>
  <c r="M61" i="9" s="1"/>
  <c r="F75" i="7"/>
  <c r="O62" i="9" s="1"/>
  <c r="E98" i="7"/>
  <c r="G75" i="7"/>
  <c r="O63" i="9" s="1"/>
  <c r="E90" i="7"/>
  <c r="P125" i="7"/>
  <c r="B29" i="3" s="1"/>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W6"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F46" i="13"/>
  <c r="K53"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AA125" i="10"/>
  <c r="AB125" i="10" s="1"/>
  <c r="U129" i="10" s="1"/>
  <c r="AA124" i="10"/>
  <c r="AB124" i="10" s="1"/>
  <c r="U135" i="10" s="1"/>
  <c r="Y44" i="10"/>
  <c r="Z44" i="10" s="1"/>
  <c r="AA44" i="10" s="1"/>
  <c r="AB44" i="10" s="1"/>
  <c r="F108" i="7" s="1"/>
  <c r="S45" i="10"/>
  <c r="I45" i="10" s="1"/>
  <c r="E46" i="13"/>
  <c r="H46" i="13" s="1" a="1"/>
  <c r="H46" i="13" s="1"/>
  <c r="L53" i="10"/>
  <c r="S69" i="10"/>
  <c r="I69" i="10" s="1"/>
  <c r="S77" i="10"/>
  <c r="I77" i="10" s="1"/>
  <c r="F61" i="13"/>
  <c r="G61" i="13" s="1"/>
  <c r="I61" i="13" s="1"/>
  <c r="Y61" i="13" s="1"/>
  <c r="K84" i="10"/>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K97" i="10"/>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F60" i="13"/>
  <c r="G60" i="13" s="1"/>
  <c r="I60" i="13" s="1"/>
  <c r="Y60" i="13" s="1"/>
  <c r="K82" i="10"/>
  <c r="S95" i="10"/>
  <c r="I95" i="10" s="1"/>
  <c r="K95" i="10" s="1"/>
  <c r="S94" i="10"/>
  <c r="I94" i="10" s="1"/>
  <c r="S59" i="10"/>
  <c r="I59" i="10" s="1"/>
  <c r="L64" i="10"/>
  <c r="E64" i="13"/>
  <c r="H64" i="13" s="1" a="1"/>
  <c r="H64" i="13" s="1"/>
  <c r="L90" i="10"/>
  <c r="E47" i="13"/>
  <c r="H47" i="13" s="1" a="1"/>
  <c r="H47" i="13" s="1"/>
  <c r="L55" i="10"/>
  <c r="F65" i="13"/>
  <c r="G65" i="13" s="1"/>
  <c r="I65" i="13" s="1"/>
  <c r="Y65" i="13" s="1"/>
  <c r="L30" i="10"/>
  <c r="U16" i="13"/>
  <c r="E44" i="13"/>
  <c r="H44" i="13" s="1" a="1"/>
  <c r="H44" i="13" s="1"/>
  <c r="L49" i="10"/>
  <c r="S67" i="10"/>
  <c r="I67" i="10" s="1"/>
  <c r="K67" i="10" s="1"/>
  <c r="E55" i="13"/>
  <c r="H55" i="13" s="1" a="1"/>
  <c r="H55" i="13" s="1"/>
  <c r="L71" i="10"/>
  <c r="Y71" i="10"/>
  <c r="Z71" i="10" s="1"/>
  <c r="K80" i="10"/>
  <c r="L40" i="10"/>
  <c r="E40" i="13"/>
  <c r="H40" i="13" s="1" a="1"/>
  <c r="H40" i="13" s="1"/>
  <c r="L41" i="10"/>
  <c r="F69" i="13"/>
  <c r="K152"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F82" i="13"/>
  <c r="G82" i="13" s="1"/>
  <c r="I82" i="13" s="1"/>
  <c r="Y82" i="13" s="1"/>
  <c r="K126" i="10"/>
  <c r="L104" i="10"/>
  <c r="F74" i="13"/>
  <c r="G74" i="13" s="1"/>
  <c r="I74" i="13" s="1"/>
  <c r="Y74" i="13" s="1"/>
  <c r="K110" i="10"/>
  <c r="V119" i="10"/>
  <c r="S140" i="10"/>
  <c r="I140" i="10" s="1"/>
  <c r="L83" i="10"/>
  <c r="Y126" i="10"/>
  <c r="Z126" i="10" s="1"/>
  <c r="Y127" i="10"/>
  <c r="Z127" i="10" s="1"/>
  <c r="K106" i="10"/>
  <c r="E83" i="13"/>
  <c r="H83" i="13" s="1" a="1"/>
  <c r="H83" i="13" s="1"/>
  <c r="L128" i="10"/>
  <c r="Y131" i="10"/>
  <c r="Z131" i="10" s="1"/>
  <c r="AA131" i="10" s="1"/>
  <c r="AB131" i="10" s="1"/>
  <c r="U139" i="10" s="1"/>
  <c r="Z139" i="10" s="1"/>
  <c r="L70" i="10"/>
  <c r="F68" i="13"/>
  <c r="K98" i="10"/>
  <c r="E87" i="13"/>
  <c r="H87" i="13" s="1" a="1"/>
  <c r="H87" i="13" s="1"/>
  <c r="K148" i="10"/>
  <c r="E75" i="13"/>
  <c r="H75" i="13" s="1" a="1"/>
  <c r="H75" i="13" s="1"/>
  <c r="F76" i="13"/>
  <c r="Y130" i="10"/>
  <c r="Z130" i="10" s="1"/>
  <c r="L136" i="10"/>
  <c r="L85" i="10"/>
  <c r="Y105" i="10"/>
  <c r="Z105" i="10" s="1"/>
  <c r="AA105" i="10" s="1"/>
  <c r="AB105" i="10" s="1"/>
  <c r="U107" i="10" s="1"/>
  <c r="L120" i="10"/>
  <c r="F79" i="13"/>
  <c r="G79" i="13" s="1"/>
  <c r="I79" i="13" s="1"/>
  <c r="Y79" i="13" s="1"/>
  <c r="K121" i="10"/>
  <c r="F83" i="13"/>
  <c r="K128" i="10"/>
  <c r="AA122" i="10"/>
  <c r="AB122" i="10" s="1"/>
  <c r="U133" i="10" s="1"/>
  <c r="F85" i="13"/>
  <c r="G85" i="13" s="1"/>
  <c r="I85" i="13" s="1"/>
  <c r="Y85" i="13" s="1"/>
  <c r="K132" i="10"/>
  <c r="Y129" i="10"/>
  <c r="Y128" i="10"/>
  <c r="Z128" i="10" s="1"/>
  <c r="F87" i="13"/>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F128" i="13"/>
  <c r="G128" i="13" s="1"/>
  <c r="I128" i="13" s="1"/>
  <c r="Y128" i="13" s="1"/>
  <c r="K257" i="10"/>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F132" i="13"/>
  <c r="G132" i="13" s="1"/>
  <c r="I132" i="13" s="1"/>
  <c r="Y132" i="13" s="1"/>
  <c r="K270" i="10"/>
  <c r="E113" i="13"/>
  <c r="H113" i="13" s="1" a="1"/>
  <c r="H113" i="13" s="1"/>
  <c r="S246" i="10"/>
  <c r="I246" i="10" s="1"/>
  <c r="S269" i="10"/>
  <c r="I269" i="10" s="1"/>
  <c r="K269" i="10" s="1"/>
  <c r="S268" i="10"/>
  <c r="I268" i="10" s="1"/>
  <c r="L242" i="10"/>
  <c r="F143" i="13"/>
  <c r="G143" i="13" s="1"/>
  <c r="I143" i="13" s="1"/>
  <c r="Y143" i="13" s="1"/>
  <c r="S245" i="10"/>
  <c r="I245" i="10" s="1"/>
  <c r="K245" i="10" s="1"/>
  <c r="S251" i="10"/>
  <c r="I251" i="10" s="1"/>
  <c r="K251" i="10" s="1"/>
  <c r="S262" i="10"/>
  <c r="I262" i="10" s="1"/>
  <c r="K262" i="10" s="1"/>
  <c r="S263" i="10"/>
  <c r="I263" i="10" s="1"/>
  <c r="F137" i="13"/>
  <c r="K274" i="10"/>
  <c r="S214" i="10"/>
  <c r="I214" i="10" s="1"/>
  <c r="K214" i="10" s="1"/>
  <c r="E110" i="13"/>
  <c r="L224" i="10"/>
  <c r="L238" i="10"/>
  <c r="E124" i="13"/>
  <c r="H124" i="13" s="1" a="1"/>
  <c r="H124" i="13" s="1"/>
  <c r="L248" i="10"/>
  <c r="E112" i="13"/>
  <c r="H112" i="13" s="1" a="1"/>
  <c r="H112" i="13" s="1"/>
  <c r="L233" i="10"/>
  <c r="S278" i="10"/>
  <c r="I278" i="10" s="1"/>
  <c r="K278" i="10" s="1"/>
  <c r="E105" i="13"/>
  <c r="AA245" i="10"/>
  <c r="AB245" i="10" s="1"/>
  <c r="U277" i="10" s="1"/>
  <c r="L253" i="10"/>
  <c r="S200" i="10"/>
  <c r="I200" i="10" s="1"/>
  <c r="F130" i="13"/>
  <c r="G130" i="13" s="1"/>
  <c r="I130" i="13" s="1"/>
  <c r="Y130" i="13" s="1"/>
  <c r="K260" i="10"/>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F145" i="13"/>
  <c r="K291"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K313"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F180" i="13"/>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F181" i="13"/>
  <c r="K364" i="10"/>
  <c r="S304" i="10"/>
  <c r="I304" i="10" s="1"/>
  <c r="K304" i="10" s="1"/>
  <c r="F173" i="13"/>
  <c r="G173" i="13" s="1"/>
  <c r="I173" i="13" s="1"/>
  <c r="Y173" i="13" s="1"/>
  <c r="K347" i="10"/>
  <c r="L258" i="10"/>
  <c r="F179" i="13"/>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F166" i="13"/>
  <c r="G166" i="13" s="1"/>
  <c r="I166" i="13" s="1"/>
  <c r="Y166" i="13" s="1"/>
  <c r="K333" i="10"/>
  <c r="L293" i="10"/>
  <c r="E153" i="13"/>
  <c r="H153" i="13" s="1" a="1"/>
  <c r="H153" i="13" s="1"/>
  <c r="L306" i="10"/>
  <c r="AB244" i="10"/>
  <c r="U276" i="10" s="1"/>
  <c r="Y270" i="10"/>
  <c r="Z270" i="10" s="1"/>
  <c r="E145" i="13"/>
  <c r="H145" i="13" s="1" a="1"/>
  <c r="H145" i="13" s="1"/>
  <c r="L290" i="10"/>
  <c r="F189" i="13"/>
  <c r="G189" i="13" s="1"/>
  <c r="I189" i="13" s="1"/>
  <c r="Y189" i="13" s="1"/>
  <c r="K386" i="10"/>
  <c r="K254" i="10"/>
  <c r="F154" i="13"/>
  <c r="K308" i="10"/>
  <c r="S342" i="10"/>
  <c r="I342" i="10" s="1"/>
  <c r="K342" i="10" s="1"/>
  <c r="S341" i="10"/>
  <c r="I341" i="10" s="1"/>
  <c r="S326" i="10"/>
  <c r="I326" i="10" s="1"/>
  <c r="S328" i="10"/>
  <c r="I328" i="10" s="1"/>
  <c r="K328" i="10" s="1"/>
  <c r="K343" i="10"/>
  <c r="L361" i="10"/>
  <c r="Y366" i="10"/>
  <c r="Z366" i="10" s="1"/>
  <c r="AA367" i="10" s="1"/>
  <c r="AB367" i="10" s="1"/>
  <c r="D106" i="7" s="1"/>
  <c r="S397" i="10"/>
  <c r="I397" i="10" s="1"/>
  <c r="K397" i="10" s="1"/>
  <c r="S396" i="10"/>
  <c r="I396" i="10" s="1"/>
  <c r="K396" i="10" s="1"/>
  <c r="S398" i="10"/>
  <c r="I398" i="10" s="1"/>
  <c r="E162" i="13"/>
  <c r="H162" i="13" s="1" a="1"/>
  <c r="H162" i="13" s="1"/>
  <c r="L324" i="10"/>
  <c r="L336" i="10"/>
  <c r="Y367" i="10"/>
  <c r="Z367" i="10" s="1"/>
  <c r="F202" i="13"/>
  <c r="K414" i="10"/>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K337" i="10"/>
  <c r="K392" i="10"/>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F198" i="13"/>
  <c r="K407" i="10"/>
  <c r="E204" i="13"/>
  <c r="H204" i="13" s="1" a="1"/>
  <c r="H204" i="13" s="1"/>
  <c r="E184" i="13"/>
  <c r="H184" i="13" s="1" a="1"/>
  <c r="H184" i="13" s="1"/>
  <c r="L370" i="10"/>
  <c r="E200" i="13"/>
  <c r="H200" i="13" s="1" a="1"/>
  <c r="H200" i="13" s="1"/>
  <c r="F209" i="13"/>
  <c r="G209" i="13" s="1"/>
  <c r="I209" i="13" s="1"/>
  <c r="Y209" i="13" s="1"/>
  <c r="K432" i="10"/>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K418" i="10"/>
  <c r="F218" i="13"/>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F233" i="13"/>
  <c r="K487" i="10"/>
  <c r="E202" i="13"/>
  <c r="H202" i="13" s="1" a="1"/>
  <c r="H202" i="13" s="1"/>
  <c r="S429" i="10"/>
  <c r="I429" i="10" s="1"/>
  <c r="Y457" i="10"/>
  <c r="Y456" i="10"/>
  <c r="Z456" i="10" s="1"/>
  <c r="F230" i="13"/>
  <c r="G230" i="13" s="1"/>
  <c r="I230" i="13" s="1"/>
  <c r="Y230" i="13" s="1"/>
  <c r="K480" i="10"/>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K434" i="10"/>
  <c r="E216" i="13"/>
  <c r="H216" i="13" s="1" a="1"/>
  <c r="H216" i="13" s="1"/>
  <c r="S452" i="10"/>
  <c r="I452" i="10" s="1"/>
  <c r="K452" i="10" s="1"/>
  <c r="E220" i="13"/>
  <c r="H220" i="13" s="1" a="1"/>
  <c r="H220" i="13" s="1"/>
  <c r="L456" i="10"/>
  <c r="F225" i="13"/>
  <c r="G225" i="13" s="1"/>
  <c r="I225" i="13" s="1"/>
  <c r="Y225" i="13" s="1"/>
  <c r="K467"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F220" i="13"/>
  <c r="K456" i="10"/>
  <c r="Q43" i="11"/>
  <c r="P43" i="11"/>
  <c r="R43" i="11" s="1"/>
  <c r="S472" i="10"/>
  <c r="I472" i="10" s="1"/>
  <c r="K472" i="10" s="1"/>
  <c r="E232" i="13"/>
  <c r="H232" i="13" s="1" a="1"/>
  <c r="H232" i="13" s="1"/>
  <c r="L484" i="10"/>
  <c r="S491" i="10"/>
  <c r="I491" i="10" s="1"/>
  <c r="S492" i="10"/>
  <c r="I492" i="10" s="1"/>
  <c r="K492" i="10" s="1"/>
  <c r="R33" i="11"/>
  <c r="V13" i="13"/>
  <c r="G14" i="13"/>
  <c r="H14" i="13" s="1"/>
  <c r="F232" i="13"/>
  <c r="P49" i="11"/>
  <c r="S470" i="10"/>
  <c r="I470" i="10" s="1"/>
  <c r="S478" i="10"/>
  <c r="I478" i="10" s="1"/>
  <c r="K478" i="10" s="1"/>
  <c r="Q49" i="11"/>
  <c r="G12" i="13"/>
  <c r="H12" i="13" s="1"/>
  <c r="B13" i="5"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B17" i="5" s="1"/>
  <c r="AG16" i="13"/>
  <c r="L486" i="10"/>
  <c r="S488" i="10"/>
  <c r="I488" i="10" s="1"/>
  <c r="K488" i="10" s="1"/>
  <c r="I18" i="12"/>
  <c r="Q13" i="13"/>
  <c r="T13" i="13" s="1"/>
  <c r="Y470" i="10"/>
  <c r="Z470" i="10" s="1"/>
  <c r="R46" i="11"/>
  <c r="O24" i="12"/>
  <c r="V12" i="13"/>
  <c r="O17" i="13"/>
  <c r="G17" i="13"/>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310" i="13"/>
  <c r="Y294" i="13"/>
  <c r="Y278" i="13"/>
  <c r="Y437" i="13"/>
  <c r="Y421" i="13"/>
  <c r="Y405" i="13"/>
  <c r="Y389" i="13"/>
  <c r="Y373" i="13"/>
  <c r="Y444" i="13"/>
  <c r="Y428" i="13"/>
  <c r="Y412" i="13"/>
  <c r="Y396" i="13"/>
  <c r="Y380" i="13"/>
  <c r="Y364" i="13"/>
  <c r="Y348" i="13"/>
  <c r="Y332" i="13"/>
  <c r="Y316" i="13"/>
  <c r="Y300"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14" i="13"/>
  <c r="Y297" i="13"/>
  <c r="Y295" i="13"/>
  <c r="Y281" i="13"/>
  <c r="Y279" i="13"/>
  <c r="Y339" i="13"/>
  <c r="Y261" i="13"/>
  <c r="Y367" i="13"/>
  <c r="Y355" i="13"/>
  <c r="Y250" i="13"/>
  <c r="Y344" i="13"/>
  <c r="Y265" i="13"/>
  <c r="Y263" i="13"/>
  <c r="Y252" i="13"/>
  <c r="Y360" i="13"/>
  <c r="Y346" i="13"/>
  <c r="Y323" i="13"/>
  <c r="Y269" i="13"/>
  <c r="Y369" i="13"/>
  <c r="Y341" i="13"/>
  <c r="Y328" i="13"/>
  <c r="Y301" i="13"/>
  <c r="Y296" i="13"/>
  <c r="Y280" i="13"/>
  <c r="Y357" i="13"/>
  <c r="Y330" i="13"/>
  <c r="Y298" i="13"/>
  <c r="Y282" i="13"/>
  <c r="Y303" i="13"/>
  <c r="Y291" i="13"/>
  <c r="Y275" i="13"/>
  <c r="Y376" i="13"/>
  <c r="Y343" i="13"/>
  <c r="Y305" i="13"/>
  <c r="Y264" i="13"/>
  <c r="Y262" i="13"/>
  <c r="Y249" i="13"/>
  <c r="Y351" i="13"/>
  <c r="Y325" i="13"/>
  <c r="Y284" i="13"/>
  <c r="Y266" i="13"/>
  <c r="Y335" i="13"/>
  <c r="Y245" i="13"/>
  <c r="Y211" i="13"/>
  <c r="Y353" i="13"/>
  <c r="Y337" i="13"/>
  <c r="Y293" i="13"/>
  <c r="Y277" i="13"/>
  <c r="Y268" i="13"/>
  <c r="Y259" i="13"/>
  <c r="Y253" i="13"/>
  <c r="Y327" i="13"/>
  <c r="Y307" i="13"/>
  <c r="Y317" i="13"/>
  <c r="Y312" i="13"/>
  <c r="Y119" i="13"/>
  <c r="AG19" i="13"/>
  <c r="AG11" i="13"/>
  <c r="AH18" i="13"/>
  <c r="AH10" i="13"/>
  <c r="AH17" i="13"/>
  <c r="AH9" i="13"/>
  <c r="AG17" i="13"/>
  <c r="AH19" i="13"/>
  <c r="AG10" i="13"/>
  <c r="AG14" i="13"/>
  <c r="AH11" i="13"/>
  <c r="AH7" i="13"/>
  <c r="AH20" i="13"/>
  <c r="AG20" i="13"/>
  <c r="AG15" i="13"/>
  <c r="AH12" i="13"/>
  <c r="AG8" i="13"/>
  <c r="AG12" i="13"/>
  <c r="H15" i="13"/>
  <c r="O15" i="13"/>
  <c r="Y63" i="13"/>
  <c r="I19" i="12"/>
  <c r="V19" i="13"/>
  <c r="R55" i="11"/>
  <c r="G36" i="13"/>
  <c r="I36" i="13" s="1"/>
  <c r="Y36" i="13" s="1"/>
  <c r="Q11" i="13"/>
  <c r="Q17" i="13"/>
  <c r="R17" i="13" s="1"/>
  <c r="O18" i="13"/>
  <c r="G59" i="13"/>
  <c r="I59" i="13" s="1"/>
  <c r="Y59" i="13" s="1"/>
  <c r="G38" i="13"/>
  <c r="I38" i="13" s="1"/>
  <c r="Y38" i="13" s="1"/>
  <c r="V8" i="13"/>
  <c r="V16" i="13"/>
  <c r="G86" i="13"/>
  <c r="I86" i="13" s="1"/>
  <c r="Y86" i="13" s="1"/>
  <c r="G118" i="13"/>
  <c r="I118" i="13" s="1"/>
  <c r="Y118" i="13" s="1"/>
  <c r="G127" i="13"/>
  <c r="I127" i="13" s="1"/>
  <c r="Y127" i="13" s="1"/>
  <c r="G210" i="13"/>
  <c r="I210" i="13" s="1"/>
  <c r="Y210" i="13" s="1"/>
  <c r="G185" i="13"/>
  <c r="I185" i="13" s="1"/>
  <c r="Y185" i="13" s="1"/>
  <c r="G168" i="13"/>
  <c r="I168" i="13" s="1"/>
  <c r="Y168" i="13" s="1"/>
  <c r="Y248" i="13"/>
  <c r="Y271" i="13"/>
  <c r="Y255" i="13"/>
  <c r="Y311" i="13"/>
  <c r="Y246" i="13"/>
  <c r="Y319" i="13"/>
  <c r="Y285" i="13"/>
  <c r="Y309" i="13"/>
  <c r="Y289" i="13"/>
  <c r="Y313" i="13"/>
  <c r="Y247" i="13"/>
  <c r="Y273" i="13"/>
  <c r="Y257" i="13"/>
  <c r="Y254" i="13"/>
  <c r="Y321" i="13"/>
  <c r="Y287" i="13"/>
  <c r="Y315" i="13"/>
  <c r="Y379" i="13"/>
  <c r="Y386" i="13"/>
  <c r="Y402" i="13"/>
  <c r="Y418" i="13"/>
  <c r="Y434" i="13"/>
  <c r="Y318" i="13"/>
  <c r="Y372" i="13"/>
  <c r="Y391" i="13"/>
  <c r="Y407" i="13"/>
  <c r="Y423" i="13"/>
  <c r="Y308" i="13"/>
  <c r="Y366" i="13"/>
  <c r="Y260" i="13"/>
  <c r="Y333" i="13"/>
  <c r="Y338" i="13"/>
  <c r="Y354" i="13"/>
  <c r="Y395" i="13"/>
  <c r="Y411" i="13"/>
  <c r="Y427" i="13"/>
  <c r="Y336" i="13"/>
  <c r="Y349" i="13"/>
  <c r="Y439" i="13"/>
  <c r="Y256" i="13"/>
  <c r="Y258" i="13"/>
  <c r="Y267" i="13"/>
  <c r="Y352" i="13"/>
  <c r="Y363" i="13"/>
  <c r="Y384" i="13"/>
  <c r="Y306" i="13"/>
  <c r="Y377" i="13"/>
  <c r="Y400" i="13"/>
  <c r="Y416" i="13"/>
  <c r="Y432" i="13"/>
  <c r="Y443" i="13"/>
  <c r="Y276" i="13"/>
  <c r="Y292" i="13"/>
  <c r="Y304" i="13"/>
  <c r="Y334" i="13"/>
  <c r="Y381" i="13"/>
  <c r="Y283" i="13"/>
  <c r="Y299" i="13"/>
  <c r="Y331" i="13"/>
  <c r="Y350" i="13"/>
  <c r="Y388" i="13"/>
  <c r="Y404" i="13"/>
  <c r="Y420" i="13"/>
  <c r="Y274" i="13"/>
  <c r="Y290" i="13"/>
  <c r="Y302" i="13"/>
  <c r="Y370" i="13"/>
  <c r="Y436" i="13"/>
  <c r="Y270" i="13"/>
  <c r="Y272" i="13"/>
  <c r="Y288" i="13"/>
  <c r="Y324" i="13"/>
  <c r="Y347" i="13"/>
  <c r="Y361" i="13"/>
  <c r="Y393" i="13"/>
  <c r="Y397" i="13"/>
  <c r="Y409" i="13"/>
  <c r="Y413" i="13"/>
  <c r="Y425" i="13"/>
  <c r="Y429" i="13"/>
  <c r="Y286" i="13"/>
  <c r="Y382" i="13"/>
  <c r="Y375" i="13"/>
  <c r="Y345" i="13"/>
  <c r="Y441" i="13"/>
  <c r="Y251" i="13"/>
  <c r="Y322" i="13"/>
  <c r="Y356" i="13"/>
  <c r="Y359" i="13"/>
  <c r="Y365" i="13"/>
  <c r="Y368" i="13"/>
  <c r="Y390" i="13"/>
  <c r="Y398" i="13"/>
  <c r="Y406" i="13"/>
  <c r="Y414" i="13"/>
  <c r="Y422" i="13"/>
  <c r="Y430" i="13"/>
  <c r="Y320" i="13"/>
  <c r="Y340" i="13"/>
  <c r="Y438" i="13"/>
  <c r="K459" i="10" l="1"/>
  <c r="K508" i="10"/>
  <c r="F243" i="13"/>
  <c r="G243" i="13" s="1"/>
  <c r="I243" i="13" s="1"/>
  <c r="Y243" i="13" s="1"/>
  <c r="K57" i="10"/>
  <c r="F241" i="13"/>
  <c r="G241" i="13" s="1"/>
  <c r="I241" i="13" s="1"/>
  <c r="Y241" i="13" s="1"/>
  <c r="AA24" i="10"/>
  <c r="AB24" i="10" s="1"/>
  <c r="U26" i="10" s="1"/>
  <c r="F203" i="13"/>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X6" i="10"/>
  <c r="J6" i="10"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S99" i="7"/>
  <c r="Q18" i="7"/>
  <c r="K62" i="10"/>
  <c r="F95" i="13"/>
  <c r="G95" i="13" s="1"/>
  <c r="I95" i="13" s="1"/>
  <c r="Y95" i="13" s="1"/>
  <c r="F193" i="13"/>
  <c r="G193" i="13" s="1"/>
  <c r="I193" i="13" s="1"/>
  <c r="Y193" i="13" s="1"/>
  <c r="K237" i="10"/>
  <c r="K285" i="10"/>
  <c r="F238" i="13"/>
  <c r="G238" i="13" s="1"/>
  <c r="I238" i="13" s="1"/>
  <c r="Y238" i="13" s="1"/>
  <c r="G83" i="13"/>
  <c r="I83" i="13" s="1"/>
  <c r="Y83" i="13" s="1"/>
  <c r="AA495" i="10"/>
  <c r="AB495" i="10" s="1"/>
  <c r="U498" i="10"/>
  <c r="K65" i="10"/>
  <c r="U497"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E24" i="3"/>
  <c r="G52" i="13"/>
  <c r="I52" i="13" s="1"/>
  <c r="Y52" i="13" s="1"/>
  <c r="F141" i="13"/>
  <c r="G141" i="13" s="1"/>
  <c r="I141" i="13" s="1"/>
  <c r="Y141" i="13" s="1"/>
  <c r="G76" i="13"/>
  <c r="I76" i="13" s="1"/>
  <c r="Y76" i="13" s="1"/>
  <c r="G137" i="13"/>
  <c r="I137" i="13" s="1"/>
  <c r="Y137" i="13" s="1"/>
  <c r="Q12" i="7"/>
  <c r="K16" i="10"/>
  <c r="G69" i="13"/>
  <c r="I69" i="13" s="1"/>
  <c r="Y69" i="13" s="1"/>
  <c r="G182" i="13"/>
  <c r="I182" i="13" s="1"/>
  <c r="Y182" i="13" s="1"/>
  <c r="Q14" i="7"/>
  <c r="Q20" i="7"/>
  <c r="G154" i="13"/>
  <c r="I154" i="13" s="1"/>
  <c r="Y154" i="13" s="1"/>
  <c r="Q16" i="7"/>
  <c r="K146" i="10"/>
  <c r="G218" i="13"/>
  <c r="I218" i="13" s="1"/>
  <c r="Y218" i="13" s="1"/>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79" i="13"/>
  <c r="I179" i="13" s="1"/>
  <c r="Y179" i="13" s="1"/>
  <c r="G180" i="13"/>
  <c r="I180" i="13" s="1"/>
  <c r="Y180" i="13" s="1"/>
  <c r="G202" i="13"/>
  <c r="I202" i="13" s="1"/>
  <c r="Y202" i="13" s="1"/>
  <c r="G53" i="13"/>
  <c r="I53" i="13" s="1"/>
  <c r="Y53" i="13" s="1"/>
  <c r="R13" i="7"/>
  <c r="R15" i="7"/>
  <c r="G220" i="13"/>
  <c r="I220" i="13" s="1"/>
  <c r="Y220" i="13" s="1"/>
  <c r="G203" i="13"/>
  <c r="I203" i="13" s="1"/>
  <c r="Y203"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O11" i="13"/>
  <c r="Q13" i="7"/>
  <c r="G75" i="13"/>
  <c r="I75" i="13" s="1"/>
  <c r="Y75" i="13" s="1"/>
  <c r="AA72" i="10"/>
  <c r="AB72" i="10" s="1"/>
  <c r="U75" i="10" s="1"/>
  <c r="S96" i="7"/>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A11" i="9"/>
  <c r="R34" i="11"/>
  <c r="R38" i="11"/>
  <c r="R48" i="11"/>
  <c r="R49" i="11"/>
  <c r="R44" i="11"/>
  <c r="AC16" i="13"/>
  <c r="R14" i="13"/>
  <c r="R8" i="13"/>
  <c r="S102" i="7"/>
  <c r="AC17" i="13"/>
  <c r="D19" i="3"/>
  <c r="AC14" i="13"/>
  <c r="AC15" i="13"/>
  <c r="D16" i="3"/>
  <c r="AC12" i="13"/>
  <c r="AC10" i="13"/>
  <c r="R7" i="13"/>
  <c r="AC8" i="13"/>
  <c r="C13" i="3"/>
  <c r="AC18" i="13"/>
  <c r="AC11" i="13"/>
  <c r="AC9" i="13"/>
  <c r="C24" i="3"/>
  <c r="D24" i="3"/>
  <c r="AC13" i="13"/>
  <c r="C17" i="3"/>
  <c r="D17" i="3"/>
  <c r="AC7" i="13"/>
  <c r="C20" i="3"/>
  <c r="D29" i="3"/>
  <c r="C29"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9" i="10"/>
  <c r="AB139" i="10" s="1"/>
  <c r="U140"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Z277" i="10" s="1"/>
  <c r="F131" i="13"/>
  <c r="G131" i="13" s="1"/>
  <c r="I131" i="13" s="1"/>
  <c r="Y131" i="13" s="1"/>
  <c r="K263" i="10"/>
  <c r="AA128" i="10"/>
  <c r="AB128" i="10" s="1"/>
  <c r="U136" i="10" s="1"/>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S101" i="7" s="1"/>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J4" i="10"/>
  <c r="G232" i="13"/>
  <c r="I232" i="13" s="1"/>
  <c r="Y232" i="13" s="1"/>
  <c r="F226" i="13"/>
  <c r="G226" i="13" s="1"/>
  <c r="I226" i="13" s="1"/>
  <c r="Y226" i="13" s="1"/>
  <c r="K468" i="10"/>
  <c r="F104" i="13"/>
  <c r="G104" i="13" s="1"/>
  <c r="I104" i="13" s="1"/>
  <c r="Y104" i="13" s="1"/>
  <c r="K192" i="10"/>
  <c r="G148" i="13"/>
  <c r="I148" i="13" s="1"/>
  <c r="Y148" i="13" s="1"/>
  <c r="Y32" i="10"/>
  <c r="Y31" i="10"/>
  <c r="Z31" i="10"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Y26" i="10"/>
  <c r="Z26" i="10" s="1"/>
  <c r="Y25" i="10"/>
  <c r="Z25" i="10" s="1"/>
  <c r="AA9" i="10"/>
  <c r="AB9" i="10" s="1"/>
  <c r="I111" i="7" s="1"/>
  <c r="P111" i="7" s="1"/>
  <c r="B15" i="3"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G87" i="13"/>
  <c r="I87" i="13" s="1"/>
  <c r="Y87" i="13" s="1"/>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S89" i="7" s="1"/>
  <c r="R15" i="13"/>
  <c r="G216" i="13"/>
  <c r="I216" i="13" s="1"/>
  <c r="Y216" i="13" s="1"/>
  <c r="F123" i="13"/>
  <c r="G123" i="13" s="1"/>
  <c r="I123" i="13" s="1"/>
  <c r="Y123" i="13" s="1"/>
  <c r="K246" i="10"/>
  <c r="F98" i="13"/>
  <c r="G98" i="13" s="1"/>
  <c r="I98" i="13" s="1"/>
  <c r="Y98" i="13" s="1"/>
  <c r="K168" i="10"/>
  <c r="Y75" i="10"/>
  <c r="Z75" i="10" s="1"/>
  <c r="Y76" i="10"/>
  <c r="M6" i="10"/>
  <c r="N6" i="10" s="1"/>
  <c r="AC20" i="13"/>
  <c r="AC19" i="13"/>
  <c r="Z32" i="10" l="1"/>
  <c r="Y498" i="10"/>
  <c r="Z498" i="10" s="1"/>
  <c r="Y497" i="10"/>
  <c r="Z497" i="10" s="1"/>
  <c r="AA497" i="10" s="1"/>
  <c r="AB497" i="10" s="1"/>
  <c r="Z17" i="10"/>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B107" i="7" s="1"/>
  <c r="Y167" i="10"/>
  <c r="Y166" i="10"/>
  <c r="Y238" i="10"/>
  <c r="Z238" i="10" s="1"/>
  <c r="AA238" i="10" s="1"/>
  <c r="AB238" i="10" s="1"/>
  <c r="U257" i="10" s="1"/>
  <c r="Y45" i="10"/>
  <c r="Z45" i="10" s="1"/>
  <c r="Y239" i="10"/>
  <c r="Z239" i="10" s="1"/>
  <c r="AA239" i="10" s="1"/>
  <c r="AB239" i="10" s="1"/>
  <c r="U285" i="10" s="1"/>
  <c r="Y284" i="10" s="1"/>
  <c r="D15" i="3"/>
  <c r="C15" i="3"/>
  <c r="AA26" i="10"/>
  <c r="AB26" i="10" s="1"/>
  <c r="U28" i="10" s="1"/>
  <c r="AA25" i="10"/>
  <c r="AB25" i="10" s="1"/>
  <c r="U27" i="10" s="1"/>
  <c r="AA482" i="10"/>
  <c r="AB482" i="10" s="1"/>
  <c r="U485" i="10" s="1"/>
  <c r="Y350" i="10"/>
  <c r="Z350" i="10" s="1"/>
  <c r="Y349" i="10"/>
  <c r="Z349" i="10" s="1"/>
  <c r="AA420" i="10"/>
  <c r="AB420" i="10" s="1"/>
  <c r="G122" i="7" s="1"/>
  <c r="H21" i="5" s="1"/>
  <c r="AA277" i="10"/>
  <c r="AB277" i="10" s="1"/>
  <c r="U365" i="10" s="1"/>
  <c r="AA276" i="10"/>
  <c r="AB276" i="10" s="1"/>
  <c r="U364" i="10"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AA32" i="10"/>
  <c r="AB32" i="10" s="1"/>
  <c r="U34" i="10" s="1"/>
  <c r="AA31" i="10"/>
  <c r="AB31" i="10" s="1"/>
  <c r="U33" i="10" s="1"/>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H26" i="5" s="1"/>
  <c r="AA457" i="10"/>
  <c r="AB457" i="10" s="1"/>
  <c r="F127" i="7" s="1"/>
  <c r="Z472" i="10"/>
  <c r="AA472" i="10" s="1"/>
  <c r="AB472" i="10" s="1"/>
  <c r="U477" i="10" s="1"/>
  <c r="Y107" i="10"/>
  <c r="Z107" i="10" s="1"/>
  <c r="Y106" i="10"/>
  <c r="Z106" i="10" s="1"/>
  <c r="AA17" i="10"/>
  <c r="AB17" i="10" s="1"/>
  <c r="U19" i="10" s="1"/>
  <c r="AA18" i="10"/>
  <c r="AB18" i="10" s="1"/>
  <c r="U20" i="10" s="1"/>
  <c r="AA326" i="10"/>
  <c r="AB326" i="10" s="1"/>
  <c r="G114" i="7" s="1"/>
  <c r="H13" i="5" s="1"/>
  <c r="AA327" i="10"/>
  <c r="AB327" i="10" s="1"/>
  <c r="B114" i="7" s="1"/>
  <c r="M4" i="10"/>
  <c r="AA487" i="10"/>
  <c r="AB487" i="10" s="1"/>
  <c r="F114" i="7" s="1"/>
  <c r="AA488" i="10"/>
  <c r="AB488" i="10" s="1"/>
  <c r="I114" i="7" s="1"/>
  <c r="P25" i="13"/>
  <c r="H8" i="10"/>
  <c r="U25" i="13"/>
  <c r="H13" i="10"/>
  <c r="Y308" i="10"/>
  <c r="Z308" i="10" s="1"/>
  <c r="Y309" i="10"/>
  <c r="Z309" i="10" s="1"/>
  <c r="Y137" i="10"/>
  <c r="Y136" i="10"/>
  <c r="Z136"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Q82" i="13"/>
  <c r="Q66" i="13"/>
  <c r="Q50" i="13"/>
  <c r="Q73" i="13"/>
  <c r="Q57" i="13"/>
  <c r="Q71" i="13"/>
  <c r="Q78" i="13"/>
  <c r="Q62" i="13"/>
  <c r="Q69" i="13"/>
  <c r="Q53" i="13"/>
  <c r="Q76" i="13"/>
  <c r="Q60" i="13"/>
  <c r="Q44" i="13"/>
  <c r="Q67" i="13"/>
  <c r="Q51" i="13"/>
  <c r="Q74" i="13"/>
  <c r="Q58" i="13"/>
  <c r="Q42" i="13"/>
  <c r="Q81" i="13"/>
  <c r="Q65" i="13"/>
  <c r="Q49" i="13"/>
  <c r="Q72" i="13"/>
  <c r="Q56" i="13"/>
  <c r="Q79" i="13"/>
  <c r="Q70" i="13"/>
  <c r="Q77" i="13"/>
  <c r="Q61" i="13"/>
  <c r="Q75" i="13"/>
  <c r="Q59" i="13"/>
  <c r="Q43" i="13"/>
  <c r="Q52" i="13"/>
  <c r="Q46" i="13"/>
  <c r="Q45" i="13"/>
  <c r="Q32" i="13"/>
  <c r="Q55" i="13"/>
  <c r="Q54" i="13"/>
  <c r="Q37" i="13"/>
  <c r="Q28" i="13"/>
  <c r="Q63" i="13"/>
  <c r="Q39" i="13"/>
  <c r="Q35" i="13"/>
  <c r="Q33" i="13"/>
  <c r="Q64" i="13"/>
  <c r="Q31" i="13"/>
  <c r="Q41" i="13"/>
  <c r="Q48" i="13"/>
  <c r="Q47" i="13"/>
  <c r="Q38" i="13"/>
  <c r="Q36" i="13"/>
  <c r="Q80" i="13"/>
  <c r="Q68" i="13"/>
  <c r="Q40" i="13"/>
  <c r="Q34" i="13"/>
  <c r="Q27" i="13"/>
  <c r="Q26" i="13"/>
  <c r="Q30" i="13"/>
  <c r="Q29" i="13"/>
  <c r="H128" i="10"/>
  <c r="Z52" i="10"/>
  <c r="AA74" i="10"/>
  <c r="AB74" i="10" s="1"/>
  <c r="U76" i="10" s="1"/>
  <c r="Z76" i="10" s="1"/>
  <c r="AA73" i="10"/>
  <c r="AB73" i="10" s="1"/>
  <c r="U382" i="10" s="1"/>
  <c r="AA46" i="10"/>
  <c r="AB46" i="10" s="1"/>
  <c r="D108" i="7" s="1"/>
  <c r="AA45" i="10"/>
  <c r="AB45" i="10" s="1"/>
  <c r="U47" i="10" s="1"/>
  <c r="AA336" i="10" l="1"/>
  <c r="AB336" i="10" s="1"/>
  <c r="G107" i="7" s="1"/>
  <c r="H6" i="5" s="1"/>
  <c r="AA498" i="10"/>
  <c r="AB498" i="10" s="1"/>
  <c r="U500" i="10"/>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P114" i="7"/>
  <c r="B18" i="3" s="1"/>
  <c r="AA309" i="10"/>
  <c r="AB309" i="10" s="1"/>
  <c r="U311" i="10" s="1"/>
  <c r="AA308" i="10"/>
  <c r="AB308" i="10" s="1"/>
  <c r="U310" i="10" s="1"/>
  <c r="Y117" i="10"/>
  <c r="Y116" i="10"/>
  <c r="Z116" i="10" s="1"/>
  <c r="AA349" i="10"/>
  <c r="AB349" i="10" s="1"/>
  <c r="U351" i="10" s="1"/>
  <c r="AA350" i="10"/>
  <c r="AB350" i="10" s="1"/>
  <c r="I126" i="7" s="1"/>
  <c r="Y19" i="10"/>
  <c r="Z19" i="10" s="1"/>
  <c r="Y20" i="10"/>
  <c r="Z20" i="10"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Y28" i="10"/>
  <c r="Z28" i="10" s="1"/>
  <c r="Y27" i="10"/>
  <c r="Z27"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AA136" i="10" l="1"/>
  <c r="AB136" i="10" s="1"/>
  <c r="U142"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U46" i="13"/>
  <c r="U49" i="13"/>
  <c r="U40" i="13"/>
  <c r="U47" i="13"/>
  <c r="U45" i="13"/>
  <c r="U52" i="13"/>
  <c r="U44" i="13"/>
  <c r="U43" i="13"/>
  <c r="U37" i="13"/>
  <c r="U28" i="13"/>
  <c r="U39" i="13"/>
  <c r="U42" i="13"/>
  <c r="U33" i="13"/>
  <c r="U31" i="13"/>
  <c r="U41" i="13"/>
  <c r="U29" i="13"/>
  <c r="U50" i="13"/>
  <c r="U48" i="13"/>
  <c r="U38" i="13"/>
  <c r="U36" i="13"/>
  <c r="U27" i="13"/>
  <c r="U51" i="13"/>
  <c r="U34" i="13"/>
  <c r="U32" i="13"/>
  <c r="U30" i="13"/>
  <c r="U35" i="13"/>
  <c r="U26" i="13"/>
  <c r="H68" i="10"/>
  <c r="Y311" i="10"/>
  <c r="Z311" i="10" s="1"/>
  <c r="Y310" i="10"/>
  <c r="Z310" i="10" s="1"/>
  <c r="Y143" i="10"/>
  <c r="Y142" i="10"/>
  <c r="Z142"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D18" i="3"/>
  <c r="C18" i="3"/>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500" i="10" l="1"/>
  <c r="AB500" i="10" s="1"/>
  <c r="I129" i="7" s="1"/>
  <c r="AA499" i="10"/>
  <c r="AB499" i="10" s="1"/>
  <c r="F129" i="7" s="1"/>
  <c r="AA382" i="10"/>
  <c r="AB382" i="10" s="1"/>
  <c r="U384" i="10" s="1"/>
  <c r="Y384" i="10" s="1"/>
  <c r="Z384" i="10" s="1"/>
  <c r="AA117" i="10"/>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P26" i="13"/>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AB117" i="10"/>
  <c r="U221"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U502" i="10" l="1"/>
  <c r="P129" i="7"/>
  <c r="B33" i="3" s="1"/>
  <c r="D33" i="3" s="1"/>
  <c r="Y383" i="10"/>
  <c r="Z383" i="10" s="1"/>
  <c r="Z476" i="10"/>
  <c r="AA476" i="10" s="1"/>
  <c r="AB476" i="10" s="1"/>
  <c r="N107" i="7" s="1"/>
  <c r="Y316" i="10"/>
  <c r="Z316" i="10" s="1"/>
  <c r="Y317" i="10"/>
  <c r="Z317" i="10" s="1"/>
  <c r="AA235" i="10"/>
  <c r="AB235" i="10" s="1"/>
  <c r="U241" i="10" s="1"/>
  <c r="AA236" i="10"/>
  <c r="AB236" i="10" s="1"/>
  <c r="U417" i="10" s="1"/>
  <c r="AA469" i="10"/>
  <c r="AB469" i="10" s="1"/>
  <c r="I106" i="7" s="1"/>
  <c r="AA468" i="10"/>
  <c r="AB468" i="10" s="1"/>
  <c r="G106" i="7"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AA383" i="10"/>
  <c r="AB383" i="10" s="1"/>
  <c r="U385" i="10" s="1"/>
  <c r="AA384" i="10"/>
  <c r="AB384" i="10" s="1"/>
  <c r="U386" i="10" s="1"/>
  <c r="Y119" i="10"/>
  <c r="Z119" i="10" s="1"/>
  <c r="Y118" i="10"/>
  <c r="Z118" i="10" s="1"/>
  <c r="Y463" i="10"/>
  <c r="Z463" i="10" s="1"/>
  <c r="Y462" i="10"/>
  <c r="Z462" i="10" s="1"/>
  <c r="Z502" i="10" l="1"/>
  <c r="C33" i="3"/>
  <c r="Y147" i="10"/>
  <c r="Y146" i="10"/>
  <c r="Z146" i="10" s="1"/>
  <c r="H5" i="5"/>
  <c r="P106" i="7"/>
  <c r="B10" i="3" s="1"/>
  <c r="Y59" i="10"/>
  <c r="Z59" i="10" s="1"/>
  <c r="Y60" i="10"/>
  <c r="Z60" i="10" s="1"/>
  <c r="AA477" i="10"/>
  <c r="AB477" i="10" s="1"/>
  <c r="M107" i="7" s="1"/>
  <c r="AA475" i="10"/>
  <c r="AB475" i="10" s="1"/>
  <c r="I107" i="7" s="1"/>
  <c r="AA316" i="10"/>
  <c r="AB316" i="10" s="1"/>
  <c r="U318" i="10" s="1"/>
  <c r="AA317" i="10"/>
  <c r="AB317" i="10" s="1"/>
  <c r="U319" i="10" s="1"/>
  <c r="Y385" i="10"/>
  <c r="Z385" i="10" s="1"/>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H29" i="5" s="1"/>
  <c r="N7" i="10"/>
  <c r="AA55" i="10"/>
  <c r="AB55" i="10" s="1"/>
  <c r="U376" i="10" s="1"/>
  <c r="AA56" i="10"/>
  <c r="AB56" i="10" s="1"/>
  <c r="U246" i="10" s="1"/>
  <c r="Y35" i="10"/>
  <c r="Z35" i="10" s="1"/>
  <c r="Y36" i="10"/>
  <c r="Z36" i="10" s="1"/>
  <c r="AA119" i="10"/>
  <c r="AB119" i="10" s="1"/>
  <c r="C110" i="7" s="1"/>
  <c r="AA118" i="10"/>
  <c r="AB118" i="10" s="1"/>
  <c r="L110" i="7" s="1"/>
  <c r="AA502" i="10" l="1"/>
  <c r="AB502" i="10" s="1"/>
  <c r="AA501" i="10"/>
  <c r="AB501" i="10" s="1"/>
  <c r="P107" i="7"/>
  <c r="B11" i="3"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D10" i="3"/>
  <c r="C10" i="3"/>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D11" i="3"/>
  <c r="C11" i="3"/>
  <c r="AA417" i="10"/>
  <c r="AB417" i="10" s="1"/>
  <c r="U419" i="10" s="1"/>
  <c r="AA416" i="10"/>
  <c r="AB416" i="10" s="1"/>
  <c r="N110" i="7" s="1"/>
  <c r="U504" i="10" l="1"/>
  <c r="U503" i="10"/>
  <c r="AA147" i="10"/>
  <c r="AA146" i="10"/>
  <c r="AB146" i="10" s="1"/>
  <c r="U153" i="10" s="1"/>
  <c r="Y152" i="10" s="1"/>
  <c r="Z152" i="10" s="1"/>
  <c r="AA223" i="10"/>
  <c r="AB223" i="10" s="1"/>
  <c r="U240" i="10" s="1"/>
  <c r="AA222" i="10"/>
  <c r="AB222" i="10" s="1"/>
  <c r="H110" i="7" s="1"/>
  <c r="P44" i="10"/>
  <c r="V43" i="10"/>
  <c r="P43" i="10"/>
  <c r="Q43" i="10" s="1"/>
  <c r="Y64" i="10"/>
  <c r="Y63" i="10"/>
  <c r="Z63" i="10" s="1"/>
  <c r="P27" i="13"/>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B147" i="10"/>
  <c r="U162" i="10" s="1"/>
  <c r="AA319" i="10"/>
  <c r="AB319" i="10" s="1"/>
  <c r="U323" i="10" s="1"/>
  <c r="AA318" i="10"/>
  <c r="AB318" i="10" s="1"/>
  <c r="U322" i="10" s="1"/>
  <c r="Y37" i="10"/>
  <c r="Z37" i="10" s="1"/>
  <c r="Y38" i="10"/>
  <c r="Z38" i="10" s="1"/>
  <c r="AA489" i="10"/>
  <c r="AB489" i="10" s="1"/>
  <c r="F130" i="7" s="1"/>
  <c r="AA490" i="10"/>
  <c r="AB490" i="10" s="1"/>
  <c r="I130" i="7" s="1"/>
  <c r="Y504" i="10" l="1"/>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504" i="10" l="1"/>
  <c r="AB504" i="10" s="1"/>
  <c r="U506" i="10"/>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X17" i="10" s="1"/>
  <c r="Y292" i="10"/>
  <c r="Z292" i="10" s="1"/>
  <c r="Y293" i="10"/>
  <c r="Z293" i="10" s="1"/>
  <c r="AA454" i="10"/>
  <c r="AB454" i="10" s="1"/>
  <c r="G126" i="7" s="1"/>
  <c r="H25" i="5"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505" i="10" l="1"/>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D30" i="3" l="1"/>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P28" i="13"/>
  <c r="H20" i="10"/>
  <c r="N17" i="10"/>
  <c r="AA274" i="10"/>
  <c r="AB274" i="10" s="1"/>
  <c r="B119" i="7" s="1"/>
  <c r="AA275" i="10"/>
  <c r="AB275" i="10" s="1"/>
  <c r="U278" i="10" s="1"/>
  <c r="Y295" i="10"/>
  <c r="Z295" i="10" s="1"/>
  <c r="Y294" i="10"/>
  <c r="Z294" i="10" s="1"/>
  <c r="U508" i="10" l="1"/>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Y507" i="10" l="1"/>
  <c r="Z507" i="10" s="1"/>
  <c r="AA507" i="10" s="1"/>
  <c r="AB507" i="10" s="1"/>
  <c r="Y508" i="10"/>
  <c r="Z508" i="10" s="1"/>
  <c r="AA508" i="10" s="1"/>
  <c r="AB508" i="10" s="1"/>
  <c r="AA330" i="10"/>
  <c r="AB330" i="10" s="1"/>
  <c r="U332" i="10" s="1"/>
  <c r="AA329" i="10"/>
  <c r="AB329" i="10" s="1"/>
  <c r="U331" i="10" s="1"/>
  <c r="V19" i="10"/>
  <c r="AA70" i="10"/>
  <c r="AB70" i="10" s="1"/>
  <c r="U80" i="10" s="1"/>
  <c r="AA69" i="10"/>
  <c r="AB69" i="10" s="1"/>
  <c r="B117" i="7"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X19" i="10" s="1"/>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U510" i="10" l="1"/>
  <c r="U509" i="10"/>
  <c r="AA409" i="10"/>
  <c r="AB409" i="10" s="1"/>
  <c r="I121" i="7" s="1"/>
  <c r="AA408" i="10"/>
  <c r="AB408" i="10" s="1"/>
  <c r="B121" i="7" s="1"/>
  <c r="P34" i="10"/>
  <c r="Q34" i="10" s="1"/>
  <c r="P33" i="10"/>
  <c r="Q33" i="10" s="1"/>
  <c r="V33" i="10"/>
  <c r="V34" i="10"/>
  <c r="AA47" i="10"/>
  <c r="AB47" i="10" s="1"/>
  <c r="U260" i="10" s="1"/>
  <c r="AA48" i="10"/>
  <c r="AB48" i="10" s="1"/>
  <c r="I108" i="7" s="1"/>
  <c r="Z167" i="10"/>
  <c r="AA167" i="10" s="1"/>
  <c r="AB167" i="10" s="1"/>
  <c r="U189" i="10" s="1"/>
  <c r="J19" i="10"/>
  <c r="M19" i="10" s="1"/>
  <c r="J20" i="10"/>
  <c r="M20" i="10" s="1"/>
  <c r="N20"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Y509" i="10" l="1"/>
  <c r="Z509" i="10" s="1"/>
  <c r="Y510" i="10"/>
  <c r="Z510" i="10" s="1"/>
  <c r="AA450" i="10"/>
  <c r="AB450" i="10" s="1"/>
  <c r="G110" i="7" s="1"/>
  <c r="H9" i="5" s="1"/>
  <c r="AA451" i="10"/>
  <c r="AB451" i="10" s="1"/>
  <c r="F110" i="7" s="1"/>
  <c r="AA362" i="10"/>
  <c r="AB362" i="10" s="1"/>
  <c r="I110" i="7" s="1"/>
  <c r="AA363" i="10"/>
  <c r="AB363" i="10" s="1"/>
  <c r="J110" i="7"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P29" i="13"/>
  <c r="H22" i="10"/>
  <c r="N19" i="10"/>
  <c r="AA80" i="10"/>
  <c r="AB80" i="10" s="1"/>
  <c r="U83" i="10" s="1"/>
  <c r="AA81" i="10"/>
  <c r="AB81" i="10" s="1"/>
  <c r="U85" i="10" s="1"/>
  <c r="AA281" i="10"/>
  <c r="AB281" i="10" s="1"/>
  <c r="U283" i="10" s="1"/>
  <c r="AA280" i="10"/>
  <c r="AB280" i="10" s="1"/>
  <c r="U282" i="10" s="1"/>
  <c r="P121" i="7"/>
  <c r="B25" i="3" s="1"/>
  <c r="AA510" i="10" l="1"/>
  <c r="AB510" i="10" s="1"/>
  <c r="I128" i="7" s="1"/>
  <c r="AA509" i="10"/>
  <c r="AB509" i="10" s="1"/>
  <c r="F128" i="7" s="1"/>
  <c r="P128" i="7" s="1"/>
  <c r="B32" i="3" s="1"/>
  <c r="D32" i="3" s="1"/>
  <c r="P110" i="7"/>
  <c r="B14" i="3" s="1"/>
  <c r="D14" i="3"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C32" i="3" l="1"/>
  <c r="C14" i="3"/>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E117" i="7" s="1"/>
  <c r="Y342" i="10"/>
  <c r="Z342" i="10" s="1"/>
  <c r="Y341" i="10"/>
  <c r="Z341" i="10" s="1"/>
  <c r="V44" i="10" l="1"/>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387" i="10" l="1"/>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AA264" i="10" l="1"/>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P30" i="13"/>
  <c r="H24" i="10"/>
  <c r="R30" i="13"/>
  <c r="H23" i="10"/>
  <c r="P57" i="10" l="1"/>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I117" i="7" s="1"/>
  <c r="AA93" i="10"/>
  <c r="AB93" i="10" s="1"/>
  <c r="U94" i="10" s="1"/>
  <c r="P45" i="10"/>
  <c r="Q45" i="10" s="1"/>
  <c r="P46" i="10"/>
  <c r="Q46" i="10" s="1"/>
  <c r="V45" i="10"/>
  <c r="AA387" i="10"/>
  <c r="AB387" i="10" s="1"/>
  <c r="U389" i="10" s="1"/>
  <c r="AA388" i="10"/>
  <c r="AB388" i="10" s="1"/>
  <c r="U390" i="10" s="1"/>
  <c r="V23" i="10"/>
  <c r="AA266" i="10" l="1"/>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AA394" i="10" l="1"/>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M43" i="13" l="1"/>
  <c r="M42" i="13"/>
  <c r="H49" i="10"/>
  <c r="P31" i="13"/>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296" i="10" l="1"/>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Y110" i="10" l="1"/>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P32" i="13"/>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L108" i="7" s="1"/>
  <c r="W28" i="10"/>
  <c r="X28" i="10" s="1"/>
  <c r="W27" i="10"/>
  <c r="X27" i="10" s="1"/>
  <c r="Z198" i="10"/>
  <c r="Y466" i="10"/>
  <c r="Z466" i="10" s="1"/>
  <c r="Y467" i="10"/>
  <c r="Z467" i="10" s="1"/>
  <c r="Y302" i="10" l="1"/>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H18" i="5"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P34" i="13"/>
  <c r="P35" i="13"/>
  <c r="P33" i="13"/>
  <c r="P36" i="13"/>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P37" i="13" l="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J117" i="7" s="1"/>
  <c r="Y315" i="10"/>
  <c r="Z315" i="10" s="1"/>
  <c r="Y314" i="10"/>
  <c r="Z314" i="10" s="1"/>
  <c r="P38" i="10"/>
  <c r="Q38" i="10" s="1"/>
  <c r="P37" i="10"/>
  <c r="Q37" i="10" s="1"/>
  <c r="V38" i="10"/>
  <c r="AA208" i="10"/>
  <c r="AB208" i="10" s="1"/>
  <c r="U214" i="10" s="1"/>
  <c r="AA209" i="10"/>
  <c r="AB209" i="10" s="1"/>
  <c r="U215" i="10" s="1"/>
  <c r="AA210" i="10"/>
  <c r="AB210" i="10" s="1"/>
  <c r="H123" i="7" s="1"/>
  <c r="V37" i="10"/>
  <c r="Z215" i="10" l="1"/>
  <c r="AA215" i="10" s="1"/>
  <c r="AB215" i="10" s="1"/>
  <c r="C123" i="7" s="1"/>
  <c r="Z214" i="10"/>
  <c r="W38" i="10"/>
  <c r="X38" i="10" s="1"/>
  <c r="W37" i="10"/>
  <c r="X37" i="10" s="1"/>
  <c r="AA315" i="10"/>
  <c r="AB315" i="10" s="1"/>
  <c r="B108" i="7" s="1"/>
  <c r="AA314" i="10"/>
  <c r="AB314" i="10" s="1"/>
  <c r="G108" i="7" s="1"/>
  <c r="H7" i="5" s="1"/>
  <c r="Y228" i="10"/>
  <c r="Z228" i="10" s="1"/>
  <c r="Y227" i="10"/>
  <c r="Z227" i="10" s="1"/>
  <c r="Y435" i="10"/>
  <c r="Z435" i="10" s="1"/>
  <c r="Y436" i="10"/>
  <c r="Z436" i="10" s="1"/>
  <c r="P108" i="7" l="1"/>
  <c r="B12" i="3" s="1"/>
  <c r="D12" i="3" s="1"/>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C12" i="3" l="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P38" i="13"/>
  <c r="H39" i="10"/>
  <c r="Y230" i="10"/>
  <c r="Z230" i="10" s="1"/>
  <c r="Y229" i="10"/>
  <c r="Z229" i="10" s="1"/>
  <c r="AA438" i="10" l="1"/>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W39" i="10" l="1"/>
  <c r="X39" i="10" s="1"/>
  <c r="W40" i="10"/>
  <c r="X40" i="10" s="1"/>
  <c r="P123" i="7"/>
  <c r="B27" i="3" s="1"/>
  <c r="Y232" i="10"/>
  <c r="Z232" i="10" s="1"/>
  <c r="Y231" i="10"/>
  <c r="Z231" i="10" s="1"/>
  <c r="Y441" i="10"/>
  <c r="Z441" i="10" s="1"/>
  <c r="Y440" i="10"/>
  <c r="Z440" i="10" s="1"/>
  <c r="Y442" i="10"/>
  <c r="Z442" i="10" s="1"/>
  <c r="AA442" i="10" s="1"/>
  <c r="AB442" i="10" s="1"/>
  <c r="U445" i="10" s="1"/>
  <c r="AA231" i="10" l="1"/>
  <c r="AB231" i="10" s="1"/>
  <c r="U234" i="10" s="1"/>
  <c r="AA232" i="10"/>
  <c r="AB232" i="10" s="1"/>
  <c r="H117" i="7" s="1"/>
  <c r="D27" i="3"/>
  <c r="C27" i="3"/>
  <c r="AA440" i="10"/>
  <c r="AB440" i="10" s="1"/>
  <c r="U443" i="10" s="1"/>
  <c r="AA441" i="10"/>
  <c r="AB441" i="10" s="1"/>
  <c r="U444" i="10" s="1"/>
  <c r="J40" i="10"/>
  <c r="M40" i="10" s="1"/>
  <c r="N40" i="10" s="1"/>
  <c r="J39" i="10"/>
  <c r="M39" i="10" s="1"/>
  <c r="N39" i="10" s="1"/>
  <c r="P39" i="13" l="1"/>
  <c r="H41" i="10"/>
  <c r="R39" i="13"/>
  <c r="H42" i="10"/>
  <c r="Y445" i="10"/>
  <c r="Z445" i="10" s="1"/>
  <c r="AA445" i="10" s="1"/>
  <c r="AB445" i="10" s="1"/>
  <c r="U447" i="10" s="1"/>
  <c r="Y443" i="10"/>
  <c r="Z443" i="10" s="1"/>
  <c r="Y444" i="10"/>
  <c r="Z444" i="10" s="1"/>
  <c r="Y234" i="10"/>
  <c r="Z234" i="10" s="1"/>
  <c r="Y233" i="10"/>
  <c r="Z233" i="10" s="1"/>
  <c r="AA234" i="10" l="1"/>
  <c r="AB234" i="10" s="1"/>
  <c r="U287" i="10" s="1"/>
  <c r="AA233" i="10"/>
  <c r="AB233" i="10" s="1"/>
  <c r="C117" i="7" s="1"/>
  <c r="AA443" i="10"/>
  <c r="AB443" i="10" s="1"/>
  <c r="U446" i="10" s="1"/>
  <c r="AA444" i="10"/>
  <c r="AB444" i="10" s="1"/>
  <c r="I124" i="7" s="1"/>
  <c r="P42" i="10"/>
  <c r="Q42" i="10" s="1"/>
  <c r="P41" i="10"/>
  <c r="Q41" i="10" s="1"/>
  <c r="V42" i="10"/>
  <c r="V41" i="10"/>
  <c r="W41" i="10" l="1"/>
  <c r="X41" i="10" s="1"/>
  <c r="W42" i="10"/>
  <c r="X42" i="10" s="1"/>
  <c r="Y447" i="10"/>
  <c r="Z447" i="10" s="1"/>
  <c r="Y446" i="10"/>
  <c r="Z446" i="10" s="1"/>
  <c r="Z287" i="10"/>
  <c r="AA447" i="10" l="1"/>
  <c r="AB447" i="10" s="1"/>
  <c r="L124" i="7" s="1"/>
  <c r="AA446" i="10"/>
  <c r="AB446" i="10" s="1"/>
  <c r="G124" i="7" s="1"/>
  <c r="AA287" i="10"/>
  <c r="AB287" i="10" s="1"/>
  <c r="U289" i="10" s="1"/>
  <c r="AA286" i="10"/>
  <c r="AB286" i="10" s="1"/>
  <c r="U288" i="10" s="1"/>
  <c r="J41" i="10"/>
  <c r="M41" i="10" s="1"/>
  <c r="N41" i="10" s="1"/>
  <c r="J42" i="10"/>
  <c r="M42" i="10" s="1"/>
  <c r="N42" i="10" s="1"/>
  <c r="R42" i="13" l="1"/>
  <c r="R40" i="13"/>
  <c r="R41" i="13"/>
  <c r="H48" i="10"/>
  <c r="P75" i="13"/>
  <c r="P59" i="13"/>
  <c r="P66" i="13"/>
  <c r="P50" i="13"/>
  <c r="P71" i="13"/>
  <c r="P78" i="13"/>
  <c r="P62" i="13"/>
  <c r="P46" i="13"/>
  <c r="P69" i="13"/>
  <c r="P53" i="13"/>
  <c r="P76" i="13"/>
  <c r="P60" i="13"/>
  <c r="P44" i="13"/>
  <c r="P67" i="13"/>
  <c r="P51" i="13"/>
  <c r="P74" i="13"/>
  <c r="P58" i="13"/>
  <c r="P42" i="13"/>
  <c r="P65" i="13"/>
  <c r="P49" i="13"/>
  <c r="P63" i="13"/>
  <c r="P70" i="13"/>
  <c r="P54" i="13"/>
  <c r="P77" i="13"/>
  <c r="P68" i="13"/>
  <c r="P52" i="13"/>
  <c r="P40" i="13"/>
  <c r="P45" i="13"/>
  <c r="P56" i="13"/>
  <c r="P72" i="13"/>
  <c r="P55" i="13"/>
  <c r="P57" i="13"/>
  <c r="P43" i="13"/>
  <c r="P73" i="13"/>
  <c r="P64" i="13"/>
  <c r="P41" i="13"/>
  <c r="P48" i="13"/>
  <c r="P47" i="13"/>
  <c r="P61" i="13"/>
  <c r="H120" i="10"/>
  <c r="Y289" i="10"/>
  <c r="Z289" i="10" s="1"/>
  <c r="Y288" i="10"/>
  <c r="Z288" i="10" s="1"/>
  <c r="H23" i="5"/>
  <c r="P124" i="7"/>
  <c r="B28" i="3" s="1"/>
  <c r="V120" i="10" l="1"/>
  <c r="D28" i="3"/>
  <c r="C28" i="3"/>
  <c r="V48" i="10"/>
  <c r="X48" i="10" s="1"/>
  <c r="Q48" i="10"/>
  <c r="AA288" i="10"/>
  <c r="AB288" i="10" s="1"/>
  <c r="G117" i="7" s="1"/>
  <c r="AA289" i="10"/>
  <c r="AB289" i="10" s="1"/>
  <c r="L117" i="7" s="1"/>
  <c r="H16" i="5" l="1"/>
  <c r="B19" i="5" s="1"/>
  <c r="P117" i="7"/>
  <c r="B21" i="3" s="1"/>
  <c r="J48" i="10"/>
  <c r="M48" i="10" s="1"/>
  <c r="N48" i="10" s="1"/>
  <c r="J47" i="10"/>
  <c r="M47" i="10" s="1"/>
  <c r="N47" i="10" s="1"/>
  <c r="K43" i="13" l="1"/>
  <c r="K50" i="13"/>
  <c r="K48" i="13"/>
  <c r="K46" i="13"/>
  <c r="K51" i="13"/>
  <c r="K49" i="13"/>
  <c r="K47" i="13"/>
  <c r="K52" i="13"/>
  <c r="K44" i="13"/>
  <c r="K45" i="13"/>
  <c r="H67" i="10"/>
  <c r="R43" i="13"/>
  <c r="H50" i="10"/>
  <c r="D21" i="3"/>
  <c r="C21" i="3"/>
  <c r="V67" i="10" l="1"/>
  <c r="X67" i="10" s="1"/>
  <c r="Q67" i="10"/>
  <c r="V50" i="10"/>
  <c r="X50" i="10" s="1"/>
  <c r="Q50" i="10"/>
  <c r="J49" i="10" l="1"/>
  <c r="M49" i="10" s="1"/>
  <c r="N49" i="10" s="1"/>
  <c r="J50" i="10"/>
  <c r="M50" i="10" s="1"/>
  <c r="N50" i="10" s="1"/>
  <c r="J67" i="10"/>
  <c r="M67" i="10" s="1"/>
  <c r="N67" i="10" s="1"/>
  <c r="J68" i="10"/>
  <c r="M68" i="10" s="1"/>
  <c r="N68" i="10" s="1"/>
  <c r="K53" i="13" l="1"/>
  <c r="H69" i="10"/>
  <c r="U53" i="13"/>
  <c r="U56" i="13"/>
  <c r="U54" i="13"/>
  <c r="U61" i="13"/>
  <c r="U57" i="13"/>
  <c r="U55" i="13"/>
  <c r="U58" i="13"/>
  <c r="U59" i="13"/>
  <c r="U60" i="13"/>
  <c r="H87" i="10"/>
  <c r="R44" i="13"/>
  <c r="H52" i="10"/>
  <c r="M44" i="13"/>
  <c r="H51" i="10"/>
  <c r="V52" i="10" l="1"/>
  <c r="P52" i="10"/>
  <c r="Q52" i="10" s="1"/>
  <c r="P51" i="10"/>
  <c r="Q51" i="10" s="1"/>
  <c r="V51" i="10"/>
  <c r="V87" i="10"/>
  <c r="X87" i="10" s="1"/>
  <c r="Q87" i="10"/>
  <c r="P69" i="10"/>
  <c r="Q69" i="10" s="1"/>
  <c r="P70" i="10"/>
  <c r="V69" i="10"/>
  <c r="W70" i="10" l="1"/>
  <c r="W69" i="10"/>
  <c r="X69" i="10" s="1"/>
  <c r="J86" i="10"/>
  <c r="M86" i="10" s="1"/>
  <c r="N86" i="10" s="1"/>
  <c r="J87" i="10"/>
  <c r="M87" i="10" s="1"/>
  <c r="N87" i="10" s="1"/>
  <c r="W52" i="10"/>
  <c r="X52" i="10" s="1"/>
  <c r="W51" i="10"/>
  <c r="X51" i="10" s="1"/>
  <c r="J51" i="10" l="1"/>
  <c r="M51" i="10" s="1"/>
  <c r="N51" i="10" s="1"/>
  <c r="J52" i="10"/>
  <c r="M52" i="10" s="1"/>
  <c r="N52" i="10" s="1"/>
  <c r="S62" i="13"/>
  <c r="H88" i="10"/>
  <c r="U62" i="13"/>
  <c r="H89" i="10"/>
  <c r="V89" i="10" l="1"/>
  <c r="P89" i="10"/>
  <c r="Q89" i="10" s="1"/>
  <c r="P88" i="10"/>
  <c r="Q88" i="10" s="1"/>
  <c r="V88" i="10"/>
  <c r="R45" i="13"/>
  <c r="H54" i="10"/>
  <c r="M45" i="13"/>
  <c r="H53" i="10"/>
  <c r="P53" i="10" l="1"/>
  <c r="Q53" i="10" s="1"/>
  <c r="P54" i="10"/>
  <c r="Q54" i="10" s="1"/>
  <c r="V53" i="10"/>
  <c r="V54" i="10"/>
  <c r="W89" i="10"/>
  <c r="X89" i="10" s="1"/>
  <c r="W88" i="10"/>
  <c r="X88" i="10" s="1"/>
  <c r="J89" i="10" l="1"/>
  <c r="M89" i="10" s="1"/>
  <c r="N89" i="10" s="1"/>
  <c r="J88" i="10"/>
  <c r="M88" i="10" s="1"/>
  <c r="N88" i="10" s="1"/>
  <c r="W54" i="10"/>
  <c r="X54" i="10" s="1"/>
  <c r="W53" i="10"/>
  <c r="X53" i="10" s="1"/>
  <c r="J53" i="10" l="1"/>
  <c r="M53" i="10" s="1"/>
  <c r="N53" i="10" s="1"/>
  <c r="J54" i="10"/>
  <c r="M54" i="10" s="1"/>
  <c r="N54" i="10" s="1"/>
  <c r="S63" i="13"/>
  <c r="H91" i="10"/>
  <c r="U67" i="13"/>
  <c r="U65" i="13"/>
  <c r="U63" i="13"/>
  <c r="U66" i="13"/>
  <c r="U64" i="13"/>
  <c r="H99" i="10"/>
  <c r="V99" i="10" l="1"/>
  <c r="V91" i="10"/>
  <c r="R46" i="13"/>
  <c r="H56" i="10"/>
  <c r="M46" i="13"/>
  <c r="H55" i="10"/>
  <c r="P56" i="10" l="1"/>
  <c r="Q56" i="10" s="1"/>
  <c r="P55" i="10"/>
  <c r="Q55" i="10" s="1"/>
  <c r="V55" i="10"/>
  <c r="V56" i="10"/>
  <c r="W55" i="10" l="1"/>
  <c r="X55" i="10" s="1"/>
  <c r="W56" i="10"/>
  <c r="X56" i="10" s="1"/>
  <c r="J55" i="10" l="1"/>
  <c r="M55" i="10" s="1"/>
  <c r="N55" i="10" s="1"/>
  <c r="J56" i="10"/>
  <c r="M56" i="10" s="1"/>
  <c r="N56" i="10" s="1"/>
  <c r="R47" i="13" l="1"/>
  <c r="H58" i="10"/>
  <c r="M54" i="13"/>
  <c r="M48" i="13"/>
  <c r="M55" i="13"/>
  <c r="M53" i="13"/>
  <c r="M47" i="13"/>
  <c r="M52" i="13"/>
  <c r="M49" i="13"/>
  <c r="M50" i="13"/>
  <c r="M51" i="13"/>
  <c r="H74" i="10"/>
  <c r="V74" i="10" l="1"/>
  <c r="V58" i="10"/>
  <c r="X58" i="10" s="1"/>
  <c r="Q58" i="10"/>
  <c r="J57" i="10" l="1"/>
  <c r="M57" i="10" s="1"/>
  <c r="N57" i="10" s="1"/>
  <c r="J58" i="10"/>
  <c r="M58" i="10" s="1"/>
  <c r="N58" i="10" s="1"/>
  <c r="R49" i="13" l="1"/>
  <c r="R48" i="13"/>
  <c r="H62" i="10"/>
  <c r="O48" i="13"/>
  <c r="H59" i="10"/>
  <c r="P60" i="10" l="1"/>
  <c r="Q60" i="10" s="1"/>
  <c r="P59" i="10"/>
  <c r="Q59" i="10" s="1"/>
  <c r="V59" i="10"/>
  <c r="P62" i="10"/>
  <c r="Q62" i="10" s="1"/>
  <c r="P61" i="10"/>
  <c r="V62" i="10"/>
  <c r="W62" i="10" l="1"/>
  <c r="X62" i="10" s="1"/>
  <c r="W61" i="10"/>
  <c r="W59" i="10"/>
  <c r="X59" i="10" s="1"/>
  <c r="W60" i="10"/>
  <c r="X60" i="10" s="1"/>
  <c r="J59" i="10" l="1"/>
  <c r="M59" i="10" s="1"/>
  <c r="N59" i="10" s="1"/>
  <c r="J60" i="10"/>
  <c r="M60" i="10" s="1"/>
  <c r="N60" i="10" s="1"/>
  <c r="N49" i="13" l="1"/>
  <c r="H61" i="10"/>
  <c r="O49" i="13"/>
  <c r="O50" i="13"/>
  <c r="H63" i="10"/>
  <c r="P64" i="10" l="1"/>
  <c r="P63" i="10"/>
  <c r="Q63" i="10" s="1"/>
  <c r="V63" i="10"/>
  <c r="V61" i="10"/>
  <c r="X61" i="10" s="1"/>
  <c r="Q61" i="10"/>
  <c r="J61" i="10" l="1"/>
  <c r="M61" i="10" s="1"/>
  <c r="N61" i="10" s="1"/>
  <c r="J62" i="10"/>
  <c r="M62" i="10" s="1"/>
  <c r="N62" i="10" s="1"/>
  <c r="W64" i="10"/>
  <c r="W63" i="10"/>
  <c r="X63" i="10" s="1"/>
  <c r="R50" i="13" l="1"/>
  <c r="H64" i="10"/>
  <c r="N51" i="13"/>
  <c r="N50" i="13"/>
  <c r="H66" i="10"/>
  <c r="V66" i="10" l="1"/>
  <c r="V64" i="10"/>
  <c r="X64" i="10" s="1"/>
  <c r="Q64" i="10"/>
  <c r="J63" i="10" l="1"/>
  <c r="M63" i="10" s="1"/>
  <c r="N63" i="10" s="1"/>
  <c r="J64" i="10"/>
  <c r="M64" i="10" s="1"/>
  <c r="N64" i="10" s="1"/>
  <c r="R51" i="13" l="1"/>
  <c r="R52" i="13"/>
  <c r="R54" i="13"/>
  <c r="R53" i="13"/>
  <c r="H71" i="10"/>
  <c r="O51" i="13"/>
  <c r="H65" i="10"/>
  <c r="P66" i="10" l="1"/>
  <c r="Q66" i="10" s="1"/>
  <c r="P65" i="10"/>
  <c r="Q65" i="10" s="1"/>
  <c r="V65" i="10"/>
  <c r="P72" i="10"/>
  <c r="P71" i="10"/>
  <c r="Q71" i="10" s="1"/>
  <c r="V71" i="10"/>
  <c r="W72" i="10" l="1"/>
  <c r="W71" i="10"/>
  <c r="X71" i="10" s="1"/>
  <c r="W66" i="10"/>
  <c r="X66" i="10" s="1"/>
  <c r="W65" i="10"/>
  <c r="X65" i="10" s="1"/>
  <c r="J65" i="10" l="1"/>
  <c r="M65" i="10" s="1"/>
  <c r="N65" i="10" s="1"/>
  <c r="J66" i="10"/>
  <c r="M66" i="10" s="1"/>
  <c r="N66" i="10" s="1"/>
  <c r="N52" i="13" l="1"/>
  <c r="N53" i="13"/>
  <c r="H70" i="10"/>
  <c r="O52" i="13"/>
  <c r="O55" i="13"/>
  <c r="O53" i="13"/>
  <c r="O56" i="13"/>
  <c r="O54" i="13"/>
  <c r="O57" i="13"/>
  <c r="H77" i="10"/>
  <c r="P79" i="10" l="1"/>
  <c r="P77" i="10"/>
  <c r="Q77" i="10" s="1"/>
  <c r="P78" i="10"/>
  <c r="V77" i="10"/>
  <c r="V70" i="10"/>
  <c r="X70" i="10" s="1"/>
  <c r="Q70" i="10"/>
  <c r="J69" i="10" l="1"/>
  <c r="M69" i="10" s="1"/>
  <c r="N69" i="10" s="1"/>
  <c r="J70" i="10"/>
  <c r="M70" i="10" s="1"/>
  <c r="N70" i="10" s="1"/>
  <c r="W79" i="10"/>
  <c r="W78" i="10"/>
  <c r="W77" i="10"/>
  <c r="X77" i="10" s="1"/>
  <c r="N55" i="13" l="1"/>
  <c r="N56" i="13"/>
  <c r="N54" i="13"/>
  <c r="N58" i="13"/>
  <c r="N57" i="13"/>
  <c r="H80" i="10"/>
  <c r="K54" i="13"/>
  <c r="H72" i="10"/>
  <c r="V72" i="10" l="1"/>
  <c r="X72" i="10" s="1"/>
  <c r="Q72" i="10"/>
  <c r="P81" i="10"/>
  <c r="Q81" i="10" s="1"/>
  <c r="P80" i="10"/>
  <c r="Q80" i="10" s="1"/>
  <c r="V80" i="10"/>
  <c r="W80" i="10" l="1"/>
  <c r="X80" i="10" s="1"/>
  <c r="W81" i="10"/>
  <c r="X81" i="10" s="1"/>
  <c r="J71" i="10"/>
  <c r="M71" i="10" s="1"/>
  <c r="N71" i="10" s="1"/>
  <c r="J72" i="10"/>
  <c r="M72" i="10" s="1"/>
  <c r="N72" i="10" s="1"/>
  <c r="K56" i="13" l="1"/>
  <c r="K55" i="13"/>
  <c r="H75" i="10"/>
  <c r="R55" i="13"/>
  <c r="H73" i="10"/>
  <c r="J81" i="10"/>
  <c r="M81" i="10" s="1"/>
  <c r="N81" i="10" s="1"/>
  <c r="J80" i="10"/>
  <c r="M80" i="10" s="1"/>
  <c r="N80" i="10" s="1"/>
  <c r="N59" i="13" l="1"/>
  <c r="H83" i="10"/>
  <c r="T59" i="13"/>
  <c r="T60" i="13"/>
  <c r="H85" i="10"/>
  <c r="P74" i="10"/>
  <c r="Q74" i="10" s="1"/>
  <c r="P73" i="10"/>
  <c r="Q73" i="10" s="1"/>
  <c r="V73" i="10"/>
  <c r="P76" i="10"/>
  <c r="P75" i="10"/>
  <c r="Q75" i="10" s="1"/>
  <c r="V75" i="10"/>
  <c r="W73" i="10" l="1"/>
  <c r="X73" i="10" s="1"/>
  <c r="W74" i="10"/>
  <c r="X74" i="10" s="1"/>
  <c r="W75" i="10"/>
  <c r="X75" i="10" s="1"/>
  <c r="W76" i="10"/>
  <c r="V85" i="10"/>
  <c r="V83" i="10"/>
  <c r="J74" i="10" l="1"/>
  <c r="M74" i="10" s="1"/>
  <c r="N74" i="10" s="1"/>
  <c r="J73" i="10"/>
  <c r="M73" i="10" s="1"/>
  <c r="N73" i="10" s="1"/>
  <c r="R57" i="13" l="1"/>
  <c r="R56" i="13"/>
  <c r="H78" i="10"/>
  <c r="M56" i="13"/>
  <c r="H76" i="10"/>
  <c r="V76" i="10" l="1"/>
  <c r="X76" i="10" s="1"/>
  <c r="Q76" i="10"/>
  <c r="V78" i="10"/>
  <c r="X78" i="10" s="1"/>
  <c r="Q78" i="10"/>
  <c r="J78" i="10" l="1"/>
  <c r="M78" i="10" s="1"/>
  <c r="N78" i="10" s="1"/>
  <c r="J75" i="10"/>
  <c r="M75" i="10" s="1"/>
  <c r="N75" i="10" s="1"/>
  <c r="J76" i="10"/>
  <c r="M76" i="10" s="1"/>
  <c r="N76" i="10" s="1"/>
  <c r="M57" i="13" l="1"/>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Q85" i="13" l="1"/>
  <c r="Q83" i="13"/>
  <c r="Q86" i="13"/>
  <c r="Q84" i="13"/>
  <c r="H136" i="10"/>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U68" i="13"/>
  <c r="H101" i="10"/>
  <c r="V101" i="10" l="1"/>
  <c r="P100" i="10"/>
  <c r="Q100" i="10" s="1"/>
  <c r="P101" i="10"/>
  <c r="Q101" i="10" s="1"/>
  <c r="V100" i="10"/>
  <c r="W101" i="10" l="1"/>
  <c r="X101" i="10" s="1"/>
  <c r="W100" i="10"/>
  <c r="X100" i="10" s="1"/>
  <c r="J101" i="10" l="1"/>
  <c r="M101" i="10" s="1"/>
  <c r="N101" i="10" s="1"/>
  <c r="J100" i="10"/>
  <c r="M100" i="10" s="1"/>
  <c r="N100" i="10" s="1"/>
  <c r="O69" i="13" l="1"/>
  <c r="H102" i="10"/>
  <c r="U69" i="13"/>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U70" i="13"/>
  <c r="H105" i="10"/>
  <c r="V105" i="10" l="1"/>
  <c r="X105" i="10" s="1"/>
  <c r="Q105" i="10"/>
  <c r="V123" i="10"/>
  <c r="J105" i="10" l="1"/>
  <c r="M105" i="10" s="1"/>
  <c r="N105" i="10" s="1"/>
  <c r="J104" i="10"/>
  <c r="M104" i="10" s="1"/>
  <c r="N104" i="10" s="1"/>
  <c r="R71" i="13" l="1"/>
  <c r="H106" i="10"/>
  <c r="U71" i="13"/>
  <c r="H107" i="10"/>
  <c r="V107" i="10" l="1"/>
  <c r="P107" i="10"/>
  <c r="Q107" i="10" s="1"/>
  <c r="P106" i="10"/>
  <c r="Q106" i="10" s="1"/>
  <c r="V106" i="10"/>
  <c r="W107" i="10" l="1"/>
  <c r="X107" i="10" s="1"/>
  <c r="W106" i="10"/>
  <c r="X106" i="10" s="1"/>
  <c r="J107" i="10" l="1"/>
  <c r="M107" i="10" s="1"/>
  <c r="N107" i="10" s="1"/>
  <c r="J106" i="10"/>
  <c r="M106" i="10" s="1"/>
  <c r="N106" i="10" s="1"/>
  <c r="R72" i="13" l="1"/>
  <c r="H108" i="10"/>
  <c r="U72" i="13"/>
  <c r="H109" i="10"/>
  <c r="P109" i="10" l="1"/>
  <c r="Q109" i="10" s="1"/>
  <c r="P108" i="10"/>
  <c r="Q108" i="10" s="1"/>
  <c r="V109" i="10"/>
  <c r="V108" i="10"/>
  <c r="W108" i="10" l="1"/>
  <c r="X108" i="10" s="1"/>
  <c r="W109" i="10"/>
  <c r="X109" i="10" s="1"/>
  <c r="J108" i="10" l="1"/>
  <c r="M108" i="10" s="1"/>
  <c r="N108" i="10" s="1"/>
  <c r="J109" i="10"/>
  <c r="M109" i="10" s="1"/>
  <c r="N109" i="10" s="1"/>
  <c r="U73" i="13" l="1"/>
  <c r="H111" i="10"/>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U74" i="13"/>
  <c r="H113" i="10"/>
  <c r="V113" i="10" l="1"/>
  <c r="P112" i="10"/>
  <c r="Q112" i="10" s="1"/>
  <c r="P113" i="10"/>
  <c r="Q113" i="10" s="1"/>
  <c r="V112" i="10"/>
  <c r="W113" i="10" l="1"/>
  <c r="X113" i="10" s="1"/>
  <c r="W112" i="10"/>
  <c r="X112" i="10" s="1"/>
  <c r="J113" i="10" l="1"/>
  <c r="M113" i="10" s="1"/>
  <c r="N113" i="10" s="1"/>
  <c r="J112" i="10"/>
  <c r="M112" i="10" s="1"/>
  <c r="N112" i="10" s="1"/>
  <c r="S75" i="13" l="1"/>
  <c r="H114" i="10"/>
  <c r="U75" i="13"/>
  <c r="H115" i="10"/>
  <c r="V115" i="10" l="1"/>
  <c r="P114" i="10"/>
  <c r="Q114" i="10" s="1"/>
  <c r="P115" i="10"/>
  <c r="Q115" i="10" s="1"/>
  <c r="V114" i="10"/>
  <c r="W115" i="10" l="1"/>
  <c r="X115" i="10" s="1"/>
  <c r="W114" i="10"/>
  <c r="X114" i="10" s="1"/>
  <c r="J115" i="10" l="1"/>
  <c r="M115" i="10" s="1"/>
  <c r="N115" i="10" s="1"/>
  <c r="J114" i="10"/>
  <c r="M114" i="10" s="1"/>
  <c r="N114" i="10" s="1"/>
  <c r="S76" i="13" l="1"/>
  <c r="H117" i="10"/>
  <c r="U76" i="13"/>
  <c r="H116" i="10"/>
  <c r="P116" i="10" l="1"/>
  <c r="Q116" i="10" s="1"/>
  <c r="P117" i="10"/>
  <c r="Q117" i="10" s="1"/>
  <c r="V116" i="10"/>
  <c r="V117" i="10"/>
  <c r="W117" i="10" l="1"/>
  <c r="X117" i="10" s="1"/>
  <c r="W116" i="10"/>
  <c r="X116" i="10" s="1"/>
  <c r="J117" i="10" l="1"/>
  <c r="M117" i="10" s="1"/>
  <c r="N117" i="10" s="1"/>
  <c r="J116" i="10"/>
  <c r="M116" i="10" s="1"/>
  <c r="N116" i="10" s="1"/>
  <c r="U77" i="13" l="1"/>
  <c r="H118" i="10"/>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U78" i="13" l="1"/>
  <c r="H121" i="10"/>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P79" i="13"/>
  <c r="H122" i="10"/>
  <c r="S87" i="13"/>
  <c r="S92" i="13"/>
  <c r="S90" i="13"/>
  <c r="S88" i="13"/>
  <c r="S86" i="13"/>
  <c r="S91" i="13"/>
  <c r="S89" i="13"/>
  <c r="H150" i="10"/>
  <c r="U83" i="13"/>
  <c r="U81" i="13"/>
  <c r="U79" i="13"/>
  <c r="U84" i="13"/>
  <c r="U82" i="13"/>
  <c r="U80" i="13"/>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P82" i="13"/>
  <c r="P80" i="13"/>
  <c r="P83" i="13"/>
  <c r="P81" i="13"/>
  <c r="P84" i="13"/>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U85" i="13" l="1"/>
  <c r="U86" i="13"/>
  <c r="H137" i="10"/>
  <c r="P91" i="13"/>
  <c r="P89" i="13"/>
  <c r="P87" i="13"/>
  <c r="P85" i="13"/>
  <c r="P92" i="13"/>
  <c r="P90" i="13"/>
  <c r="P88" i="13"/>
  <c r="P86" i="13"/>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Q89" i="13"/>
  <c r="Q87" i="13"/>
  <c r="Q88" i="13"/>
  <c r="H142" i="10"/>
  <c r="J150" i="10"/>
  <c r="M150" i="10" s="1"/>
  <c r="N150" i="10" s="1"/>
  <c r="J149" i="10"/>
  <c r="M149" i="10" s="1"/>
  <c r="N149" i="10" s="1"/>
  <c r="J148" i="10"/>
  <c r="M148" i="10" s="1"/>
  <c r="N148" i="10" s="1"/>
  <c r="U88" i="13"/>
  <c r="U87" i="13"/>
  <c r="H141" i="10"/>
  <c r="O93" i="13" l="1"/>
  <c r="H155" i="10"/>
  <c r="S96" i="13"/>
  <c r="S94" i="13"/>
  <c r="S98" i="13"/>
  <c r="S95" i="13"/>
  <c r="S97" i="13"/>
  <c r="S93" i="13"/>
  <c r="H172" i="10"/>
  <c r="V141" i="10"/>
  <c r="X141" i="10" s="1"/>
  <c r="Q141" i="10"/>
  <c r="P142" i="10"/>
  <c r="Q142" i="10" s="1"/>
  <c r="P143" i="10"/>
  <c r="V142" i="10"/>
  <c r="P93" i="13"/>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U89" i="13"/>
  <c r="H143" i="10"/>
  <c r="T90" i="13"/>
  <c r="T89" i="13"/>
  <c r="H144" i="10"/>
  <c r="P144" i="10" l="1"/>
  <c r="Q144" i="10" s="1"/>
  <c r="P145" i="10"/>
  <c r="V144" i="10"/>
  <c r="V143" i="10"/>
  <c r="X143" i="10" s="1"/>
  <c r="Q143" i="10"/>
  <c r="J143" i="10" l="1"/>
  <c r="M143" i="10" s="1"/>
  <c r="N143" i="10" s="1"/>
  <c r="J142" i="10"/>
  <c r="M142" i="10" s="1"/>
  <c r="N142" i="10" s="1"/>
  <c r="W145" i="10"/>
  <c r="W144" i="10"/>
  <c r="X144" i="10" s="1"/>
  <c r="Q90" i="13" l="1"/>
  <c r="Q91" i="13"/>
  <c r="H146" i="10"/>
  <c r="U90" i="13"/>
  <c r="H145" i="10"/>
  <c r="V145" i="10" l="1"/>
  <c r="X145" i="10" s="1"/>
  <c r="Q145" i="10"/>
  <c r="P146" i="10"/>
  <c r="Q146" i="10" s="1"/>
  <c r="P147" i="10"/>
  <c r="V146" i="10"/>
  <c r="W147" i="10" l="1"/>
  <c r="W146" i="10"/>
  <c r="X146" i="10" s="1"/>
  <c r="J145" i="10"/>
  <c r="M145" i="10" s="1"/>
  <c r="N145" i="10" s="1"/>
  <c r="J144" i="10"/>
  <c r="M144" i="10" s="1"/>
  <c r="N144" i="10" s="1"/>
  <c r="U92" i="13" l="1"/>
  <c r="U93" i="13"/>
  <c r="U91" i="13"/>
  <c r="H152" i="10"/>
  <c r="T91" i="13"/>
  <c r="H147" i="10"/>
  <c r="V147" i="10" l="1"/>
  <c r="X147" i="10" s="1"/>
  <c r="Q147" i="10"/>
  <c r="V152" i="10"/>
  <c r="J147" i="10" l="1"/>
  <c r="M147" i="10" s="1"/>
  <c r="N147" i="10" s="1"/>
  <c r="J146" i="10"/>
  <c r="M146" i="10" s="1"/>
  <c r="N146" i="10" s="1"/>
  <c r="Q92" i="13" l="1"/>
  <c r="Q93" i="13"/>
  <c r="H153" i="10"/>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P96" i="13"/>
  <c r="P94" i="13"/>
  <c r="P95" i="13"/>
  <c r="P97" i="13"/>
  <c r="H169" i="10"/>
  <c r="U94" i="13"/>
  <c r="H157" i="10"/>
  <c r="Q94" i="13"/>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Q95" i="13"/>
  <c r="H160" i="10"/>
  <c r="U95" i="13"/>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Q96" i="13"/>
  <c r="H167" i="10"/>
  <c r="U96" i="13"/>
  <c r="H166" i="10"/>
  <c r="T99" i="13"/>
  <c r="T96" i="13"/>
  <c r="T98" i="13"/>
  <c r="T97" i="13"/>
  <c r="T100" i="13"/>
  <c r="H182" i="10"/>
  <c r="V182" i="10" l="1"/>
  <c r="V166" i="10"/>
  <c r="X166" i="10" s="1"/>
  <c r="Q166" i="10"/>
  <c r="V167" i="10"/>
  <c r="X167" i="10" s="1"/>
  <c r="J167" i="10" s="1"/>
  <c r="M167" i="10" s="1"/>
  <c r="N167" i="10" s="1"/>
  <c r="Q167" i="10"/>
  <c r="Q98" i="13" l="1"/>
  <c r="Q101" i="13"/>
  <c r="Q97" i="13"/>
  <c r="Q102" i="13"/>
  <c r="Q100" i="13"/>
  <c r="Q99" i="13"/>
  <c r="H189" i="10"/>
  <c r="J166" i="10"/>
  <c r="M166" i="10" s="1"/>
  <c r="N166" i="10" s="1"/>
  <c r="J165" i="10"/>
  <c r="M165" i="10" s="1"/>
  <c r="N165" i="10" s="1"/>
  <c r="J164" i="10"/>
  <c r="M164" i="10" s="1"/>
  <c r="N164" i="10" s="1"/>
  <c r="W97" i="13" l="1"/>
  <c r="H170" i="10"/>
  <c r="L97" i="13"/>
  <c r="H171" i="10"/>
  <c r="U101" i="13"/>
  <c r="U99" i="13"/>
  <c r="U98" i="13"/>
  <c r="U97" i="13"/>
  <c r="U102" i="13"/>
  <c r="U100" i="13"/>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P98" i="13"/>
  <c r="H175" i="10"/>
  <c r="V184" i="10"/>
  <c r="P184" i="10" l="1"/>
  <c r="Q184" i="10" s="1"/>
  <c r="P186" i="10"/>
  <c r="P185" i="10"/>
  <c r="Q185" i="10" s="1"/>
  <c r="V175" i="10"/>
  <c r="X175" i="10" s="1"/>
  <c r="J175" i="10" s="1"/>
  <c r="M175" i="10" s="1"/>
  <c r="N175" i="10" s="1"/>
  <c r="Q175" i="10"/>
  <c r="V174" i="10"/>
  <c r="X174" i="10" s="1"/>
  <c r="Q174" i="10"/>
  <c r="V185" i="10"/>
  <c r="W187" i="10" s="1"/>
  <c r="W185" i="10" l="1"/>
  <c r="X185" i="10" s="1"/>
  <c r="P103" i="13"/>
  <c r="P101" i="13"/>
  <c r="P102" i="13"/>
  <c r="P100" i="13"/>
  <c r="P99" i="13"/>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U103" i="13" l="1"/>
  <c r="H195" i="10"/>
  <c r="L104" i="13"/>
  <c r="L105" i="13"/>
  <c r="L106" i="13"/>
  <c r="L103" i="13"/>
  <c r="H205" i="10"/>
  <c r="Q103" i="13"/>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U106" i="13" l="1"/>
  <c r="U104" i="13"/>
  <c r="U105" i="13"/>
  <c r="U107" i="13"/>
  <c r="H211" i="10"/>
  <c r="W207" i="10"/>
  <c r="W205" i="10"/>
  <c r="X205" i="10" s="1"/>
  <c r="W206" i="10"/>
  <c r="W204" i="10"/>
  <c r="X204" i="10" s="1"/>
  <c r="J193" i="10"/>
  <c r="M193" i="10" s="1"/>
  <c r="N193" i="10" s="1"/>
  <c r="J194" i="10"/>
  <c r="M194" i="10" s="1"/>
  <c r="N194" i="10" s="1"/>
  <c r="J192" i="10"/>
  <c r="M192" i="10" s="1"/>
  <c r="N192" i="10" s="1"/>
  <c r="O104" i="13" l="1"/>
  <c r="H198" i="10"/>
  <c r="P104" i="13"/>
  <c r="H199" i="10"/>
  <c r="Q107" i="13"/>
  <c r="Q105" i="13"/>
  <c r="Q104" i="13"/>
  <c r="Q106" i="13"/>
  <c r="H210" i="10"/>
  <c r="V211" i="10"/>
  <c r="V210" i="10" l="1"/>
  <c r="V199" i="10"/>
  <c r="X199" i="10" s="1"/>
  <c r="J199" i="10" s="1"/>
  <c r="M199" i="10" s="1"/>
  <c r="N199" i="10" s="1"/>
  <c r="Q199" i="10"/>
  <c r="V198" i="10"/>
  <c r="X198" i="10" s="1"/>
  <c r="Q198" i="10"/>
  <c r="P109" i="13" l="1"/>
  <c r="P107" i="13"/>
  <c r="P105" i="13"/>
  <c r="P106" i="13"/>
  <c r="P108" i="13"/>
  <c r="H218" i="10"/>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U112" i="13"/>
  <c r="U110" i="13"/>
  <c r="U108" i="13"/>
  <c r="U111" i="13"/>
  <c r="U109" i="13"/>
  <c r="H225" i="10"/>
  <c r="K108" i="13" l="1"/>
  <c r="H214" i="10"/>
  <c r="Q110" i="13"/>
  <c r="Q108" i="13"/>
  <c r="Q109" i="13"/>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U113" i="13"/>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Q111" i="13"/>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P111" i="13"/>
  <c r="P112" i="13"/>
  <c r="P110" i="13"/>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Q112" i="13"/>
  <c r="Q113" i="13"/>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P118" i="13"/>
  <c r="P116" i="13"/>
  <c r="P114" i="13"/>
  <c r="P117" i="13"/>
  <c r="P115" i="13"/>
  <c r="P113" i="13"/>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U114" i="13" l="1"/>
  <c r="H229" i="10"/>
  <c r="V238" i="10"/>
  <c r="P235" i="10"/>
  <c r="Q235" i="10" s="1"/>
  <c r="P236" i="10"/>
  <c r="Q236" i="10" s="1"/>
  <c r="V235" i="10"/>
  <c r="V411" i="10"/>
  <c r="P410" i="10"/>
  <c r="Q410" i="10" s="1"/>
  <c r="P411" i="10"/>
  <c r="Q411" i="10" s="1"/>
  <c r="V410" i="10"/>
  <c r="Q114" i="13"/>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U115" i="13" l="1"/>
  <c r="H231" i="10"/>
  <c r="V417" i="10"/>
  <c r="P412" i="10"/>
  <c r="Q412" i="10" s="1"/>
  <c r="P413" i="10"/>
  <c r="Q413" i="10" s="1"/>
  <c r="V412" i="10"/>
  <c r="Q115" i="13"/>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P121" i="13"/>
  <c r="P119" i="13"/>
  <c r="P120" i="13"/>
  <c r="H244" i="10"/>
  <c r="P245" i="10" l="1"/>
  <c r="P244" i="10"/>
  <c r="Q244" i="10" s="1"/>
  <c r="V244" i="10"/>
  <c r="Q175" i="13"/>
  <c r="Q166" i="13"/>
  <c r="Q150" i="13"/>
  <c r="Q180" i="13"/>
  <c r="Q171" i="13"/>
  <c r="Q155" i="13"/>
  <c r="Q178" i="13"/>
  <c r="Q162" i="13"/>
  <c r="Q146" i="13"/>
  <c r="Q169" i="13"/>
  <c r="Q176" i="13"/>
  <c r="Q160" i="13"/>
  <c r="Q167" i="13"/>
  <c r="Q151" i="13"/>
  <c r="Q174" i="13"/>
  <c r="Q158" i="13"/>
  <c r="Q181" i="13"/>
  <c r="Q172" i="13"/>
  <c r="Q156" i="13"/>
  <c r="Q179" i="13"/>
  <c r="Q170" i="13"/>
  <c r="Q177" i="13"/>
  <c r="Q161" i="13"/>
  <c r="Q168" i="13"/>
  <c r="Q134" i="13"/>
  <c r="Q118" i="13"/>
  <c r="Q141" i="13"/>
  <c r="Q125" i="13"/>
  <c r="Q132" i="13"/>
  <c r="Q116" i="13"/>
  <c r="Q157" i="13"/>
  <c r="Q139" i="13"/>
  <c r="Q123" i="13"/>
  <c r="Q163" i="13"/>
  <c r="Q130" i="13"/>
  <c r="Q137" i="13"/>
  <c r="Q121" i="13"/>
  <c r="Q144" i="13"/>
  <c r="Q128" i="13"/>
  <c r="Q135" i="13"/>
  <c r="Q119" i="13"/>
  <c r="Q149" i="13"/>
  <c r="Q142" i="13"/>
  <c r="Q126" i="13"/>
  <c r="Q159" i="13"/>
  <c r="Q152" i="13"/>
  <c r="Q133" i="13"/>
  <c r="Q117" i="13"/>
  <c r="Q164" i="13"/>
  <c r="Q148" i="13"/>
  <c r="Q140" i="13"/>
  <c r="Q124" i="13"/>
  <c r="Q153" i="13"/>
  <c r="Q131" i="13"/>
  <c r="Q173" i="13"/>
  <c r="Q138" i="13"/>
  <c r="Q165" i="13"/>
  <c r="Q145" i="13"/>
  <c r="Q129" i="13"/>
  <c r="Q154" i="13"/>
  <c r="Q147" i="13"/>
  <c r="Q136" i="13"/>
  <c r="Q143" i="13"/>
  <c r="Q127" i="13"/>
  <c r="Q120" i="13"/>
  <c r="Q122" i="13"/>
  <c r="H366" i="10"/>
  <c r="U116" i="13"/>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Q182" i="13"/>
  <c r="Q183" i="13"/>
  <c r="Q184" i="13"/>
  <c r="H374" i="10"/>
  <c r="M184" i="13"/>
  <c r="M182" i="13"/>
  <c r="M183" i="13"/>
  <c r="H376" i="10"/>
  <c r="J234" i="10"/>
  <c r="M234" i="10" s="1"/>
  <c r="N234" i="10" s="1"/>
  <c r="J233" i="10"/>
  <c r="M233" i="10" s="1"/>
  <c r="N233" i="10" s="1"/>
  <c r="L243" i="13" l="1"/>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J8" i="13"/>
  <c r="V376" i="10"/>
  <c r="U117" i="13"/>
  <c r="U118" i="13"/>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R119" i="13"/>
  <c r="H241" i="10"/>
  <c r="U130" i="13"/>
  <c r="U137" i="13"/>
  <c r="U121" i="13"/>
  <c r="U128" i="13"/>
  <c r="U135" i="13"/>
  <c r="U119" i="13"/>
  <c r="U126" i="13"/>
  <c r="U133" i="13"/>
  <c r="U124" i="13"/>
  <c r="U131" i="13"/>
  <c r="U138" i="13"/>
  <c r="U122" i="13"/>
  <c r="U129" i="13"/>
  <c r="U136" i="13"/>
  <c r="U120" i="13"/>
  <c r="U127" i="13"/>
  <c r="U134" i="13"/>
  <c r="U125" i="13"/>
  <c r="U132" i="13"/>
  <c r="U123" i="13"/>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J19"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243" i="13" l="1"/>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J1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J18" i="13"/>
  <c r="V472" i="10" l="1"/>
  <c r="M2" i="14"/>
  <c r="B16" i="13"/>
  <c r="V243" i="10"/>
  <c r="P242" i="10"/>
  <c r="Q242" i="10" s="1"/>
  <c r="P243" i="10"/>
  <c r="Q243" i="10" s="1"/>
  <c r="V242" i="10"/>
  <c r="W242" i="10" l="1"/>
  <c r="X242" i="10" s="1"/>
  <c r="W243" i="10"/>
  <c r="X243" i="10" s="1"/>
  <c r="S16" i="13"/>
  <c r="W16" i="13" l="1"/>
  <c r="AI16" i="13"/>
  <c r="F102" i="7"/>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P127" i="13"/>
  <c r="P125" i="13"/>
  <c r="P123" i="13"/>
  <c r="P126" i="13"/>
  <c r="P124" i="13"/>
  <c r="P122" i="13"/>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P128" i="13"/>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P129" i="13"/>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P130" i="13"/>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P131" i="13"/>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P132" i="13" l="1"/>
  <c r="H267" i="10"/>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P133" i="13" l="1"/>
  <c r="H269" i="10"/>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P134" i="13"/>
  <c r="H271" i="10"/>
  <c r="V271" i="10" l="1"/>
  <c r="P271" i="10"/>
  <c r="Q271" i="10" s="1"/>
  <c r="P270" i="10"/>
  <c r="Q270" i="10" s="1"/>
  <c r="V270" i="10"/>
  <c r="W271" i="10" l="1"/>
  <c r="X271" i="10" s="1"/>
  <c r="W270" i="10"/>
  <c r="X270" i="10" s="1"/>
  <c r="J270" i="10" l="1"/>
  <c r="M270" i="10" s="1"/>
  <c r="N270" i="10" s="1"/>
  <c r="J271" i="10"/>
  <c r="M271" i="10" s="1"/>
  <c r="N271" i="10" s="1"/>
  <c r="P135" i="13" l="1"/>
  <c r="H273" i="10"/>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P136" i="13"/>
  <c r="H275" i="10"/>
  <c r="V275" i="10" l="1"/>
  <c r="P275" i="10"/>
  <c r="Q275" i="10" s="1"/>
  <c r="P274" i="10"/>
  <c r="Q274" i="10" s="1"/>
  <c r="V274" i="10"/>
  <c r="W275" i="10" l="1"/>
  <c r="X275" i="10" s="1"/>
  <c r="W274" i="10"/>
  <c r="X274" i="10" s="1"/>
  <c r="J274" i="10" l="1"/>
  <c r="M274" i="10" s="1"/>
  <c r="N274" i="10" s="1"/>
  <c r="J275" i="10"/>
  <c r="M275" i="10" s="1"/>
  <c r="N275" i="10" s="1"/>
  <c r="P137" i="13" l="1"/>
  <c r="H276" i="10"/>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P138" i="13" l="1"/>
  <c r="H278" i="10"/>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U139" i="13" l="1"/>
  <c r="H281" i="10"/>
  <c r="P139" i="13"/>
  <c r="H280" i="10"/>
  <c r="V280" i="10" l="1"/>
  <c r="P281" i="10"/>
  <c r="Q281" i="10" s="1"/>
  <c r="P280" i="10"/>
  <c r="Q280" i="10" s="1"/>
  <c r="V281" i="10"/>
  <c r="W281" i="10" l="1"/>
  <c r="X281" i="10" s="1"/>
  <c r="W280" i="10"/>
  <c r="X280" i="10" s="1"/>
  <c r="J281" i="10" l="1"/>
  <c r="M281" i="10" s="1"/>
  <c r="N281" i="10" s="1"/>
  <c r="J280" i="10"/>
  <c r="M280" i="10" s="1"/>
  <c r="N280" i="10" s="1"/>
  <c r="P140" i="13" l="1"/>
  <c r="H282" i="10"/>
  <c r="U140" i="13"/>
  <c r="H283" i="10"/>
  <c r="P283" i="10" l="1"/>
  <c r="Q283" i="10" s="1"/>
  <c r="P282" i="10"/>
  <c r="Q282" i="10" s="1"/>
  <c r="V283" i="10"/>
  <c r="V282" i="10"/>
  <c r="W282" i="10" l="1"/>
  <c r="X282" i="10" s="1"/>
  <c r="W283" i="10"/>
  <c r="X283" i="10" s="1"/>
  <c r="J283" i="10" l="1"/>
  <c r="M283" i="10" s="1"/>
  <c r="N283" i="10" s="1"/>
  <c r="J282" i="10"/>
  <c r="M282" i="10" s="1"/>
  <c r="N282" i="10" s="1"/>
  <c r="P141" i="13" l="1"/>
  <c r="H284" i="10"/>
  <c r="U141" i="13"/>
  <c r="H285" i="10"/>
  <c r="P285" i="10" l="1"/>
  <c r="Q285" i="10" s="1"/>
  <c r="P284" i="10"/>
  <c r="Q284" i="10" s="1"/>
  <c r="V285" i="10"/>
  <c r="V284" i="10"/>
  <c r="W284" i="10" l="1"/>
  <c r="X284" i="10" s="1"/>
  <c r="W285" i="10"/>
  <c r="X285" i="10" s="1"/>
  <c r="J285" i="10" l="1"/>
  <c r="M285" i="10" s="1"/>
  <c r="N285" i="10" s="1"/>
  <c r="J284" i="10"/>
  <c r="M284" i="10" s="1"/>
  <c r="N284" i="10" s="1"/>
  <c r="P142" i="13" l="1"/>
  <c r="H286" i="10"/>
  <c r="U142" i="13"/>
  <c r="H287" i="10"/>
  <c r="V287" i="10" l="1"/>
  <c r="P287" i="10"/>
  <c r="Q287" i="10" s="1"/>
  <c r="P286" i="10"/>
  <c r="Q286" i="10" s="1"/>
  <c r="V286" i="10"/>
  <c r="W286" i="10" l="1"/>
  <c r="X286" i="10" s="1"/>
  <c r="W287" i="10"/>
  <c r="X287" i="10" s="1"/>
  <c r="J287" i="10" l="1"/>
  <c r="M287" i="10" s="1"/>
  <c r="N287" i="10" s="1"/>
  <c r="J286" i="10"/>
  <c r="M286" i="10" s="1"/>
  <c r="N286" i="10" s="1"/>
  <c r="P143" i="13" l="1"/>
  <c r="H288" i="10"/>
  <c r="U143" i="13"/>
  <c r="H289" i="10"/>
  <c r="V289" i="10" l="1"/>
  <c r="P289" i="10"/>
  <c r="Q289" i="10" s="1"/>
  <c r="P288" i="10"/>
  <c r="Q288" i="10" s="1"/>
  <c r="V288" i="10"/>
  <c r="W288" i="10" l="1"/>
  <c r="X288" i="10" s="1"/>
  <c r="W289" i="10"/>
  <c r="X289" i="10" s="1"/>
  <c r="J288" i="10" l="1"/>
  <c r="M288" i="10" s="1"/>
  <c r="N288" i="10" s="1"/>
  <c r="J289" i="10"/>
  <c r="M289" i="10" s="1"/>
  <c r="N289" i="10" s="1"/>
  <c r="U146" i="13" l="1"/>
  <c r="U144" i="13"/>
  <c r="U145" i="13"/>
  <c r="U147" i="13"/>
  <c r="H297" i="10"/>
  <c r="P144" i="13"/>
  <c r="H290" i="10"/>
  <c r="V290" i="10" l="1"/>
  <c r="X290" i="10" s="1"/>
  <c r="Q290" i="10"/>
  <c r="V297" i="10"/>
  <c r="J291" i="10" l="1"/>
  <c r="M291" i="10" s="1"/>
  <c r="N291" i="10" s="1"/>
  <c r="J290" i="10"/>
  <c r="M290" i="10" s="1"/>
  <c r="N290" i="10" s="1"/>
  <c r="P145" i="13" l="1"/>
  <c r="H292" i="10"/>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P146" i="13"/>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P147" i="13"/>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P148" i="13" l="1"/>
  <c r="H298" i="10"/>
  <c r="U148" i="13"/>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U149" i="13" l="1"/>
  <c r="H301" i="10"/>
  <c r="P149" i="13"/>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U171" i="13"/>
  <c r="U178" i="13"/>
  <c r="U162" i="13"/>
  <c r="U176" i="13"/>
  <c r="U167" i="13"/>
  <c r="U151" i="13"/>
  <c r="U174" i="13"/>
  <c r="U158" i="13"/>
  <c r="U181" i="13"/>
  <c r="U165" i="13"/>
  <c r="U172" i="13"/>
  <c r="U156" i="13"/>
  <c r="U179" i="13"/>
  <c r="U163" i="13"/>
  <c r="U170" i="13"/>
  <c r="U154" i="13"/>
  <c r="U177" i="13"/>
  <c r="U168" i="13"/>
  <c r="U152" i="13"/>
  <c r="U175" i="13"/>
  <c r="U182" i="13"/>
  <c r="U166" i="13"/>
  <c r="U173" i="13"/>
  <c r="U157" i="13"/>
  <c r="U180" i="13"/>
  <c r="U169" i="13"/>
  <c r="U159" i="13"/>
  <c r="U150" i="13"/>
  <c r="U164" i="13"/>
  <c r="U160" i="13"/>
  <c r="U153" i="13"/>
  <c r="U161" i="13"/>
  <c r="U155" i="13"/>
  <c r="H369" i="10"/>
  <c r="P150" i="13"/>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P151" i="13"/>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P152" i="13" l="1"/>
  <c r="H306" i="10"/>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P153" i="13"/>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P154" i="13"/>
  <c r="H310" i="10"/>
  <c r="P310" i="10" l="1"/>
  <c r="Q310" i="10" s="1"/>
  <c r="P311" i="10"/>
  <c r="Q311" i="10" s="1"/>
  <c r="V310" i="10"/>
  <c r="W420" i="10"/>
  <c r="W424" i="10"/>
  <c r="X424" i="10" s="1"/>
  <c r="W423" i="10"/>
  <c r="W421" i="10"/>
  <c r="W422" i="10"/>
  <c r="J362" i="10"/>
  <c r="M362" i="10" s="1"/>
  <c r="N362" i="10" s="1"/>
  <c r="J363" i="10"/>
  <c r="M363" i="10" s="1"/>
  <c r="N363" i="10" s="1"/>
  <c r="V311" i="10"/>
  <c r="S243" i="13" l="1"/>
  <c r="S244" i="13"/>
  <c r="S241" i="13"/>
  <c r="S242" i="13"/>
  <c r="S239" i="13"/>
  <c r="S240" i="13"/>
  <c r="S237" i="13"/>
  <c r="S238" i="13"/>
  <c r="S234" i="13"/>
  <c r="B10" i="14"/>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J15" i="13"/>
  <c r="W311" i="10"/>
  <c r="X311" i="10" s="1"/>
  <c r="W310" i="10"/>
  <c r="X310" i="10" s="1"/>
  <c r="R180" i="13"/>
  <c r="H365" i="10"/>
  <c r="J310" i="10" l="1"/>
  <c r="M310" i="10" s="1"/>
  <c r="N310" i="10" s="1"/>
  <c r="J311" i="10"/>
  <c r="M311" i="10" s="1"/>
  <c r="N311" i="10" s="1"/>
  <c r="V365" i="10"/>
  <c r="L2" i="14"/>
  <c r="B15" i="13"/>
  <c r="S15" i="13" l="1"/>
  <c r="K155" i="13"/>
  <c r="H313" i="10"/>
  <c r="P155" i="13"/>
  <c r="H312" i="10"/>
  <c r="V312" i="10" l="1"/>
  <c r="P313" i="10"/>
  <c r="Q313" i="10" s="1"/>
  <c r="P312" i="10"/>
  <c r="Q312" i="10" s="1"/>
  <c r="V313" i="10"/>
  <c r="W15" i="13"/>
  <c r="AI15" i="13"/>
  <c r="F89" i="7"/>
  <c r="W312" i="10" l="1"/>
  <c r="X312" i="10" s="1"/>
  <c r="W313" i="10"/>
  <c r="X313" i="10" s="1"/>
  <c r="J313" i="10" l="1"/>
  <c r="M313" i="10" s="1"/>
  <c r="N313" i="10" s="1"/>
  <c r="J312" i="10"/>
  <c r="M312" i="10" s="1"/>
  <c r="N312" i="10" s="1"/>
  <c r="P156" i="13" l="1"/>
  <c r="H314" i="10"/>
  <c r="K156" i="13"/>
  <c r="H315" i="10"/>
  <c r="P315" i="10" l="1"/>
  <c r="Q315" i="10" s="1"/>
  <c r="P314" i="10"/>
  <c r="Q314" i="10" s="1"/>
  <c r="V315" i="10"/>
  <c r="V314" i="10"/>
  <c r="W314" i="10" l="1"/>
  <c r="X314" i="10" s="1"/>
  <c r="W315" i="10"/>
  <c r="X315" i="10" s="1"/>
  <c r="J315" i="10" l="1"/>
  <c r="M315" i="10" s="1"/>
  <c r="N315" i="10" s="1"/>
  <c r="J314" i="10"/>
  <c r="M314" i="10" s="1"/>
  <c r="N314" i="10" s="1"/>
  <c r="P157" i="13" l="1"/>
  <c r="H316" i="10"/>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P158" i="13"/>
  <c r="H318" i="10"/>
  <c r="V318" i="10" l="1"/>
  <c r="P319" i="10"/>
  <c r="Q319" i="10" s="1"/>
  <c r="P318" i="10"/>
  <c r="Q318" i="10" s="1"/>
  <c r="V319" i="10"/>
  <c r="W319" i="10" l="1"/>
  <c r="X319" i="10" s="1"/>
  <c r="W318" i="10"/>
  <c r="X318" i="10" s="1"/>
  <c r="J319" i="10" l="1"/>
  <c r="M319" i="10" s="1"/>
  <c r="N319" i="10" s="1"/>
  <c r="J318" i="10"/>
  <c r="M318" i="10" s="1"/>
  <c r="N318" i="10" s="1"/>
  <c r="P159" i="13" l="1"/>
  <c r="H320" i="10"/>
  <c r="K159" i="13"/>
  <c r="H321" i="10"/>
  <c r="P320" i="10" l="1"/>
  <c r="Q320" i="10" s="1"/>
  <c r="P321" i="10"/>
  <c r="Q321" i="10" s="1"/>
  <c r="V321" i="10"/>
  <c r="V320" i="10"/>
  <c r="W321" i="10" l="1"/>
  <c r="X321" i="10" s="1"/>
  <c r="W320" i="10"/>
  <c r="X320" i="10" s="1"/>
  <c r="J321" i="10" l="1"/>
  <c r="M321" i="10" s="1"/>
  <c r="N321" i="10" s="1"/>
  <c r="J320" i="10"/>
  <c r="M320" i="10" s="1"/>
  <c r="N320" i="10" s="1"/>
  <c r="P160" i="13" l="1"/>
  <c r="H322" i="10"/>
  <c r="K160" i="13"/>
  <c r="H323" i="10"/>
  <c r="P323" i="10" l="1"/>
  <c r="Q323" i="10" s="1"/>
  <c r="P322" i="10"/>
  <c r="Q322" i="10" s="1"/>
  <c r="V323" i="10"/>
  <c r="V322" i="10"/>
  <c r="W323" i="10" l="1"/>
  <c r="X323" i="10" s="1"/>
  <c r="W322" i="10"/>
  <c r="X322" i="10" s="1"/>
  <c r="J323" i="10" l="1"/>
  <c r="M323" i="10" s="1"/>
  <c r="N323" i="10" s="1"/>
  <c r="J322" i="10"/>
  <c r="M322" i="10" s="1"/>
  <c r="N322" i="10" s="1"/>
  <c r="P161" i="13" l="1"/>
  <c r="H324" i="10"/>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P162" i="13"/>
  <c r="H326" i="10"/>
  <c r="P327" i="10" l="1"/>
  <c r="Q327" i="10" s="1"/>
  <c r="P328" i="10"/>
  <c r="Q328" i="10" s="1"/>
  <c r="P326" i="10"/>
  <c r="Q326" i="10" s="1"/>
  <c r="V326" i="10"/>
  <c r="V327" i="10"/>
  <c r="W326" i="10" l="1"/>
  <c r="X326" i="10" s="1"/>
  <c r="W328" i="10"/>
  <c r="X328" i="10" s="1"/>
  <c r="J328" i="10" s="1"/>
  <c r="M328" i="10" s="1"/>
  <c r="N328" i="10" s="1"/>
  <c r="W327" i="10"/>
  <c r="X327" i="10" s="1"/>
  <c r="N243" i="13" l="1"/>
  <c r="N244" i="13"/>
  <c r="N241" i="13"/>
  <c r="N242" i="13"/>
  <c r="N239" i="13"/>
  <c r="N240" i="13"/>
  <c r="N237" i="13"/>
  <c r="N238" i="13"/>
  <c r="J326" i="10"/>
  <c r="M326" i="10" s="1"/>
  <c r="N326" i="10" s="1"/>
  <c r="J327" i="10"/>
  <c r="M327" i="10" s="1"/>
  <c r="N327" i="10" s="1"/>
  <c r="B5" i="14"/>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J10" i="13"/>
  <c r="G2" i="14" l="1"/>
  <c r="B10" i="13"/>
  <c r="K163" i="13"/>
  <c r="H330" i="10"/>
  <c r="P163" i="13"/>
  <c r="H329" i="10"/>
  <c r="P329" i="10" l="1"/>
  <c r="Q329" i="10" s="1"/>
  <c r="P330" i="10"/>
  <c r="Q330" i="10" s="1"/>
  <c r="V329" i="10"/>
  <c r="V330" i="10"/>
  <c r="S10" i="13"/>
  <c r="AI10" i="13" l="1"/>
  <c r="W10" i="13"/>
  <c r="F101" i="7"/>
  <c r="W330" i="10"/>
  <c r="X330" i="10" s="1"/>
  <c r="W329" i="10"/>
  <c r="X329" i="10" s="1"/>
  <c r="J330" i="10" l="1"/>
  <c r="M330" i="10" s="1"/>
  <c r="N330" i="10" s="1"/>
  <c r="J329" i="10"/>
  <c r="M329" i="10" s="1"/>
  <c r="N329" i="10" s="1"/>
  <c r="K164" i="13" l="1"/>
  <c r="H332" i="10"/>
  <c r="P164" i="13"/>
  <c r="H331" i="10"/>
  <c r="V331" i="10" l="1"/>
  <c r="P331" i="10"/>
  <c r="Q331" i="10" s="1"/>
  <c r="P332" i="10"/>
  <c r="Q332" i="10" s="1"/>
  <c r="V332" i="10"/>
  <c r="W332" i="10" l="1"/>
  <c r="X332" i="10" s="1"/>
  <c r="W331" i="10"/>
  <c r="X331" i="10" s="1"/>
  <c r="J332" i="10" l="1"/>
  <c r="M332" i="10" s="1"/>
  <c r="N332" i="10" s="1"/>
  <c r="J331" i="10"/>
  <c r="M331" i="10" s="1"/>
  <c r="N331" i="10" s="1"/>
  <c r="P165" i="13" l="1"/>
  <c r="H333" i="10"/>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P166" i="13"/>
  <c r="H336" i="10"/>
  <c r="V336" i="10" l="1"/>
  <c r="P336" i="10"/>
  <c r="Q336" i="10" s="1"/>
  <c r="P335" i="10"/>
  <c r="Q335" i="10" s="1"/>
  <c r="V335" i="10"/>
  <c r="W335" i="10" l="1"/>
  <c r="X335" i="10" s="1"/>
  <c r="W336" i="10"/>
  <c r="X336" i="10" s="1"/>
  <c r="J335" i="10" l="1"/>
  <c r="M335" i="10" s="1"/>
  <c r="N335" i="10" s="1"/>
  <c r="J336" i="10"/>
  <c r="M336" i="10" s="1"/>
  <c r="N336" i="10" s="1"/>
  <c r="P168" i="13" l="1"/>
  <c r="P167" i="13"/>
  <c r="H339" i="10"/>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P169" i="13"/>
  <c r="H341" i="10"/>
  <c r="P341" i="10" l="1"/>
  <c r="Q341" i="10" s="1"/>
  <c r="P342" i="10"/>
  <c r="Q342" i="10" s="1"/>
  <c r="V341" i="10"/>
  <c r="V342" i="10"/>
  <c r="W342" i="10" l="1"/>
  <c r="X342" i="10" s="1"/>
  <c r="W341" i="10"/>
  <c r="X341" i="10" s="1"/>
  <c r="J342" i="10" l="1"/>
  <c r="M342" i="10" s="1"/>
  <c r="N342" i="10" s="1"/>
  <c r="J341" i="10"/>
  <c r="M341" i="10" s="1"/>
  <c r="N341" i="10" s="1"/>
  <c r="P170" i="13" l="1"/>
  <c r="H343" i="10"/>
  <c r="K170" i="13"/>
  <c r="H344" i="10"/>
  <c r="V344" i="10" l="1"/>
  <c r="P343" i="10"/>
  <c r="Q343" i="10" s="1"/>
  <c r="P344" i="10"/>
  <c r="Q344" i="10" s="1"/>
  <c r="V343" i="10"/>
  <c r="W344" i="10" l="1"/>
  <c r="X344" i="10" s="1"/>
  <c r="W343" i="10"/>
  <c r="X343" i="10" s="1"/>
  <c r="J344" i="10" l="1"/>
  <c r="M344" i="10" s="1"/>
  <c r="N344" i="10" s="1"/>
  <c r="J343" i="10"/>
  <c r="M343" i="10" s="1"/>
  <c r="N343" i="10" s="1"/>
  <c r="P171" i="13" l="1"/>
  <c r="H345" i="10"/>
  <c r="K171" i="13"/>
  <c r="H346" i="10"/>
  <c r="V346" i="10" l="1"/>
  <c r="P345" i="10"/>
  <c r="Q345" i="10" s="1"/>
  <c r="P346" i="10"/>
  <c r="Q346" i="10" s="1"/>
  <c r="V345" i="10"/>
  <c r="W346" i="10" l="1"/>
  <c r="X346" i="10" s="1"/>
  <c r="W345" i="10"/>
  <c r="X345" i="10" s="1"/>
  <c r="J346" i="10" l="1"/>
  <c r="M346" i="10" s="1"/>
  <c r="N346" i="10" s="1"/>
  <c r="J345" i="10"/>
  <c r="M345" i="10" s="1"/>
  <c r="N345" i="10" s="1"/>
  <c r="P175" i="13" l="1"/>
  <c r="P173" i="13"/>
  <c r="P180" i="13"/>
  <c r="P178" i="13"/>
  <c r="P176" i="13"/>
  <c r="P174" i="13"/>
  <c r="P172" i="13"/>
  <c r="P179" i="13"/>
  <c r="P177" i="13"/>
  <c r="H364" i="10"/>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P182" i="13"/>
  <c r="P181" i="13"/>
  <c r="H368" i="10"/>
  <c r="P369" i="10" l="1"/>
  <c r="Q369" i="10" s="1"/>
  <c r="P368" i="10"/>
  <c r="Q368" i="10" s="1"/>
  <c r="V368" i="10"/>
  <c r="V372" i="10"/>
  <c r="W368" i="10" l="1"/>
  <c r="X368" i="10" s="1"/>
  <c r="W369" i="10"/>
  <c r="X369" i="10" s="1"/>
  <c r="J369" i="10" l="1"/>
  <c r="M369" i="10" s="1"/>
  <c r="N369" i="10" s="1"/>
  <c r="J368" i="10"/>
  <c r="M368" i="10" s="1"/>
  <c r="N368" i="10" s="1"/>
  <c r="P183" i="13" l="1"/>
  <c r="H370" i="10"/>
  <c r="U183" i="13"/>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P184" i="13"/>
  <c r="H373" i="10"/>
  <c r="U184" i="13"/>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U185" i="13" l="1"/>
  <c r="H379" i="10"/>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P185" i="13"/>
  <c r="H377" i="10"/>
  <c r="Q185" i="13"/>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Q195" i="13"/>
  <c r="Q202" i="13"/>
  <c r="Q200" i="13"/>
  <c r="Q198" i="13"/>
  <c r="Q203" i="13"/>
  <c r="Q191" i="13"/>
  <c r="Q189" i="13"/>
  <c r="Q187" i="13"/>
  <c r="Q196" i="13"/>
  <c r="Q194" i="13"/>
  <c r="Q201" i="13"/>
  <c r="Q192" i="13"/>
  <c r="Q199" i="13"/>
  <c r="Q190" i="13"/>
  <c r="Q188" i="13"/>
  <c r="Q204" i="13"/>
  <c r="Q186" i="13"/>
  <c r="Q193" i="13"/>
  <c r="Q197" i="13"/>
  <c r="H423" i="10"/>
  <c r="U187" i="13"/>
  <c r="U188" i="13"/>
  <c r="U186" i="13"/>
  <c r="U189" i="13"/>
  <c r="H388" i="10"/>
  <c r="J380" i="10"/>
  <c r="M380" i="10" s="1"/>
  <c r="N380" i="10" s="1"/>
  <c r="J377" i="10"/>
  <c r="M377" i="10" s="1"/>
  <c r="N377" i="10" s="1"/>
  <c r="J383" i="10"/>
  <c r="M383" i="10" s="1"/>
  <c r="N383" i="10" s="1"/>
  <c r="J384" i="10"/>
  <c r="M384" i="10" s="1"/>
  <c r="N384" i="10" s="1"/>
  <c r="R188" i="13" l="1"/>
  <c r="H386" i="10"/>
  <c r="K188" i="13"/>
  <c r="H385" i="10"/>
  <c r="P189" i="13"/>
  <c r="P187" i="13"/>
  <c r="P188" i="13"/>
  <c r="P186" i="13"/>
  <c r="H387" i="10"/>
  <c r="M186" i="13"/>
  <c r="M191" i="13"/>
  <c r="M189" i="13"/>
  <c r="M187" i="13"/>
  <c r="M192" i="13"/>
  <c r="M190" i="13"/>
  <c r="M188" i="13"/>
  <c r="H395" i="10"/>
  <c r="P388" i="10"/>
  <c r="Q388" i="10" s="1"/>
  <c r="P387" i="10"/>
  <c r="V388" i="10"/>
  <c r="V423" i="10"/>
  <c r="X423" i="10" s="1"/>
  <c r="J423" i="10" s="1"/>
  <c r="M423" i="10" s="1"/>
  <c r="N423" i="10" s="1"/>
  <c r="Q423" i="10"/>
  <c r="Q243" i="13" l="1"/>
  <c r="Q244" i="13"/>
  <c r="Q241" i="13"/>
  <c r="Q242" i="13"/>
  <c r="Q239" i="13"/>
  <c r="Q240" i="13"/>
  <c r="Q237" i="13"/>
  <c r="Q238" i="13"/>
  <c r="Q387" i="10"/>
  <c r="Q236" i="13"/>
  <c r="B8" i="14"/>
  <c r="Q231" i="13"/>
  <c r="Q215" i="13"/>
  <c r="Q235" i="13"/>
  <c r="Q222" i="13"/>
  <c r="Q206" i="13"/>
  <c r="Q229" i="13"/>
  <c r="Q213" i="13"/>
  <c r="Q220" i="13"/>
  <c r="Q227" i="13"/>
  <c r="Q211" i="13"/>
  <c r="Q218" i="13"/>
  <c r="Q234" i="13"/>
  <c r="Q225" i="13"/>
  <c r="Q209" i="13"/>
  <c r="Q232" i="13"/>
  <c r="Q216" i="13"/>
  <c r="Q223" i="13"/>
  <c r="Q207" i="13"/>
  <c r="Q230" i="13"/>
  <c r="Q214" i="13"/>
  <c r="Q228" i="13"/>
  <c r="Q219" i="13"/>
  <c r="Q233" i="13"/>
  <c r="Q217" i="13"/>
  <c r="Q224" i="13"/>
  <c r="Q208" i="13"/>
  <c r="Q221" i="13"/>
  <c r="Q226" i="13"/>
  <c r="Q212" i="13"/>
  <c r="Q205" i="13"/>
  <c r="Q210" i="13"/>
  <c r="J13" i="13"/>
  <c r="V387" i="10"/>
  <c r="V395" i="10"/>
  <c r="W388" i="10"/>
  <c r="X388" i="10" s="1"/>
  <c r="W387" i="10"/>
  <c r="V385" i="10"/>
  <c r="P386" i="10"/>
  <c r="Q386" i="10" s="1"/>
  <c r="P385" i="10"/>
  <c r="Q385" i="10" s="1"/>
  <c r="V386" i="10"/>
  <c r="X387" i="10" l="1"/>
  <c r="J387" i="10" s="1"/>
  <c r="M387" i="10" s="1"/>
  <c r="N387" i="10" s="1"/>
  <c r="W385" i="10"/>
  <c r="X385" i="10" s="1"/>
  <c r="W386" i="10"/>
  <c r="X386" i="10" s="1"/>
  <c r="J2" i="14"/>
  <c r="B13" i="13"/>
  <c r="J388" i="10" l="1"/>
  <c r="M388" i="10" s="1"/>
  <c r="N388" i="10" s="1"/>
  <c r="J385" i="10"/>
  <c r="M385" i="10" s="1"/>
  <c r="N385" i="10" s="1"/>
  <c r="J386" i="10"/>
  <c r="M386" i="10" s="1"/>
  <c r="N386" i="10" s="1"/>
  <c r="U190" i="13"/>
  <c r="H390" i="10"/>
  <c r="S13" i="13"/>
  <c r="P190" i="13"/>
  <c r="H389" i="10"/>
  <c r="V389" i="10" l="1"/>
  <c r="W13" i="13"/>
  <c r="AI13" i="13"/>
  <c r="F91" i="7"/>
  <c r="S91" i="7" s="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P191" i="13"/>
  <c r="H391" i="10"/>
  <c r="U191" i="13"/>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P192" i="13" l="1"/>
  <c r="H393" i="10"/>
  <c r="U192" i="13"/>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P193" i="13" l="1"/>
  <c r="H396" i="10"/>
  <c r="V397" i="10"/>
  <c r="J407" i="10"/>
  <c r="M407" i="10" s="1"/>
  <c r="N407" i="10" s="1"/>
  <c r="J406" i="10"/>
  <c r="M406" i="10" s="1"/>
  <c r="N406" i="10" s="1"/>
  <c r="U193" i="13"/>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U194" i="13"/>
  <c r="H401" i="10"/>
  <c r="P194" i="13"/>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K243" i="13" l="1"/>
  <c r="K244" i="13"/>
  <c r="K241" i="13"/>
  <c r="K242" i="13"/>
  <c r="K239" i="13"/>
  <c r="K240" i="13"/>
  <c r="K237" i="13"/>
  <c r="K238" i="13"/>
  <c r="R205" i="13"/>
  <c r="H426" i="10"/>
  <c r="B2" i="14"/>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7" i="13"/>
  <c r="J399" i="10"/>
  <c r="M399" i="10" s="1"/>
  <c r="N399" i="10" s="1"/>
  <c r="J400" i="10"/>
  <c r="M400" i="10" s="1"/>
  <c r="N400" i="10" s="1"/>
  <c r="U202" i="13"/>
  <c r="U209" i="13"/>
  <c r="U207" i="13"/>
  <c r="U198" i="13"/>
  <c r="U205" i="13"/>
  <c r="U203" i="13"/>
  <c r="U210" i="13"/>
  <c r="U196" i="13"/>
  <c r="U208" i="13"/>
  <c r="U201" i="13"/>
  <c r="U200" i="13"/>
  <c r="U199" i="13"/>
  <c r="U204" i="13"/>
  <c r="U195" i="13"/>
  <c r="U197" i="13"/>
  <c r="U206" i="13"/>
  <c r="H436" i="10"/>
  <c r="M243" i="13" l="1"/>
  <c r="M244" i="13"/>
  <c r="M241" i="13"/>
  <c r="M242" i="13"/>
  <c r="M239" i="13"/>
  <c r="M240" i="13"/>
  <c r="M237" i="13"/>
  <c r="M238" i="13"/>
  <c r="V436" i="10"/>
  <c r="B4" i="14"/>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J9" i="13"/>
  <c r="D2" i="14"/>
  <c r="B7" i="13"/>
  <c r="P199" i="13"/>
  <c r="P204" i="13"/>
  <c r="P202" i="13"/>
  <c r="P200" i="13"/>
  <c r="P197" i="13"/>
  <c r="P196" i="13"/>
  <c r="P201" i="13"/>
  <c r="P203" i="13"/>
  <c r="P198" i="13"/>
  <c r="P195" i="13"/>
  <c r="H420" i="10"/>
  <c r="P426" i="10"/>
  <c r="Q426" i="10" s="1"/>
  <c r="P425" i="10"/>
  <c r="V426" i="10"/>
  <c r="S7" i="13" l="1"/>
  <c r="W425" i="10"/>
  <c r="W426" i="10"/>
  <c r="X426" i="10" s="1"/>
  <c r="V420" i="10"/>
  <c r="X420" i="10" s="1"/>
  <c r="Q420" i="10"/>
  <c r="F2" i="14"/>
  <c r="B9" i="13"/>
  <c r="J420" i="10" l="1"/>
  <c r="M420" i="10" s="1"/>
  <c r="N420" i="10" s="1"/>
  <c r="J424" i="10"/>
  <c r="M424" i="10" s="1"/>
  <c r="N424" i="10" s="1"/>
  <c r="W7" i="13"/>
  <c r="AI7" i="13"/>
  <c r="F94" i="7"/>
  <c r="S94" i="7" s="1"/>
  <c r="S9" i="13"/>
  <c r="W9" i="13" l="1"/>
  <c r="AI9" i="13"/>
  <c r="F99" i="7"/>
  <c r="O208" i="13"/>
  <c r="O215" i="13"/>
  <c r="O213" i="13"/>
  <c r="O211" i="13"/>
  <c r="O209" i="13"/>
  <c r="O205" i="13"/>
  <c r="O210" i="13"/>
  <c r="O207" i="13"/>
  <c r="O206" i="13"/>
  <c r="O212" i="13"/>
  <c r="O214" i="13"/>
  <c r="H448" i="10"/>
  <c r="J11" i="13"/>
  <c r="P205" i="13"/>
  <c r="H425" i="10"/>
  <c r="P449" i="10" l="1"/>
  <c r="P448" i="10"/>
  <c r="Q448" i="10" s="1"/>
  <c r="V448" i="10"/>
  <c r="V425" i="10"/>
  <c r="X425" i="10" s="1"/>
  <c r="Q425" i="10"/>
  <c r="W448" i="10" l="1"/>
  <c r="X448" i="10" s="1"/>
  <c r="W449" i="10"/>
  <c r="J425" i="10"/>
  <c r="M425" i="10" s="1"/>
  <c r="N425" i="10" s="1"/>
  <c r="J426" i="10"/>
  <c r="M426" i="10" s="1"/>
  <c r="N426" i="10" s="1"/>
  <c r="R206" i="13" l="1"/>
  <c r="H428" i="10"/>
  <c r="P206" i="13"/>
  <c r="H427" i="10"/>
  <c r="P427" i="10" l="1"/>
  <c r="Q427" i="10" s="1"/>
  <c r="P428" i="10"/>
  <c r="Q428" i="10" s="1"/>
  <c r="V427" i="10"/>
  <c r="V428" i="10"/>
  <c r="W428" i="10" l="1"/>
  <c r="X428" i="10" s="1"/>
  <c r="W427" i="10"/>
  <c r="X427" i="10" s="1"/>
  <c r="J427" i="10" l="1"/>
  <c r="M427" i="10" s="1"/>
  <c r="N427" i="10" s="1"/>
  <c r="J428" i="10"/>
  <c r="M428" i="10" s="1"/>
  <c r="N428" i="10" s="1"/>
  <c r="R207" i="13" l="1"/>
  <c r="H430" i="10"/>
  <c r="P207" i="13"/>
  <c r="H429" i="10"/>
  <c r="P429" i="10" l="1"/>
  <c r="Q429" i="10" s="1"/>
  <c r="P430" i="10"/>
  <c r="Q430" i="10" s="1"/>
  <c r="V429" i="10"/>
  <c r="V430" i="10"/>
  <c r="W429" i="10" l="1"/>
  <c r="X429" i="10" s="1"/>
  <c r="W430" i="10"/>
  <c r="X430" i="10" s="1"/>
  <c r="J429" i="10" l="1"/>
  <c r="M429" i="10" s="1"/>
  <c r="N429" i="10" s="1"/>
  <c r="J430" i="10"/>
  <c r="M430" i="10" s="1"/>
  <c r="N430" i="10" s="1"/>
  <c r="R208" i="13" l="1"/>
  <c r="H432" i="10"/>
  <c r="P208" i="13"/>
  <c r="H431" i="10"/>
  <c r="V431" i="10" l="1"/>
  <c r="P431" i="10"/>
  <c r="Q431" i="10" s="1"/>
  <c r="P432" i="10"/>
  <c r="Q432" i="10" s="1"/>
  <c r="V432" i="10"/>
  <c r="W432" i="10" l="1"/>
  <c r="X432" i="10" s="1"/>
  <c r="W431" i="10"/>
  <c r="X431" i="10" s="1"/>
  <c r="J431" i="10" l="1"/>
  <c r="M431" i="10" s="1"/>
  <c r="N431" i="10" s="1"/>
  <c r="J432" i="10"/>
  <c r="M432" i="10" s="1"/>
  <c r="N432" i="10" s="1"/>
  <c r="R209" i="13" l="1"/>
  <c r="H434" i="10"/>
  <c r="P209" i="13"/>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P210" i="13"/>
  <c r="H435" i="10"/>
  <c r="P435" i="10" l="1"/>
  <c r="Q435" i="10" s="1"/>
  <c r="P436" i="10"/>
  <c r="Q436" i="10" s="1"/>
  <c r="V435" i="10"/>
  <c r="V438" i="10"/>
  <c r="W436" i="10" l="1"/>
  <c r="X436" i="10" s="1"/>
  <c r="W435" i="10"/>
  <c r="X435" i="10" s="1"/>
  <c r="J435" i="10" l="1"/>
  <c r="M435" i="10" s="1"/>
  <c r="N435" i="10" s="1"/>
  <c r="J436" i="10"/>
  <c r="M436" i="10" s="1"/>
  <c r="N436" i="10" s="1"/>
  <c r="U211" i="13" l="1"/>
  <c r="H439" i="10"/>
  <c r="P211" i="13"/>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U212" i="13"/>
  <c r="H442" i="10"/>
  <c r="V442" i="10" l="1"/>
  <c r="R212" i="13"/>
  <c r="H441" i="10"/>
  <c r="P212" i="13"/>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U213" i="13"/>
  <c r="H445" i="10"/>
  <c r="V445" i="10" l="1"/>
  <c r="R213" i="13"/>
  <c r="H444" i="10"/>
  <c r="P213" i="13"/>
  <c r="H443" i="10"/>
  <c r="V443" i="10" l="1"/>
  <c r="P444" i="10"/>
  <c r="Q444" i="10" s="1"/>
  <c r="P443" i="10"/>
  <c r="Q443" i="10" s="1"/>
  <c r="P445" i="10"/>
  <c r="Q445" i="10" s="1"/>
  <c r="V444" i="10"/>
  <c r="W443" i="10" l="1"/>
  <c r="X443" i="10" s="1"/>
  <c r="W445" i="10"/>
  <c r="X445" i="10" s="1"/>
  <c r="J445" i="10" s="1"/>
  <c r="M445" i="10" s="1"/>
  <c r="N445" i="10" s="1"/>
  <c r="W444" i="10"/>
  <c r="X444" i="10" s="1"/>
  <c r="U214" i="13" l="1"/>
  <c r="H447" i="10"/>
  <c r="J443" i="10"/>
  <c r="M443" i="10" s="1"/>
  <c r="N443" i="10" s="1"/>
  <c r="J444" i="10"/>
  <c r="M444" i="10" s="1"/>
  <c r="N444" i="10" s="1"/>
  <c r="R222" i="13" l="1"/>
  <c r="R220" i="13"/>
  <c r="R218" i="13"/>
  <c r="R225" i="13"/>
  <c r="R216" i="13"/>
  <c r="R223" i="13"/>
  <c r="R214" i="13"/>
  <c r="R221" i="13"/>
  <c r="R219" i="13"/>
  <c r="R224" i="13"/>
  <c r="R215" i="13"/>
  <c r="R217" i="13"/>
  <c r="H469" i="10"/>
  <c r="J14" i="13"/>
  <c r="P214" i="13"/>
  <c r="H446" i="10"/>
  <c r="V447" i="10"/>
  <c r="V469" i="10" l="1"/>
  <c r="P446" i="10"/>
  <c r="Q446" i="10" s="1"/>
  <c r="P447" i="10"/>
  <c r="Q447" i="10" s="1"/>
  <c r="V446" i="10"/>
  <c r="W446" i="10" l="1"/>
  <c r="X446" i="10" s="1"/>
  <c r="W447" i="10"/>
  <c r="X447" i="10" s="1"/>
  <c r="J447" i="10" l="1"/>
  <c r="M447" i="10" s="1"/>
  <c r="N447" i="10" s="1"/>
  <c r="J446" i="10"/>
  <c r="M446" i="10" s="1"/>
  <c r="N446" i="10" s="1"/>
  <c r="U243" i="13" l="1"/>
  <c r="U244" i="13"/>
  <c r="U241" i="13"/>
  <c r="U242" i="13"/>
  <c r="U239" i="13"/>
  <c r="U240" i="13"/>
  <c r="U237" i="13"/>
  <c r="U238" i="13"/>
  <c r="P215" i="13"/>
  <c r="J12" i="13"/>
  <c r="H449" i="10"/>
  <c r="B12" i="14"/>
  <c r="U227" i="13"/>
  <c r="U218" i="13"/>
  <c r="U225" i="13"/>
  <c r="U232" i="13"/>
  <c r="U234" i="13"/>
  <c r="U223" i="13"/>
  <c r="U230" i="13"/>
  <c r="U221" i="13"/>
  <c r="U228" i="13"/>
  <c r="U236" i="13"/>
  <c r="U219" i="13"/>
  <c r="U226" i="13"/>
  <c r="U233" i="13"/>
  <c r="U224" i="13"/>
  <c r="U231" i="13"/>
  <c r="U215" i="13"/>
  <c r="U235" i="13"/>
  <c r="U229" i="13"/>
  <c r="U220" i="13"/>
  <c r="U216" i="13"/>
  <c r="U222" i="13"/>
  <c r="U217" i="13"/>
  <c r="J17" i="13"/>
  <c r="K17" i="13" l="1"/>
  <c r="K16" i="13"/>
  <c r="K15" i="13"/>
  <c r="K20" i="13"/>
  <c r="K8" i="13"/>
  <c r="K18" i="13"/>
  <c r="K13" i="13"/>
  <c r="K10" i="13"/>
  <c r="K19" i="13"/>
  <c r="N2" i="14"/>
  <c r="B17" i="13"/>
  <c r="V449" i="10"/>
  <c r="X449" i="10" s="1"/>
  <c r="Q449" i="10"/>
  <c r="K12" i="13"/>
  <c r="K11" i="13"/>
  <c r="K7" i="13"/>
  <c r="K9" i="13"/>
  <c r="K14" i="13"/>
  <c r="J449" i="10" l="1"/>
  <c r="M449" i="10" s="1"/>
  <c r="N449" i="10" s="1"/>
  <c r="J448" i="10"/>
  <c r="M448" i="10" s="1"/>
  <c r="N448" i="10" s="1"/>
  <c r="S17" i="13"/>
  <c r="O216" i="13" l="1"/>
  <c r="H451" i="10"/>
  <c r="AI17" i="13"/>
  <c r="W17" i="13"/>
  <c r="F92" i="7"/>
  <c r="S92" i="7" s="1"/>
  <c r="P216" i="13"/>
  <c r="H450" i="10"/>
  <c r="P451" i="10" l="1"/>
  <c r="Q451" i="10" s="1"/>
  <c r="P450" i="10"/>
  <c r="Q450" i="10" s="1"/>
  <c r="V450" i="10"/>
  <c r="V451" i="10"/>
  <c r="W450" i="10" l="1"/>
  <c r="X450" i="10" s="1"/>
  <c r="W451" i="10"/>
  <c r="X451" i="10" s="1"/>
  <c r="J450" i="10" l="1"/>
  <c r="M450" i="10" s="1"/>
  <c r="N450" i="10" s="1"/>
  <c r="J451" i="10"/>
  <c r="M451" i="10" s="1"/>
  <c r="N451" i="10" s="1"/>
  <c r="O217" i="13" l="1"/>
  <c r="H453" i="10"/>
  <c r="P217" i="13"/>
  <c r="H452" i="10"/>
  <c r="V452" i="10" l="1"/>
  <c r="P453" i="10"/>
  <c r="Q453" i="10" s="1"/>
  <c r="P452" i="10"/>
  <c r="Q452" i="10" s="1"/>
  <c r="V453" i="10"/>
  <c r="W452" i="10" l="1"/>
  <c r="X452" i="10" s="1"/>
  <c r="W453" i="10"/>
  <c r="X453" i="10" s="1"/>
  <c r="J453" i="10" l="1"/>
  <c r="M453" i="10" s="1"/>
  <c r="N453" i="10" s="1"/>
  <c r="J452" i="10"/>
  <c r="M452" i="10" s="1"/>
  <c r="N452" i="10" s="1"/>
  <c r="P218" i="13" l="1"/>
  <c r="H454" i="10"/>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P219" i="13"/>
  <c r="H456" i="10"/>
  <c r="P456" i="10" l="1"/>
  <c r="Q456" i="10" s="1"/>
  <c r="P457" i="10"/>
  <c r="Q457" i="10" s="1"/>
  <c r="V456" i="10"/>
  <c r="V457" i="10"/>
  <c r="W457" i="10" l="1"/>
  <c r="X457" i="10" s="1"/>
  <c r="W456" i="10"/>
  <c r="X456" i="10" s="1"/>
  <c r="J456" i="10" l="1"/>
  <c r="M456" i="10" s="1"/>
  <c r="N456" i="10" s="1"/>
  <c r="J457" i="10"/>
  <c r="M457" i="10" s="1"/>
  <c r="N457" i="10" s="1"/>
  <c r="O220" i="13" l="1"/>
  <c r="H459" i="10"/>
  <c r="P220" i="13"/>
  <c r="H458" i="10"/>
  <c r="V458" i="10" l="1"/>
  <c r="P458" i="10"/>
  <c r="Q458" i="10" s="1"/>
  <c r="P459" i="10"/>
  <c r="Q459" i="10" s="1"/>
  <c r="V459" i="10"/>
  <c r="W459" i="10" l="1"/>
  <c r="X459" i="10" s="1"/>
  <c r="W458" i="10"/>
  <c r="X458" i="10" s="1"/>
  <c r="J459" i="10" l="1"/>
  <c r="M459" i="10" s="1"/>
  <c r="N459" i="10" s="1"/>
  <c r="J458" i="10"/>
  <c r="M458" i="10" s="1"/>
  <c r="N458" i="10" s="1"/>
  <c r="P221" i="13" l="1"/>
  <c r="H460" i="10"/>
  <c r="O221" i="13"/>
  <c r="H461" i="10"/>
  <c r="V461" i="10" l="1"/>
  <c r="P460" i="10"/>
  <c r="Q460" i="10" s="1"/>
  <c r="P461" i="10"/>
  <c r="Q461" i="10" s="1"/>
  <c r="V460" i="10"/>
  <c r="W461" i="10" l="1"/>
  <c r="X461" i="10" s="1"/>
  <c r="W460" i="10"/>
  <c r="X460" i="10" s="1"/>
  <c r="J461" i="10" l="1"/>
  <c r="M461" i="10" s="1"/>
  <c r="N461" i="10" s="1"/>
  <c r="J460" i="10"/>
  <c r="M460" i="10" s="1"/>
  <c r="N460" i="10" s="1"/>
  <c r="P222" i="13" l="1"/>
  <c r="H462" i="10"/>
  <c r="O222" i="13"/>
  <c r="H463" i="10"/>
  <c r="P462" i="10" l="1"/>
  <c r="Q462" i="10" s="1"/>
  <c r="P463" i="10"/>
  <c r="Q463" i="10" s="1"/>
  <c r="V463" i="10"/>
  <c r="V462" i="10"/>
  <c r="W462" i="10" l="1"/>
  <c r="X462" i="10" s="1"/>
  <c r="W463" i="10"/>
  <c r="X463" i="10" s="1"/>
  <c r="J463" i="10" l="1"/>
  <c r="M463" i="10" s="1"/>
  <c r="N463" i="10" s="1"/>
  <c r="J462" i="10"/>
  <c r="M462" i="10" s="1"/>
  <c r="N462" i="10" s="1"/>
  <c r="P223" i="13" l="1"/>
  <c r="H464" i="10"/>
  <c r="O223" i="13"/>
  <c r="H465" i="10"/>
  <c r="P465" i="10" l="1"/>
  <c r="Q465" i="10" s="1"/>
  <c r="P464" i="10"/>
  <c r="Q464" i="10" s="1"/>
  <c r="V465" i="10"/>
  <c r="V464" i="10"/>
  <c r="W464" i="10" l="1"/>
  <c r="X464" i="10" s="1"/>
  <c r="W465" i="10"/>
  <c r="X465" i="10" s="1"/>
  <c r="J465" i="10" l="1"/>
  <c r="M465" i="10" s="1"/>
  <c r="N465" i="10" s="1"/>
  <c r="J464" i="10"/>
  <c r="M464" i="10" s="1"/>
  <c r="N464" i="10" s="1"/>
  <c r="P224" i="13" l="1"/>
  <c r="H466" i="10"/>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P225" i="13"/>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P243" i="13" l="1"/>
  <c r="P244" i="13"/>
  <c r="P241" i="13"/>
  <c r="P242" i="13"/>
  <c r="P239" i="13"/>
  <c r="P240" i="13"/>
  <c r="P237" i="13"/>
  <c r="P238" i="13"/>
  <c r="B7" i="14"/>
  <c r="P236" i="13"/>
  <c r="P231" i="13"/>
  <c r="P235" i="13"/>
  <c r="P229" i="13"/>
  <c r="P227" i="13"/>
  <c r="P234" i="13"/>
  <c r="P232" i="13"/>
  <c r="P230" i="13"/>
  <c r="P228" i="13"/>
  <c r="P226" i="13"/>
  <c r="P233" i="13"/>
  <c r="R226" i="13"/>
  <c r="H470" i="10"/>
  <c r="P472" i="10" l="1"/>
  <c r="Q472" i="10" s="1"/>
  <c r="P471" i="10"/>
  <c r="Q471" i="10" s="1"/>
  <c r="P470" i="10"/>
  <c r="Q470" i="10" s="1"/>
  <c r="V470" i="10"/>
  <c r="I2" i="14"/>
  <c r="B12" i="13"/>
  <c r="S12" i="13" l="1"/>
  <c r="W471" i="10"/>
  <c r="X471" i="10" s="1"/>
  <c r="W470" i="10"/>
  <c r="X470" i="10" s="1"/>
  <c r="W472" i="10"/>
  <c r="X472" i="10" s="1"/>
  <c r="J472" i="10" s="1"/>
  <c r="M472" i="10" s="1"/>
  <c r="N472" i="10" s="1"/>
  <c r="V228" i="13" l="1"/>
  <c r="V227" i="13"/>
  <c r="H477" i="10"/>
  <c r="W12" i="13"/>
  <c r="AI12" i="13"/>
  <c r="F95" i="7"/>
  <c r="S95" i="7" s="1"/>
  <c r="J470" i="10"/>
  <c r="M470" i="10" s="1"/>
  <c r="N470" i="10" s="1"/>
  <c r="J471" i="10"/>
  <c r="M471" i="10" s="1"/>
  <c r="N471" i="10" s="1"/>
  <c r="W227" i="13" l="1"/>
  <c r="H474" i="10"/>
  <c r="R227" i="13"/>
  <c r="H473" i="10"/>
  <c r="B24" i="5"/>
  <c r="P475" i="10"/>
  <c r="P477" i="10"/>
  <c r="Q477" i="10" s="1"/>
  <c r="P476" i="10"/>
  <c r="V477" i="10"/>
  <c r="W476" i="10" l="1"/>
  <c r="W475" i="10"/>
  <c r="W477" i="10"/>
  <c r="X477" i="10" s="1"/>
  <c r="P474" i="10"/>
  <c r="Q474" i="10" s="1"/>
  <c r="P473" i="10"/>
  <c r="Q473" i="10" s="1"/>
  <c r="V473" i="10"/>
  <c r="V474" i="10"/>
  <c r="W473" i="10" l="1"/>
  <c r="X473" i="10" s="1"/>
  <c r="W474" i="10"/>
  <c r="X474" i="10" s="1"/>
  <c r="J474" i="10" l="1"/>
  <c r="M474" i="10" s="1"/>
  <c r="N474" i="10" s="1"/>
  <c r="J473" i="10"/>
  <c r="M473" i="10" s="1"/>
  <c r="N473" i="10" s="1"/>
  <c r="R228" i="13" l="1"/>
  <c r="H475" i="10"/>
  <c r="W228" i="13"/>
  <c r="H476" i="10"/>
  <c r="V476" i="10" l="1"/>
  <c r="X476" i="10" s="1"/>
  <c r="J476" i="10" s="1"/>
  <c r="M476" i="10" s="1"/>
  <c r="N476" i="10" s="1"/>
  <c r="Q476" i="10"/>
  <c r="V475" i="10"/>
  <c r="X475" i="10" s="1"/>
  <c r="Q475" i="10"/>
  <c r="W229" i="13" l="1"/>
  <c r="H479" i="10"/>
  <c r="J477" i="10"/>
  <c r="M477" i="10" s="1"/>
  <c r="N477" i="10" s="1"/>
  <c r="J475" i="10"/>
  <c r="M475" i="10" s="1"/>
  <c r="N475" i="10" s="1"/>
  <c r="R229" i="13" l="1"/>
  <c r="H478" i="10"/>
  <c r="V229" i="13"/>
  <c r="H480" i="10"/>
  <c r="V479" i="10"/>
  <c r="P479" i="10" l="1"/>
  <c r="Q479" i="10" s="1"/>
  <c r="P480" i="10"/>
  <c r="Q480" i="10" s="1"/>
  <c r="V480" i="10"/>
  <c r="P478" i="10"/>
  <c r="Q478" i="10" s="1"/>
  <c r="V478" i="10"/>
  <c r="W478" i="10" l="1"/>
  <c r="X478" i="10" s="1"/>
  <c r="W479" i="10"/>
  <c r="X479" i="10" s="1"/>
  <c r="J479" i="10" s="1"/>
  <c r="M479" i="10" s="1"/>
  <c r="N479" i="10" s="1"/>
  <c r="W480" i="10"/>
  <c r="X480" i="10" s="1"/>
  <c r="W230" i="13" l="1"/>
  <c r="H482" i="10"/>
  <c r="J478" i="10"/>
  <c r="M478" i="10" s="1"/>
  <c r="N478" i="10" s="1"/>
  <c r="J480" i="10"/>
  <c r="M480" i="10" s="1"/>
  <c r="N480" i="10" s="1"/>
  <c r="V230" i="13" l="1"/>
  <c r="H483" i="10"/>
  <c r="R230" i="13"/>
  <c r="H481" i="10"/>
  <c r="V482" i="10"/>
  <c r="P482" i="10" l="1"/>
  <c r="Q482" i="10" s="1"/>
  <c r="P481" i="10"/>
  <c r="Q481" i="10" s="1"/>
  <c r="P483" i="10"/>
  <c r="Q483" i="10" s="1"/>
  <c r="V481" i="10"/>
  <c r="V483" i="10"/>
  <c r="W483" i="10" l="1"/>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Q484" i="10"/>
  <c r="Q485" i="10"/>
  <c r="V484" i="10"/>
  <c r="W243" i="13" l="1"/>
  <c r="W244" i="13"/>
  <c r="W241" i="13"/>
  <c r="W242" i="13"/>
  <c r="W239" i="13"/>
  <c r="W240" i="13"/>
  <c r="W237" i="13"/>
  <c r="W238" i="13"/>
  <c r="X484" i="10"/>
  <c r="B14" i="14"/>
  <c r="W232" i="13"/>
  <c r="W234" i="13"/>
  <c r="W236" i="13"/>
  <c r="W233" i="13"/>
  <c r="W235" i="13"/>
  <c r="J484" i="10"/>
  <c r="M484" i="10" s="1"/>
  <c r="N484" i="10" s="1"/>
  <c r="J486" i="10"/>
  <c r="M486" i="10" s="1"/>
  <c r="N486" i="10" s="1"/>
  <c r="V243" i="13" l="1"/>
  <c r="V244" i="13"/>
  <c r="V241" i="13"/>
  <c r="V242" i="13"/>
  <c r="V239" i="13"/>
  <c r="V240" i="13"/>
  <c r="V237" i="13"/>
  <c r="V238" i="13"/>
  <c r="R232" i="13"/>
  <c r="H488" i="10"/>
  <c r="B13" i="14"/>
  <c r="V232" i="13"/>
  <c r="V234" i="13"/>
  <c r="V236" i="13"/>
  <c r="V233" i="13"/>
  <c r="V235" i="13"/>
  <c r="P2" i="14"/>
  <c r="B19" i="13"/>
  <c r="S19" i="13" l="1"/>
  <c r="O2" i="14"/>
  <c r="B18" i="13"/>
  <c r="V488" i="10"/>
  <c r="X488" i="10" s="1"/>
  <c r="Q488" i="10"/>
  <c r="S18" i="13" l="1"/>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s="1"/>
  <c r="M504" i="10" s="1"/>
  <c r="H505" i="10" l="1"/>
  <c r="N504" i="10"/>
  <c r="O241" i="13"/>
  <c r="R241" i="13"/>
  <c r="H506" i="10" l="1"/>
  <c r="P505" i="10"/>
  <c r="Q505" i="10" s="1"/>
  <c r="P506" i="10"/>
  <c r="V505" i="10"/>
  <c r="W506" i="10" s="1"/>
  <c r="Q506" i="10" l="1"/>
  <c r="V506" i="10"/>
  <c r="X506" i="10" s="1"/>
  <c r="W505" i="10"/>
  <c r="X505" i="10" s="1"/>
  <c r="J506" i="10" l="1"/>
  <c r="M506" i="10" s="1"/>
  <c r="J505" i="10"/>
  <c r="M505" i="10" s="1"/>
  <c r="N505" i="10" s="1"/>
  <c r="N506" i="10"/>
  <c r="H508" i="10" l="1"/>
  <c r="H507" i="10"/>
  <c r="O242" i="13"/>
  <c r="R242" i="13"/>
  <c r="P507" i="10" l="1"/>
  <c r="Q507" i="10" s="1"/>
  <c r="P508" i="10"/>
  <c r="Q508" i="10" s="1"/>
  <c r="V508" i="10"/>
  <c r="V507" i="10"/>
  <c r="W507" i="10" l="1"/>
  <c r="X507" i="10" s="1"/>
  <c r="J507" i="10" s="1"/>
  <c r="M507" i="10" s="1"/>
  <c r="W508" i="10"/>
  <c r="X508" i="10" s="1"/>
  <c r="J508" i="10" s="1"/>
  <c r="M508" i="10" s="1"/>
  <c r="N508" i="10" s="1"/>
  <c r="H510" i="10" l="1"/>
  <c r="R243" i="13"/>
  <c r="N507" i="10"/>
  <c r="V510" i="10" l="1"/>
  <c r="H509" i="10"/>
  <c r="O243" i="13"/>
  <c r="P509" i="10" l="1"/>
  <c r="Q509" i="10" s="1"/>
  <c r="P510" i="10"/>
  <c r="Q510" i="10" s="1"/>
  <c r="V509" i="10"/>
  <c r="W510" i="10" s="1"/>
  <c r="X510" i="10" s="1"/>
  <c r="J510" i="10" l="1"/>
  <c r="M510" i="10" s="1"/>
  <c r="J509" i="10"/>
  <c r="M509" i="10" s="1"/>
  <c r="N509" i="10" s="1"/>
  <c r="H19" i="8"/>
  <c r="H18" i="8"/>
  <c r="B19" i="8"/>
  <c r="B18" i="8"/>
  <c r="N510" i="10"/>
  <c r="W509" i="10"/>
  <c r="X509" i="10" s="1"/>
  <c r="O244" i="13"/>
  <c r="B17" i="8"/>
  <c r="B6" i="14"/>
  <c r="H17" i="8"/>
  <c r="R244" i="13" l="1"/>
  <c r="B9" i="14"/>
  <c r="E18" i="8"/>
  <c r="F18" i="8"/>
  <c r="D18" i="8"/>
  <c r="C18" i="8"/>
  <c r="F19" i="8"/>
  <c r="D19" i="8"/>
  <c r="C19" i="8"/>
  <c r="E19" i="8"/>
  <c r="C17" i="8"/>
  <c r="E17" i="8"/>
  <c r="F17" i="8"/>
  <c r="D17" i="8"/>
  <c r="H2" i="14"/>
  <c r="B11" i="13"/>
  <c r="K2" i="14" l="1"/>
  <c r="B14" i="13"/>
  <c r="S14" i="13" s="1"/>
  <c r="D18" i="9"/>
  <c r="D13" i="13"/>
  <c r="L13" i="13" s="1"/>
  <c r="D7" i="13"/>
  <c r="L7" i="13" s="1"/>
  <c r="C17" i="9"/>
  <c r="E18" i="13"/>
  <c r="D12" i="13"/>
  <c r="L12" i="13" s="1"/>
  <c r="A5" i="9"/>
  <c r="B17" i="9"/>
  <c r="D17" i="13"/>
  <c r="L17" i="13" s="1"/>
  <c r="D14" i="13"/>
  <c r="L14" i="13" s="1"/>
  <c r="D18" i="13"/>
  <c r="L18" i="13" s="1"/>
  <c r="D8" i="13"/>
  <c r="L8" i="13" s="1"/>
  <c r="E12" i="13"/>
  <c r="B15" i="5" s="1"/>
  <c r="D10" i="13"/>
  <c r="L10" i="13" s="1"/>
  <c r="E19" i="13"/>
  <c r="E13" i="13"/>
  <c r="E16" i="13"/>
  <c r="C18" i="9"/>
  <c r="D20" i="13"/>
  <c r="L20" i="13" s="1"/>
  <c r="S11" i="13"/>
  <c r="D11" i="13"/>
  <c r="L11" i="13" s="1"/>
  <c r="E7" i="13"/>
  <c r="D9" i="13"/>
  <c r="L9" i="13" s="1"/>
  <c r="B19" i="9"/>
  <c r="E10" i="13"/>
  <c r="E8" i="13"/>
  <c r="D16" i="13"/>
  <c r="L16" i="13" s="1"/>
  <c r="E17" i="13"/>
  <c r="C19" i="9"/>
  <c r="B18" i="9"/>
  <c r="E11" i="13"/>
  <c r="D15" i="13"/>
  <c r="L15" i="13" s="1"/>
  <c r="E15" i="13"/>
  <c r="E20" i="13"/>
  <c r="E9" i="13"/>
  <c r="D19" i="13"/>
  <c r="L19" i="13" s="1"/>
  <c r="C15" i="14"/>
  <c r="C20" i="13" s="1"/>
  <c r="AA20" i="13" s="1"/>
  <c r="C12" i="14"/>
  <c r="C17" i="13" s="1"/>
  <c r="AA17" i="13" s="1"/>
  <c r="C14" i="14"/>
  <c r="C19" i="13" s="1"/>
  <c r="AA19" i="13" s="1"/>
  <c r="C10" i="14"/>
  <c r="C15" i="13" s="1"/>
  <c r="AA15" i="13" s="1"/>
  <c r="C9" i="14"/>
  <c r="C14" i="13" s="1"/>
  <c r="AA14" i="13" s="1"/>
  <c r="C11" i="14"/>
  <c r="C16" i="13" s="1"/>
  <c r="AA16" i="13" s="1"/>
  <c r="C2" i="14"/>
  <c r="C7" i="13" s="1"/>
  <c r="AA7" i="13" s="1"/>
  <c r="C8" i="14"/>
  <c r="C13" i="13" s="1"/>
  <c r="AA13" i="13" s="1"/>
  <c r="C7" i="14"/>
  <c r="C12" i="13" s="1"/>
  <c r="C4" i="14"/>
  <c r="C9" i="13" s="1"/>
  <c r="AA9" i="13" s="1"/>
  <c r="C13" i="14"/>
  <c r="C18" i="13" s="1"/>
  <c r="AA18" i="13" s="1"/>
  <c r="C5" i="14"/>
  <c r="C10" i="13" s="1"/>
  <c r="AA10" i="13" s="1"/>
  <c r="C3" i="14"/>
  <c r="C8" i="13" s="1"/>
  <c r="AA8" i="13" s="1"/>
  <c r="C6" i="14"/>
  <c r="C11" i="13" s="1"/>
  <c r="AA11" i="13" s="1"/>
  <c r="W14" i="13" l="1"/>
  <c r="F93" i="7"/>
  <c r="S93" i="7" s="1"/>
  <c r="AI14" i="13"/>
  <c r="D19" i="9"/>
  <c r="E14" i="13"/>
  <c r="AA12" i="13"/>
  <c r="B28" i="5" s="1"/>
  <c r="B12" i="5"/>
  <c r="W11" i="13"/>
  <c r="F90" i="7"/>
  <c r="S90" i="7" s="1"/>
  <c r="C4" i="7" s="1"/>
  <c r="AI11" i="13"/>
  <c r="A8" i="9"/>
  <c r="B5" i="4" l="1"/>
  <c r="B14" i="4"/>
  <c r="B8" i="4"/>
  <c r="B18" i="4"/>
  <c r="B11" i="4"/>
  <c r="B15" i="4"/>
  <c r="B13" i="4"/>
  <c r="B9" i="4"/>
  <c r="B16" i="4"/>
  <c r="B12" i="4"/>
  <c r="B10" i="4"/>
  <c r="B6" i="4"/>
  <c r="B7" i="4"/>
  <c r="B17" i="4"/>
  <c r="A6" i="3"/>
  <c r="A5" i="3"/>
  <c r="B28" i="8" s="1"/>
  <c r="P17" i="4" l="1"/>
  <c r="T17" i="4"/>
  <c r="J17" i="4"/>
  <c r="E17" i="4"/>
  <c r="K17" i="4"/>
  <c r="AE10" i="13" s="1"/>
  <c r="I17" i="4"/>
  <c r="M17" i="4"/>
  <c r="R17" i="4"/>
  <c r="H17" i="4"/>
  <c r="V17" i="4"/>
  <c r="O17" i="4"/>
  <c r="X17" i="4"/>
  <c r="Q17" i="4"/>
  <c r="C17" i="4"/>
  <c r="D17" i="4"/>
  <c r="AD10" i="13" s="1"/>
  <c r="U17" i="4"/>
  <c r="S17" i="4"/>
  <c r="Q7" i="4"/>
  <c r="H7" i="4"/>
  <c r="I7" i="4"/>
  <c r="X7" i="4"/>
  <c r="R7" i="4"/>
  <c r="E7" i="4"/>
  <c r="M7" i="4"/>
  <c r="C7" i="4"/>
  <c r="T7" i="4"/>
  <c r="P7" i="4"/>
  <c r="K7" i="4"/>
  <c r="V7" i="4"/>
  <c r="O7" i="4"/>
  <c r="J7" i="4"/>
  <c r="D7" i="4"/>
  <c r="S7" i="4"/>
  <c r="U7" i="4"/>
  <c r="K10" i="4"/>
  <c r="AE17" i="13" s="1"/>
  <c r="Q10" i="4"/>
  <c r="D10" i="4"/>
  <c r="O10" i="4"/>
  <c r="E10" i="4"/>
  <c r="S10" i="4"/>
  <c r="I10" i="4"/>
  <c r="T10" i="4"/>
  <c r="X10" i="4"/>
  <c r="C10" i="4"/>
  <c r="R10" i="4"/>
  <c r="M10" i="4"/>
  <c r="V10" i="4"/>
  <c r="J10" i="4"/>
  <c r="H10" i="4"/>
  <c r="U10" i="4"/>
  <c r="P10" i="4"/>
  <c r="T12" i="4"/>
  <c r="M12" i="4"/>
  <c r="C12" i="4"/>
  <c r="O12" i="4"/>
  <c r="J12" i="4"/>
  <c r="P12" i="4"/>
  <c r="R12" i="4"/>
  <c r="X12" i="4"/>
  <c r="E12" i="4"/>
  <c r="U12" i="4"/>
  <c r="S12" i="4"/>
  <c r="V12" i="4"/>
  <c r="Q12" i="4"/>
  <c r="D12" i="4"/>
  <c r="I12" i="4"/>
  <c r="H12" i="4"/>
  <c r="K12" i="4"/>
  <c r="D16" i="4"/>
  <c r="J16" i="4"/>
  <c r="K16" i="4"/>
  <c r="Q16" i="4"/>
  <c r="I16" i="4"/>
  <c r="H16" i="4"/>
  <c r="U16" i="4"/>
  <c r="E16" i="4"/>
  <c r="C16" i="4"/>
  <c r="M16" i="4"/>
  <c r="P16" i="4"/>
  <c r="O16" i="4"/>
  <c r="T16" i="4"/>
  <c r="S16" i="4"/>
  <c r="V16" i="4"/>
  <c r="R16" i="4"/>
  <c r="X16" i="4"/>
  <c r="C9" i="4"/>
  <c r="Q9" i="4"/>
  <c r="E9" i="4"/>
  <c r="K9" i="4"/>
  <c r="AE18" i="13" s="1"/>
  <c r="S9" i="4"/>
  <c r="U9" i="4"/>
  <c r="H9" i="4"/>
  <c r="D9" i="4"/>
  <c r="M9" i="4"/>
  <c r="I9" i="4"/>
  <c r="J9" i="4"/>
  <c r="T9" i="4"/>
  <c r="V9" i="4"/>
  <c r="O9" i="4"/>
  <c r="P9" i="4"/>
  <c r="X9" i="4"/>
  <c r="R9" i="4"/>
  <c r="I13" i="4"/>
  <c r="Q13" i="4"/>
  <c r="P13" i="4"/>
  <c r="H13" i="4"/>
  <c r="C13" i="4"/>
  <c r="D13" i="4"/>
  <c r="E13" i="4"/>
  <c r="S13" i="4"/>
  <c r="U13" i="4"/>
  <c r="M13" i="4"/>
  <c r="V13" i="4"/>
  <c r="J13" i="4"/>
  <c r="O13" i="4"/>
  <c r="R13" i="4"/>
  <c r="X13" i="4"/>
  <c r="K13" i="4"/>
  <c r="T13" i="4"/>
  <c r="X15" i="4"/>
  <c r="E15" i="4"/>
  <c r="K15" i="4"/>
  <c r="P15" i="4"/>
  <c r="J15" i="4"/>
  <c r="H15" i="4"/>
  <c r="I15" i="4"/>
  <c r="T15" i="4"/>
  <c r="Q15" i="4"/>
  <c r="M15" i="4"/>
  <c r="V15" i="4"/>
  <c r="D15" i="4"/>
  <c r="C15" i="4"/>
  <c r="R15" i="4"/>
  <c r="U15" i="4"/>
  <c r="O15" i="4"/>
  <c r="S15" i="4"/>
  <c r="X6" i="4"/>
  <c r="R6" i="4"/>
  <c r="C6" i="4"/>
  <c r="H6" i="4"/>
  <c r="O6" i="4"/>
  <c r="Q6" i="4"/>
  <c r="P6" i="4"/>
  <c r="U6" i="4"/>
  <c r="T6" i="4"/>
  <c r="S6" i="4"/>
  <c r="J6" i="4"/>
  <c r="D6" i="4"/>
  <c r="E6" i="4"/>
  <c r="I6" i="4"/>
  <c r="K6" i="4"/>
  <c r="V6" i="4"/>
  <c r="M6" i="4"/>
  <c r="K11" i="4"/>
  <c r="T11" i="4"/>
  <c r="V11" i="4"/>
  <c r="C11" i="4"/>
  <c r="P11" i="4"/>
  <c r="D11" i="4"/>
  <c r="AD13" i="13" s="1"/>
  <c r="M11" i="4"/>
  <c r="J11" i="4"/>
  <c r="R11" i="4"/>
  <c r="H11" i="4"/>
  <c r="U11" i="4"/>
  <c r="X11" i="4"/>
  <c r="I11" i="4"/>
  <c r="S11" i="4"/>
  <c r="O11" i="4"/>
  <c r="E11" i="4"/>
  <c r="Q11" i="4"/>
  <c r="S18" i="4"/>
  <c r="E18" i="4"/>
  <c r="U18" i="4"/>
  <c r="K18" i="4"/>
  <c r="Y16" i="13" s="1"/>
  <c r="T18" i="4"/>
  <c r="V18" i="4"/>
  <c r="I18" i="4"/>
  <c r="D18" i="4"/>
  <c r="P18" i="4"/>
  <c r="R18" i="4"/>
  <c r="O18" i="4"/>
  <c r="H18" i="4"/>
  <c r="M18" i="4"/>
  <c r="C18" i="4"/>
  <c r="Q18" i="4"/>
  <c r="X18" i="4"/>
  <c r="J18" i="4"/>
  <c r="AD18" i="13"/>
  <c r="D8" i="4"/>
  <c r="B10" i="5" s="1"/>
  <c r="I8" i="4"/>
  <c r="V8" i="4"/>
  <c r="M8" i="4"/>
  <c r="O8" i="4"/>
  <c r="U8" i="4"/>
  <c r="Q8" i="4"/>
  <c r="K8" i="4"/>
  <c r="AE12" i="13" s="1"/>
  <c r="R8" i="4"/>
  <c r="E8" i="4"/>
  <c r="C8" i="4"/>
  <c r="B6" i="5" s="1"/>
  <c r="P8" i="4"/>
  <c r="T8" i="4"/>
  <c r="X8" i="4"/>
  <c r="H8" i="4"/>
  <c r="S8" i="4"/>
  <c r="J8" i="4"/>
  <c r="X14" i="4"/>
  <c r="J14" i="4"/>
  <c r="I14" i="4"/>
  <c r="D14" i="4"/>
  <c r="C14" i="4"/>
  <c r="T14" i="4"/>
  <c r="S14" i="4"/>
  <c r="Q14" i="4"/>
  <c r="P14" i="4"/>
  <c r="R14" i="4"/>
  <c r="H14" i="4"/>
  <c r="U14" i="4"/>
  <c r="K14" i="4"/>
  <c r="V14" i="4"/>
  <c r="M14" i="4"/>
  <c r="E14" i="4"/>
  <c r="O14" i="4"/>
  <c r="R5" i="4"/>
  <c r="K5" i="4"/>
  <c r="O5" i="4"/>
  <c r="D5" i="4"/>
  <c r="E5" i="4"/>
  <c r="C5" i="4"/>
  <c r="J5" i="4"/>
  <c r="T5" i="4"/>
  <c r="U5" i="4"/>
  <c r="B5" i="5"/>
  <c r="M5" i="4"/>
  <c r="X5" i="4"/>
  <c r="I5" i="4"/>
  <c r="AD19" i="13"/>
  <c r="Q5" i="4"/>
  <c r="H5" i="4"/>
  <c r="S5" i="4"/>
  <c r="P5" i="4"/>
  <c r="V5" i="4"/>
  <c r="Y11" i="13" l="1"/>
  <c r="C21" i="8"/>
  <c r="F21" i="8" s="1"/>
  <c r="AD15" i="13"/>
  <c r="F5" i="4"/>
  <c r="G5" i="4"/>
  <c r="X15" i="13" s="1"/>
  <c r="B21" i="8"/>
  <c r="B30" i="8"/>
  <c r="L5" i="4"/>
  <c r="A10" i="9"/>
  <c r="AE11" i="13"/>
  <c r="AE14" i="13"/>
  <c r="Y14" i="13"/>
  <c r="Y19" i="13"/>
  <c r="AE19" i="13"/>
  <c r="Y15" i="13"/>
  <c r="AE15" i="13"/>
  <c r="C22" i="8"/>
  <c r="B31" i="8"/>
  <c r="B22" i="8"/>
  <c r="F16" i="4"/>
  <c r="AD8" i="13"/>
  <c r="L16" i="4"/>
  <c r="G16" i="4"/>
  <c r="X8" i="13" s="1"/>
  <c r="N10" i="4"/>
  <c r="N5" i="4"/>
  <c r="N7" i="4"/>
  <c r="N8" i="4"/>
  <c r="N15" i="4"/>
  <c r="N14" i="4"/>
  <c r="N17" i="4"/>
  <c r="N18" i="4"/>
  <c r="N6" i="4"/>
  <c r="N9" i="4"/>
  <c r="N12" i="4"/>
  <c r="N13" i="4"/>
  <c r="N11" i="4"/>
  <c r="B33" i="8"/>
  <c r="N16" i="4"/>
  <c r="F18" i="4"/>
  <c r="G18" i="4"/>
  <c r="X16" i="13" s="1"/>
  <c r="AB16" i="13" s="1"/>
  <c r="L18" i="4"/>
  <c r="B11" i="5"/>
  <c r="Y10" i="13"/>
  <c r="AE16" i="13"/>
  <c r="AE9" i="13"/>
  <c r="Y9" i="13"/>
  <c r="G11" i="4"/>
  <c r="X13" i="13" s="1"/>
  <c r="F11" i="4"/>
  <c r="L11" i="4"/>
  <c r="F8" i="4"/>
  <c r="B8" i="5" s="1"/>
  <c r="L8" i="4"/>
  <c r="B16" i="5" s="1"/>
  <c r="G8" i="4"/>
  <c r="Y18" i="13"/>
  <c r="F17" i="4"/>
  <c r="L17" i="4"/>
  <c r="G17" i="4"/>
  <c r="X10" i="13" s="1"/>
  <c r="Y8" i="13"/>
  <c r="AE8" i="13"/>
  <c r="AD16" i="13"/>
  <c r="AD20" i="13"/>
  <c r="AF20" i="13" s="1"/>
  <c r="W14" i="4" s="1"/>
  <c r="G14" i="4"/>
  <c r="X20" i="13" s="1"/>
  <c r="AB20" i="13" s="1"/>
  <c r="F14" i="4"/>
  <c r="L14" i="4"/>
  <c r="F6" i="4"/>
  <c r="G6" i="4"/>
  <c r="X11" i="13" s="1"/>
  <c r="AB11" i="13" s="1"/>
  <c r="L6" i="4"/>
  <c r="Y17" i="13"/>
  <c r="L15" i="4"/>
  <c r="F15" i="4"/>
  <c r="G15" i="4"/>
  <c r="X7" i="13" s="1"/>
  <c r="Y12" i="13"/>
  <c r="B26" i="5" s="1"/>
  <c r="AD17" i="13"/>
  <c r="F10" i="4"/>
  <c r="G10" i="4"/>
  <c r="X17" i="13" s="1"/>
  <c r="L10" i="4"/>
  <c r="L12" i="4"/>
  <c r="F12" i="4"/>
  <c r="G12" i="4"/>
  <c r="X9" i="13" s="1"/>
  <c r="AB9" i="13" s="1"/>
  <c r="AD9" i="13"/>
  <c r="Y20" i="13"/>
  <c r="AE20" i="13"/>
  <c r="T2" i="4"/>
  <c r="G9" i="4"/>
  <c r="X18" i="13" s="1"/>
  <c r="L9" i="4"/>
  <c r="F9" i="4"/>
  <c r="Y13" i="13"/>
  <c r="AE13" i="13"/>
  <c r="AD7" i="13"/>
  <c r="L13" i="4"/>
  <c r="G13" i="4"/>
  <c r="X19" i="13" s="1"/>
  <c r="F13" i="4"/>
  <c r="AE7" i="13"/>
  <c r="Y7" i="13"/>
  <c r="AD14" i="13"/>
  <c r="F7" i="4"/>
  <c r="AD11" i="13"/>
  <c r="L7" i="4"/>
  <c r="G7" i="4"/>
  <c r="X14" i="13" s="1"/>
  <c r="AD12" i="13"/>
  <c r="AB15" i="13" l="1"/>
  <c r="AB10" i="13"/>
  <c r="AF10" i="13" s="1"/>
  <c r="W17" i="4" s="1"/>
  <c r="AB8" i="13"/>
  <c r="AF8" i="13" s="1"/>
  <c r="W16" i="4" s="1"/>
  <c r="AF11" i="13"/>
  <c r="AB19" i="13"/>
  <c r="AF19" i="13" s="1"/>
  <c r="W13" i="4" s="1"/>
  <c r="AB17" i="13"/>
  <c r="AF17" i="13" s="1"/>
  <c r="W10" i="4" s="1"/>
  <c r="AF16" i="13"/>
  <c r="W18" i="4" s="1"/>
  <c r="A3" i="4"/>
  <c r="X12" i="13"/>
  <c r="B9" i="5"/>
  <c r="AF15" i="13"/>
  <c r="W5" i="4" s="1"/>
  <c r="AB14" i="13"/>
  <c r="AF14" i="13" s="1"/>
  <c r="W6" i="4"/>
  <c r="AF9" i="13"/>
  <c r="W12" i="4" s="1"/>
  <c r="AB7" i="13"/>
  <c r="AF7" i="13" s="1"/>
  <c r="W15" i="4" s="1"/>
  <c r="AB18" i="13"/>
  <c r="AF18" i="13" s="1"/>
  <c r="W9" i="4" s="1"/>
  <c r="AB13" i="13"/>
  <c r="AF13" i="13" s="1"/>
  <c r="W11" i="4" s="1"/>
  <c r="AB12" i="13" l="1"/>
  <c r="B25" i="5"/>
  <c r="W7" i="4"/>
  <c r="B23" i="5" l="1"/>
  <c r="AF12" i="13"/>
  <c r="W8" i="4" l="1"/>
  <c r="B7" i="5"/>
</calcChain>
</file>

<file path=xl/sharedStrings.xml><?xml version="1.0" encoding="utf-8"?>
<sst xmlns="http://schemas.openxmlformats.org/spreadsheetml/2006/main" count="2511" uniqueCount="457">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</sst>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59"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4">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16" fillId="0" borderId="0" xfId="0" applyFont="1" applyAlignment="1">
      <alignment horizontal="left" vertical="top" wrapText="1"/>
    </xf>
    <xf numFmtId="0" fontId="0" fillId="0" borderId="0" xfId="0"/>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123</v>
      </c>
    </row>
    <row r="59" spans="2:4" ht="30" customHeight="1" x14ac:dyDescent="0.2">
      <c r="B59" s="2" t="s">
        <v>124</v>
      </c>
    </row>
    <row r="60" spans="2:4" ht="30" customHeight="1" x14ac:dyDescent="0.2">
      <c r="B60" s="2" t="s">
        <v>125</v>
      </c>
    </row>
    <row r="61" spans="2:4" ht="30" customHeight="1" x14ac:dyDescent="0.2">
      <c r="B61" s="2" t="s">
        <v>126</v>
      </c>
    </row>
    <row r="62" spans="2:4" ht="30" customHeight="1" x14ac:dyDescent="0.2">
      <c r="B62" s="2" t="s">
        <v>127</v>
      </c>
    </row>
    <row r="63" spans="2:4" ht="30" customHeight="1" x14ac:dyDescent="0.2">
      <c r="B63" s="2" t="s">
        <v>128</v>
      </c>
    </row>
    <row r="64" spans="2:4" ht="30" customHeight="1" x14ac:dyDescent="0.2">
      <c r="B64" s="2" t="s">
        <v>129</v>
      </c>
    </row>
    <row r="65" spans="2:4" ht="4.5" customHeight="1" x14ac:dyDescent="0.2">
      <c r="B65" s="22"/>
    </row>
    <row r="66" spans="2:4" ht="18" customHeight="1" x14ac:dyDescent="0.2">
      <c r="B66" s="11" t="s">
        <v>130</v>
      </c>
    </row>
    <row r="67" spans="2:4" ht="30" customHeight="1" x14ac:dyDescent="0.2">
      <c r="B67" s="2" t="s">
        <v>131</v>
      </c>
    </row>
    <row r="68" spans="2:4" ht="3.75" customHeight="1" x14ac:dyDescent="0.2"/>
    <row r="69" spans="2:4" ht="31.5" customHeight="1" x14ac:dyDescent="0.2">
      <c r="B69" s="11" t="s">
        <v>132</v>
      </c>
    </row>
    <row r="70" spans="2:4" ht="31.5" customHeight="1" x14ac:dyDescent="0.2">
      <c r="B70" s="23" t="s">
        <v>133</v>
      </c>
      <c r="D70" s="2" t="s">
        <v>134</v>
      </c>
    </row>
    <row r="71" spans="2:4" ht="31.5" customHeight="1" x14ac:dyDescent="0.2">
      <c r="B71" s="23" t="s">
        <v>135</v>
      </c>
      <c r="D71" s="2" t="s">
        <v>136</v>
      </c>
    </row>
    <row r="72" spans="2:4" ht="31.5" customHeight="1" x14ac:dyDescent="0.2">
      <c r="B72" s="23" t="s">
        <v>137</v>
      </c>
      <c r="D72" s="2" t="s">
        <v>138</v>
      </c>
    </row>
    <row r="73" spans="2:4" ht="31.5" customHeight="1" x14ac:dyDescent="0.2">
      <c r="B73" s="23" t="s">
        <v>139</v>
      </c>
      <c r="D73" s="2" t="s">
        <v>140</v>
      </c>
    </row>
    <row r="74" spans="2:4" ht="31.5" customHeight="1" x14ac:dyDescent="0.2">
      <c r="B74" s="23" t="s">
        <v>141</v>
      </c>
      <c r="D74" s="2" t="s">
        <v>142</v>
      </c>
    </row>
    <row r="75" spans="2:4" ht="31.5" customHeight="1" x14ac:dyDescent="0.2">
      <c r="B75" s="23" t="s">
        <v>143</v>
      </c>
      <c r="D75" s="2" t="s">
        <v>144</v>
      </c>
    </row>
    <row r="76" spans="2:4" ht="31.5" customHeight="1" x14ac:dyDescent="0.2">
      <c r="B76" s="23" t="s">
        <v>145</v>
      </c>
      <c r="D76" s="2" t="s">
        <v>146</v>
      </c>
    </row>
    <row r="77" spans="2:4" ht="31.5" customHeight="1" x14ac:dyDescent="0.2">
      <c r="B77" s="23" t="s">
        <v>147</v>
      </c>
      <c r="D77" s="2" t="s">
        <v>148</v>
      </c>
    </row>
    <row r="78" spans="2:4" ht="31.5" customHeight="1" x14ac:dyDescent="0.2">
      <c r="B78" s="23" t="s">
        <v>149</v>
      </c>
      <c r="D78" s="2" t="s">
        <v>150</v>
      </c>
    </row>
    <row r="79" spans="2:4" ht="31.5" customHeight="1" x14ac:dyDescent="0.2">
      <c r="B79" s="23" t="s">
        <v>151</v>
      </c>
      <c r="D79" s="2" t="s">
        <v>152</v>
      </c>
    </row>
    <row r="80" spans="2:4" ht="31.5" customHeight="1" x14ac:dyDescent="0.2">
      <c r="B80" s="23" t="s">
        <v>153</v>
      </c>
      <c r="D80" s="2" t="s">
        <v>154</v>
      </c>
    </row>
    <row r="81" spans="2:4" ht="31.5" customHeight="1" x14ac:dyDescent="0.2">
      <c r="B81" s="23" t="s">
        <v>155</v>
      </c>
      <c r="D81" s="2" t="s">
        <v>156</v>
      </c>
    </row>
    <row r="82" spans="2:4" ht="31.5" customHeight="1" x14ac:dyDescent="0.2">
      <c r="B82" s="23" t="s">
        <v>157</v>
      </c>
      <c r="D82" s="2" t="s">
        <v>158</v>
      </c>
    </row>
    <row r="83" spans="2:4" ht="31.5" customHeight="1" x14ac:dyDescent="0.2">
      <c r="B83" s="23" t="s">
        <v>159</v>
      </c>
      <c r="D83" s="2" t="s">
        <v>160</v>
      </c>
    </row>
    <row r="84" spans="2:4" ht="31.5" customHeight="1" x14ac:dyDescent="0.2">
      <c r="B84" s="23" t="s">
        <v>161</v>
      </c>
      <c r="D84" s="2" t="s">
        <v>162</v>
      </c>
    </row>
    <row r="85" spans="2:4" ht="31.5" customHeight="1" x14ac:dyDescent="0.2">
      <c r="B85" s="23" t="s">
        <v>163</v>
      </c>
      <c r="D85" s="2" t="s">
        <v>164</v>
      </c>
    </row>
    <row r="86" spans="2:4" ht="31.5" customHeight="1" x14ac:dyDescent="0.2">
      <c r="B86" s="23" t="s">
        <v>165</v>
      </c>
      <c r="D86" s="2" t="s">
        <v>166</v>
      </c>
    </row>
    <row r="87" spans="2:4" ht="31.5" customHeight="1" x14ac:dyDescent="0.2">
      <c r="B87" s="23" t="s">
        <v>12</v>
      </c>
      <c r="D87" s="2" t="s">
        <v>167</v>
      </c>
    </row>
    <row r="88" spans="2:4" ht="31.5" customHeight="1" x14ac:dyDescent="0.2">
      <c r="B88" s="23" t="s">
        <v>168</v>
      </c>
      <c r="D88" s="2" t="s">
        <v>169</v>
      </c>
    </row>
    <row r="89" spans="2:4" ht="31.5" customHeight="1" x14ac:dyDescent="0.2">
      <c r="B89" s="23" t="s">
        <v>170</v>
      </c>
      <c r="D89" s="2" t="s">
        <v>171</v>
      </c>
    </row>
    <row r="90" spans="2:4" ht="31.5" customHeight="1" x14ac:dyDescent="0.2">
      <c r="B90" s="23" t="s">
        <v>172</v>
      </c>
      <c r="D90" s="2" t="s">
        <v>173</v>
      </c>
    </row>
    <row r="91" spans="2:4" ht="31.5" customHeight="1" x14ac:dyDescent="0.2">
      <c r="B91" s="23" t="s">
        <v>174</v>
      </c>
      <c r="D91" s="2" t="s">
        <v>175</v>
      </c>
    </row>
    <row r="92" spans="2:4" ht="31.5" customHeight="1" x14ac:dyDescent="0.2">
      <c r="B92" s="23" t="s">
        <v>176</v>
      </c>
      <c r="D92" s="2" t="s">
        <v>177</v>
      </c>
    </row>
    <row r="93" spans="2:4" ht="31.5" customHeight="1" x14ac:dyDescent="0.2">
      <c r="B93" s="23" t="s">
        <v>14</v>
      </c>
      <c r="D93" s="2" t="s">
        <v>178</v>
      </c>
    </row>
    <row r="94" spans="2:4" ht="31.5" customHeight="1" x14ac:dyDescent="0.2">
      <c r="B94" s="23" t="s">
        <v>179</v>
      </c>
      <c r="D94" s="2" t="s">
        <v>180</v>
      </c>
    </row>
    <row r="96" spans="2:4" x14ac:dyDescent="0.2">
      <c r="B96" s="24" t="s">
        <v>181</v>
      </c>
    </row>
    <row r="98" spans="2:2" ht="17" customHeight="1" x14ac:dyDescent="0.2">
      <c r="B98" s="5" t="s">
        <v>182</v>
      </c>
    </row>
    <row r="99" spans="2:2" ht="30" customHeight="1" x14ac:dyDescent="0.2">
      <c r="B99" s="2" t="s">
        <v>183</v>
      </c>
    </row>
    <row r="100" spans="2:2" ht="30" customHeight="1" x14ac:dyDescent="0.2">
      <c r="B100" s="2" t="s">
        <v>184</v>
      </c>
    </row>
    <row r="101" spans="2:2" ht="30" customHeight="1" x14ac:dyDescent="0.2">
      <c r="B101" s="2" t="s">
        <v>185</v>
      </c>
    </row>
    <row r="103" spans="2:2" x14ac:dyDescent="0.2">
      <c r="B103" t="s">
        <v>186</v>
      </c>
    </row>
    <row r="104" spans="2:2" x14ac:dyDescent="0.2">
      <c r="B104" t="s">
        <v>187</v>
      </c>
    </row>
    <row r="105" spans="2:2" x14ac:dyDescent="0.2">
      <c r="B105" t="s">
        <v>188</v>
      </c>
    </row>
    <row r="106" spans="2:2" x14ac:dyDescent="0.2">
      <c r="B106" t="s">
        <v>189</v>
      </c>
    </row>
    <row r="107" spans="2:2" x14ac:dyDescent="0.2">
      <c r="B107" t="s">
        <v>190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3" t="s">
        <v>191</v>
      </c>
      <c r="B1" s="141"/>
      <c r="C1" s="141"/>
      <c r="D1" s="141"/>
      <c r="E1" s="141"/>
      <c r="F1" s="141"/>
      <c r="G1" s="141"/>
      <c r="H1" s="141"/>
    </row>
    <row r="2" spans="1:8" ht="18" customHeight="1" x14ac:dyDescent="0.2">
      <c r="A2" s="145" t="s">
        <v>192</v>
      </c>
      <c r="B2" s="141"/>
      <c r="C2" s="141"/>
      <c r="D2" s="141"/>
      <c r="E2" s="141"/>
      <c r="F2" s="141"/>
      <c r="G2" s="141"/>
      <c r="H2" s="141"/>
    </row>
    <row r="3" spans="1:8" ht="48" customHeight="1" x14ac:dyDescent="0.2">
      <c r="A3" s="144" t="s">
        <v>193</v>
      </c>
      <c r="B3" s="141"/>
      <c r="C3" s="141"/>
      <c r="D3" s="141"/>
      <c r="E3" s="141"/>
      <c r="F3" s="141"/>
      <c r="G3" s="141"/>
      <c r="H3" s="141"/>
    </row>
    <row r="6" spans="1:8" ht="21.75" customHeight="1" x14ac:dyDescent="0.2">
      <c r="A6" s="142" t="s">
        <v>194</v>
      </c>
      <c r="B6" s="141"/>
      <c r="C6" s="141"/>
      <c r="D6" s="141"/>
      <c r="E6" s="141"/>
      <c r="F6" s="141"/>
      <c r="G6" s="141"/>
      <c r="H6" s="141"/>
    </row>
    <row r="7" spans="1:8" ht="51" customHeight="1" x14ac:dyDescent="0.2">
      <c r="A7" s="25" t="s">
        <v>195</v>
      </c>
      <c r="B7" s="140" t="s">
        <v>196</v>
      </c>
      <c r="C7" s="141"/>
      <c r="D7" s="141"/>
      <c r="E7" s="141"/>
      <c r="F7" s="141"/>
      <c r="G7" s="141"/>
      <c r="H7" s="141"/>
    </row>
    <row r="8" spans="1:8" ht="36" customHeight="1" x14ac:dyDescent="0.2">
      <c r="A8" s="26" t="s">
        <v>197</v>
      </c>
      <c r="B8" s="140" t="s">
        <v>198</v>
      </c>
      <c r="C8" s="141"/>
      <c r="D8" s="141"/>
      <c r="E8" s="141"/>
      <c r="F8" s="141"/>
      <c r="G8" s="141"/>
      <c r="H8" s="141"/>
    </row>
    <row r="9" spans="1:8" ht="21" customHeight="1" x14ac:dyDescent="0.2">
      <c r="A9" s="25" t="s">
        <v>195</v>
      </c>
      <c r="B9" s="140" t="s">
        <v>199</v>
      </c>
      <c r="C9" s="141"/>
      <c r="D9" s="141"/>
      <c r="E9" s="141"/>
      <c r="F9" s="141"/>
      <c r="G9" s="141"/>
      <c r="H9" s="141"/>
    </row>
    <row r="10" spans="1:8" ht="36" customHeight="1" x14ac:dyDescent="0.2">
      <c r="A10" s="26" t="s">
        <v>197</v>
      </c>
      <c r="B10" s="140" t="s">
        <v>200</v>
      </c>
      <c r="C10" s="141"/>
      <c r="D10" s="141"/>
      <c r="E10" s="141"/>
      <c r="F10" s="141"/>
      <c r="G10" s="141"/>
      <c r="H10" s="141"/>
    </row>
    <row r="12" spans="1:8" ht="21.75" customHeight="1" x14ac:dyDescent="0.2">
      <c r="A12" s="142" t="s">
        <v>201</v>
      </c>
      <c r="B12" s="141"/>
      <c r="C12" s="141"/>
      <c r="D12" s="141"/>
      <c r="E12" s="141"/>
      <c r="F12" s="141"/>
      <c r="G12" s="141"/>
      <c r="H12" s="141"/>
    </row>
    <row r="13" spans="1:8" ht="36" customHeight="1" x14ac:dyDescent="0.2">
      <c r="A13" s="25" t="s">
        <v>195</v>
      </c>
      <c r="B13" s="140" t="s">
        <v>202</v>
      </c>
      <c r="C13" s="141"/>
      <c r="D13" s="141"/>
      <c r="E13" s="141"/>
      <c r="F13" s="141"/>
      <c r="G13" s="141"/>
      <c r="H13" s="141"/>
    </row>
    <row r="14" spans="1:8" ht="36" customHeight="1" x14ac:dyDescent="0.2">
      <c r="A14" s="26" t="s">
        <v>197</v>
      </c>
      <c r="B14" s="140" t="s">
        <v>203</v>
      </c>
      <c r="C14" s="141"/>
      <c r="D14" s="141"/>
      <c r="E14" s="141"/>
      <c r="F14" s="141"/>
      <c r="G14" s="141"/>
      <c r="H14" s="141"/>
    </row>
    <row r="15" spans="1:8" ht="21" customHeight="1" x14ac:dyDescent="0.2">
      <c r="A15" s="25" t="s">
        <v>195</v>
      </c>
      <c r="B15" s="140" t="s">
        <v>204</v>
      </c>
      <c r="C15" s="141"/>
      <c r="D15" s="141"/>
      <c r="E15" s="141"/>
      <c r="F15" s="141"/>
      <c r="G15" s="141"/>
      <c r="H15" s="141"/>
    </row>
    <row r="16" spans="1:8" ht="36" customHeight="1" x14ac:dyDescent="0.2">
      <c r="A16" s="26" t="s">
        <v>197</v>
      </c>
      <c r="B16" s="140" t="s">
        <v>205</v>
      </c>
      <c r="C16" s="141"/>
      <c r="D16" s="141"/>
      <c r="E16" s="141"/>
      <c r="F16" s="141"/>
      <c r="G16" s="141"/>
      <c r="H16" s="141"/>
    </row>
    <row r="18" spans="1:8" ht="21.75" customHeight="1" x14ac:dyDescent="0.2">
      <c r="A18" s="142" t="s">
        <v>206</v>
      </c>
      <c r="B18" s="141"/>
      <c r="C18" s="141"/>
      <c r="D18" s="141"/>
      <c r="E18" s="141"/>
      <c r="F18" s="141"/>
      <c r="G18" s="141"/>
      <c r="H18" s="141"/>
    </row>
    <row r="19" spans="1:8" ht="21" customHeight="1" x14ac:dyDescent="0.2">
      <c r="A19" s="25" t="s">
        <v>195</v>
      </c>
      <c r="B19" s="140" t="s">
        <v>207</v>
      </c>
      <c r="C19" s="141"/>
      <c r="D19" s="141"/>
      <c r="E19" s="141"/>
      <c r="F19" s="141"/>
      <c r="G19" s="141"/>
      <c r="H19" s="141"/>
    </row>
    <row r="20" spans="1:8" ht="51" customHeight="1" x14ac:dyDescent="0.2">
      <c r="A20" s="26" t="s">
        <v>197</v>
      </c>
      <c r="B20" s="140" t="s">
        <v>208</v>
      </c>
      <c r="C20" s="141"/>
      <c r="D20" s="141"/>
      <c r="E20" s="141"/>
      <c r="F20" s="141"/>
      <c r="G20" s="141"/>
      <c r="H20" s="141"/>
    </row>
    <row r="21" spans="1:8" ht="21" customHeight="1" x14ac:dyDescent="0.2">
      <c r="A21" s="25" t="s">
        <v>195</v>
      </c>
      <c r="B21" s="140" t="s">
        <v>209</v>
      </c>
      <c r="C21" s="141"/>
      <c r="D21" s="141"/>
      <c r="E21" s="141"/>
      <c r="F21" s="141"/>
      <c r="G21" s="141"/>
      <c r="H21" s="141"/>
    </row>
    <row r="22" spans="1:8" ht="51" customHeight="1" x14ac:dyDescent="0.2">
      <c r="A22" s="26" t="s">
        <v>197</v>
      </c>
      <c r="B22" s="140" t="s">
        <v>210</v>
      </c>
      <c r="C22" s="141"/>
      <c r="D22" s="141"/>
      <c r="E22" s="141"/>
      <c r="F22" s="141"/>
      <c r="G22" s="141"/>
      <c r="H22" s="141"/>
    </row>
    <row r="24" spans="1:8" ht="21.75" customHeight="1" x14ac:dyDescent="0.2">
      <c r="A24" s="142" t="s">
        <v>211</v>
      </c>
      <c r="B24" s="141"/>
      <c r="C24" s="141"/>
      <c r="D24" s="141"/>
      <c r="E24" s="141"/>
      <c r="F24" s="141"/>
      <c r="G24" s="141"/>
      <c r="H24" s="141"/>
    </row>
    <row r="25" spans="1:8" ht="21" customHeight="1" x14ac:dyDescent="0.2">
      <c r="A25" s="25" t="s">
        <v>195</v>
      </c>
      <c r="B25" s="140" t="s">
        <v>212</v>
      </c>
      <c r="C25" s="141"/>
      <c r="D25" s="141"/>
      <c r="E25" s="141"/>
      <c r="F25" s="141"/>
      <c r="G25" s="141"/>
      <c r="H25" s="141"/>
    </row>
    <row r="26" spans="1:8" ht="51" customHeight="1" x14ac:dyDescent="0.2">
      <c r="A26" s="26" t="s">
        <v>197</v>
      </c>
      <c r="B26" s="140" t="s">
        <v>213</v>
      </c>
      <c r="C26" s="141"/>
      <c r="D26" s="141"/>
      <c r="E26" s="141"/>
      <c r="F26" s="141"/>
      <c r="G26" s="141"/>
      <c r="H26" s="141"/>
    </row>
    <row r="27" spans="1:8" ht="21" customHeight="1" x14ac:dyDescent="0.2">
      <c r="A27" s="25" t="s">
        <v>195</v>
      </c>
      <c r="B27" s="140" t="s">
        <v>214</v>
      </c>
      <c r="C27" s="141"/>
      <c r="D27" s="141"/>
      <c r="E27" s="141"/>
      <c r="F27" s="141"/>
      <c r="G27" s="141"/>
      <c r="H27" s="141"/>
    </row>
    <row r="28" spans="1:8" ht="51" customHeight="1" x14ac:dyDescent="0.2">
      <c r="A28" s="26" t="s">
        <v>197</v>
      </c>
      <c r="B28" s="140" t="s">
        <v>215</v>
      </c>
      <c r="C28" s="141"/>
      <c r="D28" s="141"/>
      <c r="E28" s="141"/>
      <c r="F28" s="141"/>
      <c r="G28" s="141"/>
      <c r="H28" s="141"/>
    </row>
    <row r="29" spans="1:8" ht="21" customHeight="1" x14ac:dyDescent="0.2">
      <c r="A29" s="25" t="s">
        <v>195</v>
      </c>
      <c r="B29" s="140" t="s">
        <v>216</v>
      </c>
      <c r="C29" s="141"/>
      <c r="D29" s="141"/>
      <c r="E29" s="141"/>
      <c r="F29" s="141"/>
      <c r="G29" s="141"/>
      <c r="H29" s="141"/>
    </row>
    <row r="30" spans="1:8" ht="36" customHeight="1" x14ac:dyDescent="0.2">
      <c r="A30" s="26" t="s">
        <v>197</v>
      </c>
      <c r="B30" s="140" t="s">
        <v>217</v>
      </c>
      <c r="C30" s="141"/>
      <c r="D30" s="141"/>
      <c r="E30" s="141"/>
      <c r="F30" s="141"/>
      <c r="G30" s="141"/>
      <c r="H30" s="141"/>
    </row>
    <row r="32" spans="1:8" ht="21.75" customHeight="1" x14ac:dyDescent="0.2">
      <c r="A32" s="142" t="s">
        <v>218</v>
      </c>
      <c r="B32" s="141"/>
      <c r="C32" s="141"/>
      <c r="D32" s="141"/>
      <c r="E32" s="141"/>
      <c r="F32" s="141"/>
      <c r="G32" s="141"/>
      <c r="H32" s="141"/>
    </row>
    <row r="33" spans="1:8" ht="21" customHeight="1" x14ac:dyDescent="0.2">
      <c r="A33" s="25" t="s">
        <v>195</v>
      </c>
      <c r="B33" s="140" t="s">
        <v>219</v>
      </c>
      <c r="C33" s="141"/>
      <c r="D33" s="141"/>
      <c r="E33" s="141"/>
      <c r="F33" s="141"/>
      <c r="G33" s="141"/>
      <c r="H33" s="141"/>
    </row>
    <row r="34" spans="1:8" ht="51" customHeight="1" x14ac:dyDescent="0.2">
      <c r="A34" s="26" t="s">
        <v>197</v>
      </c>
      <c r="B34" s="140" t="s">
        <v>220</v>
      </c>
      <c r="C34" s="141"/>
      <c r="D34" s="141"/>
      <c r="E34" s="141"/>
      <c r="F34" s="141"/>
      <c r="G34" s="141"/>
      <c r="H34" s="141"/>
    </row>
    <row r="35" spans="1:8" ht="21" customHeight="1" x14ac:dyDescent="0.2">
      <c r="A35" s="25" t="s">
        <v>195</v>
      </c>
      <c r="B35" s="140" t="s">
        <v>221</v>
      </c>
      <c r="C35" s="141"/>
      <c r="D35" s="141"/>
      <c r="E35" s="141"/>
      <c r="F35" s="141"/>
      <c r="G35" s="141"/>
      <c r="H35" s="141"/>
    </row>
    <row r="36" spans="1:8" ht="36" customHeight="1" x14ac:dyDescent="0.2">
      <c r="A36" s="26" t="s">
        <v>197</v>
      </c>
      <c r="B36" s="140" t="s">
        <v>222</v>
      </c>
      <c r="C36" s="141"/>
      <c r="D36" s="141"/>
      <c r="E36" s="141"/>
      <c r="F36" s="141"/>
      <c r="G36" s="141"/>
      <c r="H36" s="141"/>
    </row>
    <row r="37" spans="1:8" ht="21" customHeight="1" x14ac:dyDescent="0.2">
      <c r="A37" s="25" t="s">
        <v>195</v>
      </c>
      <c r="B37" s="140" t="s">
        <v>223</v>
      </c>
      <c r="C37" s="141"/>
      <c r="D37" s="141"/>
      <c r="E37" s="141"/>
      <c r="F37" s="141"/>
      <c r="G37" s="141"/>
      <c r="H37" s="141"/>
    </row>
    <row r="38" spans="1:8" ht="51" customHeight="1" x14ac:dyDescent="0.2">
      <c r="A38" s="26" t="s">
        <v>197</v>
      </c>
      <c r="B38" s="140" t="s">
        <v>224</v>
      </c>
      <c r="C38" s="141"/>
      <c r="D38" s="141"/>
      <c r="E38" s="141"/>
      <c r="F38" s="141"/>
      <c r="G38" s="141"/>
      <c r="H38" s="141"/>
    </row>
    <row r="39" spans="1:8" ht="21" customHeight="1" x14ac:dyDescent="0.2">
      <c r="A39" s="25" t="s">
        <v>195</v>
      </c>
      <c r="B39" s="140" t="s">
        <v>225</v>
      </c>
      <c r="C39" s="141"/>
      <c r="D39" s="141"/>
      <c r="E39" s="141"/>
      <c r="F39" s="141"/>
      <c r="G39" s="141"/>
      <c r="H39" s="141"/>
    </row>
    <row r="41" spans="1:8" ht="21.75" customHeight="1" x14ac:dyDescent="0.2">
      <c r="A41" s="142" t="s">
        <v>226</v>
      </c>
      <c r="B41" s="141"/>
      <c r="C41" s="141"/>
      <c r="D41" s="141"/>
      <c r="E41" s="141"/>
      <c r="F41" s="141"/>
      <c r="G41" s="141"/>
      <c r="H41" s="141"/>
    </row>
    <row r="42" spans="1:8" ht="21" customHeight="1" x14ac:dyDescent="0.2">
      <c r="A42" s="25" t="s">
        <v>195</v>
      </c>
      <c r="B42" s="140" t="s">
        <v>227</v>
      </c>
      <c r="C42" s="141"/>
      <c r="D42" s="141"/>
      <c r="E42" s="141"/>
      <c r="F42" s="141"/>
      <c r="G42" s="141"/>
      <c r="H42" s="141"/>
    </row>
    <row r="43" spans="1:8" ht="51" customHeight="1" x14ac:dyDescent="0.2">
      <c r="A43" s="26" t="s">
        <v>197</v>
      </c>
      <c r="B43" s="140" t="s">
        <v>228</v>
      </c>
      <c r="C43" s="141"/>
      <c r="D43" s="141"/>
      <c r="E43" s="141"/>
      <c r="F43" s="141"/>
      <c r="G43" s="141"/>
      <c r="H43" s="141"/>
    </row>
    <row r="44" spans="1:8" ht="21" customHeight="1" x14ac:dyDescent="0.2">
      <c r="A44" s="25" t="s">
        <v>195</v>
      </c>
      <c r="B44" s="140" t="s">
        <v>229</v>
      </c>
      <c r="C44" s="141"/>
      <c r="D44" s="141"/>
      <c r="E44" s="141"/>
      <c r="F44" s="141"/>
      <c r="G44" s="141"/>
      <c r="H44" s="141"/>
    </row>
    <row r="45" spans="1:8" ht="36" customHeight="1" x14ac:dyDescent="0.2">
      <c r="A45" s="26" t="s">
        <v>197</v>
      </c>
      <c r="B45" s="140" t="s">
        <v>230</v>
      </c>
      <c r="C45" s="141"/>
      <c r="D45" s="141"/>
      <c r="E45" s="141"/>
      <c r="F45" s="141"/>
      <c r="G45" s="141"/>
      <c r="H45" s="141"/>
    </row>
    <row r="46" spans="1:8" ht="21" customHeight="1" x14ac:dyDescent="0.2">
      <c r="A46" s="25" t="s">
        <v>195</v>
      </c>
      <c r="B46" s="140" t="s">
        <v>231</v>
      </c>
      <c r="C46" s="141"/>
      <c r="D46" s="141"/>
      <c r="E46" s="141"/>
      <c r="F46" s="141"/>
      <c r="G46" s="141"/>
      <c r="H46" s="141"/>
    </row>
    <row r="47" spans="1:8" ht="21" customHeight="1" x14ac:dyDescent="0.2">
      <c r="A47" s="26" t="s">
        <v>197</v>
      </c>
      <c r="B47" s="140" t="s">
        <v>232</v>
      </c>
      <c r="C47" s="141"/>
      <c r="D47" s="141"/>
      <c r="E47" s="141"/>
      <c r="F47" s="141"/>
      <c r="G47" s="141"/>
      <c r="H47" s="141"/>
    </row>
    <row r="49" spans="1:8" ht="21.75" customHeight="1" x14ac:dyDescent="0.2">
      <c r="A49" s="142" t="s">
        <v>233</v>
      </c>
      <c r="B49" s="141"/>
      <c r="C49" s="141"/>
      <c r="D49" s="141"/>
      <c r="E49" s="141"/>
      <c r="F49" s="141"/>
      <c r="G49" s="141"/>
      <c r="H49" s="141"/>
    </row>
    <row r="50" spans="1:8" ht="36" customHeight="1" x14ac:dyDescent="0.2">
      <c r="A50" s="25" t="s">
        <v>195</v>
      </c>
      <c r="B50" s="140" t="s">
        <v>234</v>
      </c>
      <c r="C50" s="141"/>
      <c r="D50" s="141"/>
      <c r="E50" s="141"/>
      <c r="F50" s="141"/>
      <c r="G50" s="141"/>
      <c r="H50" s="141"/>
    </row>
    <row r="51" spans="1:8" ht="21" customHeight="1" x14ac:dyDescent="0.2">
      <c r="A51" s="26" t="s">
        <v>197</v>
      </c>
      <c r="B51" s="140" t="s">
        <v>235</v>
      </c>
      <c r="C51" s="141"/>
      <c r="D51" s="141"/>
      <c r="E51" s="141"/>
      <c r="F51" s="141"/>
      <c r="G51" s="141"/>
      <c r="H51" s="141"/>
    </row>
    <row r="52" spans="1:8" ht="21" customHeight="1" x14ac:dyDescent="0.2">
      <c r="A52" s="25" t="s">
        <v>195</v>
      </c>
      <c r="B52" s="140" t="s">
        <v>236</v>
      </c>
      <c r="C52" s="141"/>
      <c r="D52" s="141"/>
      <c r="E52" s="141"/>
      <c r="F52" s="141"/>
      <c r="G52" s="141"/>
      <c r="H52" s="141"/>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8" t="s">
        <v>237</v>
      </c>
      <c r="B1" s="141"/>
      <c r="C1" s="141"/>
      <c r="D1" s="141"/>
      <c r="E1" s="141"/>
      <c r="G1" s="27"/>
      <c r="H1" s="27"/>
      <c r="I1" s="27"/>
    </row>
    <row r="2" spans="1:9" ht="28.5" customHeight="1" x14ac:dyDescent="0.2">
      <c r="A2" s="147" t="s">
        <v>238</v>
      </c>
      <c r="B2" s="141"/>
      <c r="C2" s="141"/>
      <c r="D2" s="141"/>
      <c r="E2" s="141"/>
      <c r="G2" s="27"/>
      <c r="H2" s="27"/>
      <c r="I2" s="27"/>
    </row>
    <row r="3" spans="1:9" ht="3" customHeight="1" x14ac:dyDescent="0.2">
      <c r="G3" s="27"/>
      <c r="H3" s="27"/>
      <c r="I3" s="27"/>
    </row>
    <row r="4" spans="1:9" ht="15" customHeight="1" x14ac:dyDescent="0.2">
      <c r="A4" s="146" t="s">
        <v>239</v>
      </c>
      <c r="B4" s="141"/>
      <c r="C4" s="141"/>
      <c r="D4" s="141"/>
      <c r="E4" s="141"/>
      <c r="G4" s="27"/>
      <c r="H4" s="27"/>
      <c r="I4" s="27"/>
    </row>
    <row r="5" spans="1:9" ht="24.75" customHeight="1" x14ac:dyDescent="0.2">
      <c r="A5" s="149" t="str">
        <f ca="1">'Sport Records'!$C$4</f>
        <v>Josh</v>
      </c>
      <c r="B5" s="141"/>
      <c r="C5" s="141"/>
      <c r="D5" s="141"/>
      <c r="E5" s="141"/>
      <c r="G5" s="27"/>
      <c r="H5" s="27"/>
      <c r="I5" s="27"/>
    </row>
    <row r="6" spans="1:9" ht="15" customHeight="1" x14ac:dyDescent="0.2">
      <c r="A6" s="151"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1178   |   35 wins, 25 losses   |   highest-rated eligible player</v>
      </c>
      <c r="B6" s="141"/>
      <c r="C6" s="141"/>
      <c r="D6" s="141"/>
      <c r="E6" s="141"/>
      <c r="G6" s="27"/>
      <c r="H6" s="27"/>
      <c r="I6" s="27"/>
    </row>
    <row r="7" spans="1:9" ht="15" customHeight="1" x14ac:dyDescent="0.2">
      <c r="G7" s="27"/>
      <c r="H7" s="27"/>
      <c r="I7" s="27"/>
    </row>
    <row r="8" spans="1:9" ht="15" customHeight="1" x14ac:dyDescent="0.2">
      <c r="A8" s="150" t="s">
        <v>240</v>
      </c>
      <c r="B8" s="141"/>
      <c r="C8" s="141"/>
      <c r="D8" s="141"/>
      <c r="E8" s="141"/>
      <c r="G8" s="27"/>
      <c r="H8" s="27"/>
      <c r="I8" s="27"/>
    </row>
    <row r="9" spans="1:9" ht="15" customHeight="1" x14ac:dyDescent="0.2">
      <c r="A9" s="28" t="s">
        <v>241</v>
      </c>
      <c r="B9" s="28" t="s">
        <v>242</v>
      </c>
      <c r="C9" s="28" t="s">
        <v>13</v>
      </c>
      <c r="D9" s="28" t="s">
        <v>243</v>
      </c>
      <c r="E9" s="28" t="s">
        <v>10</v>
      </c>
      <c r="G9" s="27"/>
      <c r="H9" s="27"/>
      <c r="I9" s="27"/>
    </row>
    <row r="10" spans="1:9" ht="15" customHeight="1" x14ac:dyDescent="0.25">
      <c r="A10" s="29" t="str">
        <f>IF(Lists!$C$2="","",Lists!$C$2)</f>
        <v>Chess</v>
      </c>
      <c r="B10" s="30" t="str">
        <f>IFERROR('Sport Records'!$P$106,"—")</f>
        <v>Shawn</v>
      </c>
      <c r="C10" s="31">
        <f>IF(OR($B10="—",$B10=""),"",ROUND(MAX('Sport Records'!$B$106:$O$106),0))</f>
        <v>1056</v>
      </c>
      <c r="D10" s="31" t="str">
        <f>IF(OR($B10="—",$B10=""),"—",COUNTIFS('Match Log'!$D$4:$D$810,$B10,'Match Log'!$C$4:$C$810,$A10,'Match Log'!$E$4:$E$810,"Win")&amp;"–"&amp;(COUNTIFS('Match Log'!$D$4:$D$810,$B10,'Match Log'!$C$4:$C$810,$A10)-COUNTIFS('Match Log'!$D$4:$D$810,$B10,'Match Log'!$C$4:$C$810,$A10,'Match Log'!$E$4:$E$810,"Win")))</f>
        <v>4–0</v>
      </c>
      <c r="E10" s="31">
        <f>IFERROR('Sport Records'!$P$8,0)</f>
        <v>5</v>
      </c>
      <c r="G10" s="32" t="s">
        <v>244</v>
      </c>
      <c r="H10" s="27"/>
      <c r="I10" s="27"/>
    </row>
    <row r="11" spans="1:9" ht="15" customHeight="1" x14ac:dyDescent="0.2">
      <c r="A11" s="29" t="str">
        <f>IF(Lists!$C$3="","",Lists!$C$3)</f>
        <v>Darts</v>
      </c>
      <c r="B11" s="30" t="str">
        <f>IFERROR('Sport Records'!$P$107,"—")</f>
        <v>Daniel (Ferret)</v>
      </c>
      <c r="C11" s="31">
        <f>IF(OR($B11="—",$B11=""),"",ROUND(MAX('Sport Records'!$B$107:$O$107),0))</f>
        <v>1022</v>
      </c>
      <c r="D11" s="31" t="str">
        <f>IF(OR($B11="—",$B11=""),"—",COUNTIFS('Match Log'!$D$4:$D$810,$B11,'Match Log'!$C$4:$C$810,$A11,'Match Log'!$E$4:$E$810,"Win")&amp;"–"&amp;(COUNTIFS('Match Log'!$D$4:$D$810,$B11,'Match Log'!$C$4:$C$810,$A11)-COUNTIFS('Match Log'!$D$4:$D$810,$B11,'Match Log'!$C$4:$C$810,$A11,'Match Log'!$E$4:$E$810,"Win")))</f>
        <v>2–1</v>
      </c>
      <c r="E11" s="31">
        <f>IFERROR('Sport Records'!$P$9,0)</f>
        <v>6</v>
      </c>
      <c r="G11" s="33" t="s">
        <v>245</v>
      </c>
      <c r="H11" s="27"/>
      <c r="I11" s="27"/>
    </row>
    <row r="12" spans="1:9" ht="15" customHeight="1" x14ac:dyDescent="0.2">
      <c r="A12" s="29" t="str">
        <f>IF(Lists!$C$4="","",Lists!$C$4)</f>
        <v>FIFA</v>
      </c>
      <c r="B12" s="30" t="str">
        <f>IFERROR('Sport Records'!$P$108,"—")</f>
        <v>Aaron</v>
      </c>
      <c r="C12" s="31">
        <f>IF(OR($B12="—",$B12=""),"",ROUND(MAX('Sport Records'!$B$108:$O$108),0))</f>
        <v>1074</v>
      </c>
      <c r="D12" s="31" t="str">
        <f>IF(OR($B12="—",$B12=""),"—",COUNTIFS('Match Log'!$D$4:$D$810,$B12,'Match Log'!$C$4:$C$810,$A12,'Match Log'!$E$4:$E$810,"Win")&amp;"–"&amp;(COUNTIFS('Match Log'!$D$4:$D$810,$B12,'Match Log'!$C$4:$C$810,$A12)-COUNTIFS('Match Log'!$D$4:$D$810,$B12,'Match Log'!$C$4:$C$810,$A12,'Match Log'!$E$4:$E$810,"Win")))</f>
        <v>9–3</v>
      </c>
      <c r="E12" s="31">
        <f>IFERROR('Sport Records'!$P$10,0)</f>
        <v>23</v>
      </c>
      <c r="G12" s="27"/>
      <c r="H12" s="27"/>
      <c r="I12" s="27"/>
    </row>
    <row r="13" spans="1:9" ht="15" customHeight="1" x14ac:dyDescent="0.2">
      <c r="A13" s="29" t="str">
        <f>IF(Lists!$C$5="","",Lists!$C$5)</f>
        <v>Golf</v>
      </c>
      <c r="B13" s="30" t="str">
        <f>IFERROR('Sport Records'!$P$109,"—")</f>
        <v>—</v>
      </c>
      <c r="C13" s="31" t="str">
        <f>IF(OR($B13="—",$B13=""),"",ROUND(MAX('Sport Records'!$B$109:$O$109),0))</f>
        <v/>
      </c>
      <c r="D13" s="31" t="str">
        <f>IF(OR($B13="—",$B13=""),"—",COUNTIFS('Match Log'!$D$4:$D$810,$B13,'Match Log'!$C$4:$C$810,$A13,'Match Log'!$E$4:$E$810,"Win")&amp;"–"&amp;(COUNTIFS('Match Log'!$D$4:$D$810,$B13,'Match Log'!$C$4:$C$810,$A13)-COUNTIFS('Match Log'!$D$4:$D$810,$B13,'Match Log'!$C$4:$C$810,$A13,'Match Log'!$E$4:$E$810,"Win")))</f>
        <v>—</v>
      </c>
      <c r="E13" s="31">
        <f>IFERROR('Sport Records'!$P$11,0)</f>
        <v>0</v>
      </c>
      <c r="G13" s="34" t="s">
        <v>246</v>
      </c>
      <c r="H13" s="34" t="s">
        <v>247</v>
      </c>
      <c r="I13" s="34" t="s">
        <v>248</v>
      </c>
    </row>
    <row r="14" spans="1:9" ht="15" customHeight="1" x14ac:dyDescent="0.2">
      <c r="A14" s="29" t="str">
        <f>IF(Lists!$C$6="","",Lists!$C$6)</f>
        <v>Pool</v>
      </c>
      <c r="B14" s="30" t="str">
        <f>IFERROR('Sport Records'!$P$110,"—")</f>
        <v>Simon</v>
      </c>
      <c r="C14" s="31">
        <f>IF(OR($B14="—",$B14=""),"",ROUND(MAX('Sport Records'!$B$110:$O$110),0))</f>
        <v>1030</v>
      </c>
      <c r="D14" s="31" t="str">
        <f>IF(OR($B14="—",$B14=""),"—",COUNTIFS('Match Log'!$D$4:$D$810,$B14,'Match Log'!$C$4:$C$810,$A14,'Match Log'!$E$4:$E$810,"Win")&amp;"–"&amp;(COUNTIFS('Match Log'!$D$4:$D$810,$B14,'Match Log'!$C$4:$C$810,$A14)-COUNTIFS('Match Log'!$D$4:$D$810,$B14,'Match Log'!$C$4:$C$810,$A14,'Match Log'!$E$4:$E$810,"Win")))</f>
        <v>2–0</v>
      </c>
      <c r="E14" s="31">
        <f>IFERROR('Sport Records'!$P$12,0)</f>
        <v>18</v>
      </c>
      <c r="G14" s="35" t="s">
        <v>249</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250</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251</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252</v>
      </c>
      <c r="H17" s="39" t="s">
        <v>253</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3</v>
      </c>
      <c r="G18" s="35" t="s">
        <v>254</v>
      </c>
      <c r="H18" s="41" t="s">
        <v>255</v>
      </c>
      <c r="I18" s="37"/>
    </row>
    <row r="19" spans="1:9" ht="15" customHeight="1" x14ac:dyDescent="0.2">
      <c r="A19" s="29" t="str">
        <f>IF(Lists!$C$11="","",Lists!$C$11)</f>
        <v>Back Yard Putt Putt</v>
      </c>
      <c r="B19" s="30" t="str">
        <f>IFERROR('Sport Records'!$P$115,"—")</f>
        <v>—</v>
      </c>
      <c r="C19" s="31" t="str">
        <f>IF(OR($B19="—",$B19=""),"",ROUND(MAX('Sport Records'!$B$115:$O$115),0))</f>
        <v/>
      </c>
      <c r="D19" s="31" t="str">
        <f>IF(OR($B19="—",$B19=""),"—",COUNTIFS('Match Log'!$D$4:$D$810,$B19,'Match Log'!$C$4:$C$810,$A19,'Match Log'!$E$4:$E$810,"Win")&amp;"–"&amp;(COUNTIFS('Match Log'!$D$4:$D$810,$B19,'Match Log'!$C$4:$C$810,$A19)-COUNTIFS('Match Log'!$D$4:$D$810,$B19,'Match Log'!$C$4:$C$810,$A19,'Match Log'!$E$4:$E$810,"Win")))</f>
        <v>—</v>
      </c>
      <c r="E19" s="31">
        <f>IFERROR('Sport Records'!$P$17,0)</f>
        <v>0</v>
      </c>
      <c r="G19" s="38" t="s">
        <v>256</v>
      </c>
      <c r="H19" s="42" t="s">
        <v>255</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257</v>
      </c>
      <c r="H20" s="41" t="s">
        <v>255</v>
      </c>
      <c r="I20" s="37"/>
    </row>
    <row r="21" spans="1:9" ht="15" customHeight="1" x14ac:dyDescent="0.2">
      <c r="A21" s="29" t="str">
        <f>IF(Lists!$C$13="","",Lists!$C$13)</f>
        <v>Table Tennis</v>
      </c>
      <c r="B21" s="30" t="str">
        <f>IFERROR('Sport Records'!$P$117,"—")</f>
        <v>Josh</v>
      </c>
      <c r="C21" s="31">
        <f>IF(OR($B21="—",$B21=""),"",ROUND(MAX('Sport Records'!$B$117:$O$117),0))</f>
        <v>1109</v>
      </c>
      <c r="D21" s="31" t="str">
        <f>IF(OR($B21="—",$B21=""),"—",COUNTIFS('Match Log'!$D$4:$D$810,$B21,'Match Log'!$C$4:$C$810,$A21,'Match Log'!$E$4:$E$810,"Win")&amp;"–"&amp;(COUNTIFS('Match Log'!$D$4:$D$810,$B21,'Match Log'!$C$4:$C$810,$A21)-COUNTIFS('Match Log'!$D$4:$D$810,$B21,'Match Log'!$C$4:$C$810,$A21,'Match Log'!$E$4:$E$810,"Win")))</f>
        <v>13–2</v>
      </c>
      <c r="E21" s="31">
        <f>IFERROR('Sport Records'!$P$19,0)</f>
        <v>31</v>
      </c>
      <c r="G21" s="38" t="s">
        <v>258</v>
      </c>
      <c r="H21" s="42" t="s">
        <v>259</v>
      </c>
      <c r="I21" s="40" t="s">
        <v>260</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261</v>
      </c>
      <c r="H23" s="44" t="s">
        <v>262</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263</v>
      </c>
      <c r="H24" s="44" t="s">
        <v>264</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Shawn</v>
      </c>
      <c r="C28" s="31">
        <f>IF(OR($B28="—",$B28=""),"",ROUND(MAX('Sport Records'!$B$124:$O$124),0))</f>
        <v>1048</v>
      </c>
      <c r="D28" s="31" t="str">
        <f>IF(OR($B28="—",$B28=""),"—",COUNTIFS('Match Log'!$D$4:$D$810,$B28,'Match Log'!$C$4:$C$810,$A28,'Match Log'!$E$4:$E$810,"Win")&amp;"–"&amp;(COUNTIFS('Match Log'!$D$4:$D$810,$B28,'Match Log'!$C$4:$C$810,$A28)-COUNTIFS('Match Log'!$D$4:$D$810,$B28,'Match Log'!$C$4:$C$810,$A28,'Match Log'!$E$4:$E$810,"Win")))</f>
        <v>15–10</v>
      </c>
      <c r="E28" s="31">
        <f>'Sport Records'!$P$26</f>
        <v>33</v>
      </c>
    </row>
    <row r="29" spans="1:9" x14ac:dyDescent="0.2">
      <c r="A29" s="29" t="s">
        <v>51</v>
      </c>
      <c r="B29" s="30" t="str">
        <f>IFERROR('Sport Records'!$P$125,"—")</f>
        <v>—</v>
      </c>
      <c r="C29" s="31" t="str">
        <f>IF(OR($B29="—",$B29=""),"",ROUND(MAX('Sport Records'!$B$125:$O$125),0))</f>
        <v/>
      </c>
      <c r="D29" s="31" t="str">
        <f>IF(OR($B29="—",$B29=""),"—",COUNTIFS('Match Log'!$D$4:$D$810,$B29,'Match Log'!$C$4:$C$810,$A29,'Match Log'!$E$4:$E$810,"Win")&amp;"–"&amp;(COUNTIFS('Match Log'!$D$4:$D$810,$B29,'Match Log'!$C$4:$C$810,$A29)-COUNTIFS('Match Log'!$D$4:$D$810,$B29,'Match Log'!$C$4:$C$810,$A29,'Match Log'!$E$4:$E$810,"Win")))</f>
        <v>—</v>
      </c>
      <c r="E29" s="31">
        <f>IFERROR('Sport Records'!$P$27,0)</f>
        <v>0</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8</v>
      </c>
    </row>
    <row r="33" spans="1:5" x14ac:dyDescent="0.2">
      <c r="A33" s="29" t="s">
        <v>456</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Normal="100" workbookViewId="0">
      <pane xSplit="3" ySplit="4" topLeftCell="D5" activePane="bottomRight" state="frozen"/>
      <selection pane="topRight" activeCell="D1" sqref="D1"/>
      <selection pane="bottomLeft" activeCell="A5" sqref="A5"/>
      <selection pane="bottomRight" activeCell="F28" sqref="F28"/>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45" t="s">
        <v>265</v>
      </c>
      <c r="B1" s="46"/>
      <c r="C1" s="46"/>
      <c r="D1" s="46"/>
      <c r="E1" s="46"/>
      <c r="F1" s="46"/>
      <c r="G1" s="46"/>
      <c r="H1" s="46"/>
      <c r="I1" s="46"/>
      <c r="J1" s="46"/>
      <c r="K1" s="46"/>
      <c r="L1" s="46"/>
    </row>
    <row r="2" spans="1:24" ht="15" customHeight="1" x14ac:dyDescent="0.2">
      <c r="A2" s="47" t="s">
        <v>266</v>
      </c>
      <c r="B2" s="47"/>
      <c r="C2" s="47"/>
      <c r="D2" s="47"/>
      <c r="E2" s="47"/>
      <c r="F2" s="47"/>
      <c r="G2" s="47"/>
      <c r="H2" s="47"/>
      <c r="I2" s="47"/>
      <c r="J2" s="47"/>
      <c r="K2" s="47"/>
      <c r="L2" s="47"/>
      <c r="M2" s="48" t="str">
        <f>"Standings as of Game "&amp;MAX('Match Log'!$A$4:$A$810)&amp;"  ·  "&amp;TEXT(MAX('Match Log'!$B$4:$B$810),"d mmm yyyy")</f>
        <v>Standings as of Game 220  ·  19 Aug 2026</v>
      </c>
      <c r="T2" s="49"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133</v>
      </c>
      <c r="D4" s="51" t="s">
        <v>10</v>
      </c>
      <c r="E4" s="51" t="s">
        <v>267</v>
      </c>
      <c r="F4" s="51" t="s">
        <v>268</v>
      </c>
      <c r="G4" s="51" t="s">
        <v>12</v>
      </c>
      <c r="H4" s="51" t="s">
        <v>143</v>
      </c>
      <c r="I4" s="51" t="s">
        <v>145</v>
      </c>
      <c r="J4" s="51" t="s">
        <v>147</v>
      </c>
      <c r="K4" s="51" t="s">
        <v>269</v>
      </c>
      <c r="L4" s="51" t="s">
        <v>165</v>
      </c>
      <c r="M4" s="51" t="s">
        <v>270</v>
      </c>
      <c r="N4" s="51" t="s">
        <v>271</v>
      </c>
      <c r="O4" s="51" t="s">
        <v>153</v>
      </c>
      <c r="P4" s="51" t="s">
        <v>272</v>
      </c>
      <c r="Q4" s="51" t="s">
        <v>273</v>
      </c>
      <c r="R4" s="51" t="s">
        <v>274</v>
      </c>
      <c r="S4" s="51" t="s">
        <v>275</v>
      </c>
      <c r="T4" s="51" t="s">
        <v>161</v>
      </c>
      <c r="U4" s="51" t="s">
        <v>137</v>
      </c>
      <c r="V4" s="51" t="s">
        <v>276</v>
      </c>
      <c r="W4" s="51" t="s">
        <v>163</v>
      </c>
      <c r="X4" s="51" t="s">
        <v>277</v>
      </c>
    </row>
    <row r="5" spans="1:24" ht="15" customHeight="1" x14ac:dyDescent="0.2">
      <c r="A5" s="52">
        <f t="shared" ref="A5:A18" si="0">ROW()-4</f>
        <v>1</v>
      </c>
      <c r="B5" s="53" t="str">
        <f ca="1">IFERROR(INDEX(Calcs!$A$7:$A$20,MATCH(LARGE(Calcs!$AI$7:$AI$20,ROW()-4),Calcs!$AI$7:$AI$20,0)),"")</f>
        <v>Dean B</v>
      </c>
      <c r="C5" s="54">
        <f ca="1">IFERROR(INDEX(Calcs!$S$7:$S$20,MATCH($B5,Calcs!$A$7:$A$20,0)),"")</f>
        <v>1221.7029363250533</v>
      </c>
      <c r="D5" s="55">
        <f ca="1">COUNTIF('Match Log'!$D$4:$D$810,$B5)</f>
        <v>29</v>
      </c>
      <c r="E5" s="55">
        <f ca="1">COUNTIFS('Match Log'!$D$4:$D$810,$B5,'Match Log'!$E$4:$E$810,"Win")</f>
        <v>20</v>
      </c>
      <c r="F5" s="55">
        <f t="shared" ref="F5:F18" ca="1" si="1">$D5-$E5</f>
        <v>9</v>
      </c>
      <c r="G5" s="56">
        <f t="shared" ref="G5:G18" ca="1" si="2">IF($D5=0,"",$E5/$D5)</f>
        <v>0.68965517241379315</v>
      </c>
      <c r="H5" s="57">
        <f ca="1">SUMIF('Match Log'!$D$4:$D$810,$B5,'Match Log'!$J$4:$J$810)</f>
        <v>129.333162440519</v>
      </c>
      <c r="I5" s="57">
        <f ca="1">SUMIF('Match Log'!$D$4:$D$810,$B5,'Match Log'!$K$4:$K$810)</f>
        <v>77.369773884534624</v>
      </c>
      <c r="J5" s="57">
        <f ca="1">SUMIF('Match Log'!$D$4:$D$810,$B5,'Match Log'!$L$4:$L$810)</f>
        <v>35</v>
      </c>
      <c r="K5" s="55">
        <f ca="1">SUMPRODUCT(--(COUNTIFS('Match Log'!$D$4:$D$810,$B5,'Match Log'!$C$4:$C$810,Lists!$C$2:$C$26)&gt;0))</f>
        <v>5</v>
      </c>
      <c r="L5" s="55" t="str">
        <f ca="1">IF($D5=0,"No games",IF(AND($D5&gt;='Guide &amp; Settings'!$C$45,$K5&gt;='Guide &amp; Settings'!$C$46),"Eligible","Provisional"))</f>
        <v>Eligible</v>
      </c>
      <c r="M5" s="54">
        <f ca="1">IFERROR(INDEX(Calcs!$C$7:$C$20,MATCH($B5,Calcs!$A$7:$A$20,0)),"")</f>
        <v>1092.3933689945125</v>
      </c>
      <c r="N5" s="54">
        <f t="shared" ref="N5:N18" ca="1" si="3">MAX($C$5:$C$18)-$C5</f>
        <v>0</v>
      </c>
      <c r="O5" s="55" t="str">
        <f ca="1">IFERROR(INDEX(Calcs!$H$7:$H$20,MATCH($B5,Calcs!$A$7:$A$20,0)),"")</f>
        <v>W1</v>
      </c>
      <c r="P5" s="55" t="str">
        <f ca="1">IFERROR(INDEX(Calcs!$I$7:$I$20,MATCH($B5,Calcs!$A$7:$A$20,0)),"")</f>
        <v>WWWLW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12 Jul</v>
      </c>
      <c r="S5" s="55">
        <f ca="1">IFERROR(ROUND(INDEX(Calcs!$Q$7:$Q$20,MATCH($B5,Calcs!$A$7:$A$20,0)),1),"")</f>
        <v>5.4</v>
      </c>
      <c r="T5" s="55" t="str">
        <f ca="1">IFERROR(INDEX(Calcs!$T$7:$T$20,MATCH($B5,Calcs!$A$7:$A$20,0)),"")</f>
        <v>Inactive</v>
      </c>
      <c r="U5">
        <f ca="1">IFERROR(ROUND(INDEX(Calcs!$R$7:$R$20,MATCH($B5,Calcs!$A$7:$A$20,0))+INDEX(Calcs!$U$7:$U$20,MATCH($B5,Calcs!$A$7:$A$20,0)),0),0)</f>
        <v>20</v>
      </c>
      <c r="V5" s="57">
        <f ca="1">IFERROR(ROUND(INDEX(Calcs!$S$7:$S$20,MATCH($B5,Calcs!$A$7:$A$20,0)),0),"")</f>
        <v>1222</v>
      </c>
      <c r="W5" s="55" t="str">
        <f ca="1">IFERROR(INDEX(Calcs!$AF$7:$AF$20,MATCH($B5,Calcs!$A$7:$A$20,0)),"")</f>
        <v>Elite</v>
      </c>
      <c r="X5" s="57">
        <f ca="1">IFERROR(ROUND(SUMIF('Poker Stake Ledger'!$C$18:$C$137,$B5,'Poker Stake Ledger'!$K$18:$K$137),1),0)</f>
        <v>0</v>
      </c>
    </row>
    <row r="6" spans="1:24" ht="15" customHeight="1" x14ac:dyDescent="0.2">
      <c r="A6" s="52">
        <f t="shared" si="0"/>
        <v>2</v>
      </c>
      <c r="B6" s="53" t="str">
        <f ca="1">IFERROR(INDEX(Calcs!$A$7:$A$20,MATCH(LARGE(Calcs!$AI$7:$AI$20,ROW()-4),Calcs!$AI$7:$AI$20,0)),"")</f>
        <v>Josh</v>
      </c>
      <c r="C6" s="54">
        <f ca="1">IFERROR(INDEX(Calcs!$S$7:$S$20,MATCH($B6,Calcs!$A$7:$A$20,0)),"")</f>
        <v>1177.6612046633588</v>
      </c>
      <c r="D6" s="55">
        <f ca="1">COUNTIF('Match Log'!$D$4:$D$810,$B6)</f>
        <v>60</v>
      </c>
      <c r="E6" s="55">
        <f ca="1">COUNTIFS('Match Log'!$D$4:$D$810,$B6,'Match Log'!$E$4:$E$810,"Win")</f>
        <v>35</v>
      </c>
      <c r="F6" s="55">
        <f t="shared" ca="1" si="1"/>
        <v>25</v>
      </c>
      <c r="G6" s="56">
        <f t="shared" ca="1" si="2"/>
        <v>0.58333333333333337</v>
      </c>
      <c r="H6" s="57">
        <f ca="1">SUMIF('Match Log'!$D$4:$D$810,$B6,'Match Log'!$J$4:$J$810)</f>
        <v>63.994170612571914</v>
      </c>
      <c r="I6" s="57">
        <f ca="1">SUMIF('Match Log'!$D$4:$D$810,$B6,'Match Log'!$K$4:$K$810)</f>
        <v>41.917034050786619</v>
      </c>
      <c r="J6" s="57">
        <f ca="1">SUMIF('Match Log'!$D$4:$D$810,$B6,'Match Log'!$L$4:$L$810)</f>
        <v>50</v>
      </c>
      <c r="K6" s="55">
        <f ca="1">SUMPRODUCT(--(COUNTIFS('Match Log'!$D$4:$D$810,$B6,'Match Log'!$C$4:$C$810,Lists!$C$2:$C$26)&gt;0))</f>
        <v>15</v>
      </c>
      <c r="L6" s="55" t="str">
        <f ca="1">IF($D6=0,"No games",IF(AND($D6&gt;='Guide &amp; Settings'!$C$45,$K6&gt;='Guide &amp; Settings'!$C$46),"Eligible","Provisional"))</f>
        <v>Eligible</v>
      </c>
      <c r="M6" s="54">
        <f ca="1">IFERROR(INDEX(Calcs!$C$7:$C$20,MATCH($B6,Calcs!$A$7:$A$20,0)),"")</f>
        <v>1100.3764488389729</v>
      </c>
      <c r="N6" s="54">
        <f t="shared" ca="1" si="3"/>
        <v>44.041731661694485</v>
      </c>
      <c r="O6" s="55" t="str">
        <f ca="1">IFERROR(INDEX(Calcs!$H$7:$H$20,MATCH($B6,Calcs!$A$7:$A$20,0)),"")</f>
        <v>W1</v>
      </c>
      <c r="P6" s="55" t="str">
        <f ca="1">IFERROR(INDEX(Calcs!$I$7:$I$20,MATCH($B6,Calcs!$A$7:$A$20,0)),"")</f>
        <v>WLWLW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19 Aug</v>
      </c>
      <c r="S6" s="55">
        <f ca="1">IFERROR(ROUND(INDEX(Calcs!$Q$7:$Q$20,MATCH($B6,Calcs!$A$7:$A$20,0)),1),"")</f>
        <v>0</v>
      </c>
      <c r="T6" s="55" t="str">
        <f ca="1">IFERROR(INDEX(Calcs!$T$7:$T$20,MATCH($B6,Calcs!$A$7:$A$20,0)),"")</f>
        <v>Active</v>
      </c>
      <c r="U6">
        <f ca="1">IFERROR(ROUND(INDEX(Calcs!$R$7:$R$20,MATCH($B6,Calcs!$A$7:$A$20,0))+INDEX(Calcs!$U$7:$U$20,MATCH($B6,Calcs!$A$7:$A$20,0)),0),0)</f>
        <v>0</v>
      </c>
      <c r="V6" s="57">
        <f ca="1">IFERROR(ROUND(INDEX(Calcs!$S$7:$S$20,MATCH($B6,Calcs!$A$7:$A$20,0)),0),"")</f>
        <v>1178</v>
      </c>
      <c r="W6" s="55" t="str">
        <f ca="1">IFERROR(INDEX(Calcs!$AF$7:$AF$20,MATCH($B6,Calcs!$A$7:$A$20,0)),"")</f>
        <v>Elite</v>
      </c>
      <c r="X6" s="57">
        <f ca="1">IFERROR(ROUND(SUMIF('Poker Stake Ledger'!$C$18:$C$137,$B6,'Poker Stake Ledger'!$K$18:$K$137),1),0)</f>
        <v>21.8</v>
      </c>
    </row>
    <row r="7" spans="1:24" ht="15" customHeight="1" x14ac:dyDescent="0.2">
      <c r="A7" s="52">
        <f t="shared" si="0"/>
        <v>3</v>
      </c>
      <c r="B7" s="53" t="str">
        <f ca="1">IFERROR(INDEX(Calcs!$A$7:$A$20,MATCH(LARGE(Calcs!$AI$7:$AI$20,ROW()-4),Calcs!$AI$7:$AI$20,0)),"")</f>
        <v>Daniel (Ferret)</v>
      </c>
      <c r="C7" s="54">
        <f ca="1">IFERROR(INDEX(Calcs!$S$7:$S$20,MATCH($B7,Calcs!$A$7:$A$20,0)),"")</f>
        <v>1131.9664127790436</v>
      </c>
      <c r="D7" s="55">
        <f ca="1">COUNTIF('Match Log'!$D$4:$D$810,$B7)</f>
        <v>95</v>
      </c>
      <c r="E7" s="55">
        <f ca="1">COUNTIFS('Match Log'!$D$4:$D$810,$B7,'Match Log'!$E$4:$E$810,"Win")</f>
        <v>43</v>
      </c>
      <c r="F7" s="55">
        <f t="shared" ca="1" si="1"/>
        <v>52</v>
      </c>
      <c r="G7" s="56">
        <f t="shared" ca="1" si="2"/>
        <v>0.45263157894736844</v>
      </c>
      <c r="H7" s="57">
        <f ca="1">SUMIF('Match Log'!$D$4:$D$810,$B7,'Match Log'!$J$4:$J$810)</f>
        <v>3.9829345442641095</v>
      </c>
      <c r="I7" s="57">
        <f ca="1">SUMIF('Match Log'!$D$4:$D$810,$B7,'Match Log'!$K$4:$K$810)</f>
        <v>45.333478234779861</v>
      </c>
      <c r="J7" s="57">
        <f ca="1">SUMIF('Match Log'!$D$4:$D$810,$B7,'Match Log'!$L$4:$L$810)</f>
        <v>84</v>
      </c>
      <c r="K7" s="55">
        <f ca="1">SUMPRODUCT(--(COUNTIFS('Match Log'!$D$4:$D$810,$B7,'Match Log'!$C$4:$C$810,Lists!$C$2:$C$26)&gt;0))</f>
        <v>18</v>
      </c>
      <c r="L7" s="55" t="str">
        <f ca="1">IF($D7=0,"No games",IF(AND($D7&gt;='Guide &amp; Settings'!$C$45,$K7&gt;='Guide &amp; Settings'!$C$46),"Eligible","Provisional"))</f>
        <v>Eligible</v>
      </c>
      <c r="M7" s="54">
        <f ca="1">IFERROR(INDEX(Calcs!$C$7:$C$20,MATCH($B7,Calcs!$A$7:$A$20,0)),"")</f>
        <v>1107.0185479961006</v>
      </c>
      <c r="N7" s="54">
        <f t="shared" ca="1" si="3"/>
        <v>89.736523546009721</v>
      </c>
      <c r="O7" s="55" t="str">
        <f ca="1">IFERROR(INDEX(Calcs!$H$7:$H$20,MATCH($B7,Calcs!$A$7:$A$20,0)),"")</f>
        <v>L1</v>
      </c>
      <c r="P7" s="55" t="str">
        <f ca="1">IFERROR(INDEX(Calcs!$I$7:$I$20,MATCH($B7,Calcs!$A$7:$A$20,0)),"")</f>
        <v>LWLWL</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19 Aug</v>
      </c>
      <c r="S7" s="55">
        <f ca="1">IFERROR(ROUND(INDEX(Calcs!$Q$7:$Q$20,MATCH($B7,Calcs!$A$7:$A$20,0)),1),"")</f>
        <v>0</v>
      </c>
      <c r="T7" s="55" t="str">
        <f ca="1">IFERROR(INDEX(Calcs!$T$7:$T$20,MATCH($B7,Calcs!$A$7:$A$20,0)),"")</f>
        <v>Active</v>
      </c>
      <c r="U7">
        <f ca="1">IFERROR(ROUND(INDEX(Calcs!$R$7:$R$20,MATCH($B7,Calcs!$A$7:$A$20,0))+INDEX(Calcs!$U$7:$U$20,MATCH($B7,Calcs!$A$7:$A$20,0)),0),0)</f>
        <v>0</v>
      </c>
      <c r="V7" s="57">
        <f ca="1">IFERROR(ROUND(INDEX(Calcs!$S$7:$S$20,MATCH($B7,Calcs!$A$7:$A$20,0)),0),"")</f>
        <v>1132</v>
      </c>
      <c r="W7" s="55" t="str">
        <f ca="1">IFERROR(INDEX(Calcs!$AF$7:$AF$20,MATCH($B7,Calcs!$A$7:$A$20,0)),"")</f>
        <v>Strong</v>
      </c>
      <c r="X7" s="57">
        <f ca="1">IFERROR(ROUND(SUMIF('Poker Stake Ledger'!$C$18:$C$137,$B7,'Poker Stake Ledger'!$K$18:$K$137),1),0)</f>
        <v>-1.4</v>
      </c>
    </row>
    <row r="8" spans="1:24" ht="15" customHeight="1" x14ac:dyDescent="0.2">
      <c r="A8" s="52">
        <f t="shared" si="0"/>
        <v>4</v>
      </c>
      <c r="B8" s="53" t="str">
        <f ca="1">IFERROR(INDEX(Calcs!$A$7:$A$20,MATCH(LARGE(Calcs!$AI$7:$AI$20,ROW()-4),Calcs!$AI$7:$AI$20,0)),"")</f>
        <v>Shawn</v>
      </c>
      <c r="C8" s="54">
        <f ca="1">IFERROR(INDEX(Calcs!$S$7:$S$20,MATCH($B8,Calcs!$A$7:$A$20,0)),"")</f>
        <v>1124.39195520974</v>
      </c>
      <c r="D8" s="55">
        <f ca="1">COUNTIF('Match Log'!$D$4:$D$810,$B8)</f>
        <v>103</v>
      </c>
      <c r="E8" s="55">
        <f ca="1">COUNTIFS('Match Log'!$D$4:$D$810,$B8,'Match Log'!$E$4:$E$810,"Win")</f>
        <v>48</v>
      </c>
      <c r="F8" s="55">
        <f t="shared" ca="1" si="1"/>
        <v>55</v>
      </c>
      <c r="G8" s="56">
        <f t="shared" ca="1" si="2"/>
        <v>0.46601941747572817</v>
      </c>
      <c r="H8" s="57">
        <f ca="1">SUMIF('Match Log'!$D$4:$D$810,$B8,'Match Log'!$J$4:$J$810)</f>
        <v>38.329771672166991</v>
      </c>
      <c r="I8" s="57">
        <f ca="1">SUMIF('Match Log'!$D$4:$D$810,$B8,'Match Log'!$K$4:$K$810)</f>
        <v>7.8121835375733575</v>
      </c>
      <c r="J8" s="57">
        <f ca="1">SUMIF('Match Log'!$D$4:$D$810,$B8,'Match Log'!$L$4:$L$810)</f>
        <v>82</v>
      </c>
      <c r="K8" s="55">
        <f ca="1">SUMPRODUCT(--(COUNTIFS('Match Log'!$D$4:$D$810,$B8,'Match Log'!$C$4:$C$810,Lists!$C$2:$C$26)&gt;0))</f>
        <v>15</v>
      </c>
      <c r="L8" s="55" t="str">
        <f ca="1">IF($D8=0,"No games",IF(AND($D8&gt;='Guide &amp; Settings'!$C$45,$K8&gt;='Guide &amp; Settings'!$C$46),"Eligible","Provisional"))</f>
        <v>Eligible</v>
      </c>
      <c r="M8" s="54">
        <f ca="1">IFERROR(INDEX(Calcs!$C$7:$C$20,MATCH($B8,Calcs!$A$7:$A$20,0)),"")</f>
        <v>1079.3139450875044</v>
      </c>
      <c r="N8" s="54">
        <f t="shared" ca="1" si="3"/>
        <v>97.310981115313325</v>
      </c>
      <c r="O8" s="55" t="str">
        <f ca="1">IFERROR(INDEX(Calcs!$H$7:$H$20,MATCH($B8,Calcs!$A$7:$A$20,0)),"")</f>
        <v>W1</v>
      </c>
      <c r="P8" s="55" t="str">
        <f ca="1">IFERROR(INDEX(Calcs!$I$7:$I$20,MATCH($B8,Calcs!$A$7:$A$20,0)),"")</f>
        <v>WLLLW</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13 Aug</v>
      </c>
      <c r="S8" s="55">
        <f ca="1">IFERROR(ROUND(INDEX(Calcs!$Q$7:$Q$20,MATCH($B8,Calcs!$A$7:$A$20,0)),1),"")</f>
        <v>0.9</v>
      </c>
      <c r="T8" s="55" t="str">
        <f ca="1">IFERROR(INDEX(Calcs!$T$7:$T$20,MATCH($B8,Calcs!$A$7:$A$20,0)),"")</f>
        <v>Active</v>
      </c>
      <c r="U8">
        <f ca="1">IFERROR(ROUND(INDEX(Calcs!$R$7:$R$20,MATCH($B8,Calcs!$A$7:$A$20,0))+INDEX(Calcs!$U$7:$U$20,MATCH($B8,Calcs!$A$7:$A$20,0)),0),0)</f>
        <v>0</v>
      </c>
      <c r="V8" s="57">
        <f ca="1">IFERROR(ROUND(INDEX(Calcs!$S$7:$S$20,MATCH($B8,Calcs!$A$7:$A$20,0)),0),"")</f>
        <v>1124</v>
      </c>
      <c r="W8" s="55" t="str">
        <f ca="1">IFERROR(INDEX(Calcs!$AF$7:$AF$20,MATCH($B8,Calcs!$A$7:$A$20,0)),"")</f>
        <v>Strong</v>
      </c>
      <c r="X8" s="57">
        <f ca="1">IFERROR(ROUND(SUMIF('Poker Stake Ledger'!$C$18:$C$137,$B8,'Poker Stake Ledger'!$K$18:$K$137),1),0)</f>
        <v>-3.8</v>
      </c>
    </row>
    <row r="9" spans="1:24" ht="15" customHeight="1" x14ac:dyDescent="0.2">
      <c r="A9" s="52">
        <f t="shared" si="0"/>
        <v>5</v>
      </c>
      <c r="B9" s="53" t="str">
        <f ca="1">IFERROR(INDEX(Calcs!$A$7:$A$20,MATCH(LARGE(Calcs!$AI$7:$AI$20,ROW()-4),Calcs!$AI$7:$AI$20,0)),"")</f>
        <v>Dean M</v>
      </c>
      <c r="C9" s="54">
        <f ca="1">IFERROR(INDEX(Calcs!$S$7:$S$20,MATCH($B9,Calcs!$A$7:$A$20,0)),"")</f>
        <v>1087.5488947064855</v>
      </c>
      <c r="D9" s="55">
        <f ca="1">COUNTIF('Match Log'!$D$4:$D$810,$B9)</f>
        <v>15</v>
      </c>
      <c r="E9" s="55">
        <f ca="1">COUNTIFS('Match Log'!$D$4:$D$810,$B9,'Match Log'!$E$4:$E$810,"Win")</f>
        <v>7</v>
      </c>
      <c r="F9" s="55">
        <f t="shared" ca="1" si="1"/>
        <v>8</v>
      </c>
      <c r="G9" s="56">
        <f t="shared" ca="1" si="2"/>
        <v>0.46666666666666667</v>
      </c>
      <c r="H9" s="57">
        <f ca="1">SUMIF('Match Log'!$D$4:$D$810,$B9,'Match Log'!$J$4:$J$810)</f>
        <v>28.076161354904098</v>
      </c>
      <c r="I9" s="57">
        <f ca="1">SUMIF('Match Log'!$D$4:$D$810,$B9,'Match Log'!$K$4:$K$810)</f>
        <v>24.47273335158134</v>
      </c>
      <c r="J9" s="57">
        <f ca="1">SUMIF('Match Log'!$D$4:$D$810,$B9,'Match Log'!$L$4:$L$810)</f>
        <v>35</v>
      </c>
      <c r="K9" s="55">
        <f ca="1">SUMPRODUCT(--(COUNTIFS('Match Log'!$D$4:$D$810,$B9,'Match Log'!$C$4:$C$810,Lists!$C$2:$C$26)&gt;0))</f>
        <v>4</v>
      </c>
      <c r="L9" s="55" t="str">
        <f ca="1">IF($D9=0,"No games",IF(AND($D9&gt;='Guide &amp; Settings'!$C$45,$K9&gt;='Guide &amp; Settings'!$C$46),"Eligible","Provisional"))</f>
        <v>Eligible</v>
      </c>
      <c r="M9" s="54">
        <f ca="1">IFERROR(INDEX(Calcs!$C$7:$C$20,MATCH($B9,Calcs!$A$7:$A$20,0)),"")</f>
        <v>1059.3925042232245</v>
      </c>
      <c r="N9" s="54">
        <f t="shared" ca="1" si="3"/>
        <v>134.15404161856782</v>
      </c>
      <c r="O9" s="55" t="str">
        <f ca="1">IFERROR(INDEX(Calcs!$H$7:$H$20,MATCH($B9,Calcs!$A$7:$A$20,0)),"")</f>
        <v>W1</v>
      </c>
      <c r="P9" s="55" t="str">
        <f ca="1">IFERROR(INDEX(Calcs!$I$7:$I$20,MATCH($B9,Calcs!$A$7:$A$20,0)),"")</f>
        <v>LWWLW</v>
      </c>
      <c r="Q9" s="55" t="str">
        <f ca="1">IFERROR(IF(INDEX(Calcs!$L$7:$L$20,MATCH($B9,Calcs!$A$7:$A$20,0))&gt;0,"▲"&amp;INDEX(Calcs!$L$7:$L$20,MATCH($B9,Calcs!$A$7:$A$20,0)),IF(INDEX(Calcs!$L$7:$L$20,MATCH($B9,Calcs!$A$7:$A$20,0))&lt;0,"▼"&amp;ABS(INDEX(Calcs!$L$7:$L$20,MATCH($B9,Calcs!$A$7:$A$20,0))),"–")),"")</f>
        <v>▲5</v>
      </c>
      <c r="R9" s="55" t="str">
        <f ca="1">IFERROR(IF(INDEX(Calcs!$P$7:$P$20,MATCH($B9,Calcs!$A$7:$A$20,0))=0,"—",TEXT(INDEX(Calcs!$P$7:$P$20,MATCH($B9,Calcs!$A$7:$A$20,0)),"d mmm")),"")</f>
        <v>15 Aug</v>
      </c>
      <c r="S9" s="55">
        <f ca="1">IFERROR(ROUND(INDEX(Calcs!$Q$7:$Q$20,MATCH($B9,Calcs!$A$7:$A$20,0)),1),"")</f>
        <v>0.6</v>
      </c>
      <c r="T9" s="55" t="str">
        <f ca="1">IFERROR(INDEX(Calcs!$T$7:$T$20,MATCH($B9,Calcs!$A$7:$A$20,0)),"")</f>
        <v>Active</v>
      </c>
      <c r="U9">
        <f ca="1">IFERROR(ROUND(INDEX(Calcs!$R$7:$R$20,MATCH($B9,Calcs!$A$7:$A$20,0))+INDEX(Calcs!$U$7:$U$20,MATCH($B9,Calcs!$A$7:$A$20,0)),0),0)</f>
        <v>0</v>
      </c>
      <c r="V9" s="57">
        <f ca="1">IFERROR(ROUND(INDEX(Calcs!$S$7:$S$20,MATCH($B9,Calcs!$A$7:$A$20,0)),0),"")</f>
        <v>1088</v>
      </c>
      <c r="W9" s="55" t="str">
        <f ca="1">IFERROR(INDEX(Calcs!$AF$7:$AF$20,MATCH($B9,Calcs!$A$7:$A$20,0)),"")</f>
        <v>Strong</v>
      </c>
      <c r="X9" s="57">
        <f ca="1">IFERROR(ROUND(SUMIF('Poker Stake Ledger'!$C$18:$C$137,$B9,'Poker Stake Ledger'!$K$18:$K$137),1),0)</f>
        <v>0</v>
      </c>
    </row>
    <row r="10" spans="1:24" ht="15" customHeight="1" x14ac:dyDescent="0.2">
      <c r="A10" s="52">
        <f t="shared" si="0"/>
        <v>6</v>
      </c>
      <c r="B10" s="53" t="str">
        <f ca="1">IFERROR(INDEX(Calcs!$A$7:$A$20,MATCH(LARGE(Calcs!$AI$7:$AI$20,ROW()-4),Calcs!$AI$7:$AI$20,0)),"")</f>
        <v>Oscar</v>
      </c>
      <c r="C10" s="54">
        <f ca="1">IFERROR(INDEX(Calcs!$S$7:$S$20,MATCH($B10,Calcs!$A$7:$A$20,0)),"")</f>
        <v>1054.3366131438215</v>
      </c>
      <c r="D10" s="55">
        <f ca="1">COUNTIF('Match Log'!$D$4:$D$810,$B10)</f>
        <v>59</v>
      </c>
      <c r="E10" s="55">
        <f ca="1">COUNTIFS('Match Log'!$D$4:$D$810,$B10,'Match Log'!$E$4:$E$810,"Win")</f>
        <v>25</v>
      </c>
      <c r="F10" s="55">
        <f t="shared" ca="1" si="1"/>
        <v>34</v>
      </c>
      <c r="G10" s="56">
        <f t="shared" ca="1" si="2"/>
        <v>0.42372881355932202</v>
      </c>
      <c r="H10" s="57">
        <f ca="1">SUMIF('Match Log'!$D$4:$D$810,$B10,'Match Log'!$J$4:$J$810)</f>
        <v>-33.21875751222327</v>
      </c>
      <c r="I10" s="57">
        <f ca="1">SUMIF('Match Log'!$D$4:$D$810,$B10,'Match Log'!$K$4:$K$810)</f>
        <v>13.555370656044481</v>
      </c>
      <c r="J10" s="57">
        <f ca="1">SUMIF('Match Log'!$D$4:$D$810,$B10,'Match Log'!$L$4:$L$810)</f>
        <v>74</v>
      </c>
      <c r="K10" s="55">
        <f ca="1">SUMPRODUCT(--(COUNTIFS('Match Log'!$D$4:$D$810,$B10,'Match Log'!$C$4:$C$810,Lists!$C$2:$C$26)&gt;0))</f>
        <v>9</v>
      </c>
      <c r="L10" s="55" t="str">
        <f ca="1">IF($D10=0,"No games",IF(AND($D10&gt;='Guide &amp; Settings'!$C$45,$K10&gt;='Guide &amp; Settings'!$C$46),"Eligible","Provisional"))</f>
        <v>Eligible</v>
      </c>
      <c r="M10" s="54">
        <f ca="1">IFERROR(INDEX(Calcs!$C$7:$C$20,MATCH($B10,Calcs!$A$7:$A$20,0)),"")</f>
        <v>1094.7285310728248</v>
      </c>
      <c r="N10" s="54">
        <f t="shared" ca="1" si="3"/>
        <v>167.36632318123179</v>
      </c>
      <c r="O10" s="55" t="str">
        <f ca="1">IFERROR(INDEX(Calcs!$H$7:$H$20,MATCH($B10,Calcs!$A$7:$A$20,0)),"")</f>
        <v>L6</v>
      </c>
      <c r="P10" s="55" t="str">
        <f ca="1">IFERROR(INDEX(Calcs!$I$7:$I$20,MATCH($B10,Calcs!$A$7:$A$20,0)),"")</f>
        <v>LLLLL</v>
      </c>
      <c r="Q10" s="55" t="str">
        <f ca="1">IFERROR(IF(INDEX(Calcs!$L$7:$L$20,MATCH($B10,Calcs!$A$7:$A$20,0))&gt;0,"▲"&amp;INDEX(Calcs!$L$7:$L$20,MATCH($B10,Calcs!$A$7:$A$20,0)),IF(INDEX(Calcs!$L$7:$L$20,MATCH($B10,Calcs!$A$7:$A$20,0))&lt;0,"▼"&amp;ABS(INDEX(Calcs!$L$7:$L$20,MATCH($B10,Calcs!$A$7:$A$20,0))),"–")),"")</f>
        <v>–</v>
      </c>
      <c r="R10" s="55" t="str">
        <f ca="1">IFERROR(IF(INDEX(Calcs!$P$7:$P$20,MATCH($B10,Calcs!$A$7:$A$20,0))=0,"—",TEXT(INDEX(Calcs!$P$7:$P$20,MATCH($B10,Calcs!$A$7:$A$20,0)),"d mmm")),"")</f>
        <v>9 Aug</v>
      </c>
      <c r="S10" s="55">
        <f ca="1">IFERROR(ROUND(INDEX(Calcs!$Q$7:$Q$20,MATCH($B10,Calcs!$A$7:$A$20,0)),1),"")</f>
        <v>1.4</v>
      </c>
      <c r="T10" s="55" t="str">
        <f ca="1">IFERROR(INDEX(Calcs!$T$7:$T$20,MATCH($B10,Calcs!$A$7:$A$20,0)),"")</f>
        <v>Active</v>
      </c>
      <c r="U10">
        <f ca="1">IFERROR(ROUND(INDEX(Calcs!$R$7:$R$20,MATCH($B10,Calcs!$A$7:$A$20,0))+INDEX(Calcs!$U$7:$U$20,MATCH($B10,Calcs!$A$7:$A$20,0)),0),0)</f>
        <v>0</v>
      </c>
      <c r="V10" s="57">
        <f ca="1">IFERROR(ROUND(INDEX(Calcs!$S$7:$S$20,MATCH($B10,Calcs!$A$7:$A$20,0)),0),"")</f>
        <v>1054</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Simon</v>
      </c>
      <c r="C11" s="54">
        <f ca="1">IFERROR(INDEX(Calcs!$S$7:$S$20,MATCH($B11,Calcs!$A$7:$A$20,0)),"")</f>
        <v>1044.6893073123574</v>
      </c>
      <c r="D11" s="55">
        <f ca="1">COUNTIF('Match Log'!$D$4:$D$810,$B11)</f>
        <v>21</v>
      </c>
      <c r="E11" s="55">
        <f ca="1">COUNTIFS('Match Log'!$D$4:$D$810,$B11,'Match Log'!$E$4:$E$810,"Win")</f>
        <v>10</v>
      </c>
      <c r="F11" s="55">
        <f t="shared" ca="1" si="1"/>
        <v>11</v>
      </c>
      <c r="G11" s="56">
        <f t="shared" ca="1" si="2"/>
        <v>0.47619047619047616</v>
      </c>
      <c r="H11" s="57">
        <f ca="1">SUMIF('Match Log'!$D$4:$D$810,$B11,'Match Log'!$J$4:$J$810)</f>
        <v>-13.445795249205757</v>
      </c>
      <c r="I11" s="57">
        <f ca="1">SUMIF('Match Log'!$D$4:$D$810,$B11,'Match Log'!$K$4:$K$810)</f>
        <v>14.685102561563125</v>
      </c>
      <c r="J11" s="57">
        <f ca="1">SUMIF('Match Log'!$D$4:$D$810,$B11,'Match Log'!$L$4:$L$810)</f>
        <v>49</v>
      </c>
      <c r="K11" s="55">
        <f ca="1">SUMPRODUCT(--(COUNTIFS('Match Log'!$D$4:$D$810,$B11,'Match Log'!$C$4:$C$810,Lists!$C$2:$C$26)&gt;0))</f>
        <v>8</v>
      </c>
      <c r="L11" s="55" t="str">
        <f ca="1">IF($D11=0,"No games",IF(AND($D11&gt;='Guide &amp; Settings'!$C$45,$K11&gt;='Guide &amp; Settings'!$C$46),"Eligible","Provisional"))</f>
        <v>Eligible</v>
      </c>
      <c r="M11" s="54">
        <f ca="1">IFERROR(INDEX(Calcs!$C$7:$C$20,MATCH($B11,Calcs!$A$7:$A$20,0)),"")</f>
        <v>1063.570292191464</v>
      </c>
      <c r="N11" s="54">
        <f t="shared" ca="1" si="3"/>
        <v>177.0136290126959</v>
      </c>
      <c r="O11" s="55" t="str">
        <f ca="1">IFERROR(INDEX(Calcs!$H$7:$H$20,MATCH($B11,Calcs!$A$7:$A$20,0)),"")</f>
        <v>L7</v>
      </c>
      <c r="P11" s="55" t="str">
        <f ca="1">IFERROR(INDEX(Calcs!$I$7:$I$20,MATCH($B11,Calcs!$A$7:$A$20,0)),"")</f>
        <v>LLLLL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26 Jul</v>
      </c>
      <c r="S11" s="55">
        <f ca="1">IFERROR(ROUND(INDEX(Calcs!$Q$7:$Q$20,MATCH($B11,Calcs!$A$7:$A$20,0)),1),"")</f>
        <v>3.4</v>
      </c>
      <c r="T11" s="55" t="str">
        <f ca="1">IFERROR(INDEX(Calcs!$T$7:$T$20,MATCH($B11,Calcs!$A$7:$A$20,0)),"")</f>
        <v>At risk</v>
      </c>
      <c r="U11">
        <f ca="1">IFERROR(ROUND(INDEX(Calcs!$R$7:$R$20,MATCH($B11,Calcs!$A$7:$A$20,0))+INDEX(Calcs!$U$7:$U$20,MATCH($B11,Calcs!$A$7:$A$20,0)),0),0)</f>
        <v>0</v>
      </c>
      <c r="V11" s="57">
        <f ca="1">IFERROR(ROUND(INDEX(Calcs!$S$7:$S$20,MATCH($B11,Calcs!$A$7:$A$20,0)),0),"")</f>
        <v>1045</v>
      </c>
      <c r="W11" s="55" t="str">
        <f ca="1">IFERROR(INDEX(Calcs!$AF$7:$AF$20,MATCH($B11,Calcs!$A$7:$A$20,0)),"")</f>
        <v>Mid</v>
      </c>
      <c r="X11" s="57">
        <f ca="1">IFERROR(ROUND(SUMIF('Poker Stake Ledger'!$C$18:$C$137,$B11,'Poker Stake Ledger'!$K$18:$K$137),1),0)</f>
        <v>-5.6</v>
      </c>
    </row>
    <row r="12" spans="1:24" ht="15" customHeight="1" x14ac:dyDescent="0.2">
      <c r="A12" s="52">
        <f t="shared" si="0"/>
        <v>8</v>
      </c>
      <c r="B12" s="53" t="str">
        <f ca="1">IFERROR(INDEX(Calcs!$A$7:$A$20,MATCH(LARGE(Calcs!$AI$7:$AI$20,ROW()-4),Calcs!$AI$7:$AI$20,0)),"")</f>
        <v>Chase</v>
      </c>
      <c r="C12" s="54">
        <f ca="1">IFERROR(INDEX(Calcs!$S$7:$S$20,MATCH($B12,Calcs!$A$7:$A$20,0)),"")</f>
        <v>1027.8197114720938</v>
      </c>
      <c r="D12" s="55">
        <f ca="1">COUNTIF('Match Log'!$D$4:$D$810,$B12)</f>
        <v>16</v>
      </c>
      <c r="E12" s="55">
        <f ca="1">COUNTIFS('Match Log'!$D$4:$D$810,$B12,'Match Log'!$E$4:$E$810,"Win")</f>
        <v>7</v>
      </c>
      <c r="F12" s="55">
        <f t="shared" ca="1" si="1"/>
        <v>9</v>
      </c>
      <c r="G12" s="56">
        <f t="shared" ca="1" si="2"/>
        <v>0.4375</v>
      </c>
      <c r="H12" s="57">
        <f ca="1">SUMIF('Match Log'!$D$4:$D$810,$B12,'Match Log'!$J$4:$J$810)</f>
        <v>14.500662079420026</v>
      </c>
      <c r="I12" s="57">
        <f ca="1">SUMIF('Match Log'!$D$4:$D$810,$B12,'Match Log'!$K$4:$K$810)</f>
        <v>-4.680950607326376</v>
      </c>
      <c r="J12" s="57">
        <f ca="1">SUMIF('Match Log'!$D$4:$D$810,$B12,'Match Log'!$L$4:$L$810)</f>
        <v>28</v>
      </c>
      <c r="K12" s="55">
        <f ca="1">SUMPRODUCT(--(COUNTIFS('Match Log'!$D$4:$D$810,$B12,'Match Log'!$C$4:$C$810,Lists!$C$2:$C$26)&gt;0))</f>
        <v>8</v>
      </c>
      <c r="L12" s="55" t="str">
        <f ca="1">IF($D12=0,"No games",IF(AND($D12&gt;='Guide &amp; Settings'!$C$45,$K12&gt;='Guide &amp; Settings'!$C$46),"Eligible","Provisional"))</f>
        <v>Eligible</v>
      </c>
      <c r="M12" s="54">
        <f ca="1">IFERROR(INDEX(Calcs!$C$7:$C$20,MATCH($B12,Calcs!$A$7:$A$20,0)),"")</f>
        <v>1080.1921418274528</v>
      </c>
      <c r="N12" s="54">
        <f t="shared" ca="1" si="3"/>
        <v>193.88322485295953</v>
      </c>
      <c r="O12" s="55" t="str">
        <f ca="1">IFERROR(INDEX(Calcs!$H$7:$H$20,MATCH($B12,Calcs!$A$7:$A$20,0)),"")</f>
        <v>L3</v>
      </c>
      <c r="P12" s="55" t="str">
        <f ca="1">IFERROR(INDEX(Calcs!$I$7:$I$20,MATCH($B12,Calcs!$A$7:$A$20,0)),"")</f>
        <v>LWLLL</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17 Jul</v>
      </c>
      <c r="S12" s="55">
        <f ca="1">IFERROR(ROUND(INDEX(Calcs!$Q$7:$Q$20,MATCH($B12,Calcs!$A$7:$A$20,0)),1),"")</f>
        <v>4.7</v>
      </c>
      <c r="T12" s="55" t="str">
        <f ca="1">IFERROR(INDEX(Calcs!$T$7:$T$20,MATCH($B12,Calcs!$A$7:$A$20,0)),"")</f>
        <v>Inactive</v>
      </c>
      <c r="U12">
        <f ca="1">IFERROR(ROUND(INDEX(Calcs!$R$7:$R$20,MATCH($B12,Calcs!$A$7:$A$20,0))+INDEX(Calcs!$U$7:$U$20,MATCH($B12,Calcs!$A$7:$A$20,0)),0),0)</f>
        <v>10</v>
      </c>
      <c r="V12" s="57">
        <f ca="1">IFERROR(ROUND(INDEX(Calcs!$S$7:$S$20,MATCH($B12,Calcs!$A$7:$A$20,0)),0),"")</f>
        <v>1028</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Dylan A</v>
      </c>
      <c r="C13" s="54">
        <f ca="1">IFERROR(INDEX(Calcs!$S$7:$S$20,MATCH($B13,Calcs!$A$7:$A$20,0)),"")</f>
        <v>1023.2192605207141</v>
      </c>
      <c r="D13" s="55">
        <f ca="1">COUNTIF('Match Log'!$D$4:$D$810,$B13)</f>
        <v>15</v>
      </c>
      <c r="E13" s="55">
        <f ca="1">COUNTIFS('Match Log'!$D$4:$D$810,$B13,'Match Log'!$E$4:$E$810,"Win")</f>
        <v>6</v>
      </c>
      <c r="F13" s="55">
        <f t="shared" ca="1" si="1"/>
        <v>9</v>
      </c>
      <c r="G13" s="56">
        <f t="shared" ca="1" si="2"/>
        <v>0.4</v>
      </c>
      <c r="H13" s="57">
        <f ca="1">SUMIF('Match Log'!$D$4:$D$810,$B13,'Match Log'!$J$4:$J$810)</f>
        <v>-11.626983026245711</v>
      </c>
      <c r="I13" s="57">
        <f ca="1">SUMIF('Match Log'!$D$4:$D$810,$B13,'Match Log'!$K$4:$K$810)</f>
        <v>3.8462435469599932</v>
      </c>
      <c r="J13" s="57">
        <f ca="1">SUMIF('Match Log'!$D$4:$D$810,$B13,'Match Log'!$L$4:$L$810)</f>
        <v>31</v>
      </c>
      <c r="K13" s="55">
        <f ca="1">SUMPRODUCT(--(COUNTIFS('Match Log'!$D$4:$D$810,$B13,'Match Log'!$C$4:$C$810,Lists!$C$2:$C$26)&gt;0))</f>
        <v>4</v>
      </c>
      <c r="L13" s="55" t="str">
        <f ca="1">IF($D13=0,"No games",IF(AND($D13&gt;='Guide &amp; Settings'!$C$45,$K13&gt;='Guide &amp; Settings'!$C$46),"Eligible","Provisional"))</f>
        <v>Eligible</v>
      </c>
      <c r="M13" s="54">
        <f ca="1">IFERROR(INDEX(Calcs!$C$7:$C$20,MATCH($B13,Calcs!$A$7:$A$20,0)),"")</f>
        <v>1087.0127217426077</v>
      </c>
      <c r="N13" s="54">
        <f t="shared" ca="1" si="3"/>
        <v>198.48367580433921</v>
      </c>
      <c r="O13" s="55" t="str">
        <f ca="1">IFERROR(INDEX(Calcs!$H$7:$H$20,MATCH($B13,Calcs!$A$7:$A$20,0)),"")</f>
        <v>L6</v>
      </c>
      <c r="P13" s="55" t="str">
        <f ca="1">IFERROR(INDEX(Calcs!$I$7:$I$20,MATCH($B13,Calcs!$A$7:$A$20,0)),"")</f>
        <v>LLLLL</v>
      </c>
      <c r="Q13" s="55" t="str">
        <f ca="1">IFERROR(IF(INDEX(Calcs!$L$7:$L$20,MATCH($B13,Calcs!$A$7:$A$20,0))&gt;0,"▲"&amp;INDEX(Calcs!$L$7:$L$20,MATCH($B13,Calcs!$A$7:$A$20,0)),IF(INDEX(Calcs!$L$7:$L$20,MATCH($B13,Calcs!$A$7:$A$20,0))&lt;0,"▼"&amp;ABS(INDEX(Calcs!$L$7:$L$20,MATCH($B13,Calcs!$A$7:$A$20,0))),"–")),"")</f>
        <v>▼5</v>
      </c>
      <c r="R13" s="55" t="str">
        <f ca="1">IFERROR(IF(INDEX(Calcs!$P$7:$P$20,MATCH($B13,Calcs!$A$7:$A$20,0))=0,"—",TEXT(INDEX(Calcs!$P$7:$P$20,MATCH($B13,Calcs!$A$7:$A$20,0)),"d mmm")),"")</f>
        <v>15 Aug</v>
      </c>
      <c r="S13" s="55">
        <f ca="1">IFERROR(ROUND(INDEX(Calcs!$Q$7:$Q$20,MATCH($B13,Calcs!$A$7:$A$20,0)),1),"")</f>
        <v>0.6</v>
      </c>
      <c r="T13" s="55" t="str">
        <f ca="1">IFERROR(INDEX(Calcs!$T$7:$T$20,MATCH($B13,Calcs!$A$7:$A$20,0)),"")</f>
        <v>Active</v>
      </c>
      <c r="U13">
        <f ca="1">IFERROR(ROUND(INDEX(Calcs!$R$7:$R$20,MATCH($B13,Calcs!$A$7:$A$20,0))+INDEX(Calcs!$U$7:$U$20,MATCH($B13,Calcs!$A$7:$A$20,0)),0),0)</f>
        <v>0</v>
      </c>
      <c r="V13" s="57">
        <f ca="1">IFERROR(ROUND(INDEX(Calcs!$S$7:$S$20,MATCH($B13,Calcs!$A$7:$A$20,0)),0),"")</f>
        <v>1023</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Log'!$D$4:$D$810,$B14)</f>
        <v>0</v>
      </c>
      <c r="E14" s="55">
        <f ca="1">COUNTIFS('Match Log'!$D$4:$D$810,$B14,'Match Log'!$E$4:$E$810,"Win")</f>
        <v>0</v>
      </c>
      <c r="F14" s="55">
        <f t="shared" ca="1" si="1"/>
        <v>0</v>
      </c>
      <c r="G14" s="56" t="str">
        <f t="shared" ca="1" si="2"/>
        <v/>
      </c>
      <c r="H14" s="57">
        <f ca="1">SUMIF('Match Log'!$D$4:$D$810,$B14,'Match Log'!$J$4:$J$810)</f>
        <v>0</v>
      </c>
      <c r="I14" s="57">
        <f ca="1">SUMIF('Match Log'!$D$4:$D$810,$B14,'Match Log'!$K$4:$K$810)</f>
        <v>0</v>
      </c>
      <c r="J14" s="57">
        <f ca="1">SUMIF('Match Log'!$D$4:$D$810,$B14,'Match Log'!$L$4:$L$810)</f>
        <v>0</v>
      </c>
      <c r="K14" s="55">
        <f ca="1">SUMPRODUCT(--(COUNTIFS('Match Log'!$D$4:$D$810,$B14,'Match Log'!$C$4:$C$810,Lists!$C$2:$C$26)&gt;0))</f>
        <v>0</v>
      </c>
      <c r="L14" s="55" t="str">
        <f ca="1">IF($D14=0,"No games",IF(AND($D14&gt;='Guide &amp; Settings'!$C$45,$K14&gt;='Guide &amp; Settings'!$C$46),"Eligible","Provisional"))</f>
        <v>No games</v>
      </c>
      <c r="M14" s="54" t="str">
        <f ca="1">IFERROR(INDEX(Calcs!$C$7:$C$20,MATCH($B14,Calcs!$A$7:$A$20,0)),"")</f>
        <v/>
      </c>
      <c r="N14" s="54">
        <f t="shared" ca="1" si="3"/>
        <v>221.70293632505332</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Aaron</v>
      </c>
      <c r="C15" s="54">
        <f ca="1">IFERROR(INDEX(Calcs!$S$7:$S$20,MATCH($B15,Calcs!$A$7:$A$20,0)),"")</f>
        <v>998.72610466947049</v>
      </c>
      <c r="D15" s="55">
        <f ca="1">COUNTIF('Match Log'!$D$4:$D$810,$B15)</f>
        <v>54</v>
      </c>
      <c r="E15" s="55">
        <f ca="1">COUNTIFS('Match Log'!$D$4:$D$810,$B15,'Match Log'!$E$4:$E$810,"Win")</f>
        <v>26</v>
      </c>
      <c r="F15" s="55">
        <f t="shared" ca="1" si="1"/>
        <v>28</v>
      </c>
      <c r="G15" s="56">
        <f t="shared" ca="1" si="2"/>
        <v>0.48148148148148145</v>
      </c>
      <c r="H15" s="57">
        <f ca="1">SUMIF('Match Log'!$D$4:$D$810,$B15,'Match Log'!$J$4:$J$810)</f>
        <v>-54.834865451761246</v>
      </c>
      <c r="I15" s="57">
        <f ca="1">SUMIF('Match Log'!$D$4:$D$810,$B15,'Match Log'!$K$4:$K$810)</f>
        <v>28.660970121231678</v>
      </c>
      <c r="J15" s="57">
        <f ca="1">SUMIF('Match Log'!$D$4:$D$810,$B15,'Match Log'!$L$4:$L$810)</f>
        <v>36</v>
      </c>
      <c r="K15" s="55">
        <f ca="1">SUMPRODUCT(--(COUNTIFS('Match Log'!$D$4:$D$810,$B15,'Match Log'!$C$4:$C$810,Lists!$C$2:$C$26)&gt;0))</f>
        <v>11</v>
      </c>
      <c r="L15" s="55" t="str">
        <f ca="1">IF($D15=0,"No games",IF(AND($D15&gt;='Guide &amp; Settings'!$C$45,$K15&gt;='Guide &amp; Settings'!$C$46),"Eligible","Provisional"))</f>
        <v>Eligible</v>
      </c>
      <c r="M15" s="54">
        <f ca="1">IFERROR(INDEX(Calcs!$C$7:$C$20,MATCH($B15,Calcs!$A$7:$A$20,0)),"")</f>
        <v>1098.1280049278507</v>
      </c>
      <c r="N15" s="54">
        <f t="shared" ca="1" si="3"/>
        <v>222.97683165558283</v>
      </c>
      <c r="O15" s="55" t="str">
        <f ca="1">IFERROR(INDEX(Calcs!$H$7:$H$20,MATCH($B15,Calcs!$A$7:$A$20,0)),"")</f>
        <v>L1</v>
      </c>
      <c r="P15" s="55" t="str">
        <f ca="1">IFERROR(INDEX(Calcs!$I$7:$I$20,MATCH($B15,Calcs!$A$7:$A$20,0)),"")</f>
        <v>WLLWL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26 Jul</v>
      </c>
      <c r="S15" s="55">
        <f ca="1">IFERROR(ROUND(INDEX(Calcs!$Q$7:$Q$20,MATCH($B15,Calcs!$A$7:$A$20,0)),1),"")</f>
        <v>3.4</v>
      </c>
      <c r="T15" s="55" t="str">
        <f ca="1">IFERROR(INDEX(Calcs!$T$7:$T$20,MATCH($B15,Calcs!$A$7:$A$20,0)),"")</f>
        <v>At risk</v>
      </c>
      <c r="U15">
        <f ca="1">IFERROR(ROUND(INDEX(Calcs!$R$7:$R$20,MATCH($B15,Calcs!$A$7:$A$20,0))+INDEX(Calcs!$U$7:$U$20,MATCH($B15,Calcs!$A$7:$A$20,0)),0),0)</f>
        <v>0</v>
      </c>
      <c r="V15" s="57">
        <f ca="1">IFERROR(ROUND(INDEX(Calcs!$S$7:$S$20,MATCH($B15,Calcs!$A$7:$A$20,0)),0),"")</f>
        <v>999</v>
      </c>
      <c r="W15" s="55" t="str">
        <f ca="1">IFERROR(INDEX(Calcs!$AF$7:$AF$20,MATCH($B15,Calcs!$A$7:$A$20,0)),"")</f>
        <v>Strong</v>
      </c>
      <c r="X15" s="57">
        <f ca="1">IFERROR(ROUND(SUMIF('Poker Stake Ledger'!$C$18:$C$137,$B15,'Poker Stake Ledger'!$K$18:$K$137),1),0)</f>
        <v>-11.1</v>
      </c>
    </row>
    <row r="16" spans="1:24" ht="15" customHeight="1" x14ac:dyDescent="0.2">
      <c r="A16" s="52">
        <f t="shared" si="0"/>
        <v>12</v>
      </c>
      <c r="B16" s="53" t="str">
        <f ca="1">IFERROR(INDEX(Calcs!$A$7:$A$20,MATCH(LARGE(Calcs!$AI$7:$AI$20,ROW()-4),Calcs!$AI$7:$AI$20,0)),"")</f>
        <v>Beau</v>
      </c>
      <c r="C16" s="54">
        <f ca="1">IFERROR(INDEX(Calcs!$S$7:$S$20,MATCH($B16,Calcs!$A$7:$A$20,0)),"")</f>
        <v>969.51759653351382</v>
      </c>
      <c r="D16" s="55">
        <f ca="1">COUNTIF('Match Log'!$D$4:$D$810,$B16)</f>
        <v>10</v>
      </c>
      <c r="E16" s="55">
        <f ca="1">COUNTIFS('Match Log'!$D$4:$D$810,$B16,'Match Log'!$E$4:$E$810,"Win")</f>
        <v>5</v>
      </c>
      <c r="F16" s="55">
        <f t="shared" ca="1" si="1"/>
        <v>5</v>
      </c>
      <c r="G16" s="56">
        <f t="shared" ca="1" si="2"/>
        <v>0.5</v>
      </c>
      <c r="H16" s="57">
        <f ca="1">SUMIF('Match Log'!$D$4:$D$810,$B16,'Match Log'!$J$4:$J$810)</f>
        <v>-14.562118325761057</v>
      </c>
      <c r="I16" s="57">
        <f ca="1">SUMIF('Match Log'!$D$4:$D$810,$B16,'Match Log'!$K$4:$K$810)</f>
        <v>16.079714859275072</v>
      </c>
      <c r="J16" s="57">
        <f ca="1">SUMIF('Match Log'!$D$4:$D$810,$B16,'Match Log'!$L$4:$L$810)</f>
        <v>28</v>
      </c>
      <c r="K16" s="55">
        <f ca="1">SUMPRODUCT(--(COUNTIFS('Match Log'!$D$4:$D$810,$B16,'Match Log'!$C$4:$C$810,Lists!$C$2:$C$26)&gt;0))</f>
        <v>3</v>
      </c>
      <c r="L16" s="55" t="str">
        <f ca="1">IF($D16=0,"No games",IF(AND($D16&gt;='Guide &amp; Settings'!$C$45,$K16&gt;='Guide &amp; Settings'!$C$46),"Eligible","Provisional"))</f>
        <v>Eligible</v>
      </c>
      <c r="M16" s="54">
        <f ca="1">IFERROR(INDEX(Calcs!$C$7:$C$20,MATCH($B16,Calcs!$A$7:$A$20,0)),"")</f>
        <v>1062.5757124666486</v>
      </c>
      <c r="N16" s="54">
        <f t="shared" ca="1" si="3"/>
        <v>252.18533979153949</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9.3000000000000007</v>
      </c>
      <c r="T16" s="55" t="str">
        <f ca="1">IFERROR(INDEX(Calcs!$T$7:$T$20,MATCH($B16,Calcs!$A$7:$A$20,0)),"")</f>
        <v>Inactive</v>
      </c>
      <c r="U16">
        <f ca="1">IFERROR(ROUND(INDEX(Calcs!$R$7:$R$20,MATCH($B16,Calcs!$A$7:$A$20,0))+INDEX(Calcs!$U$7:$U$20,MATCH($B16,Calcs!$A$7:$A$20,0)),0),0)</f>
        <v>60</v>
      </c>
      <c r="V16" s="57">
        <f ca="1">IFERROR(ROUND(INDEX(Calcs!$S$7:$S$20,MATCH($B16,Calcs!$A$7:$A$20,0)),0),"")</f>
        <v>970</v>
      </c>
      <c r="W16" s="55" t="str">
        <f ca="1">IFERROR(INDEX(Calcs!$AF$7:$AF$20,MATCH($B16,Calcs!$A$7:$A$20,0)),"")</f>
        <v>Mid</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953.19705892757202</v>
      </c>
      <c r="D17" s="55">
        <f ca="1">COUNTIF('Match Log'!$D$4:$D$810,$B17)</f>
        <v>15</v>
      </c>
      <c r="E17" s="55">
        <f ca="1">COUNTIFS('Match Log'!$D$4:$D$810,$B17,'Match Log'!$E$4:$E$810,"Win")</f>
        <v>4</v>
      </c>
      <c r="F17" s="55">
        <f t="shared" ca="1" si="1"/>
        <v>11</v>
      </c>
      <c r="G17" s="56">
        <f t="shared" ca="1" si="2"/>
        <v>0.26666666666666666</v>
      </c>
      <c r="H17" s="57">
        <f ca="1">SUMIF('Match Log'!$D$4:$D$810,$B17,'Match Log'!$J$4:$J$810)</f>
        <v>-47.265488810678391</v>
      </c>
      <c r="I17" s="57">
        <f ca="1">SUMIF('Match Log'!$D$4:$D$810,$B17,'Match Log'!$K$4:$K$810)</f>
        <v>-10.537452261749699</v>
      </c>
      <c r="J17" s="57">
        <f ca="1">SUMIF('Match Log'!$D$4:$D$810,$B17,'Match Log'!$L$4:$L$810)</f>
        <v>31</v>
      </c>
      <c r="K17" s="55">
        <f ca="1">SUMPRODUCT(--(COUNTIFS('Match Log'!$D$4:$D$810,$B17,'Match Log'!$C$4:$C$810,Lists!$C$2:$C$26)&gt;0))</f>
        <v>4</v>
      </c>
      <c r="L17" s="55" t="str">
        <f ca="1">IF($D17=0,"No games",IF(AND($D17&gt;='Guide &amp; Settings'!$C$45,$K17&gt;='Guide &amp; Settings'!$C$46),"Eligible","Provisional"))</f>
        <v>Eligible</v>
      </c>
      <c r="M17" s="54">
        <f ca="1">IFERROR(INDEX(Calcs!$C$7:$C$20,MATCH($B17,Calcs!$A$7:$A$20,0)),"")</f>
        <v>1095.248232455371</v>
      </c>
      <c r="N17" s="54">
        <f t="shared" ca="1" si="3"/>
        <v>268.5058773974813</v>
      </c>
      <c r="O17" s="55" t="str">
        <f ca="1">IFERROR(INDEX(Calcs!$H$7:$H$20,MATCH($B17,Calcs!$A$7:$A$20,0)),"")</f>
        <v>L1</v>
      </c>
      <c r="P17" s="55" t="str">
        <f ca="1">IFERROR(INDEX(Calcs!$I$7:$I$20,MATCH($B17,Calcs!$A$7:$A$20,0)),"")</f>
        <v>LLWWL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11 Jul</v>
      </c>
      <c r="S17" s="55">
        <f ca="1">IFERROR(ROUND(INDEX(Calcs!$Q$7:$Q$20,MATCH($B17,Calcs!$A$7:$A$20,0)),1),"")</f>
        <v>5.6</v>
      </c>
      <c r="T17" s="55" t="str">
        <f ca="1">IFERROR(INDEX(Calcs!$T$7:$T$20,MATCH($B17,Calcs!$A$7:$A$20,0)),"")</f>
        <v>Inactive</v>
      </c>
      <c r="U17">
        <f ca="1">IFERROR(ROUND(INDEX(Calcs!$R$7:$R$20,MATCH($B17,Calcs!$A$7:$A$20,0))+INDEX(Calcs!$U$7:$U$20,MATCH($B17,Calcs!$A$7:$A$20,0)),0),0)</f>
        <v>20</v>
      </c>
      <c r="V17" s="57">
        <f ca="1">IFERROR(ROUND(INDEX(Calcs!$S$7:$S$20,MATCH($B17,Calcs!$A$7:$A$20,0)),0),"")</f>
        <v>953</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852.22294373677494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1082.4433561101091</v>
      </c>
      <c r="N18" s="54">
        <f t="shared" ca="1" si="3"/>
        <v>369.47999258827838</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4.4000000000000004</v>
      </c>
      <c r="T18" s="55" t="str">
        <f ca="1">IFERROR(INDEX(Calcs!$T$7:$T$20,MATCH($B18,Calcs!$A$7:$A$20,0)),"")</f>
        <v>Inactive</v>
      </c>
      <c r="U18">
        <f ca="1">IFERROR(ROUND(INDEX(Calcs!$R$7:$R$20,MATCH($B18,Calcs!$A$7:$A$20,0))+INDEX(Calcs!$U$7:$U$20,MATCH($B18,Calcs!$A$7:$A$20,0)),0),0)</f>
        <v>10</v>
      </c>
      <c r="V18" s="57">
        <f ca="1">IFERROR(ROUND(INDEX(Calcs!$S$7:$S$20,MATCH($B18,Calcs!$A$7:$A$20,0)),0),"")</f>
        <v>852</v>
      </c>
      <c r="W18" s="55" t="str">
        <f ca="1">IFERROR(INDEX(Calcs!$AF$7:$AF$20,MATCH($B18,Calcs!$A$7:$A$20,0)),"")</f>
        <v>Developing</v>
      </c>
      <c r="X18" s="57">
        <f ca="1">IFERROR(ROUND(SUMIF('Poker Stake Ledger'!$C$18:$C$137,$B18,'Poker Stake Ledger'!$K$18:$K$137),1),0)</f>
        <v>0</v>
      </c>
    </row>
    <row r="19" spans="1:24" ht="15" customHeight="1" x14ac:dyDescent="0.2">
      <c r="A19" s="58" t="s">
        <v>278</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D29" sqref="D29"/>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279</v>
      </c>
    </row>
    <row r="2" spans="1:8" ht="15" customHeight="1" x14ac:dyDescent="0.2">
      <c r="A2" s="33" t="s">
        <v>280</v>
      </c>
    </row>
    <row r="3" spans="1:8" ht="15" customHeight="1" x14ac:dyDescent="0.2">
      <c r="A3" s="18" t="s">
        <v>281</v>
      </c>
      <c r="B3" s="60" t="s">
        <v>20</v>
      </c>
      <c r="D3" s="11" t="s">
        <v>282</v>
      </c>
    </row>
    <row r="4" spans="1:8" ht="15" customHeight="1" x14ac:dyDescent="0.2">
      <c r="D4" s="34" t="s">
        <v>241</v>
      </c>
      <c r="E4" s="34" t="s">
        <v>10</v>
      </c>
      <c r="F4" s="34" t="s">
        <v>11</v>
      </c>
      <c r="G4" s="34" t="s">
        <v>12</v>
      </c>
      <c r="H4" s="34" t="s">
        <v>13</v>
      </c>
    </row>
    <row r="5" spans="1:8" ht="15" customHeight="1" x14ac:dyDescent="0.2">
      <c r="A5" s="61" t="s">
        <v>14</v>
      </c>
      <c r="B5" s="62">
        <f ca="1">IFERROR(INDEX(Dashboard!$A$5:$A$18,MATCH($B$3,Dashboard!$B$5:$B$18,0)),"")</f>
        <v>4</v>
      </c>
      <c r="D5" s="63" t="s">
        <v>33</v>
      </c>
      <c r="E5" s="37">
        <f>COUNTIFS('Match Log'!$D$4:$D$810,$B$3,'Match Log'!$C$4:$C$810,$D5)</f>
        <v>4</v>
      </c>
      <c r="F5" s="37">
        <f>COUNTIFS('Match Log'!$D$4:$D$810,$B$3,'Match Log'!$C$4:$C$810,$D5,'Match Log'!$E$4:$E$810,"Win")</f>
        <v>4</v>
      </c>
      <c r="G5" s="64">
        <f t="shared" ref="G5:G29" si="0">IF($E5=0,"",$F5/$E5)</f>
        <v>1</v>
      </c>
      <c r="H5" s="65">
        <f>IFERROR(IF($E5=0,"",INDEX('Sport Records'!$B$106:$O$130,MATCH($D5,'Sport Records'!$A$106:$A$130,0),MATCH($B$3,'Sport Records'!$B$105:$O$105,0))),"")</f>
        <v>1055.8009426289977</v>
      </c>
    </row>
    <row r="6" spans="1:8" ht="15" customHeight="1" x14ac:dyDescent="0.2">
      <c r="A6" s="61" t="s">
        <v>133</v>
      </c>
      <c r="B6" s="66">
        <f ca="1">IFERROR(INDEX(Dashboard!$C$5:$C$18,MATCH($B$3,Dashboard!$B$5:$B$18,0)),"")</f>
        <v>1124.39195520974</v>
      </c>
      <c r="D6" s="67" t="s">
        <v>34</v>
      </c>
      <c r="E6" s="40">
        <f>COUNTIFS('Match Log'!$D$4:$D$810,$B$3,'Match Log'!$C$4:$C$810,$D6)</f>
        <v>2</v>
      </c>
      <c r="F6" s="40">
        <f>COUNTIFS('Match Log'!$D$4:$D$810,$B$3,'Match Log'!$C$4:$C$810,$D6,'Match Log'!$E$4:$E$810,"Win")</f>
        <v>1</v>
      </c>
      <c r="G6" s="68">
        <f t="shared" si="0"/>
        <v>0.5</v>
      </c>
      <c r="H6" s="69">
        <f>IFERROR(IF($E6=0,"",INDEX('Sport Records'!$B$106:$O$130,MATCH($D6,'Sport Records'!$A$106:$A$130,0),MATCH($B$3,'Sport Records'!$B$105:$O$105,0))),"")</f>
        <v>998.53049847102454</v>
      </c>
    </row>
    <row r="7" spans="1:8" ht="15" customHeight="1" x14ac:dyDescent="0.2">
      <c r="A7" s="61" t="s">
        <v>163</v>
      </c>
      <c r="B7" s="62" t="str">
        <f ca="1">IFERROR(INDEX(Calcs!$AF$7:$AF$20,MATCH($B$3,Calcs!$A$7:$A$20,0)),"")</f>
        <v>Strong</v>
      </c>
      <c r="D7" s="63" t="s">
        <v>35</v>
      </c>
      <c r="E7" s="37">
        <f>COUNTIFS('Match Log'!$D$4:$D$810,$B$3,'Match Log'!$C$4:$C$810,$D7)</f>
        <v>20</v>
      </c>
      <c r="F7" s="37">
        <f>COUNTIFS('Match Log'!$D$4:$D$810,$B$3,'Match Log'!$C$4:$C$810,$D7,'Match Log'!$E$4:$E$810,"Win")</f>
        <v>9</v>
      </c>
      <c r="G7" s="64">
        <f t="shared" si="0"/>
        <v>0.45</v>
      </c>
      <c r="H7" s="65">
        <f>IFERROR(IF($E7=0,"",INDEX('Sport Records'!$B$106:$O$130,MATCH($D7,'Sport Records'!$A$106:$A$130,0),MATCH($B$3,'Sport Records'!$B$105:$O$105,0))),"")</f>
        <v>974.00768231912002</v>
      </c>
    </row>
    <row r="8" spans="1:8" ht="15" customHeight="1" x14ac:dyDescent="0.2">
      <c r="A8" s="61" t="s">
        <v>243</v>
      </c>
      <c r="B8" s="62" t="str">
        <f ca="1">IFERROR(INDEX(Dashboard!$E$5:$E$18,MATCH($B$3,Dashboard!$B$5:$B$18,0))&amp;"–"&amp;INDEX(Dashboard!$F$5:$F$18,MATCH($B$3,Dashboard!$B$5:$B$18,0)),"")</f>
        <v>48–55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0.46601941747572817</v>
      </c>
      <c r="D9" s="63" t="s">
        <v>37</v>
      </c>
      <c r="E9" s="37">
        <f>COUNTIFS('Match Log'!$D$4:$D$810,$B$3,'Match Log'!$C$4:$C$810,$D9)</f>
        <v>1</v>
      </c>
      <c r="F9" s="37">
        <f>COUNTIFS('Match Log'!$D$4:$D$810,$B$3,'Match Log'!$C$4:$C$810,$D9,'Match Log'!$E$4:$E$810,"Win")</f>
        <v>1</v>
      </c>
      <c r="G9" s="64">
        <f t="shared" si="0"/>
        <v>1</v>
      </c>
      <c r="H9" s="65">
        <f>IFERROR(IF($E9=0,"",INDEX('Sport Records'!$B$106:$O$130,MATCH($D9,'Sport Records'!$A$106:$A$130,0),MATCH($B$3,'Sport Records'!$B$105:$O$105,0))),"")</f>
        <v>1015.2556013117346</v>
      </c>
    </row>
    <row r="10" spans="1:8" ht="15" customHeight="1" x14ac:dyDescent="0.2">
      <c r="A10" s="61" t="s">
        <v>10</v>
      </c>
      <c r="B10" s="62">
        <f ca="1">IFERROR(INDEX(Dashboard!$D$5:$D$18,MATCH($B$3,Dashboard!$B$5:$B$18,0)),"")</f>
        <v>103</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283</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284</v>
      </c>
      <c r="B12" s="66">
        <f>IFERROR(INDEX(Calcs!$C$7:$C$20,MATCH($B$3,Calcs!$A$7:$A$20,0)),"")</f>
        <v>1079.3139450875044</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285</v>
      </c>
      <c r="B13" s="62" t="str">
        <f>IFERROR(INDEX(Calcs!$H$7:$H$20,MATCH($B$3,Calcs!$A$7:$A$20,0)),"")</f>
        <v>W1</v>
      </c>
      <c r="D13" s="63" t="s">
        <v>41</v>
      </c>
      <c r="E13" s="37">
        <f>COUNTIFS('Match Log'!$D$4:$D$810,$B$3,'Match Log'!$C$4:$C$810,$D13)</f>
        <v>2</v>
      </c>
      <c r="F13" s="37">
        <f>COUNTIFS('Match Log'!$D$4:$D$810,$B$3,'Match Log'!$C$4:$C$810,$D13,'Match Log'!$E$4:$E$810,"Win")</f>
        <v>1</v>
      </c>
      <c r="G13" s="64">
        <f t="shared" si="0"/>
        <v>0.5</v>
      </c>
      <c r="H13" s="65">
        <f>IFERROR(IF($E13=0,"",INDEX('Sport Records'!$B$106:$O$130,MATCH($D13,'Sport Records'!$A$106:$A$130,0),MATCH($B$3,'Sport Records'!$B$105:$O$105,0))),"")</f>
        <v>1008.3683485189694</v>
      </c>
    </row>
    <row r="14" spans="1:8" ht="15" customHeight="1" x14ac:dyDescent="0.2">
      <c r="A14" s="61" t="s">
        <v>272</v>
      </c>
      <c r="B14" s="62" t="str">
        <f>IFERROR(INDEX(Calcs!$I$7:$I$20,MATCH($B$3,Calcs!$A$7:$A$20,0)),"")</f>
        <v>WLLLW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176</v>
      </c>
      <c r="B15" s="66">
        <f>IFERROR(INDEX(Calcs!$E$7:$E$20,MATCH($B$3,Calcs!$A$7:$A$20,0)),"")</f>
        <v>113.56098111531333</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165</v>
      </c>
      <c r="B16" s="62" t="str">
        <f ca="1">IFERROR(INDEX(Dashboard!$L$5:$L$18,MATCH($B$3,Dashboard!$B$5:$B$18,0)),"")</f>
        <v>Eligible</v>
      </c>
      <c r="D16" s="67" t="s">
        <v>44</v>
      </c>
      <c r="E16" s="40">
        <f>COUNTIFS('Match Log'!$D$4:$D$810,$B$3,'Match Log'!$C$4:$C$810,$D16)</f>
        <v>5</v>
      </c>
      <c r="F16" s="40">
        <f>COUNTIFS('Match Log'!$D$4:$D$810,$B$3,'Match Log'!$C$4:$C$810,$D16,'Match Log'!$E$4:$E$810,"Win")</f>
        <v>5</v>
      </c>
      <c r="G16" s="68">
        <f t="shared" si="0"/>
        <v>1</v>
      </c>
      <c r="H16" s="69">
        <f>IFERROR(IF($E16=0,"",INDEX('Sport Records'!$B$106:$O$130,MATCH($D16,'Sport Records'!$A$106:$A$130,0),MATCH($B$3,'Sport Records'!$B$105:$O$105,0))),"")</f>
        <v>1073.39235221687</v>
      </c>
    </row>
    <row r="17" spans="1:8" ht="15" customHeight="1" x14ac:dyDescent="0.2">
      <c r="A17" s="71" t="s">
        <v>286</v>
      </c>
      <c r="B17" s="72" t="str">
        <f ca="1">IFERROR(TEXT(INDEX(Calcs!$P$7:$P$20,MATCH($B$3,Calcs!$A$7:$A$20,0)),"d mmm")&amp;"  ·  "&amp;INDEX(Calcs!$T$7:$T$20,MATCH($B$3,Calcs!$A$7:$A$20,0)),"")</f>
        <v>13 Aug  ·  Active</v>
      </c>
      <c r="D17" s="63" t="s">
        <v>9</v>
      </c>
      <c r="E17" s="37">
        <f>COUNTIFS('Match Log'!$D$4:$D$810,$B$3,'Match Log'!$C$4:$C$810,$D17)</f>
        <v>13</v>
      </c>
      <c r="F17" s="37">
        <f>COUNTIFS('Match Log'!$D$4:$D$810,$B$3,'Match Log'!$C$4:$C$810,$D17,'Match Log'!$E$4:$E$810,"Win")</f>
        <v>5</v>
      </c>
      <c r="G17" s="64">
        <f t="shared" si="0"/>
        <v>0.38461538461538464</v>
      </c>
      <c r="H17" s="65">
        <f>IFERROR(IF($E17=0,"",INDEX('Sport Records'!$B$106:$O$130,MATCH($D17,'Sport Records'!$A$106:$A$130,0),MATCH($B$3,'Sport Records'!$B$105:$O$105,0))),"")</f>
        <v>991.08057844368182</v>
      </c>
    </row>
    <row r="18" spans="1:8" ht="15" customHeight="1" x14ac:dyDescent="0.2">
      <c r="A18" s="11" t="s">
        <v>287</v>
      </c>
      <c r="D18" s="67" t="s">
        <v>45</v>
      </c>
      <c r="E18" s="40">
        <f>COUNTIFS('Match Log'!$D$4:$D$810,$B$3,'Match Log'!$C$4:$C$810,$D18)</f>
        <v>14</v>
      </c>
      <c r="F18" s="40">
        <f>COUNTIFS('Match Log'!$D$4:$D$810,$B$3,'Match Log'!$C$4:$C$810,$D18,'Match Log'!$E$4:$E$810,"Win")</f>
        <v>0</v>
      </c>
      <c r="G18" s="68">
        <f t="shared" si="0"/>
        <v>0</v>
      </c>
      <c r="H18" s="69">
        <f>IFERROR(IF($E18=0,"",INDEX('Sport Records'!$B$106:$O$130,MATCH($D18,'Sport Records'!$A$106:$A$130,0),MATCH($B$3,'Sport Records'!$B$105:$O$105,0))),"")</f>
        <v>844.70538647951662</v>
      </c>
    </row>
    <row r="19" spans="1:8" ht="15" customHeight="1" x14ac:dyDescent="0.2">
      <c r="A19" s="71" t="s">
        <v>288</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289</v>
      </c>
      <c r="B20" s="73" t="str">
        <f>IFERROR(INDEX($D$5:$D$29,MATCH(MAX($E$5:$E$29),$E$5:$E$29,0)),"")</f>
        <v>Mario Golf</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1</v>
      </c>
      <c r="F21" s="37">
        <f>COUNTIFS('Match Log'!$D$4:$D$810,$B$3,'Match Log'!$C$4:$C$810,$D21,'Match Log'!$E$4:$E$810,"Win")</f>
        <v>0</v>
      </c>
      <c r="G21" s="64">
        <f t="shared" si="0"/>
        <v>0</v>
      </c>
      <c r="H21" s="65">
        <f>IFERROR(IF($E21=0,"",INDEX('Sport Records'!$B$106:$O$130,MATCH($D21,'Sport Records'!$A$106:$A$130,0),MATCH($B$3,'Sport Records'!$B$105:$O$105,0))),"")</f>
        <v>996.18407669838052</v>
      </c>
    </row>
    <row r="22" spans="1:8" ht="15" customHeight="1" x14ac:dyDescent="0.2">
      <c r="A22" s="11" t="s">
        <v>290</v>
      </c>
      <c r="D22" s="67" t="s">
        <v>49</v>
      </c>
      <c r="E22" s="40">
        <f>COUNTIFS('Match Log'!$D$4:$D$810,$B$3,'Match Log'!$C$4:$C$810,$D22)</f>
        <v>9</v>
      </c>
      <c r="F22" s="40">
        <f>COUNTIFS('Match Log'!$D$4:$D$810,$B$3,'Match Log'!$C$4:$C$810,$D22,'Match Log'!$E$4:$E$810,"Win")</f>
        <v>4</v>
      </c>
      <c r="G22" s="68">
        <f t="shared" si="0"/>
        <v>0.44444444444444442</v>
      </c>
      <c r="H22" s="69">
        <f>IFERROR(IF($E22=0,"",INDEX('Sport Records'!$B$106:$O$130,MATCH($D22,'Sport Records'!$A$106:$A$130,0),MATCH($B$3,'Sport Records'!$B$105:$O$105,0))),"")</f>
        <v>994.87575697010811</v>
      </c>
    </row>
    <row r="23" spans="1:8" ht="15" customHeight="1" x14ac:dyDescent="0.2">
      <c r="A23" s="71" t="s">
        <v>291</v>
      </c>
      <c r="B23" s="74">
        <f ca="1">IFERROR(ROUND(INDEX(Calcs!$AB$7:$AB$20,MATCH($B$3,Calcs!$A$7:$A$20,0)),0),"")</f>
        <v>71</v>
      </c>
      <c r="D23" s="63" t="s">
        <v>50</v>
      </c>
      <c r="E23" s="37">
        <f>COUNTIFS('Match Log'!$D$4:$D$810,$B$3,'Match Log'!$C$4:$C$810,$D23)</f>
        <v>25</v>
      </c>
      <c r="F23" s="37">
        <f>COUNTIFS('Match Log'!$D$4:$D$810,$B$3,'Match Log'!$C$4:$C$810,$D23,'Match Log'!$E$4:$E$810,"Win")</f>
        <v>15</v>
      </c>
      <c r="G23" s="64">
        <f t="shared" si="0"/>
        <v>0.6</v>
      </c>
      <c r="H23" s="65">
        <f>IFERROR(IF($E23=0,"",INDEX('Sport Records'!$B$106:$O$130,MATCH($D23,'Sport Records'!$A$106:$A$130,0),MATCH($B$3,'Sport Records'!$B$105:$O$105,0))),"")</f>
        <v>1047.5054308988927</v>
      </c>
    </row>
    <row r="24" spans="1:8" x14ac:dyDescent="0.2">
      <c r="A24" s="71" t="s">
        <v>292</v>
      </c>
      <c r="B24" s="72">
        <f ca="1">IFERROR(ROUND(INDEX(Calcs!$W$7:$W$20,MATCH($B$3,Calcs!$A$7:$A$20,0)),0),"")</f>
        <v>81</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293</v>
      </c>
      <c r="B25" s="72">
        <f ca="1">IFERROR(ROUND(INDEX(Calcs!$X$7:$X$20,MATCH($B$3,Calcs!$A$7:$A$20,0)),0),"")</f>
        <v>47</v>
      </c>
      <c r="D25" s="63" t="s">
        <v>52</v>
      </c>
      <c r="E25" s="37">
        <f>COUNTIFS('Match Log'!$D$4:$D$810,$B$3,'Match Log'!$C$4:$C$810,$D25)</f>
        <v>2</v>
      </c>
      <c r="F25" s="37">
        <f>COUNTIFS('Match Log'!$D$4:$D$810,$B$3,'Match Log'!$C$4:$C$810,$D25,'Match Log'!$E$4:$E$810,"Win")</f>
        <v>1</v>
      </c>
      <c r="G25" s="64">
        <f t="shared" si="0"/>
        <v>0.5</v>
      </c>
      <c r="H25" s="65">
        <f>IFERROR(IF($E25=0,"",INDEX('Sport Records'!$B$106:$O$130,MATCH($D25,'Sport Records'!$A$106:$A$130,0),MATCH($B$3,'Sport Records'!$B$105:$O$105,0))),"")</f>
        <v>999.0270542964812</v>
      </c>
    </row>
    <row r="26" spans="1:8" x14ac:dyDescent="0.2">
      <c r="A26" s="71" t="s">
        <v>294</v>
      </c>
      <c r="B26" s="72">
        <f ca="1">IFERROR(ROUND(INDEX(Calcs!$Y$7:$Y$20,MATCH($B$3,Calcs!$A$7:$A$20,0)),0),"")</f>
        <v>100</v>
      </c>
      <c r="D26" s="63" t="s">
        <v>53</v>
      </c>
      <c r="E26" s="37">
        <f>COUNTIFS('Match Log'!$D$4:$D$810,$B$3,'Match Log'!$C$4:$C$810,$D26)</f>
        <v>1</v>
      </c>
      <c r="F26" s="37">
        <f>COUNTIFS('Match Log'!$D$4:$D$810,$B$3,'Match Log'!$C$4:$C$810,$D26,'Match Log'!$E$4:$E$810,"Win")</f>
        <v>1</v>
      </c>
      <c r="G26" s="64">
        <f t="shared" si="0"/>
        <v>1</v>
      </c>
      <c r="H26" s="65">
        <f>IFERROR(IF($E26=0,"",INDEX('Sport Records'!$B$106:$O$130,MATCH($D26,'Sport Records'!$A$106:$A$130,0),MATCH($B$3,'Sport Records'!$B$105:$O$105,0))),"")</f>
        <v>1016.736306793522</v>
      </c>
    </row>
    <row r="27" spans="1:8" x14ac:dyDescent="0.2">
      <c r="A27" s="71" t="s">
        <v>295</v>
      </c>
      <c r="B27" s="72">
        <f>IFERROR(ROUND(INDEX(Calcs!$Z$7:$Z$20,MATCH($B$3,Calcs!$A$7:$A$20,0)),0),"")</f>
        <v>40</v>
      </c>
      <c r="D27" s="63" t="s">
        <v>54</v>
      </c>
      <c r="E27" s="37">
        <f>COUNTIFS('Match Log'!$D$4:$D$810,$B$3,'Match Log'!$C$4:$C$810,$D27)</f>
        <v>0</v>
      </c>
      <c r="F27" s="37">
        <f>COUNTIFS('Match Log'!$D$4:$D$810,$B$3,'Match Log'!$C$4:$C$810,$D27,'Match Log'!$E$4:$E$810,"Win")</f>
        <v>0</v>
      </c>
      <c r="G27" s="64" t="str">
        <f t="shared" si="0"/>
        <v/>
      </c>
      <c r="H27" s="65" t="str">
        <f>IFERROR(IF($E27=0,"",INDEX('Sport Records'!$B$106:$O$130,MATCH($D27,'Sport Records'!$A$106:$A$130,0),MATCH($B$3,'Sport Records'!$B$105:$O$105,0))),"")</f>
        <v/>
      </c>
    </row>
    <row r="28" spans="1:8" x14ac:dyDescent="0.2">
      <c r="A28" s="71" t="s">
        <v>296</v>
      </c>
      <c r="B28" s="72">
        <f>IFERROR(ROUND(INDEX(Calcs!$AA$7:$AA$20,MATCH($B$3,Calcs!$A$7:$A$20,0)),0),"")</f>
        <v>70</v>
      </c>
      <c r="D28" s="63" t="s">
        <v>456</v>
      </c>
      <c r="E28" s="37">
        <f>COUNTIFS('Match Log'!$D$4:$D$810,$B$3,'Match Log'!$C$4:$C$810,$D28)</f>
        <v>0</v>
      </c>
      <c r="F28" s="37">
        <f>COUNTIFS('Match Log'!$D$4:$D$810,$B$3,'Match Log'!$C$4:$C$810,$D28,'Match Log'!$E$4:$E$810,"Win")</f>
        <v>0</v>
      </c>
      <c r="G28" s="64" t="str">
        <f t="shared" si="0"/>
        <v/>
      </c>
      <c r="H28" s="65" t="str">
        <f>IFERROR(IF($E28=0,"",INDEX('Sport Records'!$B$106:$O$130,MATCH($D28,'Sport Records'!$A$106:$A$130,0),MATCH($B$3,'Sport Records'!$B$105:$O$105,0))),"")</f>
        <v/>
      </c>
    </row>
    <row r="29" spans="1:8" x14ac:dyDescent="0.2">
      <c r="D29" s="63" t="s">
        <v>55</v>
      </c>
      <c r="E29" s="37">
        <f>COUNTIFS('Match Log'!$D$4:$D$810,$B$3,'Match Log'!$C$4:$C$810,$D29)</f>
        <v>3</v>
      </c>
      <c r="F29" s="37">
        <f>COUNTIFS('Match Log'!$D$4:$D$810,$B$3,'Match Log'!$C$4:$C$810,$D29,'Match Log'!$E$4:$E$810,"Win")</f>
        <v>1</v>
      </c>
      <c r="G29" s="64">
        <f t="shared" si="0"/>
        <v>0.33333333333333331</v>
      </c>
      <c r="H29" s="65">
        <f>IFERROR(IF($E29=0,"",INDEX('Sport Records'!$B$106:$O$130,MATCH($D29,'Sport Records'!$A$106:$A$130,0),MATCH($B$3,'Sport Records'!$B$105:$O$105,0))),"")</f>
        <v>984.32977611615649</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14:cfRule type="expression" priority="35" id="{69AF8C8B-3848-4CFD-8C94-22779E4887E7}">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297</v>
      </c>
    </row>
    <row r="2" spans="1:15" ht="39" customHeight="1" x14ac:dyDescent="0.2">
      <c r="A2" s="154" t="s">
        <v>298</v>
      </c>
      <c r="B2" s="141"/>
      <c r="C2" s="141"/>
      <c r="D2" s="141"/>
      <c r="E2" s="141"/>
      <c r="F2" s="141"/>
      <c r="G2" s="141"/>
      <c r="H2" s="141"/>
      <c r="I2" s="141"/>
      <c r="J2" s="141"/>
      <c r="K2" s="141"/>
      <c r="L2" s="141"/>
      <c r="M2" s="141"/>
      <c r="N2" s="141"/>
      <c r="O2" s="141"/>
    </row>
    <row r="3" spans="1:15" ht="37.5" customHeight="1" x14ac:dyDescent="0.2">
      <c r="A3" s="152" t="s">
        <v>299</v>
      </c>
      <c r="B3" s="153"/>
      <c r="C3" s="153"/>
      <c r="D3" s="153"/>
      <c r="E3" s="153"/>
      <c r="F3" s="153"/>
      <c r="G3" s="153"/>
      <c r="H3" s="153"/>
      <c r="I3" s="153"/>
      <c r="J3" s="153"/>
      <c r="K3" s="153"/>
      <c r="L3" s="153"/>
      <c r="M3" s="153"/>
      <c r="N3" s="153"/>
      <c r="O3" s="153"/>
    </row>
    <row r="4" spans="1:15" ht="15" customHeight="1" x14ac:dyDescent="0.2">
      <c r="A4" s="76" t="s">
        <v>300</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57% of 28</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31</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48% of 25</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43% of 28</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31</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75% of 8</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52% of 25</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25% of 8</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301</v>
      </c>
      <c r="B20" s="77"/>
      <c r="C20" s="77"/>
      <c r="D20" s="77"/>
      <c r="E20" s="77"/>
      <c r="F20" s="77"/>
      <c r="G20" s="77"/>
      <c r="H20" s="77"/>
      <c r="I20" s="77"/>
      <c r="J20" s="77"/>
      <c r="K20" s="77"/>
      <c r="L20" s="77"/>
    </row>
    <row r="21" spans="1:15" ht="15" customHeight="1" x14ac:dyDescent="0.2">
      <c r="A21" s="76" t="s">
        <v>302</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3</v>
      </c>
      <c r="E22" s="77">
        <f>IF($A22=E$21,0,SUMPRODUCT(('Match Log'!$D$4:$D$810=$A22)*(COUNTIFS('Match Log'!$A$4:$A$810,'Match Log'!$A$4:$A$810,'Match Log'!$D$4:$D$810,E$21)&gt;0)))</f>
        <v>5</v>
      </c>
      <c r="F22" s="77">
        <f>IF($A22=F$21,0,SUMPRODUCT(('Match Log'!$D$4:$D$810=$A22)*(COUNTIFS('Match Log'!$A$4:$A$810,'Match Log'!$A$4:$A$810,'Match Log'!$D$4:$D$810,F$21)&gt;0)))</f>
        <v>3</v>
      </c>
      <c r="G22" s="77">
        <f>IF($A22=G$21,0,SUMPRODUCT(('Match Log'!$D$4:$D$810=$A22)*(COUNTIFS('Match Log'!$A$4:$A$810,'Match Log'!$A$4:$A$810,'Match Log'!$D$4:$D$810,G$21)&gt;0)))</f>
        <v>33</v>
      </c>
      <c r="H22" s="77">
        <f>IF($A22=H$21,0,SUMPRODUCT(('Match Log'!$D$4:$D$810=$A22)*(COUNTIFS('Match Log'!$A$4:$A$810,'Match Log'!$A$4:$A$810,'Match Log'!$D$4:$D$810,H$21)&gt;0)))</f>
        <v>5</v>
      </c>
      <c r="I22" s="77">
        <f>IF($A22=I$21,0,SUMPRODUCT(('Match Log'!$D$4:$D$810=$A22)*(COUNTIFS('Match Log'!$A$4:$A$810,'Match Log'!$A$4:$A$810,'Match Log'!$D$4:$D$810,I$21)&gt;0)))</f>
        <v>13</v>
      </c>
      <c r="J22" s="77">
        <f>IF($A22=J$21,0,SUMPRODUCT(('Match Log'!$D$4:$D$810=$A22)*(COUNTIFS('Match Log'!$A$4:$A$810,'Match Log'!$A$4:$A$810,'Match Log'!$D$4:$D$810,J$21)&gt;0)))</f>
        <v>2</v>
      </c>
      <c r="K22" s="77">
        <f>IF($A22=K$21,0,SUMPRODUCT(('Match Log'!$D$4:$D$810=$A22)*(COUNTIFS('Match Log'!$A$4:$A$810,'Match Log'!$A$4:$A$810,'Match Log'!$D$4:$D$810,K$21)&gt;0)))</f>
        <v>2</v>
      </c>
      <c r="L22" s="77">
        <f>IF($A22=L$21,0,SUMPRODUCT(('Match Log'!$D$4:$D$810=$A22)*(COUNTIFS('Match Log'!$A$4:$A$810,'Match Log'!$A$4:$A$810,'Match Log'!$D$4:$D$810,L$21)&gt;0)))</f>
        <v>4</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3</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6</v>
      </c>
      <c r="H24" s="77">
        <f>IF($A24=H$21,0,SUMPRODUCT(('Match Log'!$D$4:$D$810=$A24)*(COUNTIFS('Match Log'!$A$4:$A$810,'Match Log'!$A$4:$A$810,'Match Log'!$D$4:$D$810,H$21)&gt;0)))</f>
        <v>4</v>
      </c>
      <c r="I24" s="77">
        <f>IF($A24=I$21,0,SUMPRODUCT(('Match Log'!$D$4:$D$810=$A24)*(COUNTIFS('Match Log'!$A$4:$A$810,'Match Log'!$A$4:$A$810,'Match Log'!$D$4:$D$810,I$21)&gt;0)))</f>
        <v>7</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6</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5</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3</v>
      </c>
      <c r="H25" s="77">
        <f>IF($A25=H$21,0,SUMPRODUCT(('Match Log'!$D$4:$D$810=$A25)*(COUNTIFS('Match Log'!$A$4:$A$810,'Match Log'!$A$4:$A$810,'Match Log'!$D$4:$D$810,H$21)&gt;0)))</f>
        <v>2</v>
      </c>
      <c r="I25" s="77">
        <f>IF($A25=I$21,0,SUMPRODUCT(('Match Log'!$D$4:$D$810=$A25)*(COUNTIFS('Match Log'!$A$4:$A$810,'Match Log'!$A$4:$A$810,'Match Log'!$D$4:$D$810,I$21)&gt;0)))</f>
        <v>4</v>
      </c>
      <c r="J25" s="77">
        <f>IF($A25=J$21,0,SUMPRODUCT(('Match Log'!$D$4:$D$810=$A25)*(COUNTIFS('Match Log'!$A$4:$A$810,'Match Log'!$A$4:$A$810,'Match Log'!$D$4:$D$810,J$21)&gt;0)))</f>
        <v>3</v>
      </c>
      <c r="K25" s="77">
        <f>IF($A25=K$21,0,SUMPRODUCT(('Match Log'!$D$4:$D$810=$A25)*(COUNTIFS('Match Log'!$A$4:$A$810,'Match Log'!$A$4:$A$810,'Match Log'!$D$4:$D$810,K$21)&gt;0)))</f>
        <v>1</v>
      </c>
      <c r="L25" s="77">
        <f>IF($A25=L$21,0,SUMPRODUCT(('Match Log'!$D$4:$D$810=$A25)*(COUNTIFS('Match Log'!$A$4:$A$810,'Match Log'!$A$4:$A$810,'Match Log'!$D$4:$D$810,L$21)&gt;0)))</f>
        <v>2</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29</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33</v>
      </c>
      <c r="C27" s="77">
        <f>IF($A27=C$21,0,SUMPRODUCT(('Match Log'!$D$4:$D$810=$A27)*(COUNTIFS('Match Log'!$A$4:$A$810,'Match Log'!$A$4:$A$810,'Match Log'!$D$4:$D$810,C$21)&gt;0)))</f>
        <v>1</v>
      </c>
      <c r="D27" s="77">
        <f>IF($A27=D$21,0,SUMPRODUCT(('Match Log'!$D$4:$D$810=$A27)*(COUNTIFS('Match Log'!$A$4:$A$810,'Match Log'!$A$4:$A$810,'Match Log'!$D$4:$D$810,D$21)&gt;0)))</f>
        <v>6</v>
      </c>
      <c r="E27" s="77">
        <f>IF($A27=E$21,0,SUMPRODUCT(('Match Log'!$D$4:$D$810=$A27)*(COUNTIFS('Match Log'!$A$4:$A$810,'Match Log'!$A$4:$A$810,'Match Log'!$D$4:$D$810,E$21)&gt;0)))</f>
        <v>3</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6</v>
      </c>
      <c r="I27" s="77">
        <f>IF($A27=I$21,0,SUMPRODUCT(('Match Log'!$D$4:$D$810=$A27)*(COUNTIFS('Match Log'!$A$4:$A$810,'Match Log'!$A$4:$A$810,'Match Log'!$D$4:$D$810,I$21)&gt;0)))</f>
        <v>34</v>
      </c>
      <c r="J27" s="77">
        <f>IF($A27=J$21,0,SUMPRODUCT(('Match Log'!$D$4:$D$810=$A27)*(COUNTIFS('Match Log'!$A$4:$A$810,'Match Log'!$A$4:$A$810,'Match Log'!$D$4:$D$810,J$21)&gt;0)))</f>
        <v>3</v>
      </c>
      <c r="K27" s="77">
        <f>IF($A27=K$21,0,SUMPRODUCT(('Match Log'!$D$4:$D$810=$A27)*(COUNTIFS('Match Log'!$A$4:$A$810,'Match Log'!$A$4:$A$810,'Match Log'!$D$4:$D$810,K$21)&gt;0)))</f>
        <v>0</v>
      </c>
      <c r="L27" s="77">
        <f>IF($A27=L$21,0,SUMPRODUCT(('Match Log'!$D$4:$D$810=$A27)*(COUNTIFS('Match Log'!$A$4:$A$810,'Match Log'!$A$4:$A$810,'Match Log'!$D$4:$D$810,L$21)&gt;0)))</f>
        <v>32</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5</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2</v>
      </c>
      <c r="F28" s="77">
        <f>IF($A28=F$21,0,SUMPRODUCT(('Match Log'!$D$4:$D$810=$A28)*(COUNTIFS('Match Log'!$A$4:$A$810,'Match Log'!$A$4:$A$810,'Match Log'!$D$4:$D$810,F$21)&gt;0)))</f>
        <v>4</v>
      </c>
      <c r="G28" s="77">
        <f>IF($A28=G$21,0,SUMPRODUCT(('Match Log'!$D$4:$D$810=$A28)*(COUNTIFS('Match Log'!$A$4:$A$810,'Match Log'!$A$4:$A$810,'Match Log'!$D$4:$D$810,G$21)&gt;0)))</f>
        <v>6</v>
      </c>
      <c r="H28" s="77">
        <f>IF($A28=H$21,0,SUMPRODUCT(('Match Log'!$D$4:$D$810=$A28)*(COUNTIFS('Match Log'!$A$4:$A$810,'Match Log'!$A$4:$A$810,'Match Log'!$D$4:$D$810,H$21)&gt;0)))</f>
        <v>0</v>
      </c>
      <c r="I28" s="77">
        <f>IF($A28=I$21,0,SUMPRODUCT(('Match Log'!$D$4:$D$810=$A28)*(COUNTIFS('Match Log'!$A$4:$A$810,'Match Log'!$A$4:$A$810,'Match Log'!$D$4:$D$810,I$21)&gt;0)))</f>
        <v>2</v>
      </c>
      <c r="J28" s="77">
        <f>IF($A28=J$21,0,SUMPRODUCT(('Match Log'!$D$4:$D$810=$A28)*(COUNTIFS('Match Log'!$A$4:$A$810,'Match Log'!$A$4:$A$810,'Match Log'!$D$4:$D$810,J$21)&gt;0)))</f>
        <v>2</v>
      </c>
      <c r="K28" s="77">
        <f>IF($A28=K$21,0,SUMPRODUCT(('Match Log'!$D$4:$D$810=$A28)*(COUNTIFS('Match Log'!$A$4:$A$810,'Match Log'!$A$4:$A$810,'Match Log'!$D$4:$D$810,K$21)&gt;0)))</f>
        <v>2</v>
      </c>
      <c r="L28" s="77">
        <f>IF($A28=L$21,0,SUMPRODUCT(('Match Log'!$D$4:$D$810=$A28)*(COUNTIFS('Match Log'!$A$4:$A$810,'Match Log'!$A$4:$A$810,'Match Log'!$D$4:$D$810,L$21)&gt;0)))</f>
        <v>15</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13</v>
      </c>
      <c r="C29" s="77">
        <f>IF($A29=C$21,0,SUMPRODUCT(('Match Log'!$D$4:$D$810=$A29)*(COUNTIFS('Match Log'!$A$4:$A$810,'Match Log'!$A$4:$A$810,'Match Log'!$D$4:$D$810,C$21)&gt;0)))</f>
        <v>2</v>
      </c>
      <c r="D29" s="77">
        <f>IF($A29=D$21,0,SUMPRODUCT(('Match Log'!$D$4:$D$810=$A29)*(COUNTIFS('Match Log'!$A$4:$A$810,'Match Log'!$A$4:$A$810,'Match Log'!$D$4:$D$810,D$21)&gt;0)))</f>
        <v>7</v>
      </c>
      <c r="E29" s="77">
        <f>IF($A29=E$21,0,SUMPRODUCT(('Match Log'!$D$4:$D$810=$A29)*(COUNTIFS('Match Log'!$A$4:$A$810,'Match Log'!$A$4:$A$810,'Match Log'!$D$4:$D$810,E$21)&gt;0)))</f>
        <v>4</v>
      </c>
      <c r="F29" s="77">
        <f>IF($A29=F$21,0,SUMPRODUCT(('Match Log'!$D$4:$D$810=$A29)*(COUNTIFS('Match Log'!$A$4:$A$810,'Match Log'!$A$4:$A$810,'Match Log'!$D$4:$D$810,F$21)&gt;0)))</f>
        <v>29</v>
      </c>
      <c r="G29" s="77">
        <f>IF($A29=G$21,0,SUMPRODUCT(('Match Log'!$D$4:$D$810=$A29)*(COUNTIFS('Match Log'!$A$4:$A$810,'Match Log'!$A$4:$A$810,'Match Log'!$D$4:$D$810,G$21)&gt;0)))</f>
        <v>34</v>
      </c>
      <c r="H29" s="77">
        <f>IF($A29=H$21,0,SUMPRODUCT(('Match Log'!$D$4:$D$810=$A29)*(COUNTIFS('Match Log'!$A$4:$A$810,'Match Log'!$A$4:$A$810,'Match Log'!$D$4:$D$810,H$21)&gt;0)))</f>
        <v>2</v>
      </c>
      <c r="I29" s="77">
        <f>IF($A29=I$21,0,SUMPRODUCT(('Match Log'!$D$4:$D$810=$A29)*(COUNTIFS('Match Log'!$A$4:$A$810,'Match Log'!$A$4:$A$810,'Match Log'!$D$4:$D$810,I$21)&gt;0)))</f>
        <v>0</v>
      </c>
      <c r="J29" s="77">
        <f>IF($A29=J$21,0,SUMPRODUCT(('Match Log'!$D$4:$D$810=$A29)*(COUNTIFS('Match Log'!$A$4:$A$810,'Match Log'!$A$4:$A$810,'Match Log'!$D$4:$D$810,J$21)&gt;0)))</f>
        <v>16</v>
      </c>
      <c r="K29" s="77">
        <f>IF($A29=K$21,0,SUMPRODUCT(('Match Log'!$D$4:$D$810=$A29)*(COUNTIFS('Match Log'!$A$4:$A$810,'Match Log'!$A$4:$A$810,'Match Log'!$D$4:$D$810,K$21)&gt;0)))</f>
        <v>2</v>
      </c>
      <c r="L29" s="77">
        <f>IF($A29=L$21,0,SUMPRODUCT(('Match Log'!$D$4:$D$810=$A29)*(COUNTIFS('Match Log'!$A$4:$A$810,'Match Log'!$A$4:$A$810,'Match Log'!$D$4:$D$810,L$21)&gt;0)))</f>
        <v>10</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2</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3</v>
      </c>
      <c r="F30" s="77">
        <f>IF($A30=F$21,0,SUMPRODUCT(('Match Log'!$D$4:$D$810=$A30)*(COUNTIFS('Match Log'!$A$4:$A$810,'Match Log'!$A$4:$A$810,'Match Log'!$D$4:$D$810,F$21)&gt;0)))</f>
        <v>8</v>
      </c>
      <c r="G30" s="77">
        <f>IF($A30=G$21,0,SUMPRODUCT(('Match Log'!$D$4:$D$810=$A30)*(COUNTIFS('Match Log'!$A$4:$A$810,'Match Log'!$A$4:$A$810,'Match Log'!$D$4:$D$810,G$21)&gt;0)))</f>
        <v>3</v>
      </c>
      <c r="H30" s="77">
        <f>IF($A30=H$21,0,SUMPRODUCT(('Match Log'!$D$4:$D$810=$A30)*(COUNTIFS('Match Log'!$A$4:$A$810,'Match Log'!$A$4:$A$810,'Match Log'!$D$4:$D$810,H$21)&gt;0)))</f>
        <v>2</v>
      </c>
      <c r="I30" s="77">
        <f>IF($A30=I$21,0,SUMPRODUCT(('Match Log'!$D$4:$D$810=$A30)*(COUNTIFS('Match Log'!$A$4:$A$810,'Match Log'!$A$4:$A$810,'Match Log'!$D$4:$D$810,I$21)&gt;0)))</f>
        <v>16</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4</v>
      </c>
      <c r="C32" s="77">
        <f>IF($A32=C$21,0,SUMPRODUCT(('Match Log'!$D$4:$D$810=$A32)*(COUNTIFS('Match Log'!$A$4:$A$810,'Match Log'!$A$4:$A$810,'Match Log'!$D$4:$D$810,C$21)&gt;0)))</f>
        <v>5</v>
      </c>
      <c r="D32" s="77">
        <f>IF($A32=D$21,0,SUMPRODUCT(('Match Log'!$D$4:$D$810=$A32)*(COUNTIFS('Match Log'!$A$4:$A$810,'Match Log'!$A$4:$A$810,'Match Log'!$D$4:$D$810,D$21)&gt;0)))</f>
        <v>6</v>
      </c>
      <c r="E32" s="77">
        <f>IF($A32=E$21,0,SUMPRODUCT(('Match Log'!$D$4:$D$810=$A32)*(COUNTIFS('Match Log'!$A$4:$A$810,'Match Log'!$A$4:$A$810,'Match Log'!$D$4:$D$810,E$21)&gt;0)))</f>
        <v>2</v>
      </c>
      <c r="F32" s="77">
        <f>IF($A32=F$21,0,SUMPRODUCT(('Match Log'!$D$4:$D$810=$A32)*(COUNTIFS('Match Log'!$A$4:$A$810,'Match Log'!$A$4:$A$810,'Match Log'!$D$4:$D$810,F$21)&gt;0)))</f>
        <v>7</v>
      </c>
      <c r="G32" s="77">
        <f>IF($A32=G$21,0,SUMPRODUCT(('Match Log'!$D$4:$D$810=$A32)*(COUNTIFS('Match Log'!$A$4:$A$810,'Match Log'!$A$4:$A$810,'Match Log'!$D$4:$D$810,G$21)&gt;0)))</f>
        <v>32</v>
      </c>
      <c r="H32" s="77">
        <f>IF($A32=H$21,0,SUMPRODUCT(('Match Log'!$D$4:$D$810=$A32)*(COUNTIFS('Match Log'!$A$4:$A$810,'Match Log'!$A$4:$A$810,'Match Log'!$D$4:$D$810,H$21)&gt;0)))</f>
        <v>15</v>
      </c>
      <c r="I32" s="77">
        <f>IF($A32=I$21,0,SUMPRODUCT(('Match Log'!$D$4:$D$810=$A32)*(COUNTIFS('Match Log'!$A$4:$A$810,'Match Log'!$A$4:$A$810,'Match Log'!$D$4:$D$810,I$21)&gt;0)))</f>
        <v>10</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303</v>
      </c>
    </row>
    <row r="2" spans="1:18" ht="15" customHeight="1" x14ac:dyDescent="0.2">
      <c r="A2" s="157" t="s">
        <v>304</v>
      </c>
      <c r="B2" s="141"/>
      <c r="C2" s="141"/>
      <c r="D2" s="141"/>
      <c r="E2" s="141"/>
      <c r="F2" s="141"/>
      <c r="G2" s="141"/>
      <c r="H2" s="141"/>
      <c r="I2" s="141"/>
      <c r="J2" s="141"/>
      <c r="K2" s="141"/>
      <c r="L2" s="141"/>
      <c r="M2" s="141"/>
      <c r="N2" s="141"/>
      <c r="O2" s="141"/>
      <c r="P2" s="141"/>
      <c r="Q2" s="141"/>
    </row>
    <row r="3" spans="1:18" ht="18.75" customHeight="1" x14ac:dyDescent="0.2">
      <c r="A3" s="43" t="s">
        <v>305</v>
      </c>
      <c r="C3" s="79">
        <f>SUM($P$8:$P$32)</f>
        <v>220</v>
      </c>
    </row>
    <row r="4" spans="1:18" ht="18.75" customHeight="1" x14ac:dyDescent="0.2">
      <c r="A4" s="43" t="s">
        <v>306</v>
      </c>
      <c r="C4" s="156" t="str">
        <f ca="1">INDEX($A$89:$A$102,MATCH(MAX($S$89:$S$102),$S$89:$S$102,0))</f>
        <v>Josh</v>
      </c>
      <c r="D4" s="141"/>
      <c r="E4" s="141"/>
      <c r="F4" s="141"/>
      <c r="G4" s="141"/>
    </row>
    <row r="6" spans="1:18" ht="15" customHeight="1" x14ac:dyDescent="0.2">
      <c r="A6" s="155" t="s">
        <v>307</v>
      </c>
      <c r="B6" s="141"/>
      <c r="C6" s="141"/>
      <c r="D6" s="141"/>
      <c r="E6" s="141"/>
      <c r="F6" s="141"/>
      <c r="G6" s="141"/>
      <c r="H6" s="141"/>
      <c r="I6" s="141"/>
      <c r="J6" s="141"/>
      <c r="K6" s="141"/>
      <c r="L6" s="141"/>
      <c r="M6" s="141"/>
      <c r="N6" s="141"/>
      <c r="O6" s="141"/>
      <c r="P6" s="141"/>
      <c r="Q6" s="141"/>
    </row>
    <row r="7" spans="1:18" ht="91.5" customHeight="1" x14ac:dyDescent="0.2">
      <c r="A7" s="80" t="s">
        <v>241</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247</v>
      </c>
      <c r="R7" s="80" t="s">
        <v>308</v>
      </c>
    </row>
    <row r="8" spans="1:18" ht="15" customHeight="1" x14ac:dyDescent="0.2">
      <c r="A8" s="82" t="s">
        <v>33</v>
      </c>
      <c r="B8" s="83">
        <f>COUNTIFS('Match Log'!$D$4:$D$819,B$7,'Match Log'!$C$4:$C$819,$A8)</f>
        <v>0</v>
      </c>
      <c r="C8" s="83">
        <f>COUNTIFS('Match Log'!$D$4:$D$819,C$7,'Match Log'!$C$4:$C$819,$A8)</f>
        <v>0</v>
      </c>
      <c r="D8" s="83">
        <f>COUNTIFS('Match Log'!$D$4:$D$819,D$7,'Match Log'!$C$4:$C$819,$A8)</f>
        <v>1</v>
      </c>
      <c r="E8" s="83">
        <f>COUNTIFS('Match Log'!$D$4:$D$819,E$7,'Match Log'!$C$4:$C$819,$A8)</f>
        <v>0</v>
      </c>
      <c r="F8" s="83">
        <f>COUNTIFS('Match Log'!$D$4:$D$819,F$7,'Match Log'!$C$4:$C$819,$A8)</f>
        <v>0</v>
      </c>
      <c r="G8" s="83">
        <f>COUNTIFS('Match Log'!$D$4:$D$819,G$7,'Match Log'!$C$4:$C$819,$A8)</f>
        <v>4</v>
      </c>
      <c r="H8" s="83">
        <f>COUNTIFS('Match Log'!$D$4:$D$819,H$7,'Match Log'!$C$4:$C$819,$A8)</f>
        <v>1</v>
      </c>
      <c r="I8" s="83">
        <f>COUNTIFS('Match Log'!$D$4:$D$819,I$7,'Match Log'!$C$4:$C$819,$A8)</f>
        <v>4</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5</v>
      </c>
      <c r="Q8" s="85" t="str">
        <f>IF($P8=0,"—",INDEX($B$34:$O$34,MATCH(MAX($B35:$O35),$B35:$O35,0)))</f>
        <v>Shawn</v>
      </c>
      <c r="R8" s="84">
        <f>IF($P8=0,"—",MAX($B35:$O35))</f>
        <v>4</v>
      </c>
    </row>
    <row r="9" spans="1:18" ht="15" customHeight="1" x14ac:dyDescent="0.2">
      <c r="A9" s="82" t="s">
        <v>34</v>
      </c>
      <c r="B9" s="83">
        <f>COUNTIFS('Match Log'!$D$4:$D$819,B$7,'Match Log'!$C$4:$C$819,$A9)</f>
        <v>2</v>
      </c>
      <c r="C9" s="83">
        <f>COUNTIFS('Match Log'!$D$4:$D$819,C$7,'Match Log'!$C$4:$C$819,$A9)</f>
        <v>0</v>
      </c>
      <c r="D9" s="83">
        <f>COUNTIFS('Match Log'!$D$4:$D$819,D$7,'Match Log'!$C$4:$C$819,$A9)</f>
        <v>0</v>
      </c>
      <c r="E9" s="83">
        <f>COUNTIFS('Match Log'!$D$4:$D$819,E$7,'Match Log'!$C$4:$C$819,$A9)</f>
        <v>0</v>
      </c>
      <c r="F9" s="83">
        <f>COUNTIFS('Match Log'!$D$4:$D$819,F$7,'Match Log'!$C$4:$C$819,$A9)</f>
        <v>0</v>
      </c>
      <c r="G9" s="83">
        <f>COUNTIFS('Match Log'!$D$4:$D$819,G$7,'Match Log'!$C$4:$C$819,$A9)</f>
        <v>2</v>
      </c>
      <c r="H9" s="83">
        <f>COUNTIFS('Match Log'!$D$4:$D$819,H$7,'Match Log'!$C$4:$C$819,$A9)</f>
        <v>0</v>
      </c>
      <c r="I9" s="83">
        <f>COUNTIFS('Match Log'!$D$4:$D$819,I$7,'Match Log'!$C$4:$C$819,$A9)</f>
        <v>3</v>
      </c>
      <c r="J9" s="83">
        <f>COUNTIFS('Match Log'!$D$4:$D$819,J$7,'Match Log'!$C$4:$C$819,$A9)</f>
        <v>0</v>
      </c>
      <c r="K9" s="83">
        <f>COUNTIFS('Match Log'!$D$4:$D$819,K$7,'Match Log'!$C$4:$C$819,$A9)</f>
        <v>0</v>
      </c>
      <c r="L9" s="83">
        <f>COUNTIFS('Match Log'!$D$4:$D$819,L$7,'Match Log'!$C$4:$C$819,$A9)</f>
        <v>0</v>
      </c>
      <c r="M9" s="83">
        <f>COUNTIFS('Match Log'!$D$4:$D$819,M$7,'Match Log'!$C$4:$C$819,$A9)</f>
        <v>3</v>
      </c>
      <c r="N9" s="83">
        <f>COUNTIFS('Match Log'!$D$4:$D$819,N$7,'Match Log'!$C$4:$C$819,$A9)</f>
        <v>4</v>
      </c>
      <c r="O9" s="83">
        <f>COUNTIFS('Match Log'!$D$4:$D$819,O$7,'Match Log'!$C$4:$C$819,$A9)</f>
        <v>0</v>
      </c>
      <c r="P9" s="84">
        <f>SUMPRODUCT(('Match Log'!$C$4:$C$819=$A9)*('Match Log'!$D$4:$D$819='Match Log'!$G$4:$G$819)*('Match Log'!$D$4:$D$819&lt;&gt;""))</f>
        <v>6</v>
      </c>
      <c r="Q9" s="85" t="str">
        <f>IF($P9=0,"—",INDEX($B$34:$O$34,MATCH(MAX($B36:$O36),$B36:$O36,0)))</f>
        <v>Daniel (Ferret)</v>
      </c>
      <c r="R9" s="84">
        <f>IF($P9=0,"—",MAX($B36:$O36))</f>
        <v>2</v>
      </c>
    </row>
    <row r="10" spans="1:18" ht="15" customHeight="1" x14ac:dyDescent="0.2">
      <c r="A10" s="82" t="s">
        <v>35</v>
      </c>
      <c r="B10" s="83">
        <f>COUNTIFS('Match Log'!$D$4:$D$819,B$7,'Match Log'!$C$4:$C$819,$A10)</f>
        <v>12</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20</v>
      </c>
      <c r="H10" s="83">
        <f>COUNTIFS('Match Log'!$D$4:$D$819,H$7,'Match Log'!$C$4:$C$819,$A10)</f>
        <v>0</v>
      </c>
      <c r="I10" s="83">
        <f>COUNTIFS('Match Log'!$D$4:$D$819,I$7,'Match Log'!$C$4:$C$819,$A10)</f>
        <v>9</v>
      </c>
      <c r="J10" s="83">
        <f>COUNTIFS('Match Log'!$D$4:$D$819,J$7,'Match Log'!$C$4:$C$819,$A10)</f>
        <v>0</v>
      </c>
      <c r="K10" s="83">
        <f>COUNTIFS('Match Log'!$D$4:$D$819,K$7,'Match Log'!$C$4:$C$819,$A10)</f>
        <v>0</v>
      </c>
      <c r="L10" s="83">
        <f>COUNTIFS('Match Log'!$D$4:$D$819,L$7,'Match Log'!$C$4:$C$819,$A10)</f>
        <v>3</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23</v>
      </c>
      <c r="Q10" s="85" t="str">
        <f>IF($P10=0,"—",INDEX($B$34:$O$34,MATCH(MAX($B37:$O37),$B37:$O37,0)))</f>
        <v>Aaron</v>
      </c>
      <c r="R10" s="84">
        <f>IF($P10=0,"—",MAX($B37:$O37))</f>
        <v>9</v>
      </c>
    </row>
    <row r="11" spans="1:18" ht="15" customHeight="1" x14ac:dyDescent="0.2">
      <c r="A11" s="82" t="s">
        <v>36</v>
      </c>
      <c r="B11" s="83">
        <f>COUNTIFS('Match Log'!$D$4:$D$819,B$7,'Match Log'!$C$4:$C$819,$A11)</f>
        <v>0</v>
      </c>
      <c r="C11" s="83">
        <f>COUNTIFS('Match Log'!$D$4:$D$819,C$7,'Match Log'!$C$4:$C$819,$A11)</f>
        <v>0</v>
      </c>
      <c r="D11" s="83">
        <f>COUNTIFS('Match Log'!$D$4:$D$819,D$7,'Match Log'!$C$4:$C$819,$A11)</f>
        <v>0</v>
      </c>
      <c r="E11" s="83">
        <f>COUNTIFS('Match Log'!$D$4:$D$819,E$7,'Match Log'!$C$4:$C$819,$A11)</f>
        <v>0</v>
      </c>
      <c r="F11" s="83">
        <f>COUNTIFS('Match Log'!$D$4:$D$819,F$7,'Match Log'!$C$4:$C$819,$A11)</f>
        <v>0</v>
      </c>
      <c r="G11" s="83">
        <f>COUNTIFS('Match Log'!$D$4:$D$819,G$7,'Match Log'!$C$4:$C$819,$A11)</f>
        <v>0</v>
      </c>
      <c r="H11" s="83">
        <f>COUNTIFS('Match Log'!$D$4:$D$819,H$7,'Match Log'!$C$4:$C$819,$A11)</f>
        <v>0</v>
      </c>
      <c r="I11" s="83">
        <f>COUNTIFS('Match Log'!$D$4:$D$819,I$7,'Match Log'!$C$4:$C$819,$A11)</f>
        <v>0</v>
      </c>
      <c r="J11" s="83">
        <f>COUNTIFS('Match Log'!$D$4:$D$819,J$7,'Match Log'!$C$4:$C$819,$A11)</f>
        <v>0</v>
      </c>
      <c r="K11" s="83">
        <f>COUNTIFS('Match Log'!$D$4:$D$819,K$7,'Match Log'!$C$4:$C$819,$A11)</f>
        <v>0</v>
      </c>
      <c r="L11" s="83">
        <f>COUNTIFS('Match Log'!$D$4:$D$819,L$7,'Match Log'!$C$4:$C$819,$A11)</f>
        <v>0</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0</v>
      </c>
      <c r="Q11" s="85" t="str">
        <f>IF($P11=0,"—",INDEX($B$34:$O$34,MATCH(MAX($B38:$O38),$B38:$O38,0)))</f>
        <v>—</v>
      </c>
      <c r="R11" s="84" t="str">
        <f>IF($P11=0,"—",MAX($B38:$O38))</f>
        <v>—</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0</v>
      </c>
      <c r="F12" s="83">
        <f>COUNTIFS('Match Log'!$D$4:$D$819,F$7,'Match Log'!$C$4:$C$819,$A12)</f>
        <v>2</v>
      </c>
      <c r="G12" s="83">
        <f>COUNTIFS('Match Log'!$D$4:$D$819,G$7,'Match Log'!$C$4:$C$819,$A12)</f>
        <v>1</v>
      </c>
      <c r="H12" s="83">
        <f>COUNTIFS('Match Log'!$D$4:$D$819,H$7,'Match Log'!$C$4:$C$819,$A12)</f>
        <v>2</v>
      </c>
      <c r="I12" s="83">
        <f>COUNTIFS('Match Log'!$D$4:$D$819,I$7,'Match Log'!$C$4:$C$819,$A12)</f>
        <v>6</v>
      </c>
      <c r="J12" s="83">
        <f>COUNTIFS('Match Log'!$D$4:$D$819,J$7,'Match Log'!$C$4:$C$819,$A12)</f>
        <v>9</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18</v>
      </c>
      <c r="Q12" s="85" t="str">
        <f>IF($P12=0,"—",INDEX($B$34:$O$34,MATCH(MAX($B39:$O39),$B39:$O39,0)))</f>
        <v>Dean B</v>
      </c>
      <c r="R12" s="84">
        <f>IF($P12=0,"—",MAX($B39:$O39))</f>
        <v>5</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IF($P13=0,"—",INDEX($B$34:$O$34,MATCH(MAX($B40:$O40),$B40:$O40,0)))</f>
        <v>Aaron</v>
      </c>
      <c r="R13" s="84">
        <f>IF($P13=0,"—",MAX($B40:$O40))</f>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IF($P14=0,"—",INDEX($B$34:$O$34,MATCH(MAX($B41:$O41),$B41:$O41,0)))</f>
        <v>—</v>
      </c>
      <c r="R14" s="84" t="str">
        <f>IF($P14=0,"—",MAX($B41:$O41))</f>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IF($P15=0,"—",INDEX($B$34:$O$34,MATCH(MAX($B42:$O42),$B42:$O42,0)))</f>
        <v>—</v>
      </c>
      <c r="R15" s="84" t="str">
        <f>IF($P15=0,"—",MAX($B42:$O42))</f>
        <v>—</v>
      </c>
    </row>
    <row r="16" spans="1:18" ht="15" customHeight="1" x14ac:dyDescent="0.2">
      <c r="A16" s="82" t="s">
        <v>41</v>
      </c>
      <c r="B16" s="83">
        <f>COUNTIFS('Match Log'!$D$4:$D$819,B$7,'Match Log'!$C$4:$C$819,$A16)</f>
        <v>1</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2</v>
      </c>
      <c r="H16" s="83">
        <f>COUNTIFS('Match Log'!$D$4:$D$819,H$7,'Match Log'!$C$4:$C$819,$A16)</f>
        <v>0</v>
      </c>
      <c r="I16" s="83">
        <f>COUNTIFS('Match Log'!$D$4:$D$819,I$7,'Match Log'!$C$4:$C$819,$A16)</f>
        <v>1</v>
      </c>
      <c r="J16" s="83">
        <f>COUNTIFS('Match Log'!$D$4:$D$819,J$7,'Match Log'!$C$4:$C$819,$A16)</f>
        <v>0</v>
      </c>
      <c r="K16" s="83">
        <f>COUNTIFS('Match Log'!$D$4:$D$819,K$7,'Match Log'!$C$4:$C$819,$A16)</f>
        <v>0</v>
      </c>
      <c r="L16" s="83">
        <f>COUNTIFS('Match Log'!$D$4:$D$819,L$7,'Match Log'!$C$4:$C$819,$A16)</f>
        <v>1</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3</v>
      </c>
      <c r="Q16" s="85" t="str">
        <f>IF($P16=0,"—",INDEX($B$34:$O$34,MATCH(MAX($B43:$O43),$B43:$O43,0)))</f>
        <v>Josh</v>
      </c>
      <c r="R16" s="84">
        <f>IF($P16=0,"—",MAX($B43:$O43))</f>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0</v>
      </c>
      <c r="H17" s="83">
        <f>COUNTIFS('Match Log'!$D$4:$D$819,H$7,'Match Log'!$C$4:$C$819,$A17)</f>
        <v>0</v>
      </c>
      <c r="I17" s="83">
        <f>COUNTIFS('Match Log'!$D$4:$D$819,I$7,'Match Log'!$C$4:$C$819,$A17)</f>
        <v>0</v>
      </c>
      <c r="J17" s="83">
        <f>COUNTIFS('Match Log'!$D$4:$D$819,J$7,'Match Log'!$C$4:$C$819,$A17)</f>
        <v>0</v>
      </c>
      <c r="K17" s="83">
        <f>COUNTIFS('Match Log'!$D$4:$D$819,K$7,'Match Log'!$C$4:$C$819,$A17)</f>
        <v>0</v>
      </c>
      <c r="L17" s="83">
        <f>COUNTIFS('Match Log'!$D$4:$D$819,L$7,'Match Log'!$C$4:$C$819,$A17)</f>
        <v>0</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0</v>
      </c>
      <c r="Q17" s="85" t="str">
        <f>IF($P17=0,"—",INDEX($B$34:$O$34,MATCH(MAX($B44:$O44),$B44:$O44,0)))</f>
        <v>—</v>
      </c>
      <c r="R17" s="84" t="str">
        <f>IF($P17=0,"—",MAX($B44:$O44))</f>
        <v>—</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IF($P18=0,"—",INDEX($B$34:$O$34,MATCH(MAX($B45:$O45),$B45:$O45,0)))</f>
        <v>—</v>
      </c>
      <c r="R18" s="84" t="str">
        <f>IF($P18=0,"—",MAX($B45:$O45))</f>
        <v>—</v>
      </c>
    </row>
    <row r="19" spans="1:22" ht="15" customHeight="1" x14ac:dyDescent="0.2">
      <c r="A19" s="82" t="s">
        <v>44</v>
      </c>
      <c r="B19" s="83">
        <f>COUNTIFS('Match Log'!$D$4:$D$819,B$7,'Match Log'!$C$4:$C$819,$A19)</f>
        <v>2</v>
      </c>
      <c r="C19" s="83">
        <f>COUNTIFS('Match Log'!$D$4:$D$819,C$7,'Match Log'!$C$4:$C$819,$A19)</f>
        <v>1</v>
      </c>
      <c r="D19" s="83">
        <f>COUNTIFS('Match Log'!$D$4:$D$819,D$7,'Match Log'!$C$4:$C$819,$A19)</f>
        <v>0</v>
      </c>
      <c r="E19" s="83">
        <f>COUNTIFS('Match Log'!$D$4:$D$819,E$7,'Match Log'!$C$4:$C$819,$A19)</f>
        <v>6</v>
      </c>
      <c r="F19" s="83">
        <f>COUNTIFS('Match Log'!$D$4:$D$819,F$7,'Match Log'!$C$4:$C$819,$A19)</f>
        <v>15</v>
      </c>
      <c r="G19" s="83">
        <f>COUNTIFS('Match Log'!$D$4:$D$819,G$7,'Match Log'!$C$4:$C$819,$A19)</f>
        <v>5</v>
      </c>
      <c r="H19" s="83">
        <f>COUNTIFS('Match Log'!$D$4:$D$819,H$7,'Match Log'!$C$4:$C$819,$A19)</f>
        <v>3</v>
      </c>
      <c r="I19" s="83">
        <f>COUNTIFS('Match Log'!$D$4:$D$819,I$7,'Match Log'!$C$4:$C$819,$A19)</f>
        <v>7</v>
      </c>
      <c r="J19" s="83">
        <f>COUNTIFS('Match Log'!$D$4:$D$819,J$7,'Match Log'!$C$4:$C$819,$A19)</f>
        <v>5</v>
      </c>
      <c r="K19" s="83">
        <f>COUNTIFS('Match Log'!$D$4:$D$819,K$7,'Match Log'!$C$4:$C$819,$A19)</f>
        <v>5</v>
      </c>
      <c r="L19" s="83">
        <f>COUNTIFS('Match Log'!$D$4:$D$819,L$7,'Match Log'!$C$4:$C$819,$A19)</f>
        <v>13</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31</v>
      </c>
      <c r="Q19" s="85" t="str">
        <f>IF($P19=0,"—",INDEX($B$34:$O$34,MATCH(MAX($B46:$O46),$B46:$O46,0)))</f>
        <v>Josh</v>
      </c>
      <c r="R19" s="84">
        <f>IF($P19=0,"—",MAX($B46:$O46))</f>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IF($P20=0,"—",INDEX($B$34:$O$34,MATCH(MAX($B47:$O47),$B47:$O47,0)))</f>
        <v>Shawn</v>
      </c>
      <c r="R20" s="84">
        <f>IF($P20=0,"—",MAX($B47:$O47))</f>
        <v>5</v>
      </c>
      <c r="V20" t="s">
        <v>455</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IF($P21=0,"—",INDEX($B$34:$O$34,MATCH(MAX($B48:$O48),$B48:$O48,0)))</f>
        <v>Oscar</v>
      </c>
      <c r="R21" s="84">
        <f>IF($P21=0,"—",MAX($B48:$O48))</f>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IF($P22=0,"—",INDEX($B$34:$O$34,MATCH(MAX($B49:$O49),$B49:$O49,0)))</f>
        <v>—</v>
      </c>
      <c r="R22" s="84" t="str">
        <f>IF($P22=0,"—",MAX($B49:$O49))</f>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IF($P23=0,"—",INDEX($B$34:$O$34,MATCH(MAX($B50:$O50),$B50:$O50,0)))</f>
        <v>Daniel (Ferret)</v>
      </c>
      <c r="R23" s="84">
        <f>IF($P23=0,"—",MAX($B50:$O50))</f>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IF($P24=0,"—",INDEX($B$34:$O$34,MATCH(MAX($B51:$O51),$B51:$O51,0)))</f>
        <v>Josh</v>
      </c>
      <c r="R24" s="84">
        <f>IF($P24=0,"—",MAX($B51:$O51))</f>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IF($P25=0,"—",INDEX($B$34:$O$34,MATCH(MAX($B52:$O52),$B52:$O52,0)))</f>
        <v>Simon</v>
      </c>
      <c r="R25" s="84">
        <f>IF($P25=0,"—",MAX($B52:$O52))</f>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25</v>
      </c>
      <c r="H26" s="83">
        <f>COUNTIFS('Match Log'!$D$4:$D$819,H$7,'Match Log'!$C$4:$C$819,$A26)</f>
        <v>1</v>
      </c>
      <c r="I26" s="83">
        <f>COUNTIFS('Match Log'!$D$4:$D$819,I$7,'Match Log'!$C$4:$C$819,$A26)</f>
        <v>17</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33</v>
      </c>
      <c r="Q26" s="85" t="str">
        <f>IF($P26=0,"—",INDEX($B$34:$O$34,MATCH(MAX($B53:$O53),$B53:$O53,0)))</f>
        <v>Shawn</v>
      </c>
      <c r="R26" s="84">
        <f>IF($P26=0,"—",MAX($B53:$O53))</f>
        <v>15</v>
      </c>
    </row>
    <row r="27" spans="1:22" x14ac:dyDescent="0.2">
      <c r="A27" s="82" t="s">
        <v>51</v>
      </c>
      <c r="B27" s="83">
        <f>COUNTIFS('Match Log'!$D$4:$D$819,B$7,'Match Log'!$C$4:$C$819,$A27)</f>
        <v>0</v>
      </c>
      <c r="C27" s="83">
        <f>COUNTIFS('Match Log'!$D$4:$D$819,C$7,'Match Log'!$C$4:$C$819,$A27)</f>
        <v>0</v>
      </c>
      <c r="D27" s="83">
        <f>COUNTIFS('Match Log'!$D$4:$D$819,D$7,'Match Log'!$C$4:$C$819,$A27)</f>
        <v>0</v>
      </c>
      <c r="E27" s="83">
        <f>COUNTIFS('Match Log'!$D$4:$D$819,E$7,'Match Log'!$C$4:$C$819,$A27)</f>
        <v>0</v>
      </c>
      <c r="F27" s="83">
        <f>COUNTIFS('Match Log'!$D$4:$D$819,F$7,'Match Log'!$C$4:$C$819,$A27)</f>
        <v>0</v>
      </c>
      <c r="G27" s="83">
        <f>COUNTIFS('Match Log'!$D$4:$D$819,G$7,'Match Log'!$C$4:$C$819,$A27)</f>
        <v>0</v>
      </c>
      <c r="H27" s="83">
        <f>COUNTIFS('Match Log'!$D$4:$D$819,H$7,'Match Log'!$C$4:$C$819,$A27)</f>
        <v>0</v>
      </c>
      <c r="I27" s="83">
        <f>COUNTIFS('Match Log'!$D$4:$D$819,I$7,'Match Log'!$C$4:$C$819,$A27)</f>
        <v>0</v>
      </c>
      <c r="J27" s="83">
        <f>COUNTIFS('Match Log'!$D$4:$D$819,J$7,'Match Log'!$C$4:$C$819,$A27)</f>
        <v>0</v>
      </c>
      <c r="K27" s="83">
        <f>COUNTIFS('Match Log'!$D$4:$D$819,K$7,'Match Log'!$C$4:$C$819,$A27)</f>
        <v>0</v>
      </c>
      <c r="L27" s="83">
        <f>COUNTIFS('Match Log'!$D$4:$D$819,L$7,'Match Log'!$C$4:$C$819,$A27)</f>
        <v>0</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0</v>
      </c>
      <c r="Q27" s="85" t="str">
        <f>IF($P27=0,"—",INDEX($B$34:$O$34,MATCH(MAX($B54:$O54),$B54:$O54,0)))</f>
        <v>—</v>
      </c>
      <c r="R27" s="84" t="str">
        <f>IF($P27=0,"—",MAX($B54:$O54))</f>
        <v>—</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IF($P28=0,"—",INDEX($B$34:$O$34,MATCH(MAX($B55:$O55),$B55:$O55,0)))</f>
        <v>Dean B</v>
      </c>
      <c r="R28" s="84">
        <f>IF($P28=0,"—",MAX($B55:$O55))</f>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IF($P29=0,"—",INDEX($B$34:$O$34,MATCH(MAX($B56:$O56),$B56:$O56,0)))</f>
        <v>Josh</v>
      </c>
      <c r="R29" s="84">
        <f>IF($P29=0,"—",MAX($B56:$O56))</f>
        <v>1</v>
      </c>
    </row>
    <row r="30" spans="1:22" x14ac:dyDescent="0.2">
      <c r="A30" s="82" t="s">
        <v>54</v>
      </c>
      <c r="B30" s="83">
        <f>COUNTIFS('Match Log'!$D$4:$D$810,B$7,'Match Log'!$C$4:$C$810,$A30)</f>
        <v>0</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0</v>
      </c>
      <c r="H30" s="83">
        <f>COUNTIFS('Match Log'!$D$4:$D$810,H$7,'Match Log'!$C$4:$C$810,$A30)</f>
        <v>0</v>
      </c>
      <c r="I30" s="83">
        <f>COUNTIFS('Match Log'!$D$4:$D$810,I$7,'Match Log'!$C$4:$C$810,$A30)</f>
        <v>8</v>
      </c>
      <c r="J30" s="83">
        <f>COUNTIFS('Match Log'!$D$4:$D$810,J$7,'Match Log'!$C$4:$C$810,$A30)</f>
        <v>0</v>
      </c>
      <c r="K30" s="83">
        <f>COUNTIFS('Match Log'!$D$4:$D$810,K$7,'Match Log'!$C$4:$C$810,$A30)</f>
        <v>0</v>
      </c>
      <c r="L30" s="83">
        <f>COUNTIFS('Match Log'!$D$4:$D$810,L$7,'Match Log'!$C$4:$C$810,$A30)</f>
        <v>0</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8</v>
      </c>
      <c r="Q30" s="85" t="str">
        <f>IF($P30=0,"—",INDEX($B$34:$O$34,MATCH(MAX($B57:$O57),$B57:$O57,0)))</f>
        <v>Josh</v>
      </c>
      <c r="R30" s="84">
        <f>IF($P30=0,"—",MAX($B57:$O57))</f>
        <v>3</v>
      </c>
    </row>
    <row r="31" spans="1:22" x14ac:dyDescent="0.2">
      <c r="A31" s="82" t="s">
        <v>456</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IF($P31=0,"—",INDEX($B$34:$O$34,MATCH(MAX($B58:$O58),$B58:$O58,0)))</f>
        <v>Josh</v>
      </c>
      <c r="R31" s="84">
        <f>IF($P31=0,"—",MAX($B58:$O58))</f>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IF($P32=0,"—",INDEX($B$34:$O$34,MATCH(MAX($B59:$O59),$B59:$O59,0)))</f>
        <v>Josh</v>
      </c>
      <c r="R32" s="84">
        <f>IF($P32=0,"—",MAX($B59:$O59))</f>
        <v>2</v>
      </c>
    </row>
    <row r="33" spans="1:17" ht="15" customHeight="1" x14ac:dyDescent="0.2">
      <c r="A33" s="155" t="s">
        <v>309</v>
      </c>
      <c r="B33" s="141"/>
      <c r="C33" s="141"/>
      <c r="D33" s="141"/>
      <c r="E33" s="141"/>
      <c r="F33" s="141"/>
      <c r="G33" s="141"/>
      <c r="H33" s="141"/>
      <c r="I33" s="141"/>
      <c r="J33" s="141"/>
      <c r="K33" s="141"/>
      <c r="L33" s="141"/>
      <c r="M33" s="141"/>
      <c r="N33" s="141"/>
      <c r="O33" s="141"/>
      <c r="P33" s="141"/>
      <c r="Q33" s="141"/>
    </row>
    <row r="34" spans="1:17" ht="91.5" customHeight="1" x14ac:dyDescent="0.2">
      <c r="A34" s="80" t="s">
        <v>241</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4</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1</v>
      </c>
      <c r="C36" s="83">
        <f>COUNTIFS('Match Log'!$D$4:$D$819,C$34,'Match Log'!$C$4:$C$819,$A36,'Match Log'!$E$4:$E$819,"Win")</f>
        <v>0</v>
      </c>
      <c r="D36" s="83">
        <f>COUNTIFS('Match Log'!$D$4:$D$819,D$34,'Match Log'!$C$4:$C$819,$A36,'Match Log'!$E$4:$E$819,"Win")</f>
        <v>0</v>
      </c>
      <c r="E36" s="83">
        <f>COUNTIFS('Match Log'!$D$4:$D$819,E$34,'Match Log'!$C$4:$C$819,$A36,'Match Log'!$E$4:$E$819,"Win")</f>
        <v>0</v>
      </c>
      <c r="F36" s="83">
        <f>COUNTIFS('Match Log'!$D$4:$D$819,F$34,'Match Log'!$C$4:$C$819,$A36,'Match Log'!$E$4:$E$819,"Win")</f>
        <v>0</v>
      </c>
      <c r="G36" s="83">
        <f>COUNTIFS('Match Log'!$D$4:$D$819,G$34,'Match Log'!$C$4:$C$819,$A36,'Match Log'!$E$4:$E$819,"Win")</f>
        <v>1</v>
      </c>
      <c r="H36" s="83">
        <f>COUNTIFS('Match Log'!$D$4:$D$819,H$34,'Match Log'!$C$4:$C$819,$A36,'Match Log'!$E$4:$E$819,"Win")</f>
        <v>0</v>
      </c>
      <c r="I36" s="83">
        <f>COUNTIFS('Match Log'!$D$4:$D$819,I$34,'Match Log'!$C$4:$C$819,$A36,'Match Log'!$E$4:$E$819,"Win")</f>
        <v>2</v>
      </c>
      <c r="J36" s="83">
        <f>COUNTIFS('Match Log'!$D$4:$D$819,J$34,'Match Log'!$C$4:$C$819,$A36,'Match Log'!$E$4:$E$819,"Win")</f>
        <v>0</v>
      </c>
      <c r="K36" s="83">
        <f>COUNTIFS('Match Log'!$D$4:$D$819,K$34,'Match Log'!$C$4:$C$819,$A36,'Match Log'!$E$4:$E$819,"Win")</f>
        <v>0</v>
      </c>
      <c r="L36" s="83">
        <f>COUNTIFS('Match Log'!$D$4:$D$819,L$34,'Match Log'!$C$4:$C$819,$A36,'Match Log'!$E$4:$E$819,"Win")</f>
        <v>0</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9</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9</v>
      </c>
      <c r="H37" s="83">
        <f>COUNTIFS('Match Log'!$D$4:$D$819,H$34,'Match Log'!$C$4:$C$819,$A37,'Match Log'!$E$4:$E$819,"Win")</f>
        <v>0</v>
      </c>
      <c r="I37" s="83">
        <f>COUNTIFS('Match Log'!$D$4:$D$819,I$34,'Match Log'!$C$4:$C$819,$A37,'Match Log'!$E$4:$E$819,"Win")</f>
        <v>4</v>
      </c>
      <c r="J37" s="83">
        <f>COUNTIFS('Match Log'!$D$4:$D$819,J$34,'Match Log'!$C$4:$C$819,$A37,'Match Log'!$E$4:$E$819,"Win")</f>
        <v>0</v>
      </c>
      <c r="K37" s="83">
        <f>COUNTIFS('Match Log'!$D$4:$D$819,K$34,'Match Log'!$C$4:$C$819,$A37,'Match Log'!$E$4:$E$819,"Win")</f>
        <v>0</v>
      </c>
      <c r="L37" s="83">
        <f>COUNTIFS('Match Log'!$D$4:$D$819,L$34,'Match Log'!$C$4:$C$819,$A37,'Match Log'!$E$4:$E$819,"Win")</f>
        <v>1</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0</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0</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5</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1</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0</v>
      </c>
      <c r="H44" s="83">
        <f>COUNTIFS('Match Log'!$D$4:$D$819,H$34,'Match Log'!$C$4:$C$819,$A44,'Match Log'!$E$4:$E$819,"Win")</f>
        <v>0</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5</v>
      </c>
      <c r="H46" s="83">
        <f>COUNTIFS('Match Log'!$D$4:$D$819,H$34,'Match Log'!$C$4:$C$819,$A46,'Match Log'!$E$4:$E$819,"Win")</f>
        <v>0</v>
      </c>
      <c r="I46" s="83">
        <f>COUNTIFS('Match Log'!$D$4:$D$819,I$34,'Match Log'!$C$4:$C$819,$A46,'Match Log'!$E$4:$E$819,"Win")</f>
        <v>1</v>
      </c>
      <c r="J46" s="83">
        <f>COUNTIFS('Match Log'!$D$4:$D$819,J$34,'Match Log'!$C$4:$C$819,$A46,'Match Log'!$E$4:$E$819,"Win")</f>
        <v>4</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15</v>
      </c>
      <c r="H53" s="83">
        <f>COUNTIFS('Match Log'!$D$4:$D$819,H$34,'Match Log'!$C$4:$C$819,$A53,'Match Log'!$E$4:$E$819,"Win")</f>
        <v>0</v>
      </c>
      <c r="I53" s="83">
        <f>COUNTIFS('Match Log'!$D$4:$D$819,I$34,'Match Log'!$C$4:$C$819,$A53,'Match Log'!$E$4:$E$819,"Win")</f>
        <v>7</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0</v>
      </c>
      <c r="E54" s="83">
        <f>COUNTIFS('Match Log'!$D$4:$D$819,E$34,'Match Log'!$C$4:$C$819,$A54,'Match Log'!$E$4:$E$819,"Win")</f>
        <v>0</v>
      </c>
      <c r="F54" s="83">
        <f>COUNTIFS('Match Log'!$D$4:$D$819,F$34,'Match Log'!$C$4:$C$819,$A54,'Match Log'!$E$4:$E$819,"Win")</f>
        <v>0</v>
      </c>
      <c r="G54" s="83">
        <f>COUNTIFS('Match Log'!$D$4:$D$819,G$34,'Match Log'!$C$4:$C$819,$A54,'Match Log'!$E$4:$E$819,"Win")</f>
        <v>0</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0</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0</v>
      </c>
      <c r="H57" s="83">
        <f>COUNTIFS('Match Log'!$D$4:$D$810,H$34,'Match Log'!$C$4:$C$810,$A57,'Match Log'!$E$4:$E$810,"Win")</f>
        <v>0</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0</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456</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5" t="s">
        <v>310</v>
      </c>
      <c r="B60" s="141"/>
      <c r="C60" s="141"/>
      <c r="D60" s="141"/>
      <c r="E60" s="141"/>
      <c r="F60" s="141"/>
      <c r="G60" s="141"/>
      <c r="H60" s="141"/>
      <c r="I60" s="141"/>
      <c r="J60" s="141"/>
      <c r="K60" s="141"/>
      <c r="L60" s="141"/>
      <c r="M60" s="141"/>
      <c r="N60" s="141"/>
      <c r="O60" s="141"/>
      <c r="P60" s="141"/>
      <c r="Q60" s="141"/>
    </row>
    <row r="61" spans="1:17" ht="91.5" customHeight="1" x14ac:dyDescent="0.2">
      <c r="A61" s="80" t="s">
        <v>241</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0">IF(B8=0,"",B35/B8)</f>
        <v/>
      </c>
      <c r="C62" s="86" t="str">
        <f t="shared" si="0"/>
        <v/>
      </c>
      <c r="D62" s="86">
        <f t="shared" si="0"/>
        <v>1</v>
      </c>
      <c r="E62" s="86" t="str">
        <f t="shared" si="0"/>
        <v/>
      </c>
      <c r="F62" s="86" t="str">
        <f t="shared" si="0"/>
        <v/>
      </c>
      <c r="G62" s="86">
        <f t="shared" si="0"/>
        <v>1</v>
      </c>
      <c r="H62" s="86">
        <f t="shared" si="0"/>
        <v>0</v>
      </c>
      <c r="I62" s="86">
        <f t="shared" si="0"/>
        <v>0</v>
      </c>
      <c r="J62" s="86" t="str">
        <f t="shared" si="0"/>
        <v/>
      </c>
      <c r="K62" s="86" t="str">
        <f t="shared" si="0"/>
        <v/>
      </c>
      <c r="L62" s="86" t="str">
        <f t="shared" si="0"/>
        <v/>
      </c>
      <c r="M62" s="86" t="str">
        <f t="shared" si="0"/>
        <v/>
      </c>
      <c r="N62" s="86" t="str">
        <f t="shared" si="0"/>
        <v/>
      </c>
      <c r="O62" s="86" t="str">
        <f t="shared" si="0"/>
        <v/>
      </c>
    </row>
    <row r="63" spans="1:17" ht="15" customHeight="1" x14ac:dyDescent="0.2">
      <c r="A63" s="82" t="s">
        <v>34</v>
      </c>
      <c r="B63" s="86">
        <f t="shared" ref="B63:O63" si="1">IF(B9=0,"",B36/B9)</f>
        <v>0.5</v>
      </c>
      <c r="C63" s="86" t="str">
        <f t="shared" si="1"/>
        <v/>
      </c>
      <c r="D63" s="86" t="str">
        <f t="shared" si="1"/>
        <v/>
      </c>
      <c r="E63" s="86" t="str">
        <f t="shared" si="1"/>
        <v/>
      </c>
      <c r="F63" s="86" t="str">
        <f t="shared" si="1"/>
        <v/>
      </c>
      <c r="G63" s="86">
        <f t="shared" si="1"/>
        <v>0.5</v>
      </c>
      <c r="H63" s="86" t="str">
        <f t="shared" si="1"/>
        <v/>
      </c>
      <c r="I63" s="86">
        <f t="shared" si="1"/>
        <v>0.66666666666666663</v>
      </c>
      <c r="J63" s="86" t="str">
        <f t="shared" si="1"/>
        <v/>
      </c>
      <c r="K63" s="86" t="str">
        <f t="shared" si="1"/>
        <v/>
      </c>
      <c r="L63" s="86" t="str">
        <f t="shared" si="1"/>
        <v/>
      </c>
      <c r="M63" s="86">
        <f t="shared" si="1"/>
        <v>0.33333333333333331</v>
      </c>
      <c r="N63" s="86">
        <f t="shared" si="1"/>
        <v>0.25</v>
      </c>
      <c r="O63" s="86" t="str">
        <f t="shared" si="1"/>
        <v/>
      </c>
    </row>
    <row r="64" spans="1:17" ht="15" customHeight="1" x14ac:dyDescent="0.2">
      <c r="A64" s="82" t="s">
        <v>35</v>
      </c>
      <c r="B64" s="86">
        <f t="shared" ref="B64:O64" si="2">IF(B10=0,"",B37/B10)</f>
        <v>0.75</v>
      </c>
      <c r="C64" s="86" t="str">
        <f t="shared" si="2"/>
        <v/>
      </c>
      <c r="D64" s="86">
        <f t="shared" si="2"/>
        <v>0</v>
      </c>
      <c r="E64" s="86" t="str">
        <f t="shared" si="2"/>
        <v/>
      </c>
      <c r="F64" s="86">
        <f t="shared" si="2"/>
        <v>0</v>
      </c>
      <c r="G64" s="86">
        <f t="shared" si="2"/>
        <v>0.45</v>
      </c>
      <c r="H64" s="86" t="str">
        <f t="shared" si="2"/>
        <v/>
      </c>
      <c r="I64" s="86">
        <f t="shared" si="2"/>
        <v>0.44444444444444442</v>
      </c>
      <c r="J64" s="86" t="str">
        <f t="shared" si="2"/>
        <v/>
      </c>
      <c r="K64" s="86" t="str">
        <f t="shared" si="2"/>
        <v/>
      </c>
      <c r="L64" s="86">
        <f t="shared" si="2"/>
        <v>0.33333333333333331</v>
      </c>
      <c r="M64" s="86" t="str">
        <f t="shared" si="2"/>
        <v/>
      </c>
      <c r="N64" s="86" t="str">
        <f t="shared" si="2"/>
        <v/>
      </c>
      <c r="O64" s="86" t="str">
        <f t="shared" si="2"/>
        <v/>
      </c>
    </row>
    <row r="65" spans="1:15" ht="15" customHeight="1" x14ac:dyDescent="0.2">
      <c r="A65" s="82" t="s">
        <v>36</v>
      </c>
      <c r="B65" s="86" t="str">
        <f t="shared" ref="B65:O65" si="3">IF(B11=0,"",B38/B11)</f>
        <v/>
      </c>
      <c r="C65" s="86" t="str">
        <f t="shared" si="3"/>
        <v/>
      </c>
      <c r="D65" s="86" t="str">
        <f t="shared" si="3"/>
        <v/>
      </c>
      <c r="E65" s="86" t="str">
        <f t="shared" si="3"/>
        <v/>
      </c>
      <c r="F65" s="86" t="str">
        <f t="shared" si="3"/>
        <v/>
      </c>
      <c r="G65" s="86" t="str">
        <f t="shared" si="3"/>
        <v/>
      </c>
      <c r="H65" s="86" t="str">
        <f t="shared" si="3"/>
        <v/>
      </c>
      <c r="I65" s="86" t="str">
        <f t="shared" si="3"/>
        <v/>
      </c>
      <c r="J65" s="86" t="str">
        <f t="shared" si="3"/>
        <v/>
      </c>
      <c r="K65" s="86" t="str">
        <f t="shared" si="3"/>
        <v/>
      </c>
      <c r="L65" s="86" t="str">
        <f t="shared" si="3"/>
        <v/>
      </c>
      <c r="M65" s="86" t="str">
        <f t="shared" si="3"/>
        <v/>
      </c>
      <c r="N65" s="86" t="str">
        <f t="shared" si="3"/>
        <v/>
      </c>
      <c r="O65" s="86" t="str">
        <f t="shared" si="3"/>
        <v/>
      </c>
    </row>
    <row r="66" spans="1:15" ht="15" customHeight="1" x14ac:dyDescent="0.2">
      <c r="A66" s="82" t="s">
        <v>37</v>
      </c>
      <c r="B66" s="86" t="str">
        <f t="shared" ref="B66:O66" si="4">IF(B12=0,"",B39/B12)</f>
        <v/>
      </c>
      <c r="C66" s="86">
        <f t="shared" si="4"/>
        <v>0</v>
      </c>
      <c r="D66" s="86" t="str">
        <f t="shared" si="4"/>
        <v/>
      </c>
      <c r="E66" s="86" t="str">
        <f t="shared" si="4"/>
        <v/>
      </c>
      <c r="F66" s="86">
        <f t="shared" si="4"/>
        <v>0</v>
      </c>
      <c r="G66" s="86">
        <f t="shared" si="4"/>
        <v>1</v>
      </c>
      <c r="H66" s="86">
        <f t="shared" si="4"/>
        <v>1</v>
      </c>
      <c r="I66" s="86">
        <f t="shared" si="4"/>
        <v>0.5</v>
      </c>
      <c r="J66" s="86">
        <f t="shared" si="4"/>
        <v>0.55555555555555558</v>
      </c>
      <c r="K66" s="86">
        <f t="shared" si="4"/>
        <v>0</v>
      </c>
      <c r="L66" s="86">
        <f t="shared" si="4"/>
        <v>0.5</v>
      </c>
      <c r="M66" s="86">
        <f t="shared" si="4"/>
        <v>0.5</v>
      </c>
      <c r="N66" s="86">
        <f t="shared" si="4"/>
        <v>0.75</v>
      </c>
      <c r="O66" s="86" t="str">
        <f t="shared" si="4"/>
        <v/>
      </c>
    </row>
    <row r="67" spans="1:15" ht="15" customHeight="1" x14ac:dyDescent="0.2">
      <c r="A67" s="82" t="s">
        <v>38</v>
      </c>
      <c r="B67" s="86">
        <f t="shared" ref="B67:O67" si="5">IF(B13=0,"",B40/B13)</f>
        <v>1</v>
      </c>
      <c r="C67" s="86" t="str">
        <f t="shared" si="5"/>
        <v/>
      </c>
      <c r="D67" s="86">
        <f t="shared" si="5"/>
        <v>0</v>
      </c>
      <c r="E67" s="86">
        <f t="shared" si="5"/>
        <v>0</v>
      </c>
      <c r="F67" s="86">
        <f t="shared" si="5"/>
        <v>0</v>
      </c>
      <c r="G67" s="86">
        <f t="shared" si="5"/>
        <v>0</v>
      </c>
      <c r="H67" s="86">
        <f t="shared" si="5"/>
        <v>0</v>
      </c>
      <c r="I67" s="86">
        <f t="shared" si="5"/>
        <v>0</v>
      </c>
      <c r="J67" s="86" t="str">
        <f t="shared" si="5"/>
        <v/>
      </c>
      <c r="K67" s="86" t="str">
        <f t="shared" si="5"/>
        <v/>
      </c>
      <c r="L67" s="86">
        <f t="shared" si="5"/>
        <v>0</v>
      </c>
      <c r="M67" s="86" t="str">
        <f t="shared" si="5"/>
        <v/>
      </c>
      <c r="N67" s="86" t="str">
        <f t="shared" si="5"/>
        <v/>
      </c>
      <c r="O67" s="86" t="str">
        <f t="shared" si="5"/>
        <v/>
      </c>
    </row>
    <row r="68" spans="1:15" ht="15" customHeight="1" x14ac:dyDescent="0.2">
      <c r="A68" s="82" t="s">
        <v>39</v>
      </c>
      <c r="B68" s="86" t="str">
        <f t="shared" ref="B68:O68" si="6">IF(B14=0,"",B41/B14)</f>
        <v/>
      </c>
      <c r="C68" s="86" t="str">
        <f t="shared" si="6"/>
        <v/>
      </c>
      <c r="D68" s="86" t="str">
        <f t="shared" si="6"/>
        <v/>
      </c>
      <c r="E68" s="86" t="str">
        <f t="shared" si="6"/>
        <v/>
      </c>
      <c r="F68" s="86" t="str">
        <f t="shared" si="6"/>
        <v/>
      </c>
      <c r="G68" s="86" t="str">
        <f t="shared" si="6"/>
        <v/>
      </c>
      <c r="H68" s="86" t="str">
        <f t="shared" si="6"/>
        <v/>
      </c>
      <c r="I68" s="86" t="str">
        <f t="shared" si="6"/>
        <v/>
      </c>
      <c r="J68" s="86" t="str">
        <f t="shared" si="6"/>
        <v/>
      </c>
      <c r="K68" s="86" t="str">
        <f t="shared" si="6"/>
        <v/>
      </c>
      <c r="L68" s="86" t="str">
        <f t="shared" si="6"/>
        <v/>
      </c>
      <c r="M68" s="86" t="str">
        <f t="shared" si="6"/>
        <v/>
      </c>
      <c r="N68" s="86" t="str">
        <f t="shared" si="6"/>
        <v/>
      </c>
      <c r="O68" s="86" t="str">
        <f t="shared" si="6"/>
        <v/>
      </c>
    </row>
    <row r="69" spans="1:15" ht="15" customHeight="1" x14ac:dyDescent="0.2">
      <c r="A69" s="82" t="s">
        <v>40</v>
      </c>
      <c r="B69" s="86" t="str">
        <f t="shared" ref="B69:O69" si="7">IF(B15=0,"",B42/B15)</f>
        <v/>
      </c>
      <c r="C69" s="86" t="str">
        <f t="shared" si="7"/>
        <v/>
      </c>
      <c r="D69" s="86" t="str">
        <f t="shared" si="7"/>
        <v/>
      </c>
      <c r="E69" s="86" t="str">
        <f t="shared" si="7"/>
        <v/>
      </c>
      <c r="F69" s="86" t="str">
        <f t="shared" si="7"/>
        <v/>
      </c>
      <c r="G69" s="86" t="str">
        <f t="shared" si="7"/>
        <v/>
      </c>
      <c r="H69" s="86" t="str">
        <f t="shared" si="7"/>
        <v/>
      </c>
      <c r="I69" s="86" t="str">
        <f t="shared" si="7"/>
        <v/>
      </c>
      <c r="J69" s="86" t="str">
        <f t="shared" si="7"/>
        <v/>
      </c>
      <c r="K69" s="86" t="str">
        <f t="shared" si="7"/>
        <v/>
      </c>
      <c r="L69" s="86" t="str">
        <f t="shared" si="7"/>
        <v/>
      </c>
      <c r="M69" s="86" t="str">
        <f t="shared" si="7"/>
        <v/>
      </c>
      <c r="N69" s="86" t="str">
        <f t="shared" si="7"/>
        <v/>
      </c>
      <c r="O69" s="86" t="str">
        <f t="shared" si="7"/>
        <v/>
      </c>
    </row>
    <row r="70" spans="1:15" ht="15" customHeight="1" x14ac:dyDescent="0.2">
      <c r="A70" s="82" t="s">
        <v>41</v>
      </c>
      <c r="B70" s="86">
        <f t="shared" ref="B70:O70" si="8">IF(B16=0,"",B43/B16)</f>
        <v>0</v>
      </c>
      <c r="C70" s="86" t="str">
        <f t="shared" si="8"/>
        <v/>
      </c>
      <c r="D70" s="86" t="str">
        <f t="shared" si="8"/>
        <v/>
      </c>
      <c r="E70" s="86">
        <f t="shared" si="8"/>
        <v>0</v>
      </c>
      <c r="F70" s="86">
        <f t="shared" si="8"/>
        <v>1</v>
      </c>
      <c r="G70" s="86">
        <f t="shared" si="8"/>
        <v>0.5</v>
      </c>
      <c r="H70" s="86" t="str">
        <f t="shared" si="8"/>
        <v/>
      </c>
      <c r="I70" s="86">
        <f t="shared" si="8"/>
        <v>0</v>
      </c>
      <c r="J70" s="86" t="str">
        <f t="shared" si="8"/>
        <v/>
      </c>
      <c r="K70" s="86" t="str">
        <f t="shared" si="8"/>
        <v/>
      </c>
      <c r="L70" s="86">
        <f t="shared" si="8"/>
        <v>0</v>
      </c>
      <c r="M70" s="86" t="str">
        <f t="shared" si="8"/>
        <v/>
      </c>
      <c r="N70" s="86" t="str">
        <f t="shared" si="8"/>
        <v/>
      </c>
      <c r="O70" s="86" t="str">
        <f t="shared" si="8"/>
        <v/>
      </c>
    </row>
    <row r="71" spans="1:15" ht="15" customHeight="1" x14ac:dyDescent="0.2">
      <c r="A71" s="82" t="s">
        <v>42</v>
      </c>
      <c r="B71" s="86" t="str">
        <f t="shared" ref="B71:O71" si="9">IF(B17=0,"",B44/B17)</f>
        <v/>
      </c>
      <c r="C71" s="86" t="str">
        <f t="shared" si="9"/>
        <v/>
      </c>
      <c r="D71" s="86" t="str">
        <f t="shared" si="9"/>
        <v/>
      </c>
      <c r="E71" s="86" t="str">
        <f t="shared" si="9"/>
        <v/>
      </c>
      <c r="F71" s="86" t="str">
        <f t="shared" si="9"/>
        <v/>
      </c>
      <c r="G71" s="86" t="str">
        <f t="shared" si="9"/>
        <v/>
      </c>
      <c r="H71" s="86" t="str">
        <f t="shared" si="9"/>
        <v/>
      </c>
      <c r="I71" s="86" t="str">
        <f t="shared" si="9"/>
        <v/>
      </c>
      <c r="J71" s="86" t="str">
        <f t="shared" si="9"/>
        <v/>
      </c>
      <c r="K71" s="86" t="str">
        <f t="shared" si="9"/>
        <v/>
      </c>
      <c r="L71" s="86" t="str">
        <f t="shared" si="9"/>
        <v/>
      </c>
      <c r="M71" s="86" t="str">
        <f t="shared" si="9"/>
        <v/>
      </c>
      <c r="N71" s="86" t="str">
        <f t="shared" si="9"/>
        <v/>
      </c>
      <c r="O71" s="86" t="str">
        <f t="shared" si="9"/>
        <v/>
      </c>
    </row>
    <row r="72" spans="1:15" ht="15" customHeight="1" x14ac:dyDescent="0.2">
      <c r="A72" s="82" t="s">
        <v>43</v>
      </c>
      <c r="B72" s="86" t="str">
        <f t="shared" ref="B72:O72" si="10">IF(B18=0,"",B45/B18)</f>
        <v/>
      </c>
      <c r="C72" s="86" t="str">
        <f t="shared" si="10"/>
        <v/>
      </c>
      <c r="D72" s="86" t="str">
        <f t="shared" si="10"/>
        <v/>
      </c>
      <c r="E72" s="86" t="str">
        <f t="shared" si="10"/>
        <v/>
      </c>
      <c r="F72" s="86" t="str">
        <f t="shared" si="10"/>
        <v/>
      </c>
      <c r="G72" s="86" t="str">
        <f t="shared" si="10"/>
        <v/>
      </c>
      <c r="H72" s="86" t="str">
        <f t="shared" si="10"/>
        <v/>
      </c>
      <c r="I72" s="86" t="str">
        <f t="shared" si="10"/>
        <v/>
      </c>
      <c r="J72" s="86" t="str">
        <f t="shared" si="10"/>
        <v/>
      </c>
      <c r="K72" s="86" t="str">
        <f t="shared" si="10"/>
        <v/>
      </c>
      <c r="L72" s="86" t="str">
        <f t="shared" si="10"/>
        <v/>
      </c>
      <c r="M72" s="86" t="str">
        <f t="shared" si="10"/>
        <v/>
      </c>
      <c r="N72" s="86" t="str">
        <f t="shared" si="10"/>
        <v/>
      </c>
      <c r="O72" s="86" t="str">
        <f t="shared" si="10"/>
        <v/>
      </c>
    </row>
    <row r="73" spans="1:15" ht="15" customHeight="1" x14ac:dyDescent="0.2">
      <c r="A73" s="82" t="s">
        <v>44</v>
      </c>
      <c r="B73" s="86">
        <f t="shared" ref="B73:O73" si="11">IF(B19=0,"",B46/B19)</f>
        <v>0.5</v>
      </c>
      <c r="C73" s="86">
        <f t="shared" si="11"/>
        <v>0</v>
      </c>
      <c r="D73" s="86" t="str">
        <f t="shared" si="11"/>
        <v/>
      </c>
      <c r="E73" s="86">
        <f t="shared" si="11"/>
        <v>0.16666666666666666</v>
      </c>
      <c r="F73" s="86">
        <f t="shared" si="11"/>
        <v>0.8666666666666667</v>
      </c>
      <c r="G73" s="86">
        <f t="shared" si="11"/>
        <v>1</v>
      </c>
      <c r="H73" s="86">
        <f t="shared" si="11"/>
        <v>0</v>
      </c>
      <c r="I73" s="86">
        <f t="shared" si="11"/>
        <v>0.14285714285714285</v>
      </c>
      <c r="J73" s="86">
        <f t="shared" si="11"/>
        <v>0.8</v>
      </c>
      <c r="K73" s="86">
        <f t="shared" si="11"/>
        <v>0</v>
      </c>
      <c r="L73" s="86">
        <f t="shared" si="11"/>
        <v>0.46153846153846156</v>
      </c>
      <c r="M73" s="86" t="str">
        <f t="shared" si="11"/>
        <v/>
      </c>
      <c r="N73" s="86" t="str">
        <f t="shared" si="11"/>
        <v/>
      </c>
      <c r="O73" s="86" t="str">
        <f t="shared" si="11"/>
        <v/>
      </c>
    </row>
    <row r="74" spans="1:15" ht="15" customHeight="1" x14ac:dyDescent="0.2">
      <c r="A74" s="82" t="s">
        <v>9</v>
      </c>
      <c r="B74" s="86">
        <f t="shared" ref="B74:O74" si="12">IF(B20=0,"",B47/B20)</f>
        <v>0.42857142857142855</v>
      </c>
      <c r="C74" s="86" t="str">
        <f t="shared" si="12"/>
        <v/>
      </c>
      <c r="D74" s="86" t="str">
        <f t="shared" si="12"/>
        <v/>
      </c>
      <c r="E74" s="86" t="str">
        <f t="shared" si="12"/>
        <v/>
      </c>
      <c r="F74" s="86">
        <f t="shared" si="12"/>
        <v>0</v>
      </c>
      <c r="G74" s="86">
        <f t="shared" si="12"/>
        <v>0.38461538461538464</v>
      </c>
      <c r="H74" s="86" t="str">
        <f t="shared" si="12"/>
        <v/>
      </c>
      <c r="I74" s="86">
        <f t="shared" si="12"/>
        <v>0.83333333333333337</v>
      </c>
      <c r="J74" s="86" t="str">
        <f t="shared" si="12"/>
        <v/>
      </c>
      <c r="K74" s="86" t="str">
        <f t="shared" si="12"/>
        <v/>
      </c>
      <c r="L74" s="86">
        <f t="shared" si="12"/>
        <v>0.33333333333333331</v>
      </c>
      <c r="M74" s="86" t="str">
        <f t="shared" si="12"/>
        <v/>
      </c>
      <c r="N74" s="86" t="str">
        <f t="shared" si="12"/>
        <v/>
      </c>
      <c r="O74" s="86" t="str">
        <f t="shared" si="12"/>
        <v/>
      </c>
    </row>
    <row r="75" spans="1:15" ht="15" customHeight="1" x14ac:dyDescent="0.2">
      <c r="A75" s="82" t="s">
        <v>45</v>
      </c>
      <c r="B75" s="86">
        <f t="shared" ref="B75:O75" si="13">IF(B21=0,"",B48/B21)</f>
        <v>1</v>
      </c>
      <c r="C75" s="86" t="str">
        <f t="shared" si="13"/>
        <v/>
      </c>
      <c r="D75" s="86">
        <f t="shared" si="13"/>
        <v>1</v>
      </c>
      <c r="E75" s="86" t="str">
        <f t="shared" si="13"/>
        <v/>
      </c>
      <c r="F75" s="86">
        <f t="shared" si="13"/>
        <v>0.8</v>
      </c>
      <c r="G75" s="86">
        <f t="shared" si="13"/>
        <v>0</v>
      </c>
      <c r="H75" s="86">
        <f t="shared" si="13"/>
        <v>0</v>
      </c>
      <c r="I75" s="86">
        <f t="shared" si="13"/>
        <v>0.6</v>
      </c>
      <c r="J75" s="86" t="str">
        <f t="shared" si="13"/>
        <v/>
      </c>
      <c r="K75" s="86" t="str">
        <f t="shared" si="13"/>
        <v/>
      </c>
      <c r="L75" s="86">
        <f t="shared" si="13"/>
        <v>0.72727272727272729</v>
      </c>
      <c r="M75" s="86" t="str">
        <f t="shared" si="13"/>
        <v/>
      </c>
      <c r="N75" s="86" t="str">
        <f t="shared" si="13"/>
        <v/>
      </c>
      <c r="O75" s="86" t="str">
        <f t="shared" si="13"/>
        <v/>
      </c>
    </row>
    <row r="76" spans="1:15" ht="15" customHeight="1" x14ac:dyDescent="0.2">
      <c r="A76" s="82" t="s">
        <v>46</v>
      </c>
      <c r="B76" s="86" t="str">
        <f t="shared" ref="B76:O76" si="14">IF(B22=0,"",B49/B22)</f>
        <v/>
      </c>
      <c r="C76" s="86" t="str">
        <f t="shared" si="14"/>
        <v/>
      </c>
      <c r="D76" s="86" t="str">
        <f t="shared" si="14"/>
        <v/>
      </c>
      <c r="E76" s="86" t="str">
        <f t="shared" si="14"/>
        <v/>
      </c>
      <c r="F76" s="86" t="str">
        <f t="shared" si="14"/>
        <v/>
      </c>
      <c r="G76" s="86" t="str">
        <f t="shared" si="14"/>
        <v/>
      </c>
      <c r="H76" s="86" t="str">
        <f t="shared" si="14"/>
        <v/>
      </c>
      <c r="I76" s="86" t="str">
        <f t="shared" si="14"/>
        <v/>
      </c>
      <c r="J76" s="86" t="str">
        <f t="shared" si="14"/>
        <v/>
      </c>
      <c r="K76" s="86" t="str">
        <f t="shared" si="14"/>
        <v/>
      </c>
      <c r="L76" s="86" t="str">
        <f t="shared" si="14"/>
        <v/>
      </c>
      <c r="M76" s="86" t="str">
        <f t="shared" si="14"/>
        <v/>
      </c>
      <c r="N76" s="86" t="str">
        <f t="shared" si="14"/>
        <v/>
      </c>
      <c r="O76" s="86" t="str">
        <f t="shared" si="14"/>
        <v/>
      </c>
    </row>
    <row r="77" spans="1:15" ht="15" customHeight="1" x14ac:dyDescent="0.2">
      <c r="A77" s="82" t="s">
        <v>47</v>
      </c>
      <c r="B77" s="86">
        <f t="shared" ref="B77:O77" si="15">IF(B23=0,"",B50/B23)</f>
        <v>0.33333333333333331</v>
      </c>
      <c r="C77" s="86" t="str">
        <f t="shared" si="15"/>
        <v/>
      </c>
      <c r="D77" s="86">
        <f t="shared" si="15"/>
        <v>0</v>
      </c>
      <c r="E77" s="86" t="str">
        <f t="shared" si="15"/>
        <v/>
      </c>
      <c r="F77" s="86" t="str">
        <f t="shared" si="15"/>
        <v/>
      </c>
      <c r="G77" s="86" t="str">
        <f t="shared" si="15"/>
        <v/>
      </c>
      <c r="H77" s="86" t="str">
        <f t="shared" si="15"/>
        <v/>
      </c>
      <c r="I77" s="86">
        <f t="shared" si="15"/>
        <v>0.77777777777777779</v>
      </c>
      <c r="J77" s="86" t="str">
        <f t="shared" si="15"/>
        <v/>
      </c>
      <c r="K77" s="86" t="str">
        <f t="shared" si="15"/>
        <v/>
      </c>
      <c r="L77" s="86" t="str">
        <f t="shared" si="15"/>
        <v/>
      </c>
      <c r="M77" s="86" t="str">
        <f t="shared" si="15"/>
        <v/>
      </c>
      <c r="N77" s="86" t="str">
        <f t="shared" si="15"/>
        <v/>
      </c>
      <c r="O77" s="86" t="str">
        <f t="shared" si="15"/>
        <v/>
      </c>
    </row>
    <row r="78" spans="1:15" ht="15" customHeight="1" x14ac:dyDescent="0.2">
      <c r="A78" s="82" t="s">
        <v>48</v>
      </c>
      <c r="B78" s="86">
        <f t="shared" ref="B78:O78" si="16">IF(B24=0,"",B51/B24)</f>
        <v>0</v>
      </c>
      <c r="C78" s="86" t="str">
        <f t="shared" si="16"/>
        <v/>
      </c>
      <c r="D78" s="86">
        <f t="shared" si="16"/>
        <v>0</v>
      </c>
      <c r="E78" s="86" t="str">
        <f t="shared" si="16"/>
        <v/>
      </c>
      <c r="F78" s="86">
        <f t="shared" si="16"/>
        <v>1</v>
      </c>
      <c r="G78" s="86">
        <f t="shared" si="16"/>
        <v>0</v>
      </c>
      <c r="H78" s="86">
        <f t="shared" si="16"/>
        <v>0</v>
      </c>
      <c r="I78" s="86">
        <f t="shared" si="16"/>
        <v>0</v>
      </c>
      <c r="J78" s="86" t="str">
        <f t="shared" si="16"/>
        <v/>
      </c>
      <c r="K78" s="86" t="str">
        <f t="shared" si="16"/>
        <v/>
      </c>
      <c r="L78" s="86" t="str">
        <f t="shared" si="16"/>
        <v/>
      </c>
      <c r="M78" s="86" t="str">
        <f t="shared" si="16"/>
        <v/>
      </c>
      <c r="N78" s="86" t="str">
        <f t="shared" si="16"/>
        <v/>
      </c>
      <c r="O78" s="86" t="str">
        <f t="shared" si="16"/>
        <v/>
      </c>
    </row>
    <row r="79" spans="1:15" ht="15" customHeight="1" x14ac:dyDescent="0.2">
      <c r="A79" s="82" t="s">
        <v>49</v>
      </c>
      <c r="B79" s="86">
        <f t="shared" ref="B79:O79" si="17">IF(B25=0,"",B52/B25)</f>
        <v>0.2857142857142857</v>
      </c>
      <c r="C79" s="86">
        <f t="shared" si="17"/>
        <v>0.625</v>
      </c>
      <c r="D79" s="86">
        <f t="shared" si="17"/>
        <v>1</v>
      </c>
      <c r="E79" s="86">
        <f t="shared" si="17"/>
        <v>0.42857142857142855</v>
      </c>
      <c r="F79" s="86">
        <f t="shared" si="17"/>
        <v>0.375</v>
      </c>
      <c r="G79" s="86">
        <f t="shared" si="17"/>
        <v>0.44444444444444442</v>
      </c>
      <c r="H79" s="86">
        <f t="shared" si="17"/>
        <v>0.72727272727272729</v>
      </c>
      <c r="I79" s="86">
        <f t="shared" si="17"/>
        <v>0.55555555555555558</v>
      </c>
      <c r="J79" s="86">
        <f t="shared" si="17"/>
        <v>0.7</v>
      </c>
      <c r="K79" s="86">
        <f t="shared" si="17"/>
        <v>0.2857142857142857</v>
      </c>
      <c r="L79" s="86">
        <f t="shared" si="17"/>
        <v>0.41666666666666669</v>
      </c>
      <c r="M79" s="86">
        <f t="shared" si="17"/>
        <v>0.4</v>
      </c>
      <c r="N79" s="86">
        <f t="shared" si="17"/>
        <v>0.5</v>
      </c>
      <c r="O79" s="86" t="str">
        <f t="shared" si="17"/>
        <v/>
      </c>
    </row>
    <row r="80" spans="1:15" ht="15" customHeight="1" x14ac:dyDescent="0.2">
      <c r="A80" s="82" t="s">
        <v>50</v>
      </c>
      <c r="B80" s="86">
        <f t="shared" ref="B80:O80" si="18">IF(B26=0,"",B53/B26)</f>
        <v>0.33333333333333331</v>
      </c>
      <c r="C80" s="86" t="str">
        <f t="shared" si="18"/>
        <v/>
      </c>
      <c r="D80" s="86">
        <f t="shared" si="18"/>
        <v>0.5</v>
      </c>
      <c r="E80" s="86" t="str">
        <f t="shared" si="18"/>
        <v/>
      </c>
      <c r="F80" s="86">
        <f t="shared" si="18"/>
        <v>0.5</v>
      </c>
      <c r="G80" s="86">
        <f t="shared" si="18"/>
        <v>0.6</v>
      </c>
      <c r="H80" s="86">
        <f t="shared" si="18"/>
        <v>0</v>
      </c>
      <c r="I80" s="86">
        <f t="shared" si="18"/>
        <v>0.41176470588235292</v>
      </c>
      <c r="J80" s="86" t="str">
        <f t="shared" si="18"/>
        <v/>
      </c>
      <c r="K80" s="86" t="str">
        <f t="shared" si="18"/>
        <v/>
      </c>
      <c r="L80" s="86">
        <f t="shared" si="18"/>
        <v>0.18181818181818182</v>
      </c>
      <c r="M80" s="86" t="str">
        <f t="shared" si="18"/>
        <v/>
      </c>
      <c r="N80" s="86" t="str">
        <f t="shared" si="18"/>
        <v/>
      </c>
      <c r="O80" s="86" t="str">
        <f t="shared" si="18"/>
        <v/>
      </c>
    </row>
    <row r="81" spans="1:19" x14ac:dyDescent="0.2">
      <c r="A81" s="82" t="s">
        <v>51</v>
      </c>
      <c r="B81" s="86" t="str">
        <f t="shared" ref="B81:O81" si="19">IF(B27=0,"",B54/B27)</f>
        <v/>
      </c>
      <c r="C81" s="86" t="str">
        <f t="shared" si="19"/>
        <v/>
      </c>
      <c r="D81" s="86" t="str">
        <f t="shared" si="19"/>
        <v/>
      </c>
      <c r="E81" s="86" t="str">
        <f t="shared" si="19"/>
        <v/>
      </c>
      <c r="F81" s="86" t="str">
        <f t="shared" si="19"/>
        <v/>
      </c>
      <c r="G81" s="86" t="str">
        <f t="shared" si="19"/>
        <v/>
      </c>
      <c r="H81" s="86" t="str">
        <f t="shared" si="19"/>
        <v/>
      </c>
      <c r="I81" s="86" t="str">
        <f t="shared" si="19"/>
        <v/>
      </c>
      <c r="J81" s="86" t="str">
        <f t="shared" si="19"/>
        <v/>
      </c>
      <c r="K81" s="86" t="str">
        <f t="shared" si="19"/>
        <v/>
      </c>
      <c r="L81" s="86" t="str">
        <f t="shared" si="19"/>
        <v/>
      </c>
      <c r="M81" s="86" t="str">
        <f t="shared" si="19"/>
        <v/>
      </c>
      <c r="N81" s="86" t="str">
        <f t="shared" si="19"/>
        <v/>
      </c>
      <c r="O81" s="86" t="str">
        <f t="shared" si="19"/>
        <v/>
      </c>
    </row>
    <row r="82" spans="1:19" x14ac:dyDescent="0.2">
      <c r="A82" s="82" t="s">
        <v>52</v>
      </c>
      <c r="B82" s="86" t="str">
        <f t="shared" ref="B82:O82" si="20">IF(B28=0,"",B55/B28)</f>
        <v/>
      </c>
      <c r="C82" s="86" t="str">
        <f t="shared" si="20"/>
        <v/>
      </c>
      <c r="D82" s="86" t="str">
        <f t="shared" si="20"/>
        <v/>
      </c>
      <c r="E82" s="86" t="str">
        <f t="shared" si="20"/>
        <v/>
      </c>
      <c r="F82" s="86">
        <f t="shared" si="20"/>
        <v>0.25</v>
      </c>
      <c r="G82" s="86">
        <f t="shared" si="20"/>
        <v>0.5</v>
      </c>
      <c r="H82" s="86" t="str">
        <f t="shared" si="20"/>
        <v/>
      </c>
      <c r="I82" s="86">
        <f t="shared" si="20"/>
        <v>0</v>
      </c>
      <c r="J82" s="86">
        <f t="shared" si="20"/>
        <v>1</v>
      </c>
      <c r="K82" s="86" t="str">
        <f t="shared" si="20"/>
        <v/>
      </c>
      <c r="L82" s="86" t="str">
        <f t="shared" si="20"/>
        <v/>
      </c>
      <c r="M82" s="86" t="str">
        <f t="shared" si="20"/>
        <v/>
      </c>
      <c r="N82" s="86" t="str">
        <f t="shared" si="20"/>
        <v/>
      </c>
      <c r="O82" s="86" t="str">
        <f t="shared" si="20"/>
        <v/>
      </c>
    </row>
    <row r="83" spans="1:19" x14ac:dyDescent="0.2">
      <c r="A83" s="82" t="s">
        <v>53</v>
      </c>
      <c r="B83" s="86" t="str">
        <f t="shared" ref="B83:O83" si="21">IF(B29=0,"",B56/B29)</f>
        <v/>
      </c>
      <c r="C83" s="86" t="str">
        <f t="shared" si="21"/>
        <v/>
      </c>
      <c r="D83" s="86" t="str">
        <f t="shared" si="21"/>
        <v/>
      </c>
      <c r="E83" s="86" t="str">
        <f t="shared" si="21"/>
        <v/>
      </c>
      <c r="F83" s="86">
        <f t="shared" si="21"/>
        <v>0.5</v>
      </c>
      <c r="G83" s="86">
        <f t="shared" si="21"/>
        <v>1</v>
      </c>
      <c r="H83" s="86" t="str">
        <f t="shared" si="21"/>
        <v/>
      </c>
      <c r="I83" s="86">
        <f t="shared" si="21"/>
        <v>0</v>
      </c>
      <c r="J83" s="86" t="str">
        <f t="shared" si="21"/>
        <v/>
      </c>
      <c r="K83" s="86" t="str">
        <f t="shared" si="21"/>
        <v/>
      </c>
      <c r="L83" s="86" t="str">
        <f t="shared" si="21"/>
        <v/>
      </c>
      <c r="M83" s="86" t="str">
        <f t="shared" si="21"/>
        <v/>
      </c>
      <c r="N83" s="86" t="str">
        <f t="shared" si="21"/>
        <v/>
      </c>
      <c r="O83" s="86" t="str">
        <f t="shared" si="21"/>
        <v/>
      </c>
    </row>
    <row r="84" spans="1:19" x14ac:dyDescent="0.2">
      <c r="A84" s="82" t="s">
        <v>54</v>
      </c>
      <c r="B84" s="86" t="str">
        <f t="shared" ref="B84:O84" si="22">IF(B30=0,"",B57/B30)</f>
        <v/>
      </c>
      <c r="C84" s="86" t="str">
        <f t="shared" si="22"/>
        <v/>
      </c>
      <c r="D84" s="86" t="str">
        <f t="shared" si="22"/>
        <v/>
      </c>
      <c r="E84" s="86" t="str">
        <f t="shared" si="22"/>
        <v/>
      </c>
      <c r="F84" s="86">
        <f t="shared" si="22"/>
        <v>0.6</v>
      </c>
      <c r="G84" s="86" t="str">
        <f t="shared" si="22"/>
        <v/>
      </c>
      <c r="H84" s="86" t="str">
        <f t="shared" si="22"/>
        <v/>
      </c>
      <c r="I84" s="86">
        <f t="shared" si="22"/>
        <v>0.375</v>
      </c>
      <c r="J84" s="86" t="str">
        <f t="shared" si="22"/>
        <v/>
      </c>
      <c r="K84" s="86" t="str">
        <f t="shared" si="22"/>
        <v/>
      </c>
      <c r="L84" s="86" t="str">
        <f t="shared" si="22"/>
        <v/>
      </c>
      <c r="M84" s="86">
        <f t="shared" si="22"/>
        <v>0.66666666666666663</v>
      </c>
      <c r="N84" s="86">
        <f t="shared" si="22"/>
        <v>0</v>
      </c>
      <c r="O84" s="86" t="str">
        <f t="shared" si="22"/>
        <v/>
      </c>
    </row>
    <row r="85" spans="1:19" x14ac:dyDescent="0.2">
      <c r="A85" s="82" t="s">
        <v>456</v>
      </c>
      <c r="B85" s="86" t="str">
        <f>IF(B31=0,"",B58/B31)</f>
        <v/>
      </c>
      <c r="C85" s="86" t="str">
        <f t="shared" ref="C85:O85" si="23">IF(C31=0,"",C58/C31)</f>
        <v/>
      </c>
      <c r="D85" s="86" t="str">
        <f t="shared" si="23"/>
        <v/>
      </c>
      <c r="E85" s="86" t="str">
        <f t="shared" si="23"/>
        <v/>
      </c>
      <c r="F85" s="86">
        <f t="shared" si="23"/>
        <v>0.66666666666666663</v>
      </c>
      <c r="G85" s="86" t="str">
        <f t="shared" si="23"/>
        <v/>
      </c>
      <c r="H85" s="86" t="str">
        <f t="shared" si="23"/>
        <v/>
      </c>
      <c r="I85" s="86">
        <f t="shared" si="23"/>
        <v>0.33333333333333331</v>
      </c>
      <c r="J85" s="86" t="str">
        <f t="shared" si="23"/>
        <v/>
      </c>
      <c r="K85" s="86" t="str">
        <f t="shared" si="23"/>
        <v/>
      </c>
      <c r="L85" s="86" t="str">
        <f t="shared" si="23"/>
        <v/>
      </c>
      <c r="M85" s="86" t="str">
        <f t="shared" si="23"/>
        <v/>
      </c>
      <c r="N85" s="86" t="str">
        <f t="shared" si="23"/>
        <v/>
      </c>
      <c r="O85" s="86" t="str">
        <f t="shared" si="23"/>
        <v/>
      </c>
    </row>
    <row r="86" spans="1:19" x14ac:dyDescent="0.2">
      <c r="A86" s="82" t="s">
        <v>55</v>
      </c>
      <c r="B86" s="86" t="str">
        <f>IF(B32=0,"",B59/B32)</f>
        <v/>
      </c>
      <c r="C86" s="86" t="str">
        <f>IF(C32=0,"",C59/C32)</f>
        <v/>
      </c>
      <c r="D86" s="86" t="str">
        <f>IF(D32=0,"",D59/D32)</f>
        <v/>
      </c>
      <c r="E86" s="86" t="str">
        <f>IF(E32=0,"",E59/E32)</f>
        <v/>
      </c>
      <c r="F86" s="86">
        <f>IF(F32=0,"",F59/F32)</f>
        <v>0.4</v>
      </c>
      <c r="G86" s="86">
        <f>IF(G32=0,"",G59/G32)</f>
        <v>0.33333333333333331</v>
      </c>
      <c r="H86" s="86" t="str">
        <f>IF(H32=0,"",H59/H32)</f>
        <v/>
      </c>
      <c r="I86" s="86">
        <f>IF(I32=0,"",I59/I32)</f>
        <v>1</v>
      </c>
      <c r="J86" s="86">
        <f>IF(J32=0,"",J59/J32)</f>
        <v>0</v>
      </c>
      <c r="K86" s="86" t="str">
        <f>IF(K32=0,"",K59/K32)</f>
        <v/>
      </c>
      <c r="L86" s="86" t="str">
        <f>IF(L32=0,"",L59/L32)</f>
        <v/>
      </c>
      <c r="M86" s="86" t="str">
        <f>IF(M32=0,"",M59/M32)</f>
        <v/>
      </c>
      <c r="N86" s="86" t="str">
        <f>IF(N32=0,"",N59/N32)</f>
        <v/>
      </c>
      <c r="O86" s="86" t="str">
        <f>IF(O32=0,"",O59/O32)</f>
        <v/>
      </c>
    </row>
    <row r="87" spans="1:19" ht="15" customHeight="1" x14ac:dyDescent="0.2">
      <c r="A87" s="155" t="s">
        <v>311</v>
      </c>
      <c r="B87" s="141"/>
      <c r="C87" s="141"/>
      <c r="D87" s="141"/>
      <c r="E87" s="141"/>
      <c r="F87" s="141"/>
      <c r="G87" s="141"/>
      <c r="H87" s="141"/>
      <c r="I87" s="141"/>
      <c r="J87" s="141"/>
      <c r="K87" s="141"/>
      <c r="L87" s="141"/>
      <c r="M87" s="141"/>
      <c r="N87" s="141"/>
      <c r="O87" s="141"/>
      <c r="P87" s="141"/>
      <c r="Q87" s="141"/>
    </row>
    <row r="88" spans="1:19" ht="15" customHeight="1" x14ac:dyDescent="0.2">
      <c r="A88" s="87" t="s">
        <v>312</v>
      </c>
      <c r="B88" s="80" t="s">
        <v>10</v>
      </c>
      <c r="C88" s="80" t="s">
        <v>283</v>
      </c>
      <c r="D88" s="80" t="s">
        <v>11</v>
      </c>
      <c r="E88" s="80" t="s">
        <v>12</v>
      </c>
      <c r="F88" s="80" t="s">
        <v>6</v>
      </c>
      <c r="G88" s="80" t="s">
        <v>165</v>
      </c>
    </row>
    <row r="89" spans="1:19" ht="15" customHeight="1" x14ac:dyDescent="0.2">
      <c r="A89" s="82" t="s">
        <v>23</v>
      </c>
      <c r="B89" s="83">
        <f>COUNTIF('Match Log'!$D$4:$D$819,$A89)</f>
        <v>29</v>
      </c>
      <c r="C89" s="83">
        <f>SUMPRODUCT(--(COUNTIFS('Match Log'!$D$4:$D$819,$A89,'Match Log'!$C$4:$C$819,Lists!$C$2:$C$26)&gt;0))</f>
        <v>5</v>
      </c>
      <c r="D89" s="83">
        <f>COUNTIFS('Match Log'!$D$4:$D$819,$A89,'Match Log'!$E$4:$E$819,"Win")</f>
        <v>20</v>
      </c>
      <c r="E89" s="86">
        <f t="shared" ref="E89:E102" si="24">IF($B89=0,"",$D89/$B89)</f>
        <v>0.68965517241379315</v>
      </c>
      <c r="F89" s="88">
        <f ca="1">IFERROR(INDEX(Calcs!$S$7:$S$20,MATCH($A89,Calcs!$A$7:$A$20,0)),"")</f>
        <v>1221.7029363250533</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Log'!$D$4:$D$819,$A90)</f>
        <v>60</v>
      </c>
      <c r="C90" s="83">
        <f>SUMPRODUCT(--(COUNTIFS('Match Log'!$D$4:$D$819,$A90,'Match Log'!$C$4:$C$819,Lists!$C$2:$C$26)&gt;0))</f>
        <v>15</v>
      </c>
      <c r="D90" s="83">
        <f>COUNTIFS('Match Log'!$D$4:$D$819,$A90,'Match Log'!$E$4:$E$819,"Win")</f>
        <v>35</v>
      </c>
      <c r="E90" s="86">
        <f t="shared" si="24"/>
        <v>0.58333333333333337</v>
      </c>
      <c r="F90" s="88">
        <f ca="1">IFERROR(INDEX(Calcs!$S$7:$S$20,MATCH($A90,Calcs!$A$7:$A$20,0)),"")</f>
        <v>1177.6612046633588</v>
      </c>
      <c r="G90" s="83" t="str">
        <f>IF($B90=0,"No games",IF(AND($B90&gt;='Guide &amp; Settings'!$C$45,$C90&gt;='Guide &amp; Settings'!$C$46),"Eligible","Provisional"))</f>
        <v>Eligible</v>
      </c>
      <c r="S90" s="89">
        <f ca="1">IF($G90="Eligible",IF(IFERROR(INDEX(Calcs!$T$7:$T$20,MATCH($A90,Calcs!$A$7:$A$20,0)),"")="Inactive",-1,$F90),-1)</f>
        <v>1177.6612046633588</v>
      </c>
    </row>
    <row r="91" spans="1:19" ht="15" customHeight="1" x14ac:dyDescent="0.2">
      <c r="A91" s="82" t="s">
        <v>21</v>
      </c>
      <c r="B91" s="83">
        <f>COUNTIF('Match Log'!$D$4:$D$819,$A91)</f>
        <v>21</v>
      </c>
      <c r="C91" s="83">
        <f>SUMPRODUCT(--(COUNTIFS('Match Log'!$D$4:$D$819,$A91,'Match Log'!$C$4:$C$819,Lists!$C$2:$C$26)&gt;0))</f>
        <v>8</v>
      </c>
      <c r="D91" s="83">
        <f>COUNTIFS('Match Log'!$D$4:$D$819,$A91,'Match Log'!$E$4:$E$819,"Win")</f>
        <v>10</v>
      </c>
      <c r="E91" s="86">
        <f t="shared" si="24"/>
        <v>0.47619047619047616</v>
      </c>
      <c r="F91" s="88">
        <f ca="1">IFERROR(INDEX(Calcs!$S$7:$S$20,MATCH($A91,Calcs!$A$7:$A$20,0)),"")</f>
        <v>1044.6893073123574</v>
      </c>
      <c r="G91" s="83" t="str">
        <f>IF($B91=0,"No games",IF(AND($B91&gt;='Guide &amp; Settings'!$C$45,$C91&gt;='Guide &amp; Settings'!$C$46),"Eligible","Provisional"))</f>
        <v>Eligible</v>
      </c>
      <c r="S91" s="89">
        <f ca="1">IF($G91="Eligible",IF(IFERROR(INDEX(Calcs!$T$7:$T$20,MATCH($A91,Calcs!$A$7:$A$20,0)),"")="Inactive",-1,$F91),-1)</f>
        <v>1044.6893073123574</v>
      </c>
    </row>
    <row r="92" spans="1:19" ht="15" customHeight="1" x14ac:dyDescent="0.2">
      <c r="A92" s="82" t="s">
        <v>25</v>
      </c>
      <c r="B92" s="83">
        <f>COUNTIF('Match Log'!$D$4:$D$819,$A92)</f>
        <v>59</v>
      </c>
      <c r="C92" s="83">
        <f>SUMPRODUCT(--(COUNTIFS('Match Log'!$D$4:$D$819,$A92,'Match Log'!$C$4:$C$819,Lists!$C$2:$C$26)&gt;0))</f>
        <v>9</v>
      </c>
      <c r="D92" s="83">
        <f>COUNTIFS('Match Log'!$D$4:$D$819,$A92,'Match Log'!$E$4:$E$819,"Win")</f>
        <v>25</v>
      </c>
      <c r="E92" s="86">
        <f t="shared" si="24"/>
        <v>0.42372881355932202</v>
      </c>
      <c r="F92" s="88">
        <f ca="1">IFERROR(INDEX(Calcs!$S$7:$S$20,MATCH($A92,Calcs!$A$7:$A$20,0)),"")</f>
        <v>1054.3366131438215</v>
      </c>
      <c r="G92" s="83" t="str">
        <f>IF($B92=0,"No games",IF(AND($B92&gt;='Guide &amp; Settings'!$C$45,$C92&gt;='Guide &amp; Settings'!$C$46),"Eligible","Provisional"))</f>
        <v>Eligible</v>
      </c>
      <c r="S92" s="89">
        <f ca="1">IF($G92="Eligible",IF(IFERROR(INDEX(Calcs!$T$7:$T$20,MATCH($A92,Calcs!$A$7:$A$20,0)),"")="Inactive",-1,$F92),-1)</f>
        <v>1054.3366131438215</v>
      </c>
    </row>
    <row r="93" spans="1:19" ht="15" customHeight="1" x14ac:dyDescent="0.2">
      <c r="A93" s="82" t="s">
        <v>22</v>
      </c>
      <c r="B93" s="83">
        <f>COUNTIF('Match Log'!$D$4:$D$819,$A93)</f>
        <v>95</v>
      </c>
      <c r="C93" s="83">
        <f>SUMPRODUCT(--(COUNTIFS('Match Log'!$D$4:$D$819,$A93,'Match Log'!$C$4:$C$819,Lists!$C$2:$C$26)&gt;0))</f>
        <v>18</v>
      </c>
      <c r="D93" s="83">
        <f>COUNTIFS('Match Log'!$D$4:$D$819,$A93,'Match Log'!$E$4:$E$819,"Win")</f>
        <v>43</v>
      </c>
      <c r="E93" s="86">
        <f t="shared" si="24"/>
        <v>0.45263157894736844</v>
      </c>
      <c r="F93" s="88">
        <f ca="1">IFERROR(INDEX(Calcs!$S$7:$S$20,MATCH($A93,Calcs!$A$7:$A$20,0)),"")</f>
        <v>1131.9664127790436</v>
      </c>
      <c r="G93" s="83" t="str">
        <f>IF($B93=0,"No games",IF(AND($B93&gt;='Guide &amp; Settings'!$C$45,$C93&gt;='Guide &amp; Settings'!$C$46),"Eligible","Provisional"))</f>
        <v>Eligible</v>
      </c>
      <c r="S93" s="89">
        <f ca="1">IF($G93="Eligible",IF(IFERROR(INDEX(Calcs!$T$7:$T$20,MATCH($A93,Calcs!$A$7:$A$20,0)),"")="Inactive",-1,$F93),-1)</f>
        <v>1131.9664127790436</v>
      </c>
    </row>
    <row r="94" spans="1:19" ht="15" customHeight="1" x14ac:dyDescent="0.2">
      <c r="A94" s="82" t="s">
        <v>15</v>
      </c>
      <c r="B94" s="83">
        <f>COUNTIF('Match Log'!$D$4:$D$819,$A94)</f>
        <v>54</v>
      </c>
      <c r="C94" s="83">
        <f>SUMPRODUCT(--(COUNTIFS('Match Log'!$D$4:$D$819,$A94,'Match Log'!$C$4:$C$819,Lists!$C$2:$C$26)&gt;0))</f>
        <v>11</v>
      </c>
      <c r="D94" s="83">
        <f>COUNTIFS('Match Log'!$D$4:$D$819,$A94,'Match Log'!$E$4:$E$819,"Win")</f>
        <v>26</v>
      </c>
      <c r="E94" s="86">
        <f t="shared" si="24"/>
        <v>0.48148148148148145</v>
      </c>
      <c r="F94" s="88">
        <f ca="1">IFERROR(INDEX(Calcs!$S$7:$S$20,MATCH($A94,Calcs!$A$7:$A$20,0)),"")</f>
        <v>998.72610466947049</v>
      </c>
      <c r="G94" s="83" t="str">
        <f>IF($B94=0,"No games",IF(AND($B94&gt;='Guide &amp; Settings'!$C$45,$C94&gt;='Guide &amp; Settings'!$C$46),"Eligible","Provisional"))</f>
        <v>Eligible</v>
      </c>
      <c r="S94" s="89">
        <f ca="1">IF($G94="Eligible",IF(IFERROR(INDEX(Calcs!$T$7:$T$20,MATCH($A94,Calcs!$A$7:$A$20,0)),"")="Inactive",-1,$F94),-1)</f>
        <v>998.72610466947049</v>
      </c>
    </row>
    <row r="95" spans="1:19" ht="15" customHeight="1" x14ac:dyDescent="0.2">
      <c r="A95" s="82" t="s">
        <v>20</v>
      </c>
      <c r="B95" s="83">
        <f>COUNTIF('Match Log'!$D$4:$D$819,$A95)</f>
        <v>103</v>
      </c>
      <c r="C95" s="83">
        <f>SUMPRODUCT(--(COUNTIFS('Match Log'!$D$4:$D$819,$A95,'Match Log'!$C$4:$C$819,Lists!$C$2:$C$26)&gt;0))</f>
        <v>15</v>
      </c>
      <c r="D95" s="83">
        <f>COUNTIFS('Match Log'!$D$4:$D$819,$A95,'Match Log'!$E$4:$E$819,"Win")</f>
        <v>48</v>
      </c>
      <c r="E95" s="86">
        <f t="shared" si="24"/>
        <v>0.46601941747572817</v>
      </c>
      <c r="F95" s="88">
        <f ca="1">IFERROR(INDEX(Calcs!$S$7:$S$20,MATCH($A95,Calcs!$A$7:$A$20,0)),"")</f>
        <v>1124.39195520974</v>
      </c>
      <c r="G95" s="83" t="str">
        <f>IF($B95=0,"No games",IF(AND($B95&gt;='Guide &amp; Settings'!$C$45,$C95&gt;='Guide &amp; Settings'!$C$46),"Eligible","Provisional"))</f>
        <v>Eligible</v>
      </c>
      <c r="S95" s="89">
        <f ca="1">IF($G95="Eligible",IF(IFERROR(INDEX(Calcs!$T$7:$T$20,MATCH($A95,Calcs!$A$7:$A$20,0)),"")="Inactive",-1,$F95),-1)</f>
        <v>1124.39195520974</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4"/>
        <v>0.5</v>
      </c>
      <c r="F96" s="88">
        <f ca="1">IFERROR(INDEX(Calcs!$S$7:$S$20,MATCH($A96,Calcs!$A$7:$A$20,0)),"")</f>
        <v>969.51759653351382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4"/>
        <v>0.46666666666666667</v>
      </c>
      <c r="F97" s="88">
        <f ca="1">IFERROR(INDEX(Calcs!$S$7:$S$20,MATCH($A97,Calcs!$A$7:$A$20,0)),"")</f>
        <v>1087.5488947064855</v>
      </c>
      <c r="G97" s="83" t="str">
        <f>IF($B97=0,"No games",IF(AND($B97&gt;='Guide &amp; Settings'!$C$45,$C97&gt;='Guide &amp; Settings'!$C$46),"Eligible","Provisional"))</f>
        <v>Eligible</v>
      </c>
      <c r="S97" s="89">
        <f ca="1">IF($G97="Eligible",IF(IFERROR(INDEX(Calcs!$T$7:$T$20,MATCH($A97,Calcs!$A$7:$A$20,0)),"")="Inactive",-1,$F97),-1)</f>
        <v>1087.5488947064855</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4"/>
        <v>0.4</v>
      </c>
      <c r="F98" s="88">
        <f ca="1">IFERROR(INDEX(Calcs!$S$7:$S$20,MATCH($A98,Calcs!$A$7:$A$20,0)),"")</f>
        <v>1023.2192605207141</v>
      </c>
      <c r="G98" s="83" t="str">
        <f>IF($B98=0,"No games",IF(AND($B98&gt;='Guide &amp; Settings'!$C$45,$C98&gt;='Guide &amp; Settings'!$C$46),"Eligible","Provisional"))</f>
        <v>Eligible</v>
      </c>
      <c r="S98" s="89">
        <f ca="1">IF($G98="Eligible",IF(IFERROR(INDEX(Calcs!$T$7:$T$20,MATCH($A98,Calcs!$A$7:$A$20,0)),"")="Inactive",-1,$F98),-1)</f>
        <v>1023.2192605207141</v>
      </c>
    </row>
    <row r="99" spans="1:19" ht="15" customHeight="1" x14ac:dyDescent="0.2">
      <c r="A99" s="82" t="s">
        <v>17</v>
      </c>
      <c r="B99" s="83">
        <f>COUNTIF('Match Log'!$D$4:$D$819,$A99)</f>
        <v>16</v>
      </c>
      <c r="C99" s="83">
        <f>SUMPRODUCT(--(COUNTIFS('Match Log'!$D$4:$D$819,$A99,'Match Log'!$C$4:$C$819,Lists!$C$2:$C$26)&gt;0))</f>
        <v>8</v>
      </c>
      <c r="D99" s="83">
        <f>COUNTIFS('Match Log'!$D$4:$D$819,$A99,'Match Log'!$E$4:$E$819,"Win")</f>
        <v>7</v>
      </c>
      <c r="E99" s="86">
        <f t="shared" si="24"/>
        <v>0.4375</v>
      </c>
      <c r="F99" s="88">
        <f ca="1">IFERROR(INDEX(Calcs!$S$7:$S$20,MATCH($A99,Calcs!$A$7:$A$20,0)),"")</f>
        <v>1027.8197114720938</v>
      </c>
      <c r="G99" s="83" t="str">
        <f>IF($B99=0,"No games",IF(AND($B99&gt;='Guide &amp; Settings'!$C$45,$C99&gt;='Guide &amp; Settings'!$C$46),"Eligible","Provisional"))</f>
        <v>Eligible</v>
      </c>
      <c r="S99" s="89">
        <f ca="1">IF($G99="Eligible",IF(IFERROR(INDEX(Calcs!$T$7:$T$20,MATCH($A99,Calcs!$A$7:$A$20,0)),"")="Inactive",-1,$F99),-1)</f>
        <v>-1</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4"/>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15</v>
      </c>
      <c r="C101" s="83">
        <f>SUMPRODUCT(--(COUNTIFS('Match Log'!$D$4:$D$819,$A101,'Match Log'!$C$4:$C$819,Lists!$C$2:$C$26)&gt;0))</f>
        <v>4</v>
      </c>
      <c r="D101" s="83">
        <f>COUNTIFS('Match Log'!$D$4:$D$819,$A101,'Match Log'!$E$4:$E$819,"Win")</f>
        <v>4</v>
      </c>
      <c r="E101" s="86">
        <f t="shared" si="24"/>
        <v>0.26666666666666666</v>
      </c>
      <c r="F101" s="88">
        <f ca="1">IFERROR(INDEX(Calcs!$S$7:$S$20,MATCH($A101,Calcs!$A$7:$A$20,0)),"")</f>
        <v>953.19705892757202</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4"/>
        <v>0.13333333333333333</v>
      </c>
      <c r="F102" s="88">
        <f ca="1">IFERROR(INDEX(Calcs!$S$7:$S$20,MATCH($A102,Calcs!$A$7:$A$20,0)),"")</f>
        <v>852.22294373677494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5" t="s">
        <v>313</v>
      </c>
      <c r="B104" s="141"/>
      <c r="C104" s="141"/>
      <c r="D104" s="141"/>
      <c r="E104" s="141"/>
      <c r="F104" s="141"/>
      <c r="G104" s="141"/>
      <c r="H104" s="141"/>
      <c r="I104" s="141"/>
      <c r="J104" s="141"/>
      <c r="K104" s="141"/>
      <c r="L104" s="141"/>
      <c r="M104" s="141"/>
      <c r="N104" s="141"/>
      <c r="O104" s="141"/>
      <c r="P104" s="141"/>
      <c r="Q104" s="141"/>
    </row>
    <row r="105" spans="1:19" ht="91.5" customHeight="1" x14ac:dyDescent="0.2">
      <c r="A105" s="80" t="s">
        <v>241</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314</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1016</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1055.8009426289977</v>
      </c>
      <c r="H106" s="88">
        <f>IFERROR(LOOKUP(2,1/(('Match Log'!$D$4:$D$819=H$105)*('Match Log'!$C$4:$C$819=$A106)),'Match Log'!$AB$4:$AB$819),"")</f>
        <v>984</v>
      </c>
      <c r="I106" s="88">
        <f>IFERROR(LOOKUP(2,1/(('Match Log'!$D$4:$D$819=I$105)*('Match Log'!$C$4:$C$819=$A106)),'Match Log'!$AB$4:$AB$819),"")</f>
        <v>944.19905737100225</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5">IFERROR(INDEX($B$105:$O$105,MATCH(MAX($B106:$O106),$B106:$O106,0)),"—")</f>
        <v>Shawn</v>
      </c>
    </row>
    <row r="107" spans="1:19" ht="15" customHeight="1" x14ac:dyDescent="0.2">
      <c r="A107" s="82" t="s">
        <v>34</v>
      </c>
      <c r="B107" s="88">
        <f>IFERROR(LOOKUP(2,1/(('Match Log'!$D$4:$D$819=B$105)*('Match Log'!$C$4:$C$819=$A107)),'Match Log'!$AB$4:$AB$819),"")</f>
        <v>1001.4695015289755</v>
      </c>
      <c r="C107" s="88" t="str">
        <f>IFERROR(LOOKUP(2,1/(('Match Log'!$D$4:$D$819=C$105)*('Match Log'!$C$4:$C$819=$A107)),'Match Log'!$AB$4:$AB$819),"")</f>
        <v/>
      </c>
      <c r="D107" s="88" t="str">
        <f>IFERROR(LOOKUP(2,1/(('Match Log'!$D$4:$D$819=D$105)*('Match Log'!$C$4:$C$819=$A107)),'Match Log'!$AB$4:$AB$819),"")</f>
        <v/>
      </c>
      <c r="E107" s="88" t="str">
        <f>IFERROR(LOOKUP(2,1/(('Match Log'!$D$4:$D$819=E$105)*('Match Log'!$C$4:$C$819=$A107)),'Match Log'!$AB$4:$AB$819),"")</f>
        <v/>
      </c>
      <c r="F107" s="88" t="str">
        <f>IFERROR(LOOKUP(2,1/(('Match Log'!$D$4:$D$819=F$105)*('Match Log'!$C$4:$C$819=$A107)),'Match Log'!$AB$4:$AB$819),"")</f>
        <v/>
      </c>
      <c r="G107" s="88">
        <f>IFERROR(LOOKUP(2,1/(('Match Log'!$D$4:$D$819=G$105)*('Match Log'!$C$4:$C$819=$A107)),'Match Log'!$AB$4:$AB$819),"")</f>
        <v>998.53049847102454</v>
      </c>
      <c r="H107" s="88" t="str">
        <f>IFERROR(LOOKUP(2,1/(('Match Log'!$D$4:$D$819=H$105)*('Match Log'!$C$4:$C$819=$A107)),'Match Log'!$AB$4:$AB$819),"")</f>
        <v/>
      </c>
      <c r="I107" s="88">
        <f>IFERROR(LOOKUP(2,1/(('Match Log'!$D$4:$D$819=I$105)*('Match Log'!$C$4:$C$819=$A107)),'Match Log'!$AB$4:$AB$819),"")</f>
        <v>1022.3532221976958</v>
      </c>
      <c r="J107" s="88" t="str">
        <f>IFERROR(LOOKUP(2,1/(('Match Log'!$D$4:$D$819=J$105)*('Match Log'!$C$4:$C$819=$A107)),'Match Log'!$AB$4:$AB$819),"")</f>
        <v/>
      </c>
      <c r="K107" s="88" t="str">
        <f>IFERROR(LOOKUP(2,1/(('Match Log'!$D$4:$D$819=K$105)*('Match Log'!$C$4:$C$819=$A107)),'Match Log'!$AB$4:$AB$819),"")</f>
        <v/>
      </c>
      <c r="L107" s="88" t="str">
        <f>IFERROR(LOOKUP(2,1/(('Match Log'!$D$4:$D$819=L$105)*('Match Log'!$C$4:$C$819=$A107)),'Match Log'!$AB$4:$AB$819),"")</f>
        <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5"/>
        <v>Daniel (Ferret)</v>
      </c>
    </row>
    <row r="108" spans="1:19" ht="15" customHeight="1" x14ac:dyDescent="0.2">
      <c r="A108" s="82" t="s">
        <v>35</v>
      </c>
      <c r="B108" s="88">
        <f>IFERROR(LOOKUP(2,1/(('Match Log'!$D$4:$D$819=B$105)*('Match Log'!$C$4:$C$819=$A108)),'Match Log'!$AB$4:$AB$819),"")</f>
        <v>1074.1933125090914</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974.00768231912002</v>
      </c>
      <c r="H108" s="88" t="str">
        <f>IFERROR(LOOKUP(2,1/(('Match Log'!$D$4:$D$819=H$105)*('Match Log'!$C$4:$C$819=$A108)),'Match Log'!$AB$4:$AB$819),"")</f>
        <v/>
      </c>
      <c r="I108" s="88">
        <f>IFERROR(LOOKUP(2,1/(('Match Log'!$D$4:$D$819=I$105)*('Match Log'!$C$4:$C$819=$A108)),'Match Log'!$AB$4:$AB$819),"")</f>
        <v>1000.2353336759772</v>
      </c>
      <c r="J108" s="88" t="str">
        <f>IFERROR(LOOKUP(2,1/(('Match Log'!$D$4:$D$819=J$105)*('Match Log'!$C$4:$C$819=$A108)),'Match Log'!$AB$4:$AB$819),"")</f>
        <v/>
      </c>
      <c r="K108" s="88" t="str">
        <f>IFERROR(LOOKUP(2,1/(('Match Log'!$D$4:$D$819=K$105)*('Match Log'!$C$4:$C$819=$A108)),'Match Log'!$AB$4:$AB$819),"")</f>
        <v/>
      </c>
      <c r="L108" s="88">
        <f>IFERROR(LOOKUP(2,1/(('Match Log'!$D$4:$D$819=L$105)*('Match Log'!$C$4:$C$819=$A108)),'Match Log'!$AB$4:$AB$819),"")</f>
        <v>982.82736470228917</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5"/>
        <v>Aaron</v>
      </c>
    </row>
    <row r="109" spans="1:19" ht="15" customHeight="1" x14ac:dyDescent="0.2">
      <c r="A109" s="82" t="s">
        <v>36</v>
      </c>
      <c r="B109" s="88" t="str">
        <f>IFERROR(LOOKUP(2,1/(('Match Log'!$D$4:$D$819=B$105)*('Match Log'!$C$4:$C$819=$A109)),'Match Log'!$AB$4:$AB$819),"")</f>
        <v/>
      </c>
      <c r="C109" s="88" t="str">
        <f>IFERROR(LOOKUP(2,1/(('Match Log'!$D$4:$D$819=C$105)*('Match Log'!$C$4:$C$819=$A109)),'Match Log'!$AB$4:$AB$819),"")</f>
        <v/>
      </c>
      <c r="D109" s="88" t="str">
        <f>IFERROR(LOOKUP(2,1/(('Match Log'!$D$4:$D$819=D$105)*('Match Log'!$C$4:$C$819=$A109)),'Match Log'!$AB$4:$AB$819),"")</f>
        <v/>
      </c>
      <c r="E109" s="88" t="str">
        <f>IFERROR(LOOKUP(2,1/(('Match Log'!$D$4:$D$819=E$105)*('Match Log'!$C$4:$C$819=$A109)),'Match Log'!$AB$4:$AB$819),"")</f>
        <v/>
      </c>
      <c r="F109" s="88" t="str">
        <f>IFERROR(LOOKUP(2,1/(('Match Log'!$D$4:$D$819=F$105)*('Match Log'!$C$4:$C$819=$A109)),'Match Log'!$AB$4:$AB$819),"")</f>
        <v/>
      </c>
      <c r="G109" s="88" t="str">
        <f>IFERROR(LOOKUP(2,1/(('Match Log'!$D$4:$D$819=G$105)*('Match Log'!$C$4:$C$819=$A109)),'Match Log'!$AB$4:$AB$819),"")</f>
        <v/>
      </c>
      <c r="H109" s="88" t="str">
        <f>IFERROR(LOOKUP(2,1/(('Match Log'!$D$4:$D$819=H$105)*('Match Log'!$C$4:$C$819=$A109)),'Match Log'!$AB$4:$AB$819),"")</f>
        <v/>
      </c>
      <c r="I109" s="88" t="str">
        <f>IFERROR(LOOKUP(2,1/(('Match Log'!$D$4:$D$819=I$105)*('Match Log'!$C$4:$C$819=$A109)),'Match Log'!$AB$4:$AB$819),"")</f>
        <v/>
      </c>
      <c r="J109" s="88" t="str">
        <f>IFERROR(LOOKUP(2,1/(('Match Log'!$D$4:$D$819=J$105)*('Match Log'!$C$4:$C$819=$A109)),'Match Log'!$AB$4:$AB$819),"")</f>
        <v/>
      </c>
      <c r="K109" s="88" t="str">
        <f>IFERROR(LOOKUP(2,1/(('Match Log'!$D$4:$D$819=K$105)*('Match Log'!$C$4:$C$819=$A109)),'Match Log'!$AB$4:$AB$819),"")</f>
        <v/>
      </c>
      <c r="L109" s="88" t="str">
        <f>IFERROR(LOOKUP(2,1/(('Match Log'!$D$4:$D$819=L$105)*('Match Log'!$C$4:$C$819=$A109)),'Match Log'!$AB$4:$AB$819),"")</f>
        <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5"/>
        <v>—</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t="str">
        <f>IFERROR(LOOKUP(2,1/(('Match Log'!$D$4:$D$819=E$105)*('Match Log'!$C$4:$C$819=$A110)),'Match Log'!$AB$4:$AB$819),"")</f>
        <v/>
      </c>
      <c r="F110" s="88">
        <f>IFERROR(LOOKUP(2,1/(('Match Log'!$D$4:$D$819=F$105)*('Match Log'!$C$4:$C$819=$A110)),'Match Log'!$AB$4:$AB$819),"")</f>
        <v>968.56830839539452</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995.85024786256349</v>
      </c>
      <c r="J110" s="88">
        <f>IFERROR(LOOKUP(2,1/(('Match Log'!$D$4:$D$819=J$105)*('Match Log'!$C$4:$C$819=$A110)),'Match Log'!$AB$4:$AB$819),"")</f>
        <v>1017.9511422495239</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5"/>
        <v>Simon</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5"/>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5"/>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5"/>
        <v>—</v>
      </c>
    </row>
    <row r="114" spans="1:16" ht="15" customHeight="1" x14ac:dyDescent="0.2">
      <c r="A114" s="82" t="s">
        <v>41</v>
      </c>
      <c r="B114" s="88">
        <f>IFERROR(LOOKUP(2,1/(('Match Log'!$D$4:$D$819=B$105)*('Match Log'!$C$4:$C$819=$A114)),'Match Log'!$AB$4:$AB$819),"")</f>
        <v>991.81582574051538</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1008.3683485189694</v>
      </c>
      <c r="H114" s="88" t="str">
        <f>IFERROR(LOOKUP(2,1/(('Match Log'!$D$4:$D$819=H$105)*('Match Log'!$C$4:$C$819=$A114)),'Match Log'!$AB$4:$AB$819),"")</f>
        <v/>
      </c>
      <c r="I114" s="88">
        <f>IFERROR(LOOKUP(2,1/(('Match Log'!$D$4:$D$819=I$105)*('Match Log'!$C$4:$C$819=$A114)),'Match Log'!$AB$4:$AB$819),"")</f>
        <v>984.73630679352198</v>
      </c>
      <c r="J114" s="88" t="str">
        <f>IFERROR(LOOKUP(2,1/(('Match Log'!$D$4:$D$819=J$105)*('Match Log'!$C$4:$C$819=$A114)),'Match Log'!$AB$4:$AB$819),"")</f>
        <v/>
      </c>
      <c r="K114" s="88" t="str">
        <f>IFERROR(LOOKUP(2,1/(('Match Log'!$D$4:$D$819=K$105)*('Match Log'!$C$4:$C$819=$A114)),'Match Log'!$AB$4:$AB$819),"")</f>
        <v/>
      </c>
      <c r="L114" s="88">
        <f>IFERROR(LOOKUP(2,1/(('Match Log'!$D$4:$D$819=L$105)*('Match Log'!$C$4:$C$819=$A114)),'Match Log'!$AB$4:$AB$819),"")</f>
        <v>992</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5"/>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t="str">
        <f>IFERROR(LOOKUP(2,1/(('Match Log'!$D$4:$D$819=G$105)*('Match Log'!$C$4:$C$819=$A115)),'Match Log'!$AB$4:$AB$819),"")</f>
        <v/>
      </c>
      <c r="H115" s="88" t="str">
        <f>IFERROR(LOOKUP(2,1/(('Match Log'!$D$4:$D$819=H$105)*('Match Log'!$C$4:$C$819=$A115)),'Match Log'!$AB$4:$AB$819),"")</f>
        <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t="str">
        <f>IFERROR(LOOKUP(2,1/(('Match Log'!$D$4:$D$819=L$105)*('Match Log'!$C$4:$C$819=$A115)),'Match Log'!$AB$4:$AB$819),"")</f>
        <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5"/>
        <v>—</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5"/>
        <v>—</v>
      </c>
    </row>
    <row r="117" spans="1:16" ht="15" customHeight="1" x14ac:dyDescent="0.2">
      <c r="A117" s="82" t="s">
        <v>44</v>
      </c>
      <c r="B117" s="88">
        <f>IFERROR(LOOKUP(2,1/(('Match Log'!$D$4:$D$819=B$105)*('Match Log'!$C$4:$C$819=$A117)),'Match Log'!$AB$4:$AB$819),"")</f>
        <v>998.78601149183976</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949.22600883289385</v>
      </c>
      <c r="F117" s="88">
        <f>IFERROR(LOOKUP(2,1/(('Match Log'!$D$4:$D$819=F$105)*('Match Log'!$C$4:$C$819=$A117)),'Match Log'!$AB$4:$AB$819),"")</f>
        <v>1109.0218511200758</v>
      </c>
      <c r="G117" s="88">
        <f>IFERROR(LOOKUP(2,1/(('Match Log'!$D$4:$D$819=G$105)*('Match Log'!$C$4:$C$819=$A117)),'Match Log'!$AB$4:$AB$819),"")</f>
        <v>1073.39235221687</v>
      </c>
      <c r="H117" s="88">
        <f>IFERROR(LOOKUP(2,1/(('Match Log'!$D$4:$D$819=H$105)*('Match Log'!$C$4:$C$819=$A117)),'Match Log'!$AB$4:$AB$819),"")</f>
        <v>952.64656852410087</v>
      </c>
      <c r="I117" s="88">
        <f>IFERROR(LOOKUP(2,1/(('Match Log'!$D$4:$D$819=I$105)*('Match Log'!$C$4:$C$819=$A117)),'Match Log'!$AB$4:$AB$819),"")</f>
        <v>941.80241083787075</v>
      </c>
      <c r="J117" s="88">
        <f>IFERROR(LOOKUP(2,1/(('Match Log'!$D$4:$D$819=J$105)*('Match Log'!$C$4:$C$819=$A117)),'Match Log'!$AB$4:$AB$819),"")</f>
        <v>1055.7052432790952</v>
      </c>
      <c r="K117" s="88">
        <f>IFERROR(LOOKUP(2,1/(('Match Log'!$D$4:$D$819=K$105)*('Match Log'!$C$4:$C$819=$A117)),'Match Log'!$AB$4:$AB$819),"")</f>
        <v>930.59858869041068</v>
      </c>
      <c r="L117" s="88">
        <f>IFERROR(LOOKUP(2,1/(('Match Log'!$D$4:$D$819=L$105)*('Match Log'!$C$4:$C$819=$A117)),'Match Log'!$AB$4:$AB$819),"")</f>
        <v>1003.9713656909046</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5"/>
        <v>Josh</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5"/>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5"/>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5"/>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5"/>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5"/>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5"/>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1047.5054308988927</v>
      </c>
      <c r="H124" s="88">
        <f>IFERROR(LOOKUP(2,1/(('Match Log'!$D$4:$D$819=H$105)*('Match Log'!$C$4:$C$819=$A124)),'Match Log'!$AB$4:$AB$819),"")</f>
        <v>995.11454772974389</v>
      </c>
      <c r="I124" s="88">
        <f>IFERROR(LOOKUP(2,1/(('Match Log'!$D$4:$D$819=I$105)*('Match Log'!$C$4:$C$819=$A124)),'Match Log'!$AB$4:$AB$819),"")</f>
        <v>1008.1001580975385</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5"/>
        <v>Shawn</v>
      </c>
    </row>
    <row r="125" spans="1:16" x14ac:dyDescent="0.2">
      <c r="A125" s="82" t="s">
        <v>51</v>
      </c>
      <c r="B125" s="88" t="str">
        <f>IFERROR(LOOKUP(2,1/(('Match Log'!$D$4:$D$819=B$105)*('Match Log'!$C$4:$C$819=$A125)),'Match Log'!$AB$4:$AB$819),"")</f>
        <v/>
      </c>
      <c r="C125" s="88" t="str">
        <f>IFERROR(LOOKUP(2,1/(('Match Log'!$D$4:$D$819=C$105)*('Match Log'!$C$4:$C$819=$A125)),'Match Log'!$AB$4:$AB$819),"")</f>
        <v/>
      </c>
      <c r="D125" s="88" t="str">
        <f>IFERROR(LOOKUP(2,1/(('Match Log'!$D$4:$D$819=D$105)*('Match Log'!$C$4:$C$819=$A125)),'Match Log'!$AB$4:$AB$819),"")</f>
        <v/>
      </c>
      <c r="E125" s="88" t="str">
        <f>IFERROR(LOOKUP(2,1/(('Match Log'!$D$4:$D$819=E$105)*('Match Log'!$C$4:$C$819=$A125)),'Match Log'!$AB$4:$AB$819),"")</f>
        <v/>
      </c>
      <c r="F125" s="88" t="str">
        <f>IFERROR(LOOKUP(2,1/(('Match Log'!$D$4:$D$819=F$105)*('Match Log'!$C$4:$C$819=$A125)),'Match Log'!$AB$4:$AB$819),"")</f>
        <v/>
      </c>
      <c r="G125" s="88" t="str">
        <f>IFERROR(LOOKUP(2,1/(('Match Log'!$D$4:$D$819=G$105)*('Match Log'!$C$4:$C$819=$A125)),'Match Log'!$AB$4:$AB$819),"")</f>
        <v/>
      </c>
      <c r="H125" s="88" t="str">
        <f>IFERROR(LOOKUP(2,1/(('Match Log'!$D$4:$D$819=H$105)*('Match Log'!$C$4:$C$819=$A125)),'Match Log'!$AB$4:$AB$819),"")</f>
        <v/>
      </c>
      <c r="I125" s="88" t="str">
        <f>IFERROR(LOOKUP(2,1/(('Match Log'!$D$4:$D$819=I$105)*('Match Log'!$C$4:$C$819=$A125)),'Match Log'!$AB$4:$AB$819),"")</f>
        <v/>
      </c>
      <c r="J125" s="88" t="str">
        <f>IFERROR(LOOKUP(2,1/(('Match Log'!$D$4:$D$819=J$105)*('Match Log'!$C$4:$C$819=$A125)),'Match Log'!$AB$4:$AB$819),"")</f>
        <v/>
      </c>
      <c r="K125" s="88" t="str">
        <f>IFERROR(LOOKUP(2,1/(('Match Log'!$D$4:$D$819=K$105)*('Match Log'!$C$4:$C$819=$A125)),'Match Log'!$AB$4:$AB$819),"")</f>
        <v/>
      </c>
      <c r="L125" s="88" t="str">
        <f>IFERROR(LOOKUP(2,1/(('Match Log'!$D$4:$D$819=L$105)*('Match Log'!$C$4:$C$819=$A125)),'Match Log'!$AB$4:$AB$819),"")</f>
        <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5"/>
        <v>—</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5"/>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5"/>
        <v>Shawn</v>
      </c>
    </row>
    <row r="128" spans="1:16" x14ac:dyDescent="0.2">
      <c r="A128" s="82" t="s">
        <v>54</v>
      </c>
      <c r="B128" s="88" t="str">
        <f>IFERROR(LOOKUP(2,1/(('Match Log'!$D$4:$D$810=B$105)*('Match Log'!$C$4:$C$810=$A128)),'Match Log'!$AB$4:$AB$810),"")</f>
        <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t="str">
        <f>IFERROR(LOOKUP(2,1/(('Match Log'!$D$4:$D$810=G$105)*('Match Log'!$C$4:$C$810=$A128)),'Match Log'!$AB$4:$AB$810),"")</f>
        <v/>
      </c>
      <c r="H128" s="88" t="str">
        <f>IFERROR(LOOKUP(2,1/(('Match Log'!$D$4:$D$810=H$105)*('Match Log'!$C$4:$C$810=$A128)),'Match Log'!$AB$4:$AB$810),"")</f>
        <v/>
      </c>
      <c r="I128" s="88">
        <f>IFERROR(LOOKUP(2,1/(('Match Log'!$D$4:$D$810=I$105)*('Match Log'!$C$4:$C$810=$A128)),'Match Log'!$AB$4:$AB$810),"")</f>
        <v>986.8605161349974</v>
      </c>
      <c r="J128" s="88" t="str">
        <f>IFERROR(LOOKUP(2,1/(('Match Log'!$D$4:$D$810=J$105)*('Match Log'!$C$4:$C$810=$A128)),'Match Log'!$AB$4:$AB$810),"")</f>
        <v/>
      </c>
      <c r="K128" s="88" t="str">
        <f>IFERROR(LOOKUP(2,1/(('Match Log'!$D$4:$D$810=K$105)*('Match Log'!$C$4:$C$810=$A128)),'Match Log'!$AB$4:$AB$810),"")</f>
        <v/>
      </c>
      <c r="L128" s="88" t="str">
        <f>IFERROR(LOOKUP(2,1/(('Match Log'!$D$4:$D$810=L$105)*('Match Log'!$C$4:$C$810=$A128)),'Match Log'!$AB$4:$AB$810),"")</f>
        <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5"/>
        <v>Dean M</v>
      </c>
    </row>
    <row r="129" spans="1:16" x14ac:dyDescent="0.2">
      <c r="A129" s="82" t="s">
        <v>456</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5"/>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5"/>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315</v>
      </c>
    </row>
    <row r="2" spans="1:6" ht="30" customHeight="1" x14ac:dyDescent="0.2">
      <c r="A2" s="158" t="s">
        <v>316</v>
      </c>
      <c r="B2" s="141"/>
      <c r="C2" s="141"/>
      <c r="D2" s="141"/>
      <c r="E2" s="141"/>
      <c r="F2" s="141"/>
    </row>
    <row r="3" spans="1:6" ht="4.5" customHeight="1" x14ac:dyDescent="0.2"/>
    <row r="4" spans="1:6" ht="15" customHeight="1" x14ac:dyDescent="0.2">
      <c r="A4" s="11" t="s">
        <v>317</v>
      </c>
    </row>
    <row r="5" spans="1:6" ht="15" customHeight="1" x14ac:dyDescent="0.2">
      <c r="A5" s="34" t="s">
        <v>318</v>
      </c>
      <c r="B5" s="34" t="s">
        <v>319</v>
      </c>
      <c r="C5" s="34" t="s">
        <v>320</v>
      </c>
      <c r="D5" s="34" t="s">
        <v>241</v>
      </c>
      <c r="E5" s="34" t="s">
        <v>321</v>
      </c>
      <c r="F5" s="34" t="s">
        <v>322</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Oscar</v>
      </c>
      <c r="C9" s="40" t="str">
        <f>IFERROR(INDEX(Calcs!$H$25:$H$444,MATCH(LARGE(Calcs!$I$25:$I$444,4),Calcs!$I$25:$I$444,0)),"")</f>
        <v>Daniel (Ferret)</v>
      </c>
      <c r="D9" s="40" t="str">
        <f>IFERROR(INDEX(Calcs!$C$25:$C$444,MATCH(LARGE(Calcs!$I$25:$I$444,4),Calcs!$I$25:$I$444,0)),"")</f>
        <v>Mario Kart</v>
      </c>
      <c r="E9" s="40" t="str">
        <f>IFERROR(TEXT(INDEX(Calcs!$F$25:$F$444,MATCH(LARGE(Calcs!$I$25:$I$444,4),Calcs!$I$25:$I$444,0)),"0%"),"")</f>
        <v>25%</v>
      </c>
      <c r="F9" s="40" t="str">
        <f>IFERROR(TEXT(INDEX(Calcs!$B$25:$B$444,MATCH(LARGE(Calcs!$I$25:$I$444,4),Calcs!$I$25:$I$444,0)),"d mmm"),"")</f>
        <v>3 Jun</v>
      </c>
    </row>
    <row r="10" spans="1:6" ht="15" customHeight="1" x14ac:dyDescent="0.2">
      <c r="A10" s="63">
        <v>5</v>
      </c>
      <c r="B10" s="37" t="str">
        <f>IFERROR(INDEX(Calcs!$D$25:$D$444,MATCH(LARGE(Calcs!$I$25:$I$444,5),Calcs!$I$25:$I$444,0)),"")</f>
        <v>Daniel (Ferret)</v>
      </c>
      <c r="C10" s="37" t="str">
        <f>IFERROR(INDEX(Calcs!$H$25:$H$444,MATCH(LARGE(Calcs!$I$25:$I$444,5),Calcs!$I$25:$I$444,0)),"")</f>
        <v>Josh</v>
      </c>
      <c r="D10" s="37" t="str">
        <f>IFERROR(INDEX(Calcs!$C$25:$C$444,MATCH(LARGE(Calcs!$I$25:$I$444,5),Calcs!$I$25:$I$444,0)),"")</f>
        <v>Mario Golf</v>
      </c>
      <c r="E10" s="37" t="str">
        <f>IFERROR(TEXT(INDEX(Calcs!$F$25:$F$444,MATCH(LARGE(Calcs!$I$25:$I$444,5),Calcs!$I$25:$I$444,0)),"0%"),"")</f>
        <v>25%</v>
      </c>
      <c r="F10" s="37" t="str">
        <f>IFERROR(TEXT(INDEX(Calcs!$B$25:$B$444,MATCH(LARGE(Calcs!$I$25:$I$444,5),Calcs!$I$25:$I$444,0)),"d mmm"),"")</f>
        <v>26 Jun</v>
      </c>
    </row>
    <row r="11" spans="1:6" ht="15" customHeight="1" x14ac:dyDescent="0.2">
      <c r="A11" s="67">
        <v>6</v>
      </c>
      <c r="B11" s="40" t="str">
        <f>IFERROR(INDEX(Calcs!$D$25:$D$444,MATCH(LARGE(Calcs!$I$25:$I$444,6),Calcs!$I$25:$I$444,0)),"")</f>
        <v>Aaron</v>
      </c>
      <c r="C11" s="40" t="str">
        <f>IFERROR(INDEX(Calcs!$H$25:$H$444,MATCH(LARGE(Calcs!$I$25:$I$444,6),Calcs!$I$25:$I$444,0)),"")</f>
        <v>Daniel (Ferret)</v>
      </c>
      <c r="D11" s="40" t="str">
        <f>IFERROR(INDEX(Calcs!$C$25:$C$444,MATCH(LARGE(Calcs!$I$25:$I$444,6),Calcs!$I$25:$I$444,0)),"")</f>
        <v>Call of Duty</v>
      </c>
      <c r="E11" s="40" t="str">
        <f>IFERROR(TEXT(INDEX(Calcs!$F$25:$F$444,MATCH(LARGE(Calcs!$I$25:$I$444,6),Calcs!$I$25:$I$444,0)),"0%"),"")</f>
        <v>25%</v>
      </c>
      <c r="F11" s="40" t="str">
        <f>IFERROR(TEXT(INDEX(Calcs!$B$25:$B$444,MATCH(LARGE(Calcs!$I$25:$I$444,6),Calcs!$I$25:$I$444,0)),"d mmm"),"")</f>
        <v>19 Jul</v>
      </c>
    </row>
    <row r="12" spans="1:6" ht="15" customHeight="1" x14ac:dyDescent="0.2">
      <c r="A12" s="63">
        <v>7</v>
      </c>
      <c r="B12" s="37" t="str">
        <f>IFERROR(INDEX(Calcs!$D$25:$D$444,MATCH(LARGE(Calcs!$I$25:$I$444,7),Calcs!$I$25:$I$444,0)),"")</f>
        <v>Dean B</v>
      </c>
      <c r="C12" s="37" t="str">
        <f>IFERROR(INDEX(Calcs!$H$25:$H$444,MATCH(LARGE(Calcs!$I$25:$I$444,7),Calcs!$I$25:$I$444,0)),"")</f>
        <v>Josh</v>
      </c>
      <c r="D12" s="37" t="str">
        <f>IFERROR(INDEX(Calcs!$C$25:$C$444,MATCH(LARGE(Calcs!$I$25:$I$444,7),Calcs!$I$25:$I$444,0)),"")</f>
        <v>Table Tennis</v>
      </c>
      <c r="E12" s="37" t="str">
        <f>IFERROR(TEXT(INDEX(Calcs!$F$25:$F$444,MATCH(LARGE(Calcs!$I$25:$I$444,7),Calcs!$I$25:$I$444,0)),"0%"),"")</f>
        <v>27%</v>
      </c>
      <c r="F12" s="37" t="str">
        <f>IFERROR(TEXT(INDEX(Calcs!$B$25:$B$444,MATCH(LARGE(Calcs!$I$25:$I$444,7),Calcs!$I$25:$I$444,0)),"d mmm"),"")</f>
        <v>3 Jun</v>
      </c>
    </row>
    <row r="13" spans="1:6" ht="15" customHeight="1" x14ac:dyDescent="0.2">
      <c r="A13" s="67">
        <v>8</v>
      </c>
      <c r="B13" s="40" t="str">
        <f>IFERROR(INDEX(Calcs!$D$25:$D$444,MATCH(LARGE(Calcs!$I$25:$I$444,8),Calcs!$I$25:$I$444,0)),"")</f>
        <v>Dean M</v>
      </c>
      <c r="C13" s="40" t="str">
        <f>IFERROR(INDEX(Calcs!$H$25:$H$444,MATCH(LARGE(Calcs!$I$25:$I$444,8),Calcs!$I$25:$I$444,0)),"")</f>
        <v>the field</v>
      </c>
      <c r="D13" s="40" t="str">
        <f>IFERROR(INDEX(Calcs!$C$25:$C$444,MATCH(LARGE(Calcs!$I$25:$I$444,8),Calcs!$I$25:$I$444,0)),"")</f>
        <v>Darts</v>
      </c>
      <c r="E13" s="40" t="str">
        <f>IFERROR(TEXT(INDEX(Calcs!$F$25:$F$444,MATCH(LARGE(Calcs!$I$25:$I$444,8),Calcs!$I$25:$I$444,0)),"0%"),"")</f>
        <v>18%</v>
      </c>
      <c r="F13" s="40" t="str">
        <f>IFERROR(TEXT(INDEX(Calcs!$B$25:$B$444,MATCH(LARGE(Calcs!$I$25:$I$444,8),Calcs!$I$25:$I$444,0)),"d mmm"),"")</f>
        <v>15 Aug</v>
      </c>
    </row>
    <row r="15" spans="1:6" ht="15" customHeight="1" x14ac:dyDescent="0.2">
      <c r="A15" s="11" t="s">
        <v>323</v>
      </c>
    </row>
    <row r="16" spans="1:6" ht="15" customHeight="1" x14ac:dyDescent="0.2">
      <c r="A16" s="34" t="s">
        <v>324</v>
      </c>
      <c r="B16" s="34" t="s">
        <v>325</v>
      </c>
      <c r="C16" s="34" t="s">
        <v>326</v>
      </c>
      <c r="D16" s="34" t="s">
        <v>241</v>
      </c>
      <c r="E16" s="34" t="s">
        <v>327</v>
      </c>
      <c r="F16" s="34" t="s">
        <v>328</v>
      </c>
    </row>
    <row r="17" spans="1:8" ht="15" customHeight="1" x14ac:dyDescent="0.2">
      <c r="A17" s="92" t="s">
        <v>329</v>
      </c>
      <c r="B17" s="37" t="str">
        <f>TEXT(MAX('Match Log'!$N$4:$N$810),"0")</f>
        <v>1242</v>
      </c>
      <c r="C17" s="37" t="str">
        <f>INDEX('Match Log'!$D$4:$D$810,$H17)</f>
        <v>Dean B</v>
      </c>
      <c r="D17" s="37" t="str">
        <f>INDEX('Match Log'!$C$4:$C$810,$H17)</f>
        <v>Pool</v>
      </c>
      <c r="E17" s="37" t="str">
        <f>TEXT(INDEX('Match Log'!$B$4:$B$810,$H17),"d mmm yyyy")</f>
        <v>12 Jul 2026</v>
      </c>
      <c r="F17" s="37"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93" t="s">
        <v>330</v>
      </c>
      <c r="B18" s="40" t="str">
        <f>TEXT(MAX('Match Log'!$M$4:$M$810),"+0")</f>
        <v>+35</v>
      </c>
      <c r="C18" s="40" t="str">
        <f>INDEX('Match Log'!$D$4:$D$810,$H18)</f>
        <v>Aaron</v>
      </c>
      <c r="D18" s="40" t="str">
        <f>INDEX('Match Log'!$C$4:$C$810,$H18)</f>
        <v>Kelly Pool</v>
      </c>
      <c r="E18" s="40" t="str">
        <f>TEXT(INDEX('Match Log'!$B$4:$B$810,$H18),"d mmm yyyy")</f>
        <v>2 Jun 2026</v>
      </c>
      <c r="F18" s="40"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92" t="s">
        <v>331</v>
      </c>
      <c r="B19" s="37" t="str">
        <f>TEXT(MIN('Match Log'!$M$4:$M$810),"0")</f>
        <v>-32</v>
      </c>
      <c r="C19" s="37" t="str">
        <f>INDEX('Match Log'!$D$4:$D$810,$H19)</f>
        <v>Josh</v>
      </c>
      <c r="D19" s="37" t="str">
        <f>INDEX('Match Log'!$C$4:$C$810,$H19)</f>
        <v>Mario Golf</v>
      </c>
      <c r="E19" s="37" t="str">
        <f>TEXT(INDEX('Match Log'!$B$4:$B$810,$H19),"d mmm yyyy")</f>
        <v>26 Jun 2026</v>
      </c>
      <c r="F19" s="37" t="str">
        <f>IFERROR("lost to "&amp;INDEX('Match Log'!$G$4:$G$810,$H19),"")</f>
        <v>lost to Daniel (Ferret)</v>
      </c>
      <c r="H19">
        <f>MATCH(MIN('Match Log'!$M$4:$M$810),'Match Log'!$M$4:$M$810,0)</f>
        <v>244</v>
      </c>
    </row>
    <row r="20" spans="1:8" ht="15" customHeight="1" x14ac:dyDescent="0.2">
      <c r="A20" s="93" t="s">
        <v>332</v>
      </c>
      <c r="B20" s="40" t="str">
        <f>$E$6</f>
        <v>17%</v>
      </c>
      <c r="C20" s="40" t="str">
        <f>$B$6</f>
        <v>Aaron</v>
      </c>
      <c r="D20" s="40" t="str">
        <f>$D$6</f>
        <v>Mario Golf</v>
      </c>
      <c r="E20" s="40" t="str">
        <f>$F$6</f>
        <v>10 Jul</v>
      </c>
      <c r="F20" s="40" t="str">
        <f>"beat "&amp;$C$6</f>
        <v>beat Shawn</v>
      </c>
    </row>
    <row r="21" spans="1:8" ht="15" customHeight="1" x14ac:dyDescent="0.2">
      <c r="A21" s="92" t="s">
        <v>333</v>
      </c>
      <c r="B21" s="37" t="str">
        <f ca="1">TEXT(MAX(Dashboard!$D$5:$D$18),"0")</f>
        <v>103</v>
      </c>
      <c r="C21" s="37" t="str">
        <f ca="1">INDEX(Dashboard!$B$5:$B$18,MATCH(MAX(Dashboard!$D$5:$D$18),Dashboard!$D$5:$D$18,0))</f>
        <v>Shawn</v>
      </c>
      <c r="D21" s="37" t="s">
        <v>334</v>
      </c>
      <c r="E21" s="37" t="s">
        <v>334</v>
      </c>
      <c r="F21" s="37" t="str">
        <f ca="1">"across "&amp;INDEX(Dashboard!$K$5:$K$18,MATCH($C21,Dashboard!$B$5:$B$18,0))&amp;" sports"</f>
        <v>across 15 sports</v>
      </c>
    </row>
    <row r="22" spans="1:8" ht="15" customHeight="1" x14ac:dyDescent="0.2">
      <c r="A22" s="93" t="s">
        <v>335</v>
      </c>
      <c r="B22" s="40" t="str">
        <f ca="1">TEXT(MAX(Dashboard!$K$5:$K$18),"0")</f>
        <v>18</v>
      </c>
      <c r="C22" s="40" t="str">
        <f ca="1">INDEX(Dashboard!$B$5:$B$18,MATCH(MAX(Dashboard!$K$5:$K$18),Dashboard!$K$5:$K$18,0))</f>
        <v>Daniel (Ferret)</v>
      </c>
      <c r="D22" s="40" t="s">
        <v>334</v>
      </c>
      <c r="E22" s="40" t="s">
        <v>334</v>
      </c>
      <c r="F22" s="40" t="str">
        <f>"of "&amp;COUNTA(Lists!$C$2:$C$26)&amp;" sports available"</f>
        <v>of 25 sports available</v>
      </c>
    </row>
    <row r="23" spans="1:8" ht="15" customHeight="1" x14ac:dyDescent="0.2">
      <c r="A23" s="92" t="s">
        <v>336</v>
      </c>
      <c r="B23" s="37" t="str">
        <f>TEXT(MAX('Sport Records'!$P$8:$P$32),"0")&amp;" games"</f>
        <v>33 games</v>
      </c>
      <c r="C23" s="37" t="str">
        <f>INDEX('Sport Records'!$A$8:$A$32,MATCH(MAX('Sport Records'!$P$8:$P$32),'Sport Records'!$P$8:$P$32,0))</f>
        <v>Mario Golf</v>
      </c>
      <c r="D23" s="37" t="s">
        <v>334</v>
      </c>
      <c r="E23" s="37" t="s">
        <v>334</v>
      </c>
      <c r="F23" s="37" t="s">
        <v>337</v>
      </c>
    </row>
    <row r="24" spans="1:8" ht="15" customHeight="1" x14ac:dyDescent="0.2">
      <c r="A24" s="93" t="s">
        <v>338</v>
      </c>
      <c r="B24" s="40" t="str">
        <f>MAX(Calcs!$O$7:$O$20)&amp;" wins"</f>
        <v>1 wins</v>
      </c>
      <c r="C24" s="40" t="str">
        <f>INDEX(Calcs!$A$7:$A$20,MATCH(MAX(Calcs!$O$7:$O$20),Calcs!$O$7:$O$20,0))</f>
        <v>Josh</v>
      </c>
      <c r="D24" s="40" t="s">
        <v>334</v>
      </c>
      <c r="E24" s="40" t="s">
        <v>334</v>
      </c>
      <c r="F24" s="40" t="s">
        <v>339</v>
      </c>
    </row>
    <row r="25" spans="1:8" ht="15" customHeight="1" x14ac:dyDescent="0.2">
      <c r="A25" s="11"/>
    </row>
    <row r="26" spans="1:8" ht="15" customHeight="1" x14ac:dyDescent="0.2">
      <c r="A26" s="94" t="s">
        <v>340</v>
      </c>
      <c r="B26" s="34"/>
      <c r="C26" s="34"/>
    </row>
    <row r="27" spans="1:8" ht="15" customHeight="1" x14ac:dyDescent="0.2">
      <c r="A27" s="34" t="s">
        <v>341</v>
      </c>
      <c r="B27" s="34" t="s">
        <v>326</v>
      </c>
      <c r="C27" s="34" t="s">
        <v>342</v>
      </c>
    </row>
    <row r="28" spans="1:8" ht="15" customHeight="1" x14ac:dyDescent="0.2">
      <c r="A28" s="95" t="s">
        <v>343</v>
      </c>
      <c r="B28" s="38" t="str">
        <f ca="1">Leaders!$A$5</f>
        <v>Josh</v>
      </c>
      <c r="C28" s="40" t="s">
        <v>344</v>
      </c>
    </row>
    <row r="29" spans="1:8" ht="15" customHeight="1" x14ac:dyDescent="0.2">
      <c r="A29" s="95" t="s">
        <v>345</v>
      </c>
      <c r="B29" s="38" t="str">
        <f>INDEX(Calcs!$A$7:$A$20,MATCH(MAX(Calcs!$M$7:$M$20),Calcs!$M$7:$M$20,0))</f>
        <v>Daniel (Ferret)</v>
      </c>
      <c r="C29" s="40" t="s">
        <v>346</v>
      </c>
    </row>
    <row r="30" spans="1:8" ht="15" customHeight="1" x14ac:dyDescent="0.2">
      <c r="A30" s="95" t="s">
        <v>347</v>
      </c>
      <c r="B30" s="38" t="str">
        <f ca="1">INDEX(Dashboard!$B$5:$B$18,MATCH(MAX(Dashboard!$D$5:$D$18),Dashboard!$D$5:$D$18,0))</f>
        <v>Shawn</v>
      </c>
      <c r="C30" s="40" t="s">
        <v>348</v>
      </c>
    </row>
    <row r="31" spans="1:8" ht="15" customHeight="1" x14ac:dyDescent="0.2">
      <c r="A31" s="95" t="s">
        <v>349</v>
      </c>
      <c r="B31" s="38" t="str">
        <f ca="1">INDEX(Dashboard!$B$5:$B$18,MATCH(MAX(Dashboard!$K$5:$K$18),Dashboard!$K$5:$K$18,0))</f>
        <v>Daniel (Ferret)</v>
      </c>
      <c r="C31" s="40" t="s">
        <v>350</v>
      </c>
    </row>
    <row r="32" spans="1:8" ht="15" customHeight="1" x14ac:dyDescent="0.2">
      <c r="A32" s="95" t="s">
        <v>351</v>
      </c>
      <c r="B32" s="38" t="str">
        <f>INDEX(Calcs!$A$7:$A$20,MATCH(MAX(Calcs!$N$7:$N$20),Calcs!$N$7:$N$20,0))</f>
        <v>Dean B</v>
      </c>
      <c r="C32" s="40" t="s">
        <v>352</v>
      </c>
    </row>
    <row r="33" spans="1:3" ht="15" customHeight="1" x14ac:dyDescent="0.2">
      <c r="A33" s="95" t="s">
        <v>353</v>
      </c>
      <c r="B33" s="38" t="str">
        <f ca="1">INDEX(Dashboard!$B$5:$B$18,MATCH(MIN(Dashboard!$C$5:$C$18),Dashboard!$C$5:$C$18,0))</f>
        <v>Cody</v>
      </c>
      <c r="C33" s="40" t="s">
        <v>354</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H38" zoomScale="140" zoomScaleNormal="140" workbookViewId="0">
      <selection activeCell="Y58" sqref="Y58:Y7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Dean B leads the title race — 86 points clear of Josh.</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Wide open up top — nobody on a win streak right now.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Simon can't take a trick — 7 losses on the spin, well overdue a win.</v>
      </c>
      <c r="B7" s="97"/>
      <c r="C7" s="97"/>
      <c r="D7" s="102"/>
      <c r="E7" s="103"/>
      <c r="F7" s="97"/>
    </row>
    <row r="8" spans="1:6" ht="15" customHeight="1" x14ac:dyDescent="0.2">
      <c r="A8" s="98" t="str">
        <f>IF(MAX(Calcs!$L$7:$L$20)&gt;0,"📈  "&amp;INDEX(Calcs!$A$7:$A$20,MATCH(MAX(Calcs!$L$7:$L$20),Calcs!$L$7:$L$20,0))&amp;" is surging — up "&amp;MAX(Calcs!$L$7:$L$20)&amp;" place(s) since last week.","📊  Standings holding steady — no big movers this week.")</f>
        <v>📈  Dean M is surging — up 5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9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103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Shawn rules Mario Golf — the family's most-played game with 33 contests.</v>
      </c>
      <c r="B11" s="97"/>
      <c r="C11" s="97"/>
      <c r="D11" s="102"/>
      <c r="E11" s="103"/>
      <c r="F11" s="97"/>
    </row>
    <row r="12" spans="1:6" ht="15" customHeight="1" x14ac:dyDescent="0.2">
      <c r="A12" s="98" t="str">
        <f>"🎲  "&amp;MAX('Match Log'!$A$4:$A$810)&amp;" games played across "&amp;COUNTIF('Sport Records'!$P$8:$P$32,"&gt;0")&amp;" different sports — and counting."</f>
        <v>🎲  220 games played across 18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Dean B</v>
      </c>
      <c r="C17" s="107">
        <f>ROUND(LARGE(Calcs!$B$7:$B$20,1),0)</f>
        <v>1242</v>
      </c>
      <c r="D17" s="109" t="str">
        <f>IF(1=1,"— leader —",ROUND(MAX(Calcs!$B$7:$B$20)-LARGE(Calcs!$B$7:$B$20,1),0)&amp;" behind")</f>
        <v>— leader —</v>
      </c>
      <c r="E17" s="105"/>
      <c r="F17" s="27"/>
    </row>
    <row r="18" spans="1:6" ht="15" customHeight="1" x14ac:dyDescent="0.2">
      <c r="A18" s="110">
        <v>2</v>
      </c>
      <c r="B18" s="62" t="str">
        <f>INDEX(Calcs!$A$7:$A$20,MATCH(LARGE(Calcs!$B$7:$B$20,2),Calcs!$B$7:$B$20,0))</f>
        <v>Josh</v>
      </c>
      <c r="C18" s="110">
        <f>ROUND(LARGE(Calcs!$B$7:$B$20,2),0)</f>
        <v>1156</v>
      </c>
      <c r="D18" s="111" t="str">
        <f>IF(2=1,"— leader —",ROUND(MAX(Calcs!$B$7:$B$20)-LARGE(Calcs!$B$7:$B$20,2),0)&amp;" behind")</f>
        <v>86 behind</v>
      </c>
      <c r="E18" s="105"/>
      <c r="F18" s="27"/>
    </row>
    <row r="19" spans="1:6" ht="15" customHeight="1" x14ac:dyDescent="0.2">
      <c r="A19" s="110">
        <v>3</v>
      </c>
      <c r="B19" s="62" t="str">
        <f>INDEX(Calcs!$A$7:$A$20,MATCH(LARGE(Calcs!$B$7:$B$20,3),Calcs!$B$7:$B$20,0))</f>
        <v>Daniel (Ferret)</v>
      </c>
      <c r="C19" s="110">
        <f>ROUND(LARGE(Calcs!$B$7:$B$20,3),0)</f>
        <v>1133</v>
      </c>
      <c r="D19" s="111" t="str">
        <f>IF(3=1,"— leader —",ROUND(MAX(Calcs!$B$7:$B$20)-LARGE(Calcs!$B$7:$B$20,3),0)&amp;" behind")</f>
        <v>108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L</v>
      </c>
      <c r="C40" s="113" t="str">
        <f>IFERROR(IF(INDEX('Match Log'!$E$1:$E$810,_xlfn.AGGREGATE(14,6,ROW('Match Log'!$A$4:$A$810)/('Match Log'!$D$4:$D$810=$A40),9))="Win","W","L"),"")</f>
        <v>L</v>
      </c>
      <c r="D40" s="113" t="str">
        <f>IFERROR(IF(INDEX('Match Log'!$E$1:$E$810,_xlfn.AGGREGATE(14,6,ROW('Match Log'!$A$4:$A$810)/('Match Log'!$D$4:$D$810=$A40),8))="Win","W","L"),"")</f>
        <v>L</v>
      </c>
      <c r="E40" s="113" t="str">
        <f>IFERROR(IF(INDEX('Match Log'!$E$1:$E$810,_xlfn.AGGREGATE(14,6,ROW('Match Log'!$A$4:$A$810)/('Match Log'!$D$4:$D$810=$A40),7))="Win","W","L"),"")</f>
        <v>L</v>
      </c>
      <c r="F40" s="113" t="str">
        <f>IFERROR(IF(INDEX('Match Log'!$E$1:$E$810,_xlfn.AGGREGATE(14,6,ROW('Match Log'!$A$4:$A$810)/('Match Log'!$D$4:$D$810=$A40),6))="Win","W","L"),"")</f>
        <v>L</v>
      </c>
      <c r="G40" s="113" t="str">
        <f>IFERROR(IF(INDEX('Match Log'!$E$1:$E$810,_xlfn.AGGREGATE(14,6,ROW('Match Log'!$A$4:$A$810)/('Match Log'!$D$4:$D$810=$A40),5))="Win","W","L"),"")</f>
        <v>W</v>
      </c>
      <c r="H40" s="113" t="str">
        <f>IFERROR(IF(INDEX('Match Log'!$E$1:$E$810,_xlfn.AGGREGATE(14,6,ROW('Match Log'!$A$4:$A$810)/('Match Log'!$D$4:$D$810=$A40),4))="Win","W","L"),"")</f>
        <v>L</v>
      </c>
      <c r="I40" s="113" t="str">
        <f>IFERROR(IF(INDEX('Match Log'!$E$1:$E$810,_xlfn.AGGREGATE(14,6,ROW('Match Log'!$A$4:$A$810)/('Match Log'!$D$4:$D$810=$A40),3))="Win","W","L"),"")</f>
        <v>L</v>
      </c>
      <c r="J40" s="113" t="str">
        <f>IFERROR(IF(INDEX('Match Log'!$E$1:$E$810,_xlfn.AGGREGATE(14,6,ROW('Match Log'!$A$4:$A$810)/('Match Log'!$D$4:$D$810=$A40),2))="Win","W","L"),"")</f>
        <v>W</v>
      </c>
      <c r="K40" s="113" t="str">
        <f>IFERROR(IF(INDEX('Match Log'!$E$1:$E$810,_xlfn.AGGREGATE(14,6,ROW('Match Log'!$A$4:$A$810)/('Match Log'!$D$4:$D$810=$A40),1))="Win","W","L"),"")</f>
        <v>L</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L</v>
      </c>
      <c r="C42" s="113" t="str">
        <f>IFERROR(IF(INDEX('Match Log'!$E$1:$E$810,_xlfn.AGGREGATE(14,6,ROW('Match Log'!$A$4:$A$810)/('Match Log'!$D$4:$D$810=$A42),9))="Win","W","L"),"")</f>
        <v>L</v>
      </c>
      <c r="D42" s="113" t="str">
        <f>IFERROR(IF(INDEX('Match Log'!$E$1:$E$810,_xlfn.AGGREGATE(14,6,ROW('Match Log'!$A$4:$A$810)/('Match Log'!$D$4:$D$810=$A42),8))="Win","W","L"),"")</f>
        <v>L</v>
      </c>
      <c r="E42" s="113" t="str">
        <f>IFERROR(IF(INDEX('Match Log'!$E$1:$E$810,_xlfn.AGGREGATE(14,6,ROW('Match Log'!$A$4:$A$810)/('Match Log'!$D$4:$D$810=$A42),7))="Win","W","L"),"")</f>
        <v>W</v>
      </c>
      <c r="F42" s="113" t="str">
        <f>IFERROR(IF(INDEX('Match Log'!$E$1:$E$810,_xlfn.AGGREGATE(14,6,ROW('Match Log'!$A$4:$A$810)/('Match Log'!$D$4:$D$810=$A42),6))="Win","W","L"),"")</f>
        <v>W</v>
      </c>
      <c r="G42" s="113" t="str">
        <f>IFERROR(IF(INDEX('Match Log'!$E$1:$E$810,_xlfn.AGGREGATE(14,6,ROW('Match Log'!$A$4:$A$810)/('Match Log'!$D$4:$D$810=$A42),5))="Win","W","L"),"")</f>
        <v>L</v>
      </c>
      <c r="H42" s="113" t="str">
        <f>IFERROR(IF(INDEX('Match Log'!$E$1:$E$810,_xlfn.AGGREGATE(14,6,ROW('Match Log'!$A$4:$A$810)/('Match Log'!$D$4:$D$810=$A42),4))="Win","W","L"),"")</f>
        <v>W</v>
      </c>
      <c r="I42" s="113" t="str">
        <f>IFERROR(IF(INDEX('Match Log'!$E$1:$E$810,_xlfn.AGGREGATE(14,6,ROW('Match Log'!$A$4:$A$810)/('Match Log'!$D$4:$D$810=$A42),3))="Win","W","L"),"")</f>
        <v>L</v>
      </c>
      <c r="J42" s="113" t="str">
        <f>IFERROR(IF(INDEX('Match Log'!$E$1:$E$810,_xlfn.AGGREGATE(14,6,ROW('Match Log'!$A$4:$A$810)/('Match Log'!$D$4:$D$810=$A42),2))="Win","W","L"),"")</f>
        <v>L</v>
      </c>
      <c r="K42" s="113" t="str">
        <f>IFERROR(IF(INDEX('Match Log'!$E$1:$E$810,_xlfn.AGGREGATE(14,6,ROW('Match Log'!$A$4:$A$810)/('Match Log'!$D$4:$D$810=$A42),1))="Win","W","L"),"")</f>
        <v>L</v>
      </c>
    </row>
    <row r="43" spans="1:21" x14ac:dyDescent="0.2">
      <c r="A43" s="92" t="s">
        <v>18</v>
      </c>
      <c r="B43" s="113" t="str">
        <f>IFERROR(IF(INDEX('Match Log'!$E$1:$E$810,_xlfn.AGGREGATE(14,6,ROW('Match Log'!$A$4:$A$810)/('Match Log'!$D$4:$D$810=$A43),10))="Win","W","L"),"")</f>
        <v>W</v>
      </c>
      <c r="C43" s="113" t="str">
        <f>IFERROR(IF(INDEX('Match Log'!$E$1:$E$810,_xlfn.AGGREGATE(14,6,ROW('Match Log'!$A$4:$A$810)/('Match Log'!$D$4:$D$810=$A43),9))="Win","W","L"),"")</f>
        <v>L</v>
      </c>
      <c r="D43" s="113" t="str">
        <f>IFERROR(IF(INDEX('Match Log'!$E$1:$E$810,_xlfn.AGGREGATE(14,6,ROW('Match Log'!$A$4:$A$810)/('Match Log'!$D$4:$D$810=$A43),8))="Win","W","L"),"")</f>
        <v>W</v>
      </c>
      <c r="E43" s="113" t="str">
        <f>IFERROR(IF(INDEX('Match Log'!$E$1:$E$810,_xlfn.AGGREGATE(14,6,ROW('Match Log'!$A$4:$A$810)/('Match Log'!$D$4:$D$810=$A43),7))="Win","W","L"),"")</f>
        <v>L</v>
      </c>
      <c r="F43" s="113" t="str">
        <f>IFERROR(IF(INDEX('Match Log'!$E$1:$E$810,_xlfn.AGGREGATE(14,6,ROW('Match Log'!$A$4:$A$810)/('Match Log'!$D$4:$D$810=$A43),6))="Win","W","L"),"")</f>
        <v>L</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W</v>
      </c>
      <c r="J43" s="113" t="str">
        <f>IFERROR(IF(INDEX('Match Log'!$E$1:$E$810,_xlfn.AGGREGATE(14,6,ROW('Match Log'!$A$4:$A$810)/('Match Log'!$D$4:$D$810=$A43),2))="Win","W","L"),"")</f>
        <v>W</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L</v>
      </c>
      <c r="F44" s="113" t="str">
        <f>IFERROR(IF(INDEX('Match Log'!$E$1:$E$810,_xlfn.AGGREGATE(14,6,ROW('Match Log'!$A$4:$A$810)/('Match Log'!$D$4:$D$810=$A44),6))="Win","W","L"),"")</f>
        <v>W</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L</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W</v>
      </c>
      <c r="C45" s="113" t="str">
        <f>IFERROR(IF(INDEX('Match Log'!$E$1:$E$810,_xlfn.AGGREGATE(14,6,ROW('Match Log'!$A$4:$A$810)/('Match Log'!$D$4:$D$810=$A45),9))="Win","W","L"),"")</f>
        <v>L</v>
      </c>
      <c r="D45" s="113" t="str">
        <f>IFERROR(IF(INDEX('Match Log'!$E$1:$E$810,_xlfn.AGGREGATE(14,6,ROW('Match Log'!$A$4:$A$810)/('Match Log'!$D$4:$D$810=$A45),8))="Win","W","L"),"")</f>
        <v>W</v>
      </c>
      <c r="E45" s="113" t="str">
        <f>IFERROR(IF(INDEX('Match Log'!$E$1:$E$810,_xlfn.AGGREGATE(14,6,ROW('Match Log'!$A$4:$A$810)/('Match Log'!$D$4:$D$810=$A45),7))="Win","W","L"),"")</f>
        <v>W</v>
      </c>
      <c r="F45" s="113" t="str">
        <f>IFERROR(IF(INDEX('Match Log'!$E$1:$E$810,_xlfn.AGGREGATE(14,6,ROW('Match Log'!$A$4:$A$810)/('Match Log'!$D$4:$D$810=$A45),6))="Win","W","L"),"")</f>
        <v>L</v>
      </c>
      <c r="G45" s="113" t="str">
        <f>IFERROR(IF(INDEX('Match Log'!$E$1:$E$810,_xlfn.AGGREGATE(14,6,ROW('Match Log'!$A$4:$A$810)/('Match Log'!$D$4:$D$810=$A45),5))="Win","W","L"),"")</f>
        <v>W</v>
      </c>
      <c r="H45" s="113" t="str">
        <f>IFERROR(IF(INDEX('Match Log'!$E$1:$E$810,_xlfn.AGGREGATE(14,6,ROW('Match Log'!$A$4:$A$810)/('Match Log'!$D$4:$D$810=$A45),4))="Win","W","L"),"")</f>
        <v>L</v>
      </c>
      <c r="I45" s="113" t="str">
        <f>IFERROR(IF(INDEX('Match Log'!$E$1:$E$810,_xlfn.AGGREGATE(14,6,ROW('Match Log'!$A$4:$A$810)/('Match Log'!$D$4:$D$810=$A45),3))="Win","W","L"),"")</f>
        <v>L</v>
      </c>
      <c r="J45" s="113" t="str">
        <f>IFERROR(IF(INDEX('Match Log'!$E$1:$E$810,_xlfn.AGGREGATE(14,6,ROW('Match Log'!$A$4:$A$810)/('Match Log'!$D$4:$D$810=$A45),2))="Win","W","L"),"")</f>
        <v>L</v>
      </c>
      <c r="K45" s="113" t="str">
        <f>IFERROR(IF(INDEX('Match Log'!$E$1:$E$810,_xlfn.AGGREGATE(14,6,ROW('Match Log'!$A$4:$A$810)/('Match Log'!$D$4:$D$810=$A45),1))="Win","W","L"),"")</f>
        <v>W</v>
      </c>
    </row>
    <row r="46" spans="1:21" x14ac:dyDescent="0.2">
      <c r="A46" s="92" t="s">
        <v>21</v>
      </c>
      <c r="B46" s="113" t="str">
        <f>IFERROR(IF(INDEX('Match Log'!$E$1:$E$810,_xlfn.AGGREGATE(14,6,ROW('Match Log'!$A$4:$A$810)/('Match Log'!$D$4:$D$810=$A46),10))="Win","W","L"),"")</f>
        <v>L</v>
      </c>
      <c r="C46" s="113" t="str">
        <f>IFERROR(IF(INDEX('Match Log'!$E$1:$E$810,_xlfn.AGGREGATE(14,6,ROW('Match Log'!$A$4:$A$810)/('Match Log'!$D$4:$D$810=$A46),9))="Win","W","L"),"")</f>
        <v>W</v>
      </c>
      <c r="D46" s="113" t="str">
        <f>IFERROR(IF(INDEX('Match Log'!$E$1:$E$810,_xlfn.AGGREGATE(14,6,ROW('Match Log'!$A$4:$A$810)/('Match Log'!$D$4:$D$810=$A46),8))="Win","W","L"),"")</f>
        <v>W</v>
      </c>
      <c r="E46" s="113" t="str">
        <f>IFERROR(IF(INDEX('Match Log'!$E$1:$E$810,_xlfn.AGGREGATE(14,6,ROW('Match Log'!$A$4:$A$810)/('Match Log'!$D$4:$D$810=$A46),7))="Win","W","L"),"")</f>
        <v>L</v>
      </c>
      <c r="F46" s="113" t="str">
        <f>IFERROR(IF(INDEX('Match Log'!$E$1:$E$810,_xlfn.AGGREGATE(14,6,ROW('Match Log'!$A$4:$A$810)/('Match Log'!$D$4:$D$810=$A46),6))="Win","W","L"),"")</f>
        <v>L</v>
      </c>
      <c r="G46" s="113" t="str">
        <f>IFERROR(IF(INDEX('Match Log'!$E$1:$E$810,_xlfn.AGGREGATE(14,6,ROW('Match Log'!$A$4:$A$810)/('Match Log'!$D$4:$D$810=$A46),5))="Win","W","L"),"")</f>
        <v>L</v>
      </c>
      <c r="H46" s="113" t="str">
        <f>IFERROR(IF(INDEX('Match Log'!$E$1:$E$810,_xlfn.AGGREGATE(14,6,ROW('Match Log'!$A$4:$A$810)/('Match Log'!$D$4:$D$810=$A46),4))="Win","W","L"),"")</f>
        <v>L</v>
      </c>
      <c r="I46" s="113" t="str">
        <f>IFERROR(IF(INDEX('Match Log'!$E$1:$E$810,_xlfn.AGGREGATE(14,6,ROW('Match Log'!$A$4:$A$810)/('Match Log'!$D$4:$D$810=$A46),3))="Win","W","L"),"")</f>
        <v>L</v>
      </c>
      <c r="J46" s="113" t="str">
        <f>IFERROR(IF(INDEX('Match Log'!$E$1:$E$810,_xlfn.AGGREGATE(14,6,ROW('Match Log'!$A$4:$A$810)/('Match Log'!$D$4:$D$810=$A46),2))="Win","W","L"),"")</f>
        <v>L</v>
      </c>
      <c r="K46" s="113" t="str">
        <f>IFERROR(IF(INDEX('Match Log'!$E$1:$E$810,_xlfn.AGGREGATE(14,6,ROW('Match Log'!$A$4:$A$810)/('Match Log'!$D$4:$D$810=$A46),1))="Win","W","L"),"")</f>
        <v>L</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W</v>
      </c>
      <c r="D47" s="113" t="str">
        <f>IFERROR(IF(INDEX('Match Log'!$E$1:$E$810,_xlfn.AGGREGATE(14,6,ROW('Match Log'!$A$4:$A$810)/('Match Log'!$D$4:$D$810=$A47),8))="Win","W","L"),"")</f>
        <v>L</v>
      </c>
      <c r="E47" s="113" t="str">
        <f>IFERROR(IF(INDEX('Match Log'!$E$1:$E$810,_xlfn.AGGREGATE(14,6,ROW('Match Log'!$A$4:$A$810)/('Match Log'!$D$4:$D$810=$A47),7))="Win","W","L"),"")</f>
        <v>W</v>
      </c>
      <c r="F47" s="113" t="str">
        <f>IFERROR(IF(INDEX('Match Log'!$E$1:$E$810,_xlfn.AGGREGATE(14,6,ROW('Match Log'!$A$4:$A$810)/('Match Log'!$D$4:$D$810=$A47),6))="Win","W","L"),"")</f>
        <v>L</v>
      </c>
      <c r="G47" s="113" t="str">
        <f>IFERROR(IF(INDEX('Match Log'!$E$1:$E$810,_xlfn.AGGREGATE(14,6,ROW('Match Log'!$A$4:$A$810)/('Match Log'!$D$4:$D$810=$A47),5))="Win","W","L"),"")</f>
        <v>L</v>
      </c>
      <c r="H47" s="113" t="str">
        <f>IFERROR(IF(INDEX('Match Log'!$E$1:$E$810,_xlfn.AGGREGATE(14,6,ROW('Match Log'!$A$4:$A$810)/('Match Log'!$D$4:$D$810=$A47),4))="Win","W","L"),"")</f>
        <v>W</v>
      </c>
      <c r="I47" s="113" t="str">
        <f>IFERROR(IF(INDEX('Match Log'!$E$1:$E$810,_xlfn.AGGREGATE(14,6,ROW('Match Log'!$A$4:$A$810)/('Match Log'!$D$4:$D$810=$A47),3))="Win","W","L"),"")</f>
        <v>L</v>
      </c>
      <c r="J47" s="113" t="str">
        <f>IFERROR(IF(INDEX('Match Log'!$E$1:$E$810,_xlfn.AGGREGATE(14,6,ROW('Match Log'!$A$4:$A$810)/('Match Log'!$D$4:$D$810=$A47),2))="Win","W","L"),"")</f>
        <v>W</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L</v>
      </c>
      <c r="D48" s="113" t="str">
        <f>IFERROR(IF(INDEX('Match Log'!$E$1:$E$810,_xlfn.AGGREGATE(14,6,ROW('Match Log'!$A$4:$A$810)/('Match Log'!$D$4:$D$810=$A48),8))="Win","W","L"),"")</f>
        <v>W</v>
      </c>
      <c r="E48" s="113" t="str">
        <f>IFERROR(IF(INDEX('Match Log'!$E$1:$E$810,_xlfn.AGGREGATE(14,6,ROW('Match Log'!$A$4:$A$810)/('Match Log'!$D$4:$D$810=$A48),7))="Win","W","L"),"")</f>
        <v>W</v>
      </c>
      <c r="F48" s="113" t="str">
        <f>IFERROR(IF(INDEX('Match Log'!$E$1:$E$810,_xlfn.AGGREGATE(14,6,ROW('Match Log'!$A$4:$A$810)/('Match Log'!$D$4:$D$810=$A48),6))="Win","W","L"),"")</f>
        <v>W</v>
      </c>
      <c r="G48" s="113" t="str">
        <f>IFERROR(IF(INDEX('Match Log'!$E$1:$E$810,_xlfn.AGGREGATE(14,6,ROW('Match Log'!$A$4:$A$810)/('Match Log'!$D$4:$D$810=$A48),5))="Win","W","L"),"")</f>
        <v>W</v>
      </c>
      <c r="H48" s="113" t="str">
        <f>IFERROR(IF(INDEX('Match Log'!$E$1:$E$810,_xlfn.AGGREGATE(14,6,ROW('Match Log'!$A$4:$A$810)/('Match Log'!$D$4:$D$810=$A48),4))="Win","W","L"),"")</f>
        <v>W</v>
      </c>
      <c r="I48" s="113" t="str">
        <f>IFERROR(IF(INDEX('Match Log'!$E$1:$E$810,_xlfn.AGGREGATE(14,6,ROW('Match Log'!$A$4:$A$810)/('Match Log'!$D$4:$D$810=$A48),3))="Win","W","L"),"")</f>
        <v>W</v>
      </c>
      <c r="J48" s="113" t="str">
        <f>IFERROR(IF(INDEX('Match Log'!$E$1:$E$810,_xlfn.AGGREGATE(14,6,ROW('Match Log'!$A$4:$A$810)/('Match Log'!$D$4:$D$810=$A48),2))="Win","W","L"),"")</f>
        <v>L</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W</v>
      </c>
      <c r="C50" s="113" t="str">
        <f>IFERROR(IF(INDEX('Match Log'!$E$1:$E$810,_xlfn.AGGREGATE(14,6,ROW('Match Log'!$A$4:$A$810)/('Match Log'!$D$4:$D$810=$A50),9))="Win","W","L"),"")</f>
        <v>W</v>
      </c>
      <c r="D50" s="113" t="str">
        <f>IFERROR(IF(INDEX('Match Log'!$E$1:$E$810,_xlfn.AGGREGATE(14,6,ROW('Match Log'!$A$4:$A$810)/('Match Log'!$D$4:$D$810=$A50),8))="Win","W","L"),"")</f>
        <v>L</v>
      </c>
      <c r="E50" s="113" t="str">
        <f>IFERROR(IF(INDEX('Match Log'!$E$1:$E$810,_xlfn.AGGREGATE(14,6,ROW('Match Log'!$A$4:$A$810)/('Match Log'!$D$4:$D$810=$A50),7))="Win","W","L"),"")</f>
        <v>W</v>
      </c>
      <c r="F50" s="113" t="str">
        <f>IFERROR(IF(INDEX('Match Log'!$E$1:$E$810,_xlfn.AGGREGATE(14,6,ROW('Match Log'!$A$4:$A$810)/('Match Log'!$D$4:$D$810=$A50),6))="Win","W","L"),"")</f>
        <v>L</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L</v>
      </c>
      <c r="J50" s="113" t="str">
        <f>IFERROR(IF(INDEX('Match Log'!$E$1:$E$810,_xlfn.AGGREGATE(14,6,ROW('Match Log'!$A$4:$A$810)/('Match Log'!$D$4:$D$810=$A50),2))="Win","W","L"),"")</f>
        <v>L</v>
      </c>
      <c r="K50" s="113" t="str">
        <f>IFERROR(IF(INDEX('Match Log'!$E$1:$E$810,_xlfn.AGGREGATE(14,6,ROW('Match Log'!$A$4:$A$810)/('Match Log'!$D$4:$D$810=$A50),1))="Win","W","L"),"")</f>
        <v>L</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v>
      </c>
      <c r="D58" s="116">
        <f>IFERROR(INDEX('Sport Records'!$B$62:$O$86,MATCH($D$57,'Sport Records'!$A$62:$A$86,0),MATCH($A58,'Sport Records'!$B$61:$O$61,0)),"")</f>
        <v>0.75</v>
      </c>
      <c r="E58" s="116" t="str">
        <f>IFERROR(INDEX('Sport Records'!$B$62:$O$86,MATCH($E$57,'Sport Records'!$A$62:$A$86,0),MATCH($A58,'Sport Records'!$B$61:$O$61,0)),"")</f>
        <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t="str">
        <f>IFERROR(INDEX('Sport Records'!$B$62:$O$86,MATCH($U$57,'Sport Records'!$A$62:$A$86,0),MATCH($A58,'Sport Records'!$B$61:$O$61,0)),"")</f>
        <v/>
      </c>
      <c r="V58" s="27" t="str">
        <f>IFERROR(INDEX('Sport Records'!$B$62:$O$86,MATCH($V$57,'Sport Records'!$A$62:$A$86,0),MATCH($A58,'Sport Records'!$B$61:$O$61,0)),"")</f>
        <v/>
      </c>
      <c r="W58" s="27" t="str">
        <f>IFERROR(INDEX('Sport Records'!$B$62:$O$86,MATCH($W$57,'Sport Records'!$A$62:$A$86,0),MATCH($A58,'Sport Records'!$B$61:$O$61,0)),"")</f>
        <v/>
      </c>
      <c r="X58" s="27" t="str">
        <f>IFERROR(INDEX('Sport Records'!$B$62:$O$86,MATCH($X$57,'Sport Records'!$A$62:$A$86,0),MATCH($A58,'Sport Records'!$B$61:$O$61,0)),"")</f>
        <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1</v>
      </c>
      <c r="C60" s="116" t="str">
        <f>IFERROR(INDEX('Sport Records'!$B$62:$O$86,MATCH($C$57,'Sport Records'!$A$62:$A$86,0),MATCH($A60,'Sport Records'!$B$61:$O$61,0)),"")</f>
        <v/>
      </c>
      <c r="D60" s="116">
        <f>IFERROR(INDEX('Sport Records'!$B$62:$O$86,MATCH($D$57,'Sport Records'!$A$62:$A$86,0),MATCH($A60,'Sport Records'!$B$61:$O$61,0)),"")</f>
        <v>0</v>
      </c>
      <c r="E60" s="116" t="str">
        <f>IFERROR(INDEX('Sport Records'!$B$62:$O$86,MATCH($E$57,'Sport Records'!$A$62:$A$86,0),MATCH($A60,'Sport Records'!$B$61:$O$61,0)),"")</f>
        <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t="str">
        <f>IFERROR(INDEX('Sport Records'!$B$62:$O$86,MATCH($U$57,'Sport Records'!$A$62:$A$86,0),MATCH($A60,'Sport Records'!$B$61:$O$61,0)),"")</f>
        <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t="str">
        <f>IFERROR(INDEX('Sport Records'!$B$62:$O$86,MATCH($C$57,'Sport Records'!$A$62:$A$86,0),MATCH($A61,'Sport Records'!$B$61:$O$61,0)),"")</f>
        <v/>
      </c>
      <c r="D61" s="116" t="str">
        <f>IFERROR(INDEX('Sport Records'!$B$62:$O$86,MATCH($D$57,'Sport Records'!$A$62:$A$86,0),MATCH($A61,'Sport Records'!$B$61:$O$61,0)),"")</f>
        <v/>
      </c>
      <c r="E61" s="116" t="str">
        <f>IFERROR(INDEX('Sport Records'!$B$62:$O$86,MATCH($E$57,'Sport Records'!$A$62:$A$86,0),MATCH($A61,'Sport Records'!$B$61:$O$61,0)),"")</f>
        <v/>
      </c>
      <c r="F61" s="116" t="str">
        <f>IFERROR(INDEX('Sport Records'!$B$62:$O$86,MATCH($F$57,'Sport Records'!$A$62:$A$86,0),MATCH($A61,'Sport Records'!$B$61:$O$61,0)),"")</f>
        <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0.16666666666666666</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0.5</v>
      </c>
      <c r="D63" s="116">
        <f>IFERROR(INDEX('Sport Records'!$B$62:$O$86,MATCH($D$57,'Sport Records'!$A$62:$A$86,0),MATCH($A63,'Sport Records'!$B$61:$O$61,0)),"")</f>
        <v>0.45</v>
      </c>
      <c r="E63" s="116" t="str">
        <f>IFERROR(INDEX('Sport Records'!$B$62:$O$86,MATCH($E$57,'Sport Records'!$A$62:$A$86,0),MATCH($A63,'Sport Records'!$B$61:$O$61,0)),"")</f>
        <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0.5</v>
      </c>
      <c r="K63" s="116" t="str">
        <f>IFERROR(INDEX('Sport Records'!$B$62:$O$86,MATCH($K$57,'Sport Records'!$A$62:$A$86,0),MATCH($A63,'Sport Records'!$B$61:$O$61,0)),"")</f>
        <v/>
      </c>
      <c r="L63" s="116" t="str">
        <f>IFERROR(INDEX('Sport Records'!$B$62:$O$86,MATCH($L$57,'Sport Records'!$A$62:$A$86,0),MATCH($A63,'Sport Records'!$B$61:$O$61,0)),"")</f>
        <v/>
      </c>
      <c r="M63" s="116">
        <f>IFERROR(INDEX('Sport Records'!$B$62:$O$86,MATCH($M$57,'Sport Records'!$A$62:$A$86,0),MATCH($A63,'Sport Records'!$B$61:$O$61,0)),"")</f>
        <v>1</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0.6</v>
      </c>
      <c r="U63" s="27" t="str">
        <f>IFERROR(INDEX('Sport Records'!$B$62:$O$86,MATCH($U$57,'Sport Records'!$A$62:$A$86,0),MATCH($A63,'Sport Records'!$B$61:$O$61,0)),"")</f>
        <v/>
      </c>
      <c r="V63" s="104">
        <f>IFERROR(INDEX('Sport Records'!$B$62:$O$86,MATCH($V$57,'Sport Records'!$A$62:$A$86,0),MATCH($A63,'Sport Records'!$B$61:$O$61,0)),"")</f>
        <v>0.5</v>
      </c>
      <c r="W63" s="104">
        <f>IFERROR(INDEX('Sport Records'!$B$62:$O$86,MATCH($W$57,'Sport Records'!$A$62:$A$86,0),MATCH($A63,'Sport Records'!$B$61:$O$61,0)),"")</f>
        <v>1</v>
      </c>
      <c r="X63" s="104" t="str">
        <f>IFERROR(INDEX('Sport Records'!$B$62:$O$86,MATCH($X$57,'Sport Records'!$A$62:$A$86,0),MATCH($A63,'Sport Records'!$B$61:$O$61,0)),"")</f>
        <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t="str">
        <f>IFERROR(INDEX('Sport Records'!$B$62:$O$86,MATCH($C$57,'Sport Records'!$A$62:$A$86,0),MATCH($A64,'Sport Records'!$B$61:$O$61,0)),"")</f>
        <v/>
      </c>
      <c r="D64" s="116" t="str">
        <f>IFERROR(INDEX('Sport Records'!$B$62:$O$86,MATCH($D$57,'Sport Records'!$A$62:$A$86,0),MATCH($A64,'Sport Records'!$B$61:$O$61,0)),"")</f>
        <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t="str">
        <f>IFERROR(INDEX('Sport Records'!$B$62:$O$86,MATCH($K$57,'Sport Records'!$A$62:$A$86,0),MATCH($A64,'Sport Records'!$B$61:$O$61,0)),"")</f>
        <v/>
      </c>
      <c r="L64" s="116" t="str">
        <f>IFERROR(INDEX('Sport Records'!$B$62:$O$86,MATCH($L$57,'Sport Records'!$A$62:$A$86,0),MATCH($A64,'Sport Records'!$B$61:$O$61,0)),"")</f>
        <v/>
      </c>
      <c r="M64" s="116">
        <f>IFERROR(INDEX('Sport Records'!$B$62:$O$86,MATCH($M$57,'Sport Records'!$A$62:$A$86,0),MATCH($A64,'Sport Records'!$B$61:$O$61,0)),"")</f>
        <v>0</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t="str">
        <f>IFERROR(INDEX('Sport Records'!$B$62:$O$86,MATCH($X$57,'Sport Records'!$A$62:$A$86,0),MATCH($A64,'Sport Records'!$B$61:$O$61,0)),"")</f>
        <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0.66666666666666663</v>
      </c>
      <c r="D65" s="116">
        <f>IFERROR(INDEX('Sport Records'!$B$62:$O$86,MATCH($D$57,'Sport Records'!$A$62:$A$86,0),MATCH($A65,'Sport Records'!$B$61:$O$61,0)),"")</f>
        <v>0.44444444444444442</v>
      </c>
      <c r="E65" s="116" t="str">
        <f>IFERROR(INDEX('Sport Records'!$B$62:$O$86,MATCH($E$57,'Sport Records'!$A$62:$A$86,0),MATCH($A65,'Sport Records'!$B$61:$O$61,0)),"")</f>
        <v/>
      </c>
      <c r="F65" s="116">
        <f>IFERROR(INDEX('Sport Records'!$B$62:$O$86,MATCH($F$57,'Sport Records'!$A$62:$A$86,0),MATCH($A65,'Sport Records'!$B$61:$O$61,0)),"")</f>
        <v>0.5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0.14285714285714285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0.41176470588235292</v>
      </c>
      <c r="U65" s="27" t="str">
        <f>IFERROR(INDEX('Sport Records'!$B$62:$O$86,MATCH($U$57,'Sport Records'!$A$62:$A$86,0),MATCH($A65,'Sport Records'!$B$61:$O$61,0)),"")</f>
        <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0.375</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t="str">
        <f>IFERROR(INDEX('Sport Records'!$B$62:$O$86,MATCH($C$57,'Sport Records'!$A$62:$A$86,0),MATCH($A66,'Sport Records'!$B$61:$O$61,0)),"")</f>
        <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0.55555555555555558</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0.8</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t="str">
        <f>IFERROR(INDEX('Sport Records'!$B$62:$O$86,MATCH($U$57,'Sport Records'!$A$62:$A$86,0),MATCH($A66,'Sport Records'!$B$61:$O$61,0)),"")</f>
        <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t="str">
        <f>IFERROR(INDEX('Sport Records'!$B$62:$O$86,MATCH($C$57,'Sport Records'!$A$62:$A$86,0),MATCH($A68,'Sport Records'!$B$61:$O$61,0)),"")</f>
        <v/>
      </c>
      <c r="D68" s="116">
        <f>IFERROR(INDEX('Sport Records'!$B$62:$O$86,MATCH($D$57,'Sport Records'!$A$62:$A$86,0),MATCH($A68,'Sport Records'!$B$61:$O$61,0)),"")</f>
        <v>0.33333333333333331</v>
      </c>
      <c r="E68" s="116" t="str">
        <f>IFERROR(INDEX('Sport Records'!$B$62:$O$86,MATCH($E$57,'Sport Records'!$A$62:$A$86,0),MATCH($A68,'Sport Records'!$B$61:$O$61,0)),"")</f>
        <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t="str">
        <f>IFERROR(INDEX('Sport Records'!$B$62:$O$86,MATCH($K$57,'Sport Records'!$A$62:$A$86,0),MATCH($A68,'Sport Records'!$B$61:$O$61,0)),"")</f>
        <v/>
      </c>
      <c r="L68" s="116" t="str">
        <f>IFERROR(INDEX('Sport Records'!$B$62:$O$86,MATCH($L$57,'Sport Records'!$A$62:$A$86,0),MATCH($A68,'Sport Records'!$B$61:$O$61,0)),"")</f>
        <v/>
      </c>
      <c r="M68" s="116">
        <f>IFERROR(INDEX('Sport Records'!$B$62:$O$86,MATCH($M$57,'Sport Records'!$A$62:$A$86,0),MATCH($A68,'Sport Records'!$B$61:$O$61,0)),"")</f>
        <v>0.46153846153846156</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t="str">
        <f>IFERROR(INDEX('Sport Records'!$B$62:$O$86,MATCH($U$57,'Sport Records'!$A$62:$A$86,0),MATCH($A68,'Sport Records'!$B$61:$O$61,0)),"")</f>
        <v/>
      </c>
      <c r="V68" s="27" t="str">
        <f>IFERROR(INDEX('Sport Records'!$B$62:$O$86,MATCH($V$57,'Sport Records'!$A$62:$A$86,0),MATCH($A68,'Sport Records'!$B$61:$O$61,0)),"")</f>
        <v/>
      </c>
      <c r="W68" s="27" t="str">
        <f>IFERROR(INDEX('Sport Records'!$B$62:$O$86,MATCH($W$57,'Sport Records'!$A$62:$A$86,0),MATCH($A68,'Sport Records'!$B$61:$O$61,0)),"")</f>
        <v/>
      </c>
      <c r="X68" s="27" t="str">
        <f>IFERROR(INDEX('Sport Records'!$B$62:$O$86,MATCH($X$57,'Sport Records'!$A$62:$A$86,0),MATCH($A68,'Sport Records'!$B$61:$O$61,0)),"")</f>
        <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F471" activePane="bottomRight" state="frozen"/>
      <selection pane="topRight" activeCell="F1" sqref="F1"/>
      <selection pane="bottomLeft" activeCell="A442" sqref="A442"/>
      <selection pane="bottomRight" activeCell="I476" sqref="I476"/>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59" t="s">
        <v>355</v>
      </c>
      <c r="B1" s="141"/>
      <c r="C1" s="141"/>
      <c r="D1" s="141"/>
      <c r="E1" s="141"/>
      <c r="F1" s="141"/>
      <c r="G1" s="141"/>
      <c r="H1" s="141"/>
      <c r="I1" s="141"/>
      <c r="J1" s="141"/>
      <c r="K1" s="141"/>
      <c r="L1" s="141"/>
      <c r="M1" s="141"/>
      <c r="N1" s="141"/>
      <c r="O1" s="141"/>
    </row>
    <row r="2" spans="1:29" ht="15" customHeight="1" x14ac:dyDescent="0.2">
      <c r="A2" s="160" t="s">
        <v>356</v>
      </c>
      <c r="B2" s="141"/>
      <c r="C2" s="141"/>
      <c r="D2" s="141"/>
      <c r="E2" s="141"/>
      <c r="F2" s="141"/>
      <c r="G2" s="141"/>
      <c r="H2" s="141"/>
      <c r="I2" s="141"/>
      <c r="J2" s="141"/>
      <c r="K2" s="141"/>
      <c r="L2" s="141"/>
      <c r="M2" s="141"/>
      <c r="N2" s="141"/>
      <c r="O2" s="141"/>
    </row>
    <row r="3" spans="1:29" ht="15" customHeight="1" x14ac:dyDescent="0.2">
      <c r="A3" s="51" t="s">
        <v>357</v>
      </c>
      <c r="B3" s="51" t="s">
        <v>327</v>
      </c>
      <c r="C3" s="51" t="s">
        <v>241</v>
      </c>
      <c r="D3" s="51" t="s">
        <v>5</v>
      </c>
      <c r="E3" s="51" t="s">
        <v>358</v>
      </c>
      <c r="F3" s="51" t="s">
        <v>359</v>
      </c>
      <c r="G3" s="51" t="s">
        <v>360</v>
      </c>
      <c r="H3" s="51" t="s">
        <v>361</v>
      </c>
      <c r="I3" s="51" t="s">
        <v>141</v>
      </c>
      <c r="J3" s="51" t="s">
        <v>143</v>
      </c>
      <c r="K3" s="51" t="s">
        <v>145</v>
      </c>
      <c r="L3" s="51" t="s">
        <v>147</v>
      </c>
      <c r="M3" s="51" t="s">
        <v>362</v>
      </c>
      <c r="N3" s="51" t="s">
        <v>363</v>
      </c>
      <c r="O3" s="51" t="s">
        <v>364</v>
      </c>
      <c r="P3" s="51" t="s">
        <v>365</v>
      </c>
      <c r="Q3" s="51" t="s">
        <v>366</v>
      </c>
      <c r="R3" s="51" t="s">
        <v>367</v>
      </c>
      <c r="S3" s="51" t="s">
        <v>368</v>
      </c>
      <c r="T3" s="51" t="s">
        <v>369</v>
      </c>
      <c r="U3" s="51" t="s">
        <v>370</v>
      </c>
      <c r="V3" s="51" t="s">
        <v>371</v>
      </c>
      <c r="W3" s="51" t="s">
        <v>372</v>
      </c>
      <c r="X3" s="51" t="s">
        <v>373</v>
      </c>
      <c r="Y3" s="51" t="s">
        <v>374</v>
      </c>
      <c r="Z3" s="51" t="s">
        <v>375</v>
      </c>
      <c r="AA3" s="51" t="s">
        <v>376</v>
      </c>
      <c r="AB3" s="51" t="s">
        <v>377</v>
      </c>
      <c r="AC3" t="s">
        <v>378</v>
      </c>
    </row>
    <row r="4" spans="1:29" ht="15" customHeight="1" x14ac:dyDescent="0.2">
      <c r="A4" s="117">
        <v>1</v>
      </c>
      <c r="B4" s="118">
        <v>46145</v>
      </c>
      <c r="C4" s="119" t="s">
        <v>41</v>
      </c>
      <c r="D4" s="119" t="s">
        <v>19</v>
      </c>
      <c r="E4" s="117" t="s">
        <v>379</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380</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380</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379</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380</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380</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380</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380</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380</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380</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380</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380</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379</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380</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379</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380</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379</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379</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380</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380</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379</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380</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379</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380</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379</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379</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380</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379</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380</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379</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380</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379</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380</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380</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379</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380</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379</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380</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379</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379</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380</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379</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380</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379</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380</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379</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380</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379</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380</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379</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380</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379</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380</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379</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380</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379</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380</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380</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379</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379</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380</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379</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380</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380</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379</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379</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380</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379</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380</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379</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380</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379</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380</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379</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380</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380</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379</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380</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379</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380</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379</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380</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379</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380</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379</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380</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379</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380</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380</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379</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379</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380</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380</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379</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379</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380</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379</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380</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380</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379</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379</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380</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379</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380</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380</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379</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379</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380</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379</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380</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379</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380</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379</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380</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379</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380</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380</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379</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379</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380</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379</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380</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379</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380</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379</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380</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379</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380</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379</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380</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379</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380</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379</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380</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379</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380</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379</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380</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379</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380</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379</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380</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379</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380</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379</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379</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380</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380</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379</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379</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380</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380</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379</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379</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380</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380</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379</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379</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380</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380</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379</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379</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380</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380</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379</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379</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380</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380</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379</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379</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380</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380</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379</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379</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380</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380</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379</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379</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380</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380</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379</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379</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380</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380</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379</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379</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380</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380</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379</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379</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380</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380</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379</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379</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380</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380</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379</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379</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380</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380</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379</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379</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380</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380</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379</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379</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380</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380</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379</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379</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380</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380</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379</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379</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380</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380</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379</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380</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379</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380</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379</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380</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380</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379</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380</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379</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380</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379</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380</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380</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379</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379</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380</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379</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380</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380</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379</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380</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379</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380</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379</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380</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379</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380</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379</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380</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379</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380</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379</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380</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379</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380</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380</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379</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379</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380</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379</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380</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380</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379</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380</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379</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379</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380</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379</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380</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379</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380</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379</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380</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379</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380</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379</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380</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380</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379</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380</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379</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380</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379</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380</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379</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379</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380</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379</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380</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380</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379</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379</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380</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380</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379</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379</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380</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380</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379</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379</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380</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379</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380</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380</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379</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379</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380</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379</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380</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379</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380</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380</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379</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380</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379</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379</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380</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380</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379</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380</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379</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380</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379</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379</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380</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379</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380</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380</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379</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380</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380</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379</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379</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380</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379</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380</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379</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380</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380</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379</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379</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380</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379</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380</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379</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380</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379</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380</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379</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380</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379</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380</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379</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380</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379</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380</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379</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380</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380</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379</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380</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380</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379</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379</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380</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380</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379</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379</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380</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380</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379</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380</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379</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380</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380</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380</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380</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380</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380</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379</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380</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379</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380</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379</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380</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379</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380</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379</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380</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379</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380</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379</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379</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380</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380</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380</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380</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379</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379</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380</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380</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379</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380</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380</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379</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380</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379</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379</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380</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379</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380</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379</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380</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379</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380</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379</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380</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379</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380</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380</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f>IF($D420="","",IF(SUMPRODUCT(MAX(($D$4:$D$810=$D420)*($B$4:$B$810&lt;$B420)*$B$4:$B$810))=0,0,IF(($B420-MAX(SUMPRODUCT(MAX(($D$4:$D$810=$D420)*($B$4:$B$810&lt;$B420)*$B$4:$B$810)),'Guide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380</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f>IF($D421="","",IF(SUMPRODUCT(MAX(($D$4:$D$810=$D421)*($B$4:$B$810&lt;$B421)*$B$4:$B$810))=0,0,IF(($B421-MAX(SUMPRODUCT(MAX(($D$4:$D$810=$D421)*($B$4:$B$810&lt;$B421)*$B$4:$B$810)),'Guide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380</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f>IF($D422="","",IF(SUMPRODUCT(MAX(($D$4:$D$810=$D422)*($B$4:$B$810&lt;$B422)*$B$4:$B$810))=0,0,IF(($B422-MAX(SUMPRODUCT(MAX(($D$4:$D$810=$D422)*($B$4:$B$810&lt;$B422)*$B$4:$B$810)),'Guide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380</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f>IF($D423="","",IF(SUMPRODUCT(MAX(($D$4:$D$810=$D423)*($B$4:$B$810&lt;$B423)*$B$4:$B$810))=0,0,IF(($B423-MAX(SUMPRODUCT(MAX(($D$4:$D$810=$D423)*($B$4:$B$810&lt;$B423)*$B$4:$B$810)),'Guide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379</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f>IF($D424="","",IF(SUMPRODUCT(MAX(($D$4:$D$810=$D424)*($B$4:$B$810&lt;$B424)*$B$4:$B$810))=0,0,IF(($B424-MAX(SUMPRODUCT(MAX(($D$4:$D$810=$D424)*($B$4:$B$810&lt;$B424)*$B$4:$B$810)),'Guide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380</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f>IF($D425="","",IF(SUMPRODUCT(MAX(($D$4:$D$810=$D425)*($B$4:$B$810&lt;$B425)*$B$4:$B$810))=0,0,IF(($B425-MAX(SUMPRODUCT(MAX(($D$4:$D$810=$D425)*($B$4:$B$810&lt;$B425)*$B$4:$B$810)),'Guide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379</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f>IF($D426="","",IF(SUMPRODUCT(MAX(($D$4:$D$810=$D426)*($B$4:$B$810&lt;$B426)*$B$4:$B$810))=0,0,IF(($B426-MAX(SUMPRODUCT(MAX(($D$4:$D$810=$D426)*($B$4:$B$810&lt;$B426)*$B$4:$B$810)),'Guide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379</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f>IF($D427="","",IF(SUMPRODUCT(MAX(($D$4:$D$810=$D427)*($B$4:$B$810&lt;$B427)*$B$4:$B$810))=0,0,IF(($B427-MAX(SUMPRODUCT(MAX(($D$4:$D$810=$D427)*($B$4:$B$810&lt;$B427)*$B$4:$B$810)),'Guide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380</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f>IF($D428="","",IF(SUMPRODUCT(MAX(($D$4:$D$810=$D428)*($B$4:$B$810&lt;$B428)*$B$4:$B$810))=0,0,IF(($B428-MAX(SUMPRODUCT(MAX(($D$4:$D$810=$D428)*($B$4:$B$810&lt;$B428)*$B$4:$B$810)),'Guide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379</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f>IF($D429="","",IF(SUMPRODUCT(MAX(($D$4:$D$810=$D429)*($B$4:$B$810&lt;$B429)*$B$4:$B$810))=0,0,IF(($B429-MAX(SUMPRODUCT(MAX(($D$4:$D$810=$D429)*($B$4:$B$810&lt;$B429)*$B$4:$B$810)),'Guide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380</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f>IF($D430="","",IF(SUMPRODUCT(MAX(($D$4:$D$810=$D430)*($B$4:$B$810&lt;$B430)*$B$4:$B$810))=0,0,IF(($B430-MAX(SUMPRODUCT(MAX(($D$4:$D$810=$D430)*($B$4:$B$810&lt;$B430)*$B$4:$B$810)),'Guide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380</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f>IF($D431="","",IF(SUMPRODUCT(MAX(($D$4:$D$810=$D431)*($B$4:$B$810&lt;$B431)*$B$4:$B$810))=0,0,IF(($B431-MAX(SUMPRODUCT(MAX(($D$4:$D$810=$D431)*($B$4:$B$810&lt;$B431)*$B$4:$B$810)),'Guide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379</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f>IF($D432="","",IF(SUMPRODUCT(MAX(($D$4:$D$810=$D432)*($B$4:$B$810&lt;$B432)*$B$4:$B$810))=0,0,IF(($B432-MAX(SUMPRODUCT(MAX(($D$4:$D$810=$D432)*($B$4:$B$810&lt;$B432)*$B$4:$B$810)),'Guide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380</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f>IF($D433="","",IF(SUMPRODUCT(MAX(($D$4:$D$810=$D433)*($B$4:$B$810&lt;$B433)*$B$4:$B$810))=0,0,IF(($B433-MAX(SUMPRODUCT(MAX(($D$4:$D$810=$D433)*($B$4:$B$810&lt;$B433)*$B$4:$B$810)),'Guide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379</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f>IF($D434="","",IF(SUMPRODUCT(MAX(($D$4:$D$810=$D434)*($B$4:$B$810&lt;$B434)*$B$4:$B$810))=0,0,IF(($B434-MAX(SUMPRODUCT(MAX(($D$4:$D$810=$D434)*($B$4:$B$810&lt;$B434)*$B$4:$B$810)),'Guide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379</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f>IF($D435="","",IF(SUMPRODUCT(MAX(($D$4:$D$810=$D435)*($B$4:$B$810&lt;$B435)*$B$4:$B$810))=0,0,IF(($B435-MAX(SUMPRODUCT(MAX(($D$4:$D$810=$D435)*($B$4:$B$810&lt;$B435)*$B$4:$B$810)),'Guide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380</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f>IF($D436="","",IF(SUMPRODUCT(MAX(($D$4:$D$810=$D436)*($B$4:$B$810&lt;$B436)*$B$4:$B$810))=0,0,IF(($B436-MAX(SUMPRODUCT(MAX(($D$4:$D$810=$D436)*($B$4:$B$810&lt;$B436)*$B$4:$B$810)),'Guide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379</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f>IF($D437="","",IF(SUMPRODUCT(MAX(($D$4:$D$810=$D437)*($B$4:$B$810&lt;$B437)*$B$4:$B$810))=0,0,IF(($B437-MAX(SUMPRODUCT(MAX(($D$4:$D$810=$D437)*($B$4:$B$810&lt;$B437)*$B$4:$B$810)),'Guide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380</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f>IF($D438="","",IF(SUMPRODUCT(MAX(($D$4:$D$810=$D438)*($B$4:$B$810&lt;$B438)*$B$4:$B$810))=0,0,IF(($B438-MAX(SUMPRODUCT(MAX(($D$4:$D$810=$D438)*($B$4:$B$810&lt;$B438)*$B$4:$B$810)),'Guide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380</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f>IF($D439="","",IF(SUMPRODUCT(MAX(($D$4:$D$810=$D439)*($B$4:$B$810&lt;$B439)*$B$4:$B$810))=0,0,IF(($B439-MAX(SUMPRODUCT(MAX(($D$4:$D$810=$D439)*($B$4:$B$810&lt;$B439)*$B$4:$B$810)),'Guide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380</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f>IF($D440="","",IF(SUMPRODUCT(MAX(($D$4:$D$810=$D440)*($B$4:$B$810&lt;$B440)*$B$4:$B$810))=0,0,IF(($B440-MAX(SUMPRODUCT(MAX(($D$4:$D$810=$D440)*($B$4:$B$810&lt;$B440)*$B$4:$B$810)),'Guide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379</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f>IF($D441="","",IF(SUMPRODUCT(MAX(($D$4:$D$810=$D441)*($B$4:$B$810&lt;$B441)*$B$4:$B$810))=0,0,IF(($B441-MAX(SUMPRODUCT(MAX(($D$4:$D$810=$D441)*($B$4:$B$810&lt;$B441)*$B$4:$B$810)),'Guide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380</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f>IF($D442="","",IF(SUMPRODUCT(MAX(($D$4:$D$810=$D442)*($B$4:$B$810&lt;$B442)*$B$4:$B$810))=0,0,IF(($B442-MAX(SUMPRODUCT(MAX(($D$4:$D$810=$D442)*($B$4:$B$810&lt;$B442)*$B$4:$B$810)),'Guide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380</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f>IF($D443="","",IF(SUMPRODUCT(MAX(($D$4:$D$810=$D443)*($B$4:$B$810&lt;$B443)*$B$4:$B$810))=0,0,IF(($B443-MAX(SUMPRODUCT(MAX(($D$4:$D$810=$D443)*($B$4:$B$810&lt;$B443)*$B$4:$B$810)),'Guide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379</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f>IF($D444="","",IF(SUMPRODUCT(MAX(($D$4:$D$810=$D444)*($B$4:$B$810&lt;$B444)*$B$4:$B$810))=0,0,IF(($B444-MAX(SUMPRODUCT(MAX(($D$4:$D$810=$D444)*($B$4:$B$810&lt;$B444)*$B$4:$B$810)),'Guide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380</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f>IF($D445="","",IF(SUMPRODUCT(MAX(($D$4:$D$810=$D445)*($B$4:$B$810&lt;$B445)*$B$4:$B$810))=0,0,IF(($B445-MAX(SUMPRODUCT(MAX(($D$4:$D$810=$D445)*($B$4:$B$810&lt;$B445)*$B$4:$B$810)),'Guide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379</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f>IF($D446="","",IF(SUMPRODUCT(MAX(($D$4:$D$810=$D446)*($B$4:$B$810&lt;$B446)*$B$4:$B$810))=0,0,IF(($B446-MAX(SUMPRODUCT(MAX(($D$4:$D$810=$D446)*($B$4:$B$810&lt;$B446)*$B$4:$B$810)),'Guide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380</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f>IF($D447="","",IF(SUMPRODUCT(MAX(($D$4:$D$810=$D447)*($B$4:$B$810&lt;$B447)*$B$4:$B$810))=0,0,IF(($B447-MAX(SUMPRODUCT(MAX(($D$4:$D$810=$D447)*($B$4:$B$810&lt;$B447)*$B$4:$B$810)),'Guide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379</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f>IF($D448="","",IF(SUMPRODUCT(MAX(($D$4:$D$810=$D448)*($B$4:$B$810&lt;$B448)*$B$4:$B$810))=0,0,IF(($B448-MAX(SUMPRODUCT(MAX(($D$4:$D$810=$D448)*($B$4:$B$810&lt;$B448)*$B$4:$B$810)),'Guide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380</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f>IF($D449="","",IF(SUMPRODUCT(MAX(($D$4:$D$810=$D449)*($B$4:$B$810&lt;$B449)*$B$4:$B$810))=0,0,IF(($B449-MAX(SUMPRODUCT(MAX(($D$4:$D$810=$D449)*($B$4:$B$810&lt;$B449)*$B$4:$B$810)),'Guide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379</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f>IF($D450="","",IF(SUMPRODUCT(MAX(($D$4:$D$810=$D450)*($B$4:$B$810&lt;$B450)*$B$4:$B$810))=0,0,IF(($B450-MAX(SUMPRODUCT(MAX(($D$4:$D$810=$D450)*($B$4:$B$810&lt;$B450)*$B$4:$B$810)),'Guide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380</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f>IF($D451="","",IF(SUMPRODUCT(MAX(($D$4:$D$810=$D451)*($B$4:$B$810&lt;$B451)*$B$4:$B$810))=0,0,IF(($B451-MAX(SUMPRODUCT(MAX(($D$4:$D$810=$D451)*($B$4:$B$810&lt;$B451)*$B$4:$B$810)),'Guide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380</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f>IF($D452="","",IF(SUMPRODUCT(MAX(($D$4:$D$810=$D452)*($B$4:$B$810&lt;$B452)*$B$4:$B$810))=0,0,IF(($B452-MAX(SUMPRODUCT(MAX(($D$4:$D$810=$D452)*($B$4:$B$810&lt;$B452)*$B$4:$B$810)),'Guide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379</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f>IF($D453="","",IF(SUMPRODUCT(MAX(($D$4:$D$810=$D453)*($B$4:$B$810&lt;$B453)*$B$4:$B$810))=0,0,IF(($B453-MAX(SUMPRODUCT(MAX(($D$4:$D$810=$D453)*($B$4:$B$810&lt;$B453)*$B$4:$B$810)),'Guide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379</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f>IF($D454="","",IF(SUMPRODUCT(MAX(($D$4:$D$810=$D454)*($B$4:$B$810&lt;$B454)*$B$4:$B$810))=0,0,IF(($B454-MAX(SUMPRODUCT(MAX(($D$4:$D$810=$D454)*($B$4:$B$810&lt;$B454)*$B$4:$B$810)),'Guide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380</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f>IF($D455="","",IF(SUMPRODUCT(MAX(($D$4:$D$810=$D455)*($B$4:$B$810&lt;$B455)*$B$4:$B$810))=0,0,IF(($B455-MAX(SUMPRODUCT(MAX(($D$4:$D$810=$D455)*($B$4:$B$810&lt;$B455)*$B$4:$B$810)),'Guide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379</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f>IF($D456="","",IF(SUMPRODUCT(MAX(($D$4:$D$810=$D456)*($B$4:$B$810&lt;$B456)*$B$4:$B$810))=0,0,IF(($B456-MAX(SUMPRODUCT(MAX(($D$4:$D$810=$D456)*($B$4:$B$810&lt;$B456)*$B$4:$B$810)),'Guide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380</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f>IF($D457="","",IF(SUMPRODUCT(MAX(($D$4:$D$810=$D457)*($B$4:$B$810&lt;$B457)*$B$4:$B$810))=0,0,IF(($B457-MAX(SUMPRODUCT(MAX(($D$4:$D$810=$D457)*($B$4:$B$810&lt;$B457)*$B$4:$B$810)),'Guide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380</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f>IF($D458="","",IF(SUMPRODUCT(MAX(($D$4:$D$810=$D458)*($B$4:$B$810&lt;$B458)*$B$4:$B$810))=0,0,IF(($B458-MAX(SUMPRODUCT(MAX(($D$4:$D$810=$D458)*($B$4:$B$810&lt;$B458)*$B$4:$B$810)),'Guide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379</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f>IF($D459="","",IF(SUMPRODUCT(MAX(($D$4:$D$810=$D459)*($B$4:$B$810&lt;$B459)*$B$4:$B$810))=0,0,IF(($B459-MAX(SUMPRODUCT(MAX(($D$4:$D$810=$D459)*($B$4:$B$810&lt;$B459)*$B$4:$B$810)),'Guide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379</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f>IF($D460="","",IF(SUMPRODUCT(MAX(($D$4:$D$810=$D460)*($B$4:$B$810&lt;$B460)*$B$4:$B$810))=0,0,IF(($B460-MAX(SUMPRODUCT(MAX(($D$4:$D$810=$D460)*($B$4:$B$810&lt;$B460)*$B$4:$B$810)),'Guide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380</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f>IF($D461="","",IF(SUMPRODUCT(MAX(($D$4:$D$810=$D461)*($B$4:$B$810&lt;$B461)*$B$4:$B$810))=0,0,IF(($B461-MAX(SUMPRODUCT(MAX(($D$4:$D$810=$D461)*($B$4:$B$810&lt;$B461)*$B$4:$B$810)),'Guide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380</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f>IF($D462="","",IF(SUMPRODUCT(MAX(($D$4:$D$810=$D462)*($B$4:$B$810&lt;$B462)*$B$4:$B$810))=0,0,IF(($B462-MAX(SUMPRODUCT(MAX(($D$4:$D$810=$D462)*($B$4:$B$810&lt;$B462)*$B$4:$B$810)),'Guide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379</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f>IF($D463="","",IF(SUMPRODUCT(MAX(($D$4:$D$810=$D463)*($B$4:$B$810&lt;$B463)*$B$4:$B$810))=0,0,IF(($B463-MAX(SUMPRODUCT(MAX(($D$4:$D$810=$D463)*($B$4:$B$810&lt;$B463)*$B$4:$B$810)),'Guide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380</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f>IF($D464="","",IF(SUMPRODUCT(MAX(($D$4:$D$810=$D464)*($B$4:$B$810&lt;$B464)*$B$4:$B$810))=0,0,IF(($B464-MAX(SUMPRODUCT(MAX(($D$4:$D$810=$D464)*($B$4:$B$810&lt;$B464)*$B$4:$B$810)),'Guide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379</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f>IF($D465="","",IF(SUMPRODUCT(MAX(($D$4:$D$810=$D465)*($B$4:$B$810&lt;$B465)*$B$4:$B$810))=0,0,IF(($B465-MAX(SUMPRODUCT(MAX(($D$4:$D$810=$D465)*($B$4:$B$810&lt;$B465)*$B$4:$B$810)),'Guide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380</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f>IF($D466="","",IF(SUMPRODUCT(MAX(($D$4:$D$810=$D466)*($B$4:$B$810&lt;$B466)*$B$4:$B$810))=0,0,IF(($B466-MAX(SUMPRODUCT(MAX(($D$4:$D$810=$D466)*($B$4:$B$810&lt;$B466)*$B$4:$B$810)),'Guide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379</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f>IF($D467="","",IF(SUMPRODUCT(MAX(($D$4:$D$810=$D467)*($B$4:$B$810&lt;$B467)*$B$4:$B$810))=0,0,IF(($B467-MAX(SUMPRODUCT(MAX(($D$4:$D$810=$D467)*($B$4:$B$810&lt;$B467)*$B$4:$B$810)),'Guide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379</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f>IF($D468="","",IF(SUMPRODUCT(MAX(($D$4:$D$810=$D468)*($B$4:$B$810&lt;$B468)*$B$4:$B$810))=0,0,IF(($B468-MAX(SUMPRODUCT(MAX(($D$4:$D$810=$D468)*($B$4:$B$810&lt;$B468)*$B$4:$B$810)),'Guide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380</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f>IF($D469="","",IF(SUMPRODUCT(MAX(($D$4:$D$810=$D469)*($B$4:$B$810&lt;$B469)*$B$4:$B$810))=0,0,IF(($B469-MAX(SUMPRODUCT(MAX(($D$4:$D$810=$D469)*($B$4:$B$810&lt;$B469)*$B$4:$B$810)),'Guide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379</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f>IF($D470="","",IF(SUMPRODUCT(MAX(($D$4:$D$810=$D470)*($B$4:$B$810&lt;$B470)*$B$4:$B$810))=0,0,IF(($B470-MAX(SUMPRODUCT(MAX(($D$4:$D$810=$D470)*($B$4:$B$810&lt;$B470)*$B$4:$B$810)),'Guide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380</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f>IF($D471="","",IF(SUMPRODUCT(MAX(($D$4:$D$810=$D471)*($B$4:$B$810&lt;$B471)*$B$4:$B$810))=0,0,IF(($B471-MAX(SUMPRODUCT(MAX(($D$4:$D$810=$D471)*($B$4:$B$810&lt;$B471)*$B$4:$B$810)),'Guide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380</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f>IF($D472="","",IF(SUMPRODUCT(MAX(($D$4:$D$810=$D472)*($B$4:$B$810&lt;$B472)*$B$4:$B$810))=0,0,IF(($B472-MAX(SUMPRODUCT(MAX(($D$4:$D$810=$D472)*($B$4:$B$810&lt;$B472)*$B$4:$B$810)),'Guide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379</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f>IF($D473="","",IF(SUMPRODUCT(MAX(($D$4:$D$810=$D473)*($B$4:$B$810&lt;$B473)*$B$4:$B$810))=0,0,IF(($B473-MAX(SUMPRODUCT(MAX(($D$4:$D$810=$D473)*($B$4:$B$810&lt;$B473)*$B$4:$B$810)),'Guide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380</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f>IF($D474="","",IF(SUMPRODUCT(MAX(($D$4:$D$810=$D474)*($B$4:$B$810&lt;$B474)*$B$4:$B$810))=0,0,IF(($B474-MAX(SUMPRODUCT(MAX(($D$4:$D$810=$D474)*($B$4:$B$810&lt;$B474)*$B$4:$B$810)),'Guide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380</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f>IF($D475="","",IF(SUMPRODUCT(MAX(($D$4:$D$810=$D475)*($B$4:$B$810&lt;$B475)*$B$4:$B$810))=0,0,IF(($B475-MAX(SUMPRODUCT(MAX(($D$4:$D$810=$D475)*($B$4:$B$810&lt;$B475)*$B$4:$B$810)),'Guide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380</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f>IF($D476="","",IF(SUMPRODUCT(MAX(($D$4:$D$810=$D476)*($B$4:$B$810&lt;$B476)*$B$4:$B$810))=0,0,IF(($B476-MAX(SUMPRODUCT(MAX(($D$4:$D$810=$D476)*($B$4:$B$810&lt;$B476)*$B$4:$B$810)),'Guide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379</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f>IF($D477="","",IF(SUMPRODUCT(MAX(($D$4:$D$810=$D477)*($B$4:$B$810&lt;$B477)*$B$4:$B$810))=0,0,IF(($B477-MAX(SUMPRODUCT(MAX(($D$4:$D$810=$D477)*($B$4:$B$810&lt;$B477)*$B$4:$B$810)),'Guide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380</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f>IF($D478="","",IF(SUMPRODUCT(MAX(($D$4:$D$810=$D478)*($B$4:$B$810&lt;$B478)*$B$4:$B$810))=0,0,IF(($B478-MAX(SUMPRODUCT(MAX(($D$4:$D$810=$D478)*($B$4:$B$810&lt;$B478)*$B$4:$B$810)),'Guide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380</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f>IF($D479="","",IF(SUMPRODUCT(MAX(($D$4:$D$810=$D479)*($B$4:$B$810&lt;$B479)*$B$4:$B$810))=0,0,IF(($B479-MAX(SUMPRODUCT(MAX(($D$4:$D$810=$D479)*($B$4:$B$810&lt;$B479)*$B$4:$B$810)),'Guide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379</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f>IF($D480="","",IF(SUMPRODUCT(MAX(($D$4:$D$810=$D480)*($B$4:$B$810&lt;$B480)*$B$4:$B$810))=0,0,IF(($B480-MAX(SUMPRODUCT(MAX(($D$4:$D$810=$D480)*($B$4:$B$810&lt;$B480)*$B$4:$B$810)),'Guide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379</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f>IF($D481="","",IF(SUMPRODUCT(MAX(($D$4:$D$810=$D481)*($B$4:$B$810&lt;$B481)*$B$4:$B$810))=0,0,IF(($B481-MAX(SUMPRODUCT(MAX(($D$4:$D$810=$D481)*($B$4:$B$810&lt;$B481)*$B$4:$B$810)),'Guide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380</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f>IF($D482="","",IF(SUMPRODUCT(MAX(($D$4:$D$810=$D482)*($B$4:$B$810&lt;$B482)*$B$4:$B$810))=0,0,IF(($B482-MAX(SUMPRODUCT(MAX(($D$4:$D$810=$D482)*($B$4:$B$810&lt;$B482)*$B$4:$B$810)),'Guide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380</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f>IF($D483="","",IF(SUMPRODUCT(MAX(($D$4:$D$810=$D483)*($B$4:$B$810&lt;$B483)*$B$4:$B$810))=0,0,IF(($B483-MAX(SUMPRODUCT(MAX(($D$4:$D$810=$D483)*($B$4:$B$810&lt;$B483)*$B$4:$B$810)),'Guide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380</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f>IF($D484="","",IF(SUMPRODUCT(MAX(($D$4:$D$810=$D484)*($B$4:$B$810&lt;$B484)*$B$4:$B$810))=0,0,IF(($B484-MAX(SUMPRODUCT(MAX(($D$4:$D$810=$D484)*($B$4:$B$810&lt;$B484)*$B$4:$B$810)),'Guide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380</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f>IF($D485="","",IF(SUMPRODUCT(MAX(($D$4:$D$810=$D485)*($B$4:$B$810&lt;$B485)*$B$4:$B$810))=0,0,IF(($B485-MAX(SUMPRODUCT(MAX(($D$4:$D$810=$D485)*($B$4:$B$810&lt;$B485)*$B$4:$B$810)),'Guide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379</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f>IF($D486="","",IF(SUMPRODUCT(MAX(($D$4:$D$810=$D486)*($B$4:$B$810&lt;$B486)*$B$4:$B$810))=0,0,IF(($B486-MAX(SUMPRODUCT(MAX(($D$4:$D$810=$D486)*($B$4:$B$810&lt;$B486)*$B$4:$B$810)),'Guide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379</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f>IF($D487="","",IF(SUMPRODUCT(MAX(($D$4:$D$810=$D487)*($B$4:$B$810&lt;$B487)*$B$4:$B$810))=0,0,IF(($B487-MAX(SUMPRODUCT(MAX(($D$4:$D$810=$D487)*($B$4:$B$810&lt;$B487)*$B$4:$B$810)),'Guide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380</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f>IF($D488="","",IF(SUMPRODUCT(MAX(($D$4:$D$810=$D488)*($B$4:$B$810&lt;$B488)*$B$4:$B$810))=0,0,IF(($B488-MAX(SUMPRODUCT(MAX(($D$4:$D$810=$D488)*($B$4:$B$810&lt;$B488)*$B$4:$B$810)),'Guide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380</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f>IF($D489="","",IF(SUMPRODUCT(MAX(($D$4:$D$810=$D489)*($B$4:$B$810&lt;$B489)*$B$4:$B$810))=0,0,IF(($B489-MAX(SUMPRODUCT(MAX(($D$4:$D$810=$D489)*($B$4:$B$810&lt;$B489)*$B$4:$B$810)),'Guide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379</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f>IF($D490="","",IF(SUMPRODUCT(MAX(($D$4:$D$810=$D490)*($B$4:$B$810&lt;$B490)*$B$4:$B$810))=0,0,IF(($B490-MAX(SUMPRODUCT(MAX(($D$4:$D$810=$D490)*($B$4:$B$810&lt;$B490)*$B$4:$B$810)),'Guide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379</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f>IF($D491="","",IF(SUMPRODUCT(MAX(($D$4:$D$810=$D491)*($B$4:$B$810&lt;$B491)*$B$4:$B$810))=0,0,IF(($B491-MAX(SUMPRODUCT(MAX(($D$4:$D$810=$D491)*($B$4:$B$810&lt;$B491)*$B$4:$B$810)),'Guide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380</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f>IF($D492="","",IF(SUMPRODUCT(MAX(($D$4:$D$810=$D492)*($B$4:$B$810&lt;$B492)*$B$4:$B$810))=0,0,IF(($B492-MAX(SUMPRODUCT(MAX(($D$4:$D$810=$D492)*($B$4:$B$810&lt;$B492)*$B$4:$B$810)),'Guide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380</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f>IF($D493="","",IF(SUMPRODUCT(MAX(($D$4:$D$810=$D493)*($B$4:$B$810&lt;$B493)*$B$4:$B$810))=0,0,IF(($B493-MAX(SUMPRODUCT(MAX(($D$4:$D$810=$D493)*($B$4:$B$810&lt;$B493)*$B$4:$B$810)),'Guide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379</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f>IF($D494="","",IF(SUMPRODUCT(MAX(($D$4:$D$810=$D494)*($B$4:$B$810&lt;$B494)*$B$4:$B$810))=0,0,IF(($B494-MAX(SUMPRODUCT(MAX(($D$4:$D$810=$D494)*($B$4:$B$810&lt;$B494)*$B$4:$B$810)),'Guide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456</v>
      </c>
      <c r="D495" s="119" t="s">
        <v>19</v>
      </c>
      <c r="E495" s="117" t="s">
        <v>379</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f>IF($D495="","",IF(SUMPRODUCT(MAX(($D$4:$D$810=$D495)*($B$4:$B$810&lt;$B495)*$B$4:$B$810))=0,0,IF(($B495-MAX(SUMPRODUCT(MAX(($D$4:$D$810=$D495)*($B$4:$B$810&lt;$B495)*$B$4:$B$810)),'Guide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456</v>
      </c>
      <c r="D496" s="119" t="s">
        <v>22</v>
      </c>
      <c r="E496" s="117" t="s">
        <v>380</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f>IF($D496="","",IF(SUMPRODUCT(MAX(($D$4:$D$810=$D496)*($B$4:$B$810&lt;$B496)*$B$4:$B$810))=0,0,IF(($B496-MAX(SUMPRODUCT(MAX(($D$4:$D$810=$D496)*($B$4:$B$810&lt;$B496)*$B$4:$B$810)),'Guide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456</v>
      </c>
      <c r="D497" s="119" t="s">
        <v>19</v>
      </c>
      <c r="E497" s="117" t="s">
        <v>380</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f>IF($D497="","",IF(SUMPRODUCT(MAX(($D$4:$D$810=$D497)*($B$4:$B$810&lt;$B497)*$B$4:$B$810))=0,0,IF(($B497-MAX(SUMPRODUCT(MAX(($D$4:$D$810=$D497)*($B$4:$B$810&lt;$B497)*$B$4:$B$810)),'Guide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456</v>
      </c>
      <c r="D498" s="119" t="s">
        <v>22</v>
      </c>
      <c r="E498" s="117" t="s">
        <v>379</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f>IF($D498="","",IF(SUMPRODUCT(MAX(($D$4:$D$810=$D498)*($B$4:$B$810&lt;$B498)*$B$4:$B$810))=0,0,IF(($B498-MAX(SUMPRODUCT(MAX(($D$4:$D$810=$D498)*($B$4:$B$810&lt;$B498)*$B$4:$B$810)),'Guide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456</v>
      </c>
      <c r="D499" s="119" t="s">
        <v>19</v>
      </c>
      <c r="E499" s="117" t="s">
        <v>379</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f>IF($D499="","",IF(SUMPRODUCT(MAX(($D$4:$D$810=$D499)*($B$4:$B$810&lt;$B499)*$B$4:$B$810))=0,0,IF(($B499-MAX(SUMPRODUCT(MAX(($D$4:$D$810=$D499)*($B$4:$B$810&lt;$B499)*$B$4:$B$810)),'Guide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456</v>
      </c>
      <c r="D500" s="119" t="s">
        <v>22</v>
      </c>
      <c r="E500" s="117" t="s">
        <v>380</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f>IF($D500="","",IF(SUMPRODUCT(MAX(($D$4:$D$810=$D500)*($B$4:$B$810&lt;$B500)*$B$4:$B$810))=0,0,IF(($B500-MAX(SUMPRODUCT(MAX(($D$4:$D$810=$D500)*($B$4:$B$810&lt;$B500)*$B$4:$B$810)),'Guide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379</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f>IF($D501="","",IF(SUMPRODUCT(MAX(($D$4:$D$810=$D501)*($B$4:$B$810&lt;$B501)*$B$4:$B$810))=0,0,IF(($B501-MAX(SUMPRODUCT(MAX(($D$4:$D$810=$D501)*($B$4:$B$810&lt;$B501)*$B$4:$B$810)),'Guide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380</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f>IF($D502="","",IF(SUMPRODUCT(MAX(($D$4:$D$810=$D502)*($B$4:$B$810&lt;$B502)*$B$4:$B$810))=0,0,IF(($B502-MAX(SUMPRODUCT(MAX(($D$4:$D$810=$D502)*($B$4:$B$810&lt;$B502)*$B$4:$B$810)),'Guide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380</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f>IF($D503="","",IF(SUMPRODUCT(MAX(($D$4:$D$810=$D503)*($B$4:$B$810&lt;$B503)*$B$4:$B$810))=0,0,IF(($B503-MAX(SUMPRODUCT(MAX(($D$4:$D$810=$D503)*($B$4:$B$810&lt;$B503)*$B$4:$B$810)),'Guide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379</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f>IF($D504="","",IF(SUMPRODUCT(MAX(($D$4:$D$810=$D504)*($B$4:$B$810&lt;$B504)*$B$4:$B$810))=0,0,IF(($B504-MAX(SUMPRODUCT(MAX(($D$4:$D$810=$D504)*($B$4:$B$810&lt;$B504)*$B$4:$B$810)),'Guide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379</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f>IF($D505="","",IF(SUMPRODUCT(MAX(($D$4:$D$810=$D505)*($B$4:$B$810&lt;$B505)*$B$4:$B$810))=0,0,IF(($B505-MAX(SUMPRODUCT(MAX(($D$4:$D$810=$D505)*($B$4:$B$810&lt;$B505)*$B$4:$B$810)),'Guide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380</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f>IF($D506="","",IF(SUMPRODUCT(MAX(($D$4:$D$810=$D506)*($B$4:$B$810&lt;$B506)*$B$4:$B$810))=0,0,IF(($B506-MAX(SUMPRODUCT(MAX(($D$4:$D$810=$D506)*($B$4:$B$810&lt;$B506)*$B$4:$B$810)),'Guide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380</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f>IF($D507="","",IF(SUMPRODUCT(MAX(($D$4:$D$810=$D507)*($B$4:$B$810&lt;$B507)*$B$4:$B$810))=0,0,IF(($B507-MAX(SUMPRODUCT(MAX(($D$4:$D$810=$D507)*($B$4:$B$810&lt;$B507)*$B$4:$B$810)),'Guide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379</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f>IF($D508="","",IF(SUMPRODUCT(MAX(($D$4:$D$810=$D508)*($B$4:$B$810&lt;$B508)*$B$4:$B$810))=0,0,IF(($B508-MAX(SUMPRODUCT(MAX(($D$4:$D$810=$D508)*($B$4:$B$810&lt;$B508)*$B$4:$B$810)),'Guide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379</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f>IF($D509="","",IF(SUMPRODUCT(MAX(($D$4:$D$810=$D509)*($B$4:$B$810&lt;$B509)*$B$4:$B$810))=0,0,IF(($B509-MAX(SUMPRODUCT(MAX(($D$4:$D$810=$D509)*($B$4:$B$810&lt;$B509)*$B$4:$B$810)),'Guide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380</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f>IF($D510="","",IF(SUMPRODUCT(MAX(($D$4:$D$810=$D510)*($B$4:$B$810&lt;$B510)*$B$4:$B$810))=0,0,IF(($B510-MAX(SUMPRODUCT(MAX(($D$4:$D$810=$D510)*($B$4:$B$810&lt;$B510)*$B$4:$B$810)),'Guide &amp; Settings'!$C$50))/7-'Guide &amp; Settings'!$C$48&gt;=0,(INT(($B510-MAX(SUMPRODUCT(MAX(($D$4:$D$810=$D510)*($B$4:$B$810&lt;$B510)*$B$4:$B$810)),'Guide &amp; Settings'!$C$50))/7-'Guide &amp; Settings'!$C$48)+1)*'Guide &amp; Settings'!$C$49,0)))</f>
        <v>0</v>
      </c>
    </row>
    <row r="511" spans="1:29" x14ac:dyDescent="0.2">
      <c r="A511" s="117"/>
      <c r="B511" s="118"/>
      <c r="C511" s="119"/>
      <c r="D511" s="119"/>
      <c r="E511" s="117"/>
      <c r="F511" s="120">
        <f t="shared" si="119"/>
        <v>0</v>
      </c>
      <c r="G511" s="121" t="str">
        <f t="shared" si="120"/>
        <v/>
      </c>
      <c r="H511" s="122">
        <f>IF($D511="",0,IFERROR(LOOKUP(2,1/(($D$3:D510=$D511)*($A$3:A510&lt;$A511)),$N$3:N510),'Guide &amp; Settings'!$C$41))</f>
        <v>0</v>
      </c>
      <c r="I511" s="123">
        <f t="shared" si="121"/>
        <v>0</v>
      </c>
      <c r="J511" s="124">
        <f>IF($D511="",0,IF($F511&lt;2,0,IF($E511="Win",('Guide &amp; Settings'!$C$42/(($F511-1)*COUNTIFS($A$4:$A$810,$A511,$E$4:$E$810,"Win")))*SUMIFS($X$4:$X$810,$A$4:$A$810,$A511,$E$4:$E$810,"Loss"),-('Guide &amp; Settings'!$C$42/($F511-1))*$X511)))</f>
        <v>0</v>
      </c>
      <c r="K511" s="124">
        <f>IF($D511="",0,'Guide &amp; Settings'!$C$43*(IF($E511="Win",1,0)-$I511))</f>
        <v>0</v>
      </c>
      <c r="L511" s="125">
        <f>IF($D511="",0,'Guide &amp; Settings'!$C$44*IF($F511&gt;=3,$F511,0))</f>
        <v>0</v>
      </c>
      <c r="M511" s="124">
        <f t="shared" si="122"/>
        <v>0</v>
      </c>
      <c r="N511" s="122">
        <f t="shared" si="123"/>
        <v>0</v>
      </c>
      <c r="O511" s="121" t="str">
        <f t="shared" si="124"/>
        <v/>
      </c>
      <c r="P511">
        <f t="shared" si="125"/>
        <v>0</v>
      </c>
      <c r="Q511">
        <f t="shared" si="126"/>
        <v>0</v>
      </c>
      <c r="R511">
        <f t="shared" si="127"/>
        <v>0</v>
      </c>
      <c r="S511">
        <f t="shared" si="128"/>
        <v>0</v>
      </c>
      <c r="T511" s="89">
        <f t="shared" si="129"/>
        <v>0</v>
      </c>
      <c r="U511" s="126">
        <f>IF($D511="",0,IFERROR(LOOKUP(2,1/(($D$3:D510=$D511)*($C$3:C510=$C511)*($A$3:A510&lt;$A511)),$AB$3:AB510),1000))</f>
        <v>0</v>
      </c>
      <c r="V511" s="126">
        <f t="shared" si="130"/>
        <v>0</v>
      </c>
      <c r="W511">
        <f t="shared" si="131"/>
        <v>0</v>
      </c>
      <c r="X511">
        <f t="shared" si="132"/>
        <v>0</v>
      </c>
      <c r="Y511">
        <f t="shared" si="133"/>
        <v>0</v>
      </c>
      <c r="Z511">
        <f t="shared" si="134"/>
        <v>0</v>
      </c>
      <c r="AA511">
        <f>IF($D511="",0,IF($F511&lt;2,0,IF($E511="Win",('Guide &amp; Settings'!$C$42/(($F511-1)*COUNTIFS($A$4:$A$810,$A511,$E$4:$E$810,"Win")))*SUMIFS($Z$4:$Z$810,$A$4:$A$810,$A511,$E$4:$E$810,"Loss"),-('Guide &amp; Settings'!$C$42/($F511-1))*$Z511)))</f>
        <v>0</v>
      </c>
      <c r="AB511" s="126">
        <f t="shared" si="135"/>
        <v>0</v>
      </c>
      <c r="AC511" s="126"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7"/>
      <c r="B512" s="118"/>
      <c r="C512" s="119"/>
      <c r="D512" s="119"/>
      <c r="E512" s="117"/>
      <c r="F512" s="120">
        <f t="shared" si="119"/>
        <v>0</v>
      </c>
      <c r="G512" s="121" t="str">
        <f t="shared" si="120"/>
        <v/>
      </c>
      <c r="H512" s="122">
        <f>IF($D512="",0,IFERROR(LOOKUP(2,1/(($D$3:D511=$D512)*($A$3:A511&lt;$A512)),$N$3:N511),'Guide &amp; Settings'!$C$41))</f>
        <v>0</v>
      </c>
      <c r="I512" s="123">
        <f t="shared" si="121"/>
        <v>0</v>
      </c>
      <c r="J512" s="124">
        <f>IF($D512="",0,IF($F512&lt;2,0,IF($E512="Win",('Guide &amp; Settings'!$C$42/(($F512-1)*COUNTIFS($A$4:$A$810,$A512,$E$4:$E$810,"Win")))*SUMIFS($X$4:$X$810,$A$4:$A$810,$A512,$E$4:$E$810,"Loss"),-('Guide &amp; Settings'!$C$42/($F512-1))*$X512)))</f>
        <v>0</v>
      </c>
      <c r="K512" s="124">
        <f>IF($D512="",0,'Guide &amp; Settings'!$C$43*(IF($E512="Win",1,0)-$I512))</f>
        <v>0</v>
      </c>
      <c r="L512" s="125">
        <f>IF($D512="",0,'Guide &amp; Settings'!$C$44*IF($F512&gt;=3,$F512,0))</f>
        <v>0</v>
      </c>
      <c r="M512" s="124">
        <f t="shared" si="122"/>
        <v>0</v>
      </c>
      <c r="N512" s="122">
        <f t="shared" si="123"/>
        <v>0</v>
      </c>
      <c r="O512" s="121" t="str">
        <f t="shared" si="124"/>
        <v/>
      </c>
      <c r="P512">
        <f t="shared" si="125"/>
        <v>0</v>
      </c>
      <c r="Q512">
        <f t="shared" si="126"/>
        <v>0</v>
      </c>
      <c r="R512">
        <f t="shared" si="127"/>
        <v>0</v>
      </c>
      <c r="S512">
        <f t="shared" si="128"/>
        <v>0</v>
      </c>
      <c r="T512" s="89">
        <f t="shared" si="129"/>
        <v>0</v>
      </c>
      <c r="U512" s="126">
        <f>IF($D512="",0,IFERROR(LOOKUP(2,1/(($D$3:D511=$D512)*($C$3:C511=$C512)*($A$3:A511&lt;$A512)),$AB$3:AB511),1000))</f>
        <v>0</v>
      </c>
      <c r="V512" s="126">
        <f t="shared" si="130"/>
        <v>0</v>
      </c>
      <c r="W512">
        <f t="shared" si="131"/>
        <v>0</v>
      </c>
      <c r="X512">
        <f t="shared" si="132"/>
        <v>0</v>
      </c>
      <c r="Y512">
        <f t="shared" si="133"/>
        <v>0</v>
      </c>
      <c r="Z512">
        <f t="shared" si="134"/>
        <v>0</v>
      </c>
      <c r="AA512">
        <f>IF($D512="",0,IF($F512&lt;2,0,IF($E512="Win",('Guide &amp; Settings'!$C$42/(($F512-1)*COUNTIFS($A$4:$A$810,$A512,$E$4:$E$810,"Win")))*SUMIFS($Z$4:$Z$810,$A$4:$A$810,$A512,$E$4:$E$810,"Loss"),-('Guide &amp; Settings'!$C$42/($F512-1))*$Z512)))</f>
        <v>0</v>
      </c>
      <c r="AB512" s="126">
        <f t="shared" si="135"/>
        <v>0</v>
      </c>
      <c r="AC512" s="126"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7"/>
      <c r="B513" s="118"/>
      <c r="C513" s="119"/>
      <c r="D513" s="119"/>
      <c r="E513" s="117"/>
      <c r="F513" s="120">
        <f t="shared" si="119"/>
        <v>0</v>
      </c>
      <c r="G513" s="121" t="str">
        <f t="shared" si="120"/>
        <v/>
      </c>
      <c r="H513" s="122">
        <f>IF($D513="",0,IFERROR(LOOKUP(2,1/(($D$3:D512=$D513)*($A$3:A512&lt;$A513)),$N$3:N512),'Guide &amp; Settings'!$C$41))</f>
        <v>0</v>
      </c>
      <c r="I513" s="123">
        <f t="shared" si="121"/>
        <v>0</v>
      </c>
      <c r="J513" s="124">
        <f>IF($D513="",0,IF($F513&lt;2,0,IF($E513="Win",('Guide &amp; Settings'!$C$42/(($F513-1)*COUNTIFS($A$4:$A$810,$A513,$E$4:$E$810,"Win")))*SUMIFS($X$4:$X$810,$A$4:$A$810,$A513,$E$4:$E$810,"Loss"),-('Guide &amp; Settings'!$C$42/($F513-1))*$X513)))</f>
        <v>0</v>
      </c>
      <c r="K513" s="124">
        <f>IF($D513="",0,'Guide &amp; Settings'!$C$43*(IF($E513="Win",1,0)-$I513))</f>
        <v>0</v>
      </c>
      <c r="L513" s="125">
        <f>IF($D513="",0,'Guide &amp; Settings'!$C$44*IF($F513&gt;=3,$F513,0))</f>
        <v>0</v>
      </c>
      <c r="M513" s="124">
        <f t="shared" si="122"/>
        <v>0</v>
      </c>
      <c r="N513" s="122">
        <f t="shared" si="123"/>
        <v>0</v>
      </c>
      <c r="O513" s="121" t="str">
        <f t="shared" si="124"/>
        <v/>
      </c>
      <c r="P513">
        <f t="shared" si="125"/>
        <v>0</v>
      </c>
      <c r="Q513">
        <f t="shared" si="126"/>
        <v>0</v>
      </c>
      <c r="R513">
        <f t="shared" si="127"/>
        <v>0</v>
      </c>
      <c r="S513">
        <f t="shared" si="128"/>
        <v>0</v>
      </c>
      <c r="T513" s="89">
        <f t="shared" si="129"/>
        <v>0</v>
      </c>
      <c r="U513" s="126">
        <f>IF($D513="",0,IFERROR(LOOKUP(2,1/(($D$3:D512=$D513)*($C$3:C512=$C513)*($A$3:A512&lt;$A513)),$AB$3:AB512),1000))</f>
        <v>0</v>
      </c>
      <c r="V513" s="126">
        <f t="shared" si="130"/>
        <v>0</v>
      </c>
      <c r="W513">
        <f t="shared" si="131"/>
        <v>0</v>
      </c>
      <c r="X513">
        <f t="shared" si="132"/>
        <v>0</v>
      </c>
      <c r="Y513">
        <f t="shared" si="133"/>
        <v>0</v>
      </c>
      <c r="Z513">
        <f t="shared" si="134"/>
        <v>0</v>
      </c>
      <c r="AA513">
        <f>IF($D513="",0,IF($F513&lt;2,0,IF($E513="Win",('Guide &amp; Settings'!$C$42/(($F513-1)*COUNTIFS($A$4:$A$810,$A513,$E$4:$E$810,"Win")))*SUMIFS($Z$4:$Z$810,$A$4:$A$810,$A513,$E$4:$E$810,"Loss"),-('Guide &amp; Settings'!$C$42/($F513-1))*$Z513)))</f>
        <v>0</v>
      </c>
      <c r="AB513" s="126">
        <f t="shared" si="135"/>
        <v>0</v>
      </c>
      <c r="AC513" s="126"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7"/>
      <c r="B514" s="118"/>
      <c r="C514" s="119"/>
      <c r="D514" s="119"/>
      <c r="E514" s="117"/>
      <c r="F514" s="120">
        <f t="shared" si="119"/>
        <v>0</v>
      </c>
      <c r="G514" s="121" t="str">
        <f t="shared" si="120"/>
        <v/>
      </c>
      <c r="H514" s="122">
        <f>IF($D514="",0,IFERROR(LOOKUP(2,1/(($D$3:D513=$D514)*($A$3:A513&lt;$A514)),$N$3:N513),'Guide &amp; Settings'!$C$41))</f>
        <v>0</v>
      </c>
      <c r="I514" s="123">
        <f t="shared" si="121"/>
        <v>0</v>
      </c>
      <c r="J514" s="124">
        <f>IF($D514="",0,IF($F514&lt;2,0,IF($E514="Win",('Guide &amp; Settings'!$C$42/(($F514-1)*COUNTIFS($A$4:$A$810,$A514,$E$4:$E$810,"Win")))*SUMIFS($X$4:$X$810,$A$4:$A$810,$A514,$E$4:$E$810,"Loss"),-('Guide &amp; Settings'!$C$42/($F514-1))*$X514)))</f>
        <v>0</v>
      </c>
      <c r="K514" s="124">
        <f>IF($D514="",0,'Guide &amp; Settings'!$C$43*(IF($E514="Win",1,0)-$I514))</f>
        <v>0</v>
      </c>
      <c r="L514" s="125">
        <f>IF($D514="",0,'Guide &amp; Settings'!$C$44*IF($F514&gt;=3,$F514,0))</f>
        <v>0</v>
      </c>
      <c r="M514" s="124">
        <f t="shared" si="122"/>
        <v>0</v>
      </c>
      <c r="N514" s="122">
        <f t="shared" si="123"/>
        <v>0</v>
      </c>
      <c r="O514" s="121" t="str">
        <f t="shared" si="124"/>
        <v/>
      </c>
      <c r="P514">
        <f t="shared" si="125"/>
        <v>0</v>
      </c>
      <c r="Q514">
        <f t="shared" si="126"/>
        <v>0</v>
      </c>
      <c r="R514">
        <f t="shared" si="127"/>
        <v>0</v>
      </c>
      <c r="S514">
        <f t="shared" si="128"/>
        <v>0</v>
      </c>
      <c r="T514" s="89">
        <f t="shared" si="129"/>
        <v>0</v>
      </c>
      <c r="U514" s="126">
        <f>IF($D514="",0,IFERROR(LOOKUP(2,1/(($D$3:D513=$D514)*($C$3:C513=$C514)*($A$3:A513&lt;$A514)),$AB$3:AB513),1000))</f>
        <v>0</v>
      </c>
      <c r="V514" s="126">
        <f t="shared" si="130"/>
        <v>0</v>
      </c>
      <c r="W514">
        <f t="shared" si="131"/>
        <v>0</v>
      </c>
      <c r="X514">
        <f t="shared" si="132"/>
        <v>0</v>
      </c>
      <c r="Y514">
        <f t="shared" si="133"/>
        <v>0</v>
      </c>
      <c r="Z514">
        <f t="shared" si="134"/>
        <v>0</v>
      </c>
      <c r="AA514">
        <f>IF($D514="",0,IF($F514&lt;2,0,IF($E514="Win",('Guide &amp; Settings'!$C$42/(($F514-1)*COUNTIFS($A$4:$A$810,$A514,$E$4:$E$810,"Win")))*SUMIFS($Z$4:$Z$810,$A$4:$A$810,$A514,$E$4:$E$810,"Loss"),-('Guide &amp; Settings'!$C$42/($F514-1))*$Z514)))</f>
        <v>0</v>
      </c>
      <c r="AB514" s="126">
        <f t="shared" si="135"/>
        <v>0</v>
      </c>
      <c r="AC514" s="126"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7"/>
      <c r="B515" s="118"/>
      <c r="C515" s="119"/>
      <c r="D515" s="119"/>
      <c r="E515" s="117"/>
      <c r="F515" s="120">
        <f t="shared" si="119"/>
        <v>0</v>
      </c>
      <c r="G515" s="121" t="str">
        <f t="shared" si="120"/>
        <v/>
      </c>
      <c r="H515" s="122">
        <f>IF($D515="",0,IFERROR(LOOKUP(2,1/(($D$3:D514=$D515)*($A$3:A514&lt;$A515)),$N$3:N514),'Guide &amp; Settings'!$C$41))</f>
        <v>0</v>
      </c>
      <c r="I515" s="123">
        <f t="shared" si="121"/>
        <v>0</v>
      </c>
      <c r="J515" s="124">
        <f>IF($D515="",0,IF($F515&lt;2,0,IF($E515="Win",('Guide &amp; Settings'!$C$42/(($F515-1)*COUNTIFS($A$4:$A$810,$A515,$E$4:$E$810,"Win")))*SUMIFS($X$4:$X$810,$A$4:$A$810,$A515,$E$4:$E$810,"Loss"),-('Guide &amp; Settings'!$C$42/($F515-1))*$X515)))</f>
        <v>0</v>
      </c>
      <c r="K515" s="124">
        <f>IF($D515="",0,'Guide &amp; Settings'!$C$43*(IF($E515="Win",1,0)-$I515))</f>
        <v>0</v>
      </c>
      <c r="L515" s="125">
        <f>IF($D515="",0,'Guide &amp; Settings'!$C$44*IF($F515&gt;=3,$F515,0))</f>
        <v>0</v>
      </c>
      <c r="M515" s="124">
        <f t="shared" si="122"/>
        <v>0</v>
      </c>
      <c r="N515" s="122">
        <f t="shared" si="123"/>
        <v>0</v>
      </c>
      <c r="O515" s="121" t="str">
        <f t="shared" si="124"/>
        <v/>
      </c>
      <c r="P515">
        <f t="shared" si="125"/>
        <v>0</v>
      </c>
      <c r="Q515">
        <f t="shared" si="126"/>
        <v>0</v>
      </c>
      <c r="R515">
        <f t="shared" si="127"/>
        <v>0</v>
      </c>
      <c r="S515">
        <f t="shared" si="128"/>
        <v>0</v>
      </c>
      <c r="T515" s="89">
        <f t="shared" si="129"/>
        <v>0</v>
      </c>
      <c r="U515" s="126">
        <f>IF($D515="",0,IFERROR(LOOKUP(2,1/(($D$3:D514=$D515)*($C$3:C514=$C515)*($A$3:A514&lt;$A515)),$AB$3:AB514),1000))</f>
        <v>0</v>
      </c>
      <c r="V515" s="126">
        <f t="shared" si="130"/>
        <v>0</v>
      </c>
      <c r="W515">
        <f t="shared" si="131"/>
        <v>0</v>
      </c>
      <c r="X515">
        <f t="shared" si="132"/>
        <v>0</v>
      </c>
      <c r="Y515">
        <f t="shared" si="133"/>
        <v>0</v>
      </c>
      <c r="Z515">
        <f t="shared" si="134"/>
        <v>0</v>
      </c>
      <c r="AA515">
        <f>IF($D515="",0,IF($F515&lt;2,0,IF($E515="Win",('Guide &amp; Settings'!$C$42/(($F515-1)*COUNTIFS($A$4:$A$810,$A515,$E$4:$E$810,"Win")))*SUMIFS($Z$4:$Z$810,$A$4:$A$810,$A515,$E$4:$E$810,"Loss"),-('Guide &amp; Settings'!$C$42/($F515-1))*$Z515)))</f>
        <v>0</v>
      </c>
      <c r="AB515" s="126">
        <f t="shared" si="135"/>
        <v>0</v>
      </c>
      <c r="AC515" s="126"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7"/>
      <c r="B516" s="118"/>
      <c r="C516" s="119"/>
      <c r="D516" s="119"/>
      <c r="E516" s="117"/>
      <c r="F516" s="120">
        <f t="shared" ref="F516:F579" si="136">IF($D516="",0,COUNTIF($A$4:$A$810,$A516))</f>
        <v>0</v>
      </c>
      <c r="G516" s="121" t="str">
        <f t="shared" ref="G516:G579" si="137">IF($D516="","",IFERROR(LOOKUP(2,1/(($A$4:$A$810=$A516)*($E$4:$E$810="Win")),$D$4:$D$810),"(no winner)"))</f>
        <v/>
      </c>
      <c r="H516" s="122">
        <f>IF($D516="",0,IFERROR(LOOKUP(2,1/(($D$3:D515=$D516)*($A$3:A515&lt;$A516)),$N$3:N515),'Guide &amp; Settings'!$C$41))</f>
        <v>0</v>
      </c>
      <c r="I516" s="123">
        <f t="shared" ref="I516:I579" si="138">IF($D516="",0,IF($S516=0,0,$R516/$S516))</f>
        <v>0</v>
      </c>
      <c r="J516" s="124">
        <f>IF($D516="",0,IF($F516&lt;2,0,IF($E516="Win",('Guide &amp; Settings'!$C$42/(($F516-1)*COUNTIFS($A$4:$A$810,$A516,$E$4:$E$810,"Win")))*SUMIFS($X$4:$X$810,$A$4:$A$810,$A516,$E$4:$E$810,"Loss"),-('Guide &amp; Settings'!$C$42/($F516-1))*$X516)))</f>
        <v>0</v>
      </c>
      <c r="K516" s="124">
        <f>IF($D516="",0,'Guide &amp; Settings'!$C$43*(IF($E516="Win",1,0)-$I516))</f>
        <v>0</v>
      </c>
      <c r="L516" s="125">
        <f>IF($D516="",0,'Guide &amp; Settings'!$C$44*IF($F516&gt;=3,$F516,0))</f>
        <v>0</v>
      </c>
      <c r="M516" s="124">
        <f t="shared" ref="M516:M579" si="139">IF($D516="",0,$J516+$K516+$L516)</f>
        <v>0</v>
      </c>
      <c r="N516" s="122">
        <f t="shared" ref="N516:N579" si="140">IF($D516="",0,$H516+$M516)</f>
        <v>0</v>
      </c>
      <c r="O516" s="121" t="str">
        <f t="shared" ref="O516:O579" si="141">IF($D516="","",IF(COUNTIFS($A$4:$A$810,$A516,$E$4:$E$810,"Win")=0,"need a winner",IF(COUNTIFS($A$4:$A$810,$A516,$E$4:$E$810,"Loss")=0,"need a loser",IF(COUNTIFS($A$4:$A$810,$A516,$D$4:$D$810,$D516)&gt;1,"duplicate player","OK"))))</f>
        <v/>
      </c>
      <c r="P516">
        <f t="shared" ref="P516:P579" si="142">IF($D516="",0,IFERROR(SUMIFS($H$4:$H$810,$A$4:$A$810,$A516,$E$4:$E$810,"Win")/COUNTIFS($A$4:$A$810,$A516,$E$4:$E$810,"Win"),0))</f>
        <v>0</v>
      </c>
      <c r="Q516">
        <f t="shared" ref="Q516:Q579" si="143">IF($D516="",0,1/(1+10^(($P516-$H516)/400)))</f>
        <v>0</v>
      </c>
      <c r="R516">
        <f t="shared" ref="R516:R579" si="144">IF($D516="",0,(COUNTIFS($D$4:$D$810,$D516,$C$4:$C$810,$C516,$E$4:$E$810,"Win",$A$4:$A$810,"&lt;"&amp;$A516)+1)/(COUNTIFS($D$4:$D$810,$D516,$C$4:$C$810,$C516,$A$4:$A$810,"&lt;"&amp;$A516)+2))</f>
        <v>0</v>
      </c>
      <c r="S516">
        <f t="shared" ref="S516:S579" si="145">IF($D516="",0,SUMIFS($R$4:$R$810,$A$4:$A$810,$A516))</f>
        <v>0</v>
      </c>
      <c r="T516" s="89">
        <f t="shared" ref="T516:T579" si="146">IF($D516="",0,COUNTIFS($D$4:$D$810,$D516,$C$4:$C$810,$C516,$A$4:$A$810,"&lt;"&amp;$A516))</f>
        <v>0</v>
      </c>
      <c r="U516" s="126">
        <f>IF($D516="",0,IFERROR(LOOKUP(2,1/(($D$3:D515=$D516)*($C$3:C515=$C516)*($A$3:A515&lt;$A516)),$AB$3:AB515),1000))</f>
        <v>0</v>
      </c>
      <c r="V516" s="126">
        <f t="shared" ref="V516:V579" si="147">IF($D516="",0,$U516*($T516/($T516+5))+$H516*(1-$T516/($T516+5)))</f>
        <v>0</v>
      </c>
      <c r="W516">
        <f t="shared" ref="W516:W579" si="148">IF($D516="",0,IFERROR(SUMIFS($V$4:$V$810,$A$4:$A$810,$A516,$E$4:$E$810,"Win")/COUNTIFS($A$4:$A$810,$A516,$E$4:$E$810,"Win"),0))</f>
        <v>0</v>
      </c>
      <c r="X516">
        <f t="shared" ref="X516:X579" si="149">IF($D516="",0,1/(1+10^(($W516-$V516)/400)))</f>
        <v>0</v>
      </c>
      <c r="Y516">
        <f t="shared" ref="Y516:Y579" si="150">IF($D516="",0,IFERROR(SUMIFS($U$4:$U$810,$A$4:$A$810,$A516,$E$4:$E$810,"Win")/COUNTIFS($A$4:$A$810,$A516,$E$4:$E$810,"Win"),0))</f>
        <v>0</v>
      </c>
      <c r="Z516">
        <f t="shared" ref="Z516:Z579" si="151">IF($D516="",0,1/(1+10^(($Y516-$U516)/400)))</f>
        <v>0</v>
      </c>
      <c r="AA516">
        <f>IF($D516="",0,IF($F516&lt;2,0,IF($E516="Win",('Guide &amp; Settings'!$C$42/(($F516-1)*COUNTIFS($A$4:$A$810,$A516,$E$4:$E$810,"Win")))*SUMIFS($Z$4:$Z$810,$A$4:$A$810,$A516,$E$4:$E$810,"Loss"),-('Guide &amp; Settings'!$C$42/($F516-1))*$Z516)))</f>
        <v>0</v>
      </c>
      <c r="AB516" s="126">
        <f t="shared" ref="AB516:AB579" si="152">IF($D516="",0,$U516+$AA516)</f>
        <v>0</v>
      </c>
      <c r="AC516" s="126"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7"/>
      <c r="B517" s="118"/>
      <c r="C517" s="119"/>
      <c r="D517" s="119"/>
      <c r="E517" s="117"/>
      <c r="F517" s="120">
        <f t="shared" si="136"/>
        <v>0</v>
      </c>
      <c r="G517" s="121" t="str">
        <f t="shared" si="137"/>
        <v/>
      </c>
      <c r="H517" s="122">
        <f>IF($D517="",0,IFERROR(LOOKUP(2,1/(($D$3:D516=$D517)*($A$3:A516&lt;$A517)),$N$3:N516),'Guide &amp; Settings'!$C$41))</f>
        <v>0</v>
      </c>
      <c r="I517" s="123">
        <f t="shared" si="138"/>
        <v>0</v>
      </c>
      <c r="J517" s="124">
        <f>IF($D517="",0,IF($F517&lt;2,0,IF($E517="Win",('Guide &amp; Settings'!$C$42/(($F517-1)*COUNTIFS($A$4:$A$810,$A517,$E$4:$E$810,"Win")))*SUMIFS($X$4:$X$810,$A$4:$A$810,$A517,$E$4:$E$810,"Loss"),-('Guide &amp; Settings'!$C$42/($F517-1))*$X517)))</f>
        <v>0</v>
      </c>
      <c r="K517" s="124">
        <f>IF($D517="",0,'Guide &amp; Settings'!$C$43*(IF($E517="Win",1,0)-$I517))</f>
        <v>0</v>
      </c>
      <c r="L517" s="125">
        <f>IF($D517="",0,'Guide &amp; Settings'!$C$44*IF($F517&gt;=3,$F517,0))</f>
        <v>0</v>
      </c>
      <c r="M517" s="124">
        <f t="shared" si="139"/>
        <v>0</v>
      </c>
      <c r="N517" s="122">
        <f t="shared" si="140"/>
        <v>0</v>
      </c>
      <c r="O517" s="121" t="str">
        <f t="shared" si="141"/>
        <v/>
      </c>
      <c r="P517">
        <f t="shared" si="142"/>
        <v>0</v>
      </c>
      <c r="Q517">
        <f t="shared" si="143"/>
        <v>0</v>
      </c>
      <c r="R517">
        <f t="shared" si="144"/>
        <v>0</v>
      </c>
      <c r="S517">
        <f t="shared" si="145"/>
        <v>0</v>
      </c>
      <c r="T517" s="89">
        <f t="shared" si="146"/>
        <v>0</v>
      </c>
      <c r="U517" s="126">
        <f>IF($D517="",0,IFERROR(LOOKUP(2,1/(($D$3:D516=$D517)*($C$3:C516=$C517)*($A$3:A516&lt;$A517)),$AB$3:AB516),1000))</f>
        <v>0</v>
      </c>
      <c r="V517" s="126">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6">
        <f t="shared" si="152"/>
        <v>0</v>
      </c>
      <c r="AC517" s="126"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7"/>
      <c r="B518" s="118"/>
      <c r="C518" s="119"/>
      <c r="D518" s="119"/>
      <c r="E518" s="117"/>
      <c r="F518" s="120">
        <f t="shared" si="136"/>
        <v>0</v>
      </c>
      <c r="G518" s="121" t="str">
        <f t="shared" si="137"/>
        <v/>
      </c>
      <c r="H518" s="122">
        <f>IF($D518="",0,IFERROR(LOOKUP(2,1/(($D$3:D517=$D518)*($A$3:A517&lt;$A518)),$N$3:N517),'Guide &amp; Settings'!$C$41))</f>
        <v>0</v>
      </c>
      <c r="I518" s="123">
        <f t="shared" si="138"/>
        <v>0</v>
      </c>
      <c r="J518" s="124">
        <f>IF($D518="",0,IF($F518&lt;2,0,IF($E518="Win",('Guide &amp; Settings'!$C$42/(($F518-1)*COUNTIFS($A$4:$A$810,$A518,$E$4:$E$810,"Win")))*SUMIFS($X$4:$X$810,$A$4:$A$810,$A518,$E$4:$E$810,"Loss"),-('Guide &amp; Settings'!$C$42/($F518-1))*$X518)))</f>
        <v>0</v>
      </c>
      <c r="K518" s="124">
        <f>IF($D518="",0,'Guide &amp; Settings'!$C$43*(IF($E518="Win",1,0)-$I518))</f>
        <v>0</v>
      </c>
      <c r="L518" s="125">
        <f>IF($D518="",0,'Guide &amp; Settings'!$C$44*IF($F518&gt;=3,$F518,0))</f>
        <v>0</v>
      </c>
      <c r="M518" s="124">
        <f t="shared" si="139"/>
        <v>0</v>
      </c>
      <c r="N518" s="122">
        <f t="shared" si="140"/>
        <v>0</v>
      </c>
      <c r="O518" s="121" t="str">
        <f t="shared" si="141"/>
        <v/>
      </c>
      <c r="P518">
        <f t="shared" si="142"/>
        <v>0</v>
      </c>
      <c r="Q518">
        <f t="shared" si="143"/>
        <v>0</v>
      </c>
      <c r="R518">
        <f t="shared" si="144"/>
        <v>0</v>
      </c>
      <c r="S518">
        <f t="shared" si="145"/>
        <v>0</v>
      </c>
      <c r="T518" s="89">
        <f t="shared" si="146"/>
        <v>0</v>
      </c>
      <c r="U518" s="126">
        <f>IF($D518="",0,IFERROR(LOOKUP(2,1/(($D$3:D517=$D518)*($C$3:C517=$C518)*($A$3:A517&lt;$A518)),$AB$3:AB517),1000))</f>
        <v>0</v>
      </c>
      <c r="V518" s="126">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6">
        <f t="shared" si="152"/>
        <v>0</v>
      </c>
      <c r="AC518" s="126"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7"/>
      <c r="B519" s="118"/>
      <c r="C519" s="119"/>
      <c r="D519" s="119"/>
      <c r="E519" s="117"/>
      <c r="F519" s="120">
        <f t="shared" si="136"/>
        <v>0</v>
      </c>
      <c r="G519" s="121" t="str">
        <f t="shared" si="137"/>
        <v/>
      </c>
      <c r="H519" s="122">
        <f>IF($D519="",0,IFERROR(LOOKUP(2,1/(($D$3:D518=$D519)*($A$3:A518&lt;$A519)),$N$3:N518),'Guide &amp; Settings'!$C$41))</f>
        <v>0</v>
      </c>
      <c r="I519" s="123">
        <f t="shared" si="138"/>
        <v>0</v>
      </c>
      <c r="J519" s="124">
        <f>IF($D519="",0,IF($F519&lt;2,0,IF($E519="Win",('Guide &amp; Settings'!$C$42/(($F519-1)*COUNTIFS($A$4:$A$810,$A519,$E$4:$E$810,"Win")))*SUMIFS($X$4:$X$810,$A$4:$A$810,$A519,$E$4:$E$810,"Loss"),-('Guide &amp; Settings'!$C$42/($F519-1))*$X519)))</f>
        <v>0</v>
      </c>
      <c r="K519" s="124">
        <f>IF($D519="",0,'Guide &amp; Settings'!$C$43*(IF($E519="Win",1,0)-$I519))</f>
        <v>0</v>
      </c>
      <c r="L519" s="125">
        <f>IF($D519="",0,'Guide &amp; Settings'!$C$44*IF($F519&gt;=3,$F519,0))</f>
        <v>0</v>
      </c>
      <c r="M519" s="124">
        <f t="shared" si="139"/>
        <v>0</v>
      </c>
      <c r="N519" s="122">
        <f t="shared" si="140"/>
        <v>0</v>
      </c>
      <c r="O519" s="121" t="str">
        <f t="shared" si="141"/>
        <v/>
      </c>
      <c r="P519">
        <f t="shared" si="142"/>
        <v>0</v>
      </c>
      <c r="Q519">
        <f t="shared" si="143"/>
        <v>0</v>
      </c>
      <c r="R519">
        <f t="shared" si="144"/>
        <v>0</v>
      </c>
      <c r="S519">
        <f t="shared" si="145"/>
        <v>0</v>
      </c>
      <c r="T519" s="89">
        <f t="shared" si="146"/>
        <v>0</v>
      </c>
      <c r="U519" s="126">
        <f>IF($D519="",0,IFERROR(LOOKUP(2,1/(($D$3:D518=$D519)*($C$3:C518=$C519)*($A$3:A518&lt;$A519)),$AB$3:AB518),1000))</f>
        <v>0</v>
      </c>
      <c r="V519" s="126">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6">
        <f t="shared" si="152"/>
        <v>0</v>
      </c>
      <c r="AC519" s="126"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7"/>
      <c r="B520" s="118"/>
      <c r="C520" s="119"/>
      <c r="D520" s="119"/>
      <c r="E520" s="117"/>
      <c r="F520" s="120">
        <f t="shared" si="136"/>
        <v>0</v>
      </c>
      <c r="G520" s="121" t="str">
        <f t="shared" si="137"/>
        <v/>
      </c>
      <c r="H520" s="122">
        <f>IF($D520="",0,IFERROR(LOOKUP(2,1/(($D$3:D519=$D520)*($A$3:A519&lt;$A520)),$N$3:N519),'Guide &amp; Settings'!$C$41))</f>
        <v>0</v>
      </c>
      <c r="I520" s="123">
        <f t="shared" si="138"/>
        <v>0</v>
      </c>
      <c r="J520" s="124">
        <f>IF($D520="",0,IF($F520&lt;2,0,IF($E520="Win",('Guide &amp; Settings'!$C$42/(($F520-1)*COUNTIFS($A$4:$A$810,$A520,$E$4:$E$810,"Win")))*SUMIFS($X$4:$X$810,$A$4:$A$810,$A520,$E$4:$E$810,"Loss"),-('Guide &amp; Settings'!$C$42/($F520-1))*$X520)))</f>
        <v>0</v>
      </c>
      <c r="K520" s="124">
        <f>IF($D520="",0,'Guide &amp; Settings'!$C$43*(IF($E520="Win",1,0)-$I520))</f>
        <v>0</v>
      </c>
      <c r="L520" s="125">
        <f>IF($D520="",0,'Guide &amp; Settings'!$C$44*IF($F520&gt;=3,$F520,0))</f>
        <v>0</v>
      </c>
      <c r="M520" s="124">
        <f t="shared" si="139"/>
        <v>0</v>
      </c>
      <c r="N520" s="122">
        <f t="shared" si="140"/>
        <v>0</v>
      </c>
      <c r="O520" s="121" t="str">
        <f t="shared" si="141"/>
        <v/>
      </c>
      <c r="P520">
        <f t="shared" si="142"/>
        <v>0</v>
      </c>
      <c r="Q520">
        <f t="shared" si="143"/>
        <v>0</v>
      </c>
      <c r="R520">
        <f t="shared" si="144"/>
        <v>0</v>
      </c>
      <c r="S520">
        <f t="shared" si="145"/>
        <v>0</v>
      </c>
      <c r="T520" s="89">
        <f t="shared" si="146"/>
        <v>0</v>
      </c>
      <c r="U520" s="126">
        <f>IF($D520="",0,IFERROR(LOOKUP(2,1/(($D$3:D519=$D520)*($C$3:C519=$C520)*($A$3:A519&lt;$A520)),$AB$3:AB519),1000))</f>
        <v>0</v>
      </c>
      <c r="V520" s="126">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6">
        <f t="shared" si="152"/>
        <v>0</v>
      </c>
      <c r="AC520" s="126"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7"/>
      <c r="B521" s="118"/>
      <c r="C521" s="119"/>
      <c r="D521" s="119"/>
      <c r="E521" s="117"/>
      <c r="F521" s="120">
        <f t="shared" si="136"/>
        <v>0</v>
      </c>
      <c r="G521" s="121" t="str">
        <f t="shared" si="137"/>
        <v/>
      </c>
      <c r="H521" s="122">
        <f>IF($D521="",0,IFERROR(LOOKUP(2,1/(($D$3:D520=$D521)*($A$3:A520&lt;$A521)),$N$3:N520),'Guide &amp; Settings'!$C$41))</f>
        <v>0</v>
      </c>
      <c r="I521" s="123">
        <f t="shared" si="138"/>
        <v>0</v>
      </c>
      <c r="J521" s="124">
        <f>IF($D521="",0,IF($F521&lt;2,0,IF($E521="Win",('Guide &amp; Settings'!$C$42/(($F521-1)*COUNTIFS($A$4:$A$810,$A521,$E$4:$E$810,"Win")))*SUMIFS($X$4:$X$810,$A$4:$A$810,$A521,$E$4:$E$810,"Loss"),-('Guide &amp; Settings'!$C$42/($F521-1))*$X521)))</f>
        <v>0</v>
      </c>
      <c r="K521" s="124">
        <f>IF($D521="",0,'Guide &amp; Settings'!$C$43*(IF($E521="Win",1,0)-$I521))</f>
        <v>0</v>
      </c>
      <c r="L521" s="125">
        <f>IF($D521="",0,'Guide &amp; Settings'!$C$44*IF($F521&gt;=3,$F521,0))</f>
        <v>0</v>
      </c>
      <c r="M521" s="124">
        <f t="shared" si="139"/>
        <v>0</v>
      </c>
      <c r="N521" s="122">
        <f t="shared" si="140"/>
        <v>0</v>
      </c>
      <c r="O521" s="121" t="str">
        <f t="shared" si="141"/>
        <v/>
      </c>
      <c r="P521">
        <f t="shared" si="142"/>
        <v>0</v>
      </c>
      <c r="Q521">
        <f t="shared" si="143"/>
        <v>0</v>
      </c>
      <c r="R521">
        <f t="shared" si="144"/>
        <v>0</v>
      </c>
      <c r="S521">
        <f t="shared" si="145"/>
        <v>0</v>
      </c>
      <c r="T521" s="89">
        <f t="shared" si="146"/>
        <v>0</v>
      </c>
      <c r="U521" s="126">
        <f>IF($D521="",0,IFERROR(LOOKUP(2,1/(($D$3:D520=$D521)*($C$3:C520=$C521)*($A$3:A520&lt;$A521)),$AB$3:AB520),1000))</f>
        <v>0</v>
      </c>
      <c r="V521" s="126">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6">
        <f t="shared" si="152"/>
        <v>0</v>
      </c>
      <c r="AC521" s="126"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7"/>
      <c r="B522" s="118"/>
      <c r="C522" s="119"/>
      <c r="D522" s="119"/>
      <c r="E522" s="117"/>
      <c r="F522" s="120">
        <f t="shared" si="136"/>
        <v>0</v>
      </c>
      <c r="G522" s="121" t="str">
        <f t="shared" si="137"/>
        <v/>
      </c>
      <c r="H522" s="122">
        <f>IF($D522="",0,IFERROR(LOOKUP(2,1/(($D$3:D521=$D522)*($A$3:A521&lt;$A522)),$N$3:N521),'Guide &amp; Settings'!$C$41))</f>
        <v>0</v>
      </c>
      <c r="I522" s="123">
        <f t="shared" si="138"/>
        <v>0</v>
      </c>
      <c r="J522" s="124">
        <f>IF($D522="",0,IF($F522&lt;2,0,IF($E522="Win",('Guide &amp; Settings'!$C$42/(($F522-1)*COUNTIFS($A$4:$A$810,$A522,$E$4:$E$810,"Win")))*SUMIFS($X$4:$X$810,$A$4:$A$810,$A522,$E$4:$E$810,"Loss"),-('Guide &amp; Settings'!$C$42/($F522-1))*$X522)))</f>
        <v>0</v>
      </c>
      <c r="K522" s="124">
        <f>IF($D522="",0,'Guide &amp; Settings'!$C$43*(IF($E522="Win",1,0)-$I522))</f>
        <v>0</v>
      </c>
      <c r="L522" s="125">
        <f>IF($D522="",0,'Guide &amp; Settings'!$C$44*IF($F522&gt;=3,$F522,0))</f>
        <v>0</v>
      </c>
      <c r="M522" s="124">
        <f t="shared" si="139"/>
        <v>0</v>
      </c>
      <c r="N522" s="122">
        <f t="shared" si="140"/>
        <v>0</v>
      </c>
      <c r="O522" s="121" t="str">
        <f t="shared" si="141"/>
        <v/>
      </c>
      <c r="P522">
        <f t="shared" si="142"/>
        <v>0</v>
      </c>
      <c r="Q522">
        <f t="shared" si="143"/>
        <v>0</v>
      </c>
      <c r="R522">
        <f t="shared" si="144"/>
        <v>0</v>
      </c>
      <c r="S522">
        <f t="shared" si="145"/>
        <v>0</v>
      </c>
      <c r="T522" s="89">
        <f t="shared" si="146"/>
        <v>0</v>
      </c>
      <c r="U522" s="126">
        <f>IF($D522="",0,IFERROR(LOOKUP(2,1/(($D$3:D521=$D522)*($C$3:C521=$C522)*($A$3:A521&lt;$A522)),$AB$3:AB521),1000))</f>
        <v>0</v>
      </c>
      <c r="V522" s="126">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6">
        <f t="shared" si="152"/>
        <v>0</v>
      </c>
      <c r="AC522" s="126"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7"/>
      <c r="B523" s="118"/>
      <c r="C523" s="119"/>
      <c r="D523" s="119"/>
      <c r="E523" s="117"/>
      <c r="F523" s="120">
        <f t="shared" si="136"/>
        <v>0</v>
      </c>
      <c r="G523" s="121" t="str">
        <f t="shared" si="137"/>
        <v/>
      </c>
      <c r="H523" s="122">
        <f>IF($D523="",0,IFERROR(LOOKUP(2,1/(($D$3:D522=$D523)*($A$3:A522&lt;$A523)),$N$3:N522),'Guide &amp; Settings'!$C$41))</f>
        <v>0</v>
      </c>
      <c r="I523" s="123">
        <f t="shared" si="138"/>
        <v>0</v>
      </c>
      <c r="J523" s="124">
        <f>IF($D523="",0,IF($F523&lt;2,0,IF($E523="Win",('Guide &amp; Settings'!$C$42/(($F523-1)*COUNTIFS($A$4:$A$810,$A523,$E$4:$E$810,"Win")))*SUMIFS($X$4:$X$810,$A$4:$A$810,$A523,$E$4:$E$810,"Loss"),-('Guide &amp; Settings'!$C$42/($F523-1))*$X523)))</f>
        <v>0</v>
      </c>
      <c r="K523" s="124">
        <f>IF($D523="",0,'Guide &amp; Settings'!$C$43*(IF($E523="Win",1,0)-$I523))</f>
        <v>0</v>
      </c>
      <c r="L523" s="125">
        <f>IF($D523="",0,'Guide &amp; Settings'!$C$44*IF($F523&gt;=3,$F523,0))</f>
        <v>0</v>
      </c>
      <c r="M523" s="124">
        <f t="shared" si="139"/>
        <v>0</v>
      </c>
      <c r="N523" s="122">
        <f t="shared" si="140"/>
        <v>0</v>
      </c>
      <c r="O523" s="121" t="str">
        <f t="shared" si="141"/>
        <v/>
      </c>
      <c r="P523">
        <f t="shared" si="142"/>
        <v>0</v>
      </c>
      <c r="Q523">
        <f t="shared" si="143"/>
        <v>0</v>
      </c>
      <c r="R523">
        <f t="shared" si="144"/>
        <v>0</v>
      </c>
      <c r="S523">
        <f t="shared" si="145"/>
        <v>0</v>
      </c>
      <c r="T523" s="89">
        <f t="shared" si="146"/>
        <v>0</v>
      </c>
      <c r="U523" s="126">
        <f>IF($D523="",0,IFERROR(LOOKUP(2,1/(($D$3:D522=$D523)*($C$3:C522=$C523)*($A$3:A522&lt;$A523)),$AB$3:AB522),1000))</f>
        <v>0</v>
      </c>
      <c r="V523" s="126">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6">
        <f t="shared" si="152"/>
        <v>0</v>
      </c>
      <c r="AC523" s="126"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7"/>
      <c r="B524" s="118"/>
      <c r="C524" s="119"/>
      <c r="D524" s="119"/>
      <c r="E524" s="117"/>
      <c r="F524" s="120">
        <f t="shared" si="136"/>
        <v>0</v>
      </c>
      <c r="G524" s="121" t="str">
        <f t="shared" si="137"/>
        <v/>
      </c>
      <c r="H524" s="122">
        <f>IF($D524="",0,IFERROR(LOOKUP(2,1/(($D$3:D523=$D524)*($A$3:A523&lt;$A524)),$N$3:N523),'Guide &amp; Settings'!$C$41))</f>
        <v>0</v>
      </c>
      <c r="I524" s="123">
        <f t="shared" si="138"/>
        <v>0</v>
      </c>
      <c r="J524" s="124">
        <f>IF($D524="",0,IF($F524&lt;2,0,IF($E524="Win",('Guide &amp; Settings'!$C$42/(($F524-1)*COUNTIFS($A$4:$A$810,$A524,$E$4:$E$810,"Win")))*SUMIFS($X$4:$X$810,$A$4:$A$810,$A524,$E$4:$E$810,"Loss"),-('Guide &amp; Settings'!$C$42/($F524-1))*$X524)))</f>
        <v>0</v>
      </c>
      <c r="K524" s="124">
        <f>IF($D524="",0,'Guide &amp; Settings'!$C$43*(IF($E524="Win",1,0)-$I524))</f>
        <v>0</v>
      </c>
      <c r="L524" s="125">
        <f>IF($D524="",0,'Guide &amp; Settings'!$C$44*IF($F524&gt;=3,$F524,0))</f>
        <v>0</v>
      </c>
      <c r="M524" s="124">
        <f t="shared" si="139"/>
        <v>0</v>
      </c>
      <c r="N524" s="122">
        <f t="shared" si="140"/>
        <v>0</v>
      </c>
      <c r="O524" s="121" t="str">
        <f t="shared" si="141"/>
        <v/>
      </c>
      <c r="P524">
        <f t="shared" si="142"/>
        <v>0</v>
      </c>
      <c r="Q524">
        <f t="shared" si="143"/>
        <v>0</v>
      </c>
      <c r="R524">
        <f t="shared" si="144"/>
        <v>0</v>
      </c>
      <c r="S524">
        <f t="shared" si="145"/>
        <v>0</v>
      </c>
      <c r="T524" s="89">
        <f t="shared" si="146"/>
        <v>0</v>
      </c>
      <c r="U524" s="126">
        <f>IF($D524="",0,IFERROR(LOOKUP(2,1/(($D$3:D523=$D524)*($C$3:C523=$C524)*($A$3:A523&lt;$A524)),$AB$3:AB523),1000))</f>
        <v>0</v>
      </c>
      <c r="V524" s="126">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6">
        <f t="shared" si="152"/>
        <v>0</v>
      </c>
      <c r="AC524" s="126"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7"/>
      <c r="B525" s="118"/>
      <c r="C525" s="119"/>
      <c r="D525" s="119"/>
      <c r="E525" s="117"/>
      <c r="F525" s="120">
        <f t="shared" si="136"/>
        <v>0</v>
      </c>
      <c r="G525" s="121" t="str">
        <f t="shared" si="137"/>
        <v/>
      </c>
      <c r="H525" s="122">
        <f>IF($D525="",0,IFERROR(LOOKUP(2,1/(($D$3:D524=$D525)*($A$3:A524&lt;$A525)),$N$3:N524),'Guide &amp; Settings'!$C$41))</f>
        <v>0</v>
      </c>
      <c r="I525" s="123">
        <f t="shared" si="138"/>
        <v>0</v>
      </c>
      <c r="J525" s="124">
        <f>IF($D525="",0,IF($F525&lt;2,0,IF($E525="Win",('Guide &amp; Settings'!$C$42/(($F525-1)*COUNTIFS($A$4:$A$810,$A525,$E$4:$E$810,"Win")))*SUMIFS($X$4:$X$810,$A$4:$A$810,$A525,$E$4:$E$810,"Loss"),-('Guide &amp; Settings'!$C$42/($F525-1))*$X525)))</f>
        <v>0</v>
      </c>
      <c r="K525" s="124">
        <f>IF($D525="",0,'Guide &amp; Settings'!$C$43*(IF($E525="Win",1,0)-$I525))</f>
        <v>0</v>
      </c>
      <c r="L525" s="125">
        <f>IF($D525="",0,'Guide &amp; Settings'!$C$44*IF($F525&gt;=3,$F525,0))</f>
        <v>0</v>
      </c>
      <c r="M525" s="124">
        <f t="shared" si="139"/>
        <v>0</v>
      </c>
      <c r="N525" s="122">
        <f t="shared" si="140"/>
        <v>0</v>
      </c>
      <c r="O525" s="121" t="str">
        <f t="shared" si="141"/>
        <v/>
      </c>
      <c r="P525">
        <f t="shared" si="142"/>
        <v>0</v>
      </c>
      <c r="Q525">
        <f t="shared" si="143"/>
        <v>0</v>
      </c>
      <c r="R525">
        <f t="shared" si="144"/>
        <v>0</v>
      </c>
      <c r="S525">
        <f t="shared" si="145"/>
        <v>0</v>
      </c>
      <c r="T525" s="89">
        <f t="shared" si="146"/>
        <v>0</v>
      </c>
      <c r="U525" s="126">
        <f>IF($D525="",0,IFERROR(LOOKUP(2,1/(($D$3:D524=$D525)*($C$3:C524=$C525)*($A$3:A524&lt;$A525)),$AB$3:AB524),1000))</f>
        <v>0</v>
      </c>
      <c r="V525" s="126">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6">
        <f t="shared" si="152"/>
        <v>0</v>
      </c>
      <c r="AC525" s="126"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7"/>
      <c r="B526" s="118"/>
      <c r="C526" s="119"/>
      <c r="D526" s="119"/>
      <c r="E526" s="117"/>
      <c r="F526" s="120">
        <f t="shared" si="136"/>
        <v>0</v>
      </c>
      <c r="G526" s="121" t="str">
        <f t="shared" si="137"/>
        <v/>
      </c>
      <c r="H526" s="122">
        <f>IF($D526="",0,IFERROR(LOOKUP(2,1/(($D$3:D525=$D526)*($A$3:A525&lt;$A526)),$N$3:N525),'Guide &amp; Settings'!$C$41))</f>
        <v>0</v>
      </c>
      <c r="I526" s="123">
        <f t="shared" si="138"/>
        <v>0</v>
      </c>
      <c r="J526" s="124">
        <f>IF($D526="",0,IF($F526&lt;2,0,IF($E526="Win",('Guide &amp; Settings'!$C$42/(($F526-1)*COUNTIFS($A$4:$A$810,$A526,$E$4:$E$810,"Win")))*SUMIFS($X$4:$X$810,$A$4:$A$810,$A526,$E$4:$E$810,"Loss"),-('Guide &amp; Settings'!$C$42/($F526-1))*$X526)))</f>
        <v>0</v>
      </c>
      <c r="K526" s="124">
        <f>IF($D526="",0,'Guide &amp; Settings'!$C$43*(IF($E526="Win",1,0)-$I526))</f>
        <v>0</v>
      </c>
      <c r="L526" s="125">
        <f>IF($D526="",0,'Guide &amp; Settings'!$C$44*IF($F526&gt;=3,$F526,0))</f>
        <v>0</v>
      </c>
      <c r="M526" s="124">
        <f t="shared" si="139"/>
        <v>0</v>
      </c>
      <c r="N526" s="122">
        <f t="shared" si="140"/>
        <v>0</v>
      </c>
      <c r="O526" s="121" t="str">
        <f t="shared" si="141"/>
        <v/>
      </c>
      <c r="P526">
        <f t="shared" si="142"/>
        <v>0</v>
      </c>
      <c r="Q526">
        <f t="shared" si="143"/>
        <v>0</v>
      </c>
      <c r="R526">
        <f t="shared" si="144"/>
        <v>0</v>
      </c>
      <c r="S526">
        <f t="shared" si="145"/>
        <v>0</v>
      </c>
      <c r="T526" s="89">
        <f t="shared" si="146"/>
        <v>0</v>
      </c>
      <c r="U526" s="126">
        <f>IF($D526="",0,IFERROR(LOOKUP(2,1/(($D$3:D525=$D526)*($C$3:C525=$C526)*($A$3:A525&lt;$A526)),$AB$3:AB525),1000))</f>
        <v>0</v>
      </c>
      <c r="V526" s="126">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6">
        <f t="shared" si="152"/>
        <v>0</v>
      </c>
      <c r="AC526" s="126"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7"/>
      <c r="B527" s="118"/>
      <c r="C527" s="119"/>
      <c r="D527" s="119"/>
      <c r="E527" s="117"/>
      <c r="F527" s="120">
        <f t="shared" si="136"/>
        <v>0</v>
      </c>
      <c r="G527" s="121" t="str">
        <f t="shared" si="137"/>
        <v/>
      </c>
      <c r="H527" s="122">
        <f>IF($D527="",0,IFERROR(LOOKUP(2,1/(($D$3:D526=$D527)*($A$3:A526&lt;$A527)),$N$3:N526),'Guide &amp; Settings'!$C$41))</f>
        <v>0</v>
      </c>
      <c r="I527" s="123">
        <f t="shared" si="138"/>
        <v>0</v>
      </c>
      <c r="J527" s="124">
        <f>IF($D527="",0,IF($F527&lt;2,0,IF($E527="Win",('Guide &amp; Settings'!$C$42/(($F527-1)*COUNTIFS($A$4:$A$810,$A527,$E$4:$E$810,"Win")))*SUMIFS($X$4:$X$810,$A$4:$A$810,$A527,$E$4:$E$810,"Loss"),-('Guide &amp; Settings'!$C$42/($F527-1))*$X527)))</f>
        <v>0</v>
      </c>
      <c r="K527" s="124">
        <f>IF($D527="",0,'Guide &amp; Settings'!$C$43*(IF($E527="Win",1,0)-$I527))</f>
        <v>0</v>
      </c>
      <c r="L527" s="125">
        <f>IF($D527="",0,'Guide &amp; Settings'!$C$44*IF($F527&gt;=3,$F527,0))</f>
        <v>0</v>
      </c>
      <c r="M527" s="124">
        <f t="shared" si="139"/>
        <v>0</v>
      </c>
      <c r="N527" s="122">
        <f t="shared" si="140"/>
        <v>0</v>
      </c>
      <c r="O527" s="121" t="str">
        <f t="shared" si="141"/>
        <v/>
      </c>
      <c r="P527">
        <f t="shared" si="142"/>
        <v>0</v>
      </c>
      <c r="Q527">
        <f t="shared" si="143"/>
        <v>0</v>
      </c>
      <c r="R527">
        <f t="shared" si="144"/>
        <v>0</v>
      </c>
      <c r="S527">
        <f t="shared" si="145"/>
        <v>0</v>
      </c>
      <c r="T527" s="89">
        <f t="shared" si="146"/>
        <v>0</v>
      </c>
      <c r="U527" s="126">
        <f>IF($D527="",0,IFERROR(LOOKUP(2,1/(($D$3:D526=$D527)*($C$3:C526=$C527)*($A$3:A526&lt;$A527)),$AB$3:AB526),1000))</f>
        <v>0</v>
      </c>
      <c r="V527" s="126">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6">
        <f t="shared" si="152"/>
        <v>0</v>
      </c>
      <c r="AC527" s="126"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7"/>
      <c r="B528" s="118"/>
      <c r="C528" s="119"/>
      <c r="D528" s="119"/>
      <c r="E528" s="117"/>
      <c r="F528" s="120">
        <f t="shared" si="136"/>
        <v>0</v>
      </c>
      <c r="G528" s="121" t="str">
        <f t="shared" si="137"/>
        <v/>
      </c>
      <c r="H528" s="122">
        <f>IF($D528="",0,IFERROR(LOOKUP(2,1/(($D$3:D527=$D528)*($A$3:A527&lt;$A528)),$N$3:N527),'Guide &amp; Settings'!$C$41))</f>
        <v>0</v>
      </c>
      <c r="I528" s="123">
        <f t="shared" si="138"/>
        <v>0</v>
      </c>
      <c r="J528" s="124">
        <f>IF($D528="",0,IF($F528&lt;2,0,IF($E528="Win",('Guide &amp; Settings'!$C$42/(($F528-1)*COUNTIFS($A$4:$A$810,$A528,$E$4:$E$810,"Win")))*SUMIFS($X$4:$X$810,$A$4:$A$810,$A528,$E$4:$E$810,"Loss"),-('Guide &amp; Settings'!$C$42/($F528-1))*$X528)))</f>
        <v>0</v>
      </c>
      <c r="K528" s="124">
        <f>IF($D528="",0,'Guide &amp; Settings'!$C$43*(IF($E528="Win",1,0)-$I528))</f>
        <v>0</v>
      </c>
      <c r="L528" s="125">
        <f>IF($D528="",0,'Guide &amp; Settings'!$C$44*IF($F528&gt;=3,$F528,0))</f>
        <v>0</v>
      </c>
      <c r="M528" s="124">
        <f t="shared" si="139"/>
        <v>0</v>
      </c>
      <c r="N528" s="122">
        <f t="shared" si="140"/>
        <v>0</v>
      </c>
      <c r="O528" s="121" t="str">
        <f t="shared" si="141"/>
        <v/>
      </c>
      <c r="P528">
        <f t="shared" si="142"/>
        <v>0</v>
      </c>
      <c r="Q528">
        <f t="shared" si="143"/>
        <v>0</v>
      </c>
      <c r="R528">
        <f t="shared" si="144"/>
        <v>0</v>
      </c>
      <c r="S528">
        <f t="shared" si="145"/>
        <v>0</v>
      </c>
      <c r="T528" s="89">
        <f t="shared" si="146"/>
        <v>0</v>
      </c>
      <c r="U528" s="126">
        <f>IF($D528="",0,IFERROR(LOOKUP(2,1/(($D$3:D527=$D528)*($C$3:C527=$C528)*($A$3:A527&lt;$A528)),$AB$3:AB527),1000))</f>
        <v>0</v>
      </c>
      <c r="V528" s="126">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6">
        <f t="shared" si="152"/>
        <v>0</v>
      </c>
      <c r="AC528" s="126"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7"/>
      <c r="B529" s="118"/>
      <c r="C529" s="119"/>
      <c r="D529" s="119"/>
      <c r="E529" s="117"/>
      <c r="F529" s="120">
        <f t="shared" si="136"/>
        <v>0</v>
      </c>
      <c r="G529" s="121" t="str">
        <f t="shared" si="137"/>
        <v/>
      </c>
      <c r="H529" s="122">
        <f>IF($D529="",0,IFERROR(LOOKUP(2,1/(($D$3:D528=$D529)*($A$3:A528&lt;$A529)),$N$3:N528),'Guide &amp; Settings'!$C$41))</f>
        <v>0</v>
      </c>
      <c r="I529" s="123">
        <f t="shared" si="138"/>
        <v>0</v>
      </c>
      <c r="J529" s="124">
        <f>IF($D529="",0,IF($F529&lt;2,0,IF($E529="Win",('Guide &amp; Settings'!$C$42/(($F529-1)*COUNTIFS($A$4:$A$810,$A529,$E$4:$E$810,"Win")))*SUMIFS($X$4:$X$810,$A$4:$A$810,$A529,$E$4:$E$810,"Loss"),-('Guide &amp; Settings'!$C$42/($F529-1))*$X529)))</f>
        <v>0</v>
      </c>
      <c r="K529" s="124">
        <f>IF($D529="",0,'Guide &amp; Settings'!$C$43*(IF($E529="Win",1,0)-$I529))</f>
        <v>0</v>
      </c>
      <c r="L529" s="125">
        <f>IF($D529="",0,'Guide &amp; Settings'!$C$44*IF($F529&gt;=3,$F529,0))</f>
        <v>0</v>
      </c>
      <c r="M529" s="124">
        <f t="shared" si="139"/>
        <v>0</v>
      </c>
      <c r="N529" s="122">
        <f t="shared" si="140"/>
        <v>0</v>
      </c>
      <c r="O529" s="121" t="str">
        <f t="shared" si="141"/>
        <v/>
      </c>
      <c r="P529">
        <f t="shared" si="142"/>
        <v>0</v>
      </c>
      <c r="Q529">
        <f t="shared" si="143"/>
        <v>0</v>
      </c>
      <c r="R529">
        <f t="shared" si="144"/>
        <v>0</v>
      </c>
      <c r="S529">
        <f t="shared" si="145"/>
        <v>0</v>
      </c>
      <c r="T529" s="89">
        <f t="shared" si="146"/>
        <v>0</v>
      </c>
      <c r="U529" s="126">
        <f>IF($D529="",0,IFERROR(LOOKUP(2,1/(($D$3:D528=$D529)*($C$3:C528=$C529)*($A$3:A528&lt;$A529)),$AB$3:AB528),1000))</f>
        <v>0</v>
      </c>
      <c r="V529" s="126">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6">
        <f t="shared" si="152"/>
        <v>0</v>
      </c>
      <c r="AC529" s="126"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7"/>
      <c r="B530" s="118"/>
      <c r="C530" s="119"/>
      <c r="D530" s="119"/>
      <c r="E530" s="117"/>
      <c r="F530" s="120">
        <f t="shared" si="136"/>
        <v>0</v>
      </c>
      <c r="G530" s="121" t="str">
        <f t="shared" si="137"/>
        <v/>
      </c>
      <c r="H530" s="122">
        <f>IF($D530="",0,IFERROR(LOOKUP(2,1/(($D$3:D529=$D530)*($A$3:A529&lt;$A530)),$N$3:N529),'Guide &amp; Settings'!$C$41))</f>
        <v>0</v>
      </c>
      <c r="I530" s="123">
        <f t="shared" si="138"/>
        <v>0</v>
      </c>
      <c r="J530" s="124">
        <f>IF($D530="",0,IF($F530&lt;2,0,IF($E530="Win",('Guide &amp; Settings'!$C$42/(($F530-1)*COUNTIFS($A$4:$A$810,$A530,$E$4:$E$810,"Win")))*SUMIFS($X$4:$X$810,$A$4:$A$810,$A530,$E$4:$E$810,"Loss"),-('Guide &amp; Settings'!$C$42/($F530-1))*$X530)))</f>
        <v>0</v>
      </c>
      <c r="K530" s="124">
        <f>IF($D530="",0,'Guide &amp; Settings'!$C$43*(IF($E530="Win",1,0)-$I530))</f>
        <v>0</v>
      </c>
      <c r="L530" s="125">
        <f>IF($D530="",0,'Guide &amp; Settings'!$C$44*IF($F530&gt;=3,$F530,0))</f>
        <v>0</v>
      </c>
      <c r="M530" s="124">
        <f t="shared" si="139"/>
        <v>0</v>
      </c>
      <c r="N530" s="122">
        <f t="shared" si="140"/>
        <v>0</v>
      </c>
      <c r="O530" s="121" t="str">
        <f t="shared" si="141"/>
        <v/>
      </c>
      <c r="P530">
        <f t="shared" si="142"/>
        <v>0</v>
      </c>
      <c r="Q530">
        <f t="shared" si="143"/>
        <v>0</v>
      </c>
      <c r="R530">
        <f t="shared" si="144"/>
        <v>0</v>
      </c>
      <c r="S530">
        <f t="shared" si="145"/>
        <v>0</v>
      </c>
      <c r="T530" s="89">
        <f t="shared" si="146"/>
        <v>0</v>
      </c>
      <c r="U530" s="126">
        <f>IF($D530="",0,IFERROR(LOOKUP(2,1/(($D$3:D529=$D530)*($C$3:C529=$C530)*($A$3:A529&lt;$A530)),$AB$3:AB529),1000))</f>
        <v>0</v>
      </c>
      <c r="V530" s="126">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6">
        <f t="shared" si="152"/>
        <v>0</v>
      </c>
      <c r="AC530" s="126"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7"/>
      <c r="B531" s="118"/>
      <c r="C531" s="119"/>
      <c r="D531" s="119"/>
      <c r="E531" s="117"/>
      <c r="F531" s="120">
        <f t="shared" si="136"/>
        <v>0</v>
      </c>
      <c r="G531" s="121" t="str">
        <f t="shared" si="137"/>
        <v/>
      </c>
      <c r="H531" s="122">
        <f>IF($D531="",0,IFERROR(LOOKUP(2,1/(($D$3:D530=$D531)*($A$3:A530&lt;$A531)),$N$3:N530),'Guide &amp; Settings'!$C$41))</f>
        <v>0</v>
      </c>
      <c r="I531" s="123">
        <f t="shared" si="138"/>
        <v>0</v>
      </c>
      <c r="J531" s="124">
        <f>IF($D531="",0,IF($F531&lt;2,0,IF($E531="Win",('Guide &amp; Settings'!$C$42/(($F531-1)*COUNTIFS($A$4:$A$810,$A531,$E$4:$E$810,"Win")))*SUMIFS($X$4:$X$810,$A$4:$A$810,$A531,$E$4:$E$810,"Loss"),-('Guide &amp; Settings'!$C$42/($F531-1))*$X531)))</f>
        <v>0</v>
      </c>
      <c r="K531" s="124">
        <f>IF($D531="",0,'Guide &amp; Settings'!$C$43*(IF($E531="Win",1,0)-$I531))</f>
        <v>0</v>
      </c>
      <c r="L531" s="125">
        <f>IF($D531="",0,'Guide &amp; Settings'!$C$44*IF($F531&gt;=3,$F531,0))</f>
        <v>0</v>
      </c>
      <c r="M531" s="124">
        <f t="shared" si="139"/>
        <v>0</v>
      </c>
      <c r="N531" s="122">
        <f t="shared" si="140"/>
        <v>0</v>
      </c>
      <c r="O531" s="121" t="str">
        <f t="shared" si="141"/>
        <v/>
      </c>
      <c r="P531">
        <f t="shared" si="142"/>
        <v>0</v>
      </c>
      <c r="Q531">
        <f t="shared" si="143"/>
        <v>0</v>
      </c>
      <c r="R531">
        <f t="shared" si="144"/>
        <v>0</v>
      </c>
      <c r="S531">
        <f t="shared" si="145"/>
        <v>0</v>
      </c>
      <c r="T531" s="89">
        <f t="shared" si="146"/>
        <v>0</v>
      </c>
      <c r="U531" s="126">
        <f>IF($D531="",0,IFERROR(LOOKUP(2,1/(($D$3:D530=$D531)*($C$3:C530=$C531)*($A$3:A530&lt;$A531)),$AB$3:AB530),1000))</f>
        <v>0</v>
      </c>
      <c r="V531" s="126">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6">
        <f t="shared" si="152"/>
        <v>0</v>
      </c>
      <c r="AC531" s="126"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7"/>
      <c r="B532" s="118"/>
      <c r="C532" s="119"/>
      <c r="D532" s="119"/>
      <c r="E532" s="117"/>
      <c r="F532" s="120">
        <f t="shared" si="136"/>
        <v>0</v>
      </c>
      <c r="G532" s="121" t="str">
        <f t="shared" si="137"/>
        <v/>
      </c>
      <c r="H532" s="122">
        <f>IF($D532="",0,IFERROR(LOOKUP(2,1/(($D$3:D531=$D532)*($A$3:A531&lt;$A532)),$N$3:N531),'Guide &amp; Settings'!$C$41))</f>
        <v>0</v>
      </c>
      <c r="I532" s="123">
        <f t="shared" si="138"/>
        <v>0</v>
      </c>
      <c r="J532" s="124">
        <f>IF($D532="",0,IF($F532&lt;2,0,IF($E532="Win",('Guide &amp; Settings'!$C$42/(($F532-1)*COUNTIFS($A$4:$A$810,$A532,$E$4:$E$810,"Win")))*SUMIFS($X$4:$X$810,$A$4:$A$810,$A532,$E$4:$E$810,"Loss"),-('Guide &amp; Settings'!$C$42/($F532-1))*$X532)))</f>
        <v>0</v>
      </c>
      <c r="K532" s="124">
        <f>IF($D532="",0,'Guide &amp; Settings'!$C$43*(IF($E532="Win",1,0)-$I532))</f>
        <v>0</v>
      </c>
      <c r="L532" s="125">
        <f>IF($D532="",0,'Guide &amp; Settings'!$C$44*IF($F532&gt;=3,$F532,0))</f>
        <v>0</v>
      </c>
      <c r="M532" s="124">
        <f t="shared" si="139"/>
        <v>0</v>
      </c>
      <c r="N532" s="122">
        <f t="shared" si="140"/>
        <v>0</v>
      </c>
      <c r="O532" s="121" t="str">
        <f t="shared" si="141"/>
        <v/>
      </c>
      <c r="P532">
        <f t="shared" si="142"/>
        <v>0</v>
      </c>
      <c r="Q532">
        <f t="shared" si="143"/>
        <v>0</v>
      </c>
      <c r="R532">
        <f t="shared" si="144"/>
        <v>0</v>
      </c>
      <c r="S532">
        <f t="shared" si="145"/>
        <v>0</v>
      </c>
      <c r="T532" s="89">
        <f t="shared" si="146"/>
        <v>0</v>
      </c>
      <c r="U532" s="126">
        <f>IF($D532="",0,IFERROR(LOOKUP(2,1/(($D$3:D531=$D532)*($C$3:C531=$C532)*($A$3:A531&lt;$A532)),$AB$3:AB531),1000))</f>
        <v>0</v>
      </c>
      <c r="V532" s="126">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6">
        <f t="shared" si="152"/>
        <v>0</v>
      </c>
      <c r="AC532" s="126"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7"/>
      <c r="B533" s="118"/>
      <c r="C533" s="119"/>
      <c r="D533" s="119"/>
      <c r="E533" s="117"/>
      <c r="F533" s="120">
        <f t="shared" si="136"/>
        <v>0</v>
      </c>
      <c r="G533" s="121" t="str">
        <f t="shared" si="137"/>
        <v/>
      </c>
      <c r="H533" s="122">
        <f>IF($D533="",0,IFERROR(LOOKUP(2,1/(($D$3:D532=$D533)*($A$3:A532&lt;$A533)),$N$3:N532),'Guide &amp; Settings'!$C$41))</f>
        <v>0</v>
      </c>
      <c r="I533" s="123">
        <f t="shared" si="138"/>
        <v>0</v>
      </c>
      <c r="J533" s="124">
        <f>IF($D533="",0,IF($F533&lt;2,0,IF($E533="Win",('Guide &amp; Settings'!$C$42/(($F533-1)*COUNTIFS($A$4:$A$810,$A533,$E$4:$E$810,"Win")))*SUMIFS($X$4:$X$810,$A$4:$A$810,$A533,$E$4:$E$810,"Loss"),-('Guide &amp; Settings'!$C$42/($F533-1))*$X533)))</f>
        <v>0</v>
      </c>
      <c r="K533" s="124">
        <f>IF($D533="",0,'Guide &amp; Settings'!$C$43*(IF($E533="Win",1,0)-$I533))</f>
        <v>0</v>
      </c>
      <c r="L533" s="125">
        <f>IF($D533="",0,'Guide &amp; Settings'!$C$44*IF($F533&gt;=3,$F533,0))</f>
        <v>0</v>
      </c>
      <c r="M533" s="124">
        <f t="shared" si="139"/>
        <v>0</v>
      </c>
      <c r="N533" s="122">
        <f t="shared" si="140"/>
        <v>0</v>
      </c>
      <c r="O533" s="121" t="str">
        <f t="shared" si="141"/>
        <v/>
      </c>
      <c r="P533">
        <f t="shared" si="142"/>
        <v>0</v>
      </c>
      <c r="Q533">
        <f t="shared" si="143"/>
        <v>0</v>
      </c>
      <c r="R533">
        <f t="shared" si="144"/>
        <v>0</v>
      </c>
      <c r="S533">
        <f t="shared" si="145"/>
        <v>0</v>
      </c>
      <c r="T533" s="89">
        <f t="shared" si="146"/>
        <v>0</v>
      </c>
      <c r="U533" s="126">
        <f>IF($D533="",0,IFERROR(LOOKUP(2,1/(($D$3:D532=$D533)*($C$3:C532=$C533)*($A$3:A532&lt;$A533)),$AB$3:AB532),1000))</f>
        <v>0</v>
      </c>
      <c r="V533" s="126">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6">
        <f t="shared" si="152"/>
        <v>0</v>
      </c>
      <c r="AC533" s="126"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7"/>
      <c r="B534" s="118"/>
      <c r="C534" s="119"/>
      <c r="D534" s="119"/>
      <c r="E534" s="117"/>
      <c r="F534" s="120">
        <f t="shared" si="136"/>
        <v>0</v>
      </c>
      <c r="G534" s="121" t="str">
        <f t="shared" si="137"/>
        <v/>
      </c>
      <c r="H534" s="122">
        <f>IF($D534="",0,IFERROR(LOOKUP(2,1/(($D$3:D533=$D534)*($A$3:A533&lt;$A534)),$N$3:N533),'Guide &amp; Settings'!$C$41))</f>
        <v>0</v>
      </c>
      <c r="I534" s="123">
        <f t="shared" si="138"/>
        <v>0</v>
      </c>
      <c r="J534" s="124">
        <f>IF($D534="",0,IF($F534&lt;2,0,IF($E534="Win",('Guide &amp; Settings'!$C$42/(($F534-1)*COUNTIFS($A$4:$A$810,$A534,$E$4:$E$810,"Win")))*SUMIFS($X$4:$X$810,$A$4:$A$810,$A534,$E$4:$E$810,"Loss"),-('Guide &amp; Settings'!$C$42/($F534-1))*$X534)))</f>
        <v>0</v>
      </c>
      <c r="K534" s="124">
        <f>IF($D534="",0,'Guide &amp; Settings'!$C$43*(IF($E534="Win",1,0)-$I534))</f>
        <v>0</v>
      </c>
      <c r="L534" s="125">
        <f>IF($D534="",0,'Guide &amp; Settings'!$C$44*IF($F534&gt;=3,$F534,0))</f>
        <v>0</v>
      </c>
      <c r="M534" s="124">
        <f t="shared" si="139"/>
        <v>0</v>
      </c>
      <c r="N534" s="122">
        <f t="shared" si="140"/>
        <v>0</v>
      </c>
      <c r="O534" s="121" t="str">
        <f t="shared" si="141"/>
        <v/>
      </c>
      <c r="P534">
        <f t="shared" si="142"/>
        <v>0</v>
      </c>
      <c r="Q534">
        <f t="shared" si="143"/>
        <v>0</v>
      </c>
      <c r="R534">
        <f t="shared" si="144"/>
        <v>0</v>
      </c>
      <c r="S534">
        <f t="shared" si="145"/>
        <v>0</v>
      </c>
      <c r="T534" s="89">
        <f t="shared" si="146"/>
        <v>0</v>
      </c>
      <c r="U534" s="126">
        <f>IF($D534="",0,IFERROR(LOOKUP(2,1/(($D$3:D533=$D534)*($C$3:C533=$C534)*($A$3:A533&lt;$A534)),$AB$3:AB533),1000))</f>
        <v>0</v>
      </c>
      <c r="V534" s="126">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6">
        <f t="shared" si="152"/>
        <v>0</v>
      </c>
      <c r="AC534" s="126"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7"/>
      <c r="B535" s="118"/>
      <c r="C535" s="119"/>
      <c r="D535" s="119"/>
      <c r="E535" s="117"/>
      <c r="F535" s="120">
        <f t="shared" si="136"/>
        <v>0</v>
      </c>
      <c r="G535" s="121" t="str">
        <f t="shared" si="137"/>
        <v/>
      </c>
      <c r="H535" s="122">
        <f>IF($D535="",0,IFERROR(LOOKUP(2,1/(($D$3:D534=$D535)*($A$3:A534&lt;$A535)),$N$3:N534),'Guide &amp; Settings'!$C$41))</f>
        <v>0</v>
      </c>
      <c r="I535" s="123">
        <f t="shared" si="138"/>
        <v>0</v>
      </c>
      <c r="J535" s="124">
        <f>IF($D535="",0,IF($F535&lt;2,0,IF($E535="Win",('Guide &amp; Settings'!$C$42/(($F535-1)*COUNTIFS($A$4:$A$810,$A535,$E$4:$E$810,"Win")))*SUMIFS($X$4:$X$810,$A$4:$A$810,$A535,$E$4:$E$810,"Loss"),-('Guide &amp; Settings'!$C$42/($F535-1))*$X535)))</f>
        <v>0</v>
      </c>
      <c r="K535" s="124">
        <f>IF($D535="",0,'Guide &amp; Settings'!$C$43*(IF($E535="Win",1,0)-$I535))</f>
        <v>0</v>
      </c>
      <c r="L535" s="125">
        <f>IF($D535="",0,'Guide &amp; Settings'!$C$44*IF($F535&gt;=3,$F535,0))</f>
        <v>0</v>
      </c>
      <c r="M535" s="124">
        <f t="shared" si="139"/>
        <v>0</v>
      </c>
      <c r="N535" s="122">
        <f t="shared" si="140"/>
        <v>0</v>
      </c>
      <c r="O535" s="121" t="str">
        <f t="shared" si="141"/>
        <v/>
      </c>
      <c r="P535">
        <f t="shared" si="142"/>
        <v>0</v>
      </c>
      <c r="Q535">
        <f t="shared" si="143"/>
        <v>0</v>
      </c>
      <c r="R535">
        <f t="shared" si="144"/>
        <v>0</v>
      </c>
      <c r="S535">
        <f t="shared" si="145"/>
        <v>0</v>
      </c>
      <c r="T535" s="89">
        <f t="shared" si="146"/>
        <v>0</v>
      </c>
      <c r="U535" s="126">
        <f>IF($D535="",0,IFERROR(LOOKUP(2,1/(($D$3:D534=$D535)*($C$3:C534=$C535)*($A$3:A534&lt;$A535)),$AB$3:AB534),1000))</f>
        <v>0</v>
      </c>
      <c r="V535" s="126">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6">
        <f t="shared" si="152"/>
        <v>0</v>
      </c>
      <c r="AC535" s="126"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7"/>
      <c r="B536" s="118"/>
      <c r="C536" s="119"/>
      <c r="D536" s="119"/>
      <c r="E536" s="117"/>
      <c r="F536" s="120">
        <f t="shared" si="136"/>
        <v>0</v>
      </c>
      <c r="G536" s="121" t="str">
        <f t="shared" si="137"/>
        <v/>
      </c>
      <c r="H536" s="122">
        <f>IF($D536="",0,IFERROR(LOOKUP(2,1/(($D$3:D535=$D536)*($A$3:A535&lt;$A536)),$N$3:N535),'Guide &amp; Settings'!$C$41))</f>
        <v>0</v>
      </c>
      <c r="I536" s="123">
        <f t="shared" si="138"/>
        <v>0</v>
      </c>
      <c r="J536" s="124">
        <f>IF($D536="",0,IF($F536&lt;2,0,IF($E536="Win",('Guide &amp; Settings'!$C$42/(($F536-1)*COUNTIFS($A$4:$A$810,$A536,$E$4:$E$810,"Win")))*SUMIFS($X$4:$X$810,$A$4:$A$810,$A536,$E$4:$E$810,"Loss"),-('Guide &amp; Settings'!$C$42/($F536-1))*$X536)))</f>
        <v>0</v>
      </c>
      <c r="K536" s="124">
        <f>IF($D536="",0,'Guide &amp; Settings'!$C$43*(IF($E536="Win",1,0)-$I536))</f>
        <v>0</v>
      </c>
      <c r="L536" s="125">
        <f>IF($D536="",0,'Guide &amp; Settings'!$C$44*IF($F536&gt;=3,$F536,0))</f>
        <v>0</v>
      </c>
      <c r="M536" s="124">
        <f t="shared" si="139"/>
        <v>0</v>
      </c>
      <c r="N536" s="122">
        <f t="shared" si="140"/>
        <v>0</v>
      </c>
      <c r="O536" s="121" t="str">
        <f t="shared" si="141"/>
        <v/>
      </c>
      <c r="P536">
        <f t="shared" si="142"/>
        <v>0</v>
      </c>
      <c r="Q536">
        <f t="shared" si="143"/>
        <v>0</v>
      </c>
      <c r="R536">
        <f t="shared" si="144"/>
        <v>0</v>
      </c>
      <c r="S536">
        <f t="shared" si="145"/>
        <v>0</v>
      </c>
      <c r="T536" s="89">
        <f t="shared" si="146"/>
        <v>0</v>
      </c>
      <c r="U536" s="126">
        <f>IF($D536="",0,IFERROR(LOOKUP(2,1/(($D$3:D535=$D536)*($C$3:C535=$C536)*($A$3:A535&lt;$A536)),$AB$3:AB535),1000))</f>
        <v>0</v>
      </c>
      <c r="V536" s="126">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6">
        <f t="shared" si="152"/>
        <v>0</v>
      </c>
      <c r="AC536" s="126"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7"/>
      <c r="B537" s="118"/>
      <c r="C537" s="119"/>
      <c r="D537" s="119"/>
      <c r="E537" s="117"/>
      <c r="F537" s="120">
        <f t="shared" si="136"/>
        <v>0</v>
      </c>
      <c r="G537" s="121" t="str">
        <f t="shared" si="137"/>
        <v/>
      </c>
      <c r="H537" s="122">
        <f>IF($D537="",0,IFERROR(LOOKUP(2,1/(($D$3:D536=$D537)*($A$3:A536&lt;$A537)),$N$3:N536),'Guide &amp; Settings'!$C$41))</f>
        <v>0</v>
      </c>
      <c r="I537" s="123">
        <f t="shared" si="138"/>
        <v>0</v>
      </c>
      <c r="J537" s="124">
        <f>IF($D537="",0,IF($F537&lt;2,0,IF($E537="Win",('Guide &amp; Settings'!$C$42/(($F537-1)*COUNTIFS($A$4:$A$810,$A537,$E$4:$E$810,"Win")))*SUMIFS($X$4:$X$810,$A$4:$A$810,$A537,$E$4:$E$810,"Loss"),-('Guide &amp; Settings'!$C$42/($F537-1))*$X537)))</f>
        <v>0</v>
      </c>
      <c r="K537" s="124">
        <f>IF($D537="",0,'Guide &amp; Settings'!$C$43*(IF($E537="Win",1,0)-$I537))</f>
        <v>0</v>
      </c>
      <c r="L537" s="125">
        <f>IF($D537="",0,'Guide &amp; Settings'!$C$44*IF($F537&gt;=3,$F537,0))</f>
        <v>0</v>
      </c>
      <c r="M537" s="124">
        <f t="shared" si="139"/>
        <v>0</v>
      </c>
      <c r="N537" s="122">
        <f t="shared" si="140"/>
        <v>0</v>
      </c>
      <c r="O537" s="121" t="str">
        <f t="shared" si="141"/>
        <v/>
      </c>
      <c r="P537">
        <f t="shared" si="142"/>
        <v>0</v>
      </c>
      <c r="Q537">
        <f t="shared" si="143"/>
        <v>0</v>
      </c>
      <c r="R537">
        <f t="shared" si="144"/>
        <v>0</v>
      </c>
      <c r="S537">
        <f t="shared" si="145"/>
        <v>0</v>
      </c>
      <c r="T537" s="89">
        <f t="shared" si="146"/>
        <v>0</v>
      </c>
      <c r="U537" s="126">
        <f>IF($D537="",0,IFERROR(LOOKUP(2,1/(($D$3:D536=$D537)*($C$3:C536=$C537)*($A$3:A536&lt;$A537)),$AB$3:AB536),1000))</f>
        <v>0</v>
      </c>
      <c r="V537" s="126">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6">
        <f t="shared" si="152"/>
        <v>0</v>
      </c>
      <c r="AC537" s="126"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7"/>
      <c r="B538" s="118"/>
      <c r="C538" s="119"/>
      <c r="D538" s="119"/>
      <c r="E538" s="117"/>
      <c r="F538" s="120">
        <f t="shared" si="136"/>
        <v>0</v>
      </c>
      <c r="G538" s="121" t="str">
        <f t="shared" si="137"/>
        <v/>
      </c>
      <c r="H538" s="122">
        <f>IF($D538="",0,IFERROR(LOOKUP(2,1/(($D$3:D537=$D538)*($A$3:A537&lt;$A538)),$N$3:N537),'Guide &amp; Settings'!$C$41))</f>
        <v>0</v>
      </c>
      <c r="I538" s="123">
        <f t="shared" si="138"/>
        <v>0</v>
      </c>
      <c r="J538" s="124">
        <f>IF($D538="",0,IF($F538&lt;2,0,IF($E538="Win",('Guide &amp; Settings'!$C$42/(($F538-1)*COUNTIFS($A$4:$A$810,$A538,$E$4:$E$810,"Win")))*SUMIFS($X$4:$X$810,$A$4:$A$810,$A538,$E$4:$E$810,"Loss"),-('Guide &amp; Settings'!$C$42/($F538-1))*$X538)))</f>
        <v>0</v>
      </c>
      <c r="K538" s="124">
        <f>IF($D538="",0,'Guide &amp; Settings'!$C$43*(IF($E538="Win",1,0)-$I538))</f>
        <v>0</v>
      </c>
      <c r="L538" s="125">
        <f>IF($D538="",0,'Guide &amp; Settings'!$C$44*IF($F538&gt;=3,$F538,0))</f>
        <v>0</v>
      </c>
      <c r="M538" s="124">
        <f t="shared" si="139"/>
        <v>0</v>
      </c>
      <c r="N538" s="122">
        <f t="shared" si="140"/>
        <v>0</v>
      </c>
      <c r="O538" s="121" t="str">
        <f t="shared" si="141"/>
        <v/>
      </c>
      <c r="P538">
        <f t="shared" si="142"/>
        <v>0</v>
      </c>
      <c r="Q538">
        <f t="shared" si="143"/>
        <v>0</v>
      </c>
      <c r="R538">
        <f t="shared" si="144"/>
        <v>0</v>
      </c>
      <c r="S538">
        <f t="shared" si="145"/>
        <v>0</v>
      </c>
      <c r="T538" s="89">
        <f t="shared" si="146"/>
        <v>0</v>
      </c>
      <c r="U538" s="126">
        <f>IF($D538="",0,IFERROR(LOOKUP(2,1/(($D$3:D537=$D538)*($C$3:C537=$C538)*($A$3:A537&lt;$A538)),$AB$3:AB537),1000))</f>
        <v>0</v>
      </c>
      <c r="V538" s="126">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6">
        <f t="shared" si="152"/>
        <v>0</v>
      </c>
      <c r="AC538" s="126"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7"/>
      <c r="B539" s="118"/>
      <c r="C539" s="119"/>
      <c r="D539" s="119"/>
      <c r="E539" s="117"/>
      <c r="F539" s="120">
        <f t="shared" si="136"/>
        <v>0</v>
      </c>
      <c r="G539" s="121" t="str">
        <f t="shared" si="137"/>
        <v/>
      </c>
      <c r="H539" s="122">
        <f>IF($D539="",0,IFERROR(LOOKUP(2,1/(($D$3:D538=$D539)*($A$3:A538&lt;$A539)),$N$3:N538),'Guide &amp; Settings'!$C$41))</f>
        <v>0</v>
      </c>
      <c r="I539" s="123">
        <f t="shared" si="138"/>
        <v>0</v>
      </c>
      <c r="J539" s="124">
        <f>IF($D539="",0,IF($F539&lt;2,0,IF($E539="Win",('Guide &amp; Settings'!$C$42/(($F539-1)*COUNTIFS($A$4:$A$810,$A539,$E$4:$E$810,"Win")))*SUMIFS($X$4:$X$810,$A$4:$A$810,$A539,$E$4:$E$810,"Loss"),-('Guide &amp; Settings'!$C$42/($F539-1))*$X539)))</f>
        <v>0</v>
      </c>
      <c r="K539" s="124">
        <f>IF($D539="",0,'Guide &amp; Settings'!$C$43*(IF($E539="Win",1,0)-$I539))</f>
        <v>0</v>
      </c>
      <c r="L539" s="125">
        <f>IF($D539="",0,'Guide &amp; Settings'!$C$44*IF($F539&gt;=3,$F539,0))</f>
        <v>0</v>
      </c>
      <c r="M539" s="124">
        <f t="shared" si="139"/>
        <v>0</v>
      </c>
      <c r="N539" s="122">
        <f t="shared" si="140"/>
        <v>0</v>
      </c>
      <c r="O539" s="121" t="str">
        <f t="shared" si="141"/>
        <v/>
      </c>
      <c r="P539">
        <f t="shared" si="142"/>
        <v>0</v>
      </c>
      <c r="Q539">
        <f t="shared" si="143"/>
        <v>0</v>
      </c>
      <c r="R539">
        <f t="shared" si="144"/>
        <v>0</v>
      </c>
      <c r="S539">
        <f t="shared" si="145"/>
        <v>0</v>
      </c>
      <c r="T539" s="89">
        <f t="shared" si="146"/>
        <v>0</v>
      </c>
      <c r="U539" s="126">
        <f>IF($D539="",0,IFERROR(LOOKUP(2,1/(($D$3:D538=$D539)*($C$3:C538=$C539)*($A$3:A538&lt;$A539)),$AB$3:AB538),1000))</f>
        <v>0</v>
      </c>
      <c r="V539" s="126">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6">
        <f t="shared" si="152"/>
        <v>0</v>
      </c>
      <c r="AC539" s="126"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7"/>
      <c r="B540" s="118"/>
      <c r="C540" s="119"/>
      <c r="D540" s="119"/>
      <c r="E540" s="117"/>
      <c r="F540" s="120">
        <f t="shared" si="136"/>
        <v>0</v>
      </c>
      <c r="G540" s="121" t="str">
        <f t="shared" si="137"/>
        <v/>
      </c>
      <c r="H540" s="122">
        <f>IF($D540="",0,IFERROR(LOOKUP(2,1/(($D$3:D539=$D540)*($A$3:A539&lt;$A540)),$N$3:N539),'Guide &amp; Settings'!$C$41))</f>
        <v>0</v>
      </c>
      <c r="I540" s="123">
        <f t="shared" si="138"/>
        <v>0</v>
      </c>
      <c r="J540" s="124">
        <f>IF($D540="",0,IF($F540&lt;2,0,IF($E540="Win",('Guide &amp; Settings'!$C$42/(($F540-1)*COUNTIFS($A$4:$A$810,$A540,$E$4:$E$810,"Win")))*SUMIFS($X$4:$X$810,$A$4:$A$810,$A540,$E$4:$E$810,"Loss"),-('Guide &amp; Settings'!$C$42/($F540-1))*$X540)))</f>
        <v>0</v>
      </c>
      <c r="K540" s="124">
        <f>IF($D540="",0,'Guide &amp; Settings'!$C$43*(IF($E540="Win",1,0)-$I540))</f>
        <v>0</v>
      </c>
      <c r="L540" s="125">
        <f>IF($D540="",0,'Guide &amp; Settings'!$C$44*IF($F540&gt;=3,$F540,0))</f>
        <v>0</v>
      </c>
      <c r="M540" s="124">
        <f t="shared" si="139"/>
        <v>0</v>
      </c>
      <c r="N540" s="122">
        <f t="shared" si="140"/>
        <v>0</v>
      </c>
      <c r="O540" s="121" t="str">
        <f t="shared" si="141"/>
        <v/>
      </c>
      <c r="P540">
        <f t="shared" si="142"/>
        <v>0</v>
      </c>
      <c r="Q540">
        <f t="shared" si="143"/>
        <v>0</v>
      </c>
      <c r="R540">
        <f t="shared" si="144"/>
        <v>0</v>
      </c>
      <c r="S540">
        <f t="shared" si="145"/>
        <v>0</v>
      </c>
      <c r="T540" s="89">
        <f t="shared" si="146"/>
        <v>0</v>
      </c>
      <c r="U540" s="126">
        <f>IF($D540="",0,IFERROR(LOOKUP(2,1/(($D$3:D539=$D540)*($C$3:C539=$C540)*($A$3:A539&lt;$A540)),$AB$3:AB539),1000))</f>
        <v>0</v>
      </c>
      <c r="V540" s="126">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6">
        <f t="shared" si="152"/>
        <v>0</v>
      </c>
      <c r="AC540" s="126"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7"/>
      <c r="B541" s="118"/>
      <c r="C541" s="119"/>
      <c r="D541" s="119"/>
      <c r="E541" s="117"/>
      <c r="F541" s="120">
        <f t="shared" si="136"/>
        <v>0</v>
      </c>
      <c r="G541" s="121" t="str">
        <f t="shared" si="137"/>
        <v/>
      </c>
      <c r="H541" s="122">
        <f>IF($D541="",0,IFERROR(LOOKUP(2,1/(($D$3:D540=$D541)*($A$3:A540&lt;$A541)),$N$3:N540),'Guide &amp; Settings'!$C$41))</f>
        <v>0</v>
      </c>
      <c r="I541" s="123">
        <f t="shared" si="138"/>
        <v>0</v>
      </c>
      <c r="J541" s="124">
        <f>IF($D541="",0,IF($F541&lt;2,0,IF($E541="Win",('Guide &amp; Settings'!$C$42/(($F541-1)*COUNTIFS($A$4:$A$810,$A541,$E$4:$E$810,"Win")))*SUMIFS($X$4:$X$810,$A$4:$A$810,$A541,$E$4:$E$810,"Loss"),-('Guide &amp; Settings'!$C$42/($F541-1))*$X541)))</f>
        <v>0</v>
      </c>
      <c r="K541" s="124">
        <f>IF($D541="",0,'Guide &amp; Settings'!$C$43*(IF($E541="Win",1,0)-$I541))</f>
        <v>0</v>
      </c>
      <c r="L541" s="125">
        <f>IF($D541="",0,'Guide &amp; Settings'!$C$44*IF($F541&gt;=3,$F541,0))</f>
        <v>0</v>
      </c>
      <c r="M541" s="124">
        <f t="shared" si="139"/>
        <v>0</v>
      </c>
      <c r="N541" s="122">
        <f t="shared" si="140"/>
        <v>0</v>
      </c>
      <c r="O541" s="121" t="str">
        <f t="shared" si="141"/>
        <v/>
      </c>
      <c r="P541">
        <f t="shared" si="142"/>
        <v>0</v>
      </c>
      <c r="Q541">
        <f t="shared" si="143"/>
        <v>0</v>
      </c>
      <c r="R541">
        <f t="shared" si="144"/>
        <v>0</v>
      </c>
      <c r="S541">
        <f t="shared" si="145"/>
        <v>0</v>
      </c>
      <c r="T541" s="89">
        <f t="shared" si="146"/>
        <v>0</v>
      </c>
      <c r="U541" s="126">
        <f>IF($D541="",0,IFERROR(LOOKUP(2,1/(($D$3:D540=$D541)*($C$3:C540=$C541)*($A$3:A540&lt;$A541)),$AB$3:AB540),1000))</f>
        <v>0</v>
      </c>
      <c r="V541" s="126">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6">
        <f t="shared" si="152"/>
        <v>0</v>
      </c>
      <c r="AC541" s="126"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7"/>
      <c r="B542" s="118"/>
      <c r="C542" s="119"/>
      <c r="D542" s="119"/>
      <c r="E542" s="117"/>
      <c r="F542" s="120">
        <f t="shared" si="136"/>
        <v>0</v>
      </c>
      <c r="G542" s="121" t="str">
        <f t="shared" si="137"/>
        <v/>
      </c>
      <c r="H542" s="122">
        <f>IF($D542="",0,IFERROR(LOOKUP(2,1/(($D$3:D541=$D542)*($A$3:A541&lt;$A542)),$N$3:N541),'Guide &amp; Settings'!$C$41))</f>
        <v>0</v>
      </c>
      <c r="I542" s="123">
        <f t="shared" si="138"/>
        <v>0</v>
      </c>
      <c r="J542" s="124">
        <f>IF($D542="",0,IF($F542&lt;2,0,IF($E542="Win",('Guide &amp; Settings'!$C$42/(($F542-1)*COUNTIFS($A$4:$A$810,$A542,$E$4:$E$810,"Win")))*SUMIFS($X$4:$X$810,$A$4:$A$810,$A542,$E$4:$E$810,"Loss"),-('Guide &amp; Settings'!$C$42/($F542-1))*$X542)))</f>
        <v>0</v>
      </c>
      <c r="K542" s="124">
        <f>IF($D542="",0,'Guide &amp; Settings'!$C$43*(IF($E542="Win",1,0)-$I542))</f>
        <v>0</v>
      </c>
      <c r="L542" s="125">
        <f>IF($D542="",0,'Guide &amp; Settings'!$C$44*IF($F542&gt;=3,$F542,0))</f>
        <v>0</v>
      </c>
      <c r="M542" s="124">
        <f t="shared" si="139"/>
        <v>0</v>
      </c>
      <c r="N542" s="122">
        <f t="shared" si="140"/>
        <v>0</v>
      </c>
      <c r="O542" s="121" t="str">
        <f t="shared" si="141"/>
        <v/>
      </c>
      <c r="P542">
        <f t="shared" si="142"/>
        <v>0</v>
      </c>
      <c r="Q542">
        <f t="shared" si="143"/>
        <v>0</v>
      </c>
      <c r="R542">
        <f t="shared" si="144"/>
        <v>0</v>
      </c>
      <c r="S542">
        <f t="shared" si="145"/>
        <v>0</v>
      </c>
      <c r="T542" s="89">
        <f t="shared" si="146"/>
        <v>0</v>
      </c>
      <c r="U542" s="126">
        <f>IF($D542="",0,IFERROR(LOOKUP(2,1/(($D$3:D541=$D542)*($C$3:C541=$C542)*($A$3:A541&lt;$A542)),$AB$3:AB541),1000))</f>
        <v>0</v>
      </c>
      <c r="V542" s="126">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6">
        <f t="shared" si="152"/>
        <v>0</v>
      </c>
      <c r="AC542" s="126"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7"/>
      <c r="B543" s="118"/>
      <c r="C543" s="119"/>
      <c r="D543" s="119"/>
      <c r="E543" s="117"/>
      <c r="F543" s="120">
        <f t="shared" si="136"/>
        <v>0</v>
      </c>
      <c r="G543" s="121" t="str">
        <f t="shared" si="137"/>
        <v/>
      </c>
      <c r="H543" s="122">
        <f>IF($D543="",0,IFERROR(LOOKUP(2,1/(($D$3:D542=$D543)*($A$3:A542&lt;$A543)),$N$3:N542),'Guide &amp; Settings'!$C$41))</f>
        <v>0</v>
      </c>
      <c r="I543" s="123">
        <f t="shared" si="138"/>
        <v>0</v>
      </c>
      <c r="J543" s="124">
        <f>IF($D543="",0,IF($F543&lt;2,0,IF($E543="Win",('Guide &amp; Settings'!$C$42/(($F543-1)*COUNTIFS($A$4:$A$810,$A543,$E$4:$E$810,"Win")))*SUMIFS($X$4:$X$810,$A$4:$A$810,$A543,$E$4:$E$810,"Loss"),-('Guide &amp; Settings'!$C$42/($F543-1))*$X543)))</f>
        <v>0</v>
      </c>
      <c r="K543" s="124">
        <f>IF($D543="",0,'Guide &amp; Settings'!$C$43*(IF($E543="Win",1,0)-$I543))</f>
        <v>0</v>
      </c>
      <c r="L543" s="125">
        <f>IF($D543="",0,'Guide &amp; Settings'!$C$44*IF($F543&gt;=3,$F543,0))</f>
        <v>0</v>
      </c>
      <c r="M543" s="124">
        <f t="shared" si="139"/>
        <v>0</v>
      </c>
      <c r="N543" s="122">
        <f t="shared" si="140"/>
        <v>0</v>
      </c>
      <c r="O543" s="121" t="str">
        <f t="shared" si="141"/>
        <v/>
      </c>
      <c r="P543">
        <f t="shared" si="142"/>
        <v>0</v>
      </c>
      <c r="Q543">
        <f t="shared" si="143"/>
        <v>0</v>
      </c>
      <c r="R543">
        <f t="shared" si="144"/>
        <v>0</v>
      </c>
      <c r="S543">
        <f t="shared" si="145"/>
        <v>0</v>
      </c>
      <c r="T543" s="89">
        <f t="shared" si="146"/>
        <v>0</v>
      </c>
      <c r="U543" s="126">
        <f>IF($D543="",0,IFERROR(LOOKUP(2,1/(($D$3:D542=$D543)*($C$3:C542=$C543)*($A$3:A542&lt;$A543)),$AB$3:AB542),1000))</f>
        <v>0</v>
      </c>
      <c r="V543" s="126">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6">
        <f t="shared" si="152"/>
        <v>0</v>
      </c>
      <c r="AC543" s="126"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7"/>
      <c r="B544" s="118"/>
      <c r="C544" s="119"/>
      <c r="D544" s="119"/>
      <c r="E544" s="117"/>
      <c r="F544" s="120">
        <f t="shared" si="136"/>
        <v>0</v>
      </c>
      <c r="G544" s="121" t="str">
        <f t="shared" si="137"/>
        <v/>
      </c>
      <c r="H544" s="122">
        <f>IF($D544="",0,IFERROR(LOOKUP(2,1/(($D$3:D543=$D544)*($A$3:A543&lt;$A544)),$N$3:N543),'Guide &amp; Settings'!$C$41))</f>
        <v>0</v>
      </c>
      <c r="I544" s="123">
        <f t="shared" si="138"/>
        <v>0</v>
      </c>
      <c r="J544" s="124">
        <f>IF($D544="",0,IF($F544&lt;2,0,IF($E544="Win",('Guide &amp; Settings'!$C$42/(($F544-1)*COUNTIFS($A$4:$A$810,$A544,$E$4:$E$810,"Win")))*SUMIFS($X$4:$X$810,$A$4:$A$810,$A544,$E$4:$E$810,"Loss"),-('Guide &amp; Settings'!$C$42/($F544-1))*$X544)))</f>
        <v>0</v>
      </c>
      <c r="K544" s="124">
        <f>IF($D544="",0,'Guide &amp; Settings'!$C$43*(IF($E544="Win",1,0)-$I544))</f>
        <v>0</v>
      </c>
      <c r="L544" s="125">
        <f>IF($D544="",0,'Guide &amp; Settings'!$C$44*IF($F544&gt;=3,$F544,0))</f>
        <v>0</v>
      </c>
      <c r="M544" s="124">
        <f t="shared" si="139"/>
        <v>0</v>
      </c>
      <c r="N544" s="122">
        <f t="shared" si="140"/>
        <v>0</v>
      </c>
      <c r="O544" s="121" t="str">
        <f t="shared" si="141"/>
        <v/>
      </c>
      <c r="P544">
        <f t="shared" si="142"/>
        <v>0</v>
      </c>
      <c r="Q544">
        <f t="shared" si="143"/>
        <v>0</v>
      </c>
      <c r="R544">
        <f t="shared" si="144"/>
        <v>0</v>
      </c>
      <c r="S544">
        <f t="shared" si="145"/>
        <v>0</v>
      </c>
      <c r="T544" s="89">
        <f t="shared" si="146"/>
        <v>0</v>
      </c>
      <c r="U544" s="126">
        <f>IF($D544="",0,IFERROR(LOOKUP(2,1/(($D$3:D543=$D544)*($C$3:C543=$C544)*($A$3:A543&lt;$A544)),$AB$3:AB543),1000))</f>
        <v>0</v>
      </c>
      <c r="V544" s="126">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6">
        <f t="shared" si="152"/>
        <v>0</v>
      </c>
      <c r="AC544" s="126"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7"/>
      <c r="B545" s="118"/>
      <c r="C545" s="119"/>
      <c r="D545" s="119"/>
      <c r="E545" s="117"/>
      <c r="F545" s="120">
        <f t="shared" si="136"/>
        <v>0</v>
      </c>
      <c r="G545" s="121" t="str">
        <f t="shared" si="137"/>
        <v/>
      </c>
      <c r="H545" s="122">
        <f>IF($D545="",0,IFERROR(LOOKUP(2,1/(($D$3:D544=$D545)*($A$3:A544&lt;$A545)),$N$3:N544),'Guide &amp; Settings'!$C$41))</f>
        <v>0</v>
      </c>
      <c r="I545" s="123">
        <f t="shared" si="138"/>
        <v>0</v>
      </c>
      <c r="J545" s="124">
        <f>IF($D545="",0,IF($F545&lt;2,0,IF($E545="Win",('Guide &amp; Settings'!$C$42/(($F545-1)*COUNTIFS($A$4:$A$810,$A545,$E$4:$E$810,"Win")))*SUMIFS($X$4:$X$810,$A$4:$A$810,$A545,$E$4:$E$810,"Loss"),-('Guide &amp; Settings'!$C$42/($F545-1))*$X545)))</f>
        <v>0</v>
      </c>
      <c r="K545" s="124">
        <f>IF($D545="",0,'Guide &amp; Settings'!$C$43*(IF($E545="Win",1,0)-$I545))</f>
        <v>0</v>
      </c>
      <c r="L545" s="125">
        <f>IF($D545="",0,'Guide &amp; Settings'!$C$44*IF($F545&gt;=3,$F545,0))</f>
        <v>0</v>
      </c>
      <c r="M545" s="124">
        <f t="shared" si="139"/>
        <v>0</v>
      </c>
      <c r="N545" s="122">
        <f t="shared" si="140"/>
        <v>0</v>
      </c>
      <c r="O545" s="121" t="str">
        <f t="shared" si="141"/>
        <v/>
      </c>
      <c r="P545">
        <f t="shared" si="142"/>
        <v>0</v>
      </c>
      <c r="Q545">
        <f t="shared" si="143"/>
        <v>0</v>
      </c>
      <c r="R545">
        <f t="shared" si="144"/>
        <v>0</v>
      </c>
      <c r="S545">
        <f t="shared" si="145"/>
        <v>0</v>
      </c>
      <c r="T545" s="89">
        <f t="shared" si="146"/>
        <v>0</v>
      </c>
      <c r="U545" s="126">
        <f>IF($D545="",0,IFERROR(LOOKUP(2,1/(($D$3:D544=$D545)*($C$3:C544=$C545)*($A$3:A544&lt;$A545)),$AB$3:AB544),1000))</f>
        <v>0</v>
      </c>
      <c r="V545" s="126">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6">
        <f t="shared" si="152"/>
        <v>0</v>
      </c>
      <c r="AC545" s="126"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7"/>
      <c r="B546" s="118"/>
      <c r="C546" s="119"/>
      <c r="D546" s="119"/>
      <c r="E546" s="117"/>
      <c r="F546" s="120">
        <f t="shared" si="136"/>
        <v>0</v>
      </c>
      <c r="G546" s="121" t="str">
        <f t="shared" si="137"/>
        <v/>
      </c>
      <c r="H546" s="122">
        <f>IF($D546="",0,IFERROR(LOOKUP(2,1/(($D$3:D545=$D546)*($A$3:A545&lt;$A546)),$N$3:N545),'Guide &amp; Settings'!$C$41))</f>
        <v>0</v>
      </c>
      <c r="I546" s="123">
        <f t="shared" si="138"/>
        <v>0</v>
      </c>
      <c r="J546" s="124">
        <f>IF($D546="",0,IF($F546&lt;2,0,IF($E546="Win",('Guide &amp; Settings'!$C$42/(($F546-1)*COUNTIFS($A$4:$A$810,$A546,$E$4:$E$810,"Win")))*SUMIFS($X$4:$X$810,$A$4:$A$810,$A546,$E$4:$E$810,"Loss"),-('Guide &amp; Settings'!$C$42/($F546-1))*$X546)))</f>
        <v>0</v>
      </c>
      <c r="K546" s="124">
        <f>IF($D546="",0,'Guide &amp; Settings'!$C$43*(IF($E546="Win",1,0)-$I546))</f>
        <v>0</v>
      </c>
      <c r="L546" s="125">
        <f>IF($D546="",0,'Guide &amp; Settings'!$C$44*IF($F546&gt;=3,$F546,0))</f>
        <v>0</v>
      </c>
      <c r="M546" s="124">
        <f t="shared" si="139"/>
        <v>0</v>
      </c>
      <c r="N546" s="122">
        <f t="shared" si="140"/>
        <v>0</v>
      </c>
      <c r="O546" s="121" t="str">
        <f t="shared" si="141"/>
        <v/>
      </c>
      <c r="P546">
        <f t="shared" si="142"/>
        <v>0</v>
      </c>
      <c r="Q546">
        <f t="shared" si="143"/>
        <v>0</v>
      </c>
      <c r="R546">
        <f t="shared" si="144"/>
        <v>0</v>
      </c>
      <c r="S546">
        <f t="shared" si="145"/>
        <v>0</v>
      </c>
      <c r="T546" s="89">
        <f t="shared" si="146"/>
        <v>0</v>
      </c>
      <c r="U546" s="126">
        <f>IF($D546="",0,IFERROR(LOOKUP(2,1/(($D$3:D545=$D546)*($C$3:C545=$C546)*($A$3:A545&lt;$A546)),$AB$3:AB545),1000))</f>
        <v>0</v>
      </c>
      <c r="V546" s="126">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6">
        <f t="shared" si="152"/>
        <v>0</v>
      </c>
      <c r="AC546" s="126"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7"/>
      <c r="B547" s="118"/>
      <c r="C547" s="119"/>
      <c r="D547" s="119"/>
      <c r="E547" s="117"/>
      <c r="F547" s="120">
        <f t="shared" si="136"/>
        <v>0</v>
      </c>
      <c r="G547" s="121" t="str">
        <f t="shared" si="137"/>
        <v/>
      </c>
      <c r="H547" s="122">
        <f>IF($D547="",0,IFERROR(LOOKUP(2,1/(($D$3:D546=$D547)*($A$3:A546&lt;$A547)),$N$3:N546),'Guide &amp; Settings'!$C$41))</f>
        <v>0</v>
      </c>
      <c r="I547" s="123">
        <f t="shared" si="138"/>
        <v>0</v>
      </c>
      <c r="J547" s="124">
        <f>IF($D547="",0,IF($F547&lt;2,0,IF($E547="Win",('Guide &amp; Settings'!$C$42/(($F547-1)*COUNTIFS($A$4:$A$810,$A547,$E$4:$E$810,"Win")))*SUMIFS($X$4:$X$810,$A$4:$A$810,$A547,$E$4:$E$810,"Loss"),-('Guide &amp; Settings'!$C$42/($F547-1))*$X547)))</f>
        <v>0</v>
      </c>
      <c r="K547" s="124">
        <f>IF($D547="",0,'Guide &amp; Settings'!$C$43*(IF($E547="Win",1,0)-$I547))</f>
        <v>0</v>
      </c>
      <c r="L547" s="125">
        <f>IF($D547="",0,'Guide &amp; Settings'!$C$44*IF($F547&gt;=3,$F547,0))</f>
        <v>0</v>
      </c>
      <c r="M547" s="124">
        <f t="shared" si="139"/>
        <v>0</v>
      </c>
      <c r="N547" s="122">
        <f t="shared" si="140"/>
        <v>0</v>
      </c>
      <c r="O547" s="121" t="str">
        <f t="shared" si="141"/>
        <v/>
      </c>
      <c r="P547">
        <f t="shared" si="142"/>
        <v>0</v>
      </c>
      <c r="Q547">
        <f t="shared" si="143"/>
        <v>0</v>
      </c>
      <c r="R547">
        <f t="shared" si="144"/>
        <v>0</v>
      </c>
      <c r="S547">
        <f t="shared" si="145"/>
        <v>0</v>
      </c>
      <c r="T547" s="89">
        <f t="shared" si="146"/>
        <v>0</v>
      </c>
      <c r="U547" s="126">
        <f>IF($D547="",0,IFERROR(LOOKUP(2,1/(($D$3:D546=$D547)*($C$3:C546=$C547)*($A$3:A546&lt;$A547)),$AB$3:AB546),1000))</f>
        <v>0</v>
      </c>
      <c r="V547" s="126">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6">
        <f t="shared" si="152"/>
        <v>0</v>
      </c>
      <c r="AC547" s="126"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7"/>
      <c r="B548" s="118"/>
      <c r="C548" s="119"/>
      <c r="D548" s="119"/>
      <c r="E548" s="117"/>
      <c r="F548" s="120">
        <f t="shared" si="136"/>
        <v>0</v>
      </c>
      <c r="G548" s="121" t="str">
        <f t="shared" si="137"/>
        <v/>
      </c>
      <c r="H548" s="122">
        <f>IF($D548="",0,IFERROR(LOOKUP(2,1/(($D$3:D547=$D548)*($A$3:A547&lt;$A548)),$N$3:N547),'Guide &amp; Settings'!$C$41))</f>
        <v>0</v>
      </c>
      <c r="I548" s="123">
        <f t="shared" si="138"/>
        <v>0</v>
      </c>
      <c r="J548" s="124">
        <f>IF($D548="",0,IF($F548&lt;2,0,IF($E548="Win",('Guide &amp; Settings'!$C$42/(($F548-1)*COUNTIFS($A$4:$A$810,$A548,$E$4:$E$810,"Win")))*SUMIFS($X$4:$X$810,$A$4:$A$810,$A548,$E$4:$E$810,"Loss"),-('Guide &amp; Settings'!$C$42/($F548-1))*$X548)))</f>
        <v>0</v>
      </c>
      <c r="K548" s="124">
        <f>IF($D548="",0,'Guide &amp; Settings'!$C$43*(IF($E548="Win",1,0)-$I548))</f>
        <v>0</v>
      </c>
      <c r="L548" s="125">
        <f>IF($D548="",0,'Guide &amp; Settings'!$C$44*IF($F548&gt;=3,$F548,0))</f>
        <v>0</v>
      </c>
      <c r="M548" s="124">
        <f t="shared" si="139"/>
        <v>0</v>
      </c>
      <c r="N548" s="122">
        <f t="shared" si="140"/>
        <v>0</v>
      </c>
      <c r="O548" s="121" t="str">
        <f t="shared" si="141"/>
        <v/>
      </c>
      <c r="P548">
        <f t="shared" si="142"/>
        <v>0</v>
      </c>
      <c r="Q548">
        <f t="shared" si="143"/>
        <v>0</v>
      </c>
      <c r="R548">
        <f t="shared" si="144"/>
        <v>0</v>
      </c>
      <c r="S548">
        <f t="shared" si="145"/>
        <v>0</v>
      </c>
      <c r="T548" s="89">
        <f t="shared" si="146"/>
        <v>0</v>
      </c>
      <c r="U548" s="126">
        <f>IF($D548="",0,IFERROR(LOOKUP(2,1/(($D$3:D547=$D548)*($C$3:C547=$C548)*($A$3:A547&lt;$A548)),$AB$3:AB547),1000))</f>
        <v>0</v>
      </c>
      <c r="V548" s="126">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6">
        <f t="shared" si="152"/>
        <v>0</v>
      </c>
      <c r="AC548" s="126"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7"/>
      <c r="B549" s="118"/>
      <c r="C549" s="119"/>
      <c r="D549" s="119"/>
      <c r="E549" s="117"/>
      <c r="F549" s="120">
        <f t="shared" si="136"/>
        <v>0</v>
      </c>
      <c r="G549" s="121" t="str">
        <f t="shared" si="137"/>
        <v/>
      </c>
      <c r="H549" s="122">
        <f>IF($D549="",0,IFERROR(LOOKUP(2,1/(($D$3:D548=$D549)*($A$3:A548&lt;$A549)),$N$3:N548),'Guide &amp; Settings'!$C$41))</f>
        <v>0</v>
      </c>
      <c r="I549" s="123">
        <f t="shared" si="138"/>
        <v>0</v>
      </c>
      <c r="J549" s="124">
        <f>IF($D549="",0,IF($F549&lt;2,0,IF($E549="Win",('Guide &amp; Settings'!$C$42/(($F549-1)*COUNTIFS($A$4:$A$810,$A549,$E$4:$E$810,"Win")))*SUMIFS($X$4:$X$810,$A$4:$A$810,$A549,$E$4:$E$810,"Loss"),-('Guide &amp; Settings'!$C$42/($F549-1))*$X549)))</f>
        <v>0</v>
      </c>
      <c r="K549" s="124">
        <f>IF($D549="",0,'Guide &amp; Settings'!$C$43*(IF($E549="Win",1,0)-$I549))</f>
        <v>0</v>
      </c>
      <c r="L549" s="125">
        <f>IF($D549="",0,'Guide &amp; Settings'!$C$44*IF($F549&gt;=3,$F549,0))</f>
        <v>0</v>
      </c>
      <c r="M549" s="124">
        <f t="shared" si="139"/>
        <v>0</v>
      </c>
      <c r="N549" s="122">
        <f t="shared" si="140"/>
        <v>0</v>
      </c>
      <c r="O549" s="121" t="str">
        <f t="shared" si="141"/>
        <v/>
      </c>
      <c r="P549">
        <f t="shared" si="142"/>
        <v>0</v>
      </c>
      <c r="Q549">
        <f t="shared" si="143"/>
        <v>0</v>
      </c>
      <c r="R549">
        <f t="shared" si="144"/>
        <v>0</v>
      </c>
      <c r="S549">
        <f t="shared" si="145"/>
        <v>0</v>
      </c>
      <c r="T549" s="89">
        <f t="shared" si="146"/>
        <v>0</v>
      </c>
      <c r="U549" s="126">
        <f>IF($D549="",0,IFERROR(LOOKUP(2,1/(($D$3:D548=$D549)*($C$3:C548=$C549)*($A$3:A548&lt;$A549)),$AB$3:AB548),1000))</f>
        <v>0</v>
      </c>
      <c r="V549" s="126">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6">
        <f t="shared" si="152"/>
        <v>0</v>
      </c>
      <c r="AC549" s="126"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7"/>
      <c r="B550" s="118"/>
      <c r="C550" s="119"/>
      <c r="D550" s="119"/>
      <c r="E550" s="117"/>
      <c r="F550" s="120">
        <f t="shared" si="136"/>
        <v>0</v>
      </c>
      <c r="G550" s="121" t="str">
        <f t="shared" si="137"/>
        <v/>
      </c>
      <c r="H550" s="122">
        <f>IF($D550="",0,IFERROR(LOOKUP(2,1/(($D$3:D549=$D550)*($A$3:A549&lt;$A550)),$N$3:N549),'Guide &amp; Settings'!$C$41))</f>
        <v>0</v>
      </c>
      <c r="I550" s="123">
        <f t="shared" si="138"/>
        <v>0</v>
      </c>
      <c r="J550" s="124">
        <f>IF($D550="",0,IF($F550&lt;2,0,IF($E550="Win",('Guide &amp; Settings'!$C$42/(($F550-1)*COUNTIFS($A$4:$A$810,$A550,$E$4:$E$810,"Win")))*SUMIFS($X$4:$X$810,$A$4:$A$810,$A550,$E$4:$E$810,"Loss"),-('Guide &amp; Settings'!$C$42/($F550-1))*$X550)))</f>
        <v>0</v>
      </c>
      <c r="K550" s="124">
        <f>IF($D550="",0,'Guide &amp; Settings'!$C$43*(IF($E550="Win",1,0)-$I550))</f>
        <v>0</v>
      </c>
      <c r="L550" s="125">
        <f>IF($D550="",0,'Guide &amp; Settings'!$C$44*IF($F550&gt;=3,$F550,0))</f>
        <v>0</v>
      </c>
      <c r="M550" s="124">
        <f t="shared" si="139"/>
        <v>0</v>
      </c>
      <c r="N550" s="122">
        <f t="shared" si="140"/>
        <v>0</v>
      </c>
      <c r="O550" s="121" t="str">
        <f t="shared" si="141"/>
        <v/>
      </c>
      <c r="P550">
        <f t="shared" si="142"/>
        <v>0</v>
      </c>
      <c r="Q550">
        <f t="shared" si="143"/>
        <v>0</v>
      </c>
      <c r="R550">
        <f t="shared" si="144"/>
        <v>0</v>
      </c>
      <c r="S550">
        <f t="shared" si="145"/>
        <v>0</v>
      </c>
      <c r="T550" s="89">
        <f t="shared" si="146"/>
        <v>0</v>
      </c>
      <c r="U550" s="126">
        <f>IF($D550="",0,IFERROR(LOOKUP(2,1/(($D$3:D549=$D550)*($C$3:C549=$C550)*($A$3:A549&lt;$A550)),$AB$3:AB549),1000))</f>
        <v>0</v>
      </c>
      <c r="V550" s="126">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6">
        <f t="shared" si="152"/>
        <v>0</v>
      </c>
      <c r="AC550" s="126"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7"/>
      <c r="B551" s="118"/>
      <c r="C551" s="119"/>
      <c r="D551" s="119"/>
      <c r="E551" s="117"/>
      <c r="F551" s="120">
        <f t="shared" si="136"/>
        <v>0</v>
      </c>
      <c r="G551" s="121" t="str">
        <f t="shared" si="137"/>
        <v/>
      </c>
      <c r="H551" s="122">
        <f>IF($D551="",0,IFERROR(LOOKUP(2,1/(($D$3:D550=$D551)*($A$3:A550&lt;$A551)),$N$3:N550),'Guide &amp; Settings'!$C$41))</f>
        <v>0</v>
      </c>
      <c r="I551" s="123">
        <f t="shared" si="138"/>
        <v>0</v>
      </c>
      <c r="J551" s="124">
        <f>IF($D551="",0,IF($F551&lt;2,0,IF($E551="Win",('Guide &amp; Settings'!$C$42/(($F551-1)*COUNTIFS($A$4:$A$810,$A551,$E$4:$E$810,"Win")))*SUMIFS($X$4:$X$810,$A$4:$A$810,$A551,$E$4:$E$810,"Loss"),-('Guide &amp; Settings'!$C$42/($F551-1))*$X551)))</f>
        <v>0</v>
      </c>
      <c r="K551" s="124">
        <f>IF($D551="",0,'Guide &amp; Settings'!$C$43*(IF($E551="Win",1,0)-$I551))</f>
        <v>0</v>
      </c>
      <c r="L551" s="125">
        <f>IF($D551="",0,'Guide &amp; Settings'!$C$44*IF($F551&gt;=3,$F551,0))</f>
        <v>0</v>
      </c>
      <c r="M551" s="124">
        <f t="shared" si="139"/>
        <v>0</v>
      </c>
      <c r="N551" s="122">
        <f t="shared" si="140"/>
        <v>0</v>
      </c>
      <c r="O551" s="121" t="str">
        <f t="shared" si="141"/>
        <v/>
      </c>
      <c r="P551">
        <f t="shared" si="142"/>
        <v>0</v>
      </c>
      <c r="Q551">
        <f t="shared" si="143"/>
        <v>0</v>
      </c>
      <c r="R551">
        <f t="shared" si="144"/>
        <v>0</v>
      </c>
      <c r="S551">
        <f t="shared" si="145"/>
        <v>0</v>
      </c>
      <c r="T551" s="89">
        <f t="shared" si="146"/>
        <v>0</v>
      </c>
      <c r="U551" s="126">
        <f>IF($D551="",0,IFERROR(LOOKUP(2,1/(($D$3:D550=$D551)*($C$3:C550=$C551)*($A$3:A550&lt;$A551)),$AB$3:AB550),1000))</f>
        <v>0</v>
      </c>
      <c r="V551" s="126">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6">
        <f t="shared" si="152"/>
        <v>0</v>
      </c>
      <c r="AC551" s="126"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7"/>
      <c r="B552" s="118"/>
      <c r="C552" s="119"/>
      <c r="D552" s="119"/>
      <c r="E552" s="117"/>
      <c r="F552" s="120">
        <f t="shared" si="136"/>
        <v>0</v>
      </c>
      <c r="G552" s="121" t="str">
        <f t="shared" si="137"/>
        <v/>
      </c>
      <c r="H552" s="122">
        <f>IF($D552="",0,IFERROR(LOOKUP(2,1/(($D$3:D551=$D552)*($A$3:A551&lt;$A552)),$N$3:N551),'Guide &amp; Settings'!$C$41))</f>
        <v>0</v>
      </c>
      <c r="I552" s="123">
        <f t="shared" si="138"/>
        <v>0</v>
      </c>
      <c r="J552" s="124">
        <f>IF($D552="",0,IF($F552&lt;2,0,IF($E552="Win",('Guide &amp; Settings'!$C$42/(($F552-1)*COUNTIFS($A$4:$A$810,$A552,$E$4:$E$810,"Win")))*SUMIFS($X$4:$X$810,$A$4:$A$810,$A552,$E$4:$E$810,"Loss"),-('Guide &amp; Settings'!$C$42/($F552-1))*$X552)))</f>
        <v>0</v>
      </c>
      <c r="K552" s="124">
        <f>IF($D552="",0,'Guide &amp; Settings'!$C$43*(IF($E552="Win",1,0)-$I552))</f>
        <v>0</v>
      </c>
      <c r="L552" s="125">
        <f>IF($D552="",0,'Guide &amp; Settings'!$C$44*IF($F552&gt;=3,$F552,0))</f>
        <v>0</v>
      </c>
      <c r="M552" s="124">
        <f t="shared" si="139"/>
        <v>0</v>
      </c>
      <c r="N552" s="122">
        <f t="shared" si="140"/>
        <v>0</v>
      </c>
      <c r="O552" s="121" t="str">
        <f t="shared" si="141"/>
        <v/>
      </c>
      <c r="P552">
        <f t="shared" si="142"/>
        <v>0</v>
      </c>
      <c r="Q552">
        <f t="shared" si="143"/>
        <v>0</v>
      </c>
      <c r="R552">
        <f t="shared" si="144"/>
        <v>0</v>
      </c>
      <c r="S552">
        <f t="shared" si="145"/>
        <v>0</v>
      </c>
      <c r="T552" s="89">
        <f t="shared" si="146"/>
        <v>0</v>
      </c>
      <c r="U552" s="126">
        <f>IF($D552="",0,IFERROR(LOOKUP(2,1/(($D$3:D551=$D552)*($C$3:C551=$C552)*($A$3:A551&lt;$A552)),$AB$3:AB551),1000))</f>
        <v>0</v>
      </c>
      <c r="V552" s="126">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6">
        <f t="shared" si="152"/>
        <v>0</v>
      </c>
      <c r="AC552" s="126"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7"/>
      <c r="B553" s="118"/>
      <c r="C553" s="119"/>
      <c r="D553" s="119"/>
      <c r="E553" s="117"/>
      <c r="F553" s="120">
        <f t="shared" si="136"/>
        <v>0</v>
      </c>
      <c r="G553" s="121" t="str">
        <f t="shared" si="137"/>
        <v/>
      </c>
      <c r="H553" s="122">
        <f>IF($D553="",0,IFERROR(LOOKUP(2,1/(($D$3:D552=$D553)*($A$3:A552&lt;$A553)),$N$3:N552),'Guide &amp; Settings'!$C$41))</f>
        <v>0</v>
      </c>
      <c r="I553" s="123">
        <f t="shared" si="138"/>
        <v>0</v>
      </c>
      <c r="J553" s="124">
        <f>IF($D553="",0,IF($F553&lt;2,0,IF($E553="Win",('Guide &amp; Settings'!$C$42/(($F553-1)*COUNTIFS($A$4:$A$810,$A553,$E$4:$E$810,"Win")))*SUMIFS($X$4:$X$810,$A$4:$A$810,$A553,$E$4:$E$810,"Loss"),-('Guide &amp; Settings'!$C$42/($F553-1))*$X553)))</f>
        <v>0</v>
      </c>
      <c r="K553" s="124">
        <f>IF($D553="",0,'Guide &amp; Settings'!$C$43*(IF($E553="Win",1,0)-$I553))</f>
        <v>0</v>
      </c>
      <c r="L553" s="125">
        <f>IF($D553="",0,'Guide &amp; Settings'!$C$44*IF($F553&gt;=3,$F553,0))</f>
        <v>0</v>
      </c>
      <c r="M553" s="124">
        <f t="shared" si="139"/>
        <v>0</v>
      </c>
      <c r="N553" s="122">
        <f t="shared" si="140"/>
        <v>0</v>
      </c>
      <c r="O553" s="121" t="str">
        <f t="shared" si="141"/>
        <v/>
      </c>
      <c r="P553">
        <f t="shared" si="142"/>
        <v>0</v>
      </c>
      <c r="Q553">
        <f t="shared" si="143"/>
        <v>0</v>
      </c>
      <c r="R553">
        <f t="shared" si="144"/>
        <v>0</v>
      </c>
      <c r="S553">
        <f t="shared" si="145"/>
        <v>0</v>
      </c>
      <c r="T553" s="89">
        <f t="shared" si="146"/>
        <v>0</v>
      </c>
      <c r="U553" s="126">
        <f>IF($D553="",0,IFERROR(LOOKUP(2,1/(($D$3:D552=$D553)*($C$3:C552=$C553)*($A$3:A552&lt;$A553)),$AB$3:AB552),1000))</f>
        <v>0</v>
      </c>
      <c r="V553" s="126">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6">
        <f t="shared" si="152"/>
        <v>0</v>
      </c>
      <c r="AC553" s="126"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7"/>
      <c r="B554" s="118"/>
      <c r="C554" s="119"/>
      <c r="D554" s="119"/>
      <c r="E554" s="117"/>
      <c r="F554" s="120">
        <f t="shared" si="136"/>
        <v>0</v>
      </c>
      <c r="G554" s="121" t="str">
        <f t="shared" si="137"/>
        <v/>
      </c>
      <c r="H554" s="122">
        <f>IF($D554="",0,IFERROR(LOOKUP(2,1/(($D$3:D553=$D554)*($A$3:A553&lt;$A554)),$N$3:N553),'Guide &amp; Settings'!$C$41))</f>
        <v>0</v>
      </c>
      <c r="I554" s="123">
        <f t="shared" si="138"/>
        <v>0</v>
      </c>
      <c r="J554" s="124">
        <f>IF($D554="",0,IF($F554&lt;2,0,IF($E554="Win",('Guide &amp; Settings'!$C$42/(($F554-1)*COUNTIFS($A$4:$A$810,$A554,$E$4:$E$810,"Win")))*SUMIFS($X$4:$X$810,$A$4:$A$810,$A554,$E$4:$E$810,"Loss"),-('Guide &amp; Settings'!$C$42/($F554-1))*$X554)))</f>
        <v>0</v>
      </c>
      <c r="K554" s="124">
        <f>IF($D554="",0,'Guide &amp; Settings'!$C$43*(IF($E554="Win",1,0)-$I554))</f>
        <v>0</v>
      </c>
      <c r="L554" s="125">
        <f>IF($D554="",0,'Guide &amp; Settings'!$C$44*IF($F554&gt;=3,$F554,0))</f>
        <v>0</v>
      </c>
      <c r="M554" s="124">
        <f t="shared" si="139"/>
        <v>0</v>
      </c>
      <c r="N554" s="122">
        <f t="shared" si="140"/>
        <v>0</v>
      </c>
      <c r="O554" s="121" t="str">
        <f t="shared" si="141"/>
        <v/>
      </c>
      <c r="P554">
        <f t="shared" si="142"/>
        <v>0</v>
      </c>
      <c r="Q554">
        <f t="shared" si="143"/>
        <v>0</v>
      </c>
      <c r="R554">
        <f t="shared" si="144"/>
        <v>0</v>
      </c>
      <c r="S554">
        <f t="shared" si="145"/>
        <v>0</v>
      </c>
      <c r="T554" s="89">
        <f t="shared" si="146"/>
        <v>0</v>
      </c>
      <c r="U554" s="126">
        <f>IF($D554="",0,IFERROR(LOOKUP(2,1/(($D$3:D553=$D554)*($C$3:C553=$C554)*($A$3:A553&lt;$A554)),$AB$3:AB553),1000))</f>
        <v>0</v>
      </c>
      <c r="V554" s="126">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6">
        <f t="shared" si="152"/>
        <v>0</v>
      </c>
      <c r="AC554" s="126"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7"/>
      <c r="B555" s="118"/>
      <c r="C555" s="119"/>
      <c r="D555" s="119"/>
      <c r="E555" s="117"/>
      <c r="F555" s="120">
        <f t="shared" si="136"/>
        <v>0</v>
      </c>
      <c r="G555" s="121" t="str">
        <f t="shared" si="137"/>
        <v/>
      </c>
      <c r="H555" s="122">
        <f>IF($D555="",0,IFERROR(LOOKUP(2,1/(($D$3:D554=$D555)*($A$3:A554&lt;$A555)),$N$3:N554),'Guide &amp; Settings'!$C$41))</f>
        <v>0</v>
      </c>
      <c r="I555" s="123">
        <f t="shared" si="138"/>
        <v>0</v>
      </c>
      <c r="J555" s="124">
        <f>IF($D555="",0,IF($F555&lt;2,0,IF($E555="Win",('Guide &amp; Settings'!$C$42/(($F555-1)*COUNTIFS($A$4:$A$810,$A555,$E$4:$E$810,"Win")))*SUMIFS($X$4:$X$810,$A$4:$A$810,$A555,$E$4:$E$810,"Loss"),-('Guide &amp; Settings'!$C$42/($F555-1))*$X555)))</f>
        <v>0</v>
      </c>
      <c r="K555" s="124">
        <f>IF($D555="",0,'Guide &amp; Settings'!$C$43*(IF($E555="Win",1,0)-$I555))</f>
        <v>0</v>
      </c>
      <c r="L555" s="125">
        <f>IF($D555="",0,'Guide &amp; Settings'!$C$44*IF($F555&gt;=3,$F555,0))</f>
        <v>0</v>
      </c>
      <c r="M555" s="124">
        <f t="shared" si="139"/>
        <v>0</v>
      </c>
      <c r="N555" s="122">
        <f t="shared" si="140"/>
        <v>0</v>
      </c>
      <c r="O555" s="121" t="str">
        <f t="shared" si="141"/>
        <v/>
      </c>
      <c r="P555">
        <f t="shared" si="142"/>
        <v>0</v>
      </c>
      <c r="Q555">
        <f t="shared" si="143"/>
        <v>0</v>
      </c>
      <c r="R555">
        <f t="shared" si="144"/>
        <v>0</v>
      </c>
      <c r="S555">
        <f t="shared" si="145"/>
        <v>0</v>
      </c>
      <c r="T555" s="89">
        <f t="shared" si="146"/>
        <v>0</v>
      </c>
      <c r="U555" s="126">
        <f>IF($D555="",0,IFERROR(LOOKUP(2,1/(($D$3:D554=$D555)*($C$3:C554=$C555)*($A$3:A554&lt;$A555)),$AB$3:AB554),1000))</f>
        <v>0</v>
      </c>
      <c r="V555" s="126">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6">
        <f t="shared" si="152"/>
        <v>0</v>
      </c>
      <c r="AC555" s="126"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7"/>
      <c r="B556" s="118"/>
      <c r="C556" s="119"/>
      <c r="D556" s="119"/>
      <c r="E556" s="117"/>
      <c r="F556" s="120">
        <f t="shared" si="136"/>
        <v>0</v>
      </c>
      <c r="G556" s="121" t="str">
        <f t="shared" si="137"/>
        <v/>
      </c>
      <c r="H556" s="122">
        <f>IF($D556="",0,IFERROR(LOOKUP(2,1/(($D$3:D555=$D556)*($A$3:A555&lt;$A556)),$N$3:N555),'Guide &amp; Settings'!$C$41))</f>
        <v>0</v>
      </c>
      <c r="I556" s="123">
        <f t="shared" si="138"/>
        <v>0</v>
      </c>
      <c r="J556" s="124">
        <f>IF($D556="",0,IF($F556&lt;2,0,IF($E556="Win",('Guide &amp; Settings'!$C$42/(($F556-1)*COUNTIFS($A$4:$A$810,$A556,$E$4:$E$810,"Win")))*SUMIFS($X$4:$X$810,$A$4:$A$810,$A556,$E$4:$E$810,"Loss"),-('Guide &amp; Settings'!$C$42/($F556-1))*$X556)))</f>
        <v>0</v>
      </c>
      <c r="K556" s="124">
        <f>IF($D556="",0,'Guide &amp; Settings'!$C$43*(IF($E556="Win",1,0)-$I556))</f>
        <v>0</v>
      </c>
      <c r="L556" s="125">
        <f>IF($D556="",0,'Guide &amp; Settings'!$C$44*IF($F556&gt;=3,$F556,0))</f>
        <v>0</v>
      </c>
      <c r="M556" s="124">
        <f t="shared" si="139"/>
        <v>0</v>
      </c>
      <c r="N556" s="122">
        <f t="shared" si="140"/>
        <v>0</v>
      </c>
      <c r="O556" s="121" t="str">
        <f t="shared" si="141"/>
        <v/>
      </c>
      <c r="P556">
        <f t="shared" si="142"/>
        <v>0</v>
      </c>
      <c r="Q556">
        <f t="shared" si="143"/>
        <v>0</v>
      </c>
      <c r="R556">
        <f t="shared" si="144"/>
        <v>0</v>
      </c>
      <c r="S556">
        <f t="shared" si="145"/>
        <v>0</v>
      </c>
      <c r="T556" s="89">
        <f t="shared" si="146"/>
        <v>0</v>
      </c>
      <c r="U556" s="126">
        <f>IF($D556="",0,IFERROR(LOOKUP(2,1/(($D$3:D555=$D556)*($C$3:C555=$C556)*($A$3:A555&lt;$A556)),$AB$3:AB555),1000))</f>
        <v>0</v>
      </c>
      <c r="V556" s="126">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6">
        <f t="shared" si="152"/>
        <v>0</v>
      </c>
      <c r="AC556" s="126"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7"/>
      <c r="B557" s="118"/>
      <c r="C557" s="119"/>
      <c r="D557" s="119"/>
      <c r="E557" s="117"/>
      <c r="F557" s="120">
        <f t="shared" si="136"/>
        <v>0</v>
      </c>
      <c r="G557" s="121" t="str">
        <f t="shared" si="137"/>
        <v/>
      </c>
      <c r="H557" s="122">
        <f>IF($D557="",0,IFERROR(LOOKUP(2,1/(($D$3:D556=$D557)*($A$3:A556&lt;$A557)),$N$3:N556),'Guide &amp; Settings'!$C$41))</f>
        <v>0</v>
      </c>
      <c r="I557" s="123">
        <f t="shared" si="138"/>
        <v>0</v>
      </c>
      <c r="J557" s="124">
        <f>IF($D557="",0,IF($F557&lt;2,0,IF($E557="Win",('Guide &amp; Settings'!$C$42/(($F557-1)*COUNTIFS($A$4:$A$810,$A557,$E$4:$E$810,"Win")))*SUMIFS($X$4:$X$810,$A$4:$A$810,$A557,$E$4:$E$810,"Loss"),-('Guide &amp; Settings'!$C$42/($F557-1))*$X557)))</f>
        <v>0</v>
      </c>
      <c r="K557" s="124">
        <f>IF($D557="",0,'Guide &amp; Settings'!$C$43*(IF($E557="Win",1,0)-$I557))</f>
        <v>0</v>
      </c>
      <c r="L557" s="125">
        <f>IF($D557="",0,'Guide &amp; Settings'!$C$44*IF($F557&gt;=3,$F557,0))</f>
        <v>0</v>
      </c>
      <c r="M557" s="124">
        <f t="shared" si="139"/>
        <v>0</v>
      </c>
      <c r="N557" s="122">
        <f t="shared" si="140"/>
        <v>0</v>
      </c>
      <c r="O557" s="121" t="str">
        <f t="shared" si="141"/>
        <v/>
      </c>
      <c r="P557">
        <f t="shared" si="142"/>
        <v>0</v>
      </c>
      <c r="Q557">
        <f t="shared" si="143"/>
        <v>0</v>
      </c>
      <c r="R557">
        <f t="shared" si="144"/>
        <v>0</v>
      </c>
      <c r="S557">
        <f t="shared" si="145"/>
        <v>0</v>
      </c>
      <c r="T557" s="89">
        <f t="shared" si="146"/>
        <v>0</v>
      </c>
      <c r="U557" s="126">
        <f>IF($D557="",0,IFERROR(LOOKUP(2,1/(($D$3:D556=$D557)*($C$3:C556=$C557)*($A$3:A556&lt;$A557)),$AB$3:AB556),1000))</f>
        <v>0</v>
      </c>
      <c r="V557" s="126">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6">
        <f t="shared" si="152"/>
        <v>0</v>
      </c>
      <c r="AC557" s="126"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7"/>
      <c r="B558" s="118"/>
      <c r="C558" s="119"/>
      <c r="D558" s="119"/>
      <c r="E558" s="117"/>
      <c r="F558" s="120">
        <f t="shared" si="136"/>
        <v>0</v>
      </c>
      <c r="G558" s="121" t="str">
        <f t="shared" si="137"/>
        <v/>
      </c>
      <c r="H558" s="122">
        <f>IF($D558="",0,IFERROR(LOOKUP(2,1/(($D$3:D557=$D558)*($A$3:A557&lt;$A558)),$N$3:N557),'Guide &amp; Settings'!$C$41))</f>
        <v>0</v>
      </c>
      <c r="I558" s="123">
        <f t="shared" si="138"/>
        <v>0</v>
      </c>
      <c r="J558" s="124">
        <f>IF($D558="",0,IF($F558&lt;2,0,IF($E558="Win",('Guide &amp; Settings'!$C$42/(($F558-1)*COUNTIFS($A$4:$A$810,$A558,$E$4:$E$810,"Win")))*SUMIFS($X$4:$X$810,$A$4:$A$810,$A558,$E$4:$E$810,"Loss"),-('Guide &amp; Settings'!$C$42/($F558-1))*$X558)))</f>
        <v>0</v>
      </c>
      <c r="K558" s="124">
        <f>IF($D558="",0,'Guide &amp; Settings'!$C$43*(IF($E558="Win",1,0)-$I558))</f>
        <v>0</v>
      </c>
      <c r="L558" s="125">
        <f>IF($D558="",0,'Guide &amp; Settings'!$C$44*IF($F558&gt;=3,$F558,0))</f>
        <v>0</v>
      </c>
      <c r="M558" s="124">
        <f t="shared" si="139"/>
        <v>0</v>
      </c>
      <c r="N558" s="122">
        <f t="shared" si="140"/>
        <v>0</v>
      </c>
      <c r="O558" s="121" t="str">
        <f t="shared" si="141"/>
        <v/>
      </c>
      <c r="P558">
        <f t="shared" si="142"/>
        <v>0</v>
      </c>
      <c r="Q558">
        <f t="shared" si="143"/>
        <v>0</v>
      </c>
      <c r="R558">
        <f t="shared" si="144"/>
        <v>0</v>
      </c>
      <c r="S558">
        <f t="shared" si="145"/>
        <v>0</v>
      </c>
      <c r="T558" s="89">
        <f t="shared" si="146"/>
        <v>0</v>
      </c>
      <c r="U558" s="126">
        <f>IF($D558="",0,IFERROR(LOOKUP(2,1/(($D$3:D557=$D558)*($C$3:C557=$C558)*($A$3:A557&lt;$A558)),$AB$3:AB557),1000))</f>
        <v>0</v>
      </c>
      <c r="V558" s="126">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6">
        <f t="shared" si="152"/>
        <v>0</v>
      </c>
      <c r="AC558" s="126"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7"/>
      <c r="B559" s="118"/>
      <c r="C559" s="119"/>
      <c r="D559" s="119"/>
      <c r="E559" s="117"/>
      <c r="F559" s="120">
        <f t="shared" si="136"/>
        <v>0</v>
      </c>
      <c r="G559" s="121" t="str">
        <f t="shared" si="137"/>
        <v/>
      </c>
      <c r="H559" s="122">
        <f>IF($D559="",0,IFERROR(LOOKUP(2,1/(($D$3:D558=$D559)*($A$3:A558&lt;$A559)),$N$3:N558),'Guide &amp; Settings'!$C$41))</f>
        <v>0</v>
      </c>
      <c r="I559" s="123">
        <f t="shared" si="138"/>
        <v>0</v>
      </c>
      <c r="J559" s="124">
        <f>IF($D559="",0,IF($F559&lt;2,0,IF($E559="Win",('Guide &amp; Settings'!$C$42/(($F559-1)*COUNTIFS($A$4:$A$810,$A559,$E$4:$E$810,"Win")))*SUMIFS($X$4:$X$810,$A$4:$A$810,$A559,$E$4:$E$810,"Loss"),-('Guide &amp; Settings'!$C$42/($F559-1))*$X559)))</f>
        <v>0</v>
      </c>
      <c r="K559" s="124">
        <f>IF($D559="",0,'Guide &amp; Settings'!$C$43*(IF($E559="Win",1,0)-$I559))</f>
        <v>0</v>
      </c>
      <c r="L559" s="125">
        <f>IF($D559="",0,'Guide &amp; Settings'!$C$44*IF($F559&gt;=3,$F559,0))</f>
        <v>0</v>
      </c>
      <c r="M559" s="124">
        <f t="shared" si="139"/>
        <v>0</v>
      </c>
      <c r="N559" s="122">
        <f t="shared" si="140"/>
        <v>0</v>
      </c>
      <c r="O559" s="121" t="str">
        <f t="shared" si="141"/>
        <v/>
      </c>
      <c r="P559">
        <f t="shared" si="142"/>
        <v>0</v>
      </c>
      <c r="Q559">
        <f t="shared" si="143"/>
        <v>0</v>
      </c>
      <c r="R559">
        <f t="shared" si="144"/>
        <v>0</v>
      </c>
      <c r="S559">
        <f t="shared" si="145"/>
        <v>0</v>
      </c>
      <c r="T559" s="89">
        <f t="shared" si="146"/>
        <v>0</v>
      </c>
      <c r="U559" s="126">
        <f>IF($D559="",0,IFERROR(LOOKUP(2,1/(($D$3:D558=$D559)*($C$3:C558=$C559)*($A$3:A558&lt;$A559)),$AB$3:AB558),1000))</f>
        <v>0</v>
      </c>
      <c r="V559" s="126">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6">
        <f t="shared" si="152"/>
        <v>0</v>
      </c>
      <c r="AC559" s="126"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7"/>
      <c r="B560" s="118"/>
      <c r="C560" s="119"/>
      <c r="D560" s="119"/>
      <c r="E560" s="117"/>
      <c r="F560" s="120">
        <f t="shared" si="136"/>
        <v>0</v>
      </c>
      <c r="G560" s="121" t="str">
        <f t="shared" si="137"/>
        <v/>
      </c>
      <c r="H560" s="122">
        <f>IF($D560="",0,IFERROR(LOOKUP(2,1/(($D$3:D559=$D560)*($A$3:A559&lt;$A560)),$N$3:N559),'Guide &amp; Settings'!$C$41))</f>
        <v>0</v>
      </c>
      <c r="I560" s="123">
        <f t="shared" si="138"/>
        <v>0</v>
      </c>
      <c r="J560" s="124">
        <f>IF($D560="",0,IF($F560&lt;2,0,IF($E560="Win",('Guide &amp; Settings'!$C$42/(($F560-1)*COUNTIFS($A$4:$A$810,$A560,$E$4:$E$810,"Win")))*SUMIFS($X$4:$X$810,$A$4:$A$810,$A560,$E$4:$E$810,"Loss"),-('Guide &amp; Settings'!$C$42/($F560-1))*$X560)))</f>
        <v>0</v>
      </c>
      <c r="K560" s="124">
        <f>IF($D560="",0,'Guide &amp; Settings'!$C$43*(IF($E560="Win",1,0)-$I560))</f>
        <v>0</v>
      </c>
      <c r="L560" s="125">
        <f>IF($D560="",0,'Guide &amp; Settings'!$C$44*IF($F560&gt;=3,$F560,0))</f>
        <v>0</v>
      </c>
      <c r="M560" s="124">
        <f t="shared" si="139"/>
        <v>0</v>
      </c>
      <c r="N560" s="122">
        <f t="shared" si="140"/>
        <v>0</v>
      </c>
      <c r="O560" s="121" t="str">
        <f t="shared" si="141"/>
        <v/>
      </c>
      <c r="P560">
        <f t="shared" si="142"/>
        <v>0</v>
      </c>
      <c r="Q560">
        <f t="shared" si="143"/>
        <v>0</v>
      </c>
      <c r="R560">
        <f t="shared" si="144"/>
        <v>0</v>
      </c>
      <c r="S560">
        <f t="shared" si="145"/>
        <v>0</v>
      </c>
      <c r="T560" s="89">
        <f t="shared" si="146"/>
        <v>0</v>
      </c>
      <c r="U560" s="126">
        <f>IF($D560="",0,IFERROR(LOOKUP(2,1/(($D$3:D559=$D560)*($C$3:C559=$C560)*($A$3:A559&lt;$A560)),$AB$3:AB559),1000))</f>
        <v>0</v>
      </c>
      <c r="V560" s="126">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6">
        <f t="shared" si="152"/>
        <v>0</v>
      </c>
      <c r="AC560" s="126"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7"/>
      <c r="B561" s="118"/>
      <c r="C561" s="119"/>
      <c r="D561" s="119"/>
      <c r="E561" s="117"/>
      <c r="F561" s="120">
        <f t="shared" si="136"/>
        <v>0</v>
      </c>
      <c r="G561" s="121" t="str">
        <f t="shared" si="137"/>
        <v/>
      </c>
      <c r="H561" s="122">
        <f>IF($D561="",0,IFERROR(LOOKUP(2,1/(($D$3:D560=$D561)*($A$3:A560&lt;$A561)),$N$3:N560),'Guide &amp; Settings'!$C$41))</f>
        <v>0</v>
      </c>
      <c r="I561" s="123">
        <f t="shared" si="138"/>
        <v>0</v>
      </c>
      <c r="J561" s="124">
        <f>IF($D561="",0,IF($F561&lt;2,0,IF($E561="Win",('Guide &amp; Settings'!$C$42/(($F561-1)*COUNTIFS($A$4:$A$810,$A561,$E$4:$E$810,"Win")))*SUMIFS($X$4:$X$810,$A$4:$A$810,$A561,$E$4:$E$810,"Loss"),-('Guide &amp; Settings'!$C$42/($F561-1))*$X561)))</f>
        <v>0</v>
      </c>
      <c r="K561" s="124">
        <f>IF($D561="",0,'Guide &amp; Settings'!$C$43*(IF($E561="Win",1,0)-$I561))</f>
        <v>0</v>
      </c>
      <c r="L561" s="125">
        <f>IF($D561="",0,'Guide &amp; Settings'!$C$44*IF($F561&gt;=3,$F561,0))</f>
        <v>0</v>
      </c>
      <c r="M561" s="124">
        <f t="shared" si="139"/>
        <v>0</v>
      </c>
      <c r="N561" s="122">
        <f t="shared" si="140"/>
        <v>0</v>
      </c>
      <c r="O561" s="121" t="str">
        <f t="shared" si="141"/>
        <v/>
      </c>
      <c r="P561">
        <f t="shared" si="142"/>
        <v>0</v>
      </c>
      <c r="Q561">
        <f t="shared" si="143"/>
        <v>0</v>
      </c>
      <c r="R561">
        <f t="shared" si="144"/>
        <v>0</v>
      </c>
      <c r="S561">
        <f t="shared" si="145"/>
        <v>0</v>
      </c>
      <c r="T561" s="89">
        <f t="shared" si="146"/>
        <v>0</v>
      </c>
      <c r="U561" s="126">
        <f>IF($D561="",0,IFERROR(LOOKUP(2,1/(($D$3:D560=$D561)*($C$3:C560=$C561)*($A$3:A560&lt;$A561)),$AB$3:AB560),1000))</f>
        <v>0</v>
      </c>
      <c r="V561" s="126">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6">
        <f t="shared" si="152"/>
        <v>0</v>
      </c>
      <c r="AC561" s="126"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7"/>
      <c r="B562" s="118"/>
      <c r="C562" s="119"/>
      <c r="D562" s="119"/>
      <c r="E562" s="117"/>
      <c r="F562" s="120">
        <f t="shared" si="136"/>
        <v>0</v>
      </c>
      <c r="G562" s="121" t="str">
        <f t="shared" si="137"/>
        <v/>
      </c>
      <c r="H562" s="122">
        <f>IF($D562="",0,IFERROR(LOOKUP(2,1/(($D$3:D561=$D562)*($A$3:A561&lt;$A562)),$N$3:N561),'Guide &amp; Settings'!$C$41))</f>
        <v>0</v>
      </c>
      <c r="I562" s="123">
        <f t="shared" si="138"/>
        <v>0</v>
      </c>
      <c r="J562" s="124">
        <f>IF($D562="",0,IF($F562&lt;2,0,IF($E562="Win",('Guide &amp; Settings'!$C$42/(($F562-1)*COUNTIFS($A$4:$A$810,$A562,$E$4:$E$810,"Win")))*SUMIFS($X$4:$X$810,$A$4:$A$810,$A562,$E$4:$E$810,"Loss"),-('Guide &amp; Settings'!$C$42/($F562-1))*$X562)))</f>
        <v>0</v>
      </c>
      <c r="K562" s="124">
        <f>IF($D562="",0,'Guide &amp; Settings'!$C$43*(IF($E562="Win",1,0)-$I562))</f>
        <v>0</v>
      </c>
      <c r="L562" s="125">
        <f>IF($D562="",0,'Guide &amp; Settings'!$C$44*IF($F562&gt;=3,$F562,0))</f>
        <v>0</v>
      </c>
      <c r="M562" s="124">
        <f t="shared" si="139"/>
        <v>0</v>
      </c>
      <c r="N562" s="122">
        <f t="shared" si="140"/>
        <v>0</v>
      </c>
      <c r="O562" s="121" t="str">
        <f t="shared" si="141"/>
        <v/>
      </c>
      <c r="P562">
        <f t="shared" si="142"/>
        <v>0</v>
      </c>
      <c r="Q562">
        <f t="shared" si="143"/>
        <v>0</v>
      </c>
      <c r="R562">
        <f t="shared" si="144"/>
        <v>0</v>
      </c>
      <c r="S562">
        <f t="shared" si="145"/>
        <v>0</v>
      </c>
      <c r="T562" s="89">
        <f t="shared" si="146"/>
        <v>0</v>
      </c>
      <c r="U562" s="126">
        <f>IF($D562="",0,IFERROR(LOOKUP(2,1/(($D$3:D561=$D562)*($C$3:C561=$C562)*($A$3:A561&lt;$A562)),$AB$3:AB561),1000))</f>
        <v>0</v>
      </c>
      <c r="V562" s="126">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6">
        <f t="shared" si="152"/>
        <v>0</v>
      </c>
      <c r="AC562" s="126"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7"/>
      <c r="B563" s="118"/>
      <c r="C563" s="119"/>
      <c r="D563" s="119"/>
      <c r="E563" s="117"/>
      <c r="F563" s="120">
        <f t="shared" si="136"/>
        <v>0</v>
      </c>
      <c r="G563" s="121" t="str">
        <f t="shared" si="137"/>
        <v/>
      </c>
      <c r="H563" s="122">
        <f>IF($D563="",0,IFERROR(LOOKUP(2,1/(($D$3:D562=$D563)*($A$3:A562&lt;$A563)),$N$3:N562),'Guide &amp; Settings'!$C$41))</f>
        <v>0</v>
      </c>
      <c r="I563" s="123">
        <f t="shared" si="138"/>
        <v>0</v>
      </c>
      <c r="J563" s="124">
        <f>IF($D563="",0,IF($F563&lt;2,0,IF($E563="Win",('Guide &amp; Settings'!$C$42/(($F563-1)*COUNTIFS($A$4:$A$810,$A563,$E$4:$E$810,"Win")))*SUMIFS($X$4:$X$810,$A$4:$A$810,$A563,$E$4:$E$810,"Loss"),-('Guide &amp; Settings'!$C$42/($F563-1))*$X563)))</f>
        <v>0</v>
      </c>
      <c r="K563" s="124">
        <f>IF($D563="",0,'Guide &amp; Settings'!$C$43*(IF($E563="Win",1,0)-$I563))</f>
        <v>0</v>
      </c>
      <c r="L563" s="125">
        <f>IF($D563="",0,'Guide &amp; Settings'!$C$44*IF($F563&gt;=3,$F563,0))</f>
        <v>0</v>
      </c>
      <c r="M563" s="124">
        <f t="shared" si="139"/>
        <v>0</v>
      </c>
      <c r="N563" s="122">
        <f t="shared" si="140"/>
        <v>0</v>
      </c>
      <c r="O563" s="121" t="str">
        <f t="shared" si="141"/>
        <v/>
      </c>
      <c r="P563">
        <f t="shared" si="142"/>
        <v>0</v>
      </c>
      <c r="Q563">
        <f t="shared" si="143"/>
        <v>0</v>
      </c>
      <c r="R563">
        <f t="shared" si="144"/>
        <v>0</v>
      </c>
      <c r="S563">
        <f t="shared" si="145"/>
        <v>0</v>
      </c>
      <c r="T563" s="89">
        <f t="shared" si="146"/>
        <v>0</v>
      </c>
      <c r="U563" s="126">
        <f>IF($D563="",0,IFERROR(LOOKUP(2,1/(($D$3:D562=$D563)*($C$3:C562=$C563)*($A$3:A562&lt;$A563)),$AB$3:AB562),1000))</f>
        <v>0</v>
      </c>
      <c r="V563" s="126">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6">
        <f t="shared" si="152"/>
        <v>0</v>
      </c>
      <c r="AC563" s="126"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7"/>
      <c r="B564" s="118"/>
      <c r="C564" s="119"/>
      <c r="D564" s="119"/>
      <c r="E564" s="117"/>
      <c r="F564" s="120">
        <f t="shared" si="136"/>
        <v>0</v>
      </c>
      <c r="G564" s="121" t="str">
        <f t="shared" si="137"/>
        <v/>
      </c>
      <c r="H564" s="122">
        <f>IF($D564="",0,IFERROR(LOOKUP(2,1/(($D$3:D563=$D564)*($A$3:A563&lt;$A564)),$N$3:N563),'Guide &amp; Settings'!$C$41))</f>
        <v>0</v>
      </c>
      <c r="I564" s="123">
        <f t="shared" si="138"/>
        <v>0</v>
      </c>
      <c r="J564" s="124">
        <f>IF($D564="",0,IF($F564&lt;2,0,IF($E564="Win",('Guide &amp; Settings'!$C$42/(($F564-1)*COUNTIFS($A$4:$A$810,$A564,$E$4:$E$810,"Win")))*SUMIFS($X$4:$X$810,$A$4:$A$810,$A564,$E$4:$E$810,"Loss"),-('Guide &amp; Settings'!$C$42/($F564-1))*$X564)))</f>
        <v>0</v>
      </c>
      <c r="K564" s="124">
        <f>IF($D564="",0,'Guide &amp; Settings'!$C$43*(IF($E564="Win",1,0)-$I564))</f>
        <v>0</v>
      </c>
      <c r="L564" s="125">
        <f>IF($D564="",0,'Guide &amp; Settings'!$C$44*IF($F564&gt;=3,$F564,0))</f>
        <v>0</v>
      </c>
      <c r="M564" s="124">
        <f t="shared" si="139"/>
        <v>0</v>
      </c>
      <c r="N564" s="122">
        <f t="shared" si="140"/>
        <v>0</v>
      </c>
      <c r="O564" s="121" t="str">
        <f t="shared" si="141"/>
        <v/>
      </c>
      <c r="P564">
        <f t="shared" si="142"/>
        <v>0</v>
      </c>
      <c r="Q564">
        <f t="shared" si="143"/>
        <v>0</v>
      </c>
      <c r="R564">
        <f t="shared" si="144"/>
        <v>0</v>
      </c>
      <c r="S564">
        <f t="shared" si="145"/>
        <v>0</v>
      </c>
      <c r="T564" s="89">
        <f t="shared" si="146"/>
        <v>0</v>
      </c>
      <c r="U564" s="126">
        <f>IF($D564="",0,IFERROR(LOOKUP(2,1/(($D$3:D563=$D564)*($C$3:C563=$C564)*($A$3:A563&lt;$A564)),$AB$3:AB563),1000))</f>
        <v>0</v>
      </c>
      <c r="V564" s="126">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6">
        <f t="shared" si="152"/>
        <v>0</v>
      </c>
      <c r="AC564" s="126"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7"/>
      <c r="B565" s="118"/>
      <c r="C565" s="119"/>
      <c r="D565" s="119"/>
      <c r="E565" s="117"/>
      <c r="F565" s="120">
        <f t="shared" si="136"/>
        <v>0</v>
      </c>
      <c r="G565" s="121" t="str">
        <f t="shared" si="137"/>
        <v/>
      </c>
      <c r="H565" s="122">
        <f>IF($D565="",0,IFERROR(LOOKUP(2,1/(($D$3:D564=$D565)*($A$3:A564&lt;$A565)),$N$3:N564),'Guide &amp; Settings'!$C$41))</f>
        <v>0</v>
      </c>
      <c r="I565" s="123">
        <f t="shared" si="138"/>
        <v>0</v>
      </c>
      <c r="J565" s="124">
        <f>IF($D565="",0,IF($F565&lt;2,0,IF($E565="Win",('Guide &amp; Settings'!$C$42/(($F565-1)*COUNTIFS($A$4:$A$810,$A565,$E$4:$E$810,"Win")))*SUMIFS($X$4:$X$810,$A$4:$A$810,$A565,$E$4:$E$810,"Loss"),-('Guide &amp; Settings'!$C$42/($F565-1))*$X565)))</f>
        <v>0</v>
      </c>
      <c r="K565" s="124">
        <f>IF($D565="",0,'Guide &amp; Settings'!$C$43*(IF($E565="Win",1,0)-$I565))</f>
        <v>0</v>
      </c>
      <c r="L565" s="125">
        <f>IF($D565="",0,'Guide &amp; Settings'!$C$44*IF($F565&gt;=3,$F565,0))</f>
        <v>0</v>
      </c>
      <c r="M565" s="124">
        <f t="shared" si="139"/>
        <v>0</v>
      </c>
      <c r="N565" s="122">
        <f t="shared" si="140"/>
        <v>0</v>
      </c>
      <c r="O565" s="121" t="str">
        <f t="shared" si="141"/>
        <v/>
      </c>
      <c r="P565">
        <f t="shared" si="142"/>
        <v>0</v>
      </c>
      <c r="Q565">
        <f t="shared" si="143"/>
        <v>0</v>
      </c>
      <c r="R565">
        <f t="shared" si="144"/>
        <v>0</v>
      </c>
      <c r="S565">
        <f t="shared" si="145"/>
        <v>0</v>
      </c>
      <c r="T565" s="89">
        <f t="shared" si="146"/>
        <v>0</v>
      </c>
      <c r="U565" s="126">
        <f>IF($D565="",0,IFERROR(LOOKUP(2,1/(($D$3:D564=$D565)*($C$3:C564=$C565)*($A$3:A564&lt;$A565)),$AB$3:AB564),1000))</f>
        <v>0</v>
      </c>
      <c r="V565" s="126">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6">
        <f t="shared" si="152"/>
        <v>0</v>
      </c>
      <c r="AC565" s="126"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7"/>
      <c r="B566" s="118"/>
      <c r="C566" s="119"/>
      <c r="D566" s="119"/>
      <c r="E566" s="117"/>
      <c r="F566" s="120">
        <f t="shared" si="136"/>
        <v>0</v>
      </c>
      <c r="G566" s="121" t="str">
        <f t="shared" si="137"/>
        <v/>
      </c>
      <c r="H566" s="122">
        <f>IF($D566="",0,IFERROR(LOOKUP(2,1/(($D$3:D565=$D566)*($A$3:A565&lt;$A566)),$N$3:N565),'Guide &amp; Settings'!$C$41))</f>
        <v>0</v>
      </c>
      <c r="I566" s="123">
        <f t="shared" si="138"/>
        <v>0</v>
      </c>
      <c r="J566" s="124">
        <f>IF($D566="",0,IF($F566&lt;2,0,IF($E566="Win",('Guide &amp; Settings'!$C$42/(($F566-1)*COUNTIFS($A$4:$A$810,$A566,$E$4:$E$810,"Win")))*SUMIFS($X$4:$X$810,$A$4:$A$810,$A566,$E$4:$E$810,"Loss"),-('Guide &amp; Settings'!$C$42/($F566-1))*$X566)))</f>
        <v>0</v>
      </c>
      <c r="K566" s="124">
        <f>IF($D566="",0,'Guide &amp; Settings'!$C$43*(IF($E566="Win",1,0)-$I566))</f>
        <v>0</v>
      </c>
      <c r="L566" s="125">
        <f>IF($D566="",0,'Guide &amp; Settings'!$C$44*IF($F566&gt;=3,$F566,0))</f>
        <v>0</v>
      </c>
      <c r="M566" s="124">
        <f t="shared" si="139"/>
        <v>0</v>
      </c>
      <c r="N566" s="122">
        <f t="shared" si="140"/>
        <v>0</v>
      </c>
      <c r="O566" s="121" t="str">
        <f t="shared" si="141"/>
        <v/>
      </c>
      <c r="P566">
        <f t="shared" si="142"/>
        <v>0</v>
      </c>
      <c r="Q566">
        <f t="shared" si="143"/>
        <v>0</v>
      </c>
      <c r="R566">
        <f t="shared" si="144"/>
        <v>0</v>
      </c>
      <c r="S566">
        <f t="shared" si="145"/>
        <v>0</v>
      </c>
      <c r="T566" s="89">
        <f t="shared" si="146"/>
        <v>0</v>
      </c>
      <c r="U566" s="126">
        <f>IF($D566="",0,IFERROR(LOOKUP(2,1/(($D$3:D565=$D566)*($C$3:C565=$C566)*($A$3:A565&lt;$A566)),$AB$3:AB565),1000))</f>
        <v>0</v>
      </c>
      <c r="V566" s="126">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6">
        <f t="shared" si="152"/>
        <v>0</v>
      </c>
      <c r="AC566" s="126"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7"/>
      <c r="B567" s="118"/>
      <c r="C567" s="119"/>
      <c r="D567" s="119"/>
      <c r="E567" s="117"/>
      <c r="F567" s="120">
        <f t="shared" si="136"/>
        <v>0</v>
      </c>
      <c r="G567" s="121" t="str">
        <f t="shared" si="137"/>
        <v/>
      </c>
      <c r="H567" s="122">
        <f>IF($D567="",0,IFERROR(LOOKUP(2,1/(($D$3:D566=$D567)*($A$3:A566&lt;$A567)),$N$3:N566),'Guide &amp; Settings'!$C$41))</f>
        <v>0</v>
      </c>
      <c r="I567" s="123">
        <f t="shared" si="138"/>
        <v>0</v>
      </c>
      <c r="J567" s="124">
        <f>IF($D567="",0,IF($F567&lt;2,0,IF($E567="Win",('Guide &amp; Settings'!$C$42/(($F567-1)*COUNTIFS($A$4:$A$810,$A567,$E$4:$E$810,"Win")))*SUMIFS($X$4:$X$810,$A$4:$A$810,$A567,$E$4:$E$810,"Loss"),-('Guide &amp; Settings'!$C$42/($F567-1))*$X567)))</f>
        <v>0</v>
      </c>
      <c r="K567" s="124">
        <f>IF($D567="",0,'Guide &amp; Settings'!$C$43*(IF($E567="Win",1,0)-$I567))</f>
        <v>0</v>
      </c>
      <c r="L567" s="125">
        <f>IF($D567="",0,'Guide &amp; Settings'!$C$44*IF($F567&gt;=3,$F567,0))</f>
        <v>0</v>
      </c>
      <c r="M567" s="124">
        <f t="shared" si="139"/>
        <v>0</v>
      </c>
      <c r="N567" s="122">
        <f t="shared" si="140"/>
        <v>0</v>
      </c>
      <c r="O567" s="121" t="str">
        <f t="shared" si="141"/>
        <v/>
      </c>
      <c r="P567">
        <f t="shared" si="142"/>
        <v>0</v>
      </c>
      <c r="Q567">
        <f t="shared" si="143"/>
        <v>0</v>
      </c>
      <c r="R567">
        <f t="shared" si="144"/>
        <v>0</v>
      </c>
      <c r="S567">
        <f t="shared" si="145"/>
        <v>0</v>
      </c>
      <c r="T567" s="89">
        <f t="shared" si="146"/>
        <v>0</v>
      </c>
      <c r="U567" s="126">
        <f>IF($D567="",0,IFERROR(LOOKUP(2,1/(($D$3:D566=$D567)*($C$3:C566=$C567)*($A$3:A566&lt;$A567)),$AB$3:AB566),1000))</f>
        <v>0</v>
      </c>
      <c r="V567" s="126">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6">
        <f t="shared" si="152"/>
        <v>0</v>
      </c>
      <c r="AC567" s="126"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7"/>
      <c r="B568" s="118"/>
      <c r="C568" s="119"/>
      <c r="D568" s="119"/>
      <c r="E568" s="117"/>
      <c r="F568" s="120">
        <f t="shared" si="136"/>
        <v>0</v>
      </c>
      <c r="G568" s="121" t="str">
        <f t="shared" si="137"/>
        <v/>
      </c>
      <c r="H568" s="122">
        <f>IF($D568="",0,IFERROR(LOOKUP(2,1/(($D$3:D567=$D568)*($A$3:A567&lt;$A568)),$N$3:N567),'Guide &amp; Settings'!$C$41))</f>
        <v>0</v>
      </c>
      <c r="I568" s="123">
        <f t="shared" si="138"/>
        <v>0</v>
      </c>
      <c r="J568" s="124">
        <f>IF($D568="",0,IF($F568&lt;2,0,IF($E568="Win",('Guide &amp; Settings'!$C$42/(($F568-1)*COUNTIFS($A$4:$A$810,$A568,$E$4:$E$810,"Win")))*SUMIFS($X$4:$X$810,$A$4:$A$810,$A568,$E$4:$E$810,"Loss"),-('Guide &amp; Settings'!$C$42/($F568-1))*$X568)))</f>
        <v>0</v>
      </c>
      <c r="K568" s="124">
        <f>IF($D568="",0,'Guide &amp; Settings'!$C$43*(IF($E568="Win",1,0)-$I568))</f>
        <v>0</v>
      </c>
      <c r="L568" s="125">
        <f>IF($D568="",0,'Guide &amp; Settings'!$C$44*IF($F568&gt;=3,$F568,0))</f>
        <v>0</v>
      </c>
      <c r="M568" s="124">
        <f t="shared" si="139"/>
        <v>0</v>
      </c>
      <c r="N568" s="122">
        <f t="shared" si="140"/>
        <v>0</v>
      </c>
      <c r="O568" s="121" t="str">
        <f t="shared" si="141"/>
        <v/>
      </c>
      <c r="P568">
        <f t="shared" si="142"/>
        <v>0</v>
      </c>
      <c r="Q568">
        <f t="shared" si="143"/>
        <v>0</v>
      </c>
      <c r="R568">
        <f t="shared" si="144"/>
        <v>0</v>
      </c>
      <c r="S568">
        <f t="shared" si="145"/>
        <v>0</v>
      </c>
      <c r="T568" s="89">
        <f t="shared" si="146"/>
        <v>0</v>
      </c>
      <c r="U568" s="126">
        <f>IF($D568="",0,IFERROR(LOOKUP(2,1/(($D$3:D567=$D568)*($C$3:C567=$C568)*($A$3:A567&lt;$A568)),$AB$3:AB567),1000))</f>
        <v>0</v>
      </c>
      <c r="V568" s="126">
        <f t="shared" si="147"/>
        <v>0</v>
      </c>
      <c r="W568">
        <f t="shared" si="148"/>
        <v>0</v>
      </c>
      <c r="X568">
        <f t="shared" si="149"/>
        <v>0</v>
      </c>
      <c r="Y568">
        <f t="shared" si="150"/>
        <v>0</v>
      </c>
      <c r="Z568">
        <f t="shared" si="151"/>
        <v>0</v>
      </c>
      <c r="AA568">
        <f>IF($D568="",0,IF($F568&lt;2,0,IF($E568="Win",('Guide &amp; Settings'!$C$42/(($F568-1)*COUNTIFS($A$4:$A$810,$A568,$E$4:$E$810,"Win")))*SUMIFS($Z$4:$Z$810,$A$4:$A$810,$A568,$E$4:$E$810,"Loss"),-('Guide &amp; Settings'!$C$42/($F568-1))*$Z568)))</f>
        <v>0</v>
      </c>
      <c r="AB568" s="126">
        <f t="shared" si="152"/>
        <v>0</v>
      </c>
      <c r="AC568" s="126"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7"/>
      <c r="B569" s="118"/>
      <c r="C569" s="119"/>
      <c r="D569" s="119"/>
      <c r="E569" s="117"/>
      <c r="F569" s="120">
        <f t="shared" si="136"/>
        <v>0</v>
      </c>
      <c r="G569" s="121" t="str">
        <f t="shared" si="137"/>
        <v/>
      </c>
      <c r="H569" s="122">
        <f>IF($D569="",0,IFERROR(LOOKUP(2,1/(($D$3:D568=$D569)*($A$3:A568&lt;$A569)),$N$3:N568),'Guide &amp; Settings'!$C$41))</f>
        <v>0</v>
      </c>
      <c r="I569" s="123">
        <f t="shared" si="138"/>
        <v>0</v>
      </c>
      <c r="J569" s="124">
        <f>IF($D569="",0,IF($F569&lt;2,0,IF($E569="Win",('Guide &amp; Settings'!$C$42/(($F569-1)*COUNTIFS($A$4:$A$810,$A569,$E$4:$E$810,"Win")))*SUMIFS($X$4:$X$810,$A$4:$A$810,$A569,$E$4:$E$810,"Loss"),-('Guide &amp; Settings'!$C$42/($F569-1))*$X569)))</f>
        <v>0</v>
      </c>
      <c r="K569" s="124">
        <f>IF($D569="",0,'Guide &amp; Settings'!$C$43*(IF($E569="Win",1,0)-$I569))</f>
        <v>0</v>
      </c>
      <c r="L569" s="125">
        <f>IF($D569="",0,'Guide &amp; Settings'!$C$44*IF($F569&gt;=3,$F569,0))</f>
        <v>0</v>
      </c>
      <c r="M569" s="124">
        <f t="shared" si="139"/>
        <v>0</v>
      </c>
      <c r="N569" s="122">
        <f t="shared" si="140"/>
        <v>0</v>
      </c>
      <c r="O569" s="121" t="str">
        <f t="shared" si="141"/>
        <v/>
      </c>
      <c r="P569">
        <f t="shared" si="142"/>
        <v>0</v>
      </c>
      <c r="Q569">
        <f t="shared" si="143"/>
        <v>0</v>
      </c>
      <c r="R569">
        <f t="shared" si="144"/>
        <v>0</v>
      </c>
      <c r="S569">
        <f t="shared" si="145"/>
        <v>0</v>
      </c>
      <c r="T569" s="89">
        <f t="shared" si="146"/>
        <v>0</v>
      </c>
      <c r="U569" s="126">
        <f>IF($D569="",0,IFERROR(LOOKUP(2,1/(($D$3:D568=$D569)*($C$3:C568=$C569)*($A$3:A568&lt;$A569)),$AB$3:AB568),1000))</f>
        <v>0</v>
      </c>
      <c r="V569" s="126">
        <f t="shared" si="147"/>
        <v>0</v>
      </c>
      <c r="W569">
        <f t="shared" si="148"/>
        <v>0</v>
      </c>
      <c r="X569">
        <f t="shared" si="149"/>
        <v>0</v>
      </c>
      <c r="Y569">
        <f t="shared" si="150"/>
        <v>0</v>
      </c>
      <c r="Z569">
        <f t="shared" si="151"/>
        <v>0</v>
      </c>
      <c r="AA569">
        <f>IF($D569="",0,IF($F569&lt;2,0,IF($E569="Win",('Guide &amp; Settings'!$C$42/(($F569-1)*COUNTIFS($A$4:$A$810,$A569,$E$4:$E$810,"Win")))*SUMIFS($Z$4:$Z$810,$A$4:$A$810,$A569,$E$4:$E$810,"Loss"),-('Guide &amp; Settings'!$C$42/($F569-1))*$Z569)))</f>
        <v>0</v>
      </c>
      <c r="AB569" s="126">
        <f t="shared" si="152"/>
        <v>0</v>
      </c>
      <c r="AC569" s="126"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7"/>
      <c r="B570" s="118"/>
      <c r="C570" s="119"/>
      <c r="D570" s="119"/>
      <c r="E570" s="117"/>
      <c r="F570" s="120">
        <f t="shared" si="136"/>
        <v>0</v>
      </c>
      <c r="G570" s="121" t="str">
        <f t="shared" si="137"/>
        <v/>
      </c>
      <c r="H570" s="122">
        <f>IF($D570="",0,IFERROR(LOOKUP(2,1/(($D$3:D569=$D570)*($A$3:A569&lt;$A570)),$N$3:N569),'Guide &amp; Settings'!$C$41))</f>
        <v>0</v>
      </c>
      <c r="I570" s="123">
        <f t="shared" si="138"/>
        <v>0</v>
      </c>
      <c r="J570" s="124">
        <f>IF($D570="",0,IF($F570&lt;2,0,IF($E570="Win",('Guide &amp; Settings'!$C$42/(($F570-1)*COUNTIFS($A$4:$A$810,$A570,$E$4:$E$810,"Win")))*SUMIFS($X$4:$X$810,$A$4:$A$810,$A570,$E$4:$E$810,"Loss"),-('Guide &amp; Settings'!$C$42/($F570-1))*$X570)))</f>
        <v>0</v>
      </c>
      <c r="K570" s="124">
        <f>IF($D570="",0,'Guide &amp; Settings'!$C$43*(IF($E570="Win",1,0)-$I570))</f>
        <v>0</v>
      </c>
      <c r="L570" s="125">
        <f>IF($D570="",0,'Guide &amp; Settings'!$C$44*IF($F570&gt;=3,$F570,0))</f>
        <v>0</v>
      </c>
      <c r="M570" s="124">
        <f t="shared" si="139"/>
        <v>0</v>
      </c>
      <c r="N570" s="122">
        <f t="shared" si="140"/>
        <v>0</v>
      </c>
      <c r="O570" s="121" t="str">
        <f t="shared" si="141"/>
        <v/>
      </c>
      <c r="P570">
        <f t="shared" si="142"/>
        <v>0</v>
      </c>
      <c r="Q570">
        <f t="shared" si="143"/>
        <v>0</v>
      </c>
      <c r="R570">
        <f t="shared" si="144"/>
        <v>0</v>
      </c>
      <c r="S570">
        <f t="shared" si="145"/>
        <v>0</v>
      </c>
      <c r="T570" s="89">
        <f t="shared" si="146"/>
        <v>0</v>
      </c>
      <c r="U570" s="126">
        <f>IF($D570="",0,IFERROR(LOOKUP(2,1/(($D$3:D569=$D570)*($C$3:C569=$C570)*($A$3:A569&lt;$A570)),$AB$3:AB569),1000))</f>
        <v>0</v>
      </c>
      <c r="V570" s="126">
        <f t="shared" si="147"/>
        <v>0</v>
      </c>
      <c r="W570">
        <f t="shared" si="148"/>
        <v>0</v>
      </c>
      <c r="X570">
        <f t="shared" si="149"/>
        <v>0</v>
      </c>
      <c r="Y570">
        <f t="shared" si="150"/>
        <v>0</v>
      </c>
      <c r="Z570">
        <f t="shared" si="151"/>
        <v>0</v>
      </c>
      <c r="AA570">
        <f>IF($D570="",0,IF($F570&lt;2,0,IF($E570="Win",('Guide &amp; Settings'!$C$42/(($F570-1)*COUNTIFS($A$4:$A$810,$A570,$E$4:$E$810,"Win")))*SUMIFS($Z$4:$Z$810,$A$4:$A$810,$A570,$E$4:$E$810,"Loss"),-('Guide &amp; Settings'!$C$42/($F570-1))*$Z570)))</f>
        <v>0</v>
      </c>
      <c r="AB570" s="126">
        <f t="shared" si="152"/>
        <v>0</v>
      </c>
      <c r="AC570" s="126"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7"/>
      <c r="B571" s="118"/>
      <c r="C571" s="119"/>
      <c r="D571" s="119"/>
      <c r="E571" s="117"/>
      <c r="F571" s="120">
        <f t="shared" si="136"/>
        <v>0</v>
      </c>
      <c r="G571" s="121" t="str">
        <f t="shared" si="137"/>
        <v/>
      </c>
      <c r="H571" s="122">
        <f>IF($D571="",0,IFERROR(LOOKUP(2,1/(($D$3:D570=$D571)*($A$3:A570&lt;$A571)),$N$3:N570),'Guide &amp; Settings'!$C$41))</f>
        <v>0</v>
      </c>
      <c r="I571" s="123">
        <f t="shared" si="138"/>
        <v>0</v>
      </c>
      <c r="J571" s="124">
        <f>IF($D571="",0,IF($F571&lt;2,0,IF($E571="Win",('Guide &amp; Settings'!$C$42/(($F571-1)*COUNTIFS($A$4:$A$810,$A571,$E$4:$E$810,"Win")))*SUMIFS($X$4:$X$810,$A$4:$A$810,$A571,$E$4:$E$810,"Loss"),-('Guide &amp; Settings'!$C$42/($F571-1))*$X571)))</f>
        <v>0</v>
      </c>
      <c r="K571" s="124">
        <f>IF($D571="",0,'Guide &amp; Settings'!$C$43*(IF($E571="Win",1,0)-$I571))</f>
        <v>0</v>
      </c>
      <c r="L571" s="125">
        <f>IF($D571="",0,'Guide &amp; Settings'!$C$44*IF($F571&gt;=3,$F571,0))</f>
        <v>0</v>
      </c>
      <c r="M571" s="124">
        <f t="shared" si="139"/>
        <v>0</v>
      </c>
      <c r="N571" s="122">
        <f t="shared" si="140"/>
        <v>0</v>
      </c>
      <c r="O571" s="121" t="str">
        <f t="shared" si="141"/>
        <v/>
      </c>
      <c r="P571">
        <f t="shared" si="142"/>
        <v>0</v>
      </c>
      <c r="Q571">
        <f t="shared" si="143"/>
        <v>0</v>
      </c>
      <c r="R571">
        <f t="shared" si="144"/>
        <v>0</v>
      </c>
      <c r="S571">
        <f t="shared" si="145"/>
        <v>0</v>
      </c>
      <c r="T571" s="89">
        <f t="shared" si="146"/>
        <v>0</v>
      </c>
      <c r="U571" s="126">
        <f>IF($D571="",0,IFERROR(LOOKUP(2,1/(($D$3:D570=$D571)*($C$3:C570=$C571)*($A$3:A570&lt;$A571)),$AB$3:AB570),1000))</f>
        <v>0</v>
      </c>
      <c r="V571" s="126">
        <f t="shared" si="147"/>
        <v>0</v>
      </c>
      <c r="W571">
        <f t="shared" si="148"/>
        <v>0</v>
      </c>
      <c r="X571">
        <f t="shared" si="149"/>
        <v>0</v>
      </c>
      <c r="Y571">
        <f t="shared" si="150"/>
        <v>0</v>
      </c>
      <c r="Z571">
        <f t="shared" si="151"/>
        <v>0</v>
      </c>
      <c r="AA571">
        <f>IF($D571="",0,IF($F571&lt;2,0,IF($E571="Win",('Guide &amp; Settings'!$C$42/(($F571-1)*COUNTIFS($A$4:$A$810,$A571,$E$4:$E$810,"Win")))*SUMIFS($Z$4:$Z$810,$A$4:$A$810,$A571,$E$4:$E$810,"Loss"),-('Guide &amp; Settings'!$C$42/($F571-1))*$Z571)))</f>
        <v>0</v>
      </c>
      <c r="AB571" s="126">
        <f t="shared" si="152"/>
        <v>0</v>
      </c>
      <c r="AC571" s="126"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7"/>
      <c r="B572" s="118"/>
      <c r="C572" s="119"/>
      <c r="D572" s="119"/>
      <c r="E572" s="117"/>
      <c r="F572" s="120">
        <f t="shared" si="136"/>
        <v>0</v>
      </c>
      <c r="G572" s="121" t="str">
        <f t="shared" si="137"/>
        <v/>
      </c>
      <c r="H572" s="122">
        <f>IF($D572="",0,IFERROR(LOOKUP(2,1/(($D$3:D571=$D572)*($A$3:A571&lt;$A572)),$N$3:N571),'Guide &amp; Settings'!$C$41))</f>
        <v>0</v>
      </c>
      <c r="I572" s="123">
        <f t="shared" si="138"/>
        <v>0</v>
      </c>
      <c r="J572" s="124">
        <f>IF($D572="",0,IF($F572&lt;2,0,IF($E572="Win",('Guide &amp; Settings'!$C$42/(($F572-1)*COUNTIFS($A$4:$A$810,$A572,$E$4:$E$810,"Win")))*SUMIFS($X$4:$X$810,$A$4:$A$810,$A572,$E$4:$E$810,"Loss"),-('Guide &amp; Settings'!$C$42/($F572-1))*$X572)))</f>
        <v>0</v>
      </c>
      <c r="K572" s="124">
        <f>IF($D572="",0,'Guide &amp; Settings'!$C$43*(IF($E572="Win",1,0)-$I572))</f>
        <v>0</v>
      </c>
      <c r="L572" s="125">
        <f>IF($D572="",0,'Guide &amp; Settings'!$C$44*IF($F572&gt;=3,$F572,0))</f>
        <v>0</v>
      </c>
      <c r="M572" s="124">
        <f t="shared" si="139"/>
        <v>0</v>
      </c>
      <c r="N572" s="122">
        <f t="shared" si="140"/>
        <v>0</v>
      </c>
      <c r="O572" s="121" t="str">
        <f t="shared" si="141"/>
        <v/>
      </c>
      <c r="P572">
        <f t="shared" si="142"/>
        <v>0</v>
      </c>
      <c r="Q572">
        <f t="shared" si="143"/>
        <v>0</v>
      </c>
      <c r="R572">
        <f t="shared" si="144"/>
        <v>0</v>
      </c>
      <c r="S572">
        <f t="shared" si="145"/>
        <v>0</v>
      </c>
      <c r="T572" s="89">
        <f t="shared" si="146"/>
        <v>0</v>
      </c>
      <c r="U572" s="126">
        <f>IF($D572="",0,IFERROR(LOOKUP(2,1/(($D$3:D571=$D572)*($C$3:C571=$C572)*($A$3:A571&lt;$A572)),$AB$3:AB571),1000))</f>
        <v>0</v>
      </c>
      <c r="V572" s="126">
        <f t="shared" si="147"/>
        <v>0</v>
      </c>
      <c r="W572">
        <f t="shared" si="148"/>
        <v>0</v>
      </c>
      <c r="X572">
        <f t="shared" si="149"/>
        <v>0</v>
      </c>
      <c r="Y572">
        <f t="shared" si="150"/>
        <v>0</v>
      </c>
      <c r="Z572">
        <f t="shared" si="151"/>
        <v>0</v>
      </c>
      <c r="AA572">
        <f>IF($D572="",0,IF($F572&lt;2,0,IF($E572="Win",('Guide &amp; Settings'!$C$42/(($F572-1)*COUNTIFS($A$4:$A$810,$A572,$E$4:$E$810,"Win")))*SUMIFS($Z$4:$Z$810,$A$4:$A$810,$A572,$E$4:$E$810,"Loss"),-('Guide &amp; Settings'!$C$42/($F572-1))*$Z572)))</f>
        <v>0</v>
      </c>
      <c r="AB572" s="126">
        <f t="shared" si="152"/>
        <v>0</v>
      </c>
      <c r="AC572" s="126"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7"/>
      <c r="B573" s="118"/>
      <c r="C573" s="119"/>
      <c r="D573" s="119"/>
      <c r="E573" s="117"/>
      <c r="F573" s="120">
        <f t="shared" si="136"/>
        <v>0</v>
      </c>
      <c r="G573" s="121" t="str">
        <f t="shared" si="137"/>
        <v/>
      </c>
      <c r="H573" s="122">
        <f>IF($D573="",0,IFERROR(LOOKUP(2,1/(($D$3:D572=$D573)*($A$3:A572&lt;$A573)),$N$3:N572),'Guide &amp; Settings'!$C$41))</f>
        <v>0</v>
      </c>
      <c r="I573" s="123">
        <f t="shared" si="138"/>
        <v>0</v>
      </c>
      <c r="J573" s="124">
        <f>IF($D573="",0,IF($F573&lt;2,0,IF($E573="Win",('Guide &amp; Settings'!$C$42/(($F573-1)*COUNTIFS($A$4:$A$810,$A573,$E$4:$E$810,"Win")))*SUMIFS($X$4:$X$810,$A$4:$A$810,$A573,$E$4:$E$810,"Loss"),-('Guide &amp; Settings'!$C$42/($F573-1))*$X573)))</f>
        <v>0</v>
      </c>
      <c r="K573" s="124">
        <f>IF($D573="",0,'Guide &amp; Settings'!$C$43*(IF($E573="Win",1,0)-$I573))</f>
        <v>0</v>
      </c>
      <c r="L573" s="125">
        <f>IF($D573="",0,'Guide &amp; Settings'!$C$44*IF($F573&gt;=3,$F573,0))</f>
        <v>0</v>
      </c>
      <c r="M573" s="124">
        <f t="shared" si="139"/>
        <v>0</v>
      </c>
      <c r="N573" s="122">
        <f t="shared" si="140"/>
        <v>0</v>
      </c>
      <c r="O573" s="121" t="str">
        <f t="shared" si="141"/>
        <v/>
      </c>
      <c r="P573">
        <f t="shared" si="142"/>
        <v>0</v>
      </c>
      <c r="Q573">
        <f t="shared" si="143"/>
        <v>0</v>
      </c>
      <c r="R573">
        <f t="shared" si="144"/>
        <v>0</v>
      </c>
      <c r="S573">
        <f t="shared" si="145"/>
        <v>0</v>
      </c>
      <c r="T573" s="89">
        <f t="shared" si="146"/>
        <v>0</v>
      </c>
      <c r="U573" s="126">
        <f>IF($D573="",0,IFERROR(LOOKUP(2,1/(($D$3:D572=$D573)*($C$3:C572=$C573)*($A$3:A572&lt;$A573)),$AB$3:AB572),1000))</f>
        <v>0</v>
      </c>
      <c r="V573" s="126">
        <f t="shared" si="147"/>
        <v>0</v>
      </c>
      <c r="W573">
        <f t="shared" si="148"/>
        <v>0</v>
      </c>
      <c r="X573">
        <f t="shared" si="149"/>
        <v>0</v>
      </c>
      <c r="Y573">
        <f t="shared" si="150"/>
        <v>0</v>
      </c>
      <c r="Z573">
        <f t="shared" si="151"/>
        <v>0</v>
      </c>
      <c r="AA573">
        <f>IF($D573="",0,IF($F573&lt;2,0,IF($E573="Win",('Guide &amp; Settings'!$C$42/(($F573-1)*COUNTIFS($A$4:$A$810,$A573,$E$4:$E$810,"Win")))*SUMIFS($Z$4:$Z$810,$A$4:$A$810,$A573,$E$4:$E$810,"Loss"),-('Guide &amp; Settings'!$C$42/($F573-1))*$Z573)))</f>
        <v>0</v>
      </c>
      <c r="AB573" s="126">
        <f t="shared" si="152"/>
        <v>0</v>
      </c>
      <c r="AC573" s="126"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7"/>
      <c r="B574" s="118"/>
      <c r="C574" s="119"/>
      <c r="D574" s="119"/>
      <c r="E574" s="117"/>
      <c r="F574" s="120">
        <f t="shared" si="136"/>
        <v>0</v>
      </c>
      <c r="G574" s="121" t="str">
        <f t="shared" si="137"/>
        <v/>
      </c>
      <c r="H574" s="122">
        <f>IF($D574="",0,IFERROR(LOOKUP(2,1/(($D$3:D573=$D574)*($A$3:A573&lt;$A574)),$N$3:N573),'Guide &amp; Settings'!$C$41))</f>
        <v>0</v>
      </c>
      <c r="I574" s="123">
        <f t="shared" si="138"/>
        <v>0</v>
      </c>
      <c r="J574" s="124">
        <f>IF($D574="",0,IF($F574&lt;2,0,IF($E574="Win",('Guide &amp; Settings'!$C$42/(($F574-1)*COUNTIFS($A$4:$A$810,$A574,$E$4:$E$810,"Win")))*SUMIFS($X$4:$X$810,$A$4:$A$810,$A574,$E$4:$E$810,"Loss"),-('Guide &amp; Settings'!$C$42/($F574-1))*$X574)))</f>
        <v>0</v>
      </c>
      <c r="K574" s="124">
        <f>IF($D574="",0,'Guide &amp; Settings'!$C$43*(IF($E574="Win",1,0)-$I574))</f>
        <v>0</v>
      </c>
      <c r="L574" s="125">
        <f>IF($D574="",0,'Guide &amp; Settings'!$C$44*IF($F574&gt;=3,$F574,0))</f>
        <v>0</v>
      </c>
      <c r="M574" s="124">
        <f t="shared" si="139"/>
        <v>0</v>
      </c>
      <c r="N574" s="122">
        <f t="shared" si="140"/>
        <v>0</v>
      </c>
      <c r="O574" s="121" t="str">
        <f t="shared" si="141"/>
        <v/>
      </c>
      <c r="P574">
        <f t="shared" si="142"/>
        <v>0</v>
      </c>
      <c r="Q574">
        <f t="shared" si="143"/>
        <v>0</v>
      </c>
      <c r="R574">
        <f t="shared" si="144"/>
        <v>0</v>
      </c>
      <c r="S574">
        <f t="shared" si="145"/>
        <v>0</v>
      </c>
      <c r="T574" s="89">
        <f t="shared" si="146"/>
        <v>0</v>
      </c>
      <c r="U574" s="126">
        <f>IF($D574="",0,IFERROR(LOOKUP(2,1/(($D$3:D573=$D574)*($C$3:C573=$C574)*($A$3:A573&lt;$A574)),$AB$3:AB573),1000))</f>
        <v>0</v>
      </c>
      <c r="V574" s="126">
        <f t="shared" si="147"/>
        <v>0</v>
      </c>
      <c r="W574">
        <f t="shared" si="148"/>
        <v>0</v>
      </c>
      <c r="X574">
        <f t="shared" si="149"/>
        <v>0</v>
      </c>
      <c r="Y574">
        <f t="shared" si="150"/>
        <v>0</v>
      </c>
      <c r="Z574">
        <f t="shared" si="151"/>
        <v>0</v>
      </c>
      <c r="AA574">
        <f>IF($D574="",0,IF($F574&lt;2,0,IF($E574="Win",('Guide &amp; Settings'!$C$42/(($F574-1)*COUNTIFS($A$4:$A$810,$A574,$E$4:$E$810,"Win")))*SUMIFS($Z$4:$Z$810,$A$4:$A$810,$A574,$E$4:$E$810,"Loss"),-('Guide &amp; Settings'!$C$42/($F574-1))*$Z574)))</f>
        <v>0</v>
      </c>
      <c r="AB574" s="126">
        <f t="shared" si="152"/>
        <v>0</v>
      </c>
      <c r="AC574" s="126"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7"/>
      <c r="B575" s="118"/>
      <c r="C575" s="119"/>
      <c r="D575" s="119"/>
      <c r="E575" s="117"/>
      <c r="F575" s="120">
        <f t="shared" si="136"/>
        <v>0</v>
      </c>
      <c r="G575" s="121" t="str">
        <f t="shared" si="137"/>
        <v/>
      </c>
      <c r="H575" s="122">
        <f>IF($D575="",0,IFERROR(LOOKUP(2,1/(($D$3:D574=$D575)*($A$3:A574&lt;$A575)),$N$3:N574),'Guide &amp; Settings'!$C$41))</f>
        <v>0</v>
      </c>
      <c r="I575" s="123">
        <f t="shared" si="138"/>
        <v>0</v>
      </c>
      <c r="J575" s="124">
        <f>IF($D575="",0,IF($F575&lt;2,0,IF($E575="Win",('Guide &amp; Settings'!$C$42/(($F575-1)*COUNTIFS($A$4:$A$810,$A575,$E$4:$E$810,"Win")))*SUMIFS($X$4:$X$810,$A$4:$A$810,$A575,$E$4:$E$810,"Loss"),-('Guide &amp; Settings'!$C$42/($F575-1))*$X575)))</f>
        <v>0</v>
      </c>
      <c r="K575" s="124">
        <f>IF($D575="",0,'Guide &amp; Settings'!$C$43*(IF($E575="Win",1,0)-$I575))</f>
        <v>0</v>
      </c>
      <c r="L575" s="125">
        <f>IF($D575="",0,'Guide &amp; Settings'!$C$44*IF($F575&gt;=3,$F575,0))</f>
        <v>0</v>
      </c>
      <c r="M575" s="124">
        <f t="shared" si="139"/>
        <v>0</v>
      </c>
      <c r="N575" s="122">
        <f t="shared" si="140"/>
        <v>0</v>
      </c>
      <c r="O575" s="121" t="str">
        <f t="shared" si="141"/>
        <v/>
      </c>
      <c r="P575">
        <f t="shared" si="142"/>
        <v>0</v>
      </c>
      <c r="Q575">
        <f t="shared" si="143"/>
        <v>0</v>
      </c>
      <c r="R575">
        <f t="shared" si="144"/>
        <v>0</v>
      </c>
      <c r="S575">
        <f t="shared" si="145"/>
        <v>0</v>
      </c>
      <c r="T575" s="89">
        <f t="shared" si="146"/>
        <v>0</v>
      </c>
      <c r="U575" s="126">
        <f>IF($D575="",0,IFERROR(LOOKUP(2,1/(($D$3:D574=$D575)*($C$3:C574=$C575)*($A$3:A574&lt;$A575)),$AB$3:AB574),1000))</f>
        <v>0</v>
      </c>
      <c r="V575" s="126">
        <f t="shared" si="147"/>
        <v>0</v>
      </c>
      <c r="W575">
        <f t="shared" si="148"/>
        <v>0</v>
      </c>
      <c r="X575">
        <f t="shared" si="149"/>
        <v>0</v>
      </c>
      <c r="Y575">
        <f t="shared" si="150"/>
        <v>0</v>
      </c>
      <c r="Z575">
        <f t="shared" si="151"/>
        <v>0</v>
      </c>
      <c r="AA575">
        <f>IF($D575="",0,IF($F575&lt;2,0,IF($E575="Win",('Guide &amp; Settings'!$C$42/(($F575-1)*COUNTIFS($A$4:$A$810,$A575,$E$4:$E$810,"Win")))*SUMIFS($Z$4:$Z$810,$A$4:$A$810,$A575,$E$4:$E$810,"Loss"),-('Guide &amp; Settings'!$C$42/($F575-1))*$Z575)))</f>
        <v>0</v>
      </c>
      <c r="AB575" s="126">
        <f t="shared" si="152"/>
        <v>0</v>
      </c>
      <c r="AC575" s="126"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7"/>
      <c r="B576" s="118"/>
      <c r="C576" s="119"/>
      <c r="D576" s="119"/>
      <c r="E576" s="117"/>
      <c r="F576" s="120">
        <f t="shared" si="136"/>
        <v>0</v>
      </c>
      <c r="G576" s="121" t="str">
        <f t="shared" si="137"/>
        <v/>
      </c>
      <c r="H576" s="122">
        <f>IF($D576="",0,IFERROR(LOOKUP(2,1/(($D$3:D575=$D576)*($A$3:A575&lt;$A576)),$N$3:N575),'Guide &amp; Settings'!$C$41))</f>
        <v>0</v>
      </c>
      <c r="I576" s="123">
        <f t="shared" si="138"/>
        <v>0</v>
      </c>
      <c r="J576" s="124">
        <f>IF($D576="",0,IF($F576&lt;2,0,IF($E576="Win",('Guide &amp; Settings'!$C$42/(($F576-1)*COUNTIFS($A$4:$A$810,$A576,$E$4:$E$810,"Win")))*SUMIFS($X$4:$X$810,$A$4:$A$810,$A576,$E$4:$E$810,"Loss"),-('Guide &amp; Settings'!$C$42/($F576-1))*$X576)))</f>
        <v>0</v>
      </c>
      <c r="K576" s="124">
        <f>IF($D576="",0,'Guide &amp; Settings'!$C$43*(IF($E576="Win",1,0)-$I576))</f>
        <v>0</v>
      </c>
      <c r="L576" s="125">
        <f>IF($D576="",0,'Guide &amp; Settings'!$C$44*IF($F576&gt;=3,$F576,0))</f>
        <v>0</v>
      </c>
      <c r="M576" s="124">
        <f t="shared" si="139"/>
        <v>0</v>
      </c>
      <c r="N576" s="122">
        <f t="shared" si="140"/>
        <v>0</v>
      </c>
      <c r="O576" s="121" t="str">
        <f t="shared" si="141"/>
        <v/>
      </c>
      <c r="P576">
        <f t="shared" si="142"/>
        <v>0</v>
      </c>
      <c r="Q576">
        <f t="shared" si="143"/>
        <v>0</v>
      </c>
      <c r="R576">
        <f t="shared" si="144"/>
        <v>0</v>
      </c>
      <c r="S576">
        <f t="shared" si="145"/>
        <v>0</v>
      </c>
      <c r="T576" s="89">
        <f t="shared" si="146"/>
        <v>0</v>
      </c>
      <c r="U576" s="126">
        <f>IF($D576="",0,IFERROR(LOOKUP(2,1/(($D$3:D575=$D576)*($C$3:C575=$C576)*($A$3:A575&lt;$A576)),$AB$3:AB575),1000))</f>
        <v>0</v>
      </c>
      <c r="V576" s="126">
        <f t="shared" si="147"/>
        <v>0</v>
      </c>
      <c r="W576">
        <f t="shared" si="148"/>
        <v>0</v>
      </c>
      <c r="X576">
        <f t="shared" si="149"/>
        <v>0</v>
      </c>
      <c r="Y576">
        <f t="shared" si="150"/>
        <v>0</v>
      </c>
      <c r="Z576">
        <f t="shared" si="151"/>
        <v>0</v>
      </c>
      <c r="AA576">
        <f>IF($D576="",0,IF($F576&lt;2,0,IF($E576="Win",('Guide &amp; Settings'!$C$42/(($F576-1)*COUNTIFS($A$4:$A$810,$A576,$E$4:$E$810,"Win")))*SUMIFS($Z$4:$Z$810,$A$4:$A$810,$A576,$E$4:$E$810,"Loss"),-('Guide &amp; Settings'!$C$42/($F576-1))*$Z576)))</f>
        <v>0</v>
      </c>
      <c r="AB576" s="126">
        <f t="shared" si="152"/>
        <v>0</v>
      </c>
      <c r="AC576" s="126"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7"/>
      <c r="B577" s="118"/>
      <c r="C577" s="119"/>
      <c r="D577" s="119"/>
      <c r="E577" s="117"/>
      <c r="F577" s="120">
        <f t="shared" si="136"/>
        <v>0</v>
      </c>
      <c r="G577" s="121" t="str">
        <f t="shared" si="137"/>
        <v/>
      </c>
      <c r="H577" s="122">
        <f>IF($D577="",0,IFERROR(LOOKUP(2,1/(($D$3:D576=$D577)*($A$3:A576&lt;$A577)),$N$3:N576),'Guide &amp; Settings'!$C$41))</f>
        <v>0</v>
      </c>
      <c r="I577" s="123">
        <f t="shared" si="138"/>
        <v>0</v>
      </c>
      <c r="J577" s="124">
        <f>IF($D577="",0,IF($F577&lt;2,0,IF($E577="Win",('Guide &amp; Settings'!$C$42/(($F577-1)*COUNTIFS($A$4:$A$810,$A577,$E$4:$E$810,"Win")))*SUMIFS($X$4:$X$810,$A$4:$A$810,$A577,$E$4:$E$810,"Loss"),-('Guide &amp; Settings'!$C$42/($F577-1))*$X577)))</f>
        <v>0</v>
      </c>
      <c r="K577" s="124">
        <f>IF($D577="",0,'Guide &amp; Settings'!$C$43*(IF($E577="Win",1,0)-$I577))</f>
        <v>0</v>
      </c>
      <c r="L577" s="125">
        <f>IF($D577="",0,'Guide &amp; Settings'!$C$44*IF($F577&gt;=3,$F577,0))</f>
        <v>0</v>
      </c>
      <c r="M577" s="124">
        <f t="shared" si="139"/>
        <v>0</v>
      </c>
      <c r="N577" s="122">
        <f t="shared" si="140"/>
        <v>0</v>
      </c>
      <c r="O577" s="121" t="str">
        <f t="shared" si="141"/>
        <v/>
      </c>
      <c r="P577">
        <f t="shared" si="142"/>
        <v>0</v>
      </c>
      <c r="Q577">
        <f t="shared" si="143"/>
        <v>0</v>
      </c>
      <c r="R577">
        <f t="shared" si="144"/>
        <v>0</v>
      </c>
      <c r="S577">
        <f t="shared" si="145"/>
        <v>0</v>
      </c>
      <c r="T577" s="89">
        <f t="shared" si="146"/>
        <v>0</v>
      </c>
      <c r="U577" s="126">
        <f>IF($D577="",0,IFERROR(LOOKUP(2,1/(($D$3:D576=$D577)*($C$3:C576=$C577)*($A$3:A576&lt;$A577)),$AB$3:AB576),1000))</f>
        <v>0</v>
      </c>
      <c r="V577" s="126">
        <f t="shared" si="147"/>
        <v>0</v>
      </c>
      <c r="W577">
        <f t="shared" si="148"/>
        <v>0</v>
      </c>
      <c r="X577">
        <f t="shared" si="149"/>
        <v>0</v>
      </c>
      <c r="Y577">
        <f t="shared" si="150"/>
        <v>0</v>
      </c>
      <c r="Z577">
        <f t="shared" si="151"/>
        <v>0</v>
      </c>
      <c r="AA577">
        <f>IF($D577="",0,IF($F577&lt;2,0,IF($E577="Win",('Guide &amp; Settings'!$C$42/(($F577-1)*COUNTIFS($A$4:$A$810,$A577,$E$4:$E$810,"Win")))*SUMIFS($Z$4:$Z$810,$A$4:$A$810,$A577,$E$4:$E$810,"Loss"),-('Guide &amp; Settings'!$C$42/($F577-1))*$Z577)))</f>
        <v>0</v>
      </c>
      <c r="AB577" s="126">
        <f t="shared" si="152"/>
        <v>0</v>
      </c>
      <c r="AC577" s="126"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7"/>
      <c r="B578" s="118"/>
      <c r="C578" s="119"/>
      <c r="D578" s="119"/>
      <c r="E578" s="117"/>
      <c r="F578" s="120">
        <f t="shared" si="136"/>
        <v>0</v>
      </c>
      <c r="G578" s="121" t="str">
        <f t="shared" si="137"/>
        <v/>
      </c>
      <c r="H578" s="122">
        <f>IF($D578="",0,IFERROR(LOOKUP(2,1/(($D$3:D577=$D578)*($A$3:A577&lt;$A578)),$N$3:N577),'Guide &amp; Settings'!$C$41))</f>
        <v>0</v>
      </c>
      <c r="I578" s="123">
        <f t="shared" si="138"/>
        <v>0</v>
      </c>
      <c r="J578" s="124">
        <f>IF($D578="",0,IF($F578&lt;2,0,IF($E578="Win",('Guide &amp; Settings'!$C$42/(($F578-1)*COUNTIFS($A$4:$A$810,$A578,$E$4:$E$810,"Win")))*SUMIFS($X$4:$X$810,$A$4:$A$810,$A578,$E$4:$E$810,"Loss"),-('Guide &amp; Settings'!$C$42/($F578-1))*$X578)))</f>
        <v>0</v>
      </c>
      <c r="K578" s="124">
        <f>IF($D578="",0,'Guide &amp; Settings'!$C$43*(IF($E578="Win",1,0)-$I578))</f>
        <v>0</v>
      </c>
      <c r="L578" s="125">
        <f>IF($D578="",0,'Guide &amp; Settings'!$C$44*IF($F578&gt;=3,$F578,0))</f>
        <v>0</v>
      </c>
      <c r="M578" s="124">
        <f t="shared" si="139"/>
        <v>0</v>
      </c>
      <c r="N578" s="122">
        <f t="shared" si="140"/>
        <v>0</v>
      </c>
      <c r="O578" s="121" t="str">
        <f t="shared" si="141"/>
        <v/>
      </c>
      <c r="P578">
        <f t="shared" si="142"/>
        <v>0</v>
      </c>
      <c r="Q578">
        <f t="shared" si="143"/>
        <v>0</v>
      </c>
      <c r="R578">
        <f t="shared" si="144"/>
        <v>0</v>
      </c>
      <c r="S578">
        <f t="shared" si="145"/>
        <v>0</v>
      </c>
      <c r="T578" s="89">
        <f t="shared" si="146"/>
        <v>0</v>
      </c>
      <c r="U578" s="126">
        <f>IF($D578="",0,IFERROR(LOOKUP(2,1/(($D$3:D577=$D578)*($C$3:C577=$C578)*($A$3:A577&lt;$A578)),$AB$3:AB577),1000))</f>
        <v>0</v>
      </c>
      <c r="V578" s="126">
        <f t="shared" si="147"/>
        <v>0</v>
      </c>
      <c r="W578">
        <f t="shared" si="148"/>
        <v>0</v>
      </c>
      <c r="X578">
        <f t="shared" si="149"/>
        <v>0</v>
      </c>
      <c r="Y578">
        <f t="shared" si="150"/>
        <v>0</v>
      </c>
      <c r="Z578">
        <f t="shared" si="151"/>
        <v>0</v>
      </c>
      <c r="AA578">
        <f>IF($D578="",0,IF($F578&lt;2,0,IF($E578="Win",('Guide &amp; Settings'!$C$42/(($F578-1)*COUNTIFS($A$4:$A$810,$A578,$E$4:$E$810,"Win")))*SUMIFS($Z$4:$Z$810,$A$4:$A$810,$A578,$E$4:$E$810,"Loss"),-('Guide &amp; Settings'!$C$42/($F578-1))*$Z578)))</f>
        <v>0</v>
      </c>
      <c r="AB578" s="126">
        <f t="shared" si="152"/>
        <v>0</v>
      </c>
      <c r="AC578" s="126"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7"/>
      <c r="B579" s="118"/>
      <c r="C579" s="119"/>
      <c r="D579" s="119"/>
      <c r="E579" s="117"/>
      <c r="F579" s="120">
        <f t="shared" si="136"/>
        <v>0</v>
      </c>
      <c r="G579" s="121" t="str">
        <f t="shared" si="137"/>
        <v/>
      </c>
      <c r="H579" s="122">
        <f>IF($D579="",0,IFERROR(LOOKUP(2,1/(($D$3:D578=$D579)*($A$3:A578&lt;$A579)),$N$3:N578),'Guide &amp; Settings'!$C$41))</f>
        <v>0</v>
      </c>
      <c r="I579" s="123">
        <f t="shared" si="138"/>
        <v>0</v>
      </c>
      <c r="J579" s="124">
        <f>IF($D579="",0,IF($F579&lt;2,0,IF($E579="Win",('Guide &amp; Settings'!$C$42/(($F579-1)*COUNTIFS($A$4:$A$810,$A579,$E$4:$E$810,"Win")))*SUMIFS($X$4:$X$810,$A$4:$A$810,$A579,$E$4:$E$810,"Loss"),-('Guide &amp; Settings'!$C$42/($F579-1))*$X579)))</f>
        <v>0</v>
      </c>
      <c r="K579" s="124">
        <f>IF($D579="",0,'Guide &amp; Settings'!$C$43*(IF($E579="Win",1,0)-$I579))</f>
        <v>0</v>
      </c>
      <c r="L579" s="125">
        <f>IF($D579="",0,'Guide &amp; Settings'!$C$44*IF($F579&gt;=3,$F579,0))</f>
        <v>0</v>
      </c>
      <c r="M579" s="124">
        <f t="shared" si="139"/>
        <v>0</v>
      </c>
      <c r="N579" s="122">
        <f t="shared" si="140"/>
        <v>0</v>
      </c>
      <c r="O579" s="121" t="str">
        <f t="shared" si="141"/>
        <v/>
      </c>
      <c r="P579">
        <f t="shared" si="142"/>
        <v>0</v>
      </c>
      <c r="Q579">
        <f t="shared" si="143"/>
        <v>0</v>
      </c>
      <c r="R579">
        <f t="shared" si="144"/>
        <v>0</v>
      </c>
      <c r="S579">
        <f t="shared" si="145"/>
        <v>0</v>
      </c>
      <c r="T579" s="89">
        <f t="shared" si="146"/>
        <v>0</v>
      </c>
      <c r="U579" s="126">
        <f>IF($D579="",0,IFERROR(LOOKUP(2,1/(($D$3:D578=$D579)*($C$3:C578=$C579)*($A$3:A578&lt;$A579)),$AB$3:AB578),1000))</f>
        <v>0</v>
      </c>
      <c r="V579" s="126">
        <f t="shared" si="147"/>
        <v>0</v>
      </c>
      <c r="W579">
        <f t="shared" si="148"/>
        <v>0</v>
      </c>
      <c r="X579">
        <f t="shared" si="149"/>
        <v>0</v>
      </c>
      <c r="Y579">
        <f t="shared" si="150"/>
        <v>0</v>
      </c>
      <c r="Z579">
        <f t="shared" si="151"/>
        <v>0</v>
      </c>
      <c r="AA579">
        <f>IF($D579="",0,IF($F579&lt;2,0,IF($E579="Win",('Guide &amp; Settings'!$C$42/(($F579-1)*COUNTIFS($A$4:$A$810,$A579,$E$4:$E$810,"Win")))*SUMIFS($Z$4:$Z$810,$A$4:$A$810,$A579,$E$4:$E$810,"Loss"),-('Guide &amp; Settings'!$C$42/($F579-1))*$Z579)))</f>
        <v>0</v>
      </c>
      <c r="AB579" s="126">
        <f t="shared" si="152"/>
        <v>0</v>
      </c>
      <c r="AC579" s="126"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7"/>
      <c r="B580" s="118"/>
      <c r="C580" s="119"/>
      <c r="D580" s="119"/>
      <c r="E580" s="117"/>
      <c r="F580" s="120">
        <f t="shared" ref="F580:F643" si="153">IF($D580="",0,COUNTIF($A$4:$A$810,$A580))</f>
        <v>0</v>
      </c>
      <c r="G580" s="121" t="str">
        <f t="shared" ref="G580:G643" si="154">IF($D580="","",IFERROR(LOOKUP(2,1/(($A$4:$A$810=$A580)*($E$4:$E$810="Win")),$D$4:$D$810),"(no winner)"))</f>
        <v/>
      </c>
      <c r="H580" s="122">
        <f>IF($D580="",0,IFERROR(LOOKUP(2,1/(($D$3:D579=$D580)*($A$3:A579&lt;$A580)),$N$3:N579),'Guide &amp; Settings'!$C$41))</f>
        <v>0</v>
      </c>
      <c r="I580" s="123">
        <f t="shared" ref="I580:I643" si="155">IF($D580="",0,IF($S580=0,0,$R580/$S580))</f>
        <v>0</v>
      </c>
      <c r="J580" s="124">
        <f>IF($D580="",0,IF($F580&lt;2,0,IF($E580="Win",('Guide &amp; Settings'!$C$42/(($F580-1)*COUNTIFS($A$4:$A$810,$A580,$E$4:$E$810,"Win")))*SUMIFS($X$4:$X$810,$A$4:$A$810,$A580,$E$4:$E$810,"Loss"),-('Guide &amp; Settings'!$C$42/($F580-1))*$X580)))</f>
        <v>0</v>
      </c>
      <c r="K580" s="124">
        <f>IF($D580="",0,'Guide &amp; Settings'!$C$43*(IF($E580="Win",1,0)-$I580))</f>
        <v>0</v>
      </c>
      <c r="L580" s="125">
        <f>IF($D580="",0,'Guide &amp; Settings'!$C$44*IF($F580&gt;=3,$F580,0))</f>
        <v>0</v>
      </c>
      <c r="M580" s="124">
        <f t="shared" ref="M580:M643" si="156">IF($D580="",0,$J580+$K580+$L580)</f>
        <v>0</v>
      </c>
      <c r="N580" s="122">
        <f t="shared" ref="N580:N643" si="157">IF($D580="",0,$H580+$M580)</f>
        <v>0</v>
      </c>
      <c r="O580" s="121" t="str">
        <f t="shared" ref="O580:O643" si="158">IF($D580="","",IF(COUNTIFS($A$4:$A$810,$A580,$E$4:$E$810,"Win")=0,"need a winner",IF(COUNTIFS($A$4:$A$810,$A580,$E$4:$E$810,"Loss")=0,"need a loser",IF(COUNTIFS($A$4:$A$810,$A580,$D$4:$D$810,$D580)&gt;1,"duplicate player","OK"))))</f>
        <v/>
      </c>
      <c r="P580">
        <f t="shared" ref="P580:P643" si="159">IF($D580="",0,IFERROR(SUMIFS($H$4:$H$810,$A$4:$A$810,$A580,$E$4:$E$810,"Win")/COUNTIFS($A$4:$A$810,$A580,$E$4:$E$810,"Win"),0))</f>
        <v>0</v>
      </c>
      <c r="Q580">
        <f t="shared" ref="Q580:Q643" si="160">IF($D580="",0,1/(1+10^(($P580-$H580)/400)))</f>
        <v>0</v>
      </c>
      <c r="R580">
        <f t="shared" ref="R580:R643" si="161">IF($D580="",0,(COUNTIFS($D$4:$D$810,$D580,$C$4:$C$810,$C580,$E$4:$E$810,"Win",$A$4:$A$810,"&lt;"&amp;$A580)+1)/(COUNTIFS($D$4:$D$810,$D580,$C$4:$C$810,$C580,$A$4:$A$810,"&lt;"&amp;$A580)+2))</f>
        <v>0</v>
      </c>
      <c r="S580">
        <f t="shared" ref="S580:S643" si="162">IF($D580="",0,SUMIFS($R$4:$R$810,$A$4:$A$810,$A580))</f>
        <v>0</v>
      </c>
      <c r="T580" s="89">
        <f t="shared" ref="T580:T643" si="163">IF($D580="",0,COUNTIFS($D$4:$D$810,$D580,$C$4:$C$810,$C580,$A$4:$A$810,"&lt;"&amp;$A580))</f>
        <v>0</v>
      </c>
      <c r="U580" s="126">
        <f>IF($D580="",0,IFERROR(LOOKUP(2,1/(($D$3:D579=$D580)*($C$3:C579=$C580)*($A$3:A579&lt;$A580)),$AB$3:AB579),1000))</f>
        <v>0</v>
      </c>
      <c r="V580" s="126">
        <f t="shared" ref="V580:V643" si="164">IF($D580="",0,$U580*($T580/($T580+5))+$H580*(1-$T580/($T580+5)))</f>
        <v>0</v>
      </c>
      <c r="W580">
        <f t="shared" ref="W580:W643" si="165">IF($D580="",0,IFERROR(SUMIFS($V$4:$V$810,$A$4:$A$810,$A580,$E$4:$E$810,"Win")/COUNTIFS($A$4:$A$810,$A580,$E$4:$E$810,"Win"),0))</f>
        <v>0</v>
      </c>
      <c r="X580">
        <f t="shared" ref="X580:X643" si="166">IF($D580="",0,1/(1+10^(($W580-$V580)/400)))</f>
        <v>0</v>
      </c>
      <c r="Y580">
        <f t="shared" ref="Y580:Y643" si="167">IF($D580="",0,IFERROR(SUMIFS($U$4:$U$810,$A$4:$A$810,$A580,$E$4:$E$810,"Win")/COUNTIFS($A$4:$A$810,$A580,$E$4:$E$810,"Win"),0))</f>
        <v>0</v>
      </c>
      <c r="Z580">
        <f t="shared" ref="Z580:Z643" si="168">IF($D580="",0,1/(1+10^(($Y580-$U580)/400)))</f>
        <v>0</v>
      </c>
      <c r="AA580">
        <f>IF($D580="",0,IF($F580&lt;2,0,IF($E580="Win",('Guide &amp; Settings'!$C$42/(($F580-1)*COUNTIFS($A$4:$A$810,$A580,$E$4:$E$810,"Win")))*SUMIFS($Z$4:$Z$810,$A$4:$A$810,$A580,$E$4:$E$810,"Loss"),-('Guide &amp; Settings'!$C$42/($F580-1))*$Z580)))</f>
        <v>0</v>
      </c>
      <c r="AB580" s="126">
        <f t="shared" ref="AB580:AB643" si="169">IF($D580="",0,$U580+$AA580)</f>
        <v>0</v>
      </c>
      <c r="AC580" s="126"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7"/>
      <c r="B581" s="118"/>
      <c r="C581" s="119"/>
      <c r="D581" s="119"/>
      <c r="E581" s="117"/>
      <c r="F581" s="120">
        <f t="shared" si="153"/>
        <v>0</v>
      </c>
      <c r="G581" s="121" t="str">
        <f t="shared" si="154"/>
        <v/>
      </c>
      <c r="H581" s="122">
        <f>IF($D581="",0,IFERROR(LOOKUP(2,1/(($D$3:D580=$D581)*($A$3:A580&lt;$A581)),$N$3:N580),'Guide &amp; Settings'!$C$41))</f>
        <v>0</v>
      </c>
      <c r="I581" s="123">
        <f t="shared" si="155"/>
        <v>0</v>
      </c>
      <c r="J581" s="124">
        <f>IF($D581="",0,IF($F581&lt;2,0,IF($E581="Win",('Guide &amp; Settings'!$C$42/(($F581-1)*COUNTIFS($A$4:$A$810,$A581,$E$4:$E$810,"Win")))*SUMIFS($X$4:$X$810,$A$4:$A$810,$A581,$E$4:$E$810,"Loss"),-('Guide &amp; Settings'!$C$42/($F581-1))*$X581)))</f>
        <v>0</v>
      </c>
      <c r="K581" s="124">
        <f>IF($D581="",0,'Guide &amp; Settings'!$C$43*(IF($E581="Win",1,0)-$I581))</f>
        <v>0</v>
      </c>
      <c r="L581" s="125">
        <f>IF($D581="",0,'Guide &amp; Settings'!$C$44*IF($F581&gt;=3,$F581,0))</f>
        <v>0</v>
      </c>
      <c r="M581" s="124">
        <f t="shared" si="156"/>
        <v>0</v>
      </c>
      <c r="N581" s="122">
        <f t="shared" si="157"/>
        <v>0</v>
      </c>
      <c r="O581" s="121" t="str">
        <f t="shared" si="158"/>
        <v/>
      </c>
      <c r="P581">
        <f t="shared" si="159"/>
        <v>0</v>
      </c>
      <c r="Q581">
        <f t="shared" si="160"/>
        <v>0</v>
      </c>
      <c r="R581">
        <f t="shared" si="161"/>
        <v>0</v>
      </c>
      <c r="S581">
        <f t="shared" si="162"/>
        <v>0</v>
      </c>
      <c r="T581" s="89">
        <f t="shared" si="163"/>
        <v>0</v>
      </c>
      <c r="U581" s="126">
        <f>IF($D581="",0,IFERROR(LOOKUP(2,1/(($D$3:D580=$D581)*($C$3:C580=$C581)*($A$3:A580&lt;$A581)),$AB$3:AB580),1000))</f>
        <v>0</v>
      </c>
      <c r="V581" s="126">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6">
        <f t="shared" si="169"/>
        <v>0</v>
      </c>
      <c r="AC581" s="126"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7"/>
      <c r="B582" s="118"/>
      <c r="C582" s="119"/>
      <c r="D582" s="119"/>
      <c r="E582" s="117"/>
      <c r="F582" s="120">
        <f t="shared" si="153"/>
        <v>0</v>
      </c>
      <c r="G582" s="121" t="str">
        <f t="shared" si="154"/>
        <v/>
      </c>
      <c r="H582" s="122">
        <f>IF($D582="",0,IFERROR(LOOKUP(2,1/(($D$3:D581=$D582)*($A$3:A581&lt;$A582)),$N$3:N581),'Guide &amp; Settings'!$C$41))</f>
        <v>0</v>
      </c>
      <c r="I582" s="123">
        <f t="shared" si="155"/>
        <v>0</v>
      </c>
      <c r="J582" s="124">
        <f>IF($D582="",0,IF($F582&lt;2,0,IF($E582="Win",('Guide &amp; Settings'!$C$42/(($F582-1)*COUNTIFS($A$4:$A$810,$A582,$E$4:$E$810,"Win")))*SUMIFS($X$4:$X$810,$A$4:$A$810,$A582,$E$4:$E$810,"Loss"),-('Guide &amp; Settings'!$C$42/($F582-1))*$X582)))</f>
        <v>0</v>
      </c>
      <c r="K582" s="124">
        <f>IF($D582="",0,'Guide &amp; Settings'!$C$43*(IF($E582="Win",1,0)-$I582))</f>
        <v>0</v>
      </c>
      <c r="L582" s="125">
        <f>IF($D582="",0,'Guide &amp; Settings'!$C$44*IF($F582&gt;=3,$F582,0))</f>
        <v>0</v>
      </c>
      <c r="M582" s="124">
        <f t="shared" si="156"/>
        <v>0</v>
      </c>
      <c r="N582" s="122">
        <f t="shared" si="157"/>
        <v>0</v>
      </c>
      <c r="O582" s="121" t="str">
        <f t="shared" si="158"/>
        <v/>
      </c>
      <c r="P582">
        <f t="shared" si="159"/>
        <v>0</v>
      </c>
      <c r="Q582">
        <f t="shared" si="160"/>
        <v>0</v>
      </c>
      <c r="R582">
        <f t="shared" si="161"/>
        <v>0</v>
      </c>
      <c r="S582">
        <f t="shared" si="162"/>
        <v>0</v>
      </c>
      <c r="T582" s="89">
        <f t="shared" si="163"/>
        <v>0</v>
      </c>
      <c r="U582" s="126">
        <f>IF($D582="",0,IFERROR(LOOKUP(2,1/(($D$3:D581=$D582)*($C$3:C581=$C582)*($A$3:A581&lt;$A582)),$AB$3:AB581),1000))</f>
        <v>0</v>
      </c>
      <c r="V582" s="126">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6">
        <f t="shared" si="169"/>
        <v>0</v>
      </c>
      <c r="AC582" s="126"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7"/>
      <c r="B583" s="118"/>
      <c r="C583" s="119"/>
      <c r="D583" s="119"/>
      <c r="E583" s="117"/>
      <c r="F583" s="120">
        <f t="shared" si="153"/>
        <v>0</v>
      </c>
      <c r="G583" s="121" t="str">
        <f t="shared" si="154"/>
        <v/>
      </c>
      <c r="H583" s="122">
        <f>IF($D583="",0,IFERROR(LOOKUP(2,1/(($D$3:D582=$D583)*($A$3:A582&lt;$A583)),$N$3:N582),'Guide &amp; Settings'!$C$41))</f>
        <v>0</v>
      </c>
      <c r="I583" s="123">
        <f t="shared" si="155"/>
        <v>0</v>
      </c>
      <c r="J583" s="124">
        <f>IF($D583="",0,IF($F583&lt;2,0,IF($E583="Win",('Guide &amp; Settings'!$C$42/(($F583-1)*COUNTIFS($A$4:$A$810,$A583,$E$4:$E$810,"Win")))*SUMIFS($X$4:$X$810,$A$4:$A$810,$A583,$E$4:$E$810,"Loss"),-('Guide &amp; Settings'!$C$42/($F583-1))*$X583)))</f>
        <v>0</v>
      </c>
      <c r="K583" s="124">
        <f>IF($D583="",0,'Guide &amp; Settings'!$C$43*(IF($E583="Win",1,0)-$I583))</f>
        <v>0</v>
      </c>
      <c r="L583" s="125">
        <f>IF($D583="",0,'Guide &amp; Settings'!$C$44*IF($F583&gt;=3,$F583,0))</f>
        <v>0</v>
      </c>
      <c r="M583" s="124">
        <f t="shared" si="156"/>
        <v>0</v>
      </c>
      <c r="N583" s="122">
        <f t="shared" si="157"/>
        <v>0</v>
      </c>
      <c r="O583" s="121" t="str">
        <f t="shared" si="158"/>
        <v/>
      </c>
      <c r="P583">
        <f t="shared" si="159"/>
        <v>0</v>
      </c>
      <c r="Q583">
        <f t="shared" si="160"/>
        <v>0</v>
      </c>
      <c r="R583">
        <f t="shared" si="161"/>
        <v>0</v>
      </c>
      <c r="S583">
        <f t="shared" si="162"/>
        <v>0</v>
      </c>
      <c r="T583" s="89">
        <f t="shared" si="163"/>
        <v>0</v>
      </c>
      <c r="U583" s="126">
        <f>IF($D583="",0,IFERROR(LOOKUP(2,1/(($D$3:D582=$D583)*($C$3:C582=$C583)*($A$3:A582&lt;$A583)),$AB$3:AB582),1000))</f>
        <v>0</v>
      </c>
      <c r="V583" s="126">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6">
        <f t="shared" si="169"/>
        <v>0</v>
      </c>
      <c r="AC583" s="126"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7"/>
      <c r="B584" s="118"/>
      <c r="C584" s="119"/>
      <c r="D584" s="119"/>
      <c r="E584" s="117"/>
      <c r="F584" s="120">
        <f t="shared" si="153"/>
        <v>0</v>
      </c>
      <c r="G584" s="121" t="str">
        <f t="shared" si="154"/>
        <v/>
      </c>
      <c r="H584" s="122">
        <f>IF($D584="",0,IFERROR(LOOKUP(2,1/(($D$3:D583=$D584)*($A$3:A583&lt;$A584)),$N$3:N583),'Guide &amp; Settings'!$C$41))</f>
        <v>0</v>
      </c>
      <c r="I584" s="123">
        <f t="shared" si="155"/>
        <v>0</v>
      </c>
      <c r="J584" s="124">
        <f>IF($D584="",0,IF($F584&lt;2,0,IF($E584="Win",('Guide &amp; Settings'!$C$42/(($F584-1)*COUNTIFS($A$4:$A$810,$A584,$E$4:$E$810,"Win")))*SUMIFS($X$4:$X$810,$A$4:$A$810,$A584,$E$4:$E$810,"Loss"),-('Guide &amp; Settings'!$C$42/($F584-1))*$X584)))</f>
        <v>0</v>
      </c>
      <c r="K584" s="124">
        <f>IF($D584="",0,'Guide &amp; Settings'!$C$43*(IF($E584="Win",1,0)-$I584))</f>
        <v>0</v>
      </c>
      <c r="L584" s="125">
        <f>IF($D584="",0,'Guide &amp; Settings'!$C$44*IF($F584&gt;=3,$F584,0))</f>
        <v>0</v>
      </c>
      <c r="M584" s="124">
        <f t="shared" si="156"/>
        <v>0</v>
      </c>
      <c r="N584" s="122">
        <f t="shared" si="157"/>
        <v>0</v>
      </c>
      <c r="O584" s="121" t="str">
        <f t="shared" si="158"/>
        <v/>
      </c>
      <c r="P584">
        <f t="shared" si="159"/>
        <v>0</v>
      </c>
      <c r="Q584">
        <f t="shared" si="160"/>
        <v>0</v>
      </c>
      <c r="R584">
        <f t="shared" si="161"/>
        <v>0</v>
      </c>
      <c r="S584">
        <f t="shared" si="162"/>
        <v>0</v>
      </c>
      <c r="T584" s="89">
        <f t="shared" si="163"/>
        <v>0</v>
      </c>
      <c r="U584" s="126">
        <f>IF($D584="",0,IFERROR(LOOKUP(2,1/(($D$3:D583=$D584)*($C$3:C583=$C584)*($A$3:A583&lt;$A584)),$AB$3:AB583),1000))</f>
        <v>0</v>
      </c>
      <c r="V584" s="126">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6">
        <f t="shared" si="169"/>
        <v>0</v>
      </c>
      <c r="AC584" s="126"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7"/>
      <c r="B585" s="118"/>
      <c r="C585" s="119"/>
      <c r="D585" s="119"/>
      <c r="E585" s="117"/>
      <c r="F585" s="120">
        <f t="shared" si="153"/>
        <v>0</v>
      </c>
      <c r="G585" s="121" t="str">
        <f t="shared" si="154"/>
        <v/>
      </c>
      <c r="H585" s="122">
        <f>IF($D585="",0,IFERROR(LOOKUP(2,1/(($D$3:D584=$D585)*($A$3:A584&lt;$A585)),$N$3:N584),'Guide &amp; Settings'!$C$41))</f>
        <v>0</v>
      </c>
      <c r="I585" s="123">
        <f t="shared" si="155"/>
        <v>0</v>
      </c>
      <c r="J585" s="124">
        <f>IF($D585="",0,IF($F585&lt;2,0,IF($E585="Win",('Guide &amp; Settings'!$C$42/(($F585-1)*COUNTIFS($A$4:$A$810,$A585,$E$4:$E$810,"Win")))*SUMIFS($X$4:$X$810,$A$4:$A$810,$A585,$E$4:$E$810,"Loss"),-('Guide &amp; Settings'!$C$42/($F585-1))*$X585)))</f>
        <v>0</v>
      </c>
      <c r="K585" s="124">
        <f>IF($D585="",0,'Guide &amp; Settings'!$C$43*(IF($E585="Win",1,0)-$I585))</f>
        <v>0</v>
      </c>
      <c r="L585" s="125">
        <f>IF($D585="",0,'Guide &amp; Settings'!$C$44*IF($F585&gt;=3,$F585,0))</f>
        <v>0</v>
      </c>
      <c r="M585" s="124">
        <f t="shared" si="156"/>
        <v>0</v>
      </c>
      <c r="N585" s="122">
        <f t="shared" si="157"/>
        <v>0</v>
      </c>
      <c r="O585" s="121" t="str">
        <f t="shared" si="158"/>
        <v/>
      </c>
      <c r="P585">
        <f t="shared" si="159"/>
        <v>0</v>
      </c>
      <c r="Q585">
        <f t="shared" si="160"/>
        <v>0</v>
      </c>
      <c r="R585">
        <f t="shared" si="161"/>
        <v>0</v>
      </c>
      <c r="S585">
        <f t="shared" si="162"/>
        <v>0</v>
      </c>
      <c r="T585" s="89">
        <f t="shared" si="163"/>
        <v>0</v>
      </c>
      <c r="U585" s="126">
        <f>IF($D585="",0,IFERROR(LOOKUP(2,1/(($D$3:D584=$D585)*($C$3:C584=$C585)*($A$3:A584&lt;$A585)),$AB$3:AB584),1000))</f>
        <v>0</v>
      </c>
      <c r="V585" s="126">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6">
        <f t="shared" si="169"/>
        <v>0</v>
      </c>
      <c r="AC585" s="126"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7"/>
      <c r="B586" s="118"/>
      <c r="C586" s="119"/>
      <c r="D586" s="119"/>
      <c r="E586" s="117"/>
      <c r="F586" s="120">
        <f t="shared" si="153"/>
        <v>0</v>
      </c>
      <c r="G586" s="121" t="str">
        <f t="shared" si="154"/>
        <v/>
      </c>
      <c r="H586" s="122">
        <f>IF($D586="",0,IFERROR(LOOKUP(2,1/(($D$3:D585=$D586)*($A$3:A585&lt;$A586)),$N$3:N585),'Guide &amp; Settings'!$C$41))</f>
        <v>0</v>
      </c>
      <c r="I586" s="123">
        <f t="shared" si="155"/>
        <v>0</v>
      </c>
      <c r="J586" s="124">
        <f>IF($D586="",0,IF($F586&lt;2,0,IF($E586="Win",('Guide &amp; Settings'!$C$42/(($F586-1)*COUNTIFS($A$4:$A$810,$A586,$E$4:$E$810,"Win")))*SUMIFS($X$4:$X$810,$A$4:$A$810,$A586,$E$4:$E$810,"Loss"),-('Guide &amp; Settings'!$C$42/($F586-1))*$X586)))</f>
        <v>0</v>
      </c>
      <c r="K586" s="124">
        <f>IF($D586="",0,'Guide &amp; Settings'!$C$43*(IF($E586="Win",1,0)-$I586))</f>
        <v>0</v>
      </c>
      <c r="L586" s="125">
        <f>IF($D586="",0,'Guide &amp; Settings'!$C$44*IF($F586&gt;=3,$F586,0))</f>
        <v>0</v>
      </c>
      <c r="M586" s="124">
        <f t="shared" si="156"/>
        <v>0</v>
      </c>
      <c r="N586" s="122">
        <f t="shared" si="157"/>
        <v>0</v>
      </c>
      <c r="O586" s="121" t="str">
        <f t="shared" si="158"/>
        <v/>
      </c>
      <c r="P586">
        <f t="shared" si="159"/>
        <v>0</v>
      </c>
      <c r="Q586">
        <f t="shared" si="160"/>
        <v>0</v>
      </c>
      <c r="R586">
        <f t="shared" si="161"/>
        <v>0</v>
      </c>
      <c r="S586">
        <f t="shared" si="162"/>
        <v>0</v>
      </c>
      <c r="T586" s="89">
        <f t="shared" si="163"/>
        <v>0</v>
      </c>
      <c r="U586" s="126">
        <f>IF($D586="",0,IFERROR(LOOKUP(2,1/(($D$3:D585=$D586)*($C$3:C585=$C586)*($A$3:A585&lt;$A586)),$AB$3:AB585),1000))</f>
        <v>0</v>
      </c>
      <c r="V586" s="126">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6">
        <f t="shared" si="169"/>
        <v>0</v>
      </c>
      <c r="AC586" s="126"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7"/>
      <c r="B587" s="118"/>
      <c r="C587" s="119"/>
      <c r="D587" s="119"/>
      <c r="E587" s="117"/>
      <c r="F587" s="120">
        <f t="shared" si="153"/>
        <v>0</v>
      </c>
      <c r="G587" s="121" t="str">
        <f t="shared" si="154"/>
        <v/>
      </c>
      <c r="H587" s="122">
        <f>IF($D587="",0,IFERROR(LOOKUP(2,1/(($D$3:D586=$D587)*($A$3:A586&lt;$A587)),$N$3:N586),'Guide &amp; Settings'!$C$41))</f>
        <v>0</v>
      </c>
      <c r="I587" s="123">
        <f t="shared" si="155"/>
        <v>0</v>
      </c>
      <c r="J587" s="124">
        <f>IF($D587="",0,IF($F587&lt;2,0,IF($E587="Win",('Guide &amp; Settings'!$C$42/(($F587-1)*COUNTIFS($A$4:$A$810,$A587,$E$4:$E$810,"Win")))*SUMIFS($X$4:$X$810,$A$4:$A$810,$A587,$E$4:$E$810,"Loss"),-('Guide &amp; Settings'!$C$42/($F587-1))*$X587)))</f>
        <v>0</v>
      </c>
      <c r="K587" s="124">
        <f>IF($D587="",0,'Guide &amp; Settings'!$C$43*(IF($E587="Win",1,0)-$I587))</f>
        <v>0</v>
      </c>
      <c r="L587" s="125">
        <f>IF($D587="",0,'Guide &amp; Settings'!$C$44*IF($F587&gt;=3,$F587,0))</f>
        <v>0</v>
      </c>
      <c r="M587" s="124">
        <f t="shared" si="156"/>
        <v>0</v>
      </c>
      <c r="N587" s="122">
        <f t="shared" si="157"/>
        <v>0</v>
      </c>
      <c r="O587" s="121" t="str">
        <f t="shared" si="158"/>
        <v/>
      </c>
      <c r="P587">
        <f t="shared" si="159"/>
        <v>0</v>
      </c>
      <c r="Q587">
        <f t="shared" si="160"/>
        <v>0</v>
      </c>
      <c r="R587">
        <f t="shared" si="161"/>
        <v>0</v>
      </c>
      <c r="S587">
        <f t="shared" si="162"/>
        <v>0</v>
      </c>
      <c r="T587" s="89">
        <f t="shared" si="163"/>
        <v>0</v>
      </c>
      <c r="U587" s="126">
        <f>IF($D587="",0,IFERROR(LOOKUP(2,1/(($D$3:D586=$D587)*($C$3:C586=$C587)*($A$3:A586&lt;$A587)),$AB$3:AB586),1000))</f>
        <v>0</v>
      </c>
      <c r="V587" s="126">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6">
        <f t="shared" si="169"/>
        <v>0</v>
      </c>
      <c r="AC587" s="126"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7"/>
      <c r="B588" s="118"/>
      <c r="C588" s="119"/>
      <c r="D588" s="119"/>
      <c r="E588" s="117"/>
      <c r="F588" s="120">
        <f t="shared" si="153"/>
        <v>0</v>
      </c>
      <c r="G588" s="121" t="str">
        <f t="shared" si="154"/>
        <v/>
      </c>
      <c r="H588" s="122">
        <f>IF($D588="",0,IFERROR(LOOKUP(2,1/(($D$3:D587=$D588)*($A$3:A587&lt;$A588)),$N$3:N587),'Guide &amp; Settings'!$C$41))</f>
        <v>0</v>
      </c>
      <c r="I588" s="123">
        <f t="shared" si="155"/>
        <v>0</v>
      </c>
      <c r="J588" s="124">
        <f>IF($D588="",0,IF($F588&lt;2,0,IF($E588="Win",('Guide &amp; Settings'!$C$42/(($F588-1)*COUNTIFS($A$4:$A$810,$A588,$E$4:$E$810,"Win")))*SUMIFS($X$4:$X$810,$A$4:$A$810,$A588,$E$4:$E$810,"Loss"),-('Guide &amp; Settings'!$C$42/($F588-1))*$X588)))</f>
        <v>0</v>
      </c>
      <c r="K588" s="124">
        <f>IF($D588="",0,'Guide &amp; Settings'!$C$43*(IF($E588="Win",1,0)-$I588))</f>
        <v>0</v>
      </c>
      <c r="L588" s="125">
        <f>IF($D588="",0,'Guide &amp; Settings'!$C$44*IF($F588&gt;=3,$F588,0))</f>
        <v>0</v>
      </c>
      <c r="M588" s="124">
        <f t="shared" si="156"/>
        <v>0</v>
      </c>
      <c r="N588" s="122">
        <f t="shared" si="157"/>
        <v>0</v>
      </c>
      <c r="O588" s="121" t="str">
        <f t="shared" si="158"/>
        <v/>
      </c>
      <c r="P588">
        <f t="shared" si="159"/>
        <v>0</v>
      </c>
      <c r="Q588">
        <f t="shared" si="160"/>
        <v>0</v>
      </c>
      <c r="R588">
        <f t="shared" si="161"/>
        <v>0</v>
      </c>
      <c r="S588">
        <f t="shared" si="162"/>
        <v>0</v>
      </c>
      <c r="T588" s="89">
        <f t="shared" si="163"/>
        <v>0</v>
      </c>
      <c r="U588" s="126">
        <f>IF($D588="",0,IFERROR(LOOKUP(2,1/(($D$3:D587=$D588)*($C$3:C587=$C588)*($A$3:A587&lt;$A588)),$AB$3:AB587),1000))</f>
        <v>0</v>
      </c>
      <c r="V588" s="126">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6">
        <f t="shared" si="169"/>
        <v>0</v>
      </c>
      <c r="AC588" s="126"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7"/>
      <c r="B589" s="118"/>
      <c r="C589" s="119"/>
      <c r="D589" s="119"/>
      <c r="E589" s="117"/>
      <c r="F589" s="120">
        <f t="shared" si="153"/>
        <v>0</v>
      </c>
      <c r="G589" s="121" t="str">
        <f t="shared" si="154"/>
        <v/>
      </c>
      <c r="H589" s="122">
        <f>IF($D589="",0,IFERROR(LOOKUP(2,1/(($D$3:D588=$D589)*($A$3:A588&lt;$A589)),$N$3:N588),'Guide &amp; Settings'!$C$41))</f>
        <v>0</v>
      </c>
      <c r="I589" s="123">
        <f t="shared" si="155"/>
        <v>0</v>
      </c>
      <c r="J589" s="124">
        <f>IF($D589="",0,IF($F589&lt;2,0,IF($E589="Win",('Guide &amp; Settings'!$C$42/(($F589-1)*COUNTIFS($A$4:$A$810,$A589,$E$4:$E$810,"Win")))*SUMIFS($X$4:$X$810,$A$4:$A$810,$A589,$E$4:$E$810,"Loss"),-('Guide &amp; Settings'!$C$42/($F589-1))*$X589)))</f>
        <v>0</v>
      </c>
      <c r="K589" s="124">
        <f>IF($D589="",0,'Guide &amp; Settings'!$C$43*(IF($E589="Win",1,0)-$I589))</f>
        <v>0</v>
      </c>
      <c r="L589" s="125">
        <f>IF($D589="",0,'Guide &amp; Settings'!$C$44*IF($F589&gt;=3,$F589,0))</f>
        <v>0</v>
      </c>
      <c r="M589" s="124">
        <f t="shared" si="156"/>
        <v>0</v>
      </c>
      <c r="N589" s="122">
        <f t="shared" si="157"/>
        <v>0</v>
      </c>
      <c r="O589" s="121" t="str">
        <f t="shared" si="158"/>
        <v/>
      </c>
      <c r="P589">
        <f t="shared" si="159"/>
        <v>0</v>
      </c>
      <c r="Q589">
        <f t="shared" si="160"/>
        <v>0</v>
      </c>
      <c r="R589">
        <f t="shared" si="161"/>
        <v>0</v>
      </c>
      <c r="S589">
        <f t="shared" si="162"/>
        <v>0</v>
      </c>
      <c r="T589" s="89">
        <f t="shared" si="163"/>
        <v>0</v>
      </c>
      <c r="U589" s="126">
        <f>IF($D589="",0,IFERROR(LOOKUP(2,1/(($D$3:D588=$D589)*($C$3:C588=$C589)*($A$3:A588&lt;$A589)),$AB$3:AB588),1000))</f>
        <v>0</v>
      </c>
      <c r="V589" s="126">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6">
        <f t="shared" si="169"/>
        <v>0</v>
      </c>
      <c r="AC589" s="126"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7"/>
      <c r="B590" s="118"/>
      <c r="C590" s="119"/>
      <c r="D590" s="119"/>
      <c r="E590" s="117"/>
      <c r="F590" s="120">
        <f t="shared" si="153"/>
        <v>0</v>
      </c>
      <c r="G590" s="121" t="str">
        <f t="shared" si="154"/>
        <v/>
      </c>
      <c r="H590" s="122">
        <f>IF($D590="",0,IFERROR(LOOKUP(2,1/(($D$3:D589=$D590)*($A$3:A589&lt;$A590)),$N$3:N589),'Guide &amp; Settings'!$C$41))</f>
        <v>0</v>
      </c>
      <c r="I590" s="123">
        <f t="shared" si="155"/>
        <v>0</v>
      </c>
      <c r="J590" s="124">
        <f>IF($D590="",0,IF($F590&lt;2,0,IF($E590="Win",('Guide &amp; Settings'!$C$42/(($F590-1)*COUNTIFS($A$4:$A$810,$A590,$E$4:$E$810,"Win")))*SUMIFS($X$4:$X$810,$A$4:$A$810,$A590,$E$4:$E$810,"Loss"),-('Guide &amp; Settings'!$C$42/($F590-1))*$X590)))</f>
        <v>0</v>
      </c>
      <c r="K590" s="124">
        <f>IF($D590="",0,'Guide &amp; Settings'!$C$43*(IF($E590="Win",1,0)-$I590))</f>
        <v>0</v>
      </c>
      <c r="L590" s="125">
        <f>IF($D590="",0,'Guide &amp; Settings'!$C$44*IF($F590&gt;=3,$F590,0))</f>
        <v>0</v>
      </c>
      <c r="M590" s="124">
        <f t="shared" si="156"/>
        <v>0</v>
      </c>
      <c r="N590" s="122">
        <f t="shared" si="157"/>
        <v>0</v>
      </c>
      <c r="O590" s="121" t="str">
        <f t="shared" si="158"/>
        <v/>
      </c>
      <c r="P590">
        <f t="shared" si="159"/>
        <v>0</v>
      </c>
      <c r="Q590">
        <f t="shared" si="160"/>
        <v>0</v>
      </c>
      <c r="R590">
        <f t="shared" si="161"/>
        <v>0</v>
      </c>
      <c r="S590">
        <f t="shared" si="162"/>
        <v>0</v>
      </c>
      <c r="T590" s="89">
        <f t="shared" si="163"/>
        <v>0</v>
      </c>
      <c r="U590" s="126">
        <f>IF($D590="",0,IFERROR(LOOKUP(2,1/(($D$3:D589=$D590)*($C$3:C589=$C590)*($A$3:A589&lt;$A590)),$AB$3:AB589),1000))</f>
        <v>0</v>
      </c>
      <c r="V590" s="126">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6">
        <f t="shared" si="169"/>
        <v>0</v>
      </c>
      <c r="AC590" s="126"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7"/>
      <c r="B591" s="118"/>
      <c r="C591" s="119"/>
      <c r="D591" s="119"/>
      <c r="E591" s="117"/>
      <c r="F591" s="120">
        <f t="shared" si="153"/>
        <v>0</v>
      </c>
      <c r="G591" s="121" t="str">
        <f t="shared" si="154"/>
        <v/>
      </c>
      <c r="H591" s="122">
        <f>IF($D591="",0,IFERROR(LOOKUP(2,1/(($D$3:D590=$D591)*($A$3:A590&lt;$A591)),$N$3:N590),'Guide &amp; Settings'!$C$41))</f>
        <v>0</v>
      </c>
      <c r="I591" s="123">
        <f t="shared" si="155"/>
        <v>0</v>
      </c>
      <c r="J591" s="124">
        <f>IF($D591="",0,IF($F591&lt;2,0,IF($E591="Win",('Guide &amp; Settings'!$C$42/(($F591-1)*COUNTIFS($A$4:$A$810,$A591,$E$4:$E$810,"Win")))*SUMIFS($X$4:$X$810,$A$4:$A$810,$A591,$E$4:$E$810,"Loss"),-('Guide &amp; Settings'!$C$42/($F591-1))*$X591)))</f>
        <v>0</v>
      </c>
      <c r="K591" s="124">
        <f>IF($D591="",0,'Guide &amp; Settings'!$C$43*(IF($E591="Win",1,0)-$I591))</f>
        <v>0</v>
      </c>
      <c r="L591" s="125">
        <f>IF($D591="",0,'Guide &amp; Settings'!$C$44*IF($F591&gt;=3,$F591,0))</f>
        <v>0</v>
      </c>
      <c r="M591" s="124">
        <f t="shared" si="156"/>
        <v>0</v>
      </c>
      <c r="N591" s="122">
        <f t="shared" si="157"/>
        <v>0</v>
      </c>
      <c r="O591" s="121" t="str">
        <f t="shared" si="158"/>
        <v/>
      </c>
      <c r="P591">
        <f t="shared" si="159"/>
        <v>0</v>
      </c>
      <c r="Q591">
        <f t="shared" si="160"/>
        <v>0</v>
      </c>
      <c r="R591">
        <f t="shared" si="161"/>
        <v>0</v>
      </c>
      <c r="S591">
        <f t="shared" si="162"/>
        <v>0</v>
      </c>
      <c r="T591" s="89">
        <f t="shared" si="163"/>
        <v>0</v>
      </c>
      <c r="U591" s="126">
        <f>IF($D591="",0,IFERROR(LOOKUP(2,1/(($D$3:D590=$D591)*($C$3:C590=$C591)*($A$3:A590&lt;$A591)),$AB$3:AB590),1000))</f>
        <v>0</v>
      </c>
      <c r="V591" s="126">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6">
        <f t="shared" si="169"/>
        <v>0</v>
      </c>
      <c r="AC591" s="126"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7"/>
      <c r="B592" s="118"/>
      <c r="C592" s="119"/>
      <c r="D592" s="119"/>
      <c r="E592" s="117"/>
      <c r="F592" s="120">
        <f t="shared" si="153"/>
        <v>0</v>
      </c>
      <c r="G592" s="121" t="str">
        <f t="shared" si="154"/>
        <v/>
      </c>
      <c r="H592" s="122">
        <f>IF($D592="",0,IFERROR(LOOKUP(2,1/(($D$3:D591=$D592)*($A$3:A591&lt;$A592)),$N$3:N591),'Guide &amp; Settings'!$C$41))</f>
        <v>0</v>
      </c>
      <c r="I592" s="123">
        <f t="shared" si="155"/>
        <v>0</v>
      </c>
      <c r="J592" s="124">
        <f>IF($D592="",0,IF($F592&lt;2,0,IF($E592="Win",('Guide &amp; Settings'!$C$42/(($F592-1)*COUNTIFS($A$4:$A$810,$A592,$E$4:$E$810,"Win")))*SUMIFS($X$4:$X$810,$A$4:$A$810,$A592,$E$4:$E$810,"Loss"),-('Guide &amp; Settings'!$C$42/($F592-1))*$X592)))</f>
        <v>0</v>
      </c>
      <c r="K592" s="124">
        <f>IF($D592="",0,'Guide &amp; Settings'!$C$43*(IF($E592="Win",1,0)-$I592))</f>
        <v>0</v>
      </c>
      <c r="L592" s="125">
        <f>IF($D592="",0,'Guide &amp; Settings'!$C$44*IF($F592&gt;=3,$F592,0))</f>
        <v>0</v>
      </c>
      <c r="M592" s="124">
        <f t="shared" si="156"/>
        <v>0</v>
      </c>
      <c r="N592" s="122">
        <f t="shared" si="157"/>
        <v>0</v>
      </c>
      <c r="O592" s="121" t="str">
        <f t="shared" si="158"/>
        <v/>
      </c>
      <c r="P592">
        <f t="shared" si="159"/>
        <v>0</v>
      </c>
      <c r="Q592">
        <f t="shared" si="160"/>
        <v>0</v>
      </c>
      <c r="R592">
        <f t="shared" si="161"/>
        <v>0</v>
      </c>
      <c r="S592">
        <f t="shared" si="162"/>
        <v>0</v>
      </c>
      <c r="T592" s="89">
        <f t="shared" si="163"/>
        <v>0</v>
      </c>
      <c r="U592" s="126">
        <f>IF($D592="",0,IFERROR(LOOKUP(2,1/(($D$3:D591=$D592)*($C$3:C591=$C592)*($A$3:A591&lt;$A592)),$AB$3:AB591),1000))</f>
        <v>0</v>
      </c>
      <c r="V592" s="126">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6">
        <f t="shared" si="169"/>
        <v>0</v>
      </c>
      <c r="AC592" s="126"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7"/>
      <c r="B593" s="118"/>
      <c r="C593" s="119"/>
      <c r="D593" s="119"/>
      <c r="E593" s="117"/>
      <c r="F593" s="120">
        <f t="shared" si="153"/>
        <v>0</v>
      </c>
      <c r="G593" s="121" t="str">
        <f t="shared" si="154"/>
        <v/>
      </c>
      <c r="H593" s="122">
        <f>IF($D593="",0,IFERROR(LOOKUP(2,1/(($D$3:D592=$D593)*($A$3:A592&lt;$A593)),$N$3:N592),'Guide &amp; Settings'!$C$41))</f>
        <v>0</v>
      </c>
      <c r="I593" s="123">
        <f t="shared" si="155"/>
        <v>0</v>
      </c>
      <c r="J593" s="124">
        <f>IF($D593="",0,IF($F593&lt;2,0,IF($E593="Win",('Guide &amp; Settings'!$C$42/(($F593-1)*COUNTIFS($A$4:$A$810,$A593,$E$4:$E$810,"Win")))*SUMIFS($X$4:$X$810,$A$4:$A$810,$A593,$E$4:$E$810,"Loss"),-('Guide &amp; Settings'!$C$42/($F593-1))*$X593)))</f>
        <v>0</v>
      </c>
      <c r="K593" s="124">
        <f>IF($D593="",0,'Guide &amp; Settings'!$C$43*(IF($E593="Win",1,0)-$I593))</f>
        <v>0</v>
      </c>
      <c r="L593" s="125">
        <f>IF($D593="",0,'Guide &amp; Settings'!$C$44*IF($F593&gt;=3,$F593,0))</f>
        <v>0</v>
      </c>
      <c r="M593" s="124">
        <f t="shared" si="156"/>
        <v>0</v>
      </c>
      <c r="N593" s="122">
        <f t="shared" si="157"/>
        <v>0</v>
      </c>
      <c r="O593" s="121" t="str">
        <f t="shared" si="158"/>
        <v/>
      </c>
      <c r="P593">
        <f t="shared" si="159"/>
        <v>0</v>
      </c>
      <c r="Q593">
        <f t="shared" si="160"/>
        <v>0</v>
      </c>
      <c r="R593">
        <f t="shared" si="161"/>
        <v>0</v>
      </c>
      <c r="S593">
        <f t="shared" si="162"/>
        <v>0</v>
      </c>
      <c r="T593" s="89">
        <f t="shared" si="163"/>
        <v>0</v>
      </c>
      <c r="U593" s="126">
        <f>IF($D593="",0,IFERROR(LOOKUP(2,1/(($D$3:D592=$D593)*($C$3:C592=$C593)*($A$3:A592&lt;$A593)),$AB$3:AB592),1000))</f>
        <v>0</v>
      </c>
      <c r="V593" s="126">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6">
        <f t="shared" si="169"/>
        <v>0</v>
      </c>
      <c r="AC593" s="126"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7"/>
      <c r="B594" s="118"/>
      <c r="C594" s="119"/>
      <c r="D594" s="119"/>
      <c r="E594" s="117"/>
      <c r="F594" s="120">
        <f t="shared" si="153"/>
        <v>0</v>
      </c>
      <c r="G594" s="121" t="str">
        <f t="shared" si="154"/>
        <v/>
      </c>
      <c r="H594" s="122">
        <f>IF($D594="",0,IFERROR(LOOKUP(2,1/(($D$3:D593=$D594)*($A$3:A593&lt;$A594)),$N$3:N593),'Guide &amp; Settings'!$C$41))</f>
        <v>0</v>
      </c>
      <c r="I594" s="123">
        <f t="shared" si="155"/>
        <v>0</v>
      </c>
      <c r="J594" s="124">
        <f>IF($D594="",0,IF($F594&lt;2,0,IF($E594="Win",('Guide &amp; Settings'!$C$42/(($F594-1)*COUNTIFS($A$4:$A$810,$A594,$E$4:$E$810,"Win")))*SUMIFS($X$4:$X$810,$A$4:$A$810,$A594,$E$4:$E$810,"Loss"),-('Guide &amp; Settings'!$C$42/($F594-1))*$X594)))</f>
        <v>0</v>
      </c>
      <c r="K594" s="124">
        <f>IF($D594="",0,'Guide &amp; Settings'!$C$43*(IF($E594="Win",1,0)-$I594))</f>
        <v>0</v>
      </c>
      <c r="L594" s="125">
        <f>IF($D594="",0,'Guide &amp; Settings'!$C$44*IF($F594&gt;=3,$F594,0))</f>
        <v>0</v>
      </c>
      <c r="M594" s="124">
        <f t="shared" si="156"/>
        <v>0</v>
      </c>
      <c r="N594" s="122">
        <f t="shared" si="157"/>
        <v>0</v>
      </c>
      <c r="O594" s="121" t="str">
        <f t="shared" si="158"/>
        <v/>
      </c>
      <c r="P594">
        <f t="shared" si="159"/>
        <v>0</v>
      </c>
      <c r="Q594">
        <f t="shared" si="160"/>
        <v>0</v>
      </c>
      <c r="R594">
        <f t="shared" si="161"/>
        <v>0</v>
      </c>
      <c r="S594">
        <f t="shared" si="162"/>
        <v>0</v>
      </c>
      <c r="T594" s="89">
        <f t="shared" si="163"/>
        <v>0</v>
      </c>
      <c r="U594" s="126">
        <f>IF($D594="",0,IFERROR(LOOKUP(2,1/(($D$3:D593=$D594)*($C$3:C593=$C594)*($A$3:A593&lt;$A594)),$AB$3:AB593),1000))</f>
        <v>0</v>
      </c>
      <c r="V594" s="126">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6">
        <f t="shared" si="169"/>
        <v>0</v>
      </c>
      <c r="AC594" s="126"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7"/>
      <c r="B595" s="118"/>
      <c r="C595" s="119"/>
      <c r="D595" s="119"/>
      <c r="E595" s="117"/>
      <c r="F595" s="120">
        <f t="shared" si="153"/>
        <v>0</v>
      </c>
      <c r="G595" s="121" t="str">
        <f t="shared" si="154"/>
        <v/>
      </c>
      <c r="H595" s="122">
        <f>IF($D595="",0,IFERROR(LOOKUP(2,1/(($D$3:D594=$D595)*($A$3:A594&lt;$A595)),$N$3:N594),'Guide &amp; Settings'!$C$41))</f>
        <v>0</v>
      </c>
      <c r="I595" s="123">
        <f t="shared" si="155"/>
        <v>0</v>
      </c>
      <c r="J595" s="124">
        <f>IF($D595="",0,IF($F595&lt;2,0,IF($E595="Win",('Guide &amp; Settings'!$C$42/(($F595-1)*COUNTIFS($A$4:$A$810,$A595,$E$4:$E$810,"Win")))*SUMIFS($X$4:$X$810,$A$4:$A$810,$A595,$E$4:$E$810,"Loss"),-('Guide &amp; Settings'!$C$42/($F595-1))*$X595)))</f>
        <v>0</v>
      </c>
      <c r="K595" s="124">
        <f>IF($D595="",0,'Guide &amp; Settings'!$C$43*(IF($E595="Win",1,0)-$I595))</f>
        <v>0</v>
      </c>
      <c r="L595" s="125">
        <f>IF($D595="",0,'Guide &amp; Settings'!$C$44*IF($F595&gt;=3,$F595,0))</f>
        <v>0</v>
      </c>
      <c r="M595" s="124">
        <f t="shared" si="156"/>
        <v>0</v>
      </c>
      <c r="N595" s="122">
        <f t="shared" si="157"/>
        <v>0</v>
      </c>
      <c r="O595" s="121" t="str">
        <f t="shared" si="158"/>
        <v/>
      </c>
      <c r="P595">
        <f t="shared" si="159"/>
        <v>0</v>
      </c>
      <c r="Q595">
        <f t="shared" si="160"/>
        <v>0</v>
      </c>
      <c r="R595">
        <f t="shared" si="161"/>
        <v>0</v>
      </c>
      <c r="S595">
        <f t="shared" si="162"/>
        <v>0</v>
      </c>
      <c r="T595" s="89">
        <f t="shared" si="163"/>
        <v>0</v>
      </c>
      <c r="U595" s="126">
        <f>IF($D595="",0,IFERROR(LOOKUP(2,1/(($D$3:D594=$D595)*($C$3:C594=$C595)*($A$3:A594&lt;$A595)),$AB$3:AB594),1000))</f>
        <v>0</v>
      </c>
      <c r="V595" s="126">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6">
        <f t="shared" si="169"/>
        <v>0</v>
      </c>
      <c r="AC595" s="126"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7"/>
      <c r="B596" s="118"/>
      <c r="C596" s="119"/>
      <c r="D596" s="119"/>
      <c r="E596" s="117"/>
      <c r="F596" s="120">
        <f t="shared" si="153"/>
        <v>0</v>
      </c>
      <c r="G596" s="121" t="str">
        <f t="shared" si="154"/>
        <v/>
      </c>
      <c r="H596" s="122">
        <f>IF($D596="",0,IFERROR(LOOKUP(2,1/(($D$3:D595=$D596)*($A$3:A595&lt;$A596)),$N$3:N595),'Guide &amp; Settings'!$C$41))</f>
        <v>0</v>
      </c>
      <c r="I596" s="123">
        <f t="shared" si="155"/>
        <v>0</v>
      </c>
      <c r="J596" s="124">
        <f>IF($D596="",0,IF($F596&lt;2,0,IF($E596="Win",('Guide &amp; Settings'!$C$42/(($F596-1)*COUNTIFS($A$4:$A$810,$A596,$E$4:$E$810,"Win")))*SUMIFS($X$4:$X$810,$A$4:$A$810,$A596,$E$4:$E$810,"Loss"),-('Guide &amp; Settings'!$C$42/($F596-1))*$X596)))</f>
        <v>0</v>
      </c>
      <c r="K596" s="124">
        <f>IF($D596="",0,'Guide &amp; Settings'!$C$43*(IF($E596="Win",1,0)-$I596))</f>
        <v>0</v>
      </c>
      <c r="L596" s="125">
        <f>IF($D596="",0,'Guide &amp; Settings'!$C$44*IF($F596&gt;=3,$F596,0))</f>
        <v>0</v>
      </c>
      <c r="M596" s="124">
        <f t="shared" si="156"/>
        <v>0</v>
      </c>
      <c r="N596" s="122">
        <f t="shared" si="157"/>
        <v>0</v>
      </c>
      <c r="O596" s="121" t="str">
        <f t="shared" si="158"/>
        <v/>
      </c>
      <c r="P596">
        <f t="shared" si="159"/>
        <v>0</v>
      </c>
      <c r="Q596">
        <f t="shared" si="160"/>
        <v>0</v>
      </c>
      <c r="R596">
        <f t="shared" si="161"/>
        <v>0</v>
      </c>
      <c r="S596">
        <f t="shared" si="162"/>
        <v>0</v>
      </c>
      <c r="T596" s="89">
        <f t="shared" si="163"/>
        <v>0</v>
      </c>
      <c r="U596" s="126">
        <f>IF($D596="",0,IFERROR(LOOKUP(2,1/(($D$3:D595=$D596)*($C$3:C595=$C596)*($A$3:A595&lt;$A596)),$AB$3:AB595),1000))</f>
        <v>0</v>
      </c>
      <c r="V596" s="126">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6">
        <f t="shared" si="169"/>
        <v>0</v>
      </c>
      <c r="AC596" s="126"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7"/>
      <c r="B597" s="118"/>
      <c r="C597" s="119"/>
      <c r="D597" s="119"/>
      <c r="E597" s="117"/>
      <c r="F597" s="120">
        <f t="shared" si="153"/>
        <v>0</v>
      </c>
      <c r="G597" s="121" t="str">
        <f t="shared" si="154"/>
        <v/>
      </c>
      <c r="H597" s="122">
        <f>IF($D597="",0,IFERROR(LOOKUP(2,1/(($D$3:D596=$D597)*($A$3:A596&lt;$A597)),$N$3:N596),'Guide &amp; Settings'!$C$41))</f>
        <v>0</v>
      </c>
      <c r="I597" s="123">
        <f t="shared" si="155"/>
        <v>0</v>
      </c>
      <c r="J597" s="124">
        <f>IF($D597="",0,IF($F597&lt;2,0,IF($E597="Win",('Guide &amp; Settings'!$C$42/(($F597-1)*COUNTIFS($A$4:$A$810,$A597,$E$4:$E$810,"Win")))*SUMIFS($X$4:$X$810,$A$4:$A$810,$A597,$E$4:$E$810,"Loss"),-('Guide &amp; Settings'!$C$42/($F597-1))*$X597)))</f>
        <v>0</v>
      </c>
      <c r="K597" s="124">
        <f>IF($D597="",0,'Guide &amp; Settings'!$C$43*(IF($E597="Win",1,0)-$I597))</f>
        <v>0</v>
      </c>
      <c r="L597" s="125">
        <f>IF($D597="",0,'Guide &amp; Settings'!$C$44*IF($F597&gt;=3,$F597,0))</f>
        <v>0</v>
      </c>
      <c r="M597" s="124">
        <f t="shared" si="156"/>
        <v>0</v>
      </c>
      <c r="N597" s="122">
        <f t="shared" si="157"/>
        <v>0</v>
      </c>
      <c r="O597" s="121" t="str">
        <f t="shared" si="158"/>
        <v/>
      </c>
      <c r="P597">
        <f t="shared" si="159"/>
        <v>0</v>
      </c>
      <c r="Q597">
        <f t="shared" si="160"/>
        <v>0</v>
      </c>
      <c r="R597">
        <f t="shared" si="161"/>
        <v>0</v>
      </c>
      <c r="S597">
        <f t="shared" si="162"/>
        <v>0</v>
      </c>
      <c r="T597" s="89">
        <f t="shared" si="163"/>
        <v>0</v>
      </c>
      <c r="U597" s="126">
        <f>IF($D597="",0,IFERROR(LOOKUP(2,1/(($D$3:D596=$D597)*($C$3:C596=$C597)*($A$3:A596&lt;$A597)),$AB$3:AB596),1000))</f>
        <v>0</v>
      </c>
      <c r="V597" s="126">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6">
        <f t="shared" si="169"/>
        <v>0</v>
      </c>
      <c r="AC597" s="126"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7"/>
      <c r="B598" s="118"/>
      <c r="C598" s="119"/>
      <c r="D598" s="119"/>
      <c r="E598" s="117"/>
      <c r="F598" s="120">
        <f t="shared" si="153"/>
        <v>0</v>
      </c>
      <c r="G598" s="121" t="str">
        <f t="shared" si="154"/>
        <v/>
      </c>
      <c r="H598" s="122">
        <f>IF($D598="",0,IFERROR(LOOKUP(2,1/(($D$3:D597=$D598)*($A$3:A597&lt;$A598)),$N$3:N597),'Guide &amp; Settings'!$C$41))</f>
        <v>0</v>
      </c>
      <c r="I598" s="123">
        <f t="shared" si="155"/>
        <v>0</v>
      </c>
      <c r="J598" s="124">
        <f>IF($D598="",0,IF($F598&lt;2,0,IF($E598="Win",('Guide &amp; Settings'!$C$42/(($F598-1)*COUNTIFS($A$4:$A$810,$A598,$E$4:$E$810,"Win")))*SUMIFS($X$4:$X$810,$A$4:$A$810,$A598,$E$4:$E$810,"Loss"),-('Guide &amp; Settings'!$C$42/($F598-1))*$X598)))</f>
        <v>0</v>
      </c>
      <c r="K598" s="124">
        <f>IF($D598="",0,'Guide &amp; Settings'!$C$43*(IF($E598="Win",1,0)-$I598))</f>
        <v>0</v>
      </c>
      <c r="L598" s="125">
        <f>IF($D598="",0,'Guide &amp; Settings'!$C$44*IF($F598&gt;=3,$F598,0))</f>
        <v>0</v>
      </c>
      <c r="M598" s="124">
        <f t="shared" si="156"/>
        <v>0</v>
      </c>
      <c r="N598" s="122">
        <f t="shared" si="157"/>
        <v>0</v>
      </c>
      <c r="O598" s="121" t="str">
        <f t="shared" si="158"/>
        <v/>
      </c>
      <c r="P598">
        <f t="shared" si="159"/>
        <v>0</v>
      </c>
      <c r="Q598">
        <f t="shared" si="160"/>
        <v>0</v>
      </c>
      <c r="R598">
        <f t="shared" si="161"/>
        <v>0</v>
      </c>
      <c r="S598">
        <f t="shared" si="162"/>
        <v>0</v>
      </c>
      <c r="T598" s="89">
        <f t="shared" si="163"/>
        <v>0</v>
      </c>
      <c r="U598" s="126">
        <f>IF($D598="",0,IFERROR(LOOKUP(2,1/(($D$3:D597=$D598)*($C$3:C597=$C598)*($A$3:A597&lt;$A598)),$AB$3:AB597),1000))</f>
        <v>0</v>
      </c>
      <c r="V598" s="126">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6">
        <f t="shared" si="169"/>
        <v>0</v>
      </c>
      <c r="AC598" s="126"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7"/>
      <c r="B599" s="118"/>
      <c r="C599" s="119"/>
      <c r="D599" s="119"/>
      <c r="E599" s="117"/>
      <c r="F599" s="120">
        <f t="shared" si="153"/>
        <v>0</v>
      </c>
      <c r="G599" s="121" t="str">
        <f t="shared" si="154"/>
        <v/>
      </c>
      <c r="H599" s="122">
        <f>IF($D599="",0,IFERROR(LOOKUP(2,1/(($D$3:D598=$D599)*($A$3:A598&lt;$A599)),$N$3:N598),'Guide &amp; Settings'!$C$41))</f>
        <v>0</v>
      </c>
      <c r="I599" s="123">
        <f t="shared" si="155"/>
        <v>0</v>
      </c>
      <c r="J599" s="124">
        <f>IF($D599="",0,IF($F599&lt;2,0,IF($E599="Win",('Guide &amp; Settings'!$C$42/(($F599-1)*COUNTIFS($A$4:$A$810,$A599,$E$4:$E$810,"Win")))*SUMIFS($X$4:$X$810,$A$4:$A$810,$A599,$E$4:$E$810,"Loss"),-('Guide &amp; Settings'!$C$42/($F599-1))*$X599)))</f>
        <v>0</v>
      </c>
      <c r="K599" s="124">
        <f>IF($D599="",0,'Guide &amp; Settings'!$C$43*(IF($E599="Win",1,0)-$I599))</f>
        <v>0</v>
      </c>
      <c r="L599" s="125">
        <f>IF($D599="",0,'Guide &amp; Settings'!$C$44*IF($F599&gt;=3,$F599,0))</f>
        <v>0</v>
      </c>
      <c r="M599" s="124">
        <f t="shared" si="156"/>
        <v>0</v>
      </c>
      <c r="N599" s="122">
        <f t="shared" si="157"/>
        <v>0</v>
      </c>
      <c r="O599" s="121" t="str">
        <f t="shared" si="158"/>
        <v/>
      </c>
      <c r="P599">
        <f t="shared" si="159"/>
        <v>0</v>
      </c>
      <c r="Q599">
        <f t="shared" si="160"/>
        <v>0</v>
      </c>
      <c r="R599">
        <f t="shared" si="161"/>
        <v>0</v>
      </c>
      <c r="S599">
        <f t="shared" si="162"/>
        <v>0</v>
      </c>
      <c r="T599" s="89">
        <f t="shared" si="163"/>
        <v>0</v>
      </c>
      <c r="U599" s="126">
        <f>IF($D599="",0,IFERROR(LOOKUP(2,1/(($D$3:D598=$D599)*($C$3:C598=$C599)*($A$3:A598&lt;$A599)),$AB$3:AB598),1000))</f>
        <v>0</v>
      </c>
      <c r="V599" s="126">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6">
        <f t="shared" si="169"/>
        <v>0</v>
      </c>
      <c r="AC599" s="126"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7"/>
      <c r="B600" s="118"/>
      <c r="C600" s="119"/>
      <c r="D600" s="119"/>
      <c r="E600" s="117"/>
      <c r="F600" s="120">
        <f t="shared" si="153"/>
        <v>0</v>
      </c>
      <c r="G600" s="121" t="str">
        <f t="shared" si="154"/>
        <v/>
      </c>
      <c r="H600" s="122">
        <f>IF($D600="",0,IFERROR(LOOKUP(2,1/(($D$3:D599=$D600)*($A$3:A599&lt;$A600)),$N$3:N599),'Guide &amp; Settings'!$C$41))</f>
        <v>0</v>
      </c>
      <c r="I600" s="123">
        <f t="shared" si="155"/>
        <v>0</v>
      </c>
      <c r="J600" s="124">
        <f>IF($D600="",0,IF($F600&lt;2,0,IF($E600="Win",('Guide &amp; Settings'!$C$42/(($F600-1)*COUNTIFS($A$4:$A$810,$A600,$E$4:$E$810,"Win")))*SUMIFS($X$4:$X$810,$A$4:$A$810,$A600,$E$4:$E$810,"Loss"),-('Guide &amp; Settings'!$C$42/($F600-1))*$X600)))</f>
        <v>0</v>
      </c>
      <c r="K600" s="124">
        <f>IF($D600="",0,'Guide &amp; Settings'!$C$43*(IF($E600="Win",1,0)-$I600))</f>
        <v>0</v>
      </c>
      <c r="L600" s="125">
        <f>IF($D600="",0,'Guide &amp; Settings'!$C$44*IF($F600&gt;=3,$F600,0))</f>
        <v>0</v>
      </c>
      <c r="M600" s="124">
        <f t="shared" si="156"/>
        <v>0</v>
      </c>
      <c r="N600" s="122">
        <f t="shared" si="157"/>
        <v>0</v>
      </c>
      <c r="O600" s="121" t="str">
        <f t="shared" si="158"/>
        <v/>
      </c>
      <c r="P600">
        <f t="shared" si="159"/>
        <v>0</v>
      </c>
      <c r="Q600">
        <f t="shared" si="160"/>
        <v>0</v>
      </c>
      <c r="R600">
        <f t="shared" si="161"/>
        <v>0</v>
      </c>
      <c r="S600">
        <f t="shared" si="162"/>
        <v>0</v>
      </c>
      <c r="T600" s="89">
        <f t="shared" si="163"/>
        <v>0</v>
      </c>
      <c r="U600" s="126">
        <f>IF($D600="",0,IFERROR(LOOKUP(2,1/(($D$3:D599=$D600)*($C$3:C599=$C600)*($A$3:A599&lt;$A600)),$AB$3:AB599),1000))</f>
        <v>0</v>
      </c>
      <c r="V600" s="126">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6">
        <f t="shared" si="169"/>
        <v>0</v>
      </c>
      <c r="AC600" s="126"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7"/>
      <c r="B601" s="118"/>
      <c r="C601" s="119"/>
      <c r="D601" s="119"/>
      <c r="E601" s="117"/>
      <c r="F601" s="120">
        <f t="shared" si="153"/>
        <v>0</v>
      </c>
      <c r="G601" s="121" t="str">
        <f t="shared" si="154"/>
        <v/>
      </c>
      <c r="H601" s="122">
        <f>IF($D601="",0,IFERROR(LOOKUP(2,1/(($D$3:D600=$D601)*($A$3:A600&lt;$A601)),$N$3:N600),'Guide &amp; Settings'!$C$41))</f>
        <v>0</v>
      </c>
      <c r="I601" s="123">
        <f t="shared" si="155"/>
        <v>0</v>
      </c>
      <c r="J601" s="124">
        <f>IF($D601="",0,IF($F601&lt;2,0,IF($E601="Win",('Guide &amp; Settings'!$C$42/(($F601-1)*COUNTIFS($A$4:$A$810,$A601,$E$4:$E$810,"Win")))*SUMIFS($X$4:$X$810,$A$4:$A$810,$A601,$E$4:$E$810,"Loss"),-('Guide &amp; Settings'!$C$42/($F601-1))*$X601)))</f>
        <v>0</v>
      </c>
      <c r="K601" s="124">
        <f>IF($D601="",0,'Guide &amp; Settings'!$C$43*(IF($E601="Win",1,0)-$I601))</f>
        <v>0</v>
      </c>
      <c r="L601" s="125">
        <f>IF($D601="",0,'Guide &amp; Settings'!$C$44*IF($F601&gt;=3,$F601,0))</f>
        <v>0</v>
      </c>
      <c r="M601" s="124">
        <f t="shared" si="156"/>
        <v>0</v>
      </c>
      <c r="N601" s="122">
        <f t="shared" si="157"/>
        <v>0</v>
      </c>
      <c r="O601" s="121" t="str">
        <f t="shared" si="158"/>
        <v/>
      </c>
      <c r="P601">
        <f t="shared" si="159"/>
        <v>0</v>
      </c>
      <c r="Q601">
        <f t="shared" si="160"/>
        <v>0</v>
      </c>
      <c r="R601">
        <f t="shared" si="161"/>
        <v>0</v>
      </c>
      <c r="S601">
        <f t="shared" si="162"/>
        <v>0</v>
      </c>
      <c r="T601" s="89">
        <f t="shared" si="163"/>
        <v>0</v>
      </c>
      <c r="U601" s="126">
        <f>IF($D601="",0,IFERROR(LOOKUP(2,1/(($D$3:D600=$D601)*($C$3:C600=$C601)*($A$3:A600&lt;$A601)),$AB$3:AB600),1000))</f>
        <v>0</v>
      </c>
      <c r="V601" s="126">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6">
        <f t="shared" si="169"/>
        <v>0</v>
      </c>
      <c r="AC601" s="126"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7"/>
      <c r="B602" s="118"/>
      <c r="C602" s="119"/>
      <c r="D602" s="119"/>
      <c r="E602" s="117"/>
      <c r="F602" s="120">
        <f t="shared" si="153"/>
        <v>0</v>
      </c>
      <c r="G602" s="121" t="str">
        <f t="shared" si="154"/>
        <v/>
      </c>
      <c r="H602" s="122">
        <f>IF($D602="",0,IFERROR(LOOKUP(2,1/(($D$3:D601=$D602)*($A$3:A601&lt;$A602)),$N$3:N601),'Guide &amp; Settings'!$C$41))</f>
        <v>0</v>
      </c>
      <c r="I602" s="123">
        <f t="shared" si="155"/>
        <v>0</v>
      </c>
      <c r="J602" s="124">
        <f>IF($D602="",0,IF($F602&lt;2,0,IF($E602="Win",('Guide &amp; Settings'!$C$42/(($F602-1)*COUNTIFS($A$4:$A$810,$A602,$E$4:$E$810,"Win")))*SUMIFS($X$4:$X$810,$A$4:$A$810,$A602,$E$4:$E$810,"Loss"),-('Guide &amp; Settings'!$C$42/($F602-1))*$X602)))</f>
        <v>0</v>
      </c>
      <c r="K602" s="124">
        <f>IF($D602="",0,'Guide &amp; Settings'!$C$43*(IF($E602="Win",1,0)-$I602))</f>
        <v>0</v>
      </c>
      <c r="L602" s="125">
        <f>IF($D602="",0,'Guide &amp; Settings'!$C$44*IF($F602&gt;=3,$F602,0))</f>
        <v>0</v>
      </c>
      <c r="M602" s="124">
        <f t="shared" si="156"/>
        <v>0</v>
      </c>
      <c r="N602" s="122">
        <f t="shared" si="157"/>
        <v>0</v>
      </c>
      <c r="O602" s="121" t="str">
        <f t="shared" si="158"/>
        <v/>
      </c>
      <c r="P602">
        <f t="shared" si="159"/>
        <v>0</v>
      </c>
      <c r="Q602">
        <f t="shared" si="160"/>
        <v>0</v>
      </c>
      <c r="R602">
        <f t="shared" si="161"/>
        <v>0</v>
      </c>
      <c r="S602">
        <f t="shared" si="162"/>
        <v>0</v>
      </c>
      <c r="T602" s="89">
        <f t="shared" si="163"/>
        <v>0</v>
      </c>
      <c r="U602" s="126">
        <f>IF($D602="",0,IFERROR(LOOKUP(2,1/(($D$3:D601=$D602)*($C$3:C601=$C602)*($A$3:A601&lt;$A602)),$AB$3:AB601),1000))</f>
        <v>0</v>
      </c>
      <c r="V602" s="126">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6">
        <f t="shared" si="169"/>
        <v>0</v>
      </c>
      <c r="AC602" s="126"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7"/>
      <c r="B603" s="118"/>
      <c r="C603" s="119"/>
      <c r="D603" s="119"/>
      <c r="E603" s="117"/>
      <c r="F603" s="120">
        <f t="shared" si="153"/>
        <v>0</v>
      </c>
      <c r="G603" s="121" t="str">
        <f t="shared" si="154"/>
        <v/>
      </c>
      <c r="H603" s="122">
        <f>IF($D603="",0,IFERROR(LOOKUP(2,1/(($D$3:D602=$D603)*($A$3:A602&lt;$A603)),$N$3:N602),'Guide &amp; Settings'!$C$41))</f>
        <v>0</v>
      </c>
      <c r="I603" s="123">
        <f t="shared" si="155"/>
        <v>0</v>
      </c>
      <c r="J603" s="124">
        <f>IF($D603="",0,IF($F603&lt;2,0,IF($E603="Win",('Guide &amp; Settings'!$C$42/(($F603-1)*COUNTIFS($A$4:$A$810,$A603,$E$4:$E$810,"Win")))*SUMIFS($X$4:$X$810,$A$4:$A$810,$A603,$E$4:$E$810,"Loss"),-('Guide &amp; Settings'!$C$42/($F603-1))*$X603)))</f>
        <v>0</v>
      </c>
      <c r="K603" s="124">
        <f>IF($D603="",0,'Guide &amp; Settings'!$C$43*(IF($E603="Win",1,0)-$I603))</f>
        <v>0</v>
      </c>
      <c r="L603" s="125">
        <f>IF($D603="",0,'Guide &amp; Settings'!$C$44*IF($F603&gt;=3,$F603,0))</f>
        <v>0</v>
      </c>
      <c r="M603" s="124">
        <f t="shared" si="156"/>
        <v>0</v>
      </c>
      <c r="N603" s="122">
        <f t="shared" si="157"/>
        <v>0</v>
      </c>
      <c r="O603" s="121" t="str">
        <f t="shared" si="158"/>
        <v/>
      </c>
      <c r="P603">
        <f t="shared" si="159"/>
        <v>0</v>
      </c>
      <c r="Q603">
        <f t="shared" si="160"/>
        <v>0</v>
      </c>
      <c r="R603">
        <f t="shared" si="161"/>
        <v>0</v>
      </c>
      <c r="S603">
        <f t="shared" si="162"/>
        <v>0</v>
      </c>
      <c r="T603" s="89">
        <f t="shared" si="163"/>
        <v>0</v>
      </c>
      <c r="U603" s="126">
        <f>IF($D603="",0,IFERROR(LOOKUP(2,1/(($D$3:D602=$D603)*($C$3:C602=$C603)*($A$3:A602&lt;$A603)),$AB$3:AB602),1000))</f>
        <v>0</v>
      </c>
      <c r="V603" s="126">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6">
        <f t="shared" si="169"/>
        <v>0</v>
      </c>
      <c r="AC603" s="126"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7"/>
      <c r="B604" s="118"/>
      <c r="C604" s="119"/>
      <c r="D604" s="119"/>
      <c r="E604" s="117"/>
      <c r="F604" s="120">
        <f t="shared" si="153"/>
        <v>0</v>
      </c>
      <c r="G604" s="121" t="str">
        <f t="shared" si="154"/>
        <v/>
      </c>
      <c r="H604" s="122">
        <f>IF($D604="",0,IFERROR(LOOKUP(2,1/(($D$3:D603=$D604)*($A$3:A603&lt;$A604)),$N$3:N603),'Guide &amp; Settings'!$C$41))</f>
        <v>0</v>
      </c>
      <c r="I604" s="123">
        <f t="shared" si="155"/>
        <v>0</v>
      </c>
      <c r="J604" s="124">
        <f>IF($D604="",0,IF($F604&lt;2,0,IF($E604="Win",('Guide &amp; Settings'!$C$42/(($F604-1)*COUNTIFS($A$4:$A$810,$A604,$E$4:$E$810,"Win")))*SUMIFS($X$4:$X$810,$A$4:$A$810,$A604,$E$4:$E$810,"Loss"),-('Guide &amp; Settings'!$C$42/($F604-1))*$X604)))</f>
        <v>0</v>
      </c>
      <c r="K604" s="124">
        <f>IF($D604="",0,'Guide &amp; Settings'!$C$43*(IF($E604="Win",1,0)-$I604))</f>
        <v>0</v>
      </c>
      <c r="L604" s="125">
        <f>IF($D604="",0,'Guide &amp; Settings'!$C$44*IF($F604&gt;=3,$F604,0))</f>
        <v>0</v>
      </c>
      <c r="M604" s="124">
        <f t="shared" si="156"/>
        <v>0</v>
      </c>
      <c r="N604" s="122">
        <f t="shared" si="157"/>
        <v>0</v>
      </c>
      <c r="O604" s="121" t="str">
        <f t="shared" si="158"/>
        <v/>
      </c>
      <c r="P604">
        <f t="shared" si="159"/>
        <v>0</v>
      </c>
      <c r="Q604">
        <f t="shared" si="160"/>
        <v>0</v>
      </c>
      <c r="R604">
        <f t="shared" si="161"/>
        <v>0</v>
      </c>
      <c r="S604">
        <f t="shared" si="162"/>
        <v>0</v>
      </c>
      <c r="T604" s="89">
        <f t="shared" si="163"/>
        <v>0</v>
      </c>
      <c r="U604" s="126">
        <f>IF($D604="",0,IFERROR(LOOKUP(2,1/(($D$3:D603=$D604)*($C$3:C603=$C604)*($A$3:A603&lt;$A604)),$AB$3:AB603),1000))</f>
        <v>0</v>
      </c>
      <c r="V604" s="126">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6">
        <f t="shared" si="169"/>
        <v>0</v>
      </c>
      <c r="AC604" s="126"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7"/>
      <c r="B605" s="118"/>
      <c r="C605" s="119"/>
      <c r="D605" s="119"/>
      <c r="E605" s="117"/>
      <c r="F605" s="120">
        <f t="shared" si="153"/>
        <v>0</v>
      </c>
      <c r="G605" s="121" t="str">
        <f t="shared" si="154"/>
        <v/>
      </c>
      <c r="H605" s="122">
        <f>IF($D605="",0,IFERROR(LOOKUP(2,1/(($D$3:D604=$D605)*($A$3:A604&lt;$A605)),$N$3:N604),'Guide &amp; Settings'!$C$41))</f>
        <v>0</v>
      </c>
      <c r="I605" s="123">
        <f t="shared" si="155"/>
        <v>0</v>
      </c>
      <c r="J605" s="124">
        <f>IF($D605="",0,IF($F605&lt;2,0,IF($E605="Win",('Guide &amp; Settings'!$C$42/(($F605-1)*COUNTIFS($A$4:$A$810,$A605,$E$4:$E$810,"Win")))*SUMIFS($X$4:$X$810,$A$4:$A$810,$A605,$E$4:$E$810,"Loss"),-('Guide &amp; Settings'!$C$42/($F605-1))*$X605)))</f>
        <v>0</v>
      </c>
      <c r="K605" s="124">
        <f>IF($D605="",0,'Guide &amp; Settings'!$C$43*(IF($E605="Win",1,0)-$I605))</f>
        <v>0</v>
      </c>
      <c r="L605" s="125">
        <f>IF($D605="",0,'Guide &amp; Settings'!$C$44*IF($F605&gt;=3,$F605,0))</f>
        <v>0</v>
      </c>
      <c r="M605" s="124">
        <f t="shared" si="156"/>
        <v>0</v>
      </c>
      <c r="N605" s="122">
        <f t="shared" si="157"/>
        <v>0</v>
      </c>
      <c r="O605" s="121" t="str">
        <f t="shared" si="158"/>
        <v/>
      </c>
      <c r="P605">
        <f t="shared" si="159"/>
        <v>0</v>
      </c>
      <c r="Q605">
        <f t="shared" si="160"/>
        <v>0</v>
      </c>
      <c r="R605">
        <f t="shared" si="161"/>
        <v>0</v>
      </c>
      <c r="S605">
        <f t="shared" si="162"/>
        <v>0</v>
      </c>
      <c r="T605" s="89">
        <f t="shared" si="163"/>
        <v>0</v>
      </c>
      <c r="U605" s="126">
        <f>IF($D605="",0,IFERROR(LOOKUP(2,1/(($D$3:D604=$D605)*($C$3:C604=$C605)*($A$3:A604&lt;$A605)),$AB$3:AB604),1000))</f>
        <v>0</v>
      </c>
      <c r="V605" s="126">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6">
        <f t="shared" si="169"/>
        <v>0</v>
      </c>
      <c r="AC605" s="126"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7"/>
      <c r="B606" s="118"/>
      <c r="C606" s="119"/>
      <c r="D606" s="119"/>
      <c r="E606" s="117"/>
      <c r="F606" s="120">
        <f t="shared" si="153"/>
        <v>0</v>
      </c>
      <c r="G606" s="121" t="str">
        <f t="shared" si="154"/>
        <v/>
      </c>
      <c r="H606" s="122">
        <f>IF($D606="",0,IFERROR(LOOKUP(2,1/(($D$3:D605=$D606)*($A$3:A605&lt;$A606)),$N$3:N605),'Guide &amp; Settings'!$C$41))</f>
        <v>0</v>
      </c>
      <c r="I606" s="123">
        <f t="shared" si="155"/>
        <v>0</v>
      </c>
      <c r="J606" s="124">
        <f>IF($D606="",0,IF($F606&lt;2,0,IF($E606="Win",('Guide &amp; Settings'!$C$42/(($F606-1)*COUNTIFS($A$4:$A$810,$A606,$E$4:$E$810,"Win")))*SUMIFS($X$4:$X$810,$A$4:$A$810,$A606,$E$4:$E$810,"Loss"),-('Guide &amp; Settings'!$C$42/($F606-1))*$X606)))</f>
        <v>0</v>
      </c>
      <c r="K606" s="124">
        <f>IF($D606="",0,'Guide &amp; Settings'!$C$43*(IF($E606="Win",1,0)-$I606))</f>
        <v>0</v>
      </c>
      <c r="L606" s="125">
        <f>IF($D606="",0,'Guide &amp; Settings'!$C$44*IF($F606&gt;=3,$F606,0))</f>
        <v>0</v>
      </c>
      <c r="M606" s="124">
        <f t="shared" si="156"/>
        <v>0</v>
      </c>
      <c r="N606" s="122">
        <f t="shared" si="157"/>
        <v>0</v>
      </c>
      <c r="O606" s="121" t="str">
        <f t="shared" si="158"/>
        <v/>
      </c>
      <c r="P606">
        <f t="shared" si="159"/>
        <v>0</v>
      </c>
      <c r="Q606">
        <f t="shared" si="160"/>
        <v>0</v>
      </c>
      <c r="R606">
        <f t="shared" si="161"/>
        <v>0</v>
      </c>
      <c r="S606">
        <f t="shared" si="162"/>
        <v>0</v>
      </c>
      <c r="T606" s="89">
        <f t="shared" si="163"/>
        <v>0</v>
      </c>
      <c r="U606" s="126">
        <f>IF($D606="",0,IFERROR(LOOKUP(2,1/(($D$3:D605=$D606)*($C$3:C605=$C606)*($A$3:A605&lt;$A606)),$AB$3:AB605),1000))</f>
        <v>0</v>
      </c>
      <c r="V606" s="126">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6">
        <f t="shared" si="169"/>
        <v>0</v>
      </c>
      <c r="AC606" s="126"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7"/>
      <c r="B607" s="118"/>
      <c r="C607" s="119"/>
      <c r="D607" s="119"/>
      <c r="E607" s="117"/>
      <c r="F607" s="120">
        <f t="shared" si="153"/>
        <v>0</v>
      </c>
      <c r="G607" s="121" t="str">
        <f t="shared" si="154"/>
        <v/>
      </c>
      <c r="H607" s="122">
        <f>IF($D607="",0,IFERROR(LOOKUP(2,1/(($D$3:D606=$D607)*($A$3:A606&lt;$A607)),$N$3:N606),'Guide &amp; Settings'!$C$41))</f>
        <v>0</v>
      </c>
      <c r="I607" s="123">
        <f t="shared" si="155"/>
        <v>0</v>
      </c>
      <c r="J607" s="124">
        <f>IF($D607="",0,IF($F607&lt;2,0,IF($E607="Win",('Guide &amp; Settings'!$C$42/(($F607-1)*COUNTIFS($A$4:$A$810,$A607,$E$4:$E$810,"Win")))*SUMIFS($X$4:$X$810,$A$4:$A$810,$A607,$E$4:$E$810,"Loss"),-('Guide &amp; Settings'!$C$42/($F607-1))*$X607)))</f>
        <v>0</v>
      </c>
      <c r="K607" s="124">
        <f>IF($D607="",0,'Guide &amp; Settings'!$C$43*(IF($E607="Win",1,0)-$I607))</f>
        <v>0</v>
      </c>
      <c r="L607" s="125">
        <f>IF($D607="",0,'Guide &amp; Settings'!$C$44*IF($F607&gt;=3,$F607,0))</f>
        <v>0</v>
      </c>
      <c r="M607" s="124">
        <f t="shared" si="156"/>
        <v>0</v>
      </c>
      <c r="N607" s="122">
        <f t="shared" si="157"/>
        <v>0</v>
      </c>
      <c r="O607" s="121" t="str">
        <f t="shared" si="158"/>
        <v/>
      </c>
      <c r="P607">
        <f t="shared" si="159"/>
        <v>0</v>
      </c>
      <c r="Q607">
        <f t="shared" si="160"/>
        <v>0</v>
      </c>
      <c r="R607">
        <f t="shared" si="161"/>
        <v>0</v>
      </c>
      <c r="S607">
        <f t="shared" si="162"/>
        <v>0</v>
      </c>
      <c r="T607" s="89">
        <f t="shared" si="163"/>
        <v>0</v>
      </c>
      <c r="U607" s="126">
        <f>IF($D607="",0,IFERROR(LOOKUP(2,1/(($D$3:D606=$D607)*($C$3:C606=$C607)*($A$3:A606&lt;$A607)),$AB$3:AB606),1000))</f>
        <v>0</v>
      </c>
      <c r="V607" s="126">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6">
        <f t="shared" si="169"/>
        <v>0</v>
      </c>
      <c r="AC607" s="126"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7"/>
      <c r="B608" s="118"/>
      <c r="C608" s="119"/>
      <c r="D608" s="119"/>
      <c r="E608" s="117"/>
      <c r="F608" s="120">
        <f t="shared" si="153"/>
        <v>0</v>
      </c>
      <c r="G608" s="121" t="str">
        <f t="shared" si="154"/>
        <v/>
      </c>
      <c r="H608" s="122">
        <f>IF($D608="",0,IFERROR(LOOKUP(2,1/(($D$3:D607=$D608)*($A$3:A607&lt;$A608)),$N$3:N607),'Guide &amp; Settings'!$C$41))</f>
        <v>0</v>
      </c>
      <c r="I608" s="123">
        <f t="shared" si="155"/>
        <v>0</v>
      </c>
      <c r="J608" s="124">
        <f>IF($D608="",0,IF($F608&lt;2,0,IF($E608="Win",('Guide &amp; Settings'!$C$42/(($F608-1)*COUNTIFS($A$4:$A$810,$A608,$E$4:$E$810,"Win")))*SUMIFS($X$4:$X$810,$A$4:$A$810,$A608,$E$4:$E$810,"Loss"),-('Guide &amp; Settings'!$C$42/($F608-1))*$X608)))</f>
        <v>0</v>
      </c>
      <c r="K608" s="124">
        <f>IF($D608="",0,'Guide &amp; Settings'!$C$43*(IF($E608="Win",1,0)-$I608))</f>
        <v>0</v>
      </c>
      <c r="L608" s="125">
        <f>IF($D608="",0,'Guide &amp; Settings'!$C$44*IF($F608&gt;=3,$F608,0))</f>
        <v>0</v>
      </c>
      <c r="M608" s="124">
        <f t="shared" si="156"/>
        <v>0</v>
      </c>
      <c r="N608" s="122">
        <f t="shared" si="157"/>
        <v>0</v>
      </c>
      <c r="O608" s="121" t="str">
        <f t="shared" si="158"/>
        <v/>
      </c>
      <c r="P608">
        <f t="shared" si="159"/>
        <v>0</v>
      </c>
      <c r="Q608">
        <f t="shared" si="160"/>
        <v>0</v>
      </c>
      <c r="R608">
        <f t="shared" si="161"/>
        <v>0</v>
      </c>
      <c r="S608">
        <f t="shared" si="162"/>
        <v>0</v>
      </c>
      <c r="T608" s="89">
        <f t="shared" si="163"/>
        <v>0</v>
      </c>
      <c r="U608" s="126">
        <f>IF($D608="",0,IFERROR(LOOKUP(2,1/(($D$3:D607=$D608)*($C$3:C607=$C608)*($A$3:A607&lt;$A608)),$AB$3:AB607),1000))</f>
        <v>0</v>
      </c>
      <c r="V608" s="126">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6">
        <f t="shared" si="169"/>
        <v>0</v>
      </c>
      <c r="AC608" s="126"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7"/>
      <c r="B609" s="118"/>
      <c r="C609" s="119"/>
      <c r="D609" s="119"/>
      <c r="E609" s="117"/>
      <c r="F609" s="120">
        <f t="shared" si="153"/>
        <v>0</v>
      </c>
      <c r="G609" s="121" t="str">
        <f t="shared" si="154"/>
        <v/>
      </c>
      <c r="H609" s="122">
        <f>IF($D609="",0,IFERROR(LOOKUP(2,1/(($D$3:D608=$D609)*($A$3:A608&lt;$A609)),$N$3:N608),'Guide &amp; Settings'!$C$41))</f>
        <v>0</v>
      </c>
      <c r="I609" s="123">
        <f t="shared" si="155"/>
        <v>0</v>
      </c>
      <c r="J609" s="124">
        <f>IF($D609="",0,IF($F609&lt;2,0,IF($E609="Win",('Guide &amp; Settings'!$C$42/(($F609-1)*COUNTIFS($A$4:$A$810,$A609,$E$4:$E$810,"Win")))*SUMIFS($X$4:$X$810,$A$4:$A$810,$A609,$E$4:$E$810,"Loss"),-('Guide &amp; Settings'!$C$42/($F609-1))*$X609)))</f>
        <v>0</v>
      </c>
      <c r="K609" s="124">
        <f>IF($D609="",0,'Guide &amp; Settings'!$C$43*(IF($E609="Win",1,0)-$I609))</f>
        <v>0</v>
      </c>
      <c r="L609" s="125">
        <f>IF($D609="",0,'Guide &amp; Settings'!$C$44*IF($F609&gt;=3,$F609,0))</f>
        <v>0</v>
      </c>
      <c r="M609" s="124">
        <f t="shared" si="156"/>
        <v>0</v>
      </c>
      <c r="N609" s="122">
        <f t="shared" si="157"/>
        <v>0</v>
      </c>
      <c r="O609" s="121" t="str">
        <f t="shared" si="158"/>
        <v/>
      </c>
      <c r="P609">
        <f t="shared" si="159"/>
        <v>0</v>
      </c>
      <c r="Q609">
        <f t="shared" si="160"/>
        <v>0</v>
      </c>
      <c r="R609">
        <f t="shared" si="161"/>
        <v>0</v>
      </c>
      <c r="S609">
        <f t="shared" si="162"/>
        <v>0</v>
      </c>
      <c r="T609" s="89">
        <f t="shared" si="163"/>
        <v>0</v>
      </c>
      <c r="U609" s="126">
        <f>IF($D609="",0,IFERROR(LOOKUP(2,1/(($D$3:D608=$D609)*($C$3:C608=$C609)*($A$3:A608&lt;$A609)),$AB$3:AB608),1000))</f>
        <v>0</v>
      </c>
      <c r="V609" s="126">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6">
        <f t="shared" si="169"/>
        <v>0</v>
      </c>
      <c r="AC609" s="126"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7"/>
      <c r="B610" s="118"/>
      <c r="C610" s="119"/>
      <c r="D610" s="119"/>
      <c r="E610" s="117"/>
      <c r="F610" s="120">
        <f t="shared" si="153"/>
        <v>0</v>
      </c>
      <c r="G610" s="121" t="str">
        <f t="shared" si="154"/>
        <v/>
      </c>
      <c r="H610" s="122">
        <f>IF($D610="",0,IFERROR(LOOKUP(2,1/(($D$3:D609=$D610)*($A$3:A609&lt;$A610)),$N$3:N609),'Guide &amp; Settings'!$C$41))</f>
        <v>0</v>
      </c>
      <c r="I610" s="123">
        <f t="shared" si="155"/>
        <v>0</v>
      </c>
      <c r="J610" s="124">
        <f>IF($D610="",0,IF($F610&lt;2,0,IF($E610="Win",('Guide &amp; Settings'!$C$42/(($F610-1)*COUNTIFS($A$4:$A$810,$A610,$E$4:$E$810,"Win")))*SUMIFS($X$4:$X$810,$A$4:$A$810,$A610,$E$4:$E$810,"Loss"),-('Guide &amp; Settings'!$C$42/($F610-1))*$X610)))</f>
        <v>0</v>
      </c>
      <c r="K610" s="124">
        <f>IF($D610="",0,'Guide &amp; Settings'!$C$43*(IF($E610="Win",1,0)-$I610))</f>
        <v>0</v>
      </c>
      <c r="L610" s="125">
        <f>IF($D610="",0,'Guide &amp; Settings'!$C$44*IF($F610&gt;=3,$F610,0))</f>
        <v>0</v>
      </c>
      <c r="M610" s="124">
        <f t="shared" si="156"/>
        <v>0</v>
      </c>
      <c r="N610" s="122">
        <f t="shared" si="157"/>
        <v>0</v>
      </c>
      <c r="O610" s="121" t="str">
        <f t="shared" si="158"/>
        <v/>
      </c>
      <c r="P610">
        <f t="shared" si="159"/>
        <v>0</v>
      </c>
      <c r="Q610">
        <f t="shared" si="160"/>
        <v>0</v>
      </c>
      <c r="R610">
        <f t="shared" si="161"/>
        <v>0</v>
      </c>
      <c r="S610">
        <f t="shared" si="162"/>
        <v>0</v>
      </c>
      <c r="T610" s="89">
        <f t="shared" si="163"/>
        <v>0</v>
      </c>
      <c r="U610" s="126">
        <f>IF($D610="",0,IFERROR(LOOKUP(2,1/(($D$3:D609=$D610)*($C$3:C609=$C610)*($A$3:A609&lt;$A610)),$AB$3:AB609),1000))</f>
        <v>0</v>
      </c>
      <c r="V610" s="126">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6">
        <f t="shared" si="169"/>
        <v>0</v>
      </c>
      <c r="AC610" s="126"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7"/>
      <c r="B611" s="118"/>
      <c r="C611" s="119"/>
      <c r="D611" s="119"/>
      <c r="E611" s="117"/>
      <c r="F611" s="120">
        <f t="shared" si="153"/>
        <v>0</v>
      </c>
      <c r="G611" s="121" t="str">
        <f t="shared" si="154"/>
        <v/>
      </c>
      <c r="H611" s="122">
        <f>IF($D611="",0,IFERROR(LOOKUP(2,1/(($D$3:D610=$D611)*($A$3:A610&lt;$A611)),$N$3:N610),'Guide &amp; Settings'!$C$41))</f>
        <v>0</v>
      </c>
      <c r="I611" s="123">
        <f t="shared" si="155"/>
        <v>0</v>
      </c>
      <c r="J611" s="124">
        <f>IF($D611="",0,IF($F611&lt;2,0,IF($E611="Win",('Guide &amp; Settings'!$C$42/(($F611-1)*COUNTIFS($A$4:$A$810,$A611,$E$4:$E$810,"Win")))*SUMIFS($X$4:$X$810,$A$4:$A$810,$A611,$E$4:$E$810,"Loss"),-('Guide &amp; Settings'!$C$42/($F611-1))*$X611)))</f>
        <v>0</v>
      </c>
      <c r="K611" s="124">
        <f>IF($D611="",0,'Guide &amp; Settings'!$C$43*(IF($E611="Win",1,0)-$I611))</f>
        <v>0</v>
      </c>
      <c r="L611" s="125">
        <f>IF($D611="",0,'Guide &amp; Settings'!$C$44*IF($F611&gt;=3,$F611,0))</f>
        <v>0</v>
      </c>
      <c r="M611" s="124">
        <f t="shared" si="156"/>
        <v>0</v>
      </c>
      <c r="N611" s="122">
        <f t="shared" si="157"/>
        <v>0</v>
      </c>
      <c r="O611" s="121" t="str">
        <f t="shared" si="158"/>
        <v/>
      </c>
      <c r="P611">
        <f t="shared" si="159"/>
        <v>0</v>
      </c>
      <c r="Q611">
        <f t="shared" si="160"/>
        <v>0</v>
      </c>
      <c r="R611">
        <f t="shared" si="161"/>
        <v>0</v>
      </c>
      <c r="S611">
        <f t="shared" si="162"/>
        <v>0</v>
      </c>
      <c r="T611" s="89">
        <f t="shared" si="163"/>
        <v>0</v>
      </c>
      <c r="U611" s="126">
        <f>IF($D611="",0,IFERROR(LOOKUP(2,1/(($D$3:D610=$D611)*($C$3:C610=$C611)*($A$3:A610&lt;$A611)),$AB$3:AB610),1000))</f>
        <v>0</v>
      </c>
      <c r="V611" s="126">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6">
        <f t="shared" si="169"/>
        <v>0</v>
      </c>
      <c r="AC611" s="126"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7"/>
      <c r="B612" s="118"/>
      <c r="C612" s="119"/>
      <c r="D612" s="119"/>
      <c r="E612" s="117"/>
      <c r="F612" s="120">
        <f t="shared" si="153"/>
        <v>0</v>
      </c>
      <c r="G612" s="121" t="str">
        <f t="shared" si="154"/>
        <v/>
      </c>
      <c r="H612" s="122">
        <f>IF($D612="",0,IFERROR(LOOKUP(2,1/(($D$3:D611=$D612)*($A$3:A611&lt;$A612)),$N$3:N611),'Guide &amp; Settings'!$C$41))</f>
        <v>0</v>
      </c>
      <c r="I612" s="123">
        <f t="shared" si="155"/>
        <v>0</v>
      </c>
      <c r="J612" s="124">
        <f>IF($D612="",0,IF($F612&lt;2,0,IF($E612="Win",('Guide &amp; Settings'!$C$42/(($F612-1)*COUNTIFS($A$4:$A$810,$A612,$E$4:$E$810,"Win")))*SUMIFS($X$4:$X$810,$A$4:$A$810,$A612,$E$4:$E$810,"Loss"),-('Guide &amp; Settings'!$C$42/($F612-1))*$X612)))</f>
        <v>0</v>
      </c>
      <c r="K612" s="124">
        <f>IF($D612="",0,'Guide &amp; Settings'!$C$43*(IF($E612="Win",1,0)-$I612))</f>
        <v>0</v>
      </c>
      <c r="L612" s="125">
        <f>IF($D612="",0,'Guide &amp; Settings'!$C$44*IF($F612&gt;=3,$F612,0))</f>
        <v>0</v>
      </c>
      <c r="M612" s="124">
        <f t="shared" si="156"/>
        <v>0</v>
      </c>
      <c r="N612" s="122">
        <f t="shared" si="157"/>
        <v>0</v>
      </c>
      <c r="O612" s="121" t="str">
        <f t="shared" si="158"/>
        <v/>
      </c>
      <c r="P612">
        <f t="shared" si="159"/>
        <v>0</v>
      </c>
      <c r="Q612">
        <f t="shared" si="160"/>
        <v>0</v>
      </c>
      <c r="R612">
        <f t="shared" si="161"/>
        <v>0</v>
      </c>
      <c r="S612">
        <f t="shared" si="162"/>
        <v>0</v>
      </c>
      <c r="T612" s="89">
        <f t="shared" si="163"/>
        <v>0</v>
      </c>
      <c r="U612" s="126">
        <f>IF($D612="",0,IFERROR(LOOKUP(2,1/(($D$3:D611=$D612)*($C$3:C611=$C612)*($A$3:A611&lt;$A612)),$AB$3:AB611),1000))</f>
        <v>0</v>
      </c>
      <c r="V612" s="126">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6">
        <f t="shared" si="169"/>
        <v>0</v>
      </c>
      <c r="AC612" s="126"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7"/>
      <c r="B613" s="118"/>
      <c r="C613" s="119"/>
      <c r="D613" s="119"/>
      <c r="E613" s="117"/>
      <c r="F613" s="120">
        <f t="shared" si="153"/>
        <v>0</v>
      </c>
      <c r="G613" s="121" t="str">
        <f t="shared" si="154"/>
        <v/>
      </c>
      <c r="H613" s="122">
        <f>IF($D613="",0,IFERROR(LOOKUP(2,1/(($D$3:D612=$D613)*($A$3:A612&lt;$A613)),$N$3:N612),'Guide &amp; Settings'!$C$41))</f>
        <v>0</v>
      </c>
      <c r="I613" s="123">
        <f t="shared" si="155"/>
        <v>0</v>
      </c>
      <c r="J613" s="124">
        <f>IF($D613="",0,IF($F613&lt;2,0,IF($E613="Win",('Guide &amp; Settings'!$C$42/(($F613-1)*COUNTIFS($A$4:$A$810,$A613,$E$4:$E$810,"Win")))*SUMIFS($X$4:$X$810,$A$4:$A$810,$A613,$E$4:$E$810,"Loss"),-('Guide &amp; Settings'!$C$42/($F613-1))*$X613)))</f>
        <v>0</v>
      </c>
      <c r="K613" s="124">
        <f>IF($D613="",0,'Guide &amp; Settings'!$C$43*(IF($E613="Win",1,0)-$I613))</f>
        <v>0</v>
      </c>
      <c r="L613" s="125">
        <f>IF($D613="",0,'Guide &amp; Settings'!$C$44*IF($F613&gt;=3,$F613,0))</f>
        <v>0</v>
      </c>
      <c r="M613" s="124">
        <f t="shared" si="156"/>
        <v>0</v>
      </c>
      <c r="N613" s="122">
        <f t="shared" si="157"/>
        <v>0</v>
      </c>
      <c r="O613" s="121" t="str">
        <f t="shared" si="158"/>
        <v/>
      </c>
      <c r="P613">
        <f t="shared" si="159"/>
        <v>0</v>
      </c>
      <c r="Q613">
        <f t="shared" si="160"/>
        <v>0</v>
      </c>
      <c r="R613">
        <f t="shared" si="161"/>
        <v>0</v>
      </c>
      <c r="S613">
        <f t="shared" si="162"/>
        <v>0</v>
      </c>
      <c r="T613" s="89">
        <f t="shared" si="163"/>
        <v>0</v>
      </c>
      <c r="U613" s="126">
        <f>IF($D613="",0,IFERROR(LOOKUP(2,1/(($D$3:D612=$D613)*($C$3:C612=$C613)*($A$3:A612&lt;$A613)),$AB$3:AB612),1000))</f>
        <v>0</v>
      </c>
      <c r="V613" s="126">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6">
        <f t="shared" si="169"/>
        <v>0</v>
      </c>
      <c r="AC613" s="126"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7"/>
      <c r="B614" s="118"/>
      <c r="C614" s="119"/>
      <c r="D614" s="119"/>
      <c r="E614" s="117"/>
      <c r="F614" s="120">
        <f t="shared" si="153"/>
        <v>0</v>
      </c>
      <c r="G614" s="121" t="str">
        <f t="shared" si="154"/>
        <v/>
      </c>
      <c r="H614" s="122">
        <f>IF($D614="",0,IFERROR(LOOKUP(2,1/(($D$3:D613=$D614)*($A$3:A613&lt;$A614)),$N$3:N613),'Guide &amp; Settings'!$C$41))</f>
        <v>0</v>
      </c>
      <c r="I614" s="123">
        <f t="shared" si="155"/>
        <v>0</v>
      </c>
      <c r="J614" s="124">
        <f>IF($D614="",0,IF($F614&lt;2,0,IF($E614="Win",('Guide &amp; Settings'!$C$42/(($F614-1)*COUNTIFS($A$4:$A$810,$A614,$E$4:$E$810,"Win")))*SUMIFS($X$4:$X$810,$A$4:$A$810,$A614,$E$4:$E$810,"Loss"),-('Guide &amp; Settings'!$C$42/($F614-1))*$X614)))</f>
        <v>0</v>
      </c>
      <c r="K614" s="124">
        <f>IF($D614="",0,'Guide &amp; Settings'!$C$43*(IF($E614="Win",1,0)-$I614))</f>
        <v>0</v>
      </c>
      <c r="L614" s="125">
        <f>IF($D614="",0,'Guide &amp; Settings'!$C$44*IF($F614&gt;=3,$F614,0))</f>
        <v>0</v>
      </c>
      <c r="M614" s="124">
        <f t="shared" si="156"/>
        <v>0</v>
      </c>
      <c r="N614" s="122">
        <f t="shared" si="157"/>
        <v>0</v>
      </c>
      <c r="O614" s="121" t="str">
        <f t="shared" si="158"/>
        <v/>
      </c>
      <c r="P614">
        <f t="shared" si="159"/>
        <v>0</v>
      </c>
      <c r="Q614">
        <f t="shared" si="160"/>
        <v>0</v>
      </c>
      <c r="R614">
        <f t="shared" si="161"/>
        <v>0</v>
      </c>
      <c r="S614">
        <f t="shared" si="162"/>
        <v>0</v>
      </c>
      <c r="T614" s="89">
        <f t="shared" si="163"/>
        <v>0</v>
      </c>
      <c r="U614" s="126">
        <f>IF($D614="",0,IFERROR(LOOKUP(2,1/(($D$3:D613=$D614)*($C$3:C613=$C614)*($A$3:A613&lt;$A614)),$AB$3:AB613),1000))</f>
        <v>0</v>
      </c>
      <c r="V614" s="126">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6">
        <f t="shared" si="169"/>
        <v>0</v>
      </c>
      <c r="AC614" s="126"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7"/>
      <c r="B615" s="118"/>
      <c r="C615" s="119"/>
      <c r="D615" s="119"/>
      <c r="E615" s="117"/>
      <c r="F615" s="120">
        <f t="shared" si="153"/>
        <v>0</v>
      </c>
      <c r="G615" s="121" t="str">
        <f t="shared" si="154"/>
        <v/>
      </c>
      <c r="H615" s="122">
        <f>IF($D615="",0,IFERROR(LOOKUP(2,1/(($D$3:D614=$D615)*($A$3:A614&lt;$A615)),$N$3:N614),'Guide &amp; Settings'!$C$41))</f>
        <v>0</v>
      </c>
      <c r="I615" s="123">
        <f t="shared" si="155"/>
        <v>0</v>
      </c>
      <c r="J615" s="124">
        <f>IF($D615="",0,IF($F615&lt;2,0,IF($E615="Win",('Guide &amp; Settings'!$C$42/(($F615-1)*COUNTIFS($A$4:$A$810,$A615,$E$4:$E$810,"Win")))*SUMIFS($X$4:$X$810,$A$4:$A$810,$A615,$E$4:$E$810,"Loss"),-('Guide &amp; Settings'!$C$42/($F615-1))*$X615)))</f>
        <v>0</v>
      </c>
      <c r="K615" s="124">
        <f>IF($D615="",0,'Guide &amp; Settings'!$C$43*(IF($E615="Win",1,0)-$I615))</f>
        <v>0</v>
      </c>
      <c r="L615" s="125">
        <f>IF($D615="",0,'Guide &amp; Settings'!$C$44*IF($F615&gt;=3,$F615,0))</f>
        <v>0</v>
      </c>
      <c r="M615" s="124">
        <f t="shared" si="156"/>
        <v>0</v>
      </c>
      <c r="N615" s="122">
        <f t="shared" si="157"/>
        <v>0</v>
      </c>
      <c r="O615" s="121" t="str">
        <f t="shared" si="158"/>
        <v/>
      </c>
      <c r="P615">
        <f t="shared" si="159"/>
        <v>0</v>
      </c>
      <c r="Q615">
        <f t="shared" si="160"/>
        <v>0</v>
      </c>
      <c r="R615">
        <f t="shared" si="161"/>
        <v>0</v>
      </c>
      <c r="S615">
        <f t="shared" si="162"/>
        <v>0</v>
      </c>
      <c r="T615" s="89">
        <f t="shared" si="163"/>
        <v>0</v>
      </c>
      <c r="U615" s="126">
        <f>IF($D615="",0,IFERROR(LOOKUP(2,1/(($D$3:D614=$D615)*($C$3:C614=$C615)*($A$3:A614&lt;$A615)),$AB$3:AB614),1000))</f>
        <v>0</v>
      </c>
      <c r="V615" s="126">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6">
        <f t="shared" si="169"/>
        <v>0</v>
      </c>
      <c r="AC615" s="126"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7"/>
      <c r="B616" s="118"/>
      <c r="C616" s="119"/>
      <c r="D616" s="119"/>
      <c r="E616" s="117"/>
      <c r="F616" s="120">
        <f t="shared" si="153"/>
        <v>0</v>
      </c>
      <c r="G616" s="121" t="str">
        <f t="shared" si="154"/>
        <v/>
      </c>
      <c r="H616" s="122">
        <f>IF($D616="",0,IFERROR(LOOKUP(2,1/(($D$3:D615=$D616)*($A$3:A615&lt;$A616)),$N$3:N615),'Guide &amp; Settings'!$C$41))</f>
        <v>0</v>
      </c>
      <c r="I616" s="123">
        <f t="shared" si="155"/>
        <v>0</v>
      </c>
      <c r="J616" s="124">
        <f>IF($D616="",0,IF($F616&lt;2,0,IF($E616="Win",('Guide &amp; Settings'!$C$42/(($F616-1)*COUNTIFS($A$4:$A$810,$A616,$E$4:$E$810,"Win")))*SUMIFS($X$4:$X$810,$A$4:$A$810,$A616,$E$4:$E$810,"Loss"),-('Guide &amp; Settings'!$C$42/($F616-1))*$X616)))</f>
        <v>0</v>
      </c>
      <c r="K616" s="124">
        <f>IF($D616="",0,'Guide &amp; Settings'!$C$43*(IF($E616="Win",1,0)-$I616))</f>
        <v>0</v>
      </c>
      <c r="L616" s="125">
        <f>IF($D616="",0,'Guide &amp; Settings'!$C$44*IF($F616&gt;=3,$F616,0))</f>
        <v>0</v>
      </c>
      <c r="M616" s="124">
        <f t="shared" si="156"/>
        <v>0</v>
      </c>
      <c r="N616" s="122">
        <f t="shared" si="157"/>
        <v>0</v>
      </c>
      <c r="O616" s="121" t="str">
        <f t="shared" si="158"/>
        <v/>
      </c>
      <c r="P616">
        <f t="shared" si="159"/>
        <v>0</v>
      </c>
      <c r="Q616">
        <f t="shared" si="160"/>
        <v>0</v>
      </c>
      <c r="R616">
        <f t="shared" si="161"/>
        <v>0</v>
      </c>
      <c r="S616">
        <f t="shared" si="162"/>
        <v>0</v>
      </c>
      <c r="T616" s="89">
        <f t="shared" si="163"/>
        <v>0</v>
      </c>
      <c r="U616" s="126">
        <f>IF($D616="",0,IFERROR(LOOKUP(2,1/(($D$3:D615=$D616)*($C$3:C615=$C616)*($A$3:A615&lt;$A616)),$AB$3:AB615),1000))</f>
        <v>0</v>
      </c>
      <c r="V616" s="126">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6">
        <f t="shared" si="169"/>
        <v>0</v>
      </c>
      <c r="AC616" s="126"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7"/>
      <c r="B617" s="118"/>
      <c r="C617" s="119"/>
      <c r="D617" s="119"/>
      <c r="E617" s="117"/>
      <c r="F617" s="120">
        <f t="shared" si="153"/>
        <v>0</v>
      </c>
      <c r="G617" s="121" t="str">
        <f t="shared" si="154"/>
        <v/>
      </c>
      <c r="H617" s="122">
        <f>IF($D617="",0,IFERROR(LOOKUP(2,1/(($D$3:D616=$D617)*($A$3:A616&lt;$A617)),$N$3:N616),'Guide &amp; Settings'!$C$41))</f>
        <v>0</v>
      </c>
      <c r="I617" s="123">
        <f t="shared" si="155"/>
        <v>0</v>
      </c>
      <c r="J617" s="124">
        <f>IF($D617="",0,IF($F617&lt;2,0,IF($E617="Win",('Guide &amp; Settings'!$C$42/(($F617-1)*COUNTIFS($A$4:$A$810,$A617,$E$4:$E$810,"Win")))*SUMIFS($X$4:$X$810,$A$4:$A$810,$A617,$E$4:$E$810,"Loss"),-('Guide &amp; Settings'!$C$42/($F617-1))*$X617)))</f>
        <v>0</v>
      </c>
      <c r="K617" s="124">
        <f>IF($D617="",0,'Guide &amp; Settings'!$C$43*(IF($E617="Win",1,0)-$I617))</f>
        <v>0</v>
      </c>
      <c r="L617" s="125">
        <f>IF($D617="",0,'Guide &amp; Settings'!$C$44*IF($F617&gt;=3,$F617,0))</f>
        <v>0</v>
      </c>
      <c r="M617" s="124">
        <f t="shared" si="156"/>
        <v>0</v>
      </c>
      <c r="N617" s="122">
        <f t="shared" si="157"/>
        <v>0</v>
      </c>
      <c r="O617" s="121" t="str">
        <f t="shared" si="158"/>
        <v/>
      </c>
      <c r="P617">
        <f t="shared" si="159"/>
        <v>0</v>
      </c>
      <c r="Q617">
        <f t="shared" si="160"/>
        <v>0</v>
      </c>
      <c r="R617">
        <f t="shared" si="161"/>
        <v>0</v>
      </c>
      <c r="S617">
        <f t="shared" si="162"/>
        <v>0</v>
      </c>
      <c r="T617" s="89">
        <f t="shared" si="163"/>
        <v>0</v>
      </c>
      <c r="U617" s="126">
        <f>IF($D617="",0,IFERROR(LOOKUP(2,1/(($D$3:D616=$D617)*($C$3:C616=$C617)*($A$3:A616&lt;$A617)),$AB$3:AB616),1000))</f>
        <v>0</v>
      </c>
      <c r="V617" s="126">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6">
        <f t="shared" si="169"/>
        <v>0</v>
      </c>
      <c r="AC617" s="126"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7"/>
      <c r="B618" s="118"/>
      <c r="C618" s="119"/>
      <c r="D618" s="119"/>
      <c r="E618" s="117"/>
      <c r="F618" s="120">
        <f t="shared" si="153"/>
        <v>0</v>
      </c>
      <c r="G618" s="121" t="str">
        <f t="shared" si="154"/>
        <v/>
      </c>
      <c r="H618" s="122">
        <f>IF($D618="",0,IFERROR(LOOKUP(2,1/(($D$3:D617=$D618)*($A$3:A617&lt;$A618)),$N$3:N617),'Guide &amp; Settings'!$C$41))</f>
        <v>0</v>
      </c>
      <c r="I618" s="123">
        <f t="shared" si="155"/>
        <v>0</v>
      </c>
      <c r="J618" s="124">
        <f>IF($D618="",0,IF($F618&lt;2,0,IF($E618="Win",('Guide &amp; Settings'!$C$42/(($F618-1)*COUNTIFS($A$4:$A$810,$A618,$E$4:$E$810,"Win")))*SUMIFS($X$4:$X$810,$A$4:$A$810,$A618,$E$4:$E$810,"Loss"),-('Guide &amp; Settings'!$C$42/($F618-1))*$X618)))</f>
        <v>0</v>
      </c>
      <c r="K618" s="124">
        <f>IF($D618="",0,'Guide &amp; Settings'!$C$43*(IF($E618="Win",1,0)-$I618))</f>
        <v>0</v>
      </c>
      <c r="L618" s="125">
        <f>IF($D618="",0,'Guide &amp; Settings'!$C$44*IF($F618&gt;=3,$F618,0))</f>
        <v>0</v>
      </c>
      <c r="M618" s="124">
        <f t="shared" si="156"/>
        <v>0</v>
      </c>
      <c r="N618" s="122">
        <f t="shared" si="157"/>
        <v>0</v>
      </c>
      <c r="O618" s="121" t="str">
        <f t="shared" si="158"/>
        <v/>
      </c>
      <c r="P618">
        <f t="shared" si="159"/>
        <v>0</v>
      </c>
      <c r="Q618">
        <f t="shared" si="160"/>
        <v>0</v>
      </c>
      <c r="R618">
        <f t="shared" si="161"/>
        <v>0</v>
      </c>
      <c r="S618">
        <f t="shared" si="162"/>
        <v>0</v>
      </c>
      <c r="T618" s="89">
        <f t="shared" si="163"/>
        <v>0</v>
      </c>
      <c r="U618" s="126">
        <f>IF($D618="",0,IFERROR(LOOKUP(2,1/(($D$3:D617=$D618)*($C$3:C617=$C618)*($A$3:A617&lt;$A618)),$AB$3:AB617),1000))</f>
        <v>0</v>
      </c>
      <c r="V618" s="126">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6">
        <f t="shared" si="169"/>
        <v>0</v>
      </c>
      <c r="AC618" s="126"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7"/>
      <c r="B619" s="118"/>
      <c r="C619" s="119"/>
      <c r="D619" s="119"/>
      <c r="E619" s="117"/>
      <c r="F619" s="120">
        <f t="shared" si="153"/>
        <v>0</v>
      </c>
      <c r="G619" s="121" t="str">
        <f t="shared" si="154"/>
        <v/>
      </c>
      <c r="H619" s="122">
        <f>IF($D619="",0,IFERROR(LOOKUP(2,1/(($D$3:D618=$D619)*($A$3:A618&lt;$A619)),$N$3:N618),'Guide &amp; Settings'!$C$41))</f>
        <v>0</v>
      </c>
      <c r="I619" s="123">
        <f t="shared" si="155"/>
        <v>0</v>
      </c>
      <c r="J619" s="124">
        <f>IF($D619="",0,IF($F619&lt;2,0,IF($E619="Win",('Guide &amp; Settings'!$C$42/(($F619-1)*COUNTIFS($A$4:$A$810,$A619,$E$4:$E$810,"Win")))*SUMIFS($X$4:$X$810,$A$4:$A$810,$A619,$E$4:$E$810,"Loss"),-('Guide &amp; Settings'!$C$42/($F619-1))*$X619)))</f>
        <v>0</v>
      </c>
      <c r="K619" s="124">
        <f>IF($D619="",0,'Guide &amp; Settings'!$C$43*(IF($E619="Win",1,0)-$I619))</f>
        <v>0</v>
      </c>
      <c r="L619" s="125">
        <f>IF($D619="",0,'Guide &amp; Settings'!$C$44*IF($F619&gt;=3,$F619,0))</f>
        <v>0</v>
      </c>
      <c r="M619" s="124">
        <f t="shared" si="156"/>
        <v>0</v>
      </c>
      <c r="N619" s="122">
        <f t="shared" si="157"/>
        <v>0</v>
      </c>
      <c r="O619" s="121" t="str">
        <f t="shared" si="158"/>
        <v/>
      </c>
      <c r="P619">
        <f t="shared" si="159"/>
        <v>0</v>
      </c>
      <c r="Q619">
        <f t="shared" si="160"/>
        <v>0</v>
      </c>
      <c r="R619">
        <f t="shared" si="161"/>
        <v>0</v>
      </c>
      <c r="S619">
        <f t="shared" si="162"/>
        <v>0</v>
      </c>
      <c r="T619" s="89">
        <f t="shared" si="163"/>
        <v>0</v>
      </c>
      <c r="U619" s="126">
        <f>IF($D619="",0,IFERROR(LOOKUP(2,1/(($D$3:D618=$D619)*($C$3:C618=$C619)*($A$3:A618&lt;$A619)),$AB$3:AB618),1000))</f>
        <v>0</v>
      </c>
      <c r="V619" s="126">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6">
        <f t="shared" si="169"/>
        <v>0</v>
      </c>
      <c r="AC619" s="126"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7"/>
      <c r="B620" s="118"/>
      <c r="C620" s="119"/>
      <c r="D620" s="119"/>
      <c r="E620" s="117"/>
      <c r="F620" s="120">
        <f t="shared" si="153"/>
        <v>0</v>
      </c>
      <c r="G620" s="121" t="str">
        <f t="shared" si="154"/>
        <v/>
      </c>
      <c r="H620" s="122">
        <f>IF($D620="",0,IFERROR(LOOKUP(2,1/(($D$3:D619=$D620)*($A$3:A619&lt;$A620)),$N$3:N619),'Guide &amp; Settings'!$C$41))</f>
        <v>0</v>
      </c>
      <c r="I620" s="123">
        <f t="shared" si="155"/>
        <v>0</v>
      </c>
      <c r="J620" s="124">
        <f>IF($D620="",0,IF($F620&lt;2,0,IF($E620="Win",('Guide &amp; Settings'!$C$42/(($F620-1)*COUNTIFS($A$4:$A$810,$A620,$E$4:$E$810,"Win")))*SUMIFS($X$4:$X$810,$A$4:$A$810,$A620,$E$4:$E$810,"Loss"),-('Guide &amp; Settings'!$C$42/($F620-1))*$X620)))</f>
        <v>0</v>
      </c>
      <c r="K620" s="124">
        <f>IF($D620="",0,'Guide &amp; Settings'!$C$43*(IF($E620="Win",1,0)-$I620))</f>
        <v>0</v>
      </c>
      <c r="L620" s="125">
        <f>IF($D620="",0,'Guide &amp; Settings'!$C$44*IF($F620&gt;=3,$F620,0))</f>
        <v>0</v>
      </c>
      <c r="M620" s="124">
        <f t="shared" si="156"/>
        <v>0</v>
      </c>
      <c r="N620" s="122">
        <f t="shared" si="157"/>
        <v>0</v>
      </c>
      <c r="O620" s="121" t="str">
        <f t="shared" si="158"/>
        <v/>
      </c>
      <c r="P620">
        <f t="shared" si="159"/>
        <v>0</v>
      </c>
      <c r="Q620">
        <f t="shared" si="160"/>
        <v>0</v>
      </c>
      <c r="R620">
        <f t="shared" si="161"/>
        <v>0</v>
      </c>
      <c r="S620">
        <f t="shared" si="162"/>
        <v>0</v>
      </c>
      <c r="T620" s="89">
        <f t="shared" si="163"/>
        <v>0</v>
      </c>
      <c r="U620" s="126">
        <f>IF($D620="",0,IFERROR(LOOKUP(2,1/(($D$3:D619=$D620)*($C$3:C619=$C620)*($A$3:A619&lt;$A620)),$AB$3:AB619),1000))</f>
        <v>0</v>
      </c>
      <c r="V620" s="126">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6">
        <f t="shared" si="169"/>
        <v>0</v>
      </c>
      <c r="AC620" s="126"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7"/>
      <c r="B621" s="118"/>
      <c r="C621" s="119"/>
      <c r="D621" s="119"/>
      <c r="E621" s="117"/>
      <c r="F621" s="120">
        <f t="shared" si="153"/>
        <v>0</v>
      </c>
      <c r="G621" s="121" t="str">
        <f t="shared" si="154"/>
        <v/>
      </c>
      <c r="H621" s="122">
        <f>IF($D621="",0,IFERROR(LOOKUP(2,1/(($D$3:D620=$D621)*($A$3:A620&lt;$A621)),$N$3:N620),'Guide &amp; Settings'!$C$41))</f>
        <v>0</v>
      </c>
      <c r="I621" s="123">
        <f t="shared" si="155"/>
        <v>0</v>
      </c>
      <c r="J621" s="124">
        <f>IF($D621="",0,IF($F621&lt;2,0,IF($E621="Win",('Guide &amp; Settings'!$C$42/(($F621-1)*COUNTIFS($A$4:$A$810,$A621,$E$4:$E$810,"Win")))*SUMIFS($X$4:$X$810,$A$4:$A$810,$A621,$E$4:$E$810,"Loss"),-('Guide &amp; Settings'!$C$42/($F621-1))*$X621)))</f>
        <v>0</v>
      </c>
      <c r="K621" s="124">
        <f>IF($D621="",0,'Guide &amp; Settings'!$C$43*(IF($E621="Win",1,0)-$I621))</f>
        <v>0</v>
      </c>
      <c r="L621" s="125">
        <f>IF($D621="",0,'Guide &amp; Settings'!$C$44*IF($F621&gt;=3,$F621,0))</f>
        <v>0</v>
      </c>
      <c r="M621" s="124">
        <f t="shared" si="156"/>
        <v>0</v>
      </c>
      <c r="N621" s="122">
        <f t="shared" si="157"/>
        <v>0</v>
      </c>
      <c r="O621" s="121" t="str">
        <f t="shared" si="158"/>
        <v/>
      </c>
      <c r="P621">
        <f t="shared" si="159"/>
        <v>0</v>
      </c>
      <c r="Q621">
        <f t="shared" si="160"/>
        <v>0</v>
      </c>
      <c r="R621">
        <f t="shared" si="161"/>
        <v>0</v>
      </c>
      <c r="S621">
        <f t="shared" si="162"/>
        <v>0</v>
      </c>
      <c r="T621" s="89">
        <f t="shared" si="163"/>
        <v>0</v>
      </c>
      <c r="U621" s="126">
        <f>IF($D621="",0,IFERROR(LOOKUP(2,1/(($D$3:D620=$D621)*($C$3:C620=$C621)*($A$3:A620&lt;$A621)),$AB$3:AB620),1000))</f>
        <v>0</v>
      </c>
      <c r="V621" s="126">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6">
        <f t="shared" si="169"/>
        <v>0</v>
      </c>
      <c r="AC621" s="126"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7"/>
      <c r="B622" s="118"/>
      <c r="C622" s="119"/>
      <c r="D622" s="119"/>
      <c r="E622" s="117"/>
      <c r="F622" s="120">
        <f t="shared" si="153"/>
        <v>0</v>
      </c>
      <c r="G622" s="121" t="str">
        <f t="shared" si="154"/>
        <v/>
      </c>
      <c r="H622" s="122">
        <f>IF($D622="",0,IFERROR(LOOKUP(2,1/(($D$3:D621=$D622)*($A$3:A621&lt;$A622)),$N$3:N621),'Guide &amp; Settings'!$C$41))</f>
        <v>0</v>
      </c>
      <c r="I622" s="123">
        <f t="shared" si="155"/>
        <v>0</v>
      </c>
      <c r="J622" s="124">
        <f>IF($D622="",0,IF($F622&lt;2,0,IF($E622="Win",('Guide &amp; Settings'!$C$42/(($F622-1)*COUNTIFS($A$4:$A$810,$A622,$E$4:$E$810,"Win")))*SUMIFS($X$4:$X$810,$A$4:$A$810,$A622,$E$4:$E$810,"Loss"),-('Guide &amp; Settings'!$C$42/($F622-1))*$X622)))</f>
        <v>0</v>
      </c>
      <c r="K622" s="124">
        <f>IF($D622="",0,'Guide &amp; Settings'!$C$43*(IF($E622="Win",1,0)-$I622))</f>
        <v>0</v>
      </c>
      <c r="L622" s="125">
        <f>IF($D622="",0,'Guide &amp; Settings'!$C$44*IF($F622&gt;=3,$F622,0))</f>
        <v>0</v>
      </c>
      <c r="M622" s="124">
        <f t="shared" si="156"/>
        <v>0</v>
      </c>
      <c r="N622" s="122">
        <f t="shared" si="157"/>
        <v>0</v>
      </c>
      <c r="O622" s="121" t="str">
        <f t="shared" si="158"/>
        <v/>
      </c>
      <c r="P622">
        <f t="shared" si="159"/>
        <v>0</v>
      </c>
      <c r="Q622">
        <f t="shared" si="160"/>
        <v>0</v>
      </c>
      <c r="R622">
        <f t="shared" si="161"/>
        <v>0</v>
      </c>
      <c r="S622">
        <f t="shared" si="162"/>
        <v>0</v>
      </c>
      <c r="T622" s="89">
        <f t="shared" si="163"/>
        <v>0</v>
      </c>
      <c r="U622" s="126">
        <f>IF($D622="",0,IFERROR(LOOKUP(2,1/(($D$3:D621=$D622)*($C$3:C621=$C622)*($A$3:A621&lt;$A622)),$AB$3:AB621),1000))</f>
        <v>0</v>
      </c>
      <c r="V622" s="126">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6">
        <f t="shared" si="169"/>
        <v>0</v>
      </c>
      <c r="AC622" s="126"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7"/>
      <c r="B623" s="118"/>
      <c r="C623" s="119"/>
      <c r="D623" s="119"/>
      <c r="E623" s="117"/>
      <c r="F623" s="120">
        <f t="shared" si="153"/>
        <v>0</v>
      </c>
      <c r="G623" s="121" t="str">
        <f t="shared" si="154"/>
        <v/>
      </c>
      <c r="H623" s="122">
        <f>IF($D623="",0,IFERROR(LOOKUP(2,1/(($D$3:D622=$D623)*($A$3:A622&lt;$A623)),$N$3:N622),'Guide &amp; Settings'!$C$41))</f>
        <v>0</v>
      </c>
      <c r="I623" s="123">
        <f t="shared" si="155"/>
        <v>0</v>
      </c>
      <c r="J623" s="124">
        <f>IF($D623="",0,IF($F623&lt;2,0,IF($E623="Win",('Guide &amp; Settings'!$C$42/(($F623-1)*COUNTIFS($A$4:$A$810,$A623,$E$4:$E$810,"Win")))*SUMIFS($X$4:$X$810,$A$4:$A$810,$A623,$E$4:$E$810,"Loss"),-('Guide &amp; Settings'!$C$42/($F623-1))*$X623)))</f>
        <v>0</v>
      </c>
      <c r="K623" s="124">
        <f>IF($D623="",0,'Guide &amp; Settings'!$C$43*(IF($E623="Win",1,0)-$I623))</f>
        <v>0</v>
      </c>
      <c r="L623" s="125">
        <f>IF($D623="",0,'Guide &amp; Settings'!$C$44*IF($F623&gt;=3,$F623,0))</f>
        <v>0</v>
      </c>
      <c r="M623" s="124">
        <f t="shared" si="156"/>
        <v>0</v>
      </c>
      <c r="N623" s="122">
        <f t="shared" si="157"/>
        <v>0</v>
      </c>
      <c r="O623" s="121" t="str">
        <f t="shared" si="158"/>
        <v/>
      </c>
      <c r="P623">
        <f t="shared" si="159"/>
        <v>0</v>
      </c>
      <c r="Q623">
        <f t="shared" si="160"/>
        <v>0</v>
      </c>
      <c r="R623">
        <f t="shared" si="161"/>
        <v>0</v>
      </c>
      <c r="S623">
        <f t="shared" si="162"/>
        <v>0</v>
      </c>
      <c r="T623" s="89">
        <f t="shared" si="163"/>
        <v>0</v>
      </c>
      <c r="U623" s="126">
        <f>IF($D623="",0,IFERROR(LOOKUP(2,1/(($D$3:D622=$D623)*($C$3:C622=$C623)*($A$3:A622&lt;$A623)),$AB$3:AB622),1000))</f>
        <v>0</v>
      </c>
      <c r="V623" s="126">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6">
        <f t="shared" si="169"/>
        <v>0</v>
      </c>
      <c r="AC623" s="126"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7"/>
      <c r="B624" s="118"/>
      <c r="C624" s="119"/>
      <c r="D624" s="119"/>
      <c r="E624" s="117"/>
      <c r="F624" s="120">
        <f t="shared" si="153"/>
        <v>0</v>
      </c>
      <c r="G624" s="121" t="str">
        <f t="shared" si="154"/>
        <v/>
      </c>
      <c r="H624" s="122">
        <f>IF($D624="",0,IFERROR(LOOKUP(2,1/(($D$3:D623=$D624)*($A$3:A623&lt;$A624)),$N$3:N623),'Guide &amp; Settings'!$C$41))</f>
        <v>0</v>
      </c>
      <c r="I624" s="123">
        <f t="shared" si="155"/>
        <v>0</v>
      </c>
      <c r="J624" s="124">
        <f>IF($D624="",0,IF($F624&lt;2,0,IF($E624="Win",('Guide &amp; Settings'!$C$42/(($F624-1)*COUNTIFS($A$4:$A$810,$A624,$E$4:$E$810,"Win")))*SUMIFS($X$4:$X$810,$A$4:$A$810,$A624,$E$4:$E$810,"Loss"),-('Guide &amp; Settings'!$C$42/($F624-1))*$X624)))</f>
        <v>0</v>
      </c>
      <c r="K624" s="124">
        <f>IF($D624="",0,'Guide &amp; Settings'!$C$43*(IF($E624="Win",1,0)-$I624))</f>
        <v>0</v>
      </c>
      <c r="L624" s="125">
        <f>IF($D624="",0,'Guide &amp; Settings'!$C$44*IF($F624&gt;=3,$F624,0))</f>
        <v>0</v>
      </c>
      <c r="M624" s="124">
        <f t="shared" si="156"/>
        <v>0</v>
      </c>
      <c r="N624" s="122">
        <f t="shared" si="157"/>
        <v>0</v>
      </c>
      <c r="O624" s="121" t="str">
        <f t="shared" si="158"/>
        <v/>
      </c>
      <c r="P624">
        <f t="shared" si="159"/>
        <v>0</v>
      </c>
      <c r="Q624">
        <f t="shared" si="160"/>
        <v>0</v>
      </c>
      <c r="R624">
        <f t="shared" si="161"/>
        <v>0</v>
      </c>
      <c r="S624">
        <f t="shared" si="162"/>
        <v>0</v>
      </c>
      <c r="T624" s="89">
        <f t="shared" si="163"/>
        <v>0</v>
      </c>
      <c r="U624" s="126">
        <f>IF($D624="",0,IFERROR(LOOKUP(2,1/(($D$3:D623=$D624)*($C$3:C623=$C624)*($A$3:A623&lt;$A624)),$AB$3:AB623),1000))</f>
        <v>0</v>
      </c>
      <c r="V624" s="126">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6">
        <f t="shared" si="169"/>
        <v>0</v>
      </c>
      <c r="AC624" s="126"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7"/>
      <c r="B625" s="118"/>
      <c r="C625" s="119"/>
      <c r="D625" s="119"/>
      <c r="E625" s="117"/>
      <c r="F625" s="120">
        <f t="shared" si="153"/>
        <v>0</v>
      </c>
      <c r="G625" s="121" t="str">
        <f t="shared" si="154"/>
        <v/>
      </c>
      <c r="H625" s="122">
        <f>IF($D625="",0,IFERROR(LOOKUP(2,1/(($D$3:D624=$D625)*($A$3:A624&lt;$A625)),$N$3:N624),'Guide &amp; Settings'!$C$41))</f>
        <v>0</v>
      </c>
      <c r="I625" s="123">
        <f t="shared" si="155"/>
        <v>0</v>
      </c>
      <c r="J625" s="124">
        <f>IF($D625="",0,IF($F625&lt;2,0,IF($E625="Win",('Guide &amp; Settings'!$C$42/(($F625-1)*COUNTIFS($A$4:$A$810,$A625,$E$4:$E$810,"Win")))*SUMIFS($X$4:$X$810,$A$4:$A$810,$A625,$E$4:$E$810,"Loss"),-('Guide &amp; Settings'!$C$42/($F625-1))*$X625)))</f>
        <v>0</v>
      </c>
      <c r="K625" s="124">
        <f>IF($D625="",0,'Guide &amp; Settings'!$C$43*(IF($E625="Win",1,0)-$I625))</f>
        <v>0</v>
      </c>
      <c r="L625" s="125">
        <f>IF($D625="",0,'Guide &amp; Settings'!$C$44*IF($F625&gt;=3,$F625,0))</f>
        <v>0</v>
      </c>
      <c r="M625" s="124">
        <f t="shared" si="156"/>
        <v>0</v>
      </c>
      <c r="N625" s="122">
        <f t="shared" si="157"/>
        <v>0</v>
      </c>
      <c r="O625" s="121" t="str">
        <f t="shared" si="158"/>
        <v/>
      </c>
      <c r="P625">
        <f t="shared" si="159"/>
        <v>0</v>
      </c>
      <c r="Q625">
        <f t="shared" si="160"/>
        <v>0</v>
      </c>
      <c r="R625">
        <f t="shared" si="161"/>
        <v>0</v>
      </c>
      <c r="S625">
        <f t="shared" si="162"/>
        <v>0</v>
      </c>
      <c r="T625" s="89">
        <f t="shared" si="163"/>
        <v>0</v>
      </c>
      <c r="U625" s="126">
        <f>IF($D625="",0,IFERROR(LOOKUP(2,1/(($D$3:D624=$D625)*($C$3:C624=$C625)*($A$3:A624&lt;$A625)),$AB$3:AB624),1000))</f>
        <v>0</v>
      </c>
      <c r="V625" s="126">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6">
        <f t="shared" si="169"/>
        <v>0</v>
      </c>
      <c r="AC625" s="126"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7"/>
      <c r="B626" s="118"/>
      <c r="C626" s="119"/>
      <c r="D626" s="119"/>
      <c r="E626" s="117"/>
      <c r="F626" s="120">
        <f t="shared" si="153"/>
        <v>0</v>
      </c>
      <c r="G626" s="121" t="str">
        <f t="shared" si="154"/>
        <v/>
      </c>
      <c r="H626" s="122">
        <f>IF($D626="",0,IFERROR(LOOKUP(2,1/(($D$3:D625=$D626)*($A$3:A625&lt;$A626)),$N$3:N625),'Guide &amp; Settings'!$C$41))</f>
        <v>0</v>
      </c>
      <c r="I626" s="123">
        <f t="shared" si="155"/>
        <v>0</v>
      </c>
      <c r="J626" s="124">
        <f>IF($D626="",0,IF($F626&lt;2,0,IF($E626="Win",('Guide &amp; Settings'!$C$42/(($F626-1)*COUNTIFS($A$4:$A$810,$A626,$E$4:$E$810,"Win")))*SUMIFS($X$4:$X$810,$A$4:$A$810,$A626,$E$4:$E$810,"Loss"),-('Guide &amp; Settings'!$C$42/($F626-1))*$X626)))</f>
        <v>0</v>
      </c>
      <c r="K626" s="124">
        <f>IF($D626="",0,'Guide &amp; Settings'!$C$43*(IF($E626="Win",1,0)-$I626))</f>
        <v>0</v>
      </c>
      <c r="L626" s="125">
        <f>IF($D626="",0,'Guide &amp; Settings'!$C$44*IF($F626&gt;=3,$F626,0))</f>
        <v>0</v>
      </c>
      <c r="M626" s="124">
        <f t="shared" si="156"/>
        <v>0</v>
      </c>
      <c r="N626" s="122">
        <f t="shared" si="157"/>
        <v>0</v>
      </c>
      <c r="O626" s="121" t="str">
        <f t="shared" si="158"/>
        <v/>
      </c>
      <c r="P626">
        <f t="shared" si="159"/>
        <v>0</v>
      </c>
      <c r="Q626">
        <f t="shared" si="160"/>
        <v>0</v>
      </c>
      <c r="R626">
        <f t="shared" si="161"/>
        <v>0</v>
      </c>
      <c r="S626">
        <f t="shared" si="162"/>
        <v>0</v>
      </c>
      <c r="T626" s="89">
        <f t="shared" si="163"/>
        <v>0</v>
      </c>
      <c r="U626" s="126">
        <f>IF($D626="",0,IFERROR(LOOKUP(2,1/(($D$3:D625=$D626)*($C$3:C625=$C626)*($A$3:A625&lt;$A626)),$AB$3:AB625),1000))</f>
        <v>0</v>
      </c>
      <c r="V626" s="126">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6">
        <f t="shared" si="169"/>
        <v>0</v>
      </c>
      <c r="AC626" s="126"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7"/>
      <c r="B627" s="118"/>
      <c r="C627" s="119"/>
      <c r="D627" s="119"/>
      <c r="E627" s="117"/>
      <c r="F627" s="120">
        <f t="shared" si="153"/>
        <v>0</v>
      </c>
      <c r="G627" s="121" t="str">
        <f t="shared" si="154"/>
        <v/>
      </c>
      <c r="H627" s="122">
        <f>IF($D627="",0,IFERROR(LOOKUP(2,1/(($D$3:D626=$D627)*($A$3:A626&lt;$A627)),$N$3:N626),'Guide &amp; Settings'!$C$41))</f>
        <v>0</v>
      </c>
      <c r="I627" s="123">
        <f t="shared" si="155"/>
        <v>0</v>
      </c>
      <c r="J627" s="124">
        <f>IF($D627="",0,IF($F627&lt;2,0,IF($E627="Win",('Guide &amp; Settings'!$C$42/(($F627-1)*COUNTIFS($A$4:$A$810,$A627,$E$4:$E$810,"Win")))*SUMIFS($X$4:$X$810,$A$4:$A$810,$A627,$E$4:$E$810,"Loss"),-('Guide &amp; Settings'!$C$42/($F627-1))*$X627)))</f>
        <v>0</v>
      </c>
      <c r="K627" s="124">
        <f>IF($D627="",0,'Guide &amp; Settings'!$C$43*(IF($E627="Win",1,0)-$I627))</f>
        <v>0</v>
      </c>
      <c r="L627" s="125">
        <f>IF($D627="",0,'Guide &amp; Settings'!$C$44*IF($F627&gt;=3,$F627,0))</f>
        <v>0</v>
      </c>
      <c r="M627" s="124">
        <f t="shared" si="156"/>
        <v>0</v>
      </c>
      <c r="N627" s="122">
        <f t="shared" si="157"/>
        <v>0</v>
      </c>
      <c r="O627" s="121" t="str">
        <f t="shared" si="158"/>
        <v/>
      </c>
      <c r="P627">
        <f t="shared" si="159"/>
        <v>0</v>
      </c>
      <c r="Q627">
        <f t="shared" si="160"/>
        <v>0</v>
      </c>
      <c r="R627">
        <f t="shared" si="161"/>
        <v>0</v>
      </c>
      <c r="S627">
        <f t="shared" si="162"/>
        <v>0</v>
      </c>
      <c r="T627" s="89">
        <f t="shared" si="163"/>
        <v>0</v>
      </c>
      <c r="U627" s="126">
        <f>IF($D627="",0,IFERROR(LOOKUP(2,1/(($D$3:D626=$D627)*($C$3:C626=$C627)*($A$3:A626&lt;$A627)),$AB$3:AB626),1000))</f>
        <v>0</v>
      </c>
      <c r="V627" s="126">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6">
        <f t="shared" si="169"/>
        <v>0</v>
      </c>
      <c r="AC627" s="126"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7"/>
      <c r="B628" s="118"/>
      <c r="C628" s="119"/>
      <c r="D628" s="119"/>
      <c r="E628" s="117"/>
      <c r="F628" s="120">
        <f t="shared" si="153"/>
        <v>0</v>
      </c>
      <c r="G628" s="121" t="str">
        <f t="shared" si="154"/>
        <v/>
      </c>
      <c r="H628" s="122">
        <f>IF($D628="",0,IFERROR(LOOKUP(2,1/(($D$3:D627=$D628)*($A$3:A627&lt;$A628)),$N$3:N627),'Guide &amp; Settings'!$C$41))</f>
        <v>0</v>
      </c>
      <c r="I628" s="123">
        <f t="shared" si="155"/>
        <v>0</v>
      </c>
      <c r="J628" s="124">
        <f>IF($D628="",0,IF($F628&lt;2,0,IF($E628="Win",('Guide &amp; Settings'!$C$42/(($F628-1)*COUNTIFS($A$4:$A$810,$A628,$E$4:$E$810,"Win")))*SUMIFS($X$4:$X$810,$A$4:$A$810,$A628,$E$4:$E$810,"Loss"),-('Guide &amp; Settings'!$C$42/($F628-1))*$X628)))</f>
        <v>0</v>
      </c>
      <c r="K628" s="124">
        <f>IF($D628="",0,'Guide &amp; Settings'!$C$43*(IF($E628="Win",1,0)-$I628))</f>
        <v>0</v>
      </c>
      <c r="L628" s="125">
        <f>IF($D628="",0,'Guide &amp; Settings'!$C$44*IF($F628&gt;=3,$F628,0))</f>
        <v>0</v>
      </c>
      <c r="M628" s="124">
        <f t="shared" si="156"/>
        <v>0</v>
      </c>
      <c r="N628" s="122">
        <f t="shared" si="157"/>
        <v>0</v>
      </c>
      <c r="O628" s="121" t="str">
        <f t="shared" si="158"/>
        <v/>
      </c>
      <c r="P628">
        <f t="shared" si="159"/>
        <v>0</v>
      </c>
      <c r="Q628">
        <f t="shared" si="160"/>
        <v>0</v>
      </c>
      <c r="R628">
        <f t="shared" si="161"/>
        <v>0</v>
      </c>
      <c r="S628">
        <f t="shared" si="162"/>
        <v>0</v>
      </c>
      <c r="T628" s="89">
        <f t="shared" si="163"/>
        <v>0</v>
      </c>
      <c r="U628" s="126">
        <f>IF($D628="",0,IFERROR(LOOKUP(2,1/(($D$3:D627=$D628)*($C$3:C627=$C628)*($A$3:A627&lt;$A628)),$AB$3:AB627),1000))</f>
        <v>0</v>
      </c>
      <c r="V628" s="126">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6">
        <f t="shared" si="169"/>
        <v>0</v>
      </c>
      <c r="AC628" s="126"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7"/>
      <c r="B629" s="118"/>
      <c r="C629" s="119"/>
      <c r="D629" s="119"/>
      <c r="E629" s="117"/>
      <c r="F629" s="120">
        <f t="shared" si="153"/>
        <v>0</v>
      </c>
      <c r="G629" s="121" t="str">
        <f t="shared" si="154"/>
        <v/>
      </c>
      <c r="H629" s="122">
        <f>IF($D629="",0,IFERROR(LOOKUP(2,1/(($D$3:D628=$D629)*($A$3:A628&lt;$A629)),$N$3:N628),'Guide &amp; Settings'!$C$41))</f>
        <v>0</v>
      </c>
      <c r="I629" s="123">
        <f t="shared" si="155"/>
        <v>0</v>
      </c>
      <c r="J629" s="124">
        <f>IF($D629="",0,IF($F629&lt;2,0,IF($E629="Win",('Guide &amp; Settings'!$C$42/(($F629-1)*COUNTIFS($A$4:$A$810,$A629,$E$4:$E$810,"Win")))*SUMIFS($X$4:$X$810,$A$4:$A$810,$A629,$E$4:$E$810,"Loss"),-('Guide &amp; Settings'!$C$42/($F629-1))*$X629)))</f>
        <v>0</v>
      </c>
      <c r="K629" s="124">
        <f>IF($D629="",0,'Guide &amp; Settings'!$C$43*(IF($E629="Win",1,0)-$I629))</f>
        <v>0</v>
      </c>
      <c r="L629" s="125">
        <f>IF($D629="",0,'Guide &amp; Settings'!$C$44*IF($F629&gt;=3,$F629,0))</f>
        <v>0</v>
      </c>
      <c r="M629" s="124">
        <f t="shared" si="156"/>
        <v>0</v>
      </c>
      <c r="N629" s="122">
        <f t="shared" si="157"/>
        <v>0</v>
      </c>
      <c r="O629" s="121" t="str">
        <f t="shared" si="158"/>
        <v/>
      </c>
      <c r="P629">
        <f t="shared" si="159"/>
        <v>0</v>
      </c>
      <c r="Q629">
        <f t="shared" si="160"/>
        <v>0</v>
      </c>
      <c r="R629">
        <f t="shared" si="161"/>
        <v>0</v>
      </c>
      <c r="S629">
        <f t="shared" si="162"/>
        <v>0</v>
      </c>
      <c r="T629" s="89">
        <f t="shared" si="163"/>
        <v>0</v>
      </c>
      <c r="U629" s="126">
        <f>IF($D629="",0,IFERROR(LOOKUP(2,1/(($D$3:D628=$D629)*($C$3:C628=$C629)*($A$3:A628&lt;$A629)),$AB$3:AB628),1000))</f>
        <v>0</v>
      </c>
      <c r="V629" s="126">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6">
        <f t="shared" si="169"/>
        <v>0</v>
      </c>
      <c r="AC629" s="126"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7"/>
      <c r="B630" s="118"/>
      <c r="C630" s="119"/>
      <c r="D630" s="119"/>
      <c r="E630" s="117"/>
      <c r="F630" s="120">
        <f t="shared" si="153"/>
        <v>0</v>
      </c>
      <c r="G630" s="121" t="str">
        <f t="shared" si="154"/>
        <v/>
      </c>
      <c r="H630" s="122">
        <f>IF($D630="",0,IFERROR(LOOKUP(2,1/(($D$3:D629=$D630)*($A$3:A629&lt;$A630)),$N$3:N629),'Guide &amp; Settings'!$C$41))</f>
        <v>0</v>
      </c>
      <c r="I630" s="123">
        <f t="shared" si="155"/>
        <v>0</v>
      </c>
      <c r="J630" s="124">
        <f>IF($D630="",0,IF($F630&lt;2,0,IF($E630="Win",('Guide &amp; Settings'!$C$42/(($F630-1)*COUNTIFS($A$4:$A$810,$A630,$E$4:$E$810,"Win")))*SUMIFS($X$4:$X$810,$A$4:$A$810,$A630,$E$4:$E$810,"Loss"),-('Guide &amp; Settings'!$C$42/($F630-1))*$X630)))</f>
        <v>0</v>
      </c>
      <c r="K630" s="124">
        <f>IF($D630="",0,'Guide &amp; Settings'!$C$43*(IF($E630="Win",1,0)-$I630))</f>
        <v>0</v>
      </c>
      <c r="L630" s="125">
        <f>IF($D630="",0,'Guide &amp; Settings'!$C$44*IF($F630&gt;=3,$F630,0))</f>
        <v>0</v>
      </c>
      <c r="M630" s="124">
        <f t="shared" si="156"/>
        <v>0</v>
      </c>
      <c r="N630" s="122">
        <f t="shared" si="157"/>
        <v>0</v>
      </c>
      <c r="O630" s="121" t="str">
        <f t="shared" si="158"/>
        <v/>
      </c>
      <c r="P630">
        <f t="shared" si="159"/>
        <v>0</v>
      </c>
      <c r="Q630">
        <f t="shared" si="160"/>
        <v>0</v>
      </c>
      <c r="R630">
        <f t="shared" si="161"/>
        <v>0</v>
      </c>
      <c r="S630">
        <f t="shared" si="162"/>
        <v>0</v>
      </c>
      <c r="T630" s="89">
        <f t="shared" si="163"/>
        <v>0</v>
      </c>
      <c r="U630" s="126">
        <f>IF($D630="",0,IFERROR(LOOKUP(2,1/(($D$3:D629=$D630)*($C$3:C629=$C630)*($A$3:A629&lt;$A630)),$AB$3:AB629),1000))</f>
        <v>0</v>
      </c>
      <c r="V630" s="126">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6">
        <f t="shared" si="169"/>
        <v>0</v>
      </c>
      <c r="AC630" s="126"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7"/>
      <c r="B631" s="118"/>
      <c r="C631" s="119"/>
      <c r="D631" s="119"/>
      <c r="E631" s="117"/>
      <c r="F631" s="120">
        <f t="shared" si="153"/>
        <v>0</v>
      </c>
      <c r="G631" s="121" t="str">
        <f t="shared" si="154"/>
        <v/>
      </c>
      <c r="H631" s="122">
        <f>IF($D631="",0,IFERROR(LOOKUP(2,1/(($D$3:D630=$D631)*($A$3:A630&lt;$A631)),$N$3:N630),'Guide &amp; Settings'!$C$41))</f>
        <v>0</v>
      </c>
      <c r="I631" s="123">
        <f t="shared" si="155"/>
        <v>0</v>
      </c>
      <c r="J631" s="124">
        <f>IF($D631="",0,IF($F631&lt;2,0,IF($E631="Win",('Guide &amp; Settings'!$C$42/(($F631-1)*COUNTIFS($A$4:$A$810,$A631,$E$4:$E$810,"Win")))*SUMIFS($X$4:$X$810,$A$4:$A$810,$A631,$E$4:$E$810,"Loss"),-('Guide &amp; Settings'!$C$42/($F631-1))*$X631)))</f>
        <v>0</v>
      </c>
      <c r="K631" s="124">
        <f>IF($D631="",0,'Guide &amp; Settings'!$C$43*(IF($E631="Win",1,0)-$I631))</f>
        <v>0</v>
      </c>
      <c r="L631" s="125">
        <f>IF($D631="",0,'Guide &amp; Settings'!$C$44*IF($F631&gt;=3,$F631,0))</f>
        <v>0</v>
      </c>
      <c r="M631" s="124">
        <f t="shared" si="156"/>
        <v>0</v>
      </c>
      <c r="N631" s="122">
        <f t="shared" si="157"/>
        <v>0</v>
      </c>
      <c r="O631" s="121" t="str">
        <f t="shared" si="158"/>
        <v/>
      </c>
      <c r="P631">
        <f t="shared" si="159"/>
        <v>0</v>
      </c>
      <c r="Q631">
        <f t="shared" si="160"/>
        <v>0</v>
      </c>
      <c r="R631">
        <f t="shared" si="161"/>
        <v>0</v>
      </c>
      <c r="S631">
        <f t="shared" si="162"/>
        <v>0</v>
      </c>
      <c r="T631" s="89">
        <f t="shared" si="163"/>
        <v>0</v>
      </c>
      <c r="U631" s="126">
        <f>IF($D631="",0,IFERROR(LOOKUP(2,1/(($D$3:D630=$D631)*($C$3:C630=$C631)*($A$3:A630&lt;$A631)),$AB$3:AB630),1000))</f>
        <v>0</v>
      </c>
      <c r="V631" s="126">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6">
        <f t="shared" si="169"/>
        <v>0</v>
      </c>
      <c r="AC631" s="126"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7"/>
      <c r="B632" s="118"/>
      <c r="C632" s="119"/>
      <c r="D632" s="119"/>
      <c r="E632" s="117"/>
      <c r="F632" s="120">
        <f t="shared" si="153"/>
        <v>0</v>
      </c>
      <c r="G632" s="121" t="str">
        <f t="shared" si="154"/>
        <v/>
      </c>
      <c r="H632" s="122">
        <f>IF($D632="",0,IFERROR(LOOKUP(2,1/(($D$3:D631=$D632)*($A$3:A631&lt;$A632)),$N$3:N631),'Guide &amp; Settings'!$C$41))</f>
        <v>0</v>
      </c>
      <c r="I632" s="123">
        <f t="shared" si="155"/>
        <v>0</v>
      </c>
      <c r="J632" s="124">
        <f>IF($D632="",0,IF($F632&lt;2,0,IF($E632="Win",('Guide &amp; Settings'!$C$42/(($F632-1)*COUNTIFS($A$4:$A$810,$A632,$E$4:$E$810,"Win")))*SUMIFS($X$4:$X$810,$A$4:$A$810,$A632,$E$4:$E$810,"Loss"),-('Guide &amp; Settings'!$C$42/($F632-1))*$X632)))</f>
        <v>0</v>
      </c>
      <c r="K632" s="124">
        <f>IF($D632="",0,'Guide &amp; Settings'!$C$43*(IF($E632="Win",1,0)-$I632))</f>
        <v>0</v>
      </c>
      <c r="L632" s="125">
        <f>IF($D632="",0,'Guide &amp; Settings'!$C$44*IF($F632&gt;=3,$F632,0))</f>
        <v>0</v>
      </c>
      <c r="M632" s="124">
        <f t="shared" si="156"/>
        <v>0</v>
      </c>
      <c r="N632" s="122">
        <f t="shared" si="157"/>
        <v>0</v>
      </c>
      <c r="O632" s="121" t="str">
        <f t="shared" si="158"/>
        <v/>
      </c>
      <c r="P632">
        <f t="shared" si="159"/>
        <v>0</v>
      </c>
      <c r="Q632">
        <f t="shared" si="160"/>
        <v>0</v>
      </c>
      <c r="R632">
        <f t="shared" si="161"/>
        <v>0</v>
      </c>
      <c r="S632">
        <f t="shared" si="162"/>
        <v>0</v>
      </c>
      <c r="T632" s="89">
        <f t="shared" si="163"/>
        <v>0</v>
      </c>
      <c r="U632" s="126">
        <f>IF($D632="",0,IFERROR(LOOKUP(2,1/(($D$3:D631=$D632)*($C$3:C631=$C632)*($A$3:A631&lt;$A632)),$AB$3:AB631),1000))</f>
        <v>0</v>
      </c>
      <c r="V632" s="126">
        <f t="shared" si="164"/>
        <v>0</v>
      </c>
      <c r="W632">
        <f t="shared" si="165"/>
        <v>0</v>
      </c>
      <c r="X632">
        <f t="shared" si="166"/>
        <v>0</v>
      </c>
      <c r="Y632">
        <f t="shared" si="167"/>
        <v>0</v>
      </c>
      <c r="Z632">
        <f t="shared" si="168"/>
        <v>0</v>
      </c>
      <c r="AA632">
        <f>IF($D632="",0,IF($F632&lt;2,0,IF($E632="Win",('Guide &amp; Settings'!$C$42/(($F632-1)*COUNTIFS($A$4:$A$810,$A632,$E$4:$E$810,"Win")))*SUMIFS($Z$4:$Z$810,$A$4:$A$810,$A632,$E$4:$E$810,"Loss"),-('Guide &amp; Settings'!$C$42/($F632-1))*$Z632)))</f>
        <v>0</v>
      </c>
      <c r="AB632" s="126">
        <f t="shared" si="169"/>
        <v>0</v>
      </c>
      <c r="AC632" s="126"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7"/>
      <c r="B633" s="118"/>
      <c r="C633" s="119"/>
      <c r="D633" s="119"/>
      <c r="E633" s="117"/>
      <c r="F633" s="120">
        <f t="shared" si="153"/>
        <v>0</v>
      </c>
      <c r="G633" s="121" t="str">
        <f t="shared" si="154"/>
        <v/>
      </c>
      <c r="H633" s="122">
        <f>IF($D633="",0,IFERROR(LOOKUP(2,1/(($D$3:D632=$D633)*($A$3:A632&lt;$A633)),$N$3:N632),'Guide &amp; Settings'!$C$41))</f>
        <v>0</v>
      </c>
      <c r="I633" s="123">
        <f t="shared" si="155"/>
        <v>0</v>
      </c>
      <c r="J633" s="124">
        <f>IF($D633="",0,IF($F633&lt;2,0,IF($E633="Win",('Guide &amp; Settings'!$C$42/(($F633-1)*COUNTIFS($A$4:$A$810,$A633,$E$4:$E$810,"Win")))*SUMIFS($X$4:$X$810,$A$4:$A$810,$A633,$E$4:$E$810,"Loss"),-('Guide &amp; Settings'!$C$42/($F633-1))*$X633)))</f>
        <v>0</v>
      </c>
      <c r="K633" s="124">
        <f>IF($D633="",0,'Guide &amp; Settings'!$C$43*(IF($E633="Win",1,0)-$I633))</f>
        <v>0</v>
      </c>
      <c r="L633" s="125">
        <f>IF($D633="",0,'Guide &amp; Settings'!$C$44*IF($F633&gt;=3,$F633,0))</f>
        <v>0</v>
      </c>
      <c r="M633" s="124">
        <f t="shared" si="156"/>
        <v>0</v>
      </c>
      <c r="N633" s="122">
        <f t="shared" si="157"/>
        <v>0</v>
      </c>
      <c r="O633" s="121" t="str">
        <f t="shared" si="158"/>
        <v/>
      </c>
      <c r="P633">
        <f t="shared" si="159"/>
        <v>0</v>
      </c>
      <c r="Q633">
        <f t="shared" si="160"/>
        <v>0</v>
      </c>
      <c r="R633">
        <f t="shared" si="161"/>
        <v>0</v>
      </c>
      <c r="S633">
        <f t="shared" si="162"/>
        <v>0</v>
      </c>
      <c r="T633" s="89">
        <f t="shared" si="163"/>
        <v>0</v>
      </c>
      <c r="U633" s="126">
        <f>IF($D633="",0,IFERROR(LOOKUP(2,1/(($D$3:D632=$D633)*($C$3:C632=$C633)*($A$3:A632&lt;$A633)),$AB$3:AB632),1000))</f>
        <v>0</v>
      </c>
      <c r="V633" s="126">
        <f t="shared" si="164"/>
        <v>0</v>
      </c>
      <c r="W633">
        <f t="shared" si="165"/>
        <v>0</v>
      </c>
      <c r="X633">
        <f t="shared" si="166"/>
        <v>0</v>
      </c>
      <c r="Y633">
        <f t="shared" si="167"/>
        <v>0</v>
      </c>
      <c r="Z633">
        <f t="shared" si="168"/>
        <v>0</v>
      </c>
      <c r="AA633">
        <f>IF($D633="",0,IF($F633&lt;2,0,IF($E633="Win",('Guide &amp; Settings'!$C$42/(($F633-1)*COUNTIFS($A$4:$A$810,$A633,$E$4:$E$810,"Win")))*SUMIFS($Z$4:$Z$810,$A$4:$A$810,$A633,$E$4:$E$810,"Loss"),-('Guide &amp; Settings'!$C$42/($F633-1))*$Z633)))</f>
        <v>0</v>
      </c>
      <c r="AB633" s="126">
        <f t="shared" si="169"/>
        <v>0</v>
      </c>
      <c r="AC633" s="126"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7"/>
      <c r="B634" s="118"/>
      <c r="C634" s="119"/>
      <c r="D634" s="119"/>
      <c r="E634" s="117"/>
      <c r="F634" s="120">
        <f t="shared" si="153"/>
        <v>0</v>
      </c>
      <c r="G634" s="121" t="str">
        <f t="shared" si="154"/>
        <v/>
      </c>
      <c r="H634" s="122">
        <f>IF($D634="",0,IFERROR(LOOKUP(2,1/(($D$3:D633=$D634)*($A$3:A633&lt;$A634)),$N$3:N633),'Guide &amp; Settings'!$C$41))</f>
        <v>0</v>
      </c>
      <c r="I634" s="123">
        <f t="shared" si="155"/>
        <v>0</v>
      </c>
      <c r="J634" s="124">
        <f>IF($D634="",0,IF($F634&lt;2,0,IF($E634="Win",('Guide &amp; Settings'!$C$42/(($F634-1)*COUNTIFS($A$4:$A$810,$A634,$E$4:$E$810,"Win")))*SUMIFS($X$4:$X$810,$A$4:$A$810,$A634,$E$4:$E$810,"Loss"),-('Guide &amp; Settings'!$C$42/($F634-1))*$X634)))</f>
        <v>0</v>
      </c>
      <c r="K634" s="124">
        <f>IF($D634="",0,'Guide &amp; Settings'!$C$43*(IF($E634="Win",1,0)-$I634))</f>
        <v>0</v>
      </c>
      <c r="L634" s="125">
        <f>IF($D634="",0,'Guide &amp; Settings'!$C$44*IF($F634&gt;=3,$F634,0))</f>
        <v>0</v>
      </c>
      <c r="M634" s="124">
        <f t="shared" si="156"/>
        <v>0</v>
      </c>
      <c r="N634" s="122">
        <f t="shared" si="157"/>
        <v>0</v>
      </c>
      <c r="O634" s="121" t="str">
        <f t="shared" si="158"/>
        <v/>
      </c>
      <c r="P634">
        <f t="shared" si="159"/>
        <v>0</v>
      </c>
      <c r="Q634">
        <f t="shared" si="160"/>
        <v>0</v>
      </c>
      <c r="R634">
        <f t="shared" si="161"/>
        <v>0</v>
      </c>
      <c r="S634">
        <f t="shared" si="162"/>
        <v>0</v>
      </c>
      <c r="T634" s="89">
        <f t="shared" si="163"/>
        <v>0</v>
      </c>
      <c r="U634" s="126">
        <f>IF($D634="",0,IFERROR(LOOKUP(2,1/(($D$3:D633=$D634)*($C$3:C633=$C634)*($A$3:A633&lt;$A634)),$AB$3:AB633),1000))</f>
        <v>0</v>
      </c>
      <c r="V634" s="126">
        <f t="shared" si="164"/>
        <v>0</v>
      </c>
      <c r="W634">
        <f t="shared" si="165"/>
        <v>0</v>
      </c>
      <c r="X634">
        <f t="shared" si="166"/>
        <v>0</v>
      </c>
      <c r="Y634">
        <f t="shared" si="167"/>
        <v>0</v>
      </c>
      <c r="Z634">
        <f t="shared" si="168"/>
        <v>0</v>
      </c>
      <c r="AA634">
        <f>IF($D634="",0,IF($F634&lt;2,0,IF($E634="Win",('Guide &amp; Settings'!$C$42/(($F634-1)*COUNTIFS($A$4:$A$810,$A634,$E$4:$E$810,"Win")))*SUMIFS($Z$4:$Z$810,$A$4:$A$810,$A634,$E$4:$E$810,"Loss"),-('Guide &amp; Settings'!$C$42/($F634-1))*$Z634)))</f>
        <v>0</v>
      </c>
      <c r="AB634" s="126">
        <f t="shared" si="169"/>
        <v>0</v>
      </c>
      <c r="AC634" s="126"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7"/>
      <c r="B635" s="118"/>
      <c r="C635" s="119"/>
      <c r="D635" s="119"/>
      <c r="E635" s="117"/>
      <c r="F635" s="120">
        <f t="shared" si="153"/>
        <v>0</v>
      </c>
      <c r="G635" s="121" t="str">
        <f t="shared" si="154"/>
        <v/>
      </c>
      <c r="H635" s="122">
        <f>IF($D635="",0,IFERROR(LOOKUP(2,1/(($D$3:D634=$D635)*($A$3:A634&lt;$A635)),$N$3:N634),'Guide &amp; Settings'!$C$41))</f>
        <v>0</v>
      </c>
      <c r="I635" s="123">
        <f t="shared" si="155"/>
        <v>0</v>
      </c>
      <c r="J635" s="124">
        <f>IF($D635="",0,IF($F635&lt;2,0,IF($E635="Win",('Guide &amp; Settings'!$C$42/(($F635-1)*COUNTIFS($A$4:$A$810,$A635,$E$4:$E$810,"Win")))*SUMIFS($X$4:$X$810,$A$4:$A$810,$A635,$E$4:$E$810,"Loss"),-('Guide &amp; Settings'!$C$42/($F635-1))*$X635)))</f>
        <v>0</v>
      </c>
      <c r="K635" s="124">
        <f>IF($D635="",0,'Guide &amp; Settings'!$C$43*(IF($E635="Win",1,0)-$I635))</f>
        <v>0</v>
      </c>
      <c r="L635" s="125">
        <f>IF($D635="",0,'Guide &amp; Settings'!$C$44*IF($F635&gt;=3,$F635,0))</f>
        <v>0</v>
      </c>
      <c r="M635" s="124">
        <f t="shared" si="156"/>
        <v>0</v>
      </c>
      <c r="N635" s="122">
        <f t="shared" si="157"/>
        <v>0</v>
      </c>
      <c r="O635" s="121" t="str">
        <f t="shared" si="158"/>
        <v/>
      </c>
      <c r="P635">
        <f t="shared" si="159"/>
        <v>0</v>
      </c>
      <c r="Q635">
        <f t="shared" si="160"/>
        <v>0</v>
      </c>
      <c r="R635">
        <f t="shared" si="161"/>
        <v>0</v>
      </c>
      <c r="S635">
        <f t="shared" si="162"/>
        <v>0</v>
      </c>
      <c r="T635" s="89">
        <f t="shared" si="163"/>
        <v>0</v>
      </c>
      <c r="U635" s="126">
        <f>IF($D635="",0,IFERROR(LOOKUP(2,1/(($D$3:D634=$D635)*($C$3:C634=$C635)*($A$3:A634&lt;$A635)),$AB$3:AB634),1000))</f>
        <v>0</v>
      </c>
      <c r="V635" s="126">
        <f t="shared" si="164"/>
        <v>0</v>
      </c>
      <c r="W635">
        <f t="shared" si="165"/>
        <v>0</v>
      </c>
      <c r="X635">
        <f t="shared" si="166"/>
        <v>0</v>
      </c>
      <c r="Y635">
        <f t="shared" si="167"/>
        <v>0</v>
      </c>
      <c r="Z635">
        <f t="shared" si="168"/>
        <v>0</v>
      </c>
      <c r="AA635">
        <f>IF($D635="",0,IF($F635&lt;2,0,IF($E635="Win",('Guide &amp; Settings'!$C$42/(($F635-1)*COUNTIFS($A$4:$A$810,$A635,$E$4:$E$810,"Win")))*SUMIFS($Z$4:$Z$810,$A$4:$A$810,$A635,$E$4:$E$810,"Loss"),-('Guide &amp; Settings'!$C$42/($F635-1))*$Z635)))</f>
        <v>0</v>
      </c>
      <c r="AB635" s="126">
        <f t="shared" si="169"/>
        <v>0</v>
      </c>
      <c r="AC635" s="126"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7"/>
      <c r="B636" s="118"/>
      <c r="C636" s="119"/>
      <c r="D636" s="119"/>
      <c r="E636" s="117"/>
      <c r="F636" s="120">
        <f t="shared" si="153"/>
        <v>0</v>
      </c>
      <c r="G636" s="121" t="str">
        <f t="shared" si="154"/>
        <v/>
      </c>
      <c r="H636" s="122">
        <f>IF($D636="",0,IFERROR(LOOKUP(2,1/(($D$3:D635=$D636)*($A$3:A635&lt;$A636)),$N$3:N635),'Guide &amp; Settings'!$C$41))</f>
        <v>0</v>
      </c>
      <c r="I636" s="123">
        <f t="shared" si="155"/>
        <v>0</v>
      </c>
      <c r="J636" s="124">
        <f>IF($D636="",0,IF($F636&lt;2,0,IF($E636="Win",('Guide &amp; Settings'!$C$42/(($F636-1)*COUNTIFS($A$4:$A$810,$A636,$E$4:$E$810,"Win")))*SUMIFS($X$4:$X$810,$A$4:$A$810,$A636,$E$4:$E$810,"Loss"),-('Guide &amp; Settings'!$C$42/($F636-1))*$X636)))</f>
        <v>0</v>
      </c>
      <c r="K636" s="124">
        <f>IF($D636="",0,'Guide &amp; Settings'!$C$43*(IF($E636="Win",1,0)-$I636))</f>
        <v>0</v>
      </c>
      <c r="L636" s="125">
        <f>IF($D636="",0,'Guide &amp; Settings'!$C$44*IF($F636&gt;=3,$F636,0))</f>
        <v>0</v>
      </c>
      <c r="M636" s="124">
        <f t="shared" si="156"/>
        <v>0</v>
      </c>
      <c r="N636" s="122">
        <f t="shared" si="157"/>
        <v>0</v>
      </c>
      <c r="O636" s="121" t="str">
        <f t="shared" si="158"/>
        <v/>
      </c>
      <c r="P636">
        <f t="shared" si="159"/>
        <v>0</v>
      </c>
      <c r="Q636">
        <f t="shared" si="160"/>
        <v>0</v>
      </c>
      <c r="R636">
        <f t="shared" si="161"/>
        <v>0</v>
      </c>
      <c r="S636">
        <f t="shared" si="162"/>
        <v>0</v>
      </c>
      <c r="T636" s="89">
        <f t="shared" si="163"/>
        <v>0</v>
      </c>
      <c r="U636" s="126">
        <f>IF($D636="",0,IFERROR(LOOKUP(2,1/(($D$3:D635=$D636)*($C$3:C635=$C636)*($A$3:A635&lt;$A636)),$AB$3:AB635),1000))</f>
        <v>0</v>
      </c>
      <c r="V636" s="126">
        <f t="shared" si="164"/>
        <v>0</v>
      </c>
      <c r="W636">
        <f t="shared" si="165"/>
        <v>0</v>
      </c>
      <c r="X636">
        <f t="shared" si="166"/>
        <v>0</v>
      </c>
      <c r="Y636">
        <f t="shared" si="167"/>
        <v>0</v>
      </c>
      <c r="Z636">
        <f t="shared" si="168"/>
        <v>0</v>
      </c>
      <c r="AA636">
        <f>IF($D636="",0,IF($F636&lt;2,0,IF($E636="Win",('Guide &amp; Settings'!$C$42/(($F636-1)*COUNTIFS($A$4:$A$810,$A636,$E$4:$E$810,"Win")))*SUMIFS($Z$4:$Z$810,$A$4:$A$810,$A636,$E$4:$E$810,"Loss"),-('Guide &amp; Settings'!$C$42/($F636-1))*$Z636)))</f>
        <v>0</v>
      </c>
      <c r="AB636" s="126">
        <f t="shared" si="169"/>
        <v>0</v>
      </c>
      <c r="AC636" s="126"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7"/>
      <c r="B637" s="118"/>
      <c r="C637" s="119"/>
      <c r="D637" s="119"/>
      <c r="E637" s="117"/>
      <c r="F637" s="120">
        <f t="shared" si="153"/>
        <v>0</v>
      </c>
      <c r="G637" s="121" t="str">
        <f t="shared" si="154"/>
        <v/>
      </c>
      <c r="H637" s="122">
        <f>IF($D637="",0,IFERROR(LOOKUP(2,1/(($D$3:D636=$D637)*($A$3:A636&lt;$A637)),$N$3:N636),'Guide &amp; Settings'!$C$41))</f>
        <v>0</v>
      </c>
      <c r="I637" s="123">
        <f t="shared" si="155"/>
        <v>0</v>
      </c>
      <c r="J637" s="124">
        <f>IF($D637="",0,IF($F637&lt;2,0,IF($E637="Win",('Guide &amp; Settings'!$C$42/(($F637-1)*COUNTIFS($A$4:$A$810,$A637,$E$4:$E$810,"Win")))*SUMIFS($X$4:$X$810,$A$4:$A$810,$A637,$E$4:$E$810,"Loss"),-('Guide &amp; Settings'!$C$42/($F637-1))*$X637)))</f>
        <v>0</v>
      </c>
      <c r="K637" s="124">
        <f>IF($D637="",0,'Guide &amp; Settings'!$C$43*(IF($E637="Win",1,0)-$I637))</f>
        <v>0</v>
      </c>
      <c r="L637" s="125">
        <f>IF($D637="",0,'Guide &amp; Settings'!$C$44*IF($F637&gt;=3,$F637,0))</f>
        <v>0</v>
      </c>
      <c r="M637" s="124">
        <f t="shared" si="156"/>
        <v>0</v>
      </c>
      <c r="N637" s="122">
        <f t="shared" si="157"/>
        <v>0</v>
      </c>
      <c r="O637" s="121" t="str">
        <f t="shared" si="158"/>
        <v/>
      </c>
      <c r="P637">
        <f t="shared" si="159"/>
        <v>0</v>
      </c>
      <c r="Q637">
        <f t="shared" si="160"/>
        <v>0</v>
      </c>
      <c r="R637">
        <f t="shared" si="161"/>
        <v>0</v>
      </c>
      <c r="S637">
        <f t="shared" si="162"/>
        <v>0</v>
      </c>
      <c r="T637" s="89">
        <f t="shared" si="163"/>
        <v>0</v>
      </c>
      <c r="U637" s="126">
        <f>IF($D637="",0,IFERROR(LOOKUP(2,1/(($D$3:D636=$D637)*($C$3:C636=$C637)*($A$3:A636&lt;$A637)),$AB$3:AB636),1000))</f>
        <v>0</v>
      </c>
      <c r="V637" s="126">
        <f t="shared" si="164"/>
        <v>0</v>
      </c>
      <c r="W637">
        <f t="shared" si="165"/>
        <v>0</v>
      </c>
      <c r="X637">
        <f t="shared" si="166"/>
        <v>0</v>
      </c>
      <c r="Y637">
        <f t="shared" si="167"/>
        <v>0</v>
      </c>
      <c r="Z637">
        <f t="shared" si="168"/>
        <v>0</v>
      </c>
      <c r="AA637">
        <f>IF($D637="",0,IF($F637&lt;2,0,IF($E637="Win",('Guide &amp; Settings'!$C$42/(($F637-1)*COUNTIFS($A$4:$A$810,$A637,$E$4:$E$810,"Win")))*SUMIFS($Z$4:$Z$810,$A$4:$A$810,$A637,$E$4:$E$810,"Loss"),-('Guide &amp; Settings'!$C$42/($F637-1))*$Z637)))</f>
        <v>0</v>
      </c>
      <c r="AB637" s="126">
        <f t="shared" si="169"/>
        <v>0</v>
      </c>
      <c r="AC637" s="126"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7"/>
      <c r="B638" s="118"/>
      <c r="C638" s="119"/>
      <c r="D638" s="119"/>
      <c r="E638" s="117"/>
      <c r="F638" s="120">
        <f t="shared" si="153"/>
        <v>0</v>
      </c>
      <c r="G638" s="121" t="str">
        <f t="shared" si="154"/>
        <v/>
      </c>
      <c r="H638" s="122">
        <f>IF($D638="",0,IFERROR(LOOKUP(2,1/(($D$3:D637=$D638)*($A$3:A637&lt;$A638)),$N$3:N637),'Guide &amp; Settings'!$C$41))</f>
        <v>0</v>
      </c>
      <c r="I638" s="123">
        <f t="shared" si="155"/>
        <v>0</v>
      </c>
      <c r="J638" s="124">
        <f>IF($D638="",0,IF($F638&lt;2,0,IF($E638="Win",('Guide &amp; Settings'!$C$42/(($F638-1)*COUNTIFS($A$4:$A$810,$A638,$E$4:$E$810,"Win")))*SUMIFS($X$4:$X$810,$A$4:$A$810,$A638,$E$4:$E$810,"Loss"),-('Guide &amp; Settings'!$C$42/($F638-1))*$X638)))</f>
        <v>0</v>
      </c>
      <c r="K638" s="124">
        <f>IF($D638="",0,'Guide &amp; Settings'!$C$43*(IF($E638="Win",1,0)-$I638))</f>
        <v>0</v>
      </c>
      <c r="L638" s="125">
        <f>IF($D638="",0,'Guide &amp; Settings'!$C$44*IF($F638&gt;=3,$F638,0))</f>
        <v>0</v>
      </c>
      <c r="M638" s="124">
        <f t="shared" si="156"/>
        <v>0</v>
      </c>
      <c r="N638" s="122">
        <f t="shared" si="157"/>
        <v>0</v>
      </c>
      <c r="O638" s="121" t="str">
        <f t="shared" si="158"/>
        <v/>
      </c>
      <c r="P638">
        <f t="shared" si="159"/>
        <v>0</v>
      </c>
      <c r="Q638">
        <f t="shared" si="160"/>
        <v>0</v>
      </c>
      <c r="R638">
        <f t="shared" si="161"/>
        <v>0</v>
      </c>
      <c r="S638">
        <f t="shared" si="162"/>
        <v>0</v>
      </c>
      <c r="T638" s="89">
        <f t="shared" si="163"/>
        <v>0</v>
      </c>
      <c r="U638" s="126">
        <f>IF($D638="",0,IFERROR(LOOKUP(2,1/(($D$3:D637=$D638)*($C$3:C637=$C638)*($A$3:A637&lt;$A638)),$AB$3:AB637),1000))</f>
        <v>0</v>
      </c>
      <c r="V638" s="126">
        <f t="shared" si="164"/>
        <v>0</v>
      </c>
      <c r="W638">
        <f t="shared" si="165"/>
        <v>0</v>
      </c>
      <c r="X638">
        <f t="shared" si="166"/>
        <v>0</v>
      </c>
      <c r="Y638">
        <f t="shared" si="167"/>
        <v>0</v>
      </c>
      <c r="Z638">
        <f t="shared" si="168"/>
        <v>0</v>
      </c>
      <c r="AA638">
        <f>IF($D638="",0,IF($F638&lt;2,0,IF($E638="Win",('Guide &amp; Settings'!$C$42/(($F638-1)*COUNTIFS($A$4:$A$810,$A638,$E$4:$E$810,"Win")))*SUMIFS($Z$4:$Z$810,$A$4:$A$810,$A638,$E$4:$E$810,"Loss"),-('Guide &amp; Settings'!$C$42/($F638-1))*$Z638)))</f>
        <v>0</v>
      </c>
      <c r="AB638" s="126">
        <f t="shared" si="169"/>
        <v>0</v>
      </c>
      <c r="AC638" s="126"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7"/>
      <c r="B639" s="118"/>
      <c r="C639" s="119"/>
      <c r="D639" s="119"/>
      <c r="E639" s="117"/>
      <c r="F639" s="120">
        <f t="shared" si="153"/>
        <v>0</v>
      </c>
      <c r="G639" s="121" t="str">
        <f t="shared" si="154"/>
        <v/>
      </c>
      <c r="H639" s="122">
        <f>IF($D639="",0,IFERROR(LOOKUP(2,1/(($D$3:D638=$D639)*($A$3:A638&lt;$A639)),$N$3:N638),'Guide &amp; Settings'!$C$41))</f>
        <v>0</v>
      </c>
      <c r="I639" s="123">
        <f t="shared" si="155"/>
        <v>0</v>
      </c>
      <c r="J639" s="124">
        <f>IF($D639="",0,IF($F639&lt;2,0,IF($E639="Win",('Guide &amp; Settings'!$C$42/(($F639-1)*COUNTIFS($A$4:$A$810,$A639,$E$4:$E$810,"Win")))*SUMIFS($X$4:$X$810,$A$4:$A$810,$A639,$E$4:$E$810,"Loss"),-('Guide &amp; Settings'!$C$42/($F639-1))*$X639)))</f>
        <v>0</v>
      </c>
      <c r="K639" s="124">
        <f>IF($D639="",0,'Guide &amp; Settings'!$C$43*(IF($E639="Win",1,0)-$I639))</f>
        <v>0</v>
      </c>
      <c r="L639" s="125">
        <f>IF($D639="",0,'Guide &amp; Settings'!$C$44*IF($F639&gt;=3,$F639,0))</f>
        <v>0</v>
      </c>
      <c r="M639" s="124">
        <f t="shared" si="156"/>
        <v>0</v>
      </c>
      <c r="N639" s="122">
        <f t="shared" si="157"/>
        <v>0</v>
      </c>
      <c r="O639" s="121" t="str">
        <f t="shared" si="158"/>
        <v/>
      </c>
      <c r="P639">
        <f t="shared" si="159"/>
        <v>0</v>
      </c>
      <c r="Q639">
        <f t="shared" si="160"/>
        <v>0</v>
      </c>
      <c r="R639">
        <f t="shared" si="161"/>
        <v>0</v>
      </c>
      <c r="S639">
        <f t="shared" si="162"/>
        <v>0</v>
      </c>
      <c r="T639" s="89">
        <f t="shared" si="163"/>
        <v>0</v>
      </c>
      <c r="U639" s="126">
        <f>IF($D639="",0,IFERROR(LOOKUP(2,1/(($D$3:D638=$D639)*($C$3:C638=$C639)*($A$3:A638&lt;$A639)),$AB$3:AB638),1000))</f>
        <v>0</v>
      </c>
      <c r="V639" s="126">
        <f t="shared" si="164"/>
        <v>0</v>
      </c>
      <c r="W639">
        <f t="shared" si="165"/>
        <v>0</v>
      </c>
      <c r="X639">
        <f t="shared" si="166"/>
        <v>0</v>
      </c>
      <c r="Y639">
        <f t="shared" si="167"/>
        <v>0</v>
      </c>
      <c r="Z639">
        <f t="shared" si="168"/>
        <v>0</v>
      </c>
      <c r="AA639">
        <f>IF($D639="",0,IF($F639&lt;2,0,IF($E639="Win",('Guide &amp; Settings'!$C$42/(($F639-1)*COUNTIFS($A$4:$A$810,$A639,$E$4:$E$810,"Win")))*SUMIFS($Z$4:$Z$810,$A$4:$A$810,$A639,$E$4:$E$810,"Loss"),-('Guide &amp; Settings'!$C$42/($F639-1))*$Z639)))</f>
        <v>0</v>
      </c>
      <c r="AB639" s="126">
        <f t="shared" si="169"/>
        <v>0</v>
      </c>
      <c r="AC639" s="126"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7"/>
      <c r="B640" s="118"/>
      <c r="C640" s="119"/>
      <c r="D640" s="119"/>
      <c r="E640" s="117"/>
      <c r="F640" s="120">
        <f t="shared" si="153"/>
        <v>0</v>
      </c>
      <c r="G640" s="121" t="str">
        <f t="shared" si="154"/>
        <v/>
      </c>
      <c r="H640" s="122">
        <f>IF($D640="",0,IFERROR(LOOKUP(2,1/(($D$3:D639=$D640)*($A$3:A639&lt;$A640)),$N$3:N639),'Guide &amp; Settings'!$C$41))</f>
        <v>0</v>
      </c>
      <c r="I640" s="123">
        <f t="shared" si="155"/>
        <v>0</v>
      </c>
      <c r="J640" s="124">
        <f>IF($D640="",0,IF($F640&lt;2,0,IF($E640="Win",('Guide &amp; Settings'!$C$42/(($F640-1)*COUNTIFS($A$4:$A$810,$A640,$E$4:$E$810,"Win")))*SUMIFS($X$4:$X$810,$A$4:$A$810,$A640,$E$4:$E$810,"Loss"),-('Guide &amp; Settings'!$C$42/($F640-1))*$X640)))</f>
        <v>0</v>
      </c>
      <c r="K640" s="124">
        <f>IF($D640="",0,'Guide &amp; Settings'!$C$43*(IF($E640="Win",1,0)-$I640))</f>
        <v>0</v>
      </c>
      <c r="L640" s="125">
        <f>IF($D640="",0,'Guide &amp; Settings'!$C$44*IF($F640&gt;=3,$F640,0))</f>
        <v>0</v>
      </c>
      <c r="M640" s="124">
        <f t="shared" si="156"/>
        <v>0</v>
      </c>
      <c r="N640" s="122">
        <f t="shared" si="157"/>
        <v>0</v>
      </c>
      <c r="O640" s="121" t="str">
        <f t="shared" si="158"/>
        <v/>
      </c>
      <c r="P640">
        <f t="shared" si="159"/>
        <v>0</v>
      </c>
      <c r="Q640">
        <f t="shared" si="160"/>
        <v>0</v>
      </c>
      <c r="R640">
        <f t="shared" si="161"/>
        <v>0</v>
      </c>
      <c r="S640">
        <f t="shared" si="162"/>
        <v>0</v>
      </c>
      <c r="T640" s="89">
        <f t="shared" si="163"/>
        <v>0</v>
      </c>
      <c r="U640" s="126">
        <f>IF($D640="",0,IFERROR(LOOKUP(2,1/(($D$3:D639=$D640)*($C$3:C639=$C640)*($A$3:A639&lt;$A640)),$AB$3:AB639),1000))</f>
        <v>0</v>
      </c>
      <c r="V640" s="126">
        <f t="shared" si="164"/>
        <v>0</v>
      </c>
      <c r="W640">
        <f t="shared" si="165"/>
        <v>0</v>
      </c>
      <c r="X640">
        <f t="shared" si="166"/>
        <v>0</v>
      </c>
      <c r="Y640">
        <f t="shared" si="167"/>
        <v>0</v>
      </c>
      <c r="Z640">
        <f t="shared" si="168"/>
        <v>0</v>
      </c>
      <c r="AA640">
        <f>IF($D640="",0,IF($F640&lt;2,0,IF($E640="Win",('Guide &amp; Settings'!$C$42/(($F640-1)*COUNTIFS($A$4:$A$810,$A640,$E$4:$E$810,"Win")))*SUMIFS($Z$4:$Z$810,$A$4:$A$810,$A640,$E$4:$E$810,"Loss"),-('Guide &amp; Settings'!$C$42/($F640-1))*$Z640)))</f>
        <v>0</v>
      </c>
      <c r="AB640" s="126">
        <f t="shared" si="169"/>
        <v>0</v>
      </c>
      <c r="AC640" s="126"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7"/>
      <c r="B641" s="118"/>
      <c r="C641" s="119"/>
      <c r="D641" s="119"/>
      <c r="E641" s="117"/>
      <c r="F641" s="120">
        <f t="shared" si="153"/>
        <v>0</v>
      </c>
      <c r="G641" s="121" t="str">
        <f t="shared" si="154"/>
        <v/>
      </c>
      <c r="H641" s="122">
        <f>IF($D641="",0,IFERROR(LOOKUP(2,1/(($D$3:D640=$D641)*($A$3:A640&lt;$A641)),$N$3:N640),'Guide &amp; Settings'!$C$41))</f>
        <v>0</v>
      </c>
      <c r="I641" s="123">
        <f t="shared" si="155"/>
        <v>0</v>
      </c>
      <c r="J641" s="124">
        <f>IF($D641="",0,IF($F641&lt;2,0,IF($E641="Win",('Guide &amp; Settings'!$C$42/(($F641-1)*COUNTIFS($A$4:$A$810,$A641,$E$4:$E$810,"Win")))*SUMIFS($X$4:$X$810,$A$4:$A$810,$A641,$E$4:$E$810,"Loss"),-('Guide &amp; Settings'!$C$42/($F641-1))*$X641)))</f>
        <v>0</v>
      </c>
      <c r="K641" s="124">
        <f>IF($D641="",0,'Guide &amp; Settings'!$C$43*(IF($E641="Win",1,0)-$I641))</f>
        <v>0</v>
      </c>
      <c r="L641" s="125">
        <f>IF($D641="",0,'Guide &amp; Settings'!$C$44*IF($F641&gt;=3,$F641,0))</f>
        <v>0</v>
      </c>
      <c r="M641" s="124">
        <f t="shared" si="156"/>
        <v>0</v>
      </c>
      <c r="N641" s="122">
        <f t="shared" si="157"/>
        <v>0</v>
      </c>
      <c r="O641" s="121" t="str">
        <f t="shared" si="158"/>
        <v/>
      </c>
      <c r="P641">
        <f t="shared" si="159"/>
        <v>0</v>
      </c>
      <c r="Q641">
        <f t="shared" si="160"/>
        <v>0</v>
      </c>
      <c r="R641">
        <f t="shared" si="161"/>
        <v>0</v>
      </c>
      <c r="S641">
        <f t="shared" si="162"/>
        <v>0</v>
      </c>
      <c r="T641" s="89">
        <f t="shared" si="163"/>
        <v>0</v>
      </c>
      <c r="U641" s="126">
        <f>IF($D641="",0,IFERROR(LOOKUP(2,1/(($D$3:D640=$D641)*($C$3:C640=$C641)*($A$3:A640&lt;$A641)),$AB$3:AB640),1000))</f>
        <v>0</v>
      </c>
      <c r="V641" s="126">
        <f t="shared" si="164"/>
        <v>0</v>
      </c>
      <c r="W641">
        <f t="shared" si="165"/>
        <v>0</v>
      </c>
      <c r="X641">
        <f t="shared" si="166"/>
        <v>0</v>
      </c>
      <c r="Y641">
        <f t="shared" si="167"/>
        <v>0</v>
      </c>
      <c r="Z641">
        <f t="shared" si="168"/>
        <v>0</v>
      </c>
      <c r="AA641">
        <f>IF($D641="",0,IF($F641&lt;2,0,IF($E641="Win",('Guide &amp; Settings'!$C$42/(($F641-1)*COUNTIFS($A$4:$A$810,$A641,$E$4:$E$810,"Win")))*SUMIFS($Z$4:$Z$810,$A$4:$A$810,$A641,$E$4:$E$810,"Loss"),-('Guide &amp; Settings'!$C$42/($F641-1))*$Z641)))</f>
        <v>0</v>
      </c>
      <c r="AB641" s="126">
        <f t="shared" si="169"/>
        <v>0</v>
      </c>
      <c r="AC641" s="126"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7"/>
      <c r="B642" s="118"/>
      <c r="C642" s="119"/>
      <c r="D642" s="119"/>
      <c r="E642" s="117"/>
      <c r="F642" s="120">
        <f t="shared" si="153"/>
        <v>0</v>
      </c>
      <c r="G642" s="121" t="str">
        <f t="shared" si="154"/>
        <v/>
      </c>
      <c r="H642" s="122">
        <f>IF($D642="",0,IFERROR(LOOKUP(2,1/(($D$3:D641=$D642)*($A$3:A641&lt;$A642)),$N$3:N641),'Guide &amp; Settings'!$C$41))</f>
        <v>0</v>
      </c>
      <c r="I642" s="123">
        <f t="shared" si="155"/>
        <v>0</v>
      </c>
      <c r="J642" s="124">
        <f>IF($D642="",0,IF($F642&lt;2,0,IF($E642="Win",('Guide &amp; Settings'!$C$42/(($F642-1)*COUNTIFS($A$4:$A$810,$A642,$E$4:$E$810,"Win")))*SUMIFS($X$4:$X$810,$A$4:$A$810,$A642,$E$4:$E$810,"Loss"),-('Guide &amp; Settings'!$C$42/($F642-1))*$X642)))</f>
        <v>0</v>
      </c>
      <c r="K642" s="124">
        <f>IF($D642="",0,'Guide &amp; Settings'!$C$43*(IF($E642="Win",1,0)-$I642))</f>
        <v>0</v>
      </c>
      <c r="L642" s="125">
        <f>IF($D642="",0,'Guide &amp; Settings'!$C$44*IF($F642&gt;=3,$F642,0))</f>
        <v>0</v>
      </c>
      <c r="M642" s="124">
        <f t="shared" si="156"/>
        <v>0</v>
      </c>
      <c r="N642" s="122">
        <f t="shared" si="157"/>
        <v>0</v>
      </c>
      <c r="O642" s="121" t="str">
        <f t="shared" si="158"/>
        <v/>
      </c>
      <c r="P642">
        <f t="shared" si="159"/>
        <v>0</v>
      </c>
      <c r="Q642">
        <f t="shared" si="160"/>
        <v>0</v>
      </c>
      <c r="R642">
        <f t="shared" si="161"/>
        <v>0</v>
      </c>
      <c r="S642">
        <f t="shared" si="162"/>
        <v>0</v>
      </c>
      <c r="T642" s="89">
        <f t="shared" si="163"/>
        <v>0</v>
      </c>
      <c r="U642" s="126">
        <f>IF($D642="",0,IFERROR(LOOKUP(2,1/(($D$3:D641=$D642)*($C$3:C641=$C642)*($A$3:A641&lt;$A642)),$AB$3:AB641),1000))</f>
        <v>0</v>
      </c>
      <c r="V642" s="126">
        <f t="shared" si="164"/>
        <v>0</v>
      </c>
      <c r="W642">
        <f t="shared" si="165"/>
        <v>0</v>
      </c>
      <c r="X642">
        <f t="shared" si="166"/>
        <v>0</v>
      </c>
      <c r="Y642">
        <f t="shared" si="167"/>
        <v>0</v>
      </c>
      <c r="Z642">
        <f t="shared" si="168"/>
        <v>0</v>
      </c>
      <c r="AA642">
        <f>IF($D642="",0,IF($F642&lt;2,0,IF($E642="Win",('Guide &amp; Settings'!$C$42/(($F642-1)*COUNTIFS($A$4:$A$810,$A642,$E$4:$E$810,"Win")))*SUMIFS($Z$4:$Z$810,$A$4:$A$810,$A642,$E$4:$E$810,"Loss"),-('Guide &amp; Settings'!$C$42/($F642-1))*$Z642)))</f>
        <v>0</v>
      </c>
      <c r="AB642" s="126">
        <f t="shared" si="169"/>
        <v>0</v>
      </c>
      <c r="AC642" s="126"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7"/>
      <c r="B643" s="118"/>
      <c r="C643" s="119"/>
      <c r="D643" s="119"/>
      <c r="E643" s="117"/>
      <c r="F643" s="120">
        <f t="shared" si="153"/>
        <v>0</v>
      </c>
      <c r="G643" s="121" t="str">
        <f t="shared" si="154"/>
        <v/>
      </c>
      <c r="H643" s="122">
        <f>IF($D643="",0,IFERROR(LOOKUP(2,1/(($D$3:D642=$D643)*($A$3:A642&lt;$A643)),$N$3:N642),'Guide &amp; Settings'!$C$41))</f>
        <v>0</v>
      </c>
      <c r="I643" s="123">
        <f t="shared" si="155"/>
        <v>0</v>
      </c>
      <c r="J643" s="124">
        <f>IF($D643="",0,IF($F643&lt;2,0,IF($E643="Win",('Guide &amp; Settings'!$C$42/(($F643-1)*COUNTIFS($A$4:$A$810,$A643,$E$4:$E$810,"Win")))*SUMIFS($X$4:$X$810,$A$4:$A$810,$A643,$E$4:$E$810,"Loss"),-('Guide &amp; Settings'!$C$42/($F643-1))*$X643)))</f>
        <v>0</v>
      </c>
      <c r="K643" s="124">
        <f>IF($D643="",0,'Guide &amp; Settings'!$C$43*(IF($E643="Win",1,0)-$I643))</f>
        <v>0</v>
      </c>
      <c r="L643" s="125">
        <f>IF($D643="",0,'Guide &amp; Settings'!$C$44*IF($F643&gt;=3,$F643,0))</f>
        <v>0</v>
      </c>
      <c r="M643" s="124">
        <f t="shared" si="156"/>
        <v>0</v>
      </c>
      <c r="N643" s="122">
        <f t="shared" si="157"/>
        <v>0</v>
      </c>
      <c r="O643" s="121" t="str">
        <f t="shared" si="158"/>
        <v/>
      </c>
      <c r="P643">
        <f t="shared" si="159"/>
        <v>0</v>
      </c>
      <c r="Q643">
        <f t="shared" si="160"/>
        <v>0</v>
      </c>
      <c r="R643">
        <f t="shared" si="161"/>
        <v>0</v>
      </c>
      <c r="S643">
        <f t="shared" si="162"/>
        <v>0</v>
      </c>
      <c r="T643" s="89">
        <f t="shared" si="163"/>
        <v>0</v>
      </c>
      <c r="U643" s="126">
        <f>IF($D643="",0,IFERROR(LOOKUP(2,1/(($D$3:D642=$D643)*($C$3:C642=$C643)*($A$3:A642&lt;$A643)),$AB$3:AB642),1000))</f>
        <v>0</v>
      </c>
      <c r="V643" s="126">
        <f t="shared" si="164"/>
        <v>0</v>
      </c>
      <c r="W643">
        <f t="shared" si="165"/>
        <v>0</v>
      </c>
      <c r="X643">
        <f t="shared" si="166"/>
        <v>0</v>
      </c>
      <c r="Y643">
        <f t="shared" si="167"/>
        <v>0</v>
      </c>
      <c r="Z643">
        <f t="shared" si="168"/>
        <v>0</v>
      </c>
      <c r="AA643">
        <f>IF($D643="",0,IF($F643&lt;2,0,IF($E643="Win",('Guide &amp; Settings'!$C$42/(($F643-1)*COUNTIFS($A$4:$A$810,$A643,$E$4:$E$810,"Win")))*SUMIFS($Z$4:$Z$810,$A$4:$A$810,$A643,$E$4:$E$810,"Loss"),-('Guide &amp; Settings'!$C$42/($F643-1))*$Z643)))</f>
        <v>0</v>
      </c>
      <c r="AB643" s="126">
        <f t="shared" si="169"/>
        <v>0</v>
      </c>
      <c r="AC643" s="126"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7"/>
      <c r="B644" s="118"/>
      <c r="C644" s="119"/>
      <c r="D644" s="119"/>
      <c r="E644" s="117"/>
      <c r="F644" s="120">
        <f t="shared" ref="F644:F707" si="170">IF($D644="",0,COUNTIF($A$4:$A$810,$A644))</f>
        <v>0</v>
      </c>
      <c r="G644" s="121" t="str">
        <f t="shared" ref="G644:G707" si="171">IF($D644="","",IFERROR(LOOKUP(2,1/(($A$4:$A$810=$A644)*($E$4:$E$810="Win")),$D$4:$D$810),"(no winner)"))</f>
        <v/>
      </c>
      <c r="H644" s="122">
        <f>IF($D644="",0,IFERROR(LOOKUP(2,1/(($D$3:D643=$D644)*($A$3:A643&lt;$A644)),$N$3:N643),'Guide &amp; Settings'!$C$41))</f>
        <v>0</v>
      </c>
      <c r="I644" s="123">
        <f t="shared" ref="I644:I707" si="172">IF($D644="",0,IF($S644=0,0,$R644/$S644))</f>
        <v>0</v>
      </c>
      <c r="J644" s="124">
        <f>IF($D644="",0,IF($F644&lt;2,0,IF($E644="Win",('Guide &amp; Settings'!$C$42/(($F644-1)*COUNTIFS($A$4:$A$810,$A644,$E$4:$E$810,"Win")))*SUMIFS($X$4:$X$810,$A$4:$A$810,$A644,$E$4:$E$810,"Loss"),-('Guide &amp; Settings'!$C$42/($F644-1))*$X644)))</f>
        <v>0</v>
      </c>
      <c r="K644" s="124">
        <f>IF($D644="",0,'Guide &amp; Settings'!$C$43*(IF($E644="Win",1,0)-$I644))</f>
        <v>0</v>
      </c>
      <c r="L644" s="125">
        <f>IF($D644="",0,'Guide &amp; Settings'!$C$44*IF($F644&gt;=3,$F644,0))</f>
        <v>0</v>
      </c>
      <c r="M644" s="124">
        <f t="shared" ref="M644:M707" si="173">IF($D644="",0,$J644+$K644+$L644)</f>
        <v>0</v>
      </c>
      <c r="N644" s="122">
        <f t="shared" ref="N644:N707" si="174">IF($D644="",0,$H644+$M644)</f>
        <v>0</v>
      </c>
      <c r="O644" s="121" t="str">
        <f t="shared" ref="O644:O707" si="175">IF($D644="","",IF(COUNTIFS($A$4:$A$810,$A644,$E$4:$E$810,"Win")=0,"need a winner",IF(COUNTIFS($A$4:$A$810,$A644,$E$4:$E$810,"Loss")=0,"need a loser",IF(COUNTIFS($A$4:$A$810,$A644,$D$4:$D$810,$D644)&gt;1,"duplicate player","OK"))))</f>
        <v/>
      </c>
      <c r="P644">
        <f t="shared" ref="P644:P707" si="176">IF($D644="",0,IFERROR(SUMIFS($H$4:$H$810,$A$4:$A$810,$A644,$E$4:$E$810,"Win")/COUNTIFS($A$4:$A$810,$A644,$E$4:$E$810,"Win"),0))</f>
        <v>0</v>
      </c>
      <c r="Q644">
        <f t="shared" ref="Q644:Q707" si="177">IF($D644="",0,1/(1+10^(($P644-$H644)/400)))</f>
        <v>0</v>
      </c>
      <c r="R644">
        <f t="shared" ref="R644:R707" si="178">IF($D644="",0,(COUNTIFS($D$4:$D$810,$D644,$C$4:$C$810,$C644,$E$4:$E$810,"Win",$A$4:$A$810,"&lt;"&amp;$A644)+1)/(COUNTIFS($D$4:$D$810,$D644,$C$4:$C$810,$C644,$A$4:$A$810,"&lt;"&amp;$A644)+2))</f>
        <v>0</v>
      </c>
      <c r="S644">
        <f t="shared" ref="S644:S707" si="179">IF($D644="",0,SUMIFS($R$4:$R$810,$A$4:$A$810,$A644))</f>
        <v>0</v>
      </c>
      <c r="T644" s="89">
        <f t="shared" ref="T644:T707" si="180">IF($D644="",0,COUNTIFS($D$4:$D$810,$D644,$C$4:$C$810,$C644,$A$4:$A$810,"&lt;"&amp;$A644))</f>
        <v>0</v>
      </c>
      <c r="U644" s="126">
        <f>IF($D644="",0,IFERROR(LOOKUP(2,1/(($D$3:D643=$D644)*($C$3:C643=$C644)*($A$3:A643&lt;$A644)),$AB$3:AB643),1000))</f>
        <v>0</v>
      </c>
      <c r="V644" s="126">
        <f t="shared" ref="V644:V707" si="181">IF($D644="",0,$U644*($T644/($T644+5))+$H644*(1-$T644/($T644+5)))</f>
        <v>0</v>
      </c>
      <c r="W644">
        <f t="shared" ref="W644:W707" si="182">IF($D644="",0,IFERROR(SUMIFS($V$4:$V$810,$A$4:$A$810,$A644,$E$4:$E$810,"Win")/COUNTIFS($A$4:$A$810,$A644,$E$4:$E$810,"Win"),0))</f>
        <v>0</v>
      </c>
      <c r="X644">
        <f t="shared" ref="X644:X707" si="183">IF($D644="",0,1/(1+10^(($W644-$V644)/400)))</f>
        <v>0</v>
      </c>
      <c r="Y644">
        <f t="shared" ref="Y644:Y707" si="184">IF($D644="",0,IFERROR(SUMIFS($U$4:$U$810,$A$4:$A$810,$A644,$E$4:$E$810,"Win")/COUNTIFS($A$4:$A$810,$A644,$E$4:$E$810,"Win"),0))</f>
        <v>0</v>
      </c>
      <c r="Z644">
        <f t="shared" ref="Z644:Z707" si="185">IF($D644="",0,1/(1+10^(($Y644-$U644)/400)))</f>
        <v>0</v>
      </c>
      <c r="AA644">
        <f>IF($D644="",0,IF($F644&lt;2,0,IF($E644="Win",('Guide &amp; Settings'!$C$42/(($F644-1)*COUNTIFS($A$4:$A$810,$A644,$E$4:$E$810,"Win")))*SUMIFS($Z$4:$Z$810,$A$4:$A$810,$A644,$E$4:$E$810,"Loss"),-('Guide &amp; Settings'!$C$42/($F644-1))*$Z644)))</f>
        <v>0</v>
      </c>
      <c r="AB644" s="126">
        <f t="shared" ref="AB644:AB707" si="186">IF($D644="",0,$U644+$AA644)</f>
        <v>0</v>
      </c>
      <c r="AC644" s="126"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7"/>
      <c r="B645" s="118"/>
      <c r="C645" s="119"/>
      <c r="D645" s="119"/>
      <c r="E645" s="117"/>
      <c r="F645" s="120">
        <f t="shared" si="170"/>
        <v>0</v>
      </c>
      <c r="G645" s="121" t="str">
        <f t="shared" si="171"/>
        <v/>
      </c>
      <c r="H645" s="122">
        <f>IF($D645="",0,IFERROR(LOOKUP(2,1/(($D$3:D644=$D645)*($A$3:A644&lt;$A645)),$N$3:N644),'Guide &amp; Settings'!$C$41))</f>
        <v>0</v>
      </c>
      <c r="I645" s="123">
        <f t="shared" si="172"/>
        <v>0</v>
      </c>
      <c r="J645" s="124">
        <f>IF($D645="",0,IF($F645&lt;2,0,IF($E645="Win",('Guide &amp; Settings'!$C$42/(($F645-1)*COUNTIFS($A$4:$A$810,$A645,$E$4:$E$810,"Win")))*SUMIFS($X$4:$X$810,$A$4:$A$810,$A645,$E$4:$E$810,"Loss"),-('Guide &amp; Settings'!$C$42/($F645-1))*$X645)))</f>
        <v>0</v>
      </c>
      <c r="K645" s="124">
        <f>IF($D645="",0,'Guide &amp; Settings'!$C$43*(IF($E645="Win",1,0)-$I645))</f>
        <v>0</v>
      </c>
      <c r="L645" s="125">
        <f>IF($D645="",0,'Guide &amp; Settings'!$C$44*IF($F645&gt;=3,$F645,0))</f>
        <v>0</v>
      </c>
      <c r="M645" s="124">
        <f t="shared" si="173"/>
        <v>0</v>
      </c>
      <c r="N645" s="122">
        <f t="shared" si="174"/>
        <v>0</v>
      </c>
      <c r="O645" s="121" t="str">
        <f t="shared" si="175"/>
        <v/>
      </c>
      <c r="P645">
        <f t="shared" si="176"/>
        <v>0</v>
      </c>
      <c r="Q645">
        <f t="shared" si="177"/>
        <v>0</v>
      </c>
      <c r="R645">
        <f t="shared" si="178"/>
        <v>0</v>
      </c>
      <c r="S645">
        <f t="shared" si="179"/>
        <v>0</v>
      </c>
      <c r="T645" s="89">
        <f t="shared" si="180"/>
        <v>0</v>
      </c>
      <c r="U645" s="126">
        <f>IF($D645="",0,IFERROR(LOOKUP(2,1/(($D$3:D644=$D645)*($C$3:C644=$C645)*($A$3:A644&lt;$A645)),$AB$3:AB644),1000))</f>
        <v>0</v>
      </c>
      <c r="V645" s="126">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6">
        <f t="shared" si="186"/>
        <v>0</v>
      </c>
      <c r="AC645" s="126"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7"/>
      <c r="B646" s="118"/>
      <c r="C646" s="119"/>
      <c r="D646" s="119"/>
      <c r="E646" s="117"/>
      <c r="F646" s="120">
        <f t="shared" si="170"/>
        <v>0</v>
      </c>
      <c r="G646" s="121" t="str">
        <f t="shared" si="171"/>
        <v/>
      </c>
      <c r="H646" s="122">
        <f>IF($D646="",0,IFERROR(LOOKUP(2,1/(($D$3:D645=$D646)*($A$3:A645&lt;$A646)),$N$3:N645),'Guide &amp; Settings'!$C$41))</f>
        <v>0</v>
      </c>
      <c r="I646" s="123">
        <f t="shared" si="172"/>
        <v>0</v>
      </c>
      <c r="J646" s="124">
        <f>IF($D646="",0,IF($F646&lt;2,0,IF($E646="Win",('Guide &amp; Settings'!$C$42/(($F646-1)*COUNTIFS($A$4:$A$810,$A646,$E$4:$E$810,"Win")))*SUMIFS($X$4:$X$810,$A$4:$A$810,$A646,$E$4:$E$810,"Loss"),-('Guide &amp; Settings'!$C$42/($F646-1))*$X646)))</f>
        <v>0</v>
      </c>
      <c r="K646" s="124">
        <f>IF($D646="",0,'Guide &amp; Settings'!$C$43*(IF($E646="Win",1,0)-$I646))</f>
        <v>0</v>
      </c>
      <c r="L646" s="125">
        <f>IF($D646="",0,'Guide &amp; Settings'!$C$44*IF($F646&gt;=3,$F646,0))</f>
        <v>0</v>
      </c>
      <c r="M646" s="124">
        <f t="shared" si="173"/>
        <v>0</v>
      </c>
      <c r="N646" s="122">
        <f t="shared" si="174"/>
        <v>0</v>
      </c>
      <c r="O646" s="121" t="str">
        <f t="shared" si="175"/>
        <v/>
      </c>
      <c r="P646">
        <f t="shared" si="176"/>
        <v>0</v>
      </c>
      <c r="Q646">
        <f t="shared" si="177"/>
        <v>0</v>
      </c>
      <c r="R646">
        <f t="shared" si="178"/>
        <v>0</v>
      </c>
      <c r="S646">
        <f t="shared" si="179"/>
        <v>0</v>
      </c>
      <c r="T646" s="89">
        <f t="shared" si="180"/>
        <v>0</v>
      </c>
      <c r="U646" s="126">
        <f>IF($D646="",0,IFERROR(LOOKUP(2,1/(($D$3:D645=$D646)*($C$3:C645=$C646)*($A$3:A645&lt;$A646)),$AB$3:AB645),1000))</f>
        <v>0</v>
      </c>
      <c r="V646" s="126">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6">
        <f t="shared" si="186"/>
        <v>0</v>
      </c>
      <c r="AC646" s="126"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7"/>
      <c r="B647" s="118"/>
      <c r="C647" s="119"/>
      <c r="D647" s="119"/>
      <c r="E647" s="117"/>
      <c r="F647" s="120">
        <f t="shared" si="170"/>
        <v>0</v>
      </c>
      <c r="G647" s="121" t="str">
        <f t="shared" si="171"/>
        <v/>
      </c>
      <c r="H647" s="122">
        <f>IF($D647="",0,IFERROR(LOOKUP(2,1/(($D$3:D646=$D647)*($A$3:A646&lt;$A647)),$N$3:N646),'Guide &amp; Settings'!$C$41))</f>
        <v>0</v>
      </c>
      <c r="I647" s="123">
        <f t="shared" si="172"/>
        <v>0</v>
      </c>
      <c r="J647" s="124">
        <f>IF($D647="",0,IF($F647&lt;2,0,IF($E647="Win",('Guide &amp; Settings'!$C$42/(($F647-1)*COUNTIFS($A$4:$A$810,$A647,$E$4:$E$810,"Win")))*SUMIFS($X$4:$X$810,$A$4:$A$810,$A647,$E$4:$E$810,"Loss"),-('Guide &amp; Settings'!$C$42/($F647-1))*$X647)))</f>
        <v>0</v>
      </c>
      <c r="K647" s="124">
        <f>IF($D647="",0,'Guide &amp; Settings'!$C$43*(IF($E647="Win",1,0)-$I647))</f>
        <v>0</v>
      </c>
      <c r="L647" s="125">
        <f>IF($D647="",0,'Guide &amp; Settings'!$C$44*IF($F647&gt;=3,$F647,0))</f>
        <v>0</v>
      </c>
      <c r="M647" s="124">
        <f t="shared" si="173"/>
        <v>0</v>
      </c>
      <c r="N647" s="122">
        <f t="shared" si="174"/>
        <v>0</v>
      </c>
      <c r="O647" s="121" t="str">
        <f t="shared" si="175"/>
        <v/>
      </c>
      <c r="P647">
        <f t="shared" si="176"/>
        <v>0</v>
      </c>
      <c r="Q647">
        <f t="shared" si="177"/>
        <v>0</v>
      </c>
      <c r="R647">
        <f t="shared" si="178"/>
        <v>0</v>
      </c>
      <c r="S647">
        <f t="shared" si="179"/>
        <v>0</v>
      </c>
      <c r="T647" s="89">
        <f t="shared" si="180"/>
        <v>0</v>
      </c>
      <c r="U647" s="126">
        <f>IF($D647="",0,IFERROR(LOOKUP(2,1/(($D$3:D646=$D647)*($C$3:C646=$C647)*($A$3:A646&lt;$A647)),$AB$3:AB646),1000))</f>
        <v>0</v>
      </c>
      <c r="V647" s="126">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6">
        <f t="shared" si="186"/>
        <v>0</v>
      </c>
      <c r="AC647" s="126"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7"/>
      <c r="B648" s="118"/>
      <c r="C648" s="119"/>
      <c r="D648" s="119"/>
      <c r="E648" s="117"/>
      <c r="F648" s="120">
        <f t="shared" si="170"/>
        <v>0</v>
      </c>
      <c r="G648" s="121" t="str">
        <f t="shared" si="171"/>
        <v/>
      </c>
      <c r="H648" s="122">
        <f>IF($D648="",0,IFERROR(LOOKUP(2,1/(($D$3:D647=$D648)*($A$3:A647&lt;$A648)),$N$3:N647),'Guide &amp; Settings'!$C$41))</f>
        <v>0</v>
      </c>
      <c r="I648" s="123">
        <f t="shared" si="172"/>
        <v>0</v>
      </c>
      <c r="J648" s="124">
        <f>IF($D648="",0,IF($F648&lt;2,0,IF($E648="Win",('Guide &amp; Settings'!$C$42/(($F648-1)*COUNTIFS($A$4:$A$810,$A648,$E$4:$E$810,"Win")))*SUMIFS($X$4:$X$810,$A$4:$A$810,$A648,$E$4:$E$810,"Loss"),-('Guide &amp; Settings'!$C$42/($F648-1))*$X648)))</f>
        <v>0</v>
      </c>
      <c r="K648" s="124">
        <f>IF($D648="",0,'Guide &amp; Settings'!$C$43*(IF($E648="Win",1,0)-$I648))</f>
        <v>0</v>
      </c>
      <c r="L648" s="125">
        <f>IF($D648="",0,'Guide &amp; Settings'!$C$44*IF($F648&gt;=3,$F648,0))</f>
        <v>0</v>
      </c>
      <c r="M648" s="124">
        <f t="shared" si="173"/>
        <v>0</v>
      </c>
      <c r="N648" s="122">
        <f t="shared" si="174"/>
        <v>0</v>
      </c>
      <c r="O648" s="121" t="str">
        <f t="shared" si="175"/>
        <v/>
      </c>
      <c r="P648">
        <f t="shared" si="176"/>
        <v>0</v>
      </c>
      <c r="Q648">
        <f t="shared" si="177"/>
        <v>0</v>
      </c>
      <c r="R648">
        <f t="shared" si="178"/>
        <v>0</v>
      </c>
      <c r="S648">
        <f t="shared" si="179"/>
        <v>0</v>
      </c>
      <c r="T648" s="89">
        <f t="shared" si="180"/>
        <v>0</v>
      </c>
      <c r="U648" s="126">
        <f>IF($D648="",0,IFERROR(LOOKUP(2,1/(($D$3:D647=$D648)*($C$3:C647=$C648)*($A$3:A647&lt;$A648)),$AB$3:AB647),1000))</f>
        <v>0</v>
      </c>
      <c r="V648" s="126">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6">
        <f t="shared" si="186"/>
        <v>0</v>
      </c>
      <c r="AC648" s="126"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7"/>
      <c r="B649" s="118"/>
      <c r="C649" s="119"/>
      <c r="D649" s="119"/>
      <c r="E649" s="117"/>
      <c r="F649" s="120">
        <f t="shared" si="170"/>
        <v>0</v>
      </c>
      <c r="G649" s="121" t="str">
        <f t="shared" si="171"/>
        <v/>
      </c>
      <c r="H649" s="122">
        <f>IF($D649="",0,IFERROR(LOOKUP(2,1/(($D$3:D648=$D649)*($A$3:A648&lt;$A649)),$N$3:N648),'Guide &amp; Settings'!$C$41))</f>
        <v>0</v>
      </c>
      <c r="I649" s="123">
        <f t="shared" si="172"/>
        <v>0</v>
      </c>
      <c r="J649" s="124">
        <f>IF($D649="",0,IF($F649&lt;2,0,IF($E649="Win",('Guide &amp; Settings'!$C$42/(($F649-1)*COUNTIFS($A$4:$A$810,$A649,$E$4:$E$810,"Win")))*SUMIFS($X$4:$X$810,$A$4:$A$810,$A649,$E$4:$E$810,"Loss"),-('Guide &amp; Settings'!$C$42/($F649-1))*$X649)))</f>
        <v>0</v>
      </c>
      <c r="K649" s="124">
        <f>IF($D649="",0,'Guide &amp; Settings'!$C$43*(IF($E649="Win",1,0)-$I649))</f>
        <v>0</v>
      </c>
      <c r="L649" s="125">
        <f>IF($D649="",0,'Guide &amp; Settings'!$C$44*IF($F649&gt;=3,$F649,0))</f>
        <v>0</v>
      </c>
      <c r="M649" s="124">
        <f t="shared" si="173"/>
        <v>0</v>
      </c>
      <c r="N649" s="122">
        <f t="shared" si="174"/>
        <v>0</v>
      </c>
      <c r="O649" s="121" t="str">
        <f t="shared" si="175"/>
        <v/>
      </c>
      <c r="P649">
        <f t="shared" si="176"/>
        <v>0</v>
      </c>
      <c r="Q649">
        <f t="shared" si="177"/>
        <v>0</v>
      </c>
      <c r="R649">
        <f t="shared" si="178"/>
        <v>0</v>
      </c>
      <c r="S649">
        <f t="shared" si="179"/>
        <v>0</v>
      </c>
      <c r="T649" s="89">
        <f t="shared" si="180"/>
        <v>0</v>
      </c>
      <c r="U649" s="126">
        <f>IF($D649="",0,IFERROR(LOOKUP(2,1/(($D$3:D648=$D649)*($C$3:C648=$C649)*($A$3:A648&lt;$A649)),$AB$3:AB648),1000))</f>
        <v>0</v>
      </c>
      <c r="V649" s="126">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6">
        <f t="shared" si="186"/>
        <v>0</v>
      </c>
      <c r="AC649" s="126"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7"/>
      <c r="B650" s="118"/>
      <c r="C650" s="119"/>
      <c r="D650" s="119"/>
      <c r="E650" s="117"/>
      <c r="F650" s="120">
        <f t="shared" si="170"/>
        <v>0</v>
      </c>
      <c r="G650" s="121" t="str">
        <f t="shared" si="171"/>
        <v/>
      </c>
      <c r="H650" s="122">
        <f>IF($D650="",0,IFERROR(LOOKUP(2,1/(($D$3:D649=$D650)*($A$3:A649&lt;$A650)),$N$3:N649),'Guide &amp; Settings'!$C$41))</f>
        <v>0</v>
      </c>
      <c r="I650" s="123">
        <f t="shared" si="172"/>
        <v>0</v>
      </c>
      <c r="J650" s="124">
        <f>IF($D650="",0,IF($F650&lt;2,0,IF($E650="Win",('Guide &amp; Settings'!$C$42/(($F650-1)*COUNTIFS($A$4:$A$810,$A650,$E$4:$E$810,"Win")))*SUMIFS($X$4:$X$810,$A$4:$A$810,$A650,$E$4:$E$810,"Loss"),-('Guide &amp; Settings'!$C$42/($F650-1))*$X650)))</f>
        <v>0</v>
      </c>
      <c r="K650" s="124">
        <f>IF($D650="",0,'Guide &amp; Settings'!$C$43*(IF($E650="Win",1,0)-$I650))</f>
        <v>0</v>
      </c>
      <c r="L650" s="125">
        <f>IF($D650="",0,'Guide &amp; Settings'!$C$44*IF($F650&gt;=3,$F650,0))</f>
        <v>0</v>
      </c>
      <c r="M650" s="124">
        <f t="shared" si="173"/>
        <v>0</v>
      </c>
      <c r="N650" s="122">
        <f t="shared" si="174"/>
        <v>0</v>
      </c>
      <c r="O650" s="121" t="str">
        <f t="shared" si="175"/>
        <v/>
      </c>
      <c r="P650">
        <f t="shared" si="176"/>
        <v>0</v>
      </c>
      <c r="Q650">
        <f t="shared" si="177"/>
        <v>0</v>
      </c>
      <c r="R650">
        <f t="shared" si="178"/>
        <v>0</v>
      </c>
      <c r="S650">
        <f t="shared" si="179"/>
        <v>0</v>
      </c>
      <c r="T650" s="89">
        <f t="shared" si="180"/>
        <v>0</v>
      </c>
      <c r="U650" s="126">
        <f>IF($D650="",0,IFERROR(LOOKUP(2,1/(($D$3:D649=$D650)*($C$3:C649=$C650)*($A$3:A649&lt;$A650)),$AB$3:AB649),1000))</f>
        <v>0</v>
      </c>
      <c r="V650" s="126">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6">
        <f t="shared" si="186"/>
        <v>0</v>
      </c>
      <c r="AC650" s="126"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7"/>
      <c r="B651" s="118"/>
      <c r="C651" s="119"/>
      <c r="D651" s="119"/>
      <c r="E651" s="117"/>
      <c r="F651" s="120">
        <f t="shared" si="170"/>
        <v>0</v>
      </c>
      <c r="G651" s="121" t="str">
        <f t="shared" si="171"/>
        <v/>
      </c>
      <c r="H651" s="122">
        <f>IF($D651="",0,IFERROR(LOOKUP(2,1/(($D$3:D650=$D651)*($A$3:A650&lt;$A651)),$N$3:N650),'Guide &amp; Settings'!$C$41))</f>
        <v>0</v>
      </c>
      <c r="I651" s="123">
        <f t="shared" si="172"/>
        <v>0</v>
      </c>
      <c r="J651" s="124">
        <f>IF($D651="",0,IF($F651&lt;2,0,IF($E651="Win",('Guide &amp; Settings'!$C$42/(($F651-1)*COUNTIFS($A$4:$A$810,$A651,$E$4:$E$810,"Win")))*SUMIFS($X$4:$X$810,$A$4:$A$810,$A651,$E$4:$E$810,"Loss"),-('Guide &amp; Settings'!$C$42/($F651-1))*$X651)))</f>
        <v>0</v>
      </c>
      <c r="K651" s="124">
        <f>IF($D651="",0,'Guide &amp; Settings'!$C$43*(IF($E651="Win",1,0)-$I651))</f>
        <v>0</v>
      </c>
      <c r="L651" s="125">
        <f>IF($D651="",0,'Guide &amp; Settings'!$C$44*IF($F651&gt;=3,$F651,0))</f>
        <v>0</v>
      </c>
      <c r="M651" s="124">
        <f t="shared" si="173"/>
        <v>0</v>
      </c>
      <c r="N651" s="122">
        <f t="shared" si="174"/>
        <v>0</v>
      </c>
      <c r="O651" s="121" t="str">
        <f t="shared" si="175"/>
        <v/>
      </c>
      <c r="P651">
        <f t="shared" si="176"/>
        <v>0</v>
      </c>
      <c r="Q651">
        <f t="shared" si="177"/>
        <v>0</v>
      </c>
      <c r="R651">
        <f t="shared" si="178"/>
        <v>0</v>
      </c>
      <c r="S651">
        <f t="shared" si="179"/>
        <v>0</v>
      </c>
      <c r="T651" s="89">
        <f t="shared" si="180"/>
        <v>0</v>
      </c>
      <c r="U651" s="126">
        <f>IF($D651="",0,IFERROR(LOOKUP(2,1/(($D$3:D650=$D651)*($C$3:C650=$C651)*($A$3:A650&lt;$A651)),$AB$3:AB650),1000))</f>
        <v>0</v>
      </c>
      <c r="V651" s="126">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6">
        <f t="shared" si="186"/>
        <v>0</v>
      </c>
      <c r="AC651" s="126"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7"/>
      <c r="B652" s="118"/>
      <c r="C652" s="119"/>
      <c r="D652" s="119"/>
      <c r="E652" s="117"/>
      <c r="F652" s="120">
        <f t="shared" si="170"/>
        <v>0</v>
      </c>
      <c r="G652" s="121" t="str">
        <f t="shared" si="171"/>
        <v/>
      </c>
      <c r="H652" s="122">
        <f>IF($D652="",0,IFERROR(LOOKUP(2,1/(($D$3:D651=$D652)*($A$3:A651&lt;$A652)),$N$3:N651),'Guide &amp; Settings'!$C$41))</f>
        <v>0</v>
      </c>
      <c r="I652" s="123">
        <f t="shared" si="172"/>
        <v>0</v>
      </c>
      <c r="J652" s="124">
        <f>IF($D652="",0,IF($F652&lt;2,0,IF($E652="Win",('Guide &amp; Settings'!$C$42/(($F652-1)*COUNTIFS($A$4:$A$810,$A652,$E$4:$E$810,"Win")))*SUMIFS($X$4:$X$810,$A$4:$A$810,$A652,$E$4:$E$810,"Loss"),-('Guide &amp; Settings'!$C$42/($F652-1))*$X652)))</f>
        <v>0</v>
      </c>
      <c r="K652" s="124">
        <f>IF($D652="",0,'Guide &amp; Settings'!$C$43*(IF($E652="Win",1,0)-$I652))</f>
        <v>0</v>
      </c>
      <c r="L652" s="125">
        <f>IF($D652="",0,'Guide &amp; Settings'!$C$44*IF($F652&gt;=3,$F652,0))</f>
        <v>0</v>
      </c>
      <c r="M652" s="124">
        <f t="shared" si="173"/>
        <v>0</v>
      </c>
      <c r="N652" s="122">
        <f t="shared" si="174"/>
        <v>0</v>
      </c>
      <c r="O652" s="121" t="str">
        <f t="shared" si="175"/>
        <v/>
      </c>
      <c r="P652">
        <f t="shared" si="176"/>
        <v>0</v>
      </c>
      <c r="Q652">
        <f t="shared" si="177"/>
        <v>0</v>
      </c>
      <c r="R652">
        <f t="shared" si="178"/>
        <v>0</v>
      </c>
      <c r="S652">
        <f t="shared" si="179"/>
        <v>0</v>
      </c>
      <c r="T652" s="89">
        <f t="shared" si="180"/>
        <v>0</v>
      </c>
      <c r="U652" s="126">
        <f>IF($D652="",0,IFERROR(LOOKUP(2,1/(($D$3:D651=$D652)*($C$3:C651=$C652)*($A$3:A651&lt;$A652)),$AB$3:AB651),1000))</f>
        <v>0</v>
      </c>
      <c r="V652" s="126">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6">
        <f t="shared" si="186"/>
        <v>0</v>
      </c>
      <c r="AC652" s="126"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7"/>
      <c r="B653" s="118"/>
      <c r="C653" s="119"/>
      <c r="D653" s="119"/>
      <c r="E653" s="117"/>
      <c r="F653" s="120">
        <f t="shared" si="170"/>
        <v>0</v>
      </c>
      <c r="G653" s="121" t="str">
        <f t="shared" si="171"/>
        <v/>
      </c>
      <c r="H653" s="122">
        <f>IF($D653="",0,IFERROR(LOOKUP(2,1/(($D$3:D652=$D653)*($A$3:A652&lt;$A653)),$N$3:N652),'Guide &amp; Settings'!$C$41))</f>
        <v>0</v>
      </c>
      <c r="I653" s="123">
        <f t="shared" si="172"/>
        <v>0</v>
      </c>
      <c r="J653" s="124">
        <f>IF($D653="",0,IF($F653&lt;2,0,IF($E653="Win",('Guide &amp; Settings'!$C$42/(($F653-1)*COUNTIFS($A$4:$A$810,$A653,$E$4:$E$810,"Win")))*SUMIFS($X$4:$X$810,$A$4:$A$810,$A653,$E$4:$E$810,"Loss"),-('Guide &amp; Settings'!$C$42/($F653-1))*$X653)))</f>
        <v>0</v>
      </c>
      <c r="K653" s="124">
        <f>IF($D653="",0,'Guide &amp; Settings'!$C$43*(IF($E653="Win",1,0)-$I653))</f>
        <v>0</v>
      </c>
      <c r="L653" s="125">
        <f>IF($D653="",0,'Guide &amp; Settings'!$C$44*IF($F653&gt;=3,$F653,0))</f>
        <v>0</v>
      </c>
      <c r="M653" s="124">
        <f t="shared" si="173"/>
        <v>0</v>
      </c>
      <c r="N653" s="122">
        <f t="shared" si="174"/>
        <v>0</v>
      </c>
      <c r="O653" s="121" t="str">
        <f t="shared" si="175"/>
        <v/>
      </c>
      <c r="P653">
        <f t="shared" si="176"/>
        <v>0</v>
      </c>
      <c r="Q653">
        <f t="shared" si="177"/>
        <v>0</v>
      </c>
      <c r="R653">
        <f t="shared" si="178"/>
        <v>0</v>
      </c>
      <c r="S653">
        <f t="shared" si="179"/>
        <v>0</v>
      </c>
      <c r="T653" s="89">
        <f t="shared" si="180"/>
        <v>0</v>
      </c>
      <c r="U653" s="126">
        <f>IF($D653="",0,IFERROR(LOOKUP(2,1/(($D$3:D652=$D653)*($C$3:C652=$C653)*($A$3:A652&lt;$A653)),$AB$3:AB652),1000))</f>
        <v>0</v>
      </c>
      <c r="V653" s="126">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6">
        <f t="shared" si="186"/>
        <v>0</v>
      </c>
      <c r="AC653" s="126"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7"/>
      <c r="B654" s="118"/>
      <c r="C654" s="119"/>
      <c r="D654" s="119"/>
      <c r="E654" s="117"/>
      <c r="F654" s="120">
        <f t="shared" si="170"/>
        <v>0</v>
      </c>
      <c r="G654" s="121" t="str">
        <f t="shared" si="171"/>
        <v/>
      </c>
      <c r="H654" s="122">
        <f>IF($D654="",0,IFERROR(LOOKUP(2,1/(($D$3:D653=$D654)*($A$3:A653&lt;$A654)),$N$3:N653),'Guide &amp; Settings'!$C$41))</f>
        <v>0</v>
      </c>
      <c r="I654" s="123">
        <f t="shared" si="172"/>
        <v>0</v>
      </c>
      <c r="J654" s="124">
        <f>IF($D654="",0,IF($F654&lt;2,0,IF($E654="Win",('Guide &amp; Settings'!$C$42/(($F654-1)*COUNTIFS($A$4:$A$810,$A654,$E$4:$E$810,"Win")))*SUMIFS($X$4:$X$810,$A$4:$A$810,$A654,$E$4:$E$810,"Loss"),-('Guide &amp; Settings'!$C$42/($F654-1))*$X654)))</f>
        <v>0</v>
      </c>
      <c r="K654" s="124">
        <f>IF($D654="",0,'Guide &amp; Settings'!$C$43*(IF($E654="Win",1,0)-$I654))</f>
        <v>0</v>
      </c>
      <c r="L654" s="125">
        <f>IF($D654="",0,'Guide &amp; Settings'!$C$44*IF($F654&gt;=3,$F654,0))</f>
        <v>0</v>
      </c>
      <c r="M654" s="124">
        <f t="shared" si="173"/>
        <v>0</v>
      </c>
      <c r="N654" s="122">
        <f t="shared" si="174"/>
        <v>0</v>
      </c>
      <c r="O654" s="121" t="str">
        <f t="shared" si="175"/>
        <v/>
      </c>
      <c r="P654">
        <f t="shared" si="176"/>
        <v>0</v>
      </c>
      <c r="Q654">
        <f t="shared" si="177"/>
        <v>0</v>
      </c>
      <c r="R654">
        <f t="shared" si="178"/>
        <v>0</v>
      </c>
      <c r="S654">
        <f t="shared" si="179"/>
        <v>0</v>
      </c>
      <c r="T654" s="89">
        <f t="shared" si="180"/>
        <v>0</v>
      </c>
      <c r="U654" s="126">
        <f>IF($D654="",0,IFERROR(LOOKUP(2,1/(($D$3:D653=$D654)*($C$3:C653=$C654)*($A$3:A653&lt;$A654)),$AB$3:AB653),1000))</f>
        <v>0</v>
      </c>
      <c r="V654" s="126">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6">
        <f t="shared" si="186"/>
        <v>0</v>
      </c>
      <c r="AC654" s="126"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7"/>
      <c r="B655" s="118"/>
      <c r="C655" s="119"/>
      <c r="D655" s="119"/>
      <c r="E655" s="117"/>
      <c r="F655" s="120">
        <f t="shared" si="170"/>
        <v>0</v>
      </c>
      <c r="G655" s="121" t="str">
        <f t="shared" si="171"/>
        <v/>
      </c>
      <c r="H655" s="122">
        <f>IF($D655="",0,IFERROR(LOOKUP(2,1/(($D$3:D654=$D655)*($A$3:A654&lt;$A655)),$N$3:N654),'Guide &amp; Settings'!$C$41))</f>
        <v>0</v>
      </c>
      <c r="I655" s="123">
        <f t="shared" si="172"/>
        <v>0</v>
      </c>
      <c r="J655" s="124">
        <f>IF($D655="",0,IF($F655&lt;2,0,IF($E655="Win",('Guide &amp; Settings'!$C$42/(($F655-1)*COUNTIFS($A$4:$A$810,$A655,$E$4:$E$810,"Win")))*SUMIFS($X$4:$X$810,$A$4:$A$810,$A655,$E$4:$E$810,"Loss"),-('Guide &amp; Settings'!$C$42/($F655-1))*$X655)))</f>
        <v>0</v>
      </c>
      <c r="K655" s="124">
        <f>IF($D655="",0,'Guide &amp; Settings'!$C$43*(IF($E655="Win",1,0)-$I655))</f>
        <v>0</v>
      </c>
      <c r="L655" s="125">
        <f>IF($D655="",0,'Guide &amp; Settings'!$C$44*IF($F655&gt;=3,$F655,0))</f>
        <v>0</v>
      </c>
      <c r="M655" s="124">
        <f t="shared" si="173"/>
        <v>0</v>
      </c>
      <c r="N655" s="122">
        <f t="shared" si="174"/>
        <v>0</v>
      </c>
      <c r="O655" s="121" t="str">
        <f t="shared" si="175"/>
        <v/>
      </c>
      <c r="P655">
        <f t="shared" si="176"/>
        <v>0</v>
      </c>
      <c r="Q655">
        <f t="shared" si="177"/>
        <v>0</v>
      </c>
      <c r="R655">
        <f t="shared" si="178"/>
        <v>0</v>
      </c>
      <c r="S655">
        <f t="shared" si="179"/>
        <v>0</v>
      </c>
      <c r="T655" s="89">
        <f t="shared" si="180"/>
        <v>0</v>
      </c>
      <c r="U655" s="126">
        <f>IF($D655="",0,IFERROR(LOOKUP(2,1/(($D$3:D654=$D655)*($C$3:C654=$C655)*($A$3:A654&lt;$A655)),$AB$3:AB654),1000))</f>
        <v>0</v>
      </c>
      <c r="V655" s="126">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6">
        <f t="shared" si="186"/>
        <v>0</v>
      </c>
      <c r="AC655" s="126"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7"/>
      <c r="B656" s="118"/>
      <c r="C656" s="119"/>
      <c r="D656" s="119"/>
      <c r="E656" s="117"/>
      <c r="F656" s="120">
        <f t="shared" si="170"/>
        <v>0</v>
      </c>
      <c r="G656" s="121" t="str">
        <f t="shared" si="171"/>
        <v/>
      </c>
      <c r="H656" s="122">
        <f>IF($D656="",0,IFERROR(LOOKUP(2,1/(($D$3:D655=$D656)*($A$3:A655&lt;$A656)),$N$3:N655),'Guide &amp; Settings'!$C$41))</f>
        <v>0</v>
      </c>
      <c r="I656" s="123">
        <f t="shared" si="172"/>
        <v>0</v>
      </c>
      <c r="J656" s="124">
        <f>IF($D656="",0,IF($F656&lt;2,0,IF($E656="Win",('Guide &amp; Settings'!$C$42/(($F656-1)*COUNTIFS($A$4:$A$810,$A656,$E$4:$E$810,"Win")))*SUMIFS($X$4:$X$810,$A$4:$A$810,$A656,$E$4:$E$810,"Loss"),-('Guide &amp; Settings'!$C$42/($F656-1))*$X656)))</f>
        <v>0</v>
      </c>
      <c r="K656" s="124">
        <f>IF($D656="",0,'Guide &amp; Settings'!$C$43*(IF($E656="Win",1,0)-$I656))</f>
        <v>0</v>
      </c>
      <c r="L656" s="125">
        <f>IF($D656="",0,'Guide &amp; Settings'!$C$44*IF($F656&gt;=3,$F656,0))</f>
        <v>0</v>
      </c>
      <c r="M656" s="124">
        <f t="shared" si="173"/>
        <v>0</v>
      </c>
      <c r="N656" s="122">
        <f t="shared" si="174"/>
        <v>0</v>
      </c>
      <c r="O656" s="121" t="str">
        <f t="shared" si="175"/>
        <v/>
      </c>
      <c r="P656">
        <f t="shared" si="176"/>
        <v>0</v>
      </c>
      <c r="Q656">
        <f t="shared" si="177"/>
        <v>0</v>
      </c>
      <c r="R656">
        <f t="shared" si="178"/>
        <v>0</v>
      </c>
      <c r="S656">
        <f t="shared" si="179"/>
        <v>0</v>
      </c>
      <c r="T656" s="89">
        <f t="shared" si="180"/>
        <v>0</v>
      </c>
      <c r="U656" s="126">
        <f>IF($D656="",0,IFERROR(LOOKUP(2,1/(($D$3:D655=$D656)*($C$3:C655=$C656)*($A$3:A655&lt;$A656)),$AB$3:AB655),1000))</f>
        <v>0</v>
      </c>
      <c r="V656" s="126">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6">
        <f t="shared" si="186"/>
        <v>0</v>
      </c>
      <c r="AC656" s="126"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7"/>
      <c r="B657" s="118"/>
      <c r="C657" s="119"/>
      <c r="D657" s="119"/>
      <c r="E657" s="117"/>
      <c r="F657" s="120">
        <f t="shared" si="170"/>
        <v>0</v>
      </c>
      <c r="G657" s="121" t="str">
        <f t="shared" si="171"/>
        <v/>
      </c>
      <c r="H657" s="122">
        <f>IF($D657="",0,IFERROR(LOOKUP(2,1/(($D$3:D656=$D657)*($A$3:A656&lt;$A657)),$N$3:N656),'Guide &amp; Settings'!$C$41))</f>
        <v>0</v>
      </c>
      <c r="I657" s="123">
        <f t="shared" si="172"/>
        <v>0</v>
      </c>
      <c r="J657" s="124">
        <f>IF($D657="",0,IF($F657&lt;2,0,IF($E657="Win",('Guide &amp; Settings'!$C$42/(($F657-1)*COUNTIFS($A$4:$A$810,$A657,$E$4:$E$810,"Win")))*SUMIFS($X$4:$X$810,$A$4:$A$810,$A657,$E$4:$E$810,"Loss"),-('Guide &amp; Settings'!$C$42/($F657-1))*$X657)))</f>
        <v>0</v>
      </c>
      <c r="K657" s="124">
        <f>IF($D657="",0,'Guide &amp; Settings'!$C$43*(IF($E657="Win",1,0)-$I657))</f>
        <v>0</v>
      </c>
      <c r="L657" s="125">
        <f>IF($D657="",0,'Guide &amp; Settings'!$C$44*IF($F657&gt;=3,$F657,0))</f>
        <v>0</v>
      </c>
      <c r="M657" s="124">
        <f t="shared" si="173"/>
        <v>0</v>
      </c>
      <c r="N657" s="122">
        <f t="shared" si="174"/>
        <v>0</v>
      </c>
      <c r="O657" s="121" t="str">
        <f t="shared" si="175"/>
        <v/>
      </c>
      <c r="P657">
        <f t="shared" si="176"/>
        <v>0</v>
      </c>
      <c r="Q657">
        <f t="shared" si="177"/>
        <v>0</v>
      </c>
      <c r="R657">
        <f t="shared" si="178"/>
        <v>0</v>
      </c>
      <c r="S657">
        <f t="shared" si="179"/>
        <v>0</v>
      </c>
      <c r="T657" s="89">
        <f t="shared" si="180"/>
        <v>0</v>
      </c>
      <c r="U657" s="126">
        <f>IF($D657="",0,IFERROR(LOOKUP(2,1/(($D$3:D656=$D657)*($C$3:C656=$C657)*($A$3:A656&lt;$A657)),$AB$3:AB656),1000))</f>
        <v>0</v>
      </c>
      <c r="V657" s="126">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6">
        <f t="shared" si="186"/>
        <v>0</v>
      </c>
      <c r="AC657" s="126"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7"/>
      <c r="B658" s="118"/>
      <c r="C658" s="119"/>
      <c r="D658" s="119"/>
      <c r="E658" s="117"/>
      <c r="F658" s="120">
        <f t="shared" si="170"/>
        <v>0</v>
      </c>
      <c r="G658" s="121" t="str">
        <f t="shared" si="171"/>
        <v/>
      </c>
      <c r="H658" s="122">
        <f>IF($D658="",0,IFERROR(LOOKUP(2,1/(($D$3:D657=$D658)*($A$3:A657&lt;$A658)),$N$3:N657),'Guide &amp; Settings'!$C$41))</f>
        <v>0</v>
      </c>
      <c r="I658" s="123">
        <f t="shared" si="172"/>
        <v>0</v>
      </c>
      <c r="J658" s="124">
        <f>IF($D658="",0,IF($F658&lt;2,0,IF($E658="Win",('Guide &amp; Settings'!$C$42/(($F658-1)*COUNTIFS($A$4:$A$810,$A658,$E$4:$E$810,"Win")))*SUMIFS($X$4:$X$810,$A$4:$A$810,$A658,$E$4:$E$810,"Loss"),-('Guide &amp; Settings'!$C$42/($F658-1))*$X658)))</f>
        <v>0</v>
      </c>
      <c r="K658" s="124">
        <f>IF($D658="",0,'Guide &amp; Settings'!$C$43*(IF($E658="Win",1,0)-$I658))</f>
        <v>0</v>
      </c>
      <c r="L658" s="125">
        <f>IF($D658="",0,'Guide &amp; Settings'!$C$44*IF($F658&gt;=3,$F658,0))</f>
        <v>0</v>
      </c>
      <c r="M658" s="124">
        <f t="shared" si="173"/>
        <v>0</v>
      </c>
      <c r="N658" s="122">
        <f t="shared" si="174"/>
        <v>0</v>
      </c>
      <c r="O658" s="121" t="str">
        <f t="shared" si="175"/>
        <v/>
      </c>
      <c r="P658">
        <f t="shared" si="176"/>
        <v>0</v>
      </c>
      <c r="Q658">
        <f t="shared" si="177"/>
        <v>0</v>
      </c>
      <c r="R658">
        <f t="shared" si="178"/>
        <v>0</v>
      </c>
      <c r="S658">
        <f t="shared" si="179"/>
        <v>0</v>
      </c>
      <c r="T658" s="89">
        <f t="shared" si="180"/>
        <v>0</v>
      </c>
      <c r="U658" s="126">
        <f>IF($D658="",0,IFERROR(LOOKUP(2,1/(($D$3:D657=$D658)*($C$3:C657=$C658)*($A$3:A657&lt;$A658)),$AB$3:AB657),1000))</f>
        <v>0</v>
      </c>
      <c r="V658" s="126">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6">
        <f t="shared" si="186"/>
        <v>0</v>
      </c>
      <c r="AC658" s="126"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7"/>
      <c r="B659" s="118"/>
      <c r="C659" s="119"/>
      <c r="D659" s="119"/>
      <c r="E659" s="117"/>
      <c r="F659" s="120">
        <f t="shared" si="170"/>
        <v>0</v>
      </c>
      <c r="G659" s="121" t="str">
        <f t="shared" si="171"/>
        <v/>
      </c>
      <c r="H659" s="122">
        <f>IF($D659="",0,IFERROR(LOOKUP(2,1/(($D$3:D658=$D659)*($A$3:A658&lt;$A659)),$N$3:N658),'Guide &amp; Settings'!$C$41))</f>
        <v>0</v>
      </c>
      <c r="I659" s="123">
        <f t="shared" si="172"/>
        <v>0</v>
      </c>
      <c r="J659" s="124">
        <f>IF($D659="",0,IF($F659&lt;2,0,IF($E659="Win",('Guide &amp; Settings'!$C$42/(($F659-1)*COUNTIFS($A$4:$A$810,$A659,$E$4:$E$810,"Win")))*SUMIFS($X$4:$X$810,$A$4:$A$810,$A659,$E$4:$E$810,"Loss"),-('Guide &amp; Settings'!$C$42/($F659-1))*$X659)))</f>
        <v>0</v>
      </c>
      <c r="K659" s="124">
        <f>IF($D659="",0,'Guide &amp; Settings'!$C$43*(IF($E659="Win",1,0)-$I659))</f>
        <v>0</v>
      </c>
      <c r="L659" s="125">
        <f>IF($D659="",0,'Guide &amp; Settings'!$C$44*IF($F659&gt;=3,$F659,0))</f>
        <v>0</v>
      </c>
      <c r="M659" s="124">
        <f t="shared" si="173"/>
        <v>0</v>
      </c>
      <c r="N659" s="122">
        <f t="shared" si="174"/>
        <v>0</v>
      </c>
      <c r="O659" s="121" t="str">
        <f t="shared" si="175"/>
        <v/>
      </c>
      <c r="P659">
        <f t="shared" si="176"/>
        <v>0</v>
      </c>
      <c r="Q659">
        <f t="shared" si="177"/>
        <v>0</v>
      </c>
      <c r="R659">
        <f t="shared" si="178"/>
        <v>0</v>
      </c>
      <c r="S659">
        <f t="shared" si="179"/>
        <v>0</v>
      </c>
      <c r="T659" s="89">
        <f t="shared" si="180"/>
        <v>0</v>
      </c>
      <c r="U659" s="126">
        <f>IF($D659="",0,IFERROR(LOOKUP(2,1/(($D$3:D658=$D659)*($C$3:C658=$C659)*($A$3:A658&lt;$A659)),$AB$3:AB658),1000))</f>
        <v>0</v>
      </c>
      <c r="V659" s="126">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6">
        <f t="shared" si="186"/>
        <v>0</v>
      </c>
      <c r="AC659" s="126"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7"/>
      <c r="B660" s="118"/>
      <c r="C660" s="119"/>
      <c r="D660" s="119"/>
      <c r="E660" s="117"/>
      <c r="F660" s="120">
        <f t="shared" si="170"/>
        <v>0</v>
      </c>
      <c r="G660" s="121" t="str">
        <f t="shared" si="171"/>
        <v/>
      </c>
      <c r="H660" s="122">
        <f>IF($D660="",0,IFERROR(LOOKUP(2,1/(($D$3:D659=$D660)*($A$3:A659&lt;$A660)),$N$3:N659),'Guide &amp; Settings'!$C$41))</f>
        <v>0</v>
      </c>
      <c r="I660" s="123">
        <f t="shared" si="172"/>
        <v>0</v>
      </c>
      <c r="J660" s="124">
        <f>IF($D660="",0,IF($F660&lt;2,0,IF($E660="Win",('Guide &amp; Settings'!$C$42/(($F660-1)*COUNTIFS($A$4:$A$810,$A660,$E$4:$E$810,"Win")))*SUMIFS($X$4:$X$810,$A$4:$A$810,$A660,$E$4:$E$810,"Loss"),-('Guide &amp; Settings'!$C$42/($F660-1))*$X660)))</f>
        <v>0</v>
      </c>
      <c r="K660" s="124">
        <f>IF($D660="",0,'Guide &amp; Settings'!$C$43*(IF($E660="Win",1,0)-$I660))</f>
        <v>0</v>
      </c>
      <c r="L660" s="125">
        <f>IF($D660="",0,'Guide &amp; Settings'!$C$44*IF($F660&gt;=3,$F660,0))</f>
        <v>0</v>
      </c>
      <c r="M660" s="124">
        <f t="shared" si="173"/>
        <v>0</v>
      </c>
      <c r="N660" s="122">
        <f t="shared" si="174"/>
        <v>0</v>
      </c>
      <c r="O660" s="121" t="str">
        <f t="shared" si="175"/>
        <v/>
      </c>
      <c r="P660">
        <f t="shared" si="176"/>
        <v>0</v>
      </c>
      <c r="Q660">
        <f t="shared" si="177"/>
        <v>0</v>
      </c>
      <c r="R660">
        <f t="shared" si="178"/>
        <v>0</v>
      </c>
      <c r="S660">
        <f t="shared" si="179"/>
        <v>0</v>
      </c>
      <c r="T660" s="89">
        <f t="shared" si="180"/>
        <v>0</v>
      </c>
      <c r="U660" s="126">
        <f>IF($D660="",0,IFERROR(LOOKUP(2,1/(($D$3:D659=$D660)*($C$3:C659=$C660)*($A$3:A659&lt;$A660)),$AB$3:AB659),1000))</f>
        <v>0</v>
      </c>
      <c r="V660" s="126">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6">
        <f t="shared" si="186"/>
        <v>0</v>
      </c>
      <c r="AC660" s="126"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7"/>
      <c r="B661" s="118"/>
      <c r="C661" s="119"/>
      <c r="D661" s="119"/>
      <c r="E661" s="117"/>
      <c r="F661" s="120">
        <f t="shared" si="170"/>
        <v>0</v>
      </c>
      <c r="G661" s="121" t="str">
        <f t="shared" si="171"/>
        <v/>
      </c>
      <c r="H661" s="122">
        <f>IF($D661="",0,IFERROR(LOOKUP(2,1/(($D$3:D660=$D661)*($A$3:A660&lt;$A661)),$N$3:N660),'Guide &amp; Settings'!$C$41))</f>
        <v>0</v>
      </c>
      <c r="I661" s="123">
        <f t="shared" si="172"/>
        <v>0</v>
      </c>
      <c r="J661" s="124">
        <f>IF($D661="",0,IF($F661&lt;2,0,IF($E661="Win",('Guide &amp; Settings'!$C$42/(($F661-1)*COUNTIFS($A$4:$A$810,$A661,$E$4:$E$810,"Win")))*SUMIFS($X$4:$X$810,$A$4:$A$810,$A661,$E$4:$E$810,"Loss"),-('Guide &amp; Settings'!$C$42/($F661-1))*$X661)))</f>
        <v>0</v>
      </c>
      <c r="K661" s="124">
        <f>IF($D661="",0,'Guide &amp; Settings'!$C$43*(IF($E661="Win",1,0)-$I661))</f>
        <v>0</v>
      </c>
      <c r="L661" s="125">
        <f>IF($D661="",0,'Guide &amp; Settings'!$C$44*IF($F661&gt;=3,$F661,0))</f>
        <v>0</v>
      </c>
      <c r="M661" s="124">
        <f t="shared" si="173"/>
        <v>0</v>
      </c>
      <c r="N661" s="122">
        <f t="shared" si="174"/>
        <v>0</v>
      </c>
      <c r="O661" s="121" t="str">
        <f t="shared" si="175"/>
        <v/>
      </c>
      <c r="P661">
        <f t="shared" si="176"/>
        <v>0</v>
      </c>
      <c r="Q661">
        <f t="shared" si="177"/>
        <v>0</v>
      </c>
      <c r="R661">
        <f t="shared" si="178"/>
        <v>0</v>
      </c>
      <c r="S661">
        <f t="shared" si="179"/>
        <v>0</v>
      </c>
      <c r="T661" s="89">
        <f t="shared" si="180"/>
        <v>0</v>
      </c>
      <c r="U661" s="126">
        <f>IF($D661="",0,IFERROR(LOOKUP(2,1/(($D$3:D660=$D661)*($C$3:C660=$C661)*($A$3:A660&lt;$A661)),$AB$3:AB660),1000))</f>
        <v>0</v>
      </c>
      <c r="V661" s="126">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6">
        <f t="shared" si="186"/>
        <v>0</v>
      </c>
      <c r="AC661" s="126"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7"/>
      <c r="B662" s="118"/>
      <c r="C662" s="119"/>
      <c r="D662" s="119"/>
      <c r="E662" s="117"/>
      <c r="F662" s="120">
        <f t="shared" si="170"/>
        <v>0</v>
      </c>
      <c r="G662" s="121" t="str">
        <f t="shared" si="171"/>
        <v/>
      </c>
      <c r="H662" s="122">
        <f>IF($D662="",0,IFERROR(LOOKUP(2,1/(($D$3:D661=$D662)*($A$3:A661&lt;$A662)),$N$3:N661),'Guide &amp; Settings'!$C$41))</f>
        <v>0</v>
      </c>
      <c r="I662" s="123">
        <f t="shared" si="172"/>
        <v>0</v>
      </c>
      <c r="J662" s="124">
        <f>IF($D662="",0,IF($F662&lt;2,0,IF($E662="Win",('Guide &amp; Settings'!$C$42/(($F662-1)*COUNTIFS($A$4:$A$810,$A662,$E$4:$E$810,"Win")))*SUMIFS($X$4:$X$810,$A$4:$A$810,$A662,$E$4:$E$810,"Loss"),-('Guide &amp; Settings'!$C$42/($F662-1))*$X662)))</f>
        <v>0</v>
      </c>
      <c r="K662" s="124">
        <f>IF($D662="",0,'Guide &amp; Settings'!$C$43*(IF($E662="Win",1,0)-$I662))</f>
        <v>0</v>
      </c>
      <c r="L662" s="125">
        <f>IF($D662="",0,'Guide &amp; Settings'!$C$44*IF($F662&gt;=3,$F662,0))</f>
        <v>0</v>
      </c>
      <c r="M662" s="124">
        <f t="shared" si="173"/>
        <v>0</v>
      </c>
      <c r="N662" s="122">
        <f t="shared" si="174"/>
        <v>0</v>
      </c>
      <c r="O662" s="121" t="str">
        <f t="shared" si="175"/>
        <v/>
      </c>
      <c r="P662">
        <f t="shared" si="176"/>
        <v>0</v>
      </c>
      <c r="Q662">
        <f t="shared" si="177"/>
        <v>0</v>
      </c>
      <c r="R662">
        <f t="shared" si="178"/>
        <v>0</v>
      </c>
      <c r="S662">
        <f t="shared" si="179"/>
        <v>0</v>
      </c>
      <c r="T662" s="89">
        <f t="shared" si="180"/>
        <v>0</v>
      </c>
      <c r="U662" s="126">
        <f>IF($D662="",0,IFERROR(LOOKUP(2,1/(($D$3:D661=$D662)*($C$3:C661=$C662)*($A$3:A661&lt;$A662)),$AB$3:AB661),1000))</f>
        <v>0</v>
      </c>
      <c r="V662" s="126">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6">
        <f t="shared" si="186"/>
        <v>0</v>
      </c>
      <c r="AC662" s="126"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7"/>
      <c r="B663" s="118"/>
      <c r="C663" s="119"/>
      <c r="D663" s="119"/>
      <c r="E663" s="117"/>
      <c r="F663" s="120">
        <f t="shared" si="170"/>
        <v>0</v>
      </c>
      <c r="G663" s="121" t="str">
        <f t="shared" si="171"/>
        <v/>
      </c>
      <c r="H663" s="122">
        <f>IF($D663="",0,IFERROR(LOOKUP(2,1/(($D$3:D662=$D663)*($A$3:A662&lt;$A663)),$N$3:N662),'Guide &amp; Settings'!$C$41))</f>
        <v>0</v>
      </c>
      <c r="I663" s="123">
        <f t="shared" si="172"/>
        <v>0</v>
      </c>
      <c r="J663" s="124">
        <f>IF($D663="",0,IF($F663&lt;2,0,IF($E663="Win",('Guide &amp; Settings'!$C$42/(($F663-1)*COUNTIFS($A$4:$A$810,$A663,$E$4:$E$810,"Win")))*SUMIFS($X$4:$X$810,$A$4:$A$810,$A663,$E$4:$E$810,"Loss"),-('Guide &amp; Settings'!$C$42/($F663-1))*$X663)))</f>
        <v>0</v>
      </c>
      <c r="K663" s="124">
        <f>IF($D663="",0,'Guide &amp; Settings'!$C$43*(IF($E663="Win",1,0)-$I663))</f>
        <v>0</v>
      </c>
      <c r="L663" s="125">
        <f>IF($D663="",0,'Guide &amp; Settings'!$C$44*IF($F663&gt;=3,$F663,0))</f>
        <v>0</v>
      </c>
      <c r="M663" s="124">
        <f t="shared" si="173"/>
        <v>0</v>
      </c>
      <c r="N663" s="122">
        <f t="shared" si="174"/>
        <v>0</v>
      </c>
      <c r="O663" s="121" t="str">
        <f t="shared" si="175"/>
        <v/>
      </c>
      <c r="P663">
        <f t="shared" si="176"/>
        <v>0</v>
      </c>
      <c r="Q663">
        <f t="shared" si="177"/>
        <v>0</v>
      </c>
      <c r="R663">
        <f t="shared" si="178"/>
        <v>0</v>
      </c>
      <c r="S663">
        <f t="shared" si="179"/>
        <v>0</v>
      </c>
      <c r="T663" s="89">
        <f t="shared" si="180"/>
        <v>0</v>
      </c>
      <c r="U663" s="126">
        <f>IF($D663="",0,IFERROR(LOOKUP(2,1/(($D$3:D662=$D663)*($C$3:C662=$C663)*($A$3:A662&lt;$A663)),$AB$3:AB662),1000))</f>
        <v>0</v>
      </c>
      <c r="V663" s="126">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6">
        <f t="shared" si="186"/>
        <v>0</v>
      </c>
      <c r="AC663" s="126"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7"/>
      <c r="B664" s="118"/>
      <c r="C664" s="119"/>
      <c r="D664" s="119"/>
      <c r="E664" s="117"/>
      <c r="F664" s="120">
        <f t="shared" si="170"/>
        <v>0</v>
      </c>
      <c r="G664" s="121" t="str">
        <f t="shared" si="171"/>
        <v/>
      </c>
      <c r="H664" s="122">
        <f>IF($D664="",0,IFERROR(LOOKUP(2,1/(($D$3:D663=$D664)*($A$3:A663&lt;$A664)),$N$3:N663),'Guide &amp; Settings'!$C$41))</f>
        <v>0</v>
      </c>
      <c r="I664" s="123">
        <f t="shared" si="172"/>
        <v>0</v>
      </c>
      <c r="J664" s="124">
        <f>IF($D664="",0,IF($F664&lt;2,0,IF($E664="Win",('Guide &amp; Settings'!$C$42/(($F664-1)*COUNTIFS($A$4:$A$810,$A664,$E$4:$E$810,"Win")))*SUMIFS($X$4:$X$810,$A$4:$A$810,$A664,$E$4:$E$810,"Loss"),-('Guide &amp; Settings'!$C$42/($F664-1))*$X664)))</f>
        <v>0</v>
      </c>
      <c r="K664" s="124">
        <f>IF($D664="",0,'Guide &amp; Settings'!$C$43*(IF($E664="Win",1,0)-$I664))</f>
        <v>0</v>
      </c>
      <c r="L664" s="125">
        <f>IF($D664="",0,'Guide &amp; Settings'!$C$44*IF($F664&gt;=3,$F664,0))</f>
        <v>0</v>
      </c>
      <c r="M664" s="124">
        <f t="shared" si="173"/>
        <v>0</v>
      </c>
      <c r="N664" s="122">
        <f t="shared" si="174"/>
        <v>0</v>
      </c>
      <c r="O664" s="121" t="str">
        <f t="shared" si="175"/>
        <v/>
      </c>
      <c r="P664">
        <f t="shared" si="176"/>
        <v>0</v>
      </c>
      <c r="Q664">
        <f t="shared" si="177"/>
        <v>0</v>
      </c>
      <c r="R664">
        <f t="shared" si="178"/>
        <v>0</v>
      </c>
      <c r="S664">
        <f t="shared" si="179"/>
        <v>0</v>
      </c>
      <c r="T664" s="89">
        <f t="shared" si="180"/>
        <v>0</v>
      </c>
      <c r="U664" s="126">
        <f>IF($D664="",0,IFERROR(LOOKUP(2,1/(($D$3:D663=$D664)*($C$3:C663=$C664)*($A$3:A663&lt;$A664)),$AB$3:AB663),1000))</f>
        <v>0</v>
      </c>
      <c r="V664" s="126">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6">
        <f t="shared" si="186"/>
        <v>0</v>
      </c>
      <c r="AC664" s="126"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7"/>
      <c r="B665" s="118"/>
      <c r="C665" s="119"/>
      <c r="D665" s="119"/>
      <c r="E665" s="117"/>
      <c r="F665" s="120">
        <f t="shared" si="170"/>
        <v>0</v>
      </c>
      <c r="G665" s="121" t="str">
        <f t="shared" si="171"/>
        <v/>
      </c>
      <c r="H665" s="122">
        <f>IF($D665="",0,IFERROR(LOOKUP(2,1/(($D$3:D664=$D665)*($A$3:A664&lt;$A665)),$N$3:N664),'Guide &amp; Settings'!$C$41))</f>
        <v>0</v>
      </c>
      <c r="I665" s="123">
        <f t="shared" si="172"/>
        <v>0</v>
      </c>
      <c r="J665" s="124">
        <f>IF($D665="",0,IF($F665&lt;2,0,IF($E665="Win",('Guide &amp; Settings'!$C$42/(($F665-1)*COUNTIFS($A$4:$A$810,$A665,$E$4:$E$810,"Win")))*SUMIFS($X$4:$X$810,$A$4:$A$810,$A665,$E$4:$E$810,"Loss"),-('Guide &amp; Settings'!$C$42/($F665-1))*$X665)))</f>
        <v>0</v>
      </c>
      <c r="K665" s="124">
        <f>IF($D665="",0,'Guide &amp; Settings'!$C$43*(IF($E665="Win",1,0)-$I665))</f>
        <v>0</v>
      </c>
      <c r="L665" s="125">
        <f>IF($D665="",0,'Guide &amp; Settings'!$C$44*IF($F665&gt;=3,$F665,0))</f>
        <v>0</v>
      </c>
      <c r="M665" s="124">
        <f t="shared" si="173"/>
        <v>0</v>
      </c>
      <c r="N665" s="122">
        <f t="shared" si="174"/>
        <v>0</v>
      </c>
      <c r="O665" s="121" t="str">
        <f t="shared" si="175"/>
        <v/>
      </c>
      <c r="P665">
        <f t="shared" si="176"/>
        <v>0</v>
      </c>
      <c r="Q665">
        <f t="shared" si="177"/>
        <v>0</v>
      </c>
      <c r="R665">
        <f t="shared" si="178"/>
        <v>0</v>
      </c>
      <c r="S665">
        <f t="shared" si="179"/>
        <v>0</v>
      </c>
      <c r="T665" s="89">
        <f t="shared" si="180"/>
        <v>0</v>
      </c>
      <c r="U665" s="126">
        <f>IF($D665="",0,IFERROR(LOOKUP(2,1/(($D$3:D664=$D665)*($C$3:C664=$C665)*($A$3:A664&lt;$A665)),$AB$3:AB664),1000))</f>
        <v>0</v>
      </c>
      <c r="V665" s="126">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6">
        <f t="shared" si="186"/>
        <v>0</v>
      </c>
      <c r="AC665" s="126"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7"/>
      <c r="B666" s="118"/>
      <c r="C666" s="119"/>
      <c r="D666" s="119"/>
      <c r="E666" s="117"/>
      <c r="F666" s="120">
        <f t="shared" si="170"/>
        <v>0</v>
      </c>
      <c r="G666" s="121" t="str">
        <f t="shared" si="171"/>
        <v/>
      </c>
      <c r="H666" s="122">
        <f>IF($D666="",0,IFERROR(LOOKUP(2,1/(($D$3:D665=$D666)*($A$3:A665&lt;$A666)),$N$3:N665),'Guide &amp; Settings'!$C$41))</f>
        <v>0</v>
      </c>
      <c r="I666" s="123">
        <f t="shared" si="172"/>
        <v>0</v>
      </c>
      <c r="J666" s="124">
        <f>IF($D666="",0,IF($F666&lt;2,0,IF($E666="Win",('Guide &amp; Settings'!$C$42/(($F666-1)*COUNTIFS($A$4:$A$810,$A666,$E$4:$E$810,"Win")))*SUMIFS($X$4:$X$810,$A$4:$A$810,$A666,$E$4:$E$810,"Loss"),-('Guide &amp; Settings'!$C$42/($F666-1))*$X666)))</f>
        <v>0</v>
      </c>
      <c r="K666" s="124">
        <f>IF($D666="",0,'Guide &amp; Settings'!$C$43*(IF($E666="Win",1,0)-$I666))</f>
        <v>0</v>
      </c>
      <c r="L666" s="125">
        <f>IF($D666="",0,'Guide &amp; Settings'!$C$44*IF($F666&gt;=3,$F666,0))</f>
        <v>0</v>
      </c>
      <c r="M666" s="124">
        <f t="shared" si="173"/>
        <v>0</v>
      </c>
      <c r="N666" s="122">
        <f t="shared" si="174"/>
        <v>0</v>
      </c>
      <c r="O666" s="121" t="str">
        <f t="shared" si="175"/>
        <v/>
      </c>
      <c r="P666">
        <f t="shared" si="176"/>
        <v>0</v>
      </c>
      <c r="Q666">
        <f t="shared" si="177"/>
        <v>0</v>
      </c>
      <c r="R666">
        <f t="shared" si="178"/>
        <v>0</v>
      </c>
      <c r="S666">
        <f t="shared" si="179"/>
        <v>0</v>
      </c>
      <c r="T666" s="89">
        <f t="shared" si="180"/>
        <v>0</v>
      </c>
      <c r="U666" s="126">
        <f>IF($D666="",0,IFERROR(LOOKUP(2,1/(($D$3:D665=$D666)*($C$3:C665=$C666)*($A$3:A665&lt;$A666)),$AB$3:AB665),1000))</f>
        <v>0</v>
      </c>
      <c r="V666" s="126">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6">
        <f t="shared" si="186"/>
        <v>0</v>
      </c>
      <c r="AC666" s="126"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7"/>
      <c r="B667" s="118"/>
      <c r="C667" s="119"/>
      <c r="D667" s="119"/>
      <c r="E667" s="117"/>
      <c r="F667" s="120">
        <f t="shared" si="170"/>
        <v>0</v>
      </c>
      <c r="G667" s="121" t="str">
        <f t="shared" si="171"/>
        <v/>
      </c>
      <c r="H667" s="122">
        <f>IF($D667="",0,IFERROR(LOOKUP(2,1/(($D$3:D666=$D667)*($A$3:A666&lt;$A667)),$N$3:N666),'Guide &amp; Settings'!$C$41))</f>
        <v>0</v>
      </c>
      <c r="I667" s="123">
        <f t="shared" si="172"/>
        <v>0</v>
      </c>
      <c r="J667" s="124">
        <f>IF($D667="",0,IF($F667&lt;2,0,IF($E667="Win",('Guide &amp; Settings'!$C$42/(($F667-1)*COUNTIFS($A$4:$A$810,$A667,$E$4:$E$810,"Win")))*SUMIFS($X$4:$X$810,$A$4:$A$810,$A667,$E$4:$E$810,"Loss"),-('Guide &amp; Settings'!$C$42/($F667-1))*$X667)))</f>
        <v>0</v>
      </c>
      <c r="K667" s="124">
        <f>IF($D667="",0,'Guide &amp; Settings'!$C$43*(IF($E667="Win",1,0)-$I667))</f>
        <v>0</v>
      </c>
      <c r="L667" s="125">
        <f>IF($D667="",0,'Guide &amp; Settings'!$C$44*IF($F667&gt;=3,$F667,0))</f>
        <v>0</v>
      </c>
      <c r="M667" s="124">
        <f t="shared" si="173"/>
        <v>0</v>
      </c>
      <c r="N667" s="122">
        <f t="shared" si="174"/>
        <v>0</v>
      </c>
      <c r="O667" s="121" t="str">
        <f t="shared" si="175"/>
        <v/>
      </c>
      <c r="P667">
        <f t="shared" si="176"/>
        <v>0</v>
      </c>
      <c r="Q667">
        <f t="shared" si="177"/>
        <v>0</v>
      </c>
      <c r="R667">
        <f t="shared" si="178"/>
        <v>0</v>
      </c>
      <c r="S667">
        <f t="shared" si="179"/>
        <v>0</v>
      </c>
      <c r="T667" s="89">
        <f t="shared" si="180"/>
        <v>0</v>
      </c>
      <c r="U667" s="126">
        <f>IF($D667="",0,IFERROR(LOOKUP(2,1/(($D$3:D666=$D667)*($C$3:C666=$C667)*($A$3:A666&lt;$A667)),$AB$3:AB666),1000))</f>
        <v>0</v>
      </c>
      <c r="V667" s="126">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6">
        <f t="shared" si="186"/>
        <v>0</v>
      </c>
      <c r="AC667" s="126"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7"/>
      <c r="B668" s="118"/>
      <c r="C668" s="119"/>
      <c r="D668" s="119"/>
      <c r="E668" s="117"/>
      <c r="F668" s="120">
        <f t="shared" si="170"/>
        <v>0</v>
      </c>
      <c r="G668" s="121" t="str">
        <f t="shared" si="171"/>
        <v/>
      </c>
      <c r="H668" s="122">
        <f>IF($D668="",0,IFERROR(LOOKUP(2,1/(($D$3:D667=$D668)*($A$3:A667&lt;$A668)),$N$3:N667),'Guide &amp; Settings'!$C$41))</f>
        <v>0</v>
      </c>
      <c r="I668" s="123">
        <f t="shared" si="172"/>
        <v>0</v>
      </c>
      <c r="J668" s="124">
        <f>IF($D668="",0,IF($F668&lt;2,0,IF($E668="Win",('Guide &amp; Settings'!$C$42/(($F668-1)*COUNTIFS($A$4:$A$810,$A668,$E$4:$E$810,"Win")))*SUMIFS($X$4:$X$810,$A$4:$A$810,$A668,$E$4:$E$810,"Loss"),-('Guide &amp; Settings'!$C$42/($F668-1))*$X668)))</f>
        <v>0</v>
      </c>
      <c r="K668" s="124">
        <f>IF($D668="",0,'Guide &amp; Settings'!$C$43*(IF($E668="Win",1,0)-$I668))</f>
        <v>0</v>
      </c>
      <c r="L668" s="125">
        <f>IF($D668="",0,'Guide &amp; Settings'!$C$44*IF($F668&gt;=3,$F668,0))</f>
        <v>0</v>
      </c>
      <c r="M668" s="124">
        <f t="shared" si="173"/>
        <v>0</v>
      </c>
      <c r="N668" s="122">
        <f t="shared" si="174"/>
        <v>0</v>
      </c>
      <c r="O668" s="121" t="str">
        <f t="shared" si="175"/>
        <v/>
      </c>
      <c r="P668">
        <f t="shared" si="176"/>
        <v>0</v>
      </c>
      <c r="Q668">
        <f t="shared" si="177"/>
        <v>0</v>
      </c>
      <c r="R668">
        <f t="shared" si="178"/>
        <v>0</v>
      </c>
      <c r="S668">
        <f t="shared" si="179"/>
        <v>0</v>
      </c>
      <c r="T668" s="89">
        <f t="shared" si="180"/>
        <v>0</v>
      </c>
      <c r="U668" s="126">
        <f>IF($D668="",0,IFERROR(LOOKUP(2,1/(($D$3:D667=$D668)*($C$3:C667=$C668)*($A$3:A667&lt;$A668)),$AB$3:AB667),1000))</f>
        <v>0</v>
      </c>
      <c r="V668" s="126">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6">
        <f t="shared" si="186"/>
        <v>0</v>
      </c>
      <c r="AC668" s="126"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7"/>
      <c r="B669" s="118"/>
      <c r="C669" s="119"/>
      <c r="D669" s="119"/>
      <c r="E669" s="117"/>
      <c r="F669" s="120">
        <f t="shared" si="170"/>
        <v>0</v>
      </c>
      <c r="G669" s="121" t="str">
        <f t="shared" si="171"/>
        <v/>
      </c>
      <c r="H669" s="122">
        <f>IF($D669="",0,IFERROR(LOOKUP(2,1/(($D$3:D668=$D669)*($A$3:A668&lt;$A669)),$N$3:N668),'Guide &amp; Settings'!$C$41))</f>
        <v>0</v>
      </c>
      <c r="I669" s="123">
        <f t="shared" si="172"/>
        <v>0</v>
      </c>
      <c r="J669" s="124">
        <f>IF($D669="",0,IF($F669&lt;2,0,IF($E669="Win",('Guide &amp; Settings'!$C$42/(($F669-1)*COUNTIFS($A$4:$A$810,$A669,$E$4:$E$810,"Win")))*SUMIFS($X$4:$X$810,$A$4:$A$810,$A669,$E$4:$E$810,"Loss"),-('Guide &amp; Settings'!$C$42/($F669-1))*$X669)))</f>
        <v>0</v>
      </c>
      <c r="K669" s="124">
        <f>IF($D669="",0,'Guide &amp; Settings'!$C$43*(IF($E669="Win",1,0)-$I669))</f>
        <v>0</v>
      </c>
      <c r="L669" s="125">
        <f>IF($D669="",0,'Guide &amp; Settings'!$C$44*IF($F669&gt;=3,$F669,0))</f>
        <v>0</v>
      </c>
      <c r="M669" s="124">
        <f t="shared" si="173"/>
        <v>0</v>
      </c>
      <c r="N669" s="122">
        <f t="shared" si="174"/>
        <v>0</v>
      </c>
      <c r="O669" s="121" t="str">
        <f t="shared" si="175"/>
        <v/>
      </c>
      <c r="P669">
        <f t="shared" si="176"/>
        <v>0</v>
      </c>
      <c r="Q669">
        <f t="shared" si="177"/>
        <v>0</v>
      </c>
      <c r="R669">
        <f t="shared" si="178"/>
        <v>0</v>
      </c>
      <c r="S669">
        <f t="shared" si="179"/>
        <v>0</v>
      </c>
      <c r="T669" s="89">
        <f t="shared" si="180"/>
        <v>0</v>
      </c>
      <c r="U669" s="126">
        <f>IF($D669="",0,IFERROR(LOOKUP(2,1/(($D$3:D668=$D669)*($C$3:C668=$C669)*($A$3:A668&lt;$A669)),$AB$3:AB668),1000))</f>
        <v>0</v>
      </c>
      <c r="V669" s="126">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6">
        <f t="shared" si="186"/>
        <v>0</v>
      </c>
      <c r="AC669" s="126"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7"/>
      <c r="B670" s="118"/>
      <c r="C670" s="119"/>
      <c r="D670" s="119"/>
      <c r="E670" s="117"/>
      <c r="F670" s="120">
        <f t="shared" si="170"/>
        <v>0</v>
      </c>
      <c r="G670" s="121" t="str">
        <f t="shared" si="171"/>
        <v/>
      </c>
      <c r="H670" s="122">
        <f>IF($D670="",0,IFERROR(LOOKUP(2,1/(($D$3:D669=$D670)*($A$3:A669&lt;$A670)),$N$3:N669),'Guide &amp; Settings'!$C$41))</f>
        <v>0</v>
      </c>
      <c r="I670" s="123">
        <f t="shared" si="172"/>
        <v>0</v>
      </c>
      <c r="J670" s="124">
        <f>IF($D670="",0,IF($F670&lt;2,0,IF($E670="Win",('Guide &amp; Settings'!$C$42/(($F670-1)*COUNTIFS($A$4:$A$810,$A670,$E$4:$E$810,"Win")))*SUMIFS($X$4:$X$810,$A$4:$A$810,$A670,$E$4:$E$810,"Loss"),-('Guide &amp; Settings'!$C$42/($F670-1))*$X670)))</f>
        <v>0</v>
      </c>
      <c r="K670" s="124">
        <f>IF($D670="",0,'Guide &amp; Settings'!$C$43*(IF($E670="Win",1,0)-$I670))</f>
        <v>0</v>
      </c>
      <c r="L670" s="125">
        <f>IF($D670="",0,'Guide &amp; Settings'!$C$44*IF($F670&gt;=3,$F670,0))</f>
        <v>0</v>
      </c>
      <c r="M670" s="124">
        <f t="shared" si="173"/>
        <v>0</v>
      </c>
      <c r="N670" s="122">
        <f t="shared" si="174"/>
        <v>0</v>
      </c>
      <c r="O670" s="121" t="str">
        <f t="shared" si="175"/>
        <v/>
      </c>
      <c r="P670">
        <f t="shared" si="176"/>
        <v>0</v>
      </c>
      <c r="Q670">
        <f t="shared" si="177"/>
        <v>0</v>
      </c>
      <c r="R670">
        <f t="shared" si="178"/>
        <v>0</v>
      </c>
      <c r="S670">
        <f t="shared" si="179"/>
        <v>0</v>
      </c>
      <c r="T670" s="89">
        <f t="shared" si="180"/>
        <v>0</v>
      </c>
      <c r="U670" s="126">
        <f>IF($D670="",0,IFERROR(LOOKUP(2,1/(($D$3:D669=$D670)*($C$3:C669=$C670)*($A$3:A669&lt;$A670)),$AB$3:AB669),1000))</f>
        <v>0</v>
      </c>
      <c r="V670" s="126">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6">
        <f t="shared" si="186"/>
        <v>0</v>
      </c>
      <c r="AC670" s="126"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7"/>
      <c r="B671" s="118"/>
      <c r="C671" s="119"/>
      <c r="D671" s="119"/>
      <c r="E671" s="117"/>
      <c r="F671" s="120">
        <f t="shared" si="170"/>
        <v>0</v>
      </c>
      <c r="G671" s="121" t="str">
        <f t="shared" si="171"/>
        <v/>
      </c>
      <c r="H671" s="122">
        <f>IF($D671="",0,IFERROR(LOOKUP(2,1/(($D$3:D670=$D671)*($A$3:A670&lt;$A671)),$N$3:N670),'Guide &amp; Settings'!$C$41))</f>
        <v>0</v>
      </c>
      <c r="I671" s="123">
        <f t="shared" si="172"/>
        <v>0</v>
      </c>
      <c r="J671" s="124">
        <f>IF($D671="",0,IF($F671&lt;2,0,IF($E671="Win",('Guide &amp; Settings'!$C$42/(($F671-1)*COUNTIFS($A$4:$A$810,$A671,$E$4:$E$810,"Win")))*SUMIFS($X$4:$X$810,$A$4:$A$810,$A671,$E$4:$E$810,"Loss"),-('Guide &amp; Settings'!$C$42/($F671-1))*$X671)))</f>
        <v>0</v>
      </c>
      <c r="K671" s="124">
        <f>IF($D671="",0,'Guide &amp; Settings'!$C$43*(IF($E671="Win",1,0)-$I671))</f>
        <v>0</v>
      </c>
      <c r="L671" s="125">
        <f>IF($D671="",0,'Guide &amp; Settings'!$C$44*IF($F671&gt;=3,$F671,0))</f>
        <v>0</v>
      </c>
      <c r="M671" s="124">
        <f t="shared" si="173"/>
        <v>0</v>
      </c>
      <c r="N671" s="122">
        <f t="shared" si="174"/>
        <v>0</v>
      </c>
      <c r="O671" s="121" t="str">
        <f t="shared" si="175"/>
        <v/>
      </c>
      <c r="P671">
        <f t="shared" si="176"/>
        <v>0</v>
      </c>
      <c r="Q671">
        <f t="shared" si="177"/>
        <v>0</v>
      </c>
      <c r="R671">
        <f t="shared" si="178"/>
        <v>0</v>
      </c>
      <c r="S671">
        <f t="shared" si="179"/>
        <v>0</v>
      </c>
      <c r="T671" s="89">
        <f t="shared" si="180"/>
        <v>0</v>
      </c>
      <c r="U671" s="126">
        <f>IF($D671="",0,IFERROR(LOOKUP(2,1/(($D$3:D670=$D671)*($C$3:C670=$C671)*($A$3:A670&lt;$A671)),$AB$3:AB670),1000))</f>
        <v>0</v>
      </c>
      <c r="V671" s="126">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6">
        <f t="shared" si="186"/>
        <v>0</v>
      </c>
      <c r="AC671" s="126"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7"/>
      <c r="B672" s="118"/>
      <c r="C672" s="119"/>
      <c r="D672" s="119"/>
      <c r="E672" s="117"/>
      <c r="F672" s="120">
        <f t="shared" si="170"/>
        <v>0</v>
      </c>
      <c r="G672" s="121" t="str">
        <f t="shared" si="171"/>
        <v/>
      </c>
      <c r="H672" s="122">
        <f>IF($D672="",0,IFERROR(LOOKUP(2,1/(($D$3:D671=$D672)*($A$3:A671&lt;$A672)),$N$3:N671),'Guide &amp; Settings'!$C$41))</f>
        <v>0</v>
      </c>
      <c r="I672" s="123">
        <f t="shared" si="172"/>
        <v>0</v>
      </c>
      <c r="J672" s="124">
        <f>IF($D672="",0,IF($F672&lt;2,0,IF($E672="Win",('Guide &amp; Settings'!$C$42/(($F672-1)*COUNTIFS($A$4:$A$810,$A672,$E$4:$E$810,"Win")))*SUMIFS($X$4:$X$810,$A$4:$A$810,$A672,$E$4:$E$810,"Loss"),-('Guide &amp; Settings'!$C$42/($F672-1))*$X672)))</f>
        <v>0</v>
      </c>
      <c r="K672" s="124">
        <f>IF($D672="",0,'Guide &amp; Settings'!$C$43*(IF($E672="Win",1,0)-$I672))</f>
        <v>0</v>
      </c>
      <c r="L672" s="125">
        <f>IF($D672="",0,'Guide &amp; Settings'!$C$44*IF($F672&gt;=3,$F672,0))</f>
        <v>0</v>
      </c>
      <c r="M672" s="124">
        <f t="shared" si="173"/>
        <v>0</v>
      </c>
      <c r="N672" s="122">
        <f t="shared" si="174"/>
        <v>0</v>
      </c>
      <c r="O672" s="121" t="str">
        <f t="shared" si="175"/>
        <v/>
      </c>
      <c r="P672">
        <f t="shared" si="176"/>
        <v>0</v>
      </c>
      <c r="Q672">
        <f t="shared" si="177"/>
        <v>0</v>
      </c>
      <c r="R672">
        <f t="shared" si="178"/>
        <v>0</v>
      </c>
      <c r="S672">
        <f t="shared" si="179"/>
        <v>0</v>
      </c>
      <c r="T672" s="89">
        <f t="shared" si="180"/>
        <v>0</v>
      </c>
      <c r="U672" s="126">
        <f>IF($D672="",0,IFERROR(LOOKUP(2,1/(($D$3:D671=$D672)*($C$3:C671=$C672)*($A$3:A671&lt;$A672)),$AB$3:AB671),1000))</f>
        <v>0</v>
      </c>
      <c r="V672" s="126">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6">
        <f t="shared" si="186"/>
        <v>0</v>
      </c>
      <c r="AC672" s="126"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7"/>
      <c r="B673" s="118"/>
      <c r="C673" s="119"/>
      <c r="D673" s="119"/>
      <c r="E673" s="117"/>
      <c r="F673" s="120">
        <f t="shared" si="170"/>
        <v>0</v>
      </c>
      <c r="G673" s="121" t="str">
        <f t="shared" si="171"/>
        <v/>
      </c>
      <c r="H673" s="122">
        <f>IF($D673="",0,IFERROR(LOOKUP(2,1/(($D$3:D672=$D673)*($A$3:A672&lt;$A673)),$N$3:N672),'Guide &amp; Settings'!$C$41))</f>
        <v>0</v>
      </c>
      <c r="I673" s="123">
        <f t="shared" si="172"/>
        <v>0</v>
      </c>
      <c r="J673" s="124">
        <f>IF($D673="",0,IF($F673&lt;2,0,IF($E673="Win",('Guide &amp; Settings'!$C$42/(($F673-1)*COUNTIFS($A$4:$A$810,$A673,$E$4:$E$810,"Win")))*SUMIFS($X$4:$X$810,$A$4:$A$810,$A673,$E$4:$E$810,"Loss"),-('Guide &amp; Settings'!$C$42/($F673-1))*$X673)))</f>
        <v>0</v>
      </c>
      <c r="K673" s="124">
        <f>IF($D673="",0,'Guide &amp; Settings'!$C$43*(IF($E673="Win",1,0)-$I673))</f>
        <v>0</v>
      </c>
      <c r="L673" s="125">
        <f>IF($D673="",0,'Guide &amp; Settings'!$C$44*IF($F673&gt;=3,$F673,0))</f>
        <v>0</v>
      </c>
      <c r="M673" s="124">
        <f t="shared" si="173"/>
        <v>0</v>
      </c>
      <c r="N673" s="122">
        <f t="shared" si="174"/>
        <v>0</v>
      </c>
      <c r="O673" s="121" t="str">
        <f t="shared" si="175"/>
        <v/>
      </c>
      <c r="P673">
        <f t="shared" si="176"/>
        <v>0</v>
      </c>
      <c r="Q673">
        <f t="shared" si="177"/>
        <v>0</v>
      </c>
      <c r="R673">
        <f t="shared" si="178"/>
        <v>0</v>
      </c>
      <c r="S673">
        <f t="shared" si="179"/>
        <v>0</v>
      </c>
      <c r="T673" s="89">
        <f t="shared" si="180"/>
        <v>0</v>
      </c>
      <c r="U673" s="126">
        <f>IF($D673="",0,IFERROR(LOOKUP(2,1/(($D$3:D672=$D673)*($C$3:C672=$C673)*($A$3:A672&lt;$A673)),$AB$3:AB672),1000))</f>
        <v>0</v>
      </c>
      <c r="V673" s="126">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6">
        <f t="shared" si="186"/>
        <v>0</v>
      </c>
      <c r="AC673" s="126"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7"/>
      <c r="B674" s="118"/>
      <c r="C674" s="119"/>
      <c r="D674" s="119"/>
      <c r="E674" s="117"/>
      <c r="F674" s="120">
        <f t="shared" si="170"/>
        <v>0</v>
      </c>
      <c r="G674" s="121" t="str">
        <f t="shared" si="171"/>
        <v/>
      </c>
      <c r="H674" s="122">
        <f>IF($D674="",0,IFERROR(LOOKUP(2,1/(($D$3:D673=$D674)*($A$3:A673&lt;$A674)),$N$3:N673),'Guide &amp; Settings'!$C$41))</f>
        <v>0</v>
      </c>
      <c r="I674" s="123">
        <f t="shared" si="172"/>
        <v>0</v>
      </c>
      <c r="J674" s="124">
        <f>IF($D674="",0,IF($F674&lt;2,0,IF($E674="Win",('Guide &amp; Settings'!$C$42/(($F674-1)*COUNTIFS($A$4:$A$810,$A674,$E$4:$E$810,"Win")))*SUMIFS($X$4:$X$810,$A$4:$A$810,$A674,$E$4:$E$810,"Loss"),-('Guide &amp; Settings'!$C$42/($F674-1))*$X674)))</f>
        <v>0</v>
      </c>
      <c r="K674" s="124">
        <f>IF($D674="",0,'Guide &amp; Settings'!$C$43*(IF($E674="Win",1,0)-$I674))</f>
        <v>0</v>
      </c>
      <c r="L674" s="125">
        <f>IF($D674="",0,'Guide &amp; Settings'!$C$44*IF($F674&gt;=3,$F674,0))</f>
        <v>0</v>
      </c>
      <c r="M674" s="124">
        <f t="shared" si="173"/>
        <v>0</v>
      </c>
      <c r="N674" s="122">
        <f t="shared" si="174"/>
        <v>0</v>
      </c>
      <c r="O674" s="121" t="str">
        <f t="shared" si="175"/>
        <v/>
      </c>
      <c r="P674">
        <f t="shared" si="176"/>
        <v>0</v>
      </c>
      <c r="Q674">
        <f t="shared" si="177"/>
        <v>0</v>
      </c>
      <c r="R674">
        <f t="shared" si="178"/>
        <v>0</v>
      </c>
      <c r="S674">
        <f t="shared" si="179"/>
        <v>0</v>
      </c>
      <c r="T674" s="89">
        <f t="shared" si="180"/>
        <v>0</v>
      </c>
      <c r="U674" s="126">
        <f>IF($D674="",0,IFERROR(LOOKUP(2,1/(($D$3:D673=$D674)*($C$3:C673=$C674)*($A$3:A673&lt;$A674)),$AB$3:AB673),1000))</f>
        <v>0</v>
      </c>
      <c r="V674" s="126">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6">
        <f t="shared" si="186"/>
        <v>0</v>
      </c>
      <c r="AC674" s="126"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7"/>
      <c r="B675" s="118"/>
      <c r="C675" s="119"/>
      <c r="D675" s="119"/>
      <c r="E675" s="117"/>
      <c r="F675" s="120">
        <f t="shared" si="170"/>
        <v>0</v>
      </c>
      <c r="G675" s="121" t="str">
        <f t="shared" si="171"/>
        <v/>
      </c>
      <c r="H675" s="122">
        <f>IF($D675="",0,IFERROR(LOOKUP(2,1/(($D$3:D674=$D675)*($A$3:A674&lt;$A675)),$N$3:N674),'Guide &amp; Settings'!$C$41))</f>
        <v>0</v>
      </c>
      <c r="I675" s="123">
        <f t="shared" si="172"/>
        <v>0</v>
      </c>
      <c r="J675" s="124">
        <f>IF($D675="",0,IF($F675&lt;2,0,IF($E675="Win",('Guide &amp; Settings'!$C$42/(($F675-1)*COUNTIFS($A$4:$A$810,$A675,$E$4:$E$810,"Win")))*SUMIFS($X$4:$X$810,$A$4:$A$810,$A675,$E$4:$E$810,"Loss"),-('Guide &amp; Settings'!$C$42/($F675-1))*$X675)))</f>
        <v>0</v>
      </c>
      <c r="K675" s="124">
        <f>IF($D675="",0,'Guide &amp; Settings'!$C$43*(IF($E675="Win",1,0)-$I675))</f>
        <v>0</v>
      </c>
      <c r="L675" s="125">
        <f>IF($D675="",0,'Guide &amp; Settings'!$C$44*IF($F675&gt;=3,$F675,0))</f>
        <v>0</v>
      </c>
      <c r="M675" s="124">
        <f t="shared" si="173"/>
        <v>0</v>
      </c>
      <c r="N675" s="122">
        <f t="shared" si="174"/>
        <v>0</v>
      </c>
      <c r="O675" s="121" t="str">
        <f t="shared" si="175"/>
        <v/>
      </c>
      <c r="P675">
        <f t="shared" si="176"/>
        <v>0</v>
      </c>
      <c r="Q675">
        <f t="shared" si="177"/>
        <v>0</v>
      </c>
      <c r="R675">
        <f t="shared" si="178"/>
        <v>0</v>
      </c>
      <c r="S675">
        <f t="shared" si="179"/>
        <v>0</v>
      </c>
      <c r="T675" s="89">
        <f t="shared" si="180"/>
        <v>0</v>
      </c>
      <c r="U675" s="126">
        <f>IF($D675="",0,IFERROR(LOOKUP(2,1/(($D$3:D674=$D675)*($C$3:C674=$C675)*($A$3:A674&lt;$A675)),$AB$3:AB674),1000))</f>
        <v>0</v>
      </c>
      <c r="V675" s="126">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6">
        <f t="shared" si="186"/>
        <v>0</v>
      </c>
      <c r="AC675" s="126"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7"/>
      <c r="B676" s="118"/>
      <c r="C676" s="119"/>
      <c r="D676" s="119"/>
      <c r="E676" s="117"/>
      <c r="F676" s="120">
        <f t="shared" si="170"/>
        <v>0</v>
      </c>
      <c r="G676" s="121" t="str">
        <f t="shared" si="171"/>
        <v/>
      </c>
      <c r="H676" s="122">
        <f>IF($D676="",0,IFERROR(LOOKUP(2,1/(($D$3:D675=$D676)*($A$3:A675&lt;$A676)),$N$3:N675),'Guide &amp; Settings'!$C$41))</f>
        <v>0</v>
      </c>
      <c r="I676" s="123">
        <f t="shared" si="172"/>
        <v>0</v>
      </c>
      <c r="J676" s="124">
        <f>IF($D676="",0,IF($F676&lt;2,0,IF($E676="Win",('Guide &amp; Settings'!$C$42/(($F676-1)*COUNTIFS($A$4:$A$810,$A676,$E$4:$E$810,"Win")))*SUMIFS($X$4:$X$810,$A$4:$A$810,$A676,$E$4:$E$810,"Loss"),-('Guide &amp; Settings'!$C$42/($F676-1))*$X676)))</f>
        <v>0</v>
      </c>
      <c r="K676" s="124">
        <f>IF($D676="",0,'Guide &amp; Settings'!$C$43*(IF($E676="Win",1,0)-$I676))</f>
        <v>0</v>
      </c>
      <c r="L676" s="125">
        <f>IF($D676="",0,'Guide &amp; Settings'!$C$44*IF($F676&gt;=3,$F676,0))</f>
        <v>0</v>
      </c>
      <c r="M676" s="124">
        <f t="shared" si="173"/>
        <v>0</v>
      </c>
      <c r="N676" s="122">
        <f t="shared" si="174"/>
        <v>0</v>
      </c>
      <c r="O676" s="121" t="str">
        <f t="shared" si="175"/>
        <v/>
      </c>
      <c r="P676">
        <f t="shared" si="176"/>
        <v>0</v>
      </c>
      <c r="Q676">
        <f t="shared" si="177"/>
        <v>0</v>
      </c>
      <c r="R676">
        <f t="shared" si="178"/>
        <v>0</v>
      </c>
      <c r="S676">
        <f t="shared" si="179"/>
        <v>0</v>
      </c>
      <c r="T676" s="89">
        <f t="shared" si="180"/>
        <v>0</v>
      </c>
      <c r="U676" s="126">
        <f>IF($D676="",0,IFERROR(LOOKUP(2,1/(($D$3:D675=$D676)*($C$3:C675=$C676)*($A$3:A675&lt;$A676)),$AB$3:AB675),1000))</f>
        <v>0</v>
      </c>
      <c r="V676" s="126">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6">
        <f t="shared" si="186"/>
        <v>0</v>
      </c>
      <c r="AC676" s="126"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7"/>
      <c r="B677" s="118"/>
      <c r="C677" s="119"/>
      <c r="D677" s="119"/>
      <c r="E677" s="117"/>
      <c r="F677" s="120">
        <f t="shared" si="170"/>
        <v>0</v>
      </c>
      <c r="G677" s="121" t="str">
        <f t="shared" si="171"/>
        <v/>
      </c>
      <c r="H677" s="122">
        <f>IF($D677="",0,IFERROR(LOOKUP(2,1/(($D$3:D676=$D677)*($A$3:A676&lt;$A677)),$N$3:N676),'Guide &amp; Settings'!$C$41))</f>
        <v>0</v>
      </c>
      <c r="I677" s="123">
        <f t="shared" si="172"/>
        <v>0</v>
      </c>
      <c r="J677" s="124">
        <f>IF($D677="",0,IF($F677&lt;2,0,IF($E677="Win",('Guide &amp; Settings'!$C$42/(($F677-1)*COUNTIFS($A$4:$A$810,$A677,$E$4:$E$810,"Win")))*SUMIFS($X$4:$X$810,$A$4:$A$810,$A677,$E$4:$E$810,"Loss"),-('Guide &amp; Settings'!$C$42/($F677-1))*$X677)))</f>
        <v>0</v>
      </c>
      <c r="K677" s="124">
        <f>IF($D677="",0,'Guide &amp; Settings'!$C$43*(IF($E677="Win",1,0)-$I677))</f>
        <v>0</v>
      </c>
      <c r="L677" s="125">
        <f>IF($D677="",0,'Guide &amp; Settings'!$C$44*IF($F677&gt;=3,$F677,0))</f>
        <v>0</v>
      </c>
      <c r="M677" s="124">
        <f t="shared" si="173"/>
        <v>0</v>
      </c>
      <c r="N677" s="122">
        <f t="shared" si="174"/>
        <v>0</v>
      </c>
      <c r="O677" s="121" t="str">
        <f t="shared" si="175"/>
        <v/>
      </c>
      <c r="P677">
        <f t="shared" si="176"/>
        <v>0</v>
      </c>
      <c r="Q677">
        <f t="shared" si="177"/>
        <v>0</v>
      </c>
      <c r="R677">
        <f t="shared" si="178"/>
        <v>0</v>
      </c>
      <c r="S677">
        <f t="shared" si="179"/>
        <v>0</v>
      </c>
      <c r="T677" s="89">
        <f t="shared" si="180"/>
        <v>0</v>
      </c>
      <c r="U677" s="126">
        <f>IF($D677="",0,IFERROR(LOOKUP(2,1/(($D$3:D676=$D677)*($C$3:C676=$C677)*($A$3:A676&lt;$A677)),$AB$3:AB676),1000))</f>
        <v>0</v>
      </c>
      <c r="V677" s="126">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6">
        <f t="shared" si="186"/>
        <v>0</v>
      </c>
      <c r="AC677" s="126"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7"/>
      <c r="B678" s="118"/>
      <c r="C678" s="119"/>
      <c r="D678" s="119"/>
      <c r="E678" s="117"/>
      <c r="F678" s="120">
        <f t="shared" si="170"/>
        <v>0</v>
      </c>
      <c r="G678" s="121" t="str">
        <f t="shared" si="171"/>
        <v/>
      </c>
      <c r="H678" s="122">
        <f>IF($D678="",0,IFERROR(LOOKUP(2,1/(($D$3:D677=$D678)*($A$3:A677&lt;$A678)),$N$3:N677),'Guide &amp; Settings'!$C$41))</f>
        <v>0</v>
      </c>
      <c r="I678" s="123">
        <f t="shared" si="172"/>
        <v>0</v>
      </c>
      <c r="J678" s="124">
        <f>IF($D678="",0,IF($F678&lt;2,0,IF($E678="Win",('Guide &amp; Settings'!$C$42/(($F678-1)*COUNTIFS($A$4:$A$810,$A678,$E$4:$E$810,"Win")))*SUMIFS($X$4:$X$810,$A$4:$A$810,$A678,$E$4:$E$810,"Loss"),-('Guide &amp; Settings'!$C$42/($F678-1))*$X678)))</f>
        <v>0</v>
      </c>
      <c r="K678" s="124">
        <f>IF($D678="",0,'Guide &amp; Settings'!$C$43*(IF($E678="Win",1,0)-$I678))</f>
        <v>0</v>
      </c>
      <c r="L678" s="125">
        <f>IF($D678="",0,'Guide &amp; Settings'!$C$44*IF($F678&gt;=3,$F678,0))</f>
        <v>0</v>
      </c>
      <c r="M678" s="124">
        <f t="shared" si="173"/>
        <v>0</v>
      </c>
      <c r="N678" s="122">
        <f t="shared" si="174"/>
        <v>0</v>
      </c>
      <c r="O678" s="121" t="str">
        <f t="shared" si="175"/>
        <v/>
      </c>
      <c r="P678">
        <f t="shared" si="176"/>
        <v>0</v>
      </c>
      <c r="Q678">
        <f t="shared" si="177"/>
        <v>0</v>
      </c>
      <c r="R678">
        <f t="shared" si="178"/>
        <v>0</v>
      </c>
      <c r="S678">
        <f t="shared" si="179"/>
        <v>0</v>
      </c>
      <c r="T678" s="89">
        <f t="shared" si="180"/>
        <v>0</v>
      </c>
      <c r="U678" s="126">
        <f>IF($D678="",0,IFERROR(LOOKUP(2,1/(($D$3:D677=$D678)*($C$3:C677=$C678)*($A$3:A677&lt;$A678)),$AB$3:AB677),1000))</f>
        <v>0</v>
      </c>
      <c r="V678" s="126">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6">
        <f t="shared" si="186"/>
        <v>0</v>
      </c>
      <c r="AC678" s="126"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7"/>
      <c r="B679" s="118"/>
      <c r="C679" s="119"/>
      <c r="D679" s="119"/>
      <c r="E679" s="117"/>
      <c r="F679" s="120">
        <f t="shared" si="170"/>
        <v>0</v>
      </c>
      <c r="G679" s="121" t="str">
        <f t="shared" si="171"/>
        <v/>
      </c>
      <c r="H679" s="122">
        <f>IF($D679="",0,IFERROR(LOOKUP(2,1/(($D$3:D678=$D679)*($A$3:A678&lt;$A679)),$N$3:N678),'Guide &amp; Settings'!$C$41))</f>
        <v>0</v>
      </c>
      <c r="I679" s="123">
        <f t="shared" si="172"/>
        <v>0</v>
      </c>
      <c r="J679" s="124">
        <f>IF($D679="",0,IF($F679&lt;2,0,IF($E679="Win",('Guide &amp; Settings'!$C$42/(($F679-1)*COUNTIFS($A$4:$A$810,$A679,$E$4:$E$810,"Win")))*SUMIFS($X$4:$X$810,$A$4:$A$810,$A679,$E$4:$E$810,"Loss"),-('Guide &amp; Settings'!$C$42/($F679-1))*$X679)))</f>
        <v>0</v>
      </c>
      <c r="K679" s="124">
        <f>IF($D679="",0,'Guide &amp; Settings'!$C$43*(IF($E679="Win",1,0)-$I679))</f>
        <v>0</v>
      </c>
      <c r="L679" s="125">
        <f>IF($D679="",0,'Guide &amp; Settings'!$C$44*IF($F679&gt;=3,$F679,0))</f>
        <v>0</v>
      </c>
      <c r="M679" s="124">
        <f t="shared" si="173"/>
        <v>0</v>
      </c>
      <c r="N679" s="122">
        <f t="shared" si="174"/>
        <v>0</v>
      </c>
      <c r="O679" s="121" t="str">
        <f t="shared" si="175"/>
        <v/>
      </c>
      <c r="P679">
        <f t="shared" si="176"/>
        <v>0</v>
      </c>
      <c r="Q679">
        <f t="shared" si="177"/>
        <v>0</v>
      </c>
      <c r="R679">
        <f t="shared" si="178"/>
        <v>0</v>
      </c>
      <c r="S679">
        <f t="shared" si="179"/>
        <v>0</v>
      </c>
      <c r="T679" s="89">
        <f t="shared" si="180"/>
        <v>0</v>
      </c>
      <c r="U679" s="126">
        <f>IF($D679="",0,IFERROR(LOOKUP(2,1/(($D$3:D678=$D679)*($C$3:C678=$C679)*($A$3:A678&lt;$A679)),$AB$3:AB678),1000))</f>
        <v>0</v>
      </c>
      <c r="V679" s="126">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6">
        <f t="shared" si="186"/>
        <v>0</v>
      </c>
      <c r="AC679" s="126"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7"/>
      <c r="B680" s="118"/>
      <c r="C680" s="119"/>
      <c r="D680" s="119"/>
      <c r="E680" s="117"/>
      <c r="F680" s="120">
        <f t="shared" si="170"/>
        <v>0</v>
      </c>
      <c r="G680" s="121" t="str">
        <f t="shared" si="171"/>
        <v/>
      </c>
      <c r="H680" s="122">
        <f>IF($D680="",0,IFERROR(LOOKUP(2,1/(($D$3:D679=$D680)*($A$3:A679&lt;$A680)),$N$3:N679),'Guide &amp; Settings'!$C$41))</f>
        <v>0</v>
      </c>
      <c r="I680" s="123">
        <f t="shared" si="172"/>
        <v>0</v>
      </c>
      <c r="J680" s="124">
        <f>IF($D680="",0,IF($F680&lt;2,0,IF($E680="Win",('Guide &amp; Settings'!$C$42/(($F680-1)*COUNTIFS($A$4:$A$810,$A680,$E$4:$E$810,"Win")))*SUMIFS($X$4:$X$810,$A$4:$A$810,$A680,$E$4:$E$810,"Loss"),-('Guide &amp; Settings'!$C$42/($F680-1))*$X680)))</f>
        <v>0</v>
      </c>
      <c r="K680" s="124">
        <f>IF($D680="",0,'Guide &amp; Settings'!$C$43*(IF($E680="Win",1,0)-$I680))</f>
        <v>0</v>
      </c>
      <c r="L680" s="125">
        <f>IF($D680="",0,'Guide &amp; Settings'!$C$44*IF($F680&gt;=3,$F680,0))</f>
        <v>0</v>
      </c>
      <c r="M680" s="124">
        <f t="shared" si="173"/>
        <v>0</v>
      </c>
      <c r="N680" s="122">
        <f t="shared" si="174"/>
        <v>0</v>
      </c>
      <c r="O680" s="121" t="str">
        <f t="shared" si="175"/>
        <v/>
      </c>
      <c r="P680">
        <f t="shared" si="176"/>
        <v>0</v>
      </c>
      <c r="Q680">
        <f t="shared" si="177"/>
        <v>0</v>
      </c>
      <c r="R680">
        <f t="shared" si="178"/>
        <v>0</v>
      </c>
      <c r="S680">
        <f t="shared" si="179"/>
        <v>0</v>
      </c>
      <c r="T680" s="89">
        <f t="shared" si="180"/>
        <v>0</v>
      </c>
      <c r="U680" s="126">
        <f>IF($D680="",0,IFERROR(LOOKUP(2,1/(($D$3:D679=$D680)*($C$3:C679=$C680)*($A$3:A679&lt;$A680)),$AB$3:AB679),1000))</f>
        <v>0</v>
      </c>
      <c r="V680" s="126">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6">
        <f t="shared" si="186"/>
        <v>0</v>
      </c>
      <c r="AC680" s="126"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7"/>
      <c r="B681" s="118"/>
      <c r="C681" s="119"/>
      <c r="D681" s="119"/>
      <c r="E681" s="117"/>
      <c r="F681" s="120">
        <f t="shared" si="170"/>
        <v>0</v>
      </c>
      <c r="G681" s="121" t="str">
        <f t="shared" si="171"/>
        <v/>
      </c>
      <c r="H681" s="122">
        <f>IF($D681="",0,IFERROR(LOOKUP(2,1/(($D$3:D680=$D681)*($A$3:A680&lt;$A681)),$N$3:N680),'Guide &amp; Settings'!$C$41))</f>
        <v>0</v>
      </c>
      <c r="I681" s="123">
        <f t="shared" si="172"/>
        <v>0</v>
      </c>
      <c r="J681" s="124">
        <f>IF($D681="",0,IF($F681&lt;2,0,IF($E681="Win",('Guide &amp; Settings'!$C$42/(($F681-1)*COUNTIFS($A$4:$A$810,$A681,$E$4:$E$810,"Win")))*SUMIFS($X$4:$X$810,$A$4:$A$810,$A681,$E$4:$E$810,"Loss"),-('Guide &amp; Settings'!$C$42/($F681-1))*$X681)))</f>
        <v>0</v>
      </c>
      <c r="K681" s="124">
        <f>IF($D681="",0,'Guide &amp; Settings'!$C$43*(IF($E681="Win",1,0)-$I681))</f>
        <v>0</v>
      </c>
      <c r="L681" s="125">
        <f>IF($D681="",0,'Guide &amp; Settings'!$C$44*IF($F681&gt;=3,$F681,0))</f>
        <v>0</v>
      </c>
      <c r="M681" s="124">
        <f t="shared" si="173"/>
        <v>0</v>
      </c>
      <c r="N681" s="122">
        <f t="shared" si="174"/>
        <v>0</v>
      </c>
      <c r="O681" s="121" t="str">
        <f t="shared" si="175"/>
        <v/>
      </c>
      <c r="P681">
        <f t="shared" si="176"/>
        <v>0</v>
      </c>
      <c r="Q681">
        <f t="shared" si="177"/>
        <v>0</v>
      </c>
      <c r="R681">
        <f t="shared" si="178"/>
        <v>0</v>
      </c>
      <c r="S681">
        <f t="shared" si="179"/>
        <v>0</v>
      </c>
      <c r="T681" s="89">
        <f t="shared" si="180"/>
        <v>0</v>
      </c>
      <c r="U681" s="126">
        <f>IF($D681="",0,IFERROR(LOOKUP(2,1/(($D$3:D680=$D681)*($C$3:C680=$C681)*($A$3:A680&lt;$A681)),$AB$3:AB680),1000))</f>
        <v>0</v>
      </c>
      <c r="V681" s="126">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6">
        <f t="shared" si="186"/>
        <v>0</v>
      </c>
      <c r="AC681" s="126"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7"/>
      <c r="B682" s="118"/>
      <c r="C682" s="119"/>
      <c r="D682" s="119"/>
      <c r="E682" s="117"/>
      <c r="F682" s="120">
        <f t="shared" si="170"/>
        <v>0</v>
      </c>
      <c r="G682" s="121" t="str">
        <f t="shared" si="171"/>
        <v/>
      </c>
      <c r="H682" s="122">
        <f>IF($D682="",0,IFERROR(LOOKUP(2,1/(($D$3:D681=$D682)*($A$3:A681&lt;$A682)),$N$3:N681),'Guide &amp; Settings'!$C$41))</f>
        <v>0</v>
      </c>
      <c r="I682" s="123">
        <f t="shared" si="172"/>
        <v>0</v>
      </c>
      <c r="J682" s="124">
        <f>IF($D682="",0,IF($F682&lt;2,0,IF($E682="Win",('Guide &amp; Settings'!$C$42/(($F682-1)*COUNTIFS($A$4:$A$810,$A682,$E$4:$E$810,"Win")))*SUMIFS($X$4:$X$810,$A$4:$A$810,$A682,$E$4:$E$810,"Loss"),-('Guide &amp; Settings'!$C$42/($F682-1))*$X682)))</f>
        <v>0</v>
      </c>
      <c r="K682" s="124">
        <f>IF($D682="",0,'Guide &amp; Settings'!$C$43*(IF($E682="Win",1,0)-$I682))</f>
        <v>0</v>
      </c>
      <c r="L682" s="125">
        <f>IF($D682="",0,'Guide &amp; Settings'!$C$44*IF($F682&gt;=3,$F682,0))</f>
        <v>0</v>
      </c>
      <c r="M682" s="124">
        <f t="shared" si="173"/>
        <v>0</v>
      </c>
      <c r="N682" s="122">
        <f t="shared" si="174"/>
        <v>0</v>
      </c>
      <c r="O682" s="121" t="str">
        <f t="shared" si="175"/>
        <v/>
      </c>
      <c r="P682">
        <f t="shared" si="176"/>
        <v>0</v>
      </c>
      <c r="Q682">
        <f t="shared" si="177"/>
        <v>0</v>
      </c>
      <c r="R682">
        <f t="shared" si="178"/>
        <v>0</v>
      </c>
      <c r="S682">
        <f t="shared" si="179"/>
        <v>0</v>
      </c>
      <c r="T682" s="89">
        <f t="shared" si="180"/>
        <v>0</v>
      </c>
      <c r="U682" s="126">
        <f>IF($D682="",0,IFERROR(LOOKUP(2,1/(($D$3:D681=$D682)*($C$3:C681=$C682)*($A$3:A681&lt;$A682)),$AB$3:AB681),1000))</f>
        <v>0</v>
      </c>
      <c r="V682" s="126">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6">
        <f t="shared" si="186"/>
        <v>0</v>
      </c>
      <c r="AC682" s="126"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7"/>
      <c r="B683" s="118"/>
      <c r="C683" s="119"/>
      <c r="D683" s="119"/>
      <c r="E683" s="117"/>
      <c r="F683" s="120">
        <f t="shared" si="170"/>
        <v>0</v>
      </c>
      <c r="G683" s="121" t="str">
        <f t="shared" si="171"/>
        <v/>
      </c>
      <c r="H683" s="122">
        <f>IF($D683="",0,IFERROR(LOOKUP(2,1/(($D$3:D682=$D683)*($A$3:A682&lt;$A683)),$N$3:N682),'Guide &amp; Settings'!$C$41))</f>
        <v>0</v>
      </c>
      <c r="I683" s="123">
        <f t="shared" si="172"/>
        <v>0</v>
      </c>
      <c r="J683" s="124">
        <f>IF($D683="",0,IF($F683&lt;2,0,IF($E683="Win",('Guide &amp; Settings'!$C$42/(($F683-1)*COUNTIFS($A$4:$A$810,$A683,$E$4:$E$810,"Win")))*SUMIFS($X$4:$X$810,$A$4:$A$810,$A683,$E$4:$E$810,"Loss"),-('Guide &amp; Settings'!$C$42/($F683-1))*$X683)))</f>
        <v>0</v>
      </c>
      <c r="K683" s="124">
        <f>IF($D683="",0,'Guide &amp; Settings'!$C$43*(IF($E683="Win",1,0)-$I683))</f>
        <v>0</v>
      </c>
      <c r="L683" s="125">
        <f>IF($D683="",0,'Guide &amp; Settings'!$C$44*IF($F683&gt;=3,$F683,0))</f>
        <v>0</v>
      </c>
      <c r="M683" s="124">
        <f t="shared" si="173"/>
        <v>0</v>
      </c>
      <c r="N683" s="122">
        <f t="shared" si="174"/>
        <v>0</v>
      </c>
      <c r="O683" s="121" t="str">
        <f t="shared" si="175"/>
        <v/>
      </c>
      <c r="P683">
        <f t="shared" si="176"/>
        <v>0</v>
      </c>
      <c r="Q683">
        <f t="shared" si="177"/>
        <v>0</v>
      </c>
      <c r="R683">
        <f t="shared" si="178"/>
        <v>0</v>
      </c>
      <c r="S683">
        <f t="shared" si="179"/>
        <v>0</v>
      </c>
      <c r="T683" s="89">
        <f t="shared" si="180"/>
        <v>0</v>
      </c>
      <c r="U683" s="126">
        <f>IF($D683="",0,IFERROR(LOOKUP(2,1/(($D$3:D682=$D683)*($C$3:C682=$C683)*($A$3:A682&lt;$A683)),$AB$3:AB682),1000))</f>
        <v>0</v>
      </c>
      <c r="V683" s="126">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6">
        <f t="shared" si="186"/>
        <v>0</v>
      </c>
      <c r="AC683" s="126"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7"/>
      <c r="B684" s="118"/>
      <c r="C684" s="119"/>
      <c r="D684" s="119"/>
      <c r="E684" s="117"/>
      <c r="F684" s="120">
        <f t="shared" si="170"/>
        <v>0</v>
      </c>
      <c r="G684" s="121" t="str">
        <f t="shared" si="171"/>
        <v/>
      </c>
      <c r="H684" s="122">
        <f>IF($D684="",0,IFERROR(LOOKUP(2,1/(($D$3:D683=$D684)*($A$3:A683&lt;$A684)),$N$3:N683),'Guide &amp; Settings'!$C$41))</f>
        <v>0</v>
      </c>
      <c r="I684" s="123">
        <f t="shared" si="172"/>
        <v>0</v>
      </c>
      <c r="J684" s="124">
        <f>IF($D684="",0,IF($F684&lt;2,0,IF($E684="Win",('Guide &amp; Settings'!$C$42/(($F684-1)*COUNTIFS($A$4:$A$810,$A684,$E$4:$E$810,"Win")))*SUMIFS($X$4:$X$810,$A$4:$A$810,$A684,$E$4:$E$810,"Loss"),-('Guide &amp; Settings'!$C$42/($F684-1))*$X684)))</f>
        <v>0</v>
      </c>
      <c r="K684" s="124">
        <f>IF($D684="",0,'Guide &amp; Settings'!$C$43*(IF($E684="Win",1,0)-$I684))</f>
        <v>0</v>
      </c>
      <c r="L684" s="125">
        <f>IF($D684="",0,'Guide &amp; Settings'!$C$44*IF($F684&gt;=3,$F684,0))</f>
        <v>0</v>
      </c>
      <c r="M684" s="124">
        <f t="shared" si="173"/>
        <v>0</v>
      </c>
      <c r="N684" s="122">
        <f t="shared" si="174"/>
        <v>0</v>
      </c>
      <c r="O684" s="121" t="str">
        <f t="shared" si="175"/>
        <v/>
      </c>
      <c r="P684">
        <f t="shared" si="176"/>
        <v>0</v>
      </c>
      <c r="Q684">
        <f t="shared" si="177"/>
        <v>0</v>
      </c>
      <c r="R684">
        <f t="shared" si="178"/>
        <v>0</v>
      </c>
      <c r="S684">
        <f t="shared" si="179"/>
        <v>0</v>
      </c>
      <c r="T684" s="89">
        <f t="shared" si="180"/>
        <v>0</v>
      </c>
      <c r="U684" s="126">
        <f>IF($D684="",0,IFERROR(LOOKUP(2,1/(($D$3:D683=$D684)*($C$3:C683=$C684)*($A$3:A683&lt;$A684)),$AB$3:AB683),1000))</f>
        <v>0</v>
      </c>
      <c r="V684" s="126">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6">
        <f t="shared" si="186"/>
        <v>0</v>
      </c>
      <c r="AC684" s="126"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7"/>
      <c r="B685" s="118"/>
      <c r="C685" s="119"/>
      <c r="D685" s="119"/>
      <c r="E685" s="117"/>
      <c r="F685" s="120">
        <f t="shared" si="170"/>
        <v>0</v>
      </c>
      <c r="G685" s="121" t="str">
        <f t="shared" si="171"/>
        <v/>
      </c>
      <c r="H685" s="122">
        <f>IF($D685="",0,IFERROR(LOOKUP(2,1/(($D$3:D684=$D685)*($A$3:A684&lt;$A685)),$N$3:N684),'Guide &amp; Settings'!$C$41))</f>
        <v>0</v>
      </c>
      <c r="I685" s="123">
        <f t="shared" si="172"/>
        <v>0</v>
      </c>
      <c r="J685" s="124">
        <f>IF($D685="",0,IF($F685&lt;2,0,IF($E685="Win",('Guide &amp; Settings'!$C$42/(($F685-1)*COUNTIFS($A$4:$A$810,$A685,$E$4:$E$810,"Win")))*SUMIFS($X$4:$X$810,$A$4:$A$810,$A685,$E$4:$E$810,"Loss"),-('Guide &amp; Settings'!$C$42/($F685-1))*$X685)))</f>
        <v>0</v>
      </c>
      <c r="K685" s="124">
        <f>IF($D685="",0,'Guide &amp; Settings'!$C$43*(IF($E685="Win",1,0)-$I685))</f>
        <v>0</v>
      </c>
      <c r="L685" s="125">
        <f>IF($D685="",0,'Guide &amp; Settings'!$C$44*IF($F685&gt;=3,$F685,0))</f>
        <v>0</v>
      </c>
      <c r="M685" s="124">
        <f t="shared" si="173"/>
        <v>0</v>
      </c>
      <c r="N685" s="122">
        <f t="shared" si="174"/>
        <v>0</v>
      </c>
      <c r="O685" s="121" t="str">
        <f t="shared" si="175"/>
        <v/>
      </c>
      <c r="P685">
        <f t="shared" si="176"/>
        <v>0</v>
      </c>
      <c r="Q685">
        <f t="shared" si="177"/>
        <v>0</v>
      </c>
      <c r="R685">
        <f t="shared" si="178"/>
        <v>0</v>
      </c>
      <c r="S685">
        <f t="shared" si="179"/>
        <v>0</v>
      </c>
      <c r="T685" s="89">
        <f t="shared" si="180"/>
        <v>0</v>
      </c>
      <c r="U685" s="126">
        <f>IF($D685="",0,IFERROR(LOOKUP(2,1/(($D$3:D684=$D685)*($C$3:C684=$C685)*($A$3:A684&lt;$A685)),$AB$3:AB684),1000))</f>
        <v>0</v>
      </c>
      <c r="V685" s="126">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6">
        <f t="shared" si="186"/>
        <v>0</v>
      </c>
      <c r="AC685" s="126"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7"/>
      <c r="B686" s="118"/>
      <c r="C686" s="119"/>
      <c r="D686" s="119"/>
      <c r="E686" s="117"/>
      <c r="F686" s="120">
        <f t="shared" si="170"/>
        <v>0</v>
      </c>
      <c r="G686" s="121" t="str">
        <f t="shared" si="171"/>
        <v/>
      </c>
      <c r="H686" s="122">
        <f>IF($D686="",0,IFERROR(LOOKUP(2,1/(($D$3:D685=$D686)*($A$3:A685&lt;$A686)),$N$3:N685),'Guide &amp; Settings'!$C$41))</f>
        <v>0</v>
      </c>
      <c r="I686" s="123">
        <f t="shared" si="172"/>
        <v>0</v>
      </c>
      <c r="J686" s="124">
        <f>IF($D686="",0,IF($F686&lt;2,0,IF($E686="Win",('Guide &amp; Settings'!$C$42/(($F686-1)*COUNTIFS($A$4:$A$810,$A686,$E$4:$E$810,"Win")))*SUMIFS($X$4:$X$810,$A$4:$A$810,$A686,$E$4:$E$810,"Loss"),-('Guide &amp; Settings'!$C$42/($F686-1))*$X686)))</f>
        <v>0</v>
      </c>
      <c r="K686" s="124">
        <f>IF($D686="",0,'Guide &amp; Settings'!$C$43*(IF($E686="Win",1,0)-$I686))</f>
        <v>0</v>
      </c>
      <c r="L686" s="125">
        <f>IF($D686="",0,'Guide &amp; Settings'!$C$44*IF($F686&gt;=3,$F686,0))</f>
        <v>0</v>
      </c>
      <c r="M686" s="124">
        <f t="shared" si="173"/>
        <v>0</v>
      </c>
      <c r="N686" s="122">
        <f t="shared" si="174"/>
        <v>0</v>
      </c>
      <c r="O686" s="121" t="str">
        <f t="shared" si="175"/>
        <v/>
      </c>
      <c r="P686">
        <f t="shared" si="176"/>
        <v>0</v>
      </c>
      <c r="Q686">
        <f t="shared" si="177"/>
        <v>0</v>
      </c>
      <c r="R686">
        <f t="shared" si="178"/>
        <v>0</v>
      </c>
      <c r="S686">
        <f t="shared" si="179"/>
        <v>0</v>
      </c>
      <c r="T686" s="89">
        <f t="shared" si="180"/>
        <v>0</v>
      </c>
      <c r="U686" s="126">
        <f>IF($D686="",0,IFERROR(LOOKUP(2,1/(($D$3:D685=$D686)*($C$3:C685=$C686)*($A$3:A685&lt;$A686)),$AB$3:AB685),1000))</f>
        <v>0</v>
      </c>
      <c r="V686" s="126">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6">
        <f t="shared" si="186"/>
        <v>0</v>
      </c>
      <c r="AC686" s="126"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7"/>
      <c r="B687" s="118"/>
      <c r="C687" s="119"/>
      <c r="D687" s="119"/>
      <c r="E687" s="117"/>
      <c r="F687" s="120">
        <f t="shared" si="170"/>
        <v>0</v>
      </c>
      <c r="G687" s="121" t="str">
        <f t="shared" si="171"/>
        <v/>
      </c>
      <c r="H687" s="122">
        <f>IF($D687="",0,IFERROR(LOOKUP(2,1/(($D$3:D686=$D687)*($A$3:A686&lt;$A687)),$N$3:N686),'Guide &amp; Settings'!$C$41))</f>
        <v>0</v>
      </c>
      <c r="I687" s="123">
        <f t="shared" si="172"/>
        <v>0</v>
      </c>
      <c r="J687" s="124">
        <f>IF($D687="",0,IF($F687&lt;2,0,IF($E687="Win",('Guide &amp; Settings'!$C$42/(($F687-1)*COUNTIFS($A$4:$A$810,$A687,$E$4:$E$810,"Win")))*SUMIFS($X$4:$X$810,$A$4:$A$810,$A687,$E$4:$E$810,"Loss"),-('Guide &amp; Settings'!$C$42/($F687-1))*$X687)))</f>
        <v>0</v>
      </c>
      <c r="K687" s="124">
        <f>IF($D687="",0,'Guide &amp; Settings'!$C$43*(IF($E687="Win",1,0)-$I687))</f>
        <v>0</v>
      </c>
      <c r="L687" s="125">
        <f>IF($D687="",0,'Guide &amp; Settings'!$C$44*IF($F687&gt;=3,$F687,0))</f>
        <v>0</v>
      </c>
      <c r="M687" s="124">
        <f t="shared" si="173"/>
        <v>0</v>
      </c>
      <c r="N687" s="122">
        <f t="shared" si="174"/>
        <v>0</v>
      </c>
      <c r="O687" s="121" t="str">
        <f t="shared" si="175"/>
        <v/>
      </c>
      <c r="P687">
        <f t="shared" si="176"/>
        <v>0</v>
      </c>
      <c r="Q687">
        <f t="shared" si="177"/>
        <v>0</v>
      </c>
      <c r="R687">
        <f t="shared" si="178"/>
        <v>0</v>
      </c>
      <c r="S687">
        <f t="shared" si="179"/>
        <v>0</v>
      </c>
      <c r="T687" s="89">
        <f t="shared" si="180"/>
        <v>0</v>
      </c>
      <c r="U687" s="126">
        <f>IF($D687="",0,IFERROR(LOOKUP(2,1/(($D$3:D686=$D687)*($C$3:C686=$C687)*($A$3:A686&lt;$A687)),$AB$3:AB686),1000))</f>
        <v>0</v>
      </c>
      <c r="V687" s="126">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6">
        <f t="shared" si="186"/>
        <v>0</v>
      </c>
      <c r="AC687" s="126"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7"/>
      <c r="B688" s="118"/>
      <c r="C688" s="119"/>
      <c r="D688" s="119"/>
      <c r="E688" s="117"/>
      <c r="F688" s="120">
        <f t="shared" si="170"/>
        <v>0</v>
      </c>
      <c r="G688" s="121" t="str">
        <f t="shared" si="171"/>
        <v/>
      </c>
      <c r="H688" s="122">
        <f>IF($D688="",0,IFERROR(LOOKUP(2,1/(($D$3:D687=$D688)*($A$3:A687&lt;$A688)),$N$3:N687),'Guide &amp; Settings'!$C$41))</f>
        <v>0</v>
      </c>
      <c r="I688" s="123">
        <f t="shared" si="172"/>
        <v>0</v>
      </c>
      <c r="J688" s="124">
        <f>IF($D688="",0,IF($F688&lt;2,0,IF($E688="Win",('Guide &amp; Settings'!$C$42/(($F688-1)*COUNTIFS($A$4:$A$810,$A688,$E$4:$E$810,"Win")))*SUMIFS($X$4:$X$810,$A$4:$A$810,$A688,$E$4:$E$810,"Loss"),-('Guide &amp; Settings'!$C$42/($F688-1))*$X688)))</f>
        <v>0</v>
      </c>
      <c r="K688" s="124">
        <f>IF($D688="",0,'Guide &amp; Settings'!$C$43*(IF($E688="Win",1,0)-$I688))</f>
        <v>0</v>
      </c>
      <c r="L688" s="125">
        <f>IF($D688="",0,'Guide &amp; Settings'!$C$44*IF($F688&gt;=3,$F688,0))</f>
        <v>0</v>
      </c>
      <c r="M688" s="124">
        <f t="shared" si="173"/>
        <v>0</v>
      </c>
      <c r="N688" s="122">
        <f t="shared" si="174"/>
        <v>0</v>
      </c>
      <c r="O688" s="121" t="str">
        <f t="shared" si="175"/>
        <v/>
      </c>
      <c r="P688">
        <f t="shared" si="176"/>
        <v>0</v>
      </c>
      <c r="Q688">
        <f t="shared" si="177"/>
        <v>0</v>
      </c>
      <c r="R688">
        <f t="shared" si="178"/>
        <v>0</v>
      </c>
      <c r="S688">
        <f t="shared" si="179"/>
        <v>0</v>
      </c>
      <c r="T688" s="89">
        <f t="shared" si="180"/>
        <v>0</v>
      </c>
      <c r="U688" s="126">
        <f>IF($D688="",0,IFERROR(LOOKUP(2,1/(($D$3:D687=$D688)*($C$3:C687=$C688)*($A$3:A687&lt;$A688)),$AB$3:AB687),1000))</f>
        <v>0</v>
      </c>
      <c r="V688" s="126">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6">
        <f t="shared" si="186"/>
        <v>0</v>
      </c>
      <c r="AC688" s="126"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381</v>
      </c>
    </row>
    <row r="2" spans="1:18" ht="15" customHeight="1" x14ac:dyDescent="0.2">
      <c r="A2" s="157" t="s">
        <v>382</v>
      </c>
      <c r="B2" s="141"/>
      <c r="C2" s="141"/>
      <c r="D2" s="141"/>
      <c r="E2" s="141"/>
      <c r="F2" s="141"/>
      <c r="G2" s="141"/>
      <c r="H2" s="141"/>
      <c r="I2" s="141"/>
      <c r="J2" s="141"/>
      <c r="K2" s="141"/>
      <c r="L2" s="141"/>
      <c r="M2" s="141"/>
      <c r="N2" s="141"/>
      <c r="O2" s="141"/>
      <c r="P2" s="141"/>
      <c r="Q2" s="141"/>
      <c r="R2" s="141"/>
    </row>
    <row r="3" spans="1:18" ht="15" customHeight="1" x14ac:dyDescent="0.2">
      <c r="A3" s="43" t="s">
        <v>383</v>
      </c>
      <c r="B3" s="127">
        <f>COUNTA($B$6:$O$6)</f>
        <v>14</v>
      </c>
      <c r="C3" s="43" t="s">
        <v>384</v>
      </c>
      <c r="D3" s="127">
        <f>INT($B$3/2)+1</f>
        <v>8</v>
      </c>
      <c r="E3" s="43" t="s">
        <v>385</v>
      </c>
      <c r="F3" s="127">
        <f>ROUNDUP($B$3/2,0)</f>
        <v>7</v>
      </c>
      <c r="H3" s="157" t="s">
        <v>386</v>
      </c>
      <c r="I3" s="141"/>
      <c r="J3" s="141"/>
      <c r="K3" s="141"/>
      <c r="L3" s="141"/>
      <c r="M3" s="141"/>
      <c r="N3" s="141"/>
      <c r="O3" s="141"/>
      <c r="P3" s="141"/>
      <c r="Q3" s="141"/>
      <c r="R3" s="141"/>
    </row>
    <row r="5" spans="1:18" ht="15" customHeight="1" x14ac:dyDescent="0.2">
      <c r="A5" s="155" t="s">
        <v>387</v>
      </c>
      <c r="B5" s="141"/>
      <c r="C5" s="141"/>
      <c r="D5" s="141"/>
      <c r="E5" s="141"/>
      <c r="F5" s="141"/>
      <c r="G5" s="141"/>
      <c r="H5" s="141"/>
      <c r="I5" s="141"/>
      <c r="J5" s="141"/>
      <c r="K5" s="141"/>
      <c r="L5" s="141"/>
      <c r="M5" s="141"/>
      <c r="N5" s="141"/>
      <c r="O5" s="141"/>
      <c r="P5" s="141"/>
      <c r="Q5" s="141"/>
      <c r="R5" s="141"/>
    </row>
    <row r="6" spans="1:18" ht="91.5" customHeight="1" x14ac:dyDescent="0.2">
      <c r="A6" s="80" t="s">
        <v>388</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389</v>
      </c>
      <c r="Q6" s="80" t="s">
        <v>390</v>
      </c>
      <c r="R6" s="80" t="s">
        <v>391</v>
      </c>
    </row>
    <row r="7" spans="1:18" ht="15" customHeight="1" x14ac:dyDescent="0.2">
      <c r="A7" s="128" t="s">
        <v>392</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393</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394</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395</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5" t="s">
        <v>396</v>
      </c>
      <c r="B29" s="141"/>
      <c r="C29" s="141"/>
      <c r="D29" s="141"/>
      <c r="E29" s="141"/>
      <c r="F29" s="141"/>
      <c r="G29" s="141"/>
      <c r="H29" s="141"/>
      <c r="I29" s="141"/>
      <c r="J29" s="141"/>
      <c r="K29" s="141"/>
      <c r="L29" s="141"/>
      <c r="M29" s="141"/>
      <c r="N29" s="141"/>
      <c r="O29" s="141"/>
      <c r="P29" s="141"/>
      <c r="Q29" s="141"/>
      <c r="R29" s="141"/>
    </row>
    <row r="30" spans="1:18" ht="91.5" customHeight="1" x14ac:dyDescent="0.2">
      <c r="A30" s="80" t="s">
        <v>397</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398</v>
      </c>
      <c r="Q30" s="80" t="s">
        <v>390</v>
      </c>
      <c r="R30" s="80" t="s">
        <v>391</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tabSelected="1"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1" t="s">
        <v>399</v>
      </c>
      <c r="B1" s="141"/>
      <c r="C1" s="141"/>
    </row>
    <row r="2" spans="1:20" ht="40.5" customHeight="1" x14ac:dyDescent="0.2">
      <c r="A2" s="163" t="s">
        <v>400</v>
      </c>
      <c r="B2" s="141"/>
      <c r="C2" s="141"/>
      <c r="D2" s="141"/>
      <c r="E2" s="141"/>
      <c r="F2" s="141"/>
      <c r="G2" s="141"/>
      <c r="H2" s="141"/>
      <c r="I2" s="141"/>
      <c r="J2" s="141"/>
      <c r="K2" s="141"/>
      <c r="L2" s="132"/>
      <c r="M2" s="132"/>
      <c r="N2" s="132"/>
      <c r="O2" s="132"/>
      <c r="P2" s="132"/>
      <c r="Q2" s="132"/>
      <c r="R2" s="132"/>
      <c r="S2" s="132"/>
      <c r="T2" s="132"/>
    </row>
    <row r="3" spans="1:20" x14ac:dyDescent="0.2">
      <c r="A3" s="133" t="s">
        <v>401</v>
      </c>
      <c r="D3" s="162" t="s">
        <v>402</v>
      </c>
      <c r="E3" s="141"/>
      <c r="F3" s="141"/>
      <c r="G3" s="141"/>
      <c r="H3" s="141"/>
      <c r="I3" s="141"/>
      <c r="J3" s="141"/>
      <c r="K3" s="141"/>
    </row>
    <row r="4" spans="1:20" x14ac:dyDescent="0.2">
      <c r="A4" s="133" t="s">
        <v>403</v>
      </c>
      <c r="B4">
        <v>15</v>
      </c>
      <c r="D4" s="134" t="s">
        <v>404</v>
      </c>
      <c r="E4" s="134">
        <v>4</v>
      </c>
      <c r="F4" s="134">
        <v>5</v>
      </c>
      <c r="G4" s="134">
        <v>6</v>
      </c>
      <c r="H4" s="134">
        <v>7</v>
      </c>
      <c r="I4" s="134">
        <v>8</v>
      </c>
      <c r="J4" s="134">
        <v>9</v>
      </c>
      <c r="K4" s="134">
        <v>10</v>
      </c>
    </row>
    <row r="5" spans="1:20" x14ac:dyDescent="0.2">
      <c r="A5" s="133" t="s">
        <v>405</v>
      </c>
      <c r="B5">
        <v>1</v>
      </c>
      <c r="D5" s="134">
        <v>1</v>
      </c>
      <c r="E5">
        <v>38</v>
      </c>
      <c r="F5">
        <v>35</v>
      </c>
      <c r="G5">
        <v>32</v>
      </c>
      <c r="H5">
        <v>30</v>
      </c>
      <c r="I5">
        <v>29</v>
      </c>
      <c r="J5">
        <v>28</v>
      </c>
      <c r="K5">
        <v>26</v>
      </c>
    </row>
    <row r="6" spans="1:20" x14ac:dyDescent="0.2">
      <c r="A6" s="133" t="s">
        <v>406</v>
      </c>
      <c r="B6">
        <v>4</v>
      </c>
      <c r="D6" s="134">
        <v>2</v>
      </c>
      <c r="E6">
        <v>27</v>
      </c>
      <c r="F6">
        <v>25</v>
      </c>
      <c r="G6">
        <v>23</v>
      </c>
      <c r="H6">
        <v>22</v>
      </c>
      <c r="I6">
        <v>21</v>
      </c>
      <c r="J6">
        <v>20</v>
      </c>
      <c r="K6">
        <v>19</v>
      </c>
    </row>
    <row r="7" spans="1:20" x14ac:dyDescent="0.2">
      <c r="A7" s="133" t="s">
        <v>407</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408</v>
      </c>
      <c r="N16" s="133" t="s">
        <v>409</v>
      </c>
    </row>
    <row r="17" spans="1:15" x14ac:dyDescent="0.2">
      <c r="A17" s="135" t="s">
        <v>410</v>
      </c>
      <c r="B17" s="135" t="s">
        <v>327</v>
      </c>
      <c r="C17" s="135" t="s">
        <v>5</v>
      </c>
      <c r="D17" s="135" t="s">
        <v>411</v>
      </c>
      <c r="E17" s="135" t="s">
        <v>412</v>
      </c>
      <c r="F17" s="135" t="s">
        <v>413</v>
      </c>
      <c r="G17" s="135" t="s">
        <v>414</v>
      </c>
      <c r="H17" s="135" t="s">
        <v>415</v>
      </c>
      <c r="I17" s="135" t="s">
        <v>416</v>
      </c>
      <c r="J17" s="135" t="s">
        <v>417</v>
      </c>
      <c r="K17" s="135" t="s">
        <v>418</v>
      </c>
      <c r="L17" s="135" t="s">
        <v>364</v>
      </c>
      <c r="N17" s="135" t="s">
        <v>312</v>
      </c>
      <c r="O17" s="135" t="s">
        <v>419</v>
      </c>
    </row>
    <row r="18" spans="1:15" x14ac:dyDescent="0.2">
      <c r="A18" t="s">
        <v>420</v>
      </c>
      <c r="B18" s="118">
        <v>46229</v>
      </c>
      <c r="C18" t="s">
        <v>20</v>
      </c>
      <c r="D18">
        <v>2</v>
      </c>
      <c r="E18" t="s">
        <v>421</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420</v>
      </c>
      <c r="B19" s="118">
        <v>46229</v>
      </c>
      <c r="C19" t="s">
        <v>15</v>
      </c>
      <c r="D19">
        <v>3</v>
      </c>
      <c r="E19" t="s">
        <v>421</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420</v>
      </c>
      <c r="B20" s="118">
        <v>46229</v>
      </c>
      <c r="C20" t="s">
        <v>22</v>
      </c>
      <c r="D20">
        <v>4</v>
      </c>
      <c r="E20" t="s">
        <v>422</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420</v>
      </c>
      <c r="B21" s="118">
        <v>46229</v>
      </c>
      <c r="C21" t="s">
        <v>21</v>
      </c>
      <c r="D21">
        <v>5</v>
      </c>
      <c r="E21" t="s">
        <v>422</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420</v>
      </c>
      <c r="B22" s="118">
        <v>46229</v>
      </c>
      <c r="C22" t="s">
        <v>19</v>
      </c>
      <c r="D22">
        <v>1</v>
      </c>
      <c r="E22" t="s">
        <v>422</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423</v>
      </c>
    </row>
    <row r="3" spans="1:35" ht="15" customHeight="1" x14ac:dyDescent="0.2">
      <c r="A3" t="s">
        <v>424</v>
      </c>
      <c r="B3" s="137">
        <f>MAX('Match Log'!$B$4:$B$810)-7</f>
        <v>46246</v>
      </c>
    </row>
    <row r="4" spans="1:35" ht="15" customHeight="1" x14ac:dyDescent="0.2">
      <c r="A4" t="s">
        <v>425</v>
      </c>
      <c r="B4" s="138">
        <f>MAX('Match Log'!$B$4:$B$810)</f>
        <v>46253</v>
      </c>
      <c r="C4" t="s">
        <v>426</v>
      </c>
      <c r="D4" s="138">
        <f ca="1">MAX($B$4,TODAY())</f>
        <v>46253</v>
      </c>
    </row>
    <row r="5" spans="1:35" x14ac:dyDescent="0.2">
      <c r="B5" s="137">
        <f ca="1">TODAY()-7</f>
        <v>46246</v>
      </c>
    </row>
    <row r="6" spans="1:35" ht="15" customHeight="1" x14ac:dyDescent="0.2">
      <c r="A6" t="s">
        <v>5</v>
      </c>
      <c r="B6" t="s">
        <v>6</v>
      </c>
      <c r="C6" t="s">
        <v>270</v>
      </c>
      <c r="D6" t="s">
        <v>14</v>
      </c>
      <c r="E6" t="s">
        <v>427</v>
      </c>
      <c r="F6" t="s">
        <v>428</v>
      </c>
      <c r="G6" t="s">
        <v>429</v>
      </c>
      <c r="H6" t="s">
        <v>153</v>
      </c>
      <c r="I6" t="s">
        <v>430</v>
      </c>
      <c r="J6" t="s">
        <v>431</v>
      </c>
      <c r="K6" t="s">
        <v>432</v>
      </c>
      <c r="L6" t="s">
        <v>273</v>
      </c>
      <c r="P6" t="s">
        <v>433</v>
      </c>
      <c r="Q6" t="s">
        <v>434</v>
      </c>
      <c r="R6" t="s">
        <v>435</v>
      </c>
      <c r="S6" t="s">
        <v>436</v>
      </c>
      <c r="T6" t="s">
        <v>161</v>
      </c>
      <c r="U6" t="s">
        <v>437</v>
      </c>
      <c r="V6" t="s">
        <v>438</v>
      </c>
      <c r="W6" t="s">
        <v>439</v>
      </c>
      <c r="X6" t="s">
        <v>440</v>
      </c>
      <c r="Y6" t="s">
        <v>441</v>
      </c>
      <c r="Z6" t="s">
        <v>442</v>
      </c>
      <c r="AA6" t="s">
        <v>443</v>
      </c>
      <c r="AB6" t="s">
        <v>444</v>
      </c>
      <c r="AC6" t="s">
        <v>445</v>
      </c>
      <c r="AD6" t="s">
        <v>446</v>
      </c>
      <c r="AE6" t="s">
        <v>447</v>
      </c>
      <c r="AF6" t="s">
        <v>163</v>
      </c>
    </row>
    <row r="7" spans="1:35" ht="15" customHeight="1" x14ac:dyDescent="0.2">
      <c r="A7" t="s">
        <v>15</v>
      </c>
      <c r="B7">
        <f>IFERROR(INDEX(Engine!$B$2:$B$15,MATCH($A7,Engine!$A$2:$A$15,0)),1000)</f>
        <v>1009.8261046694705</v>
      </c>
      <c r="C7">
        <f>IFERROR(INDEX(Engine!$C$2:$C$15,MATCH($A7,Engine!$A$2:$A$15,0)),"")</f>
        <v>1098.1280049278507</v>
      </c>
      <c r="D7">
        <f t="shared" ref="D7:D20" si="0">RANK($B7,$B$7:$B$20)</f>
        <v>11</v>
      </c>
      <c r="E7">
        <f t="shared" ref="E7:E20" si="1">MAX($B$7:$B$20)-$B7</f>
        <v>231.87683165558281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WLLWL</v>
      </c>
      <c r="J7">
        <f>IFERROR(LOOKUP(2,1/(('Match Log'!$D$4:$D$810=$A7)*('Match Log'!$B$4:$B$810&lt;=$B$3)),'Match Log'!$N$4:$N$810),1000)</f>
        <v>1009.8261046694705</v>
      </c>
      <c r="K7">
        <f t="shared" ref="K7:K20" si="3">RANK($J7,$J$7:$J$20)</f>
        <v>11</v>
      </c>
      <c r="L7">
        <f t="shared" ref="L7:L20" si="4">$K7-$D7</f>
        <v>0</v>
      </c>
      <c r="M7">
        <f t="shared" ref="M7:M20" si="5">SUMPRODUCT(($D$25:$D$444=$A7)*($G$25:$G$444&gt;0.25)*($D$25:$D$444&lt;&gt;""))</f>
        <v>6</v>
      </c>
      <c r="N7">
        <f t="shared" ref="N7:N20" si="6">LEN($I7)-LEN(SUBSTITUTE($I7,"W",""))</f>
        <v>2</v>
      </c>
      <c r="O7">
        <f t="shared" ref="O7:O20" si="7">IF($F7="Win",$G7,0)</f>
        <v>0</v>
      </c>
      <c r="P7">
        <f>IFERROR(SUMPRODUCT(MAX(('Match Log'!$D$4:$D$810=$A7)*'Match Log'!$B$4:$B$810)),0)</f>
        <v>46229</v>
      </c>
      <c r="Q7">
        <f t="shared" ref="Q7:Q20" ca="1" si="8">IF($P7=0,"",($D$4-$P7)/7)</f>
        <v>3.4285714285714284</v>
      </c>
      <c r="R7">
        <f ca="1">IF($P7=0,0,IF($Q7&gt;='Guide &amp; Settings'!$C$48,(INT($Q7-'Guide &amp; Settings'!$C$48)+1)*'Guide &amp; Settings'!$C$49,0))</f>
        <v>0</v>
      </c>
      <c r="S7">
        <f ca="1">$B7-$R7-$U7+SUMIF('Poker Stake Ledger'!$C$18:$C$137,$A7,'Poker Stake Ledger'!$K$18:$K$137)</f>
        <v>998.72610466947049</v>
      </c>
      <c r="T7" t="str">
        <f ca="1">IF($P7=0,"No games",IF($Q7&gt;='Guide &amp; Settings'!$C$48,"Inactive",IF($Q7&gt;='Guide &amp; Settings'!$C$47,"At risk","Active")))</f>
        <v>At risk</v>
      </c>
      <c r="U7">
        <f>SUMIF('Match Log'!$D$4:$D$810,$A7,'Match Log'!$AC$4:$AC$810)</f>
        <v>0</v>
      </c>
      <c r="V7">
        <f t="shared" ref="V7:V20" si="9">IF($F7="Loss",$G7,0)</f>
        <v>1</v>
      </c>
      <c r="W7">
        <f t="shared" ref="W7:W20" ca="1" si="10">MAX(0,MIN(100,50+($S7-1000)/4))</f>
        <v>49.681526167367622</v>
      </c>
      <c r="X7">
        <f ca="1">IFERROR(INDEX(Dashboard!$G$5:$G$18,MATCH($A7,Dashboard!$B$5:$B$18,0))*100,0)</f>
        <v>48.148148148148145</v>
      </c>
      <c r="Y7">
        <f ca="1">MIN(100,IFERROR(INDEX(Dashboard!$K$5:$K$18,MATCH($A7,Dashboard!$B$5:$B$18,0)),0)/5*50+$AC7/4*50)</f>
        <v>100</v>
      </c>
      <c r="Z7">
        <f t="shared" ref="Z7:Z20" si="11">IFERROR($N7/LEN($I7)*100,0)</f>
        <v>40</v>
      </c>
      <c r="AA7">
        <f t="shared" ref="AA7:AA20" si="12">IF($C7="",0,MAX(0,MIN(100,50+($C7-1000)/4)))</f>
        <v>74.532001231962681</v>
      </c>
      <c r="AB7">
        <f t="shared" ref="AB7:AB20" ca="1" si="13">0.35*$W7+0.2*$X7+0.2*$Y7+0.15*$Z7+0.1*$AA7</f>
        <v>60.471363911404566</v>
      </c>
      <c r="AC7">
        <f>IFERROR(SUMPRODUCT((INDEX('Sport Records'!$B$8:$O$32,0,MATCH($A7,'Sport Records'!$B$7:$O$7,0))&gt;=2)*(INDEX('Sport Records'!$B$62:$O$86,0,MATCH($A7,'Sport Records'!$B$61:$O$61,0))&gt;=0.5)),0)</f>
        <v>4</v>
      </c>
      <c r="AD7">
        <f ca="1">IFERROR(INDEX(Dashboard!$D$5:$D$18,MATCH($A7,Dashboard!$B$5:$B$18,0)),0)</f>
        <v>54</v>
      </c>
      <c r="AE7">
        <f ca="1">IFERROR(INDEX(Dashboard!$K$5:$K$18,MATCH($A7,Dashboard!$B$5:$B$18,0)),0)</f>
        <v>11</v>
      </c>
      <c r="AF7" t="str">
        <f t="shared" ref="AF7:AF20" ca="1" si="14">IF($AD7=0,"No games",IF(OR($AD7&lt;5,$AE7&lt;2),"Unranked",IF($AB7&gt;=72,IF(AND($AD7&gt;=8,$AE7&gt;=3),"Elite","Mid"),IF($AB7&gt;=58,IF(AND($AD7&gt;=8,$AE7&gt;=3),"Strong","Mid"),IF($AB7&gt;=44,"Mid","Developing")))))</f>
        <v>Strong</v>
      </c>
      <c r="AG7">
        <f ca="1">COUNTIFS('Match Log'!$D$4:$D$810,$A7,'Match Log'!$B$4:$B$810,"&gt;="&amp;$B$5)</f>
        <v>0</v>
      </c>
      <c r="AH7">
        <f ca="1">COUNTIFS('Match Log'!$D$4:$D$810,$A7,'Match Log'!$B$4:$B$810,"&gt;="&amp;$B$5,'Match Log'!$E$4:$E$810,"Win")</f>
        <v>0</v>
      </c>
      <c r="AI7">
        <f t="shared" ref="AI7:AI20" ca="1" si="15">IF(ISNUMBER($S7),$S7,-1000000)+ROW()/10000000</f>
        <v>998.72610536947047</v>
      </c>
    </row>
    <row r="8" spans="1:35" ht="15" customHeight="1" x14ac:dyDescent="0.2">
      <c r="A8" t="s">
        <v>16</v>
      </c>
      <c r="B8">
        <f>IFERROR(INDEX(Engine!$B$2:$B$15,MATCH($A8,Engine!$A$2:$A$15,0)),1000)</f>
        <v>1029.5175965335138</v>
      </c>
      <c r="C8">
        <f>IFERROR(INDEX(Engine!$C$2:$C$15,MATCH($A8,Engine!$A$2:$A$15,0)),"")</f>
        <v>1062.5757124666486</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9.2857142857142865</v>
      </c>
      <c r="R8">
        <f ca="1">IF($P8=0,0,IF($Q8&gt;='Guide &amp; Settings'!$C$48,(INT($Q8-'Guide &amp; Settings'!$C$48)+1)*'Guide &amp; Settings'!$C$49,0))</f>
        <v>60</v>
      </c>
      <c r="S8">
        <f ca="1">$B8-$R8-$U8+SUMIF('Poker Stake Ledger'!$C$18:$C$137,$A8,'Poker Stake Ledger'!$K$18:$K$137)</f>
        <v>969.51759653351382</v>
      </c>
      <c r="T8" t="str">
        <f ca="1">IF($P8=0,"No games",IF($Q8&gt;='Guide &amp; Settings'!$C$48,"Inactive",IF($Q8&gt;='Guide &amp; Settings'!$C$47,"At risk","Active")))</f>
        <v>Inactive</v>
      </c>
      <c r="U8">
        <f>SUMIF('Match Log'!$D$4:$D$810,$A8,'Match Log'!$AC$4:$AC$810)</f>
        <v>0</v>
      </c>
      <c r="V8">
        <f t="shared" si="9"/>
        <v>2</v>
      </c>
      <c r="W8">
        <f t="shared" ca="1" si="10"/>
        <v>42.379399133378456</v>
      </c>
      <c r="X8">
        <f ca="1">IFERROR(INDEX(Dashboard!$G$5:$G$18,MATCH($A8,Dashboard!$B$5:$B$18,0))*100,0)</f>
        <v>50</v>
      </c>
      <c r="Y8">
        <f ca="1">MIN(100,IFERROR(INDEX(Dashboard!$K$5:$K$18,MATCH($A8,Dashboard!$B$5:$B$18,0)),0)/5*50+$AC8/4*50)</f>
        <v>42.5</v>
      </c>
      <c r="Z8">
        <f t="shared" si="11"/>
        <v>40</v>
      </c>
      <c r="AA8">
        <f t="shared" si="12"/>
        <v>65.643928116662153</v>
      </c>
      <c r="AB8">
        <f t="shared" ca="1" si="13"/>
        <v>45.897182508348678</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969.51759733351378</v>
      </c>
    </row>
    <row r="9" spans="1:35" ht="15" customHeight="1" x14ac:dyDescent="0.2">
      <c r="A9" t="s">
        <v>17</v>
      </c>
      <c r="B9">
        <f>IFERROR(INDEX(Engine!$B$2:$B$15,MATCH($A9,Engine!$A$2:$A$15,0)),1000)</f>
        <v>1037.8197114720938</v>
      </c>
      <c r="C9">
        <f>IFERROR(INDEX(Engine!$C$2:$C$15,MATCH($A9,Engine!$A$2:$A$15,0)),"")</f>
        <v>1080.1921418274528</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1037.8197114720938</v>
      </c>
      <c r="K9">
        <f t="shared" si="3"/>
        <v>8</v>
      </c>
      <c r="L9">
        <f t="shared" si="4"/>
        <v>0</v>
      </c>
      <c r="M9">
        <f t="shared" si="5"/>
        <v>0</v>
      </c>
      <c r="N9">
        <f t="shared" si="6"/>
        <v>1</v>
      </c>
      <c r="O9">
        <f t="shared" si="7"/>
        <v>0</v>
      </c>
      <c r="P9">
        <f>IFERROR(SUMPRODUCT(MAX(('Match Log'!$D$4:$D$810=$A9)*'Match Log'!$B$4:$B$810)),0)</f>
        <v>46220</v>
      </c>
      <c r="Q9">
        <f t="shared" ca="1" si="8"/>
        <v>4.7142857142857144</v>
      </c>
      <c r="R9">
        <f ca="1">IF($P9=0,0,IF($Q9&gt;='Guide &amp; Settings'!$C$48,(INT($Q9-'Guide &amp; Settings'!$C$48)+1)*'Guide &amp; Settings'!$C$49,0))</f>
        <v>10</v>
      </c>
      <c r="S9">
        <f ca="1">$B9-$R9-$U9+SUMIF('Poker Stake Ledger'!$C$18:$C$137,$A9,'Poker Stake Ledger'!$K$18:$K$137)</f>
        <v>1027.8197114720938</v>
      </c>
      <c r="T9" t="str">
        <f ca="1">IF($P9=0,"No games",IF($Q9&gt;='Guide &amp; Settings'!$C$48,"Inactive",IF($Q9&gt;='Guide &amp; Settings'!$C$47,"At risk","Active")))</f>
        <v>Inactive</v>
      </c>
      <c r="U9">
        <f>SUMIF('Match Log'!$D$4:$D$810,$A9,'Match Log'!$AC$4:$AC$810)</f>
        <v>0</v>
      </c>
      <c r="V9">
        <f t="shared" si="9"/>
        <v>3</v>
      </c>
      <c r="W9">
        <f t="shared" ca="1" si="10"/>
        <v>56.954927868023447</v>
      </c>
      <c r="X9">
        <f ca="1">IFERROR(INDEX(Dashboard!$G$5:$G$18,MATCH($A9,Dashboard!$B$5:$B$18,0))*100,0)</f>
        <v>43.75</v>
      </c>
      <c r="Y9">
        <f ca="1">MIN(100,IFERROR(INDEX(Dashboard!$K$5:$K$18,MATCH($A9,Dashboard!$B$5:$B$18,0)),0)/5*50+$AC9/4*50)</f>
        <v>92.5</v>
      </c>
      <c r="Z9">
        <f t="shared" si="11"/>
        <v>20</v>
      </c>
      <c r="AA9">
        <f t="shared" si="12"/>
        <v>70.048035456863204</v>
      </c>
      <c r="AB9">
        <f t="shared" ca="1" si="13"/>
        <v>57.189028299494531</v>
      </c>
      <c r="AC9">
        <f>IFERROR(SUMPRODUCT((INDEX('Sport Records'!$B$8:$O$32,0,MATCH($A9,'Sport Records'!$B$7:$O$7,0))&gt;=2)*(INDEX('Sport Records'!$B$62:$O$86,0,MATCH($A9,'Sport Records'!$B$61:$O$61,0))&gt;=0.5)),0)</f>
        <v>1</v>
      </c>
      <c r="AD9">
        <f ca="1">IFERROR(INDEX(Dashboard!$D$5:$D$18,MATCH($A9,Dashboard!$B$5:$B$18,0)),0)</f>
        <v>16</v>
      </c>
      <c r="AE9">
        <f ca="1">IFERROR(INDEX(Dashboard!$K$5:$K$18,MATCH($A9,Dashboard!$B$5:$B$18,0)),0)</f>
        <v>8</v>
      </c>
      <c r="AF9" t="str">
        <f t="shared" ca="1" si="14"/>
        <v>Mid</v>
      </c>
      <c r="AG9">
        <f ca="1">COUNTIFS('Match Log'!$D$4:$D$810,$A9,'Match Log'!$B$4:$B$810,"&gt;="&amp;$B$5)</f>
        <v>0</v>
      </c>
      <c r="AH9">
        <f ca="1">COUNTIFS('Match Log'!$D$4:$D$810,$A9,'Match Log'!$B$4:$B$810,"&gt;="&amp;$B$5,'Match Log'!$E$4:$E$810,"Win")</f>
        <v>0</v>
      </c>
      <c r="AI9">
        <f t="shared" ca="1" si="15"/>
        <v>1027.8197123720938</v>
      </c>
    </row>
    <row r="10" spans="1:35" ht="15" customHeight="1" x14ac:dyDescent="0.2">
      <c r="A10" t="s">
        <v>18</v>
      </c>
      <c r="B10">
        <f>IFERROR(INDEX(Engine!$B$2:$B$15,MATCH($A10,Engine!$A$2:$A$15,0)),1000)</f>
        <v>973.19705892757202</v>
      </c>
      <c r="C10">
        <f>IFERROR(INDEX(Engine!$C$2:$C$15,MATCH($A10,Engine!$A$2:$A$15,0)),"")</f>
        <v>1095.248232455371</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5.5714285714285712</v>
      </c>
      <c r="R10">
        <f ca="1">IF($P10=0,0,IF($Q10&gt;='Guide &amp; Settings'!$C$48,(INT($Q10-'Guide &amp; Settings'!$C$48)+1)*'Guide &amp; Settings'!$C$49,0))</f>
        <v>20</v>
      </c>
      <c r="S10">
        <f ca="1">$B10-$R10-$U10+SUMIF('Poker Stake Ledger'!$C$18:$C$137,$A10,'Poker Stake Ledger'!$K$18:$K$137)</f>
        <v>953.19705892757202</v>
      </c>
      <c r="T10" t="str">
        <f ca="1">IF($P10=0,"No games",IF($Q10&gt;='Guide &amp; Settings'!$C$48,"Inactive",IF($Q10&gt;='Guide &amp; Settings'!$C$47,"At risk","Active")))</f>
        <v>Inactive</v>
      </c>
      <c r="U10">
        <f>SUMIF('Match Log'!$D$4:$D$810,$A10,'Match Log'!$AC$4:$AC$810)</f>
        <v>0</v>
      </c>
      <c r="V10">
        <f t="shared" si="9"/>
        <v>1</v>
      </c>
      <c r="W10">
        <f t="shared" ca="1" si="10"/>
        <v>38.299264731893004</v>
      </c>
      <c r="X10">
        <f ca="1">IFERROR(INDEX(Dashboard!$G$5:$G$18,MATCH($A10,Dashboard!$B$5:$B$18,0))*100,0)</f>
        <v>26.666666666666668</v>
      </c>
      <c r="Y10">
        <f ca="1">MIN(100,IFERROR(INDEX(Dashboard!$K$5:$K$18,MATCH($A10,Dashboard!$B$5:$B$18,0)),0)/5*50+$AC10/4*50)</f>
        <v>40</v>
      </c>
      <c r="Z10">
        <f t="shared" si="11"/>
        <v>40</v>
      </c>
      <c r="AA10">
        <f t="shared" si="12"/>
        <v>73.812058113842738</v>
      </c>
      <c r="AB10">
        <f t="shared" ca="1" si="13"/>
        <v>40.119281800880159</v>
      </c>
      <c r="AC10">
        <f>IFERROR(SUMPRODUCT((INDEX('Sport Records'!$B$8:$O$32,0,MATCH($A10,'Sport Records'!$B$7:$O$7,0))&gt;=2)*(INDEX('Sport Records'!$B$62:$O$86,0,MATCH($A10,'Sport Records'!$B$61:$O$61,0))&gt;=0.5)),0)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953.19705992757201</v>
      </c>
    </row>
    <row r="11" spans="1:35" ht="15" customHeight="1" x14ac:dyDescent="0.2">
      <c r="A11" t="s">
        <v>19</v>
      </c>
      <c r="B11">
        <f>IFERROR(INDEX(Engine!$B$2:$B$15,MATCH($A11,Engine!$A$2:$A$15,0)),1000)</f>
        <v>1155.9112046633588</v>
      </c>
      <c r="C11">
        <f>IFERROR(INDEX(Engine!$C$2:$C$15,MATCH($A11,Engine!$A$2:$A$15,0)),"")</f>
        <v>1100.3764488389729</v>
      </c>
      <c r="D11">
        <f t="shared" si="0"/>
        <v>2</v>
      </c>
      <c r="E11">
        <f t="shared" si="1"/>
        <v>85.791731661694485</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WLWLW</v>
      </c>
      <c r="J11">
        <f>IFERROR(LOOKUP(2,1/(('Match Log'!$D$4:$D$810=$A11)*('Match Log'!$B$4:$B$810&lt;=$B$3)),'Match Log'!$N$4:$N$810),1000)</f>
        <v>1093.6015451357737</v>
      </c>
      <c r="K11">
        <f t="shared" si="3"/>
        <v>4</v>
      </c>
      <c r="L11">
        <f t="shared" si="4"/>
        <v>2</v>
      </c>
      <c r="M11">
        <f t="shared" si="5"/>
        <v>1</v>
      </c>
      <c r="N11">
        <f t="shared" si="6"/>
        <v>3</v>
      </c>
      <c r="O11">
        <f t="shared" si="7"/>
        <v>1</v>
      </c>
      <c r="P11">
        <f>IFERROR(SUMPRODUCT(MAX(('Match Log'!$D$4:$D$810=$A11)*'Match Log'!$B$4:$B$810)),0)</f>
        <v>46253</v>
      </c>
      <c r="Q11">
        <f t="shared" ca="1" si="8"/>
        <v>0</v>
      </c>
      <c r="R11">
        <f ca="1">IF($P11=0,0,IF($Q11&gt;='Guide &amp; Settings'!$C$48,(INT($Q11-'Guide &amp; Settings'!$C$48)+1)*'Guide &amp; Settings'!$C$49,0))</f>
        <v>0</v>
      </c>
      <c r="S11">
        <f ca="1">$B11-$R11-$U11+SUMIF('Poker Stake Ledger'!$C$18:$C$137,$A11,'Poker Stake Ledger'!$K$18:$K$137)</f>
        <v>1177.6612046633588</v>
      </c>
      <c r="T11" t="str">
        <f ca="1">IF($P11=0,"No games",IF($Q11&gt;='Guide &amp; Settings'!$C$48,"Inactive",IF($Q11&gt;='Guide &amp; Settings'!$C$47,"At risk","Active")))</f>
        <v>Active</v>
      </c>
      <c r="U11">
        <f>SUMIF('Match Log'!$D$4:$D$810,$A11,'Match Log'!$AC$4:$AC$810)</f>
        <v>0</v>
      </c>
      <c r="V11">
        <f t="shared" si="9"/>
        <v>0</v>
      </c>
      <c r="W11">
        <f t="shared" ca="1" si="10"/>
        <v>94.415301165839708</v>
      </c>
      <c r="X11">
        <f ca="1">IFERROR(INDEX(Dashboard!$G$5:$G$18,MATCH($A11,Dashboard!$B$5:$B$18,0))*100,0)</f>
        <v>58.333333333333336</v>
      </c>
      <c r="Y11">
        <f ca="1">MIN(100,IFERROR(INDEX(Dashboard!$K$5:$K$18,MATCH($A11,Dashboard!$B$5:$B$18,0)),0)/5*50+$AC11/4*50)</f>
        <v>100</v>
      </c>
      <c r="Z11">
        <f t="shared" si="11"/>
        <v>60</v>
      </c>
      <c r="AA11">
        <f t="shared" si="12"/>
        <v>75.09411220974323</v>
      </c>
      <c r="AB11">
        <f t="shared" ca="1" si="13"/>
        <v>81.221433295684889</v>
      </c>
      <c r="AC11">
        <f>IFERROR(SUMPRODUCT((INDEX('Sport Records'!$B$8:$O$32,0,MATCH($A11,'Sport Records'!$B$7:$O$7,0))&gt;=2)*(INDEX('Sport Records'!$B$62:$O$86,0,MATCH($A11,'Sport Records'!$B$61:$O$61,0))&gt;=0.5)),0)</f>
        <v>8</v>
      </c>
      <c r="AD11">
        <f ca="1">IFERROR(INDEX(Dashboard!$D$5:$D$18,MATCH($A11,Dashboard!$B$5:$B$18,0)),0)</f>
        <v>60</v>
      </c>
      <c r="AE11">
        <f ca="1">IFERROR(INDEX(Dashboard!$K$5:$K$18,MATCH($A11,Dashboard!$B$5:$B$18,0)),0)</f>
        <v>15</v>
      </c>
      <c r="AF11" t="str">
        <f t="shared" ca="1" si="14"/>
        <v>Elite</v>
      </c>
      <c r="AG11">
        <f ca="1">COUNTIFS('Match Log'!$D$4:$D$810,$A11,'Match Log'!$B$4:$B$810,"&gt;="&amp;$B$5)</f>
        <v>22</v>
      </c>
      <c r="AH11">
        <f ca="1">COUNTIFS('Match Log'!$D$4:$D$810,$A11,'Match Log'!$B$4:$B$810,"&gt;="&amp;$B$5,'Match Log'!$E$4:$E$810,"Win")</f>
        <v>13</v>
      </c>
      <c r="AI11">
        <f t="shared" ca="1" si="15"/>
        <v>1177.6612057633588</v>
      </c>
    </row>
    <row r="12" spans="1:35" ht="15" customHeight="1" x14ac:dyDescent="0.2">
      <c r="A12" t="s">
        <v>20</v>
      </c>
      <c r="B12">
        <f>IFERROR(INDEX(Engine!$B$2:$B$15,MATCH($A12,Engine!$A$2:$A$15,0)),1000)</f>
        <v>1128.14195520974</v>
      </c>
      <c r="C12">
        <f>IFERROR(INDEX(Engine!$C$2:$C$15,MATCH($A12,Engine!$A$2:$A$15,0)),"")</f>
        <v>1079.3139450875044</v>
      </c>
      <c r="D12">
        <f t="shared" si="0"/>
        <v>4</v>
      </c>
      <c r="E12">
        <f t="shared" si="1"/>
        <v>113.56098111531333</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WLLLW</v>
      </c>
      <c r="J12">
        <f>IFERROR(LOOKUP(2,1/(('Match Log'!$D$4:$D$810=$A12)*('Match Log'!$B$4:$B$810&lt;=$B$3)),'Match Log'!$N$4:$N$810),1000)</f>
        <v>1142.6518506237364</v>
      </c>
      <c r="K12">
        <f t="shared" si="3"/>
        <v>3</v>
      </c>
      <c r="L12">
        <f t="shared" si="4"/>
        <v>-1</v>
      </c>
      <c r="M12">
        <f t="shared" si="5"/>
        <v>5</v>
      </c>
      <c r="N12">
        <f t="shared" si="6"/>
        <v>2</v>
      </c>
      <c r="O12">
        <f t="shared" si="7"/>
        <v>1</v>
      </c>
      <c r="P12">
        <f>IFERROR(SUMPRODUCT(MAX(('Match Log'!$D$4:$D$810=$A12)*'Match Log'!$B$4:$B$810)),0)</f>
        <v>46247</v>
      </c>
      <c r="Q12">
        <f t="shared" ca="1" si="8"/>
        <v>0.8571428571428571</v>
      </c>
      <c r="R12">
        <f ca="1">IF($P12=0,0,IF($Q12&gt;='Guide &amp; Settings'!$C$48,(INT($Q12-'Guide &amp; Settings'!$C$48)+1)*'Guide &amp; Settings'!$C$49,0))</f>
        <v>0</v>
      </c>
      <c r="S12">
        <f ca="1">$B12-$R12-$U12+SUMIF('Poker Stake Ledger'!$C$18:$C$137,$A12,'Poker Stake Ledger'!$K$18:$K$137)</f>
        <v>1124.39195520974</v>
      </c>
      <c r="T12" t="str">
        <f ca="1">IF($P12=0,"No games",IF($Q12&gt;='Guide &amp; Settings'!$C$48,"Inactive",IF($Q12&gt;='Guide &amp; Settings'!$C$47,"At risk","Active")))</f>
        <v>Active</v>
      </c>
      <c r="U12">
        <f>SUMIF('Match Log'!$D$4:$D$810,$A12,'Match Log'!$AC$4:$AC$810)</f>
        <v>0</v>
      </c>
      <c r="V12">
        <f t="shared" si="9"/>
        <v>0</v>
      </c>
      <c r="W12">
        <f t="shared" ca="1" si="10"/>
        <v>81.097988802434998</v>
      </c>
      <c r="X12">
        <f ca="1">IFERROR(INDEX(Dashboard!$G$5:$G$18,MATCH($A12,Dashboard!$B$5:$B$18,0))*100,0)</f>
        <v>46.601941747572816</v>
      </c>
      <c r="Y12">
        <f ca="1">MIN(100,IFERROR(INDEX(Dashboard!$K$5:$K$18,MATCH($A12,Dashboard!$B$5:$B$18,0)),0)/5*50+$AC12/4*50)</f>
        <v>100</v>
      </c>
      <c r="Z12">
        <f t="shared" si="11"/>
        <v>40</v>
      </c>
      <c r="AA12">
        <f t="shared" si="12"/>
        <v>69.828486271876102</v>
      </c>
      <c r="AB12">
        <f t="shared" ca="1" si="13"/>
        <v>70.687533057554418</v>
      </c>
      <c r="AC12">
        <f>IFERROR(SUMPRODUCT((INDEX('Sport Records'!$B$8:$O$32,0,MATCH($A12,'Sport Records'!$B$7:$O$7,0))&gt;=2)*(INDEX('Sport Records'!$B$62:$O$86,0,MATCH($A12,'Sport Records'!$B$61:$O$61,0))&gt;=0.5)),0)</f>
        <v>6</v>
      </c>
      <c r="AD12">
        <f ca="1">IFERROR(INDEX(Dashboard!$D$5:$D$18,MATCH($A12,Dashboard!$B$5:$B$18,0)),0)</f>
        <v>103</v>
      </c>
      <c r="AE12">
        <f ca="1">IFERROR(INDEX(Dashboard!$K$5:$K$18,MATCH($A12,Dashboard!$B$5:$B$18,0)),0)</f>
        <v>15</v>
      </c>
      <c r="AF12" t="str">
        <f t="shared" ca="1" si="14"/>
        <v>Strong</v>
      </c>
      <c r="AG12">
        <f ca="1">COUNTIFS('Match Log'!$D$4:$D$810,$A12,'Match Log'!$B$4:$B$810,"&gt;="&amp;$B$5)</f>
        <v>11</v>
      </c>
      <c r="AH12">
        <f ca="1">COUNTIFS('Match Log'!$D$4:$D$810,$A12,'Match Log'!$B$4:$B$810,"&gt;="&amp;$B$5,'Match Log'!$E$4:$E$810,"Win")</f>
        <v>5</v>
      </c>
      <c r="AI12">
        <f t="shared" ca="1" si="15"/>
        <v>1124.39195640974</v>
      </c>
    </row>
    <row r="13" spans="1:35" ht="15" customHeight="1" x14ac:dyDescent="0.2">
      <c r="A13" t="s">
        <v>21</v>
      </c>
      <c r="B13">
        <f>IFERROR(INDEX(Engine!$B$2:$B$15,MATCH($A13,Engine!$A$2:$A$15,0)),1000)</f>
        <v>1050.2393073123574</v>
      </c>
      <c r="C13">
        <f>IFERROR(INDEX(Engine!$C$2:$C$15,MATCH($A13,Engine!$A$2:$A$15,0)),"")</f>
        <v>1063.570292191464</v>
      </c>
      <c r="D13">
        <f t="shared" si="0"/>
        <v>7</v>
      </c>
      <c r="E13">
        <f t="shared" si="1"/>
        <v>191.46362901269595</v>
      </c>
      <c r="F13" t="str">
        <f>IFERROR(LOOKUP(2,1/('Match Log'!$D$4:$D$810=$A13),'Match Log'!$E$4:$E$810),"")</f>
        <v>Loss</v>
      </c>
      <c r="G13">
        <f>IF($F13="",0,SUMPRODUCT(('Match Log'!$D$4:$D$810=$A13)*(ROW('Match Log'!$A$4:$A$810)&gt;SUMPRODUCT(MAX(('Match Log'!$D$4:$D$810=$A13)*('Match Log'!$E$4:$E$810&lt;&gt;$F13)*ROW('Match Log'!$A$4:$A$810))))))</f>
        <v>7</v>
      </c>
      <c r="H13" t="str">
        <f t="shared" si="2"/>
        <v>L7</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0</v>
      </c>
      <c r="M13">
        <f t="shared" si="5"/>
        <v>0</v>
      </c>
      <c r="N13">
        <f t="shared" si="6"/>
        <v>0</v>
      </c>
      <c r="O13">
        <f t="shared" si="7"/>
        <v>0</v>
      </c>
      <c r="P13">
        <f>IFERROR(SUMPRODUCT(MAX(('Match Log'!$D$4:$D$810=$A13)*'Match Log'!$B$4:$B$810)),0)</f>
        <v>46229</v>
      </c>
      <c r="Q13">
        <f t="shared" ca="1" si="8"/>
        <v>3.4285714285714284</v>
      </c>
      <c r="R13">
        <f ca="1">IF($P13=0,0,IF($Q13&gt;='Guide &amp; Settings'!$C$48,(INT($Q13-'Guide &amp; Settings'!$C$48)+1)*'Guide &amp; Settings'!$C$49,0))</f>
        <v>0</v>
      </c>
      <c r="S13">
        <f ca="1">$B13-$R13-$U13+SUMIF('Poker Stake Ledger'!$C$18:$C$137,$A13,'Poker Stake Ledger'!$K$18:$K$137)</f>
        <v>1044.6893073123574</v>
      </c>
      <c r="T13" t="str">
        <f ca="1">IF($P13=0,"No games",IF($Q13&gt;='Guide &amp; Settings'!$C$48,"Inactive",IF($Q13&gt;='Guide &amp; Settings'!$C$47,"At risk","Active")))</f>
        <v>At risk</v>
      </c>
      <c r="U13">
        <f>SUMIF('Match Log'!$D$4:$D$810,$A13,'Match Log'!$AC$4:$AC$810)</f>
        <v>0</v>
      </c>
      <c r="V13">
        <f t="shared" si="9"/>
        <v>7</v>
      </c>
      <c r="W13">
        <f t="shared" ca="1" si="10"/>
        <v>61.172326828089354</v>
      </c>
      <c r="X13">
        <f ca="1">IFERROR(INDEX(Dashboard!$G$5:$G$18,MATCH($A13,Dashboard!$B$5:$B$18,0))*100,0)</f>
        <v>47.619047619047613</v>
      </c>
      <c r="Y13">
        <f ca="1">MIN(100,IFERROR(INDEX(Dashboard!$K$5:$K$18,MATCH($A13,Dashboard!$B$5:$B$18,0)),0)/5*50+$AC13/4*50)</f>
        <v>100</v>
      </c>
      <c r="Z13">
        <f t="shared" si="11"/>
        <v>0</v>
      </c>
      <c r="AA13">
        <f t="shared" si="12"/>
        <v>65.892573047865994</v>
      </c>
      <c r="AB13">
        <f t="shared" ca="1" si="13"/>
        <v>57.523381218427396</v>
      </c>
      <c r="AC13">
        <f>IFERROR(SUMPRODUCT((INDEX('Sport Records'!$B$8:$O$32,0,MATCH($A13,'Sport Records'!$B$7:$O$7,0))&gt;=2)*(INDEX('Sport Records'!$B$62:$O$86,0,MATCH($A13,'Sport Records'!$B$61:$O$61,0))&gt;=0.5)),0)</f>
        <v>2</v>
      </c>
      <c r="AD13">
        <f ca="1">IFERROR(INDEX(Dashboard!$D$5:$D$18,MATCH($A13,Dashboard!$B$5:$B$18,0)),0)</f>
        <v>21</v>
      </c>
      <c r="AE13">
        <f ca="1">IFERROR(INDEX(Dashboard!$K$5:$K$18,MATCH($A13,Dashboard!$B$5:$B$18,0)),0)</f>
        <v>8</v>
      </c>
      <c r="AF13" t="str">
        <f t="shared" ca="1" si="14"/>
        <v>Mid</v>
      </c>
      <c r="AG13">
        <f ca="1">COUNTIFS('Match Log'!$D$4:$D$810,$A13,'Match Log'!$B$4:$B$810,"&gt;="&amp;$B$5)</f>
        <v>0</v>
      </c>
      <c r="AH13">
        <f ca="1">COUNTIFS('Match Log'!$D$4:$D$810,$A13,'Match Log'!$B$4:$B$810,"&gt;="&amp;$B$5,'Match Log'!$E$4:$E$810,"Win")</f>
        <v>0</v>
      </c>
      <c r="AI13">
        <f t="shared" ca="1" si="15"/>
        <v>1044.6893086123573</v>
      </c>
    </row>
    <row r="14" spans="1:35" ht="15" customHeight="1" x14ac:dyDescent="0.2">
      <c r="A14" t="s">
        <v>22</v>
      </c>
      <c r="B14">
        <f>IFERROR(INDEX(Engine!$B$2:$B$15,MATCH($A14,Engine!$A$2:$A$15,0)),1000)</f>
        <v>1133.3164127790435</v>
      </c>
      <c r="C14">
        <f>IFERROR(INDEX(Engine!$C$2:$C$15,MATCH($A14,Engine!$A$2:$A$15,0)),"")</f>
        <v>1107.0185479961006</v>
      </c>
      <c r="D14">
        <f t="shared" si="0"/>
        <v>3</v>
      </c>
      <c r="E14">
        <f t="shared" si="1"/>
        <v>108.38652354600981</v>
      </c>
      <c r="F14" t="str">
        <f>IFERROR(LOOKUP(2,1/('Match Log'!$D$4:$D$810=$A14),'Match Log'!$E$4:$E$810),"")</f>
        <v>Loss</v>
      </c>
      <c r="G14">
        <f>IF($F14="",0,SUMPRODUCT(('Match Log'!$D$4:$D$810=$A14)*(ROW('Match Log'!$A$4:$A$810)&gt;SUMPRODUCT(MAX(('Match Log'!$D$4:$D$810=$A14)*('Match Log'!$E$4:$E$810&lt;&gt;$F14)*ROW('Match Log'!$A$4:$A$810))))))</f>
        <v>1</v>
      </c>
      <c r="H14" t="str">
        <f t="shared" si="2"/>
        <v>L1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LWLWL</v>
      </c>
      <c r="J14">
        <f>IFERROR(LOOKUP(2,1/(('Match Log'!$D$4:$D$810=$A14)*('Match Log'!$B$4:$B$810&lt;=$B$3)),'Match Log'!$N$4:$N$810),1000)</f>
        <v>1154.3708401956087</v>
      </c>
      <c r="K14">
        <f t="shared" si="3"/>
        <v>2</v>
      </c>
      <c r="L14">
        <f t="shared" si="4"/>
        <v>-1</v>
      </c>
      <c r="M14">
        <f t="shared" si="5"/>
        <v>9</v>
      </c>
      <c r="N14">
        <f t="shared" si="6"/>
        <v>2</v>
      </c>
      <c r="O14">
        <f t="shared" si="7"/>
        <v>0</v>
      </c>
      <c r="P14">
        <f>IFERROR(SUMPRODUCT(MAX(('Match Log'!$D$4:$D$810=$A14)*'Match Log'!$B$4:$B$810)),0)</f>
        <v>46253</v>
      </c>
      <c r="Q14">
        <f t="shared" ca="1" si="8"/>
        <v>0</v>
      </c>
      <c r="R14">
        <f ca="1">IF($P14=0,0,IF($Q14&gt;='Guide &amp; Settings'!$C$48,(INT($Q14-'Guide &amp; Settings'!$C$48)+1)*'Guide &amp; Settings'!$C$49,0))</f>
        <v>0</v>
      </c>
      <c r="S14">
        <f ca="1">$B14-$R14-$U14+SUMIF('Poker Stake Ledger'!$C$18:$C$137,$A14,'Poker Stake Ledger'!$K$18:$K$137)</f>
        <v>1131.9664127790436</v>
      </c>
      <c r="T14" t="str">
        <f ca="1">IF($P14=0,"No games",IF($Q14&gt;='Guide &amp; Settings'!$C$48,"Inactive",IF($Q14&gt;='Guide &amp; Settings'!$C$47,"At risk","Active")))</f>
        <v>Active</v>
      </c>
      <c r="U14">
        <f>SUMIF('Match Log'!$D$4:$D$810,$A14,'Match Log'!$AC$4:$AC$810)</f>
        <v>0</v>
      </c>
      <c r="V14">
        <f t="shared" si="9"/>
        <v>1</v>
      </c>
      <c r="W14">
        <f t="shared" ca="1" si="10"/>
        <v>82.991603194760899</v>
      </c>
      <c r="X14">
        <f ca="1">IFERROR(INDEX(Dashboard!$G$5:$G$18,MATCH($A14,Dashboard!$B$5:$B$18,0))*100,0)</f>
        <v>45.263157894736842</v>
      </c>
      <c r="Y14">
        <f ca="1">MIN(100,IFERROR(INDEX(Dashboard!$K$5:$K$18,MATCH($A14,Dashboard!$B$5:$B$18,0)),0)/5*50+$AC14/4*50)</f>
        <v>100</v>
      </c>
      <c r="Z14">
        <f t="shared" si="11"/>
        <v>40</v>
      </c>
      <c r="AA14">
        <f t="shared" si="12"/>
        <v>76.754636999025138</v>
      </c>
      <c r="AB14">
        <f t="shared" ca="1" si="13"/>
        <v>71.77515639701619</v>
      </c>
      <c r="AC14">
        <f>IFERROR(SUMPRODUCT((INDEX('Sport Records'!$B$8:$O$32,0,MATCH($A14,'Sport Records'!$B$7:$O$7,0))&gt;=2)*(INDEX('Sport Records'!$B$62:$O$86,0,MATCH($A14,'Sport Records'!$B$61:$O$61,0))&gt;=0.5)),0)</f>
        <v>7</v>
      </c>
      <c r="AD14">
        <f ca="1">IFERROR(INDEX(Dashboard!$D$5:$D$18,MATCH($A14,Dashboard!$B$5:$B$18,0)),0)</f>
        <v>95</v>
      </c>
      <c r="AE14">
        <f ca="1">IFERROR(INDEX(Dashboard!$K$5:$K$18,MATCH($A14,Dashboard!$B$5:$B$18,0)),0)</f>
        <v>18</v>
      </c>
      <c r="AF14" t="str">
        <f t="shared" ca="1" si="14"/>
        <v>Strong</v>
      </c>
      <c r="AG14">
        <f ca="1">COUNTIFS('Match Log'!$D$4:$D$810,$A14,'Match Log'!$B$4:$B$810,"&gt;="&amp;$B$5)</f>
        <v>19</v>
      </c>
      <c r="AH14">
        <f ca="1">COUNTIFS('Match Log'!$D$4:$D$810,$A14,'Match Log'!$B$4:$B$810,"&gt;="&amp;$B$5,'Match Log'!$E$4:$E$810,"Win")</f>
        <v>8</v>
      </c>
      <c r="AI14">
        <f t="shared" ca="1" si="15"/>
        <v>1131.9664141790436</v>
      </c>
    </row>
    <row r="15" spans="1:35" ht="15" customHeight="1" x14ac:dyDescent="0.2">
      <c r="A15" t="s">
        <v>23</v>
      </c>
      <c r="B15">
        <f>IFERROR(INDEX(Engine!$B$2:$B$15,MATCH($A15,Engine!$A$2:$A$15,0)),1000)</f>
        <v>1241.7029363250533</v>
      </c>
      <c r="C15">
        <f>IFERROR(INDEX(Engine!$C$2:$C$15,MATCH($A15,Engine!$A$2:$A$15,0)),"")</f>
        <v>1092.3933689945125</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5.4285714285714288</v>
      </c>
      <c r="R15">
        <f ca="1">IF($P15=0,0,IF($Q15&gt;='Guide &amp; Settings'!$C$48,(INT($Q15-'Guide &amp; Settings'!$C$48)+1)*'Guide &amp; Settings'!$C$49,0))</f>
        <v>20</v>
      </c>
      <c r="S15">
        <f ca="1">$B15-$R15-$U15+SUMIF('Poker Stake Ledger'!$C$18:$C$137,$A15,'Poker Stake Ledger'!$K$18:$K$137)</f>
        <v>1221.7029363250533</v>
      </c>
      <c r="T15" t="str">
        <f ca="1">IF($P15=0,"No games",IF($Q15&gt;='Guide &amp; Settings'!$C$48,"Inactive",IF($Q15&gt;='Guide &amp; Settings'!$C$47,"At risk","Active")))</f>
        <v>Inactive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100</v>
      </c>
      <c r="Z15">
        <f t="shared" si="11"/>
        <v>80</v>
      </c>
      <c r="AA15">
        <f t="shared" si="12"/>
        <v>73.098342248628114</v>
      </c>
      <c r="AB15">
        <f t="shared" ca="1" si="13"/>
        <v>88.102937673138683</v>
      </c>
      <c r="AC15">
        <f>IFERROR(SUMPRODUCT((INDEX('Sport Records'!$B$8:$O$32,0,MATCH($A15,'Sport Records'!$B$7:$O$7,0))&gt;=2)*(INDEX('Sport Records'!$B$62:$O$86,0,MATCH($A15,'Sport Records'!$B$61:$O$61,0))&gt;=0.5)),0)</f>
        <v>4</v>
      </c>
      <c r="AD15">
        <f ca="1">IFERROR(INDEX(Dashboard!$D$5:$D$18,MATCH($A15,Dashboard!$B$5:$B$18,0)),0)</f>
        <v>29</v>
      </c>
      <c r="AE15">
        <f ca="1">IFERROR(INDEX(Dashboard!$K$5:$K$18,MATCH($A15,Dashboard!$B$5:$B$18,0)),0)</f>
        <v>5</v>
      </c>
      <c r="AF15" t="str">
        <f t="shared" ca="1" si="14"/>
        <v>Elite</v>
      </c>
      <c r="AG15">
        <f ca="1">COUNTIFS('Match Log'!$D$4:$D$810,$A15,'Match Log'!$B$4:$B$810,"&gt;="&amp;$B$5)</f>
        <v>0</v>
      </c>
      <c r="AH15">
        <f ca="1">COUNTIFS('Match Log'!$D$4:$D$810,$A15,'Match Log'!$B$4:$B$810,"&gt;="&amp;$B$5,'Match Log'!$E$4:$E$810,"Win")</f>
        <v>0</v>
      </c>
      <c r="AI15">
        <f t="shared" ca="1" si="15"/>
        <v>1221.7029378250534</v>
      </c>
    </row>
    <row r="16" spans="1:35" ht="15" customHeight="1" x14ac:dyDescent="0.2">
      <c r="A16" t="s">
        <v>24</v>
      </c>
      <c r="B16">
        <f>IFERROR(INDEX(Engine!$B$2:$B$15,MATCH($A16,Engine!$A$2:$A$15,0)),1000)</f>
        <v>862.22294373677494</v>
      </c>
      <c r="C16">
        <f>IFERROR(INDEX(Engine!$C$2:$C$15,MATCH($A16,Engine!$A$2:$A$15,0)),"")</f>
        <v>1082.4433561101091</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4.4285714285714288</v>
      </c>
      <c r="R16">
        <f ca="1">IF($P16=0,0,IF($Q16&gt;='Guide &amp; Settings'!$C$48,(INT($Q16-'Guide &amp; Settings'!$C$48)+1)*'Guide &amp; Settings'!$C$49,0))</f>
        <v>10</v>
      </c>
      <c r="S16">
        <f ca="1">$B16-$R16-$U16+SUMIF('Poker Stake Ledger'!$C$18:$C$137,$A16,'Poker Stake Ledger'!$K$18:$K$137)</f>
        <v>852.22294373677494</v>
      </c>
      <c r="T16" t="str">
        <f ca="1">IF($P16=0,"No games",IF($Q16&gt;='Guide &amp; Settings'!$C$48,"Inactive",IF($Q16&gt;='Guide &amp; Settings'!$C$47,"At risk","Active")))</f>
        <v>Inactive</v>
      </c>
      <c r="U16">
        <f>SUMIF('Match Log'!$D$4:$D$810,$A16,'Match Log'!$AC$4:$AC$810)</f>
        <v>0</v>
      </c>
      <c r="V16">
        <f t="shared" si="9"/>
        <v>6</v>
      </c>
      <c r="W16">
        <f t="shared" ca="1" si="10"/>
        <v>13.055735934193734</v>
      </c>
      <c r="X16">
        <f ca="1">IFERROR(INDEX(Dashboard!$G$5:$G$18,MATCH($A16,Dashboard!$B$5:$B$18,0))*100,0)</f>
        <v>13.333333333333334</v>
      </c>
      <c r="Y16">
        <f ca="1">MIN(100,IFERROR(INDEX(Dashboard!$K$5:$K$18,MATCH($A16,Dashboard!$B$5:$B$18,0)),0)/5*50+$AC16/4*50)</f>
        <v>30</v>
      </c>
      <c r="Z16">
        <f t="shared" si="11"/>
        <v>0</v>
      </c>
      <c r="AA16">
        <f t="shared" si="12"/>
        <v>70.610839027527277</v>
      </c>
      <c r="AB16">
        <f t="shared" ca="1" si="13"/>
        <v>20.2972581463872</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852.22294533677496</v>
      </c>
    </row>
    <row r="17" spans="1:35" ht="15" customHeight="1" x14ac:dyDescent="0.2">
      <c r="A17" t="s">
        <v>25</v>
      </c>
      <c r="B17">
        <f>IFERROR(INDEX(Engine!$B$2:$B$15,MATCH($A17,Engine!$A$2:$A$15,0)),1000)</f>
        <v>1054.3366131438215</v>
      </c>
      <c r="C17">
        <f>IFERROR(INDEX(Engine!$C$2:$C$15,MATCH($A17,Engine!$A$2:$A$15,0)),"")</f>
        <v>1094.7285310728248</v>
      </c>
      <c r="D17">
        <f t="shared" si="0"/>
        <v>6</v>
      </c>
      <c r="E17">
        <f t="shared" si="1"/>
        <v>187.36632318123179</v>
      </c>
      <c r="F17" t="str">
        <f>IFERROR(LOOKUP(2,1/('Match Log'!$D$4:$D$810=$A17),'Match Log'!$E$4:$E$810),"")</f>
        <v>Loss</v>
      </c>
      <c r="G17">
        <f>IF($F17="",0,SUMPRODUCT(('Match Log'!$D$4:$D$810=$A17)*(ROW('Match Log'!$A$4:$A$810)&gt;SUMPRODUCT(MAX(('Match Log'!$D$4:$D$810=$A17)*('Match Log'!$E$4:$E$810&lt;&gt;$F17)*ROW('Match Log'!$A$4:$A$810))))))</f>
        <v>6</v>
      </c>
      <c r="H17" t="str">
        <f t="shared" si="2"/>
        <v>L6</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1054.3366131438215</v>
      </c>
      <c r="K17">
        <f t="shared" si="3"/>
        <v>6</v>
      </c>
      <c r="L17">
        <f t="shared" si="4"/>
        <v>0</v>
      </c>
      <c r="M17">
        <f t="shared" si="5"/>
        <v>4</v>
      </c>
      <c r="N17">
        <f t="shared" si="6"/>
        <v>0</v>
      </c>
      <c r="O17">
        <f t="shared" si="7"/>
        <v>0</v>
      </c>
      <c r="P17">
        <f>IFERROR(SUMPRODUCT(MAX(('Match Log'!$D$4:$D$810=$A17)*'Match Log'!$B$4:$B$810)),0)</f>
        <v>46243</v>
      </c>
      <c r="Q17">
        <f t="shared" ca="1" si="8"/>
        <v>1.4285714285714286</v>
      </c>
      <c r="R17">
        <f ca="1">IF($P17=0,0,IF($Q17&gt;='Guide &amp; Settings'!$C$48,(INT($Q17-'Guide &amp; Settings'!$C$48)+1)*'Guide &amp; Settings'!$C$49,0))</f>
        <v>0</v>
      </c>
      <c r="S17">
        <f ca="1">$B17-$R17-$U17+SUMIF('Poker Stake Ledger'!$C$18:$C$137,$A17,'Poker Stake Ledger'!$K$18:$K$137)</f>
        <v>1054.3366131438215</v>
      </c>
      <c r="T17" t="str">
        <f ca="1">IF($P17=0,"No games",IF($Q17&gt;='Guide &amp; Settings'!$C$48,"Inactive",IF($Q17&gt;='Guide &amp; Settings'!$C$47,"At risk","Active")))</f>
        <v>Active</v>
      </c>
      <c r="U17">
        <f>SUMIF('Match Log'!$D$4:$D$810,$A17,'Match Log'!$AC$4:$AC$810)</f>
        <v>0</v>
      </c>
      <c r="V17">
        <f t="shared" si="9"/>
        <v>6</v>
      </c>
      <c r="W17">
        <f t="shared" ca="1" si="10"/>
        <v>63.584153285955381</v>
      </c>
      <c r="X17">
        <f ca="1">IFERROR(INDEX(Dashboard!$G$5:$G$18,MATCH($A17,Dashboard!$B$5:$B$18,0))*100,0)</f>
        <v>42.372881355932201</v>
      </c>
      <c r="Y17">
        <f ca="1">MIN(100,IFERROR(INDEX(Dashboard!$K$5:$K$18,MATCH($A17,Dashboard!$B$5:$B$18,0)),0)/5*50+$AC17/4*50)</f>
        <v>100</v>
      </c>
      <c r="Z17">
        <f t="shared" si="11"/>
        <v>0</v>
      </c>
      <c r="AA17">
        <f t="shared" si="12"/>
        <v>73.682132768206202</v>
      </c>
      <c r="AB17">
        <f t="shared" ca="1" si="13"/>
        <v>58.097243198091441</v>
      </c>
      <c r="AC17">
        <f>IFERROR(SUMPRODUCT((INDEX('Sport Records'!$B$8:$O$32,0,MATCH($A17,'Sport Records'!$B$7:$O$7,0))&gt;=2)*(INDEX('Sport Records'!$B$62:$O$86,0,MATCH($A17,'Sport Records'!$B$61:$O$61,0))&gt;=0.5)),0)</f>
        <v>2</v>
      </c>
      <c r="AD17">
        <f ca="1">IFERROR(INDEX(Dashboard!$D$5:$D$18,MATCH($A17,Dashboard!$B$5:$B$18,0)),0)</f>
        <v>59</v>
      </c>
      <c r="AE17">
        <f ca="1">IFERROR(INDEX(Dashboard!$K$5:$K$18,MATCH($A17,Dashboard!$B$5:$B$18,0)),0)</f>
        <v>9</v>
      </c>
      <c r="AF17" t="str">
        <f t="shared" ca="1" si="14"/>
        <v>Strong</v>
      </c>
      <c r="AG17">
        <f ca="1">COUNTIFS('Match Log'!$D$4:$D$810,$A17,'Match Log'!$B$4:$B$810,"&gt;="&amp;$B$5)</f>
        <v>0</v>
      </c>
      <c r="AH17">
        <f ca="1">COUNTIFS('Match Log'!$D$4:$D$810,$A17,'Match Log'!$B$4:$B$810,"&gt;="&amp;$B$5,'Match Log'!$E$4:$E$810,"Win")</f>
        <v>0</v>
      </c>
      <c r="AI17">
        <f t="shared" ca="1" si="15"/>
        <v>1054.3366148438215</v>
      </c>
    </row>
    <row r="18" spans="1:35" ht="15" customHeight="1" x14ac:dyDescent="0.2">
      <c r="A18" t="s">
        <v>26</v>
      </c>
      <c r="B18">
        <f>IFERROR(INDEX(Engine!$B$2:$B$15,MATCH($A18,Engine!$A$2:$A$15,0)),1000)</f>
        <v>1087.5488947064855</v>
      </c>
      <c r="C18">
        <f>IFERROR(INDEX(Engine!$C$2:$C$15,MATCH($A18,Engine!$A$2:$A$15,0)),"")</f>
        <v>1059.3925042232245</v>
      </c>
      <c r="D18">
        <f t="shared" si="0"/>
        <v>5</v>
      </c>
      <c r="E18">
        <f t="shared" si="1"/>
        <v>154.15404161856782</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1012.1303999492304</v>
      </c>
      <c r="K18">
        <f t="shared" si="3"/>
        <v>10</v>
      </c>
      <c r="L18">
        <f t="shared" si="4"/>
        <v>5</v>
      </c>
      <c r="M18">
        <f t="shared" si="5"/>
        <v>2</v>
      </c>
      <c r="N18">
        <f t="shared" si="6"/>
        <v>3</v>
      </c>
      <c r="O18">
        <f t="shared" si="7"/>
        <v>1</v>
      </c>
      <c r="P18">
        <f>IFERROR(SUMPRODUCT(MAX(('Match Log'!$D$4:$D$810=$A18)*'Match Log'!$B$4:$B$810)),0)</f>
        <v>46249</v>
      </c>
      <c r="Q18">
        <f t="shared" ca="1" si="8"/>
        <v>0.5714285714285714</v>
      </c>
      <c r="R18">
        <f ca="1">IF($P18=0,0,IF($Q18&gt;='Guide &amp; Settings'!$C$48,(INT($Q18-'Guide &amp; Settings'!$C$48)+1)*'Guide &amp; Settings'!$C$49,0))</f>
        <v>0</v>
      </c>
      <c r="S18">
        <f ca="1">$B18-$R18-$U18+SUMIF('Poker Stake Ledger'!$C$18:$C$137,$A18,'Poker Stake Ledger'!$K$18:$K$137)</f>
        <v>1087.5488947064855</v>
      </c>
      <c r="T18" t="str">
        <f ca="1">IF($P18=0,"No games",IF($Q18&gt;='Guide &amp; Settings'!$C$48,"Inactive",IF($Q18&gt;='Guide &amp; Settings'!$C$47,"At risk","Active")))</f>
        <v>Active</v>
      </c>
      <c r="U18">
        <f>SUMIF('Match Log'!$D$4:$D$810,$A18,'Match Log'!$AC$4:$AC$810)</f>
        <v>0</v>
      </c>
      <c r="V18">
        <f t="shared" si="9"/>
        <v>0</v>
      </c>
      <c r="W18">
        <f t="shared" ca="1" si="10"/>
        <v>71.887223676621375</v>
      </c>
      <c r="X18">
        <f ca="1">IFERROR(INDEX(Dashboard!$G$5:$G$18,MATCH($A18,Dashboard!$B$5:$B$18,0))*100,0)</f>
        <v>46.666666666666664</v>
      </c>
      <c r="Y18">
        <f ca="1">MIN(100,IFERROR(INDEX(Dashboard!$K$5:$K$18,MATCH($A18,Dashboard!$B$5:$B$18,0)),0)/5*50+$AC18/4*50)</f>
        <v>65</v>
      </c>
      <c r="Z18">
        <f t="shared" si="11"/>
        <v>60</v>
      </c>
      <c r="AA18">
        <f t="shared" si="12"/>
        <v>64.848126055806119</v>
      </c>
      <c r="AB18">
        <f t="shared" ca="1" si="13"/>
        <v>62.978674225731432</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4"/>
        <v>Strong</v>
      </c>
      <c r="AG18">
        <f ca="1">COUNTIFS('Match Log'!$D$4:$D$810,$A18,'Match Log'!$B$4:$B$810,"&gt;="&amp;$B$5)</f>
        <v>5</v>
      </c>
      <c r="AH18">
        <f ca="1">COUNTIFS('Match Log'!$D$4:$D$810,$A18,'Match Log'!$B$4:$B$810,"&gt;="&amp;$B$5,'Match Log'!$E$4:$E$810,"Win")</f>
        <v>3</v>
      </c>
      <c r="AI18">
        <f t="shared" ca="1" si="15"/>
        <v>1087.5488965064856</v>
      </c>
    </row>
    <row r="19" spans="1:35" ht="15" customHeight="1" x14ac:dyDescent="0.2">
      <c r="A19" t="s">
        <v>27</v>
      </c>
      <c r="B19">
        <f>IFERROR(INDEX(Engine!$B$2:$B$15,MATCH($A19,Engine!$A$2:$A$15,0)),1000)</f>
        <v>1023.2192605207141</v>
      </c>
      <c r="C19">
        <f>IFERROR(INDEX(Engine!$C$2:$C$15,MATCH($A19,Engine!$A$2:$A$15,0)),"")</f>
        <v>1087.0127217426077</v>
      </c>
      <c r="D19">
        <f t="shared" si="0"/>
        <v>10</v>
      </c>
      <c r="E19">
        <f t="shared" si="1"/>
        <v>218.48367580433921</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1080.3830919749923</v>
      </c>
      <c r="K19">
        <f t="shared" si="3"/>
        <v>5</v>
      </c>
      <c r="L19">
        <f t="shared" si="4"/>
        <v>-5</v>
      </c>
      <c r="M19">
        <f t="shared" si="5"/>
        <v>0</v>
      </c>
      <c r="N19">
        <f t="shared" si="6"/>
        <v>0</v>
      </c>
      <c r="O19">
        <f t="shared" si="7"/>
        <v>0</v>
      </c>
      <c r="P19">
        <f>IFERROR(SUMPRODUCT(MAX(('Match Log'!$D$4:$D$810=$A19)*'Match Log'!$B$4:$B$810)),0)</f>
        <v>46249</v>
      </c>
      <c r="Q19">
        <f t="shared" ca="1" si="8"/>
        <v>0.5714285714285714</v>
      </c>
      <c r="R19">
        <f ca="1">IF($P19=0,0,IF($Q19&gt;='Guide &amp; Settings'!$C$48,(INT($Q19-'Guide &amp; Settings'!$C$48)+1)*'Guide &amp; Settings'!$C$49,0))</f>
        <v>0</v>
      </c>
      <c r="S19">
        <f ca="1">$B19-$R19-$U19+SUMIF('Poker Stake Ledger'!$C$18:$C$137,$A19,'Poker Stake Ledger'!$K$18:$K$137)</f>
        <v>1023.2192605207141</v>
      </c>
      <c r="T19" t="str">
        <f ca="1">IF($P19=0,"No games",IF($Q19&gt;='Guide &amp; Settings'!$C$48,"Inactive",IF($Q19&gt;='Guide &amp; Settings'!$C$47,"At risk","Active")))</f>
        <v>Active</v>
      </c>
      <c r="U19">
        <f>SUMIF('Match Log'!$D$4:$D$810,$A19,'Match Log'!$AC$4:$AC$810)</f>
        <v>0</v>
      </c>
      <c r="V19">
        <f t="shared" si="9"/>
        <v>6</v>
      </c>
      <c r="W19">
        <f t="shared" ca="1" si="10"/>
        <v>55.804815130178525</v>
      </c>
      <c r="X19">
        <f ca="1">IFERROR(INDEX(Dashboard!$G$5:$G$18,MATCH($A19,Dashboard!$B$5:$B$18,0))*100,0)</f>
        <v>40</v>
      </c>
      <c r="Y19">
        <f ca="1">MIN(100,IFERROR(INDEX(Dashboard!$K$5:$K$18,MATCH($A19,Dashboard!$B$5:$B$18,0)),0)/5*50+$AC19/4*50)</f>
        <v>65</v>
      </c>
      <c r="Z19">
        <f t="shared" si="11"/>
        <v>0</v>
      </c>
      <c r="AA19">
        <f t="shared" si="12"/>
        <v>71.753180435651927</v>
      </c>
      <c r="AB19">
        <f t="shared" ca="1" si="13"/>
        <v>47.707003339127674</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4"/>
        <v>Mid</v>
      </c>
      <c r="AG19">
        <f ca="1">COUNTIFS('Match Log'!$D$4:$D$810,$A19,'Match Log'!$B$4:$B$810,"&gt;="&amp;$B$5)</f>
        <v>6</v>
      </c>
      <c r="AH19">
        <f ca="1">COUNTIFS('Match Log'!$D$4:$D$810,$A19,'Match Log'!$B$4:$B$810,"&gt;="&amp;$B$5,'Match Log'!$E$4:$E$810,"Win")</f>
        <v>0</v>
      </c>
      <c r="AI19">
        <f t="shared" ca="1" si="15"/>
        <v>1023.2192624207141</v>
      </c>
    </row>
    <row r="20" spans="1:35" ht="15" customHeight="1" x14ac:dyDescent="0.2">
      <c r="A20" t="s">
        <v>28</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448</v>
      </c>
      <c r="B24" t="s">
        <v>327</v>
      </c>
      <c r="C24" t="s">
        <v>241</v>
      </c>
      <c r="D24" t="s">
        <v>449</v>
      </c>
      <c r="E24" t="s">
        <v>450</v>
      </c>
      <c r="F24" t="s">
        <v>451</v>
      </c>
      <c r="G24" t="s">
        <v>452</v>
      </c>
      <c r="H24" t="s">
        <v>453</v>
      </c>
      <c r="J24" t="s">
        <v>454</v>
      </c>
      <c r="K24" t="s">
        <v>15</v>
      </c>
      <c r="L24" t="s">
        <v>16</v>
      </c>
      <c r="M24" t="s">
        <v>17</v>
      </c>
      <c r="N24" t="s">
        <v>18</v>
      </c>
      <c r="O24" t="s">
        <v>19</v>
      </c>
      <c r="P24" t="s">
        <v>20</v>
      </c>
      <c r="Q24" t="s">
        <v>21</v>
      </c>
      <c r="R24" t="s">
        <v>22</v>
      </c>
      <c r="S24" t="s">
        <v>23</v>
      </c>
      <c r="T24" t="s">
        <v>24</v>
      </c>
      <c r="U24" t="s">
        <v>25</v>
      </c>
      <c r="V24" t="s">
        <v>26</v>
      </c>
      <c r="W24" t="s">
        <v>27</v>
      </c>
      <c r="X24" t="s">
        <v>28</v>
      </c>
    </row>
    <row r="25" spans="1:35"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4"/>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f t="shared" ca="1" si="24"/>
        <v>-0.73352533333333336</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f t="shared" ref="Y217:Y280" ca="1" si="27">IF(AND($B217&lt;&gt;"",$B217&gt;=$B$5,$I217&lt;&gt;""),$I217,"")</f>
        <v>-0.20019300000000018</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f t="shared" ca="1" si="27"/>
        <v>0.33313933333333334</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f t="shared" ca="1" si="27"/>
        <v>9.071409090909105E-2</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f t="shared" ca="1" si="27"/>
        <v>0.14266114285714279</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f t="shared" ca="1" si="27"/>
        <v>0.19980299999999995</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f t="shared" ca="1" si="27"/>
        <v>0.19980199999999995</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f t="shared" ca="1" si="27"/>
        <v>0.11091211111111104</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f t="shared" ca="1" si="27"/>
        <v>-0.80665161290322596</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f t="shared" ca="1" si="27"/>
        <v>-0.83693569387755107</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f t="shared" ca="1" si="27"/>
        <v>-0.60020200000000012</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f t="shared" ca="1" si="27"/>
        <v>-2.03E-4</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f t="shared" ca="1" si="27"/>
        <v>-0.14306114285714303</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f t="shared" ca="1" si="27"/>
        <v>0.46408071428571429</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f t="shared" ca="1" si="27"/>
        <v>-2.0599999999999999E-4</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f t="shared" ca="1" si="27"/>
        <v>0.24979299999999999</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f t="shared" ca="1" si="27"/>
        <v>-0.20020800000000019</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5"/>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6"/>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f t="shared" ca="1" si="27"/>
        <v>-0.143066142857143</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5"/>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6"/>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f t="shared" ca="1" si="27"/>
        <v>-0.143067142857143</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5"/>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6"/>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f t="shared" ca="1" si="27"/>
        <v>-0.143068142857143</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5"/>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6"/>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f t="shared" ca="1" si="27"/>
        <v>0.24978800000000012</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5"/>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6"/>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f t="shared" ca="1" si="27"/>
        <v>-2.13E-4</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5"/>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6"/>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f t="shared" ca="1" si="27"/>
        <v>0.33311933333333338</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5"/>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6"/>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f t="shared" ca="1" si="27"/>
        <v>-2.1499999999999999E-4</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5"/>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6"/>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f t="shared" ca="1" si="27"/>
        <v>-0.11132711111111115</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5"/>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6"/>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f t="shared" ca="1" si="27"/>
        <v>0.33311633333333335</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5"/>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6"/>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f t="shared" ca="1" si="27"/>
        <v>-7.7141076923076868E-2</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5"/>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6"/>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f t="shared" ca="1" si="27"/>
        <v>0.23055023076923073</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5"/>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6"/>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f t="shared" ca="1" si="27"/>
        <v>-5.9043529411764717E-2</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25"/>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26"/>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27"/>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25"/>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26"/>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27"/>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25"/>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26"/>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27"/>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25"/>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26"/>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27"/>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25"/>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26"/>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27"/>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25"/>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26"/>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27"/>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25"/>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26"/>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27"/>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25"/>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26"/>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27"/>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25"/>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26"/>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27"/>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25"/>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26"/>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27"/>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25"/>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26"/>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27"/>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25"/>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26"/>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27"/>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25"/>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26"/>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27"/>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25"/>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26"/>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27"/>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25"/>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26"/>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27"/>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25"/>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26"/>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27"/>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25"/>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26"/>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27"/>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25"/>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26"/>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27"/>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25"/>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26"/>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27"/>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25"/>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26"/>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27"/>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25"/>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26"/>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27"/>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25"/>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26"/>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27"/>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25"/>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26"/>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27"/>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25"/>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26"/>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27"/>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25"/>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26"/>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27"/>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25"/>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26"/>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27"/>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25"/>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26"/>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27"/>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25"/>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26"/>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27"/>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si="25"/>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si="26"/>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ca="1" si="27"/>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25"/>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26"/>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27"/>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25"/>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26"/>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27"/>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25"/>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26"/>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27"/>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25"/>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26"/>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27"/>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25"/>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26"/>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27"/>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25"/>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26"/>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27"/>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25"/>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26"/>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27"/>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ref="G281:G344" si="28">IF($D281="","",1-$F281*$E281)</f>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ref="I281:I344" si="29">IF($G281="","",$G281-$A281/1000000)</f>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ref="Y281:Y344" ca="1" si="30">IF(AND($B281&lt;&gt;"",$B281&gt;=$B$5,$I281&lt;&gt;""),$I281,"")</f>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28"/>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29"/>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0"/>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28"/>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29"/>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0"/>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28"/>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29"/>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0"/>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28"/>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29"/>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0"/>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28"/>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29"/>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0"/>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28"/>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29"/>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0"/>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28"/>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29"/>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0"/>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28"/>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29"/>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0"/>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28"/>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29"/>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0"/>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28"/>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29"/>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0"/>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28"/>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29"/>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0"/>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28"/>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29"/>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0"/>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28"/>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29"/>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0"/>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28"/>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29"/>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0"/>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28"/>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29"/>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0"/>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28"/>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29"/>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0"/>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28"/>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29"/>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0"/>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28"/>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29"/>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0"/>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28"/>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29"/>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0"/>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28"/>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29"/>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0"/>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28"/>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29"/>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0"/>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28"/>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29"/>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0"/>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28"/>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29"/>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0"/>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28"/>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29"/>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0"/>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28"/>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29"/>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0"/>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28"/>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29"/>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0"/>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28"/>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29"/>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0"/>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28"/>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29"/>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0"/>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28"/>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29"/>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0"/>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28"/>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29"/>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0"/>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28"/>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29"/>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0"/>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28"/>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29"/>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0"/>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28"/>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29"/>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0"/>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270</v>
      </c>
    </row>
    <row r="2" spans="1:17" ht="15" customHeight="1" x14ac:dyDescent="0.2">
      <c r="A2" t="s">
        <v>15</v>
      </c>
      <c r="B2">
        <f>IF(COUNTIF('Match Log'!$D$4:$D$810,$A2)=0,'Guide &amp; Settings'!$C$41,IFERROR(LOOKUP(2,1/('Match Log'!$D$4:$D$810=$A2),'Match Log'!$N$4:$N$810),'Guide &amp; Settings'!$C$41))</f>
        <v>1009.8261046694705</v>
      </c>
      <c r="C2">
        <f>IFERROR(SUMPRODUCT(INDEX('Head-to-Head'!$B$22:$O$35,1,0),$D$2:$Q$2)/SUM(INDEX('Head-to-Head'!$B$22:$O$35,1,0)),"")</f>
        <v>1098.1280049278507</v>
      </c>
      <c r="D2">
        <f>$B$2</f>
        <v>1009.8261046694705</v>
      </c>
      <c r="E2">
        <f>$B$3</f>
        <v>1029.5175965335138</v>
      </c>
      <c r="F2">
        <f>$B$4</f>
        <v>1037.8197114720938</v>
      </c>
      <c r="G2">
        <f>$B$5</f>
        <v>973.19705892757202</v>
      </c>
      <c r="H2">
        <f>$B$6</f>
        <v>1155.9112046633588</v>
      </c>
      <c r="I2">
        <f>$B$7</f>
        <v>1128.14195520974</v>
      </c>
      <c r="J2">
        <f>$B$8</f>
        <v>1050.2393073123574</v>
      </c>
      <c r="K2">
        <f>$B$9</f>
        <v>1133.3164127790435</v>
      </c>
      <c r="L2">
        <f>$B$10</f>
        <v>1241.7029363250533</v>
      </c>
      <c r="M2">
        <f>$B$11</f>
        <v>862.22294373677494</v>
      </c>
      <c r="N2">
        <f>$B$12</f>
        <v>1054.3366131438215</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1062.5757124666486</v>
      </c>
    </row>
    <row r="4" spans="1:17" ht="15" customHeight="1" x14ac:dyDescent="0.2">
      <c r="A4" t="s">
        <v>17</v>
      </c>
      <c r="B4">
        <f>IF(COUNTIF('Match Log'!$D$4:$D$810,$A4)=0,'Guide &amp; Settings'!$C$41,IFERROR(LOOKUP(2,1/('Match Log'!$D$4:$D$810=$A4),'Match Log'!$N$4:$N$810),'Guide &amp; Settings'!$C$41))</f>
        <v>1037.8197114720938</v>
      </c>
      <c r="C4">
        <f>IFERROR(SUMPRODUCT(INDEX('Head-to-Head'!$B$22:$O$35,3,0),$D$2:$Q$2)/SUM(INDEX('Head-to-Head'!$B$22:$O$35,3,0)),"")</f>
        <v>1080.1921418274528</v>
      </c>
    </row>
    <row r="5" spans="1:17" ht="15" customHeight="1" x14ac:dyDescent="0.2">
      <c r="A5" t="s">
        <v>18</v>
      </c>
      <c r="B5">
        <f>IF(COUNTIF('Match Log'!$D$4:$D$810,$A5)=0,'Guide &amp; Settings'!$C$41,IFERROR(LOOKUP(2,1/('Match Log'!$D$4:$D$810=$A5),'Match Log'!$N$4:$N$810),'Guide &amp; Settings'!$C$41))</f>
        <v>973.19705892757202</v>
      </c>
      <c r="C5">
        <f>IFERROR(SUMPRODUCT(INDEX('Head-to-Head'!$B$22:$O$35,4,0),$D$2:$Q$2)/SUM(INDEX('Head-to-Head'!$B$22:$O$35,4,0)),"")</f>
        <v>1095.248232455371</v>
      </c>
    </row>
    <row r="6" spans="1:17" ht="15" customHeight="1" x14ac:dyDescent="0.2">
      <c r="A6" t="s">
        <v>19</v>
      </c>
      <c r="B6">
        <f>IF(COUNTIF('Match Log'!$D$4:$D$810,$A6)=0,'Guide &amp; Settings'!$C$41,IFERROR(LOOKUP(2,1/('Match Log'!$D$4:$D$810=$A6),'Match Log'!$N$4:$N$810),'Guide &amp; Settings'!$C$41))</f>
        <v>1155.9112046633588</v>
      </c>
      <c r="C6">
        <f>IFERROR(SUMPRODUCT(INDEX('Head-to-Head'!$B$22:$O$35,5,0),$D$2:$Q$2)/SUM(INDEX('Head-to-Head'!$B$22:$O$35,5,0)),"")</f>
        <v>1100.3764488389729</v>
      </c>
    </row>
    <row r="7" spans="1:17" ht="15" customHeight="1" x14ac:dyDescent="0.2">
      <c r="A7" t="s">
        <v>20</v>
      </c>
      <c r="B7">
        <f>IF(COUNTIF('Match Log'!$D$4:$D$810,$A7)=0,'Guide &amp; Settings'!$C$41,IFERROR(LOOKUP(2,1/('Match Log'!$D$4:$D$810=$A7),'Match Log'!$N$4:$N$810),'Guide &amp; Settings'!$C$41))</f>
        <v>1128.14195520974</v>
      </c>
      <c r="C7">
        <f>IFERROR(SUMPRODUCT(INDEX('Head-to-Head'!$B$22:$O$35,6,0),$D$2:$Q$2)/SUM(INDEX('Head-to-Head'!$B$22:$O$35,6,0)),"")</f>
        <v>1079.3139450875044</v>
      </c>
    </row>
    <row r="8" spans="1:17" ht="15" customHeight="1" x14ac:dyDescent="0.2">
      <c r="A8" t="s">
        <v>21</v>
      </c>
      <c r="B8">
        <f>IF(COUNTIF('Match Log'!$D$4:$D$810,$A8)=0,'Guide &amp; Settings'!$C$41,IFERROR(LOOKUP(2,1/('Match Log'!$D$4:$D$810=$A8),'Match Log'!$N$4:$N$810),'Guide &amp; Settings'!$C$41))</f>
        <v>1050.2393073123574</v>
      </c>
      <c r="C8">
        <f>IFERROR(SUMPRODUCT(INDEX('Head-to-Head'!$B$22:$O$35,7,0),$D$2:$Q$2)/SUM(INDEX('Head-to-Head'!$B$22:$O$35,7,0)),"")</f>
        <v>1063.570292191464</v>
      </c>
    </row>
    <row r="9" spans="1:17" ht="15" customHeight="1" x14ac:dyDescent="0.2">
      <c r="A9" t="s">
        <v>22</v>
      </c>
      <c r="B9">
        <f>IF(COUNTIF('Match Log'!$D$4:$D$810,$A9)=0,'Guide &amp; Settings'!$C$41,IFERROR(LOOKUP(2,1/('Match Log'!$D$4:$D$810=$A9),'Match Log'!$N$4:$N$810),'Guide &amp; Settings'!$C$41))</f>
        <v>1133.3164127790435</v>
      </c>
      <c r="C9">
        <f>IFERROR(SUMPRODUCT(INDEX('Head-to-Head'!$B$22:$O$35,8,0),$D$2:$Q$2)/SUM(INDEX('Head-to-Head'!$B$22:$O$35,8,0)),"")</f>
        <v>1107.0185479961006</v>
      </c>
    </row>
    <row r="10" spans="1:17" ht="15" customHeight="1" x14ac:dyDescent="0.2">
      <c r="A10" t="s">
        <v>23</v>
      </c>
      <c r="B10">
        <f>IF(COUNTIF('Match Log'!$D$4:$D$810,$A10)=0,'Guide &amp; Settings'!$C$41,IFERROR(LOOKUP(2,1/('Match Log'!$D$4:$D$810=$A10),'Match Log'!$N$4:$N$810),'Guide &amp; Settings'!$C$41))</f>
        <v>1241.7029363250533</v>
      </c>
      <c r="C10">
        <f>IFERROR(SUMPRODUCT(INDEX('Head-to-Head'!$B$22:$O$35,9,0),$D$2:$Q$2)/SUM(INDEX('Head-to-Head'!$B$22:$O$35,9,0)),"")</f>
        <v>1092.3933689945125</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1082.4433561101091</v>
      </c>
    </row>
    <row r="12" spans="1:17" ht="15" customHeight="1" x14ac:dyDescent="0.2">
      <c r="A12" t="s">
        <v>25</v>
      </c>
      <c r="B12">
        <f>IF(COUNTIF('Match Log'!$D$4:$D$810,$A12)=0,'Guide &amp; Settings'!$C$41,IFERROR(LOOKUP(2,1/('Match Log'!$D$4:$D$810=$A12),'Match Log'!$N$4:$N$810),'Guide &amp; Settings'!$C$41))</f>
        <v>1054.3366131438215</v>
      </c>
      <c r="C12">
        <f>IFERROR(SUMPRODUCT(INDEX('Head-to-Head'!$B$22:$O$35,11,0),$D$2:$Q$2)/SUM(INDEX('Head-to-Head'!$B$22:$O$35,11,0)),"")</f>
        <v>1094.7285310728248</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1059.3925042232245</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1087.0127217426077</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450</v>
      </c>
      <c r="C1" t="s">
        <v>269</v>
      </c>
      <c r="E1" t="s">
        <v>358</v>
      </c>
    </row>
    <row r="2" spans="1:5" ht="15" customHeight="1" x14ac:dyDescent="0.2">
      <c r="A2" t="s">
        <v>15</v>
      </c>
      <c r="C2" t="s">
        <v>33</v>
      </c>
      <c r="E2" t="s">
        <v>379</v>
      </c>
    </row>
    <row r="3" spans="1:5" ht="15" customHeight="1" x14ac:dyDescent="0.2">
      <c r="A3" t="s">
        <v>16</v>
      </c>
      <c r="C3" t="s">
        <v>34</v>
      </c>
      <c r="E3" t="s">
        <v>380</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2026-08-19T12:16:19Z</dcterms:modified>
  <dc:language>en-US</dc:language>
</cp:coreProperties>
</file>