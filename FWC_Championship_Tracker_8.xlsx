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SECOND BRAIN/02-SHAWN/projects/Family Championships/"/>
    </mc:Choice>
  </mc:AlternateContent>
  <xr:revisionPtr revIDLastSave="0" documentId="13_ncr:1_{A15C9628-C703-BF47-A2B9-3242BBE091BE}" xr6:coauthVersionLast="47" xr6:coauthVersionMax="47" xr10:uidLastSave="{00000000-0000-0000-0000-000000000000}"/>
  <bookViews>
    <workbookView xWindow="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D226" i="11" a="1"/>
  <c r="D226" i="11" s="1"/>
  <c r="C226" i="11"/>
  <c r="B226" i="11"/>
  <c r="X225" i="11"/>
  <c r="D225" i="11" a="1"/>
  <c r="D225" i="11" s="1"/>
  <c r="C225" i="11"/>
  <c r="B225" i="11"/>
  <c r="X224" i="11"/>
  <c r="D224" i="11" a="1"/>
  <c r="D224" i="11" s="1"/>
  <c r="C224" i="11"/>
  <c r="B224" i="11"/>
  <c r="X223" i="11"/>
  <c r="D223" i="11" a="1"/>
  <c r="D223" i="11" s="1"/>
  <c r="C223" i="11"/>
  <c r="B223" i="11"/>
  <c r="X222" i="11"/>
  <c r="D222" i="11" a="1"/>
  <c r="D222" i="11" s="1"/>
  <c r="C222" i="11"/>
  <c r="B222" i="11"/>
  <c r="X221" i="11"/>
  <c r="D221" i="11" a="1"/>
  <c r="D221" i="11" s="1"/>
  <c r="C221" i="11"/>
  <c r="B221" i="11"/>
  <c r="X220" i="11"/>
  <c r="D220" i="11" a="1"/>
  <c r="D220" i="11" s="1"/>
  <c r="C220" i="11"/>
  <c r="B220" i="11"/>
  <c r="X219" i="11"/>
  <c r="D219" i="11" a="1"/>
  <c r="D219" i="11" s="1"/>
  <c r="C219" i="11"/>
  <c r="B219" i="11"/>
  <c r="X218" i="11"/>
  <c r="D218" i="11" a="1"/>
  <c r="D218" i="11" s="1"/>
  <c r="C218" i="11"/>
  <c r="B218" i="11"/>
  <c r="X217" i="11"/>
  <c r="D217" i="11" a="1"/>
  <c r="D217" i="11" s="1"/>
  <c r="C217" i="11"/>
  <c r="B217" i="11"/>
  <c r="X216" i="11"/>
  <c r="D216" i="11" a="1"/>
  <c r="D216" i="11" s="1"/>
  <c r="C216" i="11"/>
  <c r="B216" i="11"/>
  <c r="X215" i="11"/>
  <c r="D215" i="11" a="1"/>
  <c r="D215" i="11" s="1"/>
  <c r="C215" i="11"/>
  <c r="B215" i="11"/>
  <c r="X214" i="11"/>
  <c r="D214" i="11" a="1"/>
  <c r="D214" i="11" s="1"/>
  <c r="C214" i="11"/>
  <c r="B214" i="11"/>
  <c r="X213" i="11"/>
  <c r="D213" i="11" a="1"/>
  <c r="D213" i="11" s="1"/>
  <c r="C213" i="11"/>
  <c r="B213" i="11"/>
  <c r="X212" i="11"/>
  <c r="D212" i="11" a="1"/>
  <c r="D212" i="11" s="1"/>
  <c r="C212" i="11"/>
  <c r="B212" i="11"/>
  <c r="X211" i="11"/>
  <c r="D211" i="11" a="1"/>
  <c r="D211" i="11" s="1"/>
  <c r="C211" i="11"/>
  <c r="B211" i="11"/>
  <c r="X210" i="11"/>
  <c r="D210" i="11" a="1"/>
  <c r="D210" i="11" s="1"/>
  <c r="C210" i="11"/>
  <c r="B210" i="11"/>
  <c r="X209" i="11"/>
  <c r="D209" i="11" a="1"/>
  <c r="D209" i="11" s="1"/>
  <c r="C209" i="11"/>
  <c r="B209" i="11"/>
  <c r="X208" i="11"/>
  <c r="D208" i="11" a="1"/>
  <c r="D208" i="11" s="1"/>
  <c r="C208" i="11"/>
  <c r="B208" i="11"/>
  <c r="X207" i="11"/>
  <c r="D207" i="11" a="1"/>
  <c r="D207" i="11" s="1"/>
  <c r="C207" i="11"/>
  <c r="B207" i="11"/>
  <c r="X206" i="11"/>
  <c r="D206" i="11" a="1"/>
  <c r="D206" i="11" s="1"/>
  <c r="C206" i="11"/>
  <c r="B206" i="11"/>
  <c r="X205" i="11"/>
  <c r="D205" i="11" a="1"/>
  <c r="D205" i="11" s="1"/>
  <c r="C205" i="11"/>
  <c r="B205" i="11"/>
  <c r="X204" i="11"/>
  <c r="D204" i="11" a="1"/>
  <c r="D204" i="11" s="1"/>
  <c r="C204" i="11"/>
  <c r="B204" i="11"/>
  <c r="X203" i="11"/>
  <c r="D203" i="11" a="1"/>
  <c r="D203" i="11" s="1"/>
  <c r="C203" i="11"/>
  <c r="B203" i="11"/>
  <c r="X202" i="11"/>
  <c r="D202" i="11" a="1"/>
  <c r="D202" i="11" s="1"/>
  <c r="C202" i="11"/>
  <c r="B202" i="11"/>
  <c r="X201" i="11"/>
  <c r="D201" i="11" a="1"/>
  <c r="D201" i="11" s="1"/>
  <c r="C201" i="11"/>
  <c r="B201" i="11"/>
  <c r="X200" i="11"/>
  <c r="D200" i="11" a="1"/>
  <c r="D200" i="11" s="1"/>
  <c r="C200" i="11"/>
  <c r="B200" i="11"/>
  <c r="X199" i="11"/>
  <c r="D199" i="11" a="1"/>
  <c r="D199" i="11" s="1"/>
  <c r="C199" i="11"/>
  <c r="B199" i="11"/>
  <c r="X198" i="11"/>
  <c r="D198" i="11" a="1"/>
  <c r="D198" i="11" s="1"/>
  <c r="C198" i="11"/>
  <c r="B198" i="11"/>
  <c r="X197" i="11"/>
  <c r="D197" i="11" a="1"/>
  <c r="D197" i="11" s="1"/>
  <c r="C197" i="11"/>
  <c r="B197" i="11"/>
  <c r="X196" i="11"/>
  <c r="D196" i="11" a="1"/>
  <c r="D196" i="11" s="1"/>
  <c r="C196" i="11"/>
  <c r="B196" i="11"/>
  <c r="X195" i="11"/>
  <c r="D195" i="11" a="1"/>
  <c r="D195" i="11" s="1"/>
  <c r="C195" i="11"/>
  <c r="B195" i="11"/>
  <c r="X194" i="11"/>
  <c r="D194" i="11" a="1"/>
  <c r="D194" i="11" s="1"/>
  <c r="C194" i="11"/>
  <c r="B194" i="11"/>
  <c r="X193" i="11"/>
  <c r="D193" i="11" a="1"/>
  <c r="D193" i="11" s="1"/>
  <c r="C193" i="11"/>
  <c r="B193" i="11"/>
  <c r="X192" i="11"/>
  <c r="D192" i="11" a="1"/>
  <c r="D192" i="11" s="1"/>
  <c r="C192" i="11"/>
  <c r="B192" i="11"/>
  <c r="X191" i="11"/>
  <c r="D191" i="11" a="1"/>
  <c r="D191" i="11" s="1"/>
  <c r="C191" i="11"/>
  <c r="B191" i="11"/>
  <c r="X190" i="11"/>
  <c r="D190" i="11" a="1"/>
  <c r="D190" i="11" s="1"/>
  <c r="C190" i="11"/>
  <c r="B190" i="11"/>
  <c r="X189" i="11"/>
  <c r="D189" i="11" a="1"/>
  <c r="D189" i="11" s="1"/>
  <c r="C189" i="11"/>
  <c r="B189" i="11"/>
  <c r="X188" i="11"/>
  <c r="D188" i="11" a="1"/>
  <c r="D188" i="11" s="1"/>
  <c r="C188" i="11"/>
  <c r="B188" i="11"/>
  <c r="X187" i="11"/>
  <c r="D187" i="11" a="1"/>
  <c r="D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H94" i="11" a="1"/>
  <c r="H94" i="11" s="1"/>
  <c r="D94" i="11" a="1"/>
  <c r="D94" i="11" s="1"/>
  <c r="C94" i="11"/>
  <c r="B94" i="11"/>
  <c r="X93" i="11"/>
  <c r="W93" i="11"/>
  <c r="H93" i="11" a="1"/>
  <c r="H93" i="11" s="1"/>
  <c r="D93" i="11" a="1"/>
  <c r="D93" i="11" s="1"/>
  <c r="C93" i="11"/>
  <c r="B93" i="11"/>
  <c r="X92" i="11"/>
  <c r="W92" i="11"/>
  <c r="D92" i="11" a="1"/>
  <c r="D92" i="11" s="1"/>
  <c r="C92" i="11"/>
  <c r="B92" i="11"/>
  <c r="X91" i="11"/>
  <c r="W91" i="11"/>
  <c r="D91" i="11" a="1"/>
  <c r="D91" i="11" s="1"/>
  <c r="C91" i="11"/>
  <c r="B91" i="11"/>
  <c r="X90" i="11"/>
  <c r="W90" i="11"/>
  <c r="D90" i="11" a="1"/>
  <c r="D90" i="11" s="1"/>
  <c r="C90" i="11"/>
  <c r="B90" i="11"/>
  <c r="X89" i="11"/>
  <c r="W89" i="11"/>
  <c r="D89" i="11" a="1"/>
  <c r="D89" i="11" s="1"/>
  <c r="C89" i="11"/>
  <c r="B89" i="11"/>
  <c r="X88" i="11"/>
  <c r="W88" i="11"/>
  <c r="D88" i="11" a="1"/>
  <c r="D88" i="11" s="1"/>
  <c r="C88" i="11"/>
  <c r="B88" i="11"/>
  <c r="X87" i="11"/>
  <c r="W87" i="11"/>
  <c r="D87" i="11" a="1"/>
  <c r="D87" i="11" s="1"/>
  <c r="C87" i="11"/>
  <c r="B87" i="11"/>
  <c r="X86" i="11"/>
  <c r="W86" i="11"/>
  <c r="D86" i="11" a="1"/>
  <c r="D86" i="11" s="1"/>
  <c r="C86" i="11"/>
  <c r="B86" i="11"/>
  <c r="X85" i="11"/>
  <c r="W85" i="11"/>
  <c r="D85" i="11" a="1"/>
  <c r="D85" i="11" s="1"/>
  <c r="C85" i="11"/>
  <c r="B85" i="11"/>
  <c r="X84" i="11"/>
  <c r="W84" i="11"/>
  <c r="D84" i="11" a="1"/>
  <c r="D84" i="11" s="1"/>
  <c r="C84" i="11"/>
  <c r="B84" i="11"/>
  <c r="X83" i="11"/>
  <c r="W83" i="11"/>
  <c r="D83" i="11" a="1"/>
  <c r="D83" i="11" s="1"/>
  <c r="C83" i="11"/>
  <c r="B83" i="11"/>
  <c r="X82" i="11"/>
  <c r="W82" i="11"/>
  <c r="D82" i="11" a="1"/>
  <c r="D82" i="11" s="1"/>
  <c r="C82" i="11"/>
  <c r="B82" i="11"/>
  <c r="X81" i="11"/>
  <c r="W81" i="11"/>
  <c r="D81" i="11" a="1"/>
  <c r="D81" i="11" s="1"/>
  <c r="C81" i="11"/>
  <c r="B81" i="11"/>
  <c r="X80" i="11"/>
  <c r="W80" i="11"/>
  <c r="D80" i="11" a="1"/>
  <c r="D80" i="11" s="1"/>
  <c r="C80" i="11"/>
  <c r="B80" i="11"/>
  <c r="X79" i="11"/>
  <c r="W79" i="11"/>
  <c r="D79" i="11" a="1"/>
  <c r="D79" i="11" s="1"/>
  <c r="C79" i="11"/>
  <c r="B79" i="11"/>
  <c r="X78" i="11"/>
  <c r="W78" i="11"/>
  <c r="D78" i="11" a="1"/>
  <c r="D78" i="11" s="1"/>
  <c r="C78" i="11"/>
  <c r="B78" i="11"/>
  <c r="X77" i="11"/>
  <c r="W77" i="11"/>
  <c r="L77" i="11"/>
  <c r="D77" i="11" a="1"/>
  <c r="D77" i="11" s="1"/>
  <c r="C77" i="11"/>
  <c r="B77" i="11"/>
  <c r="X76" i="11"/>
  <c r="W76" i="11"/>
  <c r="L76" i="11"/>
  <c r="D76" i="11" a="1"/>
  <c r="D76" i="11" s="1"/>
  <c r="C76" i="11"/>
  <c r="B76" i="11"/>
  <c r="X75" i="11"/>
  <c r="W75" i="11"/>
  <c r="L75" i="11"/>
  <c r="D75" i="11" a="1"/>
  <c r="D75" i="11" s="1"/>
  <c r="C75" i="11"/>
  <c r="B75" i="11"/>
  <c r="X74" i="11"/>
  <c r="W74" i="11"/>
  <c r="L74" i="11"/>
  <c r="D74" i="11" a="1"/>
  <c r="D74" i="11" s="1"/>
  <c r="C74" i="11"/>
  <c r="B74" i="11"/>
  <c r="X73" i="11"/>
  <c r="W73" i="11"/>
  <c r="L73" i="11"/>
  <c r="D73" i="11" a="1"/>
  <c r="D73" i="11" s="1"/>
  <c r="C73" i="11"/>
  <c r="B73" i="11"/>
  <c r="X72" i="11"/>
  <c r="W72" i="11"/>
  <c r="L72" i="11"/>
  <c r="D72" i="11" a="1"/>
  <c r="D72" i="11" s="1"/>
  <c r="C72" i="11"/>
  <c r="B72" i="11"/>
  <c r="X71" i="11"/>
  <c r="W71" i="11"/>
  <c r="L71" i="11"/>
  <c r="D71" i="11" a="1"/>
  <c r="D71" i="11" s="1"/>
  <c r="C71" i="11"/>
  <c r="B71" i="11"/>
  <c r="X70" i="11"/>
  <c r="W70" i="11"/>
  <c r="L70" i="11"/>
  <c r="D70" i="11" a="1"/>
  <c r="D70" i="11" s="1"/>
  <c r="C70" i="11"/>
  <c r="B70" i="11"/>
  <c r="X69" i="11"/>
  <c r="W69" i="11"/>
  <c r="L69" i="11"/>
  <c r="D69" i="11" a="1"/>
  <c r="D69" i="11" s="1"/>
  <c r="C69" i="11"/>
  <c r="B69" i="11"/>
  <c r="X68" i="11"/>
  <c r="W68" i="11"/>
  <c r="L68" i="11"/>
  <c r="D68" i="11" a="1"/>
  <c r="D68" i="11" s="1"/>
  <c r="C68" i="11"/>
  <c r="B68" i="11"/>
  <c r="X67" i="11"/>
  <c r="W67" i="11"/>
  <c r="L67" i="11"/>
  <c r="D67" i="11" a="1"/>
  <c r="D67" i="11" s="1"/>
  <c r="C67" i="11"/>
  <c r="B67" i="11"/>
  <c r="X66" i="11"/>
  <c r="W66" i="11"/>
  <c r="L66" i="11"/>
  <c r="D66" i="11" a="1"/>
  <c r="D66" i="11" s="1"/>
  <c r="C66" i="11"/>
  <c r="B66" i="11"/>
  <c r="X65" i="11"/>
  <c r="W65" i="11"/>
  <c r="L65" i="11"/>
  <c r="D65" i="11" a="1"/>
  <c r="D65" i="11" s="1"/>
  <c r="C65" i="11"/>
  <c r="B65" i="11"/>
  <c r="X64" i="11"/>
  <c r="W64" i="11"/>
  <c r="L64" i="11"/>
  <c r="D64" i="11" a="1"/>
  <c r="D64" i="11" s="1"/>
  <c r="C64" i="11"/>
  <c r="B64" i="11"/>
  <c r="X63" i="11"/>
  <c r="W63" i="11"/>
  <c r="L63" i="11"/>
  <c r="D63" i="11" a="1"/>
  <c r="D63" i="11" s="1"/>
  <c r="C63" i="11"/>
  <c r="B63" i="11"/>
  <c r="X62" i="11"/>
  <c r="W62" i="11"/>
  <c r="L62" i="11"/>
  <c r="D62" i="11" a="1"/>
  <c r="D62" i="11" s="1"/>
  <c r="C62" i="11"/>
  <c r="B62" i="11"/>
  <c r="X61" i="11"/>
  <c r="W61" i="11"/>
  <c r="S61" i="11"/>
  <c r="L61" i="11"/>
  <c r="D61" i="11" a="1"/>
  <c r="D61" i="11" s="1"/>
  <c r="C61" i="11"/>
  <c r="B61" i="11"/>
  <c r="X60" i="11"/>
  <c r="W60" i="11"/>
  <c r="S60" i="11"/>
  <c r="L60" i="11"/>
  <c r="D60" i="11" a="1"/>
  <c r="D60" i="11" s="1"/>
  <c r="C60" i="11"/>
  <c r="B60" i="11"/>
  <c r="X59" i="11"/>
  <c r="W59" i="11"/>
  <c r="S59" i="11"/>
  <c r="L59" i="11"/>
  <c r="D59" i="11" a="1"/>
  <c r="D59" i="11" s="1"/>
  <c r="C59" i="11"/>
  <c r="B59" i="11"/>
  <c r="X58" i="11"/>
  <c r="W58" i="11"/>
  <c r="S58" i="11"/>
  <c r="L58" i="11"/>
  <c r="D58" i="11" a="1"/>
  <c r="D58" i="11" s="1"/>
  <c r="C58" i="11"/>
  <c r="B58" i="11"/>
  <c r="X57" i="11"/>
  <c r="W57" i="11"/>
  <c r="S57" i="11"/>
  <c r="L57" i="11"/>
  <c r="D57" i="11" a="1"/>
  <c r="D57" i="11" s="1"/>
  <c r="C57" i="11"/>
  <c r="B57" i="11"/>
  <c r="X56" i="11"/>
  <c r="W56" i="11"/>
  <c r="S56" i="11"/>
  <c r="L56" i="11"/>
  <c r="D56" i="11" a="1"/>
  <c r="D56" i="11" s="1"/>
  <c r="C56" i="11"/>
  <c r="B56" i="11"/>
  <c r="X55" i="11"/>
  <c r="W55" i="11"/>
  <c r="S55" i="11"/>
  <c r="L55" i="11"/>
  <c r="D55" i="11" a="1"/>
  <c r="D55" i="11" s="1"/>
  <c r="C55" i="11"/>
  <c r="B55" i="11"/>
  <c r="X54" i="11"/>
  <c r="W54" i="11"/>
  <c r="S54" i="11"/>
  <c r="L54" i="11"/>
  <c r="D54" i="11" a="1"/>
  <c r="D54" i="11" s="1"/>
  <c r="C54" i="11"/>
  <c r="B54" i="11"/>
  <c r="X53" i="11"/>
  <c r="W53" i="11"/>
  <c r="S53" i="11"/>
  <c r="L53" i="11"/>
  <c r="D53" i="11" a="1"/>
  <c r="D53" i="11" s="1"/>
  <c r="C53" i="11"/>
  <c r="B53" i="11"/>
  <c r="X52" i="11"/>
  <c r="W52" i="11"/>
  <c r="S52" i="11"/>
  <c r="L52" i="11"/>
  <c r="D52" i="11" a="1"/>
  <c r="D52" i="11" s="1"/>
  <c r="C52" i="11"/>
  <c r="B52" i="11"/>
  <c r="X51" i="11"/>
  <c r="W51" i="11"/>
  <c r="S51" i="11"/>
  <c r="L51" i="11"/>
  <c r="D51" i="11" a="1"/>
  <c r="D51" i="11" s="1"/>
  <c r="C51" i="11"/>
  <c r="B51" i="11"/>
  <c r="X50" i="11"/>
  <c r="W50" i="11"/>
  <c r="S50" i="11"/>
  <c r="L50" i="11"/>
  <c r="D50" i="11" a="1"/>
  <c r="D50" i="11" s="1"/>
  <c r="C50" i="11"/>
  <c r="B50" i="11"/>
  <c r="X49" i="11"/>
  <c r="W49" i="11"/>
  <c r="S49" i="11"/>
  <c r="L49" i="11"/>
  <c r="D49" i="11" a="1"/>
  <c r="D49" i="11" s="1"/>
  <c r="C49" i="11"/>
  <c r="B49" i="11"/>
  <c r="X48" i="11"/>
  <c r="W48" i="11"/>
  <c r="S48" i="11"/>
  <c r="L48" i="11"/>
  <c r="D48" i="11" a="1"/>
  <c r="D48" i="11" s="1"/>
  <c r="C48" i="11"/>
  <c r="B48" i="11"/>
  <c r="X47" i="11"/>
  <c r="W47" i="11"/>
  <c r="S47" i="11"/>
  <c r="L47" i="11"/>
  <c r="D47" i="11" a="1"/>
  <c r="D47" i="11" s="1"/>
  <c r="C47" i="11"/>
  <c r="B47" i="11"/>
  <c r="X46" i="11"/>
  <c r="W46" i="11"/>
  <c r="S46" i="11"/>
  <c r="L46" i="11"/>
  <c r="D46" i="11" a="1"/>
  <c r="D46" i="11" s="1"/>
  <c r="C46" i="11"/>
  <c r="B46" i="11"/>
  <c r="X45" i="11"/>
  <c r="W45" i="11"/>
  <c r="S45" i="11"/>
  <c r="L45" i="11"/>
  <c r="D45" i="11" a="1"/>
  <c r="D45" i="11" s="1"/>
  <c r="C45" i="11"/>
  <c r="B45" i="11"/>
  <c r="X44" i="11"/>
  <c r="W44" i="11"/>
  <c r="S44" i="11"/>
  <c r="L44" i="11"/>
  <c r="D44" i="11" a="1"/>
  <c r="D44" i="11" s="1"/>
  <c r="C44" i="11"/>
  <c r="B44" i="11"/>
  <c r="X43" i="11"/>
  <c r="W43" i="11"/>
  <c r="S43" i="11"/>
  <c r="L43" i="11"/>
  <c r="D43" i="11" a="1"/>
  <c r="D43" i="11" s="1"/>
  <c r="C43" i="11"/>
  <c r="B43" i="11"/>
  <c r="X42" i="11"/>
  <c r="W42" i="11"/>
  <c r="S42" i="11"/>
  <c r="L42" i="11"/>
  <c r="D42" i="11" a="1"/>
  <c r="D42" i="11" s="1"/>
  <c r="C42" i="11"/>
  <c r="B42" i="11"/>
  <c r="X41" i="11"/>
  <c r="W41" i="11"/>
  <c r="S41" i="11"/>
  <c r="L41" i="11"/>
  <c r="D41" i="11" a="1"/>
  <c r="D41" i="11" s="1"/>
  <c r="C41" i="11"/>
  <c r="B41" i="11"/>
  <c r="X40" i="11"/>
  <c r="W40" i="11"/>
  <c r="S40" i="11"/>
  <c r="L40" i="11"/>
  <c r="D40" i="11" a="1"/>
  <c r="D40" i="11" s="1"/>
  <c r="C40" i="11"/>
  <c r="B40" i="11"/>
  <c r="X39" i="11"/>
  <c r="W39" i="11"/>
  <c r="S39" i="11"/>
  <c r="L39" i="11"/>
  <c r="D39" i="11" a="1"/>
  <c r="D39" i="11" s="1"/>
  <c r="C39" i="11"/>
  <c r="B39" i="11"/>
  <c r="X38" i="11"/>
  <c r="W38" i="11"/>
  <c r="S38" i="11"/>
  <c r="L38" i="11"/>
  <c r="D38" i="11" a="1"/>
  <c r="D38" i="11" s="1"/>
  <c r="C38" i="11"/>
  <c r="B38" i="11"/>
  <c r="X37" i="11"/>
  <c r="W37" i="11"/>
  <c r="S37" i="11"/>
  <c r="L37" i="11"/>
  <c r="D37" i="11" a="1"/>
  <c r="D37" i="11" s="1"/>
  <c r="C37" i="11"/>
  <c r="B37" i="11"/>
  <c r="X36" i="11"/>
  <c r="W36" i="11"/>
  <c r="S36" i="11"/>
  <c r="L36" i="11"/>
  <c r="D36" i="11" a="1"/>
  <c r="D36" i="11" s="1"/>
  <c r="C36" i="11"/>
  <c r="B36" i="11"/>
  <c r="X35" i="11"/>
  <c r="W35" i="11"/>
  <c r="S35" i="11"/>
  <c r="L35" i="11"/>
  <c r="D35" i="11" a="1"/>
  <c r="D35" i="11" s="1"/>
  <c r="C35" i="11"/>
  <c r="B35" i="11"/>
  <c r="X34" i="11"/>
  <c r="W34" i="11"/>
  <c r="S34" i="11"/>
  <c r="L34" i="11"/>
  <c r="D34" i="11" a="1"/>
  <c r="D34" i="11" s="1"/>
  <c r="C34" i="11"/>
  <c r="B34" i="11"/>
  <c r="X33" i="11"/>
  <c r="W33" i="11"/>
  <c r="S33" i="11"/>
  <c r="L33" i="11"/>
  <c r="D33" i="11" a="1"/>
  <c r="D33" i="11" s="1"/>
  <c r="C33" i="11"/>
  <c r="B33" i="11"/>
  <c r="X32" i="11"/>
  <c r="W32" i="11"/>
  <c r="S32" i="11"/>
  <c r="L32" i="11"/>
  <c r="D32" i="11" a="1"/>
  <c r="D32" i="11" s="1"/>
  <c r="C32" i="11"/>
  <c r="B32" i="11"/>
  <c r="X31" i="11"/>
  <c r="W31" i="11"/>
  <c r="S31" i="11"/>
  <c r="L31" i="11"/>
  <c r="D31" i="11" a="1"/>
  <c r="D31" i="11" s="1"/>
  <c r="C31" i="11"/>
  <c r="B31" i="11"/>
  <c r="X30" i="11"/>
  <c r="W30" i="11"/>
  <c r="S30" i="11"/>
  <c r="L30" i="11"/>
  <c r="D30" i="11" a="1"/>
  <c r="D30" i="11" s="1"/>
  <c r="C30" i="11"/>
  <c r="B30" i="11"/>
  <c r="X29" i="11"/>
  <c r="W29" i="11"/>
  <c r="S29" i="11"/>
  <c r="L29" i="11"/>
  <c r="D29" i="11" a="1"/>
  <c r="D29" i="11" s="1"/>
  <c r="C29" i="11"/>
  <c r="B29" i="11"/>
  <c r="X28" i="11"/>
  <c r="W28" i="11"/>
  <c r="S28" i="11"/>
  <c r="L28" i="11"/>
  <c r="D28" i="11" a="1"/>
  <c r="D28" i="11" s="1"/>
  <c r="C28" i="11"/>
  <c r="B28" i="11"/>
  <c r="X27" i="11"/>
  <c r="W27" i="11"/>
  <c r="S27" i="11"/>
  <c r="L27" i="11"/>
  <c r="D27" i="11" a="1"/>
  <c r="D27" i="11" s="1"/>
  <c r="C27" i="11"/>
  <c r="B27" i="11"/>
  <c r="X26" i="11"/>
  <c r="W26" i="11"/>
  <c r="S26" i="11"/>
  <c r="L26" i="11"/>
  <c r="D26" i="11" a="1"/>
  <c r="D26" i="11" s="1"/>
  <c r="C26" i="11"/>
  <c r="B26" i="11"/>
  <c r="X25" i="11"/>
  <c r="W25" i="11"/>
  <c r="S25" i="11"/>
  <c r="R25" i="11"/>
  <c r="Q25" i="11"/>
  <c r="N25" i="11"/>
  <c r="M25" i="11"/>
  <c r="L25" i="11"/>
  <c r="K25" i="11"/>
  <c r="D25" i="11" a="1"/>
  <c r="D25" i="11" s="1"/>
  <c r="C25" i="11"/>
  <c r="B25" i="11"/>
  <c r="U20" i="11"/>
  <c r="P20" i="11"/>
  <c r="Q20" i="11" s="1"/>
  <c r="I20" i="11"/>
  <c r="N20" i="11" s="1"/>
  <c r="Z20" i="11" s="1"/>
  <c r="F20" i="11"/>
  <c r="O20" i="11" s="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L25" i="15"/>
  <c r="K25" i="15"/>
  <c r="J25" i="15"/>
  <c r="I25" i="15"/>
  <c r="H25" i="15"/>
  <c r="G25" i="15"/>
  <c r="F25" i="15"/>
  <c r="N24" i="15"/>
  <c r="L24" i="15"/>
  <c r="K24" i="15"/>
  <c r="J24" i="15"/>
  <c r="I24" i="15"/>
  <c r="H24" i="15"/>
  <c r="G24" i="15"/>
  <c r="F24" i="15"/>
  <c r="N23" i="15"/>
  <c r="L23" i="15"/>
  <c r="K23" i="15"/>
  <c r="J23" i="15"/>
  <c r="I23" i="15"/>
  <c r="H23" i="15"/>
  <c r="G23" i="15"/>
  <c r="F23" i="15"/>
  <c r="N22" i="15"/>
  <c r="G22" i="15"/>
  <c r="F22" i="15"/>
  <c r="N21" i="15"/>
  <c r="O21" i="15" s="1"/>
  <c r="G21" i="15"/>
  <c r="F21" i="15"/>
  <c r="N20" i="15"/>
  <c r="O20" i="15" s="1"/>
  <c r="G20" i="15"/>
  <c r="F20" i="15"/>
  <c r="N19" i="15"/>
  <c r="O19" i="15" s="1"/>
  <c r="G19" i="15"/>
  <c r="F19" i="15"/>
  <c r="N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E122" i="6"/>
  <c r="D122" i="6"/>
  <c r="C122" i="6"/>
  <c r="B122" i="6"/>
  <c r="O121" i="6"/>
  <c r="N121" i="6"/>
  <c r="M121" i="6"/>
  <c r="L121" i="6"/>
  <c r="K121" i="6"/>
  <c r="J121" i="6"/>
  <c r="H121" i="6"/>
  <c r="E121" i="6"/>
  <c r="D121" i="6"/>
  <c r="C121" i="6"/>
  <c r="B121" i="6"/>
  <c r="O120" i="6"/>
  <c r="N120" i="6"/>
  <c r="M120" i="6"/>
  <c r="L120" i="6"/>
  <c r="K120" i="6"/>
  <c r="H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E116" i="6"/>
  <c r="C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G24" i="6"/>
  <c r="F24" i="6"/>
  <c r="E24" i="6"/>
  <c r="E74" i="6" s="1"/>
  <c r="R61" i="8" s="1"/>
  <c r="D24" i="6"/>
  <c r="C24" i="6"/>
  <c r="C74" i="6" s="1"/>
  <c r="R59" i="8" s="1"/>
  <c r="B24" i="6"/>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M12" i="6"/>
  <c r="L12" i="6"/>
  <c r="K12" i="6"/>
  <c r="J12" i="6"/>
  <c r="I12" i="6"/>
  <c r="H12" i="6"/>
  <c r="G12" i="6"/>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B27" i="4"/>
  <c r="F26" i="4"/>
  <c r="E26" i="4"/>
  <c r="F25" i="4"/>
  <c r="E25" i="4"/>
  <c r="F24" i="4"/>
  <c r="E24" i="4"/>
  <c r="H24" i="4" s="1"/>
  <c r="F23" i="4"/>
  <c r="E23" i="4"/>
  <c r="F22" i="4"/>
  <c r="E22" i="4"/>
  <c r="F21" i="4"/>
  <c r="E21" i="4"/>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T469" i="9"/>
  <c r="R469" i="9"/>
  <c r="O469" i="9"/>
  <c r="G469" i="9"/>
  <c r="F469" i="9"/>
  <c r="L469" i="9" s="1"/>
  <c r="AC468" i="9"/>
  <c r="T468" i="9"/>
  <c r="R468" i="9"/>
  <c r="O468" i="9"/>
  <c r="G468" i="9"/>
  <c r="F468" i="9"/>
  <c r="E226" i="11" s="1"/>
  <c r="H226" i="11" s="1" a="1"/>
  <c r="H226" i="11" s="1"/>
  <c r="AC467" i="9"/>
  <c r="T467" i="9"/>
  <c r="R467" i="9"/>
  <c r="O467" i="9"/>
  <c r="G467" i="9"/>
  <c r="F467" i="9"/>
  <c r="L467" i="9" s="1"/>
  <c r="AC466" i="9"/>
  <c r="T466" i="9"/>
  <c r="R466" i="9"/>
  <c r="O466" i="9"/>
  <c r="G466" i="9"/>
  <c r="F466" i="9"/>
  <c r="E225" i="11" s="1"/>
  <c r="H225" i="11" s="1" a="1"/>
  <c r="H225" i="11" s="1"/>
  <c r="AC465" i="9"/>
  <c r="T465" i="9"/>
  <c r="R465" i="9"/>
  <c r="O465" i="9"/>
  <c r="G465" i="9"/>
  <c r="F465" i="9"/>
  <c r="L465" i="9" s="1"/>
  <c r="AC464" i="9"/>
  <c r="T464" i="9"/>
  <c r="R464" i="9"/>
  <c r="O464" i="9"/>
  <c r="G464" i="9"/>
  <c r="F464" i="9"/>
  <c r="E224" i="11" s="1"/>
  <c r="H224" i="11" s="1" a="1"/>
  <c r="H224" i="11" s="1"/>
  <c r="AC463" i="9"/>
  <c r="T463" i="9"/>
  <c r="R463" i="9"/>
  <c r="O463" i="9"/>
  <c r="G463" i="9"/>
  <c r="F463" i="9"/>
  <c r="L463" i="9" s="1"/>
  <c r="AC462" i="9"/>
  <c r="T462" i="9"/>
  <c r="R462" i="9"/>
  <c r="O462" i="9"/>
  <c r="G462" i="9"/>
  <c r="F462" i="9"/>
  <c r="E223" i="11" s="1"/>
  <c r="H223" i="11" s="1" a="1"/>
  <c r="H223" i="11" s="1"/>
  <c r="AC461" i="9"/>
  <c r="T461" i="9"/>
  <c r="R461" i="9"/>
  <c r="O461" i="9"/>
  <c r="G461" i="9"/>
  <c r="F461" i="9"/>
  <c r="L461" i="9" s="1"/>
  <c r="AC460" i="9"/>
  <c r="T460" i="9"/>
  <c r="R460" i="9"/>
  <c r="O460" i="9"/>
  <c r="G460" i="9"/>
  <c r="F460" i="9"/>
  <c r="E222" i="11" s="1"/>
  <c r="H222" i="11" s="1" a="1"/>
  <c r="H222" i="11" s="1"/>
  <c r="AC459" i="9"/>
  <c r="T459" i="9"/>
  <c r="R459" i="9"/>
  <c r="O459" i="9"/>
  <c r="G459" i="9"/>
  <c r="F459" i="9"/>
  <c r="L459" i="9" s="1"/>
  <c r="AC458" i="9"/>
  <c r="U458" i="9"/>
  <c r="T458" i="9"/>
  <c r="R458" i="9"/>
  <c r="O458" i="9"/>
  <c r="G458" i="9"/>
  <c r="F458" i="9"/>
  <c r="E221" i="11" s="1"/>
  <c r="H221" i="11" s="1" a="1"/>
  <c r="H221" i="11" s="1"/>
  <c r="AC457" i="9"/>
  <c r="T457" i="9"/>
  <c r="R457" i="9"/>
  <c r="O457" i="9"/>
  <c r="G457" i="9"/>
  <c r="F457" i="9"/>
  <c r="L457" i="9" s="1"/>
  <c r="AC456" i="9"/>
  <c r="U456" i="9"/>
  <c r="Y457" i="9" s="1"/>
  <c r="T456" i="9"/>
  <c r="R456" i="9"/>
  <c r="O456" i="9"/>
  <c r="G456" i="9"/>
  <c r="F456" i="9"/>
  <c r="E220" i="11" s="1"/>
  <c r="H220" i="11" s="1" a="1"/>
  <c r="H220" i="11" s="1"/>
  <c r="AC455" i="9"/>
  <c r="T455" i="9"/>
  <c r="R455" i="9"/>
  <c r="O455" i="9"/>
  <c r="G455" i="9"/>
  <c r="F455" i="9"/>
  <c r="L455" i="9" s="1"/>
  <c r="AC454" i="9"/>
  <c r="T454" i="9"/>
  <c r="R454" i="9"/>
  <c r="O454" i="9"/>
  <c r="G454" i="9"/>
  <c r="F454" i="9"/>
  <c r="E219" i="11" s="1"/>
  <c r="H219" i="11" s="1" a="1"/>
  <c r="H219" i="11" s="1"/>
  <c r="AC453" i="9"/>
  <c r="T453" i="9"/>
  <c r="R453" i="9"/>
  <c r="O453" i="9"/>
  <c r="G453" i="9"/>
  <c r="F453" i="9"/>
  <c r="L453" i="9" s="1"/>
  <c r="AC452" i="9"/>
  <c r="U452" i="9"/>
  <c r="T452" i="9"/>
  <c r="R452" i="9"/>
  <c r="O452" i="9"/>
  <c r="G452" i="9"/>
  <c r="F452" i="9"/>
  <c r="E218" i="11" s="1"/>
  <c r="H218" i="11" s="1" a="1"/>
  <c r="H218" i="11" s="1"/>
  <c r="AC451" i="9"/>
  <c r="T451" i="9"/>
  <c r="R451" i="9"/>
  <c r="O451" i="9"/>
  <c r="G451" i="9"/>
  <c r="F451" i="9"/>
  <c r="L451" i="9" s="1"/>
  <c r="AC450" i="9"/>
  <c r="U450" i="9"/>
  <c r="Y450" i="9" s="1"/>
  <c r="T450" i="9"/>
  <c r="R450" i="9"/>
  <c r="O450" i="9"/>
  <c r="G450" i="9"/>
  <c r="F450" i="9"/>
  <c r="E217" i="11" s="1"/>
  <c r="H217" i="11" s="1" a="1"/>
  <c r="H217" i="11" s="1"/>
  <c r="AC449" i="9"/>
  <c r="T449" i="9"/>
  <c r="R449" i="9"/>
  <c r="O449" i="9"/>
  <c r="G449" i="9"/>
  <c r="F449" i="9"/>
  <c r="L449" i="9" s="1"/>
  <c r="AC448" i="9"/>
  <c r="U448" i="9"/>
  <c r="Y448" i="9" s="1"/>
  <c r="T448" i="9"/>
  <c r="R448" i="9"/>
  <c r="O448" i="9"/>
  <c r="G448" i="9"/>
  <c r="F448" i="9"/>
  <c r="E216" i="11" s="1"/>
  <c r="H216" i="11" s="1" a="1"/>
  <c r="H216" i="11" s="1"/>
  <c r="AC447" i="9"/>
  <c r="T447" i="9"/>
  <c r="R447" i="9"/>
  <c r="O447" i="9"/>
  <c r="G447" i="9"/>
  <c r="F447" i="9"/>
  <c r="L447" i="9" s="1"/>
  <c r="AC446" i="9"/>
  <c r="T446" i="9"/>
  <c r="R446" i="9"/>
  <c r="O446" i="9"/>
  <c r="G446" i="9"/>
  <c r="F446" i="9"/>
  <c r="E215" i="11" s="1"/>
  <c r="H215" i="11" s="1" a="1"/>
  <c r="H215" i="11" s="1"/>
  <c r="AC445" i="9"/>
  <c r="T445" i="9"/>
  <c r="R445" i="9"/>
  <c r="O445" i="9"/>
  <c r="G445" i="9"/>
  <c r="F445" i="9"/>
  <c r="L445" i="9" s="1"/>
  <c r="AC444" i="9"/>
  <c r="T444" i="9"/>
  <c r="R444" i="9"/>
  <c r="O444" i="9"/>
  <c r="G444" i="9"/>
  <c r="F444" i="9"/>
  <c r="L444" i="9" s="1"/>
  <c r="AC443" i="9"/>
  <c r="T443" i="9"/>
  <c r="R443" i="9"/>
  <c r="O443" i="9"/>
  <c r="G443" i="9"/>
  <c r="F443" i="9"/>
  <c r="E214" i="11" s="1"/>
  <c r="H214" i="11" s="1" a="1"/>
  <c r="H214" i="11" s="1"/>
  <c r="AC442" i="9"/>
  <c r="T442" i="9"/>
  <c r="R442" i="9"/>
  <c r="O442" i="9"/>
  <c r="G442" i="9"/>
  <c r="F442" i="9"/>
  <c r="L442" i="9" s="1"/>
  <c r="AC441" i="9"/>
  <c r="T441" i="9"/>
  <c r="R441" i="9"/>
  <c r="O441" i="9"/>
  <c r="G441" i="9"/>
  <c r="F441" i="9"/>
  <c r="L441" i="9" s="1"/>
  <c r="AC440" i="9"/>
  <c r="T440" i="9"/>
  <c r="R440" i="9"/>
  <c r="O440" i="9"/>
  <c r="G440" i="9"/>
  <c r="F440" i="9"/>
  <c r="E213" i="11" s="1"/>
  <c r="H213" i="11" s="1" a="1"/>
  <c r="H213" i="11" s="1"/>
  <c r="AC439" i="9"/>
  <c r="T439" i="9"/>
  <c r="R439" i="9"/>
  <c r="O439" i="9"/>
  <c r="G439" i="9"/>
  <c r="F439" i="9"/>
  <c r="L439" i="9" s="1"/>
  <c r="AC438" i="9"/>
  <c r="T438" i="9"/>
  <c r="R438" i="9"/>
  <c r="O438" i="9"/>
  <c r="G438" i="9"/>
  <c r="F438" i="9"/>
  <c r="L438" i="9" s="1"/>
  <c r="AC437" i="9"/>
  <c r="T437" i="9"/>
  <c r="R437" i="9"/>
  <c r="O437" i="9"/>
  <c r="G437" i="9"/>
  <c r="F437" i="9"/>
  <c r="E212" i="11" s="1"/>
  <c r="H212" i="11" s="1" a="1"/>
  <c r="H212" i="11" s="1"/>
  <c r="AC436" i="9"/>
  <c r="T436" i="9"/>
  <c r="R436" i="9"/>
  <c r="O436" i="9"/>
  <c r="G436" i="9"/>
  <c r="F436" i="9"/>
  <c r="L436" i="9" s="1"/>
  <c r="AC435" i="9"/>
  <c r="T435" i="9"/>
  <c r="R435" i="9"/>
  <c r="O435" i="9"/>
  <c r="G435" i="9"/>
  <c r="F435" i="9"/>
  <c r="E211" i="11" s="1"/>
  <c r="H211" i="11" s="1" a="1"/>
  <c r="H211" i="11" s="1"/>
  <c r="AC434" i="9"/>
  <c r="T434" i="9"/>
  <c r="R434" i="9"/>
  <c r="O434" i="9"/>
  <c r="G434" i="9"/>
  <c r="F434" i="9"/>
  <c r="L434" i="9" s="1"/>
  <c r="AC433" i="9"/>
  <c r="T433" i="9"/>
  <c r="R433" i="9"/>
  <c r="O433" i="9"/>
  <c r="G433" i="9"/>
  <c r="F433" i="9"/>
  <c r="E210" i="11" s="1"/>
  <c r="H210" i="11" s="1" a="1"/>
  <c r="H210" i="11" s="1"/>
  <c r="AC432" i="9"/>
  <c r="T432" i="9"/>
  <c r="R432" i="9"/>
  <c r="O432" i="9"/>
  <c r="G432" i="9"/>
  <c r="F432" i="9"/>
  <c r="L432" i="9" s="1"/>
  <c r="AC431" i="9"/>
  <c r="T431" i="9"/>
  <c r="R431" i="9"/>
  <c r="O431" i="9"/>
  <c r="G431" i="9"/>
  <c r="F431" i="9"/>
  <c r="E209" i="11" s="1"/>
  <c r="H209" i="11" s="1" a="1"/>
  <c r="H209" i="11" s="1"/>
  <c r="AC430" i="9"/>
  <c r="T430" i="9"/>
  <c r="R430" i="9"/>
  <c r="O430" i="9"/>
  <c r="G430" i="9"/>
  <c r="F430" i="9"/>
  <c r="L430" i="9" s="1"/>
  <c r="AC429" i="9"/>
  <c r="T429" i="9"/>
  <c r="R429" i="9"/>
  <c r="O429" i="9"/>
  <c r="G429" i="9"/>
  <c r="F429" i="9"/>
  <c r="E208" i="11" s="1"/>
  <c r="H208" i="11" s="1" a="1"/>
  <c r="H208" i="11" s="1"/>
  <c r="AC428" i="9"/>
  <c r="T428" i="9"/>
  <c r="R428" i="9"/>
  <c r="O428" i="9"/>
  <c r="G428" i="9"/>
  <c r="F428" i="9"/>
  <c r="L428" i="9" s="1"/>
  <c r="AC427" i="9"/>
  <c r="T427" i="9"/>
  <c r="R427" i="9"/>
  <c r="O427" i="9"/>
  <c r="G427" i="9"/>
  <c r="F427" i="9"/>
  <c r="E207" i="11" s="1"/>
  <c r="H207" i="11" s="1" a="1"/>
  <c r="H207" i="11" s="1"/>
  <c r="AC426" i="9"/>
  <c r="T426" i="9"/>
  <c r="R426" i="9"/>
  <c r="O426" i="9"/>
  <c r="G426" i="9"/>
  <c r="F426" i="9"/>
  <c r="L426" i="9" s="1"/>
  <c r="AC425" i="9"/>
  <c r="T425" i="9"/>
  <c r="R425" i="9"/>
  <c r="O425" i="9"/>
  <c r="G425" i="9"/>
  <c r="F425" i="9"/>
  <c r="E206" i="11" s="1"/>
  <c r="H206" i="11" s="1" a="1"/>
  <c r="H206" i="11" s="1"/>
  <c r="AC424" i="9"/>
  <c r="T424" i="9"/>
  <c r="R424" i="9"/>
  <c r="O424" i="9"/>
  <c r="G424" i="9"/>
  <c r="F424" i="9"/>
  <c r="L424" i="9" s="1"/>
  <c r="AC423" i="9"/>
  <c r="U423" i="9"/>
  <c r="T423" i="9"/>
  <c r="R423" i="9"/>
  <c r="O423" i="9"/>
  <c r="G423" i="9"/>
  <c r="F423" i="9"/>
  <c r="L423" i="9" s="1"/>
  <c r="AC422" i="9"/>
  <c r="T422" i="9"/>
  <c r="R422" i="9"/>
  <c r="O422" i="9"/>
  <c r="G422" i="9"/>
  <c r="F422" i="9"/>
  <c r="L422" i="9" s="1"/>
  <c r="AC421" i="9"/>
  <c r="U421" i="9"/>
  <c r="T421" i="9"/>
  <c r="R421" i="9"/>
  <c r="O421" i="9"/>
  <c r="G421" i="9"/>
  <c r="F421" i="9"/>
  <c r="L421" i="9" s="1"/>
  <c r="AC420" i="9"/>
  <c r="U420" i="9"/>
  <c r="T420" i="9"/>
  <c r="R420" i="9"/>
  <c r="O420" i="9"/>
  <c r="G420" i="9"/>
  <c r="F420" i="9"/>
  <c r="E205" i="11" s="1"/>
  <c r="H205" i="11" s="1" a="1"/>
  <c r="H205" i="11" s="1"/>
  <c r="AC419" i="9"/>
  <c r="T419" i="9"/>
  <c r="R419" i="9"/>
  <c r="O419" i="9"/>
  <c r="G419" i="9"/>
  <c r="F419" i="9"/>
  <c r="AC418" i="9"/>
  <c r="T418" i="9"/>
  <c r="R418" i="9"/>
  <c r="O418" i="9"/>
  <c r="G418" i="9"/>
  <c r="F418" i="9"/>
  <c r="L418" i="9" s="1"/>
  <c r="AC417" i="9"/>
  <c r="T417" i="9"/>
  <c r="R417" i="9"/>
  <c r="O417" i="9"/>
  <c r="G417" i="9"/>
  <c r="F417" i="9"/>
  <c r="L417" i="9" s="1"/>
  <c r="AC416" i="9"/>
  <c r="T416" i="9"/>
  <c r="R416" i="9"/>
  <c r="O416" i="9"/>
  <c r="G416" i="9"/>
  <c r="F416" i="9"/>
  <c r="E203" i="11" s="1"/>
  <c r="H203" i="11" s="1" a="1"/>
  <c r="H203" i="11" s="1"/>
  <c r="AC415" i="9"/>
  <c r="T415" i="9"/>
  <c r="R415" i="9"/>
  <c r="O415" i="9"/>
  <c r="G415" i="9"/>
  <c r="F415" i="9"/>
  <c r="L415" i="9" s="1"/>
  <c r="AC414" i="9"/>
  <c r="T414" i="9"/>
  <c r="R414" i="9"/>
  <c r="O414" i="9"/>
  <c r="G414" i="9"/>
  <c r="F414" i="9"/>
  <c r="E202" i="11" s="1"/>
  <c r="H202" i="11" s="1" a="1"/>
  <c r="H202" i="11" s="1"/>
  <c r="AC413" i="9"/>
  <c r="T413" i="9"/>
  <c r="R413" i="9"/>
  <c r="O413" i="9"/>
  <c r="G413" i="9"/>
  <c r="F413" i="9"/>
  <c r="L413" i="9" s="1"/>
  <c r="AC412" i="9"/>
  <c r="T412" i="9"/>
  <c r="R412" i="9"/>
  <c r="O412" i="9"/>
  <c r="G412" i="9"/>
  <c r="F412" i="9"/>
  <c r="E201" i="11" s="1"/>
  <c r="H201" i="11" s="1" a="1"/>
  <c r="H201" i="11" s="1"/>
  <c r="AC411" i="9"/>
  <c r="U411" i="9"/>
  <c r="T411" i="9"/>
  <c r="R411" i="9"/>
  <c r="O411" i="9"/>
  <c r="G411" i="9"/>
  <c r="F411" i="9"/>
  <c r="L411" i="9" s="1"/>
  <c r="AC410" i="9"/>
  <c r="U410" i="9"/>
  <c r="Y410" i="9" s="1"/>
  <c r="T410" i="9"/>
  <c r="R410" i="9"/>
  <c r="O410" i="9"/>
  <c r="G410" i="9"/>
  <c r="F410" i="9"/>
  <c r="E200" i="11" s="1"/>
  <c r="H200" i="11" s="1" a="1"/>
  <c r="H200" i="11" s="1"/>
  <c r="AC409" i="9"/>
  <c r="T409" i="9"/>
  <c r="R409" i="9"/>
  <c r="O409" i="9"/>
  <c r="G409" i="9"/>
  <c r="F409" i="9"/>
  <c r="L409" i="9" s="1"/>
  <c r="AC408" i="9"/>
  <c r="T408" i="9"/>
  <c r="R408" i="9"/>
  <c r="O408" i="9"/>
  <c r="G408" i="9"/>
  <c r="F408" i="9"/>
  <c r="E199" i="11" s="1"/>
  <c r="H199" i="11" s="1" a="1"/>
  <c r="H199" i="11" s="1"/>
  <c r="AC407" i="9"/>
  <c r="T407" i="9"/>
  <c r="R407" i="9"/>
  <c r="O407" i="9"/>
  <c r="G407" i="9"/>
  <c r="F407" i="9"/>
  <c r="L407" i="9" s="1"/>
  <c r="AC406" i="9"/>
  <c r="T406" i="9"/>
  <c r="R406" i="9"/>
  <c r="O406" i="9"/>
  <c r="G406" i="9"/>
  <c r="F406" i="9"/>
  <c r="E198" i="11" s="1"/>
  <c r="H198" i="11" s="1" a="1"/>
  <c r="H198" i="11" s="1"/>
  <c r="AC405" i="9"/>
  <c r="T405" i="9"/>
  <c r="R405" i="9"/>
  <c r="O405" i="9"/>
  <c r="G405" i="9"/>
  <c r="F405" i="9"/>
  <c r="L405" i="9" s="1"/>
  <c r="AC404" i="9"/>
  <c r="T404" i="9"/>
  <c r="R404" i="9"/>
  <c r="O404" i="9"/>
  <c r="G404" i="9"/>
  <c r="F404" i="9"/>
  <c r="E197" i="11" s="1"/>
  <c r="H197" i="11" s="1" a="1"/>
  <c r="H197" i="11" s="1"/>
  <c r="AC403" i="9"/>
  <c r="T403" i="9"/>
  <c r="R403" i="9"/>
  <c r="O403" i="9"/>
  <c r="G403" i="9"/>
  <c r="F403" i="9"/>
  <c r="L403" i="9" s="1"/>
  <c r="AC402" i="9"/>
  <c r="T402" i="9"/>
  <c r="R402" i="9"/>
  <c r="O402" i="9"/>
  <c r="G402" i="9"/>
  <c r="F402" i="9"/>
  <c r="E196" i="11" s="1"/>
  <c r="H196" i="11" s="1" a="1"/>
  <c r="H196" i="11" s="1"/>
  <c r="AC401" i="9"/>
  <c r="T401" i="9"/>
  <c r="R401" i="9"/>
  <c r="O401" i="9"/>
  <c r="G401" i="9"/>
  <c r="F401" i="9"/>
  <c r="L401" i="9" s="1"/>
  <c r="AC400" i="9"/>
  <c r="T400" i="9"/>
  <c r="R400" i="9"/>
  <c r="O400" i="9"/>
  <c r="G400" i="9"/>
  <c r="F400" i="9"/>
  <c r="L400" i="9" s="1"/>
  <c r="AC399" i="9"/>
  <c r="T399" i="9"/>
  <c r="R399" i="9"/>
  <c r="O399" i="9"/>
  <c r="G399" i="9"/>
  <c r="F399" i="9"/>
  <c r="E195" i="11" s="1"/>
  <c r="H195" i="11" s="1" a="1"/>
  <c r="H195" i="11" s="1"/>
  <c r="AC398" i="9"/>
  <c r="T398" i="9"/>
  <c r="R398" i="9"/>
  <c r="O398" i="9"/>
  <c r="G398" i="9"/>
  <c r="F398" i="9"/>
  <c r="L398" i="9" s="1"/>
  <c r="AC397" i="9"/>
  <c r="T397" i="9"/>
  <c r="R397" i="9"/>
  <c r="O397" i="9"/>
  <c r="G397" i="9"/>
  <c r="F397" i="9"/>
  <c r="L397" i="9" s="1"/>
  <c r="AC396" i="9"/>
  <c r="T396" i="9"/>
  <c r="R396" i="9"/>
  <c r="O396" i="9"/>
  <c r="G396" i="9"/>
  <c r="F396" i="9"/>
  <c r="E194" i="11" s="1"/>
  <c r="H194" i="11" s="1" a="1"/>
  <c r="H194" i="11" s="1"/>
  <c r="AC395" i="9"/>
  <c r="T395" i="9"/>
  <c r="R395" i="9"/>
  <c r="O395" i="9"/>
  <c r="G395" i="9"/>
  <c r="F395" i="9"/>
  <c r="L395" i="9" s="1"/>
  <c r="AC394" i="9"/>
  <c r="T394" i="9"/>
  <c r="R394" i="9"/>
  <c r="O394" i="9"/>
  <c r="G394" i="9"/>
  <c r="F394" i="9"/>
  <c r="L394" i="9" s="1"/>
  <c r="AC393" i="9"/>
  <c r="T393" i="9"/>
  <c r="R393" i="9"/>
  <c r="O393" i="9"/>
  <c r="G393" i="9"/>
  <c r="F393" i="9"/>
  <c r="E193" i="11" s="1"/>
  <c r="H193" i="11" s="1" a="1"/>
  <c r="H193" i="11" s="1"/>
  <c r="AC392" i="9"/>
  <c r="T392" i="9"/>
  <c r="R392" i="9"/>
  <c r="O392" i="9"/>
  <c r="G392" i="9"/>
  <c r="F392" i="9"/>
  <c r="L392" i="9" s="1"/>
  <c r="AC391" i="9"/>
  <c r="T391" i="9"/>
  <c r="R391" i="9"/>
  <c r="O391" i="9"/>
  <c r="G391" i="9"/>
  <c r="F391" i="9"/>
  <c r="E192" i="11" s="1"/>
  <c r="H192" i="11" s="1" a="1"/>
  <c r="H192" i="11" s="1"/>
  <c r="AC390" i="9"/>
  <c r="T390" i="9"/>
  <c r="R390" i="9"/>
  <c r="O390" i="9"/>
  <c r="G390" i="9"/>
  <c r="F390" i="9"/>
  <c r="L390" i="9" s="1"/>
  <c r="AC389" i="9"/>
  <c r="T389" i="9"/>
  <c r="R389" i="9"/>
  <c r="O389" i="9"/>
  <c r="G389" i="9"/>
  <c r="F389" i="9"/>
  <c r="E191" i="11" s="1"/>
  <c r="H191" i="11" s="1" a="1"/>
  <c r="H191" i="11" s="1"/>
  <c r="AC388" i="9"/>
  <c r="T388" i="9"/>
  <c r="R388" i="9"/>
  <c r="O388" i="9"/>
  <c r="G388" i="9"/>
  <c r="F388" i="9"/>
  <c r="L388" i="9" s="1"/>
  <c r="AC387" i="9"/>
  <c r="T387" i="9"/>
  <c r="R387" i="9"/>
  <c r="O387" i="9"/>
  <c r="G387" i="9"/>
  <c r="F387" i="9"/>
  <c r="E190" i="11" s="1"/>
  <c r="H190" i="11" s="1" a="1"/>
  <c r="H190" i="11" s="1"/>
  <c r="AC386" i="9"/>
  <c r="T386" i="9"/>
  <c r="R386" i="9"/>
  <c r="O386" i="9"/>
  <c r="G386" i="9"/>
  <c r="F386" i="9"/>
  <c r="L386" i="9" s="1"/>
  <c r="AC385" i="9"/>
  <c r="T385" i="9"/>
  <c r="R385" i="9"/>
  <c r="O385" i="9"/>
  <c r="G385" i="9"/>
  <c r="F385" i="9"/>
  <c r="E189" i="11" s="1"/>
  <c r="H189" i="11" s="1" a="1"/>
  <c r="H189" i="11" s="1"/>
  <c r="AC384" i="9"/>
  <c r="T384" i="9"/>
  <c r="R384" i="9"/>
  <c r="O384" i="9"/>
  <c r="G384" i="9"/>
  <c r="F384" i="9"/>
  <c r="L384" i="9" s="1"/>
  <c r="AC383" i="9"/>
  <c r="T383" i="9"/>
  <c r="R383" i="9"/>
  <c r="O383" i="9"/>
  <c r="G383" i="9"/>
  <c r="F383" i="9"/>
  <c r="E188" i="11" s="1"/>
  <c r="H188" i="11" s="1" a="1"/>
  <c r="H188" i="11" s="1"/>
  <c r="AC382" i="9"/>
  <c r="T382" i="9"/>
  <c r="R382" i="9"/>
  <c r="O382" i="9"/>
  <c r="G382" i="9"/>
  <c r="F382" i="9"/>
  <c r="L382" i="9" s="1"/>
  <c r="AC381" i="9"/>
  <c r="T381" i="9"/>
  <c r="R381" i="9"/>
  <c r="O381" i="9"/>
  <c r="G381" i="9"/>
  <c r="F381" i="9"/>
  <c r="E187" i="11" s="1"/>
  <c r="H187" i="11" s="1" a="1"/>
  <c r="H187" i="11" s="1"/>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S469" i="9" l="1"/>
  <c r="I469" i="9" s="1"/>
  <c r="K469" i="9" s="1"/>
  <c r="L468" i="9"/>
  <c r="S468" i="9"/>
  <c r="I468" i="9" s="1"/>
  <c r="S467" i="9"/>
  <c r="I467" i="9" s="1"/>
  <c r="K467" i="9" s="1"/>
  <c r="L466" i="9"/>
  <c r="S466" i="9"/>
  <c r="I466" i="9" s="1"/>
  <c r="K466" i="9" s="1"/>
  <c r="S464" i="9"/>
  <c r="I464" i="9" s="1"/>
  <c r="K464" i="9" s="1"/>
  <c r="S465" i="9"/>
  <c r="I465" i="9" s="1"/>
  <c r="L464" i="9"/>
  <c r="G27" i="4"/>
  <c r="S462" i="9"/>
  <c r="I462" i="9" s="1"/>
  <c r="K462" i="9" s="1"/>
  <c r="S463" i="9"/>
  <c r="I463" i="9" s="1"/>
  <c r="L462" i="9"/>
  <c r="S460" i="9"/>
  <c r="I460" i="9" s="1"/>
  <c r="S461" i="9"/>
  <c r="I461" i="9" s="1"/>
  <c r="K461" i="9" s="1"/>
  <c r="L460" i="9"/>
  <c r="S458" i="9"/>
  <c r="I458" i="9" s="1"/>
  <c r="K458" i="9" s="1"/>
  <c r="S459" i="9"/>
  <c r="I459" i="9" s="1"/>
  <c r="G79" i="6"/>
  <c r="W63" i="8" s="1"/>
  <c r="L458" i="9"/>
  <c r="G80" i="6"/>
  <c r="X63" i="8" s="1"/>
  <c r="S456" i="9"/>
  <c r="I456" i="9" s="1"/>
  <c r="K456" i="9" s="1"/>
  <c r="Y456" i="9"/>
  <c r="Z456" i="9" s="1"/>
  <c r="L456" i="9"/>
  <c r="S457" i="9"/>
  <c r="I457" i="9" s="1"/>
  <c r="K457" i="9" s="1"/>
  <c r="S454" i="9"/>
  <c r="I454" i="9" s="1"/>
  <c r="S455" i="9"/>
  <c r="I455" i="9" s="1"/>
  <c r="K455" i="9" s="1"/>
  <c r="L454" i="9"/>
  <c r="S453" i="9"/>
  <c r="I453" i="9" s="1"/>
  <c r="L452" i="9"/>
  <c r="G62" i="6"/>
  <c r="F63" i="8" s="1"/>
  <c r="G78" i="6"/>
  <c r="V63" i="8" s="1"/>
  <c r="S452" i="9"/>
  <c r="I452" i="9" s="1"/>
  <c r="K452" i="9" s="1"/>
  <c r="Y451" i="9"/>
  <c r="S451" i="9"/>
  <c r="I451" i="9" s="1"/>
  <c r="K451" i="9" s="1"/>
  <c r="L450" i="9"/>
  <c r="S450" i="9"/>
  <c r="I450" i="9" s="1"/>
  <c r="Z450" i="9"/>
  <c r="Y449" i="9"/>
  <c r="B20" i="11"/>
  <c r="S448" i="9"/>
  <c r="I448" i="9" s="1"/>
  <c r="S449" i="9"/>
  <c r="I449" i="9" s="1"/>
  <c r="K449" i="9" s="1"/>
  <c r="Z448" i="9"/>
  <c r="L448" i="9"/>
  <c r="F71" i="6"/>
  <c r="O62" i="8" s="1"/>
  <c r="S446" i="9"/>
  <c r="I446" i="9" s="1"/>
  <c r="K446" i="9" s="1"/>
  <c r="S447" i="9"/>
  <c r="I447" i="9" s="1"/>
  <c r="K447" i="9" s="1"/>
  <c r="L446" i="9"/>
  <c r="S443" i="9"/>
  <c r="I443" i="9" s="1"/>
  <c r="K443" i="9" s="1"/>
  <c r="S445" i="9"/>
  <c r="I445" i="9" s="1"/>
  <c r="K445" i="9" s="1"/>
  <c r="L443" i="9"/>
  <c r="S444" i="9"/>
  <c r="I444" i="9" s="1"/>
  <c r="S442" i="9"/>
  <c r="I442" i="9" s="1"/>
  <c r="K442" i="9" s="1"/>
  <c r="S440" i="9"/>
  <c r="I440" i="9" s="1"/>
  <c r="K440" i="9" s="1"/>
  <c r="S441" i="9"/>
  <c r="I441" i="9" s="1"/>
  <c r="L440" i="9"/>
  <c r="S439" i="9"/>
  <c r="I439" i="9" s="1"/>
  <c r="K439" i="9" s="1"/>
  <c r="S438" i="9"/>
  <c r="I438" i="9" s="1"/>
  <c r="K438" i="9" s="1"/>
  <c r="L437" i="9"/>
  <c r="S437" i="9"/>
  <c r="I437" i="9" s="1"/>
  <c r="S436" i="9"/>
  <c r="I436" i="9" s="1"/>
  <c r="K436" i="9" s="1"/>
  <c r="L435" i="9"/>
  <c r="S435" i="9"/>
  <c r="I435" i="9" s="1"/>
  <c r="S431" i="9"/>
  <c r="I431" i="9" s="1"/>
  <c r="K431" i="9" s="1"/>
  <c r="L433" i="9"/>
  <c r="S433" i="9"/>
  <c r="I433" i="9" s="1"/>
  <c r="K433" i="9" s="1"/>
  <c r="S434" i="9"/>
  <c r="I434" i="9" s="1"/>
  <c r="S429" i="9"/>
  <c r="I429" i="9" s="1"/>
  <c r="K429" i="9" s="1"/>
  <c r="L431" i="9"/>
  <c r="S432" i="9"/>
  <c r="I432" i="9" s="1"/>
  <c r="S427" i="9"/>
  <c r="I427" i="9" s="1"/>
  <c r="K427" i="9" s="1"/>
  <c r="L429" i="9"/>
  <c r="S430" i="9"/>
  <c r="I430" i="9" s="1"/>
  <c r="K430" i="9" s="1"/>
  <c r="S425" i="9"/>
  <c r="I425" i="9" s="1"/>
  <c r="K425" i="9" s="1"/>
  <c r="S428" i="9"/>
  <c r="I428" i="9" s="1"/>
  <c r="K428" i="9" s="1"/>
  <c r="L427" i="9"/>
  <c r="S426" i="9"/>
  <c r="I426" i="9" s="1"/>
  <c r="L425" i="9"/>
  <c r="S419" i="9"/>
  <c r="I419" i="9" s="1"/>
  <c r="K419" i="9" s="1"/>
  <c r="S422" i="9"/>
  <c r="I422" i="9" s="1"/>
  <c r="K422" i="9" s="1"/>
  <c r="S423" i="9"/>
  <c r="I423" i="9" s="1"/>
  <c r="K423" i="9" s="1"/>
  <c r="S424" i="9"/>
  <c r="I424" i="9" s="1"/>
  <c r="H74" i="6"/>
  <c r="R64" i="8" s="1"/>
  <c r="G74" i="6"/>
  <c r="R63" i="8" s="1"/>
  <c r="S420" i="9"/>
  <c r="I420" i="9" s="1"/>
  <c r="K420" i="9" s="1"/>
  <c r="B74" i="6"/>
  <c r="R58" i="8" s="1"/>
  <c r="S421" i="9"/>
  <c r="I421" i="9" s="1"/>
  <c r="K421" i="9" s="1"/>
  <c r="L420" i="9"/>
  <c r="I22" i="15"/>
  <c r="H21" i="15"/>
  <c r="H20" i="15"/>
  <c r="H22" i="15"/>
  <c r="H19" i="15"/>
  <c r="I21" i="15"/>
  <c r="I20" i="15"/>
  <c r="H18" i="15"/>
  <c r="I19" i="15"/>
  <c r="I18" i="15"/>
  <c r="S418" i="9"/>
  <c r="I418" i="9" s="1"/>
  <c r="K418" i="9" s="1"/>
  <c r="E204" i="11"/>
  <c r="H204" i="11" s="1" a="1"/>
  <c r="H204" i="11" s="1"/>
  <c r="S417" i="9"/>
  <c r="I417" i="9" s="1"/>
  <c r="K417" i="9" s="1"/>
  <c r="L419" i="9"/>
  <c r="S416" i="9"/>
  <c r="I416" i="9" s="1"/>
  <c r="L416" i="9"/>
  <c r="S415" i="9"/>
  <c r="I415" i="9" s="1"/>
  <c r="K415" i="9" s="1"/>
  <c r="S414" i="9"/>
  <c r="I414" i="9" s="1"/>
  <c r="L414" i="9"/>
  <c r="S413" i="9"/>
  <c r="I413" i="9" s="1"/>
  <c r="K413" i="9" s="1"/>
  <c r="S412" i="9"/>
  <c r="I412" i="9" s="1"/>
  <c r="S410" i="9"/>
  <c r="I410" i="9" s="1"/>
  <c r="K410" i="9" s="1"/>
  <c r="L412" i="9"/>
  <c r="Y411" i="9"/>
  <c r="Z411" i="9" s="1"/>
  <c r="Z410" i="9"/>
  <c r="M62" i="6"/>
  <c r="F69" i="8" s="1"/>
  <c r="N62" i="6"/>
  <c r="F70" i="8" s="1"/>
  <c r="S411" i="9"/>
  <c r="I411" i="9" s="1"/>
  <c r="K411" i="9" s="1"/>
  <c r="L410" i="9"/>
  <c r="S409" i="9"/>
  <c r="I409" i="9" s="1"/>
  <c r="K409" i="9" s="1"/>
  <c r="S408" i="9"/>
  <c r="I408" i="9" s="1"/>
  <c r="S405" i="9"/>
  <c r="I405" i="9" s="1"/>
  <c r="K405" i="9" s="1"/>
  <c r="L408" i="9"/>
  <c r="S407" i="9"/>
  <c r="I407" i="9" s="1"/>
  <c r="S406" i="9"/>
  <c r="I406" i="9" s="1"/>
  <c r="K406" i="9" s="1"/>
  <c r="L406" i="9"/>
  <c r="S402" i="9"/>
  <c r="I402" i="9" s="1"/>
  <c r="K402" i="9" s="1"/>
  <c r="S403" i="9"/>
  <c r="I403" i="9" s="1"/>
  <c r="S404" i="9"/>
  <c r="I404" i="9" s="1"/>
  <c r="L404" i="9"/>
  <c r="L402" i="9"/>
  <c r="S399" i="9"/>
  <c r="I399" i="9" s="1"/>
  <c r="S401" i="9"/>
  <c r="I401" i="9" s="1"/>
  <c r="K401" i="9" s="1"/>
  <c r="S400" i="9"/>
  <c r="I400" i="9" s="1"/>
  <c r="K400" i="9" s="1"/>
  <c r="L399" i="9"/>
  <c r="S397" i="9"/>
  <c r="I397" i="9" s="1"/>
  <c r="K397" i="9" s="1"/>
  <c r="S398" i="9"/>
  <c r="I398" i="9" s="1"/>
  <c r="S396" i="9"/>
  <c r="I396" i="9" s="1"/>
  <c r="K396" i="9" s="1"/>
  <c r="L396" i="9"/>
  <c r="S394" i="9"/>
  <c r="I394" i="9" s="1"/>
  <c r="K394" i="9" s="1"/>
  <c r="L393" i="9"/>
  <c r="S395" i="9"/>
  <c r="I395" i="9" s="1"/>
  <c r="K395" i="9" s="1"/>
  <c r="S393" i="9"/>
  <c r="I393" i="9" s="1"/>
  <c r="S391" i="9"/>
  <c r="I391" i="9" s="1"/>
  <c r="K391" i="9" s="1"/>
  <c r="S392" i="9"/>
  <c r="I392" i="9" s="1"/>
  <c r="L391" i="9"/>
  <c r="S390" i="9"/>
  <c r="I390" i="9" s="1"/>
  <c r="S389" i="9"/>
  <c r="I389" i="9" s="1"/>
  <c r="K389" i="9" s="1"/>
  <c r="L389" i="9"/>
  <c r="L387" i="9"/>
  <c r="S387" i="9"/>
  <c r="I387" i="9" s="1"/>
  <c r="K387" i="9" s="1"/>
  <c r="S388" i="9"/>
  <c r="I388" i="9" s="1"/>
  <c r="S384" i="9"/>
  <c r="I384" i="9" s="1"/>
  <c r="K384" i="9" s="1"/>
  <c r="S385" i="9"/>
  <c r="I385" i="9" s="1"/>
  <c r="K385" i="9" s="1"/>
  <c r="S386" i="9"/>
  <c r="I386" i="9" s="1"/>
  <c r="L385" i="9"/>
  <c r="S383" i="9"/>
  <c r="I383" i="9" s="1"/>
  <c r="K383" i="9" s="1"/>
  <c r="L383" i="9"/>
  <c r="S381" i="9"/>
  <c r="I381" i="9" s="1"/>
  <c r="K381" i="9" s="1"/>
  <c r="S382" i="9"/>
  <c r="I382" i="9" s="1"/>
  <c r="L381" i="9"/>
  <c r="Y378" i="9"/>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K93" i="9" s="1"/>
  <c r="S41" i="9"/>
  <c r="I41" i="9" s="1"/>
  <c r="K41" i="9" s="1"/>
  <c r="S19" i="9"/>
  <c r="I19" i="9" s="1"/>
  <c r="K19" i="9" s="1"/>
  <c r="Z30" i="9"/>
  <c r="AA29" i="9" s="1"/>
  <c r="AB29" i="9" s="1"/>
  <c r="U31" i="9" s="1"/>
  <c r="Y14" i="9"/>
  <c r="Z14" i="9" s="1"/>
  <c r="AA14" i="9" s="1"/>
  <c r="AB14" i="9" s="1"/>
  <c r="D105" i="6" s="1"/>
  <c r="Z23" i="9"/>
  <c r="AA23" i="9" s="1"/>
  <c r="AB23" i="9" s="1"/>
  <c r="U25" i="9" s="1"/>
  <c r="S90" i="9"/>
  <c r="I90" i="9" s="1"/>
  <c r="K90" i="9" s="1"/>
  <c r="S28" i="9"/>
  <c r="I28" i="9" s="1"/>
  <c r="K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F66" i="11" s="1"/>
  <c r="S107" i="9"/>
  <c r="I107" i="9" s="1"/>
  <c r="K107" i="9" s="1"/>
  <c r="D27" i="8"/>
  <c r="L196" i="9"/>
  <c r="S244" i="9"/>
  <c r="I244" i="9" s="1"/>
  <c r="F122" i="11" s="1"/>
  <c r="G122" i="11" s="1"/>
  <c r="I122" i="11" s="1"/>
  <c r="Y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F67" i="11"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K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B32" i="7"/>
  <c r="S150" i="9"/>
  <c r="I150" i="9" s="1"/>
  <c r="K150" i="9" s="1"/>
  <c r="L200" i="9"/>
  <c r="Z225" i="9"/>
  <c r="AA225" i="9" s="1"/>
  <c r="AB225" i="9" s="1"/>
  <c r="U239" i="9" s="1"/>
  <c r="S266" i="9"/>
  <c r="I266" i="9" s="1"/>
  <c r="F133" i="11" s="1"/>
  <c r="L324" i="9"/>
  <c r="L331" i="9"/>
  <c r="S340" i="9"/>
  <c r="I340" i="9" s="1"/>
  <c r="F169" i="11" s="1"/>
  <c r="G169" i="11" s="1"/>
  <c r="I169" i="11" s="1"/>
  <c r="Y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L62" i="9"/>
  <c r="L5" i="9"/>
  <c r="S66" i="9"/>
  <c r="I66" i="9" s="1"/>
  <c r="K66" i="9" s="1"/>
  <c r="S65" i="9"/>
  <c r="I65" i="9" s="1"/>
  <c r="F65" i="11"/>
  <c r="L14" i="9"/>
  <c r="F57" i="11"/>
  <c r="G57" i="11" s="1"/>
  <c r="I57" i="11" s="1"/>
  <c r="Y57" i="11" s="1"/>
  <c r="K97" i="9"/>
  <c r="E46" i="11"/>
  <c r="H46" i="11" s="1" a="1"/>
  <c r="H46" i="11" s="1"/>
  <c r="L53"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G7" i="11"/>
  <c r="H7" i="11" s="1"/>
  <c r="E29" i="8"/>
  <c r="F29" i="8" s="1"/>
  <c r="D29" i="8"/>
  <c r="H58" i="6"/>
  <c r="B64" i="8" s="1"/>
  <c r="O9" i="11"/>
  <c r="I58" i="6"/>
  <c r="B65" i="8" s="1"/>
  <c r="G8" i="11"/>
  <c r="H8" i="11" s="1"/>
  <c r="V13"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360" i="11"/>
  <c r="Y353" i="11"/>
  <c r="Y273" i="11"/>
  <c r="Y241" i="11"/>
  <c r="Y396" i="11"/>
  <c r="Y429" i="11"/>
  <c r="Y412" i="11"/>
  <c r="Y286" i="11"/>
  <c r="Y247" i="11"/>
  <c r="Y243" i="11"/>
  <c r="Y235" i="11"/>
  <c r="Y401" i="11"/>
  <c r="Y385" i="11"/>
  <c r="Y365" i="11"/>
  <c r="Y284" i="11"/>
  <c r="Y275" i="11"/>
  <c r="Y417" i="11"/>
  <c r="Y380" i="11"/>
  <c r="Y367" i="11"/>
  <c r="Y350" i="11"/>
  <c r="Y279" i="11"/>
  <c r="Y398" i="11"/>
  <c r="Y319" i="11"/>
  <c r="Y317" i="11"/>
  <c r="Y414" i="11"/>
  <c r="Y335" i="11"/>
  <c r="Y333" i="11"/>
  <c r="Y312" i="11"/>
  <c r="Y301" i="11"/>
  <c r="Y255" i="11"/>
  <c r="Y382" i="11"/>
  <c r="Y328" i="11"/>
  <c r="Y257" i="11"/>
  <c r="Y253" i="11"/>
  <c r="Y369" i="11"/>
  <c r="Y305" i="11"/>
  <c r="Y296" i="11"/>
  <c r="Y240" i="11"/>
  <c r="Y238" i="11"/>
  <c r="Y376" i="11"/>
  <c r="Y364" i="11"/>
  <c r="Y347" i="11"/>
  <c r="Y321" i="11"/>
  <c r="Y287" i="11"/>
  <c r="Y263" i="11"/>
  <c r="Y259" i="11"/>
  <c r="Y228" i="11"/>
  <c r="Y379" i="11"/>
  <c r="Y344" i="11"/>
  <c r="Y337" i="11"/>
  <c r="Y285" i="11"/>
  <c r="Y248" i="11"/>
  <c r="Y244" i="11"/>
  <c r="Y236" i="11"/>
  <c r="Y397" i="11"/>
  <c r="Y371" i="11"/>
  <c r="Y356" i="11"/>
  <c r="Y349" i="11"/>
  <c r="Y413" i="11"/>
  <c r="Y366" i="11"/>
  <c r="Y351" i="11"/>
  <c r="Y323" i="11"/>
  <c r="Y289" i="11"/>
  <c r="Y280" i="11"/>
  <c r="Y339" i="11"/>
  <c r="Y271" i="11"/>
  <c r="Y427" i="11"/>
  <c r="Y399" i="11"/>
  <c r="Y381" i="11"/>
  <c r="Y302" i="11"/>
  <c r="Y269" i="11"/>
  <c r="AG20" i="11"/>
  <c r="AG19" i="11"/>
  <c r="Y76" i="11"/>
  <c r="AH15" i="11"/>
  <c r="AH7" i="11"/>
  <c r="AH13" i="11"/>
  <c r="AH14" i="11"/>
  <c r="Q40" i="10"/>
  <c r="V20" i="11"/>
  <c r="P49" i="10"/>
  <c r="R49" i="10" s="1"/>
  <c r="G111" i="11"/>
  <c r="I111" i="11" s="1"/>
  <c r="Y111" i="11" s="1"/>
  <c r="Y332" i="11"/>
  <c r="Y260" i="11"/>
  <c r="Y270" i="11"/>
  <c r="Y294" i="11"/>
  <c r="Y387" i="11"/>
  <c r="Y230" i="11"/>
  <c r="Y267" i="11"/>
  <c r="Y316" i="11"/>
  <c r="Y340" i="11"/>
  <c r="Y250" i="11"/>
  <c r="Y264" i="11"/>
  <c r="Y326" i="11"/>
  <c r="Y237" i="11"/>
  <c r="Y299" i="11"/>
  <c r="Y303" i="11"/>
  <c r="Y411" i="11"/>
  <c r="Y278" i="11"/>
  <c r="Y227" i="11"/>
  <c r="Y254" i="11"/>
  <c r="Y268" i="11"/>
  <c r="Y310" i="11"/>
  <c r="Y348" i="11"/>
  <c r="Y355" i="11"/>
  <c r="Y231" i="11"/>
  <c r="Y262" i="11"/>
  <c r="Y292" i="11"/>
  <c r="Y295" i="11"/>
  <c r="Y307" i="11"/>
  <c r="Y324" i="11"/>
  <c r="Y334" i="11"/>
  <c r="Y251" i="11"/>
  <c r="Y395" i="11"/>
  <c r="Y308" i="11"/>
  <c r="Y331" i="11"/>
  <c r="Y232" i="11"/>
  <c r="Y276" i="11"/>
  <c r="Y246" i="11"/>
  <c r="Y283" i="11"/>
  <c r="Y403"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468" i="9" l="1"/>
  <c r="F226" i="11"/>
  <c r="G226" i="11" s="1"/>
  <c r="I226" i="11" s="1"/>
  <c r="Y226" i="11" s="1"/>
  <c r="F225" i="11"/>
  <c r="G225" i="11" s="1"/>
  <c r="I225" i="11" s="1"/>
  <c r="Y225" i="11" s="1"/>
  <c r="K465" i="9"/>
  <c r="F224" i="11"/>
  <c r="G224" i="11" s="1"/>
  <c r="I224" i="11" s="1"/>
  <c r="Y224" i="11" s="1"/>
  <c r="G70" i="11"/>
  <c r="I70" i="11" s="1"/>
  <c r="Y70" i="11" s="1"/>
  <c r="K463" i="9"/>
  <c r="F223" i="11"/>
  <c r="G223" i="11" s="1"/>
  <c r="I223" i="11" s="1"/>
  <c r="Y223" i="11" s="1"/>
  <c r="K460" i="9"/>
  <c r="F222" i="11"/>
  <c r="G222" i="11" s="1"/>
  <c r="I222" i="11" s="1"/>
  <c r="Y222" i="11" s="1"/>
  <c r="F220" i="11"/>
  <c r="G220" i="11" s="1"/>
  <c r="I220" i="11" s="1"/>
  <c r="Y220" i="11" s="1"/>
  <c r="K459" i="9"/>
  <c r="F221" i="11"/>
  <c r="G221" i="11" s="1"/>
  <c r="I221" i="11" s="1"/>
  <c r="Y221" i="11" s="1"/>
  <c r="K266" i="9"/>
  <c r="U459" i="9"/>
  <c r="K454" i="9"/>
  <c r="F219" i="11"/>
  <c r="G219" i="11" s="1"/>
  <c r="I219" i="11" s="1"/>
  <c r="Y219" i="11" s="1"/>
  <c r="K453" i="9"/>
  <c r="F218" i="11"/>
  <c r="G218" i="11" s="1"/>
  <c r="I218" i="11" s="1"/>
  <c r="Y218" i="11" s="1"/>
  <c r="K450" i="9"/>
  <c r="F217" i="11"/>
  <c r="G217" i="11" s="1"/>
  <c r="I217" i="11" s="1"/>
  <c r="Y217" i="11" s="1"/>
  <c r="K448" i="9"/>
  <c r="F216" i="11"/>
  <c r="G216" i="11" s="1"/>
  <c r="I216" i="11" s="1"/>
  <c r="Y216" i="11" s="1"/>
  <c r="F215" i="11"/>
  <c r="G215" i="11" s="1"/>
  <c r="I215" i="11" s="1"/>
  <c r="Y215" i="11" s="1"/>
  <c r="K444" i="9"/>
  <c r="F214" i="11"/>
  <c r="G214" i="11" s="1"/>
  <c r="I214" i="11" s="1"/>
  <c r="Y214" i="11" s="1"/>
  <c r="K441" i="9"/>
  <c r="F213" i="11"/>
  <c r="G213" i="11" s="1"/>
  <c r="I213" i="11" s="1"/>
  <c r="Y213" i="11" s="1"/>
  <c r="K437" i="9"/>
  <c r="F212" i="11"/>
  <c r="G212" i="11" s="1"/>
  <c r="I212" i="11" s="1"/>
  <c r="Y212" i="11" s="1"/>
  <c r="K435" i="9"/>
  <c r="F211" i="11"/>
  <c r="G211" i="11" s="1"/>
  <c r="I211" i="11" s="1"/>
  <c r="Y211" i="11" s="1"/>
  <c r="F207" i="11"/>
  <c r="G207" i="11" s="1"/>
  <c r="I207" i="11" s="1"/>
  <c r="Y207" i="11" s="1"/>
  <c r="F208" i="11"/>
  <c r="G208" i="11" s="1"/>
  <c r="I208" i="11" s="1"/>
  <c r="Y208" i="11" s="1"/>
  <c r="K434" i="9"/>
  <c r="F210" i="11"/>
  <c r="G210" i="11" s="1"/>
  <c r="I210" i="11" s="1"/>
  <c r="Y210" i="11" s="1"/>
  <c r="K432" i="9"/>
  <c r="F209" i="11"/>
  <c r="G209" i="11" s="1"/>
  <c r="I209" i="11" s="1"/>
  <c r="Y209" i="11" s="1"/>
  <c r="K426" i="9"/>
  <c r="F206" i="11"/>
  <c r="G206" i="11" s="1"/>
  <c r="I206" i="11" s="1"/>
  <c r="Y206" i="11" s="1"/>
  <c r="AA4" i="9"/>
  <c r="AB4" i="9" s="1"/>
  <c r="F108" i="6" s="1"/>
  <c r="K424" i="9"/>
  <c r="F205" i="11"/>
  <c r="G205" i="11" s="1"/>
  <c r="I205" i="11" s="1"/>
  <c r="Y205" i="11" s="1"/>
  <c r="J22" i="15"/>
  <c r="K22" i="15" s="1"/>
  <c r="O22" i="15" s="1"/>
  <c r="J20" i="15"/>
  <c r="K20" i="15" s="1"/>
  <c r="O25" i="15" s="1"/>
  <c r="J21" i="15"/>
  <c r="K21" i="15" s="1"/>
  <c r="O24" i="15" s="1"/>
  <c r="J19" i="15"/>
  <c r="K19" i="15" s="1"/>
  <c r="O18" i="15" s="1"/>
  <c r="J18" i="15"/>
  <c r="K18" i="15" s="1"/>
  <c r="F204" i="11"/>
  <c r="G204" i="11" s="1"/>
  <c r="I204" i="11" s="1"/>
  <c r="Y204" i="11" s="1"/>
  <c r="T30" i="11"/>
  <c r="T28" i="11"/>
  <c r="T26" i="11"/>
  <c r="T33" i="11"/>
  <c r="T31" i="11"/>
  <c r="T29" i="11"/>
  <c r="T27" i="11"/>
  <c r="T25" i="11"/>
  <c r="T32" i="11"/>
  <c r="V91" i="11"/>
  <c r="V83" i="11"/>
  <c r="V73" i="11"/>
  <c r="V66" i="11"/>
  <c r="V28" i="11"/>
  <c r="V88" i="11"/>
  <c r="V80" i="11"/>
  <c r="V75" i="11"/>
  <c r="V93" i="11"/>
  <c r="V68" i="11"/>
  <c r="V26" i="11"/>
  <c r="V85" i="11"/>
  <c r="V77" i="11"/>
  <c r="V61" i="11"/>
  <c r="V59" i="11"/>
  <c r="V57" i="11"/>
  <c r="V55" i="11"/>
  <c r="V53" i="11"/>
  <c r="V51" i="11"/>
  <c r="V49" i="11"/>
  <c r="V47" i="11"/>
  <c r="V45" i="11"/>
  <c r="V43" i="11"/>
  <c r="V41" i="11"/>
  <c r="V39" i="11"/>
  <c r="V37" i="11"/>
  <c r="V35" i="11"/>
  <c r="V33" i="11"/>
  <c r="V70" i="11"/>
  <c r="V90" i="11"/>
  <c r="V82" i="11"/>
  <c r="V63" i="11"/>
  <c r="V31" i="11"/>
  <c r="V72" i="11"/>
  <c r="V87" i="11"/>
  <c r="V79" i="11"/>
  <c r="V65" i="11"/>
  <c r="V29" i="11"/>
  <c r="V74" i="11"/>
  <c r="V92" i="11"/>
  <c r="V84" i="11"/>
  <c r="V67" i="11"/>
  <c r="V27" i="11"/>
  <c r="V76" i="11"/>
  <c r="V94" i="11"/>
  <c r="V89" i="11"/>
  <c r="V81" i="11"/>
  <c r="V69" i="11"/>
  <c r="V60" i="11"/>
  <c r="V58" i="11"/>
  <c r="V56" i="11"/>
  <c r="V54" i="11"/>
  <c r="V52" i="11"/>
  <c r="V50" i="11"/>
  <c r="V48" i="11"/>
  <c r="V46" i="11"/>
  <c r="V44" i="11"/>
  <c r="V42" i="11"/>
  <c r="V40" i="11"/>
  <c r="V38" i="11"/>
  <c r="V36" i="11"/>
  <c r="V34" i="11"/>
  <c r="V25" i="11"/>
  <c r="V62" i="11"/>
  <c r="V32" i="11"/>
  <c r="V86" i="11"/>
  <c r="V78" i="11"/>
  <c r="V71" i="11"/>
  <c r="V64" i="11"/>
  <c r="V30" i="11"/>
  <c r="K416" i="9"/>
  <c r="F203" i="11"/>
  <c r="G203" i="11" s="1"/>
  <c r="I203" i="11" s="1"/>
  <c r="Y203" i="11" s="1"/>
  <c r="F200" i="11"/>
  <c r="G200" i="11" s="1"/>
  <c r="I200" i="11" s="1"/>
  <c r="Y200" i="11" s="1"/>
  <c r="K414" i="9"/>
  <c r="F202" i="11"/>
  <c r="G202" i="11" s="1"/>
  <c r="I202" i="11" s="1"/>
  <c r="Y202" i="11" s="1"/>
  <c r="V19" i="11"/>
  <c r="K412" i="9"/>
  <c r="F201" i="11"/>
  <c r="G201" i="11" s="1"/>
  <c r="I201" i="11" s="1"/>
  <c r="Y201" i="11" s="1"/>
  <c r="AA411" i="9"/>
  <c r="AB411" i="9" s="1"/>
  <c r="AA410" i="9"/>
  <c r="AB410" i="9" s="1"/>
  <c r="K408" i="9"/>
  <c r="F199" i="11"/>
  <c r="G199" i="11" s="1"/>
  <c r="I199" i="11" s="1"/>
  <c r="Y199" i="11" s="1"/>
  <c r="K407" i="9"/>
  <c r="F198" i="11"/>
  <c r="G198" i="11" s="1"/>
  <c r="I198" i="11" s="1"/>
  <c r="Y198" i="11" s="1"/>
  <c r="K404" i="9"/>
  <c r="F197" i="11"/>
  <c r="G197" i="11" s="1"/>
  <c r="I197" i="11" s="1"/>
  <c r="Y197" i="11" s="1"/>
  <c r="O7" i="11"/>
  <c r="F196" i="11"/>
  <c r="G196" i="11" s="1"/>
  <c r="I196" i="11" s="1"/>
  <c r="Y196" i="11" s="1"/>
  <c r="K403" i="9"/>
  <c r="K399" i="9"/>
  <c r="F195" i="11"/>
  <c r="G195" i="11" s="1"/>
  <c r="I195" i="11" s="1"/>
  <c r="Y195" i="11" s="1"/>
  <c r="K398" i="9"/>
  <c r="F194" i="11"/>
  <c r="G194" i="11" s="1"/>
  <c r="I194" i="11" s="1"/>
  <c r="Y194" i="11" s="1"/>
  <c r="K295" i="9"/>
  <c r="F193" i="11"/>
  <c r="G193" i="11" s="1"/>
  <c r="I193" i="11" s="1"/>
  <c r="Y193" i="11" s="1"/>
  <c r="K393" i="9"/>
  <c r="K392" i="9"/>
  <c r="F192" i="11"/>
  <c r="G192" i="11" s="1"/>
  <c r="I192" i="11" s="1"/>
  <c r="Y192" i="11" s="1"/>
  <c r="K222" i="9"/>
  <c r="K240" i="9"/>
  <c r="K390" i="9"/>
  <c r="F191" i="11"/>
  <c r="G191" i="11" s="1"/>
  <c r="I191" i="11" s="1"/>
  <c r="Y191" i="11" s="1"/>
  <c r="F188" i="11"/>
  <c r="G188" i="11" s="1"/>
  <c r="I188" i="11" s="1"/>
  <c r="Y188" i="11" s="1"/>
  <c r="K388" i="9"/>
  <c r="F190" i="11"/>
  <c r="G190" i="11" s="1"/>
  <c r="I190" i="11" s="1"/>
  <c r="Y190" i="11" s="1"/>
  <c r="F33" i="11"/>
  <c r="G33" i="11" s="1"/>
  <c r="I33" i="11" s="1"/>
  <c r="Y33" i="11" s="1"/>
  <c r="K386" i="9"/>
  <c r="F189" i="11"/>
  <c r="G189" i="11" s="1"/>
  <c r="I189" i="11" s="1"/>
  <c r="Y189" i="11" s="1"/>
  <c r="K382" i="9"/>
  <c r="F187" i="11"/>
  <c r="G187" i="11" s="1"/>
  <c r="I187" i="11" s="1"/>
  <c r="Y187" i="11" s="1"/>
  <c r="K380" i="9"/>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Y135" i="9" s="1"/>
  <c r="Z135"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G127" i="11" s="1"/>
  <c r="I127" i="11" s="1"/>
  <c r="Y127" i="11" s="1"/>
  <c r="K360" i="9"/>
  <c r="F179" i="11"/>
  <c r="G179" i="11" s="1"/>
  <c r="I179" i="11" s="1"/>
  <c r="Y179" i="11" s="1"/>
  <c r="R44" i="10"/>
  <c r="G64" i="11"/>
  <c r="I64" i="11" s="1"/>
  <c r="Y64" i="11" s="1"/>
  <c r="AA355" i="9"/>
  <c r="AB355" i="9" s="1"/>
  <c r="R43" i="10"/>
  <c r="AA357" i="9"/>
  <c r="AB357" i="9" s="1"/>
  <c r="I122" i="6"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Z32" i="9" s="1"/>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AA78" i="9"/>
  <c r="AB78" i="9"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F81" i="11"/>
  <c r="G81" i="11" s="1"/>
  <c r="I81" i="11" s="1"/>
  <c r="Y81" i="11" s="1"/>
  <c r="K124" i="9"/>
  <c r="F95" i="11"/>
  <c r="G95" i="11" s="1"/>
  <c r="I95" i="11" s="1"/>
  <c r="Y95" i="11" s="1"/>
  <c r="K156" i="9"/>
  <c r="E21" i="2"/>
  <c r="R19" i="6"/>
  <c r="Q19" i="6"/>
  <c r="F61" i="11"/>
  <c r="G61" i="11" s="1"/>
  <c r="I61" i="11" s="1"/>
  <c r="Y61" i="11" s="1"/>
  <c r="K84" i="9"/>
  <c r="F54" i="11"/>
  <c r="G54" i="11" s="1"/>
  <c r="I54" i="11" s="1"/>
  <c r="Y54" i="11" s="1"/>
  <c r="K69" i="9"/>
  <c r="F51" i="11"/>
  <c r="G51" i="11" s="1"/>
  <c r="I51" i="11" s="1"/>
  <c r="Y51" i="11" s="1"/>
  <c r="K63" i="9"/>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Y459" i="9" l="1"/>
  <c r="Z459" i="9" s="1"/>
  <c r="Y458" i="9"/>
  <c r="Z458" i="9" s="1"/>
  <c r="AA458" i="9" s="1"/>
  <c r="AB458" i="9" s="1"/>
  <c r="U457" i="9"/>
  <c r="A11" i="8"/>
  <c r="L22" i="15"/>
  <c r="L18" i="15"/>
  <c r="L20" i="15"/>
  <c r="L19" i="15"/>
  <c r="O23" i="15"/>
  <c r="L21" i="15"/>
  <c r="U424" i="9"/>
  <c r="U422" i="9"/>
  <c r="Y134" i="9"/>
  <c r="Z134" i="9" s="1"/>
  <c r="A7" i="8"/>
  <c r="U413" i="9"/>
  <c r="U412" i="9"/>
  <c r="AA46" i="9"/>
  <c r="AB46" i="9" s="1"/>
  <c r="D102" i="6" s="1"/>
  <c r="Y51" i="9"/>
  <c r="Z51" i="9" s="1"/>
  <c r="M26" i="11"/>
  <c r="M41" i="11"/>
  <c r="M30" i="11"/>
  <c r="M27" i="11"/>
  <c r="M36" i="11"/>
  <c r="A6" i="8"/>
  <c r="M28" i="11"/>
  <c r="Y308" i="9"/>
  <c r="Z308" i="9" s="1"/>
  <c r="M35" i="11"/>
  <c r="M37" i="11"/>
  <c r="H46" i="9"/>
  <c r="V46" i="9" s="1"/>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B24" i="7"/>
  <c r="M18" i="11"/>
  <c r="J5" i="9"/>
  <c r="M5" i="9" s="1"/>
  <c r="N5" i="9" s="1"/>
  <c r="P25" i="11" s="1"/>
  <c r="J4" i="9"/>
  <c r="M4" i="9" s="1"/>
  <c r="N4" i="9" s="1"/>
  <c r="O25" i="11" s="1"/>
  <c r="C24" i="7"/>
  <c r="Y73" i="9"/>
  <c r="Z73" i="9" s="1"/>
  <c r="Y74" i="9"/>
  <c r="Z74" i="9" s="1"/>
  <c r="AA129" i="9"/>
  <c r="AB129" i="9" s="1"/>
  <c r="U163" i="9" s="1"/>
  <c r="AA128" i="9"/>
  <c r="AB128" i="9" s="1"/>
  <c r="U136" i="9" s="1"/>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U460" i="9" l="1"/>
  <c r="AA459" i="9"/>
  <c r="AB459" i="9" s="1"/>
  <c r="Z457" i="9"/>
  <c r="Y422" i="9"/>
  <c r="Z422" i="9" s="1"/>
  <c r="AA422" i="9" s="1"/>
  <c r="AB422" i="9" s="1"/>
  <c r="I116" i="6" s="1"/>
  <c r="Y420" i="9"/>
  <c r="Z420" i="9" s="1"/>
  <c r="AA420" i="9" s="1"/>
  <c r="AB420" i="9" s="1"/>
  <c r="G116" i="6" s="1"/>
  <c r="H21" i="4" s="1"/>
  <c r="Y423" i="9"/>
  <c r="Z423" i="9" s="1"/>
  <c r="AA423" i="9" s="1"/>
  <c r="AB423" i="9" s="1"/>
  <c r="H116" i="6" s="1"/>
  <c r="Y421" i="9"/>
  <c r="Z421" i="9" s="1"/>
  <c r="AA421" i="9" s="1"/>
  <c r="AB421" i="9" s="1"/>
  <c r="B116" i="6" s="1"/>
  <c r="Y424" i="9"/>
  <c r="Z424" i="9" s="1"/>
  <c r="Y412" i="9"/>
  <c r="Z412" i="9" s="1"/>
  <c r="Y413" i="9"/>
  <c r="Z413" i="9" s="1"/>
  <c r="AA413" i="9" s="1"/>
  <c r="AB413" i="9" s="1"/>
  <c r="V128" i="9"/>
  <c r="W128" i="9" s="1"/>
  <c r="X128" i="9" s="1"/>
  <c r="P128" i="9"/>
  <c r="Q128" i="9" s="1"/>
  <c r="AA18" i="9"/>
  <c r="AB18" i="9" s="1"/>
  <c r="U20" i="9" s="1"/>
  <c r="Y20" i="9" s="1"/>
  <c r="Z20" i="9" s="1"/>
  <c r="AA52" i="9"/>
  <c r="AB52" i="9" s="1"/>
  <c r="AA51" i="9"/>
  <c r="AB51" i="9" s="1"/>
  <c r="H8" i="9"/>
  <c r="V8" i="9" s="1"/>
  <c r="X8" i="9" s="1"/>
  <c r="Y349" i="9"/>
  <c r="Z349" i="9" s="1"/>
  <c r="Y350" i="9"/>
  <c r="Z350" i="9" s="1"/>
  <c r="AA350" i="9" s="1"/>
  <c r="AB350" i="9" s="1"/>
  <c r="H10" i="9"/>
  <c r="V10" i="9" s="1"/>
  <c r="X10" i="9" s="1"/>
  <c r="J10" i="9" s="1"/>
  <c r="M10" i="9" s="1"/>
  <c r="N10" i="9" s="1"/>
  <c r="P101" i="6"/>
  <c r="B11" i="2" s="1"/>
  <c r="C11" i="2" s="1"/>
  <c r="AA74" i="9"/>
  <c r="AB74" i="9" s="1"/>
  <c r="U76" i="9" s="1"/>
  <c r="Z76" i="9" s="1"/>
  <c r="AA73" i="9"/>
  <c r="AB73" i="9"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P108" i="6"/>
  <c r="B18" i="2" s="1"/>
  <c r="Y284" i="9"/>
  <c r="Y285" i="9"/>
  <c r="Z285" i="9" s="1"/>
  <c r="AA238" i="9"/>
  <c r="AB238" i="9" s="1"/>
  <c r="U257" i="9" s="1"/>
  <c r="AA237" i="9"/>
  <c r="AB237" i="9" s="1"/>
  <c r="U254" i="9" s="1"/>
  <c r="Y34" i="9"/>
  <c r="Z34" i="9" s="1"/>
  <c r="Y33" i="9"/>
  <c r="Z33" i="9" s="1"/>
  <c r="V13" i="9"/>
  <c r="X13" i="9" s="1"/>
  <c r="J13" i="9" s="1"/>
  <c r="M13" i="9" s="1"/>
  <c r="N13" i="9" s="1"/>
  <c r="Q13" i="9"/>
  <c r="W129" i="9" l="1"/>
  <c r="Y19" i="9"/>
  <c r="Z19" i="9" s="1"/>
  <c r="Y461" i="9"/>
  <c r="Y460" i="9"/>
  <c r="Z460" i="9" s="1"/>
  <c r="U461" i="9"/>
  <c r="AA457" i="9"/>
  <c r="AB457" i="9" s="1"/>
  <c r="F121" i="6" s="1"/>
  <c r="AA456" i="9"/>
  <c r="AB456" i="9" s="1"/>
  <c r="G121" i="6" s="1"/>
  <c r="H26" i="4" s="1"/>
  <c r="AA424" i="9"/>
  <c r="AB424" i="9" s="1"/>
  <c r="F116" i="6" s="1"/>
  <c r="P116" i="6" s="1"/>
  <c r="B26" i="2" s="1"/>
  <c r="D26" i="2" s="1"/>
  <c r="AA412" i="9"/>
  <c r="AB412" i="9" s="1"/>
  <c r="U415" i="9"/>
  <c r="U414" i="9"/>
  <c r="U382" i="9"/>
  <c r="D11" i="2"/>
  <c r="U365" i="9"/>
  <c r="U364" i="9"/>
  <c r="Q8" i="9"/>
  <c r="U54" i="9"/>
  <c r="U53" i="9"/>
  <c r="AA349" i="9"/>
  <c r="AB349" i="9" s="1"/>
  <c r="U351" i="9" s="1"/>
  <c r="U352" i="9"/>
  <c r="Q10" i="9"/>
  <c r="AA75" i="9"/>
  <c r="AB75" i="9"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Z461" i="9" l="1"/>
  <c r="AA461" i="9" s="1"/>
  <c r="AB461" i="9" s="1"/>
  <c r="P121" i="6"/>
  <c r="B31" i="2" s="1"/>
  <c r="C26" i="2"/>
  <c r="Y414" i="9"/>
  <c r="Z414" i="9" s="1"/>
  <c r="Y415" i="9"/>
  <c r="Z415" i="9" s="1"/>
  <c r="AA415" i="9" s="1"/>
  <c r="AB415" i="9" s="1"/>
  <c r="Y382" i="9"/>
  <c r="Z382" i="9" s="1"/>
  <c r="Y381" i="9"/>
  <c r="U381" i="9"/>
  <c r="Y365" i="9"/>
  <c r="Z365" i="9" s="1"/>
  <c r="AA365" i="9" s="1"/>
  <c r="AB365" i="9" s="1"/>
  <c r="Y364" i="9"/>
  <c r="Z364" i="9" s="1"/>
  <c r="Y54" i="9"/>
  <c r="Z54" i="9" s="1"/>
  <c r="Y53" i="9"/>
  <c r="Z53" i="9" s="1"/>
  <c r="Y351" i="9"/>
  <c r="Z351" i="9" s="1"/>
  <c r="Y352" i="9"/>
  <c r="Z352" i="9" s="1"/>
  <c r="AA352" i="9" s="1"/>
  <c r="AB352" i="9" s="1"/>
  <c r="U354" i="9"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469" i="9" l="1"/>
  <c r="AA460" i="9"/>
  <c r="AB460" i="9" s="1"/>
  <c r="U463" i="9"/>
  <c r="U462" i="9"/>
  <c r="D31" i="2"/>
  <c r="C31" i="2"/>
  <c r="AA414" i="9"/>
  <c r="AB414" i="9" s="1"/>
  <c r="U416" i="9" s="1"/>
  <c r="U418" i="9"/>
  <c r="AA364" i="9"/>
  <c r="AB364" i="9" s="1"/>
  <c r="U468" i="9" s="1"/>
  <c r="Z381" i="9"/>
  <c r="AA381" i="9" s="1"/>
  <c r="AB381" i="9" s="1"/>
  <c r="U366" i="9"/>
  <c r="AA54" i="9"/>
  <c r="AB54" i="9" s="1"/>
  <c r="AA53" i="9"/>
  <c r="AB53" i="9" s="1"/>
  <c r="AA351" i="9"/>
  <c r="AB351" i="9" s="1"/>
  <c r="U353" i="9" s="1"/>
  <c r="I120" i="6"/>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Y469" i="9" l="1"/>
  <c r="Z469" i="9" s="1"/>
  <c r="AA469" i="9" s="1"/>
  <c r="AB469" i="9" s="1"/>
  <c r="I100" i="6" s="1"/>
  <c r="Y468" i="9"/>
  <c r="Z468" i="9" s="1"/>
  <c r="AA468" i="9" s="1"/>
  <c r="AB468" i="9" s="1"/>
  <c r="Y463" i="9"/>
  <c r="Z463" i="9" s="1"/>
  <c r="Y462" i="9"/>
  <c r="Z462" i="9" s="1"/>
  <c r="AA462" i="9" s="1"/>
  <c r="AB462" i="9" s="1"/>
  <c r="G122" i="6" s="1"/>
  <c r="Y419" i="9"/>
  <c r="Y418" i="9"/>
  <c r="Z418" i="9" s="1"/>
  <c r="Y417" i="9"/>
  <c r="Y416" i="9"/>
  <c r="Z416" i="9" s="1"/>
  <c r="AA382" i="9"/>
  <c r="AB382" i="9" s="1"/>
  <c r="U384" i="9" s="1"/>
  <c r="Y383" i="9" s="1"/>
  <c r="U383" i="9"/>
  <c r="Z366" i="9"/>
  <c r="U56" i="9"/>
  <c r="U55" i="9"/>
  <c r="Y55" i="9" s="1"/>
  <c r="Z55" i="9" s="1"/>
  <c r="Y353" i="9"/>
  <c r="Z353" i="9" s="1"/>
  <c r="Y354" i="9"/>
  <c r="Z354" i="9" s="1"/>
  <c r="AA354" i="9" s="1"/>
  <c r="AB354" i="9"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463" i="9" l="1"/>
  <c r="AB463" i="9" s="1"/>
  <c r="F122" i="6" s="1"/>
  <c r="P122" i="6" s="1"/>
  <c r="B32" i="2" s="1"/>
  <c r="H27" i="4"/>
  <c r="U453" i="9"/>
  <c r="U417" i="9"/>
  <c r="Y384" i="9"/>
  <c r="Z384" i="9" s="1"/>
  <c r="Z383" i="9"/>
  <c r="AA383" i="9" s="1"/>
  <c r="AB383" i="9" s="1"/>
  <c r="AA366" i="9"/>
  <c r="AB366" i="9" s="1"/>
  <c r="AA367" i="9"/>
  <c r="AB367" i="9" s="1"/>
  <c r="D100" i="6" s="1"/>
  <c r="G100" i="6"/>
  <c r="H5" i="4" s="1"/>
  <c r="H100" i="6"/>
  <c r="Y56" i="9"/>
  <c r="Z56" i="9" s="1"/>
  <c r="AA56" i="9" s="1"/>
  <c r="AB56" i="9" s="1"/>
  <c r="AA353" i="9"/>
  <c r="AB353" i="9" s="1"/>
  <c r="J120" i="6"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D32" i="2" l="1"/>
  <c r="C32" i="2"/>
  <c r="Y453" i="9"/>
  <c r="Z453" i="9" s="1"/>
  <c r="Y452" i="9"/>
  <c r="Z452" i="9" s="1"/>
  <c r="AA452" i="9" s="1"/>
  <c r="AB452" i="9" s="1"/>
  <c r="Z417" i="9"/>
  <c r="AA384" i="9"/>
  <c r="AB384" i="9" s="1"/>
  <c r="U386" i="9" s="1"/>
  <c r="Y385" i="9" s="1"/>
  <c r="U385" i="9"/>
  <c r="P100" i="6"/>
  <c r="B10" i="2" s="1"/>
  <c r="D10" i="2" s="1"/>
  <c r="AA55" i="9"/>
  <c r="AB55" i="9" s="1"/>
  <c r="U376" i="9" s="1"/>
  <c r="U104" i="9"/>
  <c r="Y105" i="9" s="1"/>
  <c r="Z105" i="9" s="1"/>
  <c r="U246" i="9"/>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AA453" i="9" l="1"/>
  <c r="AB453" i="9" s="1"/>
  <c r="U455" i="9"/>
  <c r="U454" i="9"/>
  <c r="AA417" i="9"/>
  <c r="AB417" i="9" s="1"/>
  <c r="AA416" i="9"/>
  <c r="AB416" i="9" s="1"/>
  <c r="N104" i="6" s="1"/>
  <c r="Y386" i="9"/>
  <c r="Z386" i="9" s="1"/>
  <c r="Z385" i="9"/>
  <c r="AA385" i="9" s="1"/>
  <c r="AB385" i="9" s="1"/>
  <c r="C10" i="2"/>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Y455" i="9" l="1"/>
  <c r="Z455" i="9" s="1"/>
  <c r="AA455" i="9" s="1"/>
  <c r="AB455" i="9" s="1"/>
  <c r="F120" i="6" s="1"/>
  <c r="Y454" i="9"/>
  <c r="Z454" i="9" s="1"/>
  <c r="AA454" i="9" s="1"/>
  <c r="AB454" i="9" s="1"/>
  <c r="G120" i="6" s="1"/>
  <c r="U419" i="9"/>
  <c r="U402" i="9"/>
  <c r="AA386" i="9"/>
  <c r="AB386" i="9" s="1"/>
  <c r="AA246" i="9"/>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H25" i="4" l="1"/>
  <c r="P120" i="6"/>
  <c r="B30" i="2" s="1"/>
  <c r="Z419" i="9"/>
  <c r="U403" i="9"/>
  <c r="Y402" i="9" s="1"/>
  <c r="Z402" i="9" s="1"/>
  <c r="Y249" i="9"/>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C30" i="2" l="1"/>
  <c r="D30" i="2"/>
  <c r="AA419" i="9"/>
  <c r="AB419" i="9" s="1"/>
  <c r="K104" i="6" s="1"/>
  <c r="AA418" i="9"/>
  <c r="AB418" i="9" s="1"/>
  <c r="M104" i="6" s="1"/>
  <c r="Y403" i="9"/>
  <c r="Z403" i="9" s="1"/>
  <c r="AA403" i="9" s="1"/>
  <c r="AB403" i="9" s="1"/>
  <c r="AA248" i="9"/>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U405" i="9" l="1"/>
  <c r="AA402" i="9"/>
  <c r="AB402" i="9" s="1"/>
  <c r="U404" i="9" s="1"/>
  <c r="Y250" i="9"/>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Y405" i="9" l="1"/>
  <c r="Z405" i="9" s="1"/>
  <c r="Y404" i="9"/>
  <c r="Z404" i="9" s="1"/>
  <c r="AA404" i="9" s="1"/>
  <c r="AB404" i="9" s="1"/>
  <c r="AA250" i="9"/>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AA405" i="9" l="1"/>
  <c r="AB405" i="9" s="1"/>
  <c r="U407" i="9"/>
  <c r="U406" i="9"/>
  <c r="Y253" i="9"/>
  <c r="Z253" i="9" s="1"/>
  <c r="Y252" i="9"/>
  <c r="Z252" i="9" s="1"/>
  <c r="AA120" i="9"/>
  <c r="AB120" i="9" s="1"/>
  <c r="U271" i="9" s="1"/>
  <c r="Z271" i="9" s="1"/>
  <c r="AA121" i="9"/>
  <c r="AB121" i="9" s="1"/>
  <c r="U279" i="9" s="1"/>
  <c r="Y363" i="9"/>
  <c r="Z363" i="9" s="1"/>
  <c r="Y362" i="9"/>
  <c r="Y361" i="9"/>
  <c r="Z361" i="9" s="1"/>
  <c r="AA361" i="9" s="1"/>
  <c r="AB361" i="9"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451" i="9" l="1"/>
  <c r="Y407" i="9"/>
  <c r="Z407" i="9" s="1"/>
  <c r="Y406" i="9"/>
  <c r="Z406" i="9" s="1"/>
  <c r="AA406" i="9" s="1"/>
  <c r="AB406" i="9" s="1"/>
  <c r="U368" i="9"/>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Z451" i="9" l="1"/>
  <c r="AA407" i="9"/>
  <c r="AB407" i="9" s="1"/>
  <c r="U409" i="9"/>
  <c r="U408" i="9"/>
  <c r="U372" i="9"/>
  <c r="Y369" i="9"/>
  <c r="Z369" i="9" s="1"/>
  <c r="AA369" i="9" s="1"/>
  <c r="AB369" i="9" s="1"/>
  <c r="Y368" i="9"/>
  <c r="Z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AA451" i="9" l="1"/>
  <c r="AB451" i="9" s="1"/>
  <c r="F104" i="6" s="1"/>
  <c r="AA450" i="9"/>
  <c r="AB450" i="9" s="1"/>
  <c r="G104" i="6" s="1"/>
  <c r="H9" i="4" s="1"/>
  <c r="Y408" i="9"/>
  <c r="Z408" i="9" s="1"/>
  <c r="Y409" i="9"/>
  <c r="Z409" i="9" s="1"/>
  <c r="AA409" i="9" s="1"/>
  <c r="AB409" i="9" s="1"/>
  <c r="I115" i="6" s="1"/>
  <c r="AA368" i="9"/>
  <c r="AB368" i="9" s="1"/>
  <c r="U371" i="9"/>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AA408" i="9" l="1"/>
  <c r="AB408" i="9" s="1"/>
  <c r="B115" i="6" s="1"/>
  <c r="P115" i="6" s="1"/>
  <c r="B25" i="2" s="1"/>
  <c r="C25" i="2" s="1"/>
  <c r="Y371" i="9"/>
  <c r="Z371" i="9" s="1"/>
  <c r="Y372" i="9"/>
  <c r="Z372" i="9" s="1"/>
  <c r="AA372" i="9" s="1"/>
  <c r="AB372" i="9"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426" i="9" l="1"/>
  <c r="D25" i="2"/>
  <c r="U373" i="9"/>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426" i="9" l="1"/>
  <c r="Z426" i="9" s="1"/>
  <c r="Y425" i="9"/>
  <c r="Y375" i="9"/>
  <c r="Y373" i="9"/>
  <c r="Z373" i="9" s="1"/>
  <c r="Y376" i="9"/>
  <c r="Z376" i="9" s="1"/>
  <c r="AA376" i="9" s="1"/>
  <c r="AB376" i="9"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U395" i="9" l="1"/>
  <c r="Z375" i="9"/>
  <c r="AA375" i="9" s="1"/>
  <c r="AB375" i="9"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U394" i="9" l="1"/>
  <c r="AA373" i="9"/>
  <c r="AB373" i="9"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U393" i="9"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Y394" i="9" l="1"/>
  <c r="Z394" i="9" s="1"/>
  <c r="Y395" i="9"/>
  <c r="Z395" i="9" s="1"/>
  <c r="AA395" i="9" s="1"/>
  <c r="AB395" i="9" s="1"/>
  <c r="Y393" i="9"/>
  <c r="Z393" i="9" s="1"/>
  <c r="AA269" i="9"/>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97" i="9" l="1"/>
  <c r="AA394" i="9"/>
  <c r="AB394" i="9" s="1"/>
  <c r="AA393" i="9"/>
  <c r="AB393" i="9" s="1"/>
  <c r="U379" i="9"/>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U398" i="9" l="1"/>
  <c r="U396" i="9"/>
  <c r="Z379" i="9"/>
  <c r="AA379" i="9" s="1"/>
  <c r="AB379" i="9"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Y398" i="9" l="1"/>
  <c r="Z398" i="9" s="1"/>
  <c r="Y396" i="9"/>
  <c r="Z396" i="9" s="1"/>
  <c r="AA396" i="9" s="1"/>
  <c r="AB396" i="9" s="1"/>
  <c r="Y397" i="9"/>
  <c r="Z397" i="9" s="1"/>
  <c r="AA397" i="9" s="1"/>
  <c r="AB397" i="9" s="1"/>
  <c r="U388" i="9"/>
  <c r="AA377" i="9"/>
  <c r="AB377" i="9" s="1"/>
  <c r="AA380" i="9"/>
  <c r="AB380" i="9" s="1"/>
  <c r="D113" i="6"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U400" i="9" l="1"/>
  <c r="U399" i="9"/>
  <c r="AA398" i="9"/>
  <c r="AB398" i="9" s="1"/>
  <c r="Y387" i="9"/>
  <c r="Y388" i="9"/>
  <c r="Z388" i="9" s="1"/>
  <c r="U387" i="9"/>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Y400" i="9" l="1"/>
  <c r="Z400" i="9" s="1"/>
  <c r="AA400" i="9" s="1"/>
  <c r="AB400" i="9" s="1"/>
  <c r="D118" i="6" s="1"/>
  <c r="Y401" i="9"/>
  <c r="Y399" i="9"/>
  <c r="Z399" i="9" s="1"/>
  <c r="U401" i="9"/>
  <c r="Z387" i="9"/>
  <c r="AA387" i="9" s="1"/>
  <c r="AB387" i="9" s="1"/>
  <c r="R32" i="1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Z401" i="9" l="1"/>
  <c r="AA401" i="9" s="1"/>
  <c r="AB401" i="9" s="1"/>
  <c r="AA388" i="9"/>
  <c r="AB388" i="9" s="1"/>
  <c r="U389" i="9"/>
  <c r="U390" i="9"/>
  <c r="Y103" i="9"/>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U436" i="9" l="1"/>
  <c r="AA399" i="9"/>
  <c r="AB399" i="9" s="1"/>
  <c r="Y389" i="9"/>
  <c r="Z389" i="9" s="1"/>
  <c r="AA389" i="9" s="1"/>
  <c r="AB389" i="9" s="1"/>
  <c r="Y390" i="9"/>
  <c r="Z390" i="9" s="1"/>
  <c r="Y303" i="9"/>
  <c r="Z303" i="9" s="1"/>
  <c r="Y302" i="9"/>
  <c r="Z302" i="9" s="1"/>
  <c r="Z198" i="9"/>
  <c r="AA102" i="9"/>
  <c r="AB102" i="9" s="1"/>
  <c r="F111" i="6" s="1"/>
  <c r="AA103" i="9"/>
  <c r="AB103" i="9" s="1"/>
  <c r="U111" i="9" s="1"/>
  <c r="W27" i="9"/>
  <c r="X27" i="9" s="1"/>
  <c r="W28" i="9"/>
  <c r="X28" i="9" s="1"/>
  <c r="Z199" i="9"/>
  <c r="AA199" i="9" s="1"/>
  <c r="AB199" i="9" s="1"/>
  <c r="U218" i="9" s="1"/>
  <c r="U425" i="9" l="1"/>
  <c r="AA390" i="9"/>
  <c r="AB390" i="9" s="1"/>
  <c r="U392" i="9"/>
  <c r="U391" i="9"/>
  <c r="J28" i="9"/>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Z425" i="9" l="1"/>
  <c r="Y391" i="9"/>
  <c r="Z391" i="9" s="1"/>
  <c r="AA391" i="9" s="1"/>
  <c r="AB391" i="9" s="1"/>
  <c r="Y392" i="9"/>
  <c r="Z392" i="9" s="1"/>
  <c r="AA392" i="9" s="1"/>
  <c r="AB392" i="9" s="1"/>
  <c r="L113" i="6" s="1"/>
  <c r="Y305" i="9"/>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U449" i="9" l="1"/>
  <c r="AA425" i="9"/>
  <c r="AB425" i="9" s="1"/>
  <c r="AA426" i="9"/>
  <c r="AB426" i="9" s="1"/>
  <c r="V36" i="9"/>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449" i="9" l="1"/>
  <c r="U428" i="9"/>
  <c r="U427" i="9"/>
  <c r="Z207" i="9"/>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AA449" i="9" l="1"/>
  <c r="AB449" i="9" s="1"/>
  <c r="AA448" i="9"/>
  <c r="AB448" i="9" s="1"/>
  <c r="Y428" i="9"/>
  <c r="Z428" i="9" s="1"/>
  <c r="AA428" i="9" s="1"/>
  <c r="AB428" i="9" s="1"/>
  <c r="Y427" i="9"/>
  <c r="Z427" i="9" s="1"/>
  <c r="J35" i="9"/>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U465" i="9" l="1"/>
  <c r="U464" i="9"/>
  <c r="AA427" i="9"/>
  <c r="AB427" i="9" s="1"/>
  <c r="U430" i="9"/>
  <c r="U429" i="9"/>
  <c r="AA115" i="9"/>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Y465" i="9" l="1"/>
  <c r="Z465" i="9" s="1"/>
  <c r="Y464" i="9"/>
  <c r="Z464" i="9" s="1"/>
  <c r="AA464" i="9" s="1"/>
  <c r="AB464" i="9" s="1"/>
  <c r="Y430" i="9"/>
  <c r="Z430" i="9" s="1"/>
  <c r="AA430" i="9" s="1"/>
  <c r="AB430" i="9" s="1"/>
  <c r="Y429" i="9"/>
  <c r="Z429" i="9" s="1"/>
  <c r="AA429" i="9" s="1"/>
  <c r="AB429" i="9" s="1"/>
  <c r="P37" i="9"/>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U466" i="9" l="1"/>
  <c r="AA465" i="9"/>
  <c r="AB465" i="9" s="1"/>
  <c r="U432" i="9"/>
  <c r="U431" i="9"/>
  <c r="P102" i="6"/>
  <c r="B12" i="2" s="1"/>
  <c r="C12" i="2" s="1"/>
  <c r="Z214" i="9"/>
  <c r="Z215" i="9"/>
  <c r="AA215" i="9" s="1"/>
  <c r="AB215" i="9" s="1"/>
  <c r="C117" i="6" s="1"/>
  <c r="W38" i="9"/>
  <c r="X38" i="9" s="1"/>
  <c r="W37" i="9"/>
  <c r="X37" i="9" s="1"/>
  <c r="AA228" i="9"/>
  <c r="AB228" i="9" s="1"/>
  <c r="U230" i="9" s="1"/>
  <c r="AA227" i="9"/>
  <c r="AB227" i="9" s="1"/>
  <c r="U229" i="9" s="1"/>
  <c r="U467" i="9" l="1"/>
  <c r="Y432" i="9"/>
  <c r="Z432" i="9" s="1"/>
  <c r="Y431" i="9"/>
  <c r="Z431" i="9" s="1"/>
  <c r="AA431" i="9" s="1"/>
  <c r="AB431" i="9" s="1"/>
  <c r="D12" i="2"/>
  <c r="J38" i="9"/>
  <c r="M38" i="9" s="1"/>
  <c r="N38" i="9" s="1"/>
  <c r="J37" i="9"/>
  <c r="M37" i="9" s="1"/>
  <c r="N37" i="9" s="1"/>
  <c r="AA212" i="9"/>
  <c r="AB212" i="9" s="1"/>
  <c r="U216" i="9" s="1"/>
  <c r="AA213" i="9"/>
  <c r="AB213" i="9" s="1"/>
  <c r="U217" i="9" s="1"/>
  <c r="AA214" i="9"/>
  <c r="AB214" i="9" s="1"/>
  <c r="B117" i="6" s="1"/>
  <c r="Y230" i="9"/>
  <c r="Z230" i="9" s="1"/>
  <c r="Y229" i="9"/>
  <c r="Z229" i="9" s="1"/>
  <c r="Y467" i="9" l="1"/>
  <c r="Z467" i="9" s="1"/>
  <c r="Y466" i="9"/>
  <c r="Z466" i="9" s="1"/>
  <c r="AA466" i="9" s="1"/>
  <c r="AB466" i="9" s="1"/>
  <c r="G113" i="6" s="1"/>
  <c r="H18" i="4" s="1"/>
  <c r="AA432" i="9"/>
  <c r="AB432" i="9" s="1"/>
  <c r="U434" i="9"/>
  <c r="U433" i="9"/>
  <c r="AA229" i="9"/>
  <c r="AB229" i="9" s="1"/>
  <c r="U231" i="9" s="1"/>
  <c r="AA230" i="9"/>
  <c r="AB230" i="9" s="1"/>
  <c r="U232" i="9" s="1"/>
  <c r="Y218" i="9"/>
  <c r="Z218" i="9" s="1"/>
  <c r="Y216" i="9"/>
  <c r="Z216" i="9" s="1"/>
  <c r="Y217" i="9"/>
  <c r="Z217" i="9" s="1"/>
  <c r="Y219" i="9"/>
  <c r="Z219" i="9" s="1"/>
  <c r="AA219" i="9" s="1"/>
  <c r="AB219" i="9" s="1"/>
  <c r="F117" i="6" s="1"/>
  <c r="P38" i="11"/>
  <c r="H39" i="9"/>
  <c r="R38" i="11"/>
  <c r="H40" i="9"/>
  <c r="AA467" i="9" l="1"/>
  <c r="AB467" i="9" s="1"/>
  <c r="F113" i="6" s="1"/>
  <c r="P113" i="6" s="1"/>
  <c r="B23" i="2" s="1"/>
  <c r="C23" i="2" s="1"/>
  <c r="Y434" i="9"/>
  <c r="Z434" i="9" s="1"/>
  <c r="Y433" i="9"/>
  <c r="Z433" i="9" s="1"/>
  <c r="AA433" i="9" s="1"/>
  <c r="AB433" i="9" s="1"/>
  <c r="V39" i="9"/>
  <c r="P39" i="9"/>
  <c r="Q39" i="9" s="1"/>
  <c r="P40" i="9"/>
  <c r="Q40" i="9" s="1"/>
  <c r="V40" i="9"/>
  <c r="AA216" i="9"/>
  <c r="AB216" i="9" s="1"/>
  <c r="M117" i="6" s="1"/>
  <c r="AA218" i="9"/>
  <c r="AB218" i="9" s="1"/>
  <c r="G117" i="6" s="1"/>
  <c r="H22" i="4" s="1"/>
  <c r="AA217" i="9"/>
  <c r="AB217" i="9" s="1"/>
  <c r="E117" i="6" s="1"/>
  <c r="Y232" i="9"/>
  <c r="Z232" i="9" s="1"/>
  <c r="Y231" i="9"/>
  <c r="Z231" i="9" s="1"/>
  <c r="D23" i="2" l="1"/>
  <c r="U435" i="9"/>
  <c r="AA434" i="9"/>
  <c r="AB434" i="9" s="1"/>
  <c r="P117" i="6"/>
  <c r="B27" i="2" s="1"/>
  <c r="D27" i="2" s="1"/>
  <c r="AA232" i="9"/>
  <c r="AB232" i="9" s="1"/>
  <c r="H111" i="6" s="1"/>
  <c r="AA231" i="9"/>
  <c r="AB231" i="9" s="1"/>
  <c r="U234" i="9" s="1"/>
  <c r="W40" i="9"/>
  <c r="X40" i="9" s="1"/>
  <c r="W39" i="9"/>
  <c r="X39" i="9" s="1"/>
  <c r="U438" i="9" l="1"/>
  <c r="Y436" i="9"/>
  <c r="Z436" i="9" s="1"/>
  <c r="AA436" i="9" s="1"/>
  <c r="AB436" i="9" s="1"/>
  <c r="Y435" i="9"/>
  <c r="Z435" i="9" s="1"/>
  <c r="AA435" i="9" s="1"/>
  <c r="AB435" i="9" s="1"/>
  <c r="C27" i="2"/>
  <c r="J40" i="9"/>
  <c r="M40" i="9" s="1"/>
  <c r="N40" i="9" s="1"/>
  <c r="J39" i="9"/>
  <c r="M39" i="9" s="1"/>
  <c r="N39" i="9" s="1"/>
  <c r="Y234" i="9"/>
  <c r="Z234" i="9" s="1"/>
  <c r="Y233" i="9"/>
  <c r="Z233" i="9" s="1"/>
  <c r="U439" i="9" l="1"/>
  <c r="U437" i="9"/>
  <c r="AA234" i="9"/>
  <c r="AB234" i="9" s="1"/>
  <c r="U287" i="9" s="1"/>
  <c r="AA233" i="9"/>
  <c r="AB233" i="9" s="1"/>
  <c r="C111" i="6" s="1"/>
  <c r="P39" i="11"/>
  <c r="H41" i="9"/>
  <c r="R39" i="11"/>
  <c r="H42" i="9"/>
  <c r="Y437" i="9" l="1"/>
  <c r="Z437" i="9" s="1"/>
  <c r="Y438" i="9"/>
  <c r="Z438" i="9" s="1"/>
  <c r="AA438" i="9" s="1"/>
  <c r="AB438" i="9" s="1"/>
  <c r="Y439" i="9"/>
  <c r="Z439" i="9" s="1"/>
  <c r="AA439" i="9" s="1"/>
  <c r="AB439" i="9" s="1"/>
  <c r="P42" i="9"/>
  <c r="Q42" i="9" s="1"/>
  <c r="P41" i="9"/>
  <c r="Q41" i="9" s="1"/>
  <c r="V42" i="9"/>
  <c r="V41" i="9"/>
  <c r="Z287" i="9"/>
  <c r="U442" i="9" l="1"/>
  <c r="U441" i="9"/>
  <c r="AA437" i="9"/>
  <c r="AB437" i="9" s="1"/>
  <c r="W41" i="9"/>
  <c r="X41" i="9" s="1"/>
  <c r="W42" i="9"/>
  <c r="X42" i="9" s="1"/>
  <c r="AA287" i="9"/>
  <c r="AB287" i="9" s="1"/>
  <c r="U289" i="9" s="1"/>
  <c r="AA286" i="9"/>
  <c r="AB286" i="9" s="1"/>
  <c r="U288" i="9" s="1"/>
  <c r="Y441" i="9" l="1"/>
  <c r="Z441" i="9" s="1"/>
  <c r="Y442" i="9"/>
  <c r="Z442" i="9" s="1"/>
  <c r="AA442" i="9" s="1"/>
  <c r="AB442" i="9" s="1"/>
  <c r="Y440" i="9"/>
  <c r="U440" i="9"/>
  <c r="Y289" i="9"/>
  <c r="Z289" i="9" s="1"/>
  <c r="Y288" i="9"/>
  <c r="Z288" i="9" s="1"/>
  <c r="J42" i="9"/>
  <c r="M42" i="9" s="1"/>
  <c r="N42" i="9" s="1"/>
  <c r="J41" i="9"/>
  <c r="M41" i="9" s="1"/>
  <c r="N41" i="9" s="1"/>
  <c r="U445" i="9" l="1"/>
  <c r="AA441" i="9"/>
  <c r="AB441" i="9" s="1"/>
  <c r="Z440" i="9"/>
  <c r="AA440" i="9" s="1"/>
  <c r="AB440" i="9" s="1"/>
  <c r="P64" i="1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U444" i="9" l="1"/>
  <c r="U443" i="9"/>
  <c r="V48" i="9"/>
  <c r="X48" i="9" s="1"/>
  <c r="Q48" i="9"/>
  <c r="V120" i="9"/>
  <c r="H16" i="4"/>
  <c r="P111" i="6"/>
  <c r="B21" i="2" s="1"/>
  <c r="Y445" i="9" l="1"/>
  <c r="Z445" i="9" s="1"/>
  <c r="AA445" i="9" s="1"/>
  <c r="AB445" i="9" s="1"/>
  <c r="Y443" i="9"/>
  <c r="Z443" i="9" s="1"/>
  <c r="AA443" i="9" s="1"/>
  <c r="AB443" i="9" s="1"/>
  <c r="Y444" i="9"/>
  <c r="Z444" i="9" s="1"/>
  <c r="AA444" i="9" s="1"/>
  <c r="AB444" i="9" s="1"/>
  <c r="I118" i="6" s="1"/>
  <c r="J48" i="9"/>
  <c r="M48" i="9" s="1"/>
  <c r="N48" i="9" s="1"/>
  <c r="J47" i="9"/>
  <c r="M47" i="9" s="1"/>
  <c r="N47" i="9" s="1"/>
  <c r="D21" i="2"/>
  <c r="C21" i="2"/>
  <c r="U447" i="9" l="1"/>
  <c r="U446" i="9"/>
  <c r="K52" i="11"/>
  <c r="K50" i="11"/>
  <c r="K51" i="11"/>
  <c r="K43" i="11"/>
  <c r="K49" i="11"/>
  <c r="K46" i="11"/>
  <c r="K44" i="11"/>
  <c r="K48" i="11"/>
  <c r="K47" i="11"/>
  <c r="K45" i="11"/>
  <c r="H67" i="9"/>
  <c r="R43" i="11"/>
  <c r="H50" i="9"/>
  <c r="Y447" i="9" l="1"/>
  <c r="Z447" i="9" s="1"/>
  <c r="AA447" i="9" s="1"/>
  <c r="AB447" i="9" s="1"/>
  <c r="L118" i="6" s="1"/>
  <c r="Y446" i="9"/>
  <c r="Z446" i="9" s="1"/>
  <c r="V50" i="9"/>
  <c r="X50" i="9" s="1"/>
  <c r="Q50" i="9"/>
  <c r="V67" i="9"/>
  <c r="X67" i="9" s="1"/>
  <c r="Q67" i="9"/>
  <c r="AA446" i="9" l="1"/>
  <c r="AB446" i="9" s="1"/>
  <c r="G118" i="6" s="1"/>
  <c r="H23" i="4" s="1"/>
  <c r="B19" i="4" s="1"/>
  <c r="J68" i="9"/>
  <c r="M68" i="9" s="1"/>
  <c r="N68" i="9" s="1"/>
  <c r="J67" i="9"/>
  <c r="M67" i="9" s="1"/>
  <c r="N67" i="9" s="1"/>
  <c r="J49" i="9"/>
  <c r="M49" i="9" s="1"/>
  <c r="N49" i="9" s="1"/>
  <c r="J50" i="9"/>
  <c r="M50" i="9" s="1"/>
  <c r="N50" i="9" s="1"/>
  <c r="P118" i="6" l="1"/>
  <c r="B28" i="2" s="1"/>
  <c r="C28" i="2" s="1"/>
  <c r="R44" i="11"/>
  <c r="H52" i="9"/>
  <c r="M44" i="11"/>
  <c r="H51" i="9"/>
  <c r="K53" i="11"/>
  <c r="H69" i="9"/>
  <c r="U58" i="11"/>
  <c r="U56" i="11"/>
  <c r="U54" i="11"/>
  <c r="U61" i="11"/>
  <c r="U59" i="11"/>
  <c r="U57" i="11"/>
  <c r="U53" i="11"/>
  <c r="U60" i="11"/>
  <c r="U55" i="11"/>
  <c r="H87" i="9"/>
  <c r="D28" i="2" l="1"/>
  <c r="P70" i="9"/>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H410" i="9" s="1"/>
  <c r="J338" i="9"/>
  <c r="M338" i="9" s="1"/>
  <c r="N338" i="9" s="1"/>
  <c r="H411" i="9" s="1"/>
  <c r="P411" i="9" l="1"/>
  <c r="Q411" i="9" s="1"/>
  <c r="P410" i="9"/>
  <c r="Q410" i="9" s="1"/>
  <c r="V411" i="9"/>
  <c r="V410" i="9"/>
  <c r="V199" i="11"/>
  <c r="V198" i="11"/>
  <c r="W199" i="11"/>
  <c r="W198" i="11"/>
  <c r="V197" i="11"/>
  <c r="V196" i="11"/>
  <c r="W197" i="11"/>
  <c r="W196" i="11"/>
  <c r="W194" i="11"/>
  <c r="W195" i="11"/>
  <c r="V194" i="11"/>
  <c r="V195" i="11"/>
  <c r="W192" i="11"/>
  <c r="W193" i="11"/>
  <c r="V192" i="11"/>
  <c r="V193" i="11"/>
  <c r="V190" i="11"/>
  <c r="V191" i="11"/>
  <c r="W190" i="11"/>
  <c r="W191" i="11"/>
  <c r="V189" i="11"/>
  <c r="V188" i="11"/>
  <c r="V187" i="11"/>
  <c r="W188" i="11"/>
  <c r="W187" i="11"/>
  <c r="W189" i="11"/>
  <c r="W185" i="1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W172" i="11"/>
  <c r="W170" i="11"/>
  <c r="W168" i="11"/>
  <c r="W171" i="11"/>
  <c r="W169" i="11"/>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W411" i="9" l="1"/>
  <c r="X411" i="9" s="1"/>
  <c r="J411" i="9" s="1"/>
  <c r="M411" i="9" s="1"/>
  <c r="N411" i="9" s="1"/>
  <c r="H412" i="9" s="1"/>
  <c r="W410" i="9"/>
  <c r="X410" i="9" s="1"/>
  <c r="Q114" i="11"/>
  <c r="H230" i="9"/>
  <c r="U114" i="11"/>
  <c r="H229" i="9"/>
  <c r="P235" i="9"/>
  <c r="Q235" i="9" s="1"/>
  <c r="P236" i="9"/>
  <c r="Q236" i="9" s="1"/>
  <c r="V235" i="9"/>
  <c r="V238" i="9"/>
  <c r="J410" i="9" l="1"/>
  <c r="M410" i="9" s="1"/>
  <c r="N410" i="9" s="1"/>
  <c r="H413" i="9" s="1"/>
  <c r="V413" i="9" s="1"/>
  <c r="P413" i="9"/>
  <c r="P412" i="9"/>
  <c r="Q412" i="9" s="1"/>
  <c r="V412" i="9"/>
  <c r="W200" i="11"/>
  <c r="V200" i="11"/>
  <c r="W236" i="9"/>
  <c r="X236" i="9" s="1"/>
  <c r="W235" i="9"/>
  <c r="X235" i="9" s="1"/>
  <c r="P230" i="9"/>
  <c r="Q230" i="9" s="1"/>
  <c r="P229" i="9"/>
  <c r="Q229" i="9" s="1"/>
  <c r="V229" i="9"/>
  <c r="V230" i="9"/>
  <c r="Q413" i="9" l="1"/>
  <c r="W412" i="9"/>
  <c r="X412" i="9" s="1"/>
  <c r="W413" i="9"/>
  <c r="X413" i="9" s="1"/>
  <c r="J413" i="9" s="1"/>
  <c r="M413" i="9" s="1"/>
  <c r="N413" i="9" s="1"/>
  <c r="J235" i="9"/>
  <c r="M235" i="9" s="1"/>
  <c r="N235" i="9" s="1"/>
  <c r="J236" i="9"/>
  <c r="M236" i="9" s="1"/>
  <c r="N236" i="9" s="1"/>
  <c r="H417" i="9" s="1"/>
  <c r="W230" i="9"/>
  <c r="X230" i="9" s="1"/>
  <c r="W229" i="9"/>
  <c r="X229" i="9" s="1"/>
  <c r="J412" i="9" l="1"/>
  <c r="M412" i="9" s="1"/>
  <c r="N412" i="9" s="1"/>
  <c r="V417" i="9"/>
  <c r="T202" i="11"/>
  <c r="H415" i="9"/>
  <c r="H414" i="9"/>
  <c r="W201" i="11"/>
  <c r="V201" i="11"/>
  <c r="T200" i="11"/>
  <c r="T201" i="11"/>
  <c r="T199" i="11"/>
  <c r="T198" i="11"/>
  <c r="T197" i="11"/>
  <c r="T196" i="11"/>
  <c r="T194" i="11"/>
  <c r="T195" i="11"/>
  <c r="T192" i="11"/>
  <c r="T193" i="11"/>
  <c r="T190" i="11"/>
  <c r="T191" i="11"/>
  <c r="T189" i="11"/>
  <c r="T188" i="11"/>
  <c r="T187" i="11"/>
  <c r="T185" i="11"/>
  <c r="T186" i="11"/>
  <c r="T183" i="11"/>
  <c r="T184" i="11"/>
  <c r="T181" i="11"/>
  <c r="T182" i="11"/>
  <c r="T179" i="11"/>
  <c r="T180" i="11"/>
  <c r="T177" i="11"/>
  <c r="T178" i="11"/>
  <c r="T175" i="11"/>
  <c r="T176" i="11"/>
  <c r="T173" i="11"/>
  <c r="T174" i="11"/>
  <c r="J230" i="9"/>
  <c r="M230" i="9" s="1"/>
  <c r="N230" i="9" s="1"/>
  <c r="J229" i="9"/>
  <c r="M229" i="9" s="1"/>
  <c r="N229" i="9" s="1"/>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R118" i="11"/>
  <c r="H237" i="9"/>
  <c r="P415" i="9" l="1"/>
  <c r="Q415" i="9" s="1"/>
  <c r="P414" i="9"/>
  <c r="Q414" i="9" s="1"/>
  <c r="V415" i="9"/>
  <c r="V414" i="9"/>
  <c r="P239" i="9"/>
  <c r="P238" i="9"/>
  <c r="Q238" i="9" s="1"/>
  <c r="P237" i="9"/>
  <c r="Q237" i="9" s="1"/>
  <c r="V237" i="9"/>
  <c r="U115" i="11"/>
  <c r="H231" i="9"/>
  <c r="Q115" i="11"/>
  <c r="H232" i="9"/>
  <c r="W415" i="9" l="1"/>
  <c r="X415" i="9" s="1"/>
  <c r="J415" i="9" s="1"/>
  <c r="M415" i="9" s="1"/>
  <c r="N415" i="9" s="1"/>
  <c r="W414" i="9"/>
  <c r="X414" i="9" s="1"/>
  <c r="J414" i="9" s="1"/>
  <c r="M414" i="9" s="1"/>
  <c r="N414" i="9" s="1"/>
  <c r="V232" i="9"/>
  <c r="P232" i="9"/>
  <c r="Q232" i="9" s="1"/>
  <c r="P231" i="9"/>
  <c r="Q231" i="9" s="1"/>
  <c r="V231" i="9"/>
  <c r="W238" i="9"/>
  <c r="X238" i="9" s="1"/>
  <c r="W237" i="9"/>
  <c r="X237" i="9" s="1"/>
  <c r="W239" i="9"/>
  <c r="V203" i="11" l="1"/>
  <c r="H418" i="9"/>
  <c r="H416" i="9"/>
  <c r="W202" i="11"/>
  <c r="V202" i="11"/>
  <c r="J238" i="9"/>
  <c r="M238" i="9" s="1"/>
  <c r="N238" i="9" s="1"/>
  <c r="W232" i="9"/>
  <c r="X232" i="9" s="1"/>
  <c r="W231" i="9"/>
  <c r="X231" i="9" s="1"/>
  <c r="P418" i="9" l="1"/>
  <c r="Q418" i="9" s="1"/>
  <c r="P419" i="9"/>
  <c r="V418" i="9"/>
  <c r="P417" i="9"/>
  <c r="Q417" i="9" s="1"/>
  <c r="P416" i="9"/>
  <c r="Q416" i="9" s="1"/>
  <c r="V416" i="9"/>
  <c r="P120" i="11"/>
  <c r="P121" i="11"/>
  <c r="P119" i="11"/>
  <c r="H244" i="9"/>
  <c r="J231" i="9"/>
  <c r="M231" i="9" s="1"/>
  <c r="N231" i="9" s="1"/>
  <c r="J232" i="9"/>
  <c r="M232" i="9" s="1"/>
  <c r="N232" i="9" s="1"/>
  <c r="W419" i="9" l="1"/>
  <c r="W418" i="9"/>
  <c r="X418" i="9" s="1"/>
  <c r="W417" i="9"/>
  <c r="X417" i="9" s="1"/>
  <c r="J417" i="9" s="1"/>
  <c r="M417" i="9" s="1"/>
  <c r="N417" i="9" s="1"/>
  <c r="H419" i="9" s="1"/>
  <c r="V419" i="9" s="1"/>
  <c r="W416" i="9"/>
  <c r="X416" i="9" s="1"/>
  <c r="Q181" i="1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U116" i="11"/>
  <c r="H234" i="9"/>
  <c r="P244" i="9"/>
  <c r="Q244" i="9" s="1"/>
  <c r="P245" i="9"/>
  <c r="V244" i="9"/>
  <c r="X419" i="9" l="1"/>
  <c r="J419" i="9" s="1"/>
  <c r="M419" i="9" s="1"/>
  <c r="N419" i="9" s="1"/>
  <c r="J416" i="9"/>
  <c r="M416" i="9" s="1"/>
  <c r="N416" i="9" s="1"/>
  <c r="W209" i="11"/>
  <c r="W210" i="11"/>
  <c r="W207" i="11"/>
  <c r="W208" i="11"/>
  <c r="J19" i="11"/>
  <c r="W206" i="11"/>
  <c r="W204" i="11"/>
  <c r="W205" i="11"/>
  <c r="J418" i="9"/>
  <c r="M418" i="9" s="1"/>
  <c r="N418" i="9" s="1"/>
  <c r="Q419" i="9"/>
  <c r="W203" i="11"/>
  <c r="B14" i="12"/>
  <c r="P2" i="12" s="1"/>
  <c r="T203" i="11"/>
  <c r="P234" i="9"/>
  <c r="Q234" i="9" s="1"/>
  <c r="P233" i="9"/>
  <c r="Q233" i="9" s="1"/>
  <c r="V234" i="9"/>
  <c r="W245" i="9"/>
  <c r="W244" i="9"/>
  <c r="X244" i="9" s="1"/>
  <c r="W225" i="11" l="1"/>
  <c r="W226" i="11"/>
  <c r="V225" i="11"/>
  <c r="V226" i="11"/>
  <c r="T225" i="11"/>
  <c r="T226" i="11"/>
  <c r="V223" i="11"/>
  <c r="V224" i="11"/>
  <c r="W223" i="11"/>
  <c r="W224" i="11"/>
  <c r="T223" i="11"/>
  <c r="T224" i="11"/>
  <c r="V221" i="11"/>
  <c r="V222" i="11"/>
  <c r="W221" i="11"/>
  <c r="W222" i="11"/>
  <c r="T221" i="11"/>
  <c r="T222" i="11"/>
  <c r="V220" i="11"/>
  <c r="V219" i="11"/>
  <c r="W220" i="11"/>
  <c r="W219" i="11"/>
  <c r="T220" i="11"/>
  <c r="T219" i="11"/>
  <c r="V216" i="11"/>
  <c r="V218" i="11"/>
  <c r="V217" i="11"/>
  <c r="W218" i="11"/>
  <c r="W217" i="11"/>
  <c r="T216" i="11"/>
  <c r="T218" i="11"/>
  <c r="T217" i="11"/>
  <c r="W215" i="11"/>
  <c r="W216" i="11"/>
  <c r="T215" i="11"/>
  <c r="B11" i="12"/>
  <c r="M2" i="12" s="1"/>
  <c r="V214" i="11"/>
  <c r="V215" i="11"/>
  <c r="T213" i="11"/>
  <c r="T214" i="11"/>
  <c r="W213" i="11"/>
  <c r="W214" i="11"/>
  <c r="V212" i="11"/>
  <c r="V213" i="11"/>
  <c r="T211" i="11"/>
  <c r="T212" i="11"/>
  <c r="W211" i="11"/>
  <c r="W212" i="11"/>
  <c r="V210" i="11"/>
  <c r="V211" i="11"/>
  <c r="T209" i="11"/>
  <c r="T210" i="11"/>
  <c r="V208" i="11"/>
  <c r="V209" i="11"/>
  <c r="T207" i="11"/>
  <c r="T208" i="11"/>
  <c r="V206" i="11"/>
  <c r="V207" i="11"/>
  <c r="J16" i="11"/>
  <c r="T206" i="11"/>
  <c r="V205" i="11"/>
  <c r="J18" i="11"/>
  <c r="T204" i="11"/>
  <c r="T205" i="11"/>
  <c r="V204" i="11"/>
  <c r="B13" i="12"/>
  <c r="B19" i="11"/>
  <c r="W234" i="9"/>
  <c r="X234" i="9" s="1"/>
  <c r="W233" i="9"/>
  <c r="X233" i="9" s="1"/>
  <c r="B16" i="11" l="1"/>
  <c r="O2" i="12"/>
  <c r="B18" i="11"/>
  <c r="J233" i="9"/>
  <c r="M233" i="9" s="1"/>
  <c r="N233" i="9" s="1"/>
  <c r="J234" i="9"/>
  <c r="M234" i="9" s="1"/>
  <c r="N234" i="9" s="1"/>
  <c r="L225" i="11" l="1"/>
  <c r="L226" i="11"/>
  <c r="L223" i="11"/>
  <c r="L224" i="11"/>
  <c r="L221" i="11"/>
  <c r="L222" i="11"/>
  <c r="L219" i="11"/>
  <c r="L220" i="11"/>
  <c r="L216" i="11"/>
  <c r="L218" i="11"/>
  <c r="L217" i="11"/>
  <c r="L214" i="11"/>
  <c r="L215" i="11"/>
  <c r="L212" i="11"/>
  <c r="L213" i="11"/>
  <c r="L210" i="11"/>
  <c r="L211" i="11"/>
  <c r="L208" i="11"/>
  <c r="L209" i="11"/>
  <c r="L206" i="11"/>
  <c r="L207" i="11"/>
  <c r="L204" i="11"/>
  <c r="L205" i="11"/>
  <c r="L202" i="11"/>
  <c r="L203" i="11"/>
  <c r="L200" i="11"/>
  <c r="L201" i="11"/>
  <c r="L199" i="11"/>
  <c r="L198" i="11"/>
  <c r="L197" i="11"/>
  <c r="L196" i="11"/>
  <c r="L194" i="11"/>
  <c r="L195" i="11"/>
  <c r="L192" i="11"/>
  <c r="L193" i="11"/>
  <c r="L190" i="11"/>
  <c r="L191" i="11"/>
  <c r="L187" i="11"/>
  <c r="L189" i="11"/>
  <c r="L188" i="11"/>
  <c r="L185" i="1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W350" i="9"/>
  <c r="X350" i="9" s="1"/>
  <c r="J350" i="9" s="1"/>
  <c r="M350" i="9" s="1"/>
  <c r="N350" i="9" s="1"/>
  <c r="H356" i="9" s="1"/>
  <c r="U148" i="11"/>
  <c r="H299" i="9"/>
  <c r="P148" i="11"/>
  <c r="H298" i="9"/>
  <c r="J349" i="9" l="1"/>
  <c r="M349" i="9" s="1"/>
  <c r="N349" i="9" s="1"/>
  <c r="V356" i="9"/>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W352" i="9"/>
  <c r="X352" i="9" s="1"/>
  <c r="J352" i="9" s="1"/>
  <c r="M352" i="9" s="1"/>
  <c r="N352" i="9" s="1"/>
  <c r="R175" i="11"/>
  <c r="J298" i="9"/>
  <c r="M298" i="9" s="1"/>
  <c r="N298" i="9" s="1"/>
  <c r="J299" i="9"/>
  <c r="M299" i="9" s="1"/>
  <c r="N299" i="9" s="1"/>
  <c r="J351" i="9" l="1"/>
  <c r="M351" i="9" s="1"/>
  <c r="N351" i="9" s="1"/>
  <c r="H354" i="9"/>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H424" i="9" s="1"/>
  <c r="W360" i="9"/>
  <c r="X360" i="9" s="1"/>
  <c r="J360" i="9" s="1"/>
  <c r="M360" i="9" s="1"/>
  <c r="N360" i="9" s="1"/>
  <c r="P152" i="11"/>
  <c r="H306" i="9"/>
  <c r="K152" i="11"/>
  <c r="H307" i="9"/>
  <c r="P421" i="9" l="1"/>
  <c r="P424" i="9"/>
  <c r="Q424" i="9" s="1"/>
  <c r="P422" i="9"/>
  <c r="P420" i="9"/>
  <c r="P423" i="9"/>
  <c r="V424" i="9"/>
  <c r="O204" i="11"/>
  <c r="O202" i="11"/>
  <c r="O203" i="11"/>
  <c r="O200" i="11"/>
  <c r="O201" i="11"/>
  <c r="O199" i="11"/>
  <c r="O198" i="11"/>
  <c r="O196" i="11"/>
  <c r="O197" i="11"/>
  <c r="O194" i="11"/>
  <c r="O195" i="11"/>
  <c r="O192" i="11"/>
  <c r="O193" i="11"/>
  <c r="O190" i="11"/>
  <c r="O191" i="11"/>
  <c r="O186" i="11"/>
  <c r="O189" i="11"/>
  <c r="O188" i="11"/>
  <c r="O187" i="11"/>
  <c r="O184" i="11"/>
  <c r="O185" i="11"/>
  <c r="O182" i="11"/>
  <c r="O183" i="11"/>
  <c r="O180" i="11"/>
  <c r="O181" i="11"/>
  <c r="H362" i="9"/>
  <c r="R179" i="11"/>
  <c r="O179" i="11"/>
  <c r="V307" i="9"/>
  <c r="P307" i="9"/>
  <c r="Q307" i="9" s="1"/>
  <c r="V306" i="9"/>
  <c r="P306" i="9"/>
  <c r="Q306" i="9" s="1"/>
  <c r="W424" i="9" l="1"/>
  <c r="X424" i="9" s="1"/>
  <c r="W422" i="9"/>
  <c r="W420" i="9"/>
  <c r="W423" i="9"/>
  <c r="W421" i="9"/>
  <c r="Q362" i="9"/>
  <c r="V362" i="9"/>
  <c r="X362" i="9" s="1"/>
  <c r="W306" i="9"/>
  <c r="X306" i="9" s="1"/>
  <c r="W307" i="9"/>
  <c r="X307" i="9" s="1"/>
  <c r="J362" i="9" l="1"/>
  <c r="M362" i="9" s="1"/>
  <c r="N362" i="9" s="1"/>
  <c r="J363" i="9"/>
  <c r="M363" i="9" s="1"/>
  <c r="N363" i="9" s="1"/>
  <c r="R180" i="11"/>
  <c r="J306" i="9"/>
  <c r="M306" i="9" s="1"/>
  <c r="N306" i="9" s="1"/>
  <c r="J307" i="9"/>
  <c r="M307" i="9" s="1"/>
  <c r="N307" i="9" s="1"/>
  <c r="S225" i="11" l="1"/>
  <c r="S226" i="11"/>
  <c r="S223" i="11"/>
  <c r="S224" i="11"/>
  <c r="S221" i="11"/>
  <c r="S222" i="11"/>
  <c r="S220" i="11"/>
  <c r="S219" i="11"/>
  <c r="S216" i="11"/>
  <c r="S218" i="11"/>
  <c r="S217" i="11"/>
  <c r="S214" i="11"/>
  <c r="S215" i="11"/>
  <c r="S212" i="11"/>
  <c r="S213" i="11"/>
  <c r="S210" i="11"/>
  <c r="S211" i="11"/>
  <c r="S208" i="11"/>
  <c r="S209" i="11"/>
  <c r="S206" i="11"/>
  <c r="S207" i="11"/>
  <c r="S204" i="11"/>
  <c r="S205" i="11"/>
  <c r="S202" i="11"/>
  <c r="S203" i="11"/>
  <c r="S200" i="11"/>
  <c r="S201" i="11"/>
  <c r="J15" i="11"/>
  <c r="S199" i="11"/>
  <c r="S198" i="11"/>
  <c r="S197" i="11"/>
  <c r="S196" i="11"/>
  <c r="S194" i="11"/>
  <c r="S195" i="11"/>
  <c r="S192" i="11"/>
  <c r="S193" i="11"/>
  <c r="S190" i="11"/>
  <c r="S191" i="11"/>
  <c r="S189" i="11"/>
  <c r="S188" i="11"/>
  <c r="S187" i="11"/>
  <c r="S185" i="1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225" i="11" l="1"/>
  <c r="N226" i="11"/>
  <c r="N223" i="11"/>
  <c r="N224" i="11"/>
  <c r="N221" i="11"/>
  <c r="N222" i="11"/>
  <c r="N220" i="11"/>
  <c r="N219" i="11"/>
  <c r="N216" i="11"/>
  <c r="N218" i="11"/>
  <c r="N217" i="11"/>
  <c r="N214" i="11"/>
  <c r="N215" i="11"/>
  <c r="N212" i="11"/>
  <c r="N213" i="11"/>
  <c r="N210" i="11"/>
  <c r="N211" i="11"/>
  <c r="N208" i="11"/>
  <c r="N209" i="11"/>
  <c r="N206" i="11"/>
  <c r="N207" i="11"/>
  <c r="N204" i="11"/>
  <c r="N205" i="11"/>
  <c r="N202" i="11"/>
  <c r="N203" i="11"/>
  <c r="N200" i="11"/>
  <c r="N201" i="11"/>
  <c r="J10" i="11"/>
  <c r="N199" i="11"/>
  <c r="N198" i="11"/>
  <c r="N197" i="11"/>
  <c r="N196" i="11"/>
  <c r="N194" i="11"/>
  <c r="N195" i="11"/>
  <c r="N192" i="11"/>
  <c r="N193" i="11"/>
  <c r="N190" i="11"/>
  <c r="N191" i="11"/>
  <c r="N189" i="11"/>
  <c r="N188" i="11"/>
  <c r="N187" i="11"/>
  <c r="N185" i="1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H381" i="9" l="1"/>
  <c r="V381" i="9" s="1"/>
  <c r="K185" i="11"/>
  <c r="K186" i="11"/>
  <c r="K183" i="11"/>
  <c r="K184" i="11"/>
  <c r="K181" i="11"/>
  <c r="K182" i="11"/>
  <c r="P365" i="9"/>
  <c r="Q365" i="9" s="1"/>
  <c r="P364" i="9"/>
  <c r="Q364" i="9" s="1"/>
  <c r="V364" i="9"/>
  <c r="K179" i="11"/>
  <c r="K180" i="11"/>
  <c r="K177" i="11"/>
  <c r="K178" i="11"/>
  <c r="K175" i="11"/>
  <c r="K176" i="11"/>
  <c r="K173" i="11"/>
  <c r="K174" i="11"/>
  <c r="K172" i="11"/>
  <c r="W365" i="9" l="1"/>
  <c r="X365" i="9" s="1"/>
  <c r="J365" i="9" s="1"/>
  <c r="M365" i="9" s="1"/>
  <c r="N365" i="9" s="1"/>
  <c r="W364" i="9"/>
  <c r="X364" i="9" s="1"/>
  <c r="H372" i="9" l="1"/>
  <c r="R182" i="11"/>
  <c r="R183" i="11"/>
  <c r="J364" i="9"/>
  <c r="M364" i="9" s="1"/>
  <c r="R181" i="11"/>
  <c r="V372" i="9" l="1"/>
  <c r="N364" i="9"/>
  <c r="H368" i="9" l="1"/>
  <c r="P368" i="9" s="1"/>
  <c r="Q368" i="9" s="1"/>
  <c r="H366" i="9"/>
  <c r="P181" i="11"/>
  <c r="V368" i="9" l="1"/>
  <c r="W369" i="9" s="1"/>
  <c r="X369" i="9" s="1"/>
  <c r="J369" i="9" s="1"/>
  <c r="M369" i="9" s="1"/>
  <c r="N369" i="9" s="1"/>
  <c r="H371" i="9" s="1"/>
  <c r="P369" i="9"/>
  <c r="Q369" i="9" s="1"/>
  <c r="Q366" i="9"/>
  <c r="V366" i="9"/>
  <c r="X366" i="9" s="1"/>
  <c r="W368" i="9" l="1"/>
  <c r="X368" i="9" s="1"/>
  <c r="J368" i="9" s="1"/>
  <c r="M368" i="9" s="1"/>
  <c r="N368" i="9" s="1"/>
  <c r="H370" i="9" s="1"/>
  <c r="V370" i="9" s="1"/>
  <c r="P370" i="9"/>
  <c r="P371" i="9"/>
  <c r="Q371" i="9" s="1"/>
  <c r="P372" i="9"/>
  <c r="Q372" i="9" s="1"/>
  <c r="V371" i="9"/>
  <c r="P183" i="11"/>
  <c r="U183" i="11"/>
  <c r="J366" i="9"/>
  <c r="M366" i="9" s="1"/>
  <c r="N366" i="9" s="1"/>
  <c r="J367" i="9"/>
  <c r="M367" i="9" s="1"/>
  <c r="N367" i="9" s="1"/>
  <c r="Q370" i="9" l="1"/>
  <c r="H376" i="9"/>
  <c r="H374" i="9"/>
  <c r="W371" i="9"/>
  <c r="X371" i="9" s="1"/>
  <c r="W372" i="9"/>
  <c r="X372" i="9" s="1"/>
  <c r="J372" i="9" s="1"/>
  <c r="M372" i="9" s="1"/>
  <c r="N372" i="9" s="1"/>
  <c r="H382" i="9" s="1"/>
  <c r="W370" i="9"/>
  <c r="X370" i="9" s="1"/>
  <c r="J370" i="9" s="1"/>
  <c r="M370" i="9" s="1"/>
  <c r="M183" i="11"/>
  <c r="M184" i="11"/>
  <c r="Q183" i="11"/>
  <c r="Q184" i="11"/>
  <c r="M182" i="11"/>
  <c r="Q182" i="11"/>
  <c r="P182" i="11"/>
  <c r="P382" i="9" l="1"/>
  <c r="Q382" i="9" s="1"/>
  <c r="P381" i="9"/>
  <c r="Q381" i="9" s="1"/>
  <c r="V382" i="9"/>
  <c r="R185" i="11"/>
  <c r="R186" i="11"/>
  <c r="J371" i="9"/>
  <c r="M371" i="9" s="1"/>
  <c r="N371" i="9" s="1"/>
  <c r="V376" i="9"/>
  <c r="H375" i="9"/>
  <c r="V374" i="9"/>
  <c r="N370" i="9"/>
  <c r="U184" i="11"/>
  <c r="R184" i="11"/>
  <c r="W382" i="9" l="1"/>
  <c r="X382" i="9" s="1"/>
  <c r="W381" i="9"/>
  <c r="X381" i="9" s="1"/>
  <c r="J381" i="9" s="1"/>
  <c r="M381" i="9" s="1"/>
  <c r="N381" i="9" s="1"/>
  <c r="V375" i="9"/>
  <c r="H373" i="9"/>
  <c r="P184" i="11"/>
  <c r="J382" i="9" l="1"/>
  <c r="M382" i="9" s="1"/>
  <c r="N382" i="9" s="1"/>
  <c r="H384" i="9"/>
  <c r="R187" i="11"/>
  <c r="H383" i="9"/>
  <c r="K187" i="11"/>
  <c r="P374" i="9"/>
  <c r="Q374" i="9" s="1"/>
  <c r="P375" i="9"/>
  <c r="Q375" i="9" s="1"/>
  <c r="P373" i="9"/>
  <c r="Q373" i="9" s="1"/>
  <c r="P376" i="9"/>
  <c r="Q376" i="9" s="1"/>
  <c r="V373" i="9"/>
  <c r="P384" i="9" l="1"/>
  <c r="Q384" i="9" s="1"/>
  <c r="P383" i="9"/>
  <c r="Q383" i="9" s="1"/>
  <c r="V383" i="9"/>
  <c r="V384" i="9"/>
  <c r="W375" i="9"/>
  <c r="X375" i="9" s="1"/>
  <c r="J375" i="9" s="1"/>
  <c r="M375" i="9" s="1"/>
  <c r="N375" i="9" s="1"/>
  <c r="W373" i="9"/>
  <c r="X373" i="9" s="1"/>
  <c r="W376" i="9"/>
  <c r="X376" i="9" s="1"/>
  <c r="J376" i="9" s="1"/>
  <c r="M376" i="9" s="1"/>
  <c r="N376" i="9" s="1"/>
  <c r="W374" i="9"/>
  <c r="X374" i="9" s="1"/>
  <c r="J374" i="9" s="1"/>
  <c r="M374" i="9" s="1"/>
  <c r="N374" i="9" s="1"/>
  <c r="D4" i="11"/>
  <c r="W384" i="9" l="1"/>
  <c r="X384" i="9" s="1"/>
  <c r="W383" i="9"/>
  <c r="X383" i="9" s="1"/>
  <c r="J383" i="9" s="1"/>
  <c r="M383" i="9" s="1"/>
  <c r="N383" i="9" s="1"/>
  <c r="J373" i="9"/>
  <c r="M373" i="9" s="1"/>
  <c r="N373" i="9" s="1"/>
  <c r="P185" i="11" s="1"/>
  <c r="H380" i="9"/>
  <c r="H379" i="9"/>
  <c r="H378" i="9"/>
  <c r="Q185" i="11"/>
  <c r="M185" i="11"/>
  <c r="U185" i="11"/>
  <c r="Q18" i="11"/>
  <c r="Q8" i="11"/>
  <c r="Q11" i="11"/>
  <c r="Q13" i="11"/>
  <c r="Q17" i="11"/>
  <c r="Q9" i="11"/>
  <c r="Q10" i="11"/>
  <c r="Q14" i="11"/>
  <c r="Q12" i="11"/>
  <c r="Q15" i="11"/>
  <c r="Q19" i="11"/>
  <c r="Q7" i="11"/>
  <c r="Q16" i="11"/>
  <c r="H385" i="9" l="1"/>
  <c r="K188" i="11"/>
  <c r="J384" i="9"/>
  <c r="M384" i="9" s="1"/>
  <c r="N384" i="9" s="1"/>
  <c r="P378" i="9"/>
  <c r="Q378" i="9" s="1"/>
  <c r="P379" i="9"/>
  <c r="Q379" i="9" s="1"/>
  <c r="P377" i="9"/>
  <c r="P380" i="9"/>
  <c r="Q380" i="9" s="1"/>
  <c r="V380" i="9"/>
  <c r="V379" i="9"/>
  <c r="V378" i="9"/>
  <c r="H377" i="9"/>
  <c r="R10" i="11"/>
  <c r="S10" i="11" s="1"/>
  <c r="T10" i="11"/>
  <c r="R16" i="11"/>
  <c r="S16" i="11" s="1"/>
  <c r="T16" i="11"/>
  <c r="T19" i="11"/>
  <c r="R19" i="11"/>
  <c r="S19" i="11" s="1"/>
  <c r="R12" i="11"/>
  <c r="T12" i="11"/>
  <c r="B17" i="4" s="1"/>
  <c r="R9" i="11"/>
  <c r="T9" i="11"/>
  <c r="T8" i="11"/>
  <c r="R8" i="11"/>
  <c r="S8" i="11" s="1"/>
  <c r="T7" i="11"/>
  <c r="R7" i="11"/>
  <c r="R15" i="11"/>
  <c r="S15" i="11" s="1"/>
  <c r="T15" i="11"/>
  <c r="T14" i="11"/>
  <c r="R14" i="11"/>
  <c r="R17" i="11"/>
  <c r="T17" i="11"/>
  <c r="T13" i="11"/>
  <c r="R13" i="11"/>
  <c r="R11" i="11"/>
  <c r="T11" i="11"/>
  <c r="T18" i="11"/>
  <c r="R18" i="11"/>
  <c r="S18" i="11" s="1"/>
  <c r="V385" i="9" l="1"/>
  <c r="R188" i="11"/>
  <c r="H386" i="9"/>
  <c r="W379" i="9"/>
  <c r="X379" i="9" s="1"/>
  <c r="J379" i="9" s="1"/>
  <c r="M379" i="9" s="1"/>
  <c r="N379" i="9" s="1"/>
  <c r="W377" i="9"/>
  <c r="W380" i="9"/>
  <c r="X380" i="9" s="1"/>
  <c r="W378" i="9"/>
  <c r="X378" i="9" s="1"/>
  <c r="J378" i="9" s="1"/>
  <c r="M378" i="9" s="1"/>
  <c r="N378" i="9" s="1"/>
  <c r="Q377" i="9"/>
  <c r="V377" i="9"/>
  <c r="F83" i="6"/>
  <c r="S83" i="6" s="1"/>
  <c r="AI15" i="11"/>
  <c r="W15" i="11"/>
  <c r="F91" i="6"/>
  <c r="S91" i="6" s="1"/>
  <c r="AI18" i="11"/>
  <c r="W18" i="11"/>
  <c r="F90" i="6"/>
  <c r="S90" i="6" s="1"/>
  <c r="AI8" i="11"/>
  <c r="W8" i="11"/>
  <c r="F92" i="6"/>
  <c r="S92" i="6" s="1"/>
  <c r="AI19" i="11"/>
  <c r="W19" i="11"/>
  <c r="F96" i="6"/>
  <c r="S96" i="6" s="1"/>
  <c r="W16" i="11"/>
  <c r="AI16" i="11"/>
  <c r="F95" i="6"/>
  <c r="S95" i="6" s="1"/>
  <c r="AI10" i="11"/>
  <c r="W10" i="11"/>
  <c r="H423" i="9" l="1"/>
  <c r="Q204" i="11"/>
  <c r="Q202" i="11"/>
  <c r="Q203" i="11"/>
  <c r="Q200" i="11"/>
  <c r="Q201" i="11"/>
  <c r="Q199" i="11"/>
  <c r="Q198" i="11"/>
  <c r="Q196" i="11"/>
  <c r="Q197" i="11"/>
  <c r="Q194" i="11"/>
  <c r="Q195" i="11"/>
  <c r="Q192" i="11"/>
  <c r="Q193" i="11"/>
  <c r="Q190" i="11"/>
  <c r="Q191" i="11"/>
  <c r="H388" i="9"/>
  <c r="P386" i="9"/>
  <c r="Q386" i="9" s="1"/>
  <c r="P385" i="9"/>
  <c r="Q385" i="9" s="1"/>
  <c r="V386" i="9"/>
  <c r="Q189" i="11"/>
  <c r="Q188" i="11"/>
  <c r="Q187" i="11"/>
  <c r="U189" i="11"/>
  <c r="U188" i="11"/>
  <c r="U187" i="11"/>
  <c r="X377" i="9"/>
  <c r="J377" i="9" s="1"/>
  <c r="M377" i="9" s="1"/>
  <c r="N377" i="9" s="1"/>
  <c r="Q186" i="11"/>
  <c r="U186" i="11"/>
  <c r="Q423" i="9" l="1"/>
  <c r="V423" i="9"/>
  <c r="X423" i="9" s="1"/>
  <c r="P388" i="9"/>
  <c r="Q388" i="9" s="1"/>
  <c r="P387" i="9"/>
  <c r="V388" i="9"/>
  <c r="H387" i="9"/>
  <c r="W385" i="9"/>
  <c r="X385" i="9" s="1"/>
  <c r="J385" i="9" s="1"/>
  <c r="M385" i="9" s="1"/>
  <c r="N385" i="9" s="1"/>
  <c r="H402" i="9" s="1"/>
  <c r="W386" i="9"/>
  <c r="X386" i="9" s="1"/>
  <c r="P189" i="11"/>
  <c r="P188" i="11"/>
  <c r="P187" i="11"/>
  <c r="J380" i="9"/>
  <c r="M380" i="9" s="1"/>
  <c r="P186" i="11"/>
  <c r="J423" i="9" l="1"/>
  <c r="M423" i="9" s="1"/>
  <c r="N423" i="9" s="1"/>
  <c r="Q205" i="11"/>
  <c r="B8" i="12"/>
  <c r="V402" i="9"/>
  <c r="K194" i="11"/>
  <c r="K195" i="11"/>
  <c r="J386" i="9"/>
  <c r="M386" i="9" s="1"/>
  <c r="N386" i="9" s="1"/>
  <c r="H403" i="9" s="1"/>
  <c r="K192" i="11"/>
  <c r="K193" i="11"/>
  <c r="R191" i="11"/>
  <c r="K190" i="11"/>
  <c r="K191" i="11"/>
  <c r="W387" i="9"/>
  <c r="W388" i="9"/>
  <c r="X388" i="9" s="1"/>
  <c r="Q387" i="9"/>
  <c r="V387" i="9"/>
  <c r="K189" i="11"/>
  <c r="N380" i="9"/>
  <c r="H395" i="9" s="1"/>
  <c r="Q225" i="11" l="1"/>
  <c r="Q226" i="11"/>
  <c r="Q223" i="11"/>
  <c r="Q224" i="11"/>
  <c r="Q221" i="11"/>
  <c r="Q222" i="11"/>
  <c r="Q220" i="11"/>
  <c r="Q219" i="11"/>
  <c r="Q217" i="11"/>
  <c r="Q218" i="11"/>
  <c r="Q215" i="11"/>
  <c r="Q216" i="11"/>
  <c r="Q213" i="11"/>
  <c r="Q214" i="11"/>
  <c r="Q211" i="11"/>
  <c r="Q212" i="11"/>
  <c r="Q209" i="11"/>
  <c r="Q210" i="11"/>
  <c r="R190" i="11"/>
  <c r="R193" i="11"/>
  <c r="R192" i="11"/>
  <c r="R189" i="11"/>
  <c r="Q207" i="11"/>
  <c r="Q208" i="11"/>
  <c r="Q206" i="11"/>
  <c r="J13" i="11"/>
  <c r="J2" i="12"/>
  <c r="B13" i="11"/>
  <c r="S13" i="11" s="1"/>
  <c r="V403" i="9"/>
  <c r="W403" i="9"/>
  <c r="P403" i="9"/>
  <c r="Q403" i="9" s="1"/>
  <c r="P402" i="9"/>
  <c r="Q402" i="9" s="1"/>
  <c r="W402" i="9"/>
  <c r="X402" i="9" s="1"/>
  <c r="R194" i="11"/>
  <c r="R195" i="11"/>
  <c r="V395" i="9"/>
  <c r="M192" i="11"/>
  <c r="M190" i="11"/>
  <c r="M191" i="11"/>
  <c r="X387" i="9"/>
  <c r="J387" i="9" s="1"/>
  <c r="M387" i="9" s="1"/>
  <c r="N387" i="9" s="1"/>
  <c r="P190" i="11"/>
  <c r="M189" i="11"/>
  <c r="M188" i="11"/>
  <c r="M187" i="11"/>
  <c r="M186" i="11"/>
  <c r="AI13" i="11" l="1"/>
  <c r="W13" i="11"/>
  <c r="F85" i="6"/>
  <c r="S85" i="6" s="1"/>
  <c r="X403" i="9"/>
  <c r="J403" i="9" s="1"/>
  <c r="M403" i="9" s="1"/>
  <c r="N403" i="9" s="1"/>
  <c r="H405" i="9" s="1"/>
  <c r="V405" i="9" s="1"/>
  <c r="R196" i="11"/>
  <c r="J388" i="9"/>
  <c r="M388" i="9" s="1"/>
  <c r="N388" i="9" s="1"/>
  <c r="H390" i="9"/>
  <c r="H389" i="9"/>
  <c r="U190" i="11"/>
  <c r="J402" i="9" l="1"/>
  <c r="M402" i="9" s="1"/>
  <c r="N402" i="9" s="1"/>
  <c r="P405" i="9"/>
  <c r="Q405" i="9" s="1"/>
  <c r="P404" i="9"/>
  <c r="P390" i="9"/>
  <c r="Q390" i="9" s="1"/>
  <c r="P389" i="9"/>
  <c r="Q389" i="9" s="1"/>
  <c r="V389" i="9"/>
  <c r="V390" i="9"/>
  <c r="H404" i="9" l="1"/>
  <c r="V404" i="9" s="1"/>
  <c r="K196" i="11"/>
  <c r="W405" i="9"/>
  <c r="X405" i="9" s="1"/>
  <c r="W404" i="9"/>
  <c r="W389" i="9"/>
  <c r="X389" i="9" s="1"/>
  <c r="J389" i="9" s="1"/>
  <c r="M389" i="9" s="1"/>
  <c r="W390" i="9"/>
  <c r="X390" i="9" s="1"/>
  <c r="J390" i="9" l="1"/>
  <c r="M390" i="9" s="1"/>
  <c r="N390" i="9" s="1"/>
  <c r="X404" i="9"/>
  <c r="J404" i="9" s="1"/>
  <c r="M404" i="9" s="1"/>
  <c r="N404" i="9" s="1"/>
  <c r="H406" i="9" s="1"/>
  <c r="V406" i="9" s="1"/>
  <c r="J405" i="9"/>
  <c r="M405" i="9" s="1"/>
  <c r="N405" i="9" s="1"/>
  <c r="H407" i="9" s="1"/>
  <c r="P407" i="9" s="1"/>
  <c r="Q407" i="9" s="1"/>
  <c r="Q404" i="9"/>
  <c r="K197" i="11"/>
  <c r="R197" i="11"/>
  <c r="H392" i="9"/>
  <c r="U191" i="11"/>
  <c r="N389" i="9"/>
  <c r="P191" i="11"/>
  <c r="P406" i="9" l="1"/>
  <c r="Q406" i="9" s="1"/>
  <c r="V407" i="9"/>
  <c r="W407" i="9"/>
  <c r="X407" i="9" s="1"/>
  <c r="W406" i="9"/>
  <c r="X406" i="9" s="1"/>
  <c r="J406" i="9" s="1"/>
  <c r="M406" i="9" s="1"/>
  <c r="N406" i="9" s="1"/>
  <c r="P392" i="9"/>
  <c r="Q392" i="9" s="1"/>
  <c r="P391" i="9"/>
  <c r="V392" i="9"/>
  <c r="H391" i="9"/>
  <c r="J407" i="9" l="1"/>
  <c r="M407" i="9" s="1"/>
  <c r="N407" i="9" s="1"/>
  <c r="H408" i="9"/>
  <c r="K198" i="11"/>
  <c r="H409" i="9"/>
  <c r="R198" i="11"/>
  <c r="W392" i="9"/>
  <c r="X392" i="9" s="1"/>
  <c r="W391" i="9"/>
  <c r="Q391" i="9"/>
  <c r="V391" i="9"/>
  <c r="P409" i="9" l="1"/>
  <c r="Q409" i="9" s="1"/>
  <c r="P408" i="9"/>
  <c r="Q408" i="9" s="1"/>
  <c r="V409" i="9"/>
  <c r="V408" i="9"/>
  <c r="X391" i="9"/>
  <c r="J391" i="9" s="1"/>
  <c r="M391" i="9" s="1"/>
  <c r="N391" i="9" s="1"/>
  <c r="J392" i="9" l="1"/>
  <c r="M392" i="9" s="1"/>
  <c r="N392" i="9" s="1"/>
  <c r="W408" i="9"/>
  <c r="X408" i="9" s="1"/>
  <c r="W409" i="9"/>
  <c r="X409" i="9" s="1"/>
  <c r="J409" i="9" s="1"/>
  <c r="M409" i="9" s="1"/>
  <c r="N409" i="9" s="1"/>
  <c r="H393" i="9"/>
  <c r="H394" i="9"/>
  <c r="U192" i="11"/>
  <c r="P192" i="11"/>
  <c r="H422" i="9" l="1"/>
  <c r="R204" i="11"/>
  <c r="R202" i="11"/>
  <c r="R203" i="11"/>
  <c r="R200" i="11"/>
  <c r="R201" i="11"/>
  <c r="R199" i="11"/>
  <c r="J408" i="9"/>
  <c r="M408" i="9" s="1"/>
  <c r="N408" i="9" s="1"/>
  <c r="K199" i="11"/>
  <c r="V394" i="9"/>
  <c r="P395" i="9"/>
  <c r="Q395" i="9" s="1"/>
  <c r="P393" i="9"/>
  <c r="Q393" i="9" s="1"/>
  <c r="P394" i="9"/>
  <c r="Q394" i="9" s="1"/>
  <c r="V393" i="9"/>
  <c r="Q422" i="9" l="1"/>
  <c r="V422" i="9"/>
  <c r="X422" i="9" s="1"/>
  <c r="H421" i="9"/>
  <c r="K204" i="11"/>
  <c r="K202" i="11"/>
  <c r="K203" i="11"/>
  <c r="K200" i="11"/>
  <c r="K201" i="11"/>
  <c r="W394" i="9"/>
  <c r="X394" i="9" s="1"/>
  <c r="W395" i="9"/>
  <c r="X395" i="9" s="1"/>
  <c r="J395" i="9" s="1"/>
  <c r="M395" i="9" s="1"/>
  <c r="N395" i="9" s="1"/>
  <c r="W393" i="9"/>
  <c r="X393" i="9" s="1"/>
  <c r="J422" i="9" l="1"/>
  <c r="M422" i="9" s="1"/>
  <c r="N422" i="9" s="1"/>
  <c r="H426" i="9" s="1"/>
  <c r="R205" i="11"/>
  <c r="V421" i="9"/>
  <c r="X421" i="9" s="1"/>
  <c r="J421" i="9" s="1"/>
  <c r="M421" i="9" s="1"/>
  <c r="N421" i="9" s="1"/>
  <c r="Q421" i="9"/>
  <c r="H397" i="9"/>
  <c r="J394" i="9"/>
  <c r="M394" i="9" s="1"/>
  <c r="N394" i="9" s="1"/>
  <c r="J393" i="9"/>
  <c r="M393" i="9" s="1"/>
  <c r="N393" i="9" s="1"/>
  <c r="M193" i="11"/>
  <c r="K225" i="11" l="1"/>
  <c r="K226" i="11"/>
  <c r="K223" i="11"/>
  <c r="K224" i="11"/>
  <c r="K221" i="11"/>
  <c r="K222" i="11"/>
  <c r="K219" i="11"/>
  <c r="K220" i="11"/>
  <c r="K218" i="11"/>
  <c r="K217" i="11"/>
  <c r="K215" i="11"/>
  <c r="K216" i="11"/>
  <c r="K213" i="11"/>
  <c r="K214" i="11"/>
  <c r="K211" i="11"/>
  <c r="K212" i="11"/>
  <c r="K209" i="11"/>
  <c r="K210" i="11"/>
  <c r="K207" i="11"/>
  <c r="K208" i="11"/>
  <c r="P426" i="9"/>
  <c r="Q426" i="9" s="1"/>
  <c r="P425" i="9"/>
  <c r="V426" i="9"/>
  <c r="K206" i="11"/>
  <c r="J7" i="11"/>
  <c r="B2" i="12"/>
  <c r="K205" i="11"/>
  <c r="H398" i="9"/>
  <c r="V397" i="9"/>
  <c r="H396" i="9"/>
  <c r="P193" i="11"/>
  <c r="U193" i="11"/>
  <c r="W426" i="9" l="1"/>
  <c r="X426" i="9" s="1"/>
  <c r="W425" i="9"/>
  <c r="D2" i="12"/>
  <c r="B7" i="11"/>
  <c r="S7" i="11" s="1"/>
  <c r="P398" i="9"/>
  <c r="Q398" i="9" s="1"/>
  <c r="P396" i="9"/>
  <c r="Q396" i="9" s="1"/>
  <c r="P397" i="9"/>
  <c r="Q397" i="9" s="1"/>
  <c r="V398" i="9"/>
  <c r="V396" i="9"/>
  <c r="F88" i="6" l="1"/>
  <c r="S88" i="6" s="1"/>
  <c r="AI7" i="11"/>
  <c r="W7" i="11"/>
  <c r="W398" i="9"/>
  <c r="X398" i="9" s="1"/>
  <c r="W396" i="9"/>
  <c r="X396" i="9" s="1"/>
  <c r="J396" i="9" s="1"/>
  <c r="M396" i="9" s="1"/>
  <c r="W397" i="9"/>
  <c r="X397" i="9" s="1"/>
  <c r="J397" i="9" s="1"/>
  <c r="M397" i="9" s="1"/>
  <c r="N397" i="9" s="1"/>
  <c r="J398" i="9" l="1"/>
  <c r="M398" i="9" s="1"/>
  <c r="N398" i="9" s="1"/>
  <c r="H401" i="9"/>
  <c r="H400" i="9"/>
  <c r="N396" i="9"/>
  <c r="U194" i="11"/>
  <c r="M194" i="11"/>
  <c r="P194" i="11"/>
  <c r="V401" i="9" l="1"/>
  <c r="V400" i="9"/>
  <c r="H399" i="9"/>
  <c r="P399" i="9" l="1"/>
  <c r="Q399" i="9" s="1"/>
  <c r="P400" i="9"/>
  <c r="Q400" i="9" s="1"/>
  <c r="P401" i="9"/>
  <c r="Q401" i="9" s="1"/>
  <c r="V399" i="9"/>
  <c r="W400" i="9" l="1"/>
  <c r="X400" i="9" s="1"/>
  <c r="J400" i="9" s="1"/>
  <c r="M400" i="9" s="1"/>
  <c r="N400" i="9" s="1"/>
  <c r="W401" i="9"/>
  <c r="X401" i="9" s="1"/>
  <c r="J401" i="9" s="1"/>
  <c r="M401" i="9" s="1"/>
  <c r="N401" i="9" s="1"/>
  <c r="W399" i="9"/>
  <c r="X399" i="9" s="1"/>
  <c r="J399" i="9" s="1"/>
  <c r="M399" i="9" s="1"/>
  <c r="M225" i="11" l="1"/>
  <c r="M226" i="11"/>
  <c r="M223" i="11"/>
  <c r="M224" i="11"/>
  <c r="M221" i="11"/>
  <c r="M222" i="11"/>
  <c r="M220" i="11"/>
  <c r="M219" i="11"/>
  <c r="M218" i="11"/>
  <c r="M217" i="11"/>
  <c r="M215" i="11"/>
  <c r="M216" i="11"/>
  <c r="M213" i="11"/>
  <c r="M214" i="11"/>
  <c r="M211" i="11"/>
  <c r="M212" i="11"/>
  <c r="H436" i="9"/>
  <c r="U209" i="11"/>
  <c r="U210" i="11"/>
  <c r="M209" i="11"/>
  <c r="M210" i="11"/>
  <c r="U207" i="11"/>
  <c r="U208" i="11"/>
  <c r="M207" i="11"/>
  <c r="M208" i="11"/>
  <c r="J17" i="11"/>
  <c r="U206" i="11"/>
  <c r="J9" i="11"/>
  <c r="M206" i="11"/>
  <c r="U204" i="11"/>
  <c r="U205" i="11"/>
  <c r="M204" i="11"/>
  <c r="M205" i="11"/>
  <c r="U202" i="11"/>
  <c r="U203" i="11"/>
  <c r="M202" i="11"/>
  <c r="M203" i="11"/>
  <c r="U200" i="11"/>
  <c r="U201" i="11"/>
  <c r="M200" i="11"/>
  <c r="M201" i="11"/>
  <c r="U199" i="11"/>
  <c r="U198" i="11"/>
  <c r="M199" i="11"/>
  <c r="M198" i="11"/>
  <c r="U197" i="11"/>
  <c r="U196" i="11"/>
  <c r="M197" i="11"/>
  <c r="M196" i="11"/>
  <c r="N399" i="9"/>
  <c r="H420" i="9" s="1"/>
  <c r="U195" i="11"/>
  <c r="M195" i="11"/>
  <c r="B4" i="12"/>
  <c r="P195" i="11"/>
  <c r="V436" i="9" l="1"/>
  <c r="Q420" i="9"/>
  <c r="V420" i="9"/>
  <c r="X420" i="9" s="1"/>
  <c r="P203" i="11"/>
  <c r="P204" i="11"/>
  <c r="P201" i="11"/>
  <c r="P202" i="11"/>
  <c r="P200" i="11"/>
  <c r="P199" i="11"/>
  <c r="P198" i="11"/>
  <c r="P196" i="11"/>
  <c r="P197" i="11"/>
  <c r="F2" i="12"/>
  <c r="B9" i="11"/>
  <c r="S9" i="11" s="1"/>
  <c r="J420" i="9" l="1"/>
  <c r="M420" i="9" s="1"/>
  <c r="N420" i="9" s="1"/>
  <c r="H425" i="9" s="1"/>
  <c r="J424" i="9"/>
  <c r="M424" i="9" s="1"/>
  <c r="N424" i="9" s="1"/>
  <c r="H448" i="9" s="1"/>
  <c r="F93" i="6"/>
  <c r="S93" i="6" s="1"/>
  <c r="AI9" i="11"/>
  <c r="W9" i="11"/>
  <c r="P448" i="9" l="1"/>
  <c r="Q448" i="9" s="1"/>
  <c r="P449" i="9"/>
  <c r="V448" i="9"/>
  <c r="O215" i="11"/>
  <c r="O213" i="11"/>
  <c r="O214" i="11"/>
  <c r="O211" i="11"/>
  <c r="O212" i="11"/>
  <c r="O209" i="11"/>
  <c r="O210" i="11"/>
  <c r="O207" i="11"/>
  <c r="O208" i="11"/>
  <c r="Q425" i="9"/>
  <c r="V425" i="9"/>
  <c r="X425" i="9" s="1"/>
  <c r="O206" i="11"/>
  <c r="J11" i="11"/>
  <c r="O205" i="11"/>
  <c r="P205" i="11"/>
  <c r="W449" i="9" l="1"/>
  <c r="W448" i="9"/>
  <c r="X448" i="9" s="1"/>
  <c r="J425" i="9"/>
  <c r="M425" i="9" s="1"/>
  <c r="J426" i="9"/>
  <c r="M426" i="9" s="1"/>
  <c r="N426" i="9" s="1"/>
  <c r="H428" i="9" l="1"/>
  <c r="R206" i="11"/>
  <c r="N425" i="9"/>
  <c r="V428" i="9" l="1"/>
  <c r="H427" i="9"/>
  <c r="P206" i="11"/>
  <c r="P428" i="9" l="1"/>
  <c r="Q428" i="9" s="1"/>
  <c r="P427" i="9"/>
  <c r="Q427" i="9" s="1"/>
  <c r="V427" i="9"/>
  <c r="W428" i="9" l="1"/>
  <c r="X428" i="9" s="1"/>
  <c r="J428" i="9" s="1"/>
  <c r="M428" i="9" s="1"/>
  <c r="N428" i="9" s="1"/>
  <c r="W427" i="9"/>
  <c r="X427" i="9" s="1"/>
  <c r="J427" i="9" s="1"/>
  <c r="M427" i="9" s="1"/>
  <c r="H430" i="9" l="1"/>
  <c r="N427" i="9"/>
  <c r="R207" i="11"/>
  <c r="P207" i="11"/>
  <c r="V430" i="9" l="1"/>
  <c r="H429" i="9"/>
  <c r="P430" i="9" l="1"/>
  <c r="Q430" i="9" s="1"/>
  <c r="P429" i="9"/>
  <c r="Q429" i="9" s="1"/>
  <c r="V429" i="9"/>
  <c r="W430" i="9" l="1"/>
  <c r="X430" i="9" s="1"/>
  <c r="J430" i="9" s="1"/>
  <c r="M430" i="9" s="1"/>
  <c r="N430" i="9" s="1"/>
  <c r="W429" i="9"/>
  <c r="X429" i="9" s="1"/>
  <c r="J429" i="9" s="1"/>
  <c r="M429" i="9" s="1"/>
  <c r="H432" i="9" l="1"/>
  <c r="N429" i="9"/>
  <c r="R208" i="11"/>
  <c r="P208" i="11"/>
  <c r="P431" i="9" l="1"/>
  <c r="P432" i="9"/>
  <c r="Q432" i="9" s="1"/>
  <c r="V432" i="9"/>
  <c r="H431" i="9"/>
  <c r="W432" i="9" l="1"/>
  <c r="X432" i="9" s="1"/>
  <c r="W431" i="9"/>
  <c r="Q431" i="9"/>
  <c r="V431" i="9"/>
  <c r="J432" i="9" l="1"/>
  <c r="M432" i="9" s="1"/>
  <c r="N432" i="9" s="1"/>
  <c r="X431" i="9"/>
  <c r="J431" i="9" s="1"/>
  <c r="M431" i="9" s="1"/>
  <c r="N431" i="9" s="1"/>
  <c r="H434" i="9" l="1"/>
  <c r="H433" i="9"/>
  <c r="R209" i="11"/>
  <c r="P209" i="11"/>
  <c r="P433" i="9" l="1"/>
  <c r="Q433" i="9" s="1"/>
  <c r="P434" i="9"/>
  <c r="Q434" i="9" s="1"/>
  <c r="V434" i="9"/>
  <c r="V433" i="9"/>
  <c r="W434" i="9" l="1"/>
  <c r="X434" i="9" s="1"/>
  <c r="W433" i="9"/>
  <c r="X433" i="9" s="1"/>
  <c r="J433" i="9" s="1"/>
  <c r="M433" i="9" s="1"/>
  <c r="J434" i="9" l="1"/>
  <c r="M434" i="9" s="1"/>
  <c r="N434" i="9" s="1"/>
  <c r="R211" i="11"/>
  <c r="N433" i="9"/>
  <c r="J12" i="11" s="1"/>
  <c r="R210" i="11"/>
  <c r="P210" i="11"/>
  <c r="H438" i="9" l="1"/>
  <c r="V438" i="9" s="1"/>
  <c r="J14" i="11"/>
  <c r="K14" i="11" s="1"/>
  <c r="H435" i="9"/>
  <c r="K13" i="11" l="1"/>
  <c r="K8" i="11"/>
  <c r="K9" i="11"/>
  <c r="K11" i="11"/>
  <c r="K17" i="11"/>
  <c r="K20" i="11"/>
  <c r="K15" i="11"/>
  <c r="K19" i="11"/>
  <c r="K7" i="11"/>
  <c r="K16" i="11"/>
  <c r="K10" i="11"/>
  <c r="K18" i="11"/>
  <c r="K12" i="11"/>
  <c r="P435" i="9"/>
  <c r="Q435" i="9" s="1"/>
  <c r="P436" i="9"/>
  <c r="Q436" i="9" s="1"/>
  <c r="V435" i="9"/>
  <c r="W436" i="9" l="1"/>
  <c r="X436" i="9" s="1"/>
  <c r="J436" i="9" s="1"/>
  <c r="M436" i="9" s="1"/>
  <c r="N436" i="9" s="1"/>
  <c r="W435" i="9"/>
  <c r="X435" i="9" s="1"/>
  <c r="J435" i="9" s="1"/>
  <c r="M435" i="9" s="1"/>
  <c r="H439" i="9" l="1"/>
  <c r="N435" i="9"/>
  <c r="U211" i="11"/>
  <c r="P211" i="11"/>
  <c r="V439" i="9" l="1"/>
  <c r="H437" i="9"/>
  <c r="P439" i="9" l="1"/>
  <c r="Q439" i="9" s="1"/>
  <c r="P437" i="9"/>
  <c r="Q437" i="9" s="1"/>
  <c r="P438" i="9"/>
  <c r="Q438" i="9" s="1"/>
  <c r="V437" i="9"/>
  <c r="W437" i="9" l="1"/>
  <c r="X437" i="9" s="1"/>
  <c r="J437" i="9" s="1"/>
  <c r="M437" i="9" s="1"/>
  <c r="W438" i="9"/>
  <c r="X438" i="9" s="1"/>
  <c r="J438" i="9" s="1"/>
  <c r="M438" i="9" s="1"/>
  <c r="N438" i="9" s="1"/>
  <c r="W439" i="9"/>
  <c r="X439" i="9" s="1"/>
  <c r="J439" i="9" s="1"/>
  <c r="M439" i="9" s="1"/>
  <c r="N439" i="9" s="1"/>
  <c r="H442" i="9" l="1"/>
  <c r="H441" i="9"/>
  <c r="N437" i="9"/>
  <c r="U212" i="11"/>
  <c r="R212" i="11"/>
  <c r="P212" i="11"/>
  <c r="P441" i="9" l="1"/>
  <c r="Q441" i="9" s="1"/>
  <c r="P442" i="9"/>
  <c r="Q442" i="9" s="1"/>
  <c r="P440" i="9"/>
  <c r="V442" i="9"/>
  <c r="V441" i="9"/>
  <c r="H440" i="9"/>
  <c r="W441" i="9" l="1"/>
  <c r="X441" i="9" s="1"/>
  <c r="W442" i="9"/>
  <c r="X442" i="9" s="1"/>
  <c r="J442" i="9" s="1"/>
  <c r="M442" i="9" s="1"/>
  <c r="N442" i="9" s="1"/>
  <c r="W440" i="9"/>
  <c r="Q440" i="9"/>
  <c r="V440" i="9"/>
  <c r="H445" i="9" l="1"/>
  <c r="X440" i="9"/>
  <c r="J440" i="9" s="1"/>
  <c r="M440" i="9" s="1"/>
  <c r="J441" i="9"/>
  <c r="M441" i="9" s="1"/>
  <c r="N441" i="9" s="1"/>
  <c r="U213" i="11"/>
  <c r="R213" i="11"/>
  <c r="N440" i="9"/>
  <c r="V445" i="9" l="1"/>
  <c r="H444" i="9"/>
  <c r="H443" i="9"/>
  <c r="P213" i="11"/>
  <c r="P445" i="9" l="1"/>
  <c r="Q445" i="9" s="1"/>
  <c r="P443" i="9"/>
  <c r="Q443" i="9" s="1"/>
  <c r="P444" i="9"/>
  <c r="Q444" i="9" s="1"/>
  <c r="V444" i="9"/>
  <c r="V443" i="9"/>
  <c r="W445" i="9" l="1"/>
  <c r="X445" i="9" s="1"/>
  <c r="J445" i="9" s="1"/>
  <c r="M445" i="9" s="1"/>
  <c r="N445" i="9" s="1"/>
  <c r="W443" i="9"/>
  <c r="X443" i="9" s="1"/>
  <c r="J443" i="9" s="1"/>
  <c r="M443" i="9" s="1"/>
  <c r="W444" i="9"/>
  <c r="X444" i="9" s="1"/>
  <c r="J444" i="9" l="1"/>
  <c r="M444" i="9" s="1"/>
  <c r="N444" i="9" s="1"/>
  <c r="H469" i="9" s="1"/>
  <c r="R221" i="11"/>
  <c r="R222" i="11"/>
  <c r="R220" i="11"/>
  <c r="R219" i="11"/>
  <c r="R217" i="11"/>
  <c r="R218" i="11"/>
  <c r="R215" i="11"/>
  <c r="R216" i="11"/>
  <c r="H447" i="9"/>
  <c r="R214" i="11"/>
  <c r="N443" i="9"/>
  <c r="H446" i="9" s="1"/>
  <c r="U214" i="11"/>
  <c r="P214" i="11"/>
  <c r="V469" i="9" l="1"/>
  <c r="R225" i="11"/>
  <c r="R223" i="11"/>
  <c r="R224" i="11"/>
  <c r="P447" i="9"/>
  <c r="Q447" i="9" s="1"/>
  <c r="P446" i="9"/>
  <c r="Q446" i="9" s="1"/>
  <c r="V447" i="9"/>
  <c r="V446" i="9"/>
  <c r="W447" i="9" l="1"/>
  <c r="X447" i="9" s="1"/>
  <c r="J447" i="9" s="1"/>
  <c r="M447" i="9" s="1"/>
  <c r="N447" i="9" s="1"/>
  <c r="W446" i="9"/>
  <c r="X446" i="9" s="1"/>
  <c r="J446" i="9" s="1"/>
  <c r="M446" i="9" s="1"/>
  <c r="U225" i="11" l="1"/>
  <c r="U226" i="11"/>
  <c r="U223" i="11"/>
  <c r="U224" i="11"/>
  <c r="U221" i="11"/>
  <c r="U222" i="11"/>
  <c r="U220" i="11"/>
  <c r="U219" i="11"/>
  <c r="U216" i="11"/>
  <c r="U218" i="11"/>
  <c r="U217" i="11"/>
  <c r="N446" i="9"/>
  <c r="B12" i="12"/>
  <c r="B17" i="11" s="1"/>
  <c r="S17" i="11" s="1"/>
  <c r="U215" i="11"/>
  <c r="P215" i="11"/>
  <c r="H449" i="9" l="1"/>
  <c r="N2" i="12"/>
  <c r="W17" i="11"/>
  <c r="AI17" i="11"/>
  <c r="F86" i="6"/>
  <c r="S86" i="6" s="1"/>
  <c r="Q449" i="9" l="1"/>
  <c r="V449" i="9"/>
  <c r="X449" i="9" s="1"/>
  <c r="J449" i="9" l="1"/>
  <c r="M449" i="9" s="1"/>
  <c r="N449" i="9" s="1"/>
  <c r="H450" i="9" s="1"/>
  <c r="J448" i="9"/>
  <c r="M448" i="9" s="1"/>
  <c r="N448" i="9" s="1"/>
  <c r="H451" i="9" s="1"/>
  <c r="P450" i="9" l="1"/>
  <c r="Q450" i="9" s="1"/>
  <c r="P451" i="9"/>
  <c r="Q451" i="9" s="1"/>
  <c r="V451" i="9"/>
  <c r="V450" i="9"/>
  <c r="O216" i="11"/>
  <c r="P216" i="11"/>
  <c r="W450" i="9" l="1"/>
  <c r="X450" i="9" s="1"/>
  <c r="W451" i="9"/>
  <c r="X451" i="9" s="1"/>
  <c r="J451" i="9" s="1"/>
  <c r="M451" i="9" s="1"/>
  <c r="N451" i="9" s="1"/>
  <c r="H453" i="9" s="1"/>
  <c r="J450" i="9" l="1"/>
  <c r="M450" i="9" s="1"/>
  <c r="N450" i="9" s="1"/>
  <c r="H452" i="9" s="1"/>
  <c r="P452" i="9"/>
  <c r="P453" i="9"/>
  <c r="Q453" i="9" s="1"/>
  <c r="V453" i="9"/>
  <c r="O217" i="11"/>
  <c r="W453" i="9" l="1"/>
  <c r="X453" i="9" s="1"/>
  <c r="W452" i="9"/>
  <c r="Q452" i="9"/>
  <c r="V452" i="9"/>
  <c r="P217" i="11"/>
  <c r="X452" i="9" l="1"/>
  <c r="J452" i="9" s="1"/>
  <c r="M452" i="9" s="1"/>
  <c r="N452" i="9" s="1"/>
  <c r="H454" i="9" s="1"/>
  <c r="J453" i="9"/>
  <c r="M453" i="9" s="1"/>
  <c r="N453" i="9" s="1"/>
  <c r="H455" i="9" s="1"/>
  <c r="O218" i="11"/>
  <c r="P454" i="9" l="1"/>
  <c r="Q454" i="9" s="1"/>
  <c r="P455" i="9"/>
  <c r="Q455" i="9" s="1"/>
  <c r="V455" i="9"/>
  <c r="V454" i="9"/>
  <c r="P218" i="11"/>
  <c r="W455" i="9" l="1"/>
  <c r="X455" i="9" s="1"/>
  <c r="J455" i="9" s="1"/>
  <c r="M455" i="9" s="1"/>
  <c r="N455" i="9" s="1"/>
  <c r="H457" i="9" s="1"/>
  <c r="W454" i="9"/>
  <c r="X454" i="9" s="1"/>
  <c r="J454" i="9" l="1"/>
  <c r="M454" i="9" s="1"/>
  <c r="N454" i="9" s="1"/>
  <c r="V457" i="9"/>
  <c r="O219" i="11"/>
  <c r="H456" i="9" l="1"/>
  <c r="P456" i="9" s="1"/>
  <c r="Q456" i="9" s="1"/>
  <c r="P219" i="11"/>
  <c r="V456" i="9" l="1"/>
  <c r="P457" i="9"/>
  <c r="Q457" i="9" s="1"/>
  <c r="W457" i="9"/>
  <c r="X457" i="9" s="1"/>
  <c r="J457" i="9" s="1"/>
  <c r="M457" i="9" s="1"/>
  <c r="N457" i="9" s="1"/>
  <c r="W456" i="9"/>
  <c r="X456" i="9" s="1"/>
  <c r="J456" i="9" s="1"/>
  <c r="M456" i="9" s="1"/>
  <c r="H459" i="9" l="1"/>
  <c r="N456" i="9"/>
  <c r="O220" i="11"/>
  <c r="P220" i="11"/>
  <c r="P458" i="9" l="1"/>
  <c r="P459" i="9"/>
  <c r="Q459" i="9" s="1"/>
  <c r="V459" i="9"/>
  <c r="H458" i="9"/>
  <c r="W459" i="9" l="1"/>
  <c r="X459" i="9" s="1"/>
  <c r="W458" i="9"/>
  <c r="Q458" i="9"/>
  <c r="V458" i="9"/>
  <c r="X458" i="9" l="1"/>
  <c r="J458" i="9" s="1"/>
  <c r="M458" i="9" s="1"/>
  <c r="N458" i="9" s="1"/>
  <c r="J459" i="9" l="1"/>
  <c r="M459" i="9" s="1"/>
  <c r="N459" i="9" s="1"/>
  <c r="H460" i="9"/>
  <c r="O221" i="11"/>
  <c r="P221" i="11"/>
  <c r="P461" i="9" l="1"/>
  <c r="P460" i="9"/>
  <c r="Q460" i="9" s="1"/>
  <c r="H461" i="9"/>
  <c r="V460" i="9"/>
  <c r="W461" i="9" l="1"/>
  <c r="W460" i="9"/>
  <c r="X460" i="9" s="1"/>
  <c r="Q461" i="9"/>
  <c r="V461" i="9"/>
  <c r="J460" i="9" l="1"/>
  <c r="M460" i="9" s="1"/>
  <c r="N460" i="9" s="1"/>
  <c r="X461" i="9"/>
  <c r="J461" i="9" s="1"/>
  <c r="M461" i="9" s="1"/>
  <c r="N461" i="9" s="1"/>
  <c r="O222" i="11"/>
  <c r="H463" i="9" l="1"/>
  <c r="H462" i="9"/>
  <c r="P222" i="11"/>
  <c r="P462" i="9" l="1"/>
  <c r="Q462" i="9" s="1"/>
  <c r="P463" i="9"/>
  <c r="Q463" i="9" s="1"/>
  <c r="V463" i="9"/>
  <c r="V462" i="9"/>
  <c r="W463" i="9" l="1"/>
  <c r="X463" i="9" s="1"/>
  <c r="J463" i="9" s="1"/>
  <c r="M463" i="9" s="1"/>
  <c r="N463" i="9" s="1"/>
  <c r="W462" i="9"/>
  <c r="X462" i="9" s="1"/>
  <c r="J462" i="9" s="1"/>
  <c r="M462" i="9" s="1"/>
  <c r="H465" i="9" l="1"/>
  <c r="N462" i="9"/>
  <c r="O223" i="11"/>
  <c r="P223" i="11"/>
  <c r="P464" i="9" l="1"/>
  <c r="P465" i="9"/>
  <c r="Q465" i="9" s="1"/>
  <c r="V465" i="9"/>
  <c r="H464" i="9"/>
  <c r="W465" i="9" l="1"/>
  <c r="X465" i="9" s="1"/>
  <c r="W464" i="9"/>
  <c r="Q464" i="9"/>
  <c r="V464" i="9"/>
  <c r="J465" i="9" l="1"/>
  <c r="M465" i="9" s="1"/>
  <c r="N465" i="9" s="1"/>
  <c r="X464" i="9"/>
  <c r="J464" i="9" s="1"/>
  <c r="M464" i="9" s="1"/>
  <c r="N464" i="9" s="1"/>
  <c r="H467" i="9" l="1"/>
  <c r="H466" i="9"/>
  <c r="O224" i="11"/>
  <c r="P224" i="11"/>
  <c r="P466" i="9" l="1"/>
  <c r="Q466" i="9" s="1"/>
  <c r="P467" i="9"/>
  <c r="Q467" i="9" s="1"/>
  <c r="V467" i="9"/>
  <c r="V466" i="9"/>
  <c r="W467" i="9" l="1"/>
  <c r="X467" i="9" s="1"/>
  <c r="J467" i="9" s="1"/>
  <c r="M467" i="9" s="1"/>
  <c r="N467" i="9" s="1"/>
  <c r="O226" i="11" s="1"/>
  <c r="W466" i="9"/>
  <c r="X466" i="9" s="1"/>
  <c r="J466" i="9" s="1"/>
  <c r="M466" i="9" s="1"/>
  <c r="N466" i="9" l="1"/>
  <c r="O225" i="11"/>
  <c r="B6" i="12"/>
  <c r="B11" i="11" s="1"/>
  <c r="S11" i="11" s="1"/>
  <c r="P225" i="11"/>
  <c r="H468" i="9" l="1"/>
  <c r="H2" i="12"/>
  <c r="W11" i="11"/>
  <c r="AI11" i="11"/>
  <c r="F84" i="6"/>
  <c r="S84" i="6" s="1"/>
  <c r="P468" i="9" l="1"/>
  <c r="Q468" i="9" s="1"/>
  <c r="P469" i="9"/>
  <c r="Q469" i="9" s="1"/>
  <c r="V468" i="9"/>
  <c r="W468" i="9" l="1"/>
  <c r="X468" i="9" s="1"/>
  <c r="J468" i="9" s="1"/>
  <c r="M468" i="9" s="1"/>
  <c r="W469" i="9"/>
  <c r="X469" i="9" s="1"/>
  <c r="J469" i="9" s="1"/>
  <c r="M469" i="9" s="1"/>
  <c r="N469" i="9" s="1"/>
  <c r="H19" i="7" l="1"/>
  <c r="E19" i="7" s="1"/>
  <c r="H18" i="7"/>
  <c r="B18" i="7"/>
  <c r="B19" i="7"/>
  <c r="N468" i="9"/>
  <c r="B9" i="12"/>
  <c r="R226" i="11"/>
  <c r="H17" i="7"/>
  <c r="B17" i="7"/>
  <c r="B7" i="12"/>
  <c r="P226" i="11"/>
  <c r="F18" i="7"/>
  <c r="D18" i="7"/>
  <c r="C18" i="7"/>
  <c r="E18" i="7"/>
  <c r="F19" i="7"/>
  <c r="D19" i="7"/>
  <c r="K2" i="12" l="1"/>
  <c r="B14" i="11"/>
  <c r="S14" i="11" s="1"/>
  <c r="C19" i="7"/>
  <c r="I2" i="12"/>
  <c r="B12" i="11"/>
  <c r="E17" i="7"/>
  <c r="C17" i="7"/>
  <c r="F17" i="7" s="1"/>
  <c r="D17" i="7"/>
  <c r="AI14" i="11" l="1"/>
  <c r="F87" i="6"/>
  <c r="S87" i="6" s="1"/>
  <c r="W14" i="11"/>
  <c r="E7" i="11"/>
  <c r="D9" i="11"/>
  <c r="L9" i="11" s="1"/>
  <c r="D16" i="11"/>
  <c r="L16" i="11" s="1"/>
  <c r="E20" i="11"/>
  <c r="B19" i="8"/>
  <c r="D19" i="11"/>
  <c r="L19" i="11" s="1"/>
  <c r="D18" i="11"/>
  <c r="L18" i="11" s="1"/>
  <c r="D12" i="11"/>
  <c r="L12" i="11" s="1"/>
  <c r="S12" i="11"/>
  <c r="C19" i="8"/>
  <c r="E16" i="11"/>
  <c r="C18" i="8"/>
  <c r="E13" i="11"/>
  <c r="D7" i="11"/>
  <c r="L7" i="11" s="1"/>
  <c r="D13" i="11"/>
  <c r="L13" i="11" s="1"/>
  <c r="E8" i="11"/>
  <c r="E11" i="11"/>
  <c r="D11" i="11"/>
  <c r="L11" i="11" s="1"/>
  <c r="A5" i="8"/>
  <c r="C17" i="8"/>
  <c r="B18" i="8"/>
  <c r="E19" i="11"/>
  <c r="E9" i="11"/>
  <c r="E18" i="11"/>
  <c r="D10" i="11"/>
  <c r="L10" i="11" s="1"/>
  <c r="E14" i="11"/>
  <c r="D19" i="8"/>
  <c r="D14" i="11"/>
  <c r="L14" i="11" s="1"/>
  <c r="D15" i="11"/>
  <c r="L15" i="11" s="1"/>
  <c r="E12" i="11"/>
  <c r="B15" i="4" s="1"/>
  <c r="E10" i="11"/>
  <c r="D20" i="11"/>
  <c r="L20" i="11" s="1"/>
  <c r="E17" i="11"/>
  <c r="D18" i="8"/>
  <c r="D17" i="11"/>
  <c r="L17" i="11" s="1"/>
  <c r="B17" i="8"/>
  <c r="D8" i="11"/>
  <c r="L8" i="11" s="1"/>
  <c r="E15" i="11"/>
  <c r="C10" i="12"/>
  <c r="C15" i="11" s="1"/>
  <c r="AA15" i="11" s="1"/>
  <c r="C13" i="12"/>
  <c r="C18" i="11" s="1"/>
  <c r="AA18" i="11" s="1"/>
  <c r="C6" i="12"/>
  <c r="C11" i="11" s="1"/>
  <c r="AA11" i="11" s="1"/>
  <c r="C2" i="12"/>
  <c r="C7" i="11" s="1"/>
  <c r="AA7" i="11" s="1"/>
  <c r="C8" i="12"/>
  <c r="C13" i="11" s="1"/>
  <c r="AA13" i="11" s="1"/>
  <c r="C5" i="12"/>
  <c r="C10" i="11" s="1"/>
  <c r="AA10" i="11" s="1"/>
  <c r="C7" i="12"/>
  <c r="C12" i="11" s="1"/>
  <c r="C3" i="12"/>
  <c r="C8" i="11" s="1"/>
  <c r="AA8" i="11" s="1"/>
  <c r="C12" i="12"/>
  <c r="C17" i="11" s="1"/>
  <c r="AA17" i="11" s="1"/>
  <c r="C14" i="12"/>
  <c r="C19" i="11" s="1"/>
  <c r="AA19" i="11" s="1"/>
  <c r="C11" i="12"/>
  <c r="C16" i="11" s="1"/>
  <c r="AA16" i="11" s="1"/>
  <c r="C9" i="12"/>
  <c r="C14" i="11" s="1"/>
  <c r="AA14" i="11" s="1"/>
  <c r="C15" i="12"/>
  <c r="C20" i="11" s="1"/>
  <c r="AA20" i="11" s="1"/>
  <c r="C4" i="12"/>
  <c r="C9" i="11" s="1"/>
  <c r="AA9" i="11" s="1"/>
  <c r="A8" i="8" l="1"/>
  <c r="AA12" i="11"/>
  <c r="B28" i="4" s="1"/>
  <c r="B12" i="4"/>
  <c r="AI12" i="11"/>
  <c r="F89" i="6"/>
  <c r="S89" i="6" s="1"/>
  <c r="C4" i="6" s="1"/>
  <c r="W12" i="11"/>
  <c r="B24" i="4" s="1"/>
  <c r="A5" i="2" l="1"/>
  <c r="B28" i="7" s="1"/>
  <c r="A6" i="2"/>
  <c r="B12" i="3"/>
  <c r="B6" i="3"/>
  <c r="B13" i="3"/>
  <c r="B9" i="3"/>
  <c r="B16" i="3"/>
  <c r="B5" i="3"/>
  <c r="B8" i="3"/>
  <c r="B10" i="3"/>
  <c r="B14" i="3"/>
  <c r="B7" i="3"/>
  <c r="B18" i="3"/>
  <c r="B15" i="3"/>
  <c r="B17" i="3"/>
  <c r="B11" i="3"/>
  <c r="V15" i="3" l="1"/>
  <c r="J15" i="3"/>
  <c r="M15" i="3"/>
  <c r="Q15" i="3"/>
  <c r="I15" i="3"/>
  <c r="C15" i="3"/>
  <c r="S15" i="3"/>
  <c r="E15" i="3"/>
  <c r="U15" i="3"/>
  <c r="P15" i="3"/>
  <c r="T15" i="3"/>
  <c r="X15" i="3"/>
  <c r="R15" i="3"/>
  <c r="K15" i="3"/>
  <c r="AE7" i="11" s="1"/>
  <c r="D15" i="3"/>
  <c r="AD7" i="11" s="1"/>
  <c r="O15" i="3"/>
  <c r="H15" i="3"/>
  <c r="R18" i="3"/>
  <c r="Q18" i="3"/>
  <c r="V18" i="3"/>
  <c r="D18" i="3"/>
  <c r="U18" i="3"/>
  <c r="X18" i="3"/>
  <c r="O18" i="3"/>
  <c r="K18" i="3"/>
  <c r="Y16" i="11" s="1"/>
  <c r="S18" i="3"/>
  <c r="P18" i="3"/>
  <c r="E18" i="3"/>
  <c r="M18" i="3"/>
  <c r="C18" i="3"/>
  <c r="H18" i="3"/>
  <c r="J18" i="3"/>
  <c r="T18" i="3"/>
  <c r="I18" i="3"/>
  <c r="H8" i="3"/>
  <c r="O8" i="3"/>
  <c r="V8" i="3"/>
  <c r="M8" i="3"/>
  <c r="Q8" i="3"/>
  <c r="J8" i="3"/>
  <c r="R8" i="3"/>
  <c r="P8" i="3"/>
  <c r="D8" i="3"/>
  <c r="X8" i="3"/>
  <c r="T8" i="3"/>
  <c r="K8" i="3"/>
  <c r="AE19" i="11" s="1"/>
  <c r="U8" i="3"/>
  <c r="C8" i="3"/>
  <c r="B6" i="4" s="1"/>
  <c r="E8" i="3"/>
  <c r="I8" i="3"/>
  <c r="S8" i="3"/>
  <c r="R14" i="3"/>
  <c r="V14" i="3"/>
  <c r="P14" i="3"/>
  <c r="C14" i="3"/>
  <c r="S14" i="3"/>
  <c r="X14" i="3"/>
  <c r="D14" i="3"/>
  <c r="AD20" i="11" s="1"/>
  <c r="AF20" i="11" s="1"/>
  <c r="W14" i="3" s="1"/>
  <c r="K14" i="3"/>
  <c r="Y20" i="11" s="1"/>
  <c r="J14" i="3"/>
  <c r="M14" i="3"/>
  <c r="U14" i="3"/>
  <c r="I14" i="3"/>
  <c r="O14" i="3"/>
  <c r="E14" i="3"/>
  <c r="T14" i="3"/>
  <c r="H14" i="3"/>
  <c r="Q14" i="3"/>
  <c r="H13" i="3"/>
  <c r="C13" i="3"/>
  <c r="K13" i="3"/>
  <c r="AE18" i="11" s="1"/>
  <c r="T13" i="3"/>
  <c r="J13" i="3"/>
  <c r="O13" i="3"/>
  <c r="E13" i="3"/>
  <c r="Q13" i="3"/>
  <c r="I13" i="3"/>
  <c r="R13" i="3"/>
  <c r="M13" i="3"/>
  <c r="X13" i="3"/>
  <c r="S13" i="3"/>
  <c r="V13" i="3"/>
  <c r="P13" i="3"/>
  <c r="U13" i="3"/>
  <c r="D13" i="3"/>
  <c r="J17" i="3"/>
  <c r="P17" i="3"/>
  <c r="K17" i="3"/>
  <c r="AE10" i="11" s="1"/>
  <c r="E17" i="3"/>
  <c r="X17" i="3"/>
  <c r="V17" i="3"/>
  <c r="R17" i="3"/>
  <c r="M17" i="3"/>
  <c r="H17" i="3"/>
  <c r="S17" i="3"/>
  <c r="O17" i="3"/>
  <c r="C17" i="3"/>
  <c r="D17" i="3"/>
  <c r="T17" i="3"/>
  <c r="U17" i="3"/>
  <c r="Q17" i="3"/>
  <c r="I17" i="3"/>
  <c r="J16" i="3"/>
  <c r="H16" i="3"/>
  <c r="T16" i="3"/>
  <c r="M16" i="3"/>
  <c r="O16" i="3"/>
  <c r="D16" i="3"/>
  <c r="AD8" i="11" s="1"/>
  <c r="U16" i="3"/>
  <c r="K16" i="3"/>
  <c r="AE8" i="11" s="1"/>
  <c r="V16" i="3"/>
  <c r="P16" i="3"/>
  <c r="E16" i="3"/>
  <c r="C16" i="3"/>
  <c r="S16" i="3"/>
  <c r="Q16" i="3"/>
  <c r="I16" i="3"/>
  <c r="R16" i="3"/>
  <c r="X16" i="3"/>
  <c r="M6" i="3"/>
  <c r="V6" i="3"/>
  <c r="S6" i="3"/>
  <c r="Q6" i="3"/>
  <c r="K6" i="3"/>
  <c r="P6" i="3"/>
  <c r="E6" i="3"/>
  <c r="J6" i="3"/>
  <c r="D6" i="3"/>
  <c r="I6" i="3"/>
  <c r="X6" i="3"/>
  <c r="U6" i="3"/>
  <c r="H6" i="3"/>
  <c r="T6" i="3"/>
  <c r="O6" i="3"/>
  <c r="C6" i="3"/>
  <c r="R6" i="3"/>
  <c r="H7" i="3"/>
  <c r="V7" i="3"/>
  <c r="O7" i="3"/>
  <c r="D7" i="3"/>
  <c r="C7" i="3"/>
  <c r="T7" i="3"/>
  <c r="Q7" i="3"/>
  <c r="S7" i="3"/>
  <c r="J7" i="3"/>
  <c r="M7" i="3"/>
  <c r="I7" i="3"/>
  <c r="X7" i="3"/>
  <c r="R7" i="3"/>
  <c r="P7" i="3"/>
  <c r="E7" i="3"/>
  <c r="K7" i="3"/>
  <c r="U7" i="3"/>
  <c r="H5" i="3"/>
  <c r="R5" i="3"/>
  <c r="I5" i="3"/>
  <c r="E5" i="3"/>
  <c r="T5" i="3"/>
  <c r="D5" i="3"/>
  <c r="AD15" i="11" s="1"/>
  <c r="O5" i="3"/>
  <c r="M5" i="3"/>
  <c r="B5" i="4"/>
  <c r="K5" i="3"/>
  <c r="Y15" i="11" s="1"/>
  <c r="Q5" i="3"/>
  <c r="P5" i="3"/>
  <c r="V5" i="3"/>
  <c r="X5" i="3"/>
  <c r="C5" i="3"/>
  <c r="J5" i="3"/>
  <c r="S5" i="3"/>
  <c r="U5" i="3"/>
  <c r="AD10" i="11"/>
  <c r="AD19" i="11"/>
  <c r="AD18" i="11"/>
  <c r="O12" i="3"/>
  <c r="D12" i="3"/>
  <c r="E12" i="3"/>
  <c r="Q12" i="3"/>
  <c r="S12" i="3"/>
  <c r="K12" i="3"/>
  <c r="AE9" i="11" s="1"/>
  <c r="P12" i="3"/>
  <c r="R12" i="3"/>
  <c r="H12" i="3"/>
  <c r="I12" i="3"/>
  <c r="T12" i="3"/>
  <c r="C12" i="3"/>
  <c r="V12" i="3"/>
  <c r="M12" i="3"/>
  <c r="X12" i="3"/>
  <c r="U12" i="3"/>
  <c r="J12" i="3"/>
  <c r="R11" i="3"/>
  <c r="E11" i="3"/>
  <c r="I11" i="3"/>
  <c r="X11" i="3"/>
  <c r="M11" i="3"/>
  <c r="C11" i="3"/>
  <c r="H11" i="3"/>
  <c r="V11" i="3"/>
  <c r="T11" i="3"/>
  <c r="D11" i="3"/>
  <c r="AD13" i="11" s="1"/>
  <c r="P11" i="3"/>
  <c r="K11" i="3"/>
  <c r="Y13" i="11" s="1"/>
  <c r="O11" i="3"/>
  <c r="U11" i="3"/>
  <c r="J11" i="3"/>
  <c r="Q11" i="3"/>
  <c r="S11" i="3"/>
  <c r="M10" i="3"/>
  <c r="P10" i="3"/>
  <c r="U10" i="3"/>
  <c r="V10" i="3"/>
  <c r="T10" i="3"/>
  <c r="J10" i="3"/>
  <c r="X10" i="3"/>
  <c r="O10" i="3"/>
  <c r="I10" i="3"/>
  <c r="D10" i="3"/>
  <c r="E10" i="3"/>
  <c r="R10" i="3"/>
  <c r="Q10" i="3"/>
  <c r="H10" i="3"/>
  <c r="C10" i="3"/>
  <c r="K10" i="3"/>
  <c r="AE17" i="11" s="1"/>
  <c r="S10" i="3"/>
  <c r="P9" i="3"/>
  <c r="X9" i="3"/>
  <c r="D9" i="3"/>
  <c r="R9" i="3"/>
  <c r="C9" i="3"/>
  <c r="U9" i="3"/>
  <c r="M9" i="3"/>
  <c r="I9" i="3"/>
  <c r="V9" i="3"/>
  <c r="J9" i="3"/>
  <c r="T9" i="3"/>
  <c r="Q9" i="3"/>
  <c r="H9" i="3"/>
  <c r="S9" i="3"/>
  <c r="E9" i="3"/>
  <c r="K9" i="3"/>
  <c r="O9" i="3"/>
  <c r="AD12" i="11" l="1"/>
  <c r="Y11" i="11"/>
  <c r="AE14" i="11"/>
  <c r="Y19" i="11"/>
  <c r="AE20" i="11"/>
  <c r="Y18" i="11"/>
  <c r="Y17" i="11"/>
  <c r="T2" i="3"/>
  <c r="G6" i="3"/>
  <c r="L6" i="3"/>
  <c r="F6" i="3"/>
  <c r="Y10" i="11"/>
  <c r="Y7" i="11"/>
  <c r="F15" i="3"/>
  <c r="L15" i="3"/>
  <c r="G15" i="3"/>
  <c r="X7" i="11" s="1"/>
  <c r="AE12" i="11"/>
  <c r="L16" i="3"/>
  <c r="F16" i="3"/>
  <c r="G16" i="3"/>
  <c r="X8" i="11" s="1"/>
  <c r="B10" i="4"/>
  <c r="F8" i="3"/>
  <c r="L8" i="3"/>
  <c r="G8" i="3"/>
  <c r="Y9" i="11"/>
  <c r="AD11" i="11"/>
  <c r="G7" i="3"/>
  <c r="F7" i="3"/>
  <c r="L7" i="3"/>
  <c r="N18" i="3"/>
  <c r="N14" i="3"/>
  <c r="N9" i="3"/>
  <c r="N10" i="3"/>
  <c r="N11" i="3"/>
  <c r="N6" i="3"/>
  <c r="N13" i="3"/>
  <c r="N15" i="3"/>
  <c r="B33" i="7"/>
  <c r="N5" i="3"/>
  <c r="N16" i="3"/>
  <c r="N17" i="3"/>
  <c r="N7" i="3"/>
  <c r="N12" i="3"/>
  <c r="N8" i="3"/>
  <c r="G14" i="3"/>
  <c r="X20" i="11" s="1"/>
  <c r="AB20" i="11" s="1"/>
  <c r="L14" i="3"/>
  <c r="F14" i="3"/>
  <c r="L12" i="3"/>
  <c r="F12" i="3"/>
  <c r="G12" i="3"/>
  <c r="X9" i="11" s="1"/>
  <c r="AD9" i="11"/>
  <c r="Y14" i="11"/>
  <c r="AD14" i="11"/>
  <c r="AE15" i="11"/>
  <c r="B31" i="7"/>
  <c r="B22" i="7"/>
  <c r="C22" i="7"/>
  <c r="L13" i="3"/>
  <c r="G13" i="3"/>
  <c r="X18" i="11" s="1"/>
  <c r="F13" i="3"/>
  <c r="AD16" i="11"/>
  <c r="L18" i="3"/>
  <c r="F18" i="3"/>
  <c r="G18" i="3"/>
  <c r="X16" i="11" s="1"/>
  <c r="AB16" i="11" s="1"/>
  <c r="AE11" i="11"/>
  <c r="Y8" i="11"/>
  <c r="AD17" i="11"/>
  <c r="G10" i="3"/>
  <c r="X17" i="11" s="1"/>
  <c r="F10" i="3"/>
  <c r="L10" i="3"/>
  <c r="G11" i="3"/>
  <c r="X13" i="11" s="1"/>
  <c r="AB13" i="11" s="1"/>
  <c r="F11" i="3"/>
  <c r="L11" i="3"/>
  <c r="AE13" i="11"/>
  <c r="B11" i="4"/>
  <c r="Y12" i="11"/>
  <c r="B26" i="4" s="1"/>
  <c r="F17" i="3"/>
  <c r="L17" i="3"/>
  <c r="G17" i="3"/>
  <c r="X10" i="11" s="1"/>
  <c r="AB10" i="11" s="1"/>
  <c r="AF10" i="11" s="1"/>
  <c r="W17" i="3" s="1"/>
  <c r="L9" i="3"/>
  <c r="B16" i="4" s="1"/>
  <c r="F9" i="3"/>
  <c r="G9" i="3"/>
  <c r="AE16" i="11"/>
  <c r="B21" i="7"/>
  <c r="F5" i="3"/>
  <c r="A10" i="8"/>
  <c r="G5" i="3"/>
  <c r="X15" i="11" s="1"/>
  <c r="AB15" i="11" s="1"/>
  <c r="C21" i="7"/>
  <c r="F21" i="7" s="1"/>
  <c r="B30" i="7"/>
  <c r="L5" i="3"/>
  <c r="X19" i="11" l="1"/>
  <c r="AB19" i="11" s="1"/>
  <c r="AF19" i="11" s="1"/>
  <c r="AF15" i="11"/>
  <c r="W5" i="3" s="1"/>
  <c r="X11" i="11"/>
  <c r="AB11" i="11" s="1"/>
  <c r="AB7" i="11"/>
  <c r="AF7" i="11" s="1"/>
  <c r="W15" i="3" s="1"/>
  <c r="AF13" i="11"/>
  <c r="W11" i="3" s="1"/>
  <c r="AB18" i="11"/>
  <c r="AF18" i="11" s="1"/>
  <c r="W13" i="3" s="1"/>
  <c r="B8" i="4"/>
  <c r="AB17" i="11"/>
  <c r="AF17" i="11" s="1"/>
  <c r="W10" i="3" s="1"/>
  <c r="X14" i="11"/>
  <c r="AB14" i="11" s="1"/>
  <c r="AF14" i="11" s="1"/>
  <c r="AB8" i="11"/>
  <c r="AF8" i="11" s="1"/>
  <c r="W16" i="3" s="1"/>
  <c r="AF16" i="11"/>
  <c r="W18" i="3" s="1"/>
  <c r="AF11" i="11"/>
  <c r="X12" i="11"/>
  <c r="B9" i="4"/>
  <c r="A3" i="3"/>
  <c r="AB9" i="11"/>
  <c r="AF9" i="11" s="1"/>
  <c r="W12" i="3" s="1"/>
  <c r="W6" i="3" l="1"/>
  <c r="W7" i="3"/>
  <c r="B25" i="4"/>
  <c r="AB12" i="11"/>
  <c r="B23" i="4" l="1"/>
  <c r="AF12" i="11"/>
  <c r="W8" i="3" l="1"/>
  <c r="B7" i="4"/>
  <c r="W9" i="3"/>
</calcChain>
</file>

<file path=xl/sharedStrings.xml><?xml version="1.0" encoding="utf-8"?>
<sst xmlns="http://schemas.openxmlformats.org/spreadsheetml/2006/main" count="2371" uniqueCount="454">
  <si>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</si>
  <si>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</si>
  <si>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</si>
  <si>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</si>
  <si>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</si>
  <si>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</si>
  <si>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</si>
  <si>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</si>
  <si>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</si>
  <si>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</si>
  <si>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</si>
  <si>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</si>
  <si>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</si>
  <si>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</si>
  <si>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</si>
  <si>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</si>
  <si>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</si>
  <si>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</si>
  <si>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</si>
  <si>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</si>
  <si>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</si>
  <si>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</si>
  <si>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</si>
  <si>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</si>
  <si>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</si>
  <si>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</si>
  <si>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</si>
  <si>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</si>
  <si>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</si>
  <si>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</si>
  <si>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</si>
  <si>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</si>
  <si>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</si>
  <si>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</si>
  <si>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</si>
  <si>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</si>
  <si>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</si>
  <si>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</si>
  <si>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</si>
  <si>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</si>
  <si>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</si>
  <si>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</si>
  <si>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</si>
  <si>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</si>
  <si>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</si>
  <si>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</si>
  <si>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</si>
  <si>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</si>
  <si>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</si>
  <si>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</si>
  <si>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</si>
  <si>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</si>
  <si>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</si>
  <si>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</si>
  <si>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</si>
  <si>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</si>
  <si>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</si>
  <si>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</si>
  <si>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</si>
  <si>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</si>
  <si>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</si>
  <si>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</si>
  <si>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</si>
  <si>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</si>
  <si>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</si>
  <si>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</si>
  <si>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</si>
  <si>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</si>
  <si>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</si>
  <si>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</si>
  <si>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</si>
  <si>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</si>
  <si>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</si>
  <si>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</si>
  <si>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</si>
  <si>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</si>
  <si>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</si>
  <si>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</si>
  <si>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</si>
  <si>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</si>
  <si>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</si>
  <si>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</si>
  <si>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</si>
  <si>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</si>
  <si>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</si>
  <si>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</si>
  <si>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</si>
  <si>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</si>
  <si>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</si>
  <si>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</si>
  <si>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</si>
  <si>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</si>
  <si>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</si>
  <si>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</si>
  <si>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</si>
  <si>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</si>
  <si>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</si>
  <si>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</si>
  <si>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</si>
  <si>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</si>
  <si>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</si>
  <si>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</si>
  <si>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</si>
  <si>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</si>
  <si>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</si>
  <si>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</si>
  <si>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</si>
  <si>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</si>
  <si>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</si>
  <si>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</si>
  <si>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</si>
  <si>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</si>
  <si>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</si>
  <si>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</si>
  <si>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</si>
  <si>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</si>
  <si>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</si>
  <si>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</si>
  <si>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</si>
  <si>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</si>
  <si>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</si>
  <si>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</si>
  <si>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</si>
  <si>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</si>
  <si>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</si>
  <si>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</si>
  <si>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</si>
  <si>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</si>
  <si>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</si>
  <si>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</si>
  <si>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</si>
  <si>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</si>
  <si>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</si>
  <si>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</si>
  <si>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</si>
  <si>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</si>
  <si>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</si>
  <si>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</si>
  <si>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</si>
  <si>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</si>
  <si>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</si>
  <si>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</si>
  <si>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</si>
  <si>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</si>
  <si>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</si>
  <si>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</si>
  <si>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</si>
  <si>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</si>
  <si>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</si>
  <si>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</si>
  <si>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</si>
  <si>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</si>
  <si>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</si>
  <si>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</si>
  <si>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</si>
  <si>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</si>
  <si>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</si>
  <si>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</si>
  <si>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</si>
  <si>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</si>
  <si>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</si>
  <si>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</si>
  <si>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</si>
  <si>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</si>
  <si>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</si>
  <si>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</si>
  <si>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</si>
  <si>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</si>
  <si>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</si>
  <si>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</si>
  <si>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</si>
  <si>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</si>
  <si>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</si>
  <si>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</si>
  <si>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</si>
  <si>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</si>
  <si>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</si>
  <si>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</si>
  <si>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</si>
  <si>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</si>
  <si>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</si>
  <si>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</si>
  <si>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</si>
  <si>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</si>
  <si>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</si>
  <si>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</si>
  <si>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</si>
  <si>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</si>
  <si>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</si>
  <si>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</si>
  <si>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</si>
  <si>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</si>
  <si>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</si>
  <si>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</si>
  <si>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</si>
  <si>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</si>
  <si>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</si>
  <si>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</si>
  <si>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</si>
  <si>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</si>
  <si>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</si>
  <si>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</si>
  <si>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</si>
  <si>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</si>
  <si>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</si>
  <si>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</si>
  <si>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</si>
  <si>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</si>
  <si>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</si>
  <si>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</si>
  <si>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</si>
  <si>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</si>
  <si>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</si>
  <si>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</si>
  <si>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</si>
  <si>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</si>
  <si>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</si>
  <si>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</si>
  <si>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</si>
  <si>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</si>
  <si>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</si>
  <si>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</si>
  <si>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</si>
  <si>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</si>
  <si>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</si>
  <si>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</si>
  <si>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</si>
  <si>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</si>
  <si>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</si>
  <si>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</si>
  <si>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</si>
  <si>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</si>
  <si>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</si>
  <si>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</si>
  <si>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</si>
  <si>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</si>
  <si>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</si>
  <si>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</si>
  <si>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</si>
  <si>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</si>
  <si>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</si>
  <si>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</si>
  <si>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</si>
  <si>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</si>
  <si>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</si>
  <si>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</si>
  <si>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</si>
  <si>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</si>
  <si>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</si>
  <si>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</si>
  <si>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</si>
  <si>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</si>
  <si>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</si>
  <si>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</si>
  <si>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</si>
  <si>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</si>
  <si>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</si>
  <si>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</si>
  <si>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</si>
  <si>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</si>
  <si>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</si>
  <si>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</si>
  <si>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</si>
  <si>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</si>
  <si>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</si>
  <si>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</si>
  <si>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</si>
  <si>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</si>
  <si>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</si>
  <si>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</si>
  <si>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</si>
  <si>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</si>
  <si>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</si>
  <si>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</si>
  <si>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</si>
  <si>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</si>
  <si>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</si>
  <si>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</si>
  <si>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</si>
  <si>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</si>
  <si>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</si>
  <si>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</si>
  <si>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</si>
  <si>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</si>
  <si>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</si>
  <si>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</si>
  <si>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</si>
  <si>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</si>
  <si>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</si>
  <si>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</si>
  <si>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</si>
  <si>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</si>
  <si>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</si>
  <si>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</si>
  <si>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</si>
  <si>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</si>
  <si>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</si>
  <si>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</si>
  <si>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</si>
  <si>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</si>
  <si>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</si>
  <si>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</si>
  <si>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</si>
  <si>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</si>
  <si>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</si>
  <si>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</si>
  <si>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</si>
  <si>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</si>
  <si>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</si>
  <si>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</si>
  <si>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</si>
  <si>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</si>
  <si>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</si>
  <si>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</si>
  <si>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</si>
  <si>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</si>
  <si>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</si>
  <si>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</si>
  <si>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</si>
  <si>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</si>
  <si>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</si>
  <si>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</si>
  <si>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</si>
  <si>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</si>
  <si>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</si>
  <si>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</si>
  <si>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</si>
  <si>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</si>
  <si>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</si>
  <si>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</si>
  <si>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</si>
  <si>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</si>
  <si>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</si>
  <si>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</si>
  <si>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</si>
  <si>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</si>
  <si>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</si>
  <si>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</si>
  <si>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</si>
  <si>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</si>
  <si>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</si>
  <si>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</si>
  <si>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</si>
  <si>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</si>
  <si>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</si>
  <si>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</si>
  <si>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</si>
  <si>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</si>
  <si>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</si>
  <si>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</si>
  <si>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</si>
  <si>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</si>
  <si>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</si>
  <si>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</si>
  <si>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</si>
  <si>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</si>
  <si>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</si>
  <si>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</si>
  <si>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</si>
  <si>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</si>
  <si>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</si>
  <si>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</si>
  <si>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</si>
  <si>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</si>
  <si>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</si>
  <si>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</si>
  <si>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</si>
  <si>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</si>
  <si>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</si>
  <si>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</si>
  <si>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</si>
  <si>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</si>
  <si>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</si>
  <si>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</si>
  <si>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</si>
  <si>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</si>
  <si>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</si>
  <si>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</si>
  <si>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</si>
  <si>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</si>
  <si>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</si>
  <si>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</si>
  <si>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</si>
  <si>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</si>
  <si>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</si>
  <si>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</si>
  <si>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</si>
  <si>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</si>
  <si>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</si>
  <si>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</si>
  <si>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</si>
  <si>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</si>
  <si>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</si>
  <si>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</si>
  <si>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</si>
  <si>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</si>
  <si>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</si>
  <si>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</si>
  <si>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</si>
  <si>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</si>
  <si>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</si>
  <si>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</si>
  <si>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</si>
  <si>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</si>
  <si>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</si>
  <si>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</si>
  <si>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</si>
  <si>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</si>
  <si>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</si>
  <si>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</si>
  <si>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</si>
  <si>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</si>
  <si>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</si>
  <si>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</si>
  <si>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</si>
  <si>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</si>
  <si>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</si>
  <si>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</si>
  <si>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</si>
  <si>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</si>
  <si>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</si>
  <si>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</si>
  <si>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</si>
  <si>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</si>
  <si>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</si>
  <si>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</si>
  <si>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</si>
  <si>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</si>
  <si>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</si>
  <si>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</si>
  <si>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</si>
  <si>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</si>
  <si>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</si>
  <si>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</si>
  <si>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</si>
  <si>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</si>
  <si>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</si>
  <si>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</si>
  <si>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</si>
  <si>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</si>
  <si>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</si>
  <si>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</si>
  <si>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</si>
  <si>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</si>
  <si>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</si>
  <si>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</si>
  <si>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</si>
  <si>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</si>
  <si>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</si>
  <si>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</si>
  <si>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</si>
  <si>
    <t>FWC Poker Game - 1</t>
  </si>
  <si>
    <t>Y</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</si>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</sst>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 ca="1">'Sport Records'!$C$4</f>
        <v>Josh</v>
      </c>
      <c r="B5" s="153"/>
      <c r="C5" s="153"/>
      <c r="D5" s="153"/>
      <c r="E5" s="153"/>
      <c r="G5" s="26"/>
      <c r="H5" s="26"/>
      <c r="I5" s="26"/>
    </row>
    <row r="6" spans="1:9" ht="15" customHeight="1" x14ac:dyDescent="0.2">
      <c r="A6" s="154"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1148   |   28 wins, 20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1056</v>
      </c>
      <c r="D10" s="30" t="str">
        <f>IF(OR($B10="—",$B10=""),"—",COUNTIFS('Match Log'!$D$4:$D$810,$B10,'Match Log'!$C$4:$C$810,$A10,'Match Log'!$E$4:$E$810,"Win")&amp;"–"&amp;(COUNTIFS('Match Log'!$D$4:$D$810,$B10,'Match Log'!$C$4:$C$810,$A10)-COUNTIFS('Match Log'!$D$4:$D$810,$B10,'Match Log'!$C$4:$C$810,$A10,'Match Log'!$E$4:$E$810,"Win")))</f>
        <v>4–0</v>
      </c>
      <c r="E10" s="30">
        <f>IFERROR('Sport Records'!$P$8,0)</f>
        <v>5</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18</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Oscar</v>
      </c>
      <c r="C23" s="30">
        <f>IF(OR($B23="—",$B23=""),"",ROUND(MAX('Sport Records'!$B$113:$O$113),0))</f>
        <v>1063</v>
      </c>
      <c r="D23" s="30" t="str">
        <f>IF(OR($B23="—",$B23=""),"—",COUNTIFS('Match Log'!$D$4:$D$810,$B23,'Match Log'!$C$4:$C$810,$A23,'Match Log'!$E$4:$E$810,"Win")&amp;"–"&amp;(COUNTIFS('Match Log'!$D$4:$D$810,$B23,'Match Log'!$C$4:$C$810,$A23)-COUNTIFS('Match Log'!$D$4:$D$810,$B23,'Match Log'!$C$4:$C$810,$A23,'Match Log'!$E$4:$E$810,"Win")))</f>
        <v>8–3</v>
      </c>
      <c r="E23" s="30">
        <f>IFERROR('Sport Records'!$P$21,0)</f>
        <v>17</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1054</v>
      </c>
      <c r="D25" s="30" t="str">
        <f>IF(OR($B25="—",$B25=""),"—",COUNTIFS('Match Log'!$D$4:$D$810,$B25,'Match Log'!$C$4:$C$810,$A25,'Match Log'!$E$4:$E$810,"Win")&amp;"–"&amp;(COUNTIFS('Match Log'!$D$4:$D$810,$B25,'Match Log'!$C$4:$C$810,$A25)-COUNTIFS('Match Log'!$D$4:$D$810,$B25,'Match Log'!$C$4:$C$810,$A25,'Match Log'!$E$4:$E$810,"Win")))</f>
        <v>7–2</v>
      </c>
      <c r="E25" s="30">
        <f>IFERROR('Sport Records'!$P$23,0)</f>
        <v>10</v>
      </c>
    </row>
    <row r="26" spans="1:9" ht="15" customHeight="1" x14ac:dyDescent="0.2">
      <c r="A26" s="28" t="str">
        <f>IF(Lists!$C$18="","",Lists!$C$18)</f>
        <v>Poker</v>
      </c>
      <c r="B26" s="29" t="str">
        <f>IFERROR('Sport Records'!$P$116,"—")</f>
        <v>Josh</v>
      </c>
      <c r="C26" s="30">
        <f>IF(OR($B26="—",$B26=""),"",ROUND(MAX('Sport Records'!$B$116:$O$116),0))</f>
        <v>1031</v>
      </c>
      <c r="D26" s="30" t="str">
        <f>IF(OR($B26="—",$B26=""),"—",COUNTIFS('Match Log'!$D$4:$D$810,$B26,'Match Log'!$C$4:$C$810,$A26,'Match Log'!$E$4:$E$810,"Win")&amp;"–"&amp;(COUNTIFS('Match Log'!$D$4:$D$810,$B26,'Match Log'!$C$4:$C$810,$A26)-COUNTIFS('Match Log'!$D$4:$D$810,$B26,'Match Log'!$C$4:$C$810,$A26,'Match Log'!$E$4:$E$810,"Win")))</f>
        <v>2–0</v>
      </c>
      <c r="E26" s="30">
        <f>IFERROR('Sport Records'!$P$24,0)</f>
        <v>2</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Shawn</v>
      </c>
      <c r="C28" s="30">
        <f>IF(OR($B28="—",$B28=""),"",ROUND(MAX('Sport Records'!$B$118:$O$118),0))</f>
        <v>1048</v>
      </c>
      <c r="D28" s="30" t="str">
        <f>IF(OR($B28="—",$B28=""),"—",COUNTIFS('Match Log'!$D$4:$D$810,$B28,'Match Log'!$C$4:$C$810,$A28,'Match Log'!$E$4:$E$810,"Win")&amp;"–"&amp;(COUNTIFS('Match Log'!$D$4:$D$810,$B28,'Match Log'!$C$4:$C$810,$A28)-COUNTIFS('Match Log'!$D$4:$D$810,$B28,'Match Log'!$C$4:$C$810,$A28,'Match Log'!$E$4:$E$810,"Win")))</f>
        <v>15–10</v>
      </c>
      <c r="E28" s="30">
        <f>'Sport Records'!$P$26</f>
        <v>33</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6</v>
      </c>
    </row>
    <row r="31" spans="1:9" x14ac:dyDescent="0.2">
      <c r="A31" s="28" t="s">
        <v>446</v>
      </c>
      <c r="B31" s="29" t="str">
        <f>IFERROR('Sport Records'!$P$121,"—")</f>
        <v>Shawn</v>
      </c>
      <c r="C31" s="30">
        <f>IF(OR($B31="—",$B31=""),"",ROUND(MAX('Sport Records'!$B$121:$O$121),0))</f>
        <v>1017</v>
      </c>
      <c r="D31" s="30" t="str">
        <f>IF(OR($B31="—",$B31=""),"—",COUNTIFS('Match Log'!$D$4:$D$810,$B31,'Match Log'!$C$4:$C$810,$A31,'Match Log'!$E$4:$E$810,"Win")&amp;"–"&amp;(COUNTIFS('Match Log'!$D$4:$D$810,$B31,'Match Log'!$C$4:$C$810,$A31)-COUNTIFS('Match Log'!$D$4:$D$810,$B31,'Match Log'!$C$4:$C$810,$A31,'Match Log'!$E$4:$E$810,"Win")))</f>
        <v>1–0</v>
      </c>
      <c r="E31" s="30">
        <f>IFERROR('Sport Records'!$P$29,0)</f>
        <v>2</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4</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Normal="100" workbookViewId="0">
      <pane xSplit="3" ySplit="4" topLeftCell="D5" activePane="bottomRight" state="frozen"/>
      <selection pane="topRight" activeCell="D1" sqref="D1"/>
      <selection pane="bottomLeft" activeCell="A5" sqref="A5"/>
      <selection pane="bottomRight" activeCell="F28" sqref="F28"/>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202  ·  13 Aug 2026</v>
      </c>
      <c r="T2" s="44" t="str">
        <f ca="1">IF(COUNTIF($T$5:$T$18,"At risk")+COUNTIF($T$5:$T$18,"Inactive")=0,"Inactivity watch:  all players active ✓","⚠ Inactivity watch:  "&amp;(COUNTIF($T$5:$T$18,"At risk")+COUNTIF($T$5:$T$18,"Inactive"))&amp;" player(s) need a game — see Activity column")</f>
        <v>⚠ Inactivity watch:  9 player(s) need a game — see Activity column</v>
      </c>
    </row>
    <row r="3" spans="1:24" ht="15.75" customHeight="1" x14ac:dyDescent="0.2">
      <c r="A3" s="137" t="str">
        <f ca="1">"Current Champion:  "&amp;IFERROR(INDEX($B$5:$B$18,MATCH(SUMPRODUCT(MAX(($L$5:$L$18="Eligible")*($T$5:$T$18&lt;&gt;"Inactive")*$V$5:$V$18)),$V$5:$V$18,0)),"— none eligible yet —")</f>
        <v>Current Champion:  Josh</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 t="shared" ref="A5:A18" si="0">ROW()-4</f>
        <v>1</v>
      </c>
      <c r="B5" s="47" t="str">
        <f ca="1">IFERROR(INDEX(Calcs!$A$7:$A$20,MATCH(LARGE(Calcs!$AI$7:$AI$20,ROW()-4),Calcs!$AI$7:$AI$20,0)),"")</f>
        <v>Dean B</v>
      </c>
      <c r="C5" s="48">
        <f ca="1">IFERROR(INDEX(Calcs!$S$7:$S$20,MATCH($B5,Calcs!$A$7:$A$20,0)),"")</f>
        <v>1231.7029363250533</v>
      </c>
      <c r="D5" s="49">
        <f ca="1">COUNTIF('Match Log'!$D$4:$D$810,$B5)</f>
        <v>29</v>
      </c>
      <c r="E5" s="49">
        <f ca="1">COUNTIFS('Match Log'!$D$4:$D$810,$B5,'Match Log'!$E$4:$E$810,"Win")</f>
        <v>20</v>
      </c>
      <c r="F5" s="49">
        <f t="shared" ref="F5:F18" ca="1" si="1">$D5-$E5</f>
        <v>9</v>
      </c>
      <c r="G5" s="50">
        <f t="shared" ref="G5:G18" ca="1" si="2">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1086.2078193906441</v>
      </c>
      <c r="N5" s="48">
        <f t="shared" ref="N5:N18" ca="1" si="3">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4.5999999999999996</v>
      </c>
      <c r="T5" s="49" t="str">
        <f ca="1">IFERROR(INDEX(Calcs!$T$7:$T$20,MATCH($B5,Calcs!$A$7:$A$20,0)),"")</f>
        <v>Inactive</v>
      </c>
      <c r="U5">
        <f ca="1">IFERROR(ROUND(INDEX(Calcs!$R$7:$R$20,MATCH($B5,Calcs!$A$7:$A$20,0))+INDEX(Calcs!$U$7:$U$20,MATCH($B5,Calcs!$A$7:$A$20,0)),0),0)</f>
        <v>10</v>
      </c>
      <c r="V5" s="51">
        <f ca="1">IFERROR(ROUND(INDEX(Calcs!$S$7:$S$20,MATCH($B5,Calcs!$A$7:$A$20,0)),0),"")</f>
        <v>1232</v>
      </c>
      <c r="W5" s="49" t="str">
        <f ca="1">IFERROR(INDEX(Calcs!$AF$7:$AF$20,MATCH($B5,Calcs!$A$7:$A$20,0)),"")</f>
        <v>Elite</v>
      </c>
      <c r="X5" s="51">
        <f ca="1">IFERROR(ROUND(SUMIF('Poker Stake Ledger'!$C$18:$C$137,$B5,'Poker Stake Ledger'!$K$18:$K$137),1),0)</f>
        <v>0</v>
      </c>
    </row>
    <row r="6" spans="1:24" ht="15" customHeight="1" x14ac:dyDescent="0.2">
      <c r="A6" s="46">
        <f t="shared" si="0"/>
        <v>2</v>
      </c>
      <c r="B6" s="47" t="str">
        <f ca="1">IFERROR(INDEX(Calcs!$A$7:$A$20,MATCH(LARGE(Calcs!$AI$7:$AI$20,ROW()-4),Calcs!$AI$7:$AI$20,0)),"")</f>
        <v>Josh</v>
      </c>
      <c r="C6" s="48">
        <f ca="1">IFERROR(INDEX(Calcs!$S$7:$S$20,MATCH($B6,Calcs!$A$7:$A$20,0)),"")</f>
        <v>1148.0282967340261</v>
      </c>
      <c r="D6" s="49">
        <f ca="1">COUNTIF('Match Log'!$D$4:$D$810,$B6)</f>
        <v>48</v>
      </c>
      <c r="E6" s="49">
        <f ca="1">COUNTIFS('Match Log'!$D$4:$D$810,$B6,'Match Log'!$E$4:$E$810,"Win")</f>
        <v>28</v>
      </c>
      <c r="F6" s="49">
        <f t="shared" ca="1" si="1"/>
        <v>20</v>
      </c>
      <c r="G6" s="50">
        <f t="shared" ca="1" si="2"/>
        <v>0.58333333333333337</v>
      </c>
      <c r="H6" s="51">
        <f ca="1">SUMIF('Match Log'!$D$4:$D$810,$B6,'Match Log'!$J$4:$J$810)</f>
        <v>37.138358136805465</v>
      </c>
      <c r="I6" s="51">
        <f ca="1">SUMIF('Match Log'!$D$4:$D$810,$B6,'Match Log'!$K$4:$K$810)</f>
        <v>39.139938597220571</v>
      </c>
      <c r="J6" s="51">
        <f ca="1">SUMIF('Match Log'!$D$4:$D$810,$B6,'Match Log'!$L$4:$L$810)</f>
        <v>50</v>
      </c>
      <c r="K6" s="49">
        <f ca="1">SUMPRODUCT(--(COUNTIFS('Match Log'!$D$4:$D$810,$B6,'Match Log'!$C$4:$C$810,Lists!$C$2:$C$24)&gt;0))</f>
        <v>13</v>
      </c>
      <c r="L6" s="49" t="str">
        <f ca="1">IF($D6=0,"No games",IF(AND($D6&gt;='Guide &amp; Settings'!$C$45,$K6&gt;='Guide &amp; Settings'!$C$46),"Eligible","Provisional"))</f>
        <v>Eligible</v>
      </c>
      <c r="M6" s="48">
        <f ca="1">IFERROR(INDEX(Calcs!$C$7:$C$20,MATCH($B6,Calcs!$A$7:$A$20,0)),"")</f>
        <v>1095.451509384452</v>
      </c>
      <c r="N6" s="48">
        <f t="shared" ca="1" si="3"/>
        <v>83.674639591027244</v>
      </c>
      <c r="O6" s="49" t="str">
        <f ca="1">IFERROR(INDEX(Calcs!$H$7:$H$20,MATCH($B6,Calcs!$A$7:$A$20,0)),"")</f>
        <v>W3</v>
      </c>
      <c r="P6" s="49" t="str">
        <f ca="1">IFERROR(INDEX(Calcs!$I$7:$I$20,MATCH($B6,Calcs!$A$7:$A$20,0)),"")</f>
        <v>WLWWW</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13 Aug</v>
      </c>
      <c r="S6" s="49">
        <f ca="1">IFERROR(ROUND(INDEX(Calcs!$Q$7:$Q$20,MATCH($B6,Calcs!$A$7:$A$20,0)),1),"")</f>
        <v>0</v>
      </c>
      <c r="T6" s="49" t="str">
        <f ca="1">IFERROR(INDEX(Calcs!$T$7:$T$20,MATCH($B6,Calcs!$A$7:$A$20,0)),"")</f>
        <v>Active</v>
      </c>
      <c r="U6">
        <f ca="1">IFERROR(ROUND(INDEX(Calcs!$R$7:$R$20,MATCH($B6,Calcs!$A$7:$A$20,0))+INDEX(Calcs!$U$7:$U$20,MATCH($B6,Calcs!$A$7:$A$20,0)),0),0)</f>
        <v>0</v>
      </c>
      <c r="V6" s="51">
        <f ca="1">IFERROR(ROUND(INDEX(Calcs!$S$7:$S$20,MATCH($B6,Calcs!$A$7:$A$20,0)),0),"")</f>
        <v>1148</v>
      </c>
      <c r="W6" s="49" t="str">
        <f ca="1">IFERROR(INDEX(Calcs!$AF$7:$AF$20,MATCH($B6,Calcs!$A$7:$A$20,0)),"")</f>
        <v>Elite</v>
      </c>
      <c r="X6" s="51">
        <f ca="1">IFERROR(ROUND(SUMIF('Poker Stake Ledger'!$C$18:$C$137,$B6,'Poker Stake Ledger'!$K$18:$K$137),1),0)</f>
        <v>21.8</v>
      </c>
    </row>
    <row r="7" spans="1:24" ht="15" customHeight="1" x14ac:dyDescent="0.2">
      <c r="A7" s="46">
        <f t="shared" si="0"/>
        <v>3</v>
      </c>
      <c r="B7" s="47" t="str">
        <f ca="1">IFERROR(INDEX(Calcs!$A$7:$A$20,MATCH(LARGE(Calcs!$AI$7:$AI$20,ROW()-4),Calcs!$AI$7:$AI$20,0)),"")</f>
        <v>Daniel (Ferret)</v>
      </c>
      <c r="C7" s="48">
        <f ca="1">IFERROR(INDEX(Calcs!$S$7:$S$20,MATCH($B7,Calcs!$A$7:$A$20,0)),"")</f>
        <v>1134.8539840113533</v>
      </c>
      <c r="D7" s="49">
        <f ca="1">COUNTIF('Match Log'!$D$4:$D$810,$B7)</f>
        <v>77</v>
      </c>
      <c r="E7" s="49">
        <f ca="1">COUNTIFS('Match Log'!$D$4:$D$810,$B7,'Match Log'!$E$4:$E$810,"Win")</f>
        <v>35</v>
      </c>
      <c r="F7" s="49">
        <f t="shared" ca="1" si="1"/>
        <v>42</v>
      </c>
      <c r="G7" s="50">
        <f t="shared" ca="1" si="2"/>
        <v>0.45454545454545453</v>
      </c>
      <c r="H7" s="51">
        <f ca="1">SUMIF('Match Log'!$D$4:$D$810,$B7,'Match Log'!$J$4:$J$810)</f>
        <v>26.007696037292959</v>
      </c>
      <c r="I7" s="51">
        <f ca="1">SUMIF('Match Log'!$D$4:$D$810,$B7,'Match Log'!$K$4:$K$810)</f>
        <v>41.196287974060198</v>
      </c>
      <c r="J7" s="51">
        <f ca="1">SUMIF('Match Log'!$D$4:$D$810,$B7,'Match Log'!$L$4:$L$810)</f>
        <v>69</v>
      </c>
      <c r="K7" s="49">
        <f ca="1">SUMPRODUCT(--(COUNTIFS('Match Log'!$D$4:$D$810,$B7,'Match Log'!$C$4:$C$810,Lists!$C$2:$C$24)&gt;0))</f>
        <v>14</v>
      </c>
      <c r="L7" s="49" t="str">
        <f ca="1">IF($D7=0,"No games",IF(AND($D7&gt;='Guide &amp; Settings'!$C$45,$K7&gt;='Guide &amp; Settings'!$C$46),"Eligible","Provisional"))</f>
        <v>Eligible</v>
      </c>
      <c r="M7" s="48">
        <f ca="1">IFERROR(INDEX(Calcs!$C$7:$C$20,MATCH($B7,Calcs!$A$7:$A$20,0)),"")</f>
        <v>1101.7094527091406</v>
      </c>
      <c r="N7" s="48">
        <f t="shared" ca="1" si="3"/>
        <v>96.848952313700011</v>
      </c>
      <c r="O7" s="49" t="str">
        <f ca="1">IFERROR(INDEX(Calcs!$H$7:$H$20,MATCH($B7,Calcs!$A$7:$A$20,0)),"")</f>
        <v>L1</v>
      </c>
      <c r="P7" s="49" t="str">
        <f ca="1">IFERROR(INDEX(Calcs!$I$7:$I$20,MATCH($B7,Calcs!$A$7:$A$20,0)),"")</f>
        <v>WLWWL</v>
      </c>
      <c r="Q7" s="49" t="str">
        <f ca="1">IFERROR(IF(INDEX(Calcs!$L$7:$L$20,MATCH($B7,Calcs!$A$7:$A$20,0))&gt;0,"▲"&amp;INDEX(Calcs!$L$7:$L$20,MATCH($B7,Calcs!$A$7:$A$20,0)),IF(INDEX(Calcs!$L$7:$L$20,MATCH($B7,Calcs!$A$7:$A$20,0))&lt;0,"▼"&amp;ABS(INDEX(Calcs!$L$7:$L$20,MATCH($B7,Calcs!$A$7:$A$20,0))),"–")),"")</f>
        <v>▲1</v>
      </c>
      <c r="R7" s="49" t="str">
        <f ca="1">IFERROR(IF(INDEX(Calcs!$P$7:$P$20,MATCH($B7,Calcs!$A$7:$A$20,0))=0,"—",TEXT(INDEX(Calcs!$P$7:$P$20,MATCH($B7,Calcs!$A$7:$A$20,0)),"d mmm")),"")</f>
        <v>13 Aug</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1135</v>
      </c>
      <c r="W7" s="49" t="str">
        <f ca="1">IFERROR(INDEX(Calcs!$AF$7:$AF$20,MATCH($B7,Calcs!$A$7:$A$20,0)),"")</f>
        <v>Elite</v>
      </c>
      <c r="X7" s="51">
        <f ca="1">IFERROR(ROUND(SUMIF('Poker Stake Ledger'!$C$18:$C$137,$B7,'Poker Stake Ledger'!$K$18:$K$137),1),0)</f>
        <v>-1.4</v>
      </c>
    </row>
    <row r="8" spans="1:24" ht="15" customHeight="1" x14ac:dyDescent="0.2">
      <c r="A8" s="46">
        <f t="shared" si="0"/>
        <v>4</v>
      </c>
      <c r="B8" s="47" t="str">
        <f ca="1">IFERROR(INDEX(Calcs!$A$7:$A$20,MATCH(LARGE(Calcs!$AI$7:$AI$20,ROW()-4),Calcs!$AI$7:$AI$20,0)),"")</f>
        <v>Shawn</v>
      </c>
      <c r="C8" s="48">
        <f ca="1">IFERROR(INDEX(Calcs!$S$7:$S$20,MATCH($B8,Calcs!$A$7:$A$20,0)),"")</f>
        <v>1124.39195520974</v>
      </c>
      <c r="D8" s="49">
        <f ca="1">COUNTIF('Match Log'!$D$4:$D$810,$B8)</f>
        <v>103</v>
      </c>
      <c r="E8" s="49">
        <f ca="1">COUNTIFS('Match Log'!$D$4:$D$810,$B8,'Match Log'!$E$4:$E$810,"Win")</f>
        <v>48</v>
      </c>
      <c r="F8" s="49">
        <f t="shared" ca="1" si="1"/>
        <v>55</v>
      </c>
      <c r="G8" s="50">
        <f t="shared" ca="1" si="2"/>
        <v>0.46601941747572817</v>
      </c>
      <c r="H8" s="51">
        <f ca="1">SUMIF('Match Log'!$D$4:$D$810,$B8,'Match Log'!$J$4:$J$810)</f>
        <v>38.329771672166991</v>
      </c>
      <c r="I8" s="51">
        <f ca="1">SUMIF('Match Log'!$D$4:$D$810,$B8,'Match Log'!$K$4:$K$810)</f>
        <v>7.8121835375733575</v>
      </c>
      <c r="J8" s="51">
        <f ca="1">SUMIF('Match Log'!$D$4:$D$810,$B8,'Match Log'!$L$4:$L$810)</f>
        <v>82</v>
      </c>
      <c r="K8" s="49">
        <f ca="1">SUMPRODUCT(--(COUNTIFS('Match Log'!$D$4:$D$810,$B8,'Match Log'!$C$4:$C$810,Lists!$C$2:$C$24)&gt;0))</f>
        <v>15</v>
      </c>
      <c r="L8" s="49" t="str">
        <f ca="1">IF($D8=0,"No games",IF(AND($D8&gt;='Guide &amp; Settings'!$C$45,$K8&gt;='Guide &amp; Settings'!$C$46),"Eligible","Provisional"))</f>
        <v>Eligible</v>
      </c>
      <c r="M8" s="48">
        <f ca="1">IFERROR(INDEX(Calcs!$C$7:$C$20,MATCH($B8,Calcs!$A$7:$A$20,0)),"")</f>
        <v>1075.4673613433879</v>
      </c>
      <c r="N8" s="48">
        <f t="shared" ca="1" si="3"/>
        <v>107.31098111531333</v>
      </c>
      <c r="O8" s="49" t="str">
        <f ca="1">IFERROR(INDEX(Calcs!$H$7:$H$20,MATCH($B8,Calcs!$A$7:$A$20,0)),"")</f>
        <v>W1</v>
      </c>
      <c r="P8" s="49" t="str">
        <f ca="1">IFERROR(INDEX(Calcs!$I$7:$I$20,MATCH($B8,Calcs!$A$7:$A$20,0)),"")</f>
        <v>WLLLW</v>
      </c>
      <c r="Q8" s="49" t="str">
        <f ca="1">IFERROR(IF(INDEX(Calcs!$L$7:$L$20,MATCH($B8,Calcs!$A$7:$A$20,0))&gt;0,"▲"&amp;INDEX(Calcs!$L$7:$L$20,MATCH($B8,Calcs!$A$7:$A$20,0)),IF(INDEX(Calcs!$L$7:$L$20,MATCH($B8,Calcs!$A$7:$A$20,0))&lt;0,"▼"&amp;ABS(INDEX(Calcs!$L$7:$L$20,MATCH($B8,Calcs!$A$7:$A$20,0))),"–")),"")</f>
        <v>▲1</v>
      </c>
      <c r="R8" s="49" t="str">
        <f ca="1">IFERROR(IF(INDEX(Calcs!$P$7:$P$20,MATCH($B8,Calcs!$A$7:$A$20,0))=0,"—",TEXT(INDEX(Calcs!$P$7:$P$20,MATCH($B8,Calcs!$A$7:$A$20,0)),"d mmm")),"")</f>
        <v>13 Aug</v>
      </c>
      <c r="S8" s="49">
        <f ca="1">IFERROR(ROUND(INDEX(Calcs!$Q$7:$Q$20,MATCH($B8,Calcs!$A$7:$A$20,0)),1),"")</f>
        <v>0</v>
      </c>
      <c r="T8" s="49" t="str">
        <f ca="1">IFERROR(INDEX(Calcs!$T$7:$T$20,MATCH($B8,Calcs!$A$7:$A$20,0)),"")</f>
        <v>Active</v>
      </c>
      <c r="U8">
        <f ca="1">IFERROR(ROUND(INDEX(Calcs!$R$7:$R$20,MATCH($B8,Calcs!$A$7:$A$20,0))+INDEX(Calcs!$U$7:$U$20,MATCH($B8,Calcs!$A$7:$A$20,0)),0),0)</f>
        <v>0</v>
      </c>
      <c r="V8" s="51">
        <f ca="1">IFERROR(ROUND(INDEX(Calcs!$S$7:$S$20,MATCH($B8,Calcs!$A$7:$A$20,0)),0),"")</f>
        <v>1124</v>
      </c>
      <c r="W8" s="49" t="str">
        <f ca="1">IFERROR(INDEX(Calcs!$AF$7:$AF$20,MATCH($B8,Calcs!$A$7:$A$20,0)),"")</f>
        <v>Strong</v>
      </c>
      <c r="X8" s="51">
        <f ca="1">IFERROR(ROUND(SUMIF('Poker Stake Ledger'!$C$18:$C$137,$B8,'Poker Stake Ledger'!$K$18:$K$137),1),0)</f>
        <v>-3.8</v>
      </c>
    </row>
    <row r="9" spans="1:24" ht="15" customHeight="1" x14ac:dyDescent="0.2">
      <c r="A9" s="46">
        <f t="shared" si="0"/>
        <v>5</v>
      </c>
      <c r="B9" s="47" t="str">
        <f ca="1">IFERROR(INDEX(Calcs!$A$7:$A$20,MATCH(LARGE(Calcs!$AI$7:$AI$20,ROW()-4),Calcs!$AI$7:$AI$20,0)),"")</f>
        <v>Dylan A</v>
      </c>
      <c r="C9" s="48">
        <f ca="1">IFERROR(INDEX(Calcs!$S$7:$S$20,MATCH($B9,Calcs!$A$7:$A$20,0)),"")</f>
        <v>1080.3830919749923</v>
      </c>
      <c r="D9" s="49">
        <f ca="1">COUNTIF('Match Log'!$D$4:$D$810,$B9)</f>
        <v>9</v>
      </c>
      <c r="E9" s="49">
        <f ca="1">COUNTIFS('Match Log'!$D$4:$D$810,$B9,'Match Log'!$E$4:$E$810,"Win")</f>
        <v>6</v>
      </c>
      <c r="F9" s="49">
        <f t="shared" ca="1" si="1"/>
        <v>3</v>
      </c>
      <c r="G9" s="50">
        <f t="shared" ca="1" si="2"/>
        <v>0.66666666666666663</v>
      </c>
      <c r="H9" s="51">
        <f ca="1">SUMIF('Match Log'!$D$4:$D$810,$B9,'Match Log'!$J$4:$J$810)</f>
        <v>37.232086523270631</v>
      </c>
      <c r="I9" s="51">
        <f ca="1">SUMIF('Match Log'!$D$4:$D$810,$B9,'Match Log'!$K$4:$K$810)</f>
        <v>27.1510054517219</v>
      </c>
      <c r="J9" s="51">
        <f ca="1">SUMIF('Match Log'!$D$4:$D$810,$B9,'Match Log'!$L$4:$L$810)</f>
        <v>16</v>
      </c>
      <c r="K9" s="49">
        <f ca="1">SUMPRODUCT(--(COUNTIFS('Match Log'!$D$4:$D$810,$B9,'Match Log'!$C$4:$C$810,Lists!$C$2:$C$24)&gt;0))</f>
        <v>3</v>
      </c>
      <c r="L9" s="49" t="str">
        <f ca="1">IF($D9=0,"No games",IF(AND($D9&gt;='Guide &amp; Settings'!$C$45,$K9&gt;='Guide &amp; Settings'!$C$46),"Eligible","Provisional"))</f>
        <v>Eligible</v>
      </c>
      <c r="M9" s="48">
        <f ca="1">IFERROR(INDEX(Calcs!$C$7:$C$20,MATCH($B9,Calcs!$A$7:$A$20,0)),"")</f>
        <v>1051.1937613447226</v>
      </c>
      <c r="N9" s="48">
        <f t="shared" ca="1" si="3"/>
        <v>151.31984435006098</v>
      </c>
      <c r="O9" s="49" t="str">
        <f ca="1">IFERROR(INDEX(Calcs!$H$7:$H$20,MATCH($B9,Calcs!$A$7:$A$20,0)),"")</f>
        <v>W2</v>
      </c>
      <c r="P9" s="49" t="str">
        <f ca="1">IFERROR(INDEX(Calcs!$I$7:$I$20,MATCH($B9,Calcs!$A$7:$A$20,0)),"")</f>
        <v>WWLWW</v>
      </c>
      <c r="Q9" s="49" t="str">
        <f ca="1">IFERROR(IF(INDEX(Calcs!$L$7:$L$20,MATCH($B9,Calcs!$A$7:$A$20,0))&gt;0,"▲"&amp;INDEX(Calcs!$L$7:$L$20,MATCH($B9,Calcs!$A$7:$A$20,0)),IF(INDEX(Calcs!$L$7:$L$20,MATCH($B9,Calcs!$A$7:$A$20,0))&lt;0,"▼"&amp;ABS(INDEX(Calcs!$L$7:$L$20,MATCH($B9,Calcs!$A$7:$A$20,0))),"–")),"")</f>
        <v>▲1</v>
      </c>
      <c r="R9" s="49" t="str">
        <f ca="1">IFERROR(IF(INDEX(Calcs!$P$7:$P$20,MATCH($B9,Calcs!$A$7:$A$20,0))=0,"—",TEXT(INDEX(Calcs!$P$7:$P$20,MATCH($B9,Calcs!$A$7:$A$20,0)),"d mmm")),"")</f>
        <v>19 Jul</v>
      </c>
      <c r="S9" s="49">
        <f ca="1">IFERROR(ROUND(INDEX(Calcs!$Q$7:$Q$20,MATCH($B9,Calcs!$A$7:$A$20,0)),1),"")</f>
        <v>3.6</v>
      </c>
      <c r="T9" s="49" t="str">
        <f ca="1">IFERROR(INDEX(Calcs!$T$7:$T$20,MATCH($B9,Calcs!$A$7:$A$20,0)),"")</f>
        <v>At risk</v>
      </c>
      <c r="U9">
        <f ca="1">IFERROR(ROUND(INDEX(Calcs!$R$7:$R$20,MATCH($B9,Calcs!$A$7:$A$20,0))+INDEX(Calcs!$U$7:$U$20,MATCH($B9,Calcs!$A$7:$A$20,0)),0),0)</f>
        <v>0</v>
      </c>
      <c r="V9" s="51">
        <f ca="1">IFERROR(ROUND(INDEX(Calcs!$S$7:$S$20,MATCH($B9,Calcs!$A$7:$A$20,0)),0),"")</f>
        <v>1080</v>
      </c>
      <c r="W9" s="49" t="str">
        <f ca="1">IFERROR(INDEX(Calcs!$AF$7:$AF$20,MATCH($B9,Calcs!$A$7:$A$20,0)),"")</f>
        <v>Strong</v>
      </c>
      <c r="X9" s="51">
        <f ca="1">IFERROR(ROUND(SUMIF('Poker Stake Ledger'!$C$18:$C$137,$B9,'Poker Stake Ledger'!$K$18:$K$137),1),0)</f>
        <v>0</v>
      </c>
    </row>
    <row r="10" spans="1:24" ht="15" customHeight="1" x14ac:dyDescent="0.2">
      <c r="A10" s="46">
        <f t="shared" si="0"/>
        <v>6</v>
      </c>
      <c r="B10" s="47" t="str">
        <f ca="1">IFERROR(INDEX(Calcs!$A$7:$A$20,MATCH(LARGE(Calcs!$AI$7:$AI$20,ROW()-4),Calcs!$AI$7:$AI$20,0)),"")</f>
        <v>Oscar</v>
      </c>
      <c r="C10" s="48">
        <f ca="1">IFERROR(INDEX(Calcs!$S$7:$S$20,MATCH($B10,Calcs!$A$7:$A$20,0)),"")</f>
        <v>1054.3366131438215</v>
      </c>
      <c r="D10" s="49">
        <f ca="1">COUNTIF('Match Log'!$D$4:$D$810,$B10)</f>
        <v>59</v>
      </c>
      <c r="E10" s="49">
        <f ca="1">COUNTIFS('Match Log'!$D$4:$D$810,$B10,'Match Log'!$E$4:$E$810,"Win")</f>
        <v>25</v>
      </c>
      <c r="F10" s="49">
        <f t="shared" ca="1" si="1"/>
        <v>34</v>
      </c>
      <c r="G10" s="50">
        <f t="shared" ca="1" si="2"/>
        <v>0.42372881355932202</v>
      </c>
      <c r="H10" s="51">
        <f ca="1">SUMIF('Match Log'!$D$4:$D$810,$B10,'Match Log'!$J$4:$J$810)</f>
        <v>-33.21875751222327</v>
      </c>
      <c r="I10" s="51">
        <f ca="1">SUMIF('Match Log'!$D$4:$D$810,$B10,'Match Log'!$K$4:$K$810)</f>
        <v>13.555370656044481</v>
      </c>
      <c r="J10" s="51">
        <f ca="1">SUMIF('Match Log'!$D$4:$D$810,$B10,'Match Log'!$L$4:$L$810)</f>
        <v>74</v>
      </c>
      <c r="K10" s="49">
        <f ca="1">SUMPRODUCT(--(COUNTIFS('Match Log'!$D$4:$D$810,$B10,'Match Log'!$C$4:$C$810,Lists!$C$2:$C$24)&gt;0))</f>
        <v>9</v>
      </c>
      <c r="L10" s="49" t="str">
        <f ca="1">IF($D10=0,"No games",IF(AND($D10&gt;='Guide &amp; Settings'!$C$45,$K10&gt;='Guide &amp; Settings'!$C$46),"Eligible","Provisional"))</f>
        <v>Eligible</v>
      </c>
      <c r="M10" s="48">
        <f ca="1">IFERROR(INDEX(Calcs!$C$7:$C$20,MATCH($B10,Calcs!$A$7:$A$20,0)),"")</f>
        <v>1093.2269668251802</v>
      </c>
      <c r="N10" s="48">
        <f t="shared" ca="1" si="3"/>
        <v>177.36632318123179</v>
      </c>
      <c r="O10" s="49" t="str">
        <f ca="1">IFERROR(INDEX(Calcs!$H$7:$H$20,MATCH($B10,Calcs!$A$7:$A$20,0)),"")</f>
        <v>L6</v>
      </c>
      <c r="P10" s="49" t="str">
        <f ca="1">IFERROR(INDEX(Calcs!$I$7:$I$20,MATCH($B10,Calcs!$A$7:$A$20,0)),"")</f>
        <v>LLLLL</v>
      </c>
      <c r="Q10" s="49" t="str">
        <f ca="1">IFERROR(IF(INDEX(Calcs!$L$7:$L$20,MATCH($B10,Calcs!$A$7:$A$20,0))&gt;0,"▲"&amp;INDEX(Calcs!$L$7:$L$20,MATCH($B10,Calcs!$A$7:$A$20,0)),IF(INDEX(Calcs!$L$7:$L$20,MATCH($B10,Calcs!$A$7:$A$20,0))&lt;0,"▼"&amp;ABS(INDEX(Calcs!$L$7:$L$20,MATCH($B10,Calcs!$A$7:$A$20,0))),"–")),"")</f>
        <v>▼4</v>
      </c>
      <c r="R10" s="49" t="str">
        <f ca="1">IFERROR(IF(INDEX(Calcs!$P$7:$P$20,MATCH($B10,Calcs!$A$7:$A$20,0))=0,"—",TEXT(INDEX(Calcs!$P$7:$P$20,MATCH($B10,Calcs!$A$7:$A$20,0)),"d mmm")),"")</f>
        <v>9 Aug</v>
      </c>
      <c r="S10" s="49">
        <f ca="1">IFERROR(ROUND(INDEX(Calcs!$Q$7:$Q$20,MATCH($B10,Calcs!$A$7:$A$20,0)),1),"")</f>
        <v>0.6</v>
      </c>
      <c r="T10" s="49" t="str">
        <f ca="1">IFERROR(INDEX(Calcs!$T$7:$T$20,MATCH($B10,Calcs!$A$7:$A$20,0)),"")</f>
        <v>Active</v>
      </c>
      <c r="U10">
        <f ca="1">IFERROR(ROUND(INDEX(Calcs!$R$7:$R$20,MATCH($B10,Calcs!$A$7:$A$20,0))+INDEX(Calcs!$U$7:$U$20,MATCH($B10,Calcs!$A$7:$A$20,0)),0),0)</f>
        <v>0</v>
      </c>
      <c r="V10" s="51">
        <f ca="1">IFERROR(ROUND(INDEX(Calcs!$S$7:$S$20,MATCH($B10,Calcs!$A$7:$A$20,0)),0),"")</f>
        <v>1054</v>
      </c>
      <c r="W10" s="49" t="str">
        <f ca="1">IFERROR(INDEX(Calcs!$AF$7:$AF$20,MATCH($B10,Calcs!$A$7:$A$20,0)),"")</f>
        <v>Strong</v>
      </c>
      <c r="X10" s="51">
        <f ca="1">IFERROR(ROUND(SUMIF('Poker Stake Ledger'!$C$18:$C$137,$B10,'Poker Stake Ledger'!$K$18:$K$137),1),0)</f>
        <v>0</v>
      </c>
    </row>
    <row r="11" spans="1:24" ht="15" customHeight="1" x14ac:dyDescent="0.2">
      <c r="A11" s="46">
        <f t="shared" si="0"/>
        <v>7</v>
      </c>
      <c r="B11" s="47" t="str">
        <f ca="1">IFERROR(INDEX(Calcs!$A$7:$A$20,MATCH(LARGE(Calcs!$AI$7:$AI$20,ROW()-4),Calcs!$AI$7:$AI$20,0)),"")</f>
        <v>Simon</v>
      </c>
      <c r="C11" s="48">
        <f ca="1">IFERROR(INDEX(Calcs!$S$7:$S$20,MATCH($B11,Calcs!$A$7:$A$20,0)),"")</f>
        <v>1044.6893073123574</v>
      </c>
      <c r="D11" s="49">
        <f ca="1">COUNTIF('Match Log'!$D$4:$D$810,$B11)</f>
        <v>21</v>
      </c>
      <c r="E11" s="49">
        <f ca="1">COUNTIFS('Match Log'!$D$4:$D$810,$B11,'Match Log'!$E$4:$E$810,"Win")</f>
        <v>10</v>
      </c>
      <c r="F11" s="49">
        <f t="shared" ca="1" si="1"/>
        <v>11</v>
      </c>
      <c r="G11" s="50">
        <f t="shared" ca="1" si="2"/>
        <v>0.47619047619047616</v>
      </c>
      <c r="H11" s="51">
        <f ca="1">SUMIF('Match Log'!$D$4:$D$810,$B11,'Match Log'!$J$4:$J$810)</f>
        <v>-13.445795249205757</v>
      </c>
      <c r="I11" s="51">
        <f ca="1">SUMIF('Match Log'!$D$4:$D$810,$B11,'Match Log'!$K$4:$K$810)</f>
        <v>14.685102561563125</v>
      </c>
      <c r="J11" s="51">
        <f ca="1">SUMIF('Match Log'!$D$4:$D$810,$B11,'Match Log'!$L$4:$L$810)</f>
        <v>49</v>
      </c>
      <c r="K11" s="49">
        <f ca="1">SUMPRODUCT(--(COUNTIFS('Match Log'!$D$4:$D$810,$B11,'Match Log'!$C$4:$C$810,Lists!$C$2:$C$24)&gt;0))</f>
        <v>8</v>
      </c>
      <c r="L11" s="49" t="str">
        <f ca="1">IF($D11=0,"No games",IF(AND($D11&gt;='Guide &amp; Settings'!$C$45,$K11&gt;='Guide &amp; Settings'!$C$46),"Eligible","Provisional"))</f>
        <v>Eligible</v>
      </c>
      <c r="M11" s="48">
        <f ca="1">IFERROR(INDEX(Calcs!$C$7:$C$20,MATCH($B11,Calcs!$A$7:$A$20,0)),"")</f>
        <v>1062.0318063351845</v>
      </c>
      <c r="N11" s="48">
        <f t="shared" ca="1" si="3"/>
        <v>187.0136290126959</v>
      </c>
      <c r="O11" s="49" t="str">
        <f ca="1">IFERROR(INDEX(Calcs!$H$7:$H$20,MATCH($B11,Calcs!$A$7:$A$20,0)),"")</f>
        <v>L7</v>
      </c>
      <c r="P11" s="49" t="str">
        <f ca="1">IFERROR(INDEX(Calcs!$I$7:$I$20,MATCH($B11,Calcs!$A$7:$A$20,0)),"")</f>
        <v>LLLLL</v>
      </c>
      <c r="Q11" s="49" t="str">
        <f ca="1">IFERROR(IF(INDEX(Calcs!$L$7:$L$20,MATCH($B11,Calcs!$A$7:$A$20,0))&gt;0,"▲"&amp;INDEX(Calcs!$L$7:$L$20,MATCH($B11,Calcs!$A$7:$A$20,0)),IF(INDEX(Calcs!$L$7:$L$20,MATCH($B11,Calcs!$A$7:$A$20,0))&lt;0,"▼"&amp;ABS(INDEX(Calcs!$L$7:$L$20,MATCH($B11,Calcs!$A$7:$A$20,0))),"–")),"")</f>
        <v>–</v>
      </c>
      <c r="R11" s="49" t="str">
        <f ca="1">IFERROR(IF(INDEX(Calcs!$P$7:$P$20,MATCH($B11,Calcs!$A$7:$A$20,0))=0,"—",TEXT(INDEX(Calcs!$P$7:$P$20,MATCH($B11,Calcs!$A$7:$A$20,0)),"d mmm")),"")</f>
        <v>26 Jul</v>
      </c>
      <c r="S11" s="49">
        <f ca="1">IFERROR(ROUND(INDEX(Calcs!$Q$7:$Q$20,MATCH($B11,Calcs!$A$7:$A$20,0)),1),"")</f>
        <v>2.6</v>
      </c>
      <c r="T11" s="49" t="str">
        <f ca="1">IFERROR(INDEX(Calcs!$T$7:$T$20,MATCH($B11,Calcs!$A$7:$A$20,0)),"")</f>
        <v>At risk</v>
      </c>
      <c r="U11">
        <f ca="1">IFERROR(ROUND(INDEX(Calcs!$R$7:$R$20,MATCH($B11,Calcs!$A$7:$A$20,0))+INDEX(Calcs!$U$7:$U$20,MATCH($B11,Calcs!$A$7:$A$20,0)),0),0)</f>
        <v>0</v>
      </c>
      <c r="V11" s="51">
        <f ca="1">IFERROR(ROUND(INDEX(Calcs!$S$7:$S$20,MATCH($B11,Calcs!$A$7:$A$20,0)),0),"")</f>
        <v>1045</v>
      </c>
      <c r="W11" s="49" t="str">
        <f ca="1">IFERROR(INDEX(Calcs!$AF$7:$AF$20,MATCH($B11,Calcs!$A$7:$A$20,0)),"")</f>
        <v>Mid</v>
      </c>
      <c r="X11" s="51">
        <f ca="1">IFERROR(ROUND(SUMIF('Poker Stake Ledger'!$C$18:$C$137,$B11,'Poker Stake Ledger'!$K$18:$K$137),1),0)</f>
        <v>-5.6</v>
      </c>
    </row>
    <row r="12" spans="1:24" ht="15" customHeight="1" x14ac:dyDescent="0.2">
      <c r="A12" s="46">
        <f t="shared" si="0"/>
        <v>8</v>
      </c>
      <c r="B12" s="47" t="str">
        <f ca="1">IFERROR(INDEX(Calcs!$A$7:$A$20,MATCH(LARGE(Calcs!$AI$7:$AI$20,ROW()-4),Calcs!$AI$7:$AI$20,0)),"")</f>
        <v>Chase</v>
      </c>
      <c r="C12" s="48">
        <f ca="1">IFERROR(INDEX(Calcs!$S$7:$S$20,MATCH($B12,Calcs!$A$7:$A$20,0)),"")</f>
        <v>1037.8197114720938</v>
      </c>
      <c r="D12" s="49">
        <f ca="1">COUNTIF('Match Log'!$D$4:$D$810,$B12)</f>
        <v>16</v>
      </c>
      <c r="E12" s="49">
        <f ca="1">COUNTIFS('Match Log'!$D$4:$D$810,$B12,'Match Log'!$E$4:$E$810,"Win")</f>
        <v>7</v>
      </c>
      <c r="F12" s="49">
        <f t="shared" ca="1" si="1"/>
        <v>9</v>
      </c>
      <c r="G12" s="50">
        <f t="shared" ca="1" si="2"/>
        <v>0.4375</v>
      </c>
      <c r="H12" s="51">
        <f ca="1">SUMIF('Match Log'!$D$4:$D$810,$B12,'Match Log'!$J$4:$J$810)</f>
        <v>14.500662079420026</v>
      </c>
      <c r="I12" s="51">
        <f ca="1">SUMIF('Match Log'!$D$4:$D$810,$B12,'Match Log'!$K$4:$K$810)</f>
        <v>-4.680950607326376</v>
      </c>
      <c r="J12" s="51">
        <f ca="1">SUMIF('Match Log'!$D$4:$D$810,$B12,'Match Log'!$L$4:$L$810)</f>
        <v>28</v>
      </c>
      <c r="K12" s="49">
        <f ca="1">SUMPRODUCT(--(COUNTIFS('Match Log'!$D$4:$D$810,$B12,'Match Log'!$C$4:$C$810,Lists!$C$2:$C$24)&gt;0))</f>
        <v>8</v>
      </c>
      <c r="L12" s="49" t="str">
        <f ca="1">IF($D12=0,"No games",IF(AND($D12&gt;='Guide &amp; Settings'!$C$45,$K12&gt;='Guide &amp; Settings'!$C$46),"Eligible","Provisional"))</f>
        <v>Eligible</v>
      </c>
      <c r="M12" s="48">
        <f ca="1">IFERROR(INDEX(Calcs!$C$7:$C$20,MATCH($B12,Calcs!$A$7:$A$20,0)),"")</f>
        <v>1078.8903812530361</v>
      </c>
      <c r="N12" s="48">
        <f t="shared" ca="1" si="3"/>
        <v>193.88322485295953</v>
      </c>
      <c r="O12" s="49" t="str">
        <f ca="1">IFERROR(INDEX(Calcs!$H$7:$H$20,MATCH($B12,Calcs!$A$7:$A$20,0)),"")</f>
        <v>L3</v>
      </c>
      <c r="P12" s="49" t="str">
        <f ca="1">IFERROR(INDEX(Calcs!$I$7:$I$20,MATCH($B12,Calcs!$A$7:$A$20,0)),"")</f>
        <v>LWLLL</v>
      </c>
      <c r="Q12" s="49" t="str">
        <f ca="1">IFERROR(IF(INDEX(Calcs!$L$7:$L$20,MATCH($B12,Calcs!$A$7:$A$20,0))&gt;0,"▲"&amp;INDEX(Calcs!$L$7:$L$20,MATCH($B12,Calcs!$A$7:$A$20,0)),IF(INDEX(Calcs!$L$7:$L$20,MATCH($B12,Calcs!$A$7:$A$20,0))&lt;0,"▼"&amp;ABS(INDEX(Calcs!$L$7:$L$20,MATCH($B12,Calcs!$A$7:$A$20,0))),"–")),"")</f>
        <v>–</v>
      </c>
      <c r="R12" s="49" t="str">
        <f ca="1">IFERROR(IF(INDEX(Calcs!$P$7:$P$20,MATCH($B12,Calcs!$A$7:$A$20,0))=0,"—",TEXT(INDEX(Calcs!$P$7:$P$20,MATCH($B12,Calcs!$A$7:$A$20,0)),"d mmm")),"")</f>
        <v>17 Jul</v>
      </c>
      <c r="S12" s="49">
        <f ca="1">IFERROR(ROUND(INDEX(Calcs!$Q$7:$Q$20,MATCH($B12,Calcs!$A$7:$A$20,0)),1),"")</f>
        <v>3.9</v>
      </c>
      <c r="T12" s="49" t="str">
        <f ca="1">IFERROR(INDEX(Calcs!$T$7:$T$20,MATCH($B12,Calcs!$A$7:$A$20,0)),"")</f>
        <v>At risk</v>
      </c>
      <c r="U12">
        <f ca="1">IFERROR(ROUND(INDEX(Calcs!$R$7:$R$20,MATCH($B12,Calcs!$A$7:$A$20,0))+INDEX(Calcs!$U$7:$U$20,MATCH($B12,Calcs!$A$7:$A$20,0)),0),0)</f>
        <v>0</v>
      </c>
      <c r="V12" s="51">
        <f ca="1">IFERROR(ROUND(INDEX(Calcs!$S$7:$S$20,MATCH($B12,Calcs!$A$7:$A$20,0)),0),"")</f>
        <v>1038</v>
      </c>
      <c r="W12" s="49" t="str">
        <f ca="1">IFERROR(INDEX(Calcs!$AF$7:$AF$20,MATCH($B12,Calcs!$A$7:$A$20,0)),"")</f>
        <v>Strong</v>
      </c>
      <c r="X12" s="51">
        <f ca="1">IFERROR(ROUND(SUMIF('Poker Stake Ledger'!$C$18:$C$137,$B12,'Poker Stake Ledger'!$K$18:$K$137),1),0)</f>
        <v>0</v>
      </c>
    </row>
    <row r="13" spans="1:24" ht="15" customHeight="1" x14ac:dyDescent="0.2">
      <c r="A13" s="46">
        <f t="shared" si="0"/>
        <v>9</v>
      </c>
      <c r="B13" s="47" t="str">
        <f ca="1">IFERROR(INDEX(Calcs!$A$7:$A$20,MATCH(LARGE(Calcs!$AI$7:$AI$20,ROW()-4),Calcs!$AI$7:$AI$20,0)),"")</f>
        <v>Dean M</v>
      </c>
      <c r="C13" s="48">
        <f ca="1">IFERROR(INDEX(Calcs!$S$7:$S$20,MATCH($B13,Calcs!$A$7:$A$20,0)),"")</f>
        <v>1012.1303999492304</v>
      </c>
      <c r="D13" s="49">
        <f ca="1">COUNTIF('Match Log'!$D$4:$D$810,$B13)</f>
        <v>10</v>
      </c>
      <c r="E13" s="49">
        <f ca="1">COUNTIFS('Match Log'!$D$4:$D$810,$B13,'Match Log'!$E$4:$E$810,"Win")</f>
        <v>4</v>
      </c>
      <c r="F13" s="49">
        <f t="shared" ca="1" si="1"/>
        <v>6</v>
      </c>
      <c r="G13" s="50">
        <f t="shared" ca="1" si="2"/>
        <v>0.4</v>
      </c>
      <c r="H13" s="51">
        <f ca="1">SUMIF('Match Log'!$D$4:$D$810,$B13,'Match Log'!$J$4:$J$810)</f>
        <v>-15.951857211874659</v>
      </c>
      <c r="I13" s="51">
        <f ca="1">SUMIF('Match Log'!$D$4:$D$810,$B13,'Match Log'!$K$4:$K$810)</f>
        <v>8.0822571611051508</v>
      </c>
      <c r="J13" s="51">
        <f ca="1">SUMIF('Match Log'!$D$4:$D$810,$B13,'Match Log'!$L$4:$L$810)</f>
        <v>20</v>
      </c>
      <c r="K13" s="49">
        <f ca="1">SUMPRODUCT(--(COUNTIFS('Match Log'!$D$4:$D$810,$B13,'Match Log'!$C$4:$C$810,Lists!$C$2:$C$24)&gt;0))</f>
        <v>3</v>
      </c>
      <c r="L13" s="49" t="str">
        <f ca="1">IF($D13=0,"No games",IF(AND($D13&gt;='Guide &amp; Settings'!$C$45,$K13&gt;='Guide &amp; Settings'!$C$46),"Eligible","Provisional"))</f>
        <v>Eligible</v>
      </c>
      <c r="M13" s="48">
        <f ca="1">IFERROR(INDEX(Calcs!$C$7:$C$20,MATCH($B13,Calcs!$A$7:$A$20,0)),"")</f>
        <v>1060.1947160275172</v>
      </c>
      <c r="N13" s="48">
        <f t="shared" ca="1" si="3"/>
        <v>219.57253637582289</v>
      </c>
      <c r="O13" s="49" t="str">
        <f ca="1">IFERROR(INDEX(Calcs!$H$7:$H$20,MATCH($B13,Calcs!$A$7:$A$20,0)),"")</f>
        <v>W1</v>
      </c>
      <c r="P13" s="49" t="str">
        <f ca="1">IFERROR(INDEX(Calcs!$I$7:$I$20,MATCH($B13,Calcs!$A$7:$A$20,0)),"")</f>
        <v>LLWLW</v>
      </c>
      <c r="Q13" s="49" t="str">
        <f ca="1">IFERROR(IF(INDEX(Calcs!$L$7:$L$20,MATCH($B13,Calcs!$A$7:$A$20,0))&gt;0,"▲"&amp;INDEX(Calcs!$L$7:$L$20,MATCH($B13,Calcs!$A$7:$A$20,0)),IF(INDEX(Calcs!$L$7:$L$20,MATCH($B13,Calcs!$A$7:$A$20,0))&lt;0,"▼"&amp;ABS(INDEX(Calcs!$L$7:$L$20,MATCH($B13,Calcs!$A$7:$A$20,0))),"–")),"")</f>
        <v>–</v>
      </c>
      <c r="R13" s="49" t="str">
        <f ca="1">IFERROR(IF(INDEX(Calcs!$P$7:$P$20,MATCH($B13,Calcs!$A$7:$A$20,0))=0,"—",TEXT(INDEX(Calcs!$P$7:$P$20,MATCH($B13,Calcs!$A$7:$A$20,0)),"d mmm")),"")</f>
        <v>19 Jul</v>
      </c>
      <c r="S13" s="49">
        <f ca="1">IFERROR(ROUND(INDEX(Calcs!$Q$7:$Q$20,MATCH($B13,Calcs!$A$7:$A$20,0)),1),"")</f>
        <v>3.6</v>
      </c>
      <c r="T13" s="49" t="str">
        <f ca="1">IFERROR(INDEX(Calcs!$T$7:$T$20,MATCH($B13,Calcs!$A$7:$A$20,0)),"")</f>
        <v>At risk</v>
      </c>
      <c r="U13">
        <f ca="1">IFERROR(ROUND(INDEX(Calcs!$R$7:$R$20,MATCH($B13,Calcs!$A$7:$A$20,0))+INDEX(Calcs!$U$7:$U$20,MATCH($B13,Calcs!$A$7:$A$20,0)),0),0)</f>
        <v>0</v>
      </c>
      <c r="V13" s="51">
        <f ca="1">IFERROR(ROUND(INDEX(Calcs!$S$7:$S$20,MATCH($B13,Calcs!$A$7:$A$20,0)),0),"")</f>
        <v>1012</v>
      </c>
      <c r="W13" s="49" t="str">
        <f ca="1">IFERROR(INDEX(Calcs!$AF$7:$AF$20,MATCH($B13,Calcs!$A$7:$A$20,0)),"")</f>
        <v>Mid</v>
      </c>
      <c r="X13" s="51">
        <f ca="1">IFERROR(ROUND(SUMIF('Poker Stake Ledger'!$C$18:$C$137,$B13,'Poker Stake Ledger'!$K$18:$K$137),1),0)</f>
        <v>0</v>
      </c>
    </row>
    <row r="14" spans="1:24" ht="15" customHeight="1" x14ac:dyDescent="0.2">
      <c r="A14" s="46">
        <f t="shared" si="0"/>
        <v>10</v>
      </c>
      <c r="B14" s="47" t="str">
        <f ca="1">IFERROR(INDEX(Calcs!$A$7:$A$20,MATCH(LARGE(Calcs!$AI$7:$AI$20,ROW()-4),Calcs!$AI$7:$AI$20,0)),"")</f>
        <v>Dylan S</v>
      </c>
      <c r="C14" s="48">
        <f ca="1">IFERROR(INDEX(Calcs!$S$7:$S$20,MATCH($B14,Calcs!$A$7:$A$20,0)),"")</f>
        <v>1000</v>
      </c>
      <c r="D14" s="49">
        <f ca="1">COUNTIF('Match Log'!$D$4:$D$810,$B14)</f>
        <v>0</v>
      </c>
      <c r="E14" s="49">
        <f ca="1">COUNTIFS('Match Log'!$D$4:$D$810,$B14,'Match Log'!$E$4:$E$810,"Win")</f>
        <v>0</v>
      </c>
      <c r="F14" s="49">
        <f t="shared" ca="1" si="1"/>
        <v>0</v>
      </c>
      <c r="G14" s="50" t="str">
        <f t="shared" ca="1" si="2"/>
        <v/>
      </c>
      <c r="H14" s="51">
        <f ca="1">SUMIF('Match Log'!$D$4:$D$810,$B14,'Match Log'!$J$4:$J$810)</f>
        <v>0</v>
      </c>
      <c r="I14" s="51">
        <f ca="1">SUMIF('Match Log'!$D$4:$D$810,$B14,'Match Log'!$K$4:$K$810)</f>
        <v>0</v>
      </c>
      <c r="J14" s="51">
        <f ca="1">SUMIF('Match Log'!$D$4:$D$810,$B14,'Match Log'!$L$4:$L$810)</f>
        <v>0</v>
      </c>
      <c r="K14" s="49">
        <f ca="1">SUMPRODUCT(--(COUNTIFS('Match Log'!$D$4:$D$810,$B14,'Match Log'!$C$4:$C$810,Lists!$C$2:$C$24)&gt;0))</f>
        <v>0</v>
      </c>
      <c r="L14" s="49" t="str">
        <f ca="1">IF($D14=0,"No games",IF(AND($D14&gt;='Guide &amp; Settings'!$C$45,$K14&gt;='Guide &amp; Settings'!$C$46),"Eligible","Provisional"))</f>
        <v>No games</v>
      </c>
      <c r="M14" s="48" t="str">
        <f ca="1">IFERROR(INDEX(Calcs!$C$7:$C$20,MATCH($B14,Calcs!$A$7:$A$20,0)),"")</f>
        <v/>
      </c>
      <c r="N14" s="48">
        <f t="shared" ca="1" si="3"/>
        <v>231.70293632505332</v>
      </c>
      <c r="O14" s="49" t="str">
        <f ca="1">IFERROR(INDEX(Calcs!$H$7:$H$20,MATCH($B14,Calcs!$A$7:$A$20,0)),"")</f>
        <v/>
      </c>
      <c r="P14" s="49" t="str">
        <f ca="1">IFERROR(INDEX(Calcs!$I$7:$I$20,MATCH($B14,Calcs!$A$7:$A$20,0)),"")</f>
        <v/>
      </c>
      <c r="Q14" s="49" t="str">
        <f ca="1">IFERROR(IF(INDEX(Calcs!$L$7:$L$20,MATCH($B14,Calcs!$A$7:$A$20,0))&gt;0,"▲"&amp;INDEX(Calcs!$L$7:$L$20,MATCH($B14,Calcs!$A$7:$A$20,0)),IF(INDEX(Calcs!$L$7:$L$20,MATCH($B14,Calcs!$A$7:$A$20,0))&lt;0,"▼"&amp;ABS(INDEX(Calcs!$L$7:$L$20,MATCH($B14,Calcs!$A$7:$A$20,0))),"–")),"")</f>
        <v>–</v>
      </c>
      <c r="R14" s="49" t="str">
        <f ca="1">IFERROR(IF(INDEX(Calcs!$P$7:$P$20,MATCH($B14,Calcs!$A$7:$A$20,0))=0,"—",TEXT(INDEX(Calcs!$P$7:$P$20,MATCH($B14,Calcs!$A$7:$A$20,0)),"d mmm")),"")</f>
        <v>—</v>
      </c>
      <c r="S14" s="49" t="str">
        <f ca="1">IFERROR(ROUND(INDEX(Calcs!$Q$7:$Q$20,MATCH($B14,Calcs!$A$7:$A$20,0)),1),"")</f>
        <v/>
      </c>
      <c r="T14" s="49" t="str">
        <f ca="1">IFERROR(INDEX(Calcs!$T$7:$T$20,MATCH($B14,Calcs!$A$7:$A$20,0)),"")</f>
        <v>No games</v>
      </c>
      <c r="U14">
        <f ca="1">IFERROR(ROUND(INDEX(Calcs!$R$7:$R$20,MATCH($B14,Calcs!$A$7:$A$20,0))+INDEX(Calcs!$U$7:$U$20,MATCH($B14,Calcs!$A$7:$A$20,0)),0),0)</f>
        <v>0</v>
      </c>
      <c r="V14" s="51">
        <f ca="1">IFERROR(ROUND(INDEX(Calcs!$S$7:$S$20,MATCH($B14,Calcs!$A$7:$A$20,0)),0),"")</f>
        <v>1000</v>
      </c>
      <c r="W14" s="49" t="str">
        <f ca="1">IFERROR(INDEX(Calcs!$AF$7:$AF$20,MATCH($B14,Calcs!$A$7:$A$20,0)),"")</f>
        <v>No games</v>
      </c>
      <c r="X14" s="51">
        <f ca="1">IFERROR(ROUND(SUMIF('Poker Stake Ledger'!$C$18:$C$137,$B14,'Poker Stake Ledger'!$K$18:$K$137),1),0)</f>
        <v>0</v>
      </c>
    </row>
    <row r="15" spans="1:24" ht="15" customHeight="1" x14ac:dyDescent="0.2">
      <c r="A15" s="46">
        <f t="shared" si="0"/>
        <v>11</v>
      </c>
      <c r="B15" s="47" t="str">
        <f ca="1">IFERROR(INDEX(Calcs!$A$7:$A$20,MATCH(LARGE(Calcs!$AI$7:$AI$20,ROW()-4),Calcs!$AI$7:$AI$20,0)),"")</f>
        <v>Aaron</v>
      </c>
      <c r="C15" s="48">
        <f ca="1">IFERROR(INDEX(Calcs!$S$7:$S$20,MATCH($B15,Calcs!$A$7:$A$20,0)),"")</f>
        <v>998.72610466947049</v>
      </c>
      <c r="D15" s="49">
        <f ca="1">COUNTIF('Match Log'!$D$4:$D$810,$B15)</f>
        <v>54</v>
      </c>
      <c r="E15" s="49">
        <f ca="1">COUNTIFS('Match Log'!$D$4:$D$810,$B15,'Match Log'!$E$4:$E$810,"Win")</f>
        <v>26</v>
      </c>
      <c r="F15" s="49">
        <f t="shared" ca="1" si="1"/>
        <v>28</v>
      </c>
      <c r="G15" s="50">
        <f t="shared" ca="1" si="2"/>
        <v>0.48148148148148145</v>
      </c>
      <c r="H15" s="51">
        <f ca="1">SUMIF('Match Log'!$D$4:$D$810,$B15,'Match Log'!$J$4:$J$810)</f>
        <v>-54.834865451761246</v>
      </c>
      <c r="I15" s="51">
        <f ca="1">SUMIF('Match Log'!$D$4:$D$810,$B15,'Match Log'!$K$4:$K$810)</f>
        <v>28.660970121231678</v>
      </c>
      <c r="J15" s="51">
        <f ca="1">SUMIF('Match Log'!$D$4:$D$810,$B15,'Match Log'!$L$4:$L$810)</f>
        <v>36</v>
      </c>
      <c r="K15" s="49">
        <f ca="1">SUMPRODUCT(--(COUNTIFS('Match Log'!$D$4:$D$810,$B15,'Match Log'!$C$4:$C$810,Lists!$C$2:$C$24)&gt;0))</f>
        <v>11</v>
      </c>
      <c r="L15" s="49" t="str">
        <f ca="1">IF($D15=0,"No games",IF(AND($D15&gt;='Guide &amp; Settings'!$C$45,$K15&gt;='Guide &amp; Settings'!$C$46),"Eligible","Provisional"))</f>
        <v>Eligible</v>
      </c>
      <c r="M15" s="48">
        <f ca="1">IFERROR(INDEX(Calcs!$C$7:$C$20,MATCH($B15,Calcs!$A$7:$A$20,0)),"")</f>
        <v>1096.4147780018343</v>
      </c>
      <c r="N15" s="48">
        <f t="shared" ca="1" si="3"/>
        <v>232.97683165558283</v>
      </c>
      <c r="O15" s="49" t="str">
        <f ca="1">IFERROR(INDEX(Calcs!$H$7:$H$20,MATCH($B15,Calcs!$A$7:$A$20,0)),"")</f>
        <v>L1</v>
      </c>
      <c r="P15" s="49" t="str">
        <f ca="1">IFERROR(INDEX(Calcs!$I$7:$I$20,MATCH($B15,Calcs!$A$7:$A$20,0)),"")</f>
        <v>WLLWL</v>
      </c>
      <c r="Q15" s="49" t="str">
        <f ca="1">IFERROR(IF(INDEX(Calcs!$L$7:$L$20,MATCH($B15,Calcs!$A$7:$A$20,0))&gt;0,"▲"&amp;INDEX(Calcs!$L$7:$L$20,MATCH($B15,Calcs!$A$7:$A$20,0)),IF(INDEX(Calcs!$L$7:$L$20,MATCH($B15,Calcs!$A$7:$A$20,0))&lt;0,"▼"&amp;ABS(INDEX(Calcs!$L$7:$L$20,MATCH($B15,Calcs!$A$7:$A$20,0))),"–")),"")</f>
        <v>–</v>
      </c>
      <c r="R15" s="49" t="str">
        <f ca="1">IFERROR(IF(INDEX(Calcs!$P$7:$P$20,MATCH($B15,Calcs!$A$7:$A$20,0))=0,"—",TEXT(INDEX(Calcs!$P$7:$P$20,MATCH($B15,Calcs!$A$7:$A$20,0)),"d mmm")),"")</f>
        <v>26 Jul</v>
      </c>
      <c r="S15" s="49">
        <f ca="1">IFERROR(ROUND(INDEX(Calcs!$Q$7:$Q$20,MATCH($B15,Calcs!$A$7:$A$20,0)),1),"")</f>
        <v>2.6</v>
      </c>
      <c r="T15" s="49" t="str">
        <f ca="1">IFERROR(INDEX(Calcs!$T$7:$T$20,MATCH($B15,Calcs!$A$7:$A$20,0)),"")</f>
        <v>At risk</v>
      </c>
      <c r="U15">
        <f ca="1">IFERROR(ROUND(INDEX(Calcs!$R$7:$R$20,MATCH($B15,Calcs!$A$7:$A$20,0))+INDEX(Calcs!$U$7:$U$20,MATCH($B15,Calcs!$A$7:$A$20,0)),0),0)</f>
        <v>0</v>
      </c>
      <c r="V15" s="51">
        <f ca="1">IFERROR(ROUND(INDEX(Calcs!$S$7:$S$20,MATCH($B15,Calcs!$A$7:$A$20,0)),0),"")</f>
        <v>999</v>
      </c>
      <c r="W15" s="49" t="str">
        <f ca="1">IFERROR(INDEX(Calcs!$AF$7:$AF$20,MATCH($B15,Calcs!$A$7:$A$20,0)),"")</f>
        <v>Strong</v>
      </c>
      <c r="X15" s="51">
        <f ca="1">IFERROR(ROUND(SUMIF('Poker Stake Ledger'!$C$18:$C$137,$B15,'Poker Stake Ledger'!$K$18:$K$137),1),0)</f>
        <v>-11.1</v>
      </c>
    </row>
    <row r="16" spans="1:24" ht="15" customHeight="1" x14ac:dyDescent="0.2">
      <c r="A16" s="46">
        <f t="shared" si="0"/>
        <v>12</v>
      </c>
      <c r="B16" s="47" t="str">
        <f ca="1">IFERROR(INDEX(Calcs!$A$7:$A$20,MATCH(LARGE(Calcs!$AI$7:$AI$20,ROW()-4),Calcs!$AI$7:$AI$20,0)),"")</f>
        <v>Beau</v>
      </c>
      <c r="C16" s="48">
        <f ca="1">IFERROR(INDEX(Calcs!$S$7:$S$20,MATCH($B16,Calcs!$A$7:$A$20,0)),"")</f>
        <v>979.51759653351382</v>
      </c>
      <c r="D16" s="49">
        <f ca="1">COUNTIF('Match Log'!$D$4:$D$810,$B16)</f>
        <v>10</v>
      </c>
      <c r="E16" s="49">
        <f ca="1">COUNTIFS('Match Log'!$D$4:$D$810,$B16,'Match Log'!$E$4:$E$810,"Win")</f>
        <v>5</v>
      </c>
      <c r="F16" s="49">
        <f t="shared" ca="1" si="1"/>
        <v>5</v>
      </c>
      <c r="G16" s="50">
        <f t="shared" ca="1" si="2"/>
        <v>0.5</v>
      </c>
      <c r="H16" s="51">
        <f ca="1">SUMIF('Match Log'!$D$4:$D$810,$B16,'Match Log'!$J$4:$J$810)</f>
        <v>-14.562118325761057</v>
      </c>
      <c r="I16" s="51">
        <f ca="1">SUMIF('Match Log'!$D$4:$D$810,$B16,'Match Log'!$K$4:$K$810)</f>
        <v>16.079714859275072</v>
      </c>
      <c r="J16" s="51">
        <f ca="1">SUMIF('Match Log'!$D$4:$D$810,$B16,'Match Log'!$L$4:$L$810)</f>
        <v>28</v>
      </c>
      <c r="K16" s="49">
        <f ca="1">SUMPRODUCT(--(COUNTIFS('Match Log'!$D$4:$D$810,$B16,'Match Log'!$C$4:$C$810,Lists!$C$2:$C$24)&gt;0))</f>
        <v>3</v>
      </c>
      <c r="L16" s="49" t="str">
        <f ca="1">IF($D16=0,"No games",IF(AND($D16&gt;='Guide &amp; Settings'!$C$45,$K16&gt;='Guide &amp; Settings'!$C$46),"Eligible","Provisional"))</f>
        <v>Eligible</v>
      </c>
      <c r="M16" s="48">
        <f ca="1">IFERROR(INDEX(Calcs!$C$7:$C$20,MATCH($B16,Calcs!$A$7:$A$20,0)),"")</f>
        <v>1067.9665068664465</v>
      </c>
      <c r="N16" s="48">
        <f t="shared" ca="1" si="3"/>
        <v>252.18533979153949</v>
      </c>
      <c r="O16" s="49" t="str">
        <f ca="1">IFERROR(INDEX(Calcs!$H$7:$H$20,MATCH($B16,Calcs!$A$7:$A$20,0)),"")</f>
        <v>L2</v>
      </c>
      <c r="P16" s="49" t="str">
        <f ca="1">IFERROR(INDEX(Calcs!$I$7:$I$20,MATCH($B16,Calcs!$A$7:$A$20,0)),"")</f>
        <v>LWWLL</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15 Jun</v>
      </c>
      <c r="S16" s="49">
        <f ca="1">IFERROR(ROUND(INDEX(Calcs!$Q$7:$Q$20,MATCH($B16,Calcs!$A$7:$A$20,0)),1),"")</f>
        <v>8.4</v>
      </c>
      <c r="T16" s="49" t="str">
        <f ca="1">IFERROR(INDEX(Calcs!$T$7:$T$20,MATCH($B16,Calcs!$A$7:$A$20,0)),"")</f>
        <v>Inactive</v>
      </c>
      <c r="U16">
        <f ca="1">IFERROR(ROUND(INDEX(Calcs!$R$7:$R$20,MATCH($B16,Calcs!$A$7:$A$20,0))+INDEX(Calcs!$U$7:$U$20,MATCH($B16,Calcs!$A$7:$A$20,0)),0),0)</f>
        <v>50</v>
      </c>
      <c r="V16" s="51">
        <f ca="1">IFERROR(ROUND(INDEX(Calcs!$S$7:$S$20,MATCH($B16,Calcs!$A$7:$A$20,0)),0),"")</f>
        <v>980</v>
      </c>
      <c r="W16" s="49" t="str">
        <f ca="1">IFERROR(INDEX(Calcs!$AF$7:$AF$20,MATCH($B16,Calcs!$A$7:$A$20,0)),"")</f>
        <v>Mid</v>
      </c>
      <c r="X16" s="51">
        <f ca="1">IFERROR(ROUND(SUMIF('Poker Stake Ledger'!$C$18:$C$137,$B16,'Poker Stake Ledger'!$K$18:$K$137),1),0)</f>
        <v>0</v>
      </c>
    </row>
    <row r="17" spans="1:24" ht="15" customHeight="1" x14ac:dyDescent="0.2">
      <c r="A17" s="46">
        <f t="shared" si="0"/>
        <v>13</v>
      </c>
      <c r="B17" s="47" t="str">
        <f ca="1">IFERROR(INDEX(Calcs!$A$7:$A$20,MATCH(LARGE(Calcs!$AI$7:$AI$20,ROW()-4),Calcs!$AI$7:$AI$20,0)),"")</f>
        <v>David</v>
      </c>
      <c r="C17" s="48">
        <f ca="1">IFERROR(INDEX(Calcs!$S$7:$S$20,MATCH($B17,Calcs!$A$7:$A$20,0)),"")</f>
        <v>963.19705892757202</v>
      </c>
      <c r="D17" s="49">
        <f ca="1">COUNTIF('Match Log'!$D$4:$D$810,$B17)</f>
        <v>15</v>
      </c>
      <c r="E17" s="49">
        <f ca="1">COUNTIFS('Match Log'!$D$4:$D$810,$B17,'Match Log'!$E$4:$E$810,"Win")</f>
        <v>4</v>
      </c>
      <c r="F17" s="49">
        <f t="shared" ca="1" si="1"/>
        <v>11</v>
      </c>
      <c r="G17" s="50">
        <f t="shared" ca="1" si="2"/>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1079.1948971896304</v>
      </c>
      <c r="N17" s="48">
        <f t="shared" ca="1" si="3"/>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4.7</v>
      </c>
      <c r="T17" s="49" t="str">
        <f ca="1">IFERROR(INDEX(Calcs!$T$7:$T$20,MATCH($B17,Calcs!$A$7:$A$20,0)),"")</f>
        <v>Inactive</v>
      </c>
      <c r="U17">
        <f ca="1">IFERROR(ROUND(INDEX(Calcs!$R$7:$R$20,MATCH($B17,Calcs!$A$7:$A$20,0))+INDEX(Calcs!$U$7:$U$20,MATCH($B17,Calcs!$A$7:$A$20,0)),0),0)</f>
        <v>10</v>
      </c>
      <c r="V17" s="51">
        <f ca="1">IFERROR(ROUND(INDEX(Calcs!$S$7:$S$20,MATCH($B17,Calcs!$A$7:$A$20,0)),0),"")</f>
        <v>963</v>
      </c>
      <c r="W17" s="49" t="str">
        <f ca="1">IFERROR(INDEX(Calcs!$AF$7:$AF$20,MATCH($B17,Calcs!$A$7:$A$20,0)),"")</f>
        <v>Developing</v>
      </c>
      <c r="X17" s="51">
        <f ca="1">IFERROR(ROUND(SUMIF('Poker Stake Ledger'!$C$18:$C$137,$B17,'Poker Stake Ledger'!$K$18:$K$137),1),0)</f>
        <v>0</v>
      </c>
    </row>
    <row r="18" spans="1:24" ht="15" customHeight="1" x14ac:dyDescent="0.2">
      <c r="A18" s="46">
        <f t="shared" si="0"/>
        <v>14</v>
      </c>
      <c r="B18" s="47" t="str">
        <f ca="1">IFERROR(INDEX(Calcs!$A$7:$A$20,MATCH(LARGE(Calcs!$AI$7:$AI$20,ROW()-4),Calcs!$AI$7:$AI$20,0)),"")</f>
        <v>Cody</v>
      </c>
      <c r="C18" s="48">
        <f ca="1">IFERROR(INDEX(Calcs!$S$7:$S$20,MATCH($B18,Calcs!$A$7:$A$20,0)),"")</f>
        <v>862.22294373677494</v>
      </c>
      <c r="D18" s="49">
        <f ca="1">COUNTIF('Match Log'!$D$4:$D$810,$B18)</f>
        <v>15</v>
      </c>
      <c r="E18" s="49">
        <f ca="1">COUNTIFS('Match Log'!$D$4:$D$810,$B18,'Match Log'!$E$4:$E$810,"Win")</f>
        <v>2</v>
      </c>
      <c r="F18" s="49">
        <f t="shared" ca="1" si="1"/>
        <v>13</v>
      </c>
      <c r="G18" s="50">
        <f t="shared" ca="1" si="2"/>
        <v>0.13333333333333333</v>
      </c>
      <c r="H18" s="51">
        <f ca="1">SUMIF('Match Log'!$D$4:$D$810,$B18,'Match Log'!$J$4:$J$810)</f>
        <v>-103.26285432797066</v>
      </c>
      <c r="I18" s="51">
        <f ca="1">SUMIF('Match Log'!$D$4:$D$810,$B18,'Match Log'!$K$4:$K$810)</f>
        <v>-42.514201935254121</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1075.5480322913888</v>
      </c>
      <c r="N18" s="48">
        <f t="shared" ca="1" si="3"/>
        <v>369.47999258827838</v>
      </c>
      <c r="O18" s="49" t="str">
        <f ca="1">IFERROR(INDEX(Calcs!$H$7:$H$20,MATCH($B18,Calcs!$A$7:$A$20,0)),"")</f>
        <v>L6</v>
      </c>
      <c r="P18" s="49" t="str">
        <f ca="1">IFERROR(INDEX(Calcs!$I$7:$I$20,MATCH($B18,Calcs!$A$7:$A$20,0)),"")</f>
        <v>LLLLL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19 Jul</v>
      </c>
      <c r="S18" s="49">
        <f ca="1">IFERROR(ROUND(INDEX(Calcs!$Q$7:$Q$20,MATCH($B18,Calcs!$A$7:$A$20,0)),1),"")</f>
        <v>3.6</v>
      </c>
      <c r="T18" s="49" t="str">
        <f ca="1">IFERROR(INDEX(Calcs!$T$7:$T$20,MATCH($B18,Calcs!$A$7:$A$20,0)),"")</f>
        <v>At risk</v>
      </c>
      <c r="U18">
        <f ca="1">IFERROR(ROUND(INDEX(Calcs!$R$7:$R$20,MATCH($B18,Calcs!$A$7:$A$20,0))+INDEX(Calcs!$U$7:$U$20,MATCH($B18,Calcs!$A$7:$A$20,0)),0),0)</f>
        <v>0</v>
      </c>
      <c r="V18" s="51">
        <f ca="1">IFERROR(ROUND(INDEX(Calcs!$S$7:$S$20,MATCH($B18,Calcs!$A$7:$A$20,0)),0),"")</f>
        <v>862</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4</v>
      </c>
      <c r="D5" s="56" t="s">
        <v>181</v>
      </c>
      <c r="E5" s="36">
        <f>COUNTIFS('Match Log'!$D$4:$D$810,$B$3,'Match Log'!$C$4:$C$810,$D5)</f>
        <v>4</v>
      </c>
      <c r="F5" s="36">
        <f>COUNTIFS('Match Log'!$D$4:$D$810,$B$3,'Match Log'!$C$4:$C$810,$D5,'Match Log'!$E$4:$E$810,"Win")</f>
        <v>4</v>
      </c>
      <c r="G5" s="57">
        <f t="shared" ref="G5:G23" si="0">IF($E5=0,"",$F5/$E5)</f>
        <v>1</v>
      </c>
      <c r="H5" s="58">
        <f>IFERROR(IF($E5=0,"",INDEX('Sport Records'!$B$100:$O$122,MATCH($D5,'Sport Records'!$A$100:$A$122,0),MATCH($B$3,'Sport Records'!$B$99:$O$99,0))),"")</f>
        <v>1055.8009426289977</v>
      </c>
    </row>
    <row r="6" spans="1:8" ht="15" customHeight="1" x14ac:dyDescent="0.2">
      <c r="A6" s="54" t="s">
        <v>69</v>
      </c>
      <c r="B6" s="59">
        <f ca="1">IFERROR(INDEX(Dashboard!$C$5:$C$18,MATCH($B$3,Dashboard!$B$5:$B$18,0)),"")</f>
        <v>1124.39195520974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Strong</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48–55</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0.46601941747572817</v>
      </c>
      <c r="D9" s="56" t="s">
        <v>185</v>
      </c>
      <c r="E9" s="36">
        <f>COUNTIFS('Match Log'!$D$4:$D$810,$B$3,'Match Log'!$C$4:$C$810,$D9)</f>
        <v>1</v>
      </c>
      <c r="F9" s="36">
        <f>COUNTIFS('Match Log'!$D$4:$D$810,$B$3,'Match Log'!$C$4:$C$810,$D9,'Match Log'!$E$4:$E$810,"Win")</f>
        <v>1</v>
      </c>
      <c r="G9" s="57">
        <f t="shared" si="0"/>
        <v>1</v>
      </c>
      <c r="H9" s="58">
        <f>IFERROR(IF($E9=0,"",INDEX('Sport Records'!$B$100:$O$122,MATCH($D9,'Sport Records'!$A$100:$A$122,0),MATCH($B$3,'Sport Records'!$B$99:$O$99,0))),"")</f>
        <v>1015.2556013117346</v>
      </c>
    </row>
    <row r="10" spans="1:8" ht="15" customHeight="1" x14ac:dyDescent="0.2">
      <c r="A10" s="54" t="s">
        <v>127</v>
      </c>
      <c r="B10" s="55">
        <f ca="1">IFERROR(INDEX(Dashboard!$D$5:$D$18,MATCH($B$3,Dashboard!$B$5:$B$18,0)),"")</f>
        <v>103</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15</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1075.4673613433879</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WLLLW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113.56098111531333</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13 Aug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14</v>
      </c>
      <c r="F18" s="39">
        <f>COUNTIFS('Match Log'!$D$4:$D$810,$B$3,'Match Log'!$C$4:$C$810,$D18,'Match Log'!$E$4:$E$810,"Win")</f>
        <v>0</v>
      </c>
      <c r="G18" s="61">
        <f t="shared" si="0"/>
        <v>0</v>
      </c>
      <c r="H18" s="62">
        <f>IFERROR(IF($E18=0,"",INDEX('Sport Records'!$B$100:$O$122,MATCH($D18,'Sport Records'!$A$100:$A$122,0),MATCH($B$3,'Sport Records'!$B$99:$O$99,0))),"")</f>
        <v>844.70538647951662</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Mario Golf</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1</v>
      </c>
      <c r="F21" s="36">
        <f>COUNTIFS('Match Log'!$D$4:$D$810,$B$3,'Match Log'!$C$4:$C$810,$D21,'Match Log'!$E$4:$E$810,"Win")</f>
        <v>0</v>
      </c>
      <c r="G21" s="57">
        <f t="shared" si="0"/>
        <v>0</v>
      </c>
      <c r="H21" s="58">
        <f>IFERROR(IF($E21=0,"",INDEX('Sport Records'!$B$100:$O$122,MATCH($D21,'Sport Records'!$A$100:$A$122,0),MATCH($B$3,'Sport Records'!$B$99:$O$99,0))),"")</f>
        <v>996.18407669838052</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71</v>
      </c>
      <c r="D23" s="56" t="s">
        <v>208</v>
      </c>
      <c r="E23" s="36">
        <f>COUNTIFS('Match Log'!$D$4:$D$810,$B$3,'Match Log'!$C$4:$C$810,$D23)</f>
        <v>25</v>
      </c>
      <c r="F23" s="36">
        <f>COUNTIFS('Match Log'!$D$4:$D$810,$B$3,'Match Log'!$C$4:$C$810,$D23,'Match Log'!$E$4:$E$810,"Win")</f>
        <v>15</v>
      </c>
      <c r="G23" s="57">
        <f t="shared" si="0"/>
        <v>0.6</v>
      </c>
      <c r="H23" s="58">
        <f>IFERROR(IF($E23=0,"",INDEX('Sport Records'!$B$100:$O$122,MATCH($D23,'Sport Records'!$A$100:$A$122,0),MATCH($B$3,'Sport Records'!$B$99:$O$99,0))),"")</f>
        <v>1047.5054308988927</v>
      </c>
    </row>
    <row r="24" spans="1:8" x14ac:dyDescent="0.2">
      <c r="A24" s="64" t="s">
        <v>209</v>
      </c>
      <c r="B24" s="65">
        <f ca="1">IFERROR(ROUND(INDEX(Calcs!$W$7:$W$20,MATCH($B$3,Calcs!$A$7:$A$20,0)),0),"")</f>
        <v>81</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47</v>
      </c>
      <c r="D25" s="56" t="s">
        <v>445</v>
      </c>
      <c r="E25" s="36">
        <f>COUNTIFS('Match Log'!$D$4:$D$810,$B$3,'Match Log'!$C$4:$C$810,$D25)</f>
        <v>2</v>
      </c>
      <c r="F25" s="36">
        <f>COUNTIFS('Match Log'!$D$4:$D$810,$B$3,'Match Log'!$C$4:$C$810,$D25,'Match Log'!$E$4:$E$810,"Win")</f>
        <v>1</v>
      </c>
      <c r="G25" s="57">
        <f>IF($E25=0,"",$F25/$E25)</f>
        <v>0.5</v>
      </c>
      <c r="H25" s="58">
        <f>IFERROR(IF($E25=0,"",INDEX('Sport Records'!$B$100:$O$122,MATCH($D25,'Sport Records'!$A$100:$A$122,0),MATCH($B$3,'Sport Records'!$B$99:$O$99,0))),"")</f>
        <v>999.0270542964812</v>
      </c>
    </row>
    <row r="26" spans="1:8" x14ac:dyDescent="0.2">
      <c r="A26" s="64" t="s">
        <v>211</v>
      </c>
      <c r="B26" s="65">
        <f ca="1">IFERROR(ROUND(INDEX(Calcs!$Y$7:$Y$20,MATCH($B$3,Calcs!$A$7:$A$20,0)),0),"")</f>
        <v>100</v>
      </c>
      <c r="D26" s="56" t="s">
        <v>446</v>
      </c>
      <c r="E26" s="36">
        <f>COUNTIFS('Match Log'!$D$4:$D$810,$B$3,'Match Log'!$C$4:$C$810,$D26)</f>
        <v>1</v>
      </c>
      <c r="F26" s="36">
        <f>COUNTIFS('Match Log'!$D$4:$D$810,$B$3,'Match Log'!$C$4:$C$810,$D26,'Match Log'!$E$4:$E$810,"Win")</f>
        <v>1</v>
      </c>
      <c r="G26" s="57">
        <f>IF($E26=0,"",$F26/$E26)</f>
        <v>1</v>
      </c>
      <c r="H26" s="58">
        <f>IFERROR(IF($E26=0,"",INDEX('Sport Records'!$B$100:$O$122,MATCH($D26,'Sport Records'!$A$100:$A$122,0),MATCH($B$3,'Sport Records'!$B$99:$O$99,0))),"")</f>
        <v>1016.736306793522</v>
      </c>
    </row>
    <row r="27" spans="1:8" x14ac:dyDescent="0.2">
      <c r="A27" s="64" t="s">
        <v>212</v>
      </c>
      <c r="B27" s="65">
        <f>IFERROR(ROUND(INDEX(Calcs!$Z$7:$Z$20,MATCH($B$3,Calcs!$A$7:$A$20,0)),0),"")</f>
        <v>40</v>
      </c>
      <c r="D27" s="56" t="s">
        <v>447</v>
      </c>
      <c r="E27" s="36">
        <f>COUNTIFS('Match Log'!$D$4:$D$810,$B$3,'Match Log'!$C$4:$C$810,$D27)</f>
        <v>3</v>
      </c>
      <c r="F27" s="36">
        <f>COUNTIFS('Match Log'!$D$4:$D$810,$B$3,'Match Log'!$C$4:$C$810,$D27,'Match Log'!$E$4:$E$810,"Win")</f>
        <v>1</v>
      </c>
      <c r="G27" s="57">
        <f>IF($E27=0,"",$F27/$E27)</f>
        <v>0.33333333333333331</v>
      </c>
      <c r="H27" s="58">
        <f>IFERROR(IF($E27=0,"",INDEX('Sport Records'!$B$100:$O$122,MATCH($D27,'Sport Records'!$A$100:$A$122,0),MATCH($B$3,'Sport Records'!$B$99:$O$99,0))),"")</f>
        <v>984.32977611615649</v>
      </c>
    </row>
    <row r="28" spans="1:8" x14ac:dyDescent="0.2">
      <c r="A28" s="64" t="s">
        <v>213</v>
      </c>
      <c r="B28" s="65">
        <f>IFERROR(ROUND(INDEX(Calcs!$AA$7:$AA$20,MATCH($B$3,Calcs!$A$7:$A$20,0)),0),"")</f>
        <v>69</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67% of 3</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42% of 12</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25% of 4</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50% of 2</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33% of 3</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62% of 13</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67% of 3</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56% of 16</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75% of 4</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38% of 13</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52% of 31</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48% of 25</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33% of 3</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58% of 12</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44% of 16</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48% of 31</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75% of 8</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0% of 1</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0% of 1</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50% of 2</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52% of 25</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25% of 8</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100% of 1</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25% of 4</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100% of 1</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75% of 4</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3</v>
      </c>
      <c r="G22" s="70">
        <f>IF($A22=G$21,0,SUMPRODUCT(('Match Log'!$D$4:$D$810=$A22)*(COUNTIFS('Match Log'!$A$4:$A$810,'Match Log'!$A$4:$A$810,'Match Log'!$D$4:$D$810,G$21)&gt;0)))</f>
        <v>33</v>
      </c>
      <c r="H22" s="70">
        <f>IF($A22=H$21,0,SUMPRODUCT(('Match Log'!$D$4:$D$810=$A22)*(COUNTIFS('Match Log'!$A$4:$A$810,'Match Log'!$A$4:$A$810,'Match Log'!$D$4:$D$810,H$21)&gt;0)))</f>
        <v>5</v>
      </c>
      <c r="I22" s="70">
        <f>IF($A22=I$21,0,SUMPRODUCT(('Match Log'!$D$4:$D$810=$A22)*(COUNTIFS('Match Log'!$A$4:$A$810,'Match Log'!$A$4:$A$810,'Match Log'!$D$4:$D$810,I$21)&gt;0)))</f>
        <v>13</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6</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6</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3</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21</v>
      </c>
      <c r="H26" s="70">
        <f>IF($A26=H$21,0,SUMPRODUCT(('Match Log'!$D$4:$D$810=$A26)*(COUNTIFS('Match Log'!$A$4:$A$810,'Match Log'!$A$4:$A$810,'Match Log'!$D$4:$D$810,H$21)&gt;0)))</f>
        <v>4</v>
      </c>
      <c r="I26" s="70">
        <f>IF($A26=I$21,0,SUMPRODUCT(('Match Log'!$D$4:$D$810=$A26)*(COUNTIFS('Match Log'!$A$4:$A$810,'Match Log'!$A$4:$A$810,'Match Log'!$D$4:$D$810,I$21)&gt;0)))</f>
        <v>17</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33</v>
      </c>
      <c r="C27" s="70">
        <f>IF($A27=C$21,0,SUMPRODUCT(('Match Log'!$D$4:$D$810=$A27)*(COUNTIFS('Match Log'!$A$4:$A$810,'Match Log'!$A$4:$A$810,'Match Log'!$D$4:$D$810,C$21)&gt;0)))</f>
        <v>1</v>
      </c>
      <c r="D27" s="70">
        <f>IF($A27=D$21,0,SUMPRODUCT(('Match Log'!$D$4:$D$810=$A27)*(COUNTIFS('Match Log'!$A$4:$A$810,'Match Log'!$A$4:$A$810,'Match Log'!$D$4:$D$810,D$21)&gt;0)))</f>
        <v>6</v>
      </c>
      <c r="E27" s="70">
        <f>IF($A27=E$21,0,SUMPRODUCT(('Match Log'!$D$4:$D$810=$A27)*(COUNTIFS('Match Log'!$A$4:$A$810,'Match Log'!$A$4:$A$810,'Match Log'!$D$4:$D$810,E$21)&gt;0)))</f>
        <v>3</v>
      </c>
      <c r="F27" s="70">
        <f>IF($A27=F$21,0,SUMPRODUCT(('Match Log'!$D$4:$D$810=$A27)*(COUNTIFS('Match Log'!$A$4:$A$810,'Match Log'!$A$4:$A$810,'Match Log'!$D$4:$D$810,F$21)&gt;0)))</f>
        <v>21</v>
      </c>
      <c r="G27" s="70">
        <f>IF($A27=G$21,0,SUMPRODUCT(('Match Log'!$D$4:$D$810=$A27)*(COUNTIFS('Match Log'!$A$4:$A$810,'Match Log'!$A$4:$A$810,'Match Log'!$D$4:$D$810,G$21)&gt;0)))</f>
        <v>0</v>
      </c>
      <c r="H27" s="70">
        <f>IF($A27=H$21,0,SUMPRODUCT(('Match Log'!$D$4:$D$810=$A27)*(COUNTIFS('Match Log'!$A$4:$A$810,'Match Log'!$A$4:$A$810,'Match Log'!$D$4:$D$810,H$21)&gt;0)))</f>
        <v>6</v>
      </c>
      <c r="I27" s="70">
        <f>IF($A27=I$21,0,SUMPRODUCT(('Match Log'!$D$4:$D$810=$A27)*(COUNTIFS('Match Log'!$A$4:$A$810,'Match Log'!$A$4:$A$810,'Match Log'!$D$4:$D$810,I$21)&gt;0)))</f>
        <v>34</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32</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5</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4</v>
      </c>
      <c r="G28" s="70">
        <f>IF($A28=G$21,0,SUMPRODUCT(('Match Log'!$D$4:$D$810=$A28)*(COUNTIFS('Match Log'!$A$4:$A$810,'Match Log'!$A$4:$A$810,'Match Log'!$D$4:$D$810,G$21)&gt;0)))</f>
        <v>6</v>
      </c>
      <c r="H28" s="70">
        <f>IF($A28=H$21,0,SUMPRODUCT(('Match Log'!$D$4:$D$810=$A28)*(COUNTIFS('Match Log'!$A$4:$A$810,'Match Log'!$A$4:$A$810,'Match Log'!$D$4:$D$810,H$21)&gt;0)))</f>
        <v>0</v>
      </c>
      <c r="I28" s="70">
        <f>IF($A28=I$21,0,SUMPRODUCT(('Match Log'!$D$4:$D$810=$A28)*(COUNTIFS('Match Log'!$A$4:$A$810,'Match Log'!$A$4:$A$810,'Match Log'!$D$4:$D$810,I$21)&gt;0)))</f>
        <v>2</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13</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17</v>
      </c>
      <c r="G29" s="70">
        <f>IF($A29=G$21,0,SUMPRODUCT(('Match Log'!$D$4:$D$810=$A29)*(COUNTIFS('Match Log'!$A$4:$A$810,'Match Log'!$A$4:$A$810,'Match Log'!$D$4:$D$810,G$21)&gt;0)))</f>
        <v>34</v>
      </c>
      <c r="H29" s="70">
        <f>IF($A29=H$21,0,SUMPRODUCT(('Match Log'!$D$4:$D$810=$A29)*(COUNTIFS('Match Log'!$A$4:$A$810,'Match Log'!$A$4:$A$810,'Match Log'!$D$4:$D$810,H$21)&gt;0)))</f>
        <v>2</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10</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1</v>
      </c>
      <c r="N31" s="70">
        <f>IF($A31=N$21,0,SUMPRODUCT(('Match Log'!$D$4:$D$810=$A31)*(COUNTIFS('Match Log'!$A$4:$A$810,'Match Log'!$A$4:$A$810,'Match Log'!$D$4:$D$810,N$21)&gt;0)))</f>
        <v>1</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6</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32</v>
      </c>
      <c r="H32" s="70">
        <f>IF($A32=H$21,0,SUMPRODUCT(('Match Log'!$D$4:$D$810=$A32)*(COUNTIFS('Match Log'!$A$4:$A$810,'Match Log'!$A$4:$A$810,'Match Log'!$D$4:$D$810,H$21)&gt;0)))</f>
        <v>15</v>
      </c>
      <c r="I32" s="70">
        <f>IF($A32=I$21,0,SUMPRODUCT(('Match Log'!$D$4:$D$810=$A32)*(COUNTIFS('Match Log'!$A$4:$A$810,'Match Log'!$A$4:$A$810,'Match Log'!$D$4:$D$810,I$21)&gt;0)))</f>
        <v>10</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1</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4</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1</v>
      </c>
      <c r="L34" s="70">
        <f>IF($A34=L$21,0,SUMPRODUCT(('Match Log'!$D$4:$D$810=$A34)*(COUNTIFS('Match Log'!$A$4:$A$810,'Match Log'!$A$4:$A$810,'Match Log'!$D$4:$D$810,L$21)&gt;0)))</f>
        <v>2</v>
      </c>
      <c r="M34" s="70">
        <f>IF($A34=M$21,0,SUMPRODUCT(('Match Log'!$D$4:$D$810=$A34)*(COUNTIFS('Match Log'!$A$4:$A$810,'Match Log'!$A$4:$A$810,'Match Log'!$D$4:$D$810,M$21)&gt;0)))</f>
        <v>4</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202</v>
      </c>
    </row>
    <row r="4" spans="1:18" ht="18.75" customHeight="1" x14ac:dyDescent="0.2">
      <c r="A4" s="73" t="s">
        <v>223</v>
      </c>
      <c r="C4" s="159" t="str">
        <f ca="1">INDEX($A$83:$A$96,MATCH(MAX($S$83:$S$96),$S$83:$S$96,0))</f>
        <v>Josh</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4</v>
      </c>
      <c r="H8" s="77">
        <f>COUNTIFS('Match Log'!$D$4:$D$819,H$7,'Match Log'!$C$4:$C$819,$A8)</f>
        <v>1</v>
      </c>
      <c r="I8" s="77">
        <f>COUNTIFS('Match Log'!$D$4:$D$819,I$7,'Match Log'!$C$4:$C$819,$A8)</f>
        <v>4</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5</v>
      </c>
      <c r="Q8" s="79" t="str">
        <f t="shared" ref="Q8:Q26" si="0">IF($P8=0,"—",INDEX($B$32:$O$32,MATCH(MAX($B33:$O33),$B33:$O33,0)))</f>
        <v>Shawn</v>
      </c>
      <c r="R8" s="78">
        <f t="shared" ref="R8:R26" si="1">IF($P8=0,"—",MAX($B33:$O33))</f>
        <v>4</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2</v>
      </c>
      <c r="G12" s="77">
        <f>COUNTIFS('Match Log'!$D$4:$D$819,G$7,'Match Log'!$C$4:$C$819,$A12)</f>
        <v>1</v>
      </c>
      <c r="H12" s="77">
        <f>COUNTIFS('Match Log'!$D$4:$D$819,H$7,'Match Log'!$C$4:$C$819,$A12)</f>
        <v>2</v>
      </c>
      <c r="I12" s="77">
        <f>COUNTIFS('Match Log'!$D$4:$D$819,I$7,'Match Log'!$C$4:$C$819,$A12)</f>
        <v>6</v>
      </c>
      <c r="J12" s="77">
        <f>COUNTIFS('Match Log'!$D$4:$D$819,J$7,'Match Log'!$C$4:$C$819,$A12)</f>
        <v>9</v>
      </c>
      <c r="K12" s="77">
        <f>COUNTIFS('Match Log'!$D$4:$D$819,K$7,'Match Log'!$C$4:$C$819,$A12)</f>
        <v>3</v>
      </c>
      <c r="L12" s="77">
        <f>COUNTIFS('Match Log'!$D$4:$D$819,L$7,'Match Log'!$C$4:$C$819,$A12)</f>
        <v>4</v>
      </c>
      <c r="M12" s="77">
        <f>COUNTIFS('Match Log'!$D$4:$D$819,M$7,'Match Log'!$C$4:$C$819,$A12)</f>
        <v>4</v>
      </c>
      <c r="N12" s="77">
        <f>COUNTIFS('Match Log'!$D$4:$D$819,N$7,'Match Log'!$C$4:$C$819,$A12)</f>
        <v>4</v>
      </c>
      <c r="O12" s="77">
        <f>COUNTIFS('Match Log'!$D$4:$D$819,O$7,'Match Log'!$C$4:$C$819,$A12)</f>
        <v>0</v>
      </c>
      <c r="P12" s="78">
        <f>SUMPRODUCT(('Match Log'!$C$4:$C$819=$A12)*('Match Log'!$D$4:$D$819='Match Log'!$G$4:$G$819)*('Match Log'!$D$4:$D$819&lt;&gt;""))</f>
        <v>18</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3</v>
      </c>
      <c r="G21" s="77">
        <f>COUNTIFS('Match Log'!$D$4:$D$819,G$7,'Match Log'!$C$4:$C$819,$A21)</f>
        <v>14</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11</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17</v>
      </c>
      <c r="Q21" s="79" t="str">
        <f t="shared" si="0"/>
        <v>Oscar</v>
      </c>
      <c r="R21" s="78">
        <f t="shared" si="1"/>
        <v>8</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9</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9</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10</v>
      </c>
      <c r="Q23" s="79" t="str">
        <f t="shared" si="0"/>
        <v>Daniel (Ferret)</v>
      </c>
      <c r="R23" s="78">
        <f t="shared" si="1"/>
        <v>7</v>
      </c>
    </row>
    <row r="24" spans="1:18" ht="15" customHeight="1" x14ac:dyDescent="0.2">
      <c r="A24" s="76" t="s">
        <v>204</v>
      </c>
      <c r="B24" s="77">
        <f>COUNTIFS('Match Log'!$D$4:$D$819,B$7,'Match Log'!$C$4:$C$819,$A24)</f>
        <v>1</v>
      </c>
      <c r="C24" s="77">
        <f>COUNTIFS('Match Log'!$D$4:$D$819,C$7,'Match Log'!$C$4:$C$819,$A24)</f>
        <v>0</v>
      </c>
      <c r="D24" s="77">
        <f>COUNTIFS('Match Log'!$D$4:$D$819,D$7,'Match Log'!$C$4:$C$819,$A24)</f>
        <v>1</v>
      </c>
      <c r="E24" s="77">
        <f>COUNTIFS('Match Log'!$D$4:$D$819,E$7,'Match Log'!$C$4:$C$819,$A24)</f>
        <v>0</v>
      </c>
      <c r="F24" s="77">
        <f>COUNTIFS('Match Log'!$D$4:$D$819,F$7,'Match Log'!$C$4:$C$819,$A24)</f>
        <v>2</v>
      </c>
      <c r="G24" s="77">
        <f>COUNTIFS('Match Log'!$D$4:$D$819,G$7,'Match Log'!$C$4:$C$819,$A24)</f>
        <v>1</v>
      </c>
      <c r="H24" s="77">
        <f>COUNTIFS('Match Log'!$D$4:$D$819,H$7,'Match Log'!$C$4:$C$819,$A24)</f>
        <v>1</v>
      </c>
      <c r="I24" s="77">
        <f>COUNTIFS('Match Log'!$D$4:$D$819,I$7,'Match Log'!$C$4:$C$819,$A24)</f>
        <v>2</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2</v>
      </c>
      <c r="Q24" s="79" t="str">
        <f t="shared" si="0"/>
        <v>Josh</v>
      </c>
      <c r="R24" s="78">
        <f t="shared" si="1"/>
        <v>2</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8</v>
      </c>
      <c r="E26" s="77">
        <f>COUNTIFS('Match Log'!$D$4:$D$819,E$7,'Match Log'!$C$4:$C$819,$A26)</f>
        <v>0</v>
      </c>
      <c r="F26" s="77">
        <f>COUNTIFS('Match Log'!$D$4:$D$819,F$7,'Match Log'!$C$4:$C$819,$A26)</f>
        <v>4</v>
      </c>
      <c r="G26" s="77">
        <f>COUNTIFS('Match Log'!$D$4:$D$819,G$7,'Match Log'!$C$4:$C$819,$A26)</f>
        <v>25</v>
      </c>
      <c r="H26" s="77">
        <f>COUNTIFS('Match Log'!$D$4:$D$819,H$7,'Match Log'!$C$4:$C$819,$A26)</f>
        <v>1</v>
      </c>
      <c r="I26" s="77">
        <f>COUNTIFS('Match Log'!$D$4:$D$819,I$7,'Match Log'!$C$4:$C$819,$A26)</f>
        <v>17</v>
      </c>
      <c r="J26" s="77">
        <f>COUNTIFS('Match Log'!$D$4:$D$819,J$7,'Match Log'!$C$4:$C$819,$A26)</f>
        <v>0</v>
      </c>
      <c r="K26" s="77">
        <f>COUNTIFS('Match Log'!$D$4:$D$819,K$7,'Match Log'!$C$4:$C$819,$A26)</f>
        <v>0</v>
      </c>
      <c r="L26" s="77">
        <f>COUNTIFS('Match Log'!$D$4:$D$819,L$7,'Match Log'!$C$4:$C$819,$A26)</f>
        <v>11</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33</v>
      </c>
      <c r="Q26" s="79" t="str">
        <f t="shared" si="0"/>
        <v>Shawn</v>
      </c>
      <c r="R26" s="78">
        <f t="shared" si="1"/>
        <v>15</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4</v>
      </c>
      <c r="G28" s="77">
        <f>COUNTIFS('Match Log'!$D$4:$D$810,G$7,'Match Log'!$C$4:$C$810,$A28)</f>
        <v>2</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6</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2</v>
      </c>
      <c r="G29" s="77">
        <f>COUNTIFS('Match Log'!$D$4:$D$810,G$7,'Match Log'!$C$4:$C$810,$A29)</f>
        <v>1</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2</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4</v>
      </c>
      <c r="G30" s="77">
        <f>COUNTIFS('Match Log'!$D$4:$D$810,G$7,'Match Log'!$C$4:$C$810,$A30)</f>
        <v>3</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4</v>
      </c>
      <c r="Q30" s="79" t="str">
        <f>IF($P30=0,"—",INDEX($B$32:$O$32,MATCH(MAX($B55:$O55),$B55:$O55,0)))</f>
        <v>Josh</v>
      </c>
      <c r="R30" s="78">
        <f>IF($P30=0,"—",MAX($B55:$O55))</f>
        <v>2</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4</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1</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2</v>
      </c>
      <c r="N37" s="77">
        <f>COUNTIFS('Match Log'!$D$4:$D$819,N$32,'Match Log'!$C$4:$C$819,$A37,'Match Log'!$E$4:$E$819,"Win")</f>
        <v>3</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3</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8</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3</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7</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2</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15</v>
      </c>
      <c r="H51" s="77">
        <f>COUNTIFS('Match Log'!$D$4:$D$819,H$32,'Match Log'!$C$4:$C$819,$A51,'Match Log'!$E$4:$E$819,"Win")</f>
        <v>0</v>
      </c>
      <c r="I51" s="77">
        <f>COUNTIFS('Match Log'!$D$4:$D$819,I$32,'Match Log'!$C$4:$C$819,$A51,'Match Log'!$E$4:$E$819,"Win")</f>
        <v>7</v>
      </c>
      <c r="J51" s="77">
        <f>COUNTIFS('Match Log'!$D$4:$D$819,J$32,'Match Log'!$C$4:$C$819,$A51,'Match Log'!$E$4:$E$819,"Win")</f>
        <v>0</v>
      </c>
      <c r="K51" s="77">
        <f>COUNTIFS('Match Log'!$D$4:$D$819,K$32,'Match Log'!$C$4:$C$819,$A51,'Match Log'!$E$4:$E$819,"Win")</f>
        <v>0</v>
      </c>
      <c r="L51" s="77">
        <f>COUNTIFS('Match Log'!$D$4:$D$819,L$32,'Match Log'!$C$4:$C$819,$A51,'Match Log'!$E$4:$E$819,"Win")</f>
        <v>2</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1</v>
      </c>
      <c r="G53" s="77">
        <f>COUNTIFS('Match Log'!$D$4:$D$810,G$32,'Match Log'!$C$4:$C$810,$A53,'Match Log'!$E$4:$E$810,"Win")</f>
        <v>1</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1</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2</v>
      </c>
      <c r="G55" s="77">
        <f>COUNTIFS('Match Log'!$D$4:$D$810,G$32,'Match Log'!$C$4:$C$810,$A55,'Match Log'!$E$4:$E$810,"Win")</f>
        <v>1</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f t="shared" si="6"/>
        <v>1</v>
      </c>
      <c r="H62" s="80">
        <f t="shared" si="6"/>
        <v>1</v>
      </c>
      <c r="I62" s="80">
        <f t="shared" si="6"/>
        <v>0.5</v>
      </c>
      <c r="J62" s="80">
        <f t="shared" si="6"/>
        <v>0.55555555555555558</v>
      </c>
      <c r="K62" s="80">
        <f t="shared" si="6"/>
        <v>0</v>
      </c>
      <c r="L62" s="80">
        <f t="shared" si="6"/>
        <v>0.5</v>
      </c>
      <c r="M62" s="80">
        <f t="shared" si="6"/>
        <v>0.5</v>
      </c>
      <c r="N62" s="80">
        <f t="shared" si="6"/>
        <v>0.75</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f t="shared" si="15"/>
        <v>1</v>
      </c>
      <c r="G71" s="80">
        <f t="shared" si="15"/>
        <v>0</v>
      </c>
      <c r="H71" s="80">
        <f t="shared" si="15"/>
        <v>0</v>
      </c>
      <c r="I71" s="80">
        <f t="shared" si="15"/>
        <v>0.66666666666666663</v>
      </c>
      <c r="J71" s="80" t="str">
        <f t="shared" si="15"/>
        <v/>
      </c>
      <c r="K71" s="80" t="str">
        <f t="shared" si="15"/>
        <v/>
      </c>
      <c r="L71" s="80">
        <f t="shared" si="15"/>
        <v>0.72727272727272729</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0.33333333333333331</v>
      </c>
      <c r="C73" s="80" t="str">
        <f t="shared" si="17"/>
        <v/>
      </c>
      <c r="D73" s="80">
        <f t="shared" si="17"/>
        <v>0</v>
      </c>
      <c r="E73" s="80" t="str">
        <f t="shared" si="17"/>
        <v/>
      </c>
      <c r="F73" s="80" t="str">
        <f t="shared" si="17"/>
        <v/>
      </c>
      <c r="G73" s="80" t="str">
        <f t="shared" si="17"/>
        <v/>
      </c>
      <c r="H73" s="80" t="str">
        <f t="shared" si="17"/>
        <v/>
      </c>
      <c r="I73" s="80">
        <f t="shared" si="17"/>
        <v>0.77777777777777779</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f t="shared" ref="B74:O74" si="18">IF(B24=0,"",B49/B24)</f>
        <v>0</v>
      </c>
      <c r="C74" s="80" t="str">
        <f t="shared" si="18"/>
        <v/>
      </c>
      <c r="D74" s="80">
        <f t="shared" si="18"/>
        <v>0</v>
      </c>
      <c r="E74" s="80" t="str">
        <f t="shared" si="18"/>
        <v/>
      </c>
      <c r="F74" s="80">
        <f t="shared" si="18"/>
        <v>1</v>
      </c>
      <c r="G74" s="80">
        <f t="shared" si="18"/>
        <v>0</v>
      </c>
      <c r="H74" s="80">
        <f t="shared" si="18"/>
        <v>0</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0.5</v>
      </c>
      <c r="E76" s="80" t="str">
        <f t="shared" si="20"/>
        <v/>
      </c>
      <c r="F76" s="80">
        <f t="shared" si="20"/>
        <v>0.5</v>
      </c>
      <c r="G76" s="80">
        <f t="shared" si="20"/>
        <v>0.6</v>
      </c>
      <c r="H76" s="80">
        <f t="shared" si="20"/>
        <v>0</v>
      </c>
      <c r="I76" s="80">
        <f t="shared" si="20"/>
        <v>0.41176470588235292</v>
      </c>
      <c r="J76" s="80" t="str">
        <f t="shared" si="20"/>
        <v/>
      </c>
      <c r="K76" s="80" t="str">
        <f t="shared" si="20"/>
        <v/>
      </c>
      <c r="L76" s="80">
        <f t="shared" si="20"/>
        <v>0.18181818181818182</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0.25</v>
      </c>
      <c r="G78" s="80">
        <f t="shared" si="22"/>
        <v>0.5</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0.5</v>
      </c>
      <c r="G79" s="80">
        <f t="shared" si="23"/>
        <v>1</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0.5</v>
      </c>
      <c r="G80" s="80">
        <f t="shared" si="24"/>
        <v>0.33333333333333331</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1231.7029363250533</v>
      </c>
      <c r="G83" s="77" t="str">
        <f>IF($B83=0,"No games",IF(AND($B83&gt;='Guide &amp; Settings'!$C$45,$C83&gt;='Guide &amp; Settings'!$C$46),"Eligible","Provisional"))</f>
        <v>Eligible</v>
      </c>
      <c r="S83" s="83">
        <f ca="1">IF($G83="Eligible",IF(IFERROR(INDEX(Calcs!$T$7:$T$20,MATCH($A83,Calcs!$A$7:$A$20,0)),"")="Inactive",-1,$F83),-1)</f>
        <v>-1</v>
      </c>
    </row>
    <row r="84" spans="1:19" ht="15" customHeight="1" x14ac:dyDescent="0.2">
      <c r="A84" s="76" t="s">
        <v>137</v>
      </c>
      <c r="B84" s="77">
        <f>COUNTIF('Match Log'!$D$4:$D$819,$A84)</f>
        <v>48</v>
      </c>
      <c r="C84" s="77">
        <f>SUMPRODUCT(--(COUNTIFS('Match Log'!$D$4:$D$819,$A84,'Match Log'!$C$4:$C$819,Lists!$C$2:$C$24)&gt;0))</f>
        <v>13</v>
      </c>
      <c r="D84" s="77">
        <f>COUNTIFS('Match Log'!$D$4:$D$819,$A84,'Match Log'!$E$4:$E$819,"Win")</f>
        <v>28</v>
      </c>
      <c r="E84" s="80">
        <f t="shared" si="25"/>
        <v>0.58333333333333337</v>
      </c>
      <c r="F84" s="82">
        <f ca="1">IFERROR(INDEX(Calcs!$S$7:$S$20,MATCH($A84,Calcs!$A$7:$A$20,0)),"")</f>
        <v>1148.0282967340261</v>
      </c>
      <c r="G84" s="77" t="str">
        <f>IF($B84=0,"No games",IF(AND($B84&gt;='Guide &amp; Settings'!$C$45,$C84&gt;='Guide &amp; Settings'!$C$46),"Eligible","Provisional"))</f>
        <v>Eligible</v>
      </c>
      <c r="S84" s="83">
        <f ca="1">IF($G84="Eligible",IF(IFERROR(INDEX(Calcs!$T$7:$T$20,MATCH($A84,Calcs!$A$7:$A$20,0)),"")="Inactive",-1,$F84),-1)</f>
        <v>1148.0282967340261</v>
      </c>
    </row>
    <row r="85" spans="1:19" ht="15" customHeight="1" x14ac:dyDescent="0.2">
      <c r="A85" s="76" t="s">
        <v>168</v>
      </c>
      <c r="B85" s="77">
        <f>COUNTIF('Match Log'!$D$4:$D$819,$A85)</f>
        <v>21</v>
      </c>
      <c r="C85" s="77">
        <f>SUMPRODUCT(--(COUNTIFS('Match Log'!$D$4:$D$819,$A85,'Match Log'!$C$4:$C$819,Lists!$C$2:$C$24)&gt;0))</f>
        <v>8</v>
      </c>
      <c r="D85" s="77">
        <f>COUNTIFS('Match Log'!$D$4:$D$819,$A85,'Match Log'!$E$4:$E$819,"Win")</f>
        <v>10</v>
      </c>
      <c r="E85" s="80">
        <f t="shared" si="25"/>
        <v>0.47619047619047616</v>
      </c>
      <c r="F85" s="82">
        <f ca="1">IFERROR(INDEX(Calcs!$S$7:$S$20,MATCH($A85,Calcs!$A$7:$A$20,0)),"")</f>
        <v>1044.6893073123574</v>
      </c>
      <c r="G85" s="77" t="str">
        <f>IF($B85=0,"No games",IF(AND($B85&gt;='Guide &amp; Settings'!$C$45,$C85&gt;='Guide &amp; Settings'!$C$46),"Eligible","Provisional"))</f>
        <v>Eligible</v>
      </c>
      <c r="S85" s="83">
        <f ca="1">IF($G85="Eligible",IF(IFERROR(INDEX(Calcs!$T$7:$T$20,MATCH($A85,Calcs!$A$7:$A$20,0)),"")="Inactive",-1,$F85),-1)</f>
        <v>1044.6893073123574</v>
      </c>
    </row>
    <row r="86" spans="1:19" ht="15" customHeight="1" x14ac:dyDescent="0.2">
      <c r="A86" s="76" t="s">
        <v>169</v>
      </c>
      <c r="B86" s="77">
        <f>COUNTIF('Match Log'!$D$4:$D$819,$A86)</f>
        <v>59</v>
      </c>
      <c r="C86" s="77">
        <f>SUMPRODUCT(--(COUNTIFS('Match Log'!$D$4:$D$819,$A86,'Match Log'!$C$4:$C$819,Lists!$C$2:$C$24)&gt;0))</f>
        <v>9</v>
      </c>
      <c r="D86" s="77">
        <f>COUNTIFS('Match Log'!$D$4:$D$819,$A86,'Match Log'!$E$4:$E$819,"Win")</f>
        <v>25</v>
      </c>
      <c r="E86" s="80">
        <f t="shared" si="25"/>
        <v>0.42372881355932202</v>
      </c>
      <c r="F86" s="82">
        <f ca="1">IFERROR(INDEX(Calcs!$S$7:$S$20,MATCH($A86,Calcs!$A$7:$A$20,0)),"")</f>
        <v>1054.3366131438215</v>
      </c>
      <c r="G86" s="77" t="str">
        <f>IF($B86=0,"No games",IF(AND($B86&gt;='Guide &amp; Settings'!$C$45,$C86&gt;='Guide &amp; Settings'!$C$46),"Eligible","Provisional"))</f>
        <v>Eligible</v>
      </c>
      <c r="S86" s="83">
        <f ca="1">IF($G86="Eligible",IF(IFERROR(INDEX(Calcs!$T$7:$T$20,MATCH($A86,Calcs!$A$7:$A$20,0)),"")="Inactive",-1,$F86),-1)</f>
        <v>1054.3366131438215</v>
      </c>
    </row>
    <row r="87" spans="1:19" ht="15" customHeight="1" x14ac:dyDescent="0.2">
      <c r="A87" s="76" t="s">
        <v>170</v>
      </c>
      <c r="B87" s="77">
        <f>COUNTIF('Match Log'!$D$4:$D$819,$A87)</f>
        <v>77</v>
      </c>
      <c r="C87" s="77">
        <f>SUMPRODUCT(--(COUNTIFS('Match Log'!$D$4:$D$819,$A87,'Match Log'!$C$4:$C$819,Lists!$C$2:$C$24)&gt;0))</f>
        <v>14</v>
      </c>
      <c r="D87" s="77">
        <f>COUNTIFS('Match Log'!$D$4:$D$819,$A87,'Match Log'!$E$4:$E$819,"Win")</f>
        <v>35</v>
      </c>
      <c r="E87" s="80">
        <f t="shared" si="25"/>
        <v>0.45454545454545453</v>
      </c>
      <c r="F87" s="82">
        <f ca="1">IFERROR(INDEX(Calcs!$S$7:$S$20,MATCH($A87,Calcs!$A$7:$A$20,0)),"")</f>
        <v>1134.8539840113533</v>
      </c>
      <c r="G87" s="77" t="str">
        <f>IF($B87=0,"No games",IF(AND($B87&gt;='Guide &amp; Settings'!$C$45,$C87&gt;='Guide &amp; Settings'!$C$46),"Eligible","Provisional"))</f>
        <v>Eligible</v>
      </c>
      <c r="S87" s="83">
        <f ca="1">IF($G87="Eligible",IF(IFERROR(INDEX(Calcs!$T$7:$T$20,MATCH($A87,Calcs!$A$7:$A$20,0)),"")="Inactive",-1,$F87),-1)</f>
        <v>1134.8539840113533</v>
      </c>
    </row>
    <row r="88" spans="1:19" ht="15" customHeight="1" x14ac:dyDescent="0.2">
      <c r="A88" s="76" t="s">
        <v>138</v>
      </c>
      <c r="B88" s="77">
        <f>COUNTIF('Match Log'!$D$4:$D$819,$A88)</f>
        <v>54</v>
      </c>
      <c r="C88" s="77">
        <f>SUMPRODUCT(--(COUNTIFS('Match Log'!$D$4:$D$819,$A88,'Match Log'!$C$4:$C$819,Lists!$C$2:$C$24)&gt;0))</f>
        <v>11</v>
      </c>
      <c r="D88" s="77">
        <f>COUNTIFS('Match Log'!$D$4:$D$819,$A88,'Match Log'!$E$4:$E$819,"Win")</f>
        <v>26</v>
      </c>
      <c r="E88" s="80">
        <f t="shared" si="25"/>
        <v>0.48148148148148145</v>
      </c>
      <c r="F88" s="82">
        <f ca="1">IFERROR(INDEX(Calcs!$S$7:$S$20,MATCH($A88,Calcs!$A$7:$A$20,0)),"")</f>
        <v>998.72610466947049</v>
      </c>
      <c r="G88" s="77" t="str">
        <f>IF($B88=0,"No games",IF(AND($B88&gt;='Guide &amp; Settings'!$C$45,$C88&gt;='Guide &amp; Settings'!$C$46),"Eligible","Provisional"))</f>
        <v>Eligible</v>
      </c>
      <c r="S88" s="83">
        <f ca="1">IF($G88="Eligible",IF(IFERROR(INDEX(Calcs!$T$7:$T$20,MATCH($A88,Calcs!$A$7:$A$20,0)),"")="Inactive",-1,$F88),-1)</f>
        <v>998.72610466947049</v>
      </c>
    </row>
    <row r="89" spans="1:19" ht="15" customHeight="1" x14ac:dyDescent="0.2">
      <c r="A89" s="76" t="s">
        <v>134</v>
      </c>
      <c r="B89" s="77">
        <f>COUNTIF('Match Log'!$D$4:$D$819,$A89)</f>
        <v>103</v>
      </c>
      <c r="C89" s="77">
        <f>SUMPRODUCT(--(COUNTIFS('Match Log'!$D$4:$D$819,$A89,'Match Log'!$C$4:$C$819,Lists!$C$2:$C$24)&gt;0))</f>
        <v>15</v>
      </c>
      <c r="D89" s="77">
        <f>COUNTIFS('Match Log'!$D$4:$D$819,$A89,'Match Log'!$E$4:$E$819,"Win")</f>
        <v>48</v>
      </c>
      <c r="E89" s="80">
        <f t="shared" si="25"/>
        <v>0.46601941747572817</v>
      </c>
      <c r="F89" s="82">
        <f ca="1">IFERROR(INDEX(Calcs!$S$7:$S$20,MATCH($A89,Calcs!$A$7:$A$20,0)),"")</f>
        <v>1124.39195520974</v>
      </c>
      <c r="G89" s="77" t="str">
        <f>IF($B89=0,"No games",IF(AND($B89&gt;='Guide &amp; Settings'!$C$45,$C89&gt;='Guide &amp; Settings'!$C$46),"Eligible","Provisional"))</f>
        <v>Eligible</v>
      </c>
      <c r="S89" s="83">
        <f ca="1">IF($G89="Eligible",IF(IFERROR(INDEX(Calcs!$T$7:$T$20,MATCH($A89,Calcs!$A$7:$A$20,0)),"")="Inactive",-1,$F89),-1)</f>
        <v>1124.39195520974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979.51759653351382</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10</v>
      </c>
      <c r="C91" s="77">
        <f>SUMPRODUCT(--(COUNTIFS('Match Log'!$D$4:$D$819,$A91,'Match Log'!$C$4:$C$819,Lists!$C$2:$C$24)&gt;0))</f>
        <v>3</v>
      </c>
      <c r="D91" s="77">
        <f>COUNTIFS('Match Log'!$D$4:$D$819,$A91,'Match Log'!$E$4:$E$819,"Win")</f>
        <v>4</v>
      </c>
      <c r="E91" s="80">
        <f t="shared" si="25"/>
        <v>0.4</v>
      </c>
      <c r="F91" s="82">
        <f ca="1">IFERROR(INDEX(Calcs!$S$7:$S$20,MATCH($A91,Calcs!$A$7:$A$20,0)),"")</f>
        <v>1012.1303999492304</v>
      </c>
      <c r="G91" s="77" t="str">
        <f>IF($B91=0,"No games",IF(AND($B91&gt;='Guide &amp; Settings'!$C$45,$C91&gt;='Guide &amp; Settings'!$C$46),"Eligible","Provisional"))</f>
        <v>Eligible</v>
      </c>
      <c r="S91" s="83">
        <f ca="1">IF($G91="Eligible",IF(IFERROR(INDEX(Calcs!$T$7:$T$20,MATCH($A91,Calcs!$A$7:$A$20,0)),"")="Inactive",-1,$F91),-1)</f>
        <v>1012.1303999492304</v>
      </c>
    </row>
    <row r="92" spans="1:19" ht="15" customHeight="1" x14ac:dyDescent="0.2">
      <c r="A92" s="76" t="s">
        <v>172</v>
      </c>
      <c r="B92" s="77">
        <f>COUNTIF('Match Log'!$D$4:$D$819,$A92)</f>
        <v>9</v>
      </c>
      <c r="C92" s="77">
        <f>SUMPRODUCT(--(COUNTIFS('Match Log'!$D$4:$D$819,$A92,'Match Log'!$C$4:$C$819,Lists!$C$2:$C$24)&gt;0))</f>
        <v>3</v>
      </c>
      <c r="D92" s="77">
        <f>COUNTIFS('Match Log'!$D$4:$D$819,$A92,'Match Log'!$E$4:$E$819,"Win")</f>
        <v>6</v>
      </c>
      <c r="E92" s="80">
        <f t="shared" si="25"/>
        <v>0.66666666666666663</v>
      </c>
      <c r="F92" s="82">
        <f ca="1">IFERROR(INDEX(Calcs!$S$7:$S$20,MATCH($A92,Calcs!$A$7:$A$20,0)),"")</f>
        <v>1080.3830919749923</v>
      </c>
      <c r="G92" s="77" t="str">
        <f>IF($B92=0,"No games",IF(AND($B92&gt;='Guide &amp; Settings'!$C$45,$C92&gt;='Guide &amp; Settings'!$C$46),"Eligible","Provisional"))</f>
        <v>Eligible</v>
      </c>
      <c r="S92" s="83">
        <f ca="1">IF($G92="Eligible",IF(IFERROR(INDEX(Calcs!$T$7:$T$20,MATCH($A92,Calcs!$A$7:$A$20,0)),"")="Inactive",-1,$F92),-1)</f>
        <v>1080.3830919749923</v>
      </c>
    </row>
    <row r="93" spans="1:19" ht="15" customHeight="1" x14ac:dyDescent="0.2">
      <c r="A93" s="76" t="s">
        <v>173</v>
      </c>
      <c r="B93" s="77">
        <f>COUNTIF('Match Log'!$D$4:$D$819,$A93)</f>
        <v>16</v>
      </c>
      <c r="C93" s="77">
        <f>SUMPRODUCT(--(COUNTIFS('Match Log'!$D$4:$D$819,$A93,'Match Log'!$C$4:$C$819,Lists!$C$2:$C$24)&gt;0))</f>
        <v>8</v>
      </c>
      <c r="D93" s="77">
        <f>COUNTIFS('Match Log'!$D$4:$D$819,$A93,'Match Log'!$E$4:$E$819,"Win")</f>
        <v>7</v>
      </c>
      <c r="E93" s="80">
        <f t="shared" si="25"/>
        <v>0.4375</v>
      </c>
      <c r="F93" s="82">
        <f ca="1">IFERROR(INDEX(Calcs!$S$7:$S$20,MATCH($A93,Calcs!$A$7:$A$20,0)),"")</f>
        <v>1037.8197114720938</v>
      </c>
      <c r="G93" s="77" t="str">
        <f>IF($B93=0,"No games",IF(AND($B93&gt;='Guide &amp; Settings'!$C$45,$C93&gt;='Guide &amp; Settings'!$C$46),"Eligible","Provisional"))</f>
        <v>Eligible</v>
      </c>
      <c r="S93" s="83">
        <f ca="1">IF($G93="Eligible",IF(IFERROR(INDEX(Calcs!$T$7:$T$20,MATCH($A93,Calcs!$A$7:$A$20,0)),"")="Inactive",-1,$F93),-1)</f>
        <v>1037.8197114720938</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963.19705892757202</v>
      </c>
      <c r="G95" s="77" t="str">
        <f>IF($B95=0,"No games",IF(AND($B95&gt;='Guide &amp; Settings'!$C$45,$C95&gt;='Guide &amp; Settings'!$C$46),"Eligible","Provisional"))</f>
        <v>Eligible</v>
      </c>
      <c r="S95" s="83">
        <f ca="1">IF($G95="Eligible",IF(IFERROR(INDEX(Calcs!$T$7:$T$20,MATCH($A95,Calcs!$A$7:$A$20,0)),"")="Inactive",-1,$F95),-1)</f>
        <v>-1</v>
      </c>
    </row>
    <row r="96" spans="1:19" ht="15" customHeight="1" x14ac:dyDescent="0.2">
      <c r="A96" s="76" t="s">
        <v>175</v>
      </c>
      <c r="B96" s="77">
        <f>COUNTIF('Match Log'!$D$4:$D$819,$A96)</f>
        <v>15</v>
      </c>
      <c r="C96" s="77">
        <f>SUMPRODUCT(--(COUNTIFS('Match Log'!$D$4:$D$819,$A96,'Match Log'!$C$4:$C$819,Lists!$C$2:$C$24)&gt;0))</f>
        <v>3</v>
      </c>
      <c r="D96" s="77">
        <f>COUNTIFS('Match Log'!$D$4:$D$819,$A96,'Match Log'!$E$4:$E$819,"Win")</f>
        <v>2</v>
      </c>
      <c r="E96" s="80">
        <f t="shared" si="25"/>
        <v>0.13333333333333333</v>
      </c>
      <c r="F96" s="82">
        <f ca="1">IFERROR(INDEX(Calcs!$S$7:$S$20,MATCH($A96,Calcs!$A$7:$A$20,0)),"")</f>
        <v>862.22294373677494</v>
      </c>
      <c r="G96" s="77" t="str">
        <f>IF($B96=0,"No games",IF(AND($B96&gt;='Guide &amp; Settings'!$C$45,$C96&gt;='Guide &amp; Settings'!$C$46),"Eligible","Provisional"))</f>
        <v>Eligible</v>
      </c>
      <c r="S96" s="83">
        <f ca="1">IF($G96="Eligible",IF(IFERROR(INDEX(Calcs!$T$7:$T$20,MATCH($A96,Calcs!$A$7:$A$20,0)),"")="Inactive",-1,$F96),-1)</f>
        <v>862.22294373677494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1055.8009426289977</v>
      </c>
      <c r="H100" s="82">
        <f>IFERROR(LOOKUP(2,1/(('Match Log'!$D$4:$D$819=H$99)*('Match Log'!$C$4:$C$819=$A100)),'Match Log'!$AB$4:$AB$819),"")</f>
        <v>984</v>
      </c>
      <c r="I100" s="82">
        <f>IFERROR(LOOKUP(2,1/(('Match Log'!$D$4:$D$819=I$99)*('Match Log'!$C$4:$C$819=$A100)),'Match Log'!$AB$4:$AB$819),"")</f>
        <v>944.19905737100225</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968.56830839539452</v>
      </c>
      <c r="G104" s="82">
        <f>IFERROR(LOOKUP(2,1/(('Match Log'!$D$4:$D$819=G$99)*('Match Log'!$C$4:$C$819=$A104)),'Match Log'!$AB$4:$AB$819),"")</f>
        <v>1015.2556013117346</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954.8704688196633</v>
      </c>
      <c r="L104" s="82">
        <f>IFERROR(LOOKUP(2,1/(('Match Log'!$D$4:$D$819=L$99)*('Match Log'!$C$4:$C$819=$A104)),'Match Log'!$AB$4:$AB$819),"")</f>
        <v>1004.0463383766044</v>
      </c>
      <c r="M104" s="82">
        <f>IFERROR(LOOKUP(2,1/(('Match Log'!$D$4:$D$819=M$99)*('Match Log'!$C$4:$C$819=$A104)),'Match Log'!$AB$4:$AB$819),"")</f>
        <v>1000.6363905861837</v>
      </c>
      <c r="N104" s="82">
        <f>IFERROR(LOOKUP(2,1/(('Match Log'!$D$4:$D$819=N$99)*('Match Log'!$C$4:$C$819=$A104)),'Match Log'!$AB$4:$AB$819),"")</f>
        <v>1029.2938799937585</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f>IFERROR(LOOKUP(2,1/(('Match Log'!$D$4:$D$819=F$99)*('Match Log'!$C$4:$C$819=$A113)),'Match Log'!$AB$4:$AB$819),"")</f>
        <v>1028.8928273326949</v>
      </c>
      <c r="G113" s="82">
        <f>IFERROR(LOOKUP(2,1/(('Match Log'!$D$4:$D$819=G$99)*('Match Log'!$C$4:$C$819=$A113)),'Match Log'!$AB$4:$AB$819),"")</f>
        <v>844.70538647951662</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1063.0786926105654</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Oscar</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977.73645858927773</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1053.5611427473693</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f>IFERROR(LOOKUP(2,1/(('Match Log'!$D$4:$D$819=B$99)*('Match Log'!$C$4:$C$819=$A116)),'Match Log'!$AB$4:$AB$819),"")</f>
        <v>996.18407669838052</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1031.1718983470439</v>
      </c>
      <c r="G116" s="82">
        <f>IFERROR(LOOKUP(2,1/(('Match Log'!$D$4:$D$819=G$99)*('Match Log'!$C$4:$C$819=$A116)),'Match Log'!$AB$4:$AB$819),"")</f>
        <v>996.18407669838052</v>
      </c>
      <c r="H116" s="82">
        <f>IFERROR(LOOKUP(2,1/(('Match Log'!$D$4:$D$819=H$99)*('Match Log'!$C$4:$C$819=$A116)),'Match Log'!$AB$4:$AB$819),"")</f>
        <v>996.18407669838052</v>
      </c>
      <c r="I116" s="82">
        <f>IFERROR(LOOKUP(2,1/(('Match Log'!$D$4:$D$819=I$99)*('Match Log'!$C$4:$C$819=$A116)),'Match Log'!$AB$4:$AB$819),"")</f>
        <v>988.27587155781464</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1025.1456607850155</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1047.5054308988927</v>
      </c>
      <c r="H118" s="82">
        <f>IFERROR(LOOKUP(2,1/(('Match Log'!$D$4:$D$819=H$99)*('Match Log'!$C$4:$C$819=$A118)),'Match Log'!$AB$4:$AB$819),"")</f>
        <v>995.11454772974389</v>
      </c>
      <c r="I118" s="82">
        <f>IFERROR(LOOKUP(2,1/(('Match Log'!$D$4:$D$819=I$99)*('Match Log'!$C$4:$C$819=$A118)),'Match Log'!$AB$4:$AB$819),"")</f>
        <v>1008.1001580975385</v>
      </c>
      <c r="J118" s="82" t="str">
        <f>IFERROR(LOOKUP(2,1/(('Match Log'!$D$4:$D$819=J$99)*('Match Log'!$C$4:$C$819=$A118)),'Match Log'!$AB$4:$AB$819),"")</f>
        <v/>
      </c>
      <c r="K118" s="82" t="str">
        <f>IFERROR(LOOKUP(2,1/(('Match Log'!$D$4:$D$819=K$99)*('Match Log'!$C$4:$C$819=$A118)),'Match Log'!$AB$4:$AB$819),"")</f>
        <v/>
      </c>
      <c r="L118" s="82">
        <f>IFERROR(LOOKUP(2,1/(('Match Log'!$D$4:$D$819=L$99)*('Match Log'!$C$4:$C$819=$A118)),'Match Log'!$AB$4:$AB$819),"")</f>
        <v>951.24465656388634</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Shawn</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973.09901508317728</v>
      </c>
      <c r="G120" s="82">
        <f>IFERROR(LOOKUP(2,1/(('Match Log'!$D$4:$D$810=G$99)*('Match Log'!$C$4:$C$810=$A120)),'Match Log'!$AB$4:$AB$810),"")</f>
        <v>999.0270542964812</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999.26369320647802</v>
      </c>
      <c r="G121" s="82">
        <f>IFERROR(LOOKUP(2,1/(('Match Log'!$D$4:$D$810=G$99)*('Match Log'!$C$4:$C$810=$A121)),'Match Log'!$AB$4:$AB$810),"")</f>
        <v>1016.736306793522</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Shawn</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1007.6702238838435</v>
      </c>
      <c r="G122" s="82">
        <f>IFERROR(LOOKUP(2,1/(('Match Log'!$D$4:$D$810=G$99)*('Match Log'!$C$4:$C$810=$A122)),'Match Log'!$AB$4:$AB$810),"")</f>
        <v>984.32977611615649</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Aaron</v>
      </c>
      <c r="C11" s="39" t="str">
        <f>IFERROR(INDEX(Calcs!$H$25:$H$444,MATCH(LARGE(Calcs!$I$25:$I$444,6),Calcs!$I$25:$I$444,0)),"")</f>
        <v>Daniel (Ferret)</v>
      </c>
      <c r="D11" s="39" t="str">
        <f>IFERROR(INDEX(Calcs!$C$25:$C$444,MATCH(LARGE(Calcs!$I$25:$I$444,6),Calcs!$I$25:$I$444,0)),"")</f>
        <v>Call of Duty</v>
      </c>
      <c r="E11" s="39" t="str">
        <f>IFERROR(TEXT(INDEX(Calcs!$F$25:$F$444,MATCH(LARGE(Calcs!$I$25:$I$444,6),Calcs!$I$25:$I$444,0)),"0%"),"")</f>
        <v>25%</v>
      </c>
      <c r="F11" s="39" t="str">
        <f>IFERROR(TEXT(INDEX(Calcs!$B$25:$B$444,MATCH(LARGE(Calcs!$I$25:$I$444,6),Calcs!$I$25:$I$444,0)),"d mmm"),"")</f>
        <v>19 Jul</v>
      </c>
    </row>
    <row r="12" spans="1:6" ht="15" customHeight="1" x14ac:dyDescent="0.2">
      <c r="A12" s="56">
        <v>7</v>
      </c>
      <c r="B12" s="36" t="str">
        <f>IFERROR(INDEX(Calcs!$D$25:$D$444,MATCH(LARGE(Calcs!$I$25:$I$444,7),Calcs!$I$25:$I$444,0)),"")</f>
        <v>Dean B</v>
      </c>
      <c r="C12" s="36" t="str">
        <f>IFERROR(INDEX(Calcs!$H$25:$H$444,MATCH(LARGE(Calcs!$I$25:$I$444,7),Calcs!$I$25:$I$444,0)),"")</f>
        <v>Josh</v>
      </c>
      <c r="D12" s="36" t="str">
        <f>IFERROR(INDEX(Calcs!$C$25:$C$444,MATCH(LARGE(Calcs!$I$25:$I$444,7),Calcs!$I$25:$I$444,0)),"")</f>
        <v>Table Tennis</v>
      </c>
      <c r="E12" s="36" t="str">
        <f>IFERROR(TEXT(INDEX(Calcs!$F$25:$F$444,MATCH(LARGE(Calcs!$I$25:$I$444,7),Calcs!$I$25:$I$444,0)),"0%"),"")</f>
        <v>27%</v>
      </c>
      <c r="F12" s="36" t="str">
        <f>IFERROR(TEXT(INDEX(Calcs!$B$25:$B$444,MATCH(LARGE(Calcs!$I$25:$I$444,7),Calcs!$I$25:$I$444,0)),"d mmm"),"")</f>
        <v>3 Jun</v>
      </c>
    </row>
    <row r="13" spans="1:6" ht="15" customHeight="1" x14ac:dyDescent="0.2">
      <c r="A13" s="60">
        <v>8</v>
      </c>
      <c r="B13" s="39" t="str">
        <f>IFERROR(INDEX(Calcs!$D$25:$D$444,MATCH(LARGE(Calcs!$I$25:$I$444,8),Calcs!$I$25:$I$444,0)),"")</f>
        <v>Shawn</v>
      </c>
      <c r="C13" s="39" t="str">
        <f>IFERROR(INDEX(Calcs!$H$25:$H$444,MATCH(LARGE(Calcs!$I$25:$I$444,8),Calcs!$I$25:$I$444,0)),"")</f>
        <v>Aaron</v>
      </c>
      <c r="D13" s="39" t="str">
        <f>IFERROR(INDEX(Calcs!$C$25:$C$444,MATCH(LARGE(Calcs!$I$25:$I$444,8),Calcs!$I$25:$I$444,0)),"")</f>
        <v>Mario Party</v>
      </c>
      <c r="E13" s="39" t="str">
        <f>IFERROR(TEXT(INDEX(Calcs!$F$25:$F$444,MATCH(LARGE(Calcs!$I$25:$I$444,8),Calcs!$I$25:$I$444,0)),"0%"),"")</f>
        <v>27%</v>
      </c>
      <c r="F13" s="39" t="str">
        <f>IFERROR(TEXT(INDEX(Calcs!$B$25:$B$444,MATCH(LARGE(Calcs!$I$25:$I$444,8),Calcs!$I$25:$I$444,0)),"d mmm"),"")</f>
        <v>11 Jul</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103</v>
      </c>
      <c r="C21" s="36" t="str">
        <f ca="1">INDEX(Dashboard!$B$5:$B$18,MATCH(MAX(Dashboard!$D$5:$D$18),Dashboard!$D$5:$D$18,0))</f>
        <v>Shawn</v>
      </c>
      <c r="D21" s="36" t="s">
        <v>252</v>
      </c>
      <c r="E21" s="36" t="s">
        <v>252</v>
      </c>
      <c r="F21" s="36" t="str">
        <f ca="1">"across "&amp;INDEX(Dashboard!$K$5:$K$18,MATCH($C21,Dashboard!$B$5:$B$18,0))&amp;" sports"</f>
        <v>across 15 sports</v>
      </c>
    </row>
    <row r="22" spans="1:8" ht="15" customHeight="1" x14ac:dyDescent="0.2">
      <c r="A22" s="87" t="s">
        <v>253</v>
      </c>
      <c r="B22" s="39" t="str">
        <f ca="1">TEXT(MAX(Dashboard!$K$5:$K$18),"0")</f>
        <v>15</v>
      </c>
      <c r="C22" s="39" t="str">
        <f ca="1">INDEX(Dashboard!$B$5:$B$18,MATCH(MAX(Dashboard!$K$5:$K$18),Dashboard!$K$5:$K$18,0))</f>
        <v>Shawn</v>
      </c>
      <c r="D22" s="39" t="s">
        <v>252</v>
      </c>
      <c r="E22" s="39" t="s">
        <v>252</v>
      </c>
      <c r="F22" s="39" t="str">
        <f>"of "&amp;COUNTA(Lists!$C$2:$C$24)&amp;" sports available"</f>
        <v>of 23 sports available</v>
      </c>
    </row>
    <row r="23" spans="1:8" ht="15" customHeight="1" x14ac:dyDescent="0.2">
      <c r="A23" s="86" t="s">
        <v>254</v>
      </c>
      <c r="B23" s="36" t="str">
        <f>TEXT(MAX('Sport Records'!$P$8:$P$30),"0")&amp;" games"</f>
        <v>33 games</v>
      </c>
      <c r="C23" s="36" t="str">
        <f>INDEX('Sport Records'!$A$8:$A$30,MATCH(MAX('Sport Records'!$P$8:$P$30),'Sport Records'!$P$8:$P$30,0))</f>
        <v>Mario Golf</v>
      </c>
      <c r="D23" s="36" t="s">
        <v>252</v>
      </c>
      <c r="E23" s="36" t="s">
        <v>252</v>
      </c>
      <c r="F23" s="36" t="s">
        <v>255</v>
      </c>
    </row>
    <row r="24" spans="1:8" ht="15" customHeight="1" x14ac:dyDescent="0.2">
      <c r="A24" s="87" t="s">
        <v>256</v>
      </c>
      <c r="B24" s="39" t="str">
        <f>MAX(Calcs!$O$7:$O$20)&amp;" wins"</f>
        <v>3 wins</v>
      </c>
      <c r="C24" s="39" t="str">
        <f>INDEX(Calcs!$A$7:$A$20,MATCH(MAX(Calcs!$O$7:$O$20),Calcs!$O$7:$O$20,0))</f>
        <v>Josh</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Josh</v>
      </c>
      <c r="C28" s="39" t="s">
        <v>262</v>
      </c>
    </row>
    <row r="29" spans="1:8" ht="15" customHeight="1" x14ac:dyDescent="0.2">
      <c r="A29" s="89" t="s">
        <v>263</v>
      </c>
      <c r="B29" s="37" t="str">
        <f>INDEX(Calcs!$A$7:$A$20,MATCH(MAX(Calcs!$M$7:$M$20),Calcs!$M$7:$M$20,0))</f>
        <v>Daniel (Ferret)</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Shawn</v>
      </c>
      <c r="C31" s="39" t="s">
        <v>268</v>
      </c>
    </row>
    <row r="32" spans="1:8" ht="15" customHeight="1" x14ac:dyDescent="0.2">
      <c r="A32" s="89" t="s">
        <v>269</v>
      </c>
      <c r="B32" s="37" t="str">
        <f>INDEX(Calcs!$A$7:$A$20,MATCH(MAX(Calcs!$N$7:$N$20),Calcs!$N$7:$N$20,0))</f>
        <v>Josh</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105 points clear of Daniel (Ferret).</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Josh is on a heater — 3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7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Josh is surging — up 1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Daniel (Ferret) is the giant-killer — 7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103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Shawn rules Mario Golf — the family's most-played game with 33 contests.</v>
      </c>
      <c r="B11" s="91"/>
      <c r="C11" s="91"/>
      <c r="D11" s="96"/>
      <c r="E11" s="97"/>
      <c r="F11" s="91"/>
    </row>
    <row r="12" spans="1:6" ht="15" customHeight="1" x14ac:dyDescent="0.2">
      <c r="A12" s="92" t="str">
        <f>"🎲  "&amp;MAX('Match Log'!$A$4:$A$810)&amp;" games played across "&amp;COUNTIF('Sport Records'!$P$8:$P$30,"&gt;0")&amp;" different sports — and counting."</f>
        <v>🎲  202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Daniel (Ferret)</v>
      </c>
      <c r="C18" s="104">
        <f>ROUND(LARGE(Calcs!$B$7:$B$20,2),0)</f>
        <v>1136</v>
      </c>
      <c r="D18" s="105" t="str">
        <f>IF(2=1,"— leader —",ROUND(MAX(Calcs!$B$7:$B$20)-LARGE(Calcs!$B$7:$B$20,2),0)&amp;" behind")</f>
        <v>105 behind</v>
      </c>
      <c r="E18" s="99"/>
      <c r="F18" s="26"/>
    </row>
    <row r="19" spans="1:6" ht="15" customHeight="1" x14ac:dyDescent="0.2">
      <c r="A19" s="104">
        <v>3</v>
      </c>
      <c r="B19" s="55" t="str">
        <f>INDEX(Calcs!$A$7:$A$20,MATCH(LARGE(Calcs!$B$7:$B$20,3),Calcs!$B$7:$B$20,0))</f>
        <v>Shawn</v>
      </c>
      <c r="C19" s="104">
        <f>ROUND(LARGE(Calcs!$B$7:$B$20,3),0)</f>
        <v>1128</v>
      </c>
      <c r="D19" s="105" t="str">
        <f>IF(3=1,"— leader —",ROUND(MAX(Calcs!$B$7:$B$20)-LARGE(Calcs!$B$7:$B$20,3),0)&amp;" behind")</f>
        <v>114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L</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L</v>
      </c>
      <c r="I40" s="107" t="str">
        <f>IFERROR(IF(INDEX('Match Log'!$E$1:$E$810,_xlfn.AGGREGATE(14,6,ROW('Match Log'!$A$4:$A$810)/('Match Log'!$D$4:$D$810=$A40),3))="Win","W","L"),"")</f>
        <v>L</v>
      </c>
      <c r="J40" s="107" t="str">
        <f>IFERROR(IF(INDEX('Match Log'!$E$1:$E$810,_xlfn.AGGREGATE(14,6,ROW('Match Log'!$A$4:$A$810)/('Match Log'!$D$4:$D$810=$A40),2))="Win","W","L"),"")</f>
        <v>W</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L</v>
      </c>
      <c r="D42" s="107" t="str">
        <f>IFERROR(IF(INDEX('Match Log'!$E$1:$E$810,_xlfn.AGGREGATE(14,6,ROW('Match Log'!$A$4:$A$810)/('Match Log'!$D$4:$D$810=$A42),8))="Win","W","L"),"")</f>
        <v>L</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L</v>
      </c>
      <c r="J42" s="107" t="str">
        <f>IFERROR(IF(INDEX('Match Log'!$E$1:$E$810,_xlfn.AGGREGATE(14,6,ROW('Match Log'!$A$4:$A$810)/('Match Log'!$D$4:$D$810=$A42),2))="Win","W","L"),"")</f>
        <v>L</v>
      </c>
      <c r="K42" s="107" t="str">
        <f>IFERROR(IF(INDEX('Match Log'!$E$1:$E$810,_xlfn.AGGREGATE(14,6,ROW('Match Log'!$A$4:$A$810)/('Match Log'!$D$4:$D$810=$A42),1))="Win","W","L"),"")</f>
        <v>L</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W</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L</v>
      </c>
      <c r="F44" s="107" t="str">
        <f>IFERROR(IF(INDEX('Match Log'!$E$1:$E$810,_xlfn.AGGREGATE(14,6,ROW('Match Log'!$A$4:$A$810)/('Match Log'!$D$4:$D$810=$A44),6))="Win","W","L"),"")</f>
        <v>L</v>
      </c>
      <c r="G44" s="107" t="str">
        <f>IFERROR(IF(INDEX('Match Log'!$E$1:$E$810,_xlfn.AGGREGATE(14,6,ROW('Match Log'!$A$4:$A$810)/('Match Log'!$D$4:$D$810=$A44),5))="Win","W","L"),"")</f>
        <v>W</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W</v>
      </c>
      <c r="K44" s="107" t="str">
        <f>IFERROR(IF(INDEX('Match Log'!$E$1:$E$810,_xlfn.AGGREGATE(14,6,ROW('Match Log'!$A$4:$A$810)/('Match Log'!$D$4:$D$810=$A44),1))="Win","W","L"),"")</f>
        <v>W</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W</v>
      </c>
      <c r="H45" s="107" t="str">
        <f>IFERROR(IF(INDEX('Match Log'!$E$1:$E$810,_xlfn.AGGREGATE(14,6,ROW('Match Log'!$A$4:$A$810)/('Match Log'!$D$4:$D$810=$A45),4))="Win","W","L"),"")</f>
        <v>L</v>
      </c>
      <c r="I45" s="107" t="str">
        <f>IFERROR(IF(INDEX('Match Log'!$E$1:$E$810,_xlfn.AGGREGATE(14,6,ROW('Match Log'!$A$4:$A$810)/('Match Log'!$D$4:$D$810=$A45),3))="Win","W","L"),"")</f>
        <v>L</v>
      </c>
      <c r="J45" s="107" t="str">
        <f>IFERROR(IF(INDEX('Match Log'!$E$1:$E$810,_xlfn.AGGREGATE(14,6,ROW('Match Log'!$A$4:$A$810)/('Match Log'!$D$4:$D$810=$A45),2))="Win","W","L"),"")</f>
        <v>L</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W</v>
      </c>
      <c r="E46" s="107" t="str">
        <f>IFERROR(IF(INDEX('Match Log'!$E$1:$E$810,_xlfn.AGGREGATE(14,6,ROW('Match Log'!$A$4:$A$810)/('Match Log'!$D$4:$D$810=$A46),7))="Win","W","L"),"")</f>
        <v>L</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L</v>
      </c>
      <c r="E47" s="107" t="str">
        <f>IFERROR(IF(INDEX('Match Log'!$E$1:$E$810,_xlfn.AGGREGATE(14,6,ROW('Match Log'!$A$4:$A$810)/('Match Log'!$D$4:$D$810=$A47),7))="Win","W","L"),"")</f>
        <v>L</v>
      </c>
      <c r="F47" s="107" t="str">
        <f>IFERROR(IF(INDEX('Match Log'!$E$1:$E$810,_xlfn.AGGREGATE(14,6,ROW('Match Log'!$A$4:$A$810)/('Match Log'!$D$4:$D$810=$A47),6))="Win","W","L"),"")</f>
        <v>W</v>
      </c>
      <c r="G47" s="107" t="str">
        <f>IFERROR(IF(INDEX('Match Log'!$E$1:$E$810,_xlfn.AGGREGATE(14,6,ROW('Match Log'!$A$4:$A$810)/('Match Log'!$D$4:$D$810=$A47),5))="Win","W","L"),"")</f>
        <v>W</v>
      </c>
      <c r="H47" s="107" t="str">
        <f>IFERROR(IF(INDEX('Match Log'!$E$1:$E$810,_xlfn.AGGREGATE(14,6,ROW('Match Log'!$A$4:$A$810)/('Match Log'!$D$4:$D$810=$A47),4))="Win","W","L"),"")</f>
        <v>L</v>
      </c>
      <c r="I47" s="107" t="str">
        <f>IFERROR(IF(INDEX('Match Log'!$E$1:$E$810,_xlfn.AGGREGATE(14,6,ROW('Match Log'!$A$4:$A$810)/('Match Log'!$D$4:$D$810=$A47),3))="Win","W","L"),"")</f>
        <v>W</v>
      </c>
      <c r="J47" s="107" t="str">
        <f>IFERROR(IF(INDEX('Match Log'!$E$1:$E$810,_xlfn.AGGREGATE(14,6,ROW('Match Log'!$A$4:$A$810)/('Match Log'!$D$4:$D$810=$A47),2))="Win","W","L"),"")</f>
        <v>W</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W</v>
      </c>
      <c r="E49" s="107" t="str">
        <f>IFERROR(IF(INDEX('Match Log'!$E$1:$E$810,_xlfn.AGGREGATE(14,6,ROW('Match Log'!$A$4:$A$810)/('Match Log'!$D$4:$D$810=$A49),7))="Win","W","L"),"")</f>
        <v>W</v>
      </c>
      <c r="F49" s="107" t="str">
        <f>IFERROR(IF(INDEX('Match Log'!$E$1:$E$810,_xlfn.AGGREGATE(14,6,ROW('Match Log'!$A$4:$A$810)/('Match Log'!$D$4:$D$810=$A49),6))="Win","W","L"),"")</f>
        <v>L</v>
      </c>
      <c r="G49" s="107" t="str">
        <f>IFERROR(IF(INDEX('Match Log'!$E$1:$E$810,_xlfn.AGGREGATE(14,6,ROW('Match Log'!$A$4:$A$810)/('Match Log'!$D$4:$D$810=$A49),5))="Win","W","L"),"")</f>
        <v>L</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W</v>
      </c>
      <c r="D50" s="107" t="str">
        <f>IFERROR(IF(INDEX('Match Log'!$E$1:$E$810,_xlfn.AGGREGATE(14,6,ROW('Match Log'!$A$4:$A$810)/('Match Log'!$D$4:$D$810=$A50),8))="Win","W","L"),"")</f>
        <v>L</v>
      </c>
      <c r="E50" s="107" t="str">
        <f>IFERROR(IF(INDEX('Match Log'!$E$1:$E$810,_xlfn.AGGREGATE(14,6,ROW('Match Log'!$A$4:$A$810)/('Match Log'!$D$4:$D$810=$A50),7))="Win","W","L"),"")</f>
        <v>W</v>
      </c>
      <c r="F50" s="107" t="str">
        <f>IFERROR(IF(INDEX('Match Log'!$E$1:$E$810,_xlfn.AGGREGATE(14,6,ROW('Match Log'!$A$4:$A$810)/('Match Log'!$D$4:$D$810=$A50),6))="Win","W","L"),"")</f>
        <v>L</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L</v>
      </c>
      <c r="C51" s="107" t="str">
        <f>IFERROR(IF(INDEX('Match Log'!$E$1:$E$810,_xlfn.AGGREGATE(14,6,ROW('Match Log'!$A$4:$A$810)/('Match Log'!$D$4:$D$810=$A51),9))="Win","W","L"),"")</f>
        <v>L</v>
      </c>
      <c r="D51" s="107" t="str">
        <f>IFERROR(IF(INDEX('Match Log'!$E$1:$E$810,_xlfn.AGGREGATE(14,6,ROW('Match Log'!$A$4:$A$810)/('Match Log'!$D$4:$D$810=$A51),8))="Win","W","L"),"")</f>
        <v>L</v>
      </c>
      <c r="E51" s="107" t="str">
        <f>IFERROR(IF(INDEX('Match Log'!$E$1:$E$810,_xlfn.AGGREGATE(14,6,ROW('Match Log'!$A$4:$A$810)/('Match Log'!$D$4:$D$810=$A51),7))="Win","W","L"),"")</f>
        <v>W</v>
      </c>
      <c r="F51" s="107" t="str">
        <f>IFERROR(IF(INDEX('Match Log'!$E$1:$E$810,_xlfn.AGGREGATE(14,6,ROW('Match Log'!$A$4:$A$810)/('Match Log'!$D$4:$D$810=$A51),6))="Win","W","L"),"")</f>
        <v>W</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L</v>
      </c>
      <c r="K51" s="107" t="str">
        <f>IFERROR(IF(INDEX('Match Log'!$E$1:$E$810,_xlfn.AGGREGATE(14,6,ROW('Match Log'!$A$4:$A$810)/('Match Log'!$D$4:$D$810=$A51),1))="Win","W","L"),"")</f>
        <v>W</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W</v>
      </c>
      <c r="D52" s="107" t="str">
        <f>IFERROR(IF(INDEX('Match Log'!$E$1:$E$810,_xlfn.AGGREGATE(14,6,ROW('Match Log'!$A$4:$A$810)/('Match Log'!$D$4:$D$810=$A52),8))="Win","W","L"),"")</f>
        <v>L</v>
      </c>
      <c r="E52" s="107" t="str">
        <f>IFERROR(IF(INDEX('Match Log'!$E$1:$E$810,_xlfn.AGGREGATE(14,6,ROW('Match Log'!$A$4:$A$810)/('Match Log'!$D$4:$D$810=$A52),7))="Win","W","L"),"")</f>
        <v>W</v>
      </c>
      <c r="F52" s="107" t="str">
        <f>IFERROR(IF(INDEX('Match Log'!$E$1:$E$810,_xlfn.AGGREGATE(14,6,ROW('Match Log'!$A$4:$A$810)/('Match Log'!$D$4:$D$810=$A52),6))="Win","W","L"),"")</f>
        <v>L</v>
      </c>
      <c r="G52" s="107" t="str">
        <f>IFERROR(IF(INDEX('Match Log'!$E$1:$E$810,_xlfn.AGGREGATE(14,6,ROW('Match Log'!$A$4:$A$810)/('Match Log'!$D$4:$D$810=$A52),5))="Win","W","L"),"")</f>
        <v>W</v>
      </c>
      <c r="H52" s="107" t="str">
        <f>IFERROR(IF(INDEX('Match Log'!$E$1:$E$810,_xlfn.AGGREGATE(14,6,ROW('Match Log'!$A$4:$A$810)/('Match Log'!$D$4:$D$810=$A52),4))="Win","W","L"),"")</f>
        <v>W</v>
      </c>
      <c r="I52" s="107" t="str">
        <f>IFERROR(IF(INDEX('Match Log'!$E$1:$E$810,_xlfn.AGGREGATE(14,6,ROW('Match Log'!$A$4:$A$810)/('Match Log'!$D$4:$D$810=$A52),3))="Win","W","L"),"")</f>
        <v>L</v>
      </c>
      <c r="J52" s="107" t="str">
        <f>IFERROR(IF(INDEX('Match Log'!$E$1:$E$810,_xlfn.AGGREGATE(14,6,ROW('Match Log'!$A$4:$A$810)/('Match Log'!$D$4:$D$810=$A52),2))="Win","W","L"),"")</f>
        <v>W</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0.33333333333333331</v>
      </c>
      <c r="R58" s="110">
        <f>IFERROR(INDEX('Sport Records'!$B$58:$O$80,MATCH($R$57,'Sport Records'!$A$58:$A$80,0),MATCH($A58,'Sport Records'!$B$57:$O$57,0)),"")</f>
        <v>0</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0.5</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f>IFERROR(INDEX('Sport Records'!$B$58:$O$80,MATCH($O$57,'Sport Records'!$A$58:$A$80,0),MATCH($A62,'Sport Records'!$B$57:$O$57,0)),"")</f>
        <v>1</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0.25</v>
      </c>
      <c r="W62" s="26">
        <f>IFERROR(INDEX('Sport Records'!$B$58:$O$80,MATCH($W$57,'Sport Records'!$A$58:$A$80,0),MATCH($A62,'Sport Records'!$B$57:$O$57,0)),"")</f>
        <v>0.5</v>
      </c>
      <c r="X62" s="26">
        <f>IFERROR(INDEX('Sport Records'!$B$58:$O$80,MATCH($X$57,'Sport Records'!$A$58:$A$80,0),MATCH($A62,'Sport Records'!$B$57:$O$57,0)),"")</f>
        <v>0.5</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f>IFERROR(INDEX('Sport Records'!$B$58:$O$80,MATCH($F$57,'Sport Records'!$A$58:$A$80,0),MATCH($A63,'Sport Records'!$B$57:$O$57,0)),"")</f>
        <v>1</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f>IFERROR(INDEX('Sport Records'!$B$58:$O$80,MATCH($R$57,'Sport Records'!$A$58:$A$80,0),MATCH($A63,'Sport Records'!$B$57:$O$57,0)),"")</f>
        <v>0</v>
      </c>
      <c r="S63" s="110">
        <f>IFERROR(INDEX('Sport Records'!$B$58:$O$80,MATCH($S$57,'Sport Records'!$A$58:$A$80,0),MATCH($A63,'Sport Records'!$B$57:$O$57,0)),"")</f>
        <v>0.44444444444444442</v>
      </c>
      <c r="T63" s="110">
        <f>IFERROR(INDEX('Sport Records'!$B$58:$O$80,MATCH($T$57,'Sport Records'!$A$58:$A$80,0),MATCH($A63,'Sport Records'!$B$57:$O$57,0)),"")</f>
        <v>0.6</v>
      </c>
      <c r="U63" s="26" t="str">
        <f>IFERROR(INDEX('Sport Records'!$B$58:$O$80,MATCH($U$57,'Sport Records'!$A$58:$A$80,0),MATCH($A63,'Sport Records'!$B$57:$O$57,0)),"")</f>
        <v/>
      </c>
      <c r="V63" s="26">
        <f>IFERROR(INDEX('Sport Records'!$B$58:$O$80,MATCH($V$57,'Sport Records'!$A$58:$A$80,0),MATCH($A63,'Sport Records'!$B$57:$O$57,0)),"")</f>
        <v>0.5</v>
      </c>
      <c r="W63" s="26">
        <f>IFERROR(INDEX('Sport Records'!$B$58:$O$80,MATCH($W$57,'Sport Records'!$A$58:$A$80,0),MATCH($A63,'Sport Records'!$B$57:$O$57,0)),"")</f>
        <v>1</v>
      </c>
      <c r="X63" s="26">
        <f>IFERROR(INDEX('Sport Records'!$B$58:$O$80,MATCH($X$57,'Sport Records'!$A$58:$A$80,0),MATCH($A63,'Sport Records'!$B$57:$O$57,0)),"")</f>
        <v>0.33333333333333331</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f>IFERROR(INDEX('Sport Records'!$B$58:$O$80,MATCH($R$57,'Sport Records'!$A$58:$A$80,0),MATCH($A64,'Sport Records'!$B$57:$O$57,0)),"")</f>
        <v>0</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0.77777777777777779</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0.41176470588235292</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0.72727272727272729</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0.18181818181818182</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f>IFERROR(INDEX('Sport Records'!$B$58:$O$80,MATCH($F$57,'Sport Records'!$A$58:$A$80,0),MATCH($A69,'Sport Records'!$B$57:$O$57,0)),"")</f>
        <v>0.5</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f>IFERROR(INDEX('Sport Records'!$B$58:$O$80,MATCH($F$57,'Sport Records'!$A$58:$A$80,0),MATCH($A70,'Sport Records'!$B$57:$O$57,0)),"")</f>
        <v>0.75</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442" activePane="bottomRight" state="frozen"/>
      <selection pane="topRight" activeCell="F1" sqref="F1"/>
      <selection pane="bottomLeft" activeCell="A244" sqref="A244"/>
      <selection pane="bottomRight" activeCell="A471" sqref="A471"/>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v>163</v>
      </c>
      <c r="B381" s="112">
        <v>46220</v>
      </c>
      <c r="C381" s="113" t="s">
        <v>203</v>
      </c>
      <c r="D381" s="113" t="s">
        <v>138</v>
      </c>
      <c r="E381" s="111" t="s">
        <v>309</v>
      </c>
      <c r="F381" s="114">
        <f t="shared" si="102"/>
        <v>2</v>
      </c>
      <c r="G381" s="115" t="str">
        <f t="shared" si="103"/>
        <v>Daniel (Ferret)</v>
      </c>
      <c r="H381" s="116">
        <f>IF($D381="",0,IFERROR(LOOKUP(2,1/(($D$3:D380=$D381)*($A$3:A380&lt;$A381)),$N$3:N380),'Guide &amp; Settings'!$C$41))</f>
        <v>1040.1422573837137</v>
      </c>
      <c r="I381" s="117">
        <f t="shared" si="104"/>
        <v>0.4</v>
      </c>
      <c r="J381" s="118">
        <f>IF($D381="",0,IF($F381&lt;2,0,IF($E381="Win",('Guide &amp; Settings'!$C$42/(($F381-1)*COUNTIFS($A$4:$A$810,$A381,$E$4:$E$810,"Win")))*SUMIFS($X$4:$X$810,$A$4:$A$810,$A381,$E$4:$E$810,"Loss"),-('Guide &amp; Settings'!$C$42/($F381-1))*$X381)))</f>
        <v>-16.156557631819943</v>
      </c>
      <c r="K381" s="118">
        <f>IF($D381="",0,'Guide &amp; Settings'!$C$43*(IF($E381="Win",1,0)-$I381))</f>
        <v>-4.8000000000000007</v>
      </c>
      <c r="L381" s="119">
        <f>IF($D381="",0,'Guide &amp; Settings'!$C$44*IF($F381&gt;=3,$F381,0))</f>
        <v>0</v>
      </c>
      <c r="M381" s="118">
        <f t="shared" si="105"/>
        <v>-20.956557631819944</v>
      </c>
      <c r="N381" s="116">
        <f t="shared" si="106"/>
        <v>1019.1856997518938</v>
      </c>
      <c r="O381" s="115" t="str">
        <f t="shared" si="107"/>
        <v>OK</v>
      </c>
      <c r="P381">
        <f t="shared" si="108"/>
        <v>1022.8907433573827</v>
      </c>
      <c r="Q381">
        <f t="shared" si="109"/>
        <v>0.52480654086200085</v>
      </c>
      <c r="R381">
        <f t="shared" si="110"/>
        <v>0.5</v>
      </c>
      <c r="S381">
        <f t="shared" si="111"/>
        <v>1.25</v>
      </c>
      <c r="T381" s="83">
        <f t="shared" si="112"/>
        <v>2</v>
      </c>
      <c r="U381" s="120">
        <f>IF($D381="",0,IFERROR(LOOKUP(2,1/(($D$3:D380=$D381)*($C$3:C380=$C381)*($A$3:A380&lt;$A381)),$AB$3:AB380),1000))</f>
        <v>1000.0339081301692</v>
      </c>
      <c r="V381" s="120">
        <f t="shared" si="113"/>
        <v>1028.682729025558</v>
      </c>
      <c r="W381">
        <f t="shared" si="114"/>
        <v>1025.2830147428385</v>
      </c>
      <c r="X381">
        <f t="shared" si="115"/>
        <v>0.50489242599437323</v>
      </c>
      <c r="Y381">
        <f t="shared" si="116"/>
        <v>1031.2636932064779</v>
      </c>
      <c r="Z381">
        <f t="shared" si="117"/>
        <v>0.45517737770046623</v>
      </c>
      <c r="AA381">
        <f>IF($D381="",0,IF($F381&lt;2,0,IF($E381="Win",('Guide &amp; Settings'!$C$42/(($F381-1)*COUNTIFS($A$4:$A$810,$A381,$E$4:$E$810,"Win")))*SUMIFS($Z$4:$Z$810,$A$4:$A$810,$A381,$E$4:$E$810,"Loss"),-('Guide &amp; Settings'!$C$42/($F381-1))*$Z381)))</f>
        <v>-14.56567608641492</v>
      </c>
      <c r="AB381" s="120">
        <f t="shared" si="118"/>
        <v>985.46823204375426</v>
      </c>
      <c r="AC381" s="120">
        <f>IF($D381="","",IF(SUMPRODUCT(MAX(($D$4:$D$810=$D381)*($B$4:$B$810&lt;$B381)*$B$4:$B$810))=0,0,IF(($B381-MAX(SUMPRODUCT(MAX(($D$4:$D$810=$D381)*($B$4:$B$810&lt;$B381)*$B$4:$B$810)),'Guide &amp; Settings'!$C$50))/7-'Guide &amp; Settings'!$C$48&gt;=0,(INT(($B381-MAX(SUMPRODUCT(MAX(($D$4:$D$810=$D381)*($B$4:$B$810&lt;$B381)*$B$4:$B$810)),'Guide &amp; Settings'!$C$50))/7-'Guide &amp; Settings'!$C$48)+1)*'Guide &amp; Settings'!$C$49,0)))</f>
        <v>0</v>
      </c>
    </row>
    <row r="382" spans="1:29" x14ac:dyDescent="0.2">
      <c r="A382" s="111">
        <v>163</v>
      </c>
      <c r="B382" s="112">
        <v>46220</v>
      </c>
      <c r="C382" s="113" t="s">
        <v>203</v>
      </c>
      <c r="D382" s="113" t="s">
        <v>170</v>
      </c>
      <c r="E382" s="111" t="s">
        <v>308</v>
      </c>
      <c r="F382" s="114">
        <f t="shared" si="102"/>
        <v>2</v>
      </c>
      <c r="G382" s="115" t="str">
        <f t="shared" si="103"/>
        <v>Daniel (Ferret)</v>
      </c>
      <c r="H382" s="116">
        <f>IF($D382="",0,IFERROR(LOOKUP(2,1/(($D$3:D381=$D382)*($A$3:A381&lt;$A382)),$N$3:N381),'Guide &amp; Settings'!$C$41))</f>
        <v>1022.8907433573827</v>
      </c>
      <c r="I382" s="117">
        <f t="shared" si="104"/>
        <v>0.6</v>
      </c>
      <c r="J382" s="118">
        <f>IF($D382="",0,IF($F382&lt;2,0,IF($E382="Win",('Guide &amp; Settings'!$C$42/(($F382-1)*COUNTIFS($A$4:$A$810,$A382,$E$4:$E$810,"Win")))*SUMIFS($X$4:$X$810,$A$4:$A$810,$A382,$E$4:$E$810,"Loss"),-('Guide &amp; Settings'!$C$42/($F382-1))*$X382)))</f>
        <v>16.156557631819943</v>
      </c>
      <c r="K382" s="118">
        <f>IF($D382="",0,'Guide &amp; Settings'!$C$43*(IF($E382="Win",1,0)-$I382))</f>
        <v>4.8000000000000007</v>
      </c>
      <c r="L382" s="119">
        <f>IF($D382="",0,'Guide &amp; Settings'!$C$44*IF($F382&gt;=3,$F382,0))</f>
        <v>0</v>
      </c>
      <c r="M382" s="118">
        <f t="shared" si="105"/>
        <v>20.956557631819944</v>
      </c>
      <c r="N382" s="116">
        <f t="shared" si="106"/>
        <v>1043.8473009892027</v>
      </c>
      <c r="O382" s="115" t="str">
        <f t="shared" si="107"/>
        <v>OK</v>
      </c>
      <c r="P382">
        <f t="shared" si="108"/>
        <v>1022.8907433573827</v>
      </c>
      <c r="Q382">
        <f t="shared" si="109"/>
        <v>0.5</v>
      </c>
      <c r="R382">
        <f t="shared" si="110"/>
        <v>0.75</v>
      </c>
      <c r="S382">
        <f t="shared" si="111"/>
        <v>1.25</v>
      </c>
      <c r="T382" s="83">
        <f t="shared" si="112"/>
        <v>2</v>
      </c>
      <c r="U382" s="120">
        <f>IF($D382="",0,IFERROR(LOOKUP(2,1/(($D$3:D381=$D382)*($C$3:C381=$C382)*($A$3:A381&lt;$A382)),$AB$3:AB381),1000))</f>
        <v>1031.2636932064779</v>
      </c>
      <c r="V382" s="120">
        <f t="shared" si="113"/>
        <v>1025.2830147428385</v>
      </c>
      <c r="W382">
        <f t="shared" si="114"/>
        <v>1025.2830147428385</v>
      </c>
      <c r="X382">
        <f t="shared" si="115"/>
        <v>0.5</v>
      </c>
      <c r="Y382">
        <f t="shared" si="116"/>
        <v>1031.2636932064779</v>
      </c>
      <c r="Z382">
        <f t="shared" si="117"/>
        <v>0.5</v>
      </c>
      <c r="AA382">
        <f>IF($D382="",0,IF($F382&lt;2,0,IF($E382="Win",('Guide &amp; Settings'!$C$42/(($F382-1)*COUNTIFS($A$4:$A$810,$A382,$E$4:$E$810,"Win")))*SUMIFS($Z$4:$Z$810,$A$4:$A$810,$A382,$E$4:$E$810,"Loss"),-('Guide &amp; Settings'!$C$42/($F382-1))*$Z382)))</f>
        <v>14.56567608641492</v>
      </c>
      <c r="AB382" s="120">
        <f t="shared" si="118"/>
        <v>1045.8293692928928</v>
      </c>
      <c r="AC382" s="120">
        <f>IF($D382="","",IF(SUMPRODUCT(MAX(($D$4:$D$810=$D382)*($B$4:$B$810&lt;$B382)*$B$4:$B$810))=0,0,IF(($B382-MAX(SUMPRODUCT(MAX(($D$4:$D$810=$D382)*($B$4:$B$810&lt;$B382)*$B$4:$B$810)),'Guide &amp; Settings'!$C$50))/7-'Guide &amp; Settings'!$C$48&gt;=0,(INT(($B382-MAX(SUMPRODUCT(MAX(($D$4:$D$810=$D382)*($B$4:$B$810&lt;$B382)*$B$4:$B$810)),'Guide &amp; Settings'!$C$50))/7-'Guide &amp; Settings'!$C$48)+1)*'Guide &amp; Settings'!$C$49,0)))</f>
        <v>0</v>
      </c>
    </row>
    <row r="383" spans="1:29" x14ac:dyDescent="0.2">
      <c r="A383" s="111">
        <v>164</v>
      </c>
      <c r="B383" s="112">
        <v>46220</v>
      </c>
      <c r="C383" s="113" t="s">
        <v>203</v>
      </c>
      <c r="D383" s="113" t="s">
        <v>138</v>
      </c>
      <c r="E383" s="111" t="s">
        <v>309</v>
      </c>
      <c r="F383" s="114">
        <f t="shared" si="102"/>
        <v>2</v>
      </c>
      <c r="G383" s="115" t="str">
        <f t="shared" si="103"/>
        <v>Daniel (Ferret)</v>
      </c>
      <c r="H383" s="116">
        <f>IF($D383="",0,IFERROR(LOOKUP(2,1/(($D$3:D382=$D383)*($A$3:A382&lt;$A383)),$N$3:N382),'Guide &amp; Settings'!$C$41))</f>
        <v>1019.1856997518938</v>
      </c>
      <c r="I383" s="117">
        <f t="shared" si="104"/>
        <v>0.33333333333333331</v>
      </c>
      <c r="J383" s="118">
        <f>IF($D383="",0,IF($F383&lt;2,0,IF($E383="Win",('Guide &amp; Settings'!$C$42/(($F383-1)*COUNTIFS($A$4:$A$810,$A383,$E$4:$E$810,"Win")))*SUMIFS($X$4:$X$810,$A$4:$A$810,$A383,$E$4:$E$810,"Loss"),-('Guide &amp; Settings'!$C$42/($F383-1))*$X383)))</f>
        <v>-14.254753622713281</v>
      </c>
      <c r="K383" s="118">
        <f>IF($D383="",0,'Guide &amp; Settings'!$C$43*(IF($E383="Win",1,0)-$I383))</f>
        <v>-4</v>
      </c>
      <c r="L383" s="119">
        <f>IF($D383="",0,'Guide &amp; Settings'!$C$44*IF($F383&gt;=3,$F383,0))</f>
        <v>0</v>
      </c>
      <c r="M383" s="118">
        <f t="shared" si="105"/>
        <v>-18.254753622713281</v>
      </c>
      <c r="N383" s="116">
        <f t="shared" si="106"/>
        <v>1000.9309461291805</v>
      </c>
      <c r="O383" s="115" t="str">
        <f t="shared" si="107"/>
        <v>OK</v>
      </c>
      <c r="P383">
        <f t="shared" si="108"/>
        <v>1043.8473009892027</v>
      </c>
      <c r="Q383">
        <f t="shared" si="109"/>
        <v>0.46456858896260539</v>
      </c>
      <c r="R383">
        <f t="shared" si="110"/>
        <v>0.4</v>
      </c>
      <c r="S383">
        <f t="shared" si="111"/>
        <v>1.2000000000000002</v>
      </c>
      <c r="T383" s="83">
        <f t="shared" si="112"/>
        <v>3</v>
      </c>
      <c r="U383" s="120">
        <f>IF($D383="",0,IFERROR(LOOKUP(2,1/(($D$3:D382=$D383)*($C$3:C382=$C383)*($A$3:A382&lt;$A383)),$AB$3:AB382),1000))</f>
        <v>985.46823204375426</v>
      </c>
      <c r="V383" s="120">
        <f t="shared" si="113"/>
        <v>1006.5416493613416</v>
      </c>
      <c r="W383">
        <f t="shared" si="114"/>
        <v>1044.5905766030864</v>
      </c>
      <c r="X383">
        <f t="shared" si="115"/>
        <v>0.44546105070979003</v>
      </c>
      <c r="Y383">
        <f t="shared" si="116"/>
        <v>1045.8293692928928</v>
      </c>
      <c r="Z383">
        <f t="shared" si="117"/>
        <v>0.41399688950151686</v>
      </c>
      <c r="AA383">
        <f>IF($D383="",0,IF($F383&lt;2,0,IF($E383="Win",('Guide &amp; Settings'!$C$42/(($F383-1)*COUNTIFS($A$4:$A$810,$A383,$E$4:$E$810,"Win")))*SUMIFS($Z$4:$Z$810,$A$4:$A$810,$A383,$E$4:$E$810,"Loss"),-('Guide &amp; Settings'!$C$42/($F383-1))*$Z383)))</f>
        <v>-13.24790046404854</v>
      </c>
      <c r="AB383" s="120">
        <f t="shared" si="118"/>
        <v>972.22033157970577</v>
      </c>
      <c r="AC383" s="120">
        <f>IF($D383="","",IF(SUMPRODUCT(MAX(($D$4:$D$810=$D383)*($B$4:$B$810&lt;$B383)*$B$4:$B$810))=0,0,IF(($B383-MAX(SUMPRODUCT(MAX(($D$4:$D$810=$D383)*($B$4:$B$810&lt;$B383)*$B$4:$B$810)),'Guide &amp; Settings'!$C$50))/7-'Guide &amp; Settings'!$C$48&gt;=0,(INT(($B383-MAX(SUMPRODUCT(MAX(($D$4:$D$810=$D383)*($B$4:$B$810&lt;$B383)*$B$4:$B$810)),'Guide &amp; Settings'!$C$50))/7-'Guide &amp; Settings'!$C$48)+1)*'Guide &amp; Settings'!$C$49,0)))</f>
        <v>0</v>
      </c>
    </row>
    <row r="384" spans="1:29" x14ac:dyDescent="0.2">
      <c r="A384" s="111">
        <v>164</v>
      </c>
      <c r="B384" s="112">
        <v>46220</v>
      </c>
      <c r="C384" s="113" t="s">
        <v>203</v>
      </c>
      <c r="D384" s="113" t="s">
        <v>170</v>
      </c>
      <c r="E384" s="111" t="s">
        <v>308</v>
      </c>
      <c r="F384" s="114">
        <f t="shared" si="102"/>
        <v>2</v>
      </c>
      <c r="G384" s="115" t="str">
        <f t="shared" si="103"/>
        <v>Daniel (Ferret)</v>
      </c>
      <c r="H384" s="116">
        <f>IF($D384="",0,IFERROR(LOOKUP(2,1/(($D$3:D383=$D384)*($A$3:A383&lt;$A384)),$N$3:N383),'Guide &amp; Settings'!$C$41))</f>
        <v>1043.8473009892027</v>
      </c>
      <c r="I384" s="117">
        <f t="shared" si="104"/>
        <v>0.66666666666666663</v>
      </c>
      <c r="J384" s="118">
        <f>IF($D384="",0,IF($F384&lt;2,0,IF($E384="Win",('Guide &amp; Settings'!$C$42/(($F384-1)*COUNTIFS($A$4:$A$810,$A384,$E$4:$E$810,"Win")))*SUMIFS($X$4:$X$810,$A$4:$A$810,$A384,$E$4:$E$810,"Loss"),-('Guide &amp; Settings'!$C$42/($F384-1))*$X384)))</f>
        <v>14.254753622713281</v>
      </c>
      <c r="K384" s="118">
        <f>IF($D384="",0,'Guide &amp; Settings'!$C$43*(IF($E384="Win",1,0)-$I384))</f>
        <v>4</v>
      </c>
      <c r="L384" s="119">
        <f>IF($D384="",0,'Guide &amp; Settings'!$C$44*IF($F384&gt;=3,$F384,0))</f>
        <v>0</v>
      </c>
      <c r="M384" s="118">
        <f t="shared" si="105"/>
        <v>18.254753622713281</v>
      </c>
      <c r="N384" s="116">
        <f t="shared" si="106"/>
        <v>1062.1020546119159</v>
      </c>
      <c r="O384" s="115" t="str">
        <f t="shared" si="107"/>
        <v>OK</v>
      </c>
      <c r="P384">
        <f t="shared" si="108"/>
        <v>1043.8473009892027</v>
      </c>
      <c r="Q384">
        <f t="shared" si="109"/>
        <v>0.5</v>
      </c>
      <c r="R384">
        <f t="shared" si="110"/>
        <v>0.8</v>
      </c>
      <c r="S384">
        <f t="shared" si="111"/>
        <v>1.2000000000000002</v>
      </c>
      <c r="T384" s="83">
        <f t="shared" si="112"/>
        <v>3</v>
      </c>
      <c r="U384" s="120">
        <f>IF($D384="",0,IFERROR(LOOKUP(2,1/(($D$3:D383=$D384)*($C$3:C383=$C384)*($A$3:A383&lt;$A384)),$AB$3:AB383),1000))</f>
        <v>1045.8293692928928</v>
      </c>
      <c r="V384" s="120">
        <f t="shared" si="113"/>
        <v>1044.5905766030864</v>
      </c>
      <c r="W384">
        <f t="shared" si="114"/>
        <v>1044.5905766030864</v>
      </c>
      <c r="X384">
        <f t="shared" si="115"/>
        <v>0.5</v>
      </c>
      <c r="Y384">
        <f t="shared" si="116"/>
        <v>1045.8293692928928</v>
      </c>
      <c r="Z384">
        <f t="shared" si="117"/>
        <v>0.5</v>
      </c>
      <c r="AA384">
        <f>IF($D384="",0,IF($F384&lt;2,0,IF($E384="Win",('Guide &amp; Settings'!$C$42/(($F384-1)*COUNTIFS($A$4:$A$810,$A384,$E$4:$E$810,"Win")))*SUMIFS($Z$4:$Z$810,$A$4:$A$810,$A384,$E$4:$E$810,"Loss"),-('Guide &amp; Settings'!$C$42/($F384-1))*$Z384)))</f>
        <v>13.24790046404854</v>
      </c>
      <c r="AB384" s="120">
        <f t="shared" si="118"/>
        <v>1059.0772697569414</v>
      </c>
      <c r="AC384" s="120">
        <f>IF($D384="","",IF(SUMPRODUCT(MAX(($D$4:$D$810=$D384)*($B$4:$B$810&lt;$B384)*$B$4:$B$810))=0,0,IF(($B384-MAX(SUMPRODUCT(MAX(($D$4:$D$810=$D384)*($B$4:$B$810&lt;$B384)*$B$4:$B$810)),'Guide &amp; Settings'!$C$50))/7-'Guide &amp; Settings'!$C$48&gt;=0,(INT(($B384-MAX(SUMPRODUCT(MAX(($D$4:$D$810=$D384)*($B$4:$B$810&lt;$B384)*$B$4:$B$810)),'Guide &amp; Settings'!$C$50))/7-'Guide &amp; Settings'!$C$48)+1)*'Guide &amp; Settings'!$C$49,0)))</f>
        <v>0</v>
      </c>
    </row>
    <row r="385" spans="1:29" x14ac:dyDescent="0.2">
      <c r="A385" s="111">
        <v>165</v>
      </c>
      <c r="B385" s="112">
        <v>46220</v>
      </c>
      <c r="C385" s="113" t="s">
        <v>203</v>
      </c>
      <c r="D385" s="113" t="s">
        <v>138</v>
      </c>
      <c r="E385" s="111" t="s">
        <v>309</v>
      </c>
      <c r="F385" s="114">
        <f t="shared" si="102"/>
        <v>2</v>
      </c>
      <c r="G385" s="115" t="str">
        <f t="shared" si="103"/>
        <v>Daniel (Ferret)</v>
      </c>
      <c r="H385" s="116">
        <f>IF($D385="",0,IFERROR(LOOKUP(2,1/(($D$3:D384=$D385)*($A$3:A384&lt;$A385)),$N$3:N384),'Guide &amp; Settings'!$C$41))</f>
        <v>1000.9309461291805</v>
      </c>
      <c r="I385" s="117">
        <f t="shared" si="104"/>
        <v>0.2857142857142857</v>
      </c>
      <c r="J385" s="118">
        <f>IF($D385="",0,IF($F385&lt;2,0,IF($E385="Win",('Guide &amp; Settings'!$C$42/(($F385-1)*COUNTIFS($A$4:$A$810,$A385,$E$4:$E$810,"Win")))*SUMIFS($X$4:$X$810,$A$4:$A$810,$A385,$E$4:$E$810,"Loss"),-('Guide &amp; Settings'!$C$42/($F385-1))*$X385)))</f>
        <v>-12.705044655057188</v>
      </c>
      <c r="K385" s="118">
        <f>IF($D385="",0,'Guide &amp; Settings'!$C$43*(IF($E385="Win",1,0)-$I385))</f>
        <v>-3.4285714285714284</v>
      </c>
      <c r="L385" s="119">
        <f>IF($D385="",0,'Guide &amp; Settings'!$C$44*IF($F385&gt;=3,$F385,0))</f>
        <v>0</v>
      </c>
      <c r="M385" s="118">
        <f t="shared" si="105"/>
        <v>-16.133616083628617</v>
      </c>
      <c r="N385" s="116">
        <f t="shared" si="106"/>
        <v>984.79733004555192</v>
      </c>
      <c r="O385" s="115" t="str">
        <f t="shared" si="107"/>
        <v>OK</v>
      </c>
      <c r="P385">
        <f t="shared" si="108"/>
        <v>1062.1020546119159</v>
      </c>
      <c r="Q385">
        <f t="shared" si="109"/>
        <v>0.41286618950684068</v>
      </c>
      <c r="R385">
        <f t="shared" si="110"/>
        <v>0.33333333333333331</v>
      </c>
      <c r="S385">
        <f t="shared" si="111"/>
        <v>1.1666666666666667</v>
      </c>
      <c r="T385" s="83">
        <f t="shared" si="112"/>
        <v>4</v>
      </c>
      <c r="U385" s="120">
        <f>IF($D385="",0,IFERROR(LOOKUP(2,1/(($D$3:D384=$D385)*($C$3:C384=$C385)*($A$3:A384&lt;$A385)),$AB$3:AB384),1000))</f>
        <v>972.22033157970577</v>
      </c>
      <c r="V385" s="120">
        <f t="shared" si="113"/>
        <v>988.17067299608061</v>
      </c>
      <c r="W385">
        <f t="shared" si="114"/>
        <v>1060.7577057874828</v>
      </c>
      <c r="X385">
        <f t="shared" si="115"/>
        <v>0.39703264547053713</v>
      </c>
      <c r="Y385">
        <f t="shared" si="116"/>
        <v>1059.0772697569414</v>
      </c>
      <c r="Z385">
        <f t="shared" si="117"/>
        <v>0.37754331784001749</v>
      </c>
      <c r="AA385">
        <f>IF($D385="",0,IF($F385&lt;2,0,IF($E385="Win",('Guide &amp; Settings'!$C$42/(($F385-1)*COUNTIFS($A$4:$A$810,$A385,$E$4:$E$810,"Win")))*SUMIFS($Z$4:$Z$810,$A$4:$A$810,$A385,$E$4:$E$810,"Loss"),-('Guide &amp; Settings'!$C$42/($F385-1))*$Z385)))</f>
        <v>-12.08138617088056</v>
      </c>
      <c r="AB385" s="120">
        <f t="shared" si="118"/>
        <v>960.13894540882518</v>
      </c>
      <c r="AC385" s="120">
        <f>IF($D385="","",IF(SUMPRODUCT(MAX(($D$4:$D$810=$D385)*($B$4:$B$810&lt;$B385)*$B$4:$B$810))=0,0,IF(($B385-MAX(SUMPRODUCT(MAX(($D$4:$D$810=$D385)*($B$4:$B$810&lt;$B385)*$B$4:$B$810)),'Guide &amp; Settings'!$C$50))/7-'Guide &amp; Settings'!$C$48&gt;=0,(INT(($B385-MAX(SUMPRODUCT(MAX(($D$4:$D$810=$D385)*($B$4:$B$810&lt;$B385)*$B$4:$B$810)),'Guide &amp; Settings'!$C$50))/7-'Guide &amp; Settings'!$C$48)+1)*'Guide &amp; Settings'!$C$49,0)))</f>
        <v>0</v>
      </c>
    </row>
    <row r="386" spans="1:29" x14ac:dyDescent="0.2">
      <c r="A386" s="111">
        <v>165</v>
      </c>
      <c r="B386" s="112">
        <v>46220</v>
      </c>
      <c r="C386" s="113" t="s">
        <v>203</v>
      </c>
      <c r="D386" s="113" t="s">
        <v>170</v>
      </c>
      <c r="E386" s="111" t="s">
        <v>308</v>
      </c>
      <c r="F386" s="114">
        <f t="shared" si="102"/>
        <v>2</v>
      </c>
      <c r="G386" s="115" t="str">
        <f t="shared" si="103"/>
        <v>Daniel (Ferret)</v>
      </c>
      <c r="H386" s="116">
        <f>IF($D386="",0,IFERROR(LOOKUP(2,1/(($D$3:D385=$D386)*($A$3:A385&lt;$A386)),$N$3:N385),'Guide &amp; Settings'!$C$41))</f>
        <v>1062.1020546119159</v>
      </c>
      <c r="I386" s="117">
        <f t="shared" si="104"/>
        <v>0.7142857142857143</v>
      </c>
      <c r="J386" s="118">
        <f>IF($D386="",0,IF($F386&lt;2,0,IF($E386="Win",('Guide &amp; Settings'!$C$42/(($F386-1)*COUNTIFS($A$4:$A$810,$A386,$E$4:$E$810,"Win")))*SUMIFS($X$4:$X$810,$A$4:$A$810,$A386,$E$4:$E$810,"Loss"),-('Guide &amp; Settings'!$C$42/($F386-1))*$X386)))</f>
        <v>12.705044655057188</v>
      </c>
      <c r="K386" s="118">
        <f>IF($D386="",0,'Guide &amp; Settings'!$C$43*(IF($E386="Win",1,0)-$I386))</f>
        <v>3.4285714285714284</v>
      </c>
      <c r="L386" s="119">
        <f>IF($D386="",0,'Guide &amp; Settings'!$C$44*IF($F386&gt;=3,$F386,0))</f>
        <v>0</v>
      </c>
      <c r="M386" s="118">
        <f t="shared" si="105"/>
        <v>16.133616083628617</v>
      </c>
      <c r="N386" s="116">
        <f t="shared" si="106"/>
        <v>1078.2356706955445</v>
      </c>
      <c r="O386" s="115" t="str">
        <f t="shared" si="107"/>
        <v>OK</v>
      </c>
      <c r="P386">
        <f t="shared" si="108"/>
        <v>1062.1020546119159</v>
      </c>
      <c r="Q386">
        <f t="shared" si="109"/>
        <v>0.5</v>
      </c>
      <c r="R386">
        <f t="shared" si="110"/>
        <v>0.83333333333333337</v>
      </c>
      <c r="S386">
        <f t="shared" si="111"/>
        <v>1.1666666666666667</v>
      </c>
      <c r="T386" s="83">
        <f t="shared" si="112"/>
        <v>4</v>
      </c>
      <c r="U386" s="120">
        <f>IF($D386="",0,IFERROR(LOOKUP(2,1/(($D$3:D385=$D386)*($C$3:C385=$C386)*($A$3:A385&lt;$A386)),$AB$3:AB385),1000))</f>
        <v>1059.0772697569414</v>
      </c>
      <c r="V386" s="120">
        <f t="shared" si="113"/>
        <v>1060.7577057874828</v>
      </c>
      <c r="W386">
        <f t="shared" si="114"/>
        <v>1060.7577057874828</v>
      </c>
      <c r="X386">
        <f t="shared" si="115"/>
        <v>0.5</v>
      </c>
      <c r="Y386">
        <f t="shared" si="116"/>
        <v>1059.0772697569414</v>
      </c>
      <c r="Z386">
        <f t="shared" si="117"/>
        <v>0.5</v>
      </c>
      <c r="AA386">
        <f>IF($D386="",0,IF($F386&lt;2,0,IF($E386="Win",('Guide &amp; Settings'!$C$42/(($F386-1)*COUNTIFS($A$4:$A$810,$A386,$E$4:$E$810,"Win")))*SUMIFS($Z$4:$Z$810,$A$4:$A$810,$A386,$E$4:$E$810,"Loss"),-('Guide &amp; Settings'!$C$42/($F386-1))*$Z386)))</f>
        <v>12.08138617088056</v>
      </c>
      <c r="AB386" s="120">
        <f t="shared" si="118"/>
        <v>1071.1586559278219</v>
      </c>
      <c r="AC386" s="120">
        <f>IF($D386="","",IF(SUMPRODUCT(MAX(($D$4:$D$810=$D386)*($B$4:$B$810&lt;$B386)*$B$4:$B$810))=0,0,IF(($B386-MAX(SUMPRODUCT(MAX(($D$4:$D$810=$D386)*($B$4:$B$810&lt;$B386)*$B$4:$B$810)),'Guide &amp; Settings'!$C$50))/7-'Guide &amp; Settings'!$C$48&gt;=0,(INT(($B386-MAX(SUMPRODUCT(MAX(($D$4:$D$810=$D386)*($B$4:$B$810&lt;$B386)*$B$4:$B$810)),'Guide &amp; Settings'!$C$50))/7-'Guide &amp; Settings'!$C$48)+1)*'Guide &amp; Settings'!$C$49,0)))</f>
        <v>0</v>
      </c>
    </row>
    <row r="387" spans="1:29" x14ac:dyDescent="0.2">
      <c r="A387" s="111">
        <v>166</v>
      </c>
      <c r="B387" s="112">
        <v>46220</v>
      </c>
      <c r="C387" s="113" t="s">
        <v>199</v>
      </c>
      <c r="D387" s="113" t="s">
        <v>134</v>
      </c>
      <c r="E387" s="111" t="s">
        <v>309</v>
      </c>
      <c r="F387" s="114">
        <f t="shared" si="102"/>
        <v>2</v>
      </c>
      <c r="G387" s="115" t="str">
        <f t="shared" si="103"/>
        <v>Oscar</v>
      </c>
      <c r="H387" s="116">
        <f>IF($D387="",0,IFERROR(LOOKUP(2,1/(($D$3:D386=$D387)*($A$3:A386&lt;$A387)),$N$3:N386),'Guide &amp; Settings'!$C$41))</f>
        <v>1160.9394220743627</v>
      </c>
      <c r="I387" s="117">
        <f t="shared" si="104"/>
        <v>0.14285714285714288</v>
      </c>
      <c r="J387" s="118">
        <f>IF($D387="",0,IF($F387&lt;2,0,IF($E387="Win",('Guide &amp; Settings'!$C$42/(($F387-1)*COUNTIFS($A$4:$A$810,$A387,$E$4:$E$810,"Win")))*SUMIFS($X$4:$X$810,$A$4:$A$810,$A387,$E$4:$E$810,"Loss"),-('Guide &amp; Settings'!$C$42/($F387-1))*$X387)))</f>
        <v>-14.034928760634347</v>
      </c>
      <c r="K387" s="118">
        <f>IF($D387="",0,'Guide &amp; Settings'!$C$43*(IF($E387="Win",1,0)-$I387))</f>
        <v>-1.7142857142857144</v>
      </c>
      <c r="L387" s="119">
        <f>IF($D387="",0,'Guide &amp; Settings'!$C$44*IF($F387&gt;=3,$F387,0))</f>
        <v>0</v>
      </c>
      <c r="M387" s="118">
        <f t="shared" si="105"/>
        <v>-15.749214474920063</v>
      </c>
      <c r="N387" s="116">
        <f t="shared" si="106"/>
        <v>1145.1902075994426</v>
      </c>
      <c r="O387" s="115" t="str">
        <f t="shared" si="107"/>
        <v>OK</v>
      </c>
      <c r="P387">
        <f t="shared" si="108"/>
        <v>1059.440281924557</v>
      </c>
      <c r="Q387">
        <f t="shared" si="109"/>
        <v>0.64205072329864155</v>
      </c>
      <c r="R387">
        <f t="shared" si="110"/>
        <v>0.1</v>
      </c>
      <c r="S387">
        <f t="shared" si="111"/>
        <v>0.7</v>
      </c>
      <c r="T387" s="83">
        <f t="shared" si="112"/>
        <v>8</v>
      </c>
      <c r="U387" s="120">
        <f>IF($D387="",0,IFERROR(LOOKUP(2,1/(($D$3:D386=$D387)*($C$3:C386=$C387)*($A$3:A386&lt;$A387)),$AB$3:AB386),1000))</f>
        <v>901.77388428932841</v>
      </c>
      <c r="V387" s="120">
        <f t="shared" si="113"/>
        <v>1001.4529372835724</v>
      </c>
      <c r="W387">
        <f t="shared" si="114"/>
        <v>1044.3404297454131</v>
      </c>
      <c r="X387">
        <f t="shared" si="115"/>
        <v>0.43859152376982335</v>
      </c>
      <c r="Y387">
        <f t="shared" si="116"/>
        <v>1034.9030221334483</v>
      </c>
      <c r="Z387">
        <f t="shared" si="117"/>
        <v>0.31726857030059052</v>
      </c>
      <c r="AA387">
        <f>IF($D387="",0,IF($F387&lt;2,0,IF($E387="Win",('Guide &amp; Settings'!$C$42/(($F387-1)*COUNTIFS($A$4:$A$810,$A387,$E$4:$E$810,"Win")))*SUMIFS($Z$4:$Z$810,$A$4:$A$810,$A387,$E$4:$E$810,"Loss"),-('Guide &amp; Settings'!$C$42/($F387-1))*$Z387)))</f>
        <v>-10.152594249618897</v>
      </c>
      <c r="AB387" s="120">
        <f t="shared" si="118"/>
        <v>891.62129003970949</v>
      </c>
      <c r="AC387" s="120">
        <f>IF($D387="","",IF(SUMPRODUCT(MAX(($D$4:$D$810=$D387)*($B$4:$B$810&lt;$B387)*$B$4:$B$810))=0,0,IF(($B387-MAX(SUMPRODUCT(MAX(($D$4:$D$810=$D387)*($B$4:$B$810&lt;$B387)*$B$4:$B$810)),'Guide &amp; Settings'!$C$50))/7-'Guide &amp; Settings'!$C$48&gt;=0,(INT(($B387-MAX(SUMPRODUCT(MAX(($D$4:$D$810=$D387)*($B$4:$B$810&lt;$B387)*$B$4:$B$810)),'Guide &amp; Settings'!$C$50))/7-'Guide &amp; Settings'!$C$48)+1)*'Guide &amp; Settings'!$C$49,0)))</f>
        <v>0</v>
      </c>
    </row>
    <row r="388" spans="1:29" x14ac:dyDescent="0.2">
      <c r="A388" s="111">
        <v>166</v>
      </c>
      <c r="B388" s="112">
        <v>46220</v>
      </c>
      <c r="C388" s="113" t="s">
        <v>199</v>
      </c>
      <c r="D388" s="113" t="s">
        <v>169</v>
      </c>
      <c r="E388" s="111" t="s">
        <v>308</v>
      </c>
      <c r="F388" s="114">
        <f t="shared" si="102"/>
        <v>2</v>
      </c>
      <c r="G388" s="115" t="str">
        <f t="shared" si="103"/>
        <v>Oscar</v>
      </c>
      <c r="H388" s="116">
        <f>IF($D388="",0,IFERROR(LOOKUP(2,1/(($D$3:D387=$D388)*($A$3:A387&lt;$A388)),$N$3:N387),'Guide &amp; Settings'!$C$41))</f>
        <v>1059.440281924557</v>
      </c>
      <c r="I388" s="117">
        <f t="shared" si="104"/>
        <v>0.85714285714285721</v>
      </c>
      <c r="J388" s="118">
        <f>IF($D388="",0,IF($F388&lt;2,0,IF($E388="Win",('Guide &amp; Settings'!$C$42/(($F388-1)*COUNTIFS($A$4:$A$810,$A388,$E$4:$E$810,"Win")))*SUMIFS($X$4:$X$810,$A$4:$A$810,$A388,$E$4:$E$810,"Loss"),-('Guide &amp; Settings'!$C$42/($F388-1))*$X388)))</f>
        <v>14.034928760634347</v>
      </c>
      <c r="K388" s="118">
        <f>IF($D388="",0,'Guide &amp; Settings'!$C$43*(IF($E388="Win",1,0)-$I388))</f>
        <v>1.7142857142857135</v>
      </c>
      <c r="L388" s="119">
        <f>IF($D388="",0,'Guide &amp; Settings'!$C$44*IF($F388&gt;=3,$F388,0))</f>
        <v>0</v>
      </c>
      <c r="M388" s="118">
        <f t="shared" si="105"/>
        <v>15.749214474920061</v>
      </c>
      <c r="N388" s="116">
        <f t="shared" si="106"/>
        <v>1075.1894963994771</v>
      </c>
      <c r="O388" s="115" t="str">
        <f t="shared" si="107"/>
        <v>OK</v>
      </c>
      <c r="P388">
        <f t="shared" si="108"/>
        <v>1059.440281924557</v>
      </c>
      <c r="Q388">
        <f t="shared" si="109"/>
        <v>0.5</v>
      </c>
      <c r="R388">
        <f t="shared" si="110"/>
        <v>0.6</v>
      </c>
      <c r="S388">
        <f t="shared" si="111"/>
        <v>0.7</v>
      </c>
      <c r="T388" s="83">
        <f t="shared" si="112"/>
        <v>8</v>
      </c>
      <c r="U388" s="120">
        <f>IF($D388="",0,IFERROR(LOOKUP(2,1/(($D$3:D387=$D388)*($C$3:C387=$C388)*($A$3:A387&lt;$A388)),$AB$3:AB387),1000))</f>
        <v>1034.9030221334483</v>
      </c>
      <c r="V388" s="120">
        <f t="shared" si="113"/>
        <v>1044.3404297454131</v>
      </c>
      <c r="W388">
        <f t="shared" si="114"/>
        <v>1044.3404297454131</v>
      </c>
      <c r="X388">
        <f t="shared" si="115"/>
        <v>0.5</v>
      </c>
      <c r="Y388">
        <f t="shared" si="116"/>
        <v>1034.9030221334483</v>
      </c>
      <c r="Z388">
        <f t="shared" si="117"/>
        <v>0.5</v>
      </c>
      <c r="AA388">
        <f>IF($D388="",0,IF($F388&lt;2,0,IF($E388="Win",('Guide &amp; Settings'!$C$42/(($F388-1)*COUNTIFS($A$4:$A$810,$A388,$E$4:$E$810,"Win")))*SUMIFS($Z$4:$Z$810,$A$4:$A$810,$A388,$E$4:$E$810,"Loss"),-('Guide &amp; Settings'!$C$42/($F388-1))*$Z388)))</f>
        <v>10.152594249618897</v>
      </c>
      <c r="AB388" s="120">
        <f t="shared" si="118"/>
        <v>1045.0556163830672</v>
      </c>
      <c r="AC388" s="120">
        <f>IF($D388="","",IF(SUMPRODUCT(MAX(($D$4:$D$810=$D388)*($B$4:$B$810&lt;$B388)*$B$4:$B$810))=0,0,IF(($B388-MAX(SUMPRODUCT(MAX(($D$4:$D$810=$D388)*($B$4:$B$810&lt;$B388)*$B$4:$B$810)),'Guide &amp; Settings'!$C$50))/7-'Guide &amp; Settings'!$C$48&gt;=0,(INT(($B388-MAX(SUMPRODUCT(MAX(($D$4:$D$810=$D388)*($B$4:$B$810&lt;$B388)*$B$4:$B$810)),'Guide &amp; Settings'!$C$50))/7-'Guide &amp; Settings'!$C$48)+1)*'Guide &amp; Settings'!$C$49,0)))</f>
        <v>0</v>
      </c>
    </row>
    <row r="389" spans="1:29" x14ac:dyDescent="0.2">
      <c r="A389" s="111">
        <v>167</v>
      </c>
      <c r="B389" s="112">
        <v>46220</v>
      </c>
      <c r="C389" s="113" t="s">
        <v>199</v>
      </c>
      <c r="D389" s="113" t="s">
        <v>134</v>
      </c>
      <c r="E389" s="111" t="s">
        <v>309</v>
      </c>
      <c r="F389" s="114">
        <f t="shared" si="102"/>
        <v>2</v>
      </c>
      <c r="G389" s="115" t="str">
        <f t="shared" si="103"/>
        <v>Oscar</v>
      </c>
      <c r="H389" s="116">
        <f>IF($D389="",0,IFERROR(LOOKUP(2,1/(($D$3:D388=$D389)*($A$3:A388&lt;$A389)),$N$3:N388),'Guide &amp; Settings'!$C$41))</f>
        <v>1145.1902075994426</v>
      </c>
      <c r="I389" s="117">
        <f t="shared" si="104"/>
        <v>0.125</v>
      </c>
      <c r="J389" s="118">
        <f>IF($D389="",0,IF($F389&lt;2,0,IF($E389="Win",('Guide &amp; Settings'!$C$42/(($F389-1)*COUNTIFS($A$4:$A$810,$A389,$E$4:$E$810,"Win")))*SUMIFS($X$4:$X$810,$A$4:$A$810,$A389,$E$4:$E$810,"Loss"),-('Guide &amp; Settings'!$C$42/($F389-1))*$X389)))</f>
        <v>-12.658811113554188</v>
      </c>
      <c r="K389" s="118">
        <f>IF($D389="",0,'Guide &amp; Settings'!$C$43*(IF($E389="Win",1,0)-$I389))</f>
        <v>-1.5</v>
      </c>
      <c r="L389" s="119">
        <f>IF($D389="",0,'Guide &amp; Settings'!$C$44*IF($F389&gt;=3,$F389,0))</f>
        <v>0</v>
      </c>
      <c r="M389" s="118">
        <f t="shared" si="105"/>
        <v>-14.158811113554188</v>
      </c>
      <c r="N389" s="116">
        <f t="shared" si="106"/>
        <v>1131.0313964858883</v>
      </c>
      <c r="O389" s="115" t="str">
        <f t="shared" si="107"/>
        <v>OK</v>
      </c>
      <c r="P389">
        <f t="shared" si="108"/>
        <v>1075.1894963994771</v>
      </c>
      <c r="Q389">
        <f t="shared" si="109"/>
        <v>0.59939777976033271</v>
      </c>
      <c r="R389">
        <f t="shared" si="110"/>
        <v>9.0909090909090912E-2</v>
      </c>
      <c r="S389">
        <f t="shared" si="111"/>
        <v>0.72727272727272729</v>
      </c>
      <c r="T389" s="83">
        <f t="shared" si="112"/>
        <v>9</v>
      </c>
      <c r="U389" s="120">
        <f>IF($D389="",0,IFERROR(LOOKUP(2,1/(($D$3:D388=$D389)*($C$3:C388=$C389)*($A$3:A388&lt;$A389)),$AB$3:AB388),1000))</f>
        <v>891.62129003970949</v>
      </c>
      <c r="V389" s="120">
        <f t="shared" si="113"/>
        <v>982.18161773961424</v>
      </c>
      <c r="W389">
        <f t="shared" si="114"/>
        <v>1055.8177163889279</v>
      </c>
      <c r="X389">
        <f t="shared" si="115"/>
        <v>0.39558784729856838</v>
      </c>
      <c r="Y389">
        <f t="shared" si="116"/>
        <v>1045.0556163830672</v>
      </c>
      <c r="Z389">
        <f t="shared" si="117"/>
        <v>0.2925070322808917</v>
      </c>
      <c r="AA389">
        <f>IF($D389="",0,IF($F389&lt;2,0,IF($E389="Win",('Guide &amp; Settings'!$C$42/(($F389-1)*COUNTIFS($A$4:$A$810,$A389,$E$4:$E$810,"Win")))*SUMIFS($Z$4:$Z$810,$A$4:$A$810,$A389,$E$4:$E$810,"Loss"),-('Guide &amp; Settings'!$C$42/($F389-1))*$Z389)))</f>
        <v>-9.3602250329885344</v>
      </c>
      <c r="AB389" s="120">
        <f t="shared" si="118"/>
        <v>882.26106500672097</v>
      </c>
      <c r="AC389" s="120">
        <f>IF($D389="","",IF(SUMPRODUCT(MAX(($D$4:$D$810=$D389)*($B$4:$B$810&lt;$B389)*$B$4:$B$810))=0,0,IF(($B389-MAX(SUMPRODUCT(MAX(($D$4:$D$810=$D389)*($B$4:$B$810&lt;$B389)*$B$4:$B$810)),'Guide &amp; Settings'!$C$50))/7-'Guide &amp; Settings'!$C$48&gt;=0,(INT(($B389-MAX(SUMPRODUCT(MAX(($D$4:$D$810=$D389)*($B$4:$B$810&lt;$B389)*$B$4:$B$810)),'Guide &amp; Settings'!$C$50))/7-'Guide &amp; Settings'!$C$48)+1)*'Guide &amp; Settings'!$C$49,0)))</f>
        <v>0</v>
      </c>
    </row>
    <row r="390" spans="1:29" x14ac:dyDescent="0.2">
      <c r="A390" s="111">
        <v>167</v>
      </c>
      <c r="B390" s="112">
        <v>46220</v>
      </c>
      <c r="C390" s="113" t="s">
        <v>199</v>
      </c>
      <c r="D390" s="113" t="s">
        <v>169</v>
      </c>
      <c r="E390" s="111" t="s">
        <v>308</v>
      </c>
      <c r="F390" s="114">
        <f t="shared" si="102"/>
        <v>2</v>
      </c>
      <c r="G390" s="115" t="str">
        <f t="shared" si="103"/>
        <v>Oscar</v>
      </c>
      <c r="H390" s="116">
        <f>IF($D390="",0,IFERROR(LOOKUP(2,1/(($D$3:D389=$D390)*($A$3:A389&lt;$A390)),$N$3:N389),'Guide &amp; Settings'!$C$41))</f>
        <v>1075.1894963994771</v>
      </c>
      <c r="I390" s="117">
        <f t="shared" si="104"/>
        <v>0.875</v>
      </c>
      <c r="J390" s="118">
        <f>IF($D390="",0,IF($F390&lt;2,0,IF($E390="Win",('Guide &amp; Settings'!$C$42/(($F390-1)*COUNTIFS($A$4:$A$810,$A390,$E$4:$E$810,"Win")))*SUMIFS($X$4:$X$810,$A$4:$A$810,$A390,$E$4:$E$810,"Loss"),-('Guide &amp; Settings'!$C$42/($F390-1))*$X390)))</f>
        <v>12.658811113554188</v>
      </c>
      <c r="K390" s="118">
        <f>IF($D390="",0,'Guide &amp; Settings'!$C$43*(IF($E390="Win",1,0)-$I390))</f>
        <v>1.5</v>
      </c>
      <c r="L390" s="119">
        <f>IF($D390="",0,'Guide &amp; Settings'!$C$44*IF($F390&gt;=3,$F390,0))</f>
        <v>0</v>
      </c>
      <c r="M390" s="118">
        <f t="shared" si="105"/>
        <v>14.158811113554188</v>
      </c>
      <c r="N390" s="116">
        <f t="shared" si="106"/>
        <v>1089.3483075130314</v>
      </c>
      <c r="O390" s="115" t="str">
        <f t="shared" si="107"/>
        <v>OK</v>
      </c>
      <c r="P390">
        <f t="shared" si="108"/>
        <v>1075.1894963994771</v>
      </c>
      <c r="Q390">
        <f t="shared" si="109"/>
        <v>0.5</v>
      </c>
      <c r="R390">
        <f t="shared" si="110"/>
        <v>0.63636363636363635</v>
      </c>
      <c r="S390">
        <f t="shared" si="111"/>
        <v>0.72727272727272729</v>
      </c>
      <c r="T390" s="83">
        <f t="shared" si="112"/>
        <v>9</v>
      </c>
      <c r="U390" s="120">
        <f>IF($D390="",0,IFERROR(LOOKUP(2,1/(($D$3:D389=$D390)*($C$3:C389=$C390)*($A$3:A389&lt;$A390)),$AB$3:AB389),1000))</f>
        <v>1045.0556163830672</v>
      </c>
      <c r="V390" s="120">
        <f t="shared" si="113"/>
        <v>1055.8177163889279</v>
      </c>
      <c r="W390">
        <f t="shared" si="114"/>
        <v>1055.8177163889279</v>
      </c>
      <c r="X390">
        <f t="shared" si="115"/>
        <v>0.5</v>
      </c>
      <c r="Y390">
        <f t="shared" si="116"/>
        <v>1045.0556163830672</v>
      </c>
      <c r="Z390">
        <f t="shared" si="117"/>
        <v>0.5</v>
      </c>
      <c r="AA390">
        <f>IF($D390="",0,IF($F390&lt;2,0,IF($E390="Win",('Guide &amp; Settings'!$C$42/(($F390-1)*COUNTIFS($A$4:$A$810,$A390,$E$4:$E$810,"Win")))*SUMIFS($Z$4:$Z$810,$A$4:$A$810,$A390,$E$4:$E$810,"Loss"),-('Guide &amp; Settings'!$C$42/($F390-1))*$Z390)))</f>
        <v>9.3602250329885344</v>
      </c>
      <c r="AB390" s="120">
        <f t="shared" si="118"/>
        <v>1054.4158414160559</v>
      </c>
      <c r="AC390" s="120">
        <f>IF($D390="","",IF(SUMPRODUCT(MAX(($D$4:$D$810=$D390)*($B$4:$B$810&lt;$B390)*$B$4:$B$810))=0,0,IF(($B390-MAX(SUMPRODUCT(MAX(($D$4:$D$810=$D390)*($B$4:$B$810&lt;$B390)*$B$4:$B$810)),'Guide &amp; Settings'!$C$50))/7-'Guide &amp; Settings'!$C$48&gt;=0,(INT(($B390-MAX(SUMPRODUCT(MAX(($D$4:$D$810=$D390)*($B$4:$B$810&lt;$B390)*$B$4:$B$810)),'Guide &amp; Settings'!$C$50))/7-'Guide &amp; Settings'!$C$48)+1)*'Guide &amp; Settings'!$C$49,0)))</f>
        <v>0</v>
      </c>
    </row>
    <row r="391" spans="1:29" x14ac:dyDescent="0.2">
      <c r="A391" s="111">
        <v>168</v>
      </c>
      <c r="B391" s="112">
        <v>46220</v>
      </c>
      <c r="C391" s="113" t="s">
        <v>199</v>
      </c>
      <c r="D391" s="113" t="s">
        <v>134</v>
      </c>
      <c r="E391" s="111" t="s">
        <v>309</v>
      </c>
      <c r="F391" s="114">
        <f t="shared" si="102"/>
        <v>2</v>
      </c>
      <c r="G391" s="115" t="str">
        <f t="shared" si="103"/>
        <v>Oscar</v>
      </c>
      <c r="H391" s="116">
        <f>IF($D391="",0,IFERROR(LOOKUP(2,1/(($D$3:D390=$D391)*($A$3:A390&lt;$A391)),$N$3:N390),'Guide &amp; Settings'!$C$41))</f>
        <v>1131.0313964858883</v>
      </c>
      <c r="I391" s="117">
        <f t="shared" si="104"/>
        <v>0.1111111111111111</v>
      </c>
      <c r="J391" s="118">
        <f>IF($D391="",0,IF($F391&lt;2,0,IF($E391="Win",('Guide &amp; Settings'!$C$42/(($F391-1)*COUNTIFS($A$4:$A$810,$A391,$E$4:$E$810,"Win")))*SUMIFS($X$4:$X$810,$A$4:$A$810,$A391,$E$4:$E$810,"Loss"),-('Guide &amp; Settings'!$C$42/($F391-1))*$X391)))</f>
        <v>-11.480792427058683</v>
      </c>
      <c r="K391" s="118">
        <f>IF($D391="",0,'Guide &amp; Settings'!$C$43*(IF($E391="Win",1,0)-$I391))</f>
        <v>-1.3333333333333333</v>
      </c>
      <c r="L391" s="119">
        <f>IF($D391="",0,'Guide &amp; Settings'!$C$44*IF($F391&gt;=3,$F391,0))</f>
        <v>0</v>
      </c>
      <c r="M391" s="118">
        <f t="shared" si="105"/>
        <v>-12.814125760392017</v>
      </c>
      <c r="N391" s="116">
        <f t="shared" si="106"/>
        <v>1118.2172707254963</v>
      </c>
      <c r="O391" s="115" t="str">
        <f t="shared" si="107"/>
        <v>OK</v>
      </c>
      <c r="P391">
        <f t="shared" si="108"/>
        <v>1089.3483075130314</v>
      </c>
      <c r="Q391">
        <f t="shared" si="109"/>
        <v>0.55970062474241644</v>
      </c>
      <c r="R391">
        <f t="shared" si="110"/>
        <v>8.3333333333333329E-2</v>
      </c>
      <c r="S391">
        <f t="shared" si="111"/>
        <v>0.75</v>
      </c>
      <c r="T391" s="83">
        <f t="shared" si="112"/>
        <v>10</v>
      </c>
      <c r="U391" s="120">
        <f>IF($D391="",0,IFERROR(LOOKUP(2,1/(($D$3:D390=$D391)*($C$3:C390=$C391)*($A$3:A390&lt;$A391)),$AB$3:AB390),1000))</f>
        <v>882.26106500672097</v>
      </c>
      <c r="V391" s="120">
        <f t="shared" si="113"/>
        <v>965.18450883311016</v>
      </c>
      <c r="W391">
        <f t="shared" si="114"/>
        <v>1066.0599967817143</v>
      </c>
      <c r="X391">
        <f t="shared" si="115"/>
        <v>0.35877476334558384</v>
      </c>
      <c r="Y391">
        <f t="shared" si="116"/>
        <v>1054.4158414160559</v>
      </c>
      <c r="Z391">
        <f t="shared" si="117"/>
        <v>0.27071409982842148</v>
      </c>
      <c r="AA391">
        <f>IF($D391="",0,IF($F391&lt;2,0,IF($E391="Win",('Guide &amp; Settings'!$C$42/(($F391-1)*COUNTIFS($A$4:$A$810,$A391,$E$4:$E$810,"Win")))*SUMIFS($Z$4:$Z$810,$A$4:$A$810,$A391,$E$4:$E$810,"Loss"),-('Guide &amp; Settings'!$C$42/($F391-1))*$Z391)))</f>
        <v>-8.6628511945094875</v>
      </c>
      <c r="AB391" s="120">
        <f t="shared" si="118"/>
        <v>873.5982138122115</v>
      </c>
      <c r="AC391" s="120">
        <f>IF($D391="","",IF(SUMPRODUCT(MAX(($D$4:$D$810=$D391)*($B$4:$B$810&lt;$B391)*$B$4:$B$810))=0,0,IF(($B391-MAX(SUMPRODUCT(MAX(($D$4:$D$810=$D391)*($B$4:$B$810&lt;$B391)*$B$4:$B$810)),'Guide &amp; Settings'!$C$50))/7-'Guide &amp; Settings'!$C$48&gt;=0,(INT(($B391-MAX(SUMPRODUCT(MAX(($D$4:$D$810=$D391)*($B$4:$B$810&lt;$B391)*$B$4:$B$810)),'Guide &amp; Settings'!$C$50))/7-'Guide &amp; Settings'!$C$48)+1)*'Guide &amp; Settings'!$C$49,0)))</f>
        <v>0</v>
      </c>
    </row>
    <row r="392" spans="1:29" x14ac:dyDescent="0.2">
      <c r="A392" s="111">
        <v>168</v>
      </c>
      <c r="B392" s="112">
        <v>46220</v>
      </c>
      <c r="C392" s="113" t="s">
        <v>199</v>
      </c>
      <c r="D392" s="113" t="s">
        <v>169</v>
      </c>
      <c r="E392" s="111" t="s">
        <v>308</v>
      </c>
      <c r="F392" s="114">
        <f t="shared" si="102"/>
        <v>2</v>
      </c>
      <c r="G392" s="115" t="str">
        <f t="shared" si="103"/>
        <v>Oscar</v>
      </c>
      <c r="H392" s="116">
        <f>IF($D392="",0,IFERROR(LOOKUP(2,1/(($D$3:D391=$D392)*($A$3:A391&lt;$A392)),$N$3:N391),'Guide &amp; Settings'!$C$41))</f>
        <v>1089.3483075130314</v>
      </c>
      <c r="I392" s="117">
        <f t="shared" si="104"/>
        <v>0.88888888888888884</v>
      </c>
      <c r="J392" s="118">
        <f>IF($D392="",0,IF($F392&lt;2,0,IF($E392="Win",('Guide &amp; Settings'!$C$42/(($F392-1)*COUNTIFS($A$4:$A$810,$A392,$E$4:$E$810,"Win")))*SUMIFS($X$4:$X$810,$A$4:$A$810,$A392,$E$4:$E$810,"Loss"),-('Guide &amp; Settings'!$C$42/($F392-1))*$X392)))</f>
        <v>11.480792427058683</v>
      </c>
      <c r="K392" s="118">
        <f>IF($D392="",0,'Guide &amp; Settings'!$C$43*(IF($E392="Win",1,0)-$I392))</f>
        <v>1.3333333333333339</v>
      </c>
      <c r="L392" s="119">
        <f>IF($D392="",0,'Guide &amp; Settings'!$C$44*IF($F392&gt;=3,$F392,0))</f>
        <v>0</v>
      </c>
      <c r="M392" s="118">
        <f t="shared" si="105"/>
        <v>12.814125760392017</v>
      </c>
      <c r="N392" s="116">
        <f t="shared" si="106"/>
        <v>1102.1624332734234</v>
      </c>
      <c r="O392" s="115" t="str">
        <f t="shared" si="107"/>
        <v>OK</v>
      </c>
      <c r="P392">
        <f t="shared" si="108"/>
        <v>1089.3483075130314</v>
      </c>
      <c r="Q392">
        <f t="shared" si="109"/>
        <v>0.5</v>
      </c>
      <c r="R392">
        <f t="shared" si="110"/>
        <v>0.66666666666666663</v>
      </c>
      <c r="S392">
        <f t="shared" si="111"/>
        <v>0.75</v>
      </c>
      <c r="T392" s="83">
        <f t="shared" si="112"/>
        <v>10</v>
      </c>
      <c r="U392" s="120">
        <f>IF($D392="",0,IFERROR(LOOKUP(2,1/(($D$3:D391=$D392)*($C$3:C391=$C392)*($A$3:A391&lt;$A392)),$AB$3:AB391),1000))</f>
        <v>1054.4158414160559</v>
      </c>
      <c r="V392" s="120">
        <f t="shared" si="113"/>
        <v>1066.0599967817143</v>
      </c>
      <c r="W392">
        <f t="shared" si="114"/>
        <v>1066.0599967817143</v>
      </c>
      <c r="X392">
        <f t="shared" si="115"/>
        <v>0.5</v>
      </c>
      <c r="Y392">
        <f t="shared" si="116"/>
        <v>1054.4158414160559</v>
      </c>
      <c r="Z392">
        <f t="shared" si="117"/>
        <v>0.5</v>
      </c>
      <c r="AA392">
        <f>IF($D392="",0,IF($F392&lt;2,0,IF($E392="Win",('Guide &amp; Settings'!$C$42/(($F392-1)*COUNTIFS($A$4:$A$810,$A392,$E$4:$E$810,"Win")))*SUMIFS($Z$4:$Z$810,$A$4:$A$810,$A392,$E$4:$E$810,"Loss"),-('Guide &amp; Settings'!$C$42/($F392-1))*$Z392)))</f>
        <v>8.6628511945094875</v>
      </c>
      <c r="AB392" s="120">
        <f t="shared" si="118"/>
        <v>1063.0786926105654</v>
      </c>
      <c r="AC392" s="120">
        <f>IF($D392="","",IF(SUMPRODUCT(MAX(($D$4:$D$810=$D392)*($B$4:$B$810&lt;$B392)*$B$4:$B$810))=0,0,IF(($B392-MAX(SUMPRODUCT(MAX(($D$4:$D$810=$D392)*($B$4:$B$810&lt;$B392)*$B$4:$B$810)),'Guide &amp; Settings'!$C$50))/7-'Guide &amp; Settings'!$C$48&gt;=0,(INT(($B392-MAX(SUMPRODUCT(MAX(($D$4:$D$810=$D392)*($B$4:$B$810&lt;$B392)*$B$4:$B$810)),'Guide &amp; Settings'!$C$50))/7-'Guide &amp; Settings'!$C$48)+1)*'Guide &amp; Settings'!$C$49,0)))</f>
        <v>0</v>
      </c>
    </row>
    <row r="393" spans="1:29" x14ac:dyDescent="0.2">
      <c r="A393" s="111">
        <v>169</v>
      </c>
      <c r="B393" s="112">
        <v>46220</v>
      </c>
      <c r="C393" s="113" t="s">
        <v>208</v>
      </c>
      <c r="D393" s="113" t="s">
        <v>134</v>
      </c>
      <c r="E393" s="111" t="s">
        <v>308</v>
      </c>
      <c r="F393" s="114">
        <f t="shared" si="102"/>
        <v>3</v>
      </c>
      <c r="G393" s="115" t="str">
        <f t="shared" si="103"/>
        <v>Shawn</v>
      </c>
      <c r="H393" s="116">
        <f>IF($D393="",0,IFERROR(LOOKUP(2,1/(($D$3:D392=$D393)*($A$3:A392&lt;$A393)),$N$3:N392),'Guide &amp; Settings'!$C$41))</f>
        <v>1118.2172707254963</v>
      </c>
      <c r="I393" s="117">
        <f t="shared" si="104"/>
        <v>0.36585365853658541</v>
      </c>
      <c r="J393" s="118">
        <f>IF($D393="",0,IF($F393&lt;2,0,IF($E393="Win",('Guide &amp; Settings'!$C$42/(($F393-1)*COUNTIFS($A$4:$A$810,$A393,$E$4:$E$810,"Win")))*SUMIFS($X$4:$X$810,$A$4:$A$810,$A393,$E$4:$E$810,"Loss"),-('Guide &amp; Settings'!$C$42/($F393-1))*$X393)))</f>
        <v>15.713867607351752</v>
      </c>
      <c r="K393" s="118">
        <f>IF($D393="",0,'Guide &amp; Settings'!$C$43*(IF($E393="Win",1,0)-$I393))</f>
        <v>7.6097560975609744</v>
      </c>
      <c r="L393" s="119">
        <f>IF($D393="",0,'Guide &amp; Settings'!$C$44*IF($F393&gt;=3,$F393,0))</f>
        <v>3</v>
      </c>
      <c r="M393" s="118">
        <f t="shared" si="105"/>
        <v>26.323623704912727</v>
      </c>
      <c r="N393" s="116">
        <f t="shared" si="106"/>
        <v>1144.540894430409</v>
      </c>
      <c r="O393" s="115" t="str">
        <f t="shared" si="107"/>
        <v>OK</v>
      </c>
      <c r="P393">
        <f t="shared" si="108"/>
        <v>1118.2172707254963</v>
      </c>
      <c r="Q393">
        <f t="shared" si="109"/>
        <v>0.5</v>
      </c>
      <c r="R393">
        <f t="shared" si="110"/>
        <v>0.6428571428571429</v>
      </c>
      <c r="S393">
        <f t="shared" si="111"/>
        <v>1.7571428571428571</v>
      </c>
      <c r="T393" s="83">
        <f t="shared" si="112"/>
        <v>12</v>
      </c>
      <c r="U393" s="120">
        <f>IF($D393="",0,IFERROR(LOOKUP(2,1/(($D$3:D392=$D393)*($C$3:C392=$C393)*($A$3:A392&lt;$A393)),$AB$3:AB392),1000))</f>
        <v>1044.7788565651758</v>
      </c>
      <c r="V393" s="120">
        <f t="shared" si="113"/>
        <v>1066.3783901417407</v>
      </c>
      <c r="W393">
        <f t="shared" si="114"/>
        <v>1066.3783901417407</v>
      </c>
      <c r="X393">
        <f t="shared" si="115"/>
        <v>0.5</v>
      </c>
      <c r="Y393">
        <f t="shared" si="116"/>
        <v>1044.7788565651758</v>
      </c>
      <c r="Z393">
        <f t="shared" si="117"/>
        <v>0.5</v>
      </c>
      <c r="AA393">
        <f>IF($D393="",0,IF($F393&lt;2,0,IF($E393="Win",('Guide &amp; Settings'!$C$42/(($F393-1)*COUNTIFS($A$4:$A$810,$A393,$E$4:$E$810,"Win")))*SUMIFS($Z$4:$Z$810,$A$4:$A$810,$A393,$E$4:$E$810,"Loss"),-('Guide &amp; Settings'!$C$42/($F393-1))*$Z393)))</f>
        <v>15.017925900090386</v>
      </c>
      <c r="AB393" s="120">
        <f t="shared" si="118"/>
        <v>1059.7967824652662</v>
      </c>
      <c r="AC393" s="120">
        <f>IF($D393="","",IF(SUMPRODUCT(MAX(($D$4:$D$810=$D393)*($B$4:$B$810&lt;$B393)*$B$4:$B$810))=0,0,IF(($B393-MAX(SUMPRODUCT(MAX(($D$4:$D$810=$D393)*($B$4:$B$810&lt;$B393)*$B$4:$B$810)),'Guide &amp; Settings'!$C$50))/7-'Guide &amp; Settings'!$C$48&gt;=0,(INT(($B393-MAX(SUMPRODUCT(MAX(($D$4:$D$810=$D393)*($B$4:$B$810&lt;$B393)*$B$4:$B$810)),'Guide &amp; Settings'!$C$50))/7-'Guide &amp; Settings'!$C$48)+1)*'Guide &amp; Settings'!$C$49,0)))</f>
        <v>0</v>
      </c>
    </row>
    <row r="394" spans="1:29" x14ac:dyDescent="0.2">
      <c r="A394" s="111">
        <v>169</v>
      </c>
      <c r="B394" s="112">
        <v>46220</v>
      </c>
      <c r="C394" s="113" t="s">
        <v>208</v>
      </c>
      <c r="D394" s="113" t="s">
        <v>169</v>
      </c>
      <c r="E394" s="111" t="s">
        <v>309</v>
      </c>
      <c r="F394" s="114">
        <f t="shared" si="102"/>
        <v>3</v>
      </c>
      <c r="G394" s="115" t="str">
        <f t="shared" si="103"/>
        <v>Shawn</v>
      </c>
      <c r="H394" s="116">
        <f>IF($D394="",0,IFERROR(LOOKUP(2,1/(($D$3:D393=$D394)*($A$3:A393&lt;$A394)),$N$3:N393),'Guide &amp; Settings'!$C$41))</f>
        <v>1102.1624332734234</v>
      </c>
      <c r="I394" s="117">
        <f t="shared" si="104"/>
        <v>0.22764227642276424</v>
      </c>
      <c r="J394" s="118">
        <f>IF($D394="",0,IF($F394&lt;2,0,IF($E394="Win",('Guide &amp; Settings'!$C$42/(($F394-1)*COUNTIFS($A$4:$A$810,$A394,$E$4:$E$810,"Win")))*SUMIFS($X$4:$X$810,$A$4:$A$810,$A394,$E$4:$E$810,"Loss"),-('Guide &amp; Settings'!$C$42/($F394-1))*$X394)))</f>
        <v>-7.9119338199279889</v>
      </c>
      <c r="K394" s="118">
        <f>IF($D394="",0,'Guide &amp; Settings'!$C$43*(IF($E394="Win",1,0)-$I394))</f>
        <v>-2.7317073170731709</v>
      </c>
      <c r="L394" s="119">
        <f>IF($D394="",0,'Guide &amp; Settings'!$C$44*IF($F394&gt;=3,$F394,0))</f>
        <v>3</v>
      </c>
      <c r="M394" s="118">
        <f t="shared" si="105"/>
        <v>-7.6436411370011594</v>
      </c>
      <c r="N394" s="116">
        <f t="shared" si="106"/>
        <v>1094.5187921364222</v>
      </c>
      <c r="O394" s="115" t="str">
        <f t="shared" si="107"/>
        <v>OK</v>
      </c>
      <c r="P394">
        <f t="shared" si="108"/>
        <v>1118.2172707254963</v>
      </c>
      <c r="Q394">
        <f t="shared" si="109"/>
        <v>0.47691166296632609</v>
      </c>
      <c r="R394">
        <f t="shared" si="110"/>
        <v>0.4</v>
      </c>
      <c r="S394">
        <f t="shared" si="111"/>
        <v>1.7571428571428571</v>
      </c>
      <c r="T394" s="83">
        <f t="shared" si="112"/>
        <v>3</v>
      </c>
      <c r="U394" s="120">
        <f>IF($D394="",0,IFERROR(LOOKUP(2,1/(($D$3:D393=$D394)*($C$3:C393=$C394)*($A$3:A393&lt;$A394)),$AB$3:AB393),1000))</f>
        <v>996.5387979632967</v>
      </c>
      <c r="V394" s="120">
        <f t="shared" si="113"/>
        <v>1062.5535700321259</v>
      </c>
      <c r="W394">
        <f t="shared" si="114"/>
        <v>1066.3783901417407</v>
      </c>
      <c r="X394">
        <f t="shared" si="115"/>
        <v>0.49449586374549931</v>
      </c>
      <c r="Y394">
        <f t="shared" si="116"/>
        <v>1044.7788565651758</v>
      </c>
      <c r="Z394">
        <f t="shared" si="117"/>
        <v>0.43101967918203049</v>
      </c>
      <c r="AA394">
        <f>IF($D394="",0,IF($F394&lt;2,0,IF($E394="Win",('Guide &amp; Settings'!$C$42/(($F394-1)*COUNTIFS($A$4:$A$810,$A394,$E$4:$E$810,"Win")))*SUMIFS($Z$4:$Z$810,$A$4:$A$810,$A394,$E$4:$E$810,"Loss"),-('Guide &amp; Settings'!$C$42/($F394-1))*$Z394)))</f>
        <v>-6.8963148669124879</v>
      </c>
      <c r="AB394" s="120">
        <f t="shared" si="118"/>
        <v>989.64248309638424</v>
      </c>
      <c r="AC394" s="120">
        <f>IF($D394="","",IF(SUMPRODUCT(MAX(($D$4:$D$810=$D394)*($B$4:$B$810&lt;$B394)*$B$4:$B$810))=0,0,IF(($B394-MAX(SUMPRODUCT(MAX(($D$4:$D$810=$D394)*($B$4:$B$810&lt;$B394)*$B$4:$B$810)),'Guide &amp; Settings'!$C$50))/7-'Guide &amp; Settings'!$C$48&gt;=0,(INT(($B394-MAX(SUMPRODUCT(MAX(($D$4:$D$810=$D394)*($B$4:$B$810&lt;$B394)*$B$4:$B$810)),'Guide &amp; Settings'!$C$50))/7-'Guide &amp; Settings'!$C$48)+1)*'Guide &amp; Settings'!$C$49,0)))</f>
        <v>0</v>
      </c>
    </row>
    <row r="395" spans="1:29" x14ac:dyDescent="0.2">
      <c r="A395" s="111">
        <v>169</v>
      </c>
      <c r="B395" s="112">
        <v>46220</v>
      </c>
      <c r="C395" s="113" t="s">
        <v>208</v>
      </c>
      <c r="D395" s="113" t="s">
        <v>173</v>
      </c>
      <c r="E395" s="111" t="s">
        <v>309</v>
      </c>
      <c r="F395" s="114">
        <f t="shared" si="102"/>
        <v>3</v>
      </c>
      <c r="G395" s="115" t="str">
        <f t="shared" si="103"/>
        <v>Shawn</v>
      </c>
      <c r="H395" s="116">
        <f>IF($D395="",0,IFERROR(LOOKUP(2,1/(($D$3:D394=$D395)*($A$3:A394&lt;$A395)),$N$3:N394),'Guide &amp; Settings'!$C$41))</f>
        <v>1065.488687696035</v>
      </c>
      <c r="I395" s="117">
        <f t="shared" si="104"/>
        <v>0.4065040650406504</v>
      </c>
      <c r="J395" s="118">
        <f>IF($D395="",0,IF($F395&lt;2,0,IF($E395="Win",('Guide &amp; Settings'!$C$42/(($F395-1)*COUNTIFS($A$4:$A$810,$A395,$E$4:$E$810,"Win")))*SUMIFS($X$4:$X$810,$A$4:$A$810,$A395,$E$4:$E$810,"Loss"),-('Guide &amp; Settings'!$C$42/($F395-1))*$X395)))</f>
        <v>-7.8019337874237618</v>
      </c>
      <c r="K395" s="118">
        <f>IF($D395="",0,'Guide &amp; Settings'!$C$43*(IF($E395="Win",1,0)-$I395))</f>
        <v>-4.8780487804878048</v>
      </c>
      <c r="L395" s="119">
        <f>IF($D395="",0,'Guide &amp; Settings'!$C$44*IF($F395&gt;=3,$F395,0))</f>
        <v>3</v>
      </c>
      <c r="M395" s="118">
        <f t="shared" si="105"/>
        <v>-9.6799825679115656</v>
      </c>
      <c r="N395" s="116">
        <f t="shared" si="106"/>
        <v>1055.8087051281234</v>
      </c>
      <c r="O395" s="115" t="str">
        <f t="shared" si="107"/>
        <v>OK</v>
      </c>
      <c r="P395">
        <f t="shared" si="108"/>
        <v>1118.2172707254963</v>
      </c>
      <c r="Q395">
        <f t="shared" si="109"/>
        <v>0.42469474286059783</v>
      </c>
      <c r="R395">
        <f t="shared" si="110"/>
        <v>0.7142857142857143</v>
      </c>
      <c r="S395">
        <f t="shared" si="111"/>
        <v>1.7571428571428571</v>
      </c>
      <c r="T395" s="83">
        <f t="shared" si="112"/>
        <v>5</v>
      </c>
      <c r="U395" s="120">
        <f>IF($D395="",0,IFERROR(LOOKUP(2,1/(($D$3:D394=$D395)*($C$3:C394=$C395)*($A$3:A394&lt;$A395)),$AB$3:AB394),1000))</f>
        <v>1050.060763506101</v>
      </c>
      <c r="V395" s="120">
        <f t="shared" si="113"/>
        <v>1057.774725601068</v>
      </c>
      <c r="W395">
        <f t="shared" si="114"/>
        <v>1066.3783901417407</v>
      </c>
      <c r="X395">
        <f t="shared" si="115"/>
        <v>0.48762086171398511</v>
      </c>
      <c r="Y395">
        <f t="shared" si="116"/>
        <v>1044.7788565651758</v>
      </c>
      <c r="Z395">
        <f t="shared" si="117"/>
        <v>0.50760068957361859</v>
      </c>
      <c r="AA395">
        <f>IF($D395="",0,IF($F395&lt;2,0,IF($E395="Win",('Guide &amp; Settings'!$C$42/(($F395-1)*COUNTIFS($A$4:$A$810,$A395,$E$4:$E$810,"Win")))*SUMIFS($Z$4:$Z$810,$A$4:$A$810,$A395,$E$4:$E$810,"Loss"),-('Guide &amp; Settings'!$C$42/($F395-1))*$Z395)))</f>
        <v>-8.1216110331778975</v>
      </c>
      <c r="AB395" s="120">
        <f t="shared" si="118"/>
        <v>1041.9391524729231</v>
      </c>
      <c r="AC395" s="120">
        <f>IF($D395="","",IF(SUMPRODUCT(MAX(($D$4:$D$810=$D395)*($B$4:$B$810&lt;$B395)*$B$4:$B$810))=0,0,IF(($B395-MAX(SUMPRODUCT(MAX(($D$4:$D$810=$D395)*($B$4:$B$810&lt;$B395)*$B$4:$B$810)),'Guide &amp; Settings'!$C$50))/7-'Guide &amp; Settings'!$C$48&gt;=0,(INT(($B395-MAX(SUMPRODUCT(MAX(($D$4:$D$810=$D395)*($B$4:$B$810&lt;$B395)*$B$4:$B$810)),'Guide &amp; Settings'!$C$50))/7-'Guide &amp; Settings'!$C$48)+1)*'Guide &amp; Settings'!$C$49,0)))</f>
        <v>0</v>
      </c>
    </row>
    <row r="396" spans="1:29" x14ac:dyDescent="0.2">
      <c r="A396" s="111">
        <v>170</v>
      </c>
      <c r="B396" s="112">
        <v>46220</v>
      </c>
      <c r="C396" s="113" t="s">
        <v>208</v>
      </c>
      <c r="D396" s="113" t="s">
        <v>134</v>
      </c>
      <c r="E396" s="111" t="s">
        <v>309</v>
      </c>
      <c r="F396" s="114">
        <f t="shared" si="102"/>
        <v>3</v>
      </c>
      <c r="G396" s="115" t="str">
        <f t="shared" si="103"/>
        <v>Oscar</v>
      </c>
      <c r="H396" s="116">
        <f>IF($D396="",0,IFERROR(LOOKUP(2,1/(($D$3:D395=$D396)*($A$3:A395&lt;$A396)),$N$3:N395),'Guide &amp; Settings'!$C$41))</f>
        <v>1144.540894430409</v>
      </c>
      <c r="I396" s="117">
        <f t="shared" si="104"/>
        <v>0.4102564102564103</v>
      </c>
      <c r="J396" s="118">
        <f>IF($D396="",0,IF($F396&lt;2,0,IF($E396="Win",('Guide &amp; Settings'!$C$42/(($F396-1)*COUNTIFS($A$4:$A$810,$A396,$E$4:$E$810,"Win")))*SUMIFS($X$4:$X$810,$A$4:$A$810,$A396,$E$4:$E$810,"Loss"),-('Guide &amp; Settings'!$C$42/($F396-1))*$X396)))</f>
        <v>-8.8129832332525559</v>
      </c>
      <c r="K396" s="118">
        <f>IF($D396="",0,'Guide &amp; Settings'!$C$43*(IF($E396="Win",1,0)-$I396))</f>
        <v>-4.9230769230769234</v>
      </c>
      <c r="L396" s="119">
        <f>IF($D396="",0,'Guide &amp; Settings'!$C$44*IF($F396&gt;=3,$F396,0))</f>
        <v>3</v>
      </c>
      <c r="M396" s="118">
        <f t="shared" si="105"/>
        <v>-10.736060156329479</v>
      </c>
      <c r="N396" s="116">
        <f t="shared" si="106"/>
        <v>1133.8048342740794</v>
      </c>
      <c r="O396" s="115" t="str">
        <f t="shared" si="107"/>
        <v>OK</v>
      </c>
      <c r="P396">
        <f t="shared" si="108"/>
        <v>1094.5187921364222</v>
      </c>
      <c r="Q396">
        <f t="shared" si="109"/>
        <v>0.57149427511698137</v>
      </c>
      <c r="R396">
        <f t="shared" si="110"/>
        <v>0.66666666666666663</v>
      </c>
      <c r="S396">
        <f t="shared" si="111"/>
        <v>1.6249999999999998</v>
      </c>
      <c r="T396" s="83">
        <f t="shared" si="112"/>
        <v>13</v>
      </c>
      <c r="U396" s="120">
        <f>IF($D396="",0,IFERROR(LOOKUP(2,1/(($D$3:D395=$D396)*($C$3:C395=$C396)*($A$3:A395&lt;$A396)),$AB$3:AB395),1000))</f>
        <v>1059.7967824652662</v>
      </c>
      <c r="V396" s="120">
        <f t="shared" si="113"/>
        <v>1083.3368135666947</v>
      </c>
      <c r="W396">
        <f t="shared" si="114"/>
        <v>1047.9070992297386</v>
      </c>
      <c r="X396">
        <f t="shared" si="115"/>
        <v>0.55081145207828475</v>
      </c>
      <c r="Y396">
        <f t="shared" si="116"/>
        <v>989.64248309638424</v>
      </c>
      <c r="Z396">
        <f t="shared" si="117"/>
        <v>0.59961005715538529</v>
      </c>
      <c r="AA396">
        <f>IF($D396="",0,IF($F396&lt;2,0,IF($E396="Win",('Guide &amp; Settings'!$C$42/(($F396-1)*COUNTIFS($A$4:$A$810,$A396,$E$4:$E$810,"Win")))*SUMIFS($Z$4:$Z$810,$A$4:$A$810,$A396,$E$4:$E$810,"Loss"),-('Guide &amp; Settings'!$C$42/($F396-1))*$Z396)))</f>
        <v>-9.5937609144861646</v>
      </c>
      <c r="AB396" s="120">
        <f t="shared" si="118"/>
        <v>1050.20302155078</v>
      </c>
      <c r="AC396" s="120">
        <f>IF($D396="","",IF(SUMPRODUCT(MAX(($D$4:$D$810=$D396)*($B$4:$B$810&lt;$B396)*$B$4:$B$810))=0,0,IF(($B396-MAX(SUMPRODUCT(MAX(($D$4:$D$810=$D396)*($B$4:$B$810&lt;$B396)*$B$4:$B$810)),'Guide &amp; Settings'!$C$50))/7-'Guide &amp; Settings'!$C$48&gt;=0,(INT(($B396-MAX(SUMPRODUCT(MAX(($D$4:$D$810=$D396)*($B$4:$B$810&lt;$B396)*$B$4:$B$810)),'Guide &amp; Settings'!$C$50))/7-'Guide &amp; Settings'!$C$48)+1)*'Guide &amp; Settings'!$C$49,0)))</f>
        <v>0</v>
      </c>
    </row>
    <row r="397" spans="1:29" x14ac:dyDescent="0.2">
      <c r="A397" s="111">
        <v>170</v>
      </c>
      <c r="B397" s="112">
        <v>46220</v>
      </c>
      <c r="C397" s="113" t="s">
        <v>208</v>
      </c>
      <c r="D397" s="113" t="s">
        <v>173</v>
      </c>
      <c r="E397" s="111" t="s">
        <v>309</v>
      </c>
      <c r="F397" s="114">
        <f t="shared" si="102"/>
        <v>3</v>
      </c>
      <c r="G397" s="115" t="str">
        <f t="shared" si="103"/>
        <v>Oscar</v>
      </c>
      <c r="H397" s="116">
        <f>IF($D397="",0,IFERROR(LOOKUP(2,1/(($D$3:D396=$D397)*($A$3:A396&lt;$A397)),$N$3:N396),'Guide &amp; Settings'!$C$41))</f>
        <v>1055.8087051281234</v>
      </c>
      <c r="I397" s="117">
        <f t="shared" si="104"/>
        <v>0.38461538461538469</v>
      </c>
      <c r="J397" s="118">
        <f>IF($D397="",0,IF($F397&lt;2,0,IF($E397="Win",('Guide &amp; Settings'!$C$42/(($F397-1)*COUNTIFS($A$4:$A$810,$A397,$E$4:$E$810,"Win")))*SUMIFS($X$4:$X$810,$A$4:$A$810,$A397,$E$4:$E$810,"Loss"),-('Guide &amp; Settings'!$C$42/($F397-1))*$X397)))</f>
        <v>-8.0077457869736595</v>
      </c>
      <c r="K397" s="118">
        <f>IF($D397="",0,'Guide &amp; Settings'!$C$43*(IF($E397="Win",1,0)-$I397))</f>
        <v>-4.6153846153846168</v>
      </c>
      <c r="L397" s="119">
        <f>IF($D397="",0,'Guide &amp; Settings'!$C$44*IF($F397&gt;=3,$F397,0))</f>
        <v>3</v>
      </c>
      <c r="M397" s="118">
        <f t="shared" si="105"/>
        <v>-9.6231304023582762</v>
      </c>
      <c r="N397" s="116">
        <f t="shared" si="106"/>
        <v>1046.185574725765</v>
      </c>
      <c r="O397" s="115" t="str">
        <f t="shared" si="107"/>
        <v>OK</v>
      </c>
      <c r="P397">
        <f t="shared" si="108"/>
        <v>1094.5187921364222</v>
      </c>
      <c r="Q397">
        <f t="shared" si="109"/>
        <v>0.44452108232819787</v>
      </c>
      <c r="R397">
        <f t="shared" si="110"/>
        <v>0.625</v>
      </c>
      <c r="S397">
        <f t="shared" si="111"/>
        <v>1.6249999999999998</v>
      </c>
      <c r="T397" s="83">
        <f t="shared" si="112"/>
        <v>6</v>
      </c>
      <c r="U397" s="120">
        <f>IF($D397="",0,IFERROR(LOOKUP(2,1/(($D$3:D396=$D397)*($C$3:C396=$C397)*($A$3:A396&lt;$A397)),$AB$3:AB396),1000))</f>
        <v>1041.9391524729231</v>
      </c>
      <c r="V397" s="120">
        <f t="shared" si="113"/>
        <v>1048.2434945889231</v>
      </c>
      <c r="W397">
        <f t="shared" si="114"/>
        <v>1047.9070992297386</v>
      </c>
      <c r="X397">
        <f t="shared" si="115"/>
        <v>0.50048411168585372</v>
      </c>
      <c r="Y397">
        <f t="shared" si="116"/>
        <v>989.64248309638424</v>
      </c>
      <c r="Z397">
        <f t="shared" si="117"/>
        <v>0.57469766946550527</v>
      </c>
      <c r="AA397">
        <f>IF($D397="",0,IF($F397&lt;2,0,IF($E397="Win",('Guide &amp; Settings'!$C$42/(($F397-1)*COUNTIFS($A$4:$A$810,$A397,$E$4:$E$810,"Win")))*SUMIFS($Z$4:$Z$810,$A$4:$A$810,$A397,$E$4:$E$810,"Loss"),-('Guide &amp; Settings'!$C$42/($F397-1))*$Z397)))</f>
        <v>-9.1951627114480843</v>
      </c>
      <c r="AB397" s="120">
        <f t="shared" si="118"/>
        <v>1032.7439897614749</v>
      </c>
      <c r="AC397" s="120">
        <f>IF($D397="","",IF(SUMPRODUCT(MAX(($D$4:$D$810=$D397)*($B$4:$B$810&lt;$B397)*$B$4:$B$810))=0,0,IF(($B397-MAX(SUMPRODUCT(MAX(($D$4:$D$810=$D397)*($B$4:$B$810&lt;$B397)*$B$4:$B$810)),'Guide &amp; Settings'!$C$50))/7-'Guide &amp; Settings'!$C$48&gt;=0,(INT(($B397-MAX(SUMPRODUCT(MAX(($D$4:$D$810=$D397)*($B$4:$B$810&lt;$B397)*$B$4:$B$810)),'Guide &amp; Settings'!$C$50))/7-'Guide &amp; Settings'!$C$48)+1)*'Guide &amp; Settings'!$C$49,0)))</f>
        <v>0</v>
      </c>
    </row>
    <row r="398" spans="1:29" x14ac:dyDescent="0.2">
      <c r="A398" s="111">
        <v>170</v>
      </c>
      <c r="B398" s="112">
        <v>46220</v>
      </c>
      <c r="C398" s="113" t="s">
        <v>208</v>
      </c>
      <c r="D398" s="113" t="s">
        <v>169</v>
      </c>
      <c r="E398" s="111" t="s">
        <v>308</v>
      </c>
      <c r="F398" s="114">
        <f t="shared" si="102"/>
        <v>3</v>
      </c>
      <c r="G398" s="115" t="str">
        <f t="shared" si="103"/>
        <v>Oscar</v>
      </c>
      <c r="H398" s="116">
        <f>IF($D398="",0,IFERROR(LOOKUP(2,1/(($D$3:D397=$D398)*($A$3:A397&lt;$A398)),$N$3:N397),'Guide &amp; Settings'!$C$41))</f>
        <v>1094.5187921364222</v>
      </c>
      <c r="I398" s="117">
        <f t="shared" si="104"/>
        <v>0.20512820512820515</v>
      </c>
      <c r="J398" s="118">
        <f>IF($D398="",0,IF($F398&lt;2,0,IF($E398="Win",('Guide &amp; Settings'!$C$42/(($F398-1)*COUNTIFS($A$4:$A$810,$A398,$E$4:$E$810,"Win")))*SUMIFS($X$4:$X$810,$A$4:$A$810,$A398,$E$4:$E$810,"Loss"),-('Guide &amp; Settings'!$C$42/($F398-1))*$X398)))</f>
        <v>16.820729020226217</v>
      </c>
      <c r="K398" s="118">
        <f>IF($D398="",0,'Guide &amp; Settings'!$C$43*(IF($E398="Win",1,0)-$I398))</f>
        <v>9.5384615384615383</v>
      </c>
      <c r="L398" s="119">
        <f>IF($D398="",0,'Guide &amp; Settings'!$C$44*IF($F398&gt;=3,$F398,0))</f>
        <v>3</v>
      </c>
      <c r="M398" s="118">
        <f t="shared" si="105"/>
        <v>29.359190558687757</v>
      </c>
      <c r="N398" s="116">
        <f t="shared" si="106"/>
        <v>1123.8779826951099</v>
      </c>
      <c r="O398" s="115" t="str">
        <f t="shared" si="107"/>
        <v>OK</v>
      </c>
      <c r="P398">
        <f t="shared" si="108"/>
        <v>1094.5187921364222</v>
      </c>
      <c r="Q398">
        <f t="shared" si="109"/>
        <v>0.5</v>
      </c>
      <c r="R398">
        <f t="shared" si="110"/>
        <v>0.33333333333333331</v>
      </c>
      <c r="S398">
        <f t="shared" si="111"/>
        <v>1.6249999999999998</v>
      </c>
      <c r="T398" s="83">
        <f t="shared" si="112"/>
        <v>4</v>
      </c>
      <c r="U398" s="120">
        <f>IF($D398="",0,IFERROR(LOOKUP(2,1/(($D$3:D397=$D398)*($C$3:C397=$C398)*($A$3:A397&lt;$A398)),$AB$3:AB397),1000))</f>
        <v>989.64248309638424</v>
      </c>
      <c r="V398" s="120">
        <f t="shared" si="113"/>
        <v>1047.9070992297386</v>
      </c>
      <c r="W398">
        <f t="shared" si="114"/>
        <v>1047.9070992297386</v>
      </c>
      <c r="X398">
        <f t="shared" si="115"/>
        <v>0.5</v>
      </c>
      <c r="Y398">
        <f t="shared" si="116"/>
        <v>989.64248309638424</v>
      </c>
      <c r="Z398">
        <f t="shared" si="117"/>
        <v>0.5</v>
      </c>
      <c r="AA398">
        <f>IF($D398="",0,IF($F398&lt;2,0,IF($E398="Win",('Guide &amp; Settings'!$C$42/(($F398-1)*COUNTIFS($A$4:$A$810,$A398,$E$4:$E$810,"Win")))*SUMIFS($Z$4:$Z$810,$A$4:$A$810,$A398,$E$4:$E$810,"Loss"),-('Guide &amp; Settings'!$C$42/($F398-1))*$Z398)))</f>
        <v>18.788923625934249</v>
      </c>
      <c r="AB398" s="120">
        <f t="shared" si="118"/>
        <v>1008.4314067223185</v>
      </c>
      <c r="AC398" s="120">
        <f>IF($D398="","",IF(SUMPRODUCT(MAX(($D$4:$D$810=$D398)*($B$4:$B$810&lt;$B398)*$B$4:$B$810))=0,0,IF(($B398-MAX(SUMPRODUCT(MAX(($D$4:$D$810=$D398)*($B$4:$B$810&lt;$B398)*$B$4:$B$810)),'Guide &amp; Settings'!$C$50))/7-'Guide &amp; Settings'!$C$48&gt;=0,(INT(($B398-MAX(SUMPRODUCT(MAX(($D$4:$D$810=$D398)*($B$4:$B$810&lt;$B398)*$B$4:$B$810)),'Guide &amp; Settings'!$C$50))/7-'Guide &amp; Settings'!$C$48)+1)*'Guide &amp; Settings'!$C$49,0)))</f>
        <v>0</v>
      </c>
    </row>
    <row r="399" spans="1:29" x14ac:dyDescent="0.2">
      <c r="A399" s="111">
        <v>171</v>
      </c>
      <c r="B399" s="112">
        <v>46220</v>
      </c>
      <c r="C399" s="113" t="s">
        <v>208</v>
      </c>
      <c r="D399" s="113" t="s">
        <v>134</v>
      </c>
      <c r="E399" s="111" t="s">
        <v>308</v>
      </c>
      <c r="F399" s="114">
        <f t="shared" si="102"/>
        <v>3</v>
      </c>
      <c r="G399" s="115" t="str">
        <f t="shared" si="103"/>
        <v>Shawn</v>
      </c>
      <c r="H399" s="116">
        <f>IF($D399="",0,IFERROR(LOOKUP(2,1/(($D$3:D398=$D399)*($A$3:A398&lt;$A399)),$N$3:N398),'Guide &amp; Settings'!$C$41))</f>
        <v>1133.8048342740794</v>
      </c>
      <c r="I399" s="117">
        <f t="shared" si="104"/>
        <v>0.38840937114673241</v>
      </c>
      <c r="J399" s="118">
        <f>IF($D399="",0,IF($F399&lt;2,0,IF($E399="Win",('Guide &amp; Settings'!$C$42/(($F399-1)*COUNTIFS($A$4:$A$810,$A399,$E$4:$E$810,"Win")))*SUMIFS($X$4:$X$810,$A$4:$A$810,$A399,$E$4:$E$810,"Loss"),-('Guide &amp; Settings'!$C$42/($F399-1))*$X399)))</f>
        <v>15.083565175366616</v>
      </c>
      <c r="K399" s="118">
        <f>IF($D399="",0,'Guide &amp; Settings'!$C$43*(IF($E399="Win",1,0)-$I399))</f>
        <v>7.3390875462392104</v>
      </c>
      <c r="L399" s="119">
        <f>IF($D399="",0,'Guide &amp; Settings'!$C$44*IF($F399&gt;=3,$F399,0))</f>
        <v>3</v>
      </c>
      <c r="M399" s="118">
        <f t="shared" si="105"/>
        <v>25.422652721605825</v>
      </c>
      <c r="N399" s="116">
        <f t="shared" si="106"/>
        <v>1159.2274869956852</v>
      </c>
      <c r="O399" s="115" t="str">
        <f t="shared" si="107"/>
        <v>OK</v>
      </c>
      <c r="P399">
        <f t="shared" si="108"/>
        <v>1133.8048342740794</v>
      </c>
      <c r="Q399">
        <f t="shared" si="109"/>
        <v>0.5</v>
      </c>
      <c r="R399">
        <f t="shared" si="110"/>
        <v>0.625</v>
      </c>
      <c r="S399">
        <f t="shared" si="111"/>
        <v>1.6091269841269842</v>
      </c>
      <c r="T399" s="83">
        <f t="shared" si="112"/>
        <v>14</v>
      </c>
      <c r="U399" s="120">
        <f>IF($D399="",0,IFERROR(LOOKUP(2,1/(($D$3:D398=$D399)*($C$3:C398=$C399)*($A$3:A398&lt;$A399)),$AB$3:AB398),1000))</f>
        <v>1050.20302155078</v>
      </c>
      <c r="V399" s="120">
        <f t="shared" si="113"/>
        <v>1072.2034985832274</v>
      </c>
      <c r="W399">
        <f t="shared" si="114"/>
        <v>1072.2034985832274</v>
      </c>
      <c r="X399">
        <f t="shared" si="115"/>
        <v>0.5</v>
      </c>
      <c r="Y399">
        <f t="shared" si="116"/>
        <v>1050.20302155078</v>
      </c>
      <c r="Z399">
        <f t="shared" si="117"/>
        <v>0.5</v>
      </c>
      <c r="AA399">
        <f>IF($D399="",0,IF($F399&lt;2,0,IF($E399="Win",('Guide &amp; Settings'!$C$42/(($F399-1)*COUNTIFS($A$4:$A$810,$A399,$E$4:$E$810,"Win")))*SUMIFS($Z$4:$Z$810,$A$4:$A$810,$A399,$E$4:$E$810,"Loss"),-('Guide &amp; Settings'!$C$42/($F399-1))*$Z399)))</f>
        <v>14.641109719130117</v>
      </c>
      <c r="AB399" s="120">
        <f t="shared" si="118"/>
        <v>1064.8441312699101</v>
      </c>
      <c r="AC399" s="120">
        <f>IF($D399="","",IF(SUMPRODUCT(MAX(($D$4:$D$810=$D399)*($B$4:$B$810&lt;$B399)*$B$4:$B$810))=0,0,IF(($B399-MAX(SUMPRODUCT(MAX(($D$4:$D$810=$D399)*($B$4:$B$810&lt;$B399)*$B$4:$B$810)),'Guide &amp; Settings'!$C$50))/7-'Guide &amp; Settings'!$C$48&gt;=0,(INT(($B399-MAX(SUMPRODUCT(MAX(($D$4:$D$810=$D399)*($B$4:$B$810&lt;$B399)*$B$4:$B$810)),'Guide &amp; Settings'!$C$50))/7-'Guide &amp; Settings'!$C$48)+1)*'Guide &amp; Settings'!$C$49,0)))</f>
        <v>0</v>
      </c>
    </row>
    <row r="400" spans="1:29" x14ac:dyDescent="0.2">
      <c r="A400" s="111">
        <v>171</v>
      </c>
      <c r="B400" s="112">
        <v>46220</v>
      </c>
      <c r="C400" s="113" t="s">
        <v>208</v>
      </c>
      <c r="D400" s="113" t="s">
        <v>173</v>
      </c>
      <c r="E400" s="111" t="s">
        <v>309</v>
      </c>
      <c r="F400" s="114">
        <f t="shared" si="102"/>
        <v>3</v>
      </c>
      <c r="G400" s="115" t="str">
        <f t="shared" si="103"/>
        <v>Shawn</v>
      </c>
      <c r="H400" s="116">
        <f>IF($D400="",0,IFERROR(LOOKUP(2,1/(($D$3:D399=$D400)*($A$3:A399&lt;$A400)),$N$3:N399),'Guide &amp; Settings'!$C$41))</f>
        <v>1046.185574725765</v>
      </c>
      <c r="I400" s="117">
        <f t="shared" si="104"/>
        <v>0.34525277435265106</v>
      </c>
      <c r="J400" s="118">
        <f>IF($D400="",0,IF($F400&lt;2,0,IF($E400="Win",('Guide &amp; Settings'!$C$42/(($F400-1)*COUNTIFS($A$4:$A$810,$A400,$E$4:$E$810,"Win")))*SUMIFS($X$4:$X$810,$A$4:$A$810,$A400,$E$4:$E$810,"Loss"),-('Guide &amp; Settings'!$C$42/($F400-1))*$X400)))</f>
        <v>-7.2228299614394285</v>
      </c>
      <c r="K400" s="118">
        <f>IF($D400="",0,'Guide &amp; Settings'!$C$43*(IF($E400="Win",1,0)-$I400))</f>
        <v>-4.1430332922318129</v>
      </c>
      <c r="L400" s="119">
        <f>IF($D400="",0,'Guide &amp; Settings'!$C$44*IF($F400&gt;=3,$F400,0))</f>
        <v>3</v>
      </c>
      <c r="M400" s="118">
        <f t="shared" si="105"/>
        <v>-8.3658632536712414</v>
      </c>
      <c r="N400" s="116">
        <f t="shared" si="106"/>
        <v>1037.8197114720938</v>
      </c>
      <c r="O400" s="115" t="str">
        <f t="shared" si="107"/>
        <v>OK</v>
      </c>
      <c r="P400">
        <f t="shared" si="108"/>
        <v>1133.8048342740794</v>
      </c>
      <c r="Q400">
        <f t="shared" si="109"/>
        <v>0.3765126097098252</v>
      </c>
      <c r="R400">
        <f t="shared" si="110"/>
        <v>0.55555555555555558</v>
      </c>
      <c r="S400">
        <f t="shared" si="111"/>
        <v>1.6091269841269842</v>
      </c>
      <c r="T400" s="83">
        <f t="shared" si="112"/>
        <v>7</v>
      </c>
      <c r="U400" s="120">
        <f>IF($D400="",0,IFERROR(LOOKUP(2,1/(($D$3:D399=$D400)*($C$3:C399=$C400)*($A$3:A399&lt;$A400)),$AB$3:AB399),1000))</f>
        <v>1032.7439897614749</v>
      </c>
      <c r="V400" s="120">
        <f t="shared" si="113"/>
        <v>1038.3446501632625</v>
      </c>
      <c r="W400">
        <f t="shared" si="114"/>
        <v>1072.2034985832274</v>
      </c>
      <c r="X400">
        <f t="shared" si="115"/>
        <v>0.45142687258996428</v>
      </c>
      <c r="Y400">
        <f t="shared" si="116"/>
        <v>1050.20302155078</v>
      </c>
      <c r="Z400">
        <f t="shared" si="117"/>
        <v>0.47489556102871749</v>
      </c>
      <c r="AA400">
        <f>IF($D400="",0,IF($F400&lt;2,0,IF($E400="Win",('Guide &amp; Settings'!$C$42/(($F400-1)*COUNTIFS($A$4:$A$810,$A400,$E$4:$E$810,"Win")))*SUMIFS($Z$4:$Z$810,$A$4:$A$810,$A400,$E$4:$E$810,"Loss"),-('Guide &amp; Settings'!$C$42/($F400-1))*$Z400)))</f>
        <v>-7.5983289764594799</v>
      </c>
      <c r="AB400" s="120">
        <f t="shared" si="118"/>
        <v>1025.1456607850155</v>
      </c>
      <c r="AC400" s="120">
        <f>IF($D400="","",IF(SUMPRODUCT(MAX(($D$4:$D$810=$D400)*($B$4:$B$810&lt;$B400)*$B$4:$B$810))=0,0,IF(($B400-MAX(SUMPRODUCT(MAX(($D$4:$D$810=$D400)*($B$4:$B$810&lt;$B400)*$B$4:$B$810)),'Guide &amp; Settings'!$C$50))/7-'Guide &amp; Settings'!$C$48&gt;=0,(INT(($B400-MAX(SUMPRODUCT(MAX(($D$4:$D$810=$D400)*($B$4:$B$810&lt;$B400)*$B$4:$B$810)),'Guide &amp; Settings'!$C$50))/7-'Guide &amp; Settings'!$C$48)+1)*'Guide &amp; Settings'!$C$49,0)))</f>
        <v>0</v>
      </c>
    </row>
    <row r="401" spans="1:29" x14ac:dyDescent="0.2">
      <c r="A401" s="111">
        <v>171</v>
      </c>
      <c r="B401" s="112">
        <v>46220</v>
      </c>
      <c r="C401" s="113" t="s">
        <v>208</v>
      </c>
      <c r="D401" s="113" t="s">
        <v>169</v>
      </c>
      <c r="E401" s="111" t="s">
        <v>309</v>
      </c>
      <c r="F401" s="114">
        <f t="shared" si="102"/>
        <v>3</v>
      </c>
      <c r="G401" s="115" t="str">
        <f t="shared" si="103"/>
        <v>Shawn</v>
      </c>
      <c r="H401" s="116">
        <f>IF($D401="",0,IFERROR(LOOKUP(2,1/(($D$3:D400=$D401)*($A$3:A400&lt;$A401)),$N$3:N400),'Guide &amp; Settings'!$C$41))</f>
        <v>1123.8779826951099</v>
      </c>
      <c r="I401" s="117">
        <f t="shared" si="104"/>
        <v>0.26633785450061648</v>
      </c>
      <c r="J401" s="118">
        <f>IF($D401="",0,IF($F401&lt;2,0,IF($E401="Win",('Guide &amp; Settings'!$C$42/(($F401-1)*COUNTIFS($A$4:$A$810,$A401,$E$4:$E$810,"Win")))*SUMIFS($X$4:$X$810,$A$4:$A$810,$A401,$E$4:$E$810,"Loss"),-('Guide &amp; Settings'!$C$42/($F401-1))*$X401)))</f>
        <v>-7.860735213927188</v>
      </c>
      <c r="K401" s="118">
        <f>IF($D401="",0,'Guide &amp; Settings'!$C$43*(IF($E401="Win",1,0)-$I401))</f>
        <v>-3.1960542540073975</v>
      </c>
      <c r="L401" s="119">
        <f>IF($D401="",0,'Guide &amp; Settings'!$C$44*IF($F401&gt;=3,$F401,0))</f>
        <v>3</v>
      </c>
      <c r="M401" s="118">
        <f t="shared" si="105"/>
        <v>-8.0567894679345855</v>
      </c>
      <c r="N401" s="116">
        <f t="shared" si="106"/>
        <v>1115.8211932271754</v>
      </c>
      <c r="O401" s="115" t="str">
        <f t="shared" si="107"/>
        <v>OK</v>
      </c>
      <c r="P401">
        <f t="shared" si="108"/>
        <v>1133.8048342740794</v>
      </c>
      <c r="Q401">
        <f t="shared" si="109"/>
        <v>0.48571799835054991</v>
      </c>
      <c r="R401">
        <f t="shared" si="110"/>
        <v>0.42857142857142855</v>
      </c>
      <c r="S401">
        <f t="shared" si="111"/>
        <v>1.6091269841269842</v>
      </c>
      <c r="T401" s="83">
        <f t="shared" si="112"/>
        <v>5</v>
      </c>
      <c r="U401" s="120">
        <f>IF($D401="",0,IFERROR(LOOKUP(2,1/(($D$3:D400=$D401)*($C$3:C400=$C401)*($A$3:A400&lt;$A401)),$AB$3:AB400),1000))</f>
        <v>1008.4314067223185</v>
      </c>
      <c r="V401" s="120">
        <f t="shared" si="113"/>
        <v>1066.1546947087143</v>
      </c>
      <c r="W401">
        <f t="shared" si="114"/>
        <v>1072.2034985832274</v>
      </c>
      <c r="X401">
        <f t="shared" si="115"/>
        <v>0.49129595087044925</v>
      </c>
      <c r="Y401">
        <f t="shared" si="116"/>
        <v>1050.20302155078</v>
      </c>
      <c r="Z401">
        <f t="shared" si="117"/>
        <v>0.44017379641691479</v>
      </c>
      <c r="AA401">
        <f>IF($D401="",0,IF($F401&lt;2,0,IF($E401="Win",('Guide &amp; Settings'!$C$42/(($F401-1)*COUNTIFS($A$4:$A$810,$A401,$E$4:$E$810,"Win")))*SUMIFS($Z$4:$Z$810,$A$4:$A$810,$A401,$E$4:$E$810,"Loss"),-('Guide &amp; Settings'!$C$42/($F401-1))*$Z401)))</f>
        <v>-7.0427807426706366</v>
      </c>
      <c r="AB401" s="120">
        <f t="shared" si="118"/>
        <v>1001.3886259796478</v>
      </c>
      <c r="AC401" s="120">
        <f>IF($D401="","",IF(SUMPRODUCT(MAX(($D$4:$D$810=$D401)*($B$4:$B$810&lt;$B401)*$B$4:$B$810))=0,0,IF(($B401-MAX(SUMPRODUCT(MAX(($D$4:$D$810=$D401)*($B$4:$B$810&lt;$B401)*$B$4:$B$810)),'Guide &amp; Settings'!$C$50))/7-'Guide &amp; Settings'!$C$48&gt;=0,(INT(($B401-MAX(SUMPRODUCT(MAX(($D$4:$D$810=$D401)*($B$4:$B$810&lt;$B401)*$B$4:$B$810)),'Guide &amp; Settings'!$C$50))/7-'Guide &amp; Settings'!$C$48)+1)*'Guide &amp; Settings'!$C$49,0)))</f>
        <v>0</v>
      </c>
    </row>
    <row r="402" spans="1:29" x14ac:dyDescent="0.2">
      <c r="A402" s="111">
        <v>172</v>
      </c>
      <c r="B402" s="112">
        <v>46222</v>
      </c>
      <c r="C402" s="113" t="s">
        <v>203</v>
      </c>
      <c r="D402" s="113" t="s">
        <v>138</v>
      </c>
      <c r="E402" s="111" t="s">
        <v>308</v>
      </c>
      <c r="F402" s="114">
        <f t="shared" si="102"/>
        <v>2</v>
      </c>
      <c r="G402" s="115" t="str">
        <f t="shared" si="103"/>
        <v>Aaron</v>
      </c>
      <c r="H402" s="116">
        <f>IF($D402="",0,IFERROR(LOOKUP(2,1/(($D$3:D401=$D402)*($A$3:A401&lt;$A402)),$N$3:N401),'Guide &amp; Settings'!$C$41))</f>
        <v>984.79733004555192</v>
      </c>
      <c r="I402" s="117">
        <f t="shared" si="104"/>
        <v>0.25</v>
      </c>
      <c r="J402" s="118">
        <f>IF($D402="",0,IF($F402&lt;2,0,IF($E402="Win",('Guide &amp; Settings'!$C$42/(($F402-1)*COUNTIFS($A$4:$A$810,$A402,$E$4:$E$810,"Win")))*SUMIFS($X$4:$X$810,$A$4:$A$810,$A402,$E$4:$E$810,"Loss"),-('Guide &amp; Settings'!$C$42/($F402-1))*$X402)))</f>
        <v>20.576504151466757</v>
      </c>
      <c r="K402" s="118">
        <f>IF($D402="",0,'Guide &amp; Settings'!$C$43*(IF($E402="Win",1,0)-$I402))</f>
        <v>9</v>
      </c>
      <c r="L402" s="119">
        <f>IF($D402="",0,'Guide &amp; Settings'!$C$44*IF($F402&gt;=3,$F402,0))</f>
        <v>0</v>
      </c>
      <c r="M402" s="118">
        <f t="shared" si="105"/>
        <v>29.576504151466757</v>
      </c>
      <c r="N402" s="116">
        <f t="shared" si="106"/>
        <v>1014.3738341970187</v>
      </c>
      <c r="O402" s="115" t="str">
        <f t="shared" si="107"/>
        <v>OK</v>
      </c>
      <c r="P402">
        <f t="shared" si="108"/>
        <v>984.79733004555192</v>
      </c>
      <c r="Q402">
        <f t="shared" si="109"/>
        <v>0.5</v>
      </c>
      <c r="R402">
        <f t="shared" si="110"/>
        <v>0.2857142857142857</v>
      </c>
      <c r="S402">
        <f t="shared" si="111"/>
        <v>1.1428571428571428</v>
      </c>
      <c r="T402" s="83">
        <f t="shared" si="112"/>
        <v>5</v>
      </c>
      <c r="U402" s="120">
        <f>IF($D402="",0,IFERROR(LOOKUP(2,1/(($D$3:D401=$D402)*($C$3:C401=$C402)*($A$3:A401&lt;$A402)),$AB$3:AB401),1000))</f>
        <v>960.13894540882518</v>
      </c>
      <c r="V402" s="120">
        <f t="shared" si="113"/>
        <v>972.4681377271886</v>
      </c>
      <c r="W402">
        <f t="shared" si="114"/>
        <v>972.4681377271886</v>
      </c>
      <c r="X402">
        <f t="shared" si="115"/>
        <v>0.5</v>
      </c>
      <c r="Y402">
        <f t="shared" si="116"/>
        <v>960.13894540882518</v>
      </c>
      <c r="Z402">
        <f t="shared" si="117"/>
        <v>0.5</v>
      </c>
      <c r="AA402">
        <f>IF($D402="",0,IF($F402&lt;2,0,IF($E402="Win",('Guide &amp; Settings'!$C$42/(($F402-1)*COUNTIFS($A$4:$A$810,$A402,$E$4:$E$810,"Win")))*SUMIFS($Z$4:$Z$810,$A$4:$A$810,$A402,$E$4:$E$810,"Loss"),-('Guide &amp; Settings'!$C$42/($F402-1))*$Z402)))</f>
        <v>20.945460817970009</v>
      </c>
      <c r="AB402" s="120">
        <f t="shared" si="118"/>
        <v>981.08440622679518</v>
      </c>
      <c r="AC402" s="120">
        <f>IF($D402="","",IF(SUMPRODUCT(MAX(($D$4:$D$810=$D402)*($B$4:$B$810&lt;$B402)*$B$4:$B$810))=0,0,IF(($B402-MAX(SUMPRODUCT(MAX(($D$4:$D$810=$D402)*($B$4:$B$810&lt;$B402)*$B$4:$B$810)),'Guide &amp; Settings'!$C$50))/7-'Guide &amp; Settings'!$C$48&gt;=0,(INT(($B402-MAX(SUMPRODUCT(MAX(($D$4:$D$810=$D402)*($B$4:$B$810&lt;$B402)*$B$4:$B$810)),'Guide &amp; Settings'!$C$50))/7-'Guide &amp; Settings'!$C$48)+1)*'Guide &amp; Settings'!$C$49,0)))</f>
        <v>0</v>
      </c>
    </row>
    <row r="403" spans="1:29" x14ac:dyDescent="0.2">
      <c r="A403" s="111">
        <v>172</v>
      </c>
      <c r="B403" s="112">
        <v>46222</v>
      </c>
      <c r="C403" s="113" t="s">
        <v>203</v>
      </c>
      <c r="D403" s="113" t="s">
        <v>170</v>
      </c>
      <c r="E403" s="111" t="s">
        <v>309</v>
      </c>
      <c r="F403" s="114">
        <f t="shared" si="102"/>
        <v>2</v>
      </c>
      <c r="G403" s="115" t="str">
        <f t="shared" si="103"/>
        <v>Aaron</v>
      </c>
      <c r="H403" s="116">
        <f>IF($D403="",0,IFERROR(LOOKUP(2,1/(($D$3:D402=$D403)*($A$3:A402&lt;$A403)),$N$3:N402),'Guide &amp; Settings'!$C$41))</f>
        <v>1078.2356706955445</v>
      </c>
      <c r="I403" s="117">
        <f t="shared" si="104"/>
        <v>0.75</v>
      </c>
      <c r="J403" s="118">
        <f>IF($D403="",0,IF($F403&lt;2,0,IF($E403="Win",('Guide &amp; Settings'!$C$42/(($F403-1)*COUNTIFS($A$4:$A$810,$A403,$E$4:$E$810,"Win")))*SUMIFS($X$4:$X$810,$A$4:$A$810,$A403,$E$4:$E$810,"Loss"),-('Guide &amp; Settings'!$C$42/($F403-1))*$X403)))</f>
        <v>-20.576504151466757</v>
      </c>
      <c r="K403" s="118">
        <f>IF($D403="",0,'Guide &amp; Settings'!$C$43*(IF($E403="Win",1,0)-$I403))</f>
        <v>-9</v>
      </c>
      <c r="L403" s="119">
        <f>IF($D403="",0,'Guide &amp; Settings'!$C$44*IF($F403&gt;=3,$F403,0))</f>
        <v>0</v>
      </c>
      <c r="M403" s="118">
        <f t="shared" si="105"/>
        <v>-29.576504151466757</v>
      </c>
      <c r="N403" s="116">
        <f t="shared" si="106"/>
        <v>1048.6591665440778</v>
      </c>
      <c r="O403" s="115" t="str">
        <f t="shared" si="107"/>
        <v>OK</v>
      </c>
      <c r="P403">
        <f t="shared" si="108"/>
        <v>984.79733004555192</v>
      </c>
      <c r="Q403">
        <f t="shared" si="109"/>
        <v>0.63131779332375149</v>
      </c>
      <c r="R403">
        <f t="shared" si="110"/>
        <v>0.8571428571428571</v>
      </c>
      <c r="S403">
        <f t="shared" si="111"/>
        <v>1.1428571428571428</v>
      </c>
      <c r="T403" s="83">
        <f t="shared" si="112"/>
        <v>5</v>
      </c>
      <c r="U403" s="120">
        <f>IF($D403="",0,IFERROR(LOOKUP(2,1/(($D$3:D402=$D403)*($C$3:C402=$C403)*($A$3:A402&lt;$A403)),$AB$3:AB402),1000))</f>
        <v>1071.1586559278219</v>
      </c>
      <c r="V403" s="120">
        <f t="shared" si="113"/>
        <v>1074.6971633116832</v>
      </c>
      <c r="W403">
        <f t="shared" si="114"/>
        <v>972.4681377271886</v>
      </c>
      <c r="X403">
        <f t="shared" si="115"/>
        <v>0.64301575473333616</v>
      </c>
      <c r="Y403">
        <f t="shared" si="116"/>
        <v>960.13894540882518</v>
      </c>
      <c r="Z403">
        <f t="shared" si="117"/>
        <v>0.65454565056156278</v>
      </c>
      <c r="AA403">
        <f>IF($D403="",0,IF($F403&lt;2,0,IF($E403="Win",('Guide &amp; Settings'!$C$42/(($F403-1)*COUNTIFS($A$4:$A$810,$A403,$E$4:$E$810,"Win")))*SUMIFS($Z$4:$Z$810,$A$4:$A$810,$A403,$E$4:$E$810,"Loss"),-('Guide &amp; Settings'!$C$42/($F403-1))*$Z403)))</f>
        <v>-20.945460817970009</v>
      </c>
      <c r="AB403" s="120">
        <f t="shared" si="118"/>
        <v>1050.2131951098518</v>
      </c>
      <c r="AC403" s="120">
        <f>IF($D403="","",IF(SUMPRODUCT(MAX(($D$4:$D$810=$D403)*($B$4:$B$810&lt;$B403)*$B$4:$B$810))=0,0,IF(($B403-MAX(SUMPRODUCT(MAX(($D$4:$D$810=$D403)*($B$4:$B$810&lt;$B403)*$B$4:$B$810)),'Guide &amp; Settings'!$C$50))/7-'Guide &amp; Settings'!$C$48&gt;=0,(INT(($B403-MAX(SUMPRODUCT(MAX(($D$4:$D$810=$D403)*($B$4:$B$810&lt;$B403)*$B$4:$B$810)),'Guide &amp; Settings'!$C$50))/7-'Guide &amp; Settings'!$C$48)+1)*'Guide &amp; Settings'!$C$49,0)))</f>
        <v>0</v>
      </c>
    </row>
    <row r="404" spans="1:29" x14ac:dyDescent="0.2">
      <c r="A404" s="111">
        <v>173</v>
      </c>
      <c r="B404" s="112">
        <v>46222</v>
      </c>
      <c r="C404" s="113" t="s">
        <v>203</v>
      </c>
      <c r="D404" s="113" t="s">
        <v>138</v>
      </c>
      <c r="E404" s="111" t="s">
        <v>309</v>
      </c>
      <c r="F404" s="114">
        <f t="shared" si="102"/>
        <v>2</v>
      </c>
      <c r="G404" s="115" t="str">
        <f t="shared" si="103"/>
        <v>Daniel (Ferret)</v>
      </c>
      <c r="H404" s="116">
        <f>IF($D404="",0,IFERROR(LOOKUP(2,1/(($D$3:D403=$D404)*($A$3:A403&lt;$A404)),$N$3:N403),'Guide &amp; Settings'!$C$41))</f>
        <v>1014.3738341970187</v>
      </c>
      <c r="I404" s="117">
        <f t="shared" si="104"/>
        <v>0.33333333333333331</v>
      </c>
      <c r="J404" s="118">
        <f>IF($D404="",0,IF($F404&lt;2,0,IF($E404="Win",('Guide &amp; Settings'!$C$42/(($F404-1)*COUNTIFS($A$4:$A$810,$A404,$E$4:$E$810,"Win")))*SUMIFS($X$4:$X$810,$A$4:$A$810,$A404,$E$4:$E$810,"Loss"),-('Guide &amp; Settings'!$C$42/($F404-1))*$X404)))</f>
        <v>-13.564931777619758</v>
      </c>
      <c r="K404" s="118">
        <f>IF($D404="",0,'Guide &amp; Settings'!$C$43*(IF($E404="Win",1,0)-$I404))</f>
        <v>-4</v>
      </c>
      <c r="L404" s="119">
        <f>IF($D404="",0,'Guide &amp; Settings'!$C$44*IF($F404&gt;=3,$F404,0))</f>
        <v>0</v>
      </c>
      <c r="M404" s="118">
        <f t="shared" si="105"/>
        <v>-17.564931777619758</v>
      </c>
      <c r="N404" s="116">
        <f t="shared" si="106"/>
        <v>996.80890241939892</v>
      </c>
      <c r="O404" s="115" t="str">
        <f t="shared" si="107"/>
        <v>OK</v>
      </c>
      <c r="P404">
        <f t="shared" si="108"/>
        <v>1048.6591665440778</v>
      </c>
      <c r="Q404">
        <f t="shared" si="109"/>
        <v>0.45081897797067627</v>
      </c>
      <c r="R404">
        <f t="shared" si="110"/>
        <v>0.375</v>
      </c>
      <c r="S404">
        <f t="shared" si="111"/>
        <v>1.125</v>
      </c>
      <c r="T404" s="83">
        <f t="shared" si="112"/>
        <v>6</v>
      </c>
      <c r="U404" s="120">
        <f>IF($D404="",0,IFERROR(LOOKUP(2,1/(($D$3:D403=$D404)*($C$3:C403=$C404)*($A$3:A403&lt;$A404)),$AB$3:AB403),1000))</f>
        <v>981.08440622679518</v>
      </c>
      <c r="V404" s="120">
        <f t="shared" si="113"/>
        <v>996.21596439507857</v>
      </c>
      <c r="W404">
        <f t="shared" si="114"/>
        <v>1049.5068184890454</v>
      </c>
      <c r="X404">
        <f t="shared" si="115"/>
        <v>0.42390411805061745</v>
      </c>
      <c r="Y404">
        <f t="shared" si="116"/>
        <v>1050.2131951098518</v>
      </c>
      <c r="Z404">
        <f t="shared" si="117"/>
        <v>0.40180802718927966</v>
      </c>
      <c r="AA404">
        <f>IF($D404="",0,IF($F404&lt;2,0,IF($E404="Win",('Guide &amp; Settings'!$C$42/(($F404-1)*COUNTIFS($A$4:$A$810,$A404,$E$4:$E$810,"Win")))*SUMIFS($Z$4:$Z$810,$A$4:$A$810,$A404,$E$4:$E$810,"Loss"),-('Guide &amp; Settings'!$C$42/($F404-1))*$Z404)))</f>
        <v>-12.857856870056949</v>
      </c>
      <c r="AB404" s="120">
        <f t="shared" si="118"/>
        <v>968.22654935673825</v>
      </c>
      <c r="AC404" s="120">
        <f>IF($D404="","",IF(SUMPRODUCT(MAX(($D$4:$D$810=$D404)*($B$4:$B$810&lt;$B404)*$B$4:$B$810))=0,0,IF(($B404-MAX(SUMPRODUCT(MAX(($D$4:$D$810=$D404)*($B$4:$B$810&lt;$B404)*$B$4:$B$810)),'Guide &amp; Settings'!$C$50))/7-'Guide &amp; Settings'!$C$48&gt;=0,(INT(($B404-MAX(SUMPRODUCT(MAX(($D$4:$D$810=$D404)*($B$4:$B$810&lt;$B404)*$B$4:$B$810)),'Guide &amp; Settings'!$C$50))/7-'Guide &amp; Settings'!$C$48)+1)*'Guide &amp; Settings'!$C$49,0)))</f>
        <v>0</v>
      </c>
    </row>
    <row r="405" spans="1:29" x14ac:dyDescent="0.2">
      <c r="A405" s="111">
        <v>173</v>
      </c>
      <c r="B405" s="112">
        <v>46222</v>
      </c>
      <c r="C405" s="113" t="s">
        <v>203</v>
      </c>
      <c r="D405" s="113" t="s">
        <v>170</v>
      </c>
      <c r="E405" s="111" t="s">
        <v>308</v>
      </c>
      <c r="F405" s="114">
        <f t="shared" si="102"/>
        <v>2</v>
      </c>
      <c r="G405" s="115" t="str">
        <f t="shared" si="103"/>
        <v>Daniel (Ferret)</v>
      </c>
      <c r="H405" s="116">
        <f>IF($D405="",0,IFERROR(LOOKUP(2,1/(($D$3:D404=$D405)*($A$3:A404&lt;$A405)),$N$3:N404),'Guide &amp; Settings'!$C$41))</f>
        <v>1048.6591665440778</v>
      </c>
      <c r="I405" s="117">
        <f t="shared" si="104"/>
        <v>0.66666666666666663</v>
      </c>
      <c r="J405" s="118">
        <f>IF($D405="",0,IF($F405&lt;2,0,IF($E405="Win",('Guide &amp; Settings'!$C$42/(($F405-1)*COUNTIFS($A$4:$A$810,$A405,$E$4:$E$810,"Win")))*SUMIFS($X$4:$X$810,$A$4:$A$810,$A405,$E$4:$E$810,"Loss"),-('Guide &amp; Settings'!$C$42/($F405-1))*$X405)))</f>
        <v>13.564931777619758</v>
      </c>
      <c r="K405" s="118">
        <f>IF($D405="",0,'Guide &amp; Settings'!$C$43*(IF($E405="Win",1,0)-$I405))</f>
        <v>4</v>
      </c>
      <c r="L405" s="119">
        <f>IF($D405="",0,'Guide &amp; Settings'!$C$44*IF($F405&gt;=3,$F405,0))</f>
        <v>0</v>
      </c>
      <c r="M405" s="118">
        <f t="shared" si="105"/>
        <v>17.564931777619758</v>
      </c>
      <c r="N405" s="116">
        <f t="shared" si="106"/>
        <v>1066.2240983216975</v>
      </c>
      <c r="O405" s="115" t="str">
        <f t="shared" si="107"/>
        <v>OK</v>
      </c>
      <c r="P405">
        <f t="shared" si="108"/>
        <v>1048.6591665440778</v>
      </c>
      <c r="Q405">
        <f t="shared" si="109"/>
        <v>0.5</v>
      </c>
      <c r="R405">
        <f t="shared" si="110"/>
        <v>0.75</v>
      </c>
      <c r="S405">
        <f t="shared" si="111"/>
        <v>1.125</v>
      </c>
      <c r="T405" s="83">
        <f t="shared" si="112"/>
        <v>6</v>
      </c>
      <c r="U405" s="120">
        <f>IF($D405="",0,IFERROR(LOOKUP(2,1/(($D$3:D404=$D405)*($C$3:C404=$C405)*($A$3:A404&lt;$A405)),$AB$3:AB404),1000))</f>
        <v>1050.2131951098518</v>
      </c>
      <c r="V405" s="120">
        <f t="shared" si="113"/>
        <v>1049.5068184890454</v>
      </c>
      <c r="W405">
        <f t="shared" si="114"/>
        <v>1049.5068184890454</v>
      </c>
      <c r="X405">
        <f t="shared" si="115"/>
        <v>0.5</v>
      </c>
      <c r="Y405">
        <f t="shared" si="116"/>
        <v>1050.2131951098518</v>
      </c>
      <c r="Z405">
        <f t="shared" si="117"/>
        <v>0.5</v>
      </c>
      <c r="AA405">
        <f>IF($D405="",0,IF($F405&lt;2,0,IF($E405="Win",('Guide &amp; Settings'!$C$42/(($F405-1)*COUNTIFS($A$4:$A$810,$A405,$E$4:$E$810,"Win")))*SUMIFS($Z$4:$Z$810,$A$4:$A$810,$A405,$E$4:$E$810,"Loss"),-('Guide &amp; Settings'!$C$42/($F405-1))*$Z405)))</f>
        <v>12.857856870056949</v>
      </c>
      <c r="AB405" s="120">
        <f t="shared" si="118"/>
        <v>1063.0710519799088</v>
      </c>
      <c r="AC405" s="120">
        <f>IF($D405="","",IF(SUMPRODUCT(MAX(($D$4:$D$810=$D405)*($B$4:$B$810&lt;$B405)*$B$4:$B$810))=0,0,IF(($B405-MAX(SUMPRODUCT(MAX(($D$4:$D$810=$D405)*($B$4:$B$810&lt;$B405)*$B$4:$B$810)),'Guide &amp; Settings'!$C$50))/7-'Guide &amp; Settings'!$C$48&gt;=0,(INT(($B405-MAX(SUMPRODUCT(MAX(($D$4:$D$810=$D405)*($B$4:$B$810&lt;$B405)*$B$4:$B$810)),'Guide &amp; Settings'!$C$50))/7-'Guide &amp; Settings'!$C$48)+1)*'Guide &amp; Settings'!$C$49,0)))</f>
        <v>0</v>
      </c>
    </row>
    <row r="406" spans="1:29" x14ac:dyDescent="0.2">
      <c r="A406" s="111">
        <v>174</v>
      </c>
      <c r="B406" s="112">
        <v>46222</v>
      </c>
      <c r="C406" s="113" t="s">
        <v>203</v>
      </c>
      <c r="D406" s="113" t="s">
        <v>138</v>
      </c>
      <c r="E406" s="111" t="s">
        <v>309</v>
      </c>
      <c r="F406" s="114">
        <f t="shared" si="102"/>
        <v>2</v>
      </c>
      <c r="G406" s="115" t="str">
        <f t="shared" si="103"/>
        <v>Daniel (Ferret)</v>
      </c>
      <c r="H406" s="116">
        <f>IF($D406="",0,IFERROR(LOOKUP(2,1/(($D$3:D405=$D406)*($A$3:A405&lt;$A406)),$N$3:N405),'Guide &amp; Settings'!$C$41))</f>
        <v>996.80890241939892</v>
      </c>
      <c r="I406" s="117">
        <f t="shared" si="104"/>
        <v>0.3</v>
      </c>
      <c r="J406" s="118">
        <f>IF($D406="",0,IF($F406&lt;2,0,IF($E406="Win",('Guide &amp; Settings'!$C$42/(($F406-1)*COUNTIFS($A$4:$A$810,$A406,$E$4:$E$810,"Win")))*SUMIFS($X$4:$X$810,$A$4:$A$810,$A406,$E$4:$E$810,"Loss"),-('Guide &amp; Settings'!$C$42/($F406-1))*$X406)))</f>
        <v>-12.194489875947143</v>
      </c>
      <c r="K406" s="118">
        <f>IF($D406="",0,'Guide &amp; Settings'!$C$43*(IF($E406="Win",1,0)-$I406))</f>
        <v>-3.5999999999999996</v>
      </c>
      <c r="L406" s="119">
        <f>IF($D406="",0,'Guide &amp; Settings'!$C$44*IF($F406&gt;=3,$F406,0))</f>
        <v>0</v>
      </c>
      <c r="M406" s="118">
        <f t="shared" si="105"/>
        <v>-15.794489875947143</v>
      </c>
      <c r="N406" s="116">
        <f t="shared" si="106"/>
        <v>981.01441254345173</v>
      </c>
      <c r="O406" s="115" t="str">
        <f t="shared" si="107"/>
        <v>OK</v>
      </c>
      <c r="P406">
        <f t="shared" si="108"/>
        <v>1066.2240983216975</v>
      </c>
      <c r="Q406">
        <f t="shared" si="109"/>
        <v>0.40141181471511106</v>
      </c>
      <c r="R406">
        <f t="shared" si="110"/>
        <v>0.33333333333333331</v>
      </c>
      <c r="S406">
        <f t="shared" si="111"/>
        <v>1.1111111111111112</v>
      </c>
      <c r="T406" s="83">
        <f t="shared" si="112"/>
        <v>7</v>
      </c>
      <c r="U406" s="120">
        <f>IF($D406="",0,IFERROR(LOOKUP(2,1/(($D$3:D405=$D406)*($C$3:C405=$C406)*($A$3:A405&lt;$A406)),$AB$3:AB405),1000))</f>
        <v>968.22654935673825</v>
      </c>
      <c r="V406" s="120">
        <f t="shared" si="113"/>
        <v>980.13586313284691</v>
      </c>
      <c r="W406">
        <f t="shared" si="114"/>
        <v>1064.3848212889875</v>
      </c>
      <c r="X406">
        <f t="shared" si="115"/>
        <v>0.38107780862334822</v>
      </c>
      <c r="Y406">
        <f t="shared" si="116"/>
        <v>1063.0710519799088</v>
      </c>
      <c r="Z406">
        <f t="shared" si="117"/>
        <v>0.36680017254272279</v>
      </c>
      <c r="AA406">
        <f>IF($D406="",0,IF($F406&lt;2,0,IF($E406="Win",('Guide &amp; Settings'!$C$42/(($F406-1)*COUNTIFS($A$4:$A$810,$A406,$E$4:$E$810,"Win")))*SUMIFS($Z$4:$Z$810,$A$4:$A$810,$A406,$E$4:$E$810,"Loss"),-('Guide &amp; Settings'!$C$42/($F406-1))*$Z406)))</f>
        <v>-11.737605521367129</v>
      </c>
      <c r="AB406" s="120">
        <f t="shared" si="118"/>
        <v>956.48894383537117</v>
      </c>
      <c r="AC406" s="120">
        <f>IF($D406="","",IF(SUMPRODUCT(MAX(($D$4:$D$810=$D406)*($B$4:$B$810&lt;$B406)*$B$4:$B$810))=0,0,IF(($B406-MAX(SUMPRODUCT(MAX(($D$4:$D$810=$D406)*($B$4:$B$810&lt;$B406)*$B$4:$B$810)),'Guide &amp; Settings'!$C$50))/7-'Guide &amp; Settings'!$C$48&gt;=0,(INT(($B406-MAX(SUMPRODUCT(MAX(($D$4:$D$810=$D406)*($B$4:$B$810&lt;$B406)*$B$4:$B$810)),'Guide &amp; Settings'!$C$50))/7-'Guide &amp; Settings'!$C$48)+1)*'Guide &amp; Settings'!$C$49,0)))</f>
        <v>0</v>
      </c>
    </row>
    <row r="407" spans="1:29" x14ac:dyDescent="0.2">
      <c r="A407" s="111">
        <v>174</v>
      </c>
      <c r="B407" s="112">
        <v>46222</v>
      </c>
      <c r="C407" s="113" t="s">
        <v>203</v>
      </c>
      <c r="D407" s="113" t="s">
        <v>170</v>
      </c>
      <c r="E407" s="111" t="s">
        <v>308</v>
      </c>
      <c r="F407" s="114">
        <f t="shared" si="102"/>
        <v>2</v>
      </c>
      <c r="G407" s="115" t="str">
        <f t="shared" si="103"/>
        <v>Daniel (Ferret)</v>
      </c>
      <c r="H407" s="116">
        <f>IF($D407="",0,IFERROR(LOOKUP(2,1/(($D$3:D406=$D407)*($A$3:A406&lt;$A407)),$N$3:N406),'Guide &amp; Settings'!$C$41))</f>
        <v>1066.2240983216975</v>
      </c>
      <c r="I407" s="117">
        <f t="shared" si="104"/>
        <v>0.7</v>
      </c>
      <c r="J407" s="118">
        <f>IF($D407="",0,IF($F407&lt;2,0,IF($E407="Win",('Guide &amp; Settings'!$C$42/(($F407-1)*COUNTIFS($A$4:$A$810,$A407,$E$4:$E$810,"Win")))*SUMIFS($X$4:$X$810,$A$4:$A$810,$A407,$E$4:$E$810,"Loss"),-('Guide &amp; Settings'!$C$42/($F407-1))*$X407)))</f>
        <v>12.194489875947143</v>
      </c>
      <c r="K407" s="118">
        <f>IF($D407="",0,'Guide &amp; Settings'!$C$43*(IF($E407="Win",1,0)-$I407))</f>
        <v>3.6000000000000005</v>
      </c>
      <c r="L407" s="119">
        <f>IF($D407="",0,'Guide &amp; Settings'!$C$44*IF($F407&gt;=3,$F407,0))</f>
        <v>0</v>
      </c>
      <c r="M407" s="118">
        <f t="shared" si="105"/>
        <v>15.794489875947143</v>
      </c>
      <c r="N407" s="116">
        <f t="shared" si="106"/>
        <v>1082.0185881976447</v>
      </c>
      <c r="O407" s="115" t="str">
        <f t="shared" si="107"/>
        <v>OK</v>
      </c>
      <c r="P407">
        <f t="shared" si="108"/>
        <v>1066.2240983216975</v>
      </c>
      <c r="Q407">
        <f t="shared" si="109"/>
        <v>0.5</v>
      </c>
      <c r="R407">
        <f t="shared" si="110"/>
        <v>0.77777777777777779</v>
      </c>
      <c r="S407">
        <f t="shared" si="111"/>
        <v>1.1111111111111112</v>
      </c>
      <c r="T407" s="83">
        <f t="shared" si="112"/>
        <v>7</v>
      </c>
      <c r="U407" s="120">
        <f>IF($D407="",0,IFERROR(LOOKUP(2,1/(($D$3:D406=$D407)*($C$3:C406=$C407)*($A$3:A406&lt;$A407)),$AB$3:AB406),1000))</f>
        <v>1063.0710519799088</v>
      </c>
      <c r="V407" s="120">
        <f t="shared" si="113"/>
        <v>1064.3848212889875</v>
      </c>
      <c r="W407">
        <f t="shared" si="114"/>
        <v>1064.3848212889875</v>
      </c>
      <c r="X407">
        <f t="shared" si="115"/>
        <v>0.5</v>
      </c>
      <c r="Y407">
        <f t="shared" si="116"/>
        <v>1063.0710519799088</v>
      </c>
      <c r="Z407">
        <f t="shared" si="117"/>
        <v>0.5</v>
      </c>
      <c r="AA407">
        <f>IF($D407="",0,IF($F407&lt;2,0,IF($E407="Win",('Guide &amp; Settings'!$C$42/(($F407-1)*COUNTIFS($A$4:$A$810,$A407,$E$4:$E$810,"Win")))*SUMIFS($Z$4:$Z$810,$A$4:$A$810,$A407,$E$4:$E$810,"Loss"),-('Guide &amp; Settings'!$C$42/($F407-1))*$Z407)))</f>
        <v>11.737605521367129</v>
      </c>
      <c r="AB407" s="120">
        <f t="shared" si="118"/>
        <v>1074.808657501276</v>
      </c>
      <c r="AC407" s="120">
        <f>IF($D407="","",IF(SUMPRODUCT(MAX(($D$4:$D$810=$D407)*($B$4:$B$810&lt;$B407)*$B$4:$B$810))=0,0,IF(($B407-MAX(SUMPRODUCT(MAX(($D$4:$D$810=$D407)*($B$4:$B$810&lt;$B407)*$B$4:$B$810)),'Guide &amp; Settings'!$C$50))/7-'Guide &amp; Settings'!$C$48&gt;=0,(INT(($B407-MAX(SUMPRODUCT(MAX(($D$4:$D$810=$D407)*($B$4:$B$810&lt;$B407)*$B$4:$B$810)),'Guide &amp; Settings'!$C$50))/7-'Guide &amp; Settings'!$C$48)+1)*'Guide &amp; Settings'!$C$49,0)))</f>
        <v>0</v>
      </c>
    </row>
    <row r="408" spans="1:29" x14ac:dyDescent="0.2">
      <c r="A408" s="111">
        <v>175</v>
      </c>
      <c r="B408" s="112">
        <v>46222</v>
      </c>
      <c r="C408" s="113" t="s">
        <v>203</v>
      </c>
      <c r="D408" s="113" t="s">
        <v>138</v>
      </c>
      <c r="E408" s="111" t="s">
        <v>308</v>
      </c>
      <c r="F408" s="114">
        <f t="shared" si="102"/>
        <v>2</v>
      </c>
      <c r="G408" s="115" t="str">
        <f t="shared" si="103"/>
        <v>Aaron</v>
      </c>
      <c r="H408" s="116">
        <f>IF($D408="",0,IFERROR(LOOKUP(2,1/(($D$3:D407=$D408)*($A$3:A407&lt;$A408)),$N$3:N407),'Guide &amp; Settings'!$C$41))</f>
        <v>981.01441254345173</v>
      </c>
      <c r="I408" s="117">
        <f t="shared" si="104"/>
        <v>0.27272727272727271</v>
      </c>
      <c r="J408" s="118">
        <f>IF($D408="",0,IF($F408&lt;2,0,IF($E408="Win",('Guide &amp; Settings'!$C$42/(($F408-1)*COUNTIFS($A$4:$A$810,$A408,$E$4:$E$810,"Win")))*SUMIFS($X$4:$X$810,$A$4:$A$810,$A408,$E$4:$E$810,"Loss"),-('Guide &amp; Settings'!$C$42/($F408-1))*$X408)))</f>
        <v>20.972110448155245</v>
      </c>
      <c r="K408" s="118">
        <f>IF($D408="",0,'Guide &amp; Settings'!$C$43*(IF($E408="Win",1,0)-$I408))</f>
        <v>8.7272727272727266</v>
      </c>
      <c r="L408" s="119">
        <f>IF($D408="",0,'Guide &amp; Settings'!$C$44*IF($F408&gt;=3,$F408,0))</f>
        <v>0</v>
      </c>
      <c r="M408" s="118">
        <f t="shared" si="105"/>
        <v>29.699383175427972</v>
      </c>
      <c r="N408" s="116">
        <f t="shared" si="106"/>
        <v>1010.7137957188797</v>
      </c>
      <c r="O408" s="115" t="str">
        <f t="shared" si="107"/>
        <v>OK</v>
      </c>
      <c r="P408">
        <f t="shared" si="108"/>
        <v>981.01441254345173</v>
      </c>
      <c r="Q408">
        <f t="shared" si="109"/>
        <v>0.5</v>
      </c>
      <c r="R408">
        <f t="shared" si="110"/>
        <v>0.3</v>
      </c>
      <c r="S408">
        <f t="shared" si="111"/>
        <v>1.1000000000000001</v>
      </c>
      <c r="T408" s="83">
        <f t="shared" si="112"/>
        <v>8</v>
      </c>
      <c r="U408" s="120">
        <f>IF($D408="",0,IFERROR(LOOKUP(2,1/(($D$3:D407=$D408)*($C$3:C407=$C408)*($A$3:A407&lt;$A408)),$AB$3:AB407),1000))</f>
        <v>956.48894383537117</v>
      </c>
      <c r="V408" s="120">
        <f t="shared" si="113"/>
        <v>965.92181641540219</v>
      </c>
      <c r="W408">
        <f t="shared" si="114"/>
        <v>965.92181641540219</v>
      </c>
      <c r="X408">
        <f t="shared" si="115"/>
        <v>0.5</v>
      </c>
      <c r="Y408">
        <f t="shared" si="116"/>
        <v>956.48894383537117</v>
      </c>
      <c r="Z408">
        <f t="shared" si="117"/>
        <v>0.5</v>
      </c>
      <c r="AA408">
        <f>IF($D408="",0,IF($F408&lt;2,0,IF($E408="Win",('Guide &amp; Settings'!$C$42/(($F408-1)*COUNTIFS($A$4:$A$810,$A408,$E$4:$E$810,"Win")))*SUMIFS($Z$4:$Z$810,$A$4:$A$810,$A408,$E$4:$E$810,"Loss"),-('Guide &amp; Settings'!$C$42/($F408-1))*$Z408)))</f>
        <v>21.247514753906565</v>
      </c>
      <c r="AB408" s="120">
        <f t="shared" si="118"/>
        <v>977.73645858927773</v>
      </c>
      <c r="AC408" s="120">
        <f>IF($D408="","",IF(SUMPRODUCT(MAX(($D$4:$D$810=$D408)*($B$4:$B$810&lt;$B408)*$B$4:$B$810))=0,0,IF(($B408-MAX(SUMPRODUCT(MAX(($D$4:$D$810=$D408)*($B$4:$B$810&lt;$B408)*$B$4:$B$810)),'Guide &amp; Settings'!$C$50))/7-'Guide &amp; Settings'!$C$48&gt;=0,(INT(($B408-MAX(SUMPRODUCT(MAX(($D$4:$D$810=$D408)*($B$4:$B$810&lt;$B408)*$B$4:$B$810)),'Guide &amp; Settings'!$C$50))/7-'Guide &amp; Settings'!$C$48)+1)*'Guide &amp; Settings'!$C$49,0)))</f>
        <v>0</v>
      </c>
    </row>
    <row r="409" spans="1:29" x14ac:dyDescent="0.2">
      <c r="A409" s="111">
        <v>175</v>
      </c>
      <c r="B409" s="112">
        <v>46222</v>
      </c>
      <c r="C409" s="113" t="s">
        <v>203</v>
      </c>
      <c r="D409" s="113" t="s">
        <v>170</v>
      </c>
      <c r="E409" s="111" t="s">
        <v>309</v>
      </c>
      <c r="F409" s="114">
        <f t="shared" si="102"/>
        <v>2</v>
      </c>
      <c r="G409" s="115" t="str">
        <f t="shared" si="103"/>
        <v>Aaron</v>
      </c>
      <c r="H409" s="116">
        <f>IF($D409="",0,IFERROR(LOOKUP(2,1/(($D$3:D408=$D409)*($A$3:A408&lt;$A409)),$N$3:N408),'Guide &amp; Settings'!$C$41))</f>
        <v>1082.0185881976447</v>
      </c>
      <c r="I409" s="117">
        <f t="shared" si="104"/>
        <v>0.72727272727272729</v>
      </c>
      <c r="J409" s="118">
        <f>IF($D409="",0,IF($F409&lt;2,0,IF($E409="Win",('Guide &amp; Settings'!$C$42/(($F409-1)*COUNTIFS($A$4:$A$810,$A409,$E$4:$E$810,"Win")))*SUMIFS($X$4:$X$810,$A$4:$A$810,$A409,$E$4:$E$810,"Loss"),-('Guide &amp; Settings'!$C$42/($F409-1))*$X409)))</f>
        <v>-20.972110448155245</v>
      </c>
      <c r="K409" s="118">
        <f>IF($D409="",0,'Guide &amp; Settings'!$C$43*(IF($E409="Win",1,0)-$I409))</f>
        <v>-8.7272727272727266</v>
      </c>
      <c r="L409" s="119">
        <f>IF($D409="",0,'Guide &amp; Settings'!$C$44*IF($F409&gt;=3,$F409,0))</f>
        <v>0</v>
      </c>
      <c r="M409" s="118">
        <f t="shared" si="105"/>
        <v>-29.699383175427972</v>
      </c>
      <c r="N409" s="116">
        <f t="shared" si="106"/>
        <v>1052.3192050222167</v>
      </c>
      <c r="O409" s="115" t="str">
        <f t="shared" si="107"/>
        <v>OK</v>
      </c>
      <c r="P409">
        <f t="shared" si="108"/>
        <v>981.01441254345173</v>
      </c>
      <c r="Q409">
        <f t="shared" si="109"/>
        <v>0.64139564065870613</v>
      </c>
      <c r="R409">
        <f t="shared" si="110"/>
        <v>0.8</v>
      </c>
      <c r="S409">
        <f t="shared" si="111"/>
        <v>1.1000000000000001</v>
      </c>
      <c r="T409" s="83">
        <f t="shared" si="112"/>
        <v>8</v>
      </c>
      <c r="U409" s="120">
        <f>IF($D409="",0,IFERROR(LOOKUP(2,1/(($D$3:D408=$D409)*($C$3:C408=$C409)*($A$3:A408&lt;$A409)),$AB$3:AB408),1000))</f>
        <v>1074.808657501276</v>
      </c>
      <c r="V409" s="120">
        <f t="shared" si="113"/>
        <v>1077.5817077691102</v>
      </c>
      <c r="W409">
        <f t="shared" si="114"/>
        <v>965.92181641540219</v>
      </c>
      <c r="X409">
        <f t="shared" si="115"/>
        <v>0.65537845150485141</v>
      </c>
      <c r="Y409">
        <f t="shared" si="116"/>
        <v>956.48894383537117</v>
      </c>
      <c r="Z409">
        <f t="shared" si="117"/>
        <v>0.66398483605958014</v>
      </c>
      <c r="AA409">
        <f>IF($D409="",0,IF($F409&lt;2,0,IF($E409="Win",('Guide &amp; Settings'!$C$42/(($F409-1)*COUNTIFS($A$4:$A$810,$A409,$E$4:$E$810,"Win")))*SUMIFS($Z$4:$Z$810,$A$4:$A$810,$A409,$E$4:$E$810,"Loss"),-('Guide &amp; Settings'!$C$42/($F409-1))*$Z409)))</f>
        <v>-21.247514753906565</v>
      </c>
      <c r="AB409" s="120">
        <f t="shared" si="118"/>
        <v>1053.5611427473693</v>
      </c>
      <c r="AC409" s="120">
        <f>IF($D409="","",IF(SUMPRODUCT(MAX(($D$4:$D$810=$D409)*($B$4:$B$810&lt;$B409)*$B$4:$B$810))=0,0,IF(($B409-MAX(SUMPRODUCT(MAX(($D$4:$D$810=$D409)*($B$4:$B$810&lt;$B409)*$B$4:$B$810)),'Guide &amp; Settings'!$C$50))/7-'Guide &amp; Settings'!$C$48&gt;=0,(INT(($B409-MAX(SUMPRODUCT(MAX(($D$4:$D$810=$D409)*($B$4:$B$810&lt;$B409)*$B$4:$B$810)),'Guide &amp; Settings'!$C$50))/7-'Guide &amp; Settings'!$C$48)+1)*'Guide &amp; Settings'!$C$49,0)))</f>
        <v>0</v>
      </c>
    </row>
    <row r="410" spans="1:29" x14ac:dyDescent="0.2">
      <c r="A410" s="111">
        <v>176</v>
      </c>
      <c r="B410" s="112">
        <v>46222</v>
      </c>
      <c r="C410" s="113" t="s">
        <v>185</v>
      </c>
      <c r="D410" s="113" t="s">
        <v>172</v>
      </c>
      <c r="E410" s="111" t="s">
        <v>308</v>
      </c>
      <c r="F410" s="114">
        <f t="shared" si="102"/>
        <v>2</v>
      </c>
      <c r="G410" s="115" t="str">
        <f t="shared" si="103"/>
        <v>Dylan A</v>
      </c>
      <c r="H410" s="116">
        <f>IF($D410="",0,IFERROR(LOOKUP(2,1/(($D$3:D409=$D410)*($A$3:A409&lt;$A410)),$N$3:N409),'Guide &amp; Settings'!$C$41))</f>
        <v>1052.4264189977837</v>
      </c>
      <c r="I410" s="117">
        <f t="shared" si="104"/>
        <v>0.5</v>
      </c>
      <c r="J410" s="118">
        <f>IF($D410="",0,IF($F410&lt;2,0,IF($E410="Win",('Guide &amp; Settings'!$C$42/(($F410-1)*COUNTIFS($A$4:$A$810,$A410,$E$4:$E$810,"Win")))*SUMIFS($X$4:$X$810,$A$4:$A$810,$A410,$E$4:$E$810,"Loss"),-('Guide &amp; Settings'!$C$42/($F410-1))*$X410)))</f>
        <v>14.017399522975493</v>
      </c>
      <c r="K410" s="118">
        <f>IF($D410="",0,'Guide &amp; Settings'!$C$43*(IF($E410="Win",1,0)-$I410))</f>
        <v>6</v>
      </c>
      <c r="L410" s="119">
        <f>IF($D410="",0,'Guide &amp; Settings'!$C$44*IF($F410&gt;=3,$F410,0))</f>
        <v>0</v>
      </c>
      <c r="M410" s="118">
        <f t="shared" si="105"/>
        <v>20.017399522975495</v>
      </c>
      <c r="N410" s="116">
        <f t="shared" si="106"/>
        <v>1072.4438185207591</v>
      </c>
      <c r="O410" s="115" t="str">
        <f t="shared" si="107"/>
        <v>OK</v>
      </c>
      <c r="P410">
        <f t="shared" si="108"/>
        <v>1052.4264189977837</v>
      </c>
      <c r="Q410">
        <f t="shared" si="109"/>
        <v>0.5</v>
      </c>
      <c r="R410">
        <f t="shared" si="110"/>
        <v>0.5</v>
      </c>
      <c r="S410">
        <f t="shared" si="111"/>
        <v>1</v>
      </c>
      <c r="T410" s="83">
        <f t="shared" si="112"/>
        <v>0</v>
      </c>
      <c r="U410" s="120">
        <f>IF($D410="",0,IFERROR(LOOKUP(2,1/(($D$3:D409=$D410)*($C$3:C409=$C410)*($A$3:A409&lt;$A410)),$AB$3:AB409),1000))</f>
        <v>1000</v>
      </c>
      <c r="V410" s="120">
        <f t="shared" si="113"/>
        <v>1052.4264189977837</v>
      </c>
      <c r="W410">
        <f t="shared" si="114"/>
        <v>1052.4264189977837</v>
      </c>
      <c r="X410">
        <f t="shared" si="115"/>
        <v>0.5</v>
      </c>
      <c r="Y410">
        <f t="shared" si="116"/>
        <v>1000</v>
      </c>
      <c r="Z410">
        <f t="shared" si="117"/>
        <v>0.5</v>
      </c>
      <c r="AA410">
        <f>IF($D410="",0,IF($F410&lt;2,0,IF($E410="Win",('Guide &amp; Settings'!$C$42/(($F410-1)*COUNTIFS($A$4:$A$810,$A410,$E$4:$E$810,"Win")))*SUMIFS($Z$4:$Z$810,$A$4:$A$810,$A410,$E$4:$E$810,"Loss"),-('Guide &amp; Settings'!$C$42/($F410-1))*$Z410)))</f>
        <v>16</v>
      </c>
      <c r="AB410" s="120">
        <f t="shared" si="118"/>
        <v>1016</v>
      </c>
      <c r="AC410" s="120">
        <f>IF($D410="","",IF(SUMPRODUCT(MAX(($D$4:$D$810=$D410)*($B$4:$B$810&lt;$B410)*$B$4:$B$810))=0,0,IF(($B410-MAX(SUMPRODUCT(MAX(($D$4:$D$810=$D410)*($B$4:$B$810&lt;$B410)*$B$4:$B$810)),'Guide &amp; Settings'!$C$50))/7-'Guide &amp; Settings'!$C$48&gt;=0,(INT(($B410-MAX(SUMPRODUCT(MAX(($D$4:$D$810=$D410)*($B$4:$B$810&lt;$B410)*$B$4:$B$810)),'Guide &amp; Settings'!$C$50))/7-'Guide &amp; Settings'!$C$48)+1)*'Guide &amp; Settings'!$C$49,0)))</f>
        <v>0</v>
      </c>
    </row>
    <row r="411" spans="1:29" x14ac:dyDescent="0.2">
      <c r="A411" s="111">
        <v>176</v>
      </c>
      <c r="B411" s="112">
        <v>46222</v>
      </c>
      <c r="C411" s="113" t="s">
        <v>185</v>
      </c>
      <c r="D411" s="113" t="s">
        <v>171</v>
      </c>
      <c r="E411" s="111" t="s">
        <v>309</v>
      </c>
      <c r="F411" s="114">
        <f t="shared" si="102"/>
        <v>2</v>
      </c>
      <c r="G411" s="115" t="str">
        <f t="shared" si="103"/>
        <v>Dylan A</v>
      </c>
      <c r="H411" s="116">
        <f>IF($D411="",0,IFERROR(LOOKUP(2,1/(($D$3:D410=$D411)*($A$3:A410&lt;$A411)),$N$3:N410),'Guide &amp; Settings'!$C$41))</f>
        <v>1009.152401464836</v>
      </c>
      <c r="I411" s="117">
        <f t="shared" si="104"/>
        <v>0.5</v>
      </c>
      <c r="J411" s="118">
        <f>IF($D411="",0,IF($F411&lt;2,0,IF($E411="Win",('Guide &amp; Settings'!$C$42/(($F411-1)*COUNTIFS($A$4:$A$810,$A411,$E$4:$E$810,"Win")))*SUMIFS($X$4:$X$810,$A$4:$A$810,$A411,$E$4:$E$810,"Loss"),-('Guide &amp; Settings'!$C$42/($F411-1))*$X411)))</f>
        <v>-14.017399522975493</v>
      </c>
      <c r="K411" s="118">
        <f>IF($D411="",0,'Guide &amp; Settings'!$C$43*(IF($E411="Win",1,0)-$I411))</f>
        <v>-6</v>
      </c>
      <c r="L411" s="119">
        <f>IF($D411="",0,'Guide &amp; Settings'!$C$44*IF($F411&gt;=3,$F411,0))</f>
        <v>0</v>
      </c>
      <c r="M411" s="118">
        <f t="shared" si="105"/>
        <v>-20.017399522975495</v>
      </c>
      <c r="N411" s="116">
        <f t="shared" si="106"/>
        <v>989.13500194186054</v>
      </c>
      <c r="O411" s="115" t="str">
        <f t="shared" si="107"/>
        <v>OK</v>
      </c>
      <c r="P411">
        <f t="shared" si="108"/>
        <v>1052.4264189977837</v>
      </c>
      <c r="Q411">
        <f t="shared" si="109"/>
        <v>0.43804373509298417</v>
      </c>
      <c r="R411">
        <f t="shared" si="110"/>
        <v>0.5</v>
      </c>
      <c r="S411">
        <f t="shared" si="111"/>
        <v>1</v>
      </c>
      <c r="T411" s="83">
        <f t="shared" si="112"/>
        <v>0</v>
      </c>
      <c r="U411" s="120">
        <f>IF($D411="",0,IFERROR(LOOKUP(2,1/(($D$3:D410=$D411)*($C$3:C410=$C411)*($A$3:A410&lt;$A411)),$AB$3:AB410),1000))</f>
        <v>1000</v>
      </c>
      <c r="V411" s="120">
        <f t="shared" si="113"/>
        <v>1009.152401464836</v>
      </c>
      <c r="W411">
        <f t="shared" si="114"/>
        <v>1052.4264189977837</v>
      </c>
      <c r="X411">
        <f t="shared" si="115"/>
        <v>0.43804373509298417</v>
      </c>
      <c r="Y411">
        <f t="shared" si="116"/>
        <v>1000</v>
      </c>
      <c r="Z411">
        <f t="shared" si="117"/>
        <v>0.5</v>
      </c>
      <c r="AA411">
        <f>IF($D411="",0,IF($F411&lt;2,0,IF($E411="Win",('Guide &amp; Settings'!$C$42/(($F411-1)*COUNTIFS($A$4:$A$810,$A411,$E$4:$E$810,"Win")))*SUMIFS($Z$4:$Z$810,$A$4:$A$810,$A411,$E$4:$E$810,"Loss"),-('Guide &amp; Settings'!$C$42/($F411-1))*$Z411)))</f>
        <v>-16</v>
      </c>
      <c r="AB411" s="120">
        <f t="shared" si="118"/>
        <v>984</v>
      </c>
      <c r="AC411" s="120">
        <f>IF($D411="","",IF(SUMPRODUCT(MAX(($D$4:$D$810=$D411)*($B$4:$B$810&lt;$B411)*$B$4:$B$810))=0,0,IF(($B411-MAX(SUMPRODUCT(MAX(($D$4:$D$810=$D411)*($B$4:$B$810&lt;$B411)*$B$4:$B$810)),'Guide &amp; Settings'!$C$50))/7-'Guide &amp; Settings'!$C$48&gt;=0,(INT(($B411-MAX(SUMPRODUCT(MAX(($D$4:$D$810=$D411)*($B$4:$B$810&lt;$B411)*$B$4:$B$810)),'Guide &amp; Settings'!$C$50))/7-'Guide &amp; Settings'!$C$48)+1)*'Guide &amp; Settings'!$C$49,0)))</f>
        <v>0</v>
      </c>
    </row>
    <row r="412" spans="1:29" x14ac:dyDescent="0.2">
      <c r="A412" s="111">
        <v>177</v>
      </c>
      <c r="B412" s="112">
        <v>46222</v>
      </c>
      <c r="C412" s="113" t="s">
        <v>185</v>
      </c>
      <c r="D412" s="113" t="s">
        <v>171</v>
      </c>
      <c r="E412" s="111" t="s">
        <v>308</v>
      </c>
      <c r="F412" s="114">
        <f t="shared" si="102"/>
        <v>2</v>
      </c>
      <c r="G412" s="115" t="str">
        <f t="shared" si="103"/>
        <v>Dean M</v>
      </c>
      <c r="H412" s="116">
        <f>IF($D412="",0,IFERROR(LOOKUP(2,1/(($D$3:D411=$D412)*($A$3:A411&lt;$A412)),$N$3:N411),'Guide &amp; Settings'!$C$41))</f>
        <v>989.13500194186054</v>
      </c>
      <c r="I412" s="117">
        <f t="shared" si="104"/>
        <v>0.33333333333333331</v>
      </c>
      <c r="J412" s="118">
        <f>IF($D412="",0,IF($F412&lt;2,0,IF($E412="Win",('Guide &amp; Settings'!$C$42/(($F412-1)*COUNTIFS($A$4:$A$810,$A412,$E$4:$E$810,"Win")))*SUMIFS($X$4:$X$810,$A$4:$A$810,$A412,$E$4:$E$810,"Loss"),-('Guide &amp; Settings'!$C$42/($F412-1))*$X412)))</f>
        <v>19.390539163131706</v>
      </c>
      <c r="K412" s="118">
        <f>IF($D412="",0,'Guide &amp; Settings'!$C$43*(IF($E412="Win",1,0)-$I412))</f>
        <v>8</v>
      </c>
      <c r="L412" s="119">
        <f>IF($D412="",0,'Guide &amp; Settings'!$C$44*IF($F412&gt;=3,$F412,0))</f>
        <v>0</v>
      </c>
      <c r="M412" s="118">
        <f t="shared" si="105"/>
        <v>27.390539163131706</v>
      </c>
      <c r="N412" s="116">
        <f t="shared" si="106"/>
        <v>1016.5255411049923</v>
      </c>
      <c r="O412" s="115" t="str">
        <f t="shared" si="107"/>
        <v>OK</v>
      </c>
      <c r="P412">
        <f t="shared" si="108"/>
        <v>989.13500194186054</v>
      </c>
      <c r="Q412">
        <f t="shared" si="109"/>
        <v>0.5</v>
      </c>
      <c r="R412">
        <f t="shared" si="110"/>
        <v>0.33333333333333331</v>
      </c>
      <c r="S412">
        <f t="shared" si="111"/>
        <v>1</v>
      </c>
      <c r="T412" s="83">
        <f t="shared" si="112"/>
        <v>1</v>
      </c>
      <c r="U412" s="120">
        <f>IF($D412="",0,IFERROR(LOOKUP(2,1/(($D$3:D411=$D412)*($C$3:C411=$C412)*($A$3:A411&lt;$A412)),$AB$3:AB411),1000))</f>
        <v>984</v>
      </c>
      <c r="V412" s="120">
        <f t="shared" si="113"/>
        <v>988.27916828488378</v>
      </c>
      <c r="W412">
        <f t="shared" si="114"/>
        <v>988.27916828488378</v>
      </c>
      <c r="X412">
        <f t="shared" si="115"/>
        <v>0.5</v>
      </c>
      <c r="Y412">
        <f t="shared" si="116"/>
        <v>984</v>
      </c>
      <c r="Z412">
        <f t="shared" si="117"/>
        <v>0.5</v>
      </c>
      <c r="AA412">
        <f>IF($D412="",0,IF($F412&lt;2,0,IF($E412="Win",('Guide &amp; Settings'!$C$42/(($F412-1)*COUNTIFS($A$4:$A$810,$A412,$E$4:$E$810,"Win")))*SUMIFS($Z$4:$Z$810,$A$4:$A$810,$A412,$E$4:$E$810,"Loss"),-('Guide &amp; Settings'!$C$42/($F412-1))*$Z412)))</f>
        <v>17.469501528975478</v>
      </c>
      <c r="AB412" s="120">
        <f t="shared" si="118"/>
        <v>1001.4695015289755</v>
      </c>
      <c r="AC412" s="120">
        <f>IF($D412="","",IF(SUMPRODUCT(MAX(($D$4:$D$810=$D412)*($B$4:$B$810&lt;$B412)*$B$4:$B$810))=0,0,IF(($B412-MAX(SUMPRODUCT(MAX(($D$4:$D$810=$D412)*($B$4:$B$810&lt;$B412)*$B$4:$B$810)),'Guide &amp; Settings'!$C$50))/7-'Guide &amp; Settings'!$C$48&gt;=0,(INT(($B412-MAX(SUMPRODUCT(MAX(($D$4:$D$810=$D412)*($B$4:$B$810&lt;$B412)*$B$4:$B$810)),'Guide &amp; Settings'!$C$50))/7-'Guide &amp; Settings'!$C$48)+1)*'Guide &amp; Settings'!$C$49,0)))</f>
        <v>0</v>
      </c>
    </row>
    <row r="413" spans="1:29" x14ac:dyDescent="0.2">
      <c r="A413" s="111">
        <v>177</v>
      </c>
      <c r="B413" s="112">
        <v>46222</v>
      </c>
      <c r="C413" s="113" t="s">
        <v>185</v>
      </c>
      <c r="D413" s="113" t="s">
        <v>172</v>
      </c>
      <c r="E413" s="111" t="s">
        <v>309</v>
      </c>
      <c r="F413" s="114">
        <f t="shared" si="102"/>
        <v>2</v>
      </c>
      <c r="G413" s="115" t="str">
        <f t="shared" si="103"/>
        <v>Dean M</v>
      </c>
      <c r="H413" s="116">
        <f>IF($D413="",0,IFERROR(LOOKUP(2,1/(($D$3:D412=$D413)*($A$3:A412&lt;$A413)),$N$3:N412),'Guide &amp; Settings'!$C$41))</f>
        <v>1072.4438185207591</v>
      </c>
      <c r="I413" s="117">
        <f t="shared" si="104"/>
        <v>0.66666666666666663</v>
      </c>
      <c r="J413" s="118">
        <f>IF($D413="",0,IF($F413&lt;2,0,IF($E413="Win",('Guide &amp; Settings'!$C$42/(($F413-1)*COUNTIFS($A$4:$A$810,$A413,$E$4:$E$810,"Win")))*SUMIFS($X$4:$X$810,$A$4:$A$810,$A413,$E$4:$E$810,"Loss"),-('Guide &amp; Settings'!$C$42/($F413-1))*$X413)))</f>
        <v>-19.390539163131706</v>
      </c>
      <c r="K413" s="118">
        <f>IF($D413="",0,'Guide &amp; Settings'!$C$43*(IF($E413="Win",1,0)-$I413))</f>
        <v>-8</v>
      </c>
      <c r="L413" s="119">
        <f>IF($D413="",0,'Guide &amp; Settings'!$C$44*IF($F413&gt;=3,$F413,0))</f>
        <v>0</v>
      </c>
      <c r="M413" s="118">
        <f t="shared" si="105"/>
        <v>-27.390539163131706</v>
      </c>
      <c r="N413" s="116">
        <f t="shared" si="106"/>
        <v>1045.0532793576274</v>
      </c>
      <c r="O413" s="115" t="str">
        <f t="shared" si="107"/>
        <v>OK</v>
      </c>
      <c r="P413">
        <f t="shared" si="108"/>
        <v>989.13500194186054</v>
      </c>
      <c r="Q413">
        <f t="shared" si="109"/>
        <v>0.61764493755980077</v>
      </c>
      <c r="R413">
        <f t="shared" si="110"/>
        <v>0.66666666666666663</v>
      </c>
      <c r="S413">
        <f t="shared" si="111"/>
        <v>1</v>
      </c>
      <c r="T413" s="83">
        <f t="shared" si="112"/>
        <v>1</v>
      </c>
      <c r="U413" s="120">
        <f>IF($D413="",0,IFERROR(LOOKUP(2,1/(($D$3:D412=$D413)*($C$3:C412=$C413)*($A$3:A412&lt;$A413)),$AB$3:AB412),1000))</f>
        <v>1016</v>
      </c>
      <c r="V413" s="120">
        <f t="shared" si="113"/>
        <v>1063.0365154339659</v>
      </c>
      <c r="W413">
        <f t="shared" si="114"/>
        <v>988.27916828488378</v>
      </c>
      <c r="X413">
        <f t="shared" si="115"/>
        <v>0.60595434884786581</v>
      </c>
      <c r="Y413">
        <f t="shared" si="116"/>
        <v>984</v>
      </c>
      <c r="Z413">
        <f t="shared" si="117"/>
        <v>0.54592192278048368</v>
      </c>
      <c r="AA413">
        <f>IF($D413="",0,IF($F413&lt;2,0,IF($E413="Win",('Guide &amp; Settings'!$C$42/(($F413-1)*COUNTIFS($A$4:$A$810,$A413,$E$4:$E$810,"Win")))*SUMIFS($Z$4:$Z$810,$A$4:$A$810,$A413,$E$4:$E$810,"Loss"),-('Guide &amp; Settings'!$C$42/($F413-1))*$Z413)))</f>
        <v>-17.469501528975478</v>
      </c>
      <c r="AB413" s="120">
        <f t="shared" si="118"/>
        <v>998.53049847102454</v>
      </c>
      <c r="AC413" s="120">
        <f>IF($D413="","",IF(SUMPRODUCT(MAX(($D$4:$D$810=$D413)*($B$4:$B$810&lt;$B413)*$B$4:$B$810))=0,0,IF(($B413-MAX(SUMPRODUCT(MAX(($D$4:$D$810=$D413)*($B$4:$B$810&lt;$B413)*$B$4:$B$810)),'Guide &amp; Settings'!$C$50))/7-'Guide &amp; Settings'!$C$48&gt;=0,(INT(($B413-MAX(SUMPRODUCT(MAX(($D$4:$D$810=$D413)*($B$4:$B$810&lt;$B413)*$B$4:$B$810)),'Guide &amp; Settings'!$C$50))/7-'Guide &amp; Settings'!$C$48)+1)*'Guide &amp; Settings'!$C$49,0)))</f>
        <v>0</v>
      </c>
    </row>
    <row r="414" spans="1:29" x14ac:dyDescent="0.2">
      <c r="A414" s="111">
        <v>178</v>
      </c>
      <c r="B414" s="112">
        <v>46222</v>
      </c>
      <c r="C414" s="113" t="s">
        <v>185</v>
      </c>
      <c r="D414" s="113" t="s">
        <v>172</v>
      </c>
      <c r="E414" s="111" t="s">
        <v>308</v>
      </c>
      <c r="F414" s="114">
        <f t="shared" si="102"/>
        <v>2</v>
      </c>
      <c r="G414" s="115" t="str">
        <f t="shared" si="103"/>
        <v>Dylan A</v>
      </c>
      <c r="H414" s="116">
        <f>IF($D414="",0,IFERROR(LOOKUP(2,1/(($D$3:D413=$D414)*($A$3:A413&lt;$A414)),$N$3:N413),'Guide &amp; Settings'!$C$41))</f>
        <v>1045.0532793576274</v>
      </c>
      <c r="I414" s="117">
        <f t="shared" si="104"/>
        <v>0.5</v>
      </c>
      <c r="J414" s="118">
        <f>IF($D414="",0,IF($F414&lt;2,0,IF($E414="Win",('Guide &amp; Settings'!$C$42/(($F414-1)*COUNTIFS($A$4:$A$810,$A414,$E$4:$E$810,"Win")))*SUMIFS($X$4:$X$810,$A$4:$A$810,$A414,$E$4:$E$810,"Loss"),-('Guide &amp; Settings'!$C$42/($F414-1))*$X414)))</f>
        <v>15.101223959677791</v>
      </c>
      <c r="K414" s="118">
        <f>IF($D414="",0,'Guide &amp; Settings'!$C$43*(IF($E414="Win",1,0)-$I414))</f>
        <v>6</v>
      </c>
      <c r="L414" s="119">
        <f>IF($D414="",0,'Guide &amp; Settings'!$C$44*IF($F414&gt;=3,$F414,0))</f>
        <v>0</v>
      </c>
      <c r="M414" s="118">
        <f t="shared" si="105"/>
        <v>21.101223959677789</v>
      </c>
      <c r="N414" s="116">
        <f t="shared" si="106"/>
        <v>1066.1545033173052</v>
      </c>
      <c r="O414" s="115" t="str">
        <f t="shared" si="107"/>
        <v>OK</v>
      </c>
      <c r="P414">
        <f t="shared" si="108"/>
        <v>1045.0532793576274</v>
      </c>
      <c r="Q414">
        <f t="shared" si="109"/>
        <v>0.5</v>
      </c>
      <c r="R414">
        <f t="shared" si="110"/>
        <v>0.5</v>
      </c>
      <c r="S414">
        <f t="shared" si="111"/>
        <v>1</v>
      </c>
      <c r="T414" s="83">
        <f t="shared" si="112"/>
        <v>2</v>
      </c>
      <c r="U414" s="120">
        <f>IF($D414="",0,IFERROR(LOOKUP(2,1/(($D$3:D413=$D414)*($C$3:C413=$C414)*($A$3:A413&lt;$A414)),$AB$3:AB413),1000))</f>
        <v>998.53049847102454</v>
      </c>
      <c r="V414" s="120">
        <f t="shared" si="113"/>
        <v>1031.7610562471696</v>
      </c>
      <c r="W414">
        <f t="shared" si="114"/>
        <v>1031.7610562471696</v>
      </c>
      <c r="X414">
        <f t="shared" si="115"/>
        <v>0.5</v>
      </c>
      <c r="Y414">
        <f t="shared" si="116"/>
        <v>998.53049847102454</v>
      </c>
      <c r="Z414">
        <f t="shared" si="117"/>
        <v>0.5</v>
      </c>
      <c r="AA414">
        <f>IF($D414="",0,IF($F414&lt;2,0,IF($E414="Win",('Guide &amp; Settings'!$C$42/(($F414-1)*COUNTIFS($A$4:$A$810,$A414,$E$4:$E$810,"Win")))*SUMIFS($Z$4:$Z$810,$A$4:$A$810,$A414,$E$4:$E$810,"Loss"),-('Guide &amp; Settings'!$C$42/($F414-1))*$Z414)))</f>
        <v>16.135342864367114</v>
      </c>
      <c r="AB414" s="120">
        <f t="shared" si="118"/>
        <v>1014.6658413353916</v>
      </c>
      <c r="AC414" s="120">
        <f>IF($D414="","",IF(SUMPRODUCT(MAX(($D$4:$D$810=$D414)*($B$4:$B$810&lt;$B414)*$B$4:$B$810))=0,0,IF(($B414-MAX(SUMPRODUCT(MAX(($D$4:$D$810=$D414)*($B$4:$B$810&lt;$B414)*$B$4:$B$810)),'Guide &amp; Settings'!$C$50))/7-'Guide &amp; Settings'!$C$48&gt;=0,(INT(($B414-MAX(SUMPRODUCT(MAX(($D$4:$D$810=$D414)*($B$4:$B$810&lt;$B414)*$B$4:$B$810)),'Guide &amp; Settings'!$C$50))/7-'Guide &amp; Settings'!$C$48)+1)*'Guide &amp; Settings'!$C$49,0)))</f>
        <v>0</v>
      </c>
    </row>
    <row r="415" spans="1:29" x14ac:dyDescent="0.2">
      <c r="A415" s="111">
        <v>178</v>
      </c>
      <c r="B415" s="112">
        <v>46222</v>
      </c>
      <c r="C415" s="113" t="s">
        <v>185</v>
      </c>
      <c r="D415" s="113" t="s">
        <v>171</v>
      </c>
      <c r="E415" s="111" t="s">
        <v>309</v>
      </c>
      <c r="F415" s="114">
        <f t="shared" si="102"/>
        <v>2</v>
      </c>
      <c r="G415" s="115" t="str">
        <f t="shared" si="103"/>
        <v>Dylan A</v>
      </c>
      <c r="H415" s="116">
        <f>IF($D415="",0,IFERROR(LOOKUP(2,1/(($D$3:D414=$D415)*($A$3:A414&lt;$A415)),$N$3:N414),'Guide &amp; Settings'!$C$41))</f>
        <v>1016.5255411049923</v>
      </c>
      <c r="I415" s="117">
        <f t="shared" si="104"/>
        <v>0.5</v>
      </c>
      <c r="J415" s="118">
        <f>IF($D415="",0,IF($F415&lt;2,0,IF($E415="Win",('Guide &amp; Settings'!$C$42/(($F415-1)*COUNTIFS($A$4:$A$810,$A415,$E$4:$E$810,"Win")))*SUMIFS($X$4:$X$810,$A$4:$A$810,$A415,$E$4:$E$810,"Loss"),-('Guide &amp; Settings'!$C$42/($F415-1))*$X415)))</f>
        <v>-15.101223959677791</v>
      </c>
      <c r="K415" s="118">
        <f>IF($D415="",0,'Guide &amp; Settings'!$C$43*(IF($E415="Win",1,0)-$I415))</f>
        <v>-6</v>
      </c>
      <c r="L415" s="119">
        <f>IF($D415="",0,'Guide &amp; Settings'!$C$44*IF($F415&gt;=3,$F415,0))</f>
        <v>0</v>
      </c>
      <c r="M415" s="118">
        <f t="shared" si="105"/>
        <v>-21.101223959677789</v>
      </c>
      <c r="N415" s="116">
        <f t="shared" si="106"/>
        <v>995.42431714531449</v>
      </c>
      <c r="O415" s="115" t="str">
        <f t="shared" si="107"/>
        <v>OK</v>
      </c>
      <c r="P415">
        <f t="shared" si="108"/>
        <v>1045.0532793576274</v>
      </c>
      <c r="Q415">
        <f t="shared" si="109"/>
        <v>0.45903729940532523</v>
      </c>
      <c r="R415">
        <f t="shared" si="110"/>
        <v>0.5</v>
      </c>
      <c r="S415">
        <f t="shared" si="111"/>
        <v>1</v>
      </c>
      <c r="T415" s="83">
        <f t="shared" si="112"/>
        <v>2</v>
      </c>
      <c r="U415" s="120">
        <f>IF($D415="",0,IFERROR(LOOKUP(2,1/(($D$3:D414=$D415)*($C$3:C414=$C415)*($A$3:A414&lt;$A415)),$AB$3:AB414),1000))</f>
        <v>1001.4695015289755</v>
      </c>
      <c r="V415" s="120">
        <f t="shared" si="113"/>
        <v>1012.2238155118446</v>
      </c>
      <c r="W415">
        <f t="shared" si="114"/>
        <v>1031.7610562471696</v>
      </c>
      <c r="X415">
        <f t="shared" si="115"/>
        <v>0.47191324873993096</v>
      </c>
      <c r="Y415">
        <f t="shared" si="116"/>
        <v>998.53049847102454</v>
      </c>
      <c r="Z415">
        <f t="shared" si="117"/>
        <v>0.50422946451147233</v>
      </c>
      <c r="AA415">
        <f>IF($D415="",0,IF($F415&lt;2,0,IF($E415="Win",('Guide &amp; Settings'!$C$42/(($F415-1)*COUNTIFS($A$4:$A$810,$A415,$E$4:$E$810,"Win")))*SUMIFS($Z$4:$Z$810,$A$4:$A$810,$A415,$E$4:$E$810,"Loss"),-('Guide &amp; Settings'!$C$42/($F415-1))*$Z415)))</f>
        <v>-16.135342864367114</v>
      </c>
      <c r="AB415" s="120">
        <f t="shared" si="118"/>
        <v>985.33415866460837</v>
      </c>
      <c r="AC415" s="120">
        <f>IF($D415="","",IF(SUMPRODUCT(MAX(($D$4:$D$810=$D415)*($B$4:$B$810&lt;$B415)*$B$4:$B$810))=0,0,IF(($B415-MAX(SUMPRODUCT(MAX(($D$4:$D$810=$D415)*($B$4:$B$810&lt;$B415)*$B$4:$B$810)),'Guide &amp; Settings'!$C$50))/7-'Guide &amp; Settings'!$C$48&gt;=0,(INT(($B415-MAX(SUMPRODUCT(MAX(($D$4:$D$810=$D415)*($B$4:$B$810&lt;$B415)*$B$4:$B$810)),'Guide &amp; Settings'!$C$50))/7-'Guide &amp; Settings'!$C$48)+1)*'Guide &amp; Settings'!$C$49,0)))</f>
        <v>0</v>
      </c>
    </row>
    <row r="416" spans="1:29" x14ac:dyDescent="0.2">
      <c r="A416" s="111">
        <v>179</v>
      </c>
      <c r="B416" s="112">
        <v>46222</v>
      </c>
      <c r="C416" s="113" t="s">
        <v>185</v>
      </c>
      <c r="D416" s="113" t="s">
        <v>172</v>
      </c>
      <c r="E416" s="111" t="s">
        <v>308</v>
      </c>
      <c r="F416" s="114">
        <f t="shared" si="102"/>
        <v>2</v>
      </c>
      <c r="G416" s="115" t="str">
        <f t="shared" si="103"/>
        <v>Dylan A</v>
      </c>
      <c r="H416" s="116">
        <f>IF($D416="",0,IFERROR(LOOKUP(2,1/(($D$3:D415=$D416)*($A$3:A415&lt;$A416)),$N$3:N415),'Guide &amp; Settings'!$C$41))</f>
        <v>1066.1545033173052</v>
      </c>
      <c r="I416" s="117">
        <f t="shared" si="104"/>
        <v>0.64285714285714279</v>
      </c>
      <c r="J416" s="118">
        <f>IF($D416="",0,IF($F416&lt;2,0,IF($E416="Win",('Guide &amp; Settings'!$C$42/(($F416-1)*COUNTIFS($A$4:$A$810,$A416,$E$4:$E$810,"Win")))*SUMIFS($X$4:$X$810,$A$4:$A$810,$A416,$E$4:$E$810,"Loss"),-('Guide &amp; Settings'!$C$42/($F416-1))*$X416)))</f>
        <v>9.9428743719729074</v>
      </c>
      <c r="K416" s="118">
        <f>IF($D416="",0,'Guide &amp; Settings'!$C$43*(IF($E416="Win",1,0)-$I416))</f>
        <v>4.2857142857142865</v>
      </c>
      <c r="L416" s="119">
        <f>IF($D416="",0,'Guide &amp; Settings'!$C$44*IF($F416&gt;=3,$F416,0))</f>
        <v>0</v>
      </c>
      <c r="M416" s="118">
        <f t="shared" si="105"/>
        <v>14.228588657687194</v>
      </c>
      <c r="N416" s="116">
        <f t="shared" si="106"/>
        <v>1080.3830919749923</v>
      </c>
      <c r="O416" s="115" t="str">
        <f t="shared" si="107"/>
        <v>OK</v>
      </c>
      <c r="P416">
        <f t="shared" si="108"/>
        <v>1066.1545033173052</v>
      </c>
      <c r="Q416">
        <f t="shared" si="109"/>
        <v>0.5</v>
      </c>
      <c r="R416">
        <f t="shared" si="110"/>
        <v>0.6</v>
      </c>
      <c r="S416">
        <f t="shared" si="111"/>
        <v>0.93333333333333335</v>
      </c>
      <c r="T416" s="83">
        <f t="shared" si="112"/>
        <v>3</v>
      </c>
      <c r="U416" s="120">
        <f>IF($D416="",0,IFERROR(LOOKUP(2,1/(($D$3:D415=$D416)*($C$3:C415=$C416)*($A$3:A415&lt;$A416)),$AB$3:AB415),1000))</f>
        <v>1014.6658413353916</v>
      </c>
      <c r="V416" s="120">
        <f t="shared" si="113"/>
        <v>1046.8462550740876</v>
      </c>
      <c r="W416">
        <f t="shared" si="114"/>
        <v>1046.8462550740876</v>
      </c>
      <c r="X416">
        <f t="shared" si="115"/>
        <v>0.5</v>
      </c>
      <c r="Y416">
        <f t="shared" si="116"/>
        <v>1014.6658413353916</v>
      </c>
      <c r="Z416">
        <f t="shared" si="117"/>
        <v>0.5</v>
      </c>
      <c r="AA416">
        <f>IF($D416="",0,IF($F416&lt;2,0,IF($E416="Win",('Guide &amp; Settings'!$C$42/(($F416-1)*COUNTIFS($A$4:$A$810,$A416,$E$4:$E$810,"Win")))*SUMIFS($Z$4:$Z$810,$A$4:$A$810,$A416,$E$4:$E$810,"Loss"),-('Guide &amp; Settings'!$C$42/($F416-1))*$Z416)))</f>
        <v>14.62803865836684</v>
      </c>
      <c r="AB416" s="120">
        <f t="shared" si="118"/>
        <v>1029.2938799937585</v>
      </c>
      <c r="AC416" s="120">
        <f>IF($D416="","",IF(SUMPRODUCT(MAX(($D$4:$D$810=$D416)*($B$4:$B$810&lt;$B416)*$B$4:$B$810))=0,0,IF(($B416-MAX(SUMPRODUCT(MAX(($D$4:$D$810=$D416)*($B$4:$B$810&lt;$B416)*$B$4:$B$810)),'Guide &amp; Settings'!$C$50))/7-'Guide &amp; Settings'!$C$48&gt;=0,(INT(($B416-MAX(SUMPRODUCT(MAX(($D$4:$D$810=$D416)*($B$4:$B$810&lt;$B416)*$B$4:$B$810)),'Guide &amp; Settings'!$C$50))/7-'Guide &amp; Settings'!$C$48)+1)*'Guide &amp; Settings'!$C$49,0)))</f>
        <v>0</v>
      </c>
    </row>
    <row r="417" spans="1:29" x14ac:dyDescent="0.2">
      <c r="A417" s="111">
        <v>179</v>
      </c>
      <c r="B417" s="112">
        <v>46222</v>
      </c>
      <c r="C417" s="113" t="s">
        <v>185</v>
      </c>
      <c r="D417" s="113" t="s">
        <v>175</v>
      </c>
      <c r="E417" s="111" t="s">
        <v>309</v>
      </c>
      <c r="F417" s="114">
        <f t="shared" si="102"/>
        <v>2</v>
      </c>
      <c r="G417" s="115" t="str">
        <f t="shared" si="103"/>
        <v>Dylan A</v>
      </c>
      <c r="H417" s="116">
        <f>IF($D417="",0,IFERROR(LOOKUP(2,1/(($D$3:D416=$D417)*($A$3:A416&lt;$A417)),$N$3:N416),'Guide &amp; Settings'!$C$41))</f>
        <v>893.15761519837804</v>
      </c>
      <c r="I417" s="117">
        <f t="shared" si="104"/>
        <v>0.3571428571428571</v>
      </c>
      <c r="J417" s="118">
        <f>IF($D417="",0,IF($F417&lt;2,0,IF($E417="Win",('Guide &amp; Settings'!$C$42/(($F417-1)*COUNTIFS($A$4:$A$810,$A417,$E$4:$E$810,"Win")))*SUMIFS($X$4:$X$810,$A$4:$A$810,$A417,$E$4:$E$810,"Loss"),-('Guide &amp; Settings'!$C$42/($F417-1))*$X417)))</f>
        <v>-9.9428743719729074</v>
      </c>
      <c r="K417" s="118">
        <f>IF($D417="",0,'Guide &amp; Settings'!$C$43*(IF($E417="Win",1,0)-$I417))</f>
        <v>-4.2857142857142847</v>
      </c>
      <c r="L417" s="119">
        <f>IF($D417="",0,'Guide &amp; Settings'!$C$44*IF($F417&gt;=3,$F417,0))</f>
        <v>0</v>
      </c>
      <c r="M417" s="118">
        <f t="shared" si="105"/>
        <v>-14.228588657687192</v>
      </c>
      <c r="N417" s="116">
        <f t="shared" si="106"/>
        <v>878.92902654069087</v>
      </c>
      <c r="O417" s="115" t="str">
        <f t="shared" si="107"/>
        <v>OK</v>
      </c>
      <c r="P417">
        <f t="shared" si="108"/>
        <v>1066.1545033173052</v>
      </c>
      <c r="Q417">
        <f t="shared" si="109"/>
        <v>0.26975811543034756</v>
      </c>
      <c r="R417">
        <f t="shared" si="110"/>
        <v>0.33333333333333331</v>
      </c>
      <c r="S417">
        <f t="shared" si="111"/>
        <v>0.93333333333333335</v>
      </c>
      <c r="T417" s="83">
        <f t="shared" si="112"/>
        <v>1</v>
      </c>
      <c r="U417" s="120">
        <f>IF($D417="",0,IFERROR(LOOKUP(2,1/(($D$3:D416=$D417)*($C$3:C416=$C417)*($A$3:A416&lt;$A417)),$AB$3:AB416),1000))</f>
        <v>984.80073939960539</v>
      </c>
      <c r="V417" s="120">
        <f t="shared" si="113"/>
        <v>908.43146923191591</v>
      </c>
      <c r="W417">
        <f t="shared" si="114"/>
        <v>1046.8462550740876</v>
      </c>
      <c r="X417">
        <f t="shared" si="115"/>
        <v>0.31071482412415335</v>
      </c>
      <c r="Y417">
        <f t="shared" si="116"/>
        <v>1014.6658413353916</v>
      </c>
      <c r="Z417">
        <f t="shared" si="117"/>
        <v>0.45712620807396376</v>
      </c>
      <c r="AA417">
        <f>IF($D417="",0,IF($F417&lt;2,0,IF($E417="Win",('Guide &amp; Settings'!$C$42/(($F417-1)*COUNTIFS($A$4:$A$810,$A417,$E$4:$E$810,"Win")))*SUMIFS($Z$4:$Z$810,$A$4:$A$810,$A417,$E$4:$E$810,"Loss"),-('Guide &amp; Settings'!$C$42/($F417-1))*$Z417)))</f>
        <v>-14.62803865836684</v>
      </c>
      <c r="AB417" s="120">
        <f t="shared" si="118"/>
        <v>970.1727007412386</v>
      </c>
      <c r="AC417" s="120">
        <f>IF($D417="","",IF(SUMPRODUCT(MAX(($D$4:$D$810=$D417)*($B$4:$B$810&lt;$B417)*$B$4:$B$810))=0,0,IF(($B417-MAX(SUMPRODUCT(MAX(($D$4:$D$810=$D417)*($B$4:$B$810&lt;$B417)*$B$4:$B$810)),'Guide &amp; Settings'!$C$50))/7-'Guide &amp; Settings'!$C$48&gt;=0,(INT(($B417-MAX(SUMPRODUCT(MAX(($D$4:$D$810=$D417)*($B$4:$B$810&lt;$B417)*$B$4:$B$810)),'Guide &amp; Settings'!$C$50))/7-'Guide &amp; Settings'!$C$48)+1)*'Guide &amp; Settings'!$C$49,0)))</f>
        <v>0</v>
      </c>
    </row>
    <row r="418" spans="1:29" x14ac:dyDescent="0.2">
      <c r="A418" s="111">
        <v>180</v>
      </c>
      <c r="B418" s="112">
        <v>46222</v>
      </c>
      <c r="C418" s="113" t="s">
        <v>185</v>
      </c>
      <c r="D418" s="113" t="s">
        <v>171</v>
      </c>
      <c r="E418" s="111" t="s">
        <v>308</v>
      </c>
      <c r="F418" s="114">
        <f t="shared" si="102"/>
        <v>2</v>
      </c>
      <c r="G418" s="115" t="str">
        <f t="shared" si="103"/>
        <v>Dean M</v>
      </c>
      <c r="H418" s="116">
        <f>IF($D418="",0,IFERROR(LOOKUP(2,1/(($D$3:D417=$D418)*($A$3:A417&lt;$A418)),$N$3:N417),'Guide &amp; Settings'!$C$41))</f>
        <v>995.42431714531449</v>
      </c>
      <c r="I418" s="117">
        <f t="shared" si="104"/>
        <v>0.61538461538461542</v>
      </c>
      <c r="J418" s="118">
        <f>IF($D418="",0,IF($F418&lt;2,0,IF($E418="Win",('Guide &amp; Settings'!$C$42/(($F418-1)*COUNTIFS($A$4:$A$810,$A418,$E$4:$E$810,"Win")))*SUMIFS($X$4:$X$810,$A$4:$A$810,$A418,$E$4:$E$810,"Loss"),-('Guide &amp; Settings'!$C$42/($F418-1))*$X418)))</f>
        <v>12.090698188531308</v>
      </c>
      <c r="K418" s="118">
        <f>IF($D418="",0,'Guide &amp; Settings'!$C$43*(IF($E418="Win",1,0)-$I418))</f>
        <v>4.615384615384615</v>
      </c>
      <c r="L418" s="119">
        <f>IF($D418="",0,'Guide &amp; Settings'!$C$44*IF($F418&gt;=3,$F418,0))</f>
        <v>0</v>
      </c>
      <c r="M418" s="118">
        <f t="shared" si="105"/>
        <v>16.706082803915923</v>
      </c>
      <c r="N418" s="116">
        <f t="shared" si="106"/>
        <v>1012.1303999492304</v>
      </c>
      <c r="O418" s="115" t="str">
        <f t="shared" si="107"/>
        <v>OK</v>
      </c>
      <c r="P418">
        <f t="shared" si="108"/>
        <v>995.42431714531449</v>
      </c>
      <c r="Q418">
        <f t="shared" si="109"/>
        <v>0.5</v>
      </c>
      <c r="R418">
        <f t="shared" si="110"/>
        <v>0.4</v>
      </c>
      <c r="S418">
        <f t="shared" si="111"/>
        <v>0.65</v>
      </c>
      <c r="T418" s="83">
        <f t="shared" si="112"/>
        <v>3</v>
      </c>
      <c r="U418" s="120">
        <f>IF($D418="",0,IFERROR(LOOKUP(2,1/(($D$3:D417=$D418)*($C$3:C417=$C418)*($A$3:A417&lt;$A418)),$AB$3:AB417),1000))</f>
        <v>985.33415866460837</v>
      </c>
      <c r="V418" s="120">
        <f t="shared" si="113"/>
        <v>991.64050771504969</v>
      </c>
      <c r="W418">
        <f t="shared" si="114"/>
        <v>991.64050771504969</v>
      </c>
      <c r="X418">
        <f t="shared" si="115"/>
        <v>0.5</v>
      </c>
      <c r="Y418">
        <f t="shared" si="116"/>
        <v>985.33415866460837</v>
      </c>
      <c r="Z418">
        <f t="shared" si="117"/>
        <v>0.5</v>
      </c>
      <c r="AA418">
        <f>IF($D418="",0,IF($F418&lt;2,0,IF($E418="Win",('Guide &amp; Settings'!$C$42/(($F418-1)*COUNTIFS($A$4:$A$810,$A418,$E$4:$E$810,"Win")))*SUMIFS($Z$4:$Z$810,$A$4:$A$810,$A418,$E$4:$E$810,"Loss"),-('Guide &amp; Settings'!$C$42/($F418-1))*$Z418)))</f>
        <v>15.302231921575254</v>
      </c>
      <c r="AB418" s="120">
        <f t="shared" si="118"/>
        <v>1000.6363905861837</v>
      </c>
      <c r="AC418" s="120">
        <f>IF($D418="","",IF(SUMPRODUCT(MAX(($D$4:$D$810=$D418)*($B$4:$B$810&lt;$B418)*$B$4:$B$810))=0,0,IF(($B418-MAX(SUMPRODUCT(MAX(($D$4:$D$810=$D418)*($B$4:$B$810&lt;$B418)*$B$4:$B$810)),'Guide &amp; Settings'!$C$50))/7-'Guide &amp; Settings'!$C$48&gt;=0,(INT(($B418-MAX(SUMPRODUCT(MAX(($D$4:$D$810=$D418)*($B$4:$B$810&lt;$B418)*$B$4:$B$810)),'Guide &amp; Settings'!$C$50))/7-'Guide &amp; Settings'!$C$48)+1)*'Guide &amp; Settings'!$C$49,0)))</f>
        <v>0</v>
      </c>
    </row>
    <row r="419" spans="1:29" x14ac:dyDescent="0.2">
      <c r="A419" s="111">
        <v>180</v>
      </c>
      <c r="B419" s="112">
        <v>46222</v>
      </c>
      <c r="C419" s="113" t="s">
        <v>185</v>
      </c>
      <c r="D419" s="113" t="s">
        <v>175</v>
      </c>
      <c r="E419" s="111" t="s">
        <v>309</v>
      </c>
      <c r="F419" s="114">
        <f t="shared" si="102"/>
        <v>2</v>
      </c>
      <c r="G419" s="115" t="str">
        <f t="shared" si="103"/>
        <v>Dean M</v>
      </c>
      <c r="H419" s="116">
        <f>IF($D419="",0,IFERROR(LOOKUP(2,1/(($D$3:D418=$D419)*($A$3:A418&lt;$A419)),$N$3:N418),'Guide &amp; Settings'!$C$41))</f>
        <v>878.92902654069087</v>
      </c>
      <c r="I419" s="117">
        <f t="shared" si="104"/>
        <v>0.38461538461538458</v>
      </c>
      <c r="J419" s="118">
        <f>IF($D419="",0,IF($F419&lt;2,0,IF($E419="Win",('Guide &amp; Settings'!$C$42/(($F419-1)*COUNTIFS($A$4:$A$810,$A419,$E$4:$E$810,"Win")))*SUMIFS($X$4:$X$810,$A$4:$A$810,$A419,$E$4:$E$810,"Loss"),-('Guide &amp; Settings'!$C$42/($F419-1))*$X419)))</f>
        <v>-12.090698188531308</v>
      </c>
      <c r="K419" s="118">
        <f>IF($D419="",0,'Guide &amp; Settings'!$C$43*(IF($E419="Win",1,0)-$I419))</f>
        <v>-4.615384615384615</v>
      </c>
      <c r="L419" s="119">
        <f>IF($D419="",0,'Guide &amp; Settings'!$C$44*IF($F419&gt;=3,$F419,0))</f>
        <v>0</v>
      </c>
      <c r="M419" s="118">
        <f t="shared" si="105"/>
        <v>-16.706082803915923</v>
      </c>
      <c r="N419" s="116">
        <f t="shared" si="106"/>
        <v>862.22294373677494</v>
      </c>
      <c r="O419" s="115" t="str">
        <f t="shared" si="107"/>
        <v>OK</v>
      </c>
      <c r="P419">
        <f t="shared" si="108"/>
        <v>995.42431714531449</v>
      </c>
      <c r="Q419">
        <f t="shared" si="109"/>
        <v>0.33836232493395269</v>
      </c>
      <c r="R419">
        <f t="shared" si="110"/>
        <v>0.25</v>
      </c>
      <c r="S419">
        <f t="shared" si="111"/>
        <v>0.65</v>
      </c>
      <c r="T419" s="83">
        <f t="shared" si="112"/>
        <v>2</v>
      </c>
      <c r="U419" s="120">
        <f>IF($D419="",0,IFERROR(LOOKUP(2,1/(($D$3:D418=$D419)*($C$3:C418=$C419)*($A$3:A418&lt;$A419)),$AB$3:AB418),1000))</f>
        <v>970.1727007412386</v>
      </c>
      <c r="V419" s="120">
        <f t="shared" si="113"/>
        <v>904.99864774084745</v>
      </c>
      <c r="W419">
        <f t="shared" si="114"/>
        <v>991.64050771504969</v>
      </c>
      <c r="X419">
        <f t="shared" si="115"/>
        <v>0.37783431839160336</v>
      </c>
      <c r="Y419">
        <f t="shared" si="116"/>
        <v>985.33415866460837</v>
      </c>
      <c r="Z419">
        <f t="shared" si="117"/>
        <v>0.4781947475492267</v>
      </c>
      <c r="AA419">
        <f>IF($D419="",0,IF($F419&lt;2,0,IF($E419="Win",('Guide &amp; Settings'!$C$42/(($F419-1)*COUNTIFS($A$4:$A$810,$A419,$E$4:$E$810,"Win")))*SUMIFS($Z$4:$Z$810,$A$4:$A$810,$A419,$E$4:$E$810,"Loss"),-('Guide &amp; Settings'!$C$42/($F419-1))*$Z419)))</f>
        <v>-15.302231921575254</v>
      </c>
      <c r="AB419" s="120">
        <f t="shared" si="118"/>
        <v>954.8704688196633</v>
      </c>
      <c r="AC419" s="120">
        <f>IF($D419="","",IF(SUMPRODUCT(MAX(($D$4:$D$810=$D419)*($B$4:$B$810&lt;$B419)*$B$4:$B$810))=0,0,IF(($B419-MAX(SUMPRODUCT(MAX(($D$4:$D$810=$D419)*($B$4:$B$810&lt;$B419)*$B$4:$B$810)),'Guide &amp; Settings'!$C$50))/7-'Guide &amp; Settings'!$C$48&gt;=0,(INT(($B419-MAX(SUMPRODUCT(MAX(($D$4:$D$810=$D419)*($B$4:$B$810&lt;$B419)*$B$4:$B$810)),'Guide &amp; Settings'!$C$50))/7-'Guide &amp; Settings'!$C$48)+1)*'Guide &amp; Settings'!$C$49,0)))</f>
        <v>0</v>
      </c>
    </row>
    <row r="420" spans="1:29" x14ac:dyDescent="0.2">
      <c r="A420" s="111">
        <v>181</v>
      </c>
      <c r="B420" s="112">
        <v>46229</v>
      </c>
      <c r="C420" s="113" t="s">
        <v>204</v>
      </c>
      <c r="D420" s="113" t="s">
        <v>134</v>
      </c>
      <c r="E420" s="111" t="s">
        <v>309</v>
      </c>
      <c r="F420" s="114">
        <f t="shared" si="102"/>
        <v>5</v>
      </c>
      <c r="G420" s="115" t="str">
        <f t="shared" si="103"/>
        <v>Josh</v>
      </c>
      <c r="H420" s="116">
        <f>IF($D420="",0,IFERROR(LOOKUP(2,1/(($D$3:D419=$D420)*($A$3:A419&lt;$A420)),$N$3:N419),'Guide &amp; Settings'!$C$41))</f>
        <v>1159.2274869956852</v>
      </c>
      <c r="I420" s="117">
        <f t="shared" si="104"/>
        <v>0.2</v>
      </c>
      <c r="J420" s="118">
        <f>IF($D420="",0,IF($F420&lt;2,0,IF($E420="Win",('Guide &amp; Settings'!$C$42/(($F420-1)*COUNTIFS($A$4:$A$810,$A420,$E$4:$E$810,"Win")))*SUMIFS($X$4:$X$810,$A$4:$A$810,$A420,$E$4:$E$810,"Loss"),-('Guide &amp; Settings'!$C$42/($F420-1))*$X420)))</f>
        <v>-5.1603882264906362</v>
      </c>
      <c r="K420" s="118">
        <f>IF($D420="",0,'Guide &amp; Settings'!$C$43*(IF($E420="Win",1,0)-$I420))</f>
        <v>-2.4000000000000004</v>
      </c>
      <c r="L420" s="119">
        <f>IF($D420="",0,'Guide &amp; Settings'!$C$44*IF($F420&gt;=3,$F420,0))</f>
        <v>5</v>
      </c>
      <c r="M420" s="118">
        <f t="shared" si="105"/>
        <v>-2.5603882264906366</v>
      </c>
      <c r="N420" s="116">
        <f t="shared" si="106"/>
        <v>1156.6670987691946</v>
      </c>
      <c r="O420" s="115" t="str">
        <f t="shared" si="107"/>
        <v>OK</v>
      </c>
      <c r="P420">
        <f t="shared" si="108"/>
        <v>1063.3497487715442</v>
      </c>
      <c r="Q420">
        <f t="shared" si="109"/>
        <v>0.63458014868876367</v>
      </c>
      <c r="R420">
        <f t="shared" si="110"/>
        <v>0.5</v>
      </c>
      <c r="S420">
        <f t="shared" si="111"/>
        <v>2.5</v>
      </c>
      <c r="T420" s="83">
        <f t="shared" si="112"/>
        <v>0</v>
      </c>
      <c r="U420" s="120">
        <f>IF($D420="",0,IFERROR(LOOKUP(2,1/(($D$3:D419=$D420)*($C$3:C419=$C420)*($A$3:A419&lt;$A420)),$AB$3:AB419),1000))</f>
        <v>1000</v>
      </c>
      <c r="V420" s="120">
        <f t="shared" si="113"/>
        <v>1159.2274869956852</v>
      </c>
      <c r="W420">
        <f t="shared" si="114"/>
        <v>1055.458123976287</v>
      </c>
      <c r="X420">
        <f t="shared" si="115"/>
        <v>0.64504852831132953</v>
      </c>
      <c r="Y420">
        <f t="shared" si="116"/>
        <v>1016</v>
      </c>
      <c r="Z420">
        <f t="shared" si="117"/>
        <v>0.47699041270243769</v>
      </c>
      <c r="AA420">
        <f>IF($D420="",0,IF($F420&lt;2,0,IF($E420="Win",('Guide &amp; Settings'!$C$42/(($F420-1)*COUNTIFS($A$4:$A$810,$A420,$E$4:$E$810,"Win")))*SUMIFS($Z$4:$Z$810,$A$4:$A$810,$A420,$E$4:$E$810,"Loss"),-('Guide &amp; Settings'!$C$42/($F420-1))*$Z420)))</f>
        <v>-3.8159233016195016</v>
      </c>
      <c r="AB420" s="120">
        <f t="shared" si="118"/>
        <v>996.18407669838052</v>
      </c>
      <c r="AC420" s="120">
        <f>IF($D420="","",IF(SUMPRODUCT(MAX(($D$4:$D$810=$D420)*($B$4:$B$810&lt;$B420)*$B$4:$B$810))=0,0,IF(($B420-MAX(SUMPRODUCT(MAX(($D$4:$D$810=$D420)*($B$4:$B$810&lt;$B420)*$B$4:$B$810)),'Guide &amp; Settings'!$C$50))/7-'Guide &amp; Settings'!$C$48&gt;=0,(INT(($B420-MAX(SUMPRODUCT(MAX(($D$4:$D$810=$D420)*($B$4:$B$810&lt;$B420)*$B$4:$B$810)),'Guide &amp; Settings'!$C$50))/7-'Guide &amp; Settings'!$C$48)+1)*'Guide &amp; Settings'!$C$49,0)))</f>
        <v>0</v>
      </c>
    </row>
    <row r="421" spans="1:29" x14ac:dyDescent="0.2">
      <c r="A421" s="111">
        <v>181</v>
      </c>
      <c r="B421" s="112">
        <v>46229</v>
      </c>
      <c r="C421" s="113" t="s">
        <v>204</v>
      </c>
      <c r="D421" s="113" t="s">
        <v>138</v>
      </c>
      <c r="E421" s="111" t="s">
        <v>309</v>
      </c>
      <c r="F421" s="114">
        <f t="shared" si="102"/>
        <v>5</v>
      </c>
      <c r="G421" s="115" t="str">
        <f t="shared" si="103"/>
        <v>Josh</v>
      </c>
      <c r="H421" s="116">
        <f>IF($D421="",0,IFERROR(LOOKUP(2,1/(($D$3:D420=$D421)*($A$3:A420&lt;$A421)),$N$3:N420),'Guide &amp; Settings'!$C$41))</f>
        <v>1010.7137957188797</v>
      </c>
      <c r="I421" s="117">
        <f t="shared" si="104"/>
        <v>0.2</v>
      </c>
      <c r="J421" s="118">
        <f>IF($D421="",0,IF($F421&lt;2,0,IF($E421="Win",('Guide &amp; Settings'!$C$42/(($F421-1)*COUNTIFS($A$4:$A$810,$A421,$E$4:$E$810,"Win")))*SUMIFS($X$4:$X$810,$A$4:$A$810,$A421,$E$4:$E$810,"Loss"),-('Guide &amp; Settings'!$C$42/($F421-1))*$X421)))</f>
        <v>-3.4876910494092361</v>
      </c>
      <c r="K421" s="118">
        <f>IF($D421="",0,'Guide &amp; Settings'!$C$43*(IF($E421="Win",1,0)-$I421))</f>
        <v>-2.4000000000000004</v>
      </c>
      <c r="L421" s="119">
        <f>IF($D421="",0,'Guide &amp; Settings'!$C$44*IF($F421&gt;=3,$F421,0))</f>
        <v>5</v>
      </c>
      <c r="M421" s="118">
        <f t="shared" si="105"/>
        <v>-0.88769104940923604</v>
      </c>
      <c r="N421" s="116">
        <f t="shared" si="106"/>
        <v>1009.8261046694705</v>
      </c>
      <c r="O421" s="115" t="str">
        <f t="shared" si="107"/>
        <v>OK</v>
      </c>
      <c r="P421">
        <f t="shared" si="108"/>
        <v>1063.3497487715442</v>
      </c>
      <c r="Q421">
        <f t="shared" si="109"/>
        <v>0.42482502950812934</v>
      </c>
      <c r="R421">
        <f t="shared" si="110"/>
        <v>0.5</v>
      </c>
      <c r="S421">
        <f t="shared" si="111"/>
        <v>2.5</v>
      </c>
      <c r="T421" s="83">
        <f t="shared" si="112"/>
        <v>0</v>
      </c>
      <c r="U421" s="120">
        <f>IF($D421="",0,IFERROR(LOOKUP(2,1/(($D$3:D420=$D421)*($C$3:C420=$C421)*($A$3:A420&lt;$A421)),$AB$3:AB420),1000))</f>
        <v>1000</v>
      </c>
      <c r="V421" s="120">
        <f t="shared" si="113"/>
        <v>1010.7137957188797</v>
      </c>
      <c r="W421">
        <f t="shared" si="114"/>
        <v>1055.458123976287</v>
      </c>
      <c r="X421">
        <f t="shared" si="115"/>
        <v>0.43596138117615452</v>
      </c>
      <c r="Y421">
        <f t="shared" si="116"/>
        <v>1016</v>
      </c>
      <c r="Z421">
        <f t="shared" si="117"/>
        <v>0.47699041270243769</v>
      </c>
      <c r="AA421">
        <f>IF($D421="",0,IF($F421&lt;2,0,IF($E421="Win",('Guide &amp; Settings'!$C$42/(($F421-1)*COUNTIFS($A$4:$A$810,$A421,$E$4:$E$810,"Win")))*SUMIFS($Z$4:$Z$810,$A$4:$A$810,$A421,$E$4:$E$810,"Loss"),-('Guide &amp; Settings'!$C$42/($F421-1))*$Z421)))</f>
        <v>-3.8159233016195016</v>
      </c>
      <c r="AB421" s="120">
        <f t="shared" si="118"/>
        <v>996.18407669838052</v>
      </c>
      <c r="AC421" s="120">
        <f>IF($D421="","",IF(SUMPRODUCT(MAX(($D$4:$D$810=$D421)*($B$4:$B$810&lt;$B421)*$B$4:$B$810))=0,0,IF(($B421-MAX(SUMPRODUCT(MAX(($D$4:$D$810=$D421)*($B$4:$B$810&lt;$B421)*$B$4:$B$810)),'Guide &amp; Settings'!$C$50))/7-'Guide &amp; Settings'!$C$48&gt;=0,(INT(($B421-MAX(SUMPRODUCT(MAX(($D$4:$D$810=$D421)*($B$4:$B$810&lt;$B421)*$B$4:$B$810)),'Guide &amp; Settings'!$C$50))/7-'Guide &amp; Settings'!$C$48)+1)*'Guide &amp; Settings'!$C$49,0)))</f>
        <v>0</v>
      </c>
    </row>
    <row r="422" spans="1:29" x14ac:dyDescent="0.2">
      <c r="A422" s="111">
        <v>181</v>
      </c>
      <c r="B422" s="112">
        <v>46229</v>
      </c>
      <c r="C422" s="113" t="s">
        <v>204</v>
      </c>
      <c r="D422" s="113" t="s">
        <v>170</v>
      </c>
      <c r="E422" s="111" t="s">
        <v>309</v>
      </c>
      <c r="F422" s="114">
        <f t="shared" si="102"/>
        <v>5</v>
      </c>
      <c r="G422" s="115" t="str">
        <f t="shared" si="103"/>
        <v>Josh</v>
      </c>
      <c r="H422" s="116">
        <f>IF($D422="",0,IFERROR(LOOKUP(2,1/(($D$3:D421=$D422)*($A$3:A421&lt;$A422)),$N$3:N421),'Guide &amp; Settings'!$C$41))</f>
        <v>1052.3192050222167</v>
      </c>
      <c r="I422" s="117">
        <f t="shared" si="104"/>
        <v>0.13333333333333333</v>
      </c>
      <c r="J422" s="118">
        <f>IF($D422="",0,IF($F422&lt;2,0,IF($E422="Win",('Guide &amp; Settings'!$C$42/(($F422-1)*COUNTIFS($A$4:$A$810,$A422,$E$4:$E$810,"Win")))*SUMIFS($X$4:$X$810,$A$4:$A$810,$A422,$E$4:$E$810,"Loss"),-('Guide &amp; Settings'!$C$42/($F422-1))*$X422)))</f>
        <v>-3.8481930554200767</v>
      </c>
      <c r="K422" s="118">
        <f>IF($D422="",0,'Guide &amp; Settings'!$C$43*(IF($E422="Win",1,0)-$I422))</f>
        <v>-1.6</v>
      </c>
      <c r="L422" s="119">
        <f>IF($D422="",0,'Guide &amp; Settings'!$C$44*IF($F422&gt;=3,$F422,0))</f>
        <v>5</v>
      </c>
      <c r="M422" s="118">
        <f t="shared" si="105"/>
        <v>-0.44819305542007726</v>
      </c>
      <c r="N422" s="116">
        <f t="shared" si="106"/>
        <v>1051.8710119667967</v>
      </c>
      <c r="O422" s="115" t="str">
        <f t="shared" si="107"/>
        <v>OK</v>
      </c>
      <c r="P422">
        <f t="shared" si="108"/>
        <v>1063.3497487715442</v>
      </c>
      <c r="Q422">
        <f t="shared" si="109"/>
        <v>0.48413110290050126</v>
      </c>
      <c r="R422">
        <f t="shared" si="110"/>
        <v>0.33333333333333331</v>
      </c>
      <c r="S422">
        <f t="shared" si="111"/>
        <v>2.5</v>
      </c>
      <c r="T422" s="83">
        <f t="shared" si="112"/>
        <v>1</v>
      </c>
      <c r="U422" s="120">
        <f>IF($D422="",0,IFERROR(LOOKUP(2,1/(($D$3:D421=$D422)*($C$3:C421=$C422)*($A$3:A421&lt;$A422)),$AB$3:AB421),1000))</f>
        <v>992</v>
      </c>
      <c r="V422" s="120">
        <f t="shared" si="113"/>
        <v>1042.2660041851807</v>
      </c>
      <c r="W422">
        <f t="shared" si="114"/>
        <v>1055.458123976287</v>
      </c>
      <c r="X422">
        <f t="shared" si="115"/>
        <v>0.48102413192750959</v>
      </c>
      <c r="Y422">
        <f t="shared" si="116"/>
        <v>1016</v>
      </c>
      <c r="Z422">
        <f t="shared" si="117"/>
        <v>0.46551605527316847</v>
      </c>
      <c r="AA422">
        <f>IF($D422="",0,IF($F422&lt;2,0,IF($E422="Win",('Guide &amp; Settings'!$C$42/(($F422-1)*COUNTIFS($A$4:$A$810,$A422,$E$4:$E$810,"Win")))*SUMIFS($Z$4:$Z$810,$A$4:$A$810,$A422,$E$4:$E$810,"Loss"),-('Guide &amp; Settings'!$C$42/($F422-1))*$Z422)))</f>
        <v>-3.7241284421853478</v>
      </c>
      <c r="AB422" s="120">
        <f t="shared" si="118"/>
        <v>988.27587155781464</v>
      </c>
      <c r="AC422" s="120">
        <f>IF($D422="","",IF(SUMPRODUCT(MAX(($D$4:$D$810=$D422)*($B$4:$B$810&lt;$B422)*$B$4:$B$810))=0,0,IF(($B422-MAX(SUMPRODUCT(MAX(($D$4:$D$810=$D422)*($B$4:$B$810&lt;$B422)*$B$4:$B$810)),'Guide &amp; Settings'!$C$50))/7-'Guide &amp; Settings'!$C$48&gt;=0,(INT(($B422-MAX(SUMPRODUCT(MAX(($D$4:$D$810=$D422)*($B$4:$B$810&lt;$B422)*$B$4:$B$810)),'Guide &amp; Settings'!$C$50))/7-'Guide &amp; Settings'!$C$48)+1)*'Guide &amp; Settings'!$C$49,0)))</f>
        <v>0</v>
      </c>
    </row>
    <row r="423" spans="1:29" x14ac:dyDescent="0.2">
      <c r="A423" s="111">
        <v>181</v>
      </c>
      <c r="B423" s="112">
        <v>46229</v>
      </c>
      <c r="C423" s="113" t="s">
        <v>204</v>
      </c>
      <c r="D423" s="113" t="s">
        <v>168</v>
      </c>
      <c r="E423" s="111" t="s">
        <v>309</v>
      </c>
      <c r="F423" s="114">
        <f t="shared" si="102"/>
        <v>5</v>
      </c>
      <c r="G423" s="115" t="str">
        <f t="shared" si="103"/>
        <v>Josh</v>
      </c>
      <c r="H423" s="116">
        <f>IF($D423="",0,IFERROR(LOOKUP(2,1/(($D$3:D422=$D423)*($A$3:A422&lt;$A423)),$N$3:N422),'Guide &amp; Settings'!$C$41))</f>
        <v>1051.594831345267</v>
      </c>
      <c r="I423" s="117">
        <f t="shared" si="104"/>
        <v>0.2</v>
      </c>
      <c r="J423" s="118">
        <f>IF($D423="",0,IF($F423&lt;2,0,IF($E423="Win",('Guide &amp; Settings'!$C$42/(($F423-1)*COUNTIFS($A$4:$A$810,$A423,$E$4:$E$810,"Win")))*SUMIFS($X$4:$X$810,$A$4:$A$810,$A423,$E$4:$E$810,"Loss"),-('Guide &amp; Settings'!$C$42/($F423-1))*$X423)))</f>
        <v>-3.9555240329096013</v>
      </c>
      <c r="K423" s="118">
        <f>IF($D423="",0,'Guide &amp; Settings'!$C$43*(IF($E423="Win",1,0)-$I423))</f>
        <v>-2.4000000000000004</v>
      </c>
      <c r="L423" s="119">
        <f>IF($D423="",0,'Guide &amp; Settings'!$C$44*IF($F423&gt;=3,$F423,0))</f>
        <v>5</v>
      </c>
      <c r="M423" s="118">
        <f t="shared" si="105"/>
        <v>-1.3555240329096012</v>
      </c>
      <c r="N423" s="116">
        <f t="shared" si="106"/>
        <v>1050.2393073123574</v>
      </c>
      <c r="O423" s="115" t="str">
        <f t="shared" si="107"/>
        <v>OK</v>
      </c>
      <c r="P423">
        <f t="shared" si="108"/>
        <v>1063.3497487715442</v>
      </c>
      <c r="Q423">
        <f t="shared" si="109"/>
        <v>0.48308976585082891</v>
      </c>
      <c r="R423">
        <f t="shared" si="110"/>
        <v>0.5</v>
      </c>
      <c r="S423">
        <f t="shared" si="111"/>
        <v>2.5</v>
      </c>
      <c r="T423" s="83">
        <f t="shared" si="112"/>
        <v>0</v>
      </c>
      <c r="U423" s="120">
        <f>IF($D423="",0,IFERROR(LOOKUP(2,1/(($D$3:D422=$D423)*($C$3:C422=$C423)*($A$3:A422&lt;$A423)),$AB$3:AB422),1000))</f>
        <v>1000</v>
      </c>
      <c r="V423" s="120">
        <f t="shared" si="113"/>
        <v>1051.594831345267</v>
      </c>
      <c r="W423">
        <f t="shared" si="114"/>
        <v>1055.458123976287</v>
      </c>
      <c r="X423">
        <f t="shared" si="115"/>
        <v>0.49444050411370016</v>
      </c>
      <c r="Y423">
        <f t="shared" si="116"/>
        <v>1016</v>
      </c>
      <c r="Z423">
        <f t="shared" si="117"/>
        <v>0.47699041270243769</v>
      </c>
      <c r="AA423">
        <f>IF($D423="",0,IF($F423&lt;2,0,IF($E423="Win",('Guide &amp; Settings'!$C$42/(($F423-1)*COUNTIFS($A$4:$A$810,$A423,$E$4:$E$810,"Win")))*SUMIFS($Z$4:$Z$810,$A$4:$A$810,$A423,$E$4:$E$810,"Loss"),-('Guide &amp; Settings'!$C$42/($F423-1))*$Z423)))</f>
        <v>-3.8159233016195016</v>
      </c>
      <c r="AB423" s="120">
        <f t="shared" si="118"/>
        <v>996.18407669838052</v>
      </c>
      <c r="AC423" s="120">
        <f>IF($D423="","",IF(SUMPRODUCT(MAX(($D$4:$D$810=$D423)*($B$4:$B$810&lt;$B423)*$B$4:$B$810))=0,0,IF(($B423-MAX(SUMPRODUCT(MAX(($D$4:$D$810=$D423)*($B$4:$B$810&lt;$B423)*$B$4:$B$810)),'Guide &amp; Settings'!$C$50))/7-'Guide &amp; Settings'!$C$48&gt;=0,(INT(($B423-MAX(SUMPRODUCT(MAX(($D$4:$D$810=$D423)*($B$4:$B$810&lt;$B423)*$B$4:$B$810)),'Guide &amp; Settings'!$C$50))/7-'Guide &amp; Settings'!$C$48)+1)*'Guide &amp; Settings'!$C$49,0)))</f>
        <v>0</v>
      </c>
    </row>
    <row r="424" spans="1:29" x14ac:dyDescent="0.2">
      <c r="A424" s="111">
        <v>181</v>
      </c>
      <c r="B424" s="112">
        <v>46229</v>
      </c>
      <c r="C424" s="113" t="s">
        <v>204</v>
      </c>
      <c r="D424" s="113" t="s">
        <v>137</v>
      </c>
      <c r="E424" s="111" t="s">
        <v>308</v>
      </c>
      <c r="F424" s="114">
        <f t="shared" si="102"/>
        <v>5</v>
      </c>
      <c r="G424" s="115" t="str">
        <f t="shared" si="103"/>
        <v>Josh</v>
      </c>
      <c r="H424" s="116">
        <f>IF($D424="",0,IFERROR(LOOKUP(2,1/(($D$3:D423=$D424)*($A$3:A423&lt;$A424)),$N$3:N423),'Guide &amp; Settings'!$C$41))</f>
        <v>1063.3497487715442</v>
      </c>
      <c r="I424" s="117">
        <f t="shared" si="104"/>
        <v>0.26666666666666666</v>
      </c>
      <c r="J424" s="118">
        <f>IF($D424="",0,IF($F424&lt;2,0,IF($E424="Win",('Guide &amp; Settings'!$C$42/(($F424-1)*COUNTIFS($A$4:$A$810,$A424,$E$4:$E$810,"Win")))*SUMIFS($X$4:$X$810,$A$4:$A$810,$A424,$E$4:$E$810,"Loss"),-('Guide &amp; Settings'!$C$42/($F424-1))*$X424)))</f>
        <v>16.451796364229551</v>
      </c>
      <c r="K424" s="118">
        <f>IF($D424="",0,'Guide &amp; Settings'!$C$43*(IF($E424="Win",1,0)-$I424))</f>
        <v>8.8000000000000007</v>
      </c>
      <c r="L424" s="119">
        <f>IF($D424="",0,'Guide &amp; Settings'!$C$44*IF($F424&gt;=3,$F424,0))</f>
        <v>5</v>
      </c>
      <c r="M424" s="118">
        <f t="shared" si="105"/>
        <v>30.251796364229552</v>
      </c>
      <c r="N424" s="116">
        <f t="shared" si="106"/>
        <v>1093.6015451357737</v>
      </c>
      <c r="O424" s="115" t="str">
        <f t="shared" si="107"/>
        <v>OK</v>
      </c>
      <c r="P424">
        <f t="shared" si="108"/>
        <v>1063.3497487715442</v>
      </c>
      <c r="Q424">
        <f t="shared" si="109"/>
        <v>0.5</v>
      </c>
      <c r="R424">
        <f t="shared" si="110"/>
        <v>0.66666666666666663</v>
      </c>
      <c r="S424">
        <f t="shared" si="111"/>
        <v>2.5</v>
      </c>
      <c r="T424" s="83">
        <f t="shared" si="112"/>
        <v>1</v>
      </c>
      <c r="U424" s="120">
        <f>IF($D424="",0,IFERROR(LOOKUP(2,1/(($D$3:D423=$D424)*($C$3:C423=$C424)*($A$3:A423&lt;$A424)),$AB$3:AB423),1000))</f>
        <v>1016</v>
      </c>
      <c r="V424" s="120">
        <f t="shared" si="113"/>
        <v>1055.458123976287</v>
      </c>
      <c r="W424">
        <f t="shared" si="114"/>
        <v>1055.458123976287</v>
      </c>
      <c r="X424">
        <f t="shared" si="115"/>
        <v>0.5</v>
      </c>
      <c r="Y424">
        <f t="shared" si="116"/>
        <v>1016</v>
      </c>
      <c r="Z424">
        <f t="shared" si="117"/>
        <v>0.5</v>
      </c>
      <c r="AA424">
        <f>IF($D424="",0,IF($F424&lt;2,0,IF($E424="Win",('Guide &amp; Settings'!$C$42/(($F424-1)*COUNTIFS($A$4:$A$810,$A424,$E$4:$E$810,"Win")))*SUMIFS($Z$4:$Z$810,$A$4:$A$810,$A424,$E$4:$E$810,"Loss"),-('Guide &amp; Settings'!$C$42/($F424-1))*$Z424)))</f>
        <v>15.171898347043854</v>
      </c>
      <c r="AB424" s="120">
        <f t="shared" si="118"/>
        <v>1031.1718983470439</v>
      </c>
      <c r="AC424" s="120">
        <f>IF($D424="","",IF(SUMPRODUCT(MAX(($D$4:$D$810=$D424)*($B$4:$B$810&lt;$B424)*$B$4:$B$810))=0,0,IF(($B424-MAX(SUMPRODUCT(MAX(($D$4:$D$810=$D424)*($B$4:$B$810&lt;$B424)*$B$4:$B$810)),'Guide &amp; Settings'!$C$50))/7-'Guide &amp; Settings'!$C$48&gt;=0,(INT(($B424-MAX(SUMPRODUCT(MAX(($D$4:$D$810=$D424)*($B$4:$B$810&lt;$B424)*$B$4:$B$810)),'Guide &amp; Settings'!$C$50))/7-'Guide &amp; Settings'!$C$48)+1)*'Guide &amp; Settings'!$C$49,0)))</f>
        <v>0</v>
      </c>
    </row>
    <row r="425" spans="1:29" x14ac:dyDescent="0.2">
      <c r="A425" s="111">
        <v>182</v>
      </c>
      <c r="B425" s="112">
        <v>46236</v>
      </c>
      <c r="C425" s="113" t="s">
        <v>208</v>
      </c>
      <c r="D425" s="113" t="s">
        <v>134</v>
      </c>
      <c r="E425" s="111" t="s">
        <v>309</v>
      </c>
      <c r="F425" s="114">
        <f t="shared" si="102"/>
        <v>2</v>
      </c>
      <c r="G425" s="115" t="str">
        <f t="shared" si="103"/>
        <v>Daniel (Ferret)</v>
      </c>
      <c r="H425" s="116">
        <f>IF($D425="",0,IFERROR(LOOKUP(2,1/(($D$3:D424=$D425)*($A$3:A424&lt;$A425)),$N$3:N424),'Guide &amp; Settings'!$C$41))</f>
        <v>1156.6670987691946</v>
      </c>
      <c r="I425" s="117">
        <f t="shared" si="104"/>
        <v>0.70348837209302328</v>
      </c>
      <c r="J425" s="118">
        <f>IF($D425="",0,IF($F425&lt;2,0,IF($E425="Win",('Guide &amp; Settings'!$C$42/(($F425-1)*COUNTIFS($A$4:$A$810,$A425,$E$4:$E$810,"Win")))*SUMIFS($X$4:$X$810,$A$4:$A$810,$A425,$E$4:$E$810,"Loss"),-('Guide &amp; Settings'!$C$42/($F425-1))*$X425)))</f>
        <v>-20.796264060003011</v>
      </c>
      <c r="K425" s="118">
        <f>IF($D425="",0,'Guide &amp; Settings'!$C$43*(IF($E425="Win",1,0)-$I425))</f>
        <v>-8.4418604651162799</v>
      </c>
      <c r="L425" s="119">
        <f>IF($D425="",0,'Guide &amp; Settings'!$C$44*IF($F425&gt;=3,$F425,0))</f>
        <v>0</v>
      </c>
      <c r="M425" s="118">
        <f t="shared" si="105"/>
        <v>-29.238124525119289</v>
      </c>
      <c r="N425" s="116">
        <f t="shared" si="106"/>
        <v>1127.4289742440753</v>
      </c>
      <c r="O425" s="115" t="str">
        <f t="shared" si="107"/>
        <v>OK</v>
      </c>
      <c r="P425">
        <f t="shared" si="108"/>
        <v>1051.8710119667967</v>
      </c>
      <c r="Q425">
        <f t="shared" si="109"/>
        <v>0.64640059238723124</v>
      </c>
      <c r="R425">
        <f t="shared" si="110"/>
        <v>0.6470588235294118</v>
      </c>
      <c r="S425">
        <f t="shared" si="111"/>
        <v>0.9197860962566845</v>
      </c>
      <c r="T425" s="83">
        <f t="shared" si="112"/>
        <v>15</v>
      </c>
      <c r="U425" s="120">
        <f>IF($D425="",0,IFERROR(LOOKUP(2,1/(($D$3:D424=$D425)*($C$3:C424=$C425)*($A$3:A424&lt;$A425)),$AB$3:AB424),1000))</f>
        <v>1064.8441312699101</v>
      </c>
      <c r="V425" s="120">
        <f t="shared" si="113"/>
        <v>1087.7998731447312</v>
      </c>
      <c r="W425">
        <f t="shared" si="114"/>
        <v>980.35088961648694</v>
      </c>
      <c r="X425">
        <f t="shared" si="115"/>
        <v>0.6498832518750941</v>
      </c>
      <c r="Y425">
        <f t="shared" si="116"/>
        <v>940.61748831075943</v>
      </c>
      <c r="Z425">
        <f t="shared" si="117"/>
        <v>0.67152842486897035</v>
      </c>
      <c r="AA425">
        <f>IF($D425="",0,IF($F425&lt;2,0,IF($E425="Win",('Guide &amp; Settings'!$C$42/(($F425-1)*COUNTIFS($A$4:$A$810,$A425,$E$4:$E$810,"Win")))*SUMIFS($Z$4:$Z$810,$A$4:$A$810,$A425,$E$4:$E$810,"Loss"),-('Guide &amp; Settings'!$C$42/($F425-1))*$Z425)))</f>
        <v>-21.488909595807051</v>
      </c>
      <c r="AB425" s="120">
        <f t="shared" si="118"/>
        <v>1043.3552216741032</v>
      </c>
      <c r="AC425" s="120">
        <f>IF($D425="","",IF(SUMPRODUCT(MAX(($D$4:$D$810=$D425)*($B$4:$B$810&lt;$B425)*$B$4:$B$810))=0,0,IF(($B425-MAX(SUMPRODUCT(MAX(($D$4:$D$810=$D425)*($B$4:$B$810&lt;$B425)*$B$4:$B$810)),'Guide &amp; Settings'!$C$50))/7-'Guide &amp; Settings'!$C$48&gt;=0,(INT(($B425-MAX(SUMPRODUCT(MAX(($D$4:$D$810=$D425)*($B$4:$B$810&lt;$B425)*$B$4:$B$810)),'Guide &amp; Settings'!$C$50))/7-'Guide &amp; Settings'!$C$48)+1)*'Guide &amp; Settings'!$C$49,0)))</f>
        <v>0</v>
      </c>
    </row>
    <row r="426" spans="1:29" x14ac:dyDescent="0.2">
      <c r="A426" s="111">
        <v>182</v>
      </c>
      <c r="B426" s="112">
        <v>46236</v>
      </c>
      <c r="C426" s="113" t="s">
        <v>208</v>
      </c>
      <c r="D426" s="113" t="s">
        <v>170</v>
      </c>
      <c r="E426" s="111" t="s">
        <v>308</v>
      </c>
      <c r="F426" s="114">
        <f t="shared" si="102"/>
        <v>2</v>
      </c>
      <c r="G426" s="115" t="str">
        <f t="shared" si="103"/>
        <v>Daniel (Ferret)</v>
      </c>
      <c r="H426" s="116">
        <f>IF($D426="",0,IFERROR(LOOKUP(2,1/(($D$3:D425=$D426)*($A$3:A425&lt;$A426)),$N$3:N425),'Guide &amp; Settings'!$C$41))</f>
        <v>1051.8710119667967</v>
      </c>
      <c r="I426" s="117">
        <f t="shared" si="104"/>
        <v>0.29651162790697672</v>
      </c>
      <c r="J426" s="118">
        <f>IF($D426="",0,IF($F426&lt;2,0,IF($E426="Win",('Guide &amp; Settings'!$C$42/(($F426-1)*COUNTIFS($A$4:$A$810,$A426,$E$4:$E$810,"Win")))*SUMIFS($X$4:$X$810,$A$4:$A$810,$A426,$E$4:$E$810,"Loss"),-('Guide &amp; Settings'!$C$42/($F426-1))*$X426)))</f>
        <v>20.796264060003011</v>
      </c>
      <c r="K426" s="118">
        <f>IF($D426="",0,'Guide &amp; Settings'!$C$43*(IF($E426="Win",1,0)-$I426))</f>
        <v>8.4418604651162799</v>
      </c>
      <c r="L426" s="119">
        <f>IF($D426="",0,'Guide &amp; Settings'!$C$44*IF($F426&gt;=3,$F426,0))</f>
        <v>0</v>
      </c>
      <c r="M426" s="118">
        <f t="shared" si="105"/>
        <v>29.238124525119289</v>
      </c>
      <c r="N426" s="116">
        <f t="shared" si="106"/>
        <v>1081.1091364919159</v>
      </c>
      <c r="O426" s="115" t="str">
        <f t="shared" si="107"/>
        <v>OK</v>
      </c>
      <c r="P426">
        <f t="shared" si="108"/>
        <v>1051.8710119667967</v>
      </c>
      <c r="Q426">
        <f t="shared" si="109"/>
        <v>0.5</v>
      </c>
      <c r="R426">
        <f t="shared" si="110"/>
        <v>0.27272727272727271</v>
      </c>
      <c r="S426">
        <f t="shared" si="111"/>
        <v>0.9197860962566845</v>
      </c>
      <c r="T426" s="83">
        <f t="shared" si="112"/>
        <v>9</v>
      </c>
      <c r="U426" s="120">
        <f>IF($D426="",0,IFERROR(LOOKUP(2,1/(($D$3:D425=$D426)*($C$3:C425=$C426)*($A$3:A425&lt;$A426)),$AB$3:AB425),1000))</f>
        <v>940.61748831075943</v>
      </c>
      <c r="V426" s="120">
        <f t="shared" si="113"/>
        <v>980.35088961648694</v>
      </c>
      <c r="W426">
        <f t="shared" si="114"/>
        <v>980.35088961648694</v>
      </c>
      <c r="X426">
        <f t="shared" si="115"/>
        <v>0.5</v>
      </c>
      <c r="Y426">
        <f t="shared" si="116"/>
        <v>940.61748831075943</v>
      </c>
      <c r="Z426">
        <f t="shared" si="117"/>
        <v>0.5</v>
      </c>
      <c r="AA426">
        <f>IF($D426="",0,IF($F426&lt;2,0,IF($E426="Win",('Guide &amp; Settings'!$C$42/(($F426-1)*COUNTIFS($A$4:$A$810,$A426,$E$4:$E$810,"Win")))*SUMIFS($Z$4:$Z$810,$A$4:$A$810,$A426,$E$4:$E$810,"Loss"),-('Guide &amp; Settings'!$C$42/($F426-1))*$Z426)))</f>
        <v>21.488909595807051</v>
      </c>
      <c r="AB426" s="120">
        <f t="shared" si="118"/>
        <v>962.10639790656649</v>
      </c>
      <c r="AC426" s="120">
        <f>IF($D426="","",IF(SUMPRODUCT(MAX(($D$4:$D$810=$D426)*($B$4:$B$810&lt;$B426)*$B$4:$B$810))=0,0,IF(($B426-MAX(SUMPRODUCT(MAX(($D$4:$D$810=$D426)*($B$4:$B$810&lt;$B426)*$B$4:$B$810)),'Guide &amp; Settings'!$C$50))/7-'Guide &amp; Settings'!$C$48&gt;=0,(INT(($B426-MAX(SUMPRODUCT(MAX(($D$4:$D$810=$D426)*($B$4:$B$810&lt;$B426)*$B$4:$B$810)),'Guide &amp; Settings'!$C$50))/7-'Guide &amp; Settings'!$C$48)+1)*'Guide &amp; Settings'!$C$49,0)))</f>
        <v>0</v>
      </c>
    </row>
    <row r="427" spans="1:29" x14ac:dyDescent="0.2">
      <c r="A427" s="111">
        <v>183</v>
      </c>
      <c r="B427" s="112">
        <v>46236</v>
      </c>
      <c r="C427" s="113" t="s">
        <v>208</v>
      </c>
      <c r="D427" s="113" t="s">
        <v>134</v>
      </c>
      <c r="E427" s="111" t="s">
        <v>308</v>
      </c>
      <c r="F427" s="114">
        <f t="shared" si="102"/>
        <v>2</v>
      </c>
      <c r="G427" s="115" t="str">
        <f t="shared" si="103"/>
        <v>Shawn</v>
      </c>
      <c r="H427" s="116">
        <f>IF($D427="",0,IFERROR(LOOKUP(2,1/(($D$3:D426=$D427)*($A$3:A426&lt;$A427)),$N$3:N426),'Guide &amp; Settings'!$C$41))</f>
        <v>1127.4289742440753</v>
      </c>
      <c r="I427" s="117">
        <f t="shared" si="104"/>
        <v>0.6470588235294118</v>
      </c>
      <c r="J427" s="118">
        <f>IF($D427="",0,IF($F427&lt;2,0,IF($E427="Win",('Guide &amp; Settings'!$C$42/(($F427-1)*COUNTIFS($A$4:$A$810,$A427,$E$4:$E$810,"Win")))*SUMIFS($X$4:$X$810,$A$4:$A$810,$A427,$E$4:$E$810,"Loss"),-('Guide &amp; Settings'!$C$42/($F427-1))*$X427)))</f>
        <v>13.192624201856169</v>
      </c>
      <c r="K427" s="118">
        <f>IF($D427="",0,'Guide &amp; Settings'!$C$43*(IF($E427="Win",1,0)-$I427))</f>
        <v>4.235294117647058</v>
      </c>
      <c r="L427" s="119">
        <f>IF($D427="",0,'Guide &amp; Settings'!$C$44*IF($F427&gt;=3,$F427,0))</f>
        <v>0</v>
      </c>
      <c r="M427" s="118">
        <f t="shared" si="105"/>
        <v>17.427918319503227</v>
      </c>
      <c r="N427" s="116">
        <f t="shared" si="106"/>
        <v>1144.8568925635786</v>
      </c>
      <c r="O427" s="115" t="str">
        <f t="shared" si="107"/>
        <v>OK</v>
      </c>
      <c r="P427">
        <f t="shared" si="108"/>
        <v>1127.4289742440753</v>
      </c>
      <c r="Q427">
        <f t="shared" si="109"/>
        <v>0.5</v>
      </c>
      <c r="R427">
        <f t="shared" si="110"/>
        <v>0.61111111111111116</v>
      </c>
      <c r="S427">
        <f t="shared" si="111"/>
        <v>0.94444444444444442</v>
      </c>
      <c r="T427" s="83">
        <f t="shared" si="112"/>
        <v>16</v>
      </c>
      <c r="U427" s="120">
        <f>IF($D427="",0,IFERROR(LOOKUP(2,1/(($D$3:D426=$D427)*($C$3:C426=$C427)*($A$3:A426&lt;$A427)),$AB$3:AB426),1000))</f>
        <v>1043.3552216741032</v>
      </c>
      <c r="V427" s="120">
        <f t="shared" si="113"/>
        <v>1063.3727818098109</v>
      </c>
      <c r="W427">
        <f t="shared" si="114"/>
        <v>1063.3727818098109</v>
      </c>
      <c r="X427">
        <f t="shared" si="115"/>
        <v>0.5</v>
      </c>
      <c r="Y427">
        <f t="shared" si="116"/>
        <v>1043.3552216741032</v>
      </c>
      <c r="Z427">
        <f t="shared" si="117"/>
        <v>0.5</v>
      </c>
      <c r="AA427">
        <f>IF($D427="",0,IF($F427&lt;2,0,IF($E427="Win",('Guide &amp; Settings'!$C$42/(($F427-1)*COUNTIFS($A$4:$A$810,$A427,$E$4:$E$810,"Win")))*SUMIFS($Z$4:$Z$810,$A$4:$A$810,$A427,$E$4:$E$810,"Loss"),-('Guide &amp; Settings'!$C$42/($F427-1))*$Z427)))</f>
        <v>12.325100395087055</v>
      </c>
      <c r="AB427" s="120">
        <f t="shared" si="118"/>
        <v>1055.6803220691902</v>
      </c>
      <c r="AC427" s="120">
        <f>IF($D427="","",IF(SUMPRODUCT(MAX(($D$4:$D$810=$D427)*($B$4:$B$810&lt;$B427)*$B$4:$B$810))=0,0,IF(($B427-MAX(SUMPRODUCT(MAX(($D$4:$D$810=$D427)*($B$4:$B$810&lt;$B427)*$B$4:$B$810)),'Guide &amp; Settings'!$C$50))/7-'Guide &amp; Settings'!$C$48&gt;=0,(INT(($B427-MAX(SUMPRODUCT(MAX(($D$4:$D$810=$D427)*($B$4:$B$810&lt;$B427)*$B$4:$B$810)),'Guide &amp; Settings'!$C$50))/7-'Guide &amp; Settings'!$C$48)+1)*'Guide &amp; Settings'!$C$49,0)))</f>
        <v>0</v>
      </c>
    </row>
    <row r="428" spans="1:29" x14ac:dyDescent="0.2">
      <c r="A428" s="111">
        <v>183</v>
      </c>
      <c r="B428" s="112">
        <v>46236</v>
      </c>
      <c r="C428" s="113" t="s">
        <v>208</v>
      </c>
      <c r="D428" s="113" t="s">
        <v>170</v>
      </c>
      <c r="E428" s="111" t="s">
        <v>309</v>
      </c>
      <c r="F428" s="114">
        <f t="shared" si="102"/>
        <v>2</v>
      </c>
      <c r="G428" s="115" t="str">
        <f t="shared" si="103"/>
        <v>Shawn</v>
      </c>
      <c r="H428" s="116">
        <f>IF($D428="",0,IFERROR(LOOKUP(2,1/(($D$3:D427=$D428)*($A$3:A427&lt;$A428)),$N$3:N427),'Guide &amp; Settings'!$C$41))</f>
        <v>1081.1091364919159</v>
      </c>
      <c r="I428" s="117">
        <f t="shared" si="104"/>
        <v>0.3529411764705882</v>
      </c>
      <c r="J428" s="118">
        <f>IF($D428="",0,IF($F428&lt;2,0,IF($E428="Win",('Guide &amp; Settings'!$C$42/(($F428-1)*COUNTIFS($A$4:$A$810,$A428,$E$4:$E$810,"Win")))*SUMIFS($X$4:$X$810,$A$4:$A$810,$A428,$E$4:$E$810,"Loss"),-('Guide &amp; Settings'!$C$42/($F428-1))*$X428)))</f>
        <v>-13.192624201856169</v>
      </c>
      <c r="K428" s="118">
        <f>IF($D428="",0,'Guide &amp; Settings'!$C$43*(IF($E428="Win",1,0)-$I428))</f>
        <v>-4.235294117647058</v>
      </c>
      <c r="L428" s="119">
        <f>IF($D428="",0,'Guide &amp; Settings'!$C$44*IF($F428&gt;=3,$F428,0))</f>
        <v>0</v>
      </c>
      <c r="M428" s="118">
        <f t="shared" si="105"/>
        <v>-17.427918319503227</v>
      </c>
      <c r="N428" s="116">
        <f t="shared" si="106"/>
        <v>1063.6812181724126</v>
      </c>
      <c r="O428" s="115" t="str">
        <f t="shared" si="107"/>
        <v>OK</v>
      </c>
      <c r="P428">
        <f t="shared" si="108"/>
        <v>1127.4289742440753</v>
      </c>
      <c r="Q428">
        <f t="shared" si="109"/>
        <v>0.43373254346684686</v>
      </c>
      <c r="R428">
        <f t="shared" si="110"/>
        <v>0.33333333333333331</v>
      </c>
      <c r="S428">
        <f t="shared" si="111"/>
        <v>0.94444444444444442</v>
      </c>
      <c r="T428" s="83">
        <f t="shared" si="112"/>
        <v>10</v>
      </c>
      <c r="U428" s="120">
        <f>IF($D428="",0,IFERROR(LOOKUP(2,1/(($D$3:D427=$D428)*($C$3:C427=$C428)*($A$3:A427&lt;$A428)),$AB$3:AB427),1000))</f>
        <v>962.10639790656649</v>
      </c>
      <c r="V428" s="120">
        <f t="shared" si="113"/>
        <v>1001.7739774350164</v>
      </c>
      <c r="W428">
        <f t="shared" si="114"/>
        <v>1063.3727818098109</v>
      </c>
      <c r="X428">
        <f t="shared" si="115"/>
        <v>0.4122695063080053</v>
      </c>
      <c r="Y428">
        <f t="shared" si="116"/>
        <v>1043.3552216741032</v>
      </c>
      <c r="Z428">
        <f t="shared" si="117"/>
        <v>0.38515938734647048</v>
      </c>
      <c r="AA428">
        <f>IF($D428="",0,IF($F428&lt;2,0,IF($E428="Win",('Guide &amp; Settings'!$C$42/(($F428-1)*COUNTIFS($A$4:$A$810,$A428,$E$4:$E$810,"Win")))*SUMIFS($Z$4:$Z$810,$A$4:$A$810,$A428,$E$4:$E$810,"Loss"),-('Guide &amp; Settings'!$C$42/($F428-1))*$Z428)))</f>
        <v>-12.325100395087055</v>
      </c>
      <c r="AB428" s="120">
        <f t="shared" si="118"/>
        <v>949.78129751147947</v>
      </c>
      <c r="AC428" s="120">
        <f>IF($D428="","",IF(SUMPRODUCT(MAX(($D$4:$D$810=$D428)*($B$4:$B$810&lt;$B428)*$B$4:$B$810))=0,0,IF(($B428-MAX(SUMPRODUCT(MAX(($D$4:$D$810=$D428)*($B$4:$B$810&lt;$B428)*$B$4:$B$810)),'Guide &amp; Settings'!$C$50))/7-'Guide &amp; Settings'!$C$48&gt;=0,(INT(($B428-MAX(SUMPRODUCT(MAX(($D$4:$D$810=$D428)*($B$4:$B$810&lt;$B428)*$B$4:$B$810)),'Guide &amp; Settings'!$C$50))/7-'Guide &amp; Settings'!$C$48)+1)*'Guide &amp; Settings'!$C$49,0)))</f>
        <v>0</v>
      </c>
    </row>
    <row r="429" spans="1:29" x14ac:dyDescent="0.2">
      <c r="A429" s="111">
        <v>184</v>
      </c>
      <c r="B429" s="112">
        <v>46236</v>
      </c>
      <c r="C429" s="113" t="s">
        <v>208</v>
      </c>
      <c r="D429" s="113" t="s">
        <v>134</v>
      </c>
      <c r="E429" s="111" t="s">
        <v>308</v>
      </c>
      <c r="F429" s="114">
        <f t="shared" si="102"/>
        <v>2</v>
      </c>
      <c r="G429" s="115" t="str">
        <f t="shared" si="103"/>
        <v>Shawn</v>
      </c>
      <c r="H429" s="116">
        <f>IF($D429="",0,IFERROR(LOOKUP(2,1/(($D$3:D428=$D429)*($A$3:A428&lt;$A429)),$N$3:N428),'Guide &amp; Settings'!$C$41))</f>
        <v>1144.8568925635786</v>
      </c>
      <c r="I429" s="117">
        <f t="shared" si="104"/>
        <v>0.67241379310344829</v>
      </c>
      <c r="J429" s="118">
        <f>IF($D429="",0,IF($F429&lt;2,0,IF($E429="Win",('Guide &amp; Settings'!$C$42/(($F429-1)*COUNTIFS($A$4:$A$810,$A429,$E$4:$E$810,"Win")))*SUMIFS($X$4:$X$810,$A$4:$A$810,$A429,$E$4:$E$810,"Loss"),-('Guide &amp; Settings'!$C$42/($F429-1))*$X429)))</f>
        <v>11.92095930797189</v>
      </c>
      <c r="K429" s="118">
        <f>IF($D429="",0,'Guide &amp; Settings'!$C$43*(IF($E429="Win",1,0)-$I429))</f>
        <v>3.9310344827586206</v>
      </c>
      <c r="L429" s="119">
        <f>IF($D429="",0,'Guide &amp; Settings'!$C$44*IF($F429&gt;=3,$F429,0))</f>
        <v>0</v>
      </c>
      <c r="M429" s="118">
        <f t="shared" si="105"/>
        <v>15.851993790730511</v>
      </c>
      <c r="N429" s="116">
        <f t="shared" si="106"/>
        <v>1160.7088863543092</v>
      </c>
      <c r="O429" s="115" t="str">
        <f t="shared" si="107"/>
        <v>OK</v>
      </c>
      <c r="P429">
        <f t="shared" si="108"/>
        <v>1144.8568925635786</v>
      </c>
      <c r="Q429">
        <f t="shared" si="109"/>
        <v>0.5</v>
      </c>
      <c r="R429">
        <f t="shared" si="110"/>
        <v>0.63157894736842102</v>
      </c>
      <c r="S429">
        <f t="shared" si="111"/>
        <v>0.93927125506072873</v>
      </c>
      <c r="T429" s="83">
        <f t="shared" si="112"/>
        <v>17</v>
      </c>
      <c r="U429" s="120">
        <f>IF($D429="",0,IFERROR(LOOKUP(2,1/(($D$3:D428=$D429)*($C$3:C428=$C429)*($A$3:A428&lt;$A429)),$AB$3:AB428),1000))</f>
        <v>1055.6803220691902</v>
      </c>
      <c r="V429" s="120">
        <f t="shared" si="113"/>
        <v>1075.9477244542784</v>
      </c>
      <c r="W429">
        <f t="shared" si="114"/>
        <v>1075.9477244542784</v>
      </c>
      <c r="X429">
        <f t="shared" si="115"/>
        <v>0.5</v>
      </c>
      <c r="Y429">
        <f t="shared" si="116"/>
        <v>1055.6803220691902</v>
      </c>
      <c r="Z429">
        <f t="shared" si="117"/>
        <v>0.5</v>
      </c>
      <c r="AA429">
        <f>IF($D429="",0,IF($F429&lt;2,0,IF($E429="Win",('Guide &amp; Settings'!$C$42/(($F429-1)*COUNTIFS($A$4:$A$810,$A429,$E$4:$E$810,"Win")))*SUMIFS($Z$4:$Z$810,$A$4:$A$810,$A429,$E$4:$E$810,"Loss"),-('Guide &amp; Settings'!$C$42/($F429-1))*$Z429)))</f>
        <v>11.268786702963324</v>
      </c>
      <c r="AB429" s="120">
        <f t="shared" si="118"/>
        <v>1066.9491087721535</v>
      </c>
      <c r="AC429" s="120">
        <f>IF($D429="","",IF(SUMPRODUCT(MAX(($D$4:$D$810=$D429)*($B$4:$B$810&lt;$B429)*$B$4:$B$810))=0,0,IF(($B429-MAX(SUMPRODUCT(MAX(($D$4:$D$810=$D429)*($B$4:$B$810&lt;$B429)*$B$4:$B$810)),'Guide &amp; Settings'!$C$50))/7-'Guide &amp; Settings'!$C$48&gt;=0,(INT(($B429-MAX(SUMPRODUCT(MAX(($D$4:$D$810=$D429)*($B$4:$B$810&lt;$B429)*$B$4:$B$810)),'Guide &amp; Settings'!$C$50))/7-'Guide &amp; Settings'!$C$48)+1)*'Guide &amp; Settings'!$C$49,0)))</f>
        <v>0</v>
      </c>
    </row>
    <row r="430" spans="1:29" x14ac:dyDescent="0.2">
      <c r="A430" s="111">
        <v>184</v>
      </c>
      <c r="B430" s="112">
        <v>46236</v>
      </c>
      <c r="C430" s="113" t="s">
        <v>208</v>
      </c>
      <c r="D430" s="113" t="s">
        <v>170</v>
      </c>
      <c r="E430" s="111" t="s">
        <v>309</v>
      </c>
      <c r="F430" s="114">
        <f t="shared" si="102"/>
        <v>2</v>
      </c>
      <c r="G430" s="115" t="str">
        <f t="shared" si="103"/>
        <v>Shawn</v>
      </c>
      <c r="H430" s="116">
        <f>IF($D430="",0,IFERROR(LOOKUP(2,1/(($D$3:D429=$D430)*($A$3:A429&lt;$A430)),$N$3:N429),'Guide &amp; Settings'!$C$41))</f>
        <v>1063.6812181724126</v>
      </c>
      <c r="I430" s="117">
        <f t="shared" si="104"/>
        <v>0.32758620689655177</v>
      </c>
      <c r="J430" s="118">
        <f>IF($D430="",0,IF($F430&lt;2,0,IF($E430="Win",('Guide &amp; Settings'!$C$42/(($F430-1)*COUNTIFS($A$4:$A$810,$A430,$E$4:$E$810,"Win")))*SUMIFS($X$4:$X$810,$A$4:$A$810,$A430,$E$4:$E$810,"Loss"),-('Guide &amp; Settings'!$C$42/($F430-1))*$X430)))</f>
        <v>-11.92095930797189</v>
      </c>
      <c r="K430" s="118">
        <f>IF($D430="",0,'Guide &amp; Settings'!$C$43*(IF($E430="Win",1,0)-$I430))</f>
        <v>-3.931034482758621</v>
      </c>
      <c r="L430" s="119">
        <f>IF($D430="",0,'Guide &amp; Settings'!$C$44*IF($F430&gt;=3,$F430,0))</f>
        <v>0</v>
      </c>
      <c r="M430" s="118">
        <f t="shared" si="105"/>
        <v>-15.851993790730511</v>
      </c>
      <c r="N430" s="116">
        <f t="shared" si="106"/>
        <v>1047.829224381682</v>
      </c>
      <c r="O430" s="115" t="str">
        <f t="shared" si="107"/>
        <v>OK</v>
      </c>
      <c r="P430">
        <f t="shared" si="108"/>
        <v>1144.8568925635786</v>
      </c>
      <c r="Q430">
        <f t="shared" si="109"/>
        <v>0.38525910920285283</v>
      </c>
      <c r="R430">
        <f t="shared" si="110"/>
        <v>0.30769230769230771</v>
      </c>
      <c r="S430">
        <f t="shared" si="111"/>
        <v>0.93927125506072873</v>
      </c>
      <c r="T430" s="83">
        <f t="shared" si="112"/>
        <v>11</v>
      </c>
      <c r="U430" s="120">
        <f>IF($D430="",0,IFERROR(LOOKUP(2,1/(($D$3:D429=$D430)*($C$3:C429=$C430)*($A$3:A429&lt;$A430)),$AB$3:AB429),1000))</f>
        <v>949.78129751147947</v>
      </c>
      <c r="V430" s="120">
        <f t="shared" si="113"/>
        <v>985.37502271802111</v>
      </c>
      <c r="W430">
        <f t="shared" si="114"/>
        <v>1075.9477244542784</v>
      </c>
      <c r="X430">
        <f t="shared" si="115"/>
        <v>0.37252997837412155</v>
      </c>
      <c r="Y430">
        <f t="shared" si="116"/>
        <v>1055.6803220691902</v>
      </c>
      <c r="Z430">
        <f t="shared" si="117"/>
        <v>0.35214958446760386</v>
      </c>
      <c r="AA430">
        <f>IF($D430="",0,IF($F430&lt;2,0,IF($E430="Win",('Guide &amp; Settings'!$C$42/(($F430-1)*COUNTIFS($A$4:$A$810,$A430,$E$4:$E$810,"Win")))*SUMIFS($Z$4:$Z$810,$A$4:$A$810,$A430,$E$4:$E$810,"Loss"),-('Guide &amp; Settings'!$C$42/($F430-1))*$Z430)))</f>
        <v>-11.268786702963324</v>
      </c>
      <c r="AB430" s="120">
        <f t="shared" si="118"/>
        <v>938.51251080851614</v>
      </c>
      <c r="AC430" s="120">
        <f>IF($D430="","",IF(SUMPRODUCT(MAX(($D$4:$D$810=$D430)*($B$4:$B$810&lt;$B430)*$B$4:$B$810))=0,0,IF(($B430-MAX(SUMPRODUCT(MAX(($D$4:$D$810=$D430)*($B$4:$B$810&lt;$B430)*$B$4:$B$810)),'Guide &amp; Settings'!$C$50))/7-'Guide &amp; Settings'!$C$48&gt;=0,(INT(($B430-MAX(SUMPRODUCT(MAX(($D$4:$D$810=$D430)*($B$4:$B$810&lt;$B430)*$B$4:$B$810)),'Guide &amp; Settings'!$C$50))/7-'Guide &amp; Settings'!$C$48)+1)*'Guide &amp; Settings'!$C$49,0)))</f>
        <v>0</v>
      </c>
    </row>
    <row r="431" spans="1:29" x14ac:dyDescent="0.2">
      <c r="A431" s="111">
        <v>185</v>
      </c>
      <c r="B431" s="112">
        <v>46236</v>
      </c>
      <c r="C431" s="113" t="s">
        <v>208</v>
      </c>
      <c r="D431" s="113" t="s">
        <v>134</v>
      </c>
      <c r="E431" s="111" t="s">
        <v>309</v>
      </c>
      <c r="F431" s="114">
        <f t="shared" si="102"/>
        <v>2</v>
      </c>
      <c r="G431" s="115" t="str">
        <f t="shared" si="103"/>
        <v>Daniel (Ferret)</v>
      </c>
      <c r="H431" s="116">
        <f>IF($D431="",0,IFERROR(LOOKUP(2,1/(($D$3:D430=$D431)*($A$3:A430&lt;$A431)),$N$3:N430),'Guide &amp; Settings'!$C$41))</f>
        <v>1160.7088863543092</v>
      </c>
      <c r="I431" s="117">
        <f t="shared" si="104"/>
        <v>0.69465648854961837</v>
      </c>
      <c r="J431" s="118">
        <f>IF($D431="",0,IF($F431&lt;2,0,IF($E431="Win",('Guide &amp; Settings'!$C$42/(($F431-1)*COUNTIFS($A$4:$A$810,$A431,$E$4:$E$810,"Win")))*SUMIFS($X$4:$X$810,$A$4:$A$810,$A431,$E$4:$E$810,"Loss"),-('Guide &amp; Settings'!$C$42/($F431-1))*$X431)))</f>
        <v>-21.179493164801716</v>
      </c>
      <c r="K431" s="118">
        <f>IF($D431="",0,'Guide &amp; Settings'!$C$43*(IF($E431="Win",1,0)-$I431))</f>
        <v>-8.3358778625954209</v>
      </c>
      <c r="L431" s="119">
        <f>IF($D431="",0,'Guide &amp; Settings'!$C$44*IF($F431&gt;=3,$F431,0))</f>
        <v>0</v>
      </c>
      <c r="M431" s="118">
        <f t="shared" si="105"/>
        <v>-29.515371027397137</v>
      </c>
      <c r="N431" s="116">
        <f t="shared" si="106"/>
        <v>1131.1935153269121</v>
      </c>
      <c r="O431" s="115" t="str">
        <f t="shared" si="107"/>
        <v>OK</v>
      </c>
      <c r="P431">
        <f t="shared" si="108"/>
        <v>1047.829224381682</v>
      </c>
      <c r="Q431">
        <f t="shared" si="109"/>
        <v>0.65696258987621703</v>
      </c>
      <c r="R431">
        <f t="shared" si="110"/>
        <v>0.65</v>
      </c>
      <c r="S431">
        <f t="shared" si="111"/>
        <v>0.93571428571428572</v>
      </c>
      <c r="T431" s="83">
        <f t="shared" si="112"/>
        <v>18</v>
      </c>
      <c r="U431" s="120">
        <f>IF($D431="",0,IFERROR(LOOKUP(2,1/(($D$3:D430=$D431)*($C$3:C430=$C431)*($A$3:A430&lt;$A431)),$AB$3:AB430),1000))</f>
        <v>1066.9491087721535</v>
      </c>
      <c r="V431" s="120">
        <f t="shared" si="113"/>
        <v>1087.3316691161003</v>
      </c>
      <c r="W431">
        <f t="shared" si="114"/>
        <v>970.66448538885902</v>
      </c>
      <c r="X431">
        <f t="shared" si="115"/>
        <v>0.66185916140005363</v>
      </c>
      <c r="Y431">
        <f t="shared" si="116"/>
        <v>938.51251080851614</v>
      </c>
      <c r="Z431">
        <f t="shared" si="117"/>
        <v>0.67685162265536269</v>
      </c>
      <c r="AA431">
        <f>IF($D431="",0,IF($F431&lt;2,0,IF($E431="Win",('Guide &amp; Settings'!$C$42/(($F431-1)*COUNTIFS($A$4:$A$810,$A431,$E$4:$E$810,"Win")))*SUMIFS($Z$4:$Z$810,$A$4:$A$810,$A431,$E$4:$E$810,"Loss"),-('Guide &amp; Settings'!$C$42/($F431-1))*$Z431)))</f>
        <v>-21.659251924971606</v>
      </c>
      <c r="AB431" s="120">
        <f t="shared" si="118"/>
        <v>1045.2898568471819</v>
      </c>
      <c r="AC431" s="120">
        <f>IF($D431="","",IF(SUMPRODUCT(MAX(($D$4:$D$810=$D431)*($B$4:$B$810&lt;$B431)*$B$4:$B$810))=0,0,IF(($B431-MAX(SUMPRODUCT(MAX(($D$4:$D$810=$D431)*($B$4:$B$810&lt;$B431)*$B$4:$B$810)),'Guide &amp; Settings'!$C$50))/7-'Guide &amp; Settings'!$C$48&gt;=0,(INT(($B431-MAX(SUMPRODUCT(MAX(($D$4:$D$810=$D431)*($B$4:$B$810&lt;$B431)*$B$4:$B$810)),'Guide &amp; Settings'!$C$50))/7-'Guide &amp; Settings'!$C$48)+1)*'Guide &amp; Settings'!$C$49,0)))</f>
        <v>0</v>
      </c>
    </row>
    <row r="432" spans="1:29" x14ac:dyDescent="0.2">
      <c r="A432" s="111">
        <v>185</v>
      </c>
      <c r="B432" s="112">
        <v>46236</v>
      </c>
      <c r="C432" s="113" t="s">
        <v>208</v>
      </c>
      <c r="D432" s="113" t="s">
        <v>170</v>
      </c>
      <c r="E432" s="111" t="s">
        <v>308</v>
      </c>
      <c r="F432" s="114">
        <f t="shared" si="102"/>
        <v>2</v>
      </c>
      <c r="G432" s="115" t="str">
        <f t="shared" si="103"/>
        <v>Daniel (Ferret)</v>
      </c>
      <c r="H432" s="116">
        <f>IF($D432="",0,IFERROR(LOOKUP(2,1/(($D$3:D431=$D432)*($A$3:A431&lt;$A432)),$N$3:N431),'Guide &amp; Settings'!$C$41))</f>
        <v>1047.829224381682</v>
      </c>
      <c r="I432" s="117">
        <f t="shared" si="104"/>
        <v>0.30534351145038163</v>
      </c>
      <c r="J432" s="118">
        <f>IF($D432="",0,IF($F432&lt;2,0,IF($E432="Win",('Guide &amp; Settings'!$C$42/(($F432-1)*COUNTIFS($A$4:$A$810,$A432,$E$4:$E$810,"Win")))*SUMIFS($X$4:$X$810,$A$4:$A$810,$A432,$E$4:$E$810,"Loss"),-('Guide &amp; Settings'!$C$42/($F432-1))*$X432)))</f>
        <v>21.179493164801716</v>
      </c>
      <c r="K432" s="118">
        <f>IF($D432="",0,'Guide &amp; Settings'!$C$43*(IF($E432="Win",1,0)-$I432))</f>
        <v>8.3358778625954209</v>
      </c>
      <c r="L432" s="119">
        <f>IF($D432="",0,'Guide &amp; Settings'!$C$44*IF($F432&gt;=3,$F432,0))</f>
        <v>0</v>
      </c>
      <c r="M432" s="118">
        <f t="shared" si="105"/>
        <v>29.515371027397137</v>
      </c>
      <c r="N432" s="116">
        <f t="shared" si="106"/>
        <v>1077.3445954090791</v>
      </c>
      <c r="O432" s="115" t="str">
        <f t="shared" si="107"/>
        <v>OK</v>
      </c>
      <c r="P432">
        <f t="shared" si="108"/>
        <v>1047.829224381682</v>
      </c>
      <c r="Q432">
        <f t="shared" si="109"/>
        <v>0.5</v>
      </c>
      <c r="R432">
        <f t="shared" si="110"/>
        <v>0.2857142857142857</v>
      </c>
      <c r="S432">
        <f t="shared" si="111"/>
        <v>0.93571428571428572</v>
      </c>
      <c r="T432" s="83">
        <f t="shared" si="112"/>
        <v>12</v>
      </c>
      <c r="U432" s="120">
        <f>IF($D432="",0,IFERROR(LOOKUP(2,1/(($D$3:D431=$D432)*($C$3:C431=$C432)*($A$3:A431&lt;$A432)),$AB$3:AB431),1000))</f>
        <v>938.51251080851614</v>
      </c>
      <c r="V432" s="120">
        <f t="shared" si="113"/>
        <v>970.66448538885902</v>
      </c>
      <c r="W432">
        <f t="shared" si="114"/>
        <v>970.66448538885902</v>
      </c>
      <c r="X432">
        <f t="shared" si="115"/>
        <v>0.5</v>
      </c>
      <c r="Y432">
        <f t="shared" si="116"/>
        <v>938.51251080851614</v>
      </c>
      <c r="Z432">
        <f t="shared" si="117"/>
        <v>0.5</v>
      </c>
      <c r="AA432">
        <f>IF($D432="",0,IF($F432&lt;2,0,IF($E432="Win",('Guide &amp; Settings'!$C$42/(($F432-1)*COUNTIFS($A$4:$A$810,$A432,$E$4:$E$810,"Win")))*SUMIFS($Z$4:$Z$810,$A$4:$A$810,$A432,$E$4:$E$810,"Loss"),-('Guide &amp; Settings'!$C$42/($F432-1))*$Z432)))</f>
        <v>21.659251924971606</v>
      </c>
      <c r="AB432" s="120">
        <f t="shared" si="118"/>
        <v>960.17176273348775</v>
      </c>
      <c r="AC432" s="120">
        <f>IF($D432="","",IF(SUMPRODUCT(MAX(($D$4:$D$810=$D432)*($B$4:$B$810&lt;$B432)*$B$4:$B$810))=0,0,IF(($B432-MAX(SUMPRODUCT(MAX(($D$4:$D$810=$D432)*($B$4:$B$810&lt;$B432)*$B$4:$B$810)),'Guide &amp; Settings'!$C$50))/7-'Guide &amp; Settings'!$C$48&gt;=0,(INT(($B432-MAX(SUMPRODUCT(MAX(($D$4:$D$810=$D432)*($B$4:$B$810&lt;$B432)*$B$4:$B$810)),'Guide &amp; Settings'!$C$50))/7-'Guide &amp; Settings'!$C$48)+1)*'Guide &amp; Settings'!$C$49,0)))</f>
        <v>0</v>
      </c>
    </row>
    <row r="433" spans="1:29" x14ac:dyDescent="0.2">
      <c r="A433" s="111">
        <v>186</v>
      </c>
      <c r="B433" s="112">
        <v>46236</v>
      </c>
      <c r="C433" s="113" t="s">
        <v>208</v>
      </c>
      <c r="D433" s="113" t="s">
        <v>134</v>
      </c>
      <c r="E433" s="111" t="s">
        <v>309</v>
      </c>
      <c r="F433" s="114">
        <f t="shared" si="102"/>
        <v>2</v>
      </c>
      <c r="G433" s="115" t="str">
        <f t="shared" si="103"/>
        <v>Daniel (Ferret)</v>
      </c>
      <c r="H433" s="116">
        <f>IF($D433="",0,IFERROR(LOOKUP(2,1/(($D$3:D432=$D433)*($A$3:A432&lt;$A433)),$N$3:N432),'Guide &amp; Settings'!$C$41))</f>
        <v>1131.1935153269121</v>
      </c>
      <c r="I433" s="117">
        <f t="shared" si="104"/>
        <v>0.65</v>
      </c>
      <c r="J433" s="118">
        <f>IF($D433="",0,IF($F433&lt;2,0,IF($E433="Win",('Guide &amp; Settings'!$C$42/(($F433-1)*COUNTIFS($A$4:$A$810,$A433,$E$4:$E$810,"Win")))*SUMIFS($X$4:$X$810,$A$4:$A$810,$A433,$E$4:$E$810,"Loss"),-('Guide &amp; Settings'!$C$42/($F433-1))*$X433)))</f>
        <v>-19.201334087911338</v>
      </c>
      <c r="K433" s="118">
        <f>IF($D433="",0,'Guide &amp; Settings'!$C$43*(IF($E433="Win",1,0)-$I433))</f>
        <v>-7.8000000000000007</v>
      </c>
      <c r="L433" s="119">
        <f>IF($D433="",0,'Guide &amp; Settings'!$C$44*IF($F433&gt;=3,$F433,0))</f>
        <v>0</v>
      </c>
      <c r="M433" s="118">
        <f t="shared" si="105"/>
        <v>-27.001334087911339</v>
      </c>
      <c r="N433" s="116">
        <f t="shared" si="106"/>
        <v>1104.1921812390008</v>
      </c>
      <c r="O433" s="115" t="str">
        <f t="shared" si="107"/>
        <v>OK</v>
      </c>
      <c r="P433">
        <f t="shared" si="108"/>
        <v>1077.3445954090791</v>
      </c>
      <c r="Q433">
        <f t="shared" si="109"/>
        <v>0.57688020865762069</v>
      </c>
      <c r="R433">
        <f t="shared" si="110"/>
        <v>0.61904761904761907</v>
      </c>
      <c r="S433">
        <f t="shared" si="111"/>
        <v>0.95238095238095233</v>
      </c>
      <c r="T433" s="83">
        <f t="shared" si="112"/>
        <v>19</v>
      </c>
      <c r="U433" s="120">
        <f>IF($D433="",0,IFERROR(LOOKUP(2,1/(($D$3:D432=$D433)*($C$3:C432=$C433)*($A$3:A432&lt;$A433)),$AB$3:AB432),1000))</f>
        <v>1045.2898568471819</v>
      </c>
      <c r="V433" s="120">
        <f t="shared" si="113"/>
        <v>1063.1864523637923</v>
      </c>
      <c r="W433">
        <f t="shared" si="114"/>
        <v>992.71977181004092</v>
      </c>
      <c r="X433">
        <f t="shared" si="115"/>
        <v>0.60004169024722931</v>
      </c>
      <c r="Y433">
        <f t="shared" si="116"/>
        <v>960.17176273348775</v>
      </c>
      <c r="Z433">
        <f t="shared" si="117"/>
        <v>0.62010151745294084</v>
      </c>
      <c r="AA433">
        <f>IF($D433="",0,IF($F433&lt;2,0,IF($E433="Win",('Guide &amp; Settings'!$C$42/(($F433-1)*COUNTIFS($A$4:$A$810,$A433,$E$4:$E$810,"Win")))*SUMIFS($Z$4:$Z$810,$A$4:$A$810,$A433,$E$4:$E$810,"Loss"),-('Guide &amp; Settings'!$C$42/($F433-1))*$Z433)))</f>
        <v>-19.843248558494107</v>
      </c>
      <c r="AB433" s="120">
        <f t="shared" si="118"/>
        <v>1025.4466082886879</v>
      </c>
      <c r="AC433" s="120">
        <f>IF($D433="","",IF(SUMPRODUCT(MAX(($D$4:$D$810=$D433)*($B$4:$B$810&lt;$B433)*$B$4:$B$810))=0,0,IF(($B433-MAX(SUMPRODUCT(MAX(($D$4:$D$810=$D433)*($B$4:$B$810&lt;$B433)*$B$4:$B$810)),'Guide &amp; Settings'!$C$50))/7-'Guide &amp; Settings'!$C$48&gt;=0,(INT(($B433-MAX(SUMPRODUCT(MAX(($D$4:$D$810=$D433)*($B$4:$B$810&lt;$B433)*$B$4:$B$810)),'Guide &amp; Settings'!$C$50))/7-'Guide &amp; Settings'!$C$48)+1)*'Guide &amp; Settings'!$C$49,0)))</f>
        <v>0</v>
      </c>
    </row>
    <row r="434" spans="1:29" x14ac:dyDescent="0.2">
      <c r="A434" s="111">
        <v>186</v>
      </c>
      <c r="B434" s="112">
        <v>46236</v>
      </c>
      <c r="C434" s="113" t="s">
        <v>208</v>
      </c>
      <c r="D434" s="113" t="s">
        <v>170</v>
      </c>
      <c r="E434" s="111" t="s">
        <v>308</v>
      </c>
      <c r="F434" s="114">
        <f t="shared" si="102"/>
        <v>2</v>
      </c>
      <c r="G434" s="115" t="str">
        <f t="shared" si="103"/>
        <v>Daniel (Ferret)</v>
      </c>
      <c r="H434" s="116">
        <f>IF($D434="",0,IFERROR(LOOKUP(2,1/(($D$3:D433=$D434)*($A$3:A433&lt;$A434)),$N$3:N433),'Guide &amp; Settings'!$C$41))</f>
        <v>1077.3445954090791</v>
      </c>
      <c r="I434" s="117">
        <f t="shared" si="104"/>
        <v>0.35</v>
      </c>
      <c r="J434" s="118">
        <f>IF($D434="",0,IF($F434&lt;2,0,IF($E434="Win",('Guide &amp; Settings'!$C$42/(($F434-1)*COUNTIFS($A$4:$A$810,$A434,$E$4:$E$810,"Win")))*SUMIFS($X$4:$X$810,$A$4:$A$810,$A434,$E$4:$E$810,"Loss"),-('Guide &amp; Settings'!$C$42/($F434-1))*$X434)))</f>
        <v>19.201334087911338</v>
      </c>
      <c r="K434" s="118">
        <f>IF($D434="",0,'Guide &amp; Settings'!$C$43*(IF($E434="Win",1,0)-$I434))</f>
        <v>7.8000000000000007</v>
      </c>
      <c r="L434" s="119">
        <f>IF($D434="",0,'Guide &amp; Settings'!$C$44*IF($F434&gt;=3,$F434,0))</f>
        <v>0</v>
      </c>
      <c r="M434" s="118">
        <f t="shared" si="105"/>
        <v>27.001334087911339</v>
      </c>
      <c r="N434" s="116">
        <f t="shared" si="106"/>
        <v>1104.3459294969905</v>
      </c>
      <c r="O434" s="115" t="str">
        <f t="shared" si="107"/>
        <v>OK</v>
      </c>
      <c r="P434">
        <f t="shared" si="108"/>
        <v>1077.3445954090791</v>
      </c>
      <c r="Q434">
        <f t="shared" si="109"/>
        <v>0.5</v>
      </c>
      <c r="R434">
        <f t="shared" si="110"/>
        <v>0.33333333333333331</v>
      </c>
      <c r="S434">
        <f t="shared" si="111"/>
        <v>0.95238095238095233</v>
      </c>
      <c r="T434" s="83">
        <f t="shared" si="112"/>
        <v>13</v>
      </c>
      <c r="U434" s="120">
        <f>IF($D434="",0,IFERROR(LOOKUP(2,1/(($D$3:D433=$D434)*($C$3:C433=$C434)*($A$3:A433&lt;$A434)),$AB$3:AB433),1000))</f>
        <v>960.17176273348775</v>
      </c>
      <c r="V434" s="120">
        <f t="shared" si="113"/>
        <v>992.71977181004092</v>
      </c>
      <c r="W434">
        <f t="shared" si="114"/>
        <v>992.71977181004092</v>
      </c>
      <c r="X434">
        <f t="shared" si="115"/>
        <v>0.5</v>
      </c>
      <c r="Y434">
        <f t="shared" si="116"/>
        <v>960.17176273348775</v>
      </c>
      <c r="Z434">
        <f t="shared" si="117"/>
        <v>0.5</v>
      </c>
      <c r="AA434">
        <f>IF($D434="",0,IF($F434&lt;2,0,IF($E434="Win",('Guide &amp; Settings'!$C$42/(($F434-1)*COUNTIFS($A$4:$A$810,$A434,$E$4:$E$810,"Win")))*SUMIFS($Z$4:$Z$810,$A$4:$A$810,$A434,$E$4:$E$810,"Loss"),-('Guide &amp; Settings'!$C$42/($F434-1))*$Z434)))</f>
        <v>19.843248558494107</v>
      </c>
      <c r="AB434" s="120">
        <f t="shared" si="118"/>
        <v>980.01501129198186</v>
      </c>
      <c r="AC434" s="120">
        <f>IF($D434="","",IF(SUMPRODUCT(MAX(($D$4:$D$810=$D434)*($B$4:$B$810&lt;$B434)*$B$4:$B$810))=0,0,IF(($B434-MAX(SUMPRODUCT(MAX(($D$4:$D$810=$D434)*($B$4:$B$810&lt;$B434)*$B$4:$B$810)),'Guide &amp; Settings'!$C$50))/7-'Guide &amp; Settings'!$C$48&gt;=0,(INT(($B434-MAX(SUMPRODUCT(MAX(($D$4:$D$810=$D434)*($B$4:$B$810&lt;$B434)*$B$4:$B$810)),'Guide &amp; Settings'!$C$50))/7-'Guide &amp; Settings'!$C$48)+1)*'Guide &amp; Settings'!$C$49,0)))</f>
        <v>0</v>
      </c>
    </row>
    <row r="435" spans="1:29" x14ac:dyDescent="0.2">
      <c r="A435" s="111">
        <v>187</v>
      </c>
      <c r="B435" s="112">
        <v>46241</v>
      </c>
      <c r="C435" s="113" t="s">
        <v>208</v>
      </c>
      <c r="D435" s="113" t="s">
        <v>134</v>
      </c>
      <c r="E435" s="111" t="s">
        <v>308</v>
      </c>
      <c r="F435" s="114">
        <f t="shared" si="102"/>
        <v>2</v>
      </c>
      <c r="G435" s="115" t="str">
        <f t="shared" si="103"/>
        <v>Shawn</v>
      </c>
      <c r="H435" s="116">
        <f>IF($D435="",0,IFERROR(LOOKUP(2,1/(($D$3:D434=$D435)*($A$3:A434&lt;$A435)),$N$3:N434),'Guide &amp; Settings'!$C$41))</f>
        <v>1104.1921812390008</v>
      </c>
      <c r="I435" s="117">
        <f t="shared" si="104"/>
        <v>0.61176470588235299</v>
      </c>
      <c r="J435" s="118">
        <f>IF($D435="",0,IF($F435&lt;2,0,IF($E435="Win",('Guide &amp; Settings'!$C$42/(($F435-1)*COUNTIFS($A$4:$A$810,$A435,$E$4:$E$810,"Win")))*SUMIFS($X$4:$X$810,$A$4:$A$810,$A435,$E$4:$E$810,"Loss"),-('Guide &amp; Settings'!$C$42/($F435-1))*$X435)))</f>
        <v>16.561954414941418</v>
      </c>
      <c r="K435" s="118">
        <f>IF($D435="",0,'Guide &amp; Settings'!$C$43*(IF($E435="Win",1,0)-$I435))</f>
        <v>4.6588235294117641</v>
      </c>
      <c r="L435" s="119">
        <f>IF($D435="",0,'Guide &amp; Settings'!$C$44*IF($F435&gt;=3,$F435,0))</f>
        <v>0</v>
      </c>
      <c r="M435" s="118">
        <f t="shared" si="105"/>
        <v>21.220777944353181</v>
      </c>
      <c r="N435" s="116">
        <f t="shared" si="106"/>
        <v>1125.4129591833539</v>
      </c>
      <c r="O435" s="115" t="str">
        <f t="shared" si="107"/>
        <v>OK</v>
      </c>
      <c r="P435">
        <f t="shared" si="108"/>
        <v>1104.1921812390008</v>
      </c>
      <c r="Q435">
        <f t="shared" si="109"/>
        <v>0.5</v>
      </c>
      <c r="R435">
        <f t="shared" si="110"/>
        <v>0.59090909090909094</v>
      </c>
      <c r="S435">
        <f t="shared" si="111"/>
        <v>0.96590909090909094</v>
      </c>
      <c r="T435" s="83">
        <f t="shared" si="112"/>
        <v>20</v>
      </c>
      <c r="U435" s="120">
        <f>IF($D435="",0,IFERROR(LOOKUP(2,1/(($D$3:D434=$D435)*($C$3:C434=$C435)*($A$3:A434&lt;$A435)),$AB$3:AB434),1000))</f>
        <v>1025.4466082886879</v>
      </c>
      <c r="V435" s="120">
        <f t="shared" si="113"/>
        <v>1041.1957228787505</v>
      </c>
      <c r="W435">
        <f t="shared" si="114"/>
        <v>1041.1957228787505</v>
      </c>
      <c r="X435">
        <f t="shared" si="115"/>
        <v>0.5</v>
      </c>
      <c r="Y435">
        <f t="shared" si="116"/>
        <v>1025.4466082886879</v>
      </c>
      <c r="Z435">
        <f t="shared" si="117"/>
        <v>0.5</v>
      </c>
      <c r="AA435">
        <f>IF($D435="",0,IF($F435&lt;2,0,IF($E435="Win",('Guide &amp; Settings'!$C$42/(($F435-1)*COUNTIFS($A$4:$A$810,$A435,$E$4:$E$810,"Win")))*SUMIFS($Z$4:$Z$810,$A$4:$A$810,$A435,$E$4:$E$810,"Loss"),-('Guide &amp; Settings'!$C$42/($F435-1))*$Z435)))</f>
        <v>14.893856316260326</v>
      </c>
      <c r="AB435" s="120">
        <f t="shared" si="118"/>
        <v>1040.3404646049482</v>
      </c>
      <c r="AC435" s="120">
        <f>IF($D435="","",IF(SUMPRODUCT(MAX(($D$4:$D$810=$D435)*($B$4:$B$810&lt;$B435)*$B$4:$B$810))=0,0,IF(($B435-MAX(SUMPRODUCT(MAX(($D$4:$D$810=$D435)*($B$4:$B$810&lt;$B435)*$B$4:$B$810)),'Guide &amp; Settings'!$C$50))/7-'Guide &amp; Settings'!$C$48&gt;=0,(INT(($B435-MAX(SUMPRODUCT(MAX(($D$4:$D$810=$D435)*($B$4:$B$810&lt;$B435)*$B$4:$B$810)),'Guide &amp; Settings'!$C$50))/7-'Guide &amp; Settings'!$C$48)+1)*'Guide &amp; Settings'!$C$49,0)))</f>
        <v>0</v>
      </c>
    </row>
    <row r="436" spans="1:29" x14ac:dyDescent="0.2">
      <c r="A436" s="111">
        <v>187</v>
      </c>
      <c r="B436" s="112">
        <v>46241</v>
      </c>
      <c r="C436" s="113" t="s">
        <v>208</v>
      </c>
      <c r="D436" s="113" t="s">
        <v>169</v>
      </c>
      <c r="E436" s="111" t="s">
        <v>309</v>
      </c>
      <c r="F436" s="114">
        <f t="shared" si="102"/>
        <v>2</v>
      </c>
      <c r="G436" s="115" t="str">
        <f t="shared" si="103"/>
        <v>Shawn</v>
      </c>
      <c r="H436" s="116">
        <f>IF($D436="",0,IFERROR(LOOKUP(2,1/(($D$3:D435=$D436)*($A$3:A435&lt;$A436)),$N$3:N435),'Guide &amp; Settings'!$C$41))</f>
        <v>1115.8211932271754</v>
      </c>
      <c r="I436" s="117">
        <f t="shared" si="104"/>
        <v>0.38823529411764707</v>
      </c>
      <c r="J436" s="118">
        <f>IF($D436="",0,IF($F436&lt;2,0,IF($E436="Win",('Guide &amp; Settings'!$C$42/(($F436-1)*COUNTIFS($A$4:$A$810,$A436,$E$4:$E$810,"Win")))*SUMIFS($X$4:$X$810,$A$4:$A$810,$A436,$E$4:$E$810,"Loss"),-('Guide &amp; Settings'!$C$42/($F436-1))*$X436)))</f>
        <v>-16.561954414941418</v>
      </c>
      <c r="K436" s="118">
        <f>IF($D436="",0,'Guide &amp; Settings'!$C$43*(IF($E436="Win",1,0)-$I436))</f>
        <v>-4.658823529411765</v>
      </c>
      <c r="L436" s="119">
        <f>IF($D436="",0,'Guide &amp; Settings'!$C$44*IF($F436&gt;=3,$F436,0))</f>
        <v>0</v>
      </c>
      <c r="M436" s="118">
        <f t="shared" si="105"/>
        <v>-21.220777944353184</v>
      </c>
      <c r="N436" s="116">
        <f t="shared" si="106"/>
        <v>1094.6004152828223</v>
      </c>
      <c r="O436" s="115" t="str">
        <f t="shared" si="107"/>
        <v>OK</v>
      </c>
      <c r="P436">
        <f t="shared" si="108"/>
        <v>1104.1921812390008</v>
      </c>
      <c r="Q436">
        <f t="shared" si="109"/>
        <v>0.51672924670067555</v>
      </c>
      <c r="R436">
        <f t="shared" si="110"/>
        <v>0.375</v>
      </c>
      <c r="S436">
        <f t="shared" si="111"/>
        <v>0.96590909090909094</v>
      </c>
      <c r="T436" s="83">
        <f t="shared" si="112"/>
        <v>6</v>
      </c>
      <c r="U436" s="120">
        <f>IF($D436="",0,IFERROR(LOOKUP(2,1/(($D$3:D435=$D436)*($C$3:C435=$C436)*($A$3:A435&lt;$A436)),$AB$3:AB435),1000))</f>
        <v>1001.3886259796478</v>
      </c>
      <c r="V436" s="120">
        <f t="shared" si="113"/>
        <v>1053.4034292739786</v>
      </c>
      <c r="W436">
        <f t="shared" si="114"/>
        <v>1041.1957228787505</v>
      </c>
      <c r="X436">
        <f t="shared" si="115"/>
        <v>0.51756107546691932</v>
      </c>
      <c r="Y436">
        <f t="shared" si="116"/>
        <v>1025.4466082886879</v>
      </c>
      <c r="Z436">
        <f t="shared" si="117"/>
        <v>0.46543300988313518</v>
      </c>
      <c r="AA436">
        <f>IF($D436="",0,IF($F436&lt;2,0,IF($E436="Win",('Guide &amp; Settings'!$C$42/(($F436-1)*COUNTIFS($A$4:$A$810,$A436,$E$4:$E$810,"Win")))*SUMIFS($Z$4:$Z$810,$A$4:$A$810,$A436,$E$4:$E$810,"Loss"),-('Guide &amp; Settings'!$C$42/($F436-1))*$Z436)))</f>
        <v>-14.893856316260326</v>
      </c>
      <c r="AB436" s="120">
        <f t="shared" si="118"/>
        <v>986.4947696633875</v>
      </c>
      <c r="AC436" s="120">
        <f>IF($D436="","",IF(SUMPRODUCT(MAX(($D$4:$D$810=$D436)*($B$4:$B$810&lt;$B436)*$B$4:$B$810))=0,0,IF(($B436-MAX(SUMPRODUCT(MAX(($D$4:$D$810=$D436)*($B$4:$B$810&lt;$B436)*$B$4:$B$810)),'Guide &amp; Settings'!$C$50))/7-'Guide &amp; Settings'!$C$48&gt;=0,(INT(($B436-MAX(SUMPRODUCT(MAX(($D$4:$D$810=$D436)*($B$4:$B$810&lt;$B436)*$B$4:$B$810)),'Guide &amp; Settings'!$C$50))/7-'Guide &amp; Settings'!$C$48)+1)*'Guide &amp; Settings'!$C$49,0)))</f>
        <v>0</v>
      </c>
    </row>
    <row r="437" spans="1:29" x14ac:dyDescent="0.2">
      <c r="A437" s="111">
        <v>188</v>
      </c>
      <c r="B437" s="112">
        <v>46241</v>
      </c>
      <c r="C437" s="113" t="s">
        <v>208</v>
      </c>
      <c r="D437" s="113" t="s">
        <v>134</v>
      </c>
      <c r="E437" s="111" t="s">
        <v>308</v>
      </c>
      <c r="F437" s="114">
        <f t="shared" si="102"/>
        <v>3</v>
      </c>
      <c r="G437" s="115" t="str">
        <f t="shared" si="103"/>
        <v>Shawn</v>
      </c>
      <c r="H437" s="116">
        <f>IF($D437="",0,IFERROR(LOOKUP(2,1/(($D$3:D436=$D437)*($A$3:A436&lt;$A437)),$N$3:N436),'Guide &amp; Settings'!$C$41))</f>
        <v>1125.4129591833539</v>
      </c>
      <c r="I437" s="117">
        <f t="shared" si="104"/>
        <v>0.46217331499312247</v>
      </c>
      <c r="J437" s="118">
        <f>IF($D437="",0,IF($F437&lt;2,0,IF($E437="Win",('Guide &amp; Settings'!$C$42/(($F437-1)*COUNTIFS($A$4:$A$810,$A437,$E$4:$E$810,"Win")))*SUMIFS($X$4:$X$810,$A$4:$A$810,$A437,$E$4:$E$810,"Loss"),-('Guide &amp; Settings'!$C$42/($F437-1))*$X437)))</f>
        <v>14.414634341066805</v>
      </c>
      <c r="K437" s="118">
        <f>IF($D437="",0,'Guide &amp; Settings'!$C$43*(IF($E437="Win",1,0)-$I437))</f>
        <v>6.453920220082531</v>
      </c>
      <c r="L437" s="119">
        <f>IF($D437="",0,'Guide &amp; Settings'!$C$44*IF($F437&gt;=3,$F437,0))</f>
        <v>3</v>
      </c>
      <c r="M437" s="118">
        <f t="shared" si="105"/>
        <v>23.868554561149335</v>
      </c>
      <c r="N437" s="116">
        <f t="shared" si="106"/>
        <v>1149.2815137445032</v>
      </c>
      <c r="O437" s="115" t="str">
        <f t="shared" si="107"/>
        <v>OK</v>
      </c>
      <c r="P437">
        <f t="shared" si="108"/>
        <v>1125.4129591833539</v>
      </c>
      <c r="Q437">
        <f t="shared" si="109"/>
        <v>0.5</v>
      </c>
      <c r="R437">
        <f t="shared" si="110"/>
        <v>0.60869565217391308</v>
      </c>
      <c r="S437">
        <f t="shared" si="111"/>
        <v>1.3170289855072463</v>
      </c>
      <c r="T437" s="83">
        <f t="shared" si="112"/>
        <v>21</v>
      </c>
      <c r="U437" s="120">
        <f>IF($D437="",0,IFERROR(LOOKUP(2,1/(($D$3:D436=$D437)*($C$3:C436=$C437)*($A$3:A436&lt;$A437)),$AB$3:AB436),1000))</f>
        <v>1040.3404646049482</v>
      </c>
      <c r="V437" s="120">
        <f t="shared" si="113"/>
        <v>1056.7005597161801</v>
      </c>
      <c r="W437">
        <f t="shared" si="114"/>
        <v>1056.7005597161801</v>
      </c>
      <c r="X437">
        <f t="shared" si="115"/>
        <v>0.5</v>
      </c>
      <c r="Y437">
        <f t="shared" si="116"/>
        <v>1040.3404646049482</v>
      </c>
      <c r="Z437">
        <f t="shared" si="117"/>
        <v>0.5</v>
      </c>
      <c r="AA437">
        <f>IF($D437="",0,IF($F437&lt;2,0,IF($E437="Win",('Guide &amp; Settings'!$C$42/(($F437-1)*COUNTIFS($A$4:$A$810,$A437,$E$4:$E$810,"Win")))*SUMIFS($Z$4:$Z$810,$A$4:$A$810,$A437,$E$4:$E$810,"Loss"),-('Guide &amp; Settings'!$C$42/($F437-1))*$Z437)))</f>
        <v>13.394736753343278</v>
      </c>
      <c r="AB437" s="120">
        <f t="shared" si="118"/>
        <v>1053.7352013582915</v>
      </c>
      <c r="AC437" s="120">
        <f>IF($D437="","",IF(SUMPRODUCT(MAX(($D$4:$D$810=$D437)*($B$4:$B$810&lt;$B437)*$B$4:$B$810))=0,0,IF(($B437-MAX(SUMPRODUCT(MAX(($D$4:$D$810=$D437)*($B$4:$B$810&lt;$B437)*$B$4:$B$810)),'Guide &amp; Settings'!$C$50))/7-'Guide &amp; Settings'!$C$48&gt;=0,(INT(($B437-MAX(SUMPRODUCT(MAX(($D$4:$D$810=$D437)*($B$4:$B$810&lt;$B437)*$B$4:$B$810)),'Guide &amp; Settings'!$C$50))/7-'Guide &amp; Settings'!$C$48)+1)*'Guide &amp; Settings'!$C$49,0)))</f>
        <v>0</v>
      </c>
    </row>
    <row r="438" spans="1:29" x14ac:dyDescent="0.2">
      <c r="A438" s="111">
        <v>188</v>
      </c>
      <c r="B438" s="112">
        <v>46241</v>
      </c>
      <c r="C438" s="113" t="s">
        <v>208</v>
      </c>
      <c r="D438" s="113" t="s">
        <v>170</v>
      </c>
      <c r="E438" s="111" t="s">
        <v>309</v>
      </c>
      <c r="F438" s="114">
        <f t="shared" si="102"/>
        <v>3</v>
      </c>
      <c r="G438" s="115" t="str">
        <f t="shared" si="103"/>
        <v>Shawn</v>
      </c>
      <c r="H438" s="116">
        <f>IF($D438="",0,IFERROR(LOOKUP(2,1/(($D$3:D437=$D438)*($A$3:A437&lt;$A438)),$N$3:N437),'Guide &amp; Settings'!$C$41))</f>
        <v>1104.3459294969905</v>
      </c>
      <c r="I438" s="117">
        <f t="shared" si="104"/>
        <v>0.28473177441540576</v>
      </c>
      <c r="J438" s="118">
        <f>IF($D438="",0,IF($F438&lt;2,0,IF($E438="Win",('Guide &amp; Settings'!$C$42/(($F438-1)*COUNTIFS($A$4:$A$810,$A438,$E$4:$E$810,"Win")))*SUMIFS($X$4:$X$810,$A$4:$A$810,$A438,$E$4:$E$810,"Loss"),-('Guide &amp; Settings'!$C$42/($F438-1))*$X438)))</f>
        <v>-6.9929947440660873</v>
      </c>
      <c r="K438" s="118">
        <f>IF($D438="",0,'Guide &amp; Settings'!$C$43*(IF($E438="Win",1,0)-$I438))</f>
        <v>-3.4167812929848691</v>
      </c>
      <c r="L438" s="119">
        <f>IF($D438="",0,'Guide &amp; Settings'!$C$44*IF($F438&gt;=3,$F438,0))</f>
        <v>3</v>
      </c>
      <c r="M438" s="118">
        <f t="shared" si="105"/>
        <v>-7.4097760370509569</v>
      </c>
      <c r="N438" s="116">
        <f t="shared" si="106"/>
        <v>1096.9361534599395</v>
      </c>
      <c r="O438" s="115" t="str">
        <f t="shared" si="107"/>
        <v>OK</v>
      </c>
      <c r="P438">
        <f t="shared" si="108"/>
        <v>1125.4129591833539</v>
      </c>
      <c r="Q438">
        <f t="shared" si="109"/>
        <v>0.46971920920103316</v>
      </c>
      <c r="R438">
        <f t="shared" si="110"/>
        <v>0.375</v>
      </c>
      <c r="S438">
        <f t="shared" si="111"/>
        <v>1.3170289855072463</v>
      </c>
      <c r="T438" s="83">
        <f t="shared" si="112"/>
        <v>14</v>
      </c>
      <c r="U438" s="120">
        <f>IF($D438="",0,IFERROR(LOOKUP(2,1/(($D$3:D437=$D438)*($C$3:C437=$C438)*($A$3:A437&lt;$A438)),$AB$3:AB437),1000))</f>
        <v>980.01501129198186</v>
      </c>
      <c r="V438" s="120">
        <f t="shared" si="113"/>
        <v>1012.7336739775105</v>
      </c>
      <c r="W438">
        <f t="shared" si="114"/>
        <v>1056.7005597161801</v>
      </c>
      <c r="X438">
        <f t="shared" si="115"/>
        <v>0.43706217150413046</v>
      </c>
      <c r="Y438">
        <f t="shared" si="116"/>
        <v>1040.3404646049482</v>
      </c>
      <c r="Z438">
        <f t="shared" si="117"/>
        <v>0.41404672434762696</v>
      </c>
      <c r="AA438">
        <f>IF($D438="",0,IF($F438&lt;2,0,IF($E438="Win",('Guide &amp; Settings'!$C$42/(($F438-1)*COUNTIFS($A$4:$A$810,$A438,$E$4:$E$810,"Win")))*SUMIFS($Z$4:$Z$810,$A$4:$A$810,$A438,$E$4:$E$810,"Loss"),-('Guide &amp; Settings'!$C$42/($F438-1))*$Z438)))</f>
        <v>-6.6247475895620314</v>
      </c>
      <c r="AB438" s="120">
        <f t="shared" si="118"/>
        <v>973.39026370241982</v>
      </c>
      <c r="AC438" s="120">
        <f>IF($D438="","",IF(SUMPRODUCT(MAX(($D$4:$D$810=$D438)*($B$4:$B$810&lt;$B438)*$B$4:$B$810))=0,0,IF(($B438-MAX(SUMPRODUCT(MAX(($D$4:$D$810=$D438)*($B$4:$B$810&lt;$B438)*$B$4:$B$810)),'Guide &amp; Settings'!$C$50))/7-'Guide &amp; Settings'!$C$48&gt;=0,(INT(($B438-MAX(SUMPRODUCT(MAX(($D$4:$D$810=$D438)*($B$4:$B$810&lt;$B438)*$B$4:$B$810)),'Guide &amp; Settings'!$C$50))/7-'Guide &amp; Settings'!$C$48)+1)*'Guide &amp; Settings'!$C$49,0)))</f>
        <v>0</v>
      </c>
    </row>
    <row r="439" spans="1:29" x14ac:dyDescent="0.2">
      <c r="A439" s="111">
        <v>188</v>
      </c>
      <c r="B439" s="112">
        <v>46241</v>
      </c>
      <c r="C439" s="113" t="s">
        <v>208</v>
      </c>
      <c r="D439" s="113" t="s">
        <v>169</v>
      </c>
      <c r="E439" s="111" t="s">
        <v>309</v>
      </c>
      <c r="F439" s="114">
        <f t="shared" si="102"/>
        <v>3</v>
      </c>
      <c r="G439" s="115" t="str">
        <f t="shared" si="103"/>
        <v>Shawn</v>
      </c>
      <c r="H439" s="116">
        <f>IF($D439="",0,IFERROR(LOOKUP(2,1/(($D$3:D438=$D439)*($A$3:A438&lt;$A439)),$N$3:N438),'Guide &amp; Settings'!$C$41))</f>
        <v>1094.6004152828223</v>
      </c>
      <c r="I439" s="117">
        <f t="shared" si="104"/>
        <v>0.25309491059147182</v>
      </c>
      <c r="J439" s="118">
        <f>IF($D439="",0,IF($F439&lt;2,0,IF($E439="Win",('Guide &amp; Settings'!$C$42/(($F439-1)*COUNTIFS($A$4:$A$810,$A439,$E$4:$E$810,"Win")))*SUMIFS($X$4:$X$810,$A$4:$A$810,$A439,$E$4:$E$810,"Loss"),-('Guide &amp; Settings'!$C$42/($F439-1))*$X439)))</f>
        <v>-7.4216395970007172</v>
      </c>
      <c r="K439" s="118">
        <f>IF($D439="",0,'Guide &amp; Settings'!$C$43*(IF($E439="Win",1,0)-$I439))</f>
        <v>-3.0371389270976619</v>
      </c>
      <c r="L439" s="119">
        <f>IF($D439="",0,'Guide &amp; Settings'!$C$44*IF($F439&gt;=3,$F439,0))</f>
        <v>3</v>
      </c>
      <c r="M439" s="118">
        <f t="shared" si="105"/>
        <v>-7.4587785240983795</v>
      </c>
      <c r="N439" s="116">
        <f t="shared" si="106"/>
        <v>1087.141636758724</v>
      </c>
      <c r="O439" s="115" t="str">
        <f t="shared" si="107"/>
        <v>OK</v>
      </c>
      <c r="P439">
        <f t="shared" si="108"/>
        <v>1125.4129591833539</v>
      </c>
      <c r="Q439">
        <f t="shared" si="109"/>
        <v>0.45577307441929471</v>
      </c>
      <c r="R439">
        <f t="shared" si="110"/>
        <v>0.33333333333333331</v>
      </c>
      <c r="S439">
        <f t="shared" si="111"/>
        <v>1.3170289855072463</v>
      </c>
      <c r="T439" s="83">
        <f t="shared" si="112"/>
        <v>7</v>
      </c>
      <c r="U439" s="120">
        <f>IF($D439="",0,IFERROR(LOOKUP(2,1/(($D$3:D438=$D439)*($C$3:C438=$C439)*($A$3:A438&lt;$A439)),$AB$3:AB438),1000))</f>
        <v>986.4947696633875</v>
      </c>
      <c r="V439" s="120">
        <f t="shared" si="113"/>
        <v>1031.5387886714852</v>
      </c>
      <c r="W439">
        <f t="shared" si="114"/>
        <v>1056.7005597161801</v>
      </c>
      <c r="X439">
        <f t="shared" si="115"/>
        <v>0.46385247481254482</v>
      </c>
      <c r="Y439">
        <f t="shared" si="116"/>
        <v>1040.3404646049482</v>
      </c>
      <c r="Z439">
        <f t="shared" si="117"/>
        <v>0.42312432273632783</v>
      </c>
      <c r="AA439">
        <f>IF($D439="",0,IF($F439&lt;2,0,IF($E439="Win",('Guide &amp; Settings'!$C$42/(($F439-1)*COUNTIFS($A$4:$A$810,$A439,$E$4:$E$810,"Win")))*SUMIFS($Z$4:$Z$810,$A$4:$A$810,$A439,$E$4:$E$810,"Loss"),-('Guide &amp; Settings'!$C$42/($F439-1))*$Z439)))</f>
        <v>-6.7699891637812453</v>
      </c>
      <c r="AB439" s="120">
        <f t="shared" si="118"/>
        <v>979.72478049960625</v>
      </c>
      <c r="AC439" s="120">
        <f>IF($D439="","",IF(SUMPRODUCT(MAX(($D$4:$D$810=$D439)*($B$4:$B$810&lt;$B439)*$B$4:$B$810))=0,0,IF(($B439-MAX(SUMPRODUCT(MAX(($D$4:$D$810=$D439)*($B$4:$B$810&lt;$B439)*$B$4:$B$810)),'Guide &amp; Settings'!$C$50))/7-'Guide &amp; Settings'!$C$48&gt;=0,(INT(($B439-MAX(SUMPRODUCT(MAX(($D$4:$D$810=$D439)*($B$4:$B$810&lt;$B439)*$B$4:$B$810)),'Guide &amp; Settings'!$C$50))/7-'Guide &amp; Settings'!$C$48)+1)*'Guide &amp; Settings'!$C$49,0)))</f>
        <v>0</v>
      </c>
    </row>
    <row r="440" spans="1:29" x14ac:dyDescent="0.2">
      <c r="A440" s="111">
        <v>189</v>
      </c>
      <c r="B440" s="112">
        <v>46241</v>
      </c>
      <c r="C440" s="113" t="s">
        <v>208</v>
      </c>
      <c r="D440" s="113" t="s">
        <v>134</v>
      </c>
      <c r="E440" s="111" t="s">
        <v>309</v>
      </c>
      <c r="F440" s="114">
        <f t="shared" ref="F440:F503" si="119">IF($D440="",0,COUNTIF($A$4:$A$810,$A440))</f>
        <v>3</v>
      </c>
      <c r="G440" s="115" t="str">
        <f t="shared" ref="G440:G503" si="120">IF($D440="","",IFERROR(LOOKUP(2,1/(($A$4:$A$810=$A440)*($E$4:$E$810="Win")),$D$4:$D$810),"(no winner)"))</f>
        <v>Daniel (Ferret)</v>
      </c>
      <c r="H440" s="116">
        <f>IF($D440="",0,IFERROR(LOOKUP(2,1/(($D$3:D439=$D440)*($A$3:A439&lt;$A440)),$N$3:N439),'Guide &amp; Settings'!$C$41))</f>
        <v>1149.2815137445032</v>
      </c>
      <c r="I440" s="117">
        <f t="shared" ref="I440:I503" si="121">IF($D440="",0,IF($S440=0,0,$R440/$S440))</f>
        <v>0.48906789413118523</v>
      </c>
      <c r="J440" s="118">
        <f>IF($D440="",0,IF($F440&lt;2,0,IF($E440="Win",('Guide &amp; Settings'!$C$42/(($F440-1)*COUNTIFS($A$4:$A$810,$A440,$E$4:$E$810,"Win")))*SUMIFS($X$4:$X$810,$A$4:$A$810,$A440,$E$4:$E$810,"Loss"),-('Guide &amp; Settings'!$C$42/($F440-1))*$X440)))</f>
        <v>-9.5272663189957054</v>
      </c>
      <c r="K440" s="118">
        <f>IF($D440="",0,'Guide &amp; Settings'!$C$43*(IF($E440="Win",1,0)-$I440))</f>
        <v>-5.8688147295742228</v>
      </c>
      <c r="L440" s="119">
        <f>IF($D440="",0,'Guide &amp; Settings'!$C$44*IF($F440&gt;=3,$F440,0))</f>
        <v>3</v>
      </c>
      <c r="M440" s="118">
        <f t="shared" ref="M440:M503" si="122">IF($D440="",0,$J440+$K440+$L440)</f>
        <v>-12.396081048569929</v>
      </c>
      <c r="N440" s="116">
        <f t="shared" ref="N440:N503" si="123">IF($D440="",0,$H440+$M440)</f>
        <v>1136.8854326959333</v>
      </c>
      <c r="O440" s="115" t="str">
        <f t="shared" ref="O440:O503" si="124">IF($D440="","",IF(COUNTIFS($A$4:$A$810,$A440,$E$4:$E$810,"Win")=0,"need a winner",IF(COUNTIFS($A$4:$A$810,$A440,$E$4:$E$810,"Loss")=0,"need a loser",IF(COUNTIFS($A$4:$A$810,$A440,$D$4:$D$810,$D440)&gt;1,"duplicate player","OK"))))</f>
        <v>OK</v>
      </c>
      <c r="P440">
        <f t="shared" ref="P440:P503" si="125">IF($D440="",0,IFERROR(SUMIFS($H$4:$H$810,$A$4:$A$810,$A440,$E$4:$E$810,"Win")/COUNTIFS($A$4:$A$810,$A440,$E$4:$E$810,"Win"),0))</f>
        <v>1096.9361534599395</v>
      </c>
      <c r="Q440">
        <f t="shared" ref="Q440:Q503" si="126">IF($D440="",0,1/(1+10^(($P440-$H440)/400)))</f>
        <v>0.57476617594879886</v>
      </c>
      <c r="R440">
        <f t="shared" ref="R440:R503" si="127">IF($D440="",0,(COUNTIFS($D$4:$D$810,$D440,$C$4:$C$810,$C440,$E$4:$E$810,"Win",$A$4:$A$810,"&lt;"&amp;$A440)+1)/(COUNTIFS($D$4:$D$810,$D440,$C$4:$C$810,$C440,$A$4:$A$810,"&lt;"&amp;$A440)+2))</f>
        <v>0.625</v>
      </c>
      <c r="S440">
        <f t="shared" ref="S440:S503" si="128">IF($D440="",0,SUMIFS($R$4:$R$810,$A$4:$A$810,$A440))</f>
        <v>1.2779411764705884</v>
      </c>
      <c r="T440" s="83">
        <f t="shared" ref="T440:T503" si="129">IF($D440="",0,COUNTIFS($D$4:$D$810,$D440,$C$4:$C$810,$C440,$A$4:$A$810,"&lt;"&amp;$A440))</f>
        <v>22</v>
      </c>
      <c r="U440" s="120">
        <f>IF($D440="",0,IFERROR(LOOKUP(2,1/(($D$3:D439=$D440)*($C$3:C439=$C440)*($A$3:A439&lt;$A440)),$AB$3:AB439),1000))</f>
        <v>1053.7352013582915</v>
      </c>
      <c r="V440" s="120">
        <f t="shared" ref="V440:V503" si="130">IF($D440="",0,$U440*($T440/($T440+5))+$H440*(1-$T440/($T440+5)))</f>
        <v>1071.4289629112936</v>
      </c>
      <c r="W440">
        <f t="shared" ref="W440:W503" si="131">IF($D440="",0,IFERROR(SUMIFS($V$4:$V$810,$A$4:$A$810,$A440,$E$4:$E$810,"Win")/COUNTIFS($A$4:$A$810,$A440,$E$4:$E$810,"Win"),0))</f>
        <v>1004.2767361417998</v>
      </c>
      <c r="X440">
        <f t="shared" ref="X440:X503" si="132">IF($D440="",0,1/(1+10^(($W440-$V440)/400)))</f>
        <v>0.59545414493723159</v>
      </c>
      <c r="Y440">
        <f t="shared" ref="Y440:Y503" si="133">IF($D440="",0,IFERROR(SUMIFS($U$4:$U$810,$A$4:$A$810,$A440,$E$4:$E$810,"Win")/COUNTIFS($A$4:$A$810,$A440,$E$4:$E$810,"Win"),0))</f>
        <v>973.39026370241982</v>
      </c>
      <c r="Z440">
        <f t="shared" ref="Z440:Z503" si="134">IF($D440="",0,1/(1+10^(($Y440-$U440)/400)))</f>
        <v>0.61360770357947914</v>
      </c>
      <c r="AA440">
        <f>IF($D440="",0,IF($F440&lt;2,0,IF($E440="Win",('Guide &amp; Settings'!$C$42/(($F440-1)*COUNTIFS($A$4:$A$810,$A440,$E$4:$E$810,"Win")))*SUMIFS($Z$4:$Z$810,$A$4:$A$810,$A440,$E$4:$E$810,"Loss"),-('Guide &amp; Settings'!$C$42/($F440-1))*$Z440)))</f>
        <v>-9.8177232572716662</v>
      </c>
      <c r="AB440" s="120">
        <f t="shared" ref="AB440:AB503" si="135">IF($D440="",0,$U440+$AA440)</f>
        <v>1043.9174781010199</v>
      </c>
      <c r="AC440" s="120">
        <f>IF($D440="","",IF(SUMPRODUCT(MAX(($D$4:$D$810=$D440)*($B$4:$B$810&lt;$B440)*$B$4:$B$810))=0,0,IF(($B440-MAX(SUMPRODUCT(MAX(($D$4:$D$810=$D440)*($B$4:$B$810&lt;$B440)*$B$4:$B$810)),'Guide &amp; Settings'!$C$50))/7-'Guide &amp; Settings'!$C$48&gt;=0,(INT(($B440-MAX(SUMPRODUCT(MAX(($D$4:$D$810=$D440)*($B$4:$B$810&lt;$B440)*$B$4:$B$810)),'Guide &amp; Settings'!$C$50))/7-'Guide &amp; Settings'!$C$48)+1)*'Guide &amp; Settings'!$C$49,0)))</f>
        <v>0</v>
      </c>
    </row>
    <row r="441" spans="1:29" x14ac:dyDescent="0.2">
      <c r="A441" s="111">
        <v>189</v>
      </c>
      <c r="B441" s="112">
        <v>46241</v>
      </c>
      <c r="C441" s="113" t="s">
        <v>208</v>
      </c>
      <c r="D441" s="113" t="s">
        <v>170</v>
      </c>
      <c r="E441" s="111" t="s">
        <v>308</v>
      </c>
      <c r="F441" s="114">
        <f t="shared" si="119"/>
        <v>3</v>
      </c>
      <c r="G441" s="115" t="str">
        <f t="shared" si="120"/>
        <v>Daniel (Ferret)</v>
      </c>
      <c r="H441" s="116">
        <f>IF($D441="",0,IFERROR(LOOKUP(2,1/(($D$3:D440=$D441)*($A$3:A440&lt;$A441)),$N$3:N440),'Guide &amp; Settings'!$C$41))</f>
        <v>1096.9361534599395</v>
      </c>
      <c r="I441" s="117">
        <f t="shared" si="121"/>
        <v>0.27617951668584578</v>
      </c>
      <c r="J441" s="118">
        <f>IF($D441="",0,IF($F441&lt;2,0,IF($E441="Win",('Guide &amp; Settings'!$C$42/(($F441-1)*COUNTIFS($A$4:$A$810,$A441,$E$4:$E$810,"Win")))*SUMIFS($X$4:$X$810,$A$4:$A$810,$A441,$E$4:$E$810,"Loss"),-('Guide &amp; Settings'!$C$42/($F441-1))*$X441)))</f>
        <v>17.912931511773273</v>
      </c>
      <c r="K441" s="118">
        <f>IF($D441="",0,'Guide &amp; Settings'!$C$43*(IF($E441="Win",1,0)-$I441))</f>
        <v>8.6858457997698508</v>
      </c>
      <c r="L441" s="119">
        <f>IF($D441="",0,'Guide &amp; Settings'!$C$44*IF($F441&gt;=3,$F441,0))</f>
        <v>3</v>
      </c>
      <c r="M441" s="118">
        <f t="shared" si="122"/>
        <v>29.598777311543124</v>
      </c>
      <c r="N441" s="116">
        <f t="shared" si="123"/>
        <v>1126.5349307714825</v>
      </c>
      <c r="O441" s="115" t="str">
        <f t="shared" si="124"/>
        <v>OK</v>
      </c>
      <c r="P441">
        <f t="shared" si="125"/>
        <v>1096.9361534599395</v>
      </c>
      <c r="Q441">
        <f t="shared" si="126"/>
        <v>0.5</v>
      </c>
      <c r="R441">
        <f t="shared" si="127"/>
        <v>0.35294117647058826</v>
      </c>
      <c r="S441">
        <f t="shared" si="128"/>
        <v>1.2779411764705884</v>
      </c>
      <c r="T441" s="83">
        <f t="shared" si="129"/>
        <v>15</v>
      </c>
      <c r="U441" s="120">
        <f>IF($D441="",0,IFERROR(LOOKUP(2,1/(($D$3:D440=$D441)*($C$3:C440=$C441)*($A$3:A440&lt;$A441)),$AB$3:AB440),1000))</f>
        <v>973.39026370241982</v>
      </c>
      <c r="V441" s="120">
        <f t="shared" si="130"/>
        <v>1004.2767361417998</v>
      </c>
      <c r="W441">
        <f t="shared" si="131"/>
        <v>1004.2767361417998</v>
      </c>
      <c r="X441">
        <f t="shared" si="132"/>
        <v>0.5</v>
      </c>
      <c r="Y441">
        <f t="shared" si="133"/>
        <v>973.39026370241982</v>
      </c>
      <c r="Z441">
        <f t="shared" si="134"/>
        <v>0.5</v>
      </c>
      <c r="AA441">
        <f>IF($D441="",0,IF($F441&lt;2,0,IF($E441="Win",('Guide &amp; Settings'!$C$42/(($F441-1)*COUNTIFS($A$4:$A$810,$A441,$E$4:$E$810,"Win")))*SUMIFS($Z$4:$Z$810,$A$4:$A$810,$A441,$E$4:$E$810,"Loss"),-('Guide &amp; Settings'!$C$42/($F441-1))*$Z441)))</f>
        <v>17.963564737232602</v>
      </c>
      <c r="AB441" s="120">
        <f t="shared" si="135"/>
        <v>991.35382843965237</v>
      </c>
      <c r="AC441" s="120">
        <f>IF($D441="","",IF(SUMPRODUCT(MAX(($D$4:$D$810=$D441)*($B$4:$B$810&lt;$B441)*$B$4:$B$810))=0,0,IF(($B441-MAX(SUMPRODUCT(MAX(($D$4:$D$810=$D441)*($B$4:$B$810&lt;$B441)*$B$4:$B$810)),'Guide &amp; Settings'!$C$50))/7-'Guide &amp; Settings'!$C$48&gt;=0,(INT(($B441-MAX(SUMPRODUCT(MAX(($D$4:$D$810=$D441)*($B$4:$B$810&lt;$B441)*$B$4:$B$810)),'Guide &amp; Settings'!$C$50))/7-'Guide &amp; Settings'!$C$48)+1)*'Guide &amp; Settings'!$C$49,0)))</f>
        <v>0</v>
      </c>
    </row>
    <row r="442" spans="1:29" x14ac:dyDescent="0.2">
      <c r="A442" s="111">
        <v>189</v>
      </c>
      <c r="B442" s="112">
        <v>46241</v>
      </c>
      <c r="C442" s="113" t="s">
        <v>208</v>
      </c>
      <c r="D442" s="113" t="s">
        <v>169</v>
      </c>
      <c r="E442" s="111" t="s">
        <v>309</v>
      </c>
      <c r="F442" s="114">
        <f t="shared" si="119"/>
        <v>3</v>
      </c>
      <c r="G442" s="115" t="str">
        <f t="shared" si="120"/>
        <v>Daniel (Ferret)</v>
      </c>
      <c r="H442" s="116">
        <f>IF($D442="",0,IFERROR(LOOKUP(2,1/(($D$3:D441=$D442)*($A$3:A441&lt;$A442)),$N$3:N441),'Guide &amp; Settings'!$C$41))</f>
        <v>1087.141636758724</v>
      </c>
      <c r="I442" s="117">
        <f t="shared" si="121"/>
        <v>0.2347525891829689</v>
      </c>
      <c r="J442" s="118">
        <f>IF($D442="",0,IF($F442&lt;2,0,IF($E442="Win",('Guide &amp; Settings'!$C$42/(($F442-1)*COUNTIFS($A$4:$A$810,$A442,$E$4:$E$810,"Win")))*SUMIFS($X$4:$X$810,$A$4:$A$810,$A442,$E$4:$E$810,"Loss"),-('Guide &amp; Settings'!$C$42/($F442-1))*$X442)))</f>
        <v>-8.3856651927775676</v>
      </c>
      <c r="K442" s="118">
        <f>IF($D442="",0,'Guide &amp; Settings'!$C$43*(IF($E442="Win",1,0)-$I442))</f>
        <v>-2.8170310701956267</v>
      </c>
      <c r="L442" s="119">
        <f>IF($D442="",0,'Guide &amp; Settings'!$C$44*IF($F442&gt;=3,$F442,0))</f>
        <v>3</v>
      </c>
      <c r="M442" s="118">
        <f t="shared" si="122"/>
        <v>-8.2026962629731948</v>
      </c>
      <c r="N442" s="116">
        <f t="shared" si="123"/>
        <v>1078.9389404957508</v>
      </c>
      <c r="O442" s="115" t="str">
        <f t="shared" si="124"/>
        <v>OK</v>
      </c>
      <c r="P442">
        <f t="shared" si="125"/>
        <v>1096.9361534599395</v>
      </c>
      <c r="Q442">
        <f t="shared" si="126"/>
        <v>0.48590829022500398</v>
      </c>
      <c r="R442">
        <f t="shared" si="127"/>
        <v>0.3</v>
      </c>
      <c r="S442">
        <f t="shared" si="128"/>
        <v>1.2779411764705884</v>
      </c>
      <c r="T442" s="83">
        <f t="shared" si="129"/>
        <v>8</v>
      </c>
      <c r="U442" s="120">
        <f>IF($D442="",0,IFERROR(LOOKUP(2,1/(($D$3:D441=$D442)*($C$3:C441=$C442)*($A$3:A441&lt;$A442)),$AB$3:AB441),1000))</f>
        <v>979.72478049960625</v>
      </c>
      <c r="V442" s="120">
        <f t="shared" si="130"/>
        <v>1021.0389559838823</v>
      </c>
      <c r="W442">
        <f t="shared" si="131"/>
        <v>1004.2767361417998</v>
      </c>
      <c r="X442">
        <f t="shared" si="132"/>
        <v>0.52410407454859798</v>
      </c>
      <c r="Y442">
        <f t="shared" si="133"/>
        <v>973.39026370241982</v>
      </c>
      <c r="Z442">
        <f t="shared" si="134"/>
        <v>0.5091150924975586</v>
      </c>
      <c r="AA442">
        <f>IF($D442="",0,IF($F442&lt;2,0,IF($E442="Win",('Guide &amp; Settings'!$C$42/(($F442-1)*COUNTIFS($A$4:$A$810,$A442,$E$4:$E$810,"Win")))*SUMIFS($Z$4:$Z$810,$A$4:$A$810,$A442,$E$4:$E$810,"Loss"),-('Guide &amp; Settings'!$C$42/($F442-1))*$Z442)))</f>
        <v>-8.1458414799609375</v>
      </c>
      <c r="AB442" s="120">
        <f t="shared" si="135"/>
        <v>971.5789390196453</v>
      </c>
      <c r="AC442" s="120">
        <f>IF($D442="","",IF(SUMPRODUCT(MAX(($D$4:$D$810=$D442)*($B$4:$B$810&lt;$B442)*$B$4:$B$810))=0,0,IF(($B442-MAX(SUMPRODUCT(MAX(($D$4:$D$810=$D442)*($B$4:$B$810&lt;$B442)*$B$4:$B$810)),'Guide &amp; Settings'!$C$50))/7-'Guide &amp; Settings'!$C$48&gt;=0,(INT(($B442-MAX(SUMPRODUCT(MAX(($D$4:$D$810=$D442)*($B$4:$B$810&lt;$B442)*$B$4:$B$810)),'Guide &amp; Settings'!$C$50))/7-'Guide &amp; Settings'!$C$48)+1)*'Guide &amp; Settings'!$C$49,0)))</f>
        <v>0</v>
      </c>
    </row>
    <row r="443" spans="1:29" x14ac:dyDescent="0.2">
      <c r="A443" s="111">
        <v>190</v>
      </c>
      <c r="B443" s="112">
        <v>46241</v>
      </c>
      <c r="C443" s="113" t="s">
        <v>208</v>
      </c>
      <c r="D443" s="113" t="s">
        <v>134</v>
      </c>
      <c r="E443" s="111" t="s">
        <v>309</v>
      </c>
      <c r="F443" s="114">
        <f t="shared" si="119"/>
        <v>3</v>
      </c>
      <c r="G443" s="115" t="str">
        <f t="shared" si="120"/>
        <v>Daniel (Ferret)</v>
      </c>
      <c r="H443" s="116">
        <f>IF($D443="",0,IFERROR(LOOKUP(2,1/(($D$3:D442=$D443)*($A$3:A442&lt;$A443)),$N$3:N442),'Guide &amp; Settings'!$C$41))</f>
        <v>1136.8854326959333</v>
      </c>
      <c r="I443" s="117">
        <f t="shared" si="121"/>
        <v>0.47558046437149715</v>
      </c>
      <c r="J443" s="118">
        <f>IF($D443="",0,IF($F443&lt;2,0,IF($E443="Win",('Guide &amp; Settings'!$C$42/(($F443-1)*COUNTIFS($A$4:$A$810,$A443,$E$4:$E$810,"Win")))*SUMIFS($X$4:$X$810,$A$4:$A$810,$A443,$E$4:$E$810,"Loss"),-('Guide &amp; Settings'!$C$42/($F443-1))*$X443)))</f>
        <v>-8.848274345441153</v>
      </c>
      <c r="K443" s="118">
        <f>IF($D443="",0,'Guide &amp; Settings'!$C$43*(IF($E443="Win",1,0)-$I443))</f>
        <v>-5.7069655724579658</v>
      </c>
      <c r="L443" s="119">
        <f>IF($D443="",0,'Guide &amp; Settings'!$C$44*IF($F443&gt;=3,$F443,0))</f>
        <v>3</v>
      </c>
      <c r="M443" s="118">
        <f t="shared" si="122"/>
        <v>-11.555239917899119</v>
      </c>
      <c r="N443" s="116">
        <f t="shared" si="123"/>
        <v>1125.3301927780342</v>
      </c>
      <c r="O443" s="115" t="str">
        <f t="shared" si="124"/>
        <v>OK</v>
      </c>
      <c r="P443">
        <f t="shared" si="125"/>
        <v>1126.5349307714825</v>
      </c>
      <c r="Q443">
        <f t="shared" si="126"/>
        <v>0.51489116454597339</v>
      </c>
      <c r="R443">
        <f t="shared" si="127"/>
        <v>0.6</v>
      </c>
      <c r="S443">
        <f t="shared" si="128"/>
        <v>1.2616161616161616</v>
      </c>
      <c r="T443" s="83">
        <f t="shared" si="129"/>
        <v>23</v>
      </c>
      <c r="U443" s="120">
        <f>IF($D443="",0,IFERROR(LOOKUP(2,1/(($D$3:D442=$D443)*($C$3:C442=$C443)*($A$3:A442&lt;$A443)),$AB$3:AB442),1000))</f>
        <v>1043.9174781010199</v>
      </c>
      <c r="V443" s="120">
        <f t="shared" si="130"/>
        <v>1060.5188985643972</v>
      </c>
      <c r="W443">
        <f t="shared" si="131"/>
        <v>1023.5398051853263</v>
      </c>
      <c r="X443">
        <f t="shared" si="132"/>
        <v>0.55301714659007206</v>
      </c>
      <c r="Y443">
        <f t="shared" si="133"/>
        <v>991.35382843965237</v>
      </c>
      <c r="Z443">
        <f t="shared" si="134"/>
        <v>0.57507326649450119</v>
      </c>
      <c r="AA443">
        <f>IF($D443="",0,IF($F443&lt;2,0,IF($E443="Win",('Guide &amp; Settings'!$C$42/(($F443-1)*COUNTIFS($A$4:$A$810,$A443,$E$4:$E$810,"Win")))*SUMIFS($Z$4:$Z$810,$A$4:$A$810,$A443,$E$4:$E$810,"Loss"),-('Guide &amp; Settings'!$C$42/($F443-1))*$Z443)))</f>
        <v>-9.201172263912019</v>
      </c>
      <c r="AB443" s="120">
        <f t="shared" si="135"/>
        <v>1034.7163058371079</v>
      </c>
      <c r="AC443" s="120">
        <f>IF($D443="","",IF(SUMPRODUCT(MAX(($D$4:$D$810=$D443)*($B$4:$B$810&lt;$B443)*$B$4:$B$810))=0,0,IF(($B443-MAX(SUMPRODUCT(MAX(($D$4:$D$810=$D443)*($B$4:$B$810&lt;$B443)*$B$4:$B$810)),'Guide &amp; Settings'!$C$50))/7-'Guide &amp; Settings'!$C$48&gt;=0,(INT(($B443-MAX(SUMPRODUCT(MAX(($D$4:$D$810=$D443)*($B$4:$B$810&lt;$B443)*$B$4:$B$810)),'Guide &amp; Settings'!$C$50))/7-'Guide &amp; Settings'!$C$48)+1)*'Guide &amp; Settings'!$C$49,0)))</f>
        <v>0</v>
      </c>
    </row>
    <row r="444" spans="1:29" x14ac:dyDescent="0.2">
      <c r="A444" s="111">
        <v>190</v>
      </c>
      <c r="B444" s="112">
        <v>46241</v>
      </c>
      <c r="C444" s="113" t="s">
        <v>208</v>
      </c>
      <c r="D444" s="113" t="s">
        <v>170</v>
      </c>
      <c r="E444" s="111" t="s">
        <v>308</v>
      </c>
      <c r="F444" s="114">
        <f t="shared" si="119"/>
        <v>3</v>
      </c>
      <c r="G444" s="115" t="str">
        <f t="shared" si="120"/>
        <v>Daniel (Ferret)</v>
      </c>
      <c r="H444" s="116">
        <f>IF($D444="",0,IFERROR(LOOKUP(2,1/(($D$3:D443=$D444)*($A$3:A443&lt;$A444)),$N$3:N443),'Guide &amp; Settings'!$C$41))</f>
        <v>1126.5349307714825</v>
      </c>
      <c r="I444" s="117">
        <f t="shared" si="121"/>
        <v>0.30824659727782228</v>
      </c>
      <c r="J444" s="118">
        <f>IF($D444="",0,IF($F444&lt;2,0,IF($E444="Win",('Guide &amp; Settings'!$C$42/(($F444-1)*COUNTIFS($A$4:$A$810,$A444,$E$4:$E$810,"Win")))*SUMIFS($X$4:$X$810,$A$4:$A$810,$A444,$E$4:$E$810,"Loss"),-('Guide &amp; Settings'!$C$42/($F444-1))*$X444)))</f>
        <v>16.534868591460111</v>
      </c>
      <c r="K444" s="118">
        <f>IF($D444="",0,'Guide &amp; Settings'!$C$43*(IF($E444="Win",1,0)-$I444))</f>
        <v>8.301040832666132</v>
      </c>
      <c r="L444" s="119">
        <f>IF($D444="",0,'Guide &amp; Settings'!$C$44*IF($F444&gt;=3,$F444,0))</f>
        <v>3</v>
      </c>
      <c r="M444" s="118">
        <f t="shared" si="122"/>
        <v>27.835909424126243</v>
      </c>
      <c r="N444" s="116">
        <f t="shared" si="123"/>
        <v>1154.3708401956087</v>
      </c>
      <c r="O444" s="115" t="str">
        <f t="shared" si="124"/>
        <v>OK</v>
      </c>
      <c r="P444">
        <f t="shared" si="125"/>
        <v>1126.5349307714825</v>
      </c>
      <c r="Q444">
        <f t="shared" si="126"/>
        <v>0.5</v>
      </c>
      <c r="R444">
        <f t="shared" si="127"/>
        <v>0.3888888888888889</v>
      </c>
      <c r="S444">
        <f t="shared" si="128"/>
        <v>1.2616161616161616</v>
      </c>
      <c r="T444" s="83">
        <f t="shared" si="129"/>
        <v>16</v>
      </c>
      <c r="U444" s="120">
        <f>IF($D444="",0,IFERROR(LOOKUP(2,1/(($D$3:D443=$D444)*($C$3:C443=$C444)*($A$3:A443&lt;$A444)),$AB$3:AB443),1000))</f>
        <v>991.35382843965237</v>
      </c>
      <c r="V444" s="120">
        <f t="shared" si="130"/>
        <v>1023.5398051853263</v>
      </c>
      <c r="W444">
        <f t="shared" si="131"/>
        <v>1023.5398051853263</v>
      </c>
      <c r="X444">
        <f t="shared" si="132"/>
        <v>0.5</v>
      </c>
      <c r="Y444">
        <f t="shared" si="133"/>
        <v>991.35382843965237</v>
      </c>
      <c r="Z444">
        <f t="shared" si="134"/>
        <v>0.5</v>
      </c>
      <c r="AA444">
        <f>IF($D444="",0,IF($F444&lt;2,0,IF($E444="Win",('Guide &amp; Settings'!$C$42/(($F444-1)*COUNTIFS($A$4:$A$810,$A444,$E$4:$E$810,"Win")))*SUMIFS($Z$4:$Z$810,$A$4:$A$810,$A444,$E$4:$E$810,"Loss"),-('Guide &amp; Settings'!$C$42/($F444-1))*$Z444)))</f>
        <v>16.746329657886164</v>
      </c>
      <c r="AB444" s="120">
        <f t="shared" si="135"/>
        <v>1008.1001580975385</v>
      </c>
      <c r="AC444" s="120">
        <f>IF($D444="","",IF(SUMPRODUCT(MAX(($D$4:$D$810=$D444)*($B$4:$B$810&lt;$B444)*$B$4:$B$810))=0,0,IF(($B444-MAX(SUMPRODUCT(MAX(($D$4:$D$810=$D444)*($B$4:$B$810&lt;$B444)*$B$4:$B$810)),'Guide &amp; Settings'!$C$50))/7-'Guide &amp; Settings'!$C$48&gt;=0,(INT(($B444-MAX(SUMPRODUCT(MAX(($D$4:$D$810=$D444)*($B$4:$B$810&lt;$B444)*$B$4:$B$810)),'Guide &amp; Settings'!$C$50))/7-'Guide &amp; Settings'!$C$48)+1)*'Guide &amp; Settings'!$C$49,0)))</f>
        <v>0</v>
      </c>
    </row>
    <row r="445" spans="1:29" x14ac:dyDescent="0.2">
      <c r="A445" s="111">
        <v>190</v>
      </c>
      <c r="B445" s="112">
        <v>46241</v>
      </c>
      <c r="C445" s="113" t="s">
        <v>208</v>
      </c>
      <c r="D445" s="113" t="s">
        <v>169</v>
      </c>
      <c r="E445" s="111" t="s">
        <v>309</v>
      </c>
      <c r="F445" s="114">
        <f t="shared" si="119"/>
        <v>3</v>
      </c>
      <c r="G445" s="115" t="str">
        <f t="shared" si="120"/>
        <v>Daniel (Ferret)</v>
      </c>
      <c r="H445" s="116">
        <f>IF($D445="",0,IFERROR(LOOKUP(2,1/(($D$3:D444=$D445)*($A$3:A444&lt;$A445)),$N$3:N444),'Guide &amp; Settings'!$C$41))</f>
        <v>1078.9389404957508</v>
      </c>
      <c r="I445" s="117">
        <f t="shared" si="121"/>
        <v>0.21617293835068052</v>
      </c>
      <c r="J445" s="118">
        <f>IF($D445="",0,IF($F445&lt;2,0,IF($E445="Win",('Guide &amp; Settings'!$C$42/(($F445-1)*COUNTIFS($A$4:$A$810,$A445,$E$4:$E$810,"Win")))*SUMIFS($X$4:$X$810,$A$4:$A$810,$A445,$E$4:$E$810,"Loss"),-('Guide &amp; Settings'!$C$42/($F445-1))*$X445)))</f>
        <v>-7.6865942460189576</v>
      </c>
      <c r="K445" s="118">
        <f>IF($D445="",0,'Guide &amp; Settings'!$C$43*(IF($E445="Win",1,0)-$I445))</f>
        <v>-2.5940752602081663</v>
      </c>
      <c r="L445" s="119">
        <f>IF($D445="",0,'Guide &amp; Settings'!$C$44*IF($F445&gt;=3,$F445,0))</f>
        <v>3</v>
      </c>
      <c r="M445" s="118">
        <f t="shared" si="122"/>
        <v>-7.2806695062271238</v>
      </c>
      <c r="N445" s="116">
        <f t="shared" si="123"/>
        <v>1071.6582709895238</v>
      </c>
      <c r="O445" s="115" t="str">
        <f t="shared" si="124"/>
        <v>OK</v>
      </c>
      <c r="P445">
        <f t="shared" si="125"/>
        <v>1126.5349307714825</v>
      </c>
      <c r="Q445">
        <f t="shared" si="126"/>
        <v>0.43192915796349823</v>
      </c>
      <c r="R445">
        <f t="shared" si="127"/>
        <v>0.27272727272727271</v>
      </c>
      <c r="S445">
        <f t="shared" si="128"/>
        <v>1.2616161616161616</v>
      </c>
      <c r="T445" s="83">
        <f t="shared" si="129"/>
        <v>9</v>
      </c>
      <c r="U445" s="120">
        <f>IF($D445="",0,IFERROR(LOOKUP(2,1/(($D$3:D444=$D445)*($C$3:C444=$C445)*($A$3:A444&lt;$A445)),$AB$3:AB444),1000))</f>
        <v>971.5789390196453</v>
      </c>
      <c r="V445" s="120">
        <f t="shared" si="130"/>
        <v>1009.9217966896829</v>
      </c>
      <c r="W445">
        <f t="shared" si="131"/>
        <v>1023.5398051853263</v>
      </c>
      <c r="X445">
        <f t="shared" si="132"/>
        <v>0.48041214037618485</v>
      </c>
      <c r="Y445">
        <f t="shared" si="133"/>
        <v>991.35382843965237</v>
      </c>
      <c r="Z445">
        <f t="shared" si="134"/>
        <v>0.47157233712338398</v>
      </c>
      <c r="AA445">
        <f>IF($D445="",0,IF($F445&lt;2,0,IF($E445="Win",('Guide &amp; Settings'!$C$42/(($F445-1)*COUNTIFS($A$4:$A$810,$A445,$E$4:$E$810,"Win")))*SUMIFS($Z$4:$Z$810,$A$4:$A$810,$A445,$E$4:$E$810,"Loss"),-('Guide &amp; Settings'!$C$42/($F445-1))*$Z445)))</f>
        <v>-7.5451573939741436</v>
      </c>
      <c r="AB445" s="120">
        <f t="shared" si="135"/>
        <v>964.03378162567117</v>
      </c>
      <c r="AC445" s="120">
        <f>IF($D445="","",IF(SUMPRODUCT(MAX(($D$4:$D$810=$D445)*($B$4:$B$810&lt;$B445)*$B$4:$B$810))=0,0,IF(($B445-MAX(SUMPRODUCT(MAX(($D$4:$D$810=$D445)*($B$4:$B$810&lt;$B445)*$B$4:$B$810)),'Guide &amp; Settings'!$C$50))/7-'Guide &amp; Settings'!$C$48&gt;=0,(INT(($B445-MAX(SUMPRODUCT(MAX(($D$4:$D$810=$D445)*($B$4:$B$810&lt;$B445)*$B$4:$B$810)),'Guide &amp; Settings'!$C$50))/7-'Guide &amp; Settings'!$C$48)+1)*'Guide &amp; Settings'!$C$49,0)))</f>
        <v>0</v>
      </c>
    </row>
    <row r="446" spans="1:29" x14ac:dyDescent="0.2">
      <c r="A446" s="111">
        <v>191</v>
      </c>
      <c r="B446" s="112">
        <v>46243</v>
      </c>
      <c r="C446" s="113" t="s">
        <v>208</v>
      </c>
      <c r="D446" s="113" t="s">
        <v>134</v>
      </c>
      <c r="E446" s="111" t="s">
        <v>308</v>
      </c>
      <c r="F446" s="114">
        <f t="shared" si="119"/>
        <v>2</v>
      </c>
      <c r="G446" s="115" t="str">
        <f t="shared" si="120"/>
        <v>Shawn</v>
      </c>
      <c r="H446" s="116">
        <f>IF($D446="",0,IFERROR(LOOKUP(2,1/(($D$3:D445=$D446)*($A$3:A445&lt;$A446)),$N$3:N445),'Guide &amp; Settings'!$C$41))</f>
        <v>1125.3301927780342</v>
      </c>
      <c r="I446" s="117">
        <f t="shared" si="121"/>
        <v>0.69767441860465118</v>
      </c>
      <c r="J446" s="118">
        <f>IF($D446="",0,IF($F446&lt;2,0,IF($E446="Win",('Guide &amp; Settings'!$C$42/(($F446-1)*COUNTIFS($A$4:$A$810,$A446,$E$4:$E$810,"Win")))*SUMIFS($X$4:$X$810,$A$4:$A$810,$A446,$E$4:$E$810,"Loss"),-('Guide &amp; Settings'!$C$42/($F446-1))*$X446)))</f>
        <v>13.69375086895811</v>
      </c>
      <c r="K446" s="118">
        <f>IF($D446="",0,'Guide &amp; Settings'!$C$43*(IF($E446="Win",1,0)-$I446))</f>
        <v>3.6279069767441858</v>
      </c>
      <c r="L446" s="119">
        <f>IF($D446="",0,'Guide &amp; Settings'!$C$44*IF($F446&gt;=3,$F446,0))</f>
        <v>0</v>
      </c>
      <c r="M446" s="118">
        <f t="shared" si="122"/>
        <v>17.321657845702298</v>
      </c>
      <c r="N446" s="116">
        <f t="shared" si="123"/>
        <v>1142.6518506237364</v>
      </c>
      <c r="O446" s="115" t="str">
        <f t="shared" si="124"/>
        <v>OK</v>
      </c>
      <c r="P446">
        <f t="shared" si="125"/>
        <v>1125.3301927780342</v>
      </c>
      <c r="Q446">
        <f t="shared" si="126"/>
        <v>0.5</v>
      </c>
      <c r="R446">
        <f t="shared" si="127"/>
        <v>0.57692307692307687</v>
      </c>
      <c r="S446">
        <f t="shared" si="128"/>
        <v>0.82692307692307687</v>
      </c>
      <c r="T446" s="83">
        <f t="shared" si="129"/>
        <v>24</v>
      </c>
      <c r="U446" s="120">
        <f>IF($D446="",0,IFERROR(LOOKUP(2,1/(($D$3:D445=$D446)*($C$3:C445=$C446)*($A$3:A445&lt;$A446)),$AB$3:AB445),1000))</f>
        <v>1034.7163058371079</v>
      </c>
      <c r="V446" s="120">
        <f t="shared" si="130"/>
        <v>1050.33938979244</v>
      </c>
      <c r="W446">
        <f t="shared" si="131"/>
        <v>1050.33938979244</v>
      </c>
      <c r="X446">
        <f t="shared" si="132"/>
        <v>0.5</v>
      </c>
      <c r="Y446">
        <f t="shared" si="133"/>
        <v>1034.7163058371079</v>
      </c>
      <c r="Z446">
        <f t="shared" si="134"/>
        <v>0.5</v>
      </c>
      <c r="AA446">
        <f>IF($D446="",0,IF($F446&lt;2,0,IF($E446="Win",('Guide &amp; Settings'!$C$42/(($F446-1)*COUNTIFS($A$4:$A$810,$A446,$E$4:$E$810,"Win")))*SUMIFS($Z$4:$Z$810,$A$4:$A$810,$A446,$E$4:$E$810,"Loss"),-('Guide &amp; Settings'!$C$42/($F446-1))*$Z446)))</f>
        <v>12.789125061784798</v>
      </c>
      <c r="AB446" s="120">
        <f t="shared" si="135"/>
        <v>1047.5054308988927</v>
      </c>
      <c r="AC446" s="120">
        <f>IF($D446="","",IF(SUMPRODUCT(MAX(($D$4:$D$810=$D446)*($B$4:$B$810&lt;$B446)*$B$4:$B$810))=0,0,IF(($B446-MAX(SUMPRODUCT(MAX(($D$4:$D$810=$D446)*($B$4:$B$810&lt;$B446)*$B$4:$B$810)),'Guide &amp; Settings'!$C$50))/7-'Guide &amp; Settings'!$C$48&gt;=0,(INT(($B446-MAX(SUMPRODUCT(MAX(($D$4:$D$810=$D446)*($B$4:$B$810&lt;$B446)*$B$4:$B$810)),'Guide &amp; Settings'!$C$50))/7-'Guide &amp; Settings'!$C$48)+1)*'Guide &amp; Settings'!$C$49,0)))</f>
        <v>0</v>
      </c>
    </row>
    <row r="447" spans="1:29" x14ac:dyDescent="0.2">
      <c r="A447" s="111">
        <v>191</v>
      </c>
      <c r="B447" s="112">
        <v>46243</v>
      </c>
      <c r="C447" s="113" t="s">
        <v>208</v>
      </c>
      <c r="D447" s="113" t="s">
        <v>169</v>
      </c>
      <c r="E447" s="111" t="s">
        <v>309</v>
      </c>
      <c r="F447" s="114">
        <f t="shared" si="119"/>
        <v>2</v>
      </c>
      <c r="G447" s="115" t="str">
        <f t="shared" si="120"/>
        <v>Shawn</v>
      </c>
      <c r="H447" s="116">
        <f>IF($D447="",0,IFERROR(LOOKUP(2,1/(($D$3:D446=$D447)*($A$3:A446&lt;$A447)),$N$3:N446),'Guide &amp; Settings'!$C$41))</f>
        <v>1071.6582709895238</v>
      </c>
      <c r="I447" s="117">
        <f t="shared" si="121"/>
        <v>0.30232558139534887</v>
      </c>
      <c r="J447" s="118">
        <f>IF($D447="",0,IF($F447&lt;2,0,IF($E447="Win",('Guide &amp; Settings'!$C$42/(($F447-1)*COUNTIFS($A$4:$A$810,$A447,$E$4:$E$810,"Win")))*SUMIFS($X$4:$X$810,$A$4:$A$810,$A447,$E$4:$E$810,"Loss"),-('Guide &amp; Settings'!$C$42/($F447-1))*$X447)))</f>
        <v>-13.69375086895811</v>
      </c>
      <c r="K447" s="118">
        <f>IF($D447="",0,'Guide &amp; Settings'!$C$43*(IF($E447="Win",1,0)-$I447))</f>
        <v>-3.6279069767441863</v>
      </c>
      <c r="L447" s="119">
        <f>IF($D447="",0,'Guide &amp; Settings'!$C$44*IF($F447&gt;=3,$F447,0))</f>
        <v>0</v>
      </c>
      <c r="M447" s="118">
        <f t="shared" si="122"/>
        <v>-17.321657845702298</v>
      </c>
      <c r="N447" s="116">
        <f t="shared" si="123"/>
        <v>1054.3366131438215</v>
      </c>
      <c r="O447" s="115" t="str">
        <f t="shared" si="124"/>
        <v>OK</v>
      </c>
      <c r="P447">
        <f t="shared" si="125"/>
        <v>1125.3301927780342</v>
      </c>
      <c r="Q447">
        <f t="shared" si="126"/>
        <v>0.42336850941071563</v>
      </c>
      <c r="R447">
        <f t="shared" si="127"/>
        <v>0.25</v>
      </c>
      <c r="S447">
        <f t="shared" si="128"/>
        <v>0.82692307692307687</v>
      </c>
      <c r="T447" s="83">
        <f t="shared" si="129"/>
        <v>10</v>
      </c>
      <c r="U447" s="120">
        <f>IF($D447="",0,IFERROR(LOOKUP(2,1/(($D$3:D446=$D447)*($C$3:C446=$C447)*($A$3:A446&lt;$A447)),$AB$3:AB446),1000))</f>
        <v>964.03378162567117</v>
      </c>
      <c r="V447" s="120">
        <f t="shared" si="130"/>
        <v>999.90861141362211</v>
      </c>
      <c r="W447">
        <f t="shared" si="131"/>
        <v>1050.33938979244</v>
      </c>
      <c r="X447">
        <f t="shared" si="132"/>
        <v>0.42792971465494095</v>
      </c>
      <c r="Y447">
        <f t="shared" si="133"/>
        <v>1034.7163058371079</v>
      </c>
      <c r="Z447">
        <f t="shared" si="134"/>
        <v>0.39966015818077494</v>
      </c>
      <c r="AA447">
        <f>IF($D447="",0,IF($F447&lt;2,0,IF($E447="Win",('Guide &amp; Settings'!$C$42/(($F447-1)*COUNTIFS($A$4:$A$810,$A447,$E$4:$E$810,"Win")))*SUMIFS($Z$4:$Z$810,$A$4:$A$810,$A447,$E$4:$E$810,"Loss"),-('Guide &amp; Settings'!$C$42/($F447-1))*$Z447)))</f>
        <v>-12.789125061784798</v>
      </c>
      <c r="AB447" s="120">
        <f t="shared" si="135"/>
        <v>951.24465656388634</v>
      </c>
      <c r="AC447" s="120">
        <f>IF($D447="","",IF(SUMPRODUCT(MAX(($D$4:$D$810=$D447)*($B$4:$B$810&lt;$B447)*$B$4:$B$810))=0,0,IF(($B447-MAX(SUMPRODUCT(MAX(($D$4:$D$810=$D447)*($B$4:$B$810&lt;$B447)*$B$4:$B$810)),'Guide &amp; Settings'!$C$50))/7-'Guide &amp; Settings'!$C$48&gt;=0,(INT(($B447-MAX(SUMPRODUCT(MAX(($D$4:$D$810=$D447)*($B$4:$B$810&lt;$B447)*$B$4:$B$810)),'Guide &amp; Settings'!$C$50))/7-'Guide &amp; Settings'!$C$48)+1)*'Guide &amp; Settings'!$C$49,0)))</f>
        <v>0</v>
      </c>
    </row>
    <row r="448" spans="1:29" x14ac:dyDescent="0.2">
      <c r="A448" s="111">
        <v>192</v>
      </c>
      <c r="B448" s="112">
        <v>46247</v>
      </c>
      <c r="C448" s="113" t="s">
        <v>199</v>
      </c>
      <c r="D448" s="113" t="s">
        <v>137</v>
      </c>
      <c r="E448" s="111" t="s">
        <v>308</v>
      </c>
      <c r="F448" s="114">
        <f t="shared" si="119"/>
        <v>2</v>
      </c>
      <c r="G448" s="115" t="str">
        <f t="shared" si="120"/>
        <v>Josh</v>
      </c>
      <c r="H448" s="116">
        <f>IF($D448="",0,IFERROR(LOOKUP(2,1/(($D$3:D447=$D448)*($A$3:A447&lt;$A448)),$N$3:N447),'Guide &amp; Settings'!$C$41))</f>
        <v>1093.6015451357737</v>
      </c>
      <c r="I448" s="117">
        <f t="shared" si="121"/>
        <v>0.8666666666666667</v>
      </c>
      <c r="J448" s="118">
        <f>IF($D448="",0,IF($F448&lt;2,0,IF($E448="Win",('Guide &amp; Settings'!$C$42/(($F448-1)*COUNTIFS($A$4:$A$810,$A448,$E$4:$E$810,"Win")))*SUMIFS($X$4:$X$810,$A$4:$A$810,$A448,$E$4:$E$810,"Loss"),-('Guide &amp; Settings'!$C$42/($F448-1))*$X448)))</f>
        <v>10.041403260518985</v>
      </c>
      <c r="K448" s="118">
        <f>IF($D448="",0,'Guide &amp; Settings'!$C$43*(IF($E448="Win",1,0)-$I448))</f>
        <v>1.5999999999999996</v>
      </c>
      <c r="L448" s="119">
        <f>IF($D448="",0,'Guide &amp; Settings'!$C$44*IF($F448&gt;=3,$F448,0))</f>
        <v>0</v>
      </c>
      <c r="M448" s="118">
        <f t="shared" si="122"/>
        <v>11.641403260518985</v>
      </c>
      <c r="N448" s="116">
        <f t="shared" si="123"/>
        <v>1105.2429483962926</v>
      </c>
      <c r="O448" s="115" t="str">
        <f t="shared" si="124"/>
        <v>OK</v>
      </c>
      <c r="P448">
        <f t="shared" si="125"/>
        <v>1093.6015451357737</v>
      </c>
      <c r="Q448">
        <f t="shared" si="126"/>
        <v>0.5</v>
      </c>
      <c r="R448">
        <f t="shared" si="127"/>
        <v>0.5</v>
      </c>
      <c r="S448">
        <f t="shared" si="128"/>
        <v>0.57692307692307687</v>
      </c>
      <c r="T448" s="83">
        <f t="shared" si="129"/>
        <v>0</v>
      </c>
      <c r="U448" s="120">
        <f>IF($D448="",0,IFERROR(LOOKUP(2,1/(($D$3:D447=$D448)*($C$3:C447=$C448)*($A$3:A447&lt;$A448)),$AB$3:AB447),1000))</f>
        <v>1000</v>
      </c>
      <c r="V448" s="120">
        <f t="shared" si="130"/>
        <v>1093.6015451357737</v>
      </c>
      <c r="W448">
        <f t="shared" si="131"/>
        <v>1093.6015451357737</v>
      </c>
      <c r="X448">
        <f t="shared" si="132"/>
        <v>0.5</v>
      </c>
      <c r="Y448">
        <f t="shared" si="133"/>
        <v>1000</v>
      </c>
      <c r="Z448">
        <f t="shared" si="134"/>
        <v>0.5</v>
      </c>
      <c r="AA448">
        <f>IF($D448="",0,IF($F448&lt;2,0,IF($E448="Win",('Guide &amp; Settings'!$C$42/(($F448-1)*COUNTIFS($A$4:$A$810,$A448,$E$4:$E$810,"Win")))*SUMIFS($Z$4:$Z$810,$A$4:$A$810,$A448,$E$4:$E$810,"Loss"),-('Guide &amp; Settings'!$C$42/($F448-1))*$Z448)))</f>
        <v>10.422900611837333</v>
      </c>
      <c r="AB448" s="120">
        <f t="shared" si="135"/>
        <v>1010.4229006118373</v>
      </c>
      <c r="AC448" s="120">
        <f>IF($D448="","",IF(SUMPRODUCT(MAX(($D$4:$D$810=$D448)*($B$4:$B$810&lt;$B448)*$B$4:$B$810))=0,0,IF(($B448-MAX(SUMPRODUCT(MAX(($D$4:$D$810=$D448)*($B$4:$B$810&lt;$B448)*$B$4:$B$810)),'Guide &amp; Settings'!$C$50))/7-'Guide &amp; Settings'!$C$48&gt;=0,(INT(($B448-MAX(SUMPRODUCT(MAX(($D$4:$D$810=$D448)*($B$4:$B$810&lt;$B448)*$B$4:$B$810)),'Guide &amp; Settings'!$C$50))/7-'Guide &amp; Settings'!$C$48)+1)*'Guide &amp; Settings'!$C$49,0)))</f>
        <v>0</v>
      </c>
    </row>
    <row r="449" spans="1:29" x14ac:dyDescent="0.2">
      <c r="A449" s="111">
        <v>192</v>
      </c>
      <c r="B449" s="112">
        <v>46247</v>
      </c>
      <c r="C449" s="113" t="s">
        <v>199</v>
      </c>
      <c r="D449" s="113" t="s">
        <v>134</v>
      </c>
      <c r="E449" s="111" t="s">
        <v>309</v>
      </c>
      <c r="F449" s="114">
        <f t="shared" si="119"/>
        <v>2</v>
      </c>
      <c r="G449" s="115" t="str">
        <f t="shared" si="120"/>
        <v>Josh</v>
      </c>
      <c r="H449" s="116">
        <f>IF($D449="",0,IFERROR(LOOKUP(2,1/(($D$3:D448=$D449)*($A$3:A448&lt;$A449)),$N$3:N448),'Guide &amp; Settings'!$C$41))</f>
        <v>1142.6518506237364</v>
      </c>
      <c r="I449" s="117">
        <f t="shared" si="121"/>
        <v>0.13333333333333336</v>
      </c>
      <c r="J449" s="118">
        <f>IF($D449="",0,IF($F449&lt;2,0,IF($E449="Win",('Guide &amp; Settings'!$C$42/(($F449-1)*COUNTIFS($A$4:$A$810,$A449,$E$4:$E$810,"Win")))*SUMIFS($X$4:$X$810,$A$4:$A$810,$A449,$E$4:$E$810,"Loss"),-('Guide &amp; Settings'!$C$42/($F449-1))*$X449)))</f>
        <v>-10.041403260518985</v>
      </c>
      <c r="K449" s="118">
        <f>IF($D449="",0,'Guide &amp; Settings'!$C$43*(IF($E449="Win",1,0)-$I449))</f>
        <v>-1.6000000000000003</v>
      </c>
      <c r="L449" s="119">
        <f>IF($D449="",0,'Guide &amp; Settings'!$C$44*IF($F449&gt;=3,$F449,0))</f>
        <v>0</v>
      </c>
      <c r="M449" s="118">
        <f t="shared" si="122"/>
        <v>-11.641403260518985</v>
      </c>
      <c r="N449" s="116">
        <f t="shared" si="123"/>
        <v>1131.0104473632175</v>
      </c>
      <c r="O449" s="115" t="str">
        <f t="shared" si="124"/>
        <v>OK</v>
      </c>
      <c r="P449">
        <f t="shared" si="125"/>
        <v>1093.6015451357737</v>
      </c>
      <c r="Q449">
        <f t="shared" si="126"/>
        <v>0.57012379646789102</v>
      </c>
      <c r="R449">
        <f t="shared" si="127"/>
        <v>7.6923076923076927E-2</v>
      </c>
      <c r="S449">
        <f t="shared" si="128"/>
        <v>0.57692307692307687</v>
      </c>
      <c r="T449" s="83">
        <f t="shared" si="129"/>
        <v>11</v>
      </c>
      <c r="U449" s="120">
        <f>IF($D449="",0,IFERROR(LOOKUP(2,1/(($D$3:D448=$D449)*($C$3:C448=$C449)*($A$3:A448&lt;$A449)),$AB$3:AB448),1000))</f>
        <v>873.5982138122115</v>
      </c>
      <c r="V449" s="120">
        <f t="shared" si="130"/>
        <v>957.67747531581301</v>
      </c>
      <c r="W449">
        <f t="shared" si="131"/>
        <v>1093.6015451357737</v>
      </c>
      <c r="X449">
        <f t="shared" si="132"/>
        <v>0.31379385189121828</v>
      </c>
      <c r="Y449">
        <f t="shared" si="133"/>
        <v>1000</v>
      </c>
      <c r="Z449">
        <f t="shared" si="134"/>
        <v>0.32571564411991666</v>
      </c>
      <c r="AA449">
        <f>IF($D449="",0,IF($F449&lt;2,0,IF($E449="Win",('Guide &amp; Settings'!$C$42/(($F449-1)*COUNTIFS($A$4:$A$810,$A449,$E$4:$E$810,"Win")))*SUMIFS($Z$4:$Z$810,$A$4:$A$810,$A449,$E$4:$E$810,"Loss"),-('Guide &amp; Settings'!$C$42/($F449-1))*$Z449)))</f>
        <v>-10.422900611837333</v>
      </c>
      <c r="AB449" s="120">
        <f t="shared" si="135"/>
        <v>863.17531320037415</v>
      </c>
      <c r="AC449" s="120">
        <f>IF($D449="","",IF(SUMPRODUCT(MAX(($D$4:$D$810=$D449)*($B$4:$B$810&lt;$B449)*$B$4:$B$810))=0,0,IF(($B449-MAX(SUMPRODUCT(MAX(($D$4:$D$810=$D449)*($B$4:$B$810&lt;$B449)*$B$4:$B$810)),'Guide &amp; Settings'!$C$50))/7-'Guide &amp; Settings'!$C$48&gt;=0,(INT(($B449-MAX(SUMPRODUCT(MAX(($D$4:$D$810=$D449)*($B$4:$B$810&lt;$B449)*$B$4:$B$810)),'Guide &amp; Settings'!$C$50))/7-'Guide &amp; Settings'!$C$48)+1)*'Guide &amp; Settings'!$C$49,0)))</f>
        <v>0</v>
      </c>
    </row>
    <row r="450" spans="1:29" x14ac:dyDescent="0.2">
      <c r="A450" s="111">
        <v>193</v>
      </c>
      <c r="B450" s="112">
        <v>46247</v>
      </c>
      <c r="C450" s="113" t="s">
        <v>185</v>
      </c>
      <c r="D450" s="113" t="s">
        <v>134</v>
      </c>
      <c r="E450" s="111" t="s">
        <v>308</v>
      </c>
      <c r="F450" s="114">
        <f t="shared" si="119"/>
        <v>2</v>
      </c>
      <c r="G450" s="115" t="str">
        <f t="shared" si="120"/>
        <v>Shawn</v>
      </c>
      <c r="H450" s="116">
        <f>IF($D450="",0,IFERROR(LOOKUP(2,1/(($D$3:D449=$D450)*($A$3:A449&lt;$A450)),$N$3:N449),'Guide &amp; Settings'!$C$41))</f>
        <v>1131.0104473632175</v>
      </c>
      <c r="I450" s="117">
        <f t="shared" si="121"/>
        <v>0.60000000000000009</v>
      </c>
      <c r="J450" s="118">
        <f>IF($D450="",0,IF($F450&lt;2,0,IF($E450="Win",('Guide &amp; Settings'!$C$42/(($F450-1)*COUNTIFS($A$4:$A$810,$A450,$E$4:$E$810,"Win")))*SUMIFS($X$4:$X$810,$A$4:$A$810,$A450,$E$4:$E$810,"Loss"),-('Guide &amp; Settings'!$C$42/($F450-1))*$X450)))</f>
        <v>13.893732241868555</v>
      </c>
      <c r="K450" s="118">
        <f>IF($D450="",0,'Guide &amp; Settings'!$C$43*(IF($E450="Win",1,0)-$I450))</f>
        <v>4.7999999999999989</v>
      </c>
      <c r="L450" s="119">
        <f>IF($D450="",0,'Guide &amp; Settings'!$C$44*IF($F450&gt;=3,$F450,0))</f>
        <v>0</v>
      </c>
      <c r="M450" s="118">
        <f t="shared" si="122"/>
        <v>18.693732241868553</v>
      </c>
      <c r="N450" s="116">
        <f t="shared" si="123"/>
        <v>1149.704179605086</v>
      </c>
      <c r="O450" s="115" t="str">
        <f t="shared" si="124"/>
        <v>OK</v>
      </c>
      <c r="P450">
        <f t="shared" si="125"/>
        <v>1131.0104473632175</v>
      </c>
      <c r="Q450">
        <f t="shared" si="126"/>
        <v>0.5</v>
      </c>
      <c r="R450">
        <f t="shared" si="127"/>
        <v>0.5</v>
      </c>
      <c r="S450">
        <f t="shared" si="128"/>
        <v>0.83333333333333326</v>
      </c>
      <c r="T450" s="83">
        <f t="shared" si="129"/>
        <v>0</v>
      </c>
      <c r="U450" s="120">
        <f>IF($D450="",0,IFERROR(LOOKUP(2,1/(($D$3:D449=$D450)*($C$3:C449=$C450)*($A$3:A449&lt;$A450)),$AB$3:AB449),1000))</f>
        <v>1000</v>
      </c>
      <c r="V450" s="120">
        <f t="shared" si="130"/>
        <v>1131.0104473632175</v>
      </c>
      <c r="W450">
        <f t="shared" si="131"/>
        <v>1131.0104473632175</v>
      </c>
      <c r="X450">
        <f t="shared" si="132"/>
        <v>0.5</v>
      </c>
      <c r="Y450">
        <f t="shared" si="133"/>
        <v>1000</v>
      </c>
      <c r="Z450">
        <f t="shared" si="134"/>
        <v>0.5</v>
      </c>
      <c r="AA450">
        <f>IF($D450="",0,IF($F450&lt;2,0,IF($E450="Win",('Guide &amp; Settings'!$C$42/(($F450-1)*COUNTIFS($A$4:$A$810,$A450,$E$4:$E$810,"Win")))*SUMIFS($Z$4:$Z$810,$A$4:$A$810,$A450,$E$4:$E$810,"Loss"),-('Guide &amp; Settings'!$C$42/($F450-1))*$Z450)))</f>
        <v>15.255601311734626</v>
      </c>
      <c r="AB450" s="120">
        <f t="shared" si="135"/>
        <v>1015.2556013117346</v>
      </c>
      <c r="AC450" s="120">
        <f>IF($D450="","",IF(SUMPRODUCT(MAX(($D$4:$D$810=$D450)*($B$4:$B$810&lt;$B450)*$B$4:$B$810))=0,0,IF(($B450-MAX(SUMPRODUCT(MAX(($D$4:$D$810=$D450)*($B$4:$B$810&lt;$B450)*$B$4:$B$810)),'Guide &amp; Settings'!$C$50))/7-'Guide &amp; Settings'!$C$48&gt;=0,(INT(($B450-MAX(SUMPRODUCT(MAX(($D$4:$D$810=$D450)*($B$4:$B$810&lt;$B450)*$B$4:$B$810)),'Guide &amp; Settings'!$C$50))/7-'Guide &amp; Settings'!$C$48)+1)*'Guide &amp; Settings'!$C$49,0)))</f>
        <v>0</v>
      </c>
    </row>
    <row r="451" spans="1:29" x14ac:dyDescent="0.2">
      <c r="A451" s="111">
        <v>193</v>
      </c>
      <c r="B451" s="112">
        <v>46247</v>
      </c>
      <c r="C451" s="113" t="s">
        <v>185</v>
      </c>
      <c r="D451" s="113" t="s">
        <v>137</v>
      </c>
      <c r="E451" s="111" t="s">
        <v>309</v>
      </c>
      <c r="F451" s="114">
        <f t="shared" si="119"/>
        <v>2</v>
      </c>
      <c r="G451" s="115" t="str">
        <f t="shared" si="120"/>
        <v>Shawn</v>
      </c>
      <c r="H451" s="116">
        <f>IF($D451="",0,IFERROR(LOOKUP(2,1/(($D$3:D450=$D451)*($A$3:A450&lt;$A451)),$N$3:N450),'Guide &amp; Settings'!$C$41))</f>
        <v>1105.2429483962926</v>
      </c>
      <c r="I451" s="117">
        <f t="shared" si="121"/>
        <v>0.4</v>
      </c>
      <c r="J451" s="118">
        <f>IF($D451="",0,IF($F451&lt;2,0,IF($E451="Win",('Guide &amp; Settings'!$C$42/(($F451-1)*COUNTIFS($A$4:$A$810,$A451,$E$4:$E$810,"Win")))*SUMIFS($X$4:$X$810,$A$4:$A$810,$A451,$E$4:$E$810,"Loss"),-('Guide &amp; Settings'!$C$42/($F451-1))*$X451)))</f>
        <v>-13.893732241868555</v>
      </c>
      <c r="K451" s="118">
        <f>IF($D451="",0,'Guide &amp; Settings'!$C$43*(IF($E451="Win",1,0)-$I451))</f>
        <v>-4.8000000000000007</v>
      </c>
      <c r="L451" s="119">
        <f>IF($D451="",0,'Guide &amp; Settings'!$C$44*IF($F451&gt;=3,$F451,0))</f>
        <v>0</v>
      </c>
      <c r="M451" s="118">
        <f t="shared" si="122"/>
        <v>-18.693732241868556</v>
      </c>
      <c r="N451" s="116">
        <f t="shared" si="123"/>
        <v>1086.5492161544241</v>
      </c>
      <c r="O451" s="115" t="str">
        <f t="shared" si="124"/>
        <v>OK</v>
      </c>
      <c r="P451">
        <f t="shared" si="125"/>
        <v>1131.0104473632175</v>
      </c>
      <c r="Q451">
        <f t="shared" si="126"/>
        <v>0.46298542849225255</v>
      </c>
      <c r="R451">
        <f t="shared" si="127"/>
        <v>0.33333333333333331</v>
      </c>
      <c r="S451">
        <f t="shared" si="128"/>
        <v>0.83333333333333326</v>
      </c>
      <c r="T451" s="83">
        <f t="shared" si="129"/>
        <v>1</v>
      </c>
      <c r="U451" s="120">
        <f>IF($D451="",0,IFERROR(LOOKUP(2,1/(($D$3:D450=$D451)*($C$3:C450=$C451)*($A$3:A450&lt;$A451)),$AB$3:AB450),1000))</f>
        <v>983.82390970712913</v>
      </c>
      <c r="V451" s="120">
        <f t="shared" si="130"/>
        <v>1085.0064419480987</v>
      </c>
      <c r="W451">
        <f t="shared" si="131"/>
        <v>1131.0104473632175</v>
      </c>
      <c r="X451">
        <f t="shared" si="132"/>
        <v>0.43417913255839236</v>
      </c>
      <c r="Y451">
        <f t="shared" si="133"/>
        <v>1000</v>
      </c>
      <c r="Z451">
        <f t="shared" si="134"/>
        <v>0.47673754099170706</v>
      </c>
      <c r="AA451">
        <f>IF($D451="",0,IF($F451&lt;2,0,IF($E451="Win",('Guide &amp; Settings'!$C$42/(($F451-1)*COUNTIFS($A$4:$A$810,$A451,$E$4:$E$810,"Win")))*SUMIFS($Z$4:$Z$810,$A$4:$A$810,$A451,$E$4:$E$810,"Loss"),-('Guide &amp; Settings'!$C$42/($F451-1))*$Z451)))</f>
        <v>-15.255601311734626</v>
      </c>
      <c r="AB451" s="120">
        <f t="shared" si="135"/>
        <v>968.56830839539452</v>
      </c>
      <c r="AC451" s="120">
        <f>IF($D451="","",IF(SUMPRODUCT(MAX(($D$4:$D$810=$D451)*($B$4:$B$810&lt;$B451)*$B$4:$B$810))=0,0,IF(($B451-MAX(SUMPRODUCT(MAX(($D$4:$D$810=$D451)*($B$4:$B$810&lt;$B451)*$B$4:$B$810)),'Guide &amp; Settings'!$C$50))/7-'Guide &amp; Settings'!$C$48&gt;=0,(INT(($B451-MAX(SUMPRODUCT(MAX(($D$4:$D$810=$D451)*($B$4:$B$810&lt;$B451)*$B$4:$B$810)),'Guide &amp; Settings'!$C$50))/7-'Guide &amp; Settings'!$C$48)+1)*'Guide &amp; Settings'!$C$49,0)))</f>
        <v>0</v>
      </c>
    </row>
    <row r="452" spans="1:29" x14ac:dyDescent="0.2">
      <c r="A452" s="111">
        <v>194</v>
      </c>
      <c r="B452" s="112">
        <v>46247</v>
      </c>
      <c r="C452" s="113" t="s">
        <v>445</v>
      </c>
      <c r="D452" s="113" t="s">
        <v>134</v>
      </c>
      <c r="E452" s="111" t="s">
        <v>309</v>
      </c>
      <c r="F452" s="114">
        <f t="shared" si="119"/>
        <v>2</v>
      </c>
      <c r="G452" s="115" t="str">
        <f t="shared" si="120"/>
        <v>Josh</v>
      </c>
      <c r="H452" s="116">
        <f>IF($D452="",0,IFERROR(LOOKUP(2,1/(($D$3:D451=$D452)*($A$3:A451&lt;$A452)),$N$3:N451),'Guide &amp; Settings'!$C$41))</f>
        <v>1149.704179605086</v>
      </c>
      <c r="I452" s="117">
        <f t="shared" si="121"/>
        <v>0.66666666666666663</v>
      </c>
      <c r="J452" s="118">
        <f>IF($D452="",0,IF($F452&lt;2,0,IF($E452="Win",('Guide &amp; Settings'!$C$42/(($F452-1)*COUNTIFS($A$4:$A$810,$A452,$E$4:$E$810,"Win")))*SUMIFS($X$4:$X$810,$A$4:$A$810,$A452,$E$4:$E$810,"Loss"),-('Guide &amp; Settings'!$C$42/($F452-1))*$X452)))</f>
        <v>-20.305264166853533</v>
      </c>
      <c r="K452" s="118">
        <f>IF($D452="",0,'Guide &amp; Settings'!$C$43*(IF($E452="Win",1,0)-$I452))</f>
        <v>-8</v>
      </c>
      <c r="L452" s="119">
        <f>IF($D452="",0,'Guide &amp; Settings'!$C$44*IF($F452&gt;=3,$F452,0))</f>
        <v>0</v>
      </c>
      <c r="M452" s="118">
        <f t="shared" si="122"/>
        <v>-28.305264166853533</v>
      </c>
      <c r="N452" s="116">
        <f t="shared" si="123"/>
        <v>1121.3989154382325</v>
      </c>
      <c r="O452" s="115" t="str">
        <f t="shared" si="124"/>
        <v>OK</v>
      </c>
      <c r="P452">
        <f t="shared" si="125"/>
        <v>1086.5492161544241</v>
      </c>
      <c r="Q452">
        <f t="shared" si="126"/>
        <v>0.58989932138700929</v>
      </c>
      <c r="R452">
        <f t="shared" si="127"/>
        <v>0.5</v>
      </c>
      <c r="S452">
        <f t="shared" si="128"/>
        <v>0.75</v>
      </c>
      <c r="T452" s="83">
        <f t="shared" si="129"/>
        <v>0</v>
      </c>
      <c r="U452" s="120">
        <f>IF($D452="",0,IFERROR(LOOKUP(2,1/(($D$3:D451=$D452)*($C$3:C451=$C452)*($A$3:A451&lt;$A452)),$AB$3:AB451),1000))</f>
        <v>1000</v>
      </c>
      <c r="V452" s="120">
        <f t="shared" si="130"/>
        <v>1149.704179605086</v>
      </c>
      <c r="W452">
        <f t="shared" si="131"/>
        <v>1053.8568885044911</v>
      </c>
      <c r="X452">
        <f t="shared" si="132"/>
        <v>0.63453950521417291</v>
      </c>
      <c r="Y452">
        <f t="shared" si="133"/>
        <v>972.12606937965847</v>
      </c>
      <c r="Z452">
        <f t="shared" si="134"/>
        <v>0.54002796791278629</v>
      </c>
      <c r="AA452">
        <f>IF($D452="",0,IF($F452&lt;2,0,IF($E452="Win",('Guide &amp; Settings'!$C$42/(($F452-1)*COUNTIFS($A$4:$A$810,$A452,$E$4:$E$810,"Win")))*SUMIFS($Z$4:$Z$810,$A$4:$A$810,$A452,$E$4:$E$810,"Loss"),-('Guide &amp; Settings'!$C$42/($F452-1))*$Z452)))</f>
        <v>-17.280894973209161</v>
      </c>
      <c r="AB452" s="120">
        <f t="shared" si="135"/>
        <v>982.71910502679088</v>
      </c>
      <c r="AC452" s="120">
        <f>IF($D452="","",IF(SUMPRODUCT(MAX(($D$4:$D$810=$D452)*($B$4:$B$810&lt;$B452)*$B$4:$B$810))=0,0,IF(($B452-MAX(SUMPRODUCT(MAX(($D$4:$D$810=$D452)*($B$4:$B$810&lt;$B452)*$B$4:$B$810)),'Guide &amp; Settings'!$C$50))/7-'Guide &amp; Settings'!$C$48&gt;=0,(INT(($B452-MAX(SUMPRODUCT(MAX(($D$4:$D$810=$D452)*($B$4:$B$810&lt;$B452)*$B$4:$B$810)),'Guide &amp; Settings'!$C$50))/7-'Guide &amp; Settings'!$C$48)+1)*'Guide &amp; Settings'!$C$49,0)))</f>
        <v>0</v>
      </c>
    </row>
    <row r="453" spans="1:29" x14ac:dyDescent="0.2">
      <c r="A453" s="111">
        <v>194</v>
      </c>
      <c r="B453" s="112">
        <v>46247</v>
      </c>
      <c r="C453" s="113" t="s">
        <v>445</v>
      </c>
      <c r="D453" s="113" t="s">
        <v>137</v>
      </c>
      <c r="E453" s="111" t="s">
        <v>308</v>
      </c>
      <c r="F453" s="114">
        <f t="shared" si="119"/>
        <v>2</v>
      </c>
      <c r="G453" s="115" t="str">
        <f t="shared" si="120"/>
        <v>Josh</v>
      </c>
      <c r="H453" s="116">
        <f>IF($D453="",0,IFERROR(LOOKUP(2,1/(($D$3:D452=$D453)*($A$3:A452&lt;$A453)),$N$3:N452),'Guide &amp; Settings'!$C$41))</f>
        <v>1086.5492161544241</v>
      </c>
      <c r="I453" s="117">
        <f t="shared" si="121"/>
        <v>0.33333333333333331</v>
      </c>
      <c r="J453" s="118">
        <f>IF($D453="",0,IF($F453&lt;2,0,IF($E453="Win",('Guide &amp; Settings'!$C$42/(($F453-1)*COUNTIFS($A$4:$A$810,$A453,$E$4:$E$810,"Win")))*SUMIFS($X$4:$X$810,$A$4:$A$810,$A453,$E$4:$E$810,"Loss"),-('Guide &amp; Settings'!$C$42/($F453-1))*$X453)))</f>
        <v>20.305264166853533</v>
      </c>
      <c r="K453" s="118">
        <f>IF($D453="",0,'Guide &amp; Settings'!$C$43*(IF($E453="Win",1,0)-$I453))</f>
        <v>8</v>
      </c>
      <c r="L453" s="119">
        <f>IF($D453="",0,'Guide &amp; Settings'!$C$44*IF($F453&gt;=3,$F453,0))</f>
        <v>0</v>
      </c>
      <c r="M453" s="118">
        <f t="shared" si="122"/>
        <v>28.305264166853533</v>
      </c>
      <c r="N453" s="116">
        <f t="shared" si="123"/>
        <v>1114.8544803212776</v>
      </c>
      <c r="O453" s="115" t="str">
        <f t="shared" si="124"/>
        <v>OK</v>
      </c>
      <c r="P453">
        <f t="shared" si="125"/>
        <v>1086.5492161544241</v>
      </c>
      <c r="Q453">
        <f t="shared" si="126"/>
        <v>0.5</v>
      </c>
      <c r="R453">
        <f t="shared" si="127"/>
        <v>0.25</v>
      </c>
      <c r="S453">
        <f t="shared" si="128"/>
        <v>0.75</v>
      </c>
      <c r="T453" s="83">
        <f t="shared" si="129"/>
        <v>2</v>
      </c>
      <c r="U453" s="120">
        <f>IF($D453="",0,IFERROR(LOOKUP(2,1/(($D$3:D452=$D453)*($C$3:C452=$C453)*($A$3:A452&lt;$A453)),$AB$3:AB452),1000))</f>
        <v>972.12606937965847</v>
      </c>
      <c r="V453" s="120">
        <f t="shared" si="130"/>
        <v>1053.8568885044911</v>
      </c>
      <c r="W453">
        <f t="shared" si="131"/>
        <v>1053.8568885044911</v>
      </c>
      <c r="X453">
        <f t="shared" si="132"/>
        <v>0.5</v>
      </c>
      <c r="Y453">
        <f t="shared" si="133"/>
        <v>972.12606937965847</v>
      </c>
      <c r="Z453">
        <f t="shared" si="134"/>
        <v>0.5</v>
      </c>
      <c r="AA453">
        <f>IF($D453="",0,IF($F453&lt;2,0,IF($E453="Win",('Guide &amp; Settings'!$C$42/(($F453-1)*COUNTIFS($A$4:$A$810,$A453,$E$4:$E$810,"Win")))*SUMIFS($Z$4:$Z$810,$A$4:$A$810,$A453,$E$4:$E$810,"Loss"),-('Guide &amp; Settings'!$C$42/($F453-1))*$Z453)))</f>
        <v>17.280894973209161</v>
      </c>
      <c r="AB453" s="120">
        <f t="shared" si="135"/>
        <v>989.40696435286759</v>
      </c>
      <c r="AC453" s="120">
        <f>IF($D453="","",IF(SUMPRODUCT(MAX(($D$4:$D$810=$D453)*($B$4:$B$810&lt;$B453)*$B$4:$B$810))=0,0,IF(($B453-MAX(SUMPRODUCT(MAX(($D$4:$D$810=$D453)*($B$4:$B$810&lt;$B453)*$B$4:$B$810)),'Guide &amp; Settings'!$C$50))/7-'Guide &amp; Settings'!$C$48&gt;=0,(INT(($B453-MAX(SUMPRODUCT(MAX(($D$4:$D$810=$D453)*($B$4:$B$810&lt;$B453)*$B$4:$B$810)),'Guide &amp; Settings'!$C$50))/7-'Guide &amp; Settings'!$C$48)+1)*'Guide &amp; Settings'!$C$49,0)))</f>
        <v>0</v>
      </c>
    </row>
    <row r="454" spans="1:29" x14ac:dyDescent="0.2">
      <c r="A454" s="111">
        <v>195</v>
      </c>
      <c r="B454" s="112">
        <v>46247</v>
      </c>
      <c r="C454" s="113" t="s">
        <v>445</v>
      </c>
      <c r="D454" s="113" t="s">
        <v>134</v>
      </c>
      <c r="E454" s="111" t="s">
        <v>308</v>
      </c>
      <c r="F454" s="114">
        <f t="shared" si="119"/>
        <v>2</v>
      </c>
      <c r="G454" s="115" t="str">
        <f t="shared" si="120"/>
        <v>Shawn</v>
      </c>
      <c r="H454" s="116">
        <f>IF($D454="",0,IFERROR(LOOKUP(2,1/(($D$3:D453=$D454)*($A$3:A453&lt;$A454)),$N$3:N453),'Guide &amp; Settings'!$C$41))</f>
        <v>1121.3989154382325</v>
      </c>
      <c r="I454" s="117">
        <f t="shared" si="121"/>
        <v>0.45454545454545447</v>
      </c>
      <c r="J454" s="118">
        <f>IF($D454="",0,IF($F454&lt;2,0,IF($E454="Win",('Guide &amp; Settings'!$C$42/(($F454-1)*COUNTIFS($A$4:$A$810,$A454,$E$4:$E$810,"Win")))*SUMIFS($X$4:$X$810,$A$4:$A$810,$A454,$E$4:$E$810,"Loss"),-('Guide &amp; Settings'!$C$42/($F454-1))*$X454)))</f>
        <v>14.600210450598139</v>
      </c>
      <c r="K454" s="118">
        <f>IF($D454="",0,'Guide &amp; Settings'!$C$43*(IF($E454="Win",1,0)-$I454))</f>
        <v>6.5454545454545467</v>
      </c>
      <c r="L454" s="119">
        <f>IF($D454="",0,'Guide &amp; Settings'!$C$44*IF($F454&gt;=3,$F454,0))</f>
        <v>0</v>
      </c>
      <c r="M454" s="118">
        <f t="shared" si="122"/>
        <v>21.145664996052687</v>
      </c>
      <c r="N454" s="116">
        <f t="shared" si="123"/>
        <v>1142.5445804342853</v>
      </c>
      <c r="O454" s="115" t="str">
        <f t="shared" si="124"/>
        <v>OK</v>
      </c>
      <c r="P454">
        <f t="shared" si="125"/>
        <v>1121.3989154382325</v>
      </c>
      <c r="Q454">
        <f t="shared" si="126"/>
        <v>0.5</v>
      </c>
      <c r="R454">
        <f t="shared" si="127"/>
        <v>0.33333333333333331</v>
      </c>
      <c r="S454">
        <f t="shared" si="128"/>
        <v>0.73333333333333339</v>
      </c>
      <c r="T454" s="83">
        <f t="shared" si="129"/>
        <v>1</v>
      </c>
      <c r="U454" s="120">
        <f>IF($D454="",0,IFERROR(LOOKUP(2,1/(($D$3:D453=$D454)*($C$3:C453=$C454)*($A$3:A453&lt;$A454)),$AB$3:AB453),1000))</f>
        <v>982.71910502679088</v>
      </c>
      <c r="V454" s="120">
        <f t="shared" si="130"/>
        <v>1098.2856137029924</v>
      </c>
      <c r="W454">
        <f t="shared" si="131"/>
        <v>1098.2856137029924</v>
      </c>
      <c r="X454">
        <f t="shared" si="132"/>
        <v>0.5</v>
      </c>
      <c r="Y454">
        <f t="shared" si="133"/>
        <v>982.71910502679088</v>
      </c>
      <c r="Z454">
        <f t="shared" si="134"/>
        <v>0.5</v>
      </c>
      <c r="AA454">
        <f>IF($D454="",0,IF($F454&lt;2,0,IF($E454="Win",('Guide &amp; Settings'!$C$42/(($F454-1)*COUNTIFS($A$4:$A$810,$A454,$E$4:$E$810,"Win")))*SUMIFS($Z$4:$Z$810,$A$4:$A$810,$A454,$E$4:$E$810,"Loss"),-('Guide &amp; Settings'!$C$42/($F454-1))*$Z454)))</f>
        <v>16.307949269690322</v>
      </c>
      <c r="AB454" s="120">
        <f t="shared" si="135"/>
        <v>999.0270542964812</v>
      </c>
      <c r="AC454" s="120">
        <f>IF($D454="","",IF(SUMPRODUCT(MAX(($D$4:$D$810=$D454)*($B$4:$B$810&lt;$B454)*$B$4:$B$810))=0,0,IF(($B454-MAX(SUMPRODUCT(MAX(($D$4:$D$810=$D454)*($B$4:$B$810&lt;$B454)*$B$4:$B$810)),'Guide &amp; Settings'!$C$50))/7-'Guide &amp; Settings'!$C$48&gt;=0,(INT(($B454-MAX(SUMPRODUCT(MAX(($D$4:$D$810=$D454)*($B$4:$B$810&lt;$B454)*$B$4:$B$810)),'Guide &amp; Settings'!$C$50))/7-'Guide &amp; Settings'!$C$48)+1)*'Guide &amp; Settings'!$C$49,0)))</f>
        <v>0</v>
      </c>
    </row>
    <row r="455" spans="1:29" x14ac:dyDescent="0.2">
      <c r="A455" s="111">
        <v>195</v>
      </c>
      <c r="B455" s="112">
        <v>46247</v>
      </c>
      <c r="C455" s="113" t="s">
        <v>445</v>
      </c>
      <c r="D455" s="113" t="s">
        <v>137</v>
      </c>
      <c r="E455" s="111" t="s">
        <v>309</v>
      </c>
      <c r="F455" s="114">
        <f t="shared" si="119"/>
        <v>2</v>
      </c>
      <c r="G455" s="115" t="str">
        <f t="shared" si="120"/>
        <v>Shawn</v>
      </c>
      <c r="H455" s="116">
        <f>IF($D455="",0,IFERROR(LOOKUP(2,1/(($D$3:D454=$D455)*($A$3:A454&lt;$A455)),$N$3:N454),'Guide &amp; Settings'!$C$41))</f>
        <v>1114.8544803212776</v>
      </c>
      <c r="I455" s="117">
        <f t="shared" si="121"/>
        <v>0.54545454545454541</v>
      </c>
      <c r="J455" s="118">
        <f>IF($D455="",0,IF($F455&lt;2,0,IF($E455="Win",('Guide &amp; Settings'!$C$42/(($F455-1)*COUNTIFS($A$4:$A$810,$A455,$E$4:$E$810,"Win")))*SUMIFS($X$4:$X$810,$A$4:$A$810,$A455,$E$4:$E$810,"Loss"),-('Guide &amp; Settings'!$C$42/($F455-1))*$X455)))</f>
        <v>-14.600210450598139</v>
      </c>
      <c r="K455" s="118">
        <f>IF($D455="",0,'Guide &amp; Settings'!$C$43*(IF($E455="Win",1,0)-$I455))</f>
        <v>-6.545454545454545</v>
      </c>
      <c r="L455" s="119">
        <f>IF($D455="",0,'Guide &amp; Settings'!$C$44*IF($F455&gt;=3,$F455,0))</f>
        <v>0</v>
      </c>
      <c r="M455" s="118">
        <f t="shared" si="122"/>
        <v>-21.145664996052684</v>
      </c>
      <c r="N455" s="116">
        <f t="shared" si="123"/>
        <v>1093.708815325225</v>
      </c>
      <c r="O455" s="115" t="str">
        <f t="shared" si="124"/>
        <v>OK</v>
      </c>
      <c r="P455">
        <f t="shared" si="125"/>
        <v>1121.3989154382325</v>
      </c>
      <c r="Q455">
        <f t="shared" si="126"/>
        <v>0.49058291451808062</v>
      </c>
      <c r="R455">
        <f t="shared" si="127"/>
        <v>0.4</v>
      </c>
      <c r="S455">
        <f t="shared" si="128"/>
        <v>0.73333333333333339</v>
      </c>
      <c r="T455" s="83">
        <f t="shared" si="129"/>
        <v>3</v>
      </c>
      <c r="U455" s="120">
        <f>IF($D455="",0,IFERROR(LOOKUP(2,1/(($D$3:D454=$D455)*($C$3:C454=$C455)*($A$3:A454&lt;$A455)),$AB$3:AB454),1000))</f>
        <v>989.40696435286759</v>
      </c>
      <c r="V455" s="120">
        <f t="shared" si="130"/>
        <v>1067.8116618331237</v>
      </c>
      <c r="W455">
        <f t="shared" si="131"/>
        <v>1098.2856137029924</v>
      </c>
      <c r="X455">
        <f t="shared" si="132"/>
        <v>0.45625657658119184</v>
      </c>
      <c r="Y455">
        <f t="shared" si="133"/>
        <v>982.71910502679088</v>
      </c>
      <c r="Z455">
        <f t="shared" si="134"/>
        <v>0.50962341467782257</v>
      </c>
      <c r="AA455">
        <f>IF($D455="",0,IF($F455&lt;2,0,IF($E455="Win",('Guide &amp; Settings'!$C$42/(($F455-1)*COUNTIFS($A$4:$A$810,$A455,$E$4:$E$810,"Win")))*SUMIFS($Z$4:$Z$810,$A$4:$A$810,$A455,$E$4:$E$810,"Loss"),-('Guide &amp; Settings'!$C$42/($F455-1))*$Z455)))</f>
        <v>-16.307949269690322</v>
      </c>
      <c r="AB455" s="120">
        <f t="shared" si="135"/>
        <v>973.09901508317728</v>
      </c>
      <c r="AC455" s="120">
        <f>IF($D455="","",IF(SUMPRODUCT(MAX(($D$4:$D$810=$D455)*($B$4:$B$810&lt;$B455)*$B$4:$B$810))=0,0,IF(($B455-MAX(SUMPRODUCT(MAX(($D$4:$D$810=$D455)*($B$4:$B$810&lt;$B455)*$B$4:$B$810)),'Guide &amp; Settings'!$C$50))/7-'Guide &amp; Settings'!$C$48&gt;=0,(INT(($B455-MAX(SUMPRODUCT(MAX(($D$4:$D$810=$D455)*($B$4:$B$810&lt;$B455)*$B$4:$B$810)),'Guide &amp; Settings'!$C$50))/7-'Guide &amp; Settings'!$C$48)+1)*'Guide &amp; Settings'!$C$49,0)))</f>
        <v>0</v>
      </c>
    </row>
    <row r="456" spans="1:29" x14ac:dyDescent="0.2">
      <c r="A456" s="111">
        <v>196</v>
      </c>
      <c r="B456" s="112">
        <v>46247</v>
      </c>
      <c r="C456" s="113" t="s">
        <v>446</v>
      </c>
      <c r="D456" s="113" t="s">
        <v>134</v>
      </c>
      <c r="E456" s="111" t="s">
        <v>308</v>
      </c>
      <c r="F456" s="114">
        <f t="shared" si="119"/>
        <v>2</v>
      </c>
      <c r="G456" s="115" t="str">
        <f t="shared" si="120"/>
        <v>Shawn</v>
      </c>
      <c r="H456" s="116">
        <f>IF($D456="",0,IFERROR(LOOKUP(2,1/(($D$3:D455=$D456)*($A$3:A455&lt;$A456)),$N$3:N455),'Guide &amp; Settings'!$C$41))</f>
        <v>1142.5445804342853</v>
      </c>
      <c r="I456" s="117">
        <f t="shared" si="121"/>
        <v>0.4285714285714286</v>
      </c>
      <c r="J456" s="118">
        <f>IF($D456="",0,IF($F456&lt;2,0,IF($E456="Win",('Guide &amp; Settings'!$C$42/(($F456-1)*COUNTIFS($A$4:$A$810,$A456,$E$4:$E$810,"Win")))*SUMIFS($X$4:$X$810,$A$4:$A$810,$A456,$E$4:$E$810,"Loss"),-('Guide &amp; Settings'!$C$42/($F456-1))*$X456)))</f>
        <v>13.184214633800195</v>
      </c>
      <c r="K456" s="118">
        <f>IF($D456="",0,'Guide &amp; Settings'!$C$43*(IF($E456="Win",1,0)-$I456))</f>
        <v>6.8571428571428568</v>
      </c>
      <c r="L456" s="119">
        <f>IF($D456="",0,'Guide &amp; Settings'!$C$44*IF($F456&gt;=3,$F456,0))</f>
        <v>0</v>
      </c>
      <c r="M456" s="118">
        <f t="shared" si="122"/>
        <v>20.041357490943053</v>
      </c>
      <c r="N456" s="116">
        <f t="shared" si="123"/>
        <v>1162.5859379252283</v>
      </c>
      <c r="O456" s="115" t="str">
        <f t="shared" si="124"/>
        <v>OK</v>
      </c>
      <c r="P456">
        <f t="shared" si="125"/>
        <v>1142.5445804342853</v>
      </c>
      <c r="Q456">
        <f t="shared" si="126"/>
        <v>0.5</v>
      </c>
      <c r="R456">
        <f t="shared" si="127"/>
        <v>0.5</v>
      </c>
      <c r="S456">
        <f t="shared" si="128"/>
        <v>1.1666666666666665</v>
      </c>
      <c r="T456" s="83">
        <f t="shared" si="129"/>
        <v>0</v>
      </c>
      <c r="U456" s="120">
        <f>IF($D456="",0,IFERROR(LOOKUP(2,1/(($D$3:D455=$D456)*($C$3:C455=$C456)*($A$3:A455&lt;$A456)),$AB$3:AB455),1000))</f>
        <v>1000</v>
      </c>
      <c r="V456" s="120">
        <f t="shared" si="130"/>
        <v>1142.5445804342853</v>
      </c>
      <c r="W456">
        <f t="shared" si="131"/>
        <v>1142.5445804342853</v>
      </c>
      <c r="X456">
        <f t="shared" si="132"/>
        <v>0.5</v>
      </c>
      <c r="Y456">
        <f t="shared" si="133"/>
        <v>1000</v>
      </c>
      <c r="Z456">
        <f t="shared" si="134"/>
        <v>0.5</v>
      </c>
      <c r="AA456">
        <f>IF($D456="",0,IF($F456&lt;2,0,IF($E456="Win",('Guide &amp; Settings'!$C$42/(($F456-1)*COUNTIFS($A$4:$A$810,$A456,$E$4:$E$810,"Win")))*SUMIFS($Z$4:$Z$810,$A$4:$A$810,$A456,$E$4:$E$810,"Loss"),-('Guide &amp; Settings'!$C$42/($F456-1))*$Z456)))</f>
        <v>16.736306793521994</v>
      </c>
      <c r="AB456" s="120">
        <f t="shared" si="135"/>
        <v>1016.736306793522</v>
      </c>
      <c r="AC456" s="120">
        <f>IF($D456="","",IF(SUMPRODUCT(MAX(($D$4:$D$810=$D456)*($B$4:$B$810&lt;$B456)*$B$4:$B$810))=0,0,IF(($B456-MAX(SUMPRODUCT(MAX(($D$4:$D$810=$D456)*($B$4:$B$810&lt;$B456)*$B$4:$B$810)),'Guide &amp; Settings'!$C$50))/7-'Guide &amp; Settings'!$C$48&gt;=0,(INT(($B456-MAX(SUMPRODUCT(MAX(($D$4:$D$810=$D456)*($B$4:$B$810&lt;$B456)*$B$4:$B$810)),'Guide &amp; Settings'!$C$50))/7-'Guide &amp; Settings'!$C$48)+1)*'Guide &amp; Settings'!$C$49,0)))</f>
        <v>0</v>
      </c>
    </row>
    <row r="457" spans="1:29" x14ac:dyDescent="0.2">
      <c r="A457" s="111">
        <v>196</v>
      </c>
      <c r="B457" s="112">
        <v>46247</v>
      </c>
      <c r="C457" s="113" t="s">
        <v>446</v>
      </c>
      <c r="D457" s="113" t="s">
        <v>137</v>
      </c>
      <c r="E457" s="111" t="s">
        <v>309</v>
      </c>
      <c r="F457" s="114">
        <f t="shared" si="119"/>
        <v>2</v>
      </c>
      <c r="G457" s="115" t="str">
        <f t="shared" si="120"/>
        <v>Shawn</v>
      </c>
      <c r="H457" s="116">
        <f>IF($D457="",0,IFERROR(LOOKUP(2,1/(($D$3:D456=$D457)*($A$3:A456&lt;$A457)),$N$3:N456),'Guide &amp; Settings'!$C$41))</f>
        <v>1093.708815325225</v>
      </c>
      <c r="I457" s="117">
        <f t="shared" si="121"/>
        <v>0.57142857142857151</v>
      </c>
      <c r="J457" s="118">
        <f>IF($D457="",0,IF($F457&lt;2,0,IF($E457="Win",('Guide &amp; Settings'!$C$42/(($F457-1)*COUNTIFS($A$4:$A$810,$A457,$E$4:$E$810,"Win")))*SUMIFS($X$4:$X$810,$A$4:$A$810,$A457,$E$4:$E$810,"Loss"),-('Guide &amp; Settings'!$C$42/($F457-1))*$X457)))</f>
        <v>-13.184214633800195</v>
      </c>
      <c r="K457" s="118">
        <f>IF($D457="",0,'Guide &amp; Settings'!$C$43*(IF($E457="Win",1,0)-$I457))</f>
        <v>-6.8571428571428577</v>
      </c>
      <c r="L457" s="119">
        <f>IF($D457="",0,'Guide &amp; Settings'!$C$44*IF($F457&gt;=3,$F457,0))</f>
        <v>0</v>
      </c>
      <c r="M457" s="118">
        <f t="shared" si="122"/>
        <v>-20.041357490943053</v>
      </c>
      <c r="N457" s="116">
        <f t="shared" si="123"/>
        <v>1073.667457834282</v>
      </c>
      <c r="O457" s="115" t="str">
        <f t="shared" si="124"/>
        <v>OK</v>
      </c>
      <c r="P457">
        <f t="shared" si="125"/>
        <v>1142.5445804342853</v>
      </c>
      <c r="Q457">
        <f t="shared" si="126"/>
        <v>0.43017890523994895</v>
      </c>
      <c r="R457">
        <f t="shared" si="127"/>
        <v>0.66666666666666663</v>
      </c>
      <c r="S457">
        <f t="shared" si="128"/>
        <v>1.1666666666666665</v>
      </c>
      <c r="T457" s="83">
        <f t="shared" si="129"/>
        <v>1</v>
      </c>
      <c r="U457" s="120">
        <f>IF($D457="",0,IFERROR(LOOKUP(2,1/(($D$3:D456=$D457)*($C$3:C456=$C457)*($A$3:A456&lt;$A457)),$AB$3:AB456),1000))</f>
        <v>1016</v>
      </c>
      <c r="V457" s="120">
        <f t="shared" si="130"/>
        <v>1080.7573461043542</v>
      </c>
      <c r="W457">
        <f t="shared" si="131"/>
        <v>1142.5445804342853</v>
      </c>
      <c r="X457">
        <f t="shared" si="132"/>
        <v>0.4120067073062561</v>
      </c>
      <c r="Y457">
        <f t="shared" si="133"/>
        <v>1000</v>
      </c>
      <c r="Z457">
        <f t="shared" si="134"/>
        <v>0.52300958729756231</v>
      </c>
      <c r="AA457">
        <f>IF($D457="",0,IF($F457&lt;2,0,IF($E457="Win",('Guide &amp; Settings'!$C$42/(($F457-1)*COUNTIFS($A$4:$A$810,$A457,$E$4:$E$810,"Win")))*SUMIFS($Z$4:$Z$810,$A$4:$A$810,$A457,$E$4:$E$810,"Loss"),-('Guide &amp; Settings'!$C$42/($F457-1))*$Z457)))</f>
        <v>-16.736306793521994</v>
      </c>
      <c r="AB457" s="120">
        <f t="shared" si="135"/>
        <v>999.26369320647802</v>
      </c>
      <c r="AC457" s="120">
        <f>IF($D457="","",IF(SUMPRODUCT(MAX(($D$4:$D$810=$D457)*($B$4:$B$810&lt;$B457)*$B$4:$B$810))=0,0,IF(($B457-MAX(SUMPRODUCT(MAX(($D$4:$D$810=$D457)*($B$4:$B$810&lt;$B457)*$B$4:$B$810)),'Guide &amp; Settings'!$C$50))/7-'Guide &amp; Settings'!$C$48&gt;=0,(INT(($B457-MAX(SUMPRODUCT(MAX(($D$4:$D$810=$D457)*($B$4:$B$810&lt;$B457)*$B$4:$B$810)),'Guide &amp; Settings'!$C$50))/7-'Guide &amp; Settings'!$C$48)+1)*'Guide &amp; Settings'!$C$49,0)))</f>
        <v>0</v>
      </c>
    </row>
    <row r="458" spans="1:29" x14ac:dyDescent="0.2">
      <c r="A458" s="111">
        <v>197</v>
      </c>
      <c r="B458" s="112">
        <v>46247</v>
      </c>
      <c r="C458" s="113" t="s">
        <v>447</v>
      </c>
      <c r="D458" s="113" t="s">
        <v>134</v>
      </c>
      <c r="E458" s="111" t="s">
        <v>309</v>
      </c>
      <c r="F458" s="114">
        <f t="shared" si="119"/>
        <v>2</v>
      </c>
      <c r="G458" s="115" t="str">
        <f t="shared" si="120"/>
        <v>Josh</v>
      </c>
      <c r="H458" s="116">
        <f>IF($D458="",0,IFERROR(LOOKUP(2,1/(($D$3:D457=$D458)*($A$3:A457&lt;$A458)),$N$3:N457),'Guide &amp; Settings'!$C$41))</f>
        <v>1162.5859379252283</v>
      </c>
      <c r="I458" s="117">
        <f t="shared" si="121"/>
        <v>0.60000000000000009</v>
      </c>
      <c r="J458" s="118">
        <f>IF($D458="",0,IF($F458&lt;2,0,IF($E458="Win",('Guide &amp; Settings'!$C$42/(($F458-1)*COUNTIFS($A$4:$A$810,$A458,$E$4:$E$810,"Win")))*SUMIFS($X$4:$X$810,$A$4:$A$810,$A458,$E$4:$E$810,"Loss"),-('Guide &amp; Settings'!$C$42/($F458-1))*$X458)))</f>
        <v>-20.589215701755581</v>
      </c>
      <c r="K458" s="118">
        <f>IF($D458="",0,'Guide &amp; Settings'!$C$43*(IF($E458="Win",1,0)-$I458))</f>
        <v>-7.2000000000000011</v>
      </c>
      <c r="L458" s="119">
        <f>IF($D458="",0,'Guide &amp; Settings'!$C$44*IF($F458&gt;=3,$F458,0))</f>
        <v>0</v>
      </c>
      <c r="M458" s="118">
        <f t="shared" si="122"/>
        <v>-27.78921570175558</v>
      </c>
      <c r="N458" s="116">
        <f t="shared" si="123"/>
        <v>1134.7967222234727</v>
      </c>
      <c r="O458" s="115" t="str">
        <f t="shared" si="124"/>
        <v>OK</v>
      </c>
      <c r="P458">
        <f t="shared" si="125"/>
        <v>1073.667457834282</v>
      </c>
      <c r="Q458">
        <f t="shared" si="126"/>
        <v>0.62524144383080016</v>
      </c>
      <c r="R458">
        <f t="shared" si="127"/>
        <v>0.5</v>
      </c>
      <c r="S458">
        <f t="shared" si="128"/>
        <v>0.83333333333333326</v>
      </c>
      <c r="T458" s="83">
        <f t="shared" si="129"/>
        <v>0</v>
      </c>
      <c r="U458" s="120">
        <f>IF($D458="",0,IFERROR(LOOKUP(2,1/(($D$3:D457=$D458)*($C$3:C457=$C458)*($A$3:A457&lt;$A458)),$AB$3:AB457),1000))</f>
        <v>1000</v>
      </c>
      <c r="V458" s="120">
        <f t="shared" si="130"/>
        <v>1162.5859379252283</v>
      </c>
      <c r="W458">
        <f t="shared" si="131"/>
        <v>1060.0562148619017</v>
      </c>
      <c r="X458">
        <f t="shared" si="132"/>
        <v>0.64341299067986191</v>
      </c>
      <c r="Y458">
        <f t="shared" si="133"/>
        <v>992</v>
      </c>
      <c r="Z458">
        <f t="shared" si="134"/>
        <v>0.5115108912177917</v>
      </c>
      <c r="AA458">
        <f>IF($D458="",0,IF($F458&lt;2,0,IF($E458="Win",('Guide &amp; Settings'!$C$42/(($F458-1)*COUNTIFS($A$4:$A$810,$A458,$E$4:$E$810,"Win")))*SUMIFS($Z$4:$Z$810,$A$4:$A$810,$A458,$E$4:$E$810,"Loss"),-('Guide &amp; Settings'!$C$42/($F458-1))*$Z458)))</f>
        <v>-16.368348518969334</v>
      </c>
      <c r="AB458" s="120">
        <f t="shared" si="135"/>
        <v>983.63165148103064</v>
      </c>
      <c r="AC458" s="120">
        <f>IF($D458="","",IF(SUMPRODUCT(MAX(($D$4:$D$810=$D458)*($B$4:$B$810&lt;$B458)*$B$4:$B$810))=0,0,IF(($B458-MAX(SUMPRODUCT(MAX(($D$4:$D$810=$D458)*($B$4:$B$810&lt;$B458)*$B$4:$B$810)),'Guide &amp; Settings'!$C$50))/7-'Guide &amp; Settings'!$C$48&gt;=0,(INT(($B458-MAX(SUMPRODUCT(MAX(($D$4:$D$810=$D458)*($B$4:$B$810&lt;$B458)*$B$4:$B$810)),'Guide &amp; Settings'!$C$50))/7-'Guide &amp; Settings'!$C$48)+1)*'Guide &amp; Settings'!$C$49,0)))</f>
        <v>0</v>
      </c>
    </row>
    <row r="459" spans="1:29" x14ac:dyDescent="0.2">
      <c r="A459" s="111">
        <v>197</v>
      </c>
      <c r="B459" s="112">
        <v>46247</v>
      </c>
      <c r="C459" s="113" t="s">
        <v>447</v>
      </c>
      <c r="D459" s="113" t="s">
        <v>137</v>
      </c>
      <c r="E459" s="111" t="s">
        <v>308</v>
      </c>
      <c r="F459" s="114">
        <f t="shared" si="119"/>
        <v>2</v>
      </c>
      <c r="G459" s="115" t="str">
        <f t="shared" si="120"/>
        <v>Josh</v>
      </c>
      <c r="H459" s="116">
        <f>IF($D459="",0,IFERROR(LOOKUP(2,1/(($D$3:D458=$D459)*($A$3:A458&lt;$A459)),$N$3:N458),'Guide &amp; Settings'!$C$41))</f>
        <v>1073.667457834282</v>
      </c>
      <c r="I459" s="117">
        <f t="shared" si="121"/>
        <v>0.4</v>
      </c>
      <c r="J459" s="118">
        <f>IF($D459="",0,IF($F459&lt;2,0,IF($E459="Win",('Guide &amp; Settings'!$C$42/(($F459-1)*COUNTIFS($A$4:$A$810,$A459,$E$4:$E$810,"Win")))*SUMIFS($X$4:$X$810,$A$4:$A$810,$A459,$E$4:$E$810,"Loss"),-('Guide &amp; Settings'!$C$42/($F459-1))*$X459)))</f>
        <v>20.589215701755581</v>
      </c>
      <c r="K459" s="118">
        <f>IF($D459="",0,'Guide &amp; Settings'!$C$43*(IF($E459="Win",1,0)-$I459))</f>
        <v>7.1999999999999993</v>
      </c>
      <c r="L459" s="119">
        <f>IF($D459="",0,'Guide &amp; Settings'!$C$44*IF($F459&gt;=3,$F459,0))</f>
        <v>0</v>
      </c>
      <c r="M459" s="118">
        <f t="shared" si="122"/>
        <v>27.78921570175558</v>
      </c>
      <c r="N459" s="116">
        <f t="shared" si="123"/>
        <v>1101.4566735360377</v>
      </c>
      <c r="O459" s="115" t="str">
        <f t="shared" si="124"/>
        <v>OK</v>
      </c>
      <c r="P459">
        <f t="shared" si="125"/>
        <v>1073.667457834282</v>
      </c>
      <c r="Q459">
        <f t="shared" si="126"/>
        <v>0.5</v>
      </c>
      <c r="R459">
        <f t="shared" si="127"/>
        <v>0.33333333333333331</v>
      </c>
      <c r="S459">
        <f t="shared" si="128"/>
        <v>0.83333333333333326</v>
      </c>
      <c r="T459" s="83">
        <f t="shared" si="129"/>
        <v>1</v>
      </c>
      <c r="U459" s="120">
        <f>IF($D459="",0,IFERROR(LOOKUP(2,1/(($D$3:D458=$D459)*($C$3:C458=$C459)*($A$3:A458&lt;$A459)),$AB$3:AB458),1000))</f>
        <v>992</v>
      </c>
      <c r="V459" s="120">
        <f t="shared" si="130"/>
        <v>1060.0562148619017</v>
      </c>
      <c r="W459">
        <f t="shared" si="131"/>
        <v>1060.0562148619017</v>
      </c>
      <c r="X459">
        <f t="shared" si="132"/>
        <v>0.5</v>
      </c>
      <c r="Y459">
        <f t="shared" si="133"/>
        <v>992</v>
      </c>
      <c r="Z459">
        <f t="shared" si="134"/>
        <v>0.5</v>
      </c>
      <c r="AA459">
        <f>IF($D459="",0,IF($F459&lt;2,0,IF($E459="Win",('Guide &amp; Settings'!$C$42/(($F459-1)*COUNTIFS($A$4:$A$810,$A459,$E$4:$E$810,"Win")))*SUMIFS($Z$4:$Z$810,$A$4:$A$810,$A459,$E$4:$E$810,"Loss"),-('Guide &amp; Settings'!$C$42/($F459-1))*$Z459)))</f>
        <v>16.368348518969334</v>
      </c>
      <c r="AB459" s="120">
        <f t="shared" si="135"/>
        <v>1008.3683485189694</v>
      </c>
      <c r="AC459" s="120">
        <f>IF($D459="","",IF(SUMPRODUCT(MAX(($D$4:$D$810=$D459)*($B$4:$B$810&lt;$B459)*$B$4:$B$810))=0,0,IF(($B459-MAX(SUMPRODUCT(MAX(($D$4:$D$810=$D459)*($B$4:$B$810&lt;$B459)*$B$4:$B$810)),'Guide &amp; Settings'!$C$50))/7-'Guide &amp; Settings'!$C$48&gt;=0,(INT(($B459-MAX(SUMPRODUCT(MAX(($D$4:$D$810=$D459)*($B$4:$B$810&lt;$B459)*$B$4:$B$810)),'Guide &amp; Settings'!$C$50))/7-'Guide &amp; Settings'!$C$48)+1)*'Guide &amp; Settings'!$C$49,0)))</f>
        <v>0</v>
      </c>
    </row>
    <row r="460" spans="1:29" x14ac:dyDescent="0.2">
      <c r="A460" s="111">
        <v>198</v>
      </c>
      <c r="B460" s="112">
        <v>46247</v>
      </c>
      <c r="C460" s="113" t="s">
        <v>447</v>
      </c>
      <c r="D460" s="113" t="s">
        <v>134</v>
      </c>
      <c r="E460" s="111" t="s">
        <v>308</v>
      </c>
      <c r="F460" s="114">
        <f t="shared" si="119"/>
        <v>2</v>
      </c>
      <c r="G460" s="115" t="str">
        <f t="shared" si="120"/>
        <v>Shawn</v>
      </c>
      <c r="H460" s="116">
        <f>IF($D460="",0,IFERROR(LOOKUP(2,1/(($D$3:D459=$D460)*($A$3:A459&lt;$A460)),$N$3:N459),'Guide &amp; Settings'!$C$41))</f>
        <v>1134.7967222234727</v>
      </c>
      <c r="I460" s="117">
        <f t="shared" si="121"/>
        <v>0.4</v>
      </c>
      <c r="J460" s="118">
        <f>IF($D460="",0,IF($F460&lt;2,0,IF($E460="Win",('Guide &amp; Settings'!$C$42/(($F460-1)*COUNTIFS($A$4:$A$810,$A460,$E$4:$E$810,"Win")))*SUMIFS($X$4:$X$810,$A$4:$A$810,$A460,$E$4:$E$810,"Loss"),-('Guide &amp; Settings'!$C$42/($F460-1))*$X460)))</f>
        <v>14.405358775941226</v>
      </c>
      <c r="K460" s="118">
        <f>IF($D460="",0,'Guide &amp; Settings'!$C$43*(IF($E460="Win",1,0)-$I460))</f>
        <v>7.1999999999999993</v>
      </c>
      <c r="L460" s="119">
        <f>IF($D460="",0,'Guide &amp; Settings'!$C$44*IF($F460&gt;=3,$F460,0))</f>
        <v>0</v>
      </c>
      <c r="M460" s="118">
        <f t="shared" si="122"/>
        <v>21.605358775941227</v>
      </c>
      <c r="N460" s="116">
        <f t="shared" si="123"/>
        <v>1156.402080999414</v>
      </c>
      <c r="O460" s="115" t="str">
        <f t="shared" si="124"/>
        <v>OK</v>
      </c>
      <c r="P460">
        <f t="shared" si="125"/>
        <v>1134.7967222234727</v>
      </c>
      <c r="Q460">
        <f t="shared" si="126"/>
        <v>0.5</v>
      </c>
      <c r="R460">
        <f t="shared" si="127"/>
        <v>0.33333333333333331</v>
      </c>
      <c r="S460">
        <f t="shared" si="128"/>
        <v>0.83333333333333326</v>
      </c>
      <c r="T460" s="83">
        <f t="shared" si="129"/>
        <v>1</v>
      </c>
      <c r="U460" s="120">
        <f>IF($D460="",0,IFERROR(LOOKUP(2,1/(($D$3:D459=$D460)*($C$3:C459=$C460)*($A$3:A459&lt;$A460)),$AB$3:AB459),1000))</f>
        <v>983.63165148103064</v>
      </c>
      <c r="V460" s="120">
        <f t="shared" si="130"/>
        <v>1109.6025437663991</v>
      </c>
      <c r="W460">
        <f t="shared" si="131"/>
        <v>1109.6025437663991</v>
      </c>
      <c r="X460">
        <f t="shared" si="132"/>
        <v>0.5</v>
      </c>
      <c r="Y460">
        <f t="shared" si="133"/>
        <v>983.63165148103064</v>
      </c>
      <c r="Z460">
        <f t="shared" si="134"/>
        <v>0.5</v>
      </c>
      <c r="AA460">
        <f>IF($D460="",0,IF($F460&lt;2,0,IF($E460="Win",('Guide &amp; Settings'!$C$42/(($F460-1)*COUNTIFS($A$4:$A$810,$A460,$E$4:$E$810,"Win")))*SUMIFS($Z$4:$Z$810,$A$4:$A$810,$A460,$E$4:$E$810,"Loss"),-('Guide &amp; Settings'!$C$42/($F460-1))*$Z460)))</f>
        <v>17.137246023925336</v>
      </c>
      <c r="AB460" s="120">
        <f t="shared" si="135"/>
        <v>1000.7688975049559</v>
      </c>
      <c r="AC460" s="120">
        <f>IF($D460="","",IF(SUMPRODUCT(MAX(($D$4:$D$810=$D460)*($B$4:$B$810&lt;$B460)*$B$4:$B$810))=0,0,IF(($B460-MAX(SUMPRODUCT(MAX(($D$4:$D$810=$D460)*($B$4:$B$810&lt;$B460)*$B$4:$B$810)),'Guide &amp; Settings'!$C$50))/7-'Guide &amp; Settings'!$C$48&gt;=0,(INT(($B460-MAX(SUMPRODUCT(MAX(($D$4:$D$810=$D460)*($B$4:$B$810&lt;$B460)*$B$4:$B$810)),'Guide &amp; Settings'!$C$50))/7-'Guide &amp; Settings'!$C$48)+1)*'Guide &amp; Settings'!$C$49,0)))</f>
        <v>0</v>
      </c>
    </row>
    <row r="461" spans="1:29" x14ac:dyDescent="0.2">
      <c r="A461" s="111">
        <v>198</v>
      </c>
      <c r="B461" s="112">
        <v>46247</v>
      </c>
      <c r="C461" s="113" t="s">
        <v>447</v>
      </c>
      <c r="D461" s="113" t="s">
        <v>137</v>
      </c>
      <c r="E461" s="111" t="s">
        <v>309</v>
      </c>
      <c r="F461" s="114">
        <f t="shared" si="119"/>
        <v>2</v>
      </c>
      <c r="G461" s="115" t="str">
        <f t="shared" si="120"/>
        <v>Shawn</v>
      </c>
      <c r="H461" s="116">
        <f>IF($D461="",0,IFERROR(LOOKUP(2,1/(($D$3:D460=$D461)*($A$3:A460&lt;$A461)),$N$3:N460),'Guide &amp; Settings'!$C$41))</f>
        <v>1101.4566735360377</v>
      </c>
      <c r="I461" s="117">
        <f t="shared" si="121"/>
        <v>0.60000000000000009</v>
      </c>
      <c r="J461" s="118">
        <f>IF($D461="",0,IF($F461&lt;2,0,IF($E461="Win",('Guide &amp; Settings'!$C$42/(($F461-1)*COUNTIFS($A$4:$A$810,$A461,$E$4:$E$810,"Win")))*SUMIFS($X$4:$X$810,$A$4:$A$810,$A461,$E$4:$E$810,"Loss"),-('Guide &amp; Settings'!$C$42/($F461-1))*$X461)))</f>
        <v>-14.405358775941226</v>
      </c>
      <c r="K461" s="118">
        <f>IF($D461="",0,'Guide &amp; Settings'!$C$43*(IF($E461="Win",1,0)-$I461))</f>
        <v>-7.2000000000000011</v>
      </c>
      <c r="L461" s="119">
        <f>IF($D461="",0,'Guide &amp; Settings'!$C$44*IF($F461&gt;=3,$F461,0))</f>
        <v>0</v>
      </c>
      <c r="M461" s="118">
        <f t="shared" si="122"/>
        <v>-21.605358775941227</v>
      </c>
      <c r="N461" s="116">
        <f t="shared" si="123"/>
        <v>1079.8513147600966</v>
      </c>
      <c r="O461" s="115" t="str">
        <f t="shared" si="124"/>
        <v>OK</v>
      </c>
      <c r="P461">
        <f t="shared" si="125"/>
        <v>1134.7967222234727</v>
      </c>
      <c r="Q461">
        <f t="shared" si="126"/>
        <v>0.45216654608960433</v>
      </c>
      <c r="R461">
        <f t="shared" si="127"/>
        <v>0.5</v>
      </c>
      <c r="S461">
        <f t="shared" si="128"/>
        <v>0.83333333333333326</v>
      </c>
      <c r="T461" s="83">
        <f t="shared" si="129"/>
        <v>2</v>
      </c>
      <c r="U461" s="120">
        <f>IF($D461="",0,IFERROR(LOOKUP(2,1/(($D$3:D460=$D461)*($C$3:C460=$C461)*($A$3:A460&lt;$A461)),$AB$3:AB460),1000))</f>
        <v>1008.3683485189694</v>
      </c>
      <c r="V461" s="120">
        <f t="shared" si="130"/>
        <v>1074.8600092454467</v>
      </c>
      <c r="W461">
        <f t="shared" si="131"/>
        <v>1109.6025437663991</v>
      </c>
      <c r="X461">
        <f t="shared" si="132"/>
        <v>0.4501674617481633</v>
      </c>
      <c r="Y461">
        <f t="shared" si="133"/>
        <v>983.63165148103064</v>
      </c>
      <c r="Z461">
        <f t="shared" si="134"/>
        <v>0.53553893824766674</v>
      </c>
      <c r="AA461">
        <f>IF($D461="",0,IF($F461&lt;2,0,IF($E461="Win",('Guide &amp; Settings'!$C$42/(($F461-1)*COUNTIFS($A$4:$A$810,$A461,$E$4:$E$810,"Win")))*SUMIFS($Z$4:$Z$810,$A$4:$A$810,$A461,$E$4:$E$810,"Loss"),-('Guide &amp; Settings'!$C$42/($F461-1))*$Z461)))</f>
        <v>-17.137246023925336</v>
      </c>
      <c r="AB461" s="120">
        <f t="shared" si="135"/>
        <v>991.23110249504407</v>
      </c>
      <c r="AC461" s="120">
        <f>IF($D461="","",IF(SUMPRODUCT(MAX(($D$4:$D$810=$D461)*($B$4:$B$810&lt;$B461)*$B$4:$B$810))=0,0,IF(($B461-MAX(SUMPRODUCT(MAX(($D$4:$D$810=$D461)*($B$4:$B$810&lt;$B461)*$B$4:$B$810)),'Guide &amp; Settings'!$C$50))/7-'Guide &amp; Settings'!$C$48&gt;=0,(INT(($B461-MAX(SUMPRODUCT(MAX(($D$4:$D$810=$D461)*($B$4:$B$810&lt;$B461)*$B$4:$B$810)),'Guide &amp; Settings'!$C$50))/7-'Guide &amp; Settings'!$C$48)+1)*'Guide &amp; Settings'!$C$49,0)))</f>
        <v>0</v>
      </c>
    </row>
    <row r="462" spans="1:29" x14ac:dyDescent="0.2">
      <c r="A462" s="111">
        <v>199</v>
      </c>
      <c r="B462" s="112">
        <v>46247</v>
      </c>
      <c r="C462" s="113" t="s">
        <v>447</v>
      </c>
      <c r="D462" s="113" t="s">
        <v>134</v>
      </c>
      <c r="E462" s="111" t="s">
        <v>309</v>
      </c>
      <c r="F462" s="114">
        <f t="shared" si="119"/>
        <v>2</v>
      </c>
      <c r="G462" s="115" t="str">
        <f t="shared" si="120"/>
        <v>Josh</v>
      </c>
      <c r="H462" s="116">
        <f>IF($D462="",0,IFERROR(LOOKUP(2,1/(($D$3:D461=$D462)*($A$3:A461&lt;$A462)),$N$3:N461),'Guide &amp; Settings'!$C$41))</f>
        <v>1156.402080999414</v>
      </c>
      <c r="I462" s="117">
        <f t="shared" si="121"/>
        <v>0.55555555555555558</v>
      </c>
      <c r="J462" s="118">
        <f>IF($D462="",0,IF($F462&lt;2,0,IF($E462="Win",('Guide &amp; Settings'!$C$42/(($F462-1)*COUNTIFS($A$4:$A$810,$A462,$E$4:$E$810,"Win")))*SUMIFS($X$4:$X$810,$A$4:$A$810,$A462,$E$4:$E$810,"Loss"),-('Guide &amp; Settings'!$C$42/($F462-1))*$X462)))</f>
        <v>-18.973003759458241</v>
      </c>
      <c r="K462" s="118">
        <f>IF($D462="",0,'Guide &amp; Settings'!$C$43*(IF($E462="Win",1,0)-$I462))</f>
        <v>-6.666666666666667</v>
      </c>
      <c r="L462" s="119">
        <f>IF($D462="",0,'Guide &amp; Settings'!$C$44*IF($F462&gt;=3,$F462,0))</f>
        <v>0</v>
      </c>
      <c r="M462" s="118">
        <f t="shared" si="122"/>
        <v>-25.639670426124908</v>
      </c>
      <c r="N462" s="116">
        <f t="shared" si="123"/>
        <v>1130.7624105732891</v>
      </c>
      <c r="O462" s="115" t="str">
        <f t="shared" si="124"/>
        <v>OK</v>
      </c>
      <c r="P462">
        <f t="shared" si="125"/>
        <v>1079.8513147600966</v>
      </c>
      <c r="Q462">
        <f t="shared" si="126"/>
        <v>0.60841667334863792</v>
      </c>
      <c r="R462">
        <f t="shared" si="127"/>
        <v>0.5</v>
      </c>
      <c r="S462">
        <f t="shared" si="128"/>
        <v>0.9</v>
      </c>
      <c r="T462" s="83">
        <f t="shared" si="129"/>
        <v>2</v>
      </c>
      <c r="U462" s="120">
        <f>IF($D462="",0,IFERROR(LOOKUP(2,1/(($D$3:D461=$D462)*($C$3:C461=$C462)*($A$3:A461&lt;$A462)),$AB$3:AB461),1000))</f>
        <v>1000.7688975049559</v>
      </c>
      <c r="V462" s="120">
        <f t="shared" si="130"/>
        <v>1111.9354571438546</v>
      </c>
      <c r="W462">
        <f t="shared" si="131"/>
        <v>1046.6187351607018</v>
      </c>
      <c r="X462">
        <f t="shared" si="132"/>
        <v>0.59290636748307002</v>
      </c>
      <c r="Y462">
        <f t="shared" si="133"/>
        <v>991.23110249504407</v>
      </c>
      <c r="Z462">
        <f t="shared" si="134"/>
        <v>0.5137225433999838</v>
      </c>
      <c r="AA462">
        <f>IF($D462="",0,IF($F462&lt;2,0,IF($E462="Win",('Guide &amp; Settings'!$C$42/(($F462-1)*COUNTIFS($A$4:$A$810,$A462,$E$4:$E$810,"Win")))*SUMIFS($Z$4:$Z$810,$A$4:$A$810,$A462,$E$4:$E$810,"Loss"),-('Guide &amp; Settings'!$C$42/($F462-1))*$Z462)))</f>
        <v>-16.439121388799482</v>
      </c>
      <c r="AB462" s="120">
        <f t="shared" si="135"/>
        <v>984.32977611615649</v>
      </c>
      <c r="AC462" s="120">
        <f>IF($D462="","",IF(SUMPRODUCT(MAX(($D$4:$D$810=$D462)*($B$4:$B$810&lt;$B462)*$B$4:$B$810))=0,0,IF(($B462-MAX(SUMPRODUCT(MAX(($D$4:$D$810=$D462)*($B$4:$B$810&lt;$B462)*$B$4:$B$810)),'Guide &amp; Settings'!$C$50))/7-'Guide &amp; Settings'!$C$48&gt;=0,(INT(($B462-MAX(SUMPRODUCT(MAX(($D$4:$D$810=$D462)*($B$4:$B$810&lt;$B462)*$B$4:$B$810)),'Guide &amp; Settings'!$C$50))/7-'Guide &amp; Settings'!$C$48)+1)*'Guide &amp; Settings'!$C$49,0)))</f>
        <v>0</v>
      </c>
    </row>
    <row r="463" spans="1:29" x14ac:dyDescent="0.2">
      <c r="A463" s="111">
        <v>199</v>
      </c>
      <c r="B463" s="112">
        <v>46247</v>
      </c>
      <c r="C463" s="113" t="s">
        <v>447</v>
      </c>
      <c r="D463" s="113" t="s">
        <v>137</v>
      </c>
      <c r="E463" s="111" t="s">
        <v>308</v>
      </c>
      <c r="F463" s="114">
        <f t="shared" si="119"/>
        <v>2</v>
      </c>
      <c r="G463" s="115" t="str">
        <f t="shared" si="120"/>
        <v>Josh</v>
      </c>
      <c r="H463" s="116">
        <f>IF($D463="",0,IFERROR(LOOKUP(2,1/(($D$3:D462=$D463)*($A$3:A462&lt;$A463)),$N$3:N462),'Guide &amp; Settings'!$C$41))</f>
        <v>1079.8513147600966</v>
      </c>
      <c r="I463" s="117">
        <f t="shared" si="121"/>
        <v>0.44444444444444448</v>
      </c>
      <c r="J463" s="118">
        <f>IF($D463="",0,IF($F463&lt;2,0,IF($E463="Win",('Guide &amp; Settings'!$C$42/(($F463-1)*COUNTIFS($A$4:$A$810,$A463,$E$4:$E$810,"Win")))*SUMIFS($X$4:$X$810,$A$4:$A$810,$A463,$E$4:$E$810,"Loss"),-('Guide &amp; Settings'!$C$42/($F463-1))*$X463)))</f>
        <v>18.973003759458241</v>
      </c>
      <c r="K463" s="118">
        <f>IF($D463="",0,'Guide &amp; Settings'!$C$43*(IF($E463="Win",1,0)-$I463))</f>
        <v>6.666666666666667</v>
      </c>
      <c r="L463" s="119">
        <f>IF($D463="",0,'Guide &amp; Settings'!$C$44*IF($F463&gt;=3,$F463,0))</f>
        <v>0</v>
      </c>
      <c r="M463" s="118">
        <f t="shared" si="122"/>
        <v>25.639670426124908</v>
      </c>
      <c r="N463" s="116">
        <f t="shared" si="123"/>
        <v>1105.4909851862215</v>
      </c>
      <c r="O463" s="115" t="str">
        <f t="shared" si="124"/>
        <v>OK</v>
      </c>
      <c r="P463">
        <f t="shared" si="125"/>
        <v>1079.8513147600966</v>
      </c>
      <c r="Q463">
        <f t="shared" si="126"/>
        <v>0.5</v>
      </c>
      <c r="R463">
        <f t="shared" si="127"/>
        <v>0.4</v>
      </c>
      <c r="S463">
        <f t="shared" si="128"/>
        <v>0.9</v>
      </c>
      <c r="T463" s="83">
        <f t="shared" si="129"/>
        <v>3</v>
      </c>
      <c r="U463" s="120">
        <f>IF($D463="",0,IFERROR(LOOKUP(2,1/(($D$3:D462=$D463)*($C$3:C462=$C463)*($A$3:A462&lt;$A463)),$AB$3:AB462),1000))</f>
        <v>991.23110249504407</v>
      </c>
      <c r="V463" s="120">
        <f t="shared" si="130"/>
        <v>1046.6187351607018</v>
      </c>
      <c r="W463">
        <f t="shared" si="131"/>
        <v>1046.6187351607018</v>
      </c>
      <c r="X463">
        <f t="shared" si="132"/>
        <v>0.5</v>
      </c>
      <c r="Y463">
        <f t="shared" si="133"/>
        <v>991.23110249504407</v>
      </c>
      <c r="Z463">
        <f t="shared" si="134"/>
        <v>0.5</v>
      </c>
      <c r="AA463">
        <f>IF($D463="",0,IF($F463&lt;2,0,IF($E463="Win",('Guide &amp; Settings'!$C$42/(($F463-1)*COUNTIFS($A$4:$A$810,$A463,$E$4:$E$810,"Win")))*SUMIFS($Z$4:$Z$810,$A$4:$A$810,$A463,$E$4:$E$810,"Loss"),-('Guide &amp; Settings'!$C$42/($F463-1))*$Z463)))</f>
        <v>16.439121388799482</v>
      </c>
      <c r="AB463" s="120">
        <f t="shared" si="135"/>
        <v>1007.6702238838435</v>
      </c>
      <c r="AC463" s="120">
        <f>IF($D463="","",IF(SUMPRODUCT(MAX(($D$4:$D$810=$D463)*($B$4:$B$810&lt;$B463)*$B$4:$B$810))=0,0,IF(($B463-MAX(SUMPRODUCT(MAX(($D$4:$D$810=$D463)*($B$4:$B$810&lt;$B463)*$B$4:$B$810)),'Guide &amp; Settings'!$C$50))/7-'Guide &amp; Settings'!$C$48&gt;=0,(INT(($B463-MAX(SUMPRODUCT(MAX(($D$4:$D$810=$D463)*($B$4:$B$810&lt;$B463)*$B$4:$B$810)),'Guide &amp; Settings'!$C$50))/7-'Guide &amp; Settings'!$C$48)+1)*'Guide &amp; Settings'!$C$49,0)))</f>
        <v>0</v>
      </c>
    </row>
    <row r="464" spans="1:29" x14ac:dyDescent="0.2">
      <c r="A464" s="111">
        <v>200</v>
      </c>
      <c r="B464" s="112">
        <v>46247</v>
      </c>
      <c r="C464" s="113" t="s">
        <v>199</v>
      </c>
      <c r="D464" s="113" t="s">
        <v>134</v>
      </c>
      <c r="E464" s="111" t="s">
        <v>309</v>
      </c>
      <c r="F464" s="114">
        <f t="shared" si="119"/>
        <v>2</v>
      </c>
      <c r="G464" s="115" t="str">
        <f t="shared" si="120"/>
        <v>Josh</v>
      </c>
      <c r="H464" s="116">
        <f>IF($D464="",0,IFERROR(LOOKUP(2,1/(($D$3:D463=$D464)*($A$3:A463&lt;$A464)),$N$3:N463),'Guide &amp; Settings'!$C$41))</f>
        <v>1130.7624105732891</v>
      </c>
      <c r="I464" s="117">
        <f t="shared" si="121"/>
        <v>9.6774193548387094E-2</v>
      </c>
      <c r="J464" s="118">
        <f>IF($D464="",0,IF($F464&lt;2,0,IF($E464="Win",('Guide &amp; Settings'!$C$42/(($F464-1)*COUNTIFS($A$4:$A$810,$A464,$E$4:$E$810,"Win")))*SUMIFS($X$4:$X$810,$A$4:$A$810,$A464,$E$4:$E$810,"Loss"),-('Guide &amp; Settings'!$C$42/($F464-1))*$X464)))</f>
        <v>-9.5776485408989664</v>
      </c>
      <c r="K464" s="118">
        <f>IF($D464="",0,'Guide &amp; Settings'!$C$43*(IF($E464="Win",1,0)-$I464))</f>
        <v>-1.161290322580645</v>
      </c>
      <c r="L464" s="119">
        <f>IF($D464="",0,'Guide &amp; Settings'!$C$44*IF($F464&gt;=3,$F464,0))</f>
        <v>0</v>
      </c>
      <c r="M464" s="118">
        <f t="shared" si="122"/>
        <v>-10.738938863479611</v>
      </c>
      <c r="N464" s="116">
        <f t="shared" si="123"/>
        <v>1120.0234717098094</v>
      </c>
      <c r="O464" s="115" t="str">
        <f t="shared" si="124"/>
        <v>OK</v>
      </c>
      <c r="P464">
        <f t="shared" si="125"/>
        <v>1105.4909851862215</v>
      </c>
      <c r="Q464">
        <f t="shared" si="126"/>
        <v>0.53630450210327663</v>
      </c>
      <c r="R464">
        <f t="shared" si="127"/>
        <v>7.1428571428571425E-2</v>
      </c>
      <c r="S464">
        <f t="shared" si="128"/>
        <v>0.73809523809523803</v>
      </c>
      <c r="T464" s="83">
        <f t="shared" si="129"/>
        <v>12</v>
      </c>
      <c r="U464" s="120">
        <f>IF($D464="",0,IFERROR(LOOKUP(2,1/(($D$3:D463=$D464)*($C$3:C463=$C464)*($A$3:A463&lt;$A464)),$AB$3:AB463),1000))</f>
        <v>863.17531320037415</v>
      </c>
      <c r="V464" s="120">
        <f t="shared" si="130"/>
        <v>941.87740066299625</v>
      </c>
      <c r="W464">
        <f t="shared" si="131"/>
        <v>1089.6463044238242</v>
      </c>
      <c r="X464">
        <f t="shared" si="132"/>
        <v>0.2993015169030927</v>
      </c>
      <c r="Y464">
        <f t="shared" si="133"/>
        <v>1010.4229006118373</v>
      </c>
      <c r="Z464">
        <f t="shared" si="134"/>
        <v>0.29993125281303051</v>
      </c>
      <c r="AA464">
        <f>IF($D464="",0,IF($F464&lt;2,0,IF($E464="Win",('Guide &amp; Settings'!$C$42/(($F464-1)*COUNTIFS($A$4:$A$810,$A464,$E$4:$E$810,"Win")))*SUMIFS($Z$4:$Z$810,$A$4:$A$810,$A464,$E$4:$E$810,"Loss"),-('Guide &amp; Settings'!$C$42/($F464-1))*$Z464)))</f>
        <v>-9.5978000900169764</v>
      </c>
      <c r="AB464" s="120">
        <f t="shared" si="135"/>
        <v>853.57751311035713</v>
      </c>
      <c r="AC464" s="120">
        <f>IF($D464="","",IF(SUMPRODUCT(MAX(($D$4:$D$810=$D464)*($B$4:$B$810&lt;$B464)*$B$4:$B$810))=0,0,IF(($B464-MAX(SUMPRODUCT(MAX(($D$4:$D$810=$D464)*($B$4:$B$810&lt;$B464)*$B$4:$B$810)),'Guide &amp; Settings'!$C$50))/7-'Guide &amp; Settings'!$C$48&gt;=0,(INT(($B464-MAX(SUMPRODUCT(MAX(($D$4:$D$810=$D464)*($B$4:$B$810&lt;$B464)*$B$4:$B$810)),'Guide &amp; Settings'!$C$50))/7-'Guide &amp; Settings'!$C$48)+1)*'Guide &amp; Settings'!$C$49,0)))</f>
        <v>0</v>
      </c>
    </row>
    <row r="465" spans="1:29" x14ac:dyDescent="0.2">
      <c r="A465" s="111">
        <v>200</v>
      </c>
      <c r="B465" s="112">
        <v>46247</v>
      </c>
      <c r="C465" s="113" t="s">
        <v>199</v>
      </c>
      <c r="D465" s="113" t="s">
        <v>137</v>
      </c>
      <c r="E465" s="111" t="s">
        <v>308</v>
      </c>
      <c r="F465" s="114">
        <f t="shared" si="119"/>
        <v>2</v>
      </c>
      <c r="G465" s="115" t="str">
        <f t="shared" si="120"/>
        <v>Josh</v>
      </c>
      <c r="H465" s="116">
        <f>IF($D465="",0,IFERROR(LOOKUP(2,1/(($D$3:D464=$D465)*($A$3:A464&lt;$A465)),$N$3:N464),'Guide &amp; Settings'!$C$41))</f>
        <v>1105.4909851862215</v>
      </c>
      <c r="I465" s="117">
        <f t="shared" si="121"/>
        <v>0.90322580645161299</v>
      </c>
      <c r="J465" s="118">
        <f>IF($D465="",0,IF($F465&lt;2,0,IF($E465="Win",('Guide &amp; Settings'!$C$42/(($F465-1)*COUNTIFS($A$4:$A$810,$A465,$E$4:$E$810,"Win")))*SUMIFS($X$4:$X$810,$A$4:$A$810,$A465,$E$4:$E$810,"Loss"),-('Guide &amp; Settings'!$C$42/($F465-1))*$X465)))</f>
        <v>9.5776485408989664</v>
      </c>
      <c r="K465" s="118">
        <f>IF($D465="",0,'Guide &amp; Settings'!$C$43*(IF($E465="Win",1,0)-$I465))</f>
        <v>1.1612903225806441</v>
      </c>
      <c r="L465" s="119">
        <f>IF($D465="",0,'Guide &amp; Settings'!$C$44*IF($F465&gt;=3,$F465,0))</f>
        <v>0</v>
      </c>
      <c r="M465" s="118">
        <f t="shared" si="122"/>
        <v>10.738938863479611</v>
      </c>
      <c r="N465" s="116">
        <f t="shared" si="123"/>
        <v>1116.2299240497011</v>
      </c>
      <c r="O465" s="115" t="str">
        <f t="shared" si="124"/>
        <v>OK</v>
      </c>
      <c r="P465">
        <f t="shared" si="125"/>
        <v>1105.4909851862215</v>
      </c>
      <c r="Q465">
        <f t="shared" si="126"/>
        <v>0.5</v>
      </c>
      <c r="R465">
        <f t="shared" si="127"/>
        <v>0.66666666666666663</v>
      </c>
      <c r="S465">
        <f t="shared" si="128"/>
        <v>0.73809523809523803</v>
      </c>
      <c r="T465" s="83">
        <f t="shared" si="129"/>
        <v>1</v>
      </c>
      <c r="U465" s="120">
        <f>IF($D465="",0,IFERROR(LOOKUP(2,1/(($D$3:D464=$D465)*($C$3:C464=$C465)*($A$3:A464&lt;$A465)),$AB$3:AB464),1000))</f>
        <v>1010.4229006118373</v>
      </c>
      <c r="V465" s="120">
        <f t="shared" si="130"/>
        <v>1089.6463044238242</v>
      </c>
      <c r="W465">
        <f t="shared" si="131"/>
        <v>1089.6463044238242</v>
      </c>
      <c r="X465">
        <f t="shared" si="132"/>
        <v>0.5</v>
      </c>
      <c r="Y465">
        <f t="shared" si="133"/>
        <v>1010.4229006118373</v>
      </c>
      <c r="Z465">
        <f t="shared" si="134"/>
        <v>0.5</v>
      </c>
      <c r="AA465">
        <f>IF($D465="",0,IF($F465&lt;2,0,IF($E465="Win",('Guide &amp; Settings'!$C$42/(($F465-1)*COUNTIFS($A$4:$A$810,$A465,$E$4:$E$810,"Win")))*SUMIFS($Z$4:$Z$810,$A$4:$A$810,$A465,$E$4:$E$810,"Loss"),-('Guide &amp; Settings'!$C$42/($F465-1))*$Z465)))</f>
        <v>9.5978000900169764</v>
      </c>
      <c r="AB465" s="120">
        <f t="shared" si="135"/>
        <v>1020.0207007018544</v>
      </c>
      <c r="AC465" s="120">
        <f>IF($D465="","",IF(SUMPRODUCT(MAX(($D$4:$D$810=$D465)*($B$4:$B$810&lt;$B465)*$B$4:$B$810))=0,0,IF(($B465-MAX(SUMPRODUCT(MAX(($D$4:$D$810=$D465)*($B$4:$B$810&lt;$B465)*$B$4:$B$810)),'Guide &amp; Settings'!$C$50))/7-'Guide &amp; Settings'!$C$48&gt;=0,(INT(($B465-MAX(SUMPRODUCT(MAX(($D$4:$D$810=$D465)*($B$4:$B$810&lt;$B465)*$B$4:$B$810)),'Guide &amp; Settings'!$C$50))/7-'Guide &amp; Settings'!$C$48)+1)*'Guide &amp; Settings'!$C$49,0)))</f>
        <v>0</v>
      </c>
    </row>
    <row r="466" spans="1:29" x14ac:dyDescent="0.2">
      <c r="A466" s="111">
        <v>201</v>
      </c>
      <c r="B466" s="112">
        <v>46247</v>
      </c>
      <c r="C466" s="113" t="s">
        <v>199</v>
      </c>
      <c r="D466" s="113" t="s">
        <v>134</v>
      </c>
      <c r="E466" s="111" t="s">
        <v>309</v>
      </c>
      <c r="F466" s="114">
        <f t="shared" si="119"/>
        <v>2</v>
      </c>
      <c r="G466" s="115" t="str">
        <f t="shared" si="120"/>
        <v>Josh</v>
      </c>
      <c r="H466" s="116">
        <f>IF($D466="",0,IFERROR(LOOKUP(2,1/(($D$3:D465=$D466)*($A$3:A465&lt;$A466)),$N$3:N465),'Guide &amp; Settings'!$C$41))</f>
        <v>1120.0234717098094</v>
      </c>
      <c r="I466" s="117">
        <f t="shared" si="121"/>
        <v>8.1632653061224483E-2</v>
      </c>
      <c r="J466" s="118">
        <f>IF($D466="",0,IF($F466&lt;2,0,IF($E466="Win",('Guide &amp; Settings'!$C$42/(($F466-1)*COUNTIFS($A$4:$A$810,$A466,$E$4:$E$810,"Win")))*SUMIFS($X$4:$X$810,$A$4:$A$810,$A466,$E$4:$E$810,"Loss"),-('Guide &amp; Settings'!$C$42/($F466-1))*$X466)))</f>
        <v>-9.0687808475902436</v>
      </c>
      <c r="K466" s="118">
        <f>IF($D466="",0,'Guide &amp; Settings'!$C$43*(IF($E466="Win",1,0)-$I466))</f>
        <v>-0.97959183673469385</v>
      </c>
      <c r="L466" s="119">
        <f>IF($D466="",0,'Guide &amp; Settings'!$C$44*IF($F466&gt;=3,$F466,0))</f>
        <v>0</v>
      </c>
      <c r="M466" s="118">
        <f t="shared" si="122"/>
        <v>-10.048372684324937</v>
      </c>
      <c r="N466" s="116">
        <f t="shared" si="123"/>
        <v>1109.9750990254845</v>
      </c>
      <c r="O466" s="115" t="str">
        <f t="shared" si="124"/>
        <v>OK</v>
      </c>
      <c r="P466">
        <f t="shared" si="125"/>
        <v>1116.2299240497011</v>
      </c>
      <c r="Q466">
        <f t="shared" si="126"/>
        <v>0.50545913699125922</v>
      </c>
      <c r="R466">
        <f t="shared" si="127"/>
        <v>6.6666666666666666E-2</v>
      </c>
      <c r="S466">
        <f t="shared" si="128"/>
        <v>0.81666666666666665</v>
      </c>
      <c r="T466" s="83">
        <f t="shared" si="129"/>
        <v>13</v>
      </c>
      <c r="U466" s="120">
        <f>IF($D466="",0,IFERROR(LOOKUP(2,1/(($D$3:D465=$D466)*($C$3:C465=$C466)*($A$3:A465&lt;$A466)),$AB$3:AB465),1000))</f>
        <v>853.57751311035713</v>
      </c>
      <c r="V466" s="120">
        <f t="shared" si="130"/>
        <v>927.59027938798272</v>
      </c>
      <c r="W466">
        <f t="shared" si="131"/>
        <v>1088.741574521745</v>
      </c>
      <c r="X466">
        <f t="shared" si="132"/>
        <v>0.28339940148719511</v>
      </c>
      <c r="Y466">
        <f t="shared" si="133"/>
        <v>1020.0207007018544</v>
      </c>
      <c r="Z466">
        <f t="shared" si="134"/>
        <v>0.27725395721376628</v>
      </c>
      <c r="AA466">
        <f>IF($D466="",0,IF($F466&lt;2,0,IF($E466="Win",('Guide &amp; Settings'!$C$42/(($F466-1)*COUNTIFS($A$4:$A$810,$A466,$E$4:$E$810,"Win")))*SUMIFS($Z$4:$Z$810,$A$4:$A$810,$A466,$E$4:$E$810,"Loss"),-('Guide &amp; Settings'!$C$42/($F466-1))*$Z466)))</f>
        <v>-8.8721266308405209</v>
      </c>
      <c r="AB466" s="120">
        <f t="shared" si="135"/>
        <v>844.70538647951662</v>
      </c>
      <c r="AC466" s="120">
        <f>IF($D466="","",IF(SUMPRODUCT(MAX(($D$4:$D$810=$D466)*($B$4:$B$810&lt;$B466)*$B$4:$B$810))=0,0,IF(($B466-MAX(SUMPRODUCT(MAX(($D$4:$D$810=$D466)*($B$4:$B$810&lt;$B466)*$B$4:$B$810)),'Guide &amp; Settings'!$C$50))/7-'Guide &amp; Settings'!$C$48&gt;=0,(INT(($B466-MAX(SUMPRODUCT(MAX(($D$4:$D$810=$D466)*($B$4:$B$810&lt;$B466)*$B$4:$B$810)),'Guide &amp; Settings'!$C$50))/7-'Guide &amp; Settings'!$C$48)+1)*'Guide &amp; Settings'!$C$49,0)))</f>
        <v>0</v>
      </c>
    </row>
    <row r="467" spans="1:29" x14ac:dyDescent="0.2">
      <c r="A467" s="111">
        <v>201</v>
      </c>
      <c r="B467" s="112">
        <v>46247</v>
      </c>
      <c r="C467" s="113" t="s">
        <v>199</v>
      </c>
      <c r="D467" s="113" t="s">
        <v>137</v>
      </c>
      <c r="E467" s="111" t="s">
        <v>308</v>
      </c>
      <c r="F467" s="114">
        <f t="shared" si="119"/>
        <v>2</v>
      </c>
      <c r="G467" s="115" t="str">
        <f t="shared" si="120"/>
        <v>Josh</v>
      </c>
      <c r="H467" s="116">
        <f>IF($D467="",0,IFERROR(LOOKUP(2,1/(($D$3:D466=$D467)*($A$3:A466&lt;$A467)),$N$3:N466),'Guide &amp; Settings'!$C$41))</f>
        <v>1116.2299240497011</v>
      </c>
      <c r="I467" s="117">
        <f t="shared" si="121"/>
        <v>0.91836734693877553</v>
      </c>
      <c r="J467" s="118">
        <f>IF($D467="",0,IF($F467&lt;2,0,IF($E467="Win",('Guide &amp; Settings'!$C$42/(($F467-1)*COUNTIFS($A$4:$A$810,$A467,$E$4:$E$810,"Win")))*SUMIFS($X$4:$X$810,$A$4:$A$810,$A467,$E$4:$E$810,"Loss"),-('Guide &amp; Settings'!$C$42/($F467-1))*$X467)))</f>
        <v>9.0687808475902436</v>
      </c>
      <c r="K467" s="118">
        <f>IF($D467="",0,'Guide &amp; Settings'!$C$43*(IF($E467="Win",1,0)-$I467))</f>
        <v>0.97959183673469363</v>
      </c>
      <c r="L467" s="119">
        <f>IF($D467="",0,'Guide &amp; Settings'!$C$44*IF($F467&gt;=3,$F467,0))</f>
        <v>0</v>
      </c>
      <c r="M467" s="118">
        <f t="shared" si="122"/>
        <v>10.048372684324937</v>
      </c>
      <c r="N467" s="116">
        <f t="shared" si="123"/>
        <v>1126.2782967340261</v>
      </c>
      <c r="O467" s="115" t="str">
        <f t="shared" si="124"/>
        <v>OK</v>
      </c>
      <c r="P467">
        <f t="shared" si="125"/>
        <v>1116.2299240497011</v>
      </c>
      <c r="Q467">
        <f t="shared" si="126"/>
        <v>0.5</v>
      </c>
      <c r="R467">
        <f t="shared" si="127"/>
        <v>0.75</v>
      </c>
      <c r="S467">
        <f t="shared" si="128"/>
        <v>0.81666666666666665</v>
      </c>
      <c r="T467" s="83">
        <f t="shared" si="129"/>
        <v>2</v>
      </c>
      <c r="U467" s="120">
        <f>IF($D467="",0,IFERROR(LOOKUP(2,1/(($D$3:D466=$D467)*($C$3:C466=$C467)*($A$3:A466&lt;$A467)),$AB$3:AB466),1000))</f>
        <v>1020.0207007018544</v>
      </c>
      <c r="V467" s="120">
        <f t="shared" si="130"/>
        <v>1088.741574521745</v>
      </c>
      <c r="W467">
        <f t="shared" si="131"/>
        <v>1088.741574521745</v>
      </c>
      <c r="X467">
        <f t="shared" si="132"/>
        <v>0.5</v>
      </c>
      <c r="Y467">
        <f t="shared" si="133"/>
        <v>1020.0207007018544</v>
      </c>
      <c r="Z467">
        <f t="shared" si="134"/>
        <v>0.5</v>
      </c>
      <c r="AA467">
        <f>IF($D467="",0,IF($F467&lt;2,0,IF($E467="Win",('Guide &amp; Settings'!$C$42/(($F467-1)*COUNTIFS($A$4:$A$810,$A467,$E$4:$E$810,"Win")))*SUMIFS($Z$4:$Z$810,$A$4:$A$810,$A467,$E$4:$E$810,"Loss"),-('Guide &amp; Settings'!$C$42/($F467-1))*$Z467)))</f>
        <v>8.8721266308405209</v>
      </c>
      <c r="AB467" s="120">
        <f t="shared" si="135"/>
        <v>1028.8928273326949</v>
      </c>
      <c r="AC467" s="120">
        <f>IF($D467="","",IF(SUMPRODUCT(MAX(($D$4:$D$810=$D467)*($B$4:$B$810&lt;$B467)*$B$4:$B$810))=0,0,IF(($B467-MAX(SUMPRODUCT(MAX(($D$4:$D$810=$D467)*($B$4:$B$810&lt;$B467)*$B$4:$B$810)),'Guide &amp; Settings'!$C$50))/7-'Guide &amp; Settings'!$C$48&gt;=0,(INT(($B467-MAX(SUMPRODUCT(MAX(($D$4:$D$810=$D467)*($B$4:$B$810&lt;$B467)*$B$4:$B$810)),'Guide &amp; Settings'!$C$50))/7-'Guide &amp; Settings'!$C$48)+1)*'Guide &amp; Settings'!$C$49,0)))</f>
        <v>0</v>
      </c>
    </row>
    <row r="468" spans="1:29" x14ac:dyDescent="0.2">
      <c r="A468" s="111">
        <v>202</v>
      </c>
      <c r="B468" s="112">
        <v>46247</v>
      </c>
      <c r="C468" s="113" t="s">
        <v>181</v>
      </c>
      <c r="D468" s="113" t="s">
        <v>134</v>
      </c>
      <c r="E468" s="111" t="s">
        <v>308</v>
      </c>
      <c r="F468" s="114">
        <f t="shared" si="119"/>
        <v>2</v>
      </c>
      <c r="G468" s="115" t="str">
        <f t="shared" si="120"/>
        <v>Shawn</v>
      </c>
      <c r="H468" s="116">
        <f>IF($D468="",0,IFERROR(LOOKUP(2,1/(($D$3:D467=$D468)*($A$3:A467&lt;$A468)),$N$3:N467),'Guide &amp; Settings'!$C$41))</f>
        <v>1109.9750990254845</v>
      </c>
      <c r="I468" s="117">
        <f t="shared" si="121"/>
        <v>0.8</v>
      </c>
      <c r="J468" s="118">
        <f>IF($D468="",0,IF($F468&lt;2,0,IF($E468="Win",('Guide &amp; Settings'!$C$42/(($F468-1)*COUNTIFS($A$4:$A$810,$A468,$E$4:$E$810,"Win")))*SUMIFS($X$4:$X$810,$A$4:$A$810,$A468,$E$4:$E$810,"Loss"),-('Guide &amp; Settings'!$C$42/($F468-1))*$X468)))</f>
        <v>15.766856184255511</v>
      </c>
      <c r="K468" s="118">
        <f>IF($D468="",0,'Guide &amp; Settings'!$C$43*(IF($E468="Win",1,0)-$I468))</f>
        <v>2.3999999999999995</v>
      </c>
      <c r="L468" s="119">
        <f>IF($D468="",0,'Guide &amp; Settings'!$C$44*IF($F468&gt;=3,$F468,0))</f>
        <v>0</v>
      </c>
      <c r="M468" s="118">
        <f t="shared" si="122"/>
        <v>18.166856184255511</v>
      </c>
      <c r="N468" s="116">
        <f t="shared" si="123"/>
        <v>1128.14195520974</v>
      </c>
      <c r="O468" s="115" t="str">
        <f t="shared" si="124"/>
        <v>OK</v>
      </c>
      <c r="P468">
        <f t="shared" si="125"/>
        <v>1109.9750990254845</v>
      </c>
      <c r="Q468">
        <f t="shared" si="126"/>
        <v>0.5</v>
      </c>
      <c r="R468">
        <f t="shared" si="127"/>
        <v>0.8</v>
      </c>
      <c r="S468">
        <f t="shared" si="128"/>
        <v>1</v>
      </c>
      <c r="T468" s="83">
        <f t="shared" si="129"/>
        <v>3</v>
      </c>
      <c r="U468" s="120">
        <f>IF($D468="",0,IFERROR(LOOKUP(2,1/(($D$3:D467=$D468)*($C$3:C467=$C468)*($A$3:A467&lt;$A468)),$AB$3:AB467),1000))</f>
        <v>1043.7471336336109</v>
      </c>
      <c r="V468" s="120">
        <f t="shared" si="130"/>
        <v>1085.139612003532</v>
      </c>
      <c r="W468">
        <f t="shared" si="131"/>
        <v>1085.139612003532</v>
      </c>
      <c r="X468">
        <f t="shared" si="132"/>
        <v>0.5</v>
      </c>
      <c r="Y468">
        <f t="shared" si="133"/>
        <v>1043.7471336336109</v>
      </c>
      <c r="Z468">
        <f t="shared" si="134"/>
        <v>0.5</v>
      </c>
      <c r="AA468">
        <f>IF($D468="",0,IF($F468&lt;2,0,IF($E468="Win",('Guide &amp; Settings'!$C$42/(($F468-1)*COUNTIFS($A$4:$A$810,$A468,$E$4:$E$810,"Win")))*SUMIFS($Z$4:$Z$810,$A$4:$A$810,$A468,$E$4:$E$810,"Loss"),-('Guide &amp; Settings'!$C$42/($F468-1))*$Z468)))</f>
        <v>12.05380899538682</v>
      </c>
      <c r="AB468" s="120">
        <f t="shared" si="135"/>
        <v>1055.8009426289977</v>
      </c>
      <c r="AC468" s="120">
        <f>IF($D468="","",IF(SUMPRODUCT(MAX(($D$4:$D$810=$D468)*($B$4:$B$810&lt;$B468)*$B$4:$B$810))=0,0,IF(($B468-MAX(SUMPRODUCT(MAX(($D$4:$D$810=$D468)*($B$4:$B$810&lt;$B468)*$B$4:$B$810)),'Guide &amp; Settings'!$C$50))/7-'Guide &amp; Settings'!$C$48&gt;=0,(INT(($B468-MAX(SUMPRODUCT(MAX(($D$4:$D$810=$D468)*($B$4:$B$810&lt;$B468)*$B$4:$B$810)),'Guide &amp; Settings'!$C$50))/7-'Guide &amp; Settings'!$C$48)+1)*'Guide &amp; Settings'!$C$49,0)))</f>
        <v>0</v>
      </c>
    </row>
    <row r="469" spans="1:29" x14ac:dyDescent="0.2">
      <c r="A469" s="111">
        <v>202</v>
      </c>
      <c r="B469" s="112">
        <v>46247</v>
      </c>
      <c r="C469" s="113" t="s">
        <v>181</v>
      </c>
      <c r="D469" s="113" t="s">
        <v>170</v>
      </c>
      <c r="E469" s="111" t="s">
        <v>309</v>
      </c>
      <c r="F469" s="114">
        <f t="shared" si="119"/>
        <v>2</v>
      </c>
      <c r="G469" s="115" t="str">
        <f t="shared" si="120"/>
        <v>Shawn</v>
      </c>
      <c r="H469" s="116">
        <f>IF($D469="",0,IFERROR(LOOKUP(2,1/(($D$3:D468=$D469)*($A$3:A468&lt;$A469)),$N$3:N468),'Guide &amp; Settings'!$C$41))</f>
        <v>1154.3708401956087</v>
      </c>
      <c r="I469" s="117">
        <f t="shared" si="121"/>
        <v>0.2</v>
      </c>
      <c r="J469" s="118">
        <f>IF($D469="",0,IF($F469&lt;2,0,IF($E469="Win",('Guide &amp; Settings'!$C$42/(($F469-1)*COUNTIFS($A$4:$A$810,$A469,$E$4:$E$810,"Win")))*SUMIFS($X$4:$X$810,$A$4:$A$810,$A469,$E$4:$E$810,"Loss"),-('Guide &amp; Settings'!$C$42/($F469-1))*$X469)))</f>
        <v>-15.766856184255511</v>
      </c>
      <c r="K469" s="118">
        <f>IF($D469="",0,'Guide &amp; Settings'!$C$43*(IF($E469="Win",1,0)-$I469))</f>
        <v>-2.4000000000000004</v>
      </c>
      <c r="L469" s="119">
        <f>IF($D469="",0,'Guide &amp; Settings'!$C$44*IF($F469&gt;=3,$F469,0))</f>
        <v>0</v>
      </c>
      <c r="M469" s="118">
        <f t="shared" si="122"/>
        <v>-18.166856184255511</v>
      </c>
      <c r="N469" s="116">
        <f t="shared" si="123"/>
        <v>1136.2039840113532</v>
      </c>
      <c r="O469" s="115" t="str">
        <f t="shared" si="124"/>
        <v>OK</v>
      </c>
      <c r="P469">
        <f t="shared" si="125"/>
        <v>1109.9750990254845</v>
      </c>
      <c r="Q469">
        <f t="shared" si="126"/>
        <v>0.5635451275035368</v>
      </c>
      <c r="R469">
        <f t="shared" si="127"/>
        <v>0.2</v>
      </c>
      <c r="S469">
        <f t="shared" si="128"/>
        <v>1</v>
      </c>
      <c r="T469" s="83">
        <f t="shared" si="129"/>
        <v>3</v>
      </c>
      <c r="U469" s="120">
        <f>IF($D469="",0,IFERROR(LOOKUP(2,1/(($D$3:D468=$D469)*($C$3:C468=$C469)*($A$3:A468&lt;$A469)),$AB$3:AB468),1000))</f>
        <v>956.25286636638907</v>
      </c>
      <c r="V469" s="120">
        <f t="shared" si="130"/>
        <v>1080.0766000096514</v>
      </c>
      <c r="W469">
        <f t="shared" si="131"/>
        <v>1085.139612003532</v>
      </c>
      <c r="X469">
        <f t="shared" si="132"/>
        <v>0.49271425575798472</v>
      </c>
      <c r="Y469">
        <f t="shared" si="133"/>
        <v>1043.7471336336109</v>
      </c>
      <c r="Z469">
        <f t="shared" si="134"/>
        <v>0.37668153110583813</v>
      </c>
      <c r="AA469">
        <f>IF($D469="",0,IF($F469&lt;2,0,IF($E469="Win",('Guide &amp; Settings'!$C$42/(($F469-1)*COUNTIFS($A$4:$A$810,$A469,$E$4:$E$810,"Win")))*SUMIFS($Z$4:$Z$810,$A$4:$A$810,$A469,$E$4:$E$810,"Loss"),-('Guide &amp; Settings'!$C$42/($F469-1))*$Z469)))</f>
        <v>-12.05380899538682</v>
      </c>
      <c r="AB469" s="120">
        <f t="shared" si="135"/>
        <v>944.19905737100225</v>
      </c>
      <c r="AC469" s="120">
        <f>IF($D469="","",IF(SUMPRODUCT(MAX(($D$4:$D$810=$D469)*($B$4:$B$810&lt;$B469)*$B$4:$B$810))=0,0,IF(($B469-MAX(SUMPRODUCT(MAX(($D$4:$D$810=$D469)*($B$4:$B$810&lt;$B469)*$B$4:$B$810)),'Guide &amp; Settings'!$C$50))/7-'Guide &amp; Settings'!$C$48&gt;=0,(INT(($B469-MAX(SUMPRODUCT(MAX(($D$4:$D$810=$D469)*($B$4:$B$810&lt;$B469)*$B$4:$B$810)),'Guide &amp; Settings'!$C$50))/7-'Guide &amp; Settings'!$C$48)+1)*'Guide &amp; Settings'!$C$49,0)))</f>
        <v>0</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A18" sqref="A18:XFD22"/>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A18" t="s">
        <v>451</v>
      </c>
      <c r="B18" s="112">
        <v>46229</v>
      </c>
      <c r="C18" t="s">
        <v>134</v>
      </c>
      <c r="D18">
        <v>2</v>
      </c>
      <c r="E18" t="s">
        <v>452</v>
      </c>
      <c r="F18">
        <f t="shared" ref="F18:F49" si="0">IF($A18="","",COUNTIF($A$18:$A$137,$A18))</f>
        <v>5</v>
      </c>
      <c r="G18">
        <f t="shared" ref="G18:G49" si="1">IF($A18="","",$B$4*(1+IF(UPPER($E18)="Y",1,0)))</f>
        <v>30</v>
      </c>
      <c r="H18">
        <f t="shared" ref="H18:H49" si="2">IF($A18="","",SUMIF($A$18:$A$137,$A18,$G$18:$G$137))</f>
        <v>105</v>
      </c>
      <c r="I18">
        <f t="shared" ref="I18:I49" si="3">IF($A18="","",IF($F18&lt;$B$6,0,IFERROR(INDEX($E$5:$K$14,$D18,$F18-3),0)))</f>
        <v>25</v>
      </c>
      <c r="J18" s="120">
        <f t="shared" ref="J18:J49" si="4">IF($A18="","",$H18*$I18/100)</f>
        <v>26.25</v>
      </c>
      <c r="K18" s="120">
        <f t="shared" ref="K18:K49" si="5">IF($A18="","",IF($F18&lt;$B$6,0,$J18-$G18))</f>
        <v>-3.75</v>
      </c>
      <c r="L18" t="str">
        <f t="shared" ref="L18:L49" si="6">IF($A18="","",IF($F18&lt;$B$6,"NEED 4+ PLAYERS",IF($F18&gt;$B$7,"MAX 10 PLAYERS",IF($D18="","ADD FINISH",IF(COUNTIFS($A$18:$A$137,$A18,$D$18:$D$137,$D18)&gt;1,"DUPLICATE FINISH",IF(OR($D18&lt;1,$D18&gt;$F18),"BAD FINISH",IF(ABS(SUMIF($A$18:$A$137,$A18,$K$18:$K$137))&gt;0.6,"POT LEAK","OK")))))))</f>
        <v>OK</v>
      </c>
      <c r="N18" t="str">
        <f>Lists!$A2</f>
        <v>Aaron</v>
      </c>
      <c r="O18" s="120">
        <f t="shared" ref="O18:O31" si="7">ROUND(SUMIF($C$18:$C$137,$N18,$K$18:$K$137),1)</f>
        <v>-11.1</v>
      </c>
    </row>
    <row r="19" spans="1:15" x14ac:dyDescent="0.2">
      <c r="A19" t="s">
        <v>451</v>
      </c>
      <c r="B19" s="112">
        <v>46229</v>
      </c>
      <c r="C19" t="s">
        <v>138</v>
      </c>
      <c r="D19">
        <v>3</v>
      </c>
      <c r="E19" t="s">
        <v>452</v>
      </c>
      <c r="F19">
        <f t="shared" si="0"/>
        <v>5</v>
      </c>
      <c r="G19">
        <f t="shared" si="1"/>
        <v>30</v>
      </c>
      <c r="H19">
        <f t="shared" si="2"/>
        <v>105</v>
      </c>
      <c r="I19">
        <f t="shared" si="3"/>
        <v>18</v>
      </c>
      <c r="J19" s="120">
        <f t="shared" si="4"/>
        <v>18.899999999999999</v>
      </c>
      <c r="K19" s="120">
        <f t="shared" si="5"/>
        <v>-11.100000000000001</v>
      </c>
      <c r="L19" t="str">
        <f t="shared" si="6"/>
        <v>OK</v>
      </c>
      <c r="N19" t="str">
        <f>Lists!$A3</f>
        <v>Beau</v>
      </c>
      <c r="O19" s="120">
        <f t="shared" si="7"/>
        <v>0</v>
      </c>
    </row>
    <row r="20" spans="1:15" x14ac:dyDescent="0.2">
      <c r="A20" t="s">
        <v>451</v>
      </c>
      <c r="B20" s="112">
        <v>46229</v>
      </c>
      <c r="C20" t="s">
        <v>170</v>
      </c>
      <c r="D20">
        <v>4</v>
      </c>
      <c r="E20" t="s">
        <v>453</v>
      </c>
      <c r="F20">
        <f t="shared" si="0"/>
        <v>5</v>
      </c>
      <c r="G20">
        <f t="shared" si="1"/>
        <v>15</v>
      </c>
      <c r="H20">
        <f t="shared" si="2"/>
        <v>105</v>
      </c>
      <c r="I20">
        <f t="shared" si="3"/>
        <v>13</v>
      </c>
      <c r="J20" s="120">
        <f t="shared" si="4"/>
        <v>13.65</v>
      </c>
      <c r="K20" s="120">
        <f t="shared" si="5"/>
        <v>-1.3499999999999996</v>
      </c>
      <c r="L20" t="str">
        <f t="shared" si="6"/>
        <v>OK</v>
      </c>
      <c r="N20" t="str">
        <f>Lists!$A4</f>
        <v>Chase</v>
      </c>
      <c r="O20" s="120">
        <f t="shared" si="7"/>
        <v>0</v>
      </c>
    </row>
    <row r="21" spans="1:15" x14ac:dyDescent="0.2">
      <c r="A21" t="s">
        <v>451</v>
      </c>
      <c r="B21" s="112">
        <v>46229</v>
      </c>
      <c r="C21" t="s">
        <v>168</v>
      </c>
      <c r="D21">
        <v>5</v>
      </c>
      <c r="E21" t="s">
        <v>453</v>
      </c>
      <c r="F21">
        <f t="shared" si="0"/>
        <v>5</v>
      </c>
      <c r="G21">
        <f t="shared" si="1"/>
        <v>15</v>
      </c>
      <c r="H21">
        <f t="shared" si="2"/>
        <v>105</v>
      </c>
      <c r="I21">
        <f t="shared" si="3"/>
        <v>9</v>
      </c>
      <c r="J21" s="120">
        <f t="shared" si="4"/>
        <v>9.4499999999999993</v>
      </c>
      <c r="K21" s="120">
        <f t="shared" si="5"/>
        <v>-5.5500000000000007</v>
      </c>
      <c r="L21" t="str">
        <f t="shared" si="6"/>
        <v>OK</v>
      </c>
      <c r="N21" t="str">
        <f>Lists!$A5</f>
        <v>David</v>
      </c>
      <c r="O21" s="120">
        <f t="shared" si="7"/>
        <v>0</v>
      </c>
    </row>
    <row r="22" spans="1:15" x14ac:dyDescent="0.2">
      <c r="A22" t="s">
        <v>451</v>
      </c>
      <c r="B22" s="112">
        <v>46229</v>
      </c>
      <c r="C22" t="s">
        <v>137</v>
      </c>
      <c r="D22">
        <v>1</v>
      </c>
      <c r="E22" t="s">
        <v>453</v>
      </c>
      <c r="F22">
        <f t="shared" si="0"/>
        <v>5</v>
      </c>
      <c r="G22">
        <f t="shared" si="1"/>
        <v>15</v>
      </c>
      <c r="H22">
        <f t="shared" si="2"/>
        <v>105</v>
      </c>
      <c r="I22">
        <f t="shared" si="3"/>
        <v>35</v>
      </c>
      <c r="J22" s="120">
        <f t="shared" si="4"/>
        <v>36.75</v>
      </c>
      <c r="K22" s="120">
        <f t="shared" si="5"/>
        <v>21.75</v>
      </c>
      <c r="L22" t="str">
        <f t="shared" si="6"/>
        <v>OK</v>
      </c>
      <c r="N22" t="str">
        <f>Lists!$A6</f>
        <v>Josh</v>
      </c>
      <c r="O22" s="120">
        <f t="shared" si="7"/>
        <v>21.8</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-3.8</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-5.6</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-1.4</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46240</v>
      </c>
    </row>
    <row r="4" spans="1:35" ht="15" customHeight="1" x14ac:dyDescent="0.2">
      <c r="A4" t="s">
        <v>330</v>
      </c>
      <c r="B4" s="127">
        <f>MAX('Match Log'!$B$4:$B$810)</f>
        <v>46247</v>
      </c>
      <c r="C4" t="s">
        <v>450</v>
      </c>
      <c r="D4" s="127">
        <f ca="1">MAX($B$4,TODAY())</f>
        <v>46247</v>
      </c>
    </row>
    <row r="5" spans="1:35" x14ac:dyDescent="0.2">
      <c r="B5">
        <f ca="1">TODAY()-7</f>
        <v>46240</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1009.8261046694705</v>
      </c>
      <c r="C7">
        <f>IFERROR(INDEX(Engine!$C$2:$C$15,MATCH($A7,Engine!$A$2:$A$15,0)),"")</f>
        <v>1096.4147780018343</v>
      </c>
      <c r="D7">
        <f t="shared" ref="D7:D20" si="0">RANK($B7,$B$7:$B$20)</f>
        <v>11</v>
      </c>
      <c r="E7">
        <f t="shared" ref="E7:E20" si="1">MAX($B$7:$B$20)-$B7</f>
        <v>231.87683165558281</v>
      </c>
      <c r="F7" t="str">
        <f>IFERROR(LOOKUP(2,1/('Match Log'!$D$4:$D$810=$A7),'Match Log'!$E$4:$E$810),"")</f>
        <v>Loss</v>
      </c>
      <c r="G7">
        <f>IF($F7="",0,SUMPRODUCT(('Match Log'!$D$4:$D$810=$A7)*(ROW('Match Log'!$A$4:$A$810)&gt;SUMPRODUCT(MAX(('Match Log'!$D$4:$D$810=$A7)*('Match Log'!$E$4:$E$810&lt;&gt;$F7)*ROW('Match Log'!$A$4:$A$810))))))</f>
        <v>1</v>
      </c>
      <c r="H7" t="str">
        <f t="shared" ref="H7:H20" si="2">IF($G7=0,"",LEFT($F7,1)&amp;$G7)</f>
        <v>L1</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WLLWL</v>
      </c>
      <c r="J7">
        <f>IFERROR(LOOKUP(2,1/(('Match Log'!$D$4:$D$810=$A7)*('Match Log'!$B$4:$B$810&lt;=$B$3)),'Match Log'!$N$4:$N$810),1000)</f>
        <v>1009.8261046694705</v>
      </c>
      <c r="K7">
        <f t="shared" ref="K7:K20" si="3">RANK($J7,$J$7:$J$20)</f>
        <v>11</v>
      </c>
      <c r="L7">
        <f t="shared" ref="L7:L20" si="4">$K7-$D7</f>
        <v>0</v>
      </c>
      <c r="M7">
        <f t="shared" ref="M7:M20" si="5">SUMPRODUCT(($D$25:$D$444=$A7)*($G$25:$G$444&gt;0.25)*($D$25:$D$444&lt;&gt;""))</f>
        <v>6</v>
      </c>
      <c r="N7">
        <f t="shared" ref="N7:N20" si="6">LEN($I7)-LEN(SUBSTITUTE($I7,"W",""))</f>
        <v>2</v>
      </c>
      <c r="O7">
        <f t="shared" ref="O7:O20" si="7">IF($F7="Win",$G7,0)</f>
        <v>0</v>
      </c>
      <c r="P7">
        <f>IFERROR(SUMPRODUCT(MAX(('Match Log'!$D$4:$D$810=$A7)*'Match Log'!$B$4:$B$810)),0)</f>
        <v>46229</v>
      </c>
      <c r="Q7">
        <f t="shared" ref="Q7:Q20" ca="1" si="8">IF($P7=0,"",($D$4-$P7)/7)</f>
        <v>2.5714285714285716</v>
      </c>
      <c r="R7">
        <f ca="1">IF($P7=0,0,IF($Q7&gt;='Guide &amp; Settings'!$C$48,(INT($Q7-'Guide &amp; Settings'!$C$48)+1)*'Guide &amp; Settings'!$C$49,0))</f>
        <v>0</v>
      </c>
      <c r="S7">
        <f ca="1">$B7-$R7-$U7+SUMIF('Poker Stake Ledger'!$C$18:$C$137,$A7,'Poker Stake Ledger'!$K$18:$K$137)</f>
        <v>998.72610466947049</v>
      </c>
      <c r="T7" t="str">
        <f ca="1">IF($P7=0,"No games",IF($Q7&gt;='Guide &amp; Settings'!$C$48,"Inactive",IF($Q7&gt;='Guide &amp; Settings'!$C$47,"At risk","Active")))</f>
        <v>At risk</v>
      </c>
      <c r="U7">
        <f>SUMIF('Match Log'!$D$4:$D$810,$A7,'Match Log'!$AC$4:$AC$810)</f>
        <v>0</v>
      </c>
      <c r="V7">
        <f t="shared" ref="V7:V20" si="9">IF($F7="Loss",$G7,0)</f>
        <v>1</v>
      </c>
      <c r="W7">
        <f t="shared" ref="W7:W20" ca="1" si="10">MAX(0,MIN(100,50+($S7-1000)/4))</f>
        <v>49.681526167367622</v>
      </c>
      <c r="X7">
        <f ca="1">IFERROR(INDEX(Dashboard!$G$5:$G$18,MATCH($A7,Dashboard!$B$5:$B$18,0))*100,0)</f>
        <v>48.148148148148145</v>
      </c>
      <c r="Y7">
        <f ca="1">MIN(100,IFERROR(INDEX(Dashboard!$K$5:$K$18,MATCH($A7,Dashboard!$B$5:$B$18,0)),0)/5*50+$AC7/4*50)</f>
        <v>100</v>
      </c>
      <c r="Z7">
        <f t="shared" ref="Z7:Z20" si="11">IFERROR($N7/LEN($I7)*100,0)</f>
        <v>40</v>
      </c>
      <c r="AA7">
        <f t="shared" ref="AA7:AA20" si="12">IF($C7="",0,MAX(0,MIN(100,50+($C7-1000)/4)))</f>
        <v>74.103694500458573</v>
      </c>
      <c r="AB7">
        <f t="shared" ref="AB7:AB20" ca="1" si="13">0.35*$W7+0.2*$X7+0.2*$Y7+0.15*$Z7+0.1*$AA7</f>
        <v>60.428533238254154</v>
      </c>
      <c r="AC7">
        <f>IFERROR(SUMPRODUCT((INDEX('Sport Records'!$B$8:$O$26,0,MATCH($A7,'Sport Records'!$B$7:$O$7,0))&gt;=2)*(INDEX('Sport Records'!$B$58:$O$76,0,MATCH($A7,'Sport Records'!$B$57:$O$57,0))&gt;=0.5)),0)</f>
        <v>4</v>
      </c>
      <c r="AD7">
        <f ca="1">IFERROR(INDEX(Dashboard!$D$5:$D$18,MATCH($A7,Dashboard!$B$5:$B$18,0)),0)</f>
        <v>54</v>
      </c>
      <c r="AE7">
        <f ca="1">IFERROR(INDEX(Dashboard!$K$5:$K$18,MATCH($A7,Dashboard!$B$5:$B$18,0)),0)</f>
        <v>11</v>
      </c>
      <c r="AF7" t="str">
        <f t="shared" ref="AF7:AF20" ca="1" si="14">IF($AD7=0,"No games",IF(OR($AD7&lt;5,$AE7&lt;2),"Unranked",IF($AB7&gt;=72,IF(AND($AD7&gt;=8,$AE7&gt;=3),"Elite","Mid"),IF($AB7&gt;=58,IF(AND($AD7&gt;=8,$AE7&gt;=3),"Strong","Mid"),IF($AB7&gt;=44,"Mid","Developing")))))</f>
        <v>Strong</v>
      </c>
      <c r="AG7">
        <f ca="1">COUNTIFS('Match Log'!$D$4:$D$810,$A7,'Match Log'!$B$4:$B$810,"&gt;="&amp;$B$5)</f>
        <v>0</v>
      </c>
      <c r="AH7">
        <f ca="1">COUNTIFS('Match Log'!$D$4:$D$810,$A7,'Match Log'!$B$4:$B$810,"&gt;="&amp;$B$5,'Match Log'!$E$4:$E$810,"Win")</f>
        <v>0</v>
      </c>
      <c r="AI7">
        <f t="shared" ref="AI7:AI20" ca="1" si="15">IF(ISNUMBER($S7),$S7,-1000000)+ROW()/10000000</f>
        <v>998.72610536947047</v>
      </c>
    </row>
    <row r="8" spans="1:35" ht="15" customHeight="1" x14ac:dyDescent="0.2">
      <c r="A8" t="s">
        <v>135</v>
      </c>
      <c r="B8">
        <f>IFERROR(INDEX(Engine!$B$2:$B$15,MATCH($A8,Engine!$A$2:$A$15,0)),1000)</f>
        <v>1029.5175965335138</v>
      </c>
      <c r="C8">
        <f>IFERROR(INDEX(Engine!$C$2:$C$15,MATCH($A8,Engine!$A$2:$A$15,0)),"")</f>
        <v>1067.9665068664465</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ca="1" si="8"/>
        <v>8.4285714285714288</v>
      </c>
      <c r="R8">
        <f ca="1">IF($P8=0,0,IF($Q8&gt;='Guide &amp; Settings'!$C$48,(INT($Q8-'Guide &amp; Settings'!$C$48)+1)*'Guide &amp; Settings'!$C$49,0))</f>
        <v>50</v>
      </c>
      <c r="S8">
        <f ca="1">$B8-$R8-$U8+SUMIF('Poker Stake Ledger'!$C$18:$C$137,$A8,'Poker Stake Ledger'!$K$18:$K$137)</f>
        <v>979.51759653351382</v>
      </c>
      <c r="T8" t="str">
        <f ca="1">IF($P8=0,"No games",IF($Q8&gt;='Guide &amp; Settings'!$C$48,"Inactive",IF($Q8&gt;='Guide &amp; Settings'!$C$47,"At risk","Active")))</f>
        <v>Inactive</v>
      </c>
      <c r="U8">
        <f>SUMIF('Match Log'!$D$4:$D$810,$A8,'Match Log'!$AC$4:$AC$810)</f>
        <v>0</v>
      </c>
      <c r="V8">
        <f t="shared" si="9"/>
        <v>2</v>
      </c>
      <c r="W8">
        <f t="shared" ca="1" si="10"/>
        <v>44.879399133378456</v>
      </c>
      <c r="X8">
        <f ca="1">IFERROR(INDEX(Dashboard!$G$5:$G$18,MATCH($A8,Dashboard!$B$5:$B$18,0))*100,0)</f>
        <v>50</v>
      </c>
      <c r="Y8">
        <f ca="1">MIN(100,IFERROR(INDEX(Dashboard!$K$5:$K$18,MATCH($A8,Dashboard!$B$5:$B$18,0)),0)/5*50+$AC8/4*50)</f>
        <v>42.5</v>
      </c>
      <c r="Z8">
        <f t="shared" si="11"/>
        <v>40</v>
      </c>
      <c r="AA8">
        <f t="shared" si="12"/>
        <v>66.99162671661162</v>
      </c>
      <c r="AB8">
        <f t="shared" ca="1" si="13"/>
        <v>46.906952368343624</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979.51759733351378</v>
      </c>
    </row>
    <row r="9" spans="1:35" ht="15" customHeight="1" x14ac:dyDescent="0.2">
      <c r="A9" t="s">
        <v>173</v>
      </c>
      <c r="B9">
        <f>IFERROR(INDEX(Engine!$B$2:$B$15,MATCH($A9,Engine!$A$2:$A$15,0)),1000)</f>
        <v>1037.8197114720938</v>
      </c>
      <c r="C9">
        <f>IFERROR(INDEX(Engine!$C$2:$C$15,MATCH($A9,Engine!$A$2:$A$15,0)),"")</f>
        <v>1078.8903812530361</v>
      </c>
      <c r="D9">
        <f t="shared" si="0"/>
        <v>8</v>
      </c>
      <c r="E9">
        <f t="shared" si="1"/>
        <v>203.88322485295953</v>
      </c>
      <c r="F9" t="str">
        <f>IFERROR(LOOKUP(2,1/('Match Log'!$D$4:$D$810=$A9),'Match Log'!$E$4:$E$810),"")</f>
        <v>Loss</v>
      </c>
      <c r="G9">
        <f>IF($F9="",0,SUMPRODUCT(('Match Log'!$D$4:$D$810=$A9)*(ROW('Match Log'!$A$4:$A$810)&gt;SUMPRODUCT(MAX(('Match Log'!$D$4:$D$810=$A9)*('Match Log'!$E$4:$E$810&lt;&gt;$F9)*ROW('Match Log'!$A$4:$A$810))))))</f>
        <v>3</v>
      </c>
      <c r="H9" t="str">
        <f t="shared" si="2"/>
        <v>L3</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LWLLL</v>
      </c>
      <c r="J9">
        <f>IFERROR(LOOKUP(2,1/(('Match Log'!$D$4:$D$810=$A9)*('Match Log'!$B$4:$B$810&lt;=$B$3)),'Match Log'!$N$4:$N$810),1000)</f>
        <v>1037.8197114720938</v>
      </c>
      <c r="K9">
        <f t="shared" si="3"/>
        <v>8</v>
      </c>
      <c r="L9">
        <f t="shared" si="4"/>
        <v>0</v>
      </c>
      <c r="M9">
        <f t="shared" si="5"/>
        <v>0</v>
      </c>
      <c r="N9">
        <f t="shared" si="6"/>
        <v>1</v>
      </c>
      <c r="O9">
        <f t="shared" si="7"/>
        <v>0</v>
      </c>
      <c r="P9">
        <f>IFERROR(SUMPRODUCT(MAX(('Match Log'!$D$4:$D$810=$A9)*'Match Log'!$B$4:$B$810)),0)</f>
        <v>46220</v>
      </c>
      <c r="Q9">
        <f t="shared" ca="1" si="8"/>
        <v>3.8571428571428572</v>
      </c>
      <c r="R9">
        <f ca="1">IF($P9=0,0,IF($Q9&gt;='Guide &amp; Settings'!$C$48,(INT($Q9-'Guide &amp; Settings'!$C$48)+1)*'Guide &amp; Settings'!$C$49,0))</f>
        <v>0</v>
      </c>
      <c r="S9">
        <f ca="1">$B9-$R9-$U9+SUMIF('Poker Stake Ledger'!$C$18:$C$137,$A9,'Poker Stake Ledger'!$K$18:$K$137)</f>
        <v>1037.8197114720938</v>
      </c>
      <c r="T9" t="str">
        <f ca="1">IF($P9=0,"No games",IF($Q9&gt;='Guide &amp; Settings'!$C$48,"Inactive",IF($Q9&gt;='Guide &amp; Settings'!$C$47,"At risk","Active")))</f>
        <v>At risk</v>
      </c>
      <c r="U9">
        <f>SUMIF('Match Log'!$D$4:$D$810,$A9,'Match Log'!$AC$4:$AC$810)</f>
        <v>0</v>
      </c>
      <c r="V9">
        <f t="shared" si="9"/>
        <v>3</v>
      </c>
      <c r="W9">
        <f t="shared" ca="1" si="10"/>
        <v>59.454927868023447</v>
      </c>
      <c r="X9">
        <f ca="1">IFERROR(INDEX(Dashboard!$G$5:$G$18,MATCH($A9,Dashboard!$B$5:$B$18,0))*100,0)</f>
        <v>43.75</v>
      </c>
      <c r="Y9">
        <f ca="1">MIN(100,IFERROR(INDEX(Dashboard!$K$5:$K$18,MATCH($A9,Dashboard!$B$5:$B$18,0)),0)/5*50+$AC9/4*50)</f>
        <v>92.5</v>
      </c>
      <c r="Z9">
        <f t="shared" si="11"/>
        <v>20</v>
      </c>
      <c r="AA9">
        <f t="shared" si="12"/>
        <v>69.722595313259035</v>
      </c>
      <c r="AB9">
        <f t="shared" ca="1" si="13"/>
        <v>58.031484285134113</v>
      </c>
      <c r="AC9">
        <f>IFERROR(SUMPRODUCT((INDEX('Sport Records'!$B$8:$O$26,0,MATCH($A9,'Sport Records'!$B$7:$O$7,0))&gt;=2)*(INDEX('Sport Records'!$B$58:$O$76,0,MATCH($A9,'Sport Records'!$B$57:$O$57,0))&gt;=0.5)),0)</f>
        <v>1</v>
      </c>
      <c r="AD9">
        <f ca="1">IFERROR(INDEX(Dashboard!$D$5:$D$18,MATCH($A9,Dashboard!$B$5:$B$18,0)),0)</f>
        <v>16</v>
      </c>
      <c r="AE9">
        <f ca="1">IFERROR(INDEX(Dashboard!$K$5:$K$18,MATCH($A9,Dashboard!$B$5:$B$18,0)),0)</f>
        <v>8</v>
      </c>
      <c r="AF9" t="str">
        <f t="shared" ca="1" si="14"/>
        <v>Strong</v>
      </c>
      <c r="AG9">
        <f ca="1">COUNTIFS('Match Log'!$D$4:$D$810,$A9,'Match Log'!$B$4:$B$810,"&gt;="&amp;$B$5)</f>
        <v>0</v>
      </c>
      <c r="AH9">
        <f ca="1">COUNTIFS('Match Log'!$D$4:$D$810,$A9,'Match Log'!$B$4:$B$810,"&gt;="&amp;$B$5,'Match Log'!$E$4:$E$810,"Win")</f>
        <v>0</v>
      </c>
      <c r="AI9">
        <f t="shared" ca="1" si="15"/>
        <v>1037.8197123720938</v>
      </c>
    </row>
    <row r="10" spans="1:35" ht="15" customHeight="1" x14ac:dyDescent="0.2">
      <c r="A10" t="s">
        <v>140</v>
      </c>
      <c r="B10">
        <f>IFERROR(INDEX(Engine!$B$2:$B$15,MATCH($A10,Engine!$A$2:$A$15,0)),1000)</f>
        <v>973.19705892757202</v>
      </c>
      <c r="C10">
        <f>IFERROR(INDEX(Engine!$C$2:$C$15,MATCH($A10,Engine!$A$2:$A$15,0)),"")</f>
        <v>1079.1948971896304</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973.19705892757202</v>
      </c>
      <c r="K10">
        <f t="shared" si="3"/>
        <v>13</v>
      </c>
      <c r="L10">
        <f t="shared" si="4"/>
        <v>0</v>
      </c>
      <c r="M10">
        <f t="shared" si="5"/>
        <v>0</v>
      </c>
      <c r="N10">
        <f t="shared" si="6"/>
        <v>2</v>
      </c>
      <c r="O10">
        <f t="shared" si="7"/>
        <v>0</v>
      </c>
      <c r="P10">
        <f>IFERROR(SUMPRODUCT(MAX(('Match Log'!$D$4:$D$810=$A10)*'Match Log'!$B$4:$B$810)),0)</f>
        <v>46214</v>
      </c>
      <c r="Q10">
        <f t="shared" ca="1" si="8"/>
        <v>4.7142857142857144</v>
      </c>
      <c r="R10">
        <f ca="1">IF($P10=0,0,IF($Q10&gt;='Guide &amp; Settings'!$C$48,(INT($Q10-'Guide &amp; Settings'!$C$48)+1)*'Guide &amp; Settings'!$C$49,0))</f>
        <v>10</v>
      </c>
      <c r="S10">
        <f ca="1">$B10-$R10-$U10+SUMIF('Poker Stake Ledger'!$C$18:$C$137,$A10,'Poker Stake Ledger'!$K$18:$K$137)</f>
        <v>963.19705892757202</v>
      </c>
      <c r="T10" t="str">
        <f ca="1">IF($P10=0,"No games",IF($Q10&gt;='Guide &amp; Settings'!$C$48,"Inactive",IF($Q10&gt;='Guide &amp; Settings'!$C$47,"At risk","Active")))</f>
        <v>Inactive</v>
      </c>
      <c r="U10">
        <f>SUMIF('Match Log'!$D$4:$D$810,$A10,'Match Log'!$AC$4:$AC$810)</f>
        <v>0</v>
      </c>
      <c r="V10">
        <f t="shared" si="9"/>
        <v>1</v>
      </c>
      <c r="W10">
        <f t="shared" ca="1" si="10"/>
        <v>40.799264731893004</v>
      </c>
      <c r="X10">
        <f ca="1">IFERROR(INDEX(Dashboard!$G$5:$G$18,MATCH($A10,Dashboard!$B$5:$B$18,0))*100,0)</f>
        <v>26.666666666666668</v>
      </c>
      <c r="Y10">
        <f ca="1">MIN(100,IFERROR(INDEX(Dashboard!$K$5:$K$18,MATCH($A10,Dashboard!$B$5:$B$18,0)),0)/5*50+$AC10/4*50)</f>
        <v>40</v>
      </c>
      <c r="Z10">
        <f t="shared" si="11"/>
        <v>40</v>
      </c>
      <c r="AA10">
        <f t="shared" si="12"/>
        <v>69.798724297407603</v>
      </c>
      <c r="AB10">
        <f t="shared" ca="1" si="13"/>
        <v>40.592948419236642</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0</v>
      </c>
      <c r="AH10">
        <f ca="1">COUNTIFS('Match Log'!$D$4:$D$810,$A10,'Match Log'!$B$4:$B$810,"&gt;="&amp;$B$5,'Match Log'!$E$4:$E$810,"Win")</f>
        <v>0</v>
      </c>
      <c r="AI10">
        <f t="shared" ca="1" si="15"/>
        <v>963.19705992757201</v>
      </c>
    </row>
    <row r="11" spans="1:35" ht="15" customHeight="1" x14ac:dyDescent="0.2">
      <c r="A11" t="s">
        <v>137</v>
      </c>
      <c r="B11">
        <f>IFERROR(INDEX(Engine!$B$2:$B$15,MATCH($A11,Engine!$A$2:$A$15,0)),1000)</f>
        <v>1126.2782967340261</v>
      </c>
      <c r="C11">
        <f>IFERROR(INDEX(Engine!$C$2:$C$15,MATCH($A11,Engine!$A$2:$A$15,0)),"")</f>
        <v>1095.451509384452</v>
      </c>
      <c r="D11">
        <f t="shared" si="0"/>
        <v>4</v>
      </c>
      <c r="E11">
        <f t="shared" si="1"/>
        <v>115.42463959102724</v>
      </c>
      <c r="F11" t="str">
        <f>IFERROR(LOOKUP(2,1/('Match Log'!$D$4:$D$810=$A11),'Match Log'!$E$4:$E$810),"")</f>
        <v>Win</v>
      </c>
      <c r="G11">
        <f>IF($F11="",0,SUMPRODUCT(('Match Log'!$D$4:$D$810=$A11)*(ROW('Match Log'!$A$4:$A$810)&gt;SUMPRODUCT(MAX(('Match Log'!$D$4:$D$810=$A11)*('Match Log'!$E$4:$E$810&lt;&gt;$F11)*ROW('Match Log'!$A$4:$A$810))))))</f>
        <v>3</v>
      </c>
      <c r="H11" t="str">
        <f t="shared" si="2"/>
        <v>W3</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WLWWW</v>
      </c>
      <c r="J11">
        <f>IFERROR(LOOKUP(2,1/(('Match Log'!$D$4:$D$810=$A11)*('Match Log'!$B$4:$B$810&lt;=$B$3)),'Match Log'!$N$4:$N$810),1000)</f>
        <v>1093.6015451357737</v>
      </c>
      <c r="K11">
        <f t="shared" si="3"/>
        <v>5</v>
      </c>
      <c r="L11">
        <f t="shared" si="4"/>
        <v>1</v>
      </c>
      <c r="M11">
        <f t="shared" si="5"/>
        <v>1</v>
      </c>
      <c r="N11">
        <f t="shared" si="6"/>
        <v>4</v>
      </c>
      <c r="O11">
        <f t="shared" si="7"/>
        <v>3</v>
      </c>
      <c r="P11">
        <f>IFERROR(SUMPRODUCT(MAX(('Match Log'!$D$4:$D$810=$A11)*'Match Log'!$B$4:$B$810)),0)</f>
        <v>46247</v>
      </c>
      <c r="Q11">
        <f t="shared" ca="1" si="8"/>
        <v>0</v>
      </c>
      <c r="R11">
        <f ca="1">IF($P11=0,0,IF($Q11&gt;='Guide &amp; Settings'!$C$48,(INT($Q11-'Guide &amp; Settings'!$C$48)+1)*'Guide &amp; Settings'!$C$49,0))</f>
        <v>0</v>
      </c>
      <c r="S11">
        <f ca="1">$B11-$R11-$U11+SUMIF('Poker Stake Ledger'!$C$18:$C$137,$A11,'Poker Stake Ledger'!$K$18:$K$137)</f>
        <v>1148.0282967340261</v>
      </c>
      <c r="T11" t="str">
        <f ca="1">IF($P11=0,"No games",IF($Q11&gt;='Guide &amp; Settings'!$C$48,"Inactive",IF($Q11&gt;='Guide &amp; Settings'!$C$47,"At risk","Active")))</f>
        <v>Active</v>
      </c>
      <c r="U11">
        <f>SUMIF('Match Log'!$D$4:$D$810,$A11,'Match Log'!$AC$4:$AC$810)</f>
        <v>0</v>
      </c>
      <c r="V11">
        <f t="shared" si="9"/>
        <v>0</v>
      </c>
      <c r="W11">
        <f t="shared" ca="1" si="10"/>
        <v>87.007074183506518</v>
      </c>
      <c r="X11">
        <f ca="1">IFERROR(INDEX(Dashboard!$G$5:$G$18,MATCH($A11,Dashboard!$B$5:$B$18,0))*100,0)</f>
        <v>58.333333333333336</v>
      </c>
      <c r="Y11">
        <f ca="1">MIN(100,IFERROR(INDEX(Dashboard!$K$5:$K$18,MATCH($A11,Dashboard!$B$5:$B$18,0)),0)/5*50+$AC11/4*50)</f>
        <v>100</v>
      </c>
      <c r="Z11">
        <f t="shared" si="11"/>
        <v>80</v>
      </c>
      <c r="AA11">
        <f t="shared" si="12"/>
        <v>73.862877346113009</v>
      </c>
      <c r="AB11">
        <f t="shared" ca="1" si="13"/>
        <v>81.505430365505248</v>
      </c>
      <c r="AC11">
        <f>IFERROR(SUMPRODUCT((INDEX('Sport Records'!$B$8:$O$26,0,MATCH($A11,'Sport Records'!$B$7:$O$7,0))&gt;=2)*(INDEX('Sport Records'!$B$58:$O$76,0,MATCH($A11,'Sport Records'!$B$57:$O$57,0))&gt;=0.5)),0)</f>
        <v>4</v>
      </c>
      <c r="AD11">
        <f ca="1">IFERROR(INDEX(Dashboard!$D$5:$D$18,MATCH($A11,Dashboard!$B$5:$B$18,0)),0)</f>
        <v>48</v>
      </c>
      <c r="AE11">
        <f ca="1">IFERROR(INDEX(Dashboard!$K$5:$K$18,MATCH($A11,Dashboard!$B$5:$B$18,0)),0)</f>
        <v>13</v>
      </c>
      <c r="AF11" t="str">
        <f t="shared" ca="1" si="14"/>
        <v>Elite</v>
      </c>
      <c r="AG11">
        <f ca="1">COUNTIFS('Match Log'!$D$4:$D$810,$A11,'Match Log'!$B$4:$B$810,"&gt;="&amp;$B$5)</f>
        <v>10</v>
      </c>
      <c r="AH11">
        <f ca="1">COUNTIFS('Match Log'!$D$4:$D$810,$A11,'Match Log'!$B$4:$B$810,"&gt;="&amp;$B$5,'Match Log'!$E$4:$E$810,"Win")</f>
        <v>6</v>
      </c>
      <c r="AI11">
        <f t="shared" ca="1" si="15"/>
        <v>1148.028297834026</v>
      </c>
    </row>
    <row r="12" spans="1:35" ht="15" customHeight="1" x14ac:dyDescent="0.2">
      <c r="A12" t="s">
        <v>134</v>
      </c>
      <c r="B12">
        <f>IFERROR(INDEX(Engine!$B$2:$B$15,MATCH($A12,Engine!$A$2:$A$15,0)),1000)</f>
        <v>1128.14195520974</v>
      </c>
      <c r="C12">
        <f>IFERROR(INDEX(Engine!$C$2:$C$15,MATCH($A12,Engine!$A$2:$A$15,0)),"")</f>
        <v>1075.4673613433879</v>
      </c>
      <c r="D12">
        <f t="shared" si="0"/>
        <v>3</v>
      </c>
      <c r="E12">
        <f t="shared" si="1"/>
        <v>113.56098111531333</v>
      </c>
      <c r="F12" t="str">
        <f>IFERROR(LOOKUP(2,1/('Match Log'!$D$4:$D$810=$A12),'Match Log'!$E$4:$E$810),"")</f>
        <v>Win</v>
      </c>
      <c r="G12">
        <f>IF($F12="",0,SUMPRODUCT(('Match Log'!$D$4:$D$810=$A12)*(ROW('Match Log'!$A$4:$A$810)&gt;SUMPRODUCT(MAX(('Match Log'!$D$4:$D$810=$A12)*('Match Log'!$E$4:$E$810&lt;&gt;$F12)*ROW('Match Log'!$A$4:$A$810))))))</f>
        <v>1</v>
      </c>
      <c r="H12" t="str">
        <f t="shared" si="2"/>
        <v>W1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WLLLW</v>
      </c>
      <c r="J12">
        <f>IFERROR(LOOKUP(2,1/(('Match Log'!$D$4:$D$810=$A12)*('Match Log'!$B$4:$B$810&lt;=$B$3)),'Match Log'!$N$4:$N$810),1000)</f>
        <v>1104.1921812390008</v>
      </c>
      <c r="K12">
        <f t="shared" si="3"/>
        <v>4</v>
      </c>
      <c r="L12">
        <f t="shared" si="4"/>
        <v>1</v>
      </c>
      <c r="M12">
        <f t="shared" si="5"/>
        <v>5</v>
      </c>
      <c r="N12">
        <f t="shared" si="6"/>
        <v>2</v>
      </c>
      <c r="O12">
        <f t="shared" si="7"/>
        <v>1</v>
      </c>
      <c r="P12">
        <f>IFERROR(SUMPRODUCT(MAX(('Match Log'!$D$4:$D$810=$A12)*'Match Log'!$B$4:$B$810)),0)</f>
        <v>46247</v>
      </c>
      <c r="Q12">
        <f t="shared" ca="1" si="8"/>
        <v>0</v>
      </c>
      <c r="R12">
        <f ca="1">IF($P12=0,0,IF($Q12&gt;='Guide &amp; Settings'!$C$48,(INT($Q12-'Guide &amp; Settings'!$C$48)+1)*'Guide &amp; Settings'!$C$49,0))</f>
        <v>0</v>
      </c>
      <c r="S12">
        <f ca="1">$B12-$R12-$U12+SUMIF('Poker Stake Ledger'!$C$18:$C$137,$A12,'Poker Stake Ledger'!$K$18:$K$137)</f>
        <v>1124.39195520974</v>
      </c>
      <c r="T12" t="str">
        <f ca="1">IF($P12=0,"No games",IF($Q12&gt;='Guide &amp; Settings'!$C$48,"Inactive",IF($Q12&gt;='Guide &amp; Settings'!$C$47,"At risk","Active")))</f>
        <v>Active</v>
      </c>
      <c r="U12">
        <f>SUMIF('Match Log'!$D$4:$D$810,$A12,'Match Log'!$AC$4:$AC$810)</f>
        <v>0</v>
      </c>
      <c r="V12">
        <f t="shared" si="9"/>
        <v>0</v>
      </c>
      <c r="W12">
        <f t="shared" ca="1" si="10"/>
        <v>81.097988802434998</v>
      </c>
      <c r="X12">
        <f ca="1">IFERROR(INDEX(Dashboard!$G$5:$G$18,MATCH($A12,Dashboard!$B$5:$B$18,0))*100,0)</f>
        <v>46.601941747572816</v>
      </c>
      <c r="Y12">
        <f ca="1">MIN(100,IFERROR(INDEX(Dashboard!$K$5:$K$18,MATCH($A12,Dashboard!$B$5:$B$18,0)),0)/5*50+$AC12/4*50)</f>
        <v>100</v>
      </c>
      <c r="Z12">
        <f t="shared" si="11"/>
        <v>40</v>
      </c>
      <c r="AA12">
        <f t="shared" si="12"/>
        <v>68.866840335846973</v>
      </c>
      <c r="AB12">
        <f t="shared" ca="1" si="13"/>
        <v>70.591368463951511</v>
      </c>
      <c r="AC12">
        <f>IFERROR(SUMPRODUCT((INDEX('Sport Records'!$B$8:$O$26,0,MATCH($A12,'Sport Records'!$B$7:$O$7,0))&gt;=2)*(INDEX('Sport Records'!$B$58:$O$76,0,MATCH($A12,'Sport Records'!$B$57:$O$57,0))&gt;=0.5)),0)</f>
        <v>5</v>
      </c>
      <c r="AD12">
        <f ca="1">IFERROR(INDEX(Dashboard!$D$5:$D$18,MATCH($A12,Dashboard!$B$5:$B$18,0)),0)</f>
        <v>103</v>
      </c>
      <c r="AE12">
        <f ca="1">IFERROR(INDEX(Dashboard!$K$5:$K$18,MATCH($A12,Dashboard!$B$5:$B$18,0)),0)</f>
        <v>15</v>
      </c>
      <c r="AF12" t="str">
        <f t="shared" ca="1" si="14"/>
        <v>Strong</v>
      </c>
      <c r="AG12">
        <f ca="1">COUNTIFS('Match Log'!$D$4:$D$810,$A12,'Match Log'!$B$4:$B$810,"&gt;="&amp;$B$5)</f>
        <v>16</v>
      </c>
      <c r="AH12">
        <f ca="1">COUNTIFS('Match Log'!$D$4:$D$810,$A12,'Match Log'!$B$4:$B$810,"&gt;="&amp;$B$5,'Match Log'!$E$4:$E$810,"Win")</f>
        <v>8</v>
      </c>
      <c r="AI12">
        <f t="shared" ca="1" si="15"/>
        <v>1124.39195640974</v>
      </c>
    </row>
    <row r="13" spans="1:35" ht="15" customHeight="1" x14ac:dyDescent="0.2">
      <c r="A13" t="s">
        <v>168</v>
      </c>
      <c r="B13">
        <f>IFERROR(INDEX(Engine!$B$2:$B$15,MATCH($A13,Engine!$A$2:$A$15,0)),1000)</f>
        <v>1050.2393073123574</v>
      </c>
      <c r="C13">
        <f>IFERROR(INDEX(Engine!$C$2:$C$15,MATCH($A13,Engine!$A$2:$A$15,0)),"")</f>
        <v>1062.0318063351845</v>
      </c>
      <c r="D13">
        <f t="shared" si="0"/>
        <v>7</v>
      </c>
      <c r="E13">
        <f t="shared" si="1"/>
        <v>191.46362901269595</v>
      </c>
      <c r="F13" t="str">
        <f>IFERROR(LOOKUP(2,1/('Match Log'!$D$4:$D$810=$A13),'Match Log'!$E$4:$E$810),"")</f>
        <v>Loss</v>
      </c>
      <c r="G13">
        <f>IF($F13="",0,SUMPRODUCT(('Match Log'!$D$4:$D$810=$A13)*(ROW('Match Log'!$A$4:$A$810)&gt;SUMPRODUCT(MAX(('Match Log'!$D$4:$D$810=$A13)*('Match Log'!$E$4:$E$810&lt;&gt;$F13)*ROW('Match Log'!$A$4:$A$810))))))</f>
        <v>7</v>
      </c>
      <c r="H13" t="str">
        <f t="shared" si="2"/>
        <v>L7</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1050.2393073123574</v>
      </c>
      <c r="K13">
        <f t="shared" si="3"/>
        <v>7</v>
      </c>
      <c r="L13">
        <f t="shared" si="4"/>
        <v>0</v>
      </c>
      <c r="M13">
        <f t="shared" si="5"/>
        <v>0</v>
      </c>
      <c r="N13">
        <f t="shared" si="6"/>
        <v>0</v>
      </c>
      <c r="O13">
        <f t="shared" si="7"/>
        <v>0</v>
      </c>
      <c r="P13">
        <f>IFERROR(SUMPRODUCT(MAX(('Match Log'!$D$4:$D$810=$A13)*'Match Log'!$B$4:$B$810)),0)</f>
        <v>46229</v>
      </c>
      <c r="Q13">
        <f t="shared" ca="1" si="8"/>
        <v>2.5714285714285716</v>
      </c>
      <c r="R13">
        <f ca="1">IF($P13=0,0,IF($Q13&gt;='Guide &amp; Settings'!$C$48,(INT($Q13-'Guide &amp; Settings'!$C$48)+1)*'Guide &amp; Settings'!$C$49,0))</f>
        <v>0</v>
      </c>
      <c r="S13">
        <f ca="1">$B13-$R13-$U13+SUMIF('Poker Stake Ledger'!$C$18:$C$137,$A13,'Poker Stake Ledger'!$K$18:$K$137)</f>
        <v>1044.6893073123574</v>
      </c>
      <c r="T13" t="str">
        <f ca="1">IF($P13=0,"No games",IF($Q13&gt;='Guide &amp; Settings'!$C$48,"Inactive",IF($Q13&gt;='Guide &amp; Settings'!$C$47,"At risk","Active")))</f>
        <v>At risk</v>
      </c>
      <c r="U13">
        <f>SUMIF('Match Log'!$D$4:$D$810,$A13,'Match Log'!$AC$4:$AC$810)</f>
        <v>0</v>
      </c>
      <c r="V13">
        <f t="shared" si="9"/>
        <v>7</v>
      </c>
      <c r="W13">
        <f t="shared" ca="1" si="10"/>
        <v>61.172326828089354</v>
      </c>
      <c r="X13">
        <f ca="1">IFERROR(INDEX(Dashboard!$G$5:$G$18,MATCH($A13,Dashboard!$B$5:$B$18,0))*100,0)</f>
        <v>47.619047619047613</v>
      </c>
      <c r="Y13">
        <f ca="1">MIN(100,IFERROR(INDEX(Dashboard!$K$5:$K$18,MATCH($A13,Dashboard!$B$5:$B$18,0)),0)/5*50+$AC13/4*50)</f>
        <v>100</v>
      </c>
      <c r="Z13">
        <f t="shared" si="11"/>
        <v>0</v>
      </c>
      <c r="AA13">
        <f t="shared" si="12"/>
        <v>65.507951583796114</v>
      </c>
      <c r="AB13">
        <f t="shared" ca="1" si="13"/>
        <v>57.484919072020411</v>
      </c>
      <c r="AC13">
        <f>IFERROR(SUMPRODUCT((INDEX('Sport Records'!$B$8:$O$26,0,MATCH($A13,'Sport Records'!$B$7:$O$7,0))&gt;=2)*(INDEX('Sport Records'!$B$58:$O$76,0,MATCH($A13,'Sport Records'!$B$57:$O$57,0))&gt;=0.5)),0)</f>
        <v>2</v>
      </c>
      <c r="AD13">
        <f ca="1">IFERROR(INDEX(Dashboard!$D$5:$D$18,MATCH($A13,Dashboard!$B$5:$B$18,0)),0)</f>
        <v>21</v>
      </c>
      <c r="AE13">
        <f ca="1">IFERROR(INDEX(Dashboard!$K$5:$K$18,MATCH($A13,Dashboard!$B$5:$B$18,0)),0)</f>
        <v>8</v>
      </c>
      <c r="AF13" t="str">
        <f t="shared" ca="1" si="14"/>
        <v>Mid</v>
      </c>
      <c r="AG13">
        <f ca="1">COUNTIFS('Match Log'!$D$4:$D$810,$A13,'Match Log'!$B$4:$B$810,"&gt;="&amp;$B$5)</f>
        <v>0</v>
      </c>
      <c r="AH13">
        <f ca="1">COUNTIFS('Match Log'!$D$4:$D$810,$A13,'Match Log'!$B$4:$B$810,"&gt;="&amp;$B$5,'Match Log'!$E$4:$E$810,"Win")</f>
        <v>0</v>
      </c>
      <c r="AI13">
        <f t="shared" ca="1" si="15"/>
        <v>1044.6893086123573</v>
      </c>
    </row>
    <row r="14" spans="1:35" ht="15" customHeight="1" x14ac:dyDescent="0.2">
      <c r="A14" t="s">
        <v>170</v>
      </c>
      <c r="B14">
        <f>IFERROR(INDEX(Engine!$B$2:$B$15,MATCH($A14,Engine!$A$2:$A$15,0)),1000)</f>
        <v>1136.2039840113532</v>
      </c>
      <c r="C14">
        <f>IFERROR(INDEX(Engine!$C$2:$C$15,MATCH($A14,Engine!$A$2:$A$15,0)),"")</f>
        <v>1101.7094527091406</v>
      </c>
      <c r="D14">
        <f t="shared" si="0"/>
        <v>2</v>
      </c>
      <c r="E14">
        <f t="shared" si="1"/>
        <v>105.4989523137001</v>
      </c>
      <c r="F14" t="str">
        <f>IFERROR(LOOKUP(2,1/('Match Log'!$D$4:$D$810=$A14),'Match Log'!$E$4:$E$810),"")</f>
        <v>Loss</v>
      </c>
      <c r="G14">
        <f>IF($F14="",0,SUMPRODUCT(('Match Log'!$D$4:$D$810=$A14)*(ROW('Match Log'!$A$4:$A$810)&gt;SUMPRODUCT(MAX(('Match Log'!$D$4:$D$810=$A14)*('Match Log'!$E$4:$E$810&lt;&gt;$F14)*ROW('Match Log'!$A$4:$A$810))))))</f>
        <v>1</v>
      </c>
      <c r="H14" t="str">
        <f t="shared" si="2"/>
        <v>L1</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WLWWL</v>
      </c>
      <c r="J14">
        <f>IFERROR(LOOKUP(2,1/(('Match Log'!$D$4:$D$810=$A14)*('Match Log'!$B$4:$B$810&lt;=$B$3)),'Match Log'!$N$4:$N$810),1000)</f>
        <v>1104.3459294969905</v>
      </c>
      <c r="K14">
        <f t="shared" si="3"/>
        <v>3</v>
      </c>
      <c r="L14">
        <f t="shared" si="4"/>
        <v>1</v>
      </c>
      <c r="M14">
        <f t="shared" si="5"/>
        <v>7</v>
      </c>
      <c r="N14">
        <f t="shared" si="6"/>
        <v>3</v>
      </c>
      <c r="O14">
        <f t="shared" si="7"/>
        <v>0</v>
      </c>
      <c r="P14">
        <f>IFERROR(SUMPRODUCT(MAX(('Match Log'!$D$4:$D$810=$A14)*'Match Log'!$B$4:$B$810)),0)</f>
        <v>46247</v>
      </c>
      <c r="Q14">
        <f t="shared" ca="1" si="8"/>
        <v>0</v>
      </c>
      <c r="R14">
        <f ca="1">IF($P14=0,0,IF($Q14&gt;='Guide &amp; Settings'!$C$48,(INT($Q14-'Guide &amp; Settings'!$C$48)+1)*'Guide &amp; Settings'!$C$49,0))</f>
        <v>0</v>
      </c>
      <c r="S14">
        <f ca="1">$B14-$R14-$U14+SUMIF('Poker Stake Ledger'!$C$18:$C$137,$A14,'Poker Stake Ledger'!$K$18:$K$137)</f>
        <v>1134.8539840113533</v>
      </c>
      <c r="T14" t="str">
        <f ca="1">IF($P14=0,"No games",IF($Q14&gt;='Guide &amp; Settings'!$C$48,"Inactive",IF($Q14&gt;='Guide &amp; Settings'!$C$47,"At risk","Active")))</f>
        <v>Active</v>
      </c>
      <c r="U14">
        <f>SUMIF('Match Log'!$D$4:$D$810,$A14,'Match Log'!$AC$4:$AC$810)</f>
        <v>0</v>
      </c>
      <c r="V14">
        <f t="shared" si="9"/>
        <v>1</v>
      </c>
      <c r="W14">
        <f t="shared" ca="1" si="10"/>
        <v>83.713496002838326</v>
      </c>
      <c r="X14">
        <f ca="1">IFERROR(INDEX(Dashboard!$G$5:$G$18,MATCH($A14,Dashboard!$B$5:$B$18,0))*100,0)</f>
        <v>45.454545454545453</v>
      </c>
      <c r="Y14">
        <f ca="1">MIN(100,IFERROR(INDEX(Dashboard!$K$5:$K$18,MATCH($A14,Dashboard!$B$5:$B$18,0)),0)/5*50+$AC14/4*50)</f>
        <v>100</v>
      </c>
      <c r="Z14">
        <f t="shared" si="11"/>
        <v>60</v>
      </c>
      <c r="AA14">
        <f t="shared" si="12"/>
        <v>75.427363177285145</v>
      </c>
      <c r="AB14">
        <f t="shared" ca="1" si="13"/>
        <v>74.933369009631022</v>
      </c>
      <c r="AC14">
        <f>IFERROR(SUMPRODUCT((INDEX('Sport Records'!$B$8:$O$26,0,MATCH($A14,'Sport Records'!$B$7:$O$7,0))&gt;=2)*(INDEX('Sport Records'!$B$58:$O$76,0,MATCH($A14,'Sport Records'!$B$57:$O$57,0))&gt;=0.5)),0)</f>
        <v>5</v>
      </c>
      <c r="AD14">
        <f ca="1">IFERROR(INDEX(Dashboard!$D$5:$D$18,MATCH($A14,Dashboard!$B$5:$B$18,0)),0)</f>
        <v>77</v>
      </c>
      <c r="AE14">
        <f ca="1">IFERROR(INDEX(Dashboard!$K$5:$K$18,MATCH($A14,Dashboard!$B$5:$B$18,0)),0)</f>
        <v>14</v>
      </c>
      <c r="AF14" t="str">
        <f t="shared" ca="1" si="14"/>
        <v>Elite</v>
      </c>
      <c r="AG14">
        <f ca="1">COUNTIFS('Match Log'!$D$4:$D$810,$A14,'Match Log'!$B$4:$B$810,"&gt;="&amp;$B$5)</f>
        <v>4</v>
      </c>
      <c r="AH14">
        <f ca="1">COUNTIFS('Match Log'!$D$4:$D$810,$A14,'Match Log'!$B$4:$B$810,"&gt;="&amp;$B$5,'Match Log'!$E$4:$E$810,"Win")</f>
        <v>2</v>
      </c>
      <c r="AI14">
        <f t="shared" ca="1" si="15"/>
        <v>1134.8539854113533</v>
      </c>
    </row>
    <row r="15" spans="1:35" ht="15" customHeight="1" x14ac:dyDescent="0.2">
      <c r="A15" t="s">
        <v>167</v>
      </c>
      <c r="B15">
        <f>IFERROR(INDEX(Engine!$B$2:$B$15,MATCH($A15,Engine!$A$2:$A$15,0)),1000)</f>
        <v>1241.7029363250533</v>
      </c>
      <c r="C15">
        <f>IFERROR(INDEX(Engine!$C$2:$C$15,MATCH($A15,Engine!$A$2:$A$15,0)),"")</f>
        <v>1086.2078193906441</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1241.7029363250533</v>
      </c>
      <c r="K15">
        <f t="shared" si="3"/>
        <v>1</v>
      </c>
      <c r="L15">
        <f t="shared" si="4"/>
        <v>0</v>
      </c>
      <c r="M15">
        <f t="shared" si="5"/>
        <v>2</v>
      </c>
      <c r="N15">
        <f t="shared" si="6"/>
        <v>4</v>
      </c>
      <c r="O15">
        <f t="shared" si="7"/>
        <v>1</v>
      </c>
      <c r="P15">
        <f>IFERROR(SUMPRODUCT(MAX(('Match Log'!$D$4:$D$810=$A15)*'Match Log'!$B$4:$B$810)),0)</f>
        <v>46215</v>
      </c>
      <c r="Q15">
        <f t="shared" ca="1" si="8"/>
        <v>4.5714285714285712</v>
      </c>
      <c r="R15">
        <f ca="1">IF($P15=0,0,IF($Q15&gt;='Guide &amp; Settings'!$C$48,(INT($Q15-'Guide &amp; Settings'!$C$48)+1)*'Guide &amp; Settings'!$C$49,0))</f>
        <v>10</v>
      </c>
      <c r="S15">
        <f ca="1">$B15-$R15-$U15+SUMIF('Poker Stake Ledger'!$C$18:$C$137,$A15,'Poker Stake Ledger'!$K$18:$K$137)</f>
        <v>1231.7029363250533</v>
      </c>
      <c r="T15" t="str">
        <f ca="1">IF($P15=0,"No games",IF($Q15&gt;='Guide &amp; Settings'!$C$48,"Inactive",IF($Q15&gt;='Guide &amp; Settings'!$C$47,"At risk","Active")))</f>
        <v>Inactive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71.551954847661023</v>
      </c>
      <c r="AB15">
        <f t="shared" ca="1" si="13"/>
        <v>85.448298933041968</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0</v>
      </c>
      <c r="AH15">
        <f ca="1">COUNTIFS('Match Log'!$D$4:$D$810,$A15,'Match Log'!$B$4:$B$810,"&gt;="&amp;$B$5,'Match Log'!$E$4:$E$810,"Win")</f>
        <v>0</v>
      </c>
      <c r="AI15">
        <f t="shared" ca="1" si="15"/>
        <v>1231.7029378250534</v>
      </c>
    </row>
    <row r="16" spans="1:35" ht="15" customHeight="1" x14ac:dyDescent="0.2">
      <c r="A16" t="s">
        <v>175</v>
      </c>
      <c r="B16">
        <f>IFERROR(INDEX(Engine!$B$2:$B$15,MATCH($A16,Engine!$A$2:$A$15,0)),1000)</f>
        <v>862.22294373677494</v>
      </c>
      <c r="C16">
        <f>IFERROR(INDEX(Engine!$C$2:$C$15,MATCH($A16,Engine!$A$2:$A$15,0)),"")</f>
        <v>1075.5480322913888</v>
      </c>
      <c r="D16">
        <f t="shared" si="0"/>
        <v>14</v>
      </c>
      <c r="E16">
        <f t="shared" si="1"/>
        <v>379.47999258827838</v>
      </c>
      <c r="F16" t="str">
        <f>IFERROR(LOOKUP(2,1/('Match Log'!$D$4:$D$810=$A16),'Match Log'!$E$4:$E$810),"")</f>
        <v>Loss</v>
      </c>
      <c r="G16">
        <f>IF($F16="",0,SUMPRODUCT(('Match Log'!$D$4:$D$810=$A16)*(ROW('Match Log'!$A$4:$A$810)&gt;SUMPRODUCT(MAX(('Match Log'!$D$4:$D$810=$A16)*('Match Log'!$E$4:$E$810&lt;&gt;$F16)*ROW('Match Log'!$A$4:$A$810))))))</f>
        <v>6</v>
      </c>
      <c r="H16" t="str">
        <f t="shared" si="2"/>
        <v>L6</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LLLLL</v>
      </c>
      <c r="J16">
        <f>IFERROR(LOOKUP(2,1/(('Match Log'!$D$4:$D$810=$A16)*('Match Log'!$B$4:$B$810&lt;=$B$3)),'Match Log'!$N$4:$N$810),1000)</f>
        <v>862.22294373677494</v>
      </c>
      <c r="K16">
        <f t="shared" si="3"/>
        <v>14</v>
      </c>
      <c r="L16">
        <f t="shared" si="4"/>
        <v>0</v>
      </c>
      <c r="M16">
        <f t="shared" si="5"/>
        <v>1</v>
      </c>
      <c r="N16">
        <f t="shared" si="6"/>
        <v>0</v>
      </c>
      <c r="O16">
        <f t="shared" si="7"/>
        <v>0</v>
      </c>
      <c r="P16">
        <f>IFERROR(SUMPRODUCT(MAX(('Match Log'!$D$4:$D$810=$A16)*'Match Log'!$B$4:$B$810)),0)</f>
        <v>46222</v>
      </c>
      <c r="Q16">
        <f t="shared" ca="1" si="8"/>
        <v>3.5714285714285716</v>
      </c>
      <c r="R16">
        <f ca="1">IF($P16=0,0,IF($Q16&gt;='Guide &amp; Settings'!$C$48,(INT($Q16-'Guide &amp; Settings'!$C$48)+1)*'Guide &amp; Settings'!$C$49,0))</f>
        <v>0</v>
      </c>
      <c r="S16">
        <f ca="1">$B16-$R16-$U16+SUMIF('Poker Stake Ledger'!$C$18:$C$137,$A16,'Poker Stake Ledger'!$K$18:$K$137)</f>
        <v>862.22294373677494</v>
      </c>
      <c r="T16" t="str">
        <f ca="1">IF($P16=0,"No games",IF($Q16&gt;='Guide &amp; Settings'!$C$48,"Inactive",IF($Q16&gt;='Guide &amp; Settings'!$C$47,"At risk","Active")))</f>
        <v>At risk</v>
      </c>
      <c r="U16">
        <f>SUMIF('Match Log'!$D$4:$D$810,$A16,'Match Log'!$AC$4:$AC$810)</f>
        <v>0</v>
      </c>
      <c r="V16">
        <f t="shared" si="9"/>
        <v>6</v>
      </c>
      <c r="W16">
        <f t="shared" ca="1" si="10"/>
        <v>15.555735934193734</v>
      </c>
      <c r="X16">
        <f ca="1">IFERROR(INDEX(Dashboard!$G$5:$G$18,MATCH($A16,Dashboard!$B$5:$B$18,0))*100,0)</f>
        <v>13.333333333333334</v>
      </c>
      <c r="Y16">
        <f ca="1">MIN(100,IFERROR(INDEX(Dashboard!$K$5:$K$18,MATCH($A16,Dashboard!$B$5:$B$18,0)),0)/5*50+$AC16/4*50)</f>
        <v>30</v>
      </c>
      <c r="Z16">
        <f t="shared" si="11"/>
        <v>0</v>
      </c>
      <c r="AA16">
        <f t="shared" si="12"/>
        <v>68.887008072847209</v>
      </c>
      <c r="AB16">
        <f t="shared" ca="1" si="13"/>
        <v>20.999875050919194</v>
      </c>
      <c r="AC16">
        <f>IFERROR(SUMPRODUCT((INDEX('Sport Records'!$B$8:$O$26,0,MATCH($A16,'Sport Records'!$B$7:$O$7,0))&gt;=2)*(INDEX('Sport Records'!$B$58:$O$76,0,MATCH($A16,'Sport Records'!$B$57:$O$57,0))&gt;=0.5)),0)</f>
        <v>0</v>
      </c>
      <c r="AD16">
        <f ca="1">IFERROR(INDEX(Dashboard!$D$5:$D$18,MATCH($A16,Dashboard!$B$5:$B$18,0)),0)</f>
        <v>15</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862.22294533677496</v>
      </c>
    </row>
    <row r="17" spans="1:35" ht="15" customHeight="1" x14ac:dyDescent="0.2">
      <c r="A17" t="s">
        <v>169</v>
      </c>
      <c r="B17">
        <f>IFERROR(INDEX(Engine!$B$2:$B$15,MATCH($A17,Engine!$A$2:$A$15,0)),1000)</f>
        <v>1054.3366131438215</v>
      </c>
      <c r="C17">
        <f>IFERROR(INDEX(Engine!$C$2:$C$15,MATCH($A17,Engine!$A$2:$A$15,0)),"")</f>
        <v>1093.2269668251802</v>
      </c>
      <c r="D17">
        <f t="shared" si="0"/>
        <v>6</v>
      </c>
      <c r="E17">
        <f t="shared" si="1"/>
        <v>187.36632318123179</v>
      </c>
      <c r="F17" t="str">
        <f>IFERROR(LOOKUP(2,1/('Match Log'!$D$4:$D$810=$A17),'Match Log'!$E$4:$E$810),"")</f>
        <v>Loss</v>
      </c>
      <c r="G17">
        <f>IF($F17="",0,SUMPRODUCT(('Match Log'!$D$4:$D$810=$A17)*(ROW('Match Log'!$A$4:$A$810)&gt;SUMPRODUCT(MAX(('Match Log'!$D$4:$D$810=$A17)*('Match Log'!$E$4:$E$810&lt;&gt;$F17)*ROW('Match Log'!$A$4:$A$810))))))</f>
        <v>6</v>
      </c>
      <c r="H17" t="str">
        <f t="shared" si="2"/>
        <v>L6</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LLLLL</v>
      </c>
      <c r="J17">
        <f>IFERROR(LOOKUP(2,1/(('Match Log'!$D$4:$D$810=$A17)*('Match Log'!$B$4:$B$810&lt;=$B$3)),'Match Log'!$N$4:$N$810),1000)</f>
        <v>1115.8211932271754</v>
      </c>
      <c r="K17">
        <f t="shared" si="3"/>
        <v>2</v>
      </c>
      <c r="L17">
        <f t="shared" si="4"/>
        <v>-4</v>
      </c>
      <c r="M17">
        <f t="shared" si="5"/>
        <v>4</v>
      </c>
      <c r="N17">
        <f t="shared" si="6"/>
        <v>0</v>
      </c>
      <c r="O17">
        <f t="shared" si="7"/>
        <v>0</v>
      </c>
      <c r="P17">
        <f>IFERROR(SUMPRODUCT(MAX(('Match Log'!$D$4:$D$810=$A17)*'Match Log'!$B$4:$B$810)),0)</f>
        <v>46243</v>
      </c>
      <c r="Q17">
        <f t="shared" ca="1" si="8"/>
        <v>0.5714285714285714</v>
      </c>
      <c r="R17">
        <f ca="1">IF($P17=0,0,IF($Q17&gt;='Guide &amp; Settings'!$C$48,(INT($Q17-'Guide &amp; Settings'!$C$48)+1)*'Guide &amp; Settings'!$C$49,0))</f>
        <v>0</v>
      </c>
      <c r="S17">
        <f ca="1">$B17-$R17-$U17+SUMIF('Poker Stake Ledger'!$C$18:$C$137,$A17,'Poker Stake Ledger'!$K$18:$K$137)</f>
        <v>1054.3366131438215</v>
      </c>
      <c r="T17" t="str">
        <f ca="1">IF($P17=0,"No games",IF($Q17&gt;='Guide &amp; Settings'!$C$48,"Inactive",IF($Q17&gt;='Guide &amp; Settings'!$C$47,"At risk","Active")))</f>
        <v>Active</v>
      </c>
      <c r="U17">
        <f>SUMIF('Match Log'!$D$4:$D$810,$A17,'Match Log'!$AC$4:$AC$810)</f>
        <v>0</v>
      </c>
      <c r="V17">
        <f t="shared" si="9"/>
        <v>6</v>
      </c>
      <c r="W17">
        <f t="shared" ca="1" si="10"/>
        <v>63.584153285955381</v>
      </c>
      <c r="X17">
        <f ca="1">IFERROR(INDEX(Dashboard!$G$5:$G$18,MATCH($A17,Dashboard!$B$5:$B$18,0))*100,0)</f>
        <v>42.372881355932201</v>
      </c>
      <c r="Y17">
        <f ca="1">MIN(100,IFERROR(INDEX(Dashboard!$K$5:$K$18,MATCH($A17,Dashboard!$B$5:$B$18,0)),0)/5*50+$AC17/4*50)</f>
        <v>100</v>
      </c>
      <c r="Z17">
        <f t="shared" si="11"/>
        <v>0</v>
      </c>
      <c r="AA17">
        <f t="shared" si="12"/>
        <v>73.306741706295043</v>
      </c>
      <c r="AB17">
        <f t="shared" ca="1" si="13"/>
        <v>58.059704091900329</v>
      </c>
      <c r="AC17">
        <f>IFERROR(SUMPRODUCT((INDEX('Sport Records'!$B$8:$O$26,0,MATCH($A17,'Sport Records'!$B$7:$O$7,0))&gt;=2)*(INDEX('Sport Records'!$B$58:$O$76,0,MATCH($A17,'Sport Records'!$B$57:$O$57,0))&gt;=0.5)),0)</f>
        <v>2</v>
      </c>
      <c r="AD17">
        <f ca="1">IFERROR(INDEX(Dashboard!$D$5:$D$18,MATCH($A17,Dashboard!$B$5:$B$18,0)),0)</f>
        <v>59</v>
      </c>
      <c r="AE17">
        <f ca="1">IFERROR(INDEX(Dashboard!$K$5:$K$18,MATCH($A17,Dashboard!$B$5:$B$18,0)),0)</f>
        <v>9</v>
      </c>
      <c r="AF17" t="str">
        <f t="shared" ca="1" si="14"/>
        <v>Strong</v>
      </c>
      <c r="AG17">
        <f ca="1">COUNTIFS('Match Log'!$D$4:$D$810,$A17,'Match Log'!$B$4:$B$810,"&gt;="&amp;$B$5)</f>
        <v>5</v>
      </c>
      <c r="AH17">
        <f ca="1">COUNTIFS('Match Log'!$D$4:$D$810,$A17,'Match Log'!$B$4:$B$810,"&gt;="&amp;$B$5,'Match Log'!$E$4:$E$810,"Win")</f>
        <v>0</v>
      </c>
      <c r="AI17">
        <f t="shared" ca="1" si="15"/>
        <v>1054.3366148438215</v>
      </c>
    </row>
    <row r="18" spans="1:35" ht="15" customHeight="1" x14ac:dyDescent="0.2">
      <c r="A18" t="s">
        <v>171</v>
      </c>
      <c r="B18">
        <f>IFERROR(INDEX(Engine!$B$2:$B$15,MATCH($A18,Engine!$A$2:$A$15,0)),1000)</f>
        <v>1012.1303999492304</v>
      </c>
      <c r="C18">
        <f>IFERROR(INDEX(Engine!$C$2:$C$15,MATCH($A18,Engine!$A$2:$A$15,0)),"")</f>
        <v>1060.1947160275172</v>
      </c>
      <c r="D18">
        <f t="shared" si="0"/>
        <v>10</v>
      </c>
      <c r="E18">
        <f t="shared" si="1"/>
        <v>229.57253637582289</v>
      </c>
      <c r="F18" t="str">
        <f>IFERROR(LOOKUP(2,1/('Match Log'!$D$4:$D$810=$A18),'Match Log'!$E$4:$E$810),"")</f>
        <v>Win</v>
      </c>
      <c r="G18">
        <f>IF($F18="",0,SUMPRODUCT(('Match Log'!$D$4:$D$810=$A18)*(ROW('Match Log'!$A$4:$A$810)&gt;SUMPRODUCT(MAX(('Match Log'!$D$4:$D$810=$A18)*('Match Log'!$E$4:$E$810&lt;&gt;$F18)*ROW('Match Log'!$A$4:$A$810))))))</f>
        <v>1</v>
      </c>
      <c r="H18" t="str">
        <f t="shared" si="2"/>
        <v>W1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LLWLW</v>
      </c>
      <c r="J18">
        <f>IFERROR(LOOKUP(2,1/(('Match Log'!$D$4:$D$810=$A18)*('Match Log'!$B$4:$B$810&lt;=$B$3)),'Match Log'!$N$4:$N$810),1000)</f>
        <v>1012.1303999492304</v>
      </c>
      <c r="K18">
        <f t="shared" si="3"/>
        <v>10</v>
      </c>
      <c r="L18">
        <f t="shared" si="4"/>
        <v>0</v>
      </c>
      <c r="M18">
        <f t="shared" si="5"/>
        <v>1</v>
      </c>
      <c r="N18">
        <f t="shared" si="6"/>
        <v>2</v>
      </c>
      <c r="O18">
        <f t="shared" si="7"/>
        <v>1</v>
      </c>
      <c r="P18">
        <f>IFERROR(SUMPRODUCT(MAX(('Match Log'!$D$4:$D$810=$A18)*'Match Log'!$B$4:$B$810)),0)</f>
        <v>46222</v>
      </c>
      <c r="Q18">
        <f t="shared" ca="1" si="8"/>
        <v>3.5714285714285716</v>
      </c>
      <c r="R18">
        <f ca="1">IF($P18=0,0,IF($Q18&gt;='Guide &amp; Settings'!$C$48,(INT($Q18-'Guide &amp; Settings'!$C$48)+1)*'Guide &amp; Settings'!$C$49,0))</f>
        <v>0</v>
      </c>
      <c r="S18">
        <f ca="1">$B18-$R18-$U18+SUMIF('Poker Stake Ledger'!$C$18:$C$137,$A18,'Poker Stake Ledger'!$K$18:$K$137)</f>
        <v>1012.1303999492304</v>
      </c>
      <c r="T18" t="str">
        <f ca="1">IF($P18=0,"No games",IF($Q18&gt;='Guide &amp; Settings'!$C$48,"Inactive",IF($Q18&gt;='Guide &amp; Settings'!$C$47,"At risk","Active")))</f>
        <v>At risk</v>
      </c>
      <c r="U18">
        <f>SUMIF('Match Log'!$D$4:$D$810,$A18,'Match Log'!$AC$4:$AC$810)</f>
        <v>0</v>
      </c>
      <c r="V18">
        <f t="shared" si="9"/>
        <v>0</v>
      </c>
      <c r="W18">
        <f t="shared" ca="1" si="10"/>
        <v>53.032599987307606</v>
      </c>
      <c r="X18">
        <f ca="1">IFERROR(INDEX(Dashboard!$G$5:$G$18,MATCH($A18,Dashboard!$B$5:$B$18,0))*100,0)</f>
        <v>40</v>
      </c>
      <c r="Y18">
        <f ca="1">MIN(100,IFERROR(INDEX(Dashboard!$K$5:$K$18,MATCH($A18,Dashboard!$B$5:$B$18,0)),0)/5*50+$AC18/4*50)</f>
        <v>42.5</v>
      </c>
      <c r="Z18">
        <f t="shared" si="11"/>
        <v>40</v>
      </c>
      <c r="AA18">
        <f t="shared" si="12"/>
        <v>65.048679006879297</v>
      </c>
      <c r="AB18">
        <f t="shared" ca="1" si="13"/>
        <v>47.566277896245595</v>
      </c>
      <c r="AC18">
        <f>IFERROR(SUMPRODUCT((INDEX('Sport Records'!$B$8:$O$26,0,MATCH($A18,'Sport Records'!$B$7:$O$7,0))&gt;=2)*(INDEX('Sport Records'!$B$58:$O$76,0,MATCH($A18,'Sport Records'!$B$57:$O$57,0))&gt;=0.5)),0)</f>
        <v>1</v>
      </c>
      <c r="AD18">
        <f ca="1">IFERROR(INDEX(Dashboard!$D$5:$D$18,MATCH($A18,Dashboard!$B$5:$B$18,0)),0)</f>
        <v>10</v>
      </c>
      <c r="AE18">
        <f ca="1">IFERROR(INDEX(Dashboard!$K$5:$K$18,MATCH($A18,Dashboard!$B$5:$B$18,0)),0)</f>
        <v>3</v>
      </c>
      <c r="AF18" t="str">
        <f t="shared" ca="1" si="14"/>
        <v>Mid</v>
      </c>
      <c r="AG18">
        <f ca="1">COUNTIFS('Match Log'!$D$4:$D$810,$A18,'Match Log'!$B$4:$B$810,"&gt;="&amp;$B$5)</f>
        <v>0</v>
      </c>
      <c r="AH18">
        <f ca="1">COUNTIFS('Match Log'!$D$4:$D$810,$A18,'Match Log'!$B$4:$B$810,"&gt;="&amp;$B$5,'Match Log'!$E$4:$E$810,"Win")</f>
        <v>0</v>
      </c>
      <c r="AI18">
        <f t="shared" ca="1" si="15"/>
        <v>1012.1304017492304</v>
      </c>
    </row>
    <row r="19" spans="1:35" ht="15" customHeight="1" x14ac:dyDescent="0.2">
      <c r="A19" t="s">
        <v>172</v>
      </c>
      <c r="B19">
        <f>IFERROR(INDEX(Engine!$B$2:$B$15,MATCH($A19,Engine!$A$2:$A$15,0)),1000)</f>
        <v>1080.3830919749923</v>
      </c>
      <c r="C19">
        <f>IFERROR(INDEX(Engine!$C$2:$C$15,MATCH($A19,Engine!$A$2:$A$15,0)),"")</f>
        <v>1051.1937613447226</v>
      </c>
      <c r="D19">
        <f t="shared" si="0"/>
        <v>5</v>
      </c>
      <c r="E19">
        <f t="shared" si="1"/>
        <v>161.31984435006098</v>
      </c>
      <c r="F19" t="str">
        <f>IFERROR(LOOKUP(2,1/('Match Log'!$D$4:$D$810=$A19),'Match Log'!$E$4:$E$810),"")</f>
        <v>Win</v>
      </c>
      <c r="G19">
        <f>IF($F19="",0,SUMPRODUCT(('Match Log'!$D$4:$D$810=$A19)*(ROW('Match Log'!$A$4:$A$810)&gt;SUMPRODUCT(MAX(('Match Log'!$D$4:$D$810=$A19)*('Match Log'!$E$4:$E$810&lt;&gt;$F19)*ROW('Match Log'!$A$4:$A$810))))))</f>
        <v>2</v>
      </c>
      <c r="H19" t="str">
        <f t="shared" si="2"/>
        <v>W2</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WWLWW</v>
      </c>
      <c r="J19">
        <f>IFERROR(LOOKUP(2,1/(('Match Log'!$D$4:$D$810=$A19)*('Match Log'!$B$4:$B$810&lt;=$B$3)),'Match Log'!$N$4:$N$810),1000)</f>
        <v>1080.3830919749923</v>
      </c>
      <c r="K19">
        <f t="shared" si="3"/>
        <v>6</v>
      </c>
      <c r="L19">
        <f t="shared" si="4"/>
        <v>1</v>
      </c>
      <c r="M19">
        <f t="shared" si="5"/>
        <v>0</v>
      </c>
      <c r="N19">
        <f t="shared" si="6"/>
        <v>4</v>
      </c>
      <c r="O19">
        <f t="shared" si="7"/>
        <v>2</v>
      </c>
      <c r="P19">
        <f>IFERROR(SUMPRODUCT(MAX(('Match Log'!$D$4:$D$810=$A19)*'Match Log'!$B$4:$B$810)),0)</f>
        <v>46222</v>
      </c>
      <c r="Q19">
        <f t="shared" ca="1" si="8"/>
        <v>3.5714285714285716</v>
      </c>
      <c r="R19">
        <f ca="1">IF($P19=0,0,IF($Q19&gt;='Guide &amp; Settings'!$C$48,(INT($Q19-'Guide &amp; Settings'!$C$48)+1)*'Guide &amp; Settings'!$C$49,0))</f>
        <v>0</v>
      </c>
      <c r="S19">
        <f ca="1">$B19-$R19-$U19+SUMIF('Poker Stake Ledger'!$C$18:$C$137,$A19,'Poker Stake Ledger'!$K$18:$K$137)</f>
        <v>1080.3830919749923</v>
      </c>
      <c r="T19" t="str">
        <f ca="1">IF($P19=0,"No games",IF($Q19&gt;='Guide &amp; Settings'!$C$48,"Inactive",IF($Q19&gt;='Guide &amp; Settings'!$C$47,"At risk","Active")))</f>
        <v>At risk</v>
      </c>
      <c r="U19">
        <f>SUMIF('Match Log'!$D$4:$D$810,$A19,'Match Log'!$AC$4:$AC$810)</f>
        <v>0</v>
      </c>
      <c r="V19">
        <f t="shared" si="9"/>
        <v>0</v>
      </c>
      <c r="W19">
        <f t="shared" ca="1" si="10"/>
        <v>70.095772993748085</v>
      </c>
      <c r="X19">
        <f ca="1">IFERROR(INDEX(Dashboard!$G$5:$G$18,MATCH($A19,Dashboard!$B$5:$B$18,0))*100,0)</f>
        <v>66.666666666666657</v>
      </c>
      <c r="Y19">
        <f ca="1">MIN(100,IFERROR(INDEX(Dashboard!$K$5:$K$18,MATCH($A19,Dashboard!$B$5:$B$18,0)),0)/5*50+$AC19/4*50)</f>
        <v>55</v>
      </c>
      <c r="Z19">
        <f t="shared" si="11"/>
        <v>80</v>
      </c>
      <c r="AA19">
        <f t="shared" si="12"/>
        <v>62.798440336180647</v>
      </c>
      <c r="AB19">
        <f t="shared" ca="1" si="13"/>
        <v>67.146697914763223</v>
      </c>
      <c r="AC19">
        <f>IFERROR(SUMPRODUCT((INDEX('Sport Records'!$B$8:$O$26,0,MATCH($A19,'Sport Records'!$B$7:$O$7,0))&gt;=2)*(INDEX('Sport Records'!$B$58:$O$76,0,MATCH($A19,'Sport Records'!$B$57:$O$57,0))&gt;=0.5)),0)</f>
        <v>2</v>
      </c>
      <c r="AD19">
        <f ca="1">IFERROR(INDEX(Dashboard!$D$5:$D$18,MATCH($A19,Dashboard!$B$5:$B$18,0)),0)</f>
        <v>9</v>
      </c>
      <c r="AE19">
        <f ca="1">IFERROR(INDEX(Dashboard!$K$5:$K$18,MATCH($A19,Dashboard!$B$5:$B$18,0)),0)</f>
        <v>3</v>
      </c>
      <c r="AF19" t="str">
        <f t="shared" ca="1" si="14"/>
        <v>Strong</v>
      </c>
      <c r="AG19">
        <f ca="1">COUNTIFS('Match Log'!$D$4:$D$810,$A19,'Match Log'!$B$4:$B$810,"&gt;="&amp;$B$5)</f>
        <v>0</v>
      </c>
      <c r="AH19">
        <f ca="1">COUNTIFS('Match Log'!$D$4:$D$810,$A19,'Match Log'!$B$4:$B$810,"&gt;="&amp;$B$5,'Match Log'!$E$4:$E$810,"Win")</f>
        <v>0</v>
      </c>
      <c r="AI19">
        <f t="shared" ca="1" si="15"/>
        <v>1080.3830938749923</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t="str">
        <f t="shared" ca="1" si="30"/>
        <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t="str">
        <f t="shared" ca="1" si="30"/>
        <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t="str">
        <f t="shared" ca="1" si="30"/>
        <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t="str">
        <f t="shared" ca="1" si="30"/>
        <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t="str">
        <f t="shared" ca="1" si="30"/>
        <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t="str">
        <f t="shared" ca="1" si="30"/>
        <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t="str">
        <f t="shared" ca="1" si="30"/>
        <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t="str">
        <f t="shared" ca="1" si="30"/>
        <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t="str">
        <f t="shared" ca="1" si="30"/>
        <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t="str">
        <f t="shared" ca="1" si="30"/>
        <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t="str">
        <f t="shared" ca="1" si="30"/>
        <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t="str">
        <f t="shared" ca="1" si="30"/>
        <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t="str">
        <f t="shared" ca="1" si="30"/>
        <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t="str">
        <f t="shared" ca="1" si="30"/>
        <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t="str">
        <f t="shared" ca="1" si="30"/>
        <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t="str">
        <f t="shared" ca="1" si="30"/>
        <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t="str">
        <f t="shared" ca="1" si="30"/>
        <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t="str">
        <f t="shared" ca="1" si="30"/>
        <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t="str">
        <f t="shared" ca="1" si="30"/>
        <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t="str">
        <f t="shared" ca="1" si="30"/>
        <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t="str">
        <f t="shared" ca="1" si="30"/>
        <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t="str">
        <f t="shared" ca="1" si="30"/>
        <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t="str">
        <f t="shared" ca="1" si="30"/>
        <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t="str">
        <f t="shared" ca="1" si="30"/>
        <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t="str">
        <f t="shared" ca="1" si="30"/>
        <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t="str">
        <f t="shared" ca="1" si="30"/>
        <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t="str">
        <f t="shared" ca="1" si="30"/>
        <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t="str">
        <f t="shared" ca="1" si="30"/>
        <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t="str">
        <f t="shared" ca="1" si="30"/>
        <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t="str">
        <f t="shared" ca="1" si="30"/>
        <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t="str">
        <f t="shared" ca="1" si="30"/>
        <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t="str">
        <f t="shared" ca="1" si="30"/>
        <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t="str">
        <f t="shared" ca="1" si="30"/>
        <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t="str">
        <f t="shared" ca="1" si="30"/>
        <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t="str">
        <f t="shared" ca="1" si="30"/>
        <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t="str">
        <f t="shared" ca="1" si="30"/>
        <v/>
      </c>
    </row>
    <row r="187" spans="1:25" x14ac:dyDescent="0.2">
      <c r="A187">
        <v>163</v>
      </c>
      <c r="B187">
        <f>IFERROR(INDEX('Match Log'!$B$4:$B$810,MATCH(163,'Match Log'!$A$4:$A$810,0)),"")</f>
        <v>46220</v>
      </c>
      <c r="C187" t="str">
        <f>IFERROR(INDEX('Match Log'!$C$4:$C$810,MATCH(163,'Match Log'!$A$4:$A$810,0)),"")</f>
        <v>Call of Duty</v>
      </c>
      <c r="D187" t="str">
        <f t="array" ref="D187">IFERROR(_xlfn.TEXTJOIN(" + ",TRUE,IF(('Match Log'!$A$4:$A$810=$A187)*('Match Log'!$E$4:$E$810="Win"),'Match Log'!$D$4:$D$810,"")),IFERROR(LOOKUP(2,1/(('Match Log'!$A$4:$A$810=$A187)*('Match Log'!$E$4:$E$810="Win")),'Match Log'!$D$4:$D$810),""))</f>
        <v>Daniel (Ferret)</v>
      </c>
      <c r="E187">
        <f>IFERROR(INDEX('Match Log'!$F$4:$F$810,MATCH(163,'Match Log'!$A$4:$A$810,0)),"")</f>
        <v>2</v>
      </c>
      <c r="F187">
        <f>IFERROR(SUMIFS('Match Log'!$I$4:$I$810,'Match Log'!$A$4:$A$810,163,'Match Log'!$E$4:$E$810,"Win"),"")</f>
        <v>0.6</v>
      </c>
      <c r="G187">
        <f t="shared" si="28"/>
        <v>-0.19999999999999996</v>
      </c>
      <c r="H187" t="str">
        <f t="array" ref="H187">IFERROR(IF(COUNTIFS('Match Log'!$A$4:$A$810,$A187,'Match Log'!$E$4:$E$810,"Win")&gt;1,_xlfn.TEXTJOIN(" + ",TRUE,IF(('Match Log'!$A$4:$A$810=$A187)*('Match Log'!$E$4:$E$810="Loss"),'Match Log'!$D$4:$D$810,"")),IF($E187=2,LOOKUP(2,1/(('Match Log'!$A$4:$A$810=$A187)*('Match Log'!$E$4:$E$810="Loss")),'Match Log'!$D$4:$D$810),"the field")),"")</f>
        <v>Aaron</v>
      </c>
      <c r="I187">
        <f t="shared" si="29"/>
        <v>-0.20016299999999995</v>
      </c>
      <c r="J187">
        <v>163</v>
      </c>
      <c r="K187">
        <f>IF($J187&gt;MAX('Match Log'!$A$4:$A$810),NA(),IFERROR(LOOKUP(2,1/(('Match Log'!$D$4:$D$810=$K$24)*('Match Log'!$A$4:$A$810&lt;=$J187)),'Match Log'!$N$4:$N$810),NA()))</f>
        <v>1019.1856997518938</v>
      </c>
      <c r="L187">
        <f>IF($J187&gt;MAX('Match Log'!$A$4:$A$810),NA(),IFERROR(LOOKUP(2,1/(('Match Log'!$D$4:$D$810=$L$24)*('Match Log'!$A$4:$A$810&lt;=$J187)),'Match Log'!$N$4:$N$810),NA()))</f>
        <v>1029.5175965335138</v>
      </c>
      <c r="M187">
        <f>IF($J187&gt;MAX('Match Log'!$A$4:$A$810),NA(),IFERROR(LOOKUP(2,1/(('Match Log'!$D$4:$D$810=$M$24)*('Match Log'!$A$4:$A$810&lt;=$J187)),'Match Log'!$N$4:$N$810),NA()))</f>
        <v>1065.488687696035</v>
      </c>
      <c r="N187">
        <f>IF($J187&gt;MAX('Match Log'!$A$4:$A$810),NA(),IFERROR(LOOKUP(2,1/(('Match Log'!$D$4:$D$810=$N$24)*('Match Log'!$A$4:$A$810&lt;=$J187)),'Match Log'!$N$4:$N$810),NA()))</f>
        <v>973.19705892757202</v>
      </c>
      <c r="O187">
        <f>IF($J187&gt;MAX('Match Log'!$A$4:$A$810),NA(),IFERROR(LOOKUP(2,1/(('Match Log'!$D$4:$D$810=$O$24)*('Match Log'!$A$4:$A$810&lt;=$J187)),'Match Log'!$N$4:$N$810),NA()))</f>
        <v>1063.3497487715442</v>
      </c>
      <c r="P187">
        <f>IF($J187&gt;MAX('Match Log'!$A$4:$A$810),NA(),IFERROR(LOOKUP(2,1/(('Match Log'!$D$4:$D$810=$P$24)*('Match Log'!$A$4:$A$810&lt;=$J187)),'Match Log'!$N$4:$N$810),NA()))</f>
        <v>1160.9394220743627</v>
      </c>
      <c r="Q187">
        <f>IF($J187&gt;MAX('Match Log'!$A$4:$A$810),NA(),IFERROR(LOOKUP(2,1/(('Match Log'!$D$4:$D$810=$Q$24)*('Match Log'!$A$4:$A$810&lt;=$J187)),'Match Log'!$N$4:$N$810),NA()))</f>
        <v>1051.594831345267</v>
      </c>
      <c r="R187">
        <f>IF($J187&gt;MAX('Match Log'!$A$4:$A$810),NA(),IFERROR(LOOKUP(2,1/(('Match Log'!$D$4:$D$810=$R$24)*('Match Log'!$A$4:$A$810&lt;=$J187)),'Match Log'!$N$4:$N$810),NA()))</f>
        <v>1043.8473009892027</v>
      </c>
      <c r="S187">
        <f>IF($J187&gt;MAX('Match Log'!$A$4:$A$810),NA(),IFERROR(LOOKUP(2,1/(('Match Log'!$D$4:$D$810=$S$24)*('Match Log'!$A$4:$A$810&lt;=$J187)),'Match Log'!$N$4:$N$810),NA()))</f>
        <v>1241.7029363250533</v>
      </c>
      <c r="T187">
        <f>IF($J187&gt;MAX('Match Log'!$A$4:$A$810),NA(),IFERROR(LOOKUP(2,1/(('Match Log'!$D$4:$D$810=$T$24)*('Match Log'!$A$4:$A$810&lt;=$J187)),'Match Log'!$N$4:$N$810),NA()))</f>
        <v>893.15761519837804</v>
      </c>
      <c r="U187">
        <f>IF($J187&gt;MAX('Match Log'!$A$4:$A$810),NA(),IFERROR(LOOKUP(2,1/(('Match Log'!$D$4:$D$810=$U$24)*('Match Log'!$A$4:$A$810&lt;=$J187)),'Match Log'!$N$4:$N$810),NA()))</f>
        <v>1059.440281924557</v>
      </c>
      <c r="V187">
        <f>IF($J187&gt;MAX('Match Log'!$A$4:$A$810),NA(),IFERROR(LOOKUP(2,1/(('Match Log'!$D$4:$D$810=$V$24)*('Match Log'!$A$4:$A$810&lt;=$J187)),'Match Log'!$N$4:$N$810),NA()))</f>
        <v>1009.152401464836</v>
      </c>
      <c r="W187">
        <f>IF($J187&gt;MAX('Match Log'!$A$4:$A$810),NA(),IFERROR(LOOKUP(2,1/(('Match Log'!$D$4:$D$810=$W$24)*('Match Log'!$A$4:$A$810&lt;=$J187)),'Match Log'!$N$4:$N$810),NA()))</f>
        <v>1052.4264189977837</v>
      </c>
      <c r="X187" t="e">
        <f>IF($J187&gt;MAX('Match Log'!$A$4:$A$810),NA(),IFERROR(LOOKUP(2,1/(('Match Log'!$D$4:$D$810=$X$24)*('Match Log'!$A$4:$A$810&lt;=$J187)),'Match Log'!$N$4:$N$810),NA()))</f>
        <v>#N/A</v>
      </c>
      <c r="Y187" t="str">
        <f t="shared" ca="1" si="30"/>
        <v/>
      </c>
    </row>
    <row r="188" spans="1:25" x14ac:dyDescent="0.2">
      <c r="A188">
        <v>164</v>
      </c>
      <c r="B188">
        <f>IFERROR(INDEX('Match Log'!$B$4:$B$810,MATCH(164,'Match Log'!$A$4:$A$810,0)),"")</f>
        <v>46220</v>
      </c>
      <c r="C188" t="str">
        <f>IFERROR(INDEX('Match Log'!$C$4:$C$810,MATCH(164,'Match Log'!$A$4:$A$810,0)),"")</f>
        <v>Call of Duty</v>
      </c>
      <c r="D188" t="str">
        <f t="array" ref="D188">IFERROR(_xlfn.TEXTJOIN(" + ",TRUE,IF(('Match Log'!$A$4:$A$810=$A188)*('Match Log'!$E$4:$E$810="Win"),'Match Log'!$D$4:$D$810,"")),IFERROR(LOOKUP(2,1/(('Match Log'!$A$4:$A$810=$A188)*('Match Log'!$E$4:$E$810="Win")),'Match Log'!$D$4:$D$810),""))</f>
        <v>Daniel (Ferret)</v>
      </c>
      <c r="E188">
        <f>IFERROR(INDEX('Match Log'!$F$4:$F$810,MATCH(164,'Match Log'!$A$4:$A$810,0)),"")</f>
        <v>2</v>
      </c>
      <c r="F188">
        <f>IFERROR(SUMIFS('Match Log'!$I$4:$I$810,'Match Log'!$A$4:$A$810,164,'Match Log'!$E$4:$E$810,"Win"),"")</f>
        <v>0.66666666666666663</v>
      </c>
      <c r="G188">
        <f t="shared" si="28"/>
        <v>-0.33333333333333326</v>
      </c>
      <c r="H188" t="str">
        <f t="array" ref="H188">IFERROR(IF(COUNTIFS('Match Log'!$A$4:$A$810,$A188,'Match Log'!$E$4:$E$810,"Win")&gt;1,_xlfn.TEXTJOIN(" + ",TRUE,IF(('Match Log'!$A$4:$A$810=$A188)*('Match Log'!$E$4:$E$810="Loss"),'Match Log'!$D$4:$D$810,"")),IF($E188=2,LOOKUP(2,1/(('Match Log'!$A$4:$A$810=$A188)*('Match Log'!$E$4:$E$810="Loss")),'Match Log'!$D$4:$D$810),"the field")),"")</f>
        <v>Aaron</v>
      </c>
      <c r="I188">
        <f t="shared" si="29"/>
        <v>-0.33349733333333326</v>
      </c>
      <c r="J188">
        <v>164</v>
      </c>
      <c r="K188">
        <f>IF($J188&gt;MAX('Match Log'!$A$4:$A$810),NA(),IFERROR(LOOKUP(2,1/(('Match Log'!$D$4:$D$810=$K$24)*('Match Log'!$A$4:$A$810&lt;=$J188)),'Match Log'!$N$4:$N$810),NA()))</f>
        <v>1000.9309461291805</v>
      </c>
      <c r="L188">
        <f>IF($J188&gt;MAX('Match Log'!$A$4:$A$810),NA(),IFERROR(LOOKUP(2,1/(('Match Log'!$D$4:$D$810=$L$24)*('Match Log'!$A$4:$A$810&lt;=$J188)),'Match Log'!$N$4:$N$810),NA()))</f>
        <v>1029.5175965335138</v>
      </c>
      <c r="M188">
        <f>IF($J188&gt;MAX('Match Log'!$A$4:$A$810),NA(),IFERROR(LOOKUP(2,1/(('Match Log'!$D$4:$D$810=$M$24)*('Match Log'!$A$4:$A$810&lt;=$J188)),'Match Log'!$N$4:$N$810),NA()))</f>
        <v>1065.488687696035</v>
      </c>
      <c r="N188">
        <f>IF($J188&gt;MAX('Match Log'!$A$4:$A$810),NA(),IFERROR(LOOKUP(2,1/(('Match Log'!$D$4:$D$810=$N$24)*('Match Log'!$A$4:$A$810&lt;=$J188)),'Match Log'!$N$4:$N$810),NA()))</f>
        <v>973.19705892757202</v>
      </c>
      <c r="O188">
        <f>IF($J188&gt;MAX('Match Log'!$A$4:$A$810),NA(),IFERROR(LOOKUP(2,1/(('Match Log'!$D$4:$D$810=$O$24)*('Match Log'!$A$4:$A$810&lt;=$J188)),'Match Log'!$N$4:$N$810),NA()))</f>
        <v>1063.3497487715442</v>
      </c>
      <c r="P188">
        <f>IF($J188&gt;MAX('Match Log'!$A$4:$A$810),NA(),IFERROR(LOOKUP(2,1/(('Match Log'!$D$4:$D$810=$P$24)*('Match Log'!$A$4:$A$810&lt;=$J188)),'Match Log'!$N$4:$N$810),NA()))</f>
        <v>1160.9394220743627</v>
      </c>
      <c r="Q188">
        <f>IF($J188&gt;MAX('Match Log'!$A$4:$A$810),NA(),IFERROR(LOOKUP(2,1/(('Match Log'!$D$4:$D$810=$Q$24)*('Match Log'!$A$4:$A$810&lt;=$J188)),'Match Log'!$N$4:$N$810),NA()))</f>
        <v>1051.594831345267</v>
      </c>
      <c r="R188">
        <f>IF($J188&gt;MAX('Match Log'!$A$4:$A$810),NA(),IFERROR(LOOKUP(2,1/(('Match Log'!$D$4:$D$810=$R$24)*('Match Log'!$A$4:$A$810&lt;=$J188)),'Match Log'!$N$4:$N$810),NA()))</f>
        <v>1062.1020546119159</v>
      </c>
      <c r="S188">
        <f>IF($J188&gt;MAX('Match Log'!$A$4:$A$810),NA(),IFERROR(LOOKUP(2,1/(('Match Log'!$D$4:$D$810=$S$24)*('Match Log'!$A$4:$A$810&lt;=$J188)),'Match Log'!$N$4:$N$810),NA()))</f>
        <v>1241.7029363250533</v>
      </c>
      <c r="T188">
        <f>IF($J188&gt;MAX('Match Log'!$A$4:$A$810),NA(),IFERROR(LOOKUP(2,1/(('Match Log'!$D$4:$D$810=$T$24)*('Match Log'!$A$4:$A$810&lt;=$J188)),'Match Log'!$N$4:$N$810),NA()))</f>
        <v>893.15761519837804</v>
      </c>
      <c r="U188">
        <f>IF($J188&gt;MAX('Match Log'!$A$4:$A$810),NA(),IFERROR(LOOKUP(2,1/(('Match Log'!$D$4:$D$810=$U$24)*('Match Log'!$A$4:$A$810&lt;=$J188)),'Match Log'!$N$4:$N$810),NA()))</f>
        <v>1059.440281924557</v>
      </c>
      <c r="V188">
        <f>IF($J188&gt;MAX('Match Log'!$A$4:$A$810),NA(),IFERROR(LOOKUP(2,1/(('Match Log'!$D$4:$D$810=$V$24)*('Match Log'!$A$4:$A$810&lt;=$J188)),'Match Log'!$N$4:$N$810),NA()))</f>
        <v>1009.152401464836</v>
      </c>
      <c r="W188">
        <f>IF($J188&gt;MAX('Match Log'!$A$4:$A$810),NA(),IFERROR(LOOKUP(2,1/(('Match Log'!$D$4:$D$810=$W$24)*('Match Log'!$A$4:$A$810&lt;=$J188)),'Match Log'!$N$4:$N$810),NA()))</f>
        <v>1052.4264189977837</v>
      </c>
      <c r="X188" t="e">
        <f>IF($J188&gt;MAX('Match Log'!$A$4:$A$810),NA(),IFERROR(LOOKUP(2,1/(('Match Log'!$D$4:$D$810=$X$24)*('Match Log'!$A$4:$A$810&lt;=$J188)),'Match Log'!$N$4:$N$810),NA()))</f>
        <v>#N/A</v>
      </c>
      <c r="Y188" t="str">
        <f t="shared" ca="1" si="30"/>
        <v/>
      </c>
    </row>
    <row r="189" spans="1:25" x14ac:dyDescent="0.2">
      <c r="A189">
        <v>165</v>
      </c>
      <c r="B189">
        <f>IFERROR(INDEX('Match Log'!$B$4:$B$810,MATCH(165,'Match Log'!$A$4:$A$810,0)),"")</f>
        <v>46220</v>
      </c>
      <c r="C189" t="str">
        <f>IFERROR(INDEX('Match Log'!$C$4:$C$810,MATCH(165,'Match Log'!$A$4:$A$810,0)),"")</f>
        <v>Call of Duty</v>
      </c>
      <c r="D189" t="str">
        <f t="array" ref="D189">IFERROR(_xlfn.TEXTJOIN(" + ",TRUE,IF(('Match Log'!$A$4:$A$810=$A189)*('Match Log'!$E$4:$E$810="Win"),'Match Log'!$D$4:$D$810,"")),IFERROR(LOOKUP(2,1/(('Match Log'!$A$4:$A$810=$A189)*('Match Log'!$E$4:$E$810="Win")),'Match Log'!$D$4:$D$810),""))</f>
        <v>Daniel (Ferret)</v>
      </c>
      <c r="E189">
        <f>IFERROR(INDEX('Match Log'!$F$4:$F$810,MATCH(165,'Match Log'!$A$4:$A$810,0)),"")</f>
        <v>2</v>
      </c>
      <c r="F189">
        <f>IFERROR(SUMIFS('Match Log'!$I$4:$I$810,'Match Log'!$A$4:$A$810,165,'Match Log'!$E$4:$E$810,"Win"),"")</f>
        <v>0.7142857142857143</v>
      </c>
      <c r="G189">
        <f t="shared" si="28"/>
        <v>-0.4285714285714286</v>
      </c>
      <c r="H189" t="str">
        <f t="array" ref="H189">IFERROR(IF(COUNTIFS('Match Log'!$A$4:$A$810,$A189,'Match Log'!$E$4:$E$810,"Win")&gt;1,_xlfn.TEXTJOIN(" + ",TRUE,IF(('Match Log'!$A$4:$A$810=$A189)*('Match Log'!$E$4:$E$810="Loss"),'Match Log'!$D$4:$D$810,"")),IF($E189=2,LOOKUP(2,1/(('Match Log'!$A$4:$A$810=$A189)*('Match Log'!$E$4:$E$810="Loss")),'Match Log'!$D$4:$D$810),"the field")),"")</f>
        <v>Aaron</v>
      </c>
      <c r="I189">
        <f t="shared" si="29"/>
        <v>-0.42873642857142863</v>
      </c>
      <c r="J189">
        <v>165</v>
      </c>
      <c r="K189">
        <f>IF($J189&gt;MAX('Match Log'!$A$4:$A$810),NA(),IFERROR(LOOKUP(2,1/(('Match Log'!$D$4:$D$810=$K$24)*('Match Log'!$A$4:$A$810&lt;=$J189)),'Match Log'!$N$4:$N$810),NA()))</f>
        <v>984.79733004555192</v>
      </c>
      <c r="L189">
        <f>IF($J189&gt;MAX('Match Log'!$A$4:$A$810),NA(),IFERROR(LOOKUP(2,1/(('Match Log'!$D$4:$D$810=$L$24)*('Match Log'!$A$4:$A$810&lt;=$J189)),'Match Log'!$N$4:$N$810),NA()))</f>
        <v>1029.5175965335138</v>
      </c>
      <c r="M189">
        <f>IF($J189&gt;MAX('Match Log'!$A$4:$A$810),NA(),IFERROR(LOOKUP(2,1/(('Match Log'!$D$4:$D$810=$M$24)*('Match Log'!$A$4:$A$810&lt;=$J189)),'Match Log'!$N$4:$N$810),NA()))</f>
        <v>1065.488687696035</v>
      </c>
      <c r="N189">
        <f>IF($J189&gt;MAX('Match Log'!$A$4:$A$810),NA(),IFERROR(LOOKUP(2,1/(('Match Log'!$D$4:$D$810=$N$24)*('Match Log'!$A$4:$A$810&lt;=$J189)),'Match Log'!$N$4:$N$810),NA()))</f>
        <v>973.19705892757202</v>
      </c>
      <c r="O189">
        <f>IF($J189&gt;MAX('Match Log'!$A$4:$A$810),NA(),IFERROR(LOOKUP(2,1/(('Match Log'!$D$4:$D$810=$O$24)*('Match Log'!$A$4:$A$810&lt;=$J189)),'Match Log'!$N$4:$N$810),NA()))</f>
        <v>1063.3497487715442</v>
      </c>
      <c r="P189">
        <f>IF($J189&gt;MAX('Match Log'!$A$4:$A$810),NA(),IFERROR(LOOKUP(2,1/(('Match Log'!$D$4:$D$810=$P$24)*('Match Log'!$A$4:$A$810&lt;=$J189)),'Match Log'!$N$4:$N$810),NA()))</f>
        <v>1160.9394220743627</v>
      </c>
      <c r="Q189">
        <f>IF($J189&gt;MAX('Match Log'!$A$4:$A$810),NA(),IFERROR(LOOKUP(2,1/(('Match Log'!$D$4:$D$810=$Q$24)*('Match Log'!$A$4:$A$810&lt;=$J189)),'Match Log'!$N$4:$N$810),NA()))</f>
        <v>1051.594831345267</v>
      </c>
      <c r="R189">
        <f>IF($J189&gt;MAX('Match Log'!$A$4:$A$810),NA(),IFERROR(LOOKUP(2,1/(('Match Log'!$D$4:$D$810=$R$24)*('Match Log'!$A$4:$A$810&lt;=$J189)),'Match Log'!$N$4:$N$810),NA()))</f>
        <v>1078.2356706955445</v>
      </c>
      <c r="S189">
        <f>IF($J189&gt;MAX('Match Log'!$A$4:$A$810),NA(),IFERROR(LOOKUP(2,1/(('Match Log'!$D$4:$D$810=$S$24)*('Match Log'!$A$4:$A$810&lt;=$J189)),'Match Log'!$N$4:$N$810),NA()))</f>
        <v>1241.7029363250533</v>
      </c>
      <c r="T189">
        <f>IF($J189&gt;MAX('Match Log'!$A$4:$A$810),NA(),IFERROR(LOOKUP(2,1/(('Match Log'!$D$4:$D$810=$T$24)*('Match Log'!$A$4:$A$810&lt;=$J189)),'Match Log'!$N$4:$N$810),NA()))</f>
        <v>893.15761519837804</v>
      </c>
      <c r="U189">
        <f>IF($J189&gt;MAX('Match Log'!$A$4:$A$810),NA(),IFERROR(LOOKUP(2,1/(('Match Log'!$D$4:$D$810=$U$24)*('Match Log'!$A$4:$A$810&lt;=$J189)),'Match Log'!$N$4:$N$810),NA()))</f>
        <v>1059.440281924557</v>
      </c>
      <c r="V189">
        <f>IF($J189&gt;MAX('Match Log'!$A$4:$A$810),NA(),IFERROR(LOOKUP(2,1/(('Match Log'!$D$4:$D$810=$V$24)*('Match Log'!$A$4:$A$810&lt;=$J189)),'Match Log'!$N$4:$N$810),NA()))</f>
        <v>1009.152401464836</v>
      </c>
      <c r="W189">
        <f>IF($J189&gt;MAX('Match Log'!$A$4:$A$810),NA(),IFERROR(LOOKUP(2,1/(('Match Log'!$D$4:$D$810=$W$24)*('Match Log'!$A$4:$A$810&lt;=$J189)),'Match Log'!$N$4:$N$810),NA()))</f>
        <v>1052.4264189977837</v>
      </c>
      <c r="X189" t="e">
        <f>IF($J189&gt;MAX('Match Log'!$A$4:$A$810),NA(),IFERROR(LOOKUP(2,1/(('Match Log'!$D$4:$D$810=$X$24)*('Match Log'!$A$4:$A$810&lt;=$J189)),'Match Log'!$N$4:$N$810),NA()))</f>
        <v>#N/A</v>
      </c>
      <c r="Y189" t="str">
        <f t="shared" ca="1" si="30"/>
        <v/>
      </c>
    </row>
    <row r="190" spans="1:25" x14ac:dyDescent="0.2">
      <c r="A190">
        <v>166</v>
      </c>
      <c r="B190">
        <f>IFERROR(INDEX('Match Log'!$B$4:$B$810,MATCH(166,'Match Log'!$A$4:$A$810,0)),"")</f>
        <v>46220</v>
      </c>
      <c r="C190" t="str">
        <f>IFERROR(INDEX('Match Log'!$C$4:$C$810,MATCH(166,'Match Log'!$A$4:$A$810,0)),"")</f>
        <v>Mario Kart</v>
      </c>
      <c r="D190" t="str">
        <f t="array" ref="D190">IFERROR(_xlfn.TEXTJOIN(" + ",TRUE,IF(('Match Log'!$A$4:$A$810=$A190)*('Match Log'!$E$4:$E$810="Win"),'Match Log'!$D$4:$D$810,"")),IFERROR(LOOKUP(2,1/(('Match Log'!$A$4:$A$810=$A190)*('Match Log'!$E$4:$E$810="Win")),'Match Log'!$D$4:$D$810),""))</f>
        <v>Oscar</v>
      </c>
      <c r="E190">
        <f>IFERROR(INDEX('Match Log'!$F$4:$F$810,MATCH(166,'Match Log'!$A$4:$A$810,0)),"")</f>
        <v>2</v>
      </c>
      <c r="F190">
        <f>IFERROR(SUMIFS('Match Log'!$I$4:$I$810,'Match Log'!$A$4:$A$810,166,'Match Log'!$E$4:$E$810,"Win"),"")</f>
        <v>0.85714285714285721</v>
      </c>
      <c r="G190">
        <f t="shared" si="28"/>
        <v>-0.71428571428571441</v>
      </c>
      <c r="H190" t="str">
        <f t="array" ref="H190">IFERROR(IF(COUNTIFS('Match Log'!$A$4:$A$810,$A190,'Match Log'!$E$4:$E$810,"Win")&gt;1,_xlfn.TEXTJOIN(" + ",TRUE,IF(('Match Log'!$A$4:$A$810=$A190)*('Match Log'!$E$4:$E$810="Loss"),'Match Log'!$D$4:$D$810,"")),IF($E190=2,LOOKUP(2,1/(('Match Log'!$A$4:$A$810=$A190)*('Match Log'!$E$4:$E$810="Loss")),'Match Log'!$D$4:$D$810),"the field")),"")</f>
        <v>Shawn</v>
      </c>
      <c r="I190">
        <f t="shared" si="29"/>
        <v>-0.71445171428571441</v>
      </c>
      <c r="J190">
        <v>166</v>
      </c>
      <c r="K190">
        <f>IF($J190&gt;MAX('Match Log'!$A$4:$A$810),NA(),IFERROR(LOOKUP(2,1/(('Match Log'!$D$4:$D$810=$K$24)*('Match Log'!$A$4:$A$810&lt;=$J190)),'Match Log'!$N$4:$N$810),NA()))</f>
        <v>984.79733004555192</v>
      </c>
      <c r="L190">
        <f>IF($J190&gt;MAX('Match Log'!$A$4:$A$810),NA(),IFERROR(LOOKUP(2,1/(('Match Log'!$D$4:$D$810=$L$24)*('Match Log'!$A$4:$A$810&lt;=$J190)),'Match Log'!$N$4:$N$810),NA()))</f>
        <v>1029.5175965335138</v>
      </c>
      <c r="M190">
        <f>IF($J190&gt;MAX('Match Log'!$A$4:$A$810),NA(),IFERROR(LOOKUP(2,1/(('Match Log'!$D$4:$D$810=$M$24)*('Match Log'!$A$4:$A$810&lt;=$J190)),'Match Log'!$N$4:$N$810),NA()))</f>
        <v>1065.488687696035</v>
      </c>
      <c r="N190">
        <f>IF($J190&gt;MAX('Match Log'!$A$4:$A$810),NA(),IFERROR(LOOKUP(2,1/(('Match Log'!$D$4:$D$810=$N$24)*('Match Log'!$A$4:$A$810&lt;=$J190)),'Match Log'!$N$4:$N$810),NA()))</f>
        <v>973.19705892757202</v>
      </c>
      <c r="O190">
        <f>IF($J190&gt;MAX('Match Log'!$A$4:$A$810),NA(),IFERROR(LOOKUP(2,1/(('Match Log'!$D$4:$D$810=$O$24)*('Match Log'!$A$4:$A$810&lt;=$J190)),'Match Log'!$N$4:$N$810),NA()))</f>
        <v>1063.3497487715442</v>
      </c>
      <c r="P190">
        <f>IF($J190&gt;MAX('Match Log'!$A$4:$A$810),NA(),IFERROR(LOOKUP(2,1/(('Match Log'!$D$4:$D$810=$P$24)*('Match Log'!$A$4:$A$810&lt;=$J190)),'Match Log'!$N$4:$N$810),NA()))</f>
        <v>1145.1902075994426</v>
      </c>
      <c r="Q190">
        <f>IF($J190&gt;MAX('Match Log'!$A$4:$A$810),NA(),IFERROR(LOOKUP(2,1/(('Match Log'!$D$4:$D$810=$Q$24)*('Match Log'!$A$4:$A$810&lt;=$J190)),'Match Log'!$N$4:$N$810),NA()))</f>
        <v>1051.594831345267</v>
      </c>
      <c r="R190">
        <f>IF($J190&gt;MAX('Match Log'!$A$4:$A$810),NA(),IFERROR(LOOKUP(2,1/(('Match Log'!$D$4:$D$810=$R$24)*('Match Log'!$A$4:$A$810&lt;=$J190)),'Match Log'!$N$4:$N$810),NA()))</f>
        <v>1078.2356706955445</v>
      </c>
      <c r="S190">
        <f>IF($J190&gt;MAX('Match Log'!$A$4:$A$810),NA(),IFERROR(LOOKUP(2,1/(('Match Log'!$D$4:$D$810=$S$24)*('Match Log'!$A$4:$A$810&lt;=$J190)),'Match Log'!$N$4:$N$810),NA()))</f>
        <v>1241.7029363250533</v>
      </c>
      <c r="T190">
        <f>IF($J190&gt;MAX('Match Log'!$A$4:$A$810),NA(),IFERROR(LOOKUP(2,1/(('Match Log'!$D$4:$D$810=$T$24)*('Match Log'!$A$4:$A$810&lt;=$J190)),'Match Log'!$N$4:$N$810),NA()))</f>
        <v>893.15761519837804</v>
      </c>
      <c r="U190">
        <f>IF($J190&gt;MAX('Match Log'!$A$4:$A$810),NA(),IFERROR(LOOKUP(2,1/(('Match Log'!$D$4:$D$810=$U$24)*('Match Log'!$A$4:$A$810&lt;=$J190)),'Match Log'!$N$4:$N$810),NA()))</f>
        <v>1075.1894963994771</v>
      </c>
      <c r="V190">
        <f>IF($J190&gt;MAX('Match Log'!$A$4:$A$810),NA(),IFERROR(LOOKUP(2,1/(('Match Log'!$D$4:$D$810=$V$24)*('Match Log'!$A$4:$A$810&lt;=$J190)),'Match Log'!$N$4:$N$810),NA()))</f>
        <v>1009.152401464836</v>
      </c>
      <c r="W190">
        <f>IF($J190&gt;MAX('Match Log'!$A$4:$A$810),NA(),IFERROR(LOOKUP(2,1/(('Match Log'!$D$4:$D$810=$W$24)*('Match Log'!$A$4:$A$810&lt;=$J190)),'Match Log'!$N$4:$N$810),NA()))</f>
        <v>1052.4264189977837</v>
      </c>
      <c r="X190" t="e">
        <f>IF($J190&gt;MAX('Match Log'!$A$4:$A$810),NA(),IFERROR(LOOKUP(2,1/(('Match Log'!$D$4:$D$810=$X$24)*('Match Log'!$A$4:$A$810&lt;=$J190)),'Match Log'!$N$4:$N$810),NA()))</f>
        <v>#N/A</v>
      </c>
      <c r="Y190" t="str">
        <f t="shared" ca="1" si="30"/>
        <v/>
      </c>
    </row>
    <row r="191" spans="1:25" x14ac:dyDescent="0.2">
      <c r="A191">
        <v>167</v>
      </c>
      <c r="B191">
        <f>IFERROR(INDEX('Match Log'!$B$4:$B$810,MATCH(167,'Match Log'!$A$4:$A$810,0)),"")</f>
        <v>46220</v>
      </c>
      <c r="C191" t="str">
        <f>IFERROR(INDEX('Match Log'!$C$4:$C$810,MATCH(167,'Match Log'!$A$4:$A$810,0)),"")</f>
        <v>Mario Kart</v>
      </c>
      <c r="D191" t="str">
        <f t="array" ref="D191">IFERROR(_xlfn.TEXTJOIN(" + ",TRUE,IF(('Match Log'!$A$4:$A$810=$A191)*('Match Log'!$E$4:$E$810="Win"),'Match Log'!$D$4:$D$810,"")),IFERROR(LOOKUP(2,1/(('Match Log'!$A$4:$A$810=$A191)*('Match Log'!$E$4:$E$810="Win")),'Match Log'!$D$4:$D$810),""))</f>
        <v>Oscar</v>
      </c>
      <c r="E191">
        <f>IFERROR(INDEX('Match Log'!$F$4:$F$810,MATCH(167,'Match Log'!$A$4:$A$810,0)),"")</f>
        <v>2</v>
      </c>
      <c r="F191">
        <f>IFERROR(SUMIFS('Match Log'!$I$4:$I$810,'Match Log'!$A$4:$A$810,167,'Match Log'!$E$4:$E$810,"Win"),"")</f>
        <v>0.875</v>
      </c>
      <c r="G191">
        <f t="shared" si="28"/>
        <v>-0.75</v>
      </c>
      <c r="H191" t="str">
        <f t="array" ref="H191">IFERROR(IF(COUNTIFS('Match Log'!$A$4:$A$810,$A191,'Match Log'!$E$4:$E$810,"Win")&gt;1,_xlfn.TEXTJOIN(" + ",TRUE,IF(('Match Log'!$A$4:$A$810=$A191)*('Match Log'!$E$4:$E$810="Loss"),'Match Log'!$D$4:$D$810,"")),IF($E191=2,LOOKUP(2,1/(('Match Log'!$A$4:$A$810=$A191)*('Match Log'!$E$4:$E$810="Loss")),'Match Log'!$D$4:$D$810),"the field")),"")</f>
        <v>Shawn</v>
      </c>
      <c r="I191">
        <f t="shared" si="29"/>
        <v>-0.75016700000000003</v>
      </c>
      <c r="J191">
        <v>167</v>
      </c>
      <c r="K191">
        <f>IF($J191&gt;MAX('Match Log'!$A$4:$A$810),NA(),IFERROR(LOOKUP(2,1/(('Match Log'!$D$4:$D$810=$K$24)*('Match Log'!$A$4:$A$810&lt;=$J191)),'Match Log'!$N$4:$N$810),NA()))</f>
        <v>984.79733004555192</v>
      </c>
      <c r="L191">
        <f>IF($J191&gt;MAX('Match Log'!$A$4:$A$810),NA(),IFERROR(LOOKUP(2,1/(('Match Log'!$D$4:$D$810=$L$24)*('Match Log'!$A$4:$A$810&lt;=$J191)),'Match Log'!$N$4:$N$810),NA()))</f>
        <v>1029.5175965335138</v>
      </c>
      <c r="M191">
        <f>IF($J191&gt;MAX('Match Log'!$A$4:$A$810),NA(),IFERROR(LOOKUP(2,1/(('Match Log'!$D$4:$D$810=$M$24)*('Match Log'!$A$4:$A$810&lt;=$J191)),'Match Log'!$N$4:$N$810),NA()))</f>
        <v>1065.488687696035</v>
      </c>
      <c r="N191">
        <f>IF($J191&gt;MAX('Match Log'!$A$4:$A$810),NA(),IFERROR(LOOKUP(2,1/(('Match Log'!$D$4:$D$810=$N$24)*('Match Log'!$A$4:$A$810&lt;=$J191)),'Match Log'!$N$4:$N$810),NA()))</f>
        <v>973.19705892757202</v>
      </c>
      <c r="O191">
        <f>IF($J191&gt;MAX('Match Log'!$A$4:$A$810),NA(),IFERROR(LOOKUP(2,1/(('Match Log'!$D$4:$D$810=$O$24)*('Match Log'!$A$4:$A$810&lt;=$J191)),'Match Log'!$N$4:$N$810),NA()))</f>
        <v>1063.3497487715442</v>
      </c>
      <c r="P191">
        <f>IF($J191&gt;MAX('Match Log'!$A$4:$A$810),NA(),IFERROR(LOOKUP(2,1/(('Match Log'!$D$4:$D$810=$P$24)*('Match Log'!$A$4:$A$810&lt;=$J191)),'Match Log'!$N$4:$N$810),NA()))</f>
        <v>1131.0313964858883</v>
      </c>
      <c r="Q191">
        <f>IF($J191&gt;MAX('Match Log'!$A$4:$A$810),NA(),IFERROR(LOOKUP(2,1/(('Match Log'!$D$4:$D$810=$Q$24)*('Match Log'!$A$4:$A$810&lt;=$J191)),'Match Log'!$N$4:$N$810),NA()))</f>
        <v>1051.594831345267</v>
      </c>
      <c r="R191">
        <f>IF($J191&gt;MAX('Match Log'!$A$4:$A$810),NA(),IFERROR(LOOKUP(2,1/(('Match Log'!$D$4:$D$810=$R$24)*('Match Log'!$A$4:$A$810&lt;=$J191)),'Match Log'!$N$4:$N$810),NA()))</f>
        <v>1078.2356706955445</v>
      </c>
      <c r="S191">
        <f>IF($J191&gt;MAX('Match Log'!$A$4:$A$810),NA(),IFERROR(LOOKUP(2,1/(('Match Log'!$D$4:$D$810=$S$24)*('Match Log'!$A$4:$A$810&lt;=$J191)),'Match Log'!$N$4:$N$810),NA()))</f>
        <v>1241.7029363250533</v>
      </c>
      <c r="T191">
        <f>IF($J191&gt;MAX('Match Log'!$A$4:$A$810),NA(),IFERROR(LOOKUP(2,1/(('Match Log'!$D$4:$D$810=$T$24)*('Match Log'!$A$4:$A$810&lt;=$J191)),'Match Log'!$N$4:$N$810),NA()))</f>
        <v>893.15761519837804</v>
      </c>
      <c r="U191">
        <f>IF($J191&gt;MAX('Match Log'!$A$4:$A$810),NA(),IFERROR(LOOKUP(2,1/(('Match Log'!$D$4:$D$810=$U$24)*('Match Log'!$A$4:$A$810&lt;=$J191)),'Match Log'!$N$4:$N$810),NA()))</f>
        <v>1089.3483075130314</v>
      </c>
      <c r="V191">
        <f>IF($J191&gt;MAX('Match Log'!$A$4:$A$810),NA(),IFERROR(LOOKUP(2,1/(('Match Log'!$D$4:$D$810=$V$24)*('Match Log'!$A$4:$A$810&lt;=$J191)),'Match Log'!$N$4:$N$810),NA()))</f>
        <v>1009.152401464836</v>
      </c>
      <c r="W191">
        <f>IF($J191&gt;MAX('Match Log'!$A$4:$A$810),NA(),IFERROR(LOOKUP(2,1/(('Match Log'!$D$4:$D$810=$W$24)*('Match Log'!$A$4:$A$810&lt;=$J191)),'Match Log'!$N$4:$N$810),NA()))</f>
        <v>1052.4264189977837</v>
      </c>
      <c r="X191" t="e">
        <f>IF($J191&gt;MAX('Match Log'!$A$4:$A$810),NA(),IFERROR(LOOKUP(2,1/(('Match Log'!$D$4:$D$810=$X$24)*('Match Log'!$A$4:$A$810&lt;=$J191)),'Match Log'!$N$4:$N$810),NA()))</f>
        <v>#N/A</v>
      </c>
      <c r="Y191" t="str">
        <f t="shared" ca="1" si="30"/>
        <v/>
      </c>
    </row>
    <row r="192" spans="1:25" x14ac:dyDescent="0.2">
      <c r="A192">
        <v>168</v>
      </c>
      <c r="B192">
        <f>IFERROR(INDEX('Match Log'!$B$4:$B$810,MATCH(168,'Match Log'!$A$4:$A$810,0)),"")</f>
        <v>46220</v>
      </c>
      <c r="C192" t="str">
        <f>IFERROR(INDEX('Match Log'!$C$4:$C$810,MATCH(168,'Match Log'!$A$4:$A$810,0)),"")</f>
        <v>Mario Kart</v>
      </c>
      <c r="D192" t="str">
        <f t="array" ref="D192">IFERROR(_xlfn.TEXTJOIN(" + ",TRUE,IF(('Match Log'!$A$4:$A$810=$A192)*('Match Log'!$E$4:$E$810="Win"),'Match Log'!$D$4:$D$810,"")),IFERROR(LOOKUP(2,1/(('Match Log'!$A$4:$A$810=$A192)*('Match Log'!$E$4:$E$810="Win")),'Match Log'!$D$4:$D$810),""))</f>
        <v>Oscar</v>
      </c>
      <c r="E192">
        <f>IFERROR(INDEX('Match Log'!$F$4:$F$810,MATCH(168,'Match Log'!$A$4:$A$810,0)),"")</f>
        <v>2</v>
      </c>
      <c r="F192">
        <f>IFERROR(SUMIFS('Match Log'!$I$4:$I$810,'Match Log'!$A$4:$A$810,168,'Match Log'!$E$4:$E$810,"Win"),"")</f>
        <v>0.88888888888888884</v>
      </c>
      <c r="G192">
        <f t="shared" si="28"/>
        <v>-0.77777777777777768</v>
      </c>
      <c r="H192" t="str">
        <f t="array" ref="H192">IFERROR(IF(COUNTIFS('Match Log'!$A$4:$A$810,$A192,'Match Log'!$E$4:$E$810,"Win")&gt;1,_xlfn.TEXTJOIN(" + ",TRUE,IF(('Match Log'!$A$4:$A$810=$A192)*('Match Log'!$E$4:$E$810="Loss"),'Match Log'!$D$4:$D$810,"")),IF($E192=2,LOOKUP(2,1/(('Match Log'!$A$4:$A$810=$A192)*('Match Log'!$E$4:$E$810="Loss")),'Match Log'!$D$4:$D$810),"the field")),"")</f>
        <v>Shawn</v>
      </c>
      <c r="I192">
        <f t="shared" si="29"/>
        <v>-0.77794577777777763</v>
      </c>
      <c r="J192">
        <v>168</v>
      </c>
      <c r="K192">
        <f>IF($J192&gt;MAX('Match Log'!$A$4:$A$810),NA(),IFERROR(LOOKUP(2,1/(('Match Log'!$D$4:$D$810=$K$24)*('Match Log'!$A$4:$A$810&lt;=$J192)),'Match Log'!$N$4:$N$810),NA()))</f>
        <v>984.79733004555192</v>
      </c>
      <c r="L192">
        <f>IF($J192&gt;MAX('Match Log'!$A$4:$A$810),NA(),IFERROR(LOOKUP(2,1/(('Match Log'!$D$4:$D$810=$L$24)*('Match Log'!$A$4:$A$810&lt;=$J192)),'Match Log'!$N$4:$N$810),NA()))</f>
        <v>1029.5175965335138</v>
      </c>
      <c r="M192">
        <f>IF($J192&gt;MAX('Match Log'!$A$4:$A$810),NA(),IFERROR(LOOKUP(2,1/(('Match Log'!$D$4:$D$810=$M$24)*('Match Log'!$A$4:$A$810&lt;=$J192)),'Match Log'!$N$4:$N$810),NA()))</f>
        <v>1065.488687696035</v>
      </c>
      <c r="N192">
        <f>IF($J192&gt;MAX('Match Log'!$A$4:$A$810),NA(),IFERROR(LOOKUP(2,1/(('Match Log'!$D$4:$D$810=$N$24)*('Match Log'!$A$4:$A$810&lt;=$J192)),'Match Log'!$N$4:$N$810),NA()))</f>
        <v>973.19705892757202</v>
      </c>
      <c r="O192">
        <f>IF($J192&gt;MAX('Match Log'!$A$4:$A$810),NA(),IFERROR(LOOKUP(2,1/(('Match Log'!$D$4:$D$810=$O$24)*('Match Log'!$A$4:$A$810&lt;=$J192)),'Match Log'!$N$4:$N$810),NA()))</f>
        <v>1063.3497487715442</v>
      </c>
      <c r="P192">
        <f>IF($J192&gt;MAX('Match Log'!$A$4:$A$810),NA(),IFERROR(LOOKUP(2,1/(('Match Log'!$D$4:$D$810=$P$24)*('Match Log'!$A$4:$A$810&lt;=$J192)),'Match Log'!$N$4:$N$810),NA()))</f>
        <v>1118.2172707254963</v>
      </c>
      <c r="Q192">
        <f>IF($J192&gt;MAX('Match Log'!$A$4:$A$810),NA(),IFERROR(LOOKUP(2,1/(('Match Log'!$D$4:$D$810=$Q$24)*('Match Log'!$A$4:$A$810&lt;=$J192)),'Match Log'!$N$4:$N$810),NA()))</f>
        <v>1051.594831345267</v>
      </c>
      <c r="R192">
        <f>IF($J192&gt;MAX('Match Log'!$A$4:$A$810),NA(),IFERROR(LOOKUP(2,1/(('Match Log'!$D$4:$D$810=$R$24)*('Match Log'!$A$4:$A$810&lt;=$J192)),'Match Log'!$N$4:$N$810),NA()))</f>
        <v>1078.2356706955445</v>
      </c>
      <c r="S192">
        <f>IF($J192&gt;MAX('Match Log'!$A$4:$A$810),NA(),IFERROR(LOOKUP(2,1/(('Match Log'!$D$4:$D$810=$S$24)*('Match Log'!$A$4:$A$810&lt;=$J192)),'Match Log'!$N$4:$N$810),NA()))</f>
        <v>1241.7029363250533</v>
      </c>
      <c r="T192">
        <f>IF($J192&gt;MAX('Match Log'!$A$4:$A$810),NA(),IFERROR(LOOKUP(2,1/(('Match Log'!$D$4:$D$810=$T$24)*('Match Log'!$A$4:$A$810&lt;=$J192)),'Match Log'!$N$4:$N$810),NA()))</f>
        <v>893.15761519837804</v>
      </c>
      <c r="U192">
        <f>IF($J192&gt;MAX('Match Log'!$A$4:$A$810),NA(),IFERROR(LOOKUP(2,1/(('Match Log'!$D$4:$D$810=$U$24)*('Match Log'!$A$4:$A$810&lt;=$J192)),'Match Log'!$N$4:$N$810),NA()))</f>
        <v>1102.1624332734234</v>
      </c>
      <c r="V192">
        <f>IF($J192&gt;MAX('Match Log'!$A$4:$A$810),NA(),IFERROR(LOOKUP(2,1/(('Match Log'!$D$4:$D$810=$V$24)*('Match Log'!$A$4:$A$810&lt;=$J192)),'Match Log'!$N$4:$N$810),NA()))</f>
        <v>1009.152401464836</v>
      </c>
      <c r="W192">
        <f>IF($J192&gt;MAX('Match Log'!$A$4:$A$810),NA(),IFERROR(LOOKUP(2,1/(('Match Log'!$D$4:$D$810=$W$24)*('Match Log'!$A$4:$A$810&lt;=$J192)),'Match Log'!$N$4:$N$810),NA()))</f>
        <v>1052.4264189977837</v>
      </c>
      <c r="X192" t="e">
        <f>IF($J192&gt;MAX('Match Log'!$A$4:$A$810),NA(),IFERROR(LOOKUP(2,1/(('Match Log'!$D$4:$D$810=$X$24)*('Match Log'!$A$4:$A$810&lt;=$J192)),'Match Log'!$N$4:$N$810),NA()))</f>
        <v>#N/A</v>
      </c>
      <c r="Y192" t="str">
        <f t="shared" ca="1" si="30"/>
        <v/>
      </c>
    </row>
    <row r="193" spans="1:25" x14ac:dyDescent="0.2">
      <c r="A193">
        <v>169</v>
      </c>
      <c r="B193">
        <f>IFERROR(INDEX('Match Log'!$B$4:$B$810,MATCH(169,'Match Log'!$A$4:$A$810,0)),"")</f>
        <v>46220</v>
      </c>
      <c r="C193" t="str">
        <f>IFERROR(INDEX('Match Log'!$C$4:$C$810,MATCH(169,'Match Log'!$A$4:$A$810,0)),"")</f>
        <v>Mario Golf</v>
      </c>
      <c r="D193" t="str">
        <f t="array" ref="D193">IFERROR(_xlfn.TEXTJOIN(" + ",TRUE,IF(('Match Log'!$A$4:$A$810=$A193)*('Match Log'!$E$4:$E$810="Win"),'Match Log'!$D$4:$D$810,"")),IFERROR(LOOKUP(2,1/(('Match Log'!$A$4:$A$810=$A193)*('Match Log'!$E$4:$E$810="Win")),'Match Log'!$D$4:$D$810),""))</f>
        <v>Shawn</v>
      </c>
      <c r="E193">
        <f>IFERROR(INDEX('Match Log'!$F$4:$F$810,MATCH(169,'Match Log'!$A$4:$A$810,0)),"")</f>
        <v>3</v>
      </c>
      <c r="F193">
        <f>IFERROR(SUMIFS('Match Log'!$I$4:$I$810,'Match Log'!$A$4:$A$810,169,'Match Log'!$E$4:$E$810,"Win"),"")</f>
        <v>0.36585365853658541</v>
      </c>
      <c r="G193">
        <f t="shared" si="28"/>
        <v>-9.7560975609756184E-2</v>
      </c>
      <c r="H193" t="str">
        <f t="array" ref="H193">IFERROR(IF(COUNTIFS('Match Log'!$A$4:$A$810,$A193,'Match Log'!$E$4:$E$810,"Win")&gt;1,_xlfn.TEXTJOIN(" + ",TRUE,IF(('Match Log'!$A$4:$A$810=$A193)*('Match Log'!$E$4:$E$810="Loss"),'Match Log'!$D$4:$D$810,"")),IF($E193=2,LOOKUP(2,1/(('Match Log'!$A$4:$A$810=$A193)*('Match Log'!$E$4:$E$810="Loss")),'Match Log'!$D$4:$D$810),"the field")),"")</f>
        <v>the field</v>
      </c>
      <c r="I193">
        <f t="shared" si="29"/>
        <v>-9.7729975609756187E-2</v>
      </c>
      <c r="J193">
        <v>169</v>
      </c>
      <c r="K193">
        <f>IF($J193&gt;MAX('Match Log'!$A$4:$A$810),NA(),IFERROR(LOOKUP(2,1/(('Match Log'!$D$4:$D$810=$K$24)*('Match Log'!$A$4:$A$810&lt;=$J193)),'Match Log'!$N$4:$N$810),NA()))</f>
        <v>984.79733004555192</v>
      </c>
      <c r="L193">
        <f>IF($J193&gt;MAX('Match Log'!$A$4:$A$810),NA(),IFERROR(LOOKUP(2,1/(('Match Log'!$D$4:$D$810=$L$24)*('Match Log'!$A$4:$A$810&lt;=$J193)),'Match Log'!$N$4:$N$810),NA()))</f>
        <v>1029.5175965335138</v>
      </c>
      <c r="M193">
        <f>IF($J193&gt;MAX('Match Log'!$A$4:$A$810),NA(),IFERROR(LOOKUP(2,1/(('Match Log'!$D$4:$D$810=$M$24)*('Match Log'!$A$4:$A$810&lt;=$J193)),'Match Log'!$N$4:$N$810),NA()))</f>
        <v>1055.8087051281234</v>
      </c>
      <c r="N193">
        <f>IF($J193&gt;MAX('Match Log'!$A$4:$A$810),NA(),IFERROR(LOOKUP(2,1/(('Match Log'!$D$4:$D$810=$N$24)*('Match Log'!$A$4:$A$810&lt;=$J193)),'Match Log'!$N$4:$N$810),NA()))</f>
        <v>973.19705892757202</v>
      </c>
      <c r="O193">
        <f>IF($J193&gt;MAX('Match Log'!$A$4:$A$810),NA(),IFERROR(LOOKUP(2,1/(('Match Log'!$D$4:$D$810=$O$24)*('Match Log'!$A$4:$A$810&lt;=$J193)),'Match Log'!$N$4:$N$810),NA()))</f>
        <v>1063.3497487715442</v>
      </c>
      <c r="P193">
        <f>IF($J193&gt;MAX('Match Log'!$A$4:$A$810),NA(),IFERROR(LOOKUP(2,1/(('Match Log'!$D$4:$D$810=$P$24)*('Match Log'!$A$4:$A$810&lt;=$J193)),'Match Log'!$N$4:$N$810),NA()))</f>
        <v>1144.540894430409</v>
      </c>
      <c r="Q193">
        <f>IF($J193&gt;MAX('Match Log'!$A$4:$A$810),NA(),IFERROR(LOOKUP(2,1/(('Match Log'!$D$4:$D$810=$Q$24)*('Match Log'!$A$4:$A$810&lt;=$J193)),'Match Log'!$N$4:$N$810),NA()))</f>
        <v>1051.594831345267</v>
      </c>
      <c r="R193">
        <f>IF($J193&gt;MAX('Match Log'!$A$4:$A$810),NA(),IFERROR(LOOKUP(2,1/(('Match Log'!$D$4:$D$810=$R$24)*('Match Log'!$A$4:$A$810&lt;=$J193)),'Match Log'!$N$4:$N$810),NA()))</f>
        <v>1078.2356706955445</v>
      </c>
      <c r="S193">
        <f>IF($J193&gt;MAX('Match Log'!$A$4:$A$810),NA(),IFERROR(LOOKUP(2,1/(('Match Log'!$D$4:$D$810=$S$24)*('Match Log'!$A$4:$A$810&lt;=$J193)),'Match Log'!$N$4:$N$810),NA()))</f>
        <v>1241.7029363250533</v>
      </c>
      <c r="T193">
        <f>IF($J193&gt;MAX('Match Log'!$A$4:$A$810),NA(),IFERROR(LOOKUP(2,1/(('Match Log'!$D$4:$D$810=$T$24)*('Match Log'!$A$4:$A$810&lt;=$J193)),'Match Log'!$N$4:$N$810),NA()))</f>
        <v>893.15761519837804</v>
      </c>
      <c r="U193">
        <f>IF($J193&gt;MAX('Match Log'!$A$4:$A$810),NA(),IFERROR(LOOKUP(2,1/(('Match Log'!$D$4:$D$810=$U$24)*('Match Log'!$A$4:$A$810&lt;=$J193)),'Match Log'!$N$4:$N$810),NA()))</f>
        <v>1094.5187921364222</v>
      </c>
      <c r="V193">
        <f>IF($J193&gt;MAX('Match Log'!$A$4:$A$810),NA(),IFERROR(LOOKUP(2,1/(('Match Log'!$D$4:$D$810=$V$24)*('Match Log'!$A$4:$A$810&lt;=$J193)),'Match Log'!$N$4:$N$810),NA()))</f>
        <v>1009.152401464836</v>
      </c>
      <c r="W193">
        <f>IF($J193&gt;MAX('Match Log'!$A$4:$A$810),NA(),IFERROR(LOOKUP(2,1/(('Match Log'!$D$4:$D$810=$W$24)*('Match Log'!$A$4:$A$810&lt;=$J193)),'Match Log'!$N$4:$N$810),NA()))</f>
        <v>1052.4264189977837</v>
      </c>
      <c r="X193" t="e">
        <f>IF($J193&gt;MAX('Match Log'!$A$4:$A$810),NA(),IFERROR(LOOKUP(2,1/(('Match Log'!$D$4:$D$810=$X$24)*('Match Log'!$A$4:$A$810&lt;=$J193)),'Match Log'!$N$4:$N$810),NA()))</f>
        <v>#N/A</v>
      </c>
      <c r="Y193" t="str">
        <f t="shared" ca="1" si="30"/>
        <v/>
      </c>
    </row>
    <row r="194" spans="1:25" x14ac:dyDescent="0.2">
      <c r="A194">
        <v>170</v>
      </c>
      <c r="B194">
        <f>IFERROR(INDEX('Match Log'!$B$4:$B$810,MATCH(170,'Match Log'!$A$4:$A$810,0)),"")</f>
        <v>46220</v>
      </c>
      <c r="C194" t="str">
        <f>IFERROR(INDEX('Match Log'!$C$4:$C$810,MATCH(170,'Match Log'!$A$4:$A$810,0)),"")</f>
        <v>Mario Golf</v>
      </c>
      <c r="D194" t="str">
        <f t="array" ref="D194">IFERROR(_xlfn.TEXTJOIN(" + ",TRUE,IF(('Match Log'!$A$4:$A$810=$A194)*('Match Log'!$E$4:$E$810="Win"),'Match Log'!$D$4:$D$810,"")),IFERROR(LOOKUP(2,1/(('Match Log'!$A$4:$A$810=$A194)*('Match Log'!$E$4:$E$810="Win")),'Match Log'!$D$4:$D$810),""))</f>
        <v>Oscar</v>
      </c>
      <c r="E194">
        <f>IFERROR(INDEX('Match Log'!$F$4:$F$810,MATCH(170,'Match Log'!$A$4:$A$810,0)),"")</f>
        <v>3</v>
      </c>
      <c r="F194">
        <f>IFERROR(SUMIFS('Match Log'!$I$4:$I$810,'Match Log'!$A$4:$A$810,170,'Match Log'!$E$4:$E$810,"Win"),"")</f>
        <v>0.20512820512820515</v>
      </c>
      <c r="G194">
        <f t="shared" si="28"/>
        <v>0.38461538461538458</v>
      </c>
      <c r="H194" t="str">
        <f t="array" ref="H194">IFERROR(IF(COUNTIFS('Match Log'!$A$4:$A$810,$A194,'Match Log'!$E$4:$E$810,"Win")&gt;1,_xlfn.TEXTJOIN(" + ",TRUE,IF(('Match Log'!$A$4:$A$810=$A194)*('Match Log'!$E$4:$E$810="Loss"),'Match Log'!$D$4:$D$810,"")),IF($E194=2,LOOKUP(2,1/(('Match Log'!$A$4:$A$810=$A194)*('Match Log'!$E$4:$E$810="Loss")),'Match Log'!$D$4:$D$810),"the field")),"")</f>
        <v>the field</v>
      </c>
      <c r="I194">
        <f t="shared" si="29"/>
        <v>0.38444538461538458</v>
      </c>
      <c r="J194">
        <v>170</v>
      </c>
      <c r="K194">
        <f>IF($J194&gt;MAX('Match Log'!$A$4:$A$810),NA(),IFERROR(LOOKUP(2,1/(('Match Log'!$D$4:$D$810=$K$24)*('Match Log'!$A$4:$A$810&lt;=$J194)),'Match Log'!$N$4:$N$810),NA()))</f>
        <v>984.79733004555192</v>
      </c>
      <c r="L194">
        <f>IF($J194&gt;MAX('Match Log'!$A$4:$A$810),NA(),IFERROR(LOOKUP(2,1/(('Match Log'!$D$4:$D$810=$L$24)*('Match Log'!$A$4:$A$810&lt;=$J194)),'Match Log'!$N$4:$N$810),NA()))</f>
        <v>1029.5175965335138</v>
      </c>
      <c r="M194">
        <f>IF($J194&gt;MAX('Match Log'!$A$4:$A$810),NA(),IFERROR(LOOKUP(2,1/(('Match Log'!$D$4:$D$810=$M$24)*('Match Log'!$A$4:$A$810&lt;=$J194)),'Match Log'!$N$4:$N$810),NA()))</f>
        <v>1046.185574725765</v>
      </c>
      <c r="N194">
        <f>IF($J194&gt;MAX('Match Log'!$A$4:$A$810),NA(),IFERROR(LOOKUP(2,1/(('Match Log'!$D$4:$D$810=$N$24)*('Match Log'!$A$4:$A$810&lt;=$J194)),'Match Log'!$N$4:$N$810),NA()))</f>
        <v>973.19705892757202</v>
      </c>
      <c r="O194">
        <f>IF($J194&gt;MAX('Match Log'!$A$4:$A$810),NA(),IFERROR(LOOKUP(2,1/(('Match Log'!$D$4:$D$810=$O$24)*('Match Log'!$A$4:$A$810&lt;=$J194)),'Match Log'!$N$4:$N$810),NA()))</f>
        <v>1063.3497487715442</v>
      </c>
      <c r="P194">
        <f>IF($J194&gt;MAX('Match Log'!$A$4:$A$810),NA(),IFERROR(LOOKUP(2,1/(('Match Log'!$D$4:$D$810=$P$24)*('Match Log'!$A$4:$A$810&lt;=$J194)),'Match Log'!$N$4:$N$810),NA()))</f>
        <v>1133.8048342740794</v>
      </c>
      <c r="Q194">
        <f>IF($J194&gt;MAX('Match Log'!$A$4:$A$810),NA(),IFERROR(LOOKUP(2,1/(('Match Log'!$D$4:$D$810=$Q$24)*('Match Log'!$A$4:$A$810&lt;=$J194)),'Match Log'!$N$4:$N$810),NA()))</f>
        <v>1051.594831345267</v>
      </c>
      <c r="R194">
        <f>IF($J194&gt;MAX('Match Log'!$A$4:$A$810),NA(),IFERROR(LOOKUP(2,1/(('Match Log'!$D$4:$D$810=$R$24)*('Match Log'!$A$4:$A$810&lt;=$J194)),'Match Log'!$N$4:$N$810),NA()))</f>
        <v>1078.2356706955445</v>
      </c>
      <c r="S194">
        <f>IF($J194&gt;MAX('Match Log'!$A$4:$A$810),NA(),IFERROR(LOOKUP(2,1/(('Match Log'!$D$4:$D$810=$S$24)*('Match Log'!$A$4:$A$810&lt;=$J194)),'Match Log'!$N$4:$N$810),NA()))</f>
        <v>1241.7029363250533</v>
      </c>
      <c r="T194">
        <f>IF($J194&gt;MAX('Match Log'!$A$4:$A$810),NA(),IFERROR(LOOKUP(2,1/(('Match Log'!$D$4:$D$810=$T$24)*('Match Log'!$A$4:$A$810&lt;=$J194)),'Match Log'!$N$4:$N$810),NA()))</f>
        <v>893.15761519837804</v>
      </c>
      <c r="U194">
        <f>IF($J194&gt;MAX('Match Log'!$A$4:$A$810),NA(),IFERROR(LOOKUP(2,1/(('Match Log'!$D$4:$D$810=$U$24)*('Match Log'!$A$4:$A$810&lt;=$J194)),'Match Log'!$N$4:$N$810),NA()))</f>
        <v>1123.8779826951099</v>
      </c>
      <c r="V194">
        <f>IF($J194&gt;MAX('Match Log'!$A$4:$A$810),NA(),IFERROR(LOOKUP(2,1/(('Match Log'!$D$4:$D$810=$V$24)*('Match Log'!$A$4:$A$810&lt;=$J194)),'Match Log'!$N$4:$N$810),NA()))</f>
        <v>1009.152401464836</v>
      </c>
      <c r="W194">
        <f>IF($J194&gt;MAX('Match Log'!$A$4:$A$810),NA(),IFERROR(LOOKUP(2,1/(('Match Log'!$D$4:$D$810=$W$24)*('Match Log'!$A$4:$A$810&lt;=$J194)),'Match Log'!$N$4:$N$810),NA()))</f>
        <v>1052.4264189977837</v>
      </c>
      <c r="X194" t="e">
        <f>IF($J194&gt;MAX('Match Log'!$A$4:$A$810),NA(),IFERROR(LOOKUP(2,1/(('Match Log'!$D$4:$D$810=$X$24)*('Match Log'!$A$4:$A$810&lt;=$J194)),'Match Log'!$N$4:$N$810),NA()))</f>
        <v>#N/A</v>
      </c>
      <c r="Y194" t="str">
        <f t="shared" ca="1" si="30"/>
        <v/>
      </c>
    </row>
    <row r="195" spans="1:25" x14ac:dyDescent="0.2">
      <c r="A195">
        <v>171</v>
      </c>
      <c r="B195">
        <f>IFERROR(INDEX('Match Log'!$B$4:$B$810,MATCH(171,'Match Log'!$A$4:$A$810,0)),"")</f>
        <v>46220</v>
      </c>
      <c r="C195" t="str">
        <f>IFERROR(INDEX('Match Log'!$C$4:$C$810,MATCH(171,'Match Log'!$A$4:$A$810,0)),"")</f>
        <v>Mario Golf</v>
      </c>
      <c r="D195" t="str">
        <f t="array" ref="D195">IFERROR(_xlfn.TEXTJOIN(" + ",TRUE,IF(('Match Log'!$A$4:$A$810=$A195)*('Match Log'!$E$4:$E$810="Win"),'Match Log'!$D$4:$D$810,"")),IFERROR(LOOKUP(2,1/(('Match Log'!$A$4:$A$810=$A195)*('Match Log'!$E$4:$E$810="Win")),'Match Log'!$D$4:$D$810),""))</f>
        <v>Shawn</v>
      </c>
      <c r="E195">
        <f>IFERROR(INDEX('Match Log'!$F$4:$F$810,MATCH(171,'Match Log'!$A$4:$A$810,0)),"")</f>
        <v>3</v>
      </c>
      <c r="F195">
        <f>IFERROR(SUMIFS('Match Log'!$I$4:$I$810,'Match Log'!$A$4:$A$810,171,'Match Log'!$E$4:$E$810,"Win"),"")</f>
        <v>0.38840937114673241</v>
      </c>
      <c r="G195">
        <f t="shared" si="28"/>
        <v>-0.16522811344019717</v>
      </c>
      <c r="H195" t="str">
        <f t="array" ref="H195">IFERROR(IF(COUNTIFS('Match Log'!$A$4:$A$810,$A195,'Match Log'!$E$4:$E$810,"Win")&gt;1,_xlfn.TEXTJOIN(" + ",TRUE,IF(('Match Log'!$A$4:$A$810=$A195)*('Match Log'!$E$4:$E$810="Loss"),'Match Log'!$D$4:$D$810,"")),IF($E195=2,LOOKUP(2,1/(('Match Log'!$A$4:$A$810=$A195)*('Match Log'!$E$4:$E$810="Loss")),'Match Log'!$D$4:$D$810),"the field")),"")</f>
        <v>the field</v>
      </c>
      <c r="I195">
        <f t="shared" si="29"/>
        <v>-0.16539911344019717</v>
      </c>
      <c r="J195">
        <v>171</v>
      </c>
      <c r="K195">
        <f>IF($J195&gt;MAX('Match Log'!$A$4:$A$810),NA(),IFERROR(LOOKUP(2,1/(('Match Log'!$D$4:$D$810=$K$24)*('Match Log'!$A$4:$A$810&lt;=$J195)),'Match Log'!$N$4:$N$810),NA()))</f>
        <v>984.79733004555192</v>
      </c>
      <c r="L195">
        <f>IF($J195&gt;MAX('Match Log'!$A$4:$A$810),NA(),IFERROR(LOOKUP(2,1/(('Match Log'!$D$4:$D$810=$L$24)*('Match Log'!$A$4:$A$810&lt;=$J195)),'Match Log'!$N$4:$N$810),NA()))</f>
        <v>1029.5175965335138</v>
      </c>
      <c r="M195">
        <f>IF($J195&gt;MAX('Match Log'!$A$4:$A$810),NA(),IFERROR(LOOKUP(2,1/(('Match Log'!$D$4:$D$810=$M$24)*('Match Log'!$A$4:$A$810&lt;=$J195)),'Match Log'!$N$4:$N$810),NA()))</f>
        <v>1037.8197114720938</v>
      </c>
      <c r="N195">
        <f>IF($J195&gt;MAX('Match Log'!$A$4:$A$810),NA(),IFERROR(LOOKUP(2,1/(('Match Log'!$D$4:$D$810=$N$24)*('Match Log'!$A$4:$A$810&lt;=$J195)),'Match Log'!$N$4:$N$810),NA()))</f>
        <v>973.19705892757202</v>
      </c>
      <c r="O195">
        <f>IF($J195&gt;MAX('Match Log'!$A$4:$A$810),NA(),IFERROR(LOOKUP(2,1/(('Match Log'!$D$4:$D$810=$O$24)*('Match Log'!$A$4:$A$810&lt;=$J195)),'Match Log'!$N$4:$N$810),NA()))</f>
        <v>1063.3497487715442</v>
      </c>
      <c r="P195">
        <f>IF($J195&gt;MAX('Match Log'!$A$4:$A$810),NA(),IFERROR(LOOKUP(2,1/(('Match Log'!$D$4:$D$810=$P$24)*('Match Log'!$A$4:$A$810&lt;=$J195)),'Match Log'!$N$4:$N$810),NA()))</f>
        <v>1159.2274869956852</v>
      </c>
      <c r="Q195">
        <f>IF($J195&gt;MAX('Match Log'!$A$4:$A$810),NA(),IFERROR(LOOKUP(2,1/(('Match Log'!$D$4:$D$810=$Q$24)*('Match Log'!$A$4:$A$810&lt;=$J195)),'Match Log'!$N$4:$N$810),NA()))</f>
        <v>1051.594831345267</v>
      </c>
      <c r="R195">
        <f>IF($J195&gt;MAX('Match Log'!$A$4:$A$810),NA(),IFERROR(LOOKUP(2,1/(('Match Log'!$D$4:$D$810=$R$24)*('Match Log'!$A$4:$A$810&lt;=$J195)),'Match Log'!$N$4:$N$810),NA()))</f>
        <v>1078.2356706955445</v>
      </c>
      <c r="S195">
        <f>IF($J195&gt;MAX('Match Log'!$A$4:$A$810),NA(),IFERROR(LOOKUP(2,1/(('Match Log'!$D$4:$D$810=$S$24)*('Match Log'!$A$4:$A$810&lt;=$J195)),'Match Log'!$N$4:$N$810),NA()))</f>
        <v>1241.7029363250533</v>
      </c>
      <c r="T195">
        <f>IF($J195&gt;MAX('Match Log'!$A$4:$A$810),NA(),IFERROR(LOOKUP(2,1/(('Match Log'!$D$4:$D$810=$T$24)*('Match Log'!$A$4:$A$810&lt;=$J195)),'Match Log'!$N$4:$N$810),NA()))</f>
        <v>893.15761519837804</v>
      </c>
      <c r="U195">
        <f>IF($J195&gt;MAX('Match Log'!$A$4:$A$810),NA(),IFERROR(LOOKUP(2,1/(('Match Log'!$D$4:$D$810=$U$24)*('Match Log'!$A$4:$A$810&lt;=$J195)),'Match Log'!$N$4:$N$810),NA()))</f>
        <v>1115.8211932271754</v>
      </c>
      <c r="V195">
        <f>IF($J195&gt;MAX('Match Log'!$A$4:$A$810),NA(),IFERROR(LOOKUP(2,1/(('Match Log'!$D$4:$D$810=$V$24)*('Match Log'!$A$4:$A$810&lt;=$J195)),'Match Log'!$N$4:$N$810),NA()))</f>
        <v>1009.152401464836</v>
      </c>
      <c r="W195">
        <f>IF($J195&gt;MAX('Match Log'!$A$4:$A$810),NA(),IFERROR(LOOKUP(2,1/(('Match Log'!$D$4:$D$810=$W$24)*('Match Log'!$A$4:$A$810&lt;=$J195)),'Match Log'!$N$4:$N$810),NA()))</f>
        <v>1052.4264189977837</v>
      </c>
      <c r="X195" t="e">
        <f>IF($J195&gt;MAX('Match Log'!$A$4:$A$810),NA(),IFERROR(LOOKUP(2,1/(('Match Log'!$D$4:$D$810=$X$24)*('Match Log'!$A$4:$A$810&lt;=$J195)),'Match Log'!$N$4:$N$810),NA()))</f>
        <v>#N/A</v>
      </c>
      <c r="Y195" t="str">
        <f t="shared" ca="1" si="30"/>
        <v/>
      </c>
    </row>
    <row r="196" spans="1:25" x14ac:dyDescent="0.2">
      <c r="A196">
        <v>172</v>
      </c>
      <c r="B196">
        <f>IFERROR(INDEX('Match Log'!$B$4:$B$810,MATCH(172,'Match Log'!$A$4:$A$810,0)),"")</f>
        <v>46222</v>
      </c>
      <c r="C196" t="str">
        <f>IFERROR(INDEX('Match Log'!$C$4:$C$810,MATCH(172,'Match Log'!$A$4:$A$810,0)),"")</f>
        <v>Call of Duty</v>
      </c>
      <c r="D196" t="str">
        <f t="array" ref="D196">IFERROR(_xlfn.TEXTJOIN(" + ",TRUE,IF(('Match Log'!$A$4:$A$810=$A196)*('Match Log'!$E$4:$E$810="Win"),'Match Log'!$D$4:$D$810,"")),IFERROR(LOOKUP(2,1/(('Match Log'!$A$4:$A$810=$A196)*('Match Log'!$E$4:$E$810="Win")),'Match Log'!$D$4:$D$810),""))</f>
        <v>Aaron</v>
      </c>
      <c r="E196">
        <f>IFERROR(INDEX('Match Log'!$F$4:$F$810,MATCH(172,'Match Log'!$A$4:$A$810,0)),"")</f>
        <v>2</v>
      </c>
      <c r="F196">
        <f>IFERROR(SUMIFS('Match Log'!$I$4:$I$810,'Match Log'!$A$4:$A$810,172,'Match Log'!$E$4:$E$810,"Win"),"")</f>
        <v>0.25</v>
      </c>
      <c r="G196">
        <f t="shared" si="28"/>
        <v>0.5</v>
      </c>
      <c r="H196" t="str">
        <f t="array" ref="H196">IFERROR(IF(COUNTIFS('Match Log'!$A$4:$A$810,$A196,'Match Log'!$E$4:$E$810,"Win")&gt;1,_xlfn.TEXTJOIN(" + ",TRUE,IF(('Match Log'!$A$4:$A$810=$A196)*('Match Log'!$E$4:$E$810="Loss"),'Match Log'!$D$4:$D$810,"")),IF($E196=2,LOOKUP(2,1/(('Match Log'!$A$4:$A$810=$A196)*('Match Log'!$E$4:$E$810="Loss")),'Match Log'!$D$4:$D$810),"the field")),"")</f>
        <v>Daniel (Ferret)</v>
      </c>
      <c r="I196">
        <f t="shared" si="29"/>
        <v>0.49982799999999999</v>
      </c>
      <c r="J196">
        <v>172</v>
      </c>
      <c r="K196">
        <f>IF($J196&gt;MAX('Match Log'!$A$4:$A$810),NA(),IFERROR(LOOKUP(2,1/(('Match Log'!$D$4:$D$810=$K$24)*('Match Log'!$A$4:$A$810&lt;=$J196)),'Match Log'!$N$4:$N$810),NA()))</f>
        <v>1014.3738341970187</v>
      </c>
      <c r="L196">
        <f>IF($J196&gt;MAX('Match Log'!$A$4:$A$810),NA(),IFERROR(LOOKUP(2,1/(('Match Log'!$D$4:$D$810=$L$24)*('Match Log'!$A$4:$A$810&lt;=$J196)),'Match Log'!$N$4:$N$810),NA()))</f>
        <v>1029.5175965335138</v>
      </c>
      <c r="M196">
        <f>IF($J196&gt;MAX('Match Log'!$A$4:$A$810),NA(),IFERROR(LOOKUP(2,1/(('Match Log'!$D$4:$D$810=$M$24)*('Match Log'!$A$4:$A$810&lt;=$J196)),'Match Log'!$N$4:$N$810),NA()))</f>
        <v>1037.8197114720938</v>
      </c>
      <c r="N196">
        <f>IF($J196&gt;MAX('Match Log'!$A$4:$A$810),NA(),IFERROR(LOOKUP(2,1/(('Match Log'!$D$4:$D$810=$N$24)*('Match Log'!$A$4:$A$810&lt;=$J196)),'Match Log'!$N$4:$N$810),NA()))</f>
        <v>973.19705892757202</v>
      </c>
      <c r="O196">
        <f>IF($J196&gt;MAX('Match Log'!$A$4:$A$810),NA(),IFERROR(LOOKUP(2,1/(('Match Log'!$D$4:$D$810=$O$24)*('Match Log'!$A$4:$A$810&lt;=$J196)),'Match Log'!$N$4:$N$810),NA()))</f>
        <v>1063.3497487715442</v>
      </c>
      <c r="P196">
        <f>IF($J196&gt;MAX('Match Log'!$A$4:$A$810),NA(),IFERROR(LOOKUP(2,1/(('Match Log'!$D$4:$D$810=$P$24)*('Match Log'!$A$4:$A$810&lt;=$J196)),'Match Log'!$N$4:$N$810),NA()))</f>
        <v>1159.2274869956852</v>
      </c>
      <c r="Q196">
        <f>IF($J196&gt;MAX('Match Log'!$A$4:$A$810),NA(),IFERROR(LOOKUP(2,1/(('Match Log'!$D$4:$D$810=$Q$24)*('Match Log'!$A$4:$A$810&lt;=$J196)),'Match Log'!$N$4:$N$810),NA()))</f>
        <v>1051.594831345267</v>
      </c>
      <c r="R196">
        <f>IF($J196&gt;MAX('Match Log'!$A$4:$A$810),NA(),IFERROR(LOOKUP(2,1/(('Match Log'!$D$4:$D$810=$R$24)*('Match Log'!$A$4:$A$810&lt;=$J196)),'Match Log'!$N$4:$N$810),NA()))</f>
        <v>1048.6591665440778</v>
      </c>
      <c r="S196">
        <f>IF($J196&gt;MAX('Match Log'!$A$4:$A$810),NA(),IFERROR(LOOKUP(2,1/(('Match Log'!$D$4:$D$810=$S$24)*('Match Log'!$A$4:$A$810&lt;=$J196)),'Match Log'!$N$4:$N$810),NA()))</f>
        <v>1241.7029363250533</v>
      </c>
      <c r="T196">
        <f>IF($J196&gt;MAX('Match Log'!$A$4:$A$810),NA(),IFERROR(LOOKUP(2,1/(('Match Log'!$D$4:$D$810=$T$24)*('Match Log'!$A$4:$A$810&lt;=$J196)),'Match Log'!$N$4:$N$810),NA()))</f>
        <v>893.15761519837804</v>
      </c>
      <c r="U196">
        <f>IF($J196&gt;MAX('Match Log'!$A$4:$A$810),NA(),IFERROR(LOOKUP(2,1/(('Match Log'!$D$4:$D$810=$U$24)*('Match Log'!$A$4:$A$810&lt;=$J196)),'Match Log'!$N$4:$N$810),NA()))</f>
        <v>1115.8211932271754</v>
      </c>
      <c r="V196">
        <f>IF($J196&gt;MAX('Match Log'!$A$4:$A$810),NA(),IFERROR(LOOKUP(2,1/(('Match Log'!$D$4:$D$810=$V$24)*('Match Log'!$A$4:$A$810&lt;=$J196)),'Match Log'!$N$4:$N$810),NA()))</f>
        <v>1009.152401464836</v>
      </c>
      <c r="W196">
        <f>IF($J196&gt;MAX('Match Log'!$A$4:$A$810),NA(),IFERROR(LOOKUP(2,1/(('Match Log'!$D$4:$D$810=$W$24)*('Match Log'!$A$4:$A$810&lt;=$J196)),'Match Log'!$N$4:$N$810),NA()))</f>
        <v>1052.4264189977837</v>
      </c>
      <c r="X196" t="e">
        <f>IF($J196&gt;MAX('Match Log'!$A$4:$A$810),NA(),IFERROR(LOOKUP(2,1/(('Match Log'!$D$4:$D$810=$X$24)*('Match Log'!$A$4:$A$810&lt;=$J196)),'Match Log'!$N$4:$N$810),NA()))</f>
        <v>#N/A</v>
      </c>
      <c r="Y196" t="str">
        <f t="shared" ca="1" si="30"/>
        <v/>
      </c>
    </row>
    <row r="197" spans="1:25" x14ac:dyDescent="0.2">
      <c r="A197">
        <v>173</v>
      </c>
      <c r="B197">
        <f>IFERROR(INDEX('Match Log'!$B$4:$B$810,MATCH(173,'Match Log'!$A$4:$A$810,0)),"")</f>
        <v>46222</v>
      </c>
      <c r="C197" t="str">
        <f>IFERROR(INDEX('Match Log'!$C$4:$C$810,MATCH(173,'Match Log'!$A$4:$A$810,0)),"")</f>
        <v>Call of Duty</v>
      </c>
      <c r="D197" t="str">
        <f t="array" ref="D197">IFERROR(_xlfn.TEXTJOIN(" + ",TRUE,IF(('Match Log'!$A$4:$A$810=$A197)*('Match Log'!$E$4:$E$810="Win"),'Match Log'!$D$4:$D$810,"")),IFERROR(LOOKUP(2,1/(('Match Log'!$A$4:$A$810=$A197)*('Match Log'!$E$4:$E$810="Win")),'Match Log'!$D$4:$D$810),""))</f>
        <v>Daniel (Ferret)</v>
      </c>
      <c r="E197">
        <f>IFERROR(INDEX('Match Log'!$F$4:$F$810,MATCH(173,'Match Log'!$A$4:$A$810,0)),"")</f>
        <v>2</v>
      </c>
      <c r="F197">
        <f>IFERROR(SUMIFS('Match Log'!$I$4:$I$810,'Match Log'!$A$4:$A$810,173,'Match Log'!$E$4:$E$810,"Win"),"")</f>
        <v>0.66666666666666663</v>
      </c>
      <c r="G197">
        <f t="shared" si="28"/>
        <v>-0.33333333333333326</v>
      </c>
      <c r="H197" t="str">
        <f t="array" ref="H197">IFERROR(IF(COUNTIFS('Match Log'!$A$4:$A$810,$A197,'Match Log'!$E$4:$E$810,"Win")&gt;1,_xlfn.TEXTJOIN(" + ",TRUE,IF(('Match Log'!$A$4:$A$810=$A197)*('Match Log'!$E$4:$E$810="Loss"),'Match Log'!$D$4:$D$810,"")),IF($E197=2,LOOKUP(2,1/(('Match Log'!$A$4:$A$810=$A197)*('Match Log'!$E$4:$E$810="Loss")),'Match Log'!$D$4:$D$810),"the field")),"")</f>
        <v>Aaron</v>
      </c>
      <c r="I197">
        <f t="shared" si="29"/>
        <v>-0.33350633333333324</v>
      </c>
      <c r="J197">
        <v>173</v>
      </c>
      <c r="K197">
        <f>IF($J197&gt;MAX('Match Log'!$A$4:$A$810),NA(),IFERROR(LOOKUP(2,1/(('Match Log'!$D$4:$D$810=$K$24)*('Match Log'!$A$4:$A$810&lt;=$J197)),'Match Log'!$N$4:$N$810),NA()))</f>
        <v>996.80890241939892</v>
      </c>
      <c r="L197">
        <f>IF($J197&gt;MAX('Match Log'!$A$4:$A$810),NA(),IFERROR(LOOKUP(2,1/(('Match Log'!$D$4:$D$810=$L$24)*('Match Log'!$A$4:$A$810&lt;=$J197)),'Match Log'!$N$4:$N$810),NA()))</f>
        <v>1029.5175965335138</v>
      </c>
      <c r="M197">
        <f>IF($J197&gt;MAX('Match Log'!$A$4:$A$810),NA(),IFERROR(LOOKUP(2,1/(('Match Log'!$D$4:$D$810=$M$24)*('Match Log'!$A$4:$A$810&lt;=$J197)),'Match Log'!$N$4:$N$810),NA()))</f>
        <v>1037.8197114720938</v>
      </c>
      <c r="N197">
        <f>IF($J197&gt;MAX('Match Log'!$A$4:$A$810),NA(),IFERROR(LOOKUP(2,1/(('Match Log'!$D$4:$D$810=$N$24)*('Match Log'!$A$4:$A$810&lt;=$J197)),'Match Log'!$N$4:$N$810),NA()))</f>
        <v>973.19705892757202</v>
      </c>
      <c r="O197">
        <f>IF($J197&gt;MAX('Match Log'!$A$4:$A$810),NA(),IFERROR(LOOKUP(2,1/(('Match Log'!$D$4:$D$810=$O$24)*('Match Log'!$A$4:$A$810&lt;=$J197)),'Match Log'!$N$4:$N$810),NA()))</f>
        <v>1063.3497487715442</v>
      </c>
      <c r="P197">
        <f>IF($J197&gt;MAX('Match Log'!$A$4:$A$810),NA(),IFERROR(LOOKUP(2,1/(('Match Log'!$D$4:$D$810=$P$24)*('Match Log'!$A$4:$A$810&lt;=$J197)),'Match Log'!$N$4:$N$810),NA()))</f>
        <v>1159.2274869956852</v>
      </c>
      <c r="Q197">
        <f>IF($J197&gt;MAX('Match Log'!$A$4:$A$810),NA(),IFERROR(LOOKUP(2,1/(('Match Log'!$D$4:$D$810=$Q$24)*('Match Log'!$A$4:$A$810&lt;=$J197)),'Match Log'!$N$4:$N$810),NA()))</f>
        <v>1051.594831345267</v>
      </c>
      <c r="R197">
        <f>IF($J197&gt;MAX('Match Log'!$A$4:$A$810),NA(),IFERROR(LOOKUP(2,1/(('Match Log'!$D$4:$D$810=$R$24)*('Match Log'!$A$4:$A$810&lt;=$J197)),'Match Log'!$N$4:$N$810),NA()))</f>
        <v>1066.2240983216975</v>
      </c>
      <c r="S197">
        <f>IF($J197&gt;MAX('Match Log'!$A$4:$A$810),NA(),IFERROR(LOOKUP(2,1/(('Match Log'!$D$4:$D$810=$S$24)*('Match Log'!$A$4:$A$810&lt;=$J197)),'Match Log'!$N$4:$N$810),NA()))</f>
        <v>1241.7029363250533</v>
      </c>
      <c r="T197">
        <f>IF($J197&gt;MAX('Match Log'!$A$4:$A$810),NA(),IFERROR(LOOKUP(2,1/(('Match Log'!$D$4:$D$810=$T$24)*('Match Log'!$A$4:$A$810&lt;=$J197)),'Match Log'!$N$4:$N$810),NA()))</f>
        <v>893.15761519837804</v>
      </c>
      <c r="U197">
        <f>IF($J197&gt;MAX('Match Log'!$A$4:$A$810),NA(),IFERROR(LOOKUP(2,1/(('Match Log'!$D$4:$D$810=$U$24)*('Match Log'!$A$4:$A$810&lt;=$J197)),'Match Log'!$N$4:$N$810),NA()))</f>
        <v>1115.8211932271754</v>
      </c>
      <c r="V197">
        <f>IF($J197&gt;MAX('Match Log'!$A$4:$A$810),NA(),IFERROR(LOOKUP(2,1/(('Match Log'!$D$4:$D$810=$V$24)*('Match Log'!$A$4:$A$810&lt;=$J197)),'Match Log'!$N$4:$N$810),NA()))</f>
        <v>1009.152401464836</v>
      </c>
      <c r="W197">
        <f>IF($J197&gt;MAX('Match Log'!$A$4:$A$810),NA(),IFERROR(LOOKUP(2,1/(('Match Log'!$D$4:$D$810=$W$24)*('Match Log'!$A$4:$A$810&lt;=$J197)),'Match Log'!$N$4:$N$810),NA()))</f>
        <v>1052.4264189977837</v>
      </c>
      <c r="X197" t="e">
        <f>IF($J197&gt;MAX('Match Log'!$A$4:$A$810),NA(),IFERROR(LOOKUP(2,1/(('Match Log'!$D$4:$D$810=$X$24)*('Match Log'!$A$4:$A$810&lt;=$J197)),'Match Log'!$N$4:$N$810),NA()))</f>
        <v>#N/A</v>
      </c>
      <c r="Y197" t="str">
        <f t="shared" ca="1" si="30"/>
        <v/>
      </c>
    </row>
    <row r="198" spans="1:25" x14ac:dyDescent="0.2">
      <c r="A198">
        <v>174</v>
      </c>
      <c r="B198">
        <f>IFERROR(INDEX('Match Log'!$B$4:$B$810,MATCH(174,'Match Log'!$A$4:$A$810,0)),"")</f>
        <v>46222</v>
      </c>
      <c r="C198" t="str">
        <f>IFERROR(INDEX('Match Log'!$C$4:$C$810,MATCH(174,'Match Log'!$A$4:$A$810,0)),"")</f>
        <v>Call of Duty</v>
      </c>
      <c r="D198" t="str">
        <f t="array" ref="D198">IFERROR(_xlfn.TEXTJOIN(" + ",TRUE,IF(('Match Log'!$A$4:$A$810=$A198)*('Match Log'!$E$4:$E$810="Win"),'Match Log'!$D$4:$D$810,"")),IFERROR(LOOKUP(2,1/(('Match Log'!$A$4:$A$810=$A198)*('Match Log'!$E$4:$E$810="Win")),'Match Log'!$D$4:$D$810),""))</f>
        <v>Daniel (Ferret)</v>
      </c>
      <c r="E198">
        <f>IFERROR(INDEX('Match Log'!$F$4:$F$810,MATCH(174,'Match Log'!$A$4:$A$810,0)),"")</f>
        <v>2</v>
      </c>
      <c r="F198">
        <f>IFERROR(SUMIFS('Match Log'!$I$4:$I$810,'Match Log'!$A$4:$A$810,174,'Match Log'!$E$4:$E$810,"Win"),"")</f>
        <v>0.7</v>
      </c>
      <c r="G198">
        <f t="shared" si="28"/>
        <v>-0.39999999999999991</v>
      </c>
      <c r="H198" t="str">
        <f t="array" ref="H198">IFERROR(IF(COUNTIFS('Match Log'!$A$4:$A$810,$A198,'Match Log'!$E$4:$E$810,"Win")&gt;1,_xlfn.TEXTJOIN(" + ",TRUE,IF(('Match Log'!$A$4:$A$810=$A198)*('Match Log'!$E$4:$E$810="Loss"),'Match Log'!$D$4:$D$810,"")),IF($E198=2,LOOKUP(2,1/(('Match Log'!$A$4:$A$810=$A198)*('Match Log'!$E$4:$E$810="Loss")),'Match Log'!$D$4:$D$810),"the field")),"")</f>
        <v>Aaron</v>
      </c>
      <c r="I198">
        <f t="shared" si="29"/>
        <v>-0.40017399999999992</v>
      </c>
      <c r="J198">
        <v>174</v>
      </c>
      <c r="K198">
        <f>IF($J198&gt;MAX('Match Log'!$A$4:$A$810),NA(),IFERROR(LOOKUP(2,1/(('Match Log'!$D$4:$D$810=$K$24)*('Match Log'!$A$4:$A$810&lt;=$J198)),'Match Log'!$N$4:$N$810),NA()))</f>
        <v>981.01441254345173</v>
      </c>
      <c r="L198">
        <f>IF($J198&gt;MAX('Match Log'!$A$4:$A$810),NA(),IFERROR(LOOKUP(2,1/(('Match Log'!$D$4:$D$810=$L$24)*('Match Log'!$A$4:$A$810&lt;=$J198)),'Match Log'!$N$4:$N$810),NA()))</f>
        <v>1029.5175965335138</v>
      </c>
      <c r="M198">
        <f>IF($J198&gt;MAX('Match Log'!$A$4:$A$810),NA(),IFERROR(LOOKUP(2,1/(('Match Log'!$D$4:$D$810=$M$24)*('Match Log'!$A$4:$A$810&lt;=$J198)),'Match Log'!$N$4:$N$810),NA()))</f>
        <v>1037.8197114720938</v>
      </c>
      <c r="N198">
        <f>IF($J198&gt;MAX('Match Log'!$A$4:$A$810),NA(),IFERROR(LOOKUP(2,1/(('Match Log'!$D$4:$D$810=$N$24)*('Match Log'!$A$4:$A$810&lt;=$J198)),'Match Log'!$N$4:$N$810),NA()))</f>
        <v>973.19705892757202</v>
      </c>
      <c r="O198">
        <f>IF($J198&gt;MAX('Match Log'!$A$4:$A$810),NA(),IFERROR(LOOKUP(2,1/(('Match Log'!$D$4:$D$810=$O$24)*('Match Log'!$A$4:$A$810&lt;=$J198)),'Match Log'!$N$4:$N$810),NA()))</f>
        <v>1063.3497487715442</v>
      </c>
      <c r="P198">
        <f>IF($J198&gt;MAX('Match Log'!$A$4:$A$810),NA(),IFERROR(LOOKUP(2,1/(('Match Log'!$D$4:$D$810=$P$24)*('Match Log'!$A$4:$A$810&lt;=$J198)),'Match Log'!$N$4:$N$810),NA()))</f>
        <v>1159.2274869956852</v>
      </c>
      <c r="Q198">
        <f>IF($J198&gt;MAX('Match Log'!$A$4:$A$810),NA(),IFERROR(LOOKUP(2,1/(('Match Log'!$D$4:$D$810=$Q$24)*('Match Log'!$A$4:$A$810&lt;=$J198)),'Match Log'!$N$4:$N$810),NA()))</f>
        <v>1051.594831345267</v>
      </c>
      <c r="R198">
        <f>IF($J198&gt;MAX('Match Log'!$A$4:$A$810),NA(),IFERROR(LOOKUP(2,1/(('Match Log'!$D$4:$D$810=$R$24)*('Match Log'!$A$4:$A$810&lt;=$J198)),'Match Log'!$N$4:$N$810),NA()))</f>
        <v>1082.0185881976447</v>
      </c>
      <c r="S198">
        <f>IF($J198&gt;MAX('Match Log'!$A$4:$A$810),NA(),IFERROR(LOOKUP(2,1/(('Match Log'!$D$4:$D$810=$S$24)*('Match Log'!$A$4:$A$810&lt;=$J198)),'Match Log'!$N$4:$N$810),NA()))</f>
        <v>1241.7029363250533</v>
      </c>
      <c r="T198">
        <f>IF($J198&gt;MAX('Match Log'!$A$4:$A$810),NA(),IFERROR(LOOKUP(2,1/(('Match Log'!$D$4:$D$810=$T$24)*('Match Log'!$A$4:$A$810&lt;=$J198)),'Match Log'!$N$4:$N$810),NA()))</f>
        <v>893.15761519837804</v>
      </c>
      <c r="U198">
        <f>IF($J198&gt;MAX('Match Log'!$A$4:$A$810),NA(),IFERROR(LOOKUP(2,1/(('Match Log'!$D$4:$D$810=$U$24)*('Match Log'!$A$4:$A$810&lt;=$J198)),'Match Log'!$N$4:$N$810),NA()))</f>
        <v>1115.8211932271754</v>
      </c>
      <c r="V198">
        <f>IF($J198&gt;MAX('Match Log'!$A$4:$A$810),NA(),IFERROR(LOOKUP(2,1/(('Match Log'!$D$4:$D$810=$V$24)*('Match Log'!$A$4:$A$810&lt;=$J198)),'Match Log'!$N$4:$N$810),NA()))</f>
        <v>1009.152401464836</v>
      </c>
      <c r="W198">
        <f>IF($J198&gt;MAX('Match Log'!$A$4:$A$810),NA(),IFERROR(LOOKUP(2,1/(('Match Log'!$D$4:$D$810=$W$24)*('Match Log'!$A$4:$A$810&lt;=$J198)),'Match Log'!$N$4:$N$810),NA()))</f>
        <v>1052.4264189977837</v>
      </c>
      <c r="X198" t="e">
        <f>IF($J198&gt;MAX('Match Log'!$A$4:$A$810),NA(),IFERROR(LOOKUP(2,1/(('Match Log'!$D$4:$D$810=$X$24)*('Match Log'!$A$4:$A$810&lt;=$J198)),'Match Log'!$N$4:$N$810),NA()))</f>
        <v>#N/A</v>
      </c>
      <c r="Y198" t="str">
        <f t="shared" ca="1" si="30"/>
        <v/>
      </c>
    </row>
    <row r="199" spans="1:25" x14ac:dyDescent="0.2">
      <c r="A199">
        <v>175</v>
      </c>
      <c r="B199">
        <f>IFERROR(INDEX('Match Log'!$B$4:$B$810,MATCH(175,'Match Log'!$A$4:$A$810,0)),"")</f>
        <v>46222</v>
      </c>
      <c r="C199" t="str">
        <f>IFERROR(INDEX('Match Log'!$C$4:$C$810,MATCH(175,'Match Log'!$A$4:$A$810,0)),"")</f>
        <v>Call of Duty</v>
      </c>
      <c r="D199" t="str">
        <f t="array" ref="D199">IFERROR(_xlfn.TEXTJOIN(" + ",TRUE,IF(('Match Log'!$A$4:$A$810=$A199)*('Match Log'!$E$4:$E$810="Win"),'Match Log'!$D$4:$D$810,"")),IFERROR(LOOKUP(2,1/(('Match Log'!$A$4:$A$810=$A199)*('Match Log'!$E$4:$E$810="Win")),'Match Log'!$D$4:$D$810),""))</f>
        <v>Aaron</v>
      </c>
      <c r="E199">
        <f>IFERROR(INDEX('Match Log'!$F$4:$F$810,MATCH(175,'Match Log'!$A$4:$A$810,0)),"")</f>
        <v>2</v>
      </c>
      <c r="F199">
        <f>IFERROR(SUMIFS('Match Log'!$I$4:$I$810,'Match Log'!$A$4:$A$810,175,'Match Log'!$E$4:$E$810,"Win"),"")</f>
        <v>0.27272727272727271</v>
      </c>
      <c r="G199">
        <f t="shared" si="28"/>
        <v>0.45454545454545459</v>
      </c>
      <c r="H199" t="str">
        <f t="array" ref="H199">IFERROR(IF(COUNTIFS('Match Log'!$A$4:$A$810,$A199,'Match Log'!$E$4:$E$810,"Win")&gt;1,_xlfn.TEXTJOIN(" + ",TRUE,IF(('Match Log'!$A$4:$A$810=$A199)*('Match Log'!$E$4:$E$810="Loss"),'Match Log'!$D$4:$D$810,"")),IF($E199=2,LOOKUP(2,1/(('Match Log'!$A$4:$A$810=$A199)*('Match Log'!$E$4:$E$810="Loss")),'Match Log'!$D$4:$D$810),"the field")),"")</f>
        <v>Daniel (Ferret)</v>
      </c>
      <c r="I199">
        <f t="shared" si="29"/>
        <v>0.45437045454545461</v>
      </c>
      <c r="J199">
        <v>175</v>
      </c>
      <c r="K199">
        <f>IF($J199&gt;MAX('Match Log'!$A$4:$A$810),NA(),IFERROR(LOOKUP(2,1/(('Match Log'!$D$4:$D$810=$K$24)*('Match Log'!$A$4:$A$810&lt;=$J199)),'Match Log'!$N$4:$N$810),NA()))</f>
        <v>1010.7137957188797</v>
      </c>
      <c r="L199">
        <f>IF($J199&gt;MAX('Match Log'!$A$4:$A$810),NA(),IFERROR(LOOKUP(2,1/(('Match Log'!$D$4:$D$810=$L$24)*('Match Log'!$A$4:$A$810&lt;=$J199)),'Match Log'!$N$4:$N$810),NA()))</f>
        <v>1029.5175965335138</v>
      </c>
      <c r="M199">
        <f>IF($J199&gt;MAX('Match Log'!$A$4:$A$810),NA(),IFERROR(LOOKUP(2,1/(('Match Log'!$D$4:$D$810=$M$24)*('Match Log'!$A$4:$A$810&lt;=$J199)),'Match Log'!$N$4:$N$810),NA()))</f>
        <v>1037.8197114720938</v>
      </c>
      <c r="N199">
        <f>IF($J199&gt;MAX('Match Log'!$A$4:$A$810),NA(),IFERROR(LOOKUP(2,1/(('Match Log'!$D$4:$D$810=$N$24)*('Match Log'!$A$4:$A$810&lt;=$J199)),'Match Log'!$N$4:$N$810),NA()))</f>
        <v>973.19705892757202</v>
      </c>
      <c r="O199">
        <f>IF($J199&gt;MAX('Match Log'!$A$4:$A$810),NA(),IFERROR(LOOKUP(2,1/(('Match Log'!$D$4:$D$810=$O$24)*('Match Log'!$A$4:$A$810&lt;=$J199)),'Match Log'!$N$4:$N$810),NA()))</f>
        <v>1063.3497487715442</v>
      </c>
      <c r="P199">
        <f>IF($J199&gt;MAX('Match Log'!$A$4:$A$810),NA(),IFERROR(LOOKUP(2,1/(('Match Log'!$D$4:$D$810=$P$24)*('Match Log'!$A$4:$A$810&lt;=$J199)),'Match Log'!$N$4:$N$810),NA()))</f>
        <v>1159.2274869956852</v>
      </c>
      <c r="Q199">
        <f>IF($J199&gt;MAX('Match Log'!$A$4:$A$810),NA(),IFERROR(LOOKUP(2,1/(('Match Log'!$D$4:$D$810=$Q$24)*('Match Log'!$A$4:$A$810&lt;=$J199)),'Match Log'!$N$4:$N$810),NA()))</f>
        <v>1051.594831345267</v>
      </c>
      <c r="R199">
        <f>IF($J199&gt;MAX('Match Log'!$A$4:$A$810),NA(),IFERROR(LOOKUP(2,1/(('Match Log'!$D$4:$D$810=$R$24)*('Match Log'!$A$4:$A$810&lt;=$J199)),'Match Log'!$N$4:$N$810),NA()))</f>
        <v>1052.3192050222167</v>
      </c>
      <c r="S199">
        <f>IF($J199&gt;MAX('Match Log'!$A$4:$A$810),NA(),IFERROR(LOOKUP(2,1/(('Match Log'!$D$4:$D$810=$S$24)*('Match Log'!$A$4:$A$810&lt;=$J199)),'Match Log'!$N$4:$N$810),NA()))</f>
        <v>1241.7029363250533</v>
      </c>
      <c r="T199">
        <f>IF($J199&gt;MAX('Match Log'!$A$4:$A$810),NA(),IFERROR(LOOKUP(2,1/(('Match Log'!$D$4:$D$810=$T$24)*('Match Log'!$A$4:$A$810&lt;=$J199)),'Match Log'!$N$4:$N$810),NA()))</f>
        <v>893.15761519837804</v>
      </c>
      <c r="U199">
        <f>IF($J199&gt;MAX('Match Log'!$A$4:$A$810),NA(),IFERROR(LOOKUP(2,1/(('Match Log'!$D$4:$D$810=$U$24)*('Match Log'!$A$4:$A$810&lt;=$J199)),'Match Log'!$N$4:$N$810),NA()))</f>
        <v>1115.8211932271754</v>
      </c>
      <c r="V199">
        <f>IF($J199&gt;MAX('Match Log'!$A$4:$A$810),NA(),IFERROR(LOOKUP(2,1/(('Match Log'!$D$4:$D$810=$V$24)*('Match Log'!$A$4:$A$810&lt;=$J199)),'Match Log'!$N$4:$N$810),NA()))</f>
        <v>1009.152401464836</v>
      </c>
      <c r="W199">
        <f>IF($J199&gt;MAX('Match Log'!$A$4:$A$810),NA(),IFERROR(LOOKUP(2,1/(('Match Log'!$D$4:$D$810=$W$24)*('Match Log'!$A$4:$A$810&lt;=$J199)),'Match Log'!$N$4:$N$810),NA()))</f>
        <v>1052.4264189977837</v>
      </c>
      <c r="X199" t="e">
        <f>IF($J199&gt;MAX('Match Log'!$A$4:$A$810),NA(),IFERROR(LOOKUP(2,1/(('Match Log'!$D$4:$D$810=$X$24)*('Match Log'!$A$4:$A$810&lt;=$J199)),'Match Log'!$N$4:$N$810),NA()))</f>
        <v>#N/A</v>
      </c>
      <c r="Y199" t="str">
        <f t="shared" ca="1" si="30"/>
        <v/>
      </c>
    </row>
    <row r="200" spans="1:25" x14ac:dyDescent="0.2">
      <c r="A200">
        <v>176</v>
      </c>
      <c r="B200">
        <f>IFERROR(INDEX('Match Log'!$B$4:$B$810,MATCH(176,'Match Log'!$A$4:$A$810,0)),"")</f>
        <v>46222</v>
      </c>
      <c r="C200" t="str">
        <f>IFERROR(INDEX('Match Log'!$C$4:$C$810,MATCH(176,'Match Log'!$A$4:$A$810,0)),"")</f>
        <v>Pool</v>
      </c>
      <c r="D200" t="str">
        <f t="array" ref="D200">IFERROR(_xlfn.TEXTJOIN(" + ",TRUE,IF(('Match Log'!$A$4:$A$810=$A200)*('Match Log'!$E$4:$E$810="Win"),'Match Log'!$D$4:$D$810,"")),IFERROR(LOOKUP(2,1/(('Match Log'!$A$4:$A$810=$A200)*('Match Log'!$E$4:$E$810="Win")),'Match Log'!$D$4:$D$810),""))</f>
        <v>Dylan A</v>
      </c>
      <c r="E200">
        <f>IFERROR(INDEX('Match Log'!$F$4:$F$810,MATCH(176,'Match Log'!$A$4:$A$810,0)),"")</f>
        <v>2</v>
      </c>
      <c r="F200">
        <f>IFERROR(SUMIFS('Match Log'!$I$4:$I$810,'Match Log'!$A$4:$A$810,176,'Match Log'!$E$4:$E$810,"Win"),"")</f>
        <v>0.5</v>
      </c>
      <c r="G200">
        <f t="shared" si="28"/>
        <v>0</v>
      </c>
      <c r="H200" t="str">
        <f t="array" ref="H200">IFERROR(IF(COUNTIFS('Match Log'!$A$4:$A$810,$A200,'Match Log'!$E$4:$E$810,"Win")&gt;1,_xlfn.TEXTJOIN(" + ",TRUE,IF(('Match Log'!$A$4:$A$810=$A200)*('Match Log'!$E$4:$E$810="Loss"),'Match Log'!$D$4:$D$810,"")),IF($E200=2,LOOKUP(2,1/(('Match Log'!$A$4:$A$810=$A200)*('Match Log'!$E$4:$E$810="Loss")),'Match Log'!$D$4:$D$810),"the field")),"")</f>
        <v>Dean M</v>
      </c>
      <c r="I200">
        <f t="shared" si="29"/>
        <v>-1.76E-4</v>
      </c>
      <c r="J200">
        <v>176</v>
      </c>
      <c r="K200">
        <f>IF($J200&gt;MAX('Match Log'!$A$4:$A$810),NA(),IFERROR(LOOKUP(2,1/(('Match Log'!$D$4:$D$810=$K$24)*('Match Log'!$A$4:$A$810&lt;=$J200)),'Match Log'!$N$4:$N$810),NA()))</f>
        <v>1010.7137957188797</v>
      </c>
      <c r="L200">
        <f>IF($J200&gt;MAX('Match Log'!$A$4:$A$810),NA(),IFERROR(LOOKUP(2,1/(('Match Log'!$D$4:$D$810=$L$24)*('Match Log'!$A$4:$A$810&lt;=$J200)),'Match Log'!$N$4:$N$810),NA()))</f>
        <v>1029.5175965335138</v>
      </c>
      <c r="M200">
        <f>IF($J200&gt;MAX('Match Log'!$A$4:$A$810),NA(),IFERROR(LOOKUP(2,1/(('Match Log'!$D$4:$D$810=$M$24)*('Match Log'!$A$4:$A$810&lt;=$J200)),'Match Log'!$N$4:$N$810),NA()))</f>
        <v>1037.8197114720938</v>
      </c>
      <c r="N200">
        <f>IF($J200&gt;MAX('Match Log'!$A$4:$A$810),NA(),IFERROR(LOOKUP(2,1/(('Match Log'!$D$4:$D$810=$N$24)*('Match Log'!$A$4:$A$810&lt;=$J200)),'Match Log'!$N$4:$N$810),NA()))</f>
        <v>973.19705892757202</v>
      </c>
      <c r="O200">
        <f>IF($J200&gt;MAX('Match Log'!$A$4:$A$810),NA(),IFERROR(LOOKUP(2,1/(('Match Log'!$D$4:$D$810=$O$24)*('Match Log'!$A$4:$A$810&lt;=$J200)),'Match Log'!$N$4:$N$810),NA()))</f>
        <v>1063.3497487715442</v>
      </c>
      <c r="P200">
        <f>IF($J200&gt;MAX('Match Log'!$A$4:$A$810),NA(),IFERROR(LOOKUP(2,1/(('Match Log'!$D$4:$D$810=$P$24)*('Match Log'!$A$4:$A$810&lt;=$J200)),'Match Log'!$N$4:$N$810),NA()))</f>
        <v>1159.2274869956852</v>
      </c>
      <c r="Q200">
        <f>IF($J200&gt;MAX('Match Log'!$A$4:$A$810),NA(),IFERROR(LOOKUP(2,1/(('Match Log'!$D$4:$D$810=$Q$24)*('Match Log'!$A$4:$A$810&lt;=$J200)),'Match Log'!$N$4:$N$810),NA()))</f>
        <v>1051.594831345267</v>
      </c>
      <c r="R200">
        <f>IF($J200&gt;MAX('Match Log'!$A$4:$A$810),NA(),IFERROR(LOOKUP(2,1/(('Match Log'!$D$4:$D$810=$R$24)*('Match Log'!$A$4:$A$810&lt;=$J200)),'Match Log'!$N$4:$N$810),NA()))</f>
        <v>1052.3192050222167</v>
      </c>
      <c r="S200">
        <f>IF($J200&gt;MAX('Match Log'!$A$4:$A$810),NA(),IFERROR(LOOKUP(2,1/(('Match Log'!$D$4:$D$810=$S$24)*('Match Log'!$A$4:$A$810&lt;=$J200)),'Match Log'!$N$4:$N$810),NA()))</f>
        <v>1241.7029363250533</v>
      </c>
      <c r="T200">
        <f>IF($J200&gt;MAX('Match Log'!$A$4:$A$810),NA(),IFERROR(LOOKUP(2,1/(('Match Log'!$D$4:$D$810=$T$24)*('Match Log'!$A$4:$A$810&lt;=$J200)),'Match Log'!$N$4:$N$810),NA()))</f>
        <v>893.15761519837804</v>
      </c>
      <c r="U200">
        <f>IF($J200&gt;MAX('Match Log'!$A$4:$A$810),NA(),IFERROR(LOOKUP(2,1/(('Match Log'!$D$4:$D$810=$U$24)*('Match Log'!$A$4:$A$810&lt;=$J200)),'Match Log'!$N$4:$N$810),NA()))</f>
        <v>1115.8211932271754</v>
      </c>
      <c r="V200">
        <f>IF($J200&gt;MAX('Match Log'!$A$4:$A$810),NA(),IFERROR(LOOKUP(2,1/(('Match Log'!$D$4:$D$810=$V$24)*('Match Log'!$A$4:$A$810&lt;=$J200)),'Match Log'!$N$4:$N$810),NA()))</f>
        <v>989.13500194186054</v>
      </c>
      <c r="W200">
        <f>IF($J200&gt;MAX('Match Log'!$A$4:$A$810),NA(),IFERROR(LOOKUP(2,1/(('Match Log'!$D$4:$D$810=$W$24)*('Match Log'!$A$4:$A$810&lt;=$J200)),'Match Log'!$N$4:$N$810),NA()))</f>
        <v>1072.4438185207591</v>
      </c>
      <c r="X200" t="e">
        <f>IF($J200&gt;MAX('Match Log'!$A$4:$A$810),NA(),IFERROR(LOOKUP(2,1/(('Match Log'!$D$4:$D$810=$X$24)*('Match Log'!$A$4:$A$810&lt;=$J200)),'Match Log'!$N$4:$N$810),NA()))</f>
        <v>#N/A</v>
      </c>
      <c r="Y200" t="str">
        <f t="shared" ca="1" si="30"/>
        <v/>
      </c>
    </row>
    <row r="201" spans="1:25" x14ac:dyDescent="0.2">
      <c r="A201">
        <v>177</v>
      </c>
      <c r="B201">
        <f>IFERROR(INDEX('Match Log'!$B$4:$B$810,MATCH(177,'Match Log'!$A$4:$A$810,0)),"")</f>
        <v>46222</v>
      </c>
      <c r="C201" t="str">
        <f>IFERROR(INDEX('Match Log'!$C$4:$C$810,MATCH(177,'Match Log'!$A$4:$A$810,0)),"")</f>
        <v>Pool</v>
      </c>
      <c r="D201" t="str">
        <f t="array" ref="D201">IFERROR(_xlfn.TEXTJOIN(" + ",TRUE,IF(('Match Log'!$A$4:$A$810=$A201)*('Match Log'!$E$4:$E$810="Win"),'Match Log'!$D$4:$D$810,"")),IFERROR(LOOKUP(2,1/(('Match Log'!$A$4:$A$810=$A201)*('Match Log'!$E$4:$E$810="Win")),'Match Log'!$D$4:$D$810),""))</f>
        <v>Dean M</v>
      </c>
      <c r="E201">
        <f>IFERROR(INDEX('Match Log'!$F$4:$F$810,MATCH(177,'Match Log'!$A$4:$A$810,0)),"")</f>
        <v>2</v>
      </c>
      <c r="F201">
        <f>IFERROR(SUMIFS('Match Log'!$I$4:$I$810,'Match Log'!$A$4:$A$810,177,'Match Log'!$E$4:$E$810,"Win"),"")</f>
        <v>0.33333333333333331</v>
      </c>
      <c r="G201">
        <f t="shared" si="28"/>
        <v>0.33333333333333337</v>
      </c>
      <c r="H201" t="str">
        <f t="array" ref="H201">IFERROR(IF(COUNTIFS('Match Log'!$A$4:$A$810,$A201,'Match Log'!$E$4:$E$810,"Win")&gt;1,_xlfn.TEXTJOIN(" + ",TRUE,IF(('Match Log'!$A$4:$A$810=$A201)*('Match Log'!$E$4:$E$810="Loss"),'Match Log'!$D$4:$D$810,"")),IF($E201=2,LOOKUP(2,1/(('Match Log'!$A$4:$A$810=$A201)*('Match Log'!$E$4:$E$810="Loss")),'Match Log'!$D$4:$D$810),"the field")),"")</f>
        <v>Dylan A</v>
      </c>
      <c r="I201">
        <f t="shared" si="29"/>
        <v>0.33315633333333339</v>
      </c>
      <c r="J201">
        <v>177</v>
      </c>
      <c r="K201">
        <f>IF($J201&gt;MAX('Match Log'!$A$4:$A$810),NA(),IFERROR(LOOKUP(2,1/(('Match Log'!$D$4:$D$810=$K$24)*('Match Log'!$A$4:$A$810&lt;=$J201)),'Match Log'!$N$4:$N$810),NA()))</f>
        <v>1010.7137957188797</v>
      </c>
      <c r="L201">
        <f>IF($J201&gt;MAX('Match Log'!$A$4:$A$810),NA(),IFERROR(LOOKUP(2,1/(('Match Log'!$D$4:$D$810=$L$24)*('Match Log'!$A$4:$A$810&lt;=$J201)),'Match Log'!$N$4:$N$810),NA()))</f>
        <v>1029.5175965335138</v>
      </c>
      <c r="M201">
        <f>IF($J201&gt;MAX('Match Log'!$A$4:$A$810),NA(),IFERROR(LOOKUP(2,1/(('Match Log'!$D$4:$D$810=$M$24)*('Match Log'!$A$4:$A$810&lt;=$J201)),'Match Log'!$N$4:$N$810),NA()))</f>
        <v>1037.8197114720938</v>
      </c>
      <c r="N201">
        <f>IF($J201&gt;MAX('Match Log'!$A$4:$A$810),NA(),IFERROR(LOOKUP(2,1/(('Match Log'!$D$4:$D$810=$N$24)*('Match Log'!$A$4:$A$810&lt;=$J201)),'Match Log'!$N$4:$N$810),NA()))</f>
        <v>973.19705892757202</v>
      </c>
      <c r="O201">
        <f>IF($J201&gt;MAX('Match Log'!$A$4:$A$810),NA(),IFERROR(LOOKUP(2,1/(('Match Log'!$D$4:$D$810=$O$24)*('Match Log'!$A$4:$A$810&lt;=$J201)),'Match Log'!$N$4:$N$810),NA()))</f>
        <v>1063.3497487715442</v>
      </c>
      <c r="P201">
        <f>IF($J201&gt;MAX('Match Log'!$A$4:$A$810),NA(),IFERROR(LOOKUP(2,1/(('Match Log'!$D$4:$D$810=$P$24)*('Match Log'!$A$4:$A$810&lt;=$J201)),'Match Log'!$N$4:$N$810),NA()))</f>
        <v>1159.2274869956852</v>
      </c>
      <c r="Q201">
        <f>IF($J201&gt;MAX('Match Log'!$A$4:$A$810),NA(),IFERROR(LOOKUP(2,1/(('Match Log'!$D$4:$D$810=$Q$24)*('Match Log'!$A$4:$A$810&lt;=$J201)),'Match Log'!$N$4:$N$810),NA()))</f>
        <v>1051.594831345267</v>
      </c>
      <c r="R201">
        <f>IF($J201&gt;MAX('Match Log'!$A$4:$A$810),NA(),IFERROR(LOOKUP(2,1/(('Match Log'!$D$4:$D$810=$R$24)*('Match Log'!$A$4:$A$810&lt;=$J201)),'Match Log'!$N$4:$N$810),NA()))</f>
        <v>1052.3192050222167</v>
      </c>
      <c r="S201">
        <f>IF($J201&gt;MAX('Match Log'!$A$4:$A$810),NA(),IFERROR(LOOKUP(2,1/(('Match Log'!$D$4:$D$810=$S$24)*('Match Log'!$A$4:$A$810&lt;=$J201)),'Match Log'!$N$4:$N$810),NA()))</f>
        <v>1241.7029363250533</v>
      </c>
      <c r="T201">
        <f>IF($J201&gt;MAX('Match Log'!$A$4:$A$810),NA(),IFERROR(LOOKUP(2,1/(('Match Log'!$D$4:$D$810=$T$24)*('Match Log'!$A$4:$A$810&lt;=$J201)),'Match Log'!$N$4:$N$810),NA()))</f>
        <v>893.15761519837804</v>
      </c>
      <c r="U201">
        <f>IF($J201&gt;MAX('Match Log'!$A$4:$A$810),NA(),IFERROR(LOOKUP(2,1/(('Match Log'!$D$4:$D$810=$U$24)*('Match Log'!$A$4:$A$810&lt;=$J201)),'Match Log'!$N$4:$N$810),NA()))</f>
        <v>1115.8211932271754</v>
      </c>
      <c r="V201">
        <f>IF($J201&gt;MAX('Match Log'!$A$4:$A$810),NA(),IFERROR(LOOKUP(2,1/(('Match Log'!$D$4:$D$810=$V$24)*('Match Log'!$A$4:$A$810&lt;=$J201)),'Match Log'!$N$4:$N$810),NA()))</f>
        <v>1016.5255411049923</v>
      </c>
      <c r="W201">
        <f>IF($J201&gt;MAX('Match Log'!$A$4:$A$810),NA(),IFERROR(LOOKUP(2,1/(('Match Log'!$D$4:$D$810=$W$24)*('Match Log'!$A$4:$A$810&lt;=$J201)),'Match Log'!$N$4:$N$810),NA()))</f>
        <v>1045.0532793576274</v>
      </c>
      <c r="X201" t="e">
        <f>IF($J201&gt;MAX('Match Log'!$A$4:$A$810),NA(),IFERROR(LOOKUP(2,1/(('Match Log'!$D$4:$D$810=$X$24)*('Match Log'!$A$4:$A$810&lt;=$J201)),'Match Log'!$N$4:$N$810),NA()))</f>
        <v>#N/A</v>
      </c>
      <c r="Y201" t="str">
        <f t="shared" ca="1" si="30"/>
        <v/>
      </c>
    </row>
    <row r="202" spans="1:25" x14ac:dyDescent="0.2">
      <c r="A202">
        <v>178</v>
      </c>
      <c r="B202">
        <f>IFERROR(INDEX('Match Log'!$B$4:$B$810,MATCH(178,'Match Log'!$A$4:$A$810,0)),"")</f>
        <v>46222</v>
      </c>
      <c r="C202" t="str">
        <f>IFERROR(INDEX('Match Log'!$C$4:$C$810,MATCH(178,'Match Log'!$A$4:$A$810,0)),"")</f>
        <v>Pool</v>
      </c>
      <c r="D202" t="str">
        <f t="array" ref="D202">IFERROR(_xlfn.TEXTJOIN(" + ",TRUE,IF(('Match Log'!$A$4:$A$810=$A202)*('Match Log'!$E$4:$E$810="Win"),'Match Log'!$D$4:$D$810,"")),IFERROR(LOOKUP(2,1/(('Match Log'!$A$4:$A$810=$A202)*('Match Log'!$E$4:$E$810="Win")),'Match Log'!$D$4:$D$810),""))</f>
        <v>Dylan A</v>
      </c>
      <c r="E202">
        <f>IFERROR(INDEX('Match Log'!$F$4:$F$810,MATCH(178,'Match Log'!$A$4:$A$810,0)),"")</f>
        <v>2</v>
      </c>
      <c r="F202">
        <f>IFERROR(SUMIFS('Match Log'!$I$4:$I$810,'Match Log'!$A$4:$A$810,178,'Match Log'!$E$4:$E$810,"Win"),"")</f>
        <v>0.5</v>
      </c>
      <c r="G202">
        <f t="shared" si="28"/>
        <v>0</v>
      </c>
      <c r="H202" t="str">
        <f t="array" ref="H202">IFERROR(IF(COUNTIFS('Match Log'!$A$4:$A$810,$A202,'Match Log'!$E$4:$E$810,"Win")&gt;1,_xlfn.TEXTJOIN(" + ",TRUE,IF(('Match Log'!$A$4:$A$810=$A202)*('Match Log'!$E$4:$E$810="Loss"),'Match Log'!$D$4:$D$810,"")),IF($E202=2,LOOKUP(2,1/(('Match Log'!$A$4:$A$810=$A202)*('Match Log'!$E$4:$E$810="Loss")),'Match Log'!$D$4:$D$810),"the field")),"")</f>
        <v>Dean M</v>
      </c>
      <c r="I202">
        <f t="shared" si="29"/>
        <v>-1.7799999999999999E-4</v>
      </c>
      <c r="J202">
        <v>178</v>
      </c>
      <c r="K202">
        <f>IF($J202&gt;MAX('Match Log'!$A$4:$A$810),NA(),IFERROR(LOOKUP(2,1/(('Match Log'!$D$4:$D$810=$K$24)*('Match Log'!$A$4:$A$810&lt;=$J202)),'Match Log'!$N$4:$N$810),NA()))</f>
        <v>1010.7137957188797</v>
      </c>
      <c r="L202">
        <f>IF($J202&gt;MAX('Match Log'!$A$4:$A$810),NA(),IFERROR(LOOKUP(2,1/(('Match Log'!$D$4:$D$810=$L$24)*('Match Log'!$A$4:$A$810&lt;=$J202)),'Match Log'!$N$4:$N$810),NA()))</f>
        <v>1029.5175965335138</v>
      </c>
      <c r="M202">
        <f>IF($J202&gt;MAX('Match Log'!$A$4:$A$810),NA(),IFERROR(LOOKUP(2,1/(('Match Log'!$D$4:$D$810=$M$24)*('Match Log'!$A$4:$A$810&lt;=$J202)),'Match Log'!$N$4:$N$810),NA()))</f>
        <v>1037.8197114720938</v>
      </c>
      <c r="N202">
        <f>IF($J202&gt;MAX('Match Log'!$A$4:$A$810),NA(),IFERROR(LOOKUP(2,1/(('Match Log'!$D$4:$D$810=$N$24)*('Match Log'!$A$4:$A$810&lt;=$J202)),'Match Log'!$N$4:$N$810),NA()))</f>
        <v>973.19705892757202</v>
      </c>
      <c r="O202">
        <f>IF($J202&gt;MAX('Match Log'!$A$4:$A$810),NA(),IFERROR(LOOKUP(2,1/(('Match Log'!$D$4:$D$810=$O$24)*('Match Log'!$A$4:$A$810&lt;=$J202)),'Match Log'!$N$4:$N$810),NA()))</f>
        <v>1063.3497487715442</v>
      </c>
      <c r="P202">
        <f>IF($J202&gt;MAX('Match Log'!$A$4:$A$810),NA(),IFERROR(LOOKUP(2,1/(('Match Log'!$D$4:$D$810=$P$24)*('Match Log'!$A$4:$A$810&lt;=$J202)),'Match Log'!$N$4:$N$810),NA()))</f>
        <v>1159.2274869956852</v>
      </c>
      <c r="Q202">
        <f>IF($J202&gt;MAX('Match Log'!$A$4:$A$810),NA(),IFERROR(LOOKUP(2,1/(('Match Log'!$D$4:$D$810=$Q$24)*('Match Log'!$A$4:$A$810&lt;=$J202)),'Match Log'!$N$4:$N$810),NA()))</f>
        <v>1051.594831345267</v>
      </c>
      <c r="R202">
        <f>IF($J202&gt;MAX('Match Log'!$A$4:$A$810),NA(),IFERROR(LOOKUP(2,1/(('Match Log'!$D$4:$D$810=$R$24)*('Match Log'!$A$4:$A$810&lt;=$J202)),'Match Log'!$N$4:$N$810),NA()))</f>
        <v>1052.3192050222167</v>
      </c>
      <c r="S202">
        <f>IF($J202&gt;MAX('Match Log'!$A$4:$A$810),NA(),IFERROR(LOOKUP(2,1/(('Match Log'!$D$4:$D$810=$S$24)*('Match Log'!$A$4:$A$810&lt;=$J202)),'Match Log'!$N$4:$N$810),NA()))</f>
        <v>1241.7029363250533</v>
      </c>
      <c r="T202">
        <f>IF($J202&gt;MAX('Match Log'!$A$4:$A$810),NA(),IFERROR(LOOKUP(2,1/(('Match Log'!$D$4:$D$810=$T$24)*('Match Log'!$A$4:$A$810&lt;=$J202)),'Match Log'!$N$4:$N$810),NA()))</f>
        <v>893.15761519837804</v>
      </c>
      <c r="U202">
        <f>IF($J202&gt;MAX('Match Log'!$A$4:$A$810),NA(),IFERROR(LOOKUP(2,1/(('Match Log'!$D$4:$D$810=$U$24)*('Match Log'!$A$4:$A$810&lt;=$J202)),'Match Log'!$N$4:$N$810),NA()))</f>
        <v>1115.8211932271754</v>
      </c>
      <c r="V202">
        <f>IF($J202&gt;MAX('Match Log'!$A$4:$A$810),NA(),IFERROR(LOOKUP(2,1/(('Match Log'!$D$4:$D$810=$V$24)*('Match Log'!$A$4:$A$810&lt;=$J202)),'Match Log'!$N$4:$N$810),NA()))</f>
        <v>995.42431714531449</v>
      </c>
      <c r="W202">
        <f>IF($J202&gt;MAX('Match Log'!$A$4:$A$810),NA(),IFERROR(LOOKUP(2,1/(('Match Log'!$D$4:$D$810=$W$24)*('Match Log'!$A$4:$A$810&lt;=$J202)),'Match Log'!$N$4:$N$810),NA()))</f>
        <v>1066.1545033173052</v>
      </c>
      <c r="X202" t="e">
        <f>IF($J202&gt;MAX('Match Log'!$A$4:$A$810),NA(),IFERROR(LOOKUP(2,1/(('Match Log'!$D$4:$D$810=$X$24)*('Match Log'!$A$4:$A$810&lt;=$J202)),'Match Log'!$N$4:$N$810),NA()))</f>
        <v>#N/A</v>
      </c>
      <c r="Y202" t="str">
        <f t="shared" ca="1" si="30"/>
        <v/>
      </c>
    </row>
    <row r="203" spans="1:25" x14ac:dyDescent="0.2">
      <c r="A203">
        <v>179</v>
      </c>
      <c r="B203">
        <f>IFERROR(INDEX('Match Log'!$B$4:$B$810,MATCH(179,'Match Log'!$A$4:$A$810,0)),"")</f>
        <v>46222</v>
      </c>
      <c r="C203" t="str">
        <f>IFERROR(INDEX('Match Log'!$C$4:$C$810,MATCH(179,'Match Log'!$A$4:$A$810,0)),"")</f>
        <v>Pool</v>
      </c>
      <c r="D203" t="str">
        <f t="array" ref="D203">IFERROR(_xlfn.TEXTJOIN(" + ",TRUE,IF(('Match Log'!$A$4:$A$810=$A203)*('Match Log'!$E$4:$E$810="Win"),'Match Log'!$D$4:$D$810,"")),IFERROR(LOOKUP(2,1/(('Match Log'!$A$4:$A$810=$A203)*('Match Log'!$E$4:$E$810="Win")),'Match Log'!$D$4:$D$810),""))</f>
        <v>Dylan A</v>
      </c>
      <c r="E203">
        <f>IFERROR(INDEX('Match Log'!$F$4:$F$810,MATCH(179,'Match Log'!$A$4:$A$810,0)),"")</f>
        <v>2</v>
      </c>
      <c r="F203">
        <f>IFERROR(SUMIFS('Match Log'!$I$4:$I$810,'Match Log'!$A$4:$A$810,179,'Match Log'!$E$4:$E$810,"Win"),"")</f>
        <v>0.64285714285714279</v>
      </c>
      <c r="G203">
        <f t="shared" si="28"/>
        <v>-0.28571428571428559</v>
      </c>
      <c r="H203" t="str">
        <f t="array" ref="H203">IFERROR(IF(COUNTIFS('Match Log'!$A$4:$A$810,$A203,'Match Log'!$E$4:$E$810,"Win")&gt;1,_xlfn.TEXTJOIN(" + ",TRUE,IF(('Match Log'!$A$4:$A$810=$A203)*('Match Log'!$E$4:$E$810="Loss"),'Match Log'!$D$4:$D$810,"")),IF($E203=2,LOOKUP(2,1/(('Match Log'!$A$4:$A$810=$A203)*('Match Log'!$E$4:$E$810="Loss")),'Match Log'!$D$4:$D$810),"the field")),"")</f>
        <v>Cody</v>
      </c>
      <c r="I203">
        <f t="shared" si="29"/>
        <v>-0.28589328571428557</v>
      </c>
      <c r="J203">
        <v>179</v>
      </c>
      <c r="K203">
        <f>IF($J203&gt;MAX('Match Log'!$A$4:$A$810),NA(),IFERROR(LOOKUP(2,1/(('Match Log'!$D$4:$D$810=$K$24)*('Match Log'!$A$4:$A$810&lt;=$J203)),'Match Log'!$N$4:$N$810),NA()))</f>
        <v>1010.7137957188797</v>
      </c>
      <c r="L203">
        <f>IF($J203&gt;MAX('Match Log'!$A$4:$A$810),NA(),IFERROR(LOOKUP(2,1/(('Match Log'!$D$4:$D$810=$L$24)*('Match Log'!$A$4:$A$810&lt;=$J203)),'Match Log'!$N$4:$N$810),NA()))</f>
        <v>1029.5175965335138</v>
      </c>
      <c r="M203">
        <f>IF($J203&gt;MAX('Match Log'!$A$4:$A$810),NA(),IFERROR(LOOKUP(2,1/(('Match Log'!$D$4:$D$810=$M$24)*('Match Log'!$A$4:$A$810&lt;=$J203)),'Match Log'!$N$4:$N$810),NA()))</f>
        <v>1037.8197114720938</v>
      </c>
      <c r="N203">
        <f>IF($J203&gt;MAX('Match Log'!$A$4:$A$810),NA(),IFERROR(LOOKUP(2,1/(('Match Log'!$D$4:$D$810=$N$24)*('Match Log'!$A$4:$A$810&lt;=$J203)),'Match Log'!$N$4:$N$810),NA()))</f>
        <v>973.19705892757202</v>
      </c>
      <c r="O203">
        <f>IF($J203&gt;MAX('Match Log'!$A$4:$A$810),NA(),IFERROR(LOOKUP(2,1/(('Match Log'!$D$4:$D$810=$O$24)*('Match Log'!$A$4:$A$810&lt;=$J203)),'Match Log'!$N$4:$N$810),NA()))</f>
        <v>1063.3497487715442</v>
      </c>
      <c r="P203">
        <f>IF($J203&gt;MAX('Match Log'!$A$4:$A$810),NA(),IFERROR(LOOKUP(2,1/(('Match Log'!$D$4:$D$810=$P$24)*('Match Log'!$A$4:$A$810&lt;=$J203)),'Match Log'!$N$4:$N$810),NA()))</f>
        <v>1159.2274869956852</v>
      </c>
      <c r="Q203">
        <f>IF($J203&gt;MAX('Match Log'!$A$4:$A$810),NA(),IFERROR(LOOKUP(2,1/(('Match Log'!$D$4:$D$810=$Q$24)*('Match Log'!$A$4:$A$810&lt;=$J203)),'Match Log'!$N$4:$N$810),NA()))</f>
        <v>1051.594831345267</v>
      </c>
      <c r="R203">
        <f>IF($J203&gt;MAX('Match Log'!$A$4:$A$810),NA(),IFERROR(LOOKUP(2,1/(('Match Log'!$D$4:$D$810=$R$24)*('Match Log'!$A$4:$A$810&lt;=$J203)),'Match Log'!$N$4:$N$810),NA()))</f>
        <v>1052.3192050222167</v>
      </c>
      <c r="S203">
        <f>IF($J203&gt;MAX('Match Log'!$A$4:$A$810),NA(),IFERROR(LOOKUP(2,1/(('Match Log'!$D$4:$D$810=$S$24)*('Match Log'!$A$4:$A$810&lt;=$J203)),'Match Log'!$N$4:$N$810),NA()))</f>
        <v>1241.7029363250533</v>
      </c>
      <c r="T203">
        <f>IF($J203&gt;MAX('Match Log'!$A$4:$A$810),NA(),IFERROR(LOOKUP(2,1/(('Match Log'!$D$4:$D$810=$T$24)*('Match Log'!$A$4:$A$810&lt;=$J203)),'Match Log'!$N$4:$N$810),NA()))</f>
        <v>878.92902654069087</v>
      </c>
      <c r="U203">
        <f>IF($J203&gt;MAX('Match Log'!$A$4:$A$810),NA(),IFERROR(LOOKUP(2,1/(('Match Log'!$D$4:$D$810=$U$24)*('Match Log'!$A$4:$A$810&lt;=$J203)),'Match Log'!$N$4:$N$810),NA()))</f>
        <v>1115.8211932271754</v>
      </c>
      <c r="V203">
        <f>IF($J203&gt;MAX('Match Log'!$A$4:$A$810),NA(),IFERROR(LOOKUP(2,1/(('Match Log'!$D$4:$D$810=$V$24)*('Match Log'!$A$4:$A$810&lt;=$J203)),'Match Log'!$N$4:$N$810),NA()))</f>
        <v>995.42431714531449</v>
      </c>
      <c r="W203">
        <f>IF($J203&gt;MAX('Match Log'!$A$4:$A$810),NA(),IFERROR(LOOKUP(2,1/(('Match Log'!$D$4:$D$810=$W$24)*('Match Log'!$A$4:$A$810&lt;=$J203)),'Match Log'!$N$4:$N$810),NA()))</f>
        <v>1080.3830919749923</v>
      </c>
      <c r="X203" t="e">
        <f>IF($J203&gt;MAX('Match Log'!$A$4:$A$810),NA(),IFERROR(LOOKUP(2,1/(('Match Log'!$D$4:$D$810=$X$24)*('Match Log'!$A$4:$A$810&lt;=$J203)),'Match Log'!$N$4:$N$810),NA()))</f>
        <v>#N/A</v>
      </c>
      <c r="Y203" t="str">
        <f t="shared" ca="1" si="30"/>
        <v/>
      </c>
    </row>
    <row r="204" spans="1:25" x14ac:dyDescent="0.2">
      <c r="A204">
        <v>180</v>
      </c>
      <c r="B204">
        <f>IFERROR(INDEX('Match Log'!$B$4:$B$810,MATCH(180,'Match Log'!$A$4:$A$810,0)),"")</f>
        <v>46222</v>
      </c>
      <c r="C204" t="str">
        <f>IFERROR(INDEX('Match Log'!$C$4:$C$810,MATCH(180,'Match Log'!$A$4:$A$810,0)),"")</f>
        <v>Pool</v>
      </c>
      <c r="D204" t="str">
        <f t="array" ref="D204">IFERROR(_xlfn.TEXTJOIN(" + ",TRUE,IF(('Match Log'!$A$4:$A$810=$A204)*('Match Log'!$E$4:$E$810="Win"),'Match Log'!$D$4:$D$810,"")),IFERROR(LOOKUP(2,1/(('Match Log'!$A$4:$A$810=$A204)*('Match Log'!$E$4:$E$810="Win")),'Match Log'!$D$4:$D$810),""))</f>
        <v>Dean M</v>
      </c>
      <c r="E204">
        <f>IFERROR(INDEX('Match Log'!$F$4:$F$810,MATCH(180,'Match Log'!$A$4:$A$810,0)),"")</f>
        <v>2</v>
      </c>
      <c r="F204">
        <f>IFERROR(SUMIFS('Match Log'!$I$4:$I$810,'Match Log'!$A$4:$A$810,180,'Match Log'!$E$4:$E$810,"Win"),"")</f>
        <v>0.61538461538461542</v>
      </c>
      <c r="G204">
        <f t="shared" si="28"/>
        <v>-0.23076923076923084</v>
      </c>
      <c r="H204" t="str">
        <f t="array" ref="H204">IFERROR(IF(COUNTIFS('Match Log'!$A$4:$A$810,$A204,'Match Log'!$E$4:$E$810,"Win")&gt;1,_xlfn.TEXTJOIN(" + ",TRUE,IF(('Match Log'!$A$4:$A$810=$A204)*('Match Log'!$E$4:$E$810="Loss"),'Match Log'!$D$4:$D$810,"")),IF($E204=2,LOOKUP(2,1/(('Match Log'!$A$4:$A$810=$A204)*('Match Log'!$E$4:$E$810="Loss")),'Match Log'!$D$4:$D$810),"the field")),"")</f>
        <v>Cody</v>
      </c>
      <c r="I204">
        <f t="shared" si="29"/>
        <v>-0.23094923076923085</v>
      </c>
      <c r="J204">
        <v>180</v>
      </c>
      <c r="K204">
        <f>IF($J204&gt;MAX('Match Log'!$A$4:$A$810),NA(),IFERROR(LOOKUP(2,1/(('Match Log'!$D$4:$D$810=$K$24)*('Match Log'!$A$4:$A$810&lt;=$J204)),'Match Log'!$N$4:$N$810),NA()))</f>
        <v>1010.7137957188797</v>
      </c>
      <c r="L204">
        <f>IF($J204&gt;MAX('Match Log'!$A$4:$A$810),NA(),IFERROR(LOOKUP(2,1/(('Match Log'!$D$4:$D$810=$L$24)*('Match Log'!$A$4:$A$810&lt;=$J204)),'Match Log'!$N$4:$N$810),NA()))</f>
        <v>1029.5175965335138</v>
      </c>
      <c r="M204">
        <f>IF($J204&gt;MAX('Match Log'!$A$4:$A$810),NA(),IFERROR(LOOKUP(2,1/(('Match Log'!$D$4:$D$810=$M$24)*('Match Log'!$A$4:$A$810&lt;=$J204)),'Match Log'!$N$4:$N$810),NA()))</f>
        <v>1037.8197114720938</v>
      </c>
      <c r="N204">
        <f>IF($J204&gt;MAX('Match Log'!$A$4:$A$810),NA(),IFERROR(LOOKUP(2,1/(('Match Log'!$D$4:$D$810=$N$24)*('Match Log'!$A$4:$A$810&lt;=$J204)),'Match Log'!$N$4:$N$810),NA()))</f>
        <v>973.19705892757202</v>
      </c>
      <c r="O204">
        <f>IF($J204&gt;MAX('Match Log'!$A$4:$A$810),NA(),IFERROR(LOOKUP(2,1/(('Match Log'!$D$4:$D$810=$O$24)*('Match Log'!$A$4:$A$810&lt;=$J204)),'Match Log'!$N$4:$N$810),NA()))</f>
        <v>1063.3497487715442</v>
      </c>
      <c r="P204">
        <f>IF($J204&gt;MAX('Match Log'!$A$4:$A$810),NA(),IFERROR(LOOKUP(2,1/(('Match Log'!$D$4:$D$810=$P$24)*('Match Log'!$A$4:$A$810&lt;=$J204)),'Match Log'!$N$4:$N$810),NA()))</f>
        <v>1159.2274869956852</v>
      </c>
      <c r="Q204">
        <f>IF($J204&gt;MAX('Match Log'!$A$4:$A$810),NA(),IFERROR(LOOKUP(2,1/(('Match Log'!$D$4:$D$810=$Q$24)*('Match Log'!$A$4:$A$810&lt;=$J204)),'Match Log'!$N$4:$N$810),NA()))</f>
        <v>1051.594831345267</v>
      </c>
      <c r="R204">
        <f>IF($J204&gt;MAX('Match Log'!$A$4:$A$810),NA(),IFERROR(LOOKUP(2,1/(('Match Log'!$D$4:$D$810=$R$24)*('Match Log'!$A$4:$A$810&lt;=$J204)),'Match Log'!$N$4:$N$810),NA()))</f>
        <v>1052.3192050222167</v>
      </c>
      <c r="S204">
        <f>IF($J204&gt;MAX('Match Log'!$A$4:$A$810),NA(),IFERROR(LOOKUP(2,1/(('Match Log'!$D$4:$D$810=$S$24)*('Match Log'!$A$4:$A$810&lt;=$J204)),'Match Log'!$N$4:$N$810),NA()))</f>
        <v>1241.7029363250533</v>
      </c>
      <c r="T204">
        <f>IF($J204&gt;MAX('Match Log'!$A$4:$A$810),NA(),IFERROR(LOOKUP(2,1/(('Match Log'!$D$4:$D$810=$T$24)*('Match Log'!$A$4:$A$810&lt;=$J204)),'Match Log'!$N$4:$N$810),NA()))</f>
        <v>862.22294373677494</v>
      </c>
      <c r="U204">
        <f>IF($J204&gt;MAX('Match Log'!$A$4:$A$810),NA(),IFERROR(LOOKUP(2,1/(('Match Log'!$D$4:$D$810=$U$24)*('Match Log'!$A$4:$A$810&lt;=$J204)),'Match Log'!$N$4:$N$810),NA()))</f>
        <v>1115.8211932271754</v>
      </c>
      <c r="V204">
        <f>IF($J204&gt;MAX('Match Log'!$A$4:$A$810),NA(),IFERROR(LOOKUP(2,1/(('Match Log'!$D$4:$D$810=$V$24)*('Match Log'!$A$4:$A$810&lt;=$J204)),'Match Log'!$N$4:$N$810),NA()))</f>
        <v>1012.1303999492304</v>
      </c>
      <c r="W204">
        <f>IF($J204&gt;MAX('Match Log'!$A$4:$A$810),NA(),IFERROR(LOOKUP(2,1/(('Match Log'!$D$4:$D$810=$W$24)*('Match Log'!$A$4:$A$810&lt;=$J204)),'Match Log'!$N$4:$N$810),NA()))</f>
        <v>1080.3830919749923</v>
      </c>
      <c r="X204" t="e">
        <f>IF($J204&gt;MAX('Match Log'!$A$4:$A$810),NA(),IFERROR(LOOKUP(2,1/(('Match Log'!$D$4:$D$810=$X$24)*('Match Log'!$A$4:$A$810&lt;=$J204)),'Match Log'!$N$4:$N$810),NA()))</f>
        <v>#N/A</v>
      </c>
      <c r="Y204" t="str">
        <f t="shared" ca="1" si="30"/>
        <v/>
      </c>
    </row>
    <row r="205" spans="1:25" x14ac:dyDescent="0.2">
      <c r="A205">
        <v>181</v>
      </c>
      <c r="B205">
        <f>IFERROR(INDEX('Match Log'!$B$4:$B$810,MATCH(181,'Match Log'!$A$4:$A$810,0)),"")</f>
        <v>46229</v>
      </c>
      <c r="C205" t="str">
        <f>IFERROR(INDEX('Match Log'!$C$4:$C$810,MATCH(181,'Match Log'!$A$4:$A$810,0)),"")</f>
        <v>Poker</v>
      </c>
      <c r="D205" t="str">
        <f t="array" ref="D205">IFERROR(_xlfn.TEXTJOIN(" + ",TRUE,IF(('Match Log'!$A$4:$A$810=$A205)*('Match Log'!$E$4:$E$810="Win"),'Match Log'!$D$4:$D$810,"")),IFERROR(LOOKUP(2,1/(('Match Log'!$A$4:$A$810=$A205)*('Match Log'!$E$4:$E$810="Win")),'Match Log'!$D$4:$D$810),""))</f>
        <v>Josh</v>
      </c>
      <c r="E205">
        <f>IFERROR(INDEX('Match Log'!$F$4:$F$810,MATCH(181,'Match Log'!$A$4:$A$810,0)),"")</f>
        <v>5</v>
      </c>
      <c r="F205">
        <f>IFERROR(SUMIFS('Match Log'!$I$4:$I$810,'Match Log'!$A$4:$A$810,181,'Match Log'!$E$4:$E$810,"Win"),"")</f>
        <v>0.26666666666666666</v>
      </c>
      <c r="G205">
        <f t="shared" si="28"/>
        <v>-0.33333333333333326</v>
      </c>
      <c r="H205" t="str">
        <f t="array" ref="H205">IFERROR(IF(COUNTIFS('Match Log'!$A$4:$A$810,$A205,'Match Log'!$E$4:$E$810,"Win")&gt;1,_xlfn.TEXTJOIN(" + ",TRUE,IF(('Match Log'!$A$4:$A$810=$A205)*('Match Log'!$E$4:$E$810="Loss"),'Match Log'!$D$4:$D$810,"")),IF($E205=2,LOOKUP(2,1/(('Match Log'!$A$4:$A$810=$A205)*('Match Log'!$E$4:$E$810="Loss")),'Match Log'!$D$4:$D$810),"the field")),"")</f>
        <v>the field</v>
      </c>
      <c r="I205">
        <f t="shared" si="29"/>
        <v>-0.33351433333333325</v>
      </c>
      <c r="J205">
        <v>181</v>
      </c>
      <c r="K205">
        <f>IF($J205&gt;MAX('Match Log'!$A$4:$A$810),NA(),IFERROR(LOOKUP(2,1/(('Match Log'!$D$4:$D$810=$K$24)*('Match Log'!$A$4:$A$810&lt;=$J205)),'Match Log'!$N$4:$N$810),NA()))</f>
        <v>1009.8261046694705</v>
      </c>
      <c r="L205">
        <f>IF($J205&gt;MAX('Match Log'!$A$4:$A$810),NA(),IFERROR(LOOKUP(2,1/(('Match Log'!$D$4:$D$810=$L$24)*('Match Log'!$A$4:$A$810&lt;=$J205)),'Match Log'!$N$4:$N$810),NA()))</f>
        <v>1029.5175965335138</v>
      </c>
      <c r="M205">
        <f>IF($J205&gt;MAX('Match Log'!$A$4:$A$810),NA(),IFERROR(LOOKUP(2,1/(('Match Log'!$D$4:$D$810=$M$24)*('Match Log'!$A$4:$A$810&lt;=$J205)),'Match Log'!$N$4:$N$810),NA()))</f>
        <v>1037.8197114720938</v>
      </c>
      <c r="N205">
        <f>IF($J205&gt;MAX('Match Log'!$A$4:$A$810),NA(),IFERROR(LOOKUP(2,1/(('Match Log'!$D$4:$D$810=$N$24)*('Match Log'!$A$4:$A$810&lt;=$J205)),'Match Log'!$N$4:$N$810),NA()))</f>
        <v>973.19705892757202</v>
      </c>
      <c r="O205">
        <f>IF($J205&gt;MAX('Match Log'!$A$4:$A$810),NA(),IFERROR(LOOKUP(2,1/(('Match Log'!$D$4:$D$810=$O$24)*('Match Log'!$A$4:$A$810&lt;=$J205)),'Match Log'!$N$4:$N$810),NA()))</f>
        <v>1093.6015451357737</v>
      </c>
      <c r="P205">
        <f>IF($J205&gt;MAX('Match Log'!$A$4:$A$810),NA(),IFERROR(LOOKUP(2,1/(('Match Log'!$D$4:$D$810=$P$24)*('Match Log'!$A$4:$A$810&lt;=$J205)),'Match Log'!$N$4:$N$810),NA()))</f>
        <v>1156.6670987691946</v>
      </c>
      <c r="Q205">
        <f>IF($J205&gt;MAX('Match Log'!$A$4:$A$810),NA(),IFERROR(LOOKUP(2,1/(('Match Log'!$D$4:$D$810=$Q$24)*('Match Log'!$A$4:$A$810&lt;=$J205)),'Match Log'!$N$4:$N$810),NA()))</f>
        <v>1050.2393073123574</v>
      </c>
      <c r="R205">
        <f>IF($J205&gt;MAX('Match Log'!$A$4:$A$810),NA(),IFERROR(LOOKUP(2,1/(('Match Log'!$D$4:$D$810=$R$24)*('Match Log'!$A$4:$A$810&lt;=$J205)),'Match Log'!$N$4:$N$810),NA()))</f>
        <v>1051.8710119667967</v>
      </c>
      <c r="S205">
        <f>IF($J205&gt;MAX('Match Log'!$A$4:$A$810),NA(),IFERROR(LOOKUP(2,1/(('Match Log'!$D$4:$D$810=$S$24)*('Match Log'!$A$4:$A$810&lt;=$J205)),'Match Log'!$N$4:$N$810),NA()))</f>
        <v>1241.7029363250533</v>
      </c>
      <c r="T205">
        <f>IF($J205&gt;MAX('Match Log'!$A$4:$A$810),NA(),IFERROR(LOOKUP(2,1/(('Match Log'!$D$4:$D$810=$T$24)*('Match Log'!$A$4:$A$810&lt;=$J205)),'Match Log'!$N$4:$N$810),NA()))</f>
        <v>862.22294373677494</v>
      </c>
      <c r="U205">
        <f>IF($J205&gt;MAX('Match Log'!$A$4:$A$810),NA(),IFERROR(LOOKUP(2,1/(('Match Log'!$D$4:$D$810=$U$24)*('Match Log'!$A$4:$A$810&lt;=$J205)),'Match Log'!$N$4:$N$810),NA()))</f>
        <v>1115.8211932271754</v>
      </c>
      <c r="V205">
        <f>IF($J205&gt;MAX('Match Log'!$A$4:$A$810),NA(),IFERROR(LOOKUP(2,1/(('Match Log'!$D$4:$D$810=$V$24)*('Match Log'!$A$4:$A$810&lt;=$J205)),'Match Log'!$N$4:$N$810),NA()))</f>
        <v>1012.1303999492304</v>
      </c>
      <c r="W205">
        <f>IF($J205&gt;MAX('Match Log'!$A$4:$A$810),NA(),IFERROR(LOOKUP(2,1/(('Match Log'!$D$4:$D$810=$W$24)*('Match Log'!$A$4:$A$810&lt;=$J205)),'Match Log'!$N$4:$N$810),NA()))</f>
        <v>1080.3830919749923</v>
      </c>
      <c r="X205" t="e">
        <f>IF($J205&gt;MAX('Match Log'!$A$4:$A$810),NA(),IFERROR(LOOKUP(2,1/(('Match Log'!$D$4:$D$810=$X$24)*('Match Log'!$A$4:$A$810&lt;=$J205)),'Match Log'!$N$4:$N$810),NA()))</f>
        <v>#N/A</v>
      </c>
      <c r="Y205" t="str">
        <f t="shared" ca="1" si="30"/>
        <v/>
      </c>
    </row>
    <row r="206" spans="1:25" x14ac:dyDescent="0.2">
      <c r="A206">
        <v>182</v>
      </c>
      <c r="B206">
        <f>IFERROR(INDEX('Match Log'!$B$4:$B$810,MATCH(182,'Match Log'!$A$4:$A$810,0)),"")</f>
        <v>46236</v>
      </c>
      <c r="C206" t="str">
        <f>IFERROR(INDEX('Match Log'!$C$4:$C$810,MATCH(182,'Match Log'!$A$4:$A$810,0)),"")</f>
        <v>Mario Golf</v>
      </c>
      <c r="D206" t="str">
        <f t="array" ref="D206">IFERROR(_xlfn.TEXTJOIN(" + ",TRUE,IF(('Match Log'!$A$4:$A$810=$A206)*('Match Log'!$E$4:$E$810="Win"),'Match Log'!$D$4:$D$810,"")),IFERROR(LOOKUP(2,1/(('Match Log'!$A$4:$A$810=$A206)*('Match Log'!$E$4:$E$810="Win")),'Match Log'!$D$4:$D$810),""))</f>
        <v>Daniel (Ferret)</v>
      </c>
      <c r="E206">
        <f>IFERROR(INDEX('Match Log'!$F$4:$F$810,MATCH(182,'Match Log'!$A$4:$A$810,0)),"")</f>
        <v>2</v>
      </c>
      <c r="F206">
        <f>IFERROR(SUMIFS('Match Log'!$I$4:$I$810,'Match Log'!$A$4:$A$810,182,'Match Log'!$E$4:$E$810,"Win"),"")</f>
        <v>0.29651162790697672</v>
      </c>
      <c r="G206">
        <f t="shared" si="28"/>
        <v>0.40697674418604657</v>
      </c>
      <c r="H206" t="str">
        <f t="array" ref="H206">IFERROR(IF(COUNTIFS('Match Log'!$A$4:$A$810,$A206,'Match Log'!$E$4:$E$810,"Win")&gt;1,_xlfn.TEXTJOIN(" + ",TRUE,IF(('Match Log'!$A$4:$A$810=$A206)*('Match Log'!$E$4:$E$810="Loss"),'Match Log'!$D$4:$D$810,"")),IF($E206=2,LOOKUP(2,1/(('Match Log'!$A$4:$A$810=$A206)*('Match Log'!$E$4:$E$810="Loss")),'Match Log'!$D$4:$D$810),"the field")),"")</f>
        <v>Shawn</v>
      </c>
      <c r="I206">
        <f t="shared" si="29"/>
        <v>0.40679474418604655</v>
      </c>
      <c r="J206">
        <v>182</v>
      </c>
      <c r="K206">
        <f>IF($J206&gt;MAX('Match Log'!$A$4:$A$810),NA(),IFERROR(LOOKUP(2,1/(('Match Log'!$D$4:$D$810=$K$24)*('Match Log'!$A$4:$A$810&lt;=$J206)),'Match Log'!$N$4:$N$810),NA()))</f>
        <v>1009.8261046694705</v>
      </c>
      <c r="L206">
        <f>IF($J206&gt;MAX('Match Log'!$A$4:$A$810),NA(),IFERROR(LOOKUP(2,1/(('Match Log'!$D$4:$D$810=$L$24)*('Match Log'!$A$4:$A$810&lt;=$J206)),'Match Log'!$N$4:$N$810),NA()))</f>
        <v>1029.5175965335138</v>
      </c>
      <c r="M206">
        <f>IF($J206&gt;MAX('Match Log'!$A$4:$A$810),NA(),IFERROR(LOOKUP(2,1/(('Match Log'!$D$4:$D$810=$M$24)*('Match Log'!$A$4:$A$810&lt;=$J206)),'Match Log'!$N$4:$N$810),NA()))</f>
        <v>1037.8197114720938</v>
      </c>
      <c r="N206">
        <f>IF($J206&gt;MAX('Match Log'!$A$4:$A$810),NA(),IFERROR(LOOKUP(2,1/(('Match Log'!$D$4:$D$810=$N$24)*('Match Log'!$A$4:$A$810&lt;=$J206)),'Match Log'!$N$4:$N$810),NA()))</f>
        <v>973.19705892757202</v>
      </c>
      <c r="O206">
        <f>IF($J206&gt;MAX('Match Log'!$A$4:$A$810),NA(),IFERROR(LOOKUP(2,1/(('Match Log'!$D$4:$D$810=$O$24)*('Match Log'!$A$4:$A$810&lt;=$J206)),'Match Log'!$N$4:$N$810),NA()))</f>
        <v>1093.6015451357737</v>
      </c>
      <c r="P206">
        <f>IF($J206&gt;MAX('Match Log'!$A$4:$A$810),NA(),IFERROR(LOOKUP(2,1/(('Match Log'!$D$4:$D$810=$P$24)*('Match Log'!$A$4:$A$810&lt;=$J206)),'Match Log'!$N$4:$N$810),NA()))</f>
        <v>1127.4289742440753</v>
      </c>
      <c r="Q206">
        <f>IF($J206&gt;MAX('Match Log'!$A$4:$A$810),NA(),IFERROR(LOOKUP(2,1/(('Match Log'!$D$4:$D$810=$Q$24)*('Match Log'!$A$4:$A$810&lt;=$J206)),'Match Log'!$N$4:$N$810),NA()))</f>
        <v>1050.2393073123574</v>
      </c>
      <c r="R206">
        <f>IF($J206&gt;MAX('Match Log'!$A$4:$A$810),NA(),IFERROR(LOOKUP(2,1/(('Match Log'!$D$4:$D$810=$R$24)*('Match Log'!$A$4:$A$810&lt;=$J206)),'Match Log'!$N$4:$N$810),NA()))</f>
        <v>1081.1091364919159</v>
      </c>
      <c r="S206">
        <f>IF($J206&gt;MAX('Match Log'!$A$4:$A$810),NA(),IFERROR(LOOKUP(2,1/(('Match Log'!$D$4:$D$810=$S$24)*('Match Log'!$A$4:$A$810&lt;=$J206)),'Match Log'!$N$4:$N$810),NA()))</f>
        <v>1241.7029363250533</v>
      </c>
      <c r="T206">
        <f>IF($J206&gt;MAX('Match Log'!$A$4:$A$810),NA(),IFERROR(LOOKUP(2,1/(('Match Log'!$D$4:$D$810=$T$24)*('Match Log'!$A$4:$A$810&lt;=$J206)),'Match Log'!$N$4:$N$810),NA()))</f>
        <v>862.22294373677494</v>
      </c>
      <c r="U206">
        <f>IF($J206&gt;MAX('Match Log'!$A$4:$A$810),NA(),IFERROR(LOOKUP(2,1/(('Match Log'!$D$4:$D$810=$U$24)*('Match Log'!$A$4:$A$810&lt;=$J206)),'Match Log'!$N$4:$N$810),NA()))</f>
        <v>1115.8211932271754</v>
      </c>
      <c r="V206">
        <f>IF($J206&gt;MAX('Match Log'!$A$4:$A$810),NA(),IFERROR(LOOKUP(2,1/(('Match Log'!$D$4:$D$810=$V$24)*('Match Log'!$A$4:$A$810&lt;=$J206)),'Match Log'!$N$4:$N$810),NA()))</f>
        <v>1012.1303999492304</v>
      </c>
      <c r="W206">
        <f>IF($J206&gt;MAX('Match Log'!$A$4:$A$810),NA(),IFERROR(LOOKUP(2,1/(('Match Log'!$D$4:$D$810=$W$24)*('Match Log'!$A$4:$A$810&lt;=$J206)),'Match Log'!$N$4:$N$810),NA()))</f>
        <v>1080.3830919749923</v>
      </c>
      <c r="X206" t="e">
        <f>IF($J206&gt;MAX('Match Log'!$A$4:$A$810),NA(),IFERROR(LOOKUP(2,1/(('Match Log'!$D$4:$D$810=$X$24)*('Match Log'!$A$4:$A$810&lt;=$J206)),'Match Log'!$N$4:$N$810),NA()))</f>
        <v>#N/A</v>
      </c>
      <c r="Y206" t="str">
        <f t="shared" ca="1" si="30"/>
        <v/>
      </c>
    </row>
    <row r="207" spans="1:25" x14ac:dyDescent="0.2">
      <c r="A207">
        <v>183</v>
      </c>
      <c r="B207">
        <f>IFERROR(INDEX('Match Log'!$B$4:$B$810,MATCH(183,'Match Log'!$A$4:$A$810,0)),"")</f>
        <v>46236</v>
      </c>
      <c r="C207" t="str">
        <f>IFERROR(INDEX('Match Log'!$C$4:$C$810,MATCH(183,'Match Log'!$A$4:$A$810,0)),"")</f>
        <v>Mario Golf</v>
      </c>
      <c r="D207" t="str">
        <f t="array" ref="D207">IFERROR(_xlfn.TEXTJOIN(" + ",TRUE,IF(('Match Log'!$A$4:$A$810=$A207)*('Match Log'!$E$4:$E$810="Win"),'Match Log'!$D$4:$D$810,"")),IFERROR(LOOKUP(2,1/(('Match Log'!$A$4:$A$810=$A207)*('Match Log'!$E$4:$E$810="Win")),'Match Log'!$D$4:$D$810),""))</f>
        <v>Shawn</v>
      </c>
      <c r="E207">
        <f>IFERROR(INDEX('Match Log'!$F$4:$F$810,MATCH(183,'Match Log'!$A$4:$A$810,0)),"")</f>
        <v>2</v>
      </c>
      <c r="F207">
        <f>IFERROR(SUMIFS('Match Log'!$I$4:$I$810,'Match Log'!$A$4:$A$810,183,'Match Log'!$E$4:$E$810,"Win"),"")</f>
        <v>0.6470588235294118</v>
      </c>
      <c r="G207">
        <f t="shared" si="28"/>
        <v>-0.29411764705882359</v>
      </c>
      <c r="H207" t="str">
        <f t="array" ref="H207">IFERROR(IF(COUNTIFS('Match Log'!$A$4:$A$810,$A207,'Match Log'!$E$4:$E$810,"Win")&gt;1,_xlfn.TEXTJOIN(" + ",TRUE,IF(('Match Log'!$A$4:$A$810=$A207)*('Match Log'!$E$4:$E$810="Loss"),'Match Log'!$D$4:$D$810,"")),IF($E207=2,LOOKUP(2,1/(('Match Log'!$A$4:$A$810=$A207)*('Match Log'!$E$4:$E$810="Loss")),'Match Log'!$D$4:$D$810),"the field")),"")</f>
        <v>Daniel (Ferret)</v>
      </c>
      <c r="I207">
        <f t="shared" si="29"/>
        <v>-0.29430064705882358</v>
      </c>
      <c r="J207">
        <v>183</v>
      </c>
      <c r="K207">
        <f>IF($J207&gt;MAX('Match Log'!$A$4:$A$810),NA(),IFERROR(LOOKUP(2,1/(('Match Log'!$D$4:$D$810=$K$24)*('Match Log'!$A$4:$A$810&lt;=$J207)),'Match Log'!$N$4:$N$810),NA()))</f>
        <v>1009.8261046694705</v>
      </c>
      <c r="L207">
        <f>IF($J207&gt;MAX('Match Log'!$A$4:$A$810),NA(),IFERROR(LOOKUP(2,1/(('Match Log'!$D$4:$D$810=$L$24)*('Match Log'!$A$4:$A$810&lt;=$J207)),'Match Log'!$N$4:$N$810),NA()))</f>
        <v>1029.5175965335138</v>
      </c>
      <c r="M207">
        <f>IF($J207&gt;MAX('Match Log'!$A$4:$A$810),NA(),IFERROR(LOOKUP(2,1/(('Match Log'!$D$4:$D$810=$M$24)*('Match Log'!$A$4:$A$810&lt;=$J207)),'Match Log'!$N$4:$N$810),NA()))</f>
        <v>1037.8197114720938</v>
      </c>
      <c r="N207">
        <f>IF($J207&gt;MAX('Match Log'!$A$4:$A$810),NA(),IFERROR(LOOKUP(2,1/(('Match Log'!$D$4:$D$810=$N$24)*('Match Log'!$A$4:$A$810&lt;=$J207)),'Match Log'!$N$4:$N$810),NA()))</f>
        <v>973.19705892757202</v>
      </c>
      <c r="O207">
        <f>IF($J207&gt;MAX('Match Log'!$A$4:$A$810),NA(),IFERROR(LOOKUP(2,1/(('Match Log'!$D$4:$D$810=$O$24)*('Match Log'!$A$4:$A$810&lt;=$J207)),'Match Log'!$N$4:$N$810),NA()))</f>
        <v>1093.6015451357737</v>
      </c>
      <c r="P207">
        <f>IF($J207&gt;MAX('Match Log'!$A$4:$A$810),NA(),IFERROR(LOOKUP(2,1/(('Match Log'!$D$4:$D$810=$P$24)*('Match Log'!$A$4:$A$810&lt;=$J207)),'Match Log'!$N$4:$N$810),NA()))</f>
        <v>1144.8568925635786</v>
      </c>
      <c r="Q207">
        <f>IF($J207&gt;MAX('Match Log'!$A$4:$A$810),NA(),IFERROR(LOOKUP(2,1/(('Match Log'!$D$4:$D$810=$Q$24)*('Match Log'!$A$4:$A$810&lt;=$J207)),'Match Log'!$N$4:$N$810),NA()))</f>
        <v>1050.2393073123574</v>
      </c>
      <c r="R207">
        <f>IF($J207&gt;MAX('Match Log'!$A$4:$A$810),NA(),IFERROR(LOOKUP(2,1/(('Match Log'!$D$4:$D$810=$R$24)*('Match Log'!$A$4:$A$810&lt;=$J207)),'Match Log'!$N$4:$N$810),NA()))</f>
        <v>1063.6812181724126</v>
      </c>
      <c r="S207">
        <f>IF($J207&gt;MAX('Match Log'!$A$4:$A$810),NA(),IFERROR(LOOKUP(2,1/(('Match Log'!$D$4:$D$810=$S$24)*('Match Log'!$A$4:$A$810&lt;=$J207)),'Match Log'!$N$4:$N$810),NA()))</f>
        <v>1241.7029363250533</v>
      </c>
      <c r="T207">
        <f>IF($J207&gt;MAX('Match Log'!$A$4:$A$810),NA(),IFERROR(LOOKUP(2,1/(('Match Log'!$D$4:$D$810=$T$24)*('Match Log'!$A$4:$A$810&lt;=$J207)),'Match Log'!$N$4:$N$810),NA()))</f>
        <v>862.22294373677494</v>
      </c>
      <c r="U207">
        <f>IF($J207&gt;MAX('Match Log'!$A$4:$A$810),NA(),IFERROR(LOOKUP(2,1/(('Match Log'!$D$4:$D$810=$U$24)*('Match Log'!$A$4:$A$810&lt;=$J207)),'Match Log'!$N$4:$N$810),NA()))</f>
        <v>1115.8211932271754</v>
      </c>
      <c r="V207">
        <f>IF($J207&gt;MAX('Match Log'!$A$4:$A$810),NA(),IFERROR(LOOKUP(2,1/(('Match Log'!$D$4:$D$810=$V$24)*('Match Log'!$A$4:$A$810&lt;=$J207)),'Match Log'!$N$4:$N$810),NA()))</f>
        <v>1012.1303999492304</v>
      </c>
      <c r="W207">
        <f>IF($J207&gt;MAX('Match Log'!$A$4:$A$810),NA(),IFERROR(LOOKUP(2,1/(('Match Log'!$D$4:$D$810=$W$24)*('Match Log'!$A$4:$A$810&lt;=$J207)),'Match Log'!$N$4:$N$810),NA()))</f>
        <v>1080.3830919749923</v>
      </c>
      <c r="X207" t="e">
        <f>IF($J207&gt;MAX('Match Log'!$A$4:$A$810),NA(),IFERROR(LOOKUP(2,1/(('Match Log'!$D$4:$D$810=$X$24)*('Match Log'!$A$4:$A$810&lt;=$J207)),'Match Log'!$N$4:$N$810),NA()))</f>
        <v>#N/A</v>
      </c>
      <c r="Y207" t="str">
        <f t="shared" ca="1" si="30"/>
        <v/>
      </c>
    </row>
    <row r="208" spans="1:25" x14ac:dyDescent="0.2">
      <c r="A208">
        <v>184</v>
      </c>
      <c r="B208">
        <f>IFERROR(INDEX('Match Log'!$B$4:$B$810,MATCH(184,'Match Log'!$A$4:$A$810,0)),"")</f>
        <v>46236</v>
      </c>
      <c r="C208" t="str">
        <f>IFERROR(INDEX('Match Log'!$C$4:$C$810,MATCH(184,'Match Log'!$A$4:$A$810,0)),"")</f>
        <v>Mario Golf</v>
      </c>
      <c r="D208" t="str">
        <f t="array" ref="D208">IFERROR(_xlfn.TEXTJOIN(" + ",TRUE,IF(('Match Log'!$A$4:$A$810=$A208)*('Match Log'!$E$4:$E$810="Win"),'Match Log'!$D$4:$D$810,"")),IFERROR(LOOKUP(2,1/(('Match Log'!$A$4:$A$810=$A208)*('Match Log'!$E$4:$E$810="Win")),'Match Log'!$D$4:$D$810),""))</f>
        <v>Shawn</v>
      </c>
      <c r="E208">
        <f>IFERROR(INDEX('Match Log'!$F$4:$F$810,MATCH(184,'Match Log'!$A$4:$A$810,0)),"")</f>
        <v>2</v>
      </c>
      <c r="F208">
        <f>IFERROR(SUMIFS('Match Log'!$I$4:$I$810,'Match Log'!$A$4:$A$810,184,'Match Log'!$E$4:$E$810,"Win"),"")</f>
        <v>0.67241379310344829</v>
      </c>
      <c r="G208">
        <f t="shared" si="28"/>
        <v>-0.34482758620689657</v>
      </c>
      <c r="H208" t="str">
        <f t="array" ref="H208">IFERROR(IF(COUNTIFS('Match Log'!$A$4:$A$810,$A208,'Match Log'!$E$4:$E$810,"Win")&gt;1,_xlfn.TEXTJOIN(" + ",TRUE,IF(('Match Log'!$A$4:$A$810=$A208)*('Match Log'!$E$4:$E$810="Loss"),'Match Log'!$D$4:$D$810,"")),IF($E208=2,LOOKUP(2,1/(('Match Log'!$A$4:$A$810=$A208)*('Match Log'!$E$4:$E$810="Loss")),'Match Log'!$D$4:$D$810),"the field")),"")</f>
        <v>Daniel (Ferret)</v>
      </c>
      <c r="I208">
        <f t="shared" si="29"/>
        <v>-0.34501158620689659</v>
      </c>
      <c r="J208">
        <v>184</v>
      </c>
      <c r="K208">
        <f>IF($J208&gt;MAX('Match Log'!$A$4:$A$810),NA(),IFERROR(LOOKUP(2,1/(('Match Log'!$D$4:$D$810=$K$24)*('Match Log'!$A$4:$A$810&lt;=$J208)),'Match Log'!$N$4:$N$810),NA()))</f>
        <v>1009.8261046694705</v>
      </c>
      <c r="L208">
        <f>IF($J208&gt;MAX('Match Log'!$A$4:$A$810),NA(),IFERROR(LOOKUP(2,1/(('Match Log'!$D$4:$D$810=$L$24)*('Match Log'!$A$4:$A$810&lt;=$J208)),'Match Log'!$N$4:$N$810),NA()))</f>
        <v>1029.5175965335138</v>
      </c>
      <c r="M208">
        <f>IF($J208&gt;MAX('Match Log'!$A$4:$A$810),NA(),IFERROR(LOOKUP(2,1/(('Match Log'!$D$4:$D$810=$M$24)*('Match Log'!$A$4:$A$810&lt;=$J208)),'Match Log'!$N$4:$N$810),NA()))</f>
        <v>1037.8197114720938</v>
      </c>
      <c r="N208">
        <f>IF($J208&gt;MAX('Match Log'!$A$4:$A$810),NA(),IFERROR(LOOKUP(2,1/(('Match Log'!$D$4:$D$810=$N$24)*('Match Log'!$A$4:$A$810&lt;=$J208)),'Match Log'!$N$4:$N$810),NA()))</f>
        <v>973.19705892757202</v>
      </c>
      <c r="O208">
        <f>IF($J208&gt;MAX('Match Log'!$A$4:$A$810),NA(),IFERROR(LOOKUP(2,1/(('Match Log'!$D$4:$D$810=$O$24)*('Match Log'!$A$4:$A$810&lt;=$J208)),'Match Log'!$N$4:$N$810),NA()))</f>
        <v>1093.6015451357737</v>
      </c>
      <c r="P208">
        <f>IF($J208&gt;MAX('Match Log'!$A$4:$A$810),NA(),IFERROR(LOOKUP(2,1/(('Match Log'!$D$4:$D$810=$P$24)*('Match Log'!$A$4:$A$810&lt;=$J208)),'Match Log'!$N$4:$N$810),NA()))</f>
        <v>1160.7088863543092</v>
      </c>
      <c r="Q208">
        <f>IF($J208&gt;MAX('Match Log'!$A$4:$A$810),NA(),IFERROR(LOOKUP(2,1/(('Match Log'!$D$4:$D$810=$Q$24)*('Match Log'!$A$4:$A$810&lt;=$J208)),'Match Log'!$N$4:$N$810),NA()))</f>
        <v>1050.2393073123574</v>
      </c>
      <c r="R208">
        <f>IF($J208&gt;MAX('Match Log'!$A$4:$A$810),NA(),IFERROR(LOOKUP(2,1/(('Match Log'!$D$4:$D$810=$R$24)*('Match Log'!$A$4:$A$810&lt;=$J208)),'Match Log'!$N$4:$N$810),NA()))</f>
        <v>1047.829224381682</v>
      </c>
      <c r="S208">
        <f>IF($J208&gt;MAX('Match Log'!$A$4:$A$810),NA(),IFERROR(LOOKUP(2,1/(('Match Log'!$D$4:$D$810=$S$24)*('Match Log'!$A$4:$A$810&lt;=$J208)),'Match Log'!$N$4:$N$810),NA()))</f>
        <v>1241.7029363250533</v>
      </c>
      <c r="T208">
        <f>IF($J208&gt;MAX('Match Log'!$A$4:$A$810),NA(),IFERROR(LOOKUP(2,1/(('Match Log'!$D$4:$D$810=$T$24)*('Match Log'!$A$4:$A$810&lt;=$J208)),'Match Log'!$N$4:$N$810),NA()))</f>
        <v>862.22294373677494</v>
      </c>
      <c r="U208">
        <f>IF($J208&gt;MAX('Match Log'!$A$4:$A$810),NA(),IFERROR(LOOKUP(2,1/(('Match Log'!$D$4:$D$810=$U$24)*('Match Log'!$A$4:$A$810&lt;=$J208)),'Match Log'!$N$4:$N$810),NA()))</f>
        <v>1115.8211932271754</v>
      </c>
      <c r="V208">
        <f>IF($J208&gt;MAX('Match Log'!$A$4:$A$810),NA(),IFERROR(LOOKUP(2,1/(('Match Log'!$D$4:$D$810=$V$24)*('Match Log'!$A$4:$A$810&lt;=$J208)),'Match Log'!$N$4:$N$810),NA()))</f>
        <v>1012.1303999492304</v>
      </c>
      <c r="W208">
        <f>IF($J208&gt;MAX('Match Log'!$A$4:$A$810),NA(),IFERROR(LOOKUP(2,1/(('Match Log'!$D$4:$D$810=$W$24)*('Match Log'!$A$4:$A$810&lt;=$J208)),'Match Log'!$N$4:$N$810),NA()))</f>
        <v>1080.3830919749923</v>
      </c>
      <c r="X208" t="e">
        <f>IF($J208&gt;MAX('Match Log'!$A$4:$A$810),NA(),IFERROR(LOOKUP(2,1/(('Match Log'!$D$4:$D$810=$X$24)*('Match Log'!$A$4:$A$810&lt;=$J208)),'Match Log'!$N$4:$N$810),NA()))</f>
        <v>#N/A</v>
      </c>
      <c r="Y208" t="str">
        <f t="shared" ca="1" si="30"/>
        <v/>
      </c>
    </row>
    <row r="209" spans="1:25" x14ac:dyDescent="0.2">
      <c r="A209">
        <v>185</v>
      </c>
      <c r="B209">
        <f>IFERROR(INDEX('Match Log'!$B$4:$B$810,MATCH(185,'Match Log'!$A$4:$A$810,0)),"")</f>
        <v>46236</v>
      </c>
      <c r="C209" t="str">
        <f>IFERROR(INDEX('Match Log'!$C$4:$C$810,MATCH(185,'Match Log'!$A$4:$A$810,0)),"")</f>
        <v>Mario Golf</v>
      </c>
      <c r="D209" t="str">
        <f t="array" ref="D209">IFERROR(_xlfn.TEXTJOIN(" + ",TRUE,IF(('Match Log'!$A$4:$A$810=$A209)*('Match Log'!$E$4:$E$810="Win"),'Match Log'!$D$4:$D$810,"")),IFERROR(LOOKUP(2,1/(('Match Log'!$A$4:$A$810=$A209)*('Match Log'!$E$4:$E$810="Win")),'Match Log'!$D$4:$D$810),""))</f>
        <v>Daniel (Ferret)</v>
      </c>
      <c r="E209">
        <f>IFERROR(INDEX('Match Log'!$F$4:$F$810,MATCH(185,'Match Log'!$A$4:$A$810,0)),"")</f>
        <v>2</v>
      </c>
      <c r="F209">
        <f>IFERROR(SUMIFS('Match Log'!$I$4:$I$810,'Match Log'!$A$4:$A$810,185,'Match Log'!$E$4:$E$810,"Win"),"")</f>
        <v>0.30534351145038163</v>
      </c>
      <c r="G209">
        <f t="shared" ref="G209:G272" si="31">IF($D209="","",1-$F209*$E209)</f>
        <v>0.38931297709923673</v>
      </c>
      <c r="H209" t="str">
        <f t="array" ref="H209">IFERROR(IF(COUNTIFS('Match Log'!$A$4:$A$810,$A209,'Match Log'!$E$4:$E$810,"Win")&gt;1,_xlfn.TEXTJOIN(" + ",TRUE,IF(('Match Log'!$A$4:$A$810=$A209)*('Match Log'!$E$4:$E$810="Loss"),'Match Log'!$D$4:$D$810,"")),IF($E209=2,LOOKUP(2,1/(('Match Log'!$A$4:$A$810=$A209)*('Match Log'!$E$4:$E$810="Loss")),'Match Log'!$D$4:$D$810),"the field")),"")</f>
        <v>Shawn</v>
      </c>
      <c r="I209">
        <f t="shared" ref="I209:I272" si="32">IF($G209="","",$G209-$A209/1000000)</f>
        <v>0.38912797709923674</v>
      </c>
      <c r="J209">
        <v>185</v>
      </c>
      <c r="K209">
        <f>IF($J209&gt;MAX('Match Log'!$A$4:$A$810),NA(),IFERROR(LOOKUP(2,1/(('Match Log'!$D$4:$D$810=$K$24)*('Match Log'!$A$4:$A$810&lt;=$J209)),'Match Log'!$N$4:$N$810),NA()))</f>
        <v>1009.8261046694705</v>
      </c>
      <c r="L209">
        <f>IF($J209&gt;MAX('Match Log'!$A$4:$A$810),NA(),IFERROR(LOOKUP(2,1/(('Match Log'!$D$4:$D$810=$L$24)*('Match Log'!$A$4:$A$810&lt;=$J209)),'Match Log'!$N$4:$N$810),NA()))</f>
        <v>1029.5175965335138</v>
      </c>
      <c r="M209">
        <f>IF($J209&gt;MAX('Match Log'!$A$4:$A$810),NA(),IFERROR(LOOKUP(2,1/(('Match Log'!$D$4:$D$810=$M$24)*('Match Log'!$A$4:$A$810&lt;=$J209)),'Match Log'!$N$4:$N$810),NA()))</f>
        <v>1037.8197114720938</v>
      </c>
      <c r="N209">
        <f>IF($J209&gt;MAX('Match Log'!$A$4:$A$810),NA(),IFERROR(LOOKUP(2,1/(('Match Log'!$D$4:$D$810=$N$24)*('Match Log'!$A$4:$A$810&lt;=$J209)),'Match Log'!$N$4:$N$810),NA()))</f>
        <v>973.19705892757202</v>
      </c>
      <c r="O209">
        <f>IF($J209&gt;MAX('Match Log'!$A$4:$A$810),NA(),IFERROR(LOOKUP(2,1/(('Match Log'!$D$4:$D$810=$O$24)*('Match Log'!$A$4:$A$810&lt;=$J209)),'Match Log'!$N$4:$N$810),NA()))</f>
        <v>1093.6015451357737</v>
      </c>
      <c r="P209">
        <f>IF($J209&gt;MAX('Match Log'!$A$4:$A$810),NA(),IFERROR(LOOKUP(2,1/(('Match Log'!$D$4:$D$810=$P$24)*('Match Log'!$A$4:$A$810&lt;=$J209)),'Match Log'!$N$4:$N$810),NA()))</f>
        <v>1131.1935153269121</v>
      </c>
      <c r="Q209">
        <f>IF($J209&gt;MAX('Match Log'!$A$4:$A$810),NA(),IFERROR(LOOKUP(2,1/(('Match Log'!$D$4:$D$810=$Q$24)*('Match Log'!$A$4:$A$810&lt;=$J209)),'Match Log'!$N$4:$N$810),NA()))</f>
        <v>1050.2393073123574</v>
      </c>
      <c r="R209">
        <f>IF($J209&gt;MAX('Match Log'!$A$4:$A$810),NA(),IFERROR(LOOKUP(2,1/(('Match Log'!$D$4:$D$810=$R$24)*('Match Log'!$A$4:$A$810&lt;=$J209)),'Match Log'!$N$4:$N$810),NA()))</f>
        <v>1077.3445954090791</v>
      </c>
      <c r="S209">
        <f>IF($J209&gt;MAX('Match Log'!$A$4:$A$810),NA(),IFERROR(LOOKUP(2,1/(('Match Log'!$D$4:$D$810=$S$24)*('Match Log'!$A$4:$A$810&lt;=$J209)),'Match Log'!$N$4:$N$810),NA()))</f>
        <v>1241.7029363250533</v>
      </c>
      <c r="T209">
        <f>IF($J209&gt;MAX('Match Log'!$A$4:$A$810),NA(),IFERROR(LOOKUP(2,1/(('Match Log'!$D$4:$D$810=$T$24)*('Match Log'!$A$4:$A$810&lt;=$J209)),'Match Log'!$N$4:$N$810),NA()))</f>
        <v>862.22294373677494</v>
      </c>
      <c r="U209">
        <f>IF($J209&gt;MAX('Match Log'!$A$4:$A$810),NA(),IFERROR(LOOKUP(2,1/(('Match Log'!$D$4:$D$810=$U$24)*('Match Log'!$A$4:$A$810&lt;=$J209)),'Match Log'!$N$4:$N$810),NA()))</f>
        <v>1115.8211932271754</v>
      </c>
      <c r="V209">
        <f>IF($J209&gt;MAX('Match Log'!$A$4:$A$810),NA(),IFERROR(LOOKUP(2,1/(('Match Log'!$D$4:$D$810=$V$24)*('Match Log'!$A$4:$A$810&lt;=$J209)),'Match Log'!$N$4:$N$810),NA()))</f>
        <v>1012.1303999492304</v>
      </c>
      <c r="W209">
        <f>IF($J209&gt;MAX('Match Log'!$A$4:$A$810),NA(),IFERROR(LOOKUP(2,1/(('Match Log'!$D$4:$D$810=$W$24)*('Match Log'!$A$4:$A$810&lt;=$J209)),'Match Log'!$N$4:$N$810),NA()))</f>
        <v>1080.3830919749923</v>
      </c>
      <c r="X209" t="e">
        <f>IF($J209&gt;MAX('Match Log'!$A$4:$A$810),NA(),IFERROR(LOOKUP(2,1/(('Match Log'!$D$4:$D$810=$X$24)*('Match Log'!$A$4:$A$810&lt;=$J209)),'Match Log'!$N$4:$N$810),NA()))</f>
        <v>#N/A</v>
      </c>
      <c r="Y209" t="str">
        <f t="shared" ref="Y209:Y272" ca="1" si="33">IF(AND($B209&lt;&gt;"",$B209&gt;=$B$5,$I209&lt;&gt;""),$I209,"")</f>
        <v/>
      </c>
    </row>
    <row r="210" spans="1:25" x14ac:dyDescent="0.2">
      <c r="A210">
        <v>186</v>
      </c>
      <c r="B210">
        <f>IFERROR(INDEX('Match Log'!$B$4:$B$810,MATCH(186,'Match Log'!$A$4:$A$810,0)),"")</f>
        <v>46236</v>
      </c>
      <c r="C210" t="str">
        <f>IFERROR(INDEX('Match Log'!$C$4:$C$810,MATCH(186,'Match Log'!$A$4:$A$810,0)),"")</f>
        <v>Mario Golf</v>
      </c>
      <c r="D210" t="str">
        <f t="array" ref="D210">IFERROR(_xlfn.TEXTJOIN(" + ",TRUE,IF(('Match Log'!$A$4:$A$810=$A210)*('Match Log'!$E$4:$E$810="Win"),'Match Log'!$D$4:$D$810,"")),IFERROR(LOOKUP(2,1/(('Match Log'!$A$4:$A$810=$A210)*('Match Log'!$E$4:$E$810="Win")),'Match Log'!$D$4:$D$810),""))</f>
        <v>Daniel (Ferret)</v>
      </c>
      <c r="E210">
        <f>IFERROR(INDEX('Match Log'!$F$4:$F$810,MATCH(186,'Match Log'!$A$4:$A$810,0)),"")</f>
        <v>2</v>
      </c>
      <c r="F210">
        <f>IFERROR(SUMIFS('Match Log'!$I$4:$I$810,'Match Log'!$A$4:$A$810,186,'Match Log'!$E$4:$E$810,"Win"),"")</f>
        <v>0.35</v>
      </c>
      <c r="G210">
        <f t="shared" si="31"/>
        <v>0.30000000000000004</v>
      </c>
      <c r="H210" t="str">
        <f t="array" ref="H210">IFERROR(IF(COUNTIFS('Match Log'!$A$4:$A$810,$A210,'Match Log'!$E$4:$E$810,"Win")&gt;1,_xlfn.TEXTJOIN(" + ",TRUE,IF(('Match Log'!$A$4:$A$810=$A210)*('Match Log'!$E$4:$E$810="Loss"),'Match Log'!$D$4:$D$810,"")),IF($E210=2,LOOKUP(2,1/(('Match Log'!$A$4:$A$810=$A210)*('Match Log'!$E$4:$E$810="Loss")),'Match Log'!$D$4:$D$810),"the field")),"")</f>
        <v>Shawn</v>
      </c>
      <c r="I210">
        <f t="shared" si="32"/>
        <v>0.29981400000000002</v>
      </c>
      <c r="J210">
        <v>186</v>
      </c>
      <c r="K210">
        <f>IF($J210&gt;MAX('Match Log'!$A$4:$A$810),NA(),IFERROR(LOOKUP(2,1/(('Match Log'!$D$4:$D$810=$K$24)*('Match Log'!$A$4:$A$810&lt;=$J210)),'Match Log'!$N$4:$N$810),NA()))</f>
        <v>1009.8261046694705</v>
      </c>
      <c r="L210">
        <f>IF($J210&gt;MAX('Match Log'!$A$4:$A$810),NA(),IFERROR(LOOKUP(2,1/(('Match Log'!$D$4:$D$810=$L$24)*('Match Log'!$A$4:$A$810&lt;=$J210)),'Match Log'!$N$4:$N$810),NA()))</f>
        <v>1029.5175965335138</v>
      </c>
      <c r="M210">
        <f>IF($J210&gt;MAX('Match Log'!$A$4:$A$810),NA(),IFERROR(LOOKUP(2,1/(('Match Log'!$D$4:$D$810=$M$24)*('Match Log'!$A$4:$A$810&lt;=$J210)),'Match Log'!$N$4:$N$810),NA()))</f>
        <v>1037.8197114720938</v>
      </c>
      <c r="N210">
        <f>IF($J210&gt;MAX('Match Log'!$A$4:$A$810),NA(),IFERROR(LOOKUP(2,1/(('Match Log'!$D$4:$D$810=$N$24)*('Match Log'!$A$4:$A$810&lt;=$J210)),'Match Log'!$N$4:$N$810),NA()))</f>
        <v>973.19705892757202</v>
      </c>
      <c r="O210">
        <f>IF($J210&gt;MAX('Match Log'!$A$4:$A$810),NA(),IFERROR(LOOKUP(2,1/(('Match Log'!$D$4:$D$810=$O$24)*('Match Log'!$A$4:$A$810&lt;=$J210)),'Match Log'!$N$4:$N$810),NA()))</f>
        <v>1093.6015451357737</v>
      </c>
      <c r="P210">
        <f>IF($J210&gt;MAX('Match Log'!$A$4:$A$810),NA(),IFERROR(LOOKUP(2,1/(('Match Log'!$D$4:$D$810=$P$24)*('Match Log'!$A$4:$A$810&lt;=$J210)),'Match Log'!$N$4:$N$810),NA()))</f>
        <v>1104.1921812390008</v>
      </c>
      <c r="Q210">
        <f>IF($J210&gt;MAX('Match Log'!$A$4:$A$810),NA(),IFERROR(LOOKUP(2,1/(('Match Log'!$D$4:$D$810=$Q$24)*('Match Log'!$A$4:$A$810&lt;=$J210)),'Match Log'!$N$4:$N$810),NA()))</f>
        <v>1050.2393073123574</v>
      </c>
      <c r="R210">
        <f>IF($J210&gt;MAX('Match Log'!$A$4:$A$810),NA(),IFERROR(LOOKUP(2,1/(('Match Log'!$D$4:$D$810=$R$24)*('Match Log'!$A$4:$A$810&lt;=$J210)),'Match Log'!$N$4:$N$810),NA()))</f>
        <v>1104.3459294969905</v>
      </c>
      <c r="S210">
        <f>IF($J210&gt;MAX('Match Log'!$A$4:$A$810),NA(),IFERROR(LOOKUP(2,1/(('Match Log'!$D$4:$D$810=$S$24)*('Match Log'!$A$4:$A$810&lt;=$J210)),'Match Log'!$N$4:$N$810),NA()))</f>
        <v>1241.7029363250533</v>
      </c>
      <c r="T210">
        <f>IF($J210&gt;MAX('Match Log'!$A$4:$A$810),NA(),IFERROR(LOOKUP(2,1/(('Match Log'!$D$4:$D$810=$T$24)*('Match Log'!$A$4:$A$810&lt;=$J210)),'Match Log'!$N$4:$N$810),NA()))</f>
        <v>862.22294373677494</v>
      </c>
      <c r="U210">
        <f>IF($J210&gt;MAX('Match Log'!$A$4:$A$810),NA(),IFERROR(LOOKUP(2,1/(('Match Log'!$D$4:$D$810=$U$24)*('Match Log'!$A$4:$A$810&lt;=$J210)),'Match Log'!$N$4:$N$810),NA()))</f>
        <v>1115.8211932271754</v>
      </c>
      <c r="V210">
        <f>IF($J210&gt;MAX('Match Log'!$A$4:$A$810),NA(),IFERROR(LOOKUP(2,1/(('Match Log'!$D$4:$D$810=$V$24)*('Match Log'!$A$4:$A$810&lt;=$J210)),'Match Log'!$N$4:$N$810),NA()))</f>
        <v>1012.1303999492304</v>
      </c>
      <c r="W210">
        <f>IF($J210&gt;MAX('Match Log'!$A$4:$A$810),NA(),IFERROR(LOOKUP(2,1/(('Match Log'!$D$4:$D$810=$W$24)*('Match Log'!$A$4:$A$810&lt;=$J210)),'Match Log'!$N$4:$N$810),NA()))</f>
        <v>1080.3830919749923</v>
      </c>
      <c r="X210" t="e">
        <f>IF($J210&gt;MAX('Match Log'!$A$4:$A$810),NA(),IFERROR(LOOKUP(2,1/(('Match Log'!$D$4:$D$810=$X$24)*('Match Log'!$A$4:$A$810&lt;=$J210)),'Match Log'!$N$4:$N$810),NA()))</f>
        <v>#N/A</v>
      </c>
      <c r="Y210" t="str">
        <f t="shared" ca="1" si="33"/>
        <v/>
      </c>
    </row>
    <row r="211" spans="1:25" x14ac:dyDescent="0.2">
      <c r="A211">
        <v>187</v>
      </c>
      <c r="B211">
        <f>IFERROR(INDEX('Match Log'!$B$4:$B$810,MATCH(187,'Match Log'!$A$4:$A$810,0)),"")</f>
        <v>46241</v>
      </c>
      <c r="C211" t="str">
        <f>IFERROR(INDEX('Match Log'!$C$4:$C$810,MATCH(187,'Match Log'!$A$4:$A$810,0)),"")</f>
        <v>Mario Golf</v>
      </c>
      <c r="D211" t="str">
        <f t="array" ref="D211">IFERROR(_xlfn.TEXTJOIN(" + ",TRUE,IF(('Match Log'!$A$4:$A$810=$A211)*('Match Log'!$E$4:$E$810="Win"),'Match Log'!$D$4:$D$810,"")),IFERROR(LOOKUP(2,1/(('Match Log'!$A$4:$A$810=$A211)*('Match Log'!$E$4:$E$810="Win")),'Match Log'!$D$4:$D$810),""))</f>
        <v>Shawn</v>
      </c>
      <c r="E211">
        <f>IFERROR(INDEX('Match Log'!$F$4:$F$810,MATCH(187,'Match Log'!$A$4:$A$810,0)),"")</f>
        <v>2</v>
      </c>
      <c r="F211">
        <f>IFERROR(SUMIFS('Match Log'!$I$4:$I$810,'Match Log'!$A$4:$A$810,187,'Match Log'!$E$4:$E$810,"Win"),"")</f>
        <v>0.61176470588235299</v>
      </c>
      <c r="G211">
        <f t="shared" si="31"/>
        <v>-0.22352941176470598</v>
      </c>
      <c r="H211" t="str">
        <f t="array" ref="H211">IFERROR(IF(COUNTIFS('Match Log'!$A$4:$A$810,$A211,'Match Log'!$E$4:$E$810,"Win")&gt;1,_xlfn.TEXTJOIN(" + ",TRUE,IF(('Match Log'!$A$4:$A$810=$A211)*('Match Log'!$E$4:$E$810="Loss"),'Match Log'!$D$4:$D$810,"")),IF($E211=2,LOOKUP(2,1/(('Match Log'!$A$4:$A$810=$A211)*('Match Log'!$E$4:$E$810="Loss")),'Match Log'!$D$4:$D$810),"the field")),"")</f>
        <v>Oscar</v>
      </c>
      <c r="I211">
        <f t="shared" si="32"/>
        <v>-0.22371641176470597</v>
      </c>
      <c r="J211">
        <v>187</v>
      </c>
      <c r="K211">
        <f>IF($J211&gt;MAX('Match Log'!$A$4:$A$810),NA(),IFERROR(LOOKUP(2,1/(('Match Log'!$D$4:$D$810=$K$24)*('Match Log'!$A$4:$A$810&lt;=$J211)),'Match Log'!$N$4:$N$810),NA()))</f>
        <v>1009.8261046694705</v>
      </c>
      <c r="L211">
        <f>IF($J211&gt;MAX('Match Log'!$A$4:$A$810),NA(),IFERROR(LOOKUP(2,1/(('Match Log'!$D$4:$D$810=$L$24)*('Match Log'!$A$4:$A$810&lt;=$J211)),'Match Log'!$N$4:$N$810),NA()))</f>
        <v>1029.5175965335138</v>
      </c>
      <c r="M211">
        <f>IF($J211&gt;MAX('Match Log'!$A$4:$A$810),NA(),IFERROR(LOOKUP(2,1/(('Match Log'!$D$4:$D$810=$M$24)*('Match Log'!$A$4:$A$810&lt;=$J211)),'Match Log'!$N$4:$N$810),NA()))</f>
        <v>1037.8197114720938</v>
      </c>
      <c r="N211">
        <f>IF($J211&gt;MAX('Match Log'!$A$4:$A$810),NA(),IFERROR(LOOKUP(2,1/(('Match Log'!$D$4:$D$810=$N$24)*('Match Log'!$A$4:$A$810&lt;=$J211)),'Match Log'!$N$4:$N$810),NA()))</f>
        <v>973.19705892757202</v>
      </c>
      <c r="O211">
        <f>IF($J211&gt;MAX('Match Log'!$A$4:$A$810),NA(),IFERROR(LOOKUP(2,1/(('Match Log'!$D$4:$D$810=$O$24)*('Match Log'!$A$4:$A$810&lt;=$J211)),'Match Log'!$N$4:$N$810),NA()))</f>
        <v>1093.6015451357737</v>
      </c>
      <c r="P211">
        <f>IF($J211&gt;MAX('Match Log'!$A$4:$A$810),NA(),IFERROR(LOOKUP(2,1/(('Match Log'!$D$4:$D$810=$P$24)*('Match Log'!$A$4:$A$810&lt;=$J211)),'Match Log'!$N$4:$N$810),NA()))</f>
        <v>1125.4129591833539</v>
      </c>
      <c r="Q211">
        <f>IF($J211&gt;MAX('Match Log'!$A$4:$A$810),NA(),IFERROR(LOOKUP(2,1/(('Match Log'!$D$4:$D$810=$Q$24)*('Match Log'!$A$4:$A$810&lt;=$J211)),'Match Log'!$N$4:$N$810),NA()))</f>
        <v>1050.2393073123574</v>
      </c>
      <c r="R211">
        <f>IF($J211&gt;MAX('Match Log'!$A$4:$A$810),NA(),IFERROR(LOOKUP(2,1/(('Match Log'!$D$4:$D$810=$R$24)*('Match Log'!$A$4:$A$810&lt;=$J211)),'Match Log'!$N$4:$N$810),NA()))</f>
        <v>1104.3459294969905</v>
      </c>
      <c r="S211">
        <f>IF($J211&gt;MAX('Match Log'!$A$4:$A$810),NA(),IFERROR(LOOKUP(2,1/(('Match Log'!$D$4:$D$810=$S$24)*('Match Log'!$A$4:$A$810&lt;=$J211)),'Match Log'!$N$4:$N$810),NA()))</f>
        <v>1241.7029363250533</v>
      </c>
      <c r="T211">
        <f>IF($J211&gt;MAX('Match Log'!$A$4:$A$810),NA(),IFERROR(LOOKUP(2,1/(('Match Log'!$D$4:$D$810=$T$24)*('Match Log'!$A$4:$A$810&lt;=$J211)),'Match Log'!$N$4:$N$810),NA()))</f>
        <v>862.22294373677494</v>
      </c>
      <c r="U211">
        <f>IF($J211&gt;MAX('Match Log'!$A$4:$A$810),NA(),IFERROR(LOOKUP(2,1/(('Match Log'!$D$4:$D$810=$U$24)*('Match Log'!$A$4:$A$810&lt;=$J211)),'Match Log'!$N$4:$N$810),NA()))</f>
        <v>1094.6004152828223</v>
      </c>
      <c r="V211">
        <f>IF($J211&gt;MAX('Match Log'!$A$4:$A$810),NA(),IFERROR(LOOKUP(2,1/(('Match Log'!$D$4:$D$810=$V$24)*('Match Log'!$A$4:$A$810&lt;=$J211)),'Match Log'!$N$4:$N$810),NA()))</f>
        <v>1012.1303999492304</v>
      </c>
      <c r="W211">
        <f>IF($J211&gt;MAX('Match Log'!$A$4:$A$810),NA(),IFERROR(LOOKUP(2,1/(('Match Log'!$D$4:$D$810=$W$24)*('Match Log'!$A$4:$A$810&lt;=$J211)),'Match Log'!$N$4:$N$810),NA()))</f>
        <v>1080.3830919749923</v>
      </c>
      <c r="X211" t="e">
        <f>IF($J211&gt;MAX('Match Log'!$A$4:$A$810),NA(),IFERROR(LOOKUP(2,1/(('Match Log'!$D$4:$D$810=$X$24)*('Match Log'!$A$4:$A$810&lt;=$J211)),'Match Log'!$N$4:$N$810),NA()))</f>
        <v>#N/A</v>
      </c>
      <c r="Y211">
        <f t="shared" ca="1" si="33"/>
        <v>-0.22371641176470597</v>
      </c>
    </row>
    <row r="212" spans="1:25" x14ac:dyDescent="0.2">
      <c r="A212">
        <v>188</v>
      </c>
      <c r="B212">
        <f>IFERROR(INDEX('Match Log'!$B$4:$B$810,MATCH(188,'Match Log'!$A$4:$A$810,0)),"")</f>
        <v>46241</v>
      </c>
      <c r="C212" t="str">
        <f>IFERROR(INDEX('Match Log'!$C$4:$C$810,MATCH(188,'Match Log'!$A$4:$A$810,0)),"")</f>
        <v>Mario Golf</v>
      </c>
      <c r="D212" t="str">
        <f t="array" ref="D212">IFERROR(_xlfn.TEXTJOIN(" + ",TRUE,IF(('Match Log'!$A$4:$A$810=$A212)*('Match Log'!$E$4:$E$810="Win"),'Match Log'!$D$4:$D$810,"")),IFERROR(LOOKUP(2,1/(('Match Log'!$A$4:$A$810=$A212)*('Match Log'!$E$4:$E$810="Win")),'Match Log'!$D$4:$D$810),""))</f>
        <v>Shawn</v>
      </c>
      <c r="E212">
        <f>IFERROR(INDEX('Match Log'!$F$4:$F$810,MATCH(188,'Match Log'!$A$4:$A$810,0)),"")</f>
        <v>3</v>
      </c>
      <c r="F212">
        <f>IFERROR(SUMIFS('Match Log'!$I$4:$I$810,'Match Log'!$A$4:$A$810,188,'Match Log'!$E$4:$E$810,"Win"),"")</f>
        <v>0.46217331499312247</v>
      </c>
      <c r="G212">
        <f t="shared" si="31"/>
        <v>-0.38651994497936748</v>
      </c>
      <c r="H212" t="str">
        <f t="array" ref="H212">IFERROR(IF(COUNTIFS('Match Log'!$A$4:$A$810,$A212,'Match Log'!$E$4:$E$810,"Win")&gt;1,_xlfn.TEXTJOIN(" + ",TRUE,IF(('Match Log'!$A$4:$A$810=$A212)*('Match Log'!$E$4:$E$810="Loss"),'Match Log'!$D$4:$D$810,"")),IF($E212=2,LOOKUP(2,1/(('Match Log'!$A$4:$A$810=$A212)*('Match Log'!$E$4:$E$810="Loss")),'Match Log'!$D$4:$D$810),"the field")),"")</f>
        <v>the field</v>
      </c>
      <c r="I212">
        <f t="shared" si="32"/>
        <v>-0.3867079449793675</v>
      </c>
      <c r="J212">
        <v>188</v>
      </c>
      <c r="K212">
        <f>IF($J212&gt;MAX('Match Log'!$A$4:$A$810),NA(),IFERROR(LOOKUP(2,1/(('Match Log'!$D$4:$D$810=$K$24)*('Match Log'!$A$4:$A$810&lt;=$J212)),'Match Log'!$N$4:$N$810),NA()))</f>
        <v>1009.8261046694705</v>
      </c>
      <c r="L212">
        <f>IF($J212&gt;MAX('Match Log'!$A$4:$A$810),NA(),IFERROR(LOOKUP(2,1/(('Match Log'!$D$4:$D$810=$L$24)*('Match Log'!$A$4:$A$810&lt;=$J212)),'Match Log'!$N$4:$N$810),NA()))</f>
        <v>1029.5175965335138</v>
      </c>
      <c r="M212">
        <f>IF($J212&gt;MAX('Match Log'!$A$4:$A$810),NA(),IFERROR(LOOKUP(2,1/(('Match Log'!$D$4:$D$810=$M$24)*('Match Log'!$A$4:$A$810&lt;=$J212)),'Match Log'!$N$4:$N$810),NA()))</f>
        <v>1037.8197114720938</v>
      </c>
      <c r="N212">
        <f>IF($J212&gt;MAX('Match Log'!$A$4:$A$810),NA(),IFERROR(LOOKUP(2,1/(('Match Log'!$D$4:$D$810=$N$24)*('Match Log'!$A$4:$A$810&lt;=$J212)),'Match Log'!$N$4:$N$810),NA()))</f>
        <v>973.19705892757202</v>
      </c>
      <c r="O212">
        <f>IF($J212&gt;MAX('Match Log'!$A$4:$A$810),NA(),IFERROR(LOOKUP(2,1/(('Match Log'!$D$4:$D$810=$O$24)*('Match Log'!$A$4:$A$810&lt;=$J212)),'Match Log'!$N$4:$N$810),NA()))</f>
        <v>1093.6015451357737</v>
      </c>
      <c r="P212">
        <f>IF($J212&gt;MAX('Match Log'!$A$4:$A$810),NA(),IFERROR(LOOKUP(2,1/(('Match Log'!$D$4:$D$810=$P$24)*('Match Log'!$A$4:$A$810&lt;=$J212)),'Match Log'!$N$4:$N$810),NA()))</f>
        <v>1149.2815137445032</v>
      </c>
      <c r="Q212">
        <f>IF($J212&gt;MAX('Match Log'!$A$4:$A$810),NA(),IFERROR(LOOKUP(2,1/(('Match Log'!$D$4:$D$810=$Q$24)*('Match Log'!$A$4:$A$810&lt;=$J212)),'Match Log'!$N$4:$N$810),NA()))</f>
        <v>1050.2393073123574</v>
      </c>
      <c r="R212">
        <f>IF($J212&gt;MAX('Match Log'!$A$4:$A$810),NA(),IFERROR(LOOKUP(2,1/(('Match Log'!$D$4:$D$810=$R$24)*('Match Log'!$A$4:$A$810&lt;=$J212)),'Match Log'!$N$4:$N$810),NA()))</f>
        <v>1096.9361534599395</v>
      </c>
      <c r="S212">
        <f>IF($J212&gt;MAX('Match Log'!$A$4:$A$810),NA(),IFERROR(LOOKUP(2,1/(('Match Log'!$D$4:$D$810=$S$24)*('Match Log'!$A$4:$A$810&lt;=$J212)),'Match Log'!$N$4:$N$810),NA()))</f>
        <v>1241.7029363250533</v>
      </c>
      <c r="T212">
        <f>IF($J212&gt;MAX('Match Log'!$A$4:$A$810),NA(),IFERROR(LOOKUP(2,1/(('Match Log'!$D$4:$D$810=$T$24)*('Match Log'!$A$4:$A$810&lt;=$J212)),'Match Log'!$N$4:$N$810),NA()))</f>
        <v>862.22294373677494</v>
      </c>
      <c r="U212">
        <f>IF($J212&gt;MAX('Match Log'!$A$4:$A$810),NA(),IFERROR(LOOKUP(2,1/(('Match Log'!$D$4:$D$810=$U$24)*('Match Log'!$A$4:$A$810&lt;=$J212)),'Match Log'!$N$4:$N$810),NA()))</f>
        <v>1087.141636758724</v>
      </c>
      <c r="V212">
        <f>IF($J212&gt;MAX('Match Log'!$A$4:$A$810),NA(),IFERROR(LOOKUP(2,1/(('Match Log'!$D$4:$D$810=$V$24)*('Match Log'!$A$4:$A$810&lt;=$J212)),'Match Log'!$N$4:$N$810),NA()))</f>
        <v>1012.1303999492304</v>
      </c>
      <c r="W212">
        <f>IF($J212&gt;MAX('Match Log'!$A$4:$A$810),NA(),IFERROR(LOOKUP(2,1/(('Match Log'!$D$4:$D$810=$W$24)*('Match Log'!$A$4:$A$810&lt;=$J212)),'Match Log'!$N$4:$N$810),NA()))</f>
        <v>1080.3830919749923</v>
      </c>
      <c r="X212" t="e">
        <f>IF($J212&gt;MAX('Match Log'!$A$4:$A$810),NA(),IFERROR(LOOKUP(2,1/(('Match Log'!$D$4:$D$810=$X$24)*('Match Log'!$A$4:$A$810&lt;=$J212)),'Match Log'!$N$4:$N$810),NA()))</f>
        <v>#N/A</v>
      </c>
      <c r="Y212">
        <f t="shared" ca="1" si="33"/>
        <v>-0.3867079449793675</v>
      </c>
    </row>
    <row r="213" spans="1:25" x14ac:dyDescent="0.2">
      <c r="A213">
        <v>189</v>
      </c>
      <c r="B213">
        <f>IFERROR(INDEX('Match Log'!$B$4:$B$810,MATCH(189,'Match Log'!$A$4:$A$810,0)),"")</f>
        <v>46241</v>
      </c>
      <c r="C213" t="str">
        <f>IFERROR(INDEX('Match Log'!$C$4:$C$810,MATCH(189,'Match Log'!$A$4:$A$810,0)),"")</f>
        <v>Mario Golf</v>
      </c>
      <c r="D213" t="str">
        <f t="array" ref="D213">IFERROR(_xlfn.TEXTJOIN(" + ",TRUE,IF(('Match Log'!$A$4:$A$810=$A213)*('Match Log'!$E$4:$E$810="Win"),'Match Log'!$D$4:$D$810,"")),IFERROR(LOOKUP(2,1/(('Match Log'!$A$4:$A$810=$A213)*('Match Log'!$E$4:$E$810="Win")),'Match Log'!$D$4:$D$810),""))</f>
        <v>Daniel (Ferret)</v>
      </c>
      <c r="E213">
        <f>IFERROR(INDEX('Match Log'!$F$4:$F$810,MATCH(189,'Match Log'!$A$4:$A$810,0)),"")</f>
        <v>3</v>
      </c>
      <c r="F213">
        <f>IFERROR(SUMIFS('Match Log'!$I$4:$I$810,'Match Log'!$A$4:$A$810,189,'Match Log'!$E$4:$E$810,"Win"),"")</f>
        <v>0.27617951668584578</v>
      </c>
      <c r="G213">
        <f t="shared" si="31"/>
        <v>0.17146144994246271</v>
      </c>
      <c r="H213" t="str">
        <f t="array" ref="H213">IFERROR(IF(COUNTIFS('Match Log'!$A$4:$A$810,$A213,'Match Log'!$E$4:$E$810,"Win")&gt;1,_xlfn.TEXTJOIN(" + ",TRUE,IF(('Match Log'!$A$4:$A$810=$A213)*('Match Log'!$E$4:$E$810="Loss"),'Match Log'!$D$4:$D$810,"")),IF($E213=2,LOOKUP(2,1/(('Match Log'!$A$4:$A$810=$A213)*('Match Log'!$E$4:$E$810="Loss")),'Match Log'!$D$4:$D$810),"the field")),"")</f>
        <v>the field</v>
      </c>
      <c r="I213">
        <f t="shared" si="32"/>
        <v>0.17127244994246271</v>
      </c>
      <c r="J213">
        <v>189</v>
      </c>
      <c r="K213">
        <f>IF($J213&gt;MAX('Match Log'!$A$4:$A$810),NA(),IFERROR(LOOKUP(2,1/(('Match Log'!$D$4:$D$810=$K$24)*('Match Log'!$A$4:$A$810&lt;=$J213)),'Match Log'!$N$4:$N$810),NA()))</f>
        <v>1009.8261046694705</v>
      </c>
      <c r="L213">
        <f>IF($J213&gt;MAX('Match Log'!$A$4:$A$810),NA(),IFERROR(LOOKUP(2,1/(('Match Log'!$D$4:$D$810=$L$24)*('Match Log'!$A$4:$A$810&lt;=$J213)),'Match Log'!$N$4:$N$810),NA()))</f>
        <v>1029.5175965335138</v>
      </c>
      <c r="M213">
        <f>IF($J213&gt;MAX('Match Log'!$A$4:$A$810),NA(),IFERROR(LOOKUP(2,1/(('Match Log'!$D$4:$D$810=$M$24)*('Match Log'!$A$4:$A$810&lt;=$J213)),'Match Log'!$N$4:$N$810),NA()))</f>
        <v>1037.8197114720938</v>
      </c>
      <c r="N213">
        <f>IF($J213&gt;MAX('Match Log'!$A$4:$A$810),NA(),IFERROR(LOOKUP(2,1/(('Match Log'!$D$4:$D$810=$N$24)*('Match Log'!$A$4:$A$810&lt;=$J213)),'Match Log'!$N$4:$N$810),NA()))</f>
        <v>973.19705892757202</v>
      </c>
      <c r="O213">
        <f>IF($J213&gt;MAX('Match Log'!$A$4:$A$810),NA(),IFERROR(LOOKUP(2,1/(('Match Log'!$D$4:$D$810=$O$24)*('Match Log'!$A$4:$A$810&lt;=$J213)),'Match Log'!$N$4:$N$810),NA()))</f>
        <v>1093.6015451357737</v>
      </c>
      <c r="P213">
        <f>IF($J213&gt;MAX('Match Log'!$A$4:$A$810),NA(),IFERROR(LOOKUP(2,1/(('Match Log'!$D$4:$D$810=$P$24)*('Match Log'!$A$4:$A$810&lt;=$J213)),'Match Log'!$N$4:$N$810),NA()))</f>
        <v>1136.8854326959333</v>
      </c>
      <c r="Q213">
        <f>IF($J213&gt;MAX('Match Log'!$A$4:$A$810),NA(),IFERROR(LOOKUP(2,1/(('Match Log'!$D$4:$D$810=$Q$24)*('Match Log'!$A$4:$A$810&lt;=$J213)),'Match Log'!$N$4:$N$810),NA()))</f>
        <v>1050.2393073123574</v>
      </c>
      <c r="R213">
        <f>IF($J213&gt;MAX('Match Log'!$A$4:$A$810),NA(),IFERROR(LOOKUP(2,1/(('Match Log'!$D$4:$D$810=$R$24)*('Match Log'!$A$4:$A$810&lt;=$J213)),'Match Log'!$N$4:$N$810),NA()))</f>
        <v>1126.5349307714825</v>
      </c>
      <c r="S213">
        <f>IF($J213&gt;MAX('Match Log'!$A$4:$A$810),NA(),IFERROR(LOOKUP(2,1/(('Match Log'!$D$4:$D$810=$S$24)*('Match Log'!$A$4:$A$810&lt;=$J213)),'Match Log'!$N$4:$N$810),NA()))</f>
        <v>1241.7029363250533</v>
      </c>
      <c r="T213">
        <f>IF($J213&gt;MAX('Match Log'!$A$4:$A$810),NA(),IFERROR(LOOKUP(2,1/(('Match Log'!$D$4:$D$810=$T$24)*('Match Log'!$A$4:$A$810&lt;=$J213)),'Match Log'!$N$4:$N$810),NA()))</f>
        <v>862.22294373677494</v>
      </c>
      <c r="U213">
        <f>IF($J213&gt;MAX('Match Log'!$A$4:$A$810),NA(),IFERROR(LOOKUP(2,1/(('Match Log'!$D$4:$D$810=$U$24)*('Match Log'!$A$4:$A$810&lt;=$J213)),'Match Log'!$N$4:$N$810),NA()))</f>
        <v>1078.9389404957508</v>
      </c>
      <c r="V213">
        <f>IF($J213&gt;MAX('Match Log'!$A$4:$A$810),NA(),IFERROR(LOOKUP(2,1/(('Match Log'!$D$4:$D$810=$V$24)*('Match Log'!$A$4:$A$810&lt;=$J213)),'Match Log'!$N$4:$N$810),NA()))</f>
        <v>1012.1303999492304</v>
      </c>
      <c r="W213">
        <f>IF($J213&gt;MAX('Match Log'!$A$4:$A$810),NA(),IFERROR(LOOKUP(2,1/(('Match Log'!$D$4:$D$810=$W$24)*('Match Log'!$A$4:$A$810&lt;=$J213)),'Match Log'!$N$4:$N$810),NA()))</f>
        <v>1080.3830919749923</v>
      </c>
      <c r="X213" t="e">
        <f>IF($J213&gt;MAX('Match Log'!$A$4:$A$810),NA(),IFERROR(LOOKUP(2,1/(('Match Log'!$D$4:$D$810=$X$24)*('Match Log'!$A$4:$A$810&lt;=$J213)),'Match Log'!$N$4:$N$810),NA()))</f>
        <v>#N/A</v>
      </c>
      <c r="Y213">
        <f t="shared" ca="1" si="33"/>
        <v>0.17127244994246271</v>
      </c>
    </row>
    <row r="214" spans="1:25" x14ac:dyDescent="0.2">
      <c r="A214">
        <v>190</v>
      </c>
      <c r="B214">
        <f>IFERROR(INDEX('Match Log'!$B$4:$B$810,MATCH(190,'Match Log'!$A$4:$A$810,0)),"")</f>
        <v>46241</v>
      </c>
      <c r="C214" t="str">
        <f>IFERROR(INDEX('Match Log'!$C$4:$C$810,MATCH(190,'Match Log'!$A$4:$A$810,0)),"")</f>
        <v>Mario Golf</v>
      </c>
      <c r="D214" t="str">
        <f t="array" ref="D214">IFERROR(_xlfn.TEXTJOIN(" + ",TRUE,IF(('Match Log'!$A$4:$A$810=$A214)*('Match Log'!$E$4:$E$810="Win"),'Match Log'!$D$4:$D$810,"")),IFERROR(LOOKUP(2,1/(('Match Log'!$A$4:$A$810=$A214)*('Match Log'!$E$4:$E$810="Win")),'Match Log'!$D$4:$D$810),""))</f>
        <v>Daniel (Ferret)</v>
      </c>
      <c r="E214">
        <f>IFERROR(INDEX('Match Log'!$F$4:$F$810,MATCH(190,'Match Log'!$A$4:$A$810,0)),"")</f>
        <v>3</v>
      </c>
      <c r="F214">
        <f>IFERROR(SUMIFS('Match Log'!$I$4:$I$810,'Match Log'!$A$4:$A$810,190,'Match Log'!$E$4:$E$810,"Win"),"")</f>
        <v>0.30824659727782228</v>
      </c>
      <c r="G214">
        <f t="shared" si="31"/>
        <v>7.5260208166533227E-2</v>
      </c>
      <c r="H214" t="str">
        <f t="array" ref="H214">IFERROR(IF(COUNTIFS('Match Log'!$A$4:$A$810,$A214,'Match Log'!$E$4:$E$810,"Win")&gt;1,_xlfn.TEXTJOIN(" + ",TRUE,IF(('Match Log'!$A$4:$A$810=$A214)*('Match Log'!$E$4:$E$810="Loss"),'Match Log'!$D$4:$D$810,"")),IF($E214=2,LOOKUP(2,1/(('Match Log'!$A$4:$A$810=$A214)*('Match Log'!$E$4:$E$810="Loss")),'Match Log'!$D$4:$D$810),"the field")),"")</f>
        <v>the field</v>
      </c>
      <c r="I214">
        <f t="shared" si="32"/>
        <v>7.5070208166533231E-2</v>
      </c>
      <c r="J214">
        <v>190</v>
      </c>
      <c r="K214">
        <f>IF($J214&gt;MAX('Match Log'!$A$4:$A$810),NA(),IFERROR(LOOKUP(2,1/(('Match Log'!$D$4:$D$810=$K$24)*('Match Log'!$A$4:$A$810&lt;=$J214)),'Match Log'!$N$4:$N$810),NA()))</f>
        <v>1009.8261046694705</v>
      </c>
      <c r="L214">
        <f>IF($J214&gt;MAX('Match Log'!$A$4:$A$810),NA(),IFERROR(LOOKUP(2,1/(('Match Log'!$D$4:$D$810=$L$24)*('Match Log'!$A$4:$A$810&lt;=$J214)),'Match Log'!$N$4:$N$810),NA()))</f>
        <v>1029.5175965335138</v>
      </c>
      <c r="M214">
        <f>IF($J214&gt;MAX('Match Log'!$A$4:$A$810),NA(),IFERROR(LOOKUP(2,1/(('Match Log'!$D$4:$D$810=$M$24)*('Match Log'!$A$4:$A$810&lt;=$J214)),'Match Log'!$N$4:$N$810),NA()))</f>
        <v>1037.8197114720938</v>
      </c>
      <c r="N214">
        <f>IF($J214&gt;MAX('Match Log'!$A$4:$A$810),NA(),IFERROR(LOOKUP(2,1/(('Match Log'!$D$4:$D$810=$N$24)*('Match Log'!$A$4:$A$810&lt;=$J214)),'Match Log'!$N$4:$N$810),NA()))</f>
        <v>973.19705892757202</v>
      </c>
      <c r="O214">
        <f>IF($J214&gt;MAX('Match Log'!$A$4:$A$810),NA(),IFERROR(LOOKUP(2,1/(('Match Log'!$D$4:$D$810=$O$24)*('Match Log'!$A$4:$A$810&lt;=$J214)),'Match Log'!$N$4:$N$810),NA()))</f>
        <v>1093.6015451357737</v>
      </c>
      <c r="P214">
        <f>IF($J214&gt;MAX('Match Log'!$A$4:$A$810),NA(),IFERROR(LOOKUP(2,1/(('Match Log'!$D$4:$D$810=$P$24)*('Match Log'!$A$4:$A$810&lt;=$J214)),'Match Log'!$N$4:$N$810),NA()))</f>
        <v>1125.3301927780342</v>
      </c>
      <c r="Q214">
        <f>IF($J214&gt;MAX('Match Log'!$A$4:$A$810),NA(),IFERROR(LOOKUP(2,1/(('Match Log'!$D$4:$D$810=$Q$24)*('Match Log'!$A$4:$A$810&lt;=$J214)),'Match Log'!$N$4:$N$810),NA()))</f>
        <v>1050.2393073123574</v>
      </c>
      <c r="R214">
        <f>IF($J214&gt;MAX('Match Log'!$A$4:$A$810),NA(),IFERROR(LOOKUP(2,1/(('Match Log'!$D$4:$D$810=$R$24)*('Match Log'!$A$4:$A$810&lt;=$J214)),'Match Log'!$N$4:$N$810),NA()))</f>
        <v>1154.3708401956087</v>
      </c>
      <c r="S214">
        <f>IF($J214&gt;MAX('Match Log'!$A$4:$A$810),NA(),IFERROR(LOOKUP(2,1/(('Match Log'!$D$4:$D$810=$S$24)*('Match Log'!$A$4:$A$810&lt;=$J214)),'Match Log'!$N$4:$N$810),NA()))</f>
        <v>1241.7029363250533</v>
      </c>
      <c r="T214">
        <f>IF($J214&gt;MAX('Match Log'!$A$4:$A$810),NA(),IFERROR(LOOKUP(2,1/(('Match Log'!$D$4:$D$810=$T$24)*('Match Log'!$A$4:$A$810&lt;=$J214)),'Match Log'!$N$4:$N$810),NA()))</f>
        <v>862.22294373677494</v>
      </c>
      <c r="U214">
        <f>IF($J214&gt;MAX('Match Log'!$A$4:$A$810),NA(),IFERROR(LOOKUP(2,1/(('Match Log'!$D$4:$D$810=$U$24)*('Match Log'!$A$4:$A$810&lt;=$J214)),'Match Log'!$N$4:$N$810),NA()))</f>
        <v>1071.6582709895238</v>
      </c>
      <c r="V214">
        <f>IF($J214&gt;MAX('Match Log'!$A$4:$A$810),NA(),IFERROR(LOOKUP(2,1/(('Match Log'!$D$4:$D$810=$V$24)*('Match Log'!$A$4:$A$810&lt;=$J214)),'Match Log'!$N$4:$N$810),NA()))</f>
        <v>1012.1303999492304</v>
      </c>
      <c r="W214">
        <f>IF($J214&gt;MAX('Match Log'!$A$4:$A$810),NA(),IFERROR(LOOKUP(2,1/(('Match Log'!$D$4:$D$810=$W$24)*('Match Log'!$A$4:$A$810&lt;=$J214)),'Match Log'!$N$4:$N$810),NA()))</f>
        <v>1080.3830919749923</v>
      </c>
      <c r="X214" t="e">
        <f>IF($J214&gt;MAX('Match Log'!$A$4:$A$810),NA(),IFERROR(LOOKUP(2,1/(('Match Log'!$D$4:$D$810=$X$24)*('Match Log'!$A$4:$A$810&lt;=$J214)),'Match Log'!$N$4:$N$810),NA()))</f>
        <v>#N/A</v>
      </c>
      <c r="Y214">
        <f t="shared" ca="1" si="33"/>
        <v>7.5070208166533231E-2</v>
      </c>
    </row>
    <row r="215" spans="1:25" x14ac:dyDescent="0.2">
      <c r="A215">
        <v>191</v>
      </c>
      <c r="B215">
        <f>IFERROR(INDEX('Match Log'!$B$4:$B$810,MATCH(191,'Match Log'!$A$4:$A$810,0)),"")</f>
        <v>46243</v>
      </c>
      <c r="C215" t="str">
        <f>IFERROR(INDEX('Match Log'!$C$4:$C$810,MATCH(191,'Match Log'!$A$4:$A$810,0)),"")</f>
        <v>Mario Golf</v>
      </c>
      <c r="D215" t="str">
        <f t="array" ref="D215">IFERROR(_xlfn.TEXTJOIN(" + ",TRUE,IF(('Match Log'!$A$4:$A$810=$A215)*('Match Log'!$E$4:$E$810="Win"),'Match Log'!$D$4:$D$810,"")),IFERROR(LOOKUP(2,1/(('Match Log'!$A$4:$A$810=$A215)*('Match Log'!$E$4:$E$810="Win")),'Match Log'!$D$4:$D$810),""))</f>
        <v>Shawn</v>
      </c>
      <c r="E215">
        <f>IFERROR(INDEX('Match Log'!$F$4:$F$810,MATCH(191,'Match Log'!$A$4:$A$810,0)),"")</f>
        <v>2</v>
      </c>
      <c r="F215">
        <f>IFERROR(SUMIFS('Match Log'!$I$4:$I$810,'Match Log'!$A$4:$A$810,191,'Match Log'!$E$4:$E$810,"Win"),"")</f>
        <v>0.69767441860465118</v>
      </c>
      <c r="G215">
        <f t="shared" si="31"/>
        <v>-0.39534883720930236</v>
      </c>
      <c r="H215" t="str">
        <f t="array" ref="H215">IFERROR(IF(COUNTIFS('Match Log'!$A$4:$A$810,$A215,'Match Log'!$E$4:$E$810,"Win")&gt;1,_xlfn.TEXTJOIN(" + ",TRUE,IF(('Match Log'!$A$4:$A$810=$A215)*('Match Log'!$E$4:$E$810="Loss"),'Match Log'!$D$4:$D$810,"")),IF($E215=2,LOOKUP(2,1/(('Match Log'!$A$4:$A$810=$A215)*('Match Log'!$E$4:$E$810="Loss")),'Match Log'!$D$4:$D$810),"the field")),"")</f>
        <v>Oscar</v>
      </c>
      <c r="I215">
        <f t="shared" si="32"/>
        <v>-0.39553983720930236</v>
      </c>
      <c r="J215">
        <v>191</v>
      </c>
      <c r="K215">
        <f>IF($J215&gt;MAX('Match Log'!$A$4:$A$810),NA(),IFERROR(LOOKUP(2,1/(('Match Log'!$D$4:$D$810=$K$24)*('Match Log'!$A$4:$A$810&lt;=$J215)),'Match Log'!$N$4:$N$810),NA()))</f>
        <v>1009.8261046694705</v>
      </c>
      <c r="L215">
        <f>IF($J215&gt;MAX('Match Log'!$A$4:$A$810),NA(),IFERROR(LOOKUP(2,1/(('Match Log'!$D$4:$D$810=$L$24)*('Match Log'!$A$4:$A$810&lt;=$J215)),'Match Log'!$N$4:$N$810),NA()))</f>
        <v>1029.5175965335138</v>
      </c>
      <c r="M215">
        <f>IF($J215&gt;MAX('Match Log'!$A$4:$A$810),NA(),IFERROR(LOOKUP(2,1/(('Match Log'!$D$4:$D$810=$M$24)*('Match Log'!$A$4:$A$810&lt;=$J215)),'Match Log'!$N$4:$N$810),NA()))</f>
        <v>1037.8197114720938</v>
      </c>
      <c r="N215">
        <f>IF($J215&gt;MAX('Match Log'!$A$4:$A$810),NA(),IFERROR(LOOKUP(2,1/(('Match Log'!$D$4:$D$810=$N$24)*('Match Log'!$A$4:$A$810&lt;=$J215)),'Match Log'!$N$4:$N$810),NA()))</f>
        <v>973.19705892757202</v>
      </c>
      <c r="O215">
        <f>IF($J215&gt;MAX('Match Log'!$A$4:$A$810),NA(),IFERROR(LOOKUP(2,1/(('Match Log'!$D$4:$D$810=$O$24)*('Match Log'!$A$4:$A$810&lt;=$J215)),'Match Log'!$N$4:$N$810),NA()))</f>
        <v>1093.6015451357737</v>
      </c>
      <c r="P215">
        <f>IF($J215&gt;MAX('Match Log'!$A$4:$A$810),NA(),IFERROR(LOOKUP(2,1/(('Match Log'!$D$4:$D$810=$P$24)*('Match Log'!$A$4:$A$810&lt;=$J215)),'Match Log'!$N$4:$N$810),NA()))</f>
        <v>1142.6518506237364</v>
      </c>
      <c r="Q215">
        <f>IF($J215&gt;MAX('Match Log'!$A$4:$A$810),NA(),IFERROR(LOOKUP(2,1/(('Match Log'!$D$4:$D$810=$Q$24)*('Match Log'!$A$4:$A$810&lt;=$J215)),'Match Log'!$N$4:$N$810),NA()))</f>
        <v>1050.2393073123574</v>
      </c>
      <c r="R215">
        <f>IF($J215&gt;MAX('Match Log'!$A$4:$A$810),NA(),IFERROR(LOOKUP(2,1/(('Match Log'!$D$4:$D$810=$R$24)*('Match Log'!$A$4:$A$810&lt;=$J215)),'Match Log'!$N$4:$N$810),NA()))</f>
        <v>1154.3708401956087</v>
      </c>
      <c r="S215">
        <f>IF($J215&gt;MAX('Match Log'!$A$4:$A$810),NA(),IFERROR(LOOKUP(2,1/(('Match Log'!$D$4:$D$810=$S$24)*('Match Log'!$A$4:$A$810&lt;=$J215)),'Match Log'!$N$4:$N$810),NA()))</f>
        <v>1241.7029363250533</v>
      </c>
      <c r="T215">
        <f>IF($J215&gt;MAX('Match Log'!$A$4:$A$810),NA(),IFERROR(LOOKUP(2,1/(('Match Log'!$D$4:$D$810=$T$24)*('Match Log'!$A$4:$A$810&lt;=$J215)),'Match Log'!$N$4:$N$810),NA()))</f>
        <v>862.22294373677494</v>
      </c>
      <c r="U215">
        <f>IF($J215&gt;MAX('Match Log'!$A$4:$A$810),NA(),IFERROR(LOOKUP(2,1/(('Match Log'!$D$4:$D$810=$U$24)*('Match Log'!$A$4:$A$810&lt;=$J215)),'Match Log'!$N$4:$N$810),NA()))</f>
        <v>1054.3366131438215</v>
      </c>
      <c r="V215">
        <f>IF($J215&gt;MAX('Match Log'!$A$4:$A$810),NA(),IFERROR(LOOKUP(2,1/(('Match Log'!$D$4:$D$810=$V$24)*('Match Log'!$A$4:$A$810&lt;=$J215)),'Match Log'!$N$4:$N$810),NA()))</f>
        <v>1012.1303999492304</v>
      </c>
      <c r="W215">
        <f>IF($J215&gt;MAX('Match Log'!$A$4:$A$810),NA(),IFERROR(LOOKUP(2,1/(('Match Log'!$D$4:$D$810=$W$24)*('Match Log'!$A$4:$A$810&lt;=$J215)),'Match Log'!$N$4:$N$810),NA()))</f>
        <v>1080.3830919749923</v>
      </c>
      <c r="X215" t="e">
        <f>IF($J215&gt;MAX('Match Log'!$A$4:$A$810),NA(),IFERROR(LOOKUP(2,1/(('Match Log'!$D$4:$D$810=$X$24)*('Match Log'!$A$4:$A$810&lt;=$J215)),'Match Log'!$N$4:$N$810),NA()))</f>
        <v>#N/A</v>
      </c>
      <c r="Y215">
        <f t="shared" ca="1" si="33"/>
        <v>-0.39553983720930236</v>
      </c>
    </row>
    <row r="216" spans="1:25" x14ac:dyDescent="0.2">
      <c r="A216">
        <v>192</v>
      </c>
      <c r="B216">
        <f>IFERROR(INDEX('Match Log'!$B$4:$B$810,MATCH(192,'Match Log'!$A$4:$A$810,0)),"")</f>
        <v>46247</v>
      </c>
      <c r="C216" t="str">
        <f>IFERROR(INDEX('Match Log'!$C$4:$C$810,MATCH(192,'Match Log'!$A$4:$A$810,0)),"")</f>
        <v>Mario Kart</v>
      </c>
      <c r="D216" t="str">
        <f t="array" ref="D216">IFERROR(_xlfn.TEXTJOIN(" + ",TRUE,IF(('Match Log'!$A$4:$A$810=$A216)*('Match Log'!$E$4:$E$810="Win"),'Match Log'!$D$4:$D$810,"")),IFERROR(LOOKUP(2,1/(('Match Log'!$A$4:$A$810=$A216)*('Match Log'!$E$4:$E$810="Win")),'Match Log'!$D$4:$D$810),""))</f>
        <v>Josh</v>
      </c>
      <c r="E216">
        <f>IFERROR(INDEX('Match Log'!$F$4:$F$810,MATCH(192,'Match Log'!$A$4:$A$810,0)),"")</f>
        <v>2</v>
      </c>
      <c r="F216">
        <f>IFERROR(SUMIFS('Match Log'!$I$4:$I$810,'Match Log'!$A$4:$A$810,192,'Match Log'!$E$4:$E$810,"Win"),"")</f>
        <v>0.8666666666666667</v>
      </c>
      <c r="G216">
        <f t="shared" si="31"/>
        <v>-0.73333333333333339</v>
      </c>
      <c r="H216" t="str">
        <f t="array" ref="H216">IFERROR(IF(COUNTIFS('Match Log'!$A$4:$A$810,$A216,'Match Log'!$E$4:$E$810,"Win")&gt;1,_xlfn.TEXTJOIN(" + ",TRUE,IF(('Match Log'!$A$4:$A$810=$A216)*('Match Log'!$E$4:$E$810="Loss"),'Match Log'!$D$4:$D$810,"")),IF($E216=2,LOOKUP(2,1/(('Match Log'!$A$4:$A$810=$A216)*('Match Log'!$E$4:$E$810="Loss")),'Match Log'!$D$4:$D$810),"the field")),"")</f>
        <v>Shawn</v>
      </c>
      <c r="I216">
        <f t="shared" si="32"/>
        <v>-0.73352533333333336</v>
      </c>
      <c r="J216">
        <v>192</v>
      </c>
      <c r="K216">
        <f>IF($J216&gt;MAX('Match Log'!$A$4:$A$810),NA(),IFERROR(LOOKUP(2,1/(('Match Log'!$D$4:$D$810=$K$24)*('Match Log'!$A$4:$A$810&lt;=$J216)),'Match Log'!$N$4:$N$810),NA()))</f>
        <v>1009.8261046694705</v>
      </c>
      <c r="L216">
        <f>IF($J216&gt;MAX('Match Log'!$A$4:$A$810),NA(),IFERROR(LOOKUP(2,1/(('Match Log'!$D$4:$D$810=$L$24)*('Match Log'!$A$4:$A$810&lt;=$J216)),'Match Log'!$N$4:$N$810),NA()))</f>
        <v>1029.5175965335138</v>
      </c>
      <c r="M216">
        <f>IF($J216&gt;MAX('Match Log'!$A$4:$A$810),NA(),IFERROR(LOOKUP(2,1/(('Match Log'!$D$4:$D$810=$M$24)*('Match Log'!$A$4:$A$810&lt;=$J216)),'Match Log'!$N$4:$N$810),NA()))</f>
        <v>1037.8197114720938</v>
      </c>
      <c r="N216">
        <f>IF($J216&gt;MAX('Match Log'!$A$4:$A$810),NA(),IFERROR(LOOKUP(2,1/(('Match Log'!$D$4:$D$810=$N$24)*('Match Log'!$A$4:$A$810&lt;=$J216)),'Match Log'!$N$4:$N$810),NA()))</f>
        <v>973.19705892757202</v>
      </c>
      <c r="O216">
        <f>IF($J216&gt;MAX('Match Log'!$A$4:$A$810),NA(),IFERROR(LOOKUP(2,1/(('Match Log'!$D$4:$D$810=$O$24)*('Match Log'!$A$4:$A$810&lt;=$J216)),'Match Log'!$N$4:$N$810),NA()))</f>
        <v>1105.2429483962926</v>
      </c>
      <c r="P216">
        <f>IF($J216&gt;MAX('Match Log'!$A$4:$A$810),NA(),IFERROR(LOOKUP(2,1/(('Match Log'!$D$4:$D$810=$P$24)*('Match Log'!$A$4:$A$810&lt;=$J216)),'Match Log'!$N$4:$N$810),NA()))</f>
        <v>1131.0104473632175</v>
      </c>
      <c r="Q216">
        <f>IF($J216&gt;MAX('Match Log'!$A$4:$A$810),NA(),IFERROR(LOOKUP(2,1/(('Match Log'!$D$4:$D$810=$Q$24)*('Match Log'!$A$4:$A$810&lt;=$J216)),'Match Log'!$N$4:$N$810),NA()))</f>
        <v>1050.2393073123574</v>
      </c>
      <c r="R216">
        <f>IF($J216&gt;MAX('Match Log'!$A$4:$A$810),NA(),IFERROR(LOOKUP(2,1/(('Match Log'!$D$4:$D$810=$R$24)*('Match Log'!$A$4:$A$810&lt;=$J216)),'Match Log'!$N$4:$N$810),NA()))</f>
        <v>1154.3708401956087</v>
      </c>
      <c r="S216">
        <f>IF($J216&gt;MAX('Match Log'!$A$4:$A$810),NA(),IFERROR(LOOKUP(2,1/(('Match Log'!$D$4:$D$810=$S$24)*('Match Log'!$A$4:$A$810&lt;=$J216)),'Match Log'!$N$4:$N$810),NA()))</f>
        <v>1241.7029363250533</v>
      </c>
      <c r="T216">
        <f>IF($J216&gt;MAX('Match Log'!$A$4:$A$810),NA(),IFERROR(LOOKUP(2,1/(('Match Log'!$D$4:$D$810=$T$24)*('Match Log'!$A$4:$A$810&lt;=$J216)),'Match Log'!$N$4:$N$810),NA()))</f>
        <v>862.22294373677494</v>
      </c>
      <c r="U216">
        <f>IF($J216&gt;MAX('Match Log'!$A$4:$A$810),NA(),IFERROR(LOOKUP(2,1/(('Match Log'!$D$4:$D$810=$U$24)*('Match Log'!$A$4:$A$810&lt;=$J216)),'Match Log'!$N$4:$N$810),NA()))</f>
        <v>1054.3366131438215</v>
      </c>
      <c r="V216">
        <f>IF($J216&gt;MAX('Match Log'!$A$4:$A$810),NA(),IFERROR(LOOKUP(2,1/(('Match Log'!$D$4:$D$810=$V$24)*('Match Log'!$A$4:$A$810&lt;=$J216)),'Match Log'!$N$4:$N$810),NA()))</f>
        <v>1012.1303999492304</v>
      </c>
      <c r="W216">
        <f>IF($J216&gt;MAX('Match Log'!$A$4:$A$810),NA(),IFERROR(LOOKUP(2,1/(('Match Log'!$D$4:$D$810=$W$24)*('Match Log'!$A$4:$A$810&lt;=$J216)),'Match Log'!$N$4:$N$810),NA()))</f>
        <v>1080.3830919749923</v>
      </c>
      <c r="X216" t="e">
        <f>IF($J216&gt;MAX('Match Log'!$A$4:$A$810),NA(),IFERROR(LOOKUP(2,1/(('Match Log'!$D$4:$D$810=$X$24)*('Match Log'!$A$4:$A$810&lt;=$J216)),'Match Log'!$N$4:$N$810),NA()))</f>
        <v>#N/A</v>
      </c>
      <c r="Y216">
        <f t="shared" ca="1" si="33"/>
        <v>-0.73352533333333336</v>
      </c>
    </row>
    <row r="217" spans="1:25" x14ac:dyDescent="0.2">
      <c r="A217">
        <v>193</v>
      </c>
      <c r="B217">
        <f>IFERROR(INDEX('Match Log'!$B$4:$B$810,MATCH(193,'Match Log'!$A$4:$A$810,0)),"")</f>
        <v>46247</v>
      </c>
      <c r="C217" t="str">
        <f>IFERROR(INDEX('Match Log'!$C$4:$C$810,MATCH(193,'Match Log'!$A$4:$A$810,0)),"")</f>
        <v>Pool</v>
      </c>
      <c r="D217" t="str">
        <f t="array" ref="D217">IFERROR(_xlfn.TEXTJOIN(" + ",TRUE,IF(('Match Log'!$A$4:$A$810=$A217)*('Match Log'!$E$4:$E$810="Win"),'Match Log'!$D$4:$D$810,"")),IFERROR(LOOKUP(2,1/(('Match Log'!$A$4:$A$810=$A217)*('Match Log'!$E$4:$E$810="Win")),'Match Log'!$D$4:$D$810),""))</f>
        <v>Shawn</v>
      </c>
      <c r="E217">
        <f>IFERROR(INDEX('Match Log'!$F$4:$F$810,MATCH(193,'Match Log'!$A$4:$A$810,0)),"")</f>
        <v>2</v>
      </c>
      <c r="F217">
        <f>IFERROR(SUMIFS('Match Log'!$I$4:$I$810,'Match Log'!$A$4:$A$810,193,'Match Log'!$E$4:$E$810,"Win"),"")</f>
        <v>0.60000000000000009</v>
      </c>
      <c r="G217">
        <f t="shared" si="31"/>
        <v>-0.20000000000000018</v>
      </c>
      <c r="H217" t="str">
        <f t="array" ref="H217">IFERROR(IF(COUNTIFS('Match Log'!$A$4:$A$810,$A217,'Match Log'!$E$4:$E$810,"Win")&gt;1,_xlfn.TEXTJOIN(" + ",TRUE,IF(('Match Log'!$A$4:$A$810=$A217)*('Match Log'!$E$4:$E$810="Loss"),'Match Log'!$D$4:$D$810,"")),IF($E217=2,LOOKUP(2,1/(('Match Log'!$A$4:$A$810=$A217)*('Match Log'!$E$4:$E$810="Loss")),'Match Log'!$D$4:$D$810),"the field")),"")</f>
        <v>Josh</v>
      </c>
      <c r="I217">
        <f t="shared" si="32"/>
        <v>-0.20019300000000018</v>
      </c>
      <c r="J217">
        <v>193</v>
      </c>
      <c r="K217">
        <f>IF($J217&gt;MAX('Match Log'!$A$4:$A$810),NA(),IFERROR(LOOKUP(2,1/(('Match Log'!$D$4:$D$810=$K$24)*('Match Log'!$A$4:$A$810&lt;=$J217)),'Match Log'!$N$4:$N$810),NA()))</f>
        <v>1009.8261046694705</v>
      </c>
      <c r="L217">
        <f>IF($J217&gt;MAX('Match Log'!$A$4:$A$810),NA(),IFERROR(LOOKUP(2,1/(('Match Log'!$D$4:$D$810=$L$24)*('Match Log'!$A$4:$A$810&lt;=$J217)),'Match Log'!$N$4:$N$810),NA()))</f>
        <v>1029.5175965335138</v>
      </c>
      <c r="M217">
        <f>IF($J217&gt;MAX('Match Log'!$A$4:$A$810),NA(),IFERROR(LOOKUP(2,1/(('Match Log'!$D$4:$D$810=$M$24)*('Match Log'!$A$4:$A$810&lt;=$J217)),'Match Log'!$N$4:$N$810),NA()))</f>
        <v>1037.8197114720938</v>
      </c>
      <c r="N217">
        <f>IF($J217&gt;MAX('Match Log'!$A$4:$A$810),NA(),IFERROR(LOOKUP(2,1/(('Match Log'!$D$4:$D$810=$N$24)*('Match Log'!$A$4:$A$810&lt;=$J217)),'Match Log'!$N$4:$N$810),NA()))</f>
        <v>973.19705892757202</v>
      </c>
      <c r="O217">
        <f>IF($J217&gt;MAX('Match Log'!$A$4:$A$810),NA(),IFERROR(LOOKUP(2,1/(('Match Log'!$D$4:$D$810=$O$24)*('Match Log'!$A$4:$A$810&lt;=$J217)),'Match Log'!$N$4:$N$810),NA()))</f>
        <v>1086.5492161544241</v>
      </c>
      <c r="P217">
        <f>IF($J217&gt;MAX('Match Log'!$A$4:$A$810),NA(),IFERROR(LOOKUP(2,1/(('Match Log'!$D$4:$D$810=$P$24)*('Match Log'!$A$4:$A$810&lt;=$J217)),'Match Log'!$N$4:$N$810),NA()))</f>
        <v>1149.704179605086</v>
      </c>
      <c r="Q217">
        <f>IF($J217&gt;MAX('Match Log'!$A$4:$A$810),NA(),IFERROR(LOOKUP(2,1/(('Match Log'!$D$4:$D$810=$Q$24)*('Match Log'!$A$4:$A$810&lt;=$J217)),'Match Log'!$N$4:$N$810),NA()))</f>
        <v>1050.2393073123574</v>
      </c>
      <c r="R217">
        <f>IF($J217&gt;MAX('Match Log'!$A$4:$A$810),NA(),IFERROR(LOOKUP(2,1/(('Match Log'!$D$4:$D$810=$R$24)*('Match Log'!$A$4:$A$810&lt;=$J217)),'Match Log'!$N$4:$N$810),NA()))</f>
        <v>1154.3708401956087</v>
      </c>
      <c r="S217">
        <f>IF($J217&gt;MAX('Match Log'!$A$4:$A$810),NA(),IFERROR(LOOKUP(2,1/(('Match Log'!$D$4:$D$810=$S$24)*('Match Log'!$A$4:$A$810&lt;=$J217)),'Match Log'!$N$4:$N$810),NA()))</f>
        <v>1241.7029363250533</v>
      </c>
      <c r="T217">
        <f>IF($J217&gt;MAX('Match Log'!$A$4:$A$810),NA(),IFERROR(LOOKUP(2,1/(('Match Log'!$D$4:$D$810=$T$24)*('Match Log'!$A$4:$A$810&lt;=$J217)),'Match Log'!$N$4:$N$810),NA()))</f>
        <v>862.22294373677494</v>
      </c>
      <c r="U217">
        <f>IF($J217&gt;MAX('Match Log'!$A$4:$A$810),NA(),IFERROR(LOOKUP(2,1/(('Match Log'!$D$4:$D$810=$U$24)*('Match Log'!$A$4:$A$810&lt;=$J217)),'Match Log'!$N$4:$N$810),NA()))</f>
        <v>1054.3366131438215</v>
      </c>
      <c r="V217">
        <f>IF($J217&gt;MAX('Match Log'!$A$4:$A$810),NA(),IFERROR(LOOKUP(2,1/(('Match Log'!$D$4:$D$810=$V$24)*('Match Log'!$A$4:$A$810&lt;=$J217)),'Match Log'!$N$4:$N$810),NA()))</f>
        <v>1012.1303999492304</v>
      </c>
      <c r="W217">
        <f>IF($J217&gt;MAX('Match Log'!$A$4:$A$810),NA(),IFERROR(LOOKUP(2,1/(('Match Log'!$D$4:$D$810=$W$24)*('Match Log'!$A$4:$A$810&lt;=$J217)),'Match Log'!$N$4:$N$810),NA()))</f>
        <v>1080.3830919749923</v>
      </c>
      <c r="X217" t="e">
        <f>IF($J217&gt;MAX('Match Log'!$A$4:$A$810),NA(),IFERROR(LOOKUP(2,1/(('Match Log'!$D$4:$D$810=$X$24)*('Match Log'!$A$4:$A$810&lt;=$J217)),'Match Log'!$N$4:$N$810),NA()))</f>
        <v>#N/A</v>
      </c>
      <c r="Y217">
        <f t="shared" ca="1" si="33"/>
        <v>-0.20019300000000018</v>
      </c>
    </row>
    <row r="218" spans="1:25" x14ac:dyDescent="0.2">
      <c r="A218">
        <v>194</v>
      </c>
      <c r="B218">
        <f>IFERROR(INDEX('Match Log'!$B$4:$B$810,MATCH(194,'Match Log'!$A$4:$A$810,0)),"")</f>
        <v>46247</v>
      </c>
      <c r="C218" t="str">
        <f>IFERROR(INDEX('Match Log'!$C$4:$C$810,MATCH(194,'Match Log'!$A$4:$A$810,0)),"")</f>
        <v>Car racing arcade</v>
      </c>
      <c r="D218" t="str">
        <f t="array" ref="D218">IFERROR(_xlfn.TEXTJOIN(" + ",TRUE,IF(('Match Log'!$A$4:$A$810=$A218)*('Match Log'!$E$4:$E$810="Win"),'Match Log'!$D$4:$D$810,"")),IFERROR(LOOKUP(2,1/(('Match Log'!$A$4:$A$810=$A218)*('Match Log'!$E$4:$E$810="Win")),'Match Log'!$D$4:$D$810),""))</f>
        <v>Josh</v>
      </c>
      <c r="E218">
        <f>IFERROR(INDEX('Match Log'!$F$4:$F$810,MATCH(194,'Match Log'!$A$4:$A$810,0)),"")</f>
        <v>2</v>
      </c>
      <c r="F218">
        <f>IFERROR(SUMIFS('Match Log'!$I$4:$I$810,'Match Log'!$A$4:$A$810,194,'Match Log'!$E$4:$E$810,"Win"),"")</f>
        <v>0.33333333333333331</v>
      </c>
      <c r="G218">
        <f t="shared" si="31"/>
        <v>0.33333333333333337</v>
      </c>
      <c r="H218" t="str">
        <f t="array" ref="H218">IFERROR(IF(COUNTIFS('Match Log'!$A$4:$A$810,$A218,'Match Log'!$E$4:$E$810,"Win")&gt;1,_xlfn.TEXTJOIN(" + ",TRUE,IF(('Match Log'!$A$4:$A$810=$A218)*('Match Log'!$E$4:$E$810="Loss"),'Match Log'!$D$4:$D$810,"")),IF($E218=2,LOOKUP(2,1/(('Match Log'!$A$4:$A$810=$A218)*('Match Log'!$E$4:$E$810="Loss")),'Match Log'!$D$4:$D$810),"the field")),"")</f>
        <v>Shawn</v>
      </c>
      <c r="I218">
        <f t="shared" si="32"/>
        <v>0.33313933333333334</v>
      </c>
      <c r="J218">
        <v>194</v>
      </c>
      <c r="K218">
        <f>IF($J218&gt;MAX('Match Log'!$A$4:$A$810),NA(),IFERROR(LOOKUP(2,1/(('Match Log'!$D$4:$D$810=$K$24)*('Match Log'!$A$4:$A$810&lt;=$J218)),'Match Log'!$N$4:$N$810),NA()))</f>
        <v>1009.8261046694705</v>
      </c>
      <c r="L218">
        <f>IF($J218&gt;MAX('Match Log'!$A$4:$A$810),NA(),IFERROR(LOOKUP(2,1/(('Match Log'!$D$4:$D$810=$L$24)*('Match Log'!$A$4:$A$810&lt;=$J218)),'Match Log'!$N$4:$N$810),NA()))</f>
        <v>1029.5175965335138</v>
      </c>
      <c r="M218">
        <f>IF($J218&gt;MAX('Match Log'!$A$4:$A$810),NA(),IFERROR(LOOKUP(2,1/(('Match Log'!$D$4:$D$810=$M$24)*('Match Log'!$A$4:$A$810&lt;=$J218)),'Match Log'!$N$4:$N$810),NA()))</f>
        <v>1037.8197114720938</v>
      </c>
      <c r="N218">
        <f>IF($J218&gt;MAX('Match Log'!$A$4:$A$810),NA(),IFERROR(LOOKUP(2,1/(('Match Log'!$D$4:$D$810=$N$24)*('Match Log'!$A$4:$A$810&lt;=$J218)),'Match Log'!$N$4:$N$810),NA()))</f>
        <v>973.19705892757202</v>
      </c>
      <c r="O218">
        <f>IF($J218&gt;MAX('Match Log'!$A$4:$A$810),NA(),IFERROR(LOOKUP(2,1/(('Match Log'!$D$4:$D$810=$O$24)*('Match Log'!$A$4:$A$810&lt;=$J218)),'Match Log'!$N$4:$N$810),NA()))</f>
        <v>1114.8544803212776</v>
      </c>
      <c r="P218">
        <f>IF($J218&gt;MAX('Match Log'!$A$4:$A$810),NA(),IFERROR(LOOKUP(2,1/(('Match Log'!$D$4:$D$810=$P$24)*('Match Log'!$A$4:$A$810&lt;=$J218)),'Match Log'!$N$4:$N$810),NA()))</f>
        <v>1121.3989154382325</v>
      </c>
      <c r="Q218">
        <f>IF($J218&gt;MAX('Match Log'!$A$4:$A$810),NA(),IFERROR(LOOKUP(2,1/(('Match Log'!$D$4:$D$810=$Q$24)*('Match Log'!$A$4:$A$810&lt;=$J218)),'Match Log'!$N$4:$N$810),NA()))</f>
        <v>1050.2393073123574</v>
      </c>
      <c r="R218">
        <f>IF($J218&gt;MAX('Match Log'!$A$4:$A$810),NA(),IFERROR(LOOKUP(2,1/(('Match Log'!$D$4:$D$810=$R$24)*('Match Log'!$A$4:$A$810&lt;=$J218)),'Match Log'!$N$4:$N$810),NA()))</f>
        <v>1154.3708401956087</v>
      </c>
      <c r="S218">
        <f>IF($J218&gt;MAX('Match Log'!$A$4:$A$810),NA(),IFERROR(LOOKUP(2,1/(('Match Log'!$D$4:$D$810=$S$24)*('Match Log'!$A$4:$A$810&lt;=$J218)),'Match Log'!$N$4:$N$810),NA()))</f>
        <v>1241.7029363250533</v>
      </c>
      <c r="T218">
        <f>IF($J218&gt;MAX('Match Log'!$A$4:$A$810),NA(),IFERROR(LOOKUP(2,1/(('Match Log'!$D$4:$D$810=$T$24)*('Match Log'!$A$4:$A$810&lt;=$J218)),'Match Log'!$N$4:$N$810),NA()))</f>
        <v>862.22294373677494</v>
      </c>
      <c r="U218">
        <f>IF($J218&gt;MAX('Match Log'!$A$4:$A$810),NA(),IFERROR(LOOKUP(2,1/(('Match Log'!$D$4:$D$810=$U$24)*('Match Log'!$A$4:$A$810&lt;=$J218)),'Match Log'!$N$4:$N$810),NA()))</f>
        <v>1054.3366131438215</v>
      </c>
      <c r="V218">
        <f>IF($J218&gt;MAX('Match Log'!$A$4:$A$810),NA(),IFERROR(LOOKUP(2,1/(('Match Log'!$D$4:$D$810=$V$24)*('Match Log'!$A$4:$A$810&lt;=$J218)),'Match Log'!$N$4:$N$810),NA()))</f>
        <v>1012.1303999492304</v>
      </c>
      <c r="W218">
        <f>IF($J218&gt;MAX('Match Log'!$A$4:$A$810),NA(),IFERROR(LOOKUP(2,1/(('Match Log'!$D$4:$D$810=$W$24)*('Match Log'!$A$4:$A$810&lt;=$J218)),'Match Log'!$N$4:$N$810),NA()))</f>
        <v>1080.3830919749923</v>
      </c>
      <c r="X218" t="e">
        <f>IF($J218&gt;MAX('Match Log'!$A$4:$A$810),NA(),IFERROR(LOOKUP(2,1/(('Match Log'!$D$4:$D$810=$X$24)*('Match Log'!$A$4:$A$810&lt;=$J218)),'Match Log'!$N$4:$N$810),NA()))</f>
        <v>#N/A</v>
      </c>
      <c r="Y218">
        <f t="shared" ca="1" si="33"/>
        <v>0.33313933333333334</v>
      </c>
    </row>
    <row r="219" spans="1:25" x14ac:dyDescent="0.2">
      <c r="A219">
        <v>195</v>
      </c>
      <c r="B219">
        <f>IFERROR(INDEX('Match Log'!$B$4:$B$810,MATCH(195,'Match Log'!$A$4:$A$810,0)),"")</f>
        <v>46247</v>
      </c>
      <c r="C219" t="str">
        <f>IFERROR(INDEX('Match Log'!$C$4:$C$810,MATCH(195,'Match Log'!$A$4:$A$810,0)),"")</f>
        <v>Car racing arcade</v>
      </c>
      <c r="D219" t="str">
        <f t="array" ref="D219">IFERROR(_xlfn.TEXTJOIN(" + ",TRUE,IF(('Match Log'!$A$4:$A$810=$A219)*('Match Log'!$E$4:$E$810="Win"),'Match Log'!$D$4:$D$810,"")),IFERROR(LOOKUP(2,1/(('Match Log'!$A$4:$A$810=$A219)*('Match Log'!$E$4:$E$810="Win")),'Match Log'!$D$4:$D$810),""))</f>
        <v>Shawn</v>
      </c>
      <c r="E219">
        <f>IFERROR(INDEX('Match Log'!$F$4:$F$810,MATCH(195,'Match Log'!$A$4:$A$810,0)),"")</f>
        <v>2</v>
      </c>
      <c r="F219">
        <f>IFERROR(SUMIFS('Match Log'!$I$4:$I$810,'Match Log'!$A$4:$A$810,195,'Match Log'!$E$4:$E$810,"Win"),"")</f>
        <v>0.45454545454545447</v>
      </c>
      <c r="G219">
        <f t="shared" si="31"/>
        <v>9.090909090909105E-2</v>
      </c>
      <c r="H219" t="str">
        <f t="array" ref="H219">IFERROR(IF(COUNTIFS('Match Log'!$A$4:$A$810,$A219,'Match Log'!$E$4:$E$810,"Win")&gt;1,_xlfn.TEXTJOIN(" + ",TRUE,IF(('Match Log'!$A$4:$A$810=$A219)*('Match Log'!$E$4:$E$810="Loss"),'Match Log'!$D$4:$D$810,"")),IF($E219=2,LOOKUP(2,1/(('Match Log'!$A$4:$A$810=$A219)*('Match Log'!$E$4:$E$810="Loss")),'Match Log'!$D$4:$D$810),"the field")),"")</f>
        <v>Josh</v>
      </c>
      <c r="I219">
        <f t="shared" si="32"/>
        <v>9.071409090909105E-2</v>
      </c>
      <c r="J219">
        <v>195</v>
      </c>
      <c r="K219">
        <f>IF($J219&gt;MAX('Match Log'!$A$4:$A$810),NA(),IFERROR(LOOKUP(2,1/(('Match Log'!$D$4:$D$810=$K$24)*('Match Log'!$A$4:$A$810&lt;=$J219)),'Match Log'!$N$4:$N$810),NA()))</f>
        <v>1009.8261046694705</v>
      </c>
      <c r="L219">
        <f>IF($J219&gt;MAX('Match Log'!$A$4:$A$810),NA(),IFERROR(LOOKUP(2,1/(('Match Log'!$D$4:$D$810=$L$24)*('Match Log'!$A$4:$A$810&lt;=$J219)),'Match Log'!$N$4:$N$810),NA()))</f>
        <v>1029.5175965335138</v>
      </c>
      <c r="M219">
        <f>IF($J219&gt;MAX('Match Log'!$A$4:$A$810),NA(),IFERROR(LOOKUP(2,1/(('Match Log'!$D$4:$D$810=$M$24)*('Match Log'!$A$4:$A$810&lt;=$J219)),'Match Log'!$N$4:$N$810),NA()))</f>
        <v>1037.8197114720938</v>
      </c>
      <c r="N219">
        <f>IF($J219&gt;MAX('Match Log'!$A$4:$A$810),NA(),IFERROR(LOOKUP(2,1/(('Match Log'!$D$4:$D$810=$N$24)*('Match Log'!$A$4:$A$810&lt;=$J219)),'Match Log'!$N$4:$N$810),NA()))</f>
        <v>973.19705892757202</v>
      </c>
      <c r="O219">
        <f>IF($J219&gt;MAX('Match Log'!$A$4:$A$810),NA(),IFERROR(LOOKUP(2,1/(('Match Log'!$D$4:$D$810=$O$24)*('Match Log'!$A$4:$A$810&lt;=$J219)),'Match Log'!$N$4:$N$810),NA()))</f>
        <v>1093.708815325225</v>
      </c>
      <c r="P219">
        <f>IF($J219&gt;MAX('Match Log'!$A$4:$A$810),NA(),IFERROR(LOOKUP(2,1/(('Match Log'!$D$4:$D$810=$P$24)*('Match Log'!$A$4:$A$810&lt;=$J219)),'Match Log'!$N$4:$N$810),NA()))</f>
        <v>1142.5445804342853</v>
      </c>
      <c r="Q219">
        <f>IF($J219&gt;MAX('Match Log'!$A$4:$A$810),NA(),IFERROR(LOOKUP(2,1/(('Match Log'!$D$4:$D$810=$Q$24)*('Match Log'!$A$4:$A$810&lt;=$J219)),'Match Log'!$N$4:$N$810),NA()))</f>
        <v>1050.2393073123574</v>
      </c>
      <c r="R219">
        <f>IF($J219&gt;MAX('Match Log'!$A$4:$A$810),NA(),IFERROR(LOOKUP(2,1/(('Match Log'!$D$4:$D$810=$R$24)*('Match Log'!$A$4:$A$810&lt;=$J219)),'Match Log'!$N$4:$N$810),NA()))</f>
        <v>1154.3708401956087</v>
      </c>
      <c r="S219">
        <f>IF($J219&gt;MAX('Match Log'!$A$4:$A$810),NA(),IFERROR(LOOKUP(2,1/(('Match Log'!$D$4:$D$810=$S$24)*('Match Log'!$A$4:$A$810&lt;=$J219)),'Match Log'!$N$4:$N$810),NA()))</f>
        <v>1241.7029363250533</v>
      </c>
      <c r="T219">
        <f>IF($J219&gt;MAX('Match Log'!$A$4:$A$810),NA(),IFERROR(LOOKUP(2,1/(('Match Log'!$D$4:$D$810=$T$24)*('Match Log'!$A$4:$A$810&lt;=$J219)),'Match Log'!$N$4:$N$810),NA()))</f>
        <v>862.22294373677494</v>
      </c>
      <c r="U219">
        <f>IF($J219&gt;MAX('Match Log'!$A$4:$A$810),NA(),IFERROR(LOOKUP(2,1/(('Match Log'!$D$4:$D$810=$U$24)*('Match Log'!$A$4:$A$810&lt;=$J219)),'Match Log'!$N$4:$N$810),NA()))</f>
        <v>1054.3366131438215</v>
      </c>
      <c r="V219">
        <f>IF($J219&gt;MAX('Match Log'!$A$4:$A$810),NA(),IFERROR(LOOKUP(2,1/(('Match Log'!$D$4:$D$810=$V$24)*('Match Log'!$A$4:$A$810&lt;=$J219)),'Match Log'!$N$4:$N$810),NA()))</f>
        <v>1012.1303999492304</v>
      </c>
      <c r="W219">
        <f>IF($J219&gt;MAX('Match Log'!$A$4:$A$810),NA(),IFERROR(LOOKUP(2,1/(('Match Log'!$D$4:$D$810=$W$24)*('Match Log'!$A$4:$A$810&lt;=$J219)),'Match Log'!$N$4:$N$810),NA()))</f>
        <v>1080.3830919749923</v>
      </c>
      <c r="X219" t="e">
        <f>IF($J219&gt;MAX('Match Log'!$A$4:$A$810),NA(),IFERROR(LOOKUP(2,1/(('Match Log'!$D$4:$D$810=$X$24)*('Match Log'!$A$4:$A$810&lt;=$J219)),'Match Log'!$N$4:$N$810),NA()))</f>
        <v>#N/A</v>
      </c>
      <c r="Y219">
        <f t="shared" ca="1" si="33"/>
        <v>9.071409090909105E-2</v>
      </c>
    </row>
    <row r="220" spans="1:25" x14ac:dyDescent="0.2">
      <c r="A220">
        <v>196</v>
      </c>
      <c r="B220">
        <f>IFERROR(INDEX('Match Log'!$B$4:$B$810,MATCH(196,'Match Log'!$A$4:$A$810,0)),"")</f>
        <v>46247</v>
      </c>
      <c r="C220" t="str">
        <f>IFERROR(INDEX('Match Log'!$C$4:$C$810,MATCH(196,'Match Log'!$A$4:$A$810,0)),"")</f>
        <v>Shooting game arcade</v>
      </c>
      <c r="D220" t="str">
        <f t="array" ref="D220">IFERROR(_xlfn.TEXTJOIN(" + ",TRUE,IF(('Match Log'!$A$4:$A$810=$A220)*('Match Log'!$E$4:$E$810="Win"),'Match Log'!$D$4:$D$810,"")),IFERROR(LOOKUP(2,1/(('Match Log'!$A$4:$A$810=$A220)*('Match Log'!$E$4:$E$810="Win")),'Match Log'!$D$4:$D$810),""))</f>
        <v>Shawn</v>
      </c>
      <c r="E220">
        <f>IFERROR(INDEX('Match Log'!$F$4:$F$810,MATCH(196,'Match Log'!$A$4:$A$810,0)),"")</f>
        <v>2</v>
      </c>
      <c r="F220">
        <f>IFERROR(SUMIFS('Match Log'!$I$4:$I$810,'Match Log'!$A$4:$A$810,196,'Match Log'!$E$4:$E$810,"Win"),"")</f>
        <v>0.4285714285714286</v>
      </c>
      <c r="G220">
        <f t="shared" si="31"/>
        <v>0.14285714285714279</v>
      </c>
      <c r="H220" t="str">
        <f t="array" ref="H220">IFERROR(IF(COUNTIFS('Match Log'!$A$4:$A$810,$A220,'Match Log'!$E$4:$E$810,"Win")&gt;1,_xlfn.TEXTJOIN(" + ",TRUE,IF(('Match Log'!$A$4:$A$810=$A220)*('Match Log'!$E$4:$E$810="Loss"),'Match Log'!$D$4:$D$810,"")),IF($E220=2,LOOKUP(2,1/(('Match Log'!$A$4:$A$810=$A220)*('Match Log'!$E$4:$E$810="Loss")),'Match Log'!$D$4:$D$810),"the field")),"")</f>
        <v>Josh</v>
      </c>
      <c r="I220">
        <f t="shared" si="32"/>
        <v>0.14266114285714279</v>
      </c>
      <c r="J220">
        <v>196</v>
      </c>
      <c r="K220">
        <f>IF($J220&gt;MAX('Match Log'!$A$4:$A$810),NA(),IFERROR(LOOKUP(2,1/(('Match Log'!$D$4:$D$810=$K$24)*('Match Log'!$A$4:$A$810&lt;=$J220)),'Match Log'!$N$4:$N$810),NA()))</f>
        <v>1009.8261046694705</v>
      </c>
      <c r="L220">
        <f>IF($J220&gt;MAX('Match Log'!$A$4:$A$810),NA(),IFERROR(LOOKUP(2,1/(('Match Log'!$D$4:$D$810=$L$24)*('Match Log'!$A$4:$A$810&lt;=$J220)),'Match Log'!$N$4:$N$810),NA()))</f>
        <v>1029.5175965335138</v>
      </c>
      <c r="M220">
        <f>IF($J220&gt;MAX('Match Log'!$A$4:$A$810),NA(),IFERROR(LOOKUP(2,1/(('Match Log'!$D$4:$D$810=$M$24)*('Match Log'!$A$4:$A$810&lt;=$J220)),'Match Log'!$N$4:$N$810),NA()))</f>
        <v>1037.8197114720938</v>
      </c>
      <c r="N220">
        <f>IF($J220&gt;MAX('Match Log'!$A$4:$A$810),NA(),IFERROR(LOOKUP(2,1/(('Match Log'!$D$4:$D$810=$N$24)*('Match Log'!$A$4:$A$810&lt;=$J220)),'Match Log'!$N$4:$N$810),NA()))</f>
        <v>973.19705892757202</v>
      </c>
      <c r="O220">
        <f>IF($J220&gt;MAX('Match Log'!$A$4:$A$810),NA(),IFERROR(LOOKUP(2,1/(('Match Log'!$D$4:$D$810=$O$24)*('Match Log'!$A$4:$A$810&lt;=$J220)),'Match Log'!$N$4:$N$810),NA()))</f>
        <v>1073.667457834282</v>
      </c>
      <c r="P220">
        <f>IF($J220&gt;MAX('Match Log'!$A$4:$A$810),NA(),IFERROR(LOOKUP(2,1/(('Match Log'!$D$4:$D$810=$P$24)*('Match Log'!$A$4:$A$810&lt;=$J220)),'Match Log'!$N$4:$N$810),NA()))</f>
        <v>1162.5859379252283</v>
      </c>
      <c r="Q220">
        <f>IF($J220&gt;MAX('Match Log'!$A$4:$A$810),NA(),IFERROR(LOOKUP(2,1/(('Match Log'!$D$4:$D$810=$Q$24)*('Match Log'!$A$4:$A$810&lt;=$J220)),'Match Log'!$N$4:$N$810),NA()))</f>
        <v>1050.2393073123574</v>
      </c>
      <c r="R220">
        <f>IF($J220&gt;MAX('Match Log'!$A$4:$A$810),NA(),IFERROR(LOOKUP(2,1/(('Match Log'!$D$4:$D$810=$R$24)*('Match Log'!$A$4:$A$810&lt;=$J220)),'Match Log'!$N$4:$N$810),NA()))</f>
        <v>1154.3708401956087</v>
      </c>
      <c r="S220">
        <f>IF($J220&gt;MAX('Match Log'!$A$4:$A$810),NA(),IFERROR(LOOKUP(2,1/(('Match Log'!$D$4:$D$810=$S$24)*('Match Log'!$A$4:$A$810&lt;=$J220)),'Match Log'!$N$4:$N$810),NA()))</f>
        <v>1241.7029363250533</v>
      </c>
      <c r="T220">
        <f>IF($J220&gt;MAX('Match Log'!$A$4:$A$810),NA(),IFERROR(LOOKUP(2,1/(('Match Log'!$D$4:$D$810=$T$24)*('Match Log'!$A$4:$A$810&lt;=$J220)),'Match Log'!$N$4:$N$810),NA()))</f>
        <v>862.22294373677494</v>
      </c>
      <c r="U220">
        <f>IF($J220&gt;MAX('Match Log'!$A$4:$A$810),NA(),IFERROR(LOOKUP(2,1/(('Match Log'!$D$4:$D$810=$U$24)*('Match Log'!$A$4:$A$810&lt;=$J220)),'Match Log'!$N$4:$N$810),NA()))</f>
        <v>1054.3366131438215</v>
      </c>
      <c r="V220">
        <f>IF($J220&gt;MAX('Match Log'!$A$4:$A$810),NA(),IFERROR(LOOKUP(2,1/(('Match Log'!$D$4:$D$810=$V$24)*('Match Log'!$A$4:$A$810&lt;=$J220)),'Match Log'!$N$4:$N$810),NA()))</f>
        <v>1012.1303999492304</v>
      </c>
      <c r="W220">
        <f>IF($J220&gt;MAX('Match Log'!$A$4:$A$810),NA(),IFERROR(LOOKUP(2,1/(('Match Log'!$D$4:$D$810=$W$24)*('Match Log'!$A$4:$A$810&lt;=$J220)),'Match Log'!$N$4:$N$810),NA()))</f>
        <v>1080.3830919749923</v>
      </c>
      <c r="X220" t="e">
        <f>IF($J220&gt;MAX('Match Log'!$A$4:$A$810),NA(),IFERROR(LOOKUP(2,1/(('Match Log'!$D$4:$D$810=$X$24)*('Match Log'!$A$4:$A$810&lt;=$J220)),'Match Log'!$N$4:$N$810),NA()))</f>
        <v>#N/A</v>
      </c>
      <c r="Y220">
        <f t="shared" ca="1" si="33"/>
        <v>0.14266114285714279</v>
      </c>
    </row>
    <row r="221" spans="1:25" x14ac:dyDescent="0.2">
      <c r="A221">
        <v>197</v>
      </c>
      <c r="B221">
        <f>IFERROR(INDEX('Match Log'!$B$4:$B$810,MATCH(197,'Match Log'!$A$4:$A$810,0)),"")</f>
        <v>46247</v>
      </c>
      <c r="C221" t="str">
        <f>IFERROR(INDEX('Match Log'!$C$4:$C$810,MATCH(197,'Match Log'!$A$4:$A$810,0)),"")</f>
        <v>Basketball arcade</v>
      </c>
      <c r="D221" t="str">
        <f t="array" ref="D221">IFERROR(_xlfn.TEXTJOIN(" + ",TRUE,IF(('Match Log'!$A$4:$A$810=$A221)*('Match Log'!$E$4:$E$810="Win"),'Match Log'!$D$4:$D$810,"")),IFERROR(LOOKUP(2,1/(('Match Log'!$A$4:$A$810=$A221)*('Match Log'!$E$4:$E$810="Win")),'Match Log'!$D$4:$D$810),""))</f>
        <v>Josh</v>
      </c>
      <c r="E221">
        <f>IFERROR(INDEX('Match Log'!$F$4:$F$810,MATCH(197,'Match Log'!$A$4:$A$810,0)),"")</f>
        <v>2</v>
      </c>
      <c r="F221">
        <f>IFERROR(SUMIFS('Match Log'!$I$4:$I$810,'Match Log'!$A$4:$A$810,197,'Match Log'!$E$4:$E$810,"Win"),"")</f>
        <v>0.4</v>
      </c>
      <c r="G221">
        <f t="shared" si="31"/>
        <v>0.19999999999999996</v>
      </c>
      <c r="H221" t="str">
        <f t="array" ref="H221">IFERROR(IF(COUNTIFS('Match Log'!$A$4:$A$810,$A221,'Match Log'!$E$4:$E$810,"Win")&gt;1,_xlfn.TEXTJOIN(" + ",TRUE,IF(('Match Log'!$A$4:$A$810=$A221)*('Match Log'!$E$4:$E$810="Loss"),'Match Log'!$D$4:$D$810,"")),IF($E221=2,LOOKUP(2,1/(('Match Log'!$A$4:$A$810=$A221)*('Match Log'!$E$4:$E$810="Loss")),'Match Log'!$D$4:$D$810),"the field")),"")</f>
        <v>Shawn</v>
      </c>
      <c r="I221">
        <f t="shared" si="32"/>
        <v>0.19980299999999995</v>
      </c>
      <c r="J221">
        <v>197</v>
      </c>
      <c r="K221">
        <f>IF($J221&gt;MAX('Match Log'!$A$4:$A$810),NA(),IFERROR(LOOKUP(2,1/(('Match Log'!$D$4:$D$810=$K$24)*('Match Log'!$A$4:$A$810&lt;=$J221)),'Match Log'!$N$4:$N$810),NA()))</f>
        <v>1009.8261046694705</v>
      </c>
      <c r="L221">
        <f>IF($J221&gt;MAX('Match Log'!$A$4:$A$810),NA(),IFERROR(LOOKUP(2,1/(('Match Log'!$D$4:$D$810=$L$24)*('Match Log'!$A$4:$A$810&lt;=$J221)),'Match Log'!$N$4:$N$810),NA()))</f>
        <v>1029.5175965335138</v>
      </c>
      <c r="M221">
        <f>IF($J221&gt;MAX('Match Log'!$A$4:$A$810),NA(),IFERROR(LOOKUP(2,1/(('Match Log'!$D$4:$D$810=$M$24)*('Match Log'!$A$4:$A$810&lt;=$J221)),'Match Log'!$N$4:$N$810),NA()))</f>
        <v>1037.8197114720938</v>
      </c>
      <c r="N221">
        <f>IF($J221&gt;MAX('Match Log'!$A$4:$A$810),NA(),IFERROR(LOOKUP(2,1/(('Match Log'!$D$4:$D$810=$N$24)*('Match Log'!$A$4:$A$810&lt;=$J221)),'Match Log'!$N$4:$N$810),NA()))</f>
        <v>973.19705892757202</v>
      </c>
      <c r="O221">
        <f>IF($J221&gt;MAX('Match Log'!$A$4:$A$810),NA(),IFERROR(LOOKUP(2,1/(('Match Log'!$D$4:$D$810=$O$24)*('Match Log'!$A$4:$A$810&lt;=$J221)),'Match Log'!$N$4:$N$810),NA()))</f>
        <v>1101.4566735360377</v>
      </c>
      <c r="P221">
        <f>IF($J221&gt;MAX('Match Log'!$A$4:$A$810),NA(),IFERROR(LOOKUP(2,1/(('Match Log'!$D$4:$D$810=$P$24)*('Match Log'!$A$4:$A$810&lt;=$J221)),'Match Log'!$N$4:$N$810),NA()))</f>
        <v>1134.7967222234727</v>
      </c>
      <c r="Q221">
        <f>IF($J221&gt;MAX('Match Log'!$A$4:$A$810),NA(),IFERROR(LOOKUP(2,1/(('Match Log'!$D$4:$D$810=$Q$24)*('Match Log'!$A$4:$A$810&lt;=$J221)),'Match Log'!$N$4:$N$810),NA()))</f>
        <v>1050.2393073123574</v>
      </c>
      <c r="R221">
        <f>IF($J221&gt;MAX('Match Log'!$A$4:$A$810),NA(),IFERROR(LOOKUP(2,1/(('Match Log'!$D$4:$D$810=$R$24)*('Match Log'!$A$4:$A$810&lt;=$J221)),'Match Log'!$N$4:$N$810),NA()))</f>
        <v>1154.3708401956087</v>
      </c>
      <c r="S221">
        <f>IF($J221&gt;MAX('Match Log'!$A$4:$A$810),NA(),IFERROR(LOOKUP(2,1/(('Match Log'!$D$4:$D$810=$S$24)*('Match Log'!$A$4:$A$810&lt;=$J221)),'Match Log'!$N$4:$N$810),NA()))</f>
        <v>1241.7029363250533</v>
      </c>
      <c r="T221">
        <f>IF($J221&gt;MAX('Match Log'!$A$4:$A$810),NA(),IFERROR(LOOKUP(2,1/(('Match Log'!$D$4:$D$810=$T$24)*('Match Log'!$A$4:$A$810&lt;=$J221)),'Match Log'!$N$4:$N$810),NA()))</f>
        <v>862.22294373677494</v>
      </c>
      <c r="U221">
        <f>IF($J221&gt;MAX('Match Log'!$A$4:$A$810),NA(),IFERROR(LOOKUP(2,1/(('Match Log'!$D$4:$D$810=$U$24)*('Match Log'!$A$4:$A$810&lt;=$J221)),'Match Log'!$N$4:$N$810),NA()))</f>
        <v>1054.3366131438215</v>
      </c>
      <c r="V221">
        <f>IF($J221&gt;MAX('Match Log'!$A$4:$A$810),NA(),IFERROR(LOOKUP(2,1/(('Match Log'!$D$4:$D$810=$V$24)*('Match Log'!$A$4:$A$810&lt;=$J221)),'Match Log'!$N$4:$N$810),NA()))</f>
        <v>1012.1303999492304</v>
      </c>
      <c r="W221">
        <f>IF($J221&gt;MAX('Match Log'!$A$4:$A$810),NA(),IFERROR(LOOKUP(2,1/(('Match Log'!$D$4:$D$810=$W$24)*('Match Log'!$A$4:$A$810&lt;=$J221)),'Match Log'!$N$4:$N$810),NA()))</f>
        <v>1080.3830919749923</v>
      </c>
      <c r="X221" t="e">
        <f>IF($J221&gt;MAX('Match Log'!$A$4:$A$810),NA(),IFERROR(LOOKUP(2,1/(('Match Log'!$D$4:$D$810=$X$24)*('Match Log'!$A$4:$A$810&lt;=$J221)),'Match Log'!$N$4:$N$810),NA()))</f>
        <v>#N/A</v>
      </c>
      <c r="Y221">
        <f t="shared" ca="1" si="33"/>
        <v>0.19980299999999995</v>
      </c>
    </row>
    <row r="222" spans="1:25" x14ac:dyDescent="0.2">
      <c r="A222">
        <v>198</v>
      </c>
      <c r="B222">
        <f>IFERROR(INDEX('Match Log'!$B$4:$B$810,MATCH(198,'Match Log'!$A$4:$A$810,0)),"")</f>
        <v>46247</v>
      </c>
      <c r="C222" t="str">
        <f>IFERROR(INDEX('Match Log'!$C$4:$C$810,MATCH(198,'Match Log'!$A$4:$A$810,0)),"")</f>
        <v>Basketball arcade</v>
      </c>
      <c r="D222" t="str">
        <f t="array" ref="D222">IFERROR(_xlfn.TEXTJOIN(" + ",TRUE,IF(('Match Log'!$A$4:$A$810=$A222)*('Match Log'!$E$4:$E$810="Win"),'Match Log'!$D$4:$D$810,"")),IFERROR(LOOKUP(2,1/(('Match Log'!$A$4:$A$810=$A222)*('Match Log'!$E$4:$E$810="Win")),'Match Log'!$D$4:$D$810),""))</f>
        <v>Shawn</v>
      </c>
      <c r="E222">
        <f>IFERROR(INDEX('Match Log'!$F$4:$F$810,MATCH(198,'Match Log'!$A$4:$A$810,0)),"")</f>
        <v>2</v>
      </c>
      <c r="F222">
        <f>IFERROR(SUMIFS('Match Log'!$I$4:$I$810,'Match Log'!$A$4:$A$810,198,'Match Log'!$E$4:$E$810,"Win"),"")</f>
        <v>0.4</v>
      </c>
      <c r="G222">
        <f t="shared" si="31"/>
        <v>0.19999999999999996</v>
      </c>
      <c r="H222" t="str">
        <f t="array" ref="H222">IFERROR(IF(COUNTIFS('Match Log'!$A$4:$A$810,$A222,'Match Log'!$E$4:$E$810,"Win")&gt;1,_xlfn.TEXTJOIN(" + ",TRUE,IF(('Match Log'!$A$4:$A$810=$A222)*('Match Log'!$E$4:$E$810="Loss"),'Match Log'!$D$4:$D$810,"")),IF($E222=2,LOOKUP(2,1/(('Match Log'!$A$4:$A$810=$A222)*('Match Log'!$E$4:$E$810="Loss")),'Match Log'!$D$4:$D$810),"the field")),"")</f>
        <v>Josh</v>
      </c>
      <c r="I222">
        <f t="shared" si="32"/>
        <v>0.19980199999999995</v>
      </c>
      <c r="J222">
        <v>198</v>
      </c>
      <c r="K222">
        <f>IF($J222&gt;MAX('Match Log'!$A$4:$A$810),NA(),IFERROR(LOOKUP(2,1/(('Match Log'!$D$4:$D$810=$K$24)*('Match Log'!$A$4:$A$810&lt;=$J222)),'Match Log'!$N$4:$N$810),NA()))</f>
        <v>1009.8261046694705</v>
      </c>
      <c r="L222">
        <f>IF($J222&gt;MAX('Match Log'!$A$4:$A$810),NA(),IFERROR(LOOKUP(2,1/(('Match Log'!$D$4:$D$810=$L$24)*('Match Log'!$A$4:$A$810&lt;=$J222)),'Match Log'!$N$4:$N$810),NA()))</f>
        <v>1029.5175965335138</v>
      </c>
      <c r="M222">
        <f>IF($J222&gt;MAX('Match Log'!$A$4:$A$810),NA(),IFERROR(LOOKUP(2,1/(('Match Log'!$D$4:$D$810=$M$24)*('Match Log'!$A$4:$A$810&lt;=$J222)),'Match Log'!$N$4:$N$810),NA()))</f>
        <v>1037.8197114720938</v>
      </c>
      <c r="N222">
        <f>IF($J222&gt;MAX('Match Log'!$A$4:$A$810),NA(),IFERROR(LOOKUP(2,1/(('Match Log'!$D$4:$D$810=$N$24)*('Match Log'!$A$4:$A$810&lt;=$J222)),'Match Log'!$N$4:$N$810),NA()))</f>
        <v>973.19705892757202</v>
      </c>
      <c r="O222">
        <f>IF($J222&gt;MAX('Match Log'!$A$4:$A$810),NA(),IFERROR(LOOKUP(2,1/(('Match Log'!$D$4:$D$810=$O$24)*('Match Log'!$A$4:$A$810&lt;=$J222)),'Match Log'!$N$4:$N$810),NA()))</f>
        <v>1079.8513147600966</v>
      </c>
      <c r="P222">
        <f>IF($J222&gt;MAX('Match Log'!$A$4:$A$810),NA(),IFERROR(LOOKUP(2,1/(('Match Log'!$D$4:$D$810=$P$24)*('Match Log'!$A$4:$A$810&lt;=$J222)),'Match Log'!$N$4:$N$810),NA()))</f>
        <v>1156.402080999414</v>
      </c>
      <c r="Q222">
        <f>IF($J222&gt;MAX('Match Log'!$A$4:$A$810),NA(),IFERROR(LOOKUP(2,1/(('Match Log'!$D$4:$D$810=$Q$24)*('Match Log'!$A$4:$A$810&lt;=$J222)),'Match Log'!$N$4:$N$810),NA()))</f>
        <v>1050.2393073123574</v>
      </c>
      <c r="R222">
        <f>IF($J222&gt;MAX('Match Log'!$A$4:$A$810),NA(),IFERROR(LOOKUP(2,1/(('Match Log'!$D$4:$D$810=$R$24)*('Match Log'!$A$4:$A$810&lt;=$J222)),'Match Log'!$N$4:$N$810),NA()))</f>
        <v>1154.3708401956087</v>
      </c>
      <c r="S222">
        <f>IF($J222&gt;MAX('Match Log'!$A$4:$A$810),NA(),IFERROR(LOOKUP(2,1/(('Match Log'!$D$4:$D$810=$S$24)*('Match Log'!$A$4:$A$810&lt;=$J222)),'Match Log'!$N$4:$N$810),NA()))</f>
        <v>1241.7029363250533</v>
      </c>
      <c r="T222">
        <f>IF($J222&gt;MAX('Match Log'!$A$4:$A$810),NA(),IFERROR(LOOKUP(2,1/(('Match Log'!$D$4:$D$810=$T$24)*('Match Log'!$A$4:$A$810&lt;=$J222)),'Match Log'!$N$4:$N$810),NA()))</f>
        <v>862.22294373677494</v>
      </c>
      <c r="U222">
        <f>IF($J222&gt;MAX('Match Log'!$A$4:$A$810),NA(),IFERROR(LOOKUP(2,1/(('Match Log'!$D$4:$D$810=$U$24)*('Match Log'!$A$4:$A$810&lt;=$J222)),'Match Log'!$N$4:$N$810),NA()))</f>
        <v>1054.3366131438215</v>
      </c>
      <c r="V222">
        <f>IF($J222&gt;MAX('Match Log'!$A$4:$A$810),NA(),IFERROR(LOOKUP(2,1/(('Match Log'!$D$4:$D$810=$V$24)*('Match Log'!$A$4:$A$810&lt;=$J222)),'Match Log'!$N$4:$N$810),NA()))</f>
        <v>1012.1303999492304</v>
      </c>
      <c r="W222">
        <f>IF($J222&gt;MAX('Match Log'!$A$4:$A$810),NA(),IFERROR(LOOKUP(2,1/(('Match Log'!$D$4:$D$810=$W$24)*('Match Log'!$A$4:$A$810&lt;=$J222)),'Match Log'!$N$4:$N$810),NA()))</f>
        <v>1080.3830919749923</v>
      </c>
      <c r="X222" t="e">
        <f>IF($J222&gt;MAX('Match Log'!$A$4:$A$810),NA(),IFERROR(LOOKUP(2,1/(('Match Log'!$D$4:$D$810=$X$24)*('Match Log'!$A$4:$A$810&lt;=$J222)),'Match Log'!$N$4:$N$810),NA()))</f>
        <v>#N/A</v>
      </c>
      <c r="Y222">
        <f t="shared" ca="1" si="33"/>
        <v>0.19980199999999995</v>
      </c>
    </row>
    <row r="223" spans="1:25" x14ac:dyDescent="0.2">
      <c r="A223">
        <v>199</v>
      </c>
      <c r="B223">
        <f>IFERROR(INDEX('Match Log'!$B$4:$B$810,MATCH(199,'Match Log'!$A$4:$A$810,0)),"")</f>
        <v>46247</v>
      </c>
      <c r="C223" t="str">
        <f>IFERROR(INDEX('Match Log'!$C$4:$C$810,MATCH(199,'Match Log'!$A$4:$A$810,0)),"")</f>
        <v>Basketball arcade</v>
      </c>
      <c r="D223" t="str">
        <f t="array" ref="D223">IFERROR(_xlfn.TEXTJOIN(" + ",TRUE,IF(('Match Log'!$A$4:$A$810=$A223)*('Match Log'!$E$4:$E$810="Win"),'Match Log'!$D$4:$D$810,"")),IFERROR(LOOKUP(2,1/(('Match Log'!$A$4:$A$810=$A223)*('Match Log'!$E$4:$E$810="Win")),'Match Log'!$D$4:$D$810),""))</f>
        <v>Josh</v>
      </c>
      <c r="E223">
        <f>IFERROR(INDEX('Match Log'!$F$4:$F$810,MATCH(199,'Match Log'!$A$4:$A$810,0)),"")</f>
        <v>2</v>
      </c>
      <c r="F223">
        <f>IFERROR(SUMIFS('Match Log'!$I$4:$I$810,'Match Log'!$A$4:$A$810,199,'Match Log'!$E$4:$E$810,"Win"),"")</f>
        <v>0.44444444444444448</v>
      </c>
      <c r="G223">
        <f t="shared" si="31"/>
        <v>0.11111111111111105</v>
      </c>
      <c r="H223" t="str">
        <f t="array" ref="H223">IFERROR(IF(COUNTIFS('Match Log'!$A$4:$A$810,$A223,'Match Log'!$E$4:$E$810,"Win")&gt;1,_xlfn.TEXTJOIN(" + ",TRUE,IF(('Match Log'!$A$4:$A$810=$A223)*('Match Log'!$E$4:$E$810="Loss"),'Match Log'!$D$4:$D$810,"")),IF($E223=2,LOOKUP(2,1/(('Match Log'!$A$4:$A$810=$A223)*('Match Log'!$E$4:$E$810="Loss")),'Match Log'!$D$4:$D$810),"the field")),"")</f>
        <v>Shawn</v>
      </c>
      <c r="I223">
        <f t="shared" si="32"/>
        <v>0.11091211111111104</v>
      </c>
      <c r="J223">
        <v>199</v>
      </c>
      <c r="K223">
        <f>IF($J223&gt;MAX('Match Log'!$A$4:$A$810),NA(),IFERROR(LOOKUP(2,1/(('Match Log'!$D$4:$D$810=$K$24)*('Match Log'!$A$4:$A$810&lt;=$J223)),'Match Log'!$N$4:$N$810),NA()))</f>
        <v>1009.8261046694705</v>
      </c>
      <c r="L223">
        <f>IF($J223&gt;MAX('Match Log'!$A$4:$A$810),NA(),IFERROR(LOOKUP(2,1/(('Match Log'!$D$4:$D$810=$L$24)*('Match Log'!$A$4:$A$810&lt;=$J223)),'Match Log'!$N$4:$N$810),NA()))</f>
        <v>1029.5175965335138</v>
      </c>
      <c r="M223">
        <f>IF($J223&gt;MAX('Match Log'!$A$4:$A$810),NA(),IFERROR(LOOKUP(2,1/(('Match Log'!$D$4:$D$810=$M$24)*('Match Log'!$A$4:$A$810&lt;=$J223)),'Match Log'!$N$4:$N$810),NA()))</f>
        <v>1037.8197114720938</v>
      </c>
      <c r="N223">
        <f>IF($J223&gt;MAX('Match Log'!$A$4:$A$810),NA(),IFERROR(LOOKUP(2,1/(('Match Log'!$D$4:$D$810=$N$24)*('Match Log'!$A$4:$A$810&lt;=$J223)),'Match Log'!$N$4:$N$810),NA()))</f>
        <v>973.19705892757202</v>
      </c>
      <c r="O223">
        <f>IF($J223&gt;MAX('Match Log'!$A$4:$A$810),NA(),IFERROR(LOOKUP(2,1/(('Match Log'!$D$4:$D$810=$O$24)*('Match Log'!$A$4:$A$810&lt;=$J223)),'Match Log'!$N$4:$N$810),NA()))</f>
        <v>1105.4909851862215</v>
      </c>
      <c r="P223">
        <f>IF($J223&gt;MAX('Match Log'!$A$4:$A$810),NA(),IFERROR(LOOKUP(2,1/(('Match Log'!$D$4:$D$810=$P$24)*('Match Log'!$A$4:$A$810&lt;=$J223)),'Match Log'!$N$4:$N$810),NA()))</f>
        <v>1130.7624105732891</v>
      </c>
      <c r="Q223">
        <f>IF($J223&gt;MAX('Match Log'!$A$4:$A$810),NA(),IFERROR(LOOKUP(2,1/(('Match Log'!$D$4:$D$810=$Q$24)*('Match Log'!$A$4:$A$810&lt;=$J223)),'Match Log'!$N$4:$N$810),NA()))</f>
        <v>1050.2393073123574</v>
      </c>
      <c r="R223">
        <f>IF($J223&gt;MAX('Match Log'!$A$4:$A$810),NA(),IFERROR(LOOKUP(2,1/(('Match Log'!$D$4:$D$810=$R$24)*('Match Log'!$A$4:$A$810&lt;=$J223)),'Match Log'!$N$4:$N$810),NA()))</f>
        <v>1154.3708401956087</v>
      </c>
      <c r="S223">
        <f>IF($J223&gt;MAX('Match Log'!$A$4:$A$810),NA(),IFERROR(LOOKUP(2,1/(('Match Log'!$D$4:$D$810=$S$24)*('Match Log'!$A$4:$A$810&lt;=$J223)),'Match Log'!$N$4:$N$810),NA()))</f>
        <v>1241.7029363250533</v>
      </c>
      <c r="T223">
        <f>IF($J223&gt;MAX('Match Log'!$A$4:$A$810),NA(),IFERROR(LOOKUP(2,1/(('Match Log'!$D$4:$D$810=$T$24)*('Match Log'!$A$4:$A$810&lt;=$J223)),'Match Log'!$N$4:$N$810),NA()))</f>
        <v>862.22294373677494</v>
      </c>
      <c r="U223">
        <f>IF($J223&gt;MAX('Match Log'!$A$4:$A$810),NA(),IFERROR(LOOKUP(2,1/(('Match Log'!$D$4:$D$810=$U$24)*('Match Log'!$A$4:$A$810&lt;=$J223)),'Match Log'!$N$4:$N$810),NA()))</f>
        <v>1054.3366131438215</v>
      </c>
      <c r="V223">
        <f>IF($J223&gt;MAX('Match Log'!$A$4:$A$810),NA(),IFERROR(LOOKUP(2,1/(('Match Log'!$D$4:$D$810=$V$24)*('Match Log'!$A$4:$A$810&lt;=$J223)),'Match Log'!$N$4:$N$810),NA()))</f>
        <v>1012.1303999492304</v>
      </c>
      <c r="W223">
        <f>IF($J223&gt;MAX('Match Log'!$A$4:$A$810),NA(),IFERROR(LOOKUP(2,1/(('Match Log'!$D$4:$D$810=$W$24)*('Match Log'!$A$4:$A$810&lt;=$J223)),'Match Log'!$N$4:$N$810),NA()))</f>
        <v>1080.3830919749923</v>
      </c>
      <c r="X223" t="e">
        <f>IF($J223&gt;MAX('Match Log'!$A$4:$A$810),NA(),IFERROR(LOOKUP(2,1/(('Match Log'!$D$4:$D$810=$X$24)*('Match Log'!$A$4:$A$810&lt;=$J223)),'Match Log'!$N$4:$N$810),NA()))</f>
        <v>#N/A</v>
      </c>
      <c r="Y223">
        <f t="shared" ca="1" si="33"/>
        <v>0.11091211111111104</v>
      </c>
    </row>
    <row r="224" spans="1:25" x14ac:dyDescent="0.2">
      <c r="A224">
        <v>200</v>
      </c>
      <c r="B224">
        <f>IFERROR(INDEX('Match Log'!$B$4:$B$810,MATCH(200,'Match Log'!$A$4:$A$810,0)),"")</f>
        <v>46247</v>
      </c>
      <c r="C224" t="str">
        <f>IFERROR(INDEX('Match Log'!$C$4:$C$810,MATCH(200,'Match Log'!$A$4:$A$810,0)),"")</f>
        <v>Mario Kart</v>
      </c>
      <c r="D224" t="str">
        <f t="array" ref="D224">IFERROR(_xlfn.TEXTJOIN(" + ",TRUE,IF(('Match Log'!$A$4:$A$810=$A224)*('Match Log'!$E$4:$E$810="Win"),'Match Log'!$D$4:$D$810,"")),IFERROR(LOOKUP(2,1/(('Match Log'!$A$4:$A$810=$A224)*('Match Log'!$E$4:$E$810="Win")),'Match Log'!$D$4:$D$810),""))</f>
        <v>Josh</v>
      </c>
      <c r="E224">
        <f>IFERROR(INDEX('Match Log'!$F$4:$F$810,MATCH(200,'Match Log'!$A$4:$A$810,0)),"")</f>
        <v>2</v>
      </c>
      <c r="F224">
        <f>IFERROR(SUMIFS('Match Log'!$I$4:$I$810,'Match Log'!$A$4:$A$810,200,'Match Log'!$E$4:$E$810,"Win"),"")</f>
        <v>0.90322580645161299</v>
      </c>
      <c r="G224">
        <f t="shared" si="31"/>
        <v>-0.80645161290322598</v>
      </c>
      <c r="H224" t="str">
        <f t="array" ref="H224">IFERROR(IF(COUNTIFS('Match Log'!$A$4:$A$810,$A224,'Match Log'!$E$4:$E$810,"Win")&gt;1,_xlfn.TEXTJOIN(" + ",TRUE,IF(('Match Log'!$A$4:$A$810=$A224)*('Match Log'!$E$4:$E$810="Loss"),'Match Log'!$D$4:$D$810,"")),IF($E224=2,LOOKUP(2,1/(('Match Log'!$A$4:$A$810=$A224)*('Match Log'!$E$4:$E$810="Loss")),'Match Log'!$D$4:$D$810),"the field")),"")</f>
        <v>Shawn</v>
      </c>
      <c r="I224">
        <f t="shared" si="32"/>
        <v>-0.80665161290322596</v>
      </c>
      <c r="J224">
        <v>200</v>
      </c>
      <c r="K224">
        <f>IF($J224&gt;MAX('Match Log'!$A$4:$A$810),NA(),IFERROR(LOOKUP(2,1/(('Match Log'!$D$4:$D$810=$K$24)*('Match Log'!$A$4:$A$810&lt;=$J224)),'Match Log'!$N$4:$N$810),NA()))</f>
        <v>1009.8261046694705</v>
      </c>
      <c r="L224">
        <f>IF($J224&gt;MAX('Match Log'!$A$4:$A$810),NA(),IFERROR(LOOKUP(2,1/(('Match Log'!$D$4:$D$810=$L$24)*('Match Log'!$A$4:$A$810&lt;=$J224)),'Match Log'!$N$4:$N$810),NA()))</f>
        <v>1029.5175965335138</v>
      </c>
      <c r="M224">
        <f>IF($J224&gt;MAX('Match Log'!$A$4:$A$810),NA(),IFERROR(LOOKUP(2,1/(('Match Log'!$D$4:$D$810=$M$24)*('Match Log'!$A$4:$A$810&lt;=$J224)),'Match Log'!$N$4:$N$810),NA()))</f>
        <v>1037.8197114720938</v>
      </c>
      <c r="N224">
        <f>IF($J224&gt;MAX('Match Log'!$A$4:$A$810),NA(),IFERROR(LOOKUP(2,1/(('Match Log'!$D$4:$D$810=$N$24)*('Match Log'!$A$4:$A$810&lt;=$J224)),'Match Log'!$N$4:$N$810),NA()))</f>
        <v>973.19705892757202</v>
      </c>
      <c r="O224">
        <f>IF($J224&gt;MAX('Match Log'!$A$4:$A$810),NA(),IFERROR(LOOKUP(2,1/(('Match Log'!$D$4:$D$810=$O$24)*('Match Log'!$A$4:$A$810&lt;=$J224)),'Match Log'!$N$4:$N$810),NA()))</f>
        <v>1116.2299240497011</v>
      </c>
      <c r="P224">
        <f>IF($J224&gt;MAX('Match Log'!$A$4:$A$810),NA(),IFERROR(LOOKUP(2,1/(('Match Log'!$D$4:$D$810=$P$24)*('Match Log'!$A$4:$A$810&lt;=$J224)),'Match Log'!$N$4:$N$810),NA()))</f>
        <v>1120.0234717098094</v>
      </c>
      <c r="Q224">
        <f>IF($J224&gt;MAX('Match Log'!$A$4:$A$810),NA(),IFERROR(LOOKUP(2,1/(('Match Log'!$D$4:$D$810=$Q$24)*('Match Log'!$A$4:$A$810&lt;=$J224)),'Match Log'!$N$4:$N$810),NA()))</f>
        <v>1050.2393073123574</v>
      </c>
      <c r="R224">
        <f>IF($J224&gt;MAX('Match Log'!$A$4:$A$810),NA(),IFERROR(LOOKUP(2,1/(('Match Log'!$D$4:$D$810=$R$24)*('Match Log'!$A$4:$A$810&lt;=$J224)),'Match Log'!$N$4:$N$810),NA()))</f>
        <v>1154.3708401956087</v>
      </c>
      <c r="S224">
        <f>IF($J224&gt;MAX('Match Log'!$A$4:$A$810),NA(),IFERROR(LOOKUP(2,1/(('Match Log'!$D$4:$D$810=$S$24)*('Match Log'!$A$4:$A$810&lt;=$J224)),'Match Log'!$N$4:$N$810),NA()))</f>
        <v>1241.7029363250533</v>
      </c>
      <c r="T224">
        <f>IF($J224&gt;MAX('Match Log'!$A$4:$A$810),NA(),IFERROR(LOOKUP(2,1/(('Match Log'!$D$4:$D$810=$T$24)*('Match Log'!$A$4:$A$810&lt;=$J224)),'Match Log'!$N$4:$N$810),NA()))</f>
        <v>862.22294373677494</v>
      </c>
      <c r="U224">
        <f>IF($J224&gt;MAX('Match Log'!$A$4:$A$810),NA(),IFERROR(LOOKUP(2,1/(('Match Log'!$D$4:$D$810=$U$24)*('Match Log'!$A$4:$A$810&lt;=$J224)),'Match Log'!$N$4:$N$810),NA()))</f>
        <v>1054.3366131438215</v>
      </c>
      <c r="V224">
        <f>IF($J224&gt;MAX('Match Log'!$A$4:$A$810),NA(),IFERROR(LOOKUP(2,1/(('Match Log'!$D$4:$D$810=$V$24)*('Match Log'!$A$4:$A$810&lt;=$J224)),'Match Log'!$N$4:$N$810),NA()))</f>
        <v>1012.1303999492304</v>
      </c>
      <c r="W224">
        <f>IF($J224&gt;MAX('Match Log'!$A$4:$A$810),NA(),IFERROR(LOOKUP(2,1/(('Match Log'!$D$4:$D$810=$W$24)*('Match Log'!$A$4:$A$810&lt;=$J224)),'Match Log'!$N$4:$N$810),NA()))</f>
        <v>1080.3830919749923</v>
      </c>
      <c r="X224" t="e">
        <f>IF($J224&gt;MAX('Match Log'!$A$4:$A$810),NA(),IFERROR(LOOKUP(2,1/(('Match Log'!$D$4:$D$810=$X$24)*('Match Log'!$A$4:$A$810&lt;=$J224)),'Match Log'!$N$4:$N$810),NA()))</f>
        <v>#N/A</v>
      </c>
      <c r="Y224">
        <f t="shared" ca="1" si="33"/>
        <v>-0.80665161290322596</v>
      </c>
    </row>
    <row r="225" spans="1:25" x14ac:dyDescent="0.2">
      <c r="A225">
        <v>201</v>
      </c>
      <c r="B225">
        <f>IFERROR(INDEX('Match Log'!$B$4:$B$810,MATCH(201,'Match Log'!$A$4:$A$810,0)),"")</f>
        <v>46247</v>
      </c>
      <c r="C225" t="str">
        <f>IFERROR(INDEX('Match Log'!$C$4:$C$810,MATCH(201,'Match Log'!$A$4:$A$810,0)),"")</f>
        <v>Mario Kart</v>
      </c>
      <c r="D225" t="str">
        <f t="array" ref="D225">IFERROR(_xlfn.TEXTJOIN(" + ",TRUE,IF(('Match Log'!$A$4:$A$810=$A225)*('Match Log'!$E$4:$E$810="Win"),'Match Log'!$D$4:$D$810,"")),IFERROR(LOOKUP(2,1/(('Match Log'!$A$4:$A$810=$A225)*('Match Log'!$E$4:$E$810="Win")),'Match Log'!$D$4:$D$810),""))</f>
        <v>Josh</v>
      </c>
      <c r="E225">
        <f>IFERROR(INDEX('Match Log'!$F$4:$F$810,MATCH(201,'Match Log'!$A$4:$A$810,0)),"")</f>
        <v>2</v>
      </c>
      <c r="F225">
        <f>IFERROR(SUMIFS('Match Log'!$I$4:$I$810,'Match Log'!$A$4:$A$810,201,'Match Log'!$E$4:$E$810,"Win"),"")</f>
        <v>0.91836734693877553</v>
      </c>
      <c r="G225">
        <f t="shared" si="31"/>
        <v>-0.83673469387755106</v>
      </c>
      <c r="H225" t="str">
        <f t="array" ref="H225">IFERROR(IF(COUNTIFS('Match Log'!$A$4:$A$810,$A225,'Match Log'!$E$4:$E$810,"Win")&gt;1,_xlfn.TEXTJOIN(" + ",TRUE,IF(('Match Log'!$A$4:$A$810=$A225)*('Match Log'!$E$4:$E$810="Loss"),'Match Log'!$D$4:$D$810,"")),IF($E225=2,LOOKUP(2,1/(('Match Log'!$A$4:$A$810=$A225)*('Match Log'!$E$4:$E$810="Loss")),'Match Log'!$D$4:$D$810),"the field")),"")</f>
        <v>Shawn</v>
      </c>
      <c r="I225">
        <f t="shared" si="32"/>
        <v>-0.83693569387755107</v>
      </c>
      <c r="J225">
        <v>201</v>
      </c>
      <c r="K225">
        <f>IF($J225&gt;MAX('Match Log'!$A$4:$A$810),NA(),IFERROR(LOOKUP(2,1/(('Match Log'!$D$4:$D$810=$K$24)*('Match Log'!$A$4:$A$810&lt;=$J225)),'Match Log'!$N$4:$N$810),NA()))</f>
        <v>1009.8261046694705</v>
      </c>
      <c r="L225">
        <f>IF($J225&gt;MAX('Match Log'!$A$4:$A$810),NA(),IFERROR(LOOKUP(2,1/(('Match Log'!$D$4:$D$810=$L$24)*('Match Log'!$A$4:$A$810&lt;=$J225)),'Match Log'!$N$4:$N$810),NA()))</f>
        <v>1029.5175965335138</v>
      </c>
      <c r="M225">
        <f>IF($J225&gt;MAX('Match Log'!$A$4:$A$810),NA(),IFERROR(LOOKUP(2,1/(('Match Log'!$D$4:$D$810=$M$24)*('Match Log'!$A$4:$A$810&lt;=$J225)),'Match Log'!$N$4:$N$810),NA()))</f>
        <v>1037.8197114720938</v>
      </c>
      <c r="N225">
        <f>IF($J225&gt;MAX('Match Log'!$A$4:$A$810),NA(),IFERROR(LOOKUP(2,1/(('Match Log'!$D$4:$D$810=$N$24)*('Match Log'!$A$4:$A$810&lt;=$J225)),'Match Log'!$N$4:$N$810),NA()))</f>
        <v>973.19705892757202</v>
      </c>
      <c r="O225">
        <f>IF($J225&gt;MAX('Match Log'!$A$4:$A$810),NA(),IFERROR(LOOKUP(2,1/(('Match Log'!$D$4:$D$810=$O$24)*('Match Log'!$A$4:$A$810&lt;=$J225)),'Match Log'!$N$4:$N$810),NA()))</f>
        <v>1126.2782967340261</v>
      </c>
      <c r="P225">
        <f>IF($J225&gt;MAX('Match Log'!$A$4:$A$810),NA(),IFERROR(LOOKUP(2,1/(('Match Log'!$D$4:$D$810=$P$24)*('Match Log'!$A$4:$A$810&lt;=$J225)),'Match Log'!$N$4:$N$810),NA()))</f>
        <v>1109.9750990254845</v>
      </c>
      <c r="Q225">
        <f>IF($J225&gt;MAX('Match Log'!$A$4:$A$810),NA(),IFERROR(LOOKUP(2,1/(('Match Log'!$D$4:$D$810=$Q$24)*('Match Log'!$A$4:$A$810&lt;=$J225)),'Match Log'!$N$4:$N$810),NA()))</f>
        <v>1050.2393073123574</v>
      </c>
      <c r="R225">
        <f>IF($J225&gt;MAX('Match Log'!$A$4:$A$810),NA(),IFERROR(LOOKUP(2,1/(('Match Log'!$D$4:$D$810=$R$24)*('Match Log'!$A$4:$A$810&lt;=$J225)),'Match Log'!$N$4:$N$810),NA()))</f>
        <v>1154.3708401956087</v>
      </c>
      <c r="S225">
        <f>IF($J225&gt;MAX('Match Log'!$A$4:$A$810),NA(),IFERROR(LOOKUP(2,1/(('Match Log'!$D$4:$D$810=$S$24)*('Match Log'!$A$4:$A$810&lt;=$J225)),'Match Log'!$N$4:$N$810),NA()))</f>
        <v>1241.7029363250533</v>
      </c>
      <c r="T225">
        <f>IF($J225&gt;MAX('Match Log'!$A$4:$A$810),NA(),IFERROR(LOOKUP(2,1/(('Match Log'!$D$4:$D$810=$T$24)*('Match Log'!$A$4:$A$810&lt;=$J225)),'Match Log'!$N$4:$N$810),NA()))</f>
        <v>862.22294373677494</v>
      </c>
      <c r="U225">
        <f>IF($J225&gt;MAX('Match Log'!$A$4:$A$810),NA(),IFERROR(LOOKUP(2,1/(('Match Log'!$D$4:$D$810=$U$24)*('Match Log'!$A$4:$A$810&lt;=$J225)),'Match Log'!$N$4:$N$810),NA()))</f>
        <v>1054.3366131438215</v>
      </c>
      <c r="V225">
        <f>IF($J225&gt;MAX('Match Log'!$A$4:$A$810),NA(),IFERROR(LOOKUP(2,1/(('Match Log'!$D$4:$D$810=$V$24)*('Match Log'!$A$4:$A$810&lt;=$J225)),'Match Log'!$N$4:$N$810),NA()))</f>
        <v>1012.1303999492304</v>
      </c>
      <c r="W225">
        <f>IF($J225&gt;MAX('Match Log'!$A$4:$A$810),NA(),IFERROR(LOOKUP(2,1/(('Match Log'!$D$4:$D$810=$W$24)*('Match Log'!$A$4:$A$810&lt;=$J225)),'Match Log'!$N$4:$N$810),NA()))</f>
        <v>1080.3830919749923</v>
      </c>
      <c r="X225" t="e">
        <f>IF($J225&gt;MAX('Match Log'!$A$4:$A$810),NA(),IFERROR(LOOKUP(2,1/(('Match Log'!$D$4:$D$810=$X$24)*('Match Log'!$A$4:$A$810&lt;=$J225)),'Match Log'!$N$4:$N$810),NA()))</f>
        <v>#N/A</v>
      </c>
      <c r="Y225">
        <f t="shared" ca="1" si="33"/>
        <v>-0.83693569387755107</v>
      </c>
    </row>
    <row r="226" spans="1:25" x14ac:dyDescent="0.2">
      <c r="A226">
        <v>202</v>
      </c>
      <c r="B226">
        <f>IFERROR(INDEX('Match Log'!$B$4:$B$810,MATCH(202,'Match Log'!$A$4:$A$810,0)),"")</f>
        <v>46247</v>
      </c>
      <c r="C226" t="str">
        <f>IFERROR(INDEX('Match Log'!$C$4:$C$810,MATCH(202,'Match Log'!$A$4:$A$810,0)),"")</f>
        <v>Chess</v>
      </c>
      <c r="D226" t="str">
        <f t="array" ref="D226">IFERROR(_xlfn.TEXTJOIN(" + ",TRUE,IF(('Match Log'!$A$4:$A$810=$A226)*('Match Log'!$E$4:$E$810="Win"),'Match Log'!$D$4:$D$810,"")),IFERROR(LOOKUP(2,1/(('Match Log'!$A$4:$A$810=$A226)*('Match Log'!$E$4:$E$810="Win")),'Match Log'!$D$4:$D$810),""))</f>
        <v>Shawn</v>
      </c>
      <c r="E226">
        <f>IFERROR(INDEX('Match Log'!$F$4:$F$810,MATCH(202,'Match Log'!$A$4:$A$810,0)),"")</f>
        <v>2</v>
      </c>
      <c r="F226">
        <f>IFERROR(SUMIFS('Match Log'!$I$4:$I$810,'Match Log'!$A$4:$A$810,202,'Match Log'!$E$4:$E$810,"Win"),"")</f>
        <v>0.8</v>
      </c>
      <c r="G226">
        <f t="shared" si="31"/>
        <v>-0.60000000000000009</v>
      </c>
      <c r="H226" t="str">
        <f t="array" ref="H226">IFERROR(IF(COUNTIFS('Match Log'!$A$4:$A$810,$A226,'Match Log'!$E$4:$E$810,"Win")&gt;1,_xlfn.TEXTJOIN(" + ",TRUE,IF(('Match Log'!$A$4:$A$810=$A226)*('Match Log'!$E$4:$E$810="Loss"),'Match Log'!$D$4:$D$810,"")),IF($E226=2,LOOKUP(2,1/(('Match Log'!$A$4:$A$810=$A226)*('Match Log'!$E$4:$E$810="Loss")),'Match Log'!$D$4:$D$810),"the field")),"")</f>
        <v>Daniel (Ferret)</v>
      </c>
      <c r="I226">
        <f t="shared" si="32"/>
        <v>-0.60020200000000012</v>
      </c>
      <c r="J226">
        <v>202</v>
      </c>
      <c r="K226">
        <f>IF($J226&gt;MAX('Match Log'!$A$4:$A$810),NA(),IFERROR(LOOKUP(2,1/(('Match Log'!$D$4:$D$810=$K$24)*('Match Log'!$A$4:$A$810&lt;=$J226)),'Match Log'!$N$4:$N$810),NA()))</f>
        <v>1009.8261046694705</v>
      </c>
      <c r="L226">
        <f>IF($J226&gt;MAX('Match Log'!$A$4:$A$810),NA(),IFERROR(LOOKUP(2,1/(('Match Log'!$D$4:$D$810=$L$24)*('Match Log'!$A$4:$A$810&lt;=$J226)),'Match Log'!$N$4:$N$810),NA()))</f>
        <v>1029.5175965335138</v>
      </c>
      <c r="M226">
        <f>IF($J226&gt;MAX('Match Log'!$A$4:$A$810),NA(),IFERROR(LOOKUP(2,1/(('Match Log'!$D$4:$D$810=$M$24)*('Match Log'!$A$4:$A$810&lt;=$J226)),'Match Log'!$N$4:$N$810),NA()))</f>
        <v>1037.8197114720938</v>
      </c>
      <c r="N226">
        <f>IF($J226&gt;MAX('Match Log'!$A$4:$A$810),NA(),IFERROR(LOOKUP(2,1/(('Match Log'!$D$4:$D$810=$N$24)*('Match Log'!$A$4:$A$810&lt;=$J226)),'Match Log'!$N$4:$N$810),NA()))</f>
        <v>973.19705892757202</v>
      </c>
      <c r="O226">
        <f>IF($J226&gt;MAX('Match Log'!$A$4:$A$810),NA(),IFERROR(LOOKUP(2,1/(('Match Log'!$D$4:$D$810=$O$24)*('Match Log'!$A$4:$A$810&lt;=$J226)),'Match Log'!$N$4:$N$810),NA()))</f>
        <v>1126.2782967340261</v>
      </c>
      <c r="P226">
        <f>IF($J226&gt;MAX('Match Log'!$A$4:$A$810),NA(),IFERROR(LOOKUP(2,1/(('Match Log'!$D$4:$D$810=$P$24)*('Match Log'!$A$4:$A$810&lt;=$J226)),'Match Log'!$N$4:$N$810),NA()))</f>
        <v>1128.14195520974</v>
      </c>
      <c r="Q226">
        <f>IF($J226&gt;MAX('Match Log'!$A$4:$A$810),NA(),IFERROR(LOOKUP(2,1/(('Match Log'!$D$4:$D$810=$Q$24)*('Match Log'!$A$4:$A$810&lt;=$J226)),'Match Log'!$N$4:$N$810),NA()))</f>
        <v>1050.2393073123574</v>
      </c>
      <c r="R226">
        <f>IF($J226&gt;MAX('Match Log'!$A$4:$A$810),NA(),IFERROR(LOOKUP(2,1/(('Match Log'!$D$4:$D$810=$R$24)*('Match Log'!$A$4:$A$810&lt;=$J226)),'Match Log'!$N$4:$N$810),NA()))</f>
        <v>1136.2039840113532</v>
      </c>
      <c r="S226">
        <f>IF($J226&gt;MAX('Match Log'!$A$4:$A$810),NA(),IFERROR(LOOKUP(2,1/(('Match Log'!$D$4:$D$810=$S$24)*('Match Log'!$A$4:$A$810&lt;=$J226)),'Match Log'!$N$4:$N$810),NA()))</f>
        <v>1241.7029363250533</v>
      </c>
      <c r="T226">
        <f>IF($J226&gt;MAX('Match Log'!$A$4:$A$810),NA(),IFERROR(LOOKUP(2,1/(('Match Log'!$D$4:$D$810=$T$24)*('Match Log'!$A$4:$A$810&lt;=$J226)),'Match Log'!$N$4:$N$810),NA()))</f>
        <v>862.22294373677494</v>
      </c>
      <c r="U226">
        <f>IF($J226&gt;MAX('Match Log'!$A$4:$A$810),NA(),IFERROR(LOOKUP(2,1/(('Match Log'!$D$4:$D$810=$U$24)*('Match Log'!$A$4:$A$810&lt;=$J226)),'Match Log'!$N$4:$N$810),NA()))</f>
        <v>1054.3366131438215</v>
      </c>
      <c r="V226">
        <f>IF($J226&gt;MAX('Match Log'!$A$4:$A$810),NA(),IFERROR(LOOKUP(2,1/(('Match Log'!$D$4:$D$810=$V$24)*('Match Log'!$A$4:$A$810&lt;=$J226)),'Match Log'!$N$4:$N$810),NA()))</f>
        <v>1012.1303999492304</v>
      </c>
      <c r="W226">
        <f>IF($J226&gt;MAX('Match Log'!$A$4:$A$810),NA(),IFERROR(LOOKUP(2,1/(('Match Log'!$D$4:$D$810=$W$24)*('Match Log'!$A$4:$A$810&lt;=$J226)),'Match Log'!$N$4:$N$810),NA()))</f>
        <v>1080.3830919749923</v>
      </c>
      <c r="X226" t="e">
        <f>IF($J226&gt;MAX('Match Log'!$A$4:$A$810),NA(),IFERROR(LOOKUP(2,1/(('Match Log'!$D$4:$D$810=$X$24)*('Match Log'!$A$4:$A$810&lt;=$J226)),'Match Log'!$N$4:$N$810),NA()))</f>
        <v>#N/A</v>
      </c>
      <c r="Y226">
        <f t="shared" ca="1" si="33"/>
        <v>-0.60020200000000012</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1009.8261046694705</v>
      </c>
      <c r="C2">
        <f>IFERROR(SUMPRODUCT(INDEX('Head-to-Head'!$B$22:$O$35,1,0),$D$2:$Q$2)/SUM(INDEX('Head-to-Head'!$B$22:$O$35,1,0)),"")</f>
        <v>1096.4147780018343</v>
      </c>
      <c r="D2">
        <f>$B$2</f>
        <v>1009.8261046694705</v>
      </c>
      <c r="E2">
        <f>$B$3</f>
        <v>1029.5175965335138</v>
      </c>
      <c r="F2">
        <f>$B$4</f>
        <v>1037.8197114720938</v>
      </c>
      <c r="G2">
        <f>$B$5</f>
        <v>973.19705892757202</v>
      </c>
      <c r="H2">
        <f>$B$6</f>
        <v>1126.2782967340261</v>
      </c>
      <c r="I2">
        <f>$B$7</f>
        <v>1128.14195520974</v>
      </c>
      <c r="J2">
        <f>$B$8</f>
        <v>1050.2393073123574</v>
      </c>
      <c r="K2">
        <f>$B$9</f>
        <v>1136.2039840113532</v>
      </c>
      <c r="L2">
        <f>$B$10</f>
        <v>1241.7029363250533</v>
      </c>
      <c r="M2">
        <f>$B$11</f>
        <v>862.22294373677494</v>
      </c>
      <c r="N2">
        <f>$B$12</f>
        <v>1054.3366131438215</v>
      </c>
      <c r="O2">
        <f>$B$13</f>
        <v>1012.1303999492304</v>
      </c>
      <c r="P2">
        <f>$B$14</f>
        <v>1080.3830919749923</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1067.9665068664465</v>
      </c>
    </row>
    <row r="4" spans="1:17" ht="15" customHeight="1" x14ac:dyDescent="0.2">
      <c r="A4" t="s">
        <v>173</v>
      </c>
      <c r="B4">
        <f>IF(COUNTIF('Match Log'!$D$4:$D$810,$A4)=0,'Guide &amp; Settings'!$C$41,IFERROR(LOOKUP(2,1/('Match Log'!$D$4:$D$810=$A4),'Match Log'!$N$4:$N$810),'Guide &amp; Settings'!$C$41))</f>
        <v>1037.8197114720938</v>
      </c>
      <c r="C4">
        <f>IFERROR(SUMPRODUCT(INDEX('Head-to-Head'!$B$22:$O$35,3,0),$D$2:$Q$2)/SUM(INDEX('Head-to-Head'!$B$22:$O$35,3,0)),"")</f>
        <v>1078.8903812530361</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1079.1948971896304</v>
      </c>
    </row>
    <row r="6" spans="1:17" ht="15" customHeight="1" x14ac:dyDescent="0.2">
      <c r="A6" t="s">
        <v>137</v>
      </c>
      <c r="B6">
        <f>IF(COUNTIF('Match Log'!$D$4:$D$810,$A6)=0,'Guide &amp; Settings'!$C$41,IFERROR(LOOKUP(2,1/('Match Log'!$D$4:$D$810=$A6),'Match Log'!$N$4:$N$810),'Guide &amp; Settings'!$C$41))</f>
        <v>1126.2782967340261</v>
      </c>
      <c r="C6">
        <f>IFERROR(SUMPRODUCT(INDEX('Head-to-Head'!$B$22:$O$35,5,0),$D$2:$Q$2)/SUM(INDEX('Head-to-Head'!$B$22:$O$35,5,0)),"")</f>
        <v>1095.451509384452</v>
      </c>
    </row>
    <row r="7" spans="1:17" ht="15" customHeight="1" x14ac:dyDescent="0.2">
      <c r="A7" t="s">
        <v>134</v>
      </c>
      <c r="B7">
        <f>IF(COUNTIF('Match Log'!$D$4:$D$810,$A7)=0,'Guide &amp; Settings'!$C$41,IFERROR(LOOKUP(2,1/('Match Log'!$D$4:$D$810=$A7),'Match Log'!$N$4:$N$810),'Guide &amp; Settings'!$C$41))</f>
        <v>1128.14195520974</v>
      </c>
      <c r="C7">
        <f>IFERROR(SUMPRODUCT(INDEX('Head-to-Head'!$B$22:$O$35,6,0),$D$2:$Q$2)/SUM(INDEX('Head-to-Head'!$B$22:$O$35,6,0)),"")</f>
        <v>1075.4673613433879</v>
      </c>
    </row>
    <row r="8" spans="1:17" ht="15" customHeight="1" x14ac:dyDescent="0.2">
      <c r="A8" t="s">
        <v>168</v>
      </c>
      <c r="B8">
        <f>IF(COUNTIF('Match Log'!$D$4:$D$810,$A8)=0,'Guide &amp; Settings'!$C$41,IFERROR(LOOKUP(2,1/('Match Log'!$D$4:$D$810=$A8),'Match Log'!$N$4:$N$810),'Guide &amp; Settings'!$C$41))</f>
        <v>1050.2393073123574</v>
      </c>
      <c r="C8">
        <f>IFERROR(SUMPRODUCT(INDEX('Head-to-Head'!$B$22:$O$35,7,0),$D$2:$Q$2)/SUM(INDEX('Head-to-Head'!$B$22:$O$35,7,0)),"")</f>
        <v>1062.0318063351845</v>
      </c>
    </row>
    <row r="9" spans="1:17" ht="15" customHeight="1" x14ac:dyDescent="0.2">
      <c r="A9" t="s">
        <v>170</v>
      </c>
      <c r="B9">
        <f>IF(COUNTIF('Match Log'!$D$4:$D$810,$A9)=0,'Guide &amp; Settings'!$C$41,IFERROR(LOOKUP(2,1/('Match Log'!$D$4:$D$810=$A9),'Match Log'!$N$4:$N$810),'Guide &amp; Settings'!$C$41))</f>
        <v>1136.2039840113532</v>
      </c>
      <c r="C9">
        <f>IFERROR(SUMPRODUCT(INDEX('Head-to-Head'!$B$22:$O$35,8,0),$D$2:$Q$2)/SUM(INDEX('Head-to-Head'!$B$22:$O$35,8,0)),"")</f>
        <v>1101.7094527091406</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1086.2078193906441</v>
      </c>
    </row>
    <row r="11" spans="1:17" ht="15" customHeight="1" x14ac:dyDescent="0.2">
      <c r="A11" t="s">
        <v>175</v>
      </c>
      <c r="B11">
        <f>IF(COUNTIF('Match Log'!$D$4:$D$810,$A11)=0,'Guide &amp; Settings'!$C$41,IFERROR(LOOKUP(2,1/('Match Log'!$D$4:$D$810=$A11),'Match Log'!$N$4:$N$810),'Guide &amp; Settings'!$C$41))</f>
        <v>862.22294373677494</v>
      </c>
      <c r="C11">
        <f>IFERROR(SUMPRODUCT(INDEX('Head-to-Head'!$B$22:$O$35,10,0),$D$2:$Q$2)/SUM(INDEX('Head-to-Head'!$B$22:$O$35,10,0)),"")</f>
        <v>1075.5480322913888</v>
      </c>
    </row>
    <row r="12" spans="1:17" ht="15" customHeight="1" x14ac:dyDescent="0.2">
      <c r="A12" t="s">
        <v>169</v>
      </c>
      <c r="B12">
        <f>IF(COUNTIF('Match Log'!$D$4:$D$810,$A12)=0,'Guide &amp; Settings'!$C$41,IFERROR(LOOKUP(2,1/('Match Log'!$D$4:$D$810=$A12),'Match Log'!$N$4:$N$810),'Guide &amp; Settings'!$C$41))</f>
        <v>1054.3366131438215</v>
      </c>
      <c r="C12">
        <f>IFERROR(SUMPRODUCT(INDEX('Head-to-Head'!$B$22:$O$35,11,0),$D$2:$Q$2)/SUM(INDEX('Head-to-Head'!$B$22:$O$35,11,0)),"")</f>
        <v>1093.2269668251802</v>
      </c>
    </row>
    <row r="13" spans="1:17" ht="15" customHeight="1" x14ac:dyDescent="0.2">
      <c r="A13" t="s">
        <v>171</v>
      </c>
      <c r="B13">
        <f>IF(COUNTIF('Match Log'!$D$4:$D$810,$A13)=0,'Guide &amp; Settings'!$C$41,IFERROR(LOOKUP(2,1/('Match Log'!$D$4:$D$810=$A13),'Match Log'!$N$4:$N$810),'Guide &amp; Settings'!$C$41))</f>
        <v>1012.1303999492304</v>
      </c>
      <c r="C13">
        <f>IFERROR(SUMPRODUCT(INDEX('Head-to-Head'!$B$22:$O$35,12,0),$D$2:$Q$2)/SUM(INDEX('Head-to-Head'!$B$22:$O$35,12,0)),"")</f>
        <v>1060.1947160275172</v>
      </c>
    </row>
    <row r="14" spans="1:17" ht="15" customHeight="1" x14ac:dyDescent="0.2">
      <c r="A14" t="s">
        <v>172</v>
      </c>
      <c r="B14">
        <f>IF(COUNTIF('Match Log'!$D$4:$D$810,$A14)=0,'Guide &amp; Settings'!$C$41,IFERROR(LOOKUP(2,1/('Match Log'!$D$4:$D$810=$A14),'Match Log'!$N$4:$N$810),'Guide &amp; Settings'!$C$41))</f>
        <v>1080.3830919749923</v>
      </c>
      <c r="C14">
        <f>IFERROR(SUMPRODUCT(INDEX('Head-to-Head'!$B$22:$O$35,13,0),$D$2:$Q$2)/SUM(INDEX('Head-to-Head'!$B$22:$O$35,13,0)),"")</f>
        <v>1051.1937613447226</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2026-08-13T08:23:14Z</dcterms:modified>
  <dc:language>en-US</dc:language>
</cp:coreProperties>
</file>