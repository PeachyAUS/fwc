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B3D8C97A-E408-4F4F-B052-A7AEDEC15018}" xr6:coauthVersionLast="47" xr6:coauthVersionMax="47" xr10:uidLastSave="{00000000-0000-0000-0000-000000000000}"/>
  <bookViews>
    <workbookView xWindow="-20" yWindow="660" windowWidth="34560" windowHeight="2058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W172" i="11"/>
  <c r="V172" i="11"/>
  <c r="U172" i="11"/>
  <c r="T172" i="11"/>
  <c r="S172" i="11"/>
  <c r="R172" i="11"/>
  <c r="Q172" i="11"/>
  <c r="P172" i="11"/>
  <c r="O172" i="11"/>
  <c r="N172" i="11"/>
  <c r="M172" i="11"/>
  <c r="L172" i="11"/>
  <c r="K172" i="11"/>
  <c r="F172" i="11"/>
  <c r="E172" i="11"/>
  <c r="C172" i="11"/>
  <c r="B172" i="11"/>
  <c r="X171" i="11"/>
  <c r="C171" i="11"/>
  <c r="B171" i="11"/>
  <c r="X170" i="11"/>
  <c r="C170" i="11"/>
  <c r="B170" i="11"/>
  <c r="X169" i="11"/>
  <c r="C169" i="11"/>
  <c r="B169" i="11"/>
  <c r="X168" i="11"/>
  <c r="C168" i="11"/>
  <c r="B168" i="11"/>
  <c r="X167" i="11"/>
  <c r="C167" i="11"/>
  <c r="B167" i="11"/>
  <c r="X166" i="11"/>
  <c r="C166" i="11"/>
  <c r="B166" i="11"/>
  <c r="X165" i="11"/>
  <c r="C165" i="11"/>
  <c r="B165" i="11"/>
  <c r="X164" i="11"/>
  <c r="C164" i="11"/>
  <c r="B164" i="11"/>
  <c r="X163" i="11"/>
  <c r="C163" i="11"/>
  <c r="B163" i="11"/>
  <c r="X162" i="11"/>
  <c r="C162" i="11"/>
  <c r="B162" i="11"/>
  <c r="X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T344" i="9"/>
  <c r="R344" i="9"/>
  <c r="O344" i="9"/>
  <c r="G344" i="9"/>
  <c r="F344" i="9"/>
  <c r="L344" i="9" s="1"/>
  <c r="AC343" i="9"/>
  <c r="T343" i="9"/>
  <c r="R343" i="9"/>
  <c r="O343" i="9"/>
  <c r="G343" i="9"/>
  <c r="F343" i="9"/>
  <c r="E171" i="11" s="1"/>
  <c r="AC342" i="9"/>
  <c r="T342" i="9"/>
  <c r="R342" i="9"/>
  <c r="O342" i="9"/>
  <c r="G342" i="9"/>
  <c r="F342" i="9"/>
  <c r="L342" i="9" s="1"/>
  <c r="AC341" i="9"/>
  <c r="T341" i="9"/>
  <c r="R341" i="9"/>
  <c r="O341" i="9"/>
  <c r="G341" i="9"/>
  <c r="F341" i="9"/>
  <c r="E170" i="11" s="1"/>
  <c r="AC340" i="9"/>
  <c r="T340" i="9"/>
  <c r="R340" i="9"/>
  <c r="O340" i="9"/>
  <c r="G340" i="9"/>
  <c r="F340" i="9"/>
  <c r="L340" i="9" s="1"/>
  <c r="AC339" i="9"/>
  <c r="T339" i="9"/>
  <c r="R339" i="9"/>
  <c r="O339" i="9"/>
  <c r="G339" i="9"/>
  <c r="F339" i="9"/>
  <c r="E169" i="11" s="1"/>
  <c r="AC338" i="9"/>
  <c r="U338" i="9"/>
  <c r="T338" i="9"/>
  <c r="R338" i="9"/>
  <c r="O338" i="9"/>
  <c r="G338" i="9"/>
  <c r="F338" i="9"/>
  <c r="L338" i="9" s="1"/>
  <c r="AC337" i="9"/>
  <c r="U337" i="9"/>
  <c r="Y337" i="9" s="1"/>
  <c r="Z337" i="9" s="1"/>
  <c r="T337" i="9"/>
  <c r="R337" i="9"/>
  <c r="O337" i="9"/>
  <c r="G337" i="9"/>
  <c r="F337" i="9"/>
  <c r="E168" i="11" s="1"/>
  <c r="AC336" i="9"/>
  <c r="T336" i="9"/>
  <c r="R336" i="9"/>
  <c r="O336" i="9"/>
  <c r="G336" i="9"/>
  <c r="F336" i="9"/>
  <c r="L336" i="9" s="1"/>
  <c r="AC335" i="9"/>
  <c r="T335" i="9"/>
  <c r="R335" i="9"/>
  <c r="O335" i="9"/>
  <c r="G335" i="9"/>
  <c r="F335" i="9"/>
  <c r="E167" i="11" s="1"/>
  <c r="AC334" i="9"/>
  <c r="U334" i="9"/>
  <c r="T334" i="9"/>
  <c r="R334" i="9"/>
  <c r="O334" i="9"/>
  <c r="G334" i="9"/>
  <c r="F334" i="9"/>
  <c r="L334" i="9" s="1"/>
  <c r="AC333" i="9"/>
  <c r="U333" i="9"/>
  <c r="Y334" i="9" s="1"/>
  <c r="T333" i="9"/>
  <c r="R333" i="9"/>
  <c r="O333" i="9"/>
  <c r="G333" i="9"/>
  <c r="F333" i="9"/>
  <c r="E166" i="11" s="1"/>
  <c r="AC332" i="9"/>
  <c r="T332" i="9"/>
  <c r="R332" i="9"/>
  <c r="O332" i="9"/>
  <c r="G332" i="9"/>
  <c r="F332" i="9"/>
  <c r="L332" i="9" s="1"/>
  <c r="AC331" i="9"/>
  <c r="T331" i="9"/>
  <c r="R331" i="9"/>
  <c r="O331" i="9"/>
  <c r="G331" i="9"/>
  <c r="F331" i="9"/>
  <c r="E165" i="11" s="1"/>
  <c r="AC330" i="9"/>
  <c r="T330" i="9"/>
  <c r="R330" i="9"/>
  <c r="O330" i="9"/>
  <c r="G330" i="9"/>
  <c r="F330" i="9"/>
  <c r="L330" i="9" s="1"/>
  <c r="AC329" i="9"/>
  <c r="T329" i="9"/>
  <c r="R329" i="9"/>
  <c r="O329" i="9"/>
  <c r="G329" i="9"/>
  <c r="F329" i="9"/>
  <c r="E164" i="11" s="1"/>
  <c r="AC328" i="9"/>
  <c r="U328" i="9"/>
  <c r="T328" i="9"/>
  <c r="R328" i="9"/>
  <c r="O328" i="9"/>
  <c r="G328" i="9"/>
  <c r="F328" i="9"/>
  <c r="L328" i="9" s="1"/>
  <c r="AC327" i="9"/>
  <c r="U327" i="9"/>
  <c r="T327" i="9"/>
  <c r="R327" i="9"/>
  <c r="O327" i="9"/>
  <c r="G327" i="9"/>
  <c r="F327" i="9"/>
  <c r="L327" i="9" s="1"/>
  <c r="AC326" i="9"/>
  <c r="T326" i="9"/>
  <c r="R326" i="9"/>
  <c r="O326" i="9"/>
  <c r="G326" i="9"/>
  <c r="F326" i="9"/>
  <c r="E163" i="11" s="1"/>
  <c r="AC325" i="9"/>
  <c r="T325" i="9"/>
  <c r="R325" i="9"/>
  <c r="O325" i="9"/>
  <c r="G325" i="9"/>
  <c r="F325" i="9"/>
  <c r="L325" i="9" s="1"/>
  <c r="AC324" i="9"/>
  <c r="T324" i="9"/>
  <c r="R324" i="9"/>
  <c r="O324" i="9"/>
  <c r="G324" i="9"/>
  <c r="F324" i="9"/>
  <c r="E162" i="11" s="1"/>
  <c r="AC323" i="9"/>
  <c r="T323" i="9"/>
  <c r="R323" i="9"/>
  <c r="O323" i="9"/>
  <c r="G323" i="9"/>
  <c r="F323" i="9"/>
  <c r="L323" i="9" s="1"/>
  <c r="AC322" i="9"/>
  <c r="T322" i="9"/>
  <c r="R322" i="9"/>
  <c r="O322" i="9"/>
  <c r="G322" i="9"/>
  <c r="F322" i="9"/>
  <c r="E161" i="11" s="1"/>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D99" i="6"/>
  <c r="C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L92" i="6"/>
  <c r="K92" i="6"/>
  <c r="J92" i="6"/>
  <c r="I92" i="6"/>
  <c r="H92" i="6"/>
  <c r="F92" i="6"/>
  <c r="E92" i="6"/>
  <c r="D92" i="6"/>
  <c r="C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D16" i="6"/>
  <c r="D60" i="6" s="1"/>
  <c r="J60" i="8" s="1"/>
  <c r="C16" i="6"/>
  <c r="C60" i="6" s="1"/>
  <c r="J59" i="8" s="1"/>
  <c r="B16" i="6"/>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M9" i="6"/>
  <c r="L9" i="6"/>
  <c r="L53" i="6" s="1"/>
  <c r="C68" i="8" s="1"/>
  <c r="K9" i="6"/>
  <c r="K53" i="6" s="1"/>
  <c r="C67" i="8" s="1"/>
  <c r="J9" i="6"/>
  <c r="J53" i="6" s="1"/>
  <c r="C66" i="8" s="1"/>
  <c r="I9" i="6"/>
  <c r="I53" i="6" s="1"/>
  <c r="C65" i="8" s="1"/>
  <c r="H9" i="6"/>
  <c r="H53" i="6" s="1"/>
  <c r="C64" i="8" s="1"/>
  <c r="G9" i="6"/>
  <c r="F9" i="6"/>
  <c r="F53" i="6" s="1"/>
  <c r="C62" i="8" s="1"/>
  <c r="E9" i="6"/>
  <c r="E53" i="6" s="1"/>
  <c r="C61" i="8" s="1"/>
  <c r="D9" i="6"/>
  <c r="D53" i="6" s="1"/>
  <c r="C60" i="8" s="1"/>
  <c r="C9" i="6"/>
  <c r="C53" i="6" s="1"/>
  <c r="C59" i="8" s="1"/>
  <c r="B9" i="6"/>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F5" i="4"/>
  <c r="E5" i="4"/>
  <c r="G5" i="4" s="1"/>
  <c r="M2" i="3"/>
  <c r="A28" i="2"/>
  <c r="A27" i="2"/>
  <c r="A26" i="2"/>
  <c r="A25" i="2"/>
  <c r="A24" i="2"/>
  <c r="A23" i="2"/>
  <c r="A22" i="2"/>
  <c r="A21" i="2"/>
  <c r="A20" i="2"/>
  <c r="A19" i="2"/>
  <c r="A18" i="2"/>
  <c r="A17" i="2"/>
  <c r="A16" i="2"/>
  <c r="A15" i="2"/>
  <c r="A14" i="2"/>
  <c r="A13" i="2"/>
  <c r="A12" i="2"/>
  <c r="A11" i="2"/>
  <c r="A10" i="2"/>
  <c r="F22" i="7"/>
  <c r="S344" i="9" l="1"/>
  <c r="I344" i="9" s="1"/>
  <c r="K344" i="9" s="1"/>
  <c r="S343" i="9"/>
  <c r="I343" i="9" s="1"/>
  <c r="L343" i="9"/>
  <c r="S339" i="9"/>
  <c r="I339" i="9" s="1"/>
  <c r="K339" i="9" s="1"/>
  <c r="S341" i="9"/>
  <c r="I341" i="9" s="1"/>
  <c r="S342" i="9"/>
  <c r="I342" i="9" s="1"/>
  <c r="K342" i="9" s="1"/>
  <c r="L341" i="9"/>
  <c r="S340" i="9"/>
  <c r="I340" i="9" s="1"/>
  <c r="L339" i="9"/>
  <c r="Y338" i="9"/>
  <c r="Z338" i="9" s="1"/>
  <c r="AA338" i="9" s="1"/>
  <c r="AB338" i="9" s="1"/>
  <c r="M92" i="6" s="1"/>
  <c r="S337" i="9"/>
  <c r="I337" i="9" s="1"/>
  <c r="K337" i="9" s="1"/>
  <c r="L337" i="9"/>
  <c r="M53" i="6"/>
  <c r="C69" i="8" s="1"/>
  <c r="N53" i="6"/>
  <c r="C70" i="8" s="1"/>
  <c r="S335" i="9"/>
  <c r="I335" i="9" s="1"/>
  <c r="K335" i="9" s="1"/>
  <c r="S338" i="9"/>
  <c r="I338" i="9" s="1"/>
  <c r="K338" i="9" s="1"/>
  <c r="S333" i="9"/>
  <c r="I333" i="9" s="1"/>
  <c r="K333" i="9" s="1"/>
  <c r="S336" i="9"/>
  <c r="I336" i="9" s="1"/>
  <c r="K336" i="9" s="1"/>
  <c r="L335" i="9"/>
  <c r="B53" i="6"/>
  <c r="C58" i="8" s="1"/>
  <c r="Z334" i="9"/>
  <c r="AA334" i="9" s="1"/>
  <c r="AB334" i="9" s="1"/>
  <c r="Y333" i="9"/>
  <c r="Z333" i="9" s="1"/>
  <c r="S334" i="9"/>
  <c r="I334" i="9" s="1"/>
  <c r="K334" i="9" s="1"/>
  <c r="L333" i="9"/>
  <c r="G53" i="6"/>
  <c r="C63" i="8" s="1"/>
  <c r="S331" i="9"/>
  <c r="I331" i="9" s="1"/>
  <c r="K331" i="9" s="1"/>
  <c r="S332" i="9"/>
  <c r="I332" i="9" s="1"/>
  <c r="L331" i="9"/>
  <c r="S329" i="9"/>
  <c r="I329" i="9" s="1"/>
  <c r="S330" i="9"/>
  <c r="I330" i="9" s="1"/>
  <c r="K330" i="9" s="1"/>
  <c r="L329" i="9"/>
  <c r="S328" i="9"/>
  <c r="I328" i="9" s="1"/>
  <c r="K328" i="9" s="1"/>
  <c r="E60" i="6"/>
  <c r="J61" i="8" s="1"/>
  <c r="S326" i="9"/>
  <c r="I326" i="9" s="1"/>
  <c r="S327" i="9"/>
  <c r="I327" i="9" s="1"/>
  <c r="K327" i="9" s="1"/>
  <c r="B60" i="6"/>
  <c r="J58" i="8" s="1"/>
  <c r="L326" i="9"/>
  <c r="L324" i="9"/>
  <c r="S325" i="9"/>
  <c r="I325" i="9" s="1"/>
  <c r="K325" i="9" s="1"/>
  <c r="S324" i="9"/>
  <c r="I324" i="9" s="1"/>
  <c r="S322" i="9"/>
  <c r="I322" i="9" s="1"/>
  <c r="K322" i="9" s="1"/>
  <c r="S323" i="9"/>
  <c r="I323" i="9" s="1"/>
  <c r="L322" i="9"/>
  <c r="D27" i="8"/>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K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K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F126" i="11"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F28" i="11" s="1"/>
  <c r="S47" i="9"/>
  <c r="I47" i="9" s="1"/>
  <c r="F43" i="11" s="1"/>
  <c r="S232" i="9"/>
  <c r="I232" i="9" s="1"/>
  <c r="K232" i="9" s="1"/>
  <c r="Q37" i="10"/>
  <c r="V14" i="9"/>
  <c r="S41" i="9"/>
  <c r="I41" i="9" s="1"/>
  <c r="K41" i="9" s="1"/>
  <c r="S124" i="9"/>
  <c r="I124" i="9" s="1"/>
  <c r="F81" i="11" s="1"/>
  <c r="B69" i="6"/>
  <c r="S58" i="8" s="1"/>
  <c r="G84" i="6"/>
  <c r="S74" i="9"/>
  <c r="I74" i="9" s="1"/>
  <c r="K74" i="9" s="1"/>
  <c r="G74" i="6"/>
  <c r="S100" i="9"/>
  <c r="I100" i="9" s="1"/>
  <c r="K100" i="9" s="1"/>
  <c r="L268" i="9"/>
  <c r="G80" i="6"/>
  <c r="Z5" i="9"/>
  <c r="AA5" i="9" s="1"/>
  <c r="AB5" i="9" s="1"/>
  <c r="U18" i="11"/>
  <c r="Z7" i="11"/>
  <c r="B27" i="4" s="1"/>
  <c r="B32" i="7"/>
  <c r="S191" i="9"/>
  <c r="I191" i="9" s="1"/>
  <c r="K191" i="9" s="1"/>
  <c r="E77" i="6"/>
  <c r="E82" i="6"/>
  <c r="G87" i="6"/>
  <c r="S20" i="9"/>
  <c r="I20" i="9" s="1"/>
  <c r="S66" i="9"/>
  <c r="I66" i="9" s="1"/>
  <c r="K66" i="9" s="1"/>
  <c r="Y132" i="9"/>
  <c r="Z132" i="9" s="1"/>
  <c r="S142" i="9"/>
  <c r="I142" i="9" s="1"/>
  <c r="F90" i="11" s="1"/>
  <c r="S155" i="9"/>
  <c r="I155" i="9" s="1"/>
  <c r="K155" i="9" s="1"/>
  <c r="Z226" i="9"/>
  <c r="G83" i="6"/>
  <c r="S83" i="6" s="1"/>
  <c r="S29" i="9"/>
  <c r="I29" i="9" s="1"/>
  <c r="K29" i="9" s="1"/>
  <c r="S126" i="9"/>
  <c r="I126" i="9" s="1"/>
  <c r="K126" i="9" s="1"/>
  <c r="L184" i="9"/>
  <c r="S245" i="9"/>
  <c r="I245" i="9" s="1"/>
  <c r="K245" i="9" s="1"/>
  <c r="I57" i="6"/>
  <c r="G65" i="8" s="1"/>
  <c r="E63" i="6"/>
  <c r="M61" i="8" s="1"/>
  <c r="S257" i="9"/>
  <c r="I257" i="9" s="1"/>
  <c r="F128" i="11"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K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AB123" i="9" s="1"/>
  <c r="U149"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F141" i="11" s="1"/>
  <c r="S299" i="9"/>
  <c r="I299" i="9" s="1"/>
  <c r="F149" i="11"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B52" i="6"/>
  <c r="B58" i="8" s="1"/>
  <c r="D23" i="8"/>
  <c r="L19" i="9"/>
  <c r="E37" i="11"/>
  <c r="L35" i="9"/>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S71" i="9"/>
  <c r="I71" i="9" s="1"/>
  <c r="E71" i="11"/>
  <c r="L104" i="9"/>
  <c r="Y43" i="9"/>
  <c r="Z43" i="9" s="1"/>
  <c r="L66" i="9"/>
  <c r="L69" i="9"/>
  <c r="Y91" i="9"/>
  <c r="L100" i="9"/>
  <c r="E77" i="11"/>
  <c r="L116" i="9"/>
  <c r="S65" i="9"/>
  <c r="I65" i="9" s="1"/>
  <c r="Y67" i="9"/>
  <c r="Z67" i="9" s="1"/>
  <c r="AA67" i="9" s="1"/>
  <c r="AB67" i="9" s="1"/>
  <c r="U69" i="9" s="1"/>
  <c r="S68" i="9"/>
  <c r="I68" i="9" s="1"/>
  <c r="L92" i="9"/>
  <c r="S98" i="9"/>
  <c r="I98" i="9" s="1"/>
  <c r="K106" i="9"/>
  <c r="L55" i="9"/>
  <c r="L60" i="9"/>
  <c r="L63" i="9"/>
  <c r="L76" i="9"/>
  <c r="Y87" i="9"/>
  <c r="Z87" i="9" s="1"/>
  <c r="AA87" i="9" s="1"/>
  <c r="AB87" i="9" s="1"/>
  <c r="U89" i="9" s="1"/>
  <c r="S62" i="9"/>
  <c r="I62" i="9" s="1"/>
  <c r="S75" i="9"/>
  <c r="I75" i="9" s="1"/>
  <c r="S78" i="9"/>
  <c r="I78" i="9" s="1"/>
  <c r="K78" i="9" s="1"/>
  <c r="Y90" i="9"/>
  <c r="Z90" i="9" s="1"/>
  <c r="S116" i="9"/>
  <c r="I116" i="9" s="1"/>
  <c r="L150" i="9"/>
  <c r="V119" i="9"/>
  <c r="S130" i="9"/>
  <c r="I130" i="9" s="1"/>
  <c r="E91" i="11"/>
  <c r="L144" i="9"/>
  <c r="S137" i="9"/>
  <c r="I137" i="9" s="1"/>
  <c r="K137" i="9" s="1"/>
  <c r="K142" i="9"/>
  <c r="Y125" i="9"/>
  <c r="Z125" i="9" s="1"/>
  <c r="S133" i="9"/>
  <c r="I133" i="9" s="1"/>
  <c r="K133" i="9" s="1"/>
  <c r="S135" i="9"/>
  <c r="I135" i="9" s="1"/>
  <c r="K135" i="9" s="1"/>
  <c r="E88" i="11"/>
  <c r="S206" i="9"/>
  <c r="I206" i="9" s="1"/>
  <c r="K206" i="9" s="1"/>
  <c r="S207" i="9"/>
  <c r="I207" i="9" s="1"/>
  <c r="K207" i="9" s="1"/>
  <c r="S205" i="9"/>
  <c r="I205" i="9" s="1"/>
  <c r="K205" i="9" s="1"/>
  <c r="S204" i="9"/>
  <c r="I204" i="9" s="1"/>
  <c r="L110" i="9"/>
  <c r="S127" i="9"/>
  <c r="I127" i="9" s="1"/>
  <c r="K127" i="9" s="1"/>
  <c r="L125" i="9"/>
  <c r="E85" i="11"/>
  <c r="L138" i="9"/>
  <c r="L108" i="9"/>
  <c r="Y127" i="9"/>
  <c r="Z127" i="9" s="1"/>
  <c r="AA127" i="9" s="1"/>
  <c r="AB127" i="9" s="1"/>
  <c r="U151" i="9" s="1"/>
  <c r="L130" i="9"/>
  <c r="E87" i="11"/>
  <c r="L114" i="9"/>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K252"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K283" i="9"/>
  <c r="L233" i="9"/>
  <c r="F138" i="11"/>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K299" i="9"/>
  <c r="Q17" i="11"/>
  <c r="R17" i="11" s="1"/>
  <c r="Q12" i="11"/>
  <c r="Q16" i="11"/>
  <c r="Q14" i="11"/>
  <c r="Y271" i="9"/>
  <c r="E120" i="11"/>
  <c r="L240" i="9"/>
  <c r="E127" i="11"/>
  <c r="L254" i="9"/>
  <c r="L271" i="9"/>
  <c r="E112" i="11"/>
  <c r="L222" i="9"/>
  <c r="E131" i="11"/>
  <c r="L262" i="9"/>
  <c r="R8" i="10"/>
  <c r="O7" i="11"/>
  <c r="AH7" i="11"/>
  <c r="H9" i="11"/>
  <c r="AH18" i="11"/>
  <c r="AG16" i="11"/>
  <c r="J20" i="11"/>
  <c r="O15" i="11"/>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R45" i="10" l="1"/>
  <c r="K343" i="9"/>
  <c r="F171" i="11"/>
  <c r="K257" i="9"/>
  <c r="K341" i="9"/>
  <c r="F170" i="11"/>
  <c r="F82" i="11"/>
  <c r="K340" i="9"/>
  <c r="F169" i="11"/>
  <c r="F167" i="11"/>
  <c r="F168" i="11"/>
  <c r="K136" i="9"/>
  <c r="F83" i="11"/>
  <c r="F69" i="11"/>
  <c r="AA337" i="9"/>
  <c r="AB337" i="9" s="1"/>
  <c r="N92" i="6" s="1"/>
  <c r="O19" i="11"/>
  <c r="F166" i="11"/>
  <c r="R41" i="10"/>
  <c r="K31" i="9"/>
  <c r="R34" i="10"/>
  <c r="AA333" i="9"/>
  <c r="AB333" i="9" s="1"/>
  <c r="U335" i="9"/>
  <c r="R38" i="10"/>
  <c r="AA130" i="9"/>
  <c r="AB130" i="9" s="1"/>
  <c r="U164" i="9" s="1"/>
  <c r="Y165" i="9" s="1"/>
  <c r="Z165" i="9" s="1"/>
  <c r="K332" i="9"/>
  <c r="F165" i="11"/>
  <c r="K329" i="9"/>
  <c r="F164" i="11"/>
  <c r="R37" i="10"/>
  <c r="K124" i="9"/>
  <c r="AC19" i="11"/>
  <c r="K69" i="9"/>
  <c r="K94" i="9"/>
  <c r="F39" i="11"/>
  <c r="AA122" i="9"/>
  <c r="AB122" i="9" s="1"/>
  <c r="U133" i="9" s="1"/>
  <c r="Z133" i="9" s="1"/>
  <c r="AA132" i="9" s="1"/>
  <c r="AB132" i="9" s="1"/>
  <c r="U137" i="9" s="1"/>
  <c r="V10" i="11"/>
  <c r="K326" i="9"/>
  <c r="F163" i="11"/>
  <c r="U326" i="9"/>
  <c r="K324" i="9"/>
  <c r="F162" i="11"/>
  <c r="K323" i="9"/>
  <c r="F161" i="11"/>
  <c r="F159" i="11"/>
  <c r="K321" i="9"/>
  <c r="F160" i="11"/>
  <c r="F158" i="11"/>
  <c r="F156" i="11"/>
  <c r="K315" i="9"/>
  <c r="F157" i="11"/>
  <c r="K97" i="9"/>
  <c r="K47" i="9"/>
  <c r="K242" i="9"/>
  <c r="K86" i="9"/>
  <c r="AA306" i="9"/>
  <c r="AB306" i="9" s="1"/>
  <c r="U308" i="9" s="1"/>
  <c r="K310" i="9"/>
  <c r="F155" i="11"/>
  <c r="K308" i="9"/>
  <c r="F154" i="11"/>
  <c r="K306" i="9"/>
  <c r="F153" i="11"/>
  <c r="K140" i="9"/>
  <c r="V12" i="11"/>
  <c r="K304" i="9"/>
  <c r="F152" i="11"/>
  <c r="R48" i="10"/>
  <c r="R39" i="10"/>
  <c r="F76" i="11"/>
  <c r="K268" i="9"/>
  <c r="K134" i="9"/>
  <c r="V14" i="11"/>
  <c r="K302" i="9"/>
  <c r="F151" i="11"/>
  <c r="F27" i="11"/>
  <c r="F78" i="11"/>
  <c r="F34" i="11"/>
  <c r="R36" i="10"/>
  <c r="C29" i="2"/>
  <c r="F135" i="11"/>
  <c r="K82" i="9"/>
  <c r="K88" i="9"/>
  <c r="R47" i="10"/>
  <c r="F44" i="11"/>
  <c r="F38" i="11"/>
  <c r="AC10" i="11"/>
  <c r="K122" i="9"/>
  <c r="S20" i="11"/>
  <c r="W20" i="11" s="1"/>
  <c r="R10" i="10"/>
  <c r="F30" i="11"/>
  <c r="W86" i="9"/>
  <c r="X86" i="9" s="1"/>
  <c r="K220" i="9"/>
  <c r="R44" i="10"/>
  <c r="F137" i="11"/>
  <c r="K248" i="9"/>
  <c r="Q9" i="6"/>
  <c r="K281" i="9"/>
  <c r="K104" i="9"/>
  <c r="AC18" i="11"/>
  <c r="C13" i="2"/>
  <c r="K42" i="9"/>
  <c r="F73" i="11"/>
  <c r="F109" i="11"/>
  <c r="C16" i="2"/>
  <c r="F117" i="11"/>
  <c r="F136" i="11"/>
  <c r="T17" i="11"/>
  <c r="K300" i="9"/>
  <c r="Y18" i="9"/>
  <c r="Z18" i="9" s="1"/>
  <c r="K291" i="9"/>
  <c r="K224" i="9"/>
  <c r="C19" i="2"/>
  <c r="AC16" i="1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Y336" i="9" l="1"/>
  <c r="Y335" i="9"/>
  <c r="Z335" i="9" s="1"/>
  <c r="U336" i="9"/>
  <c r="Y166" i="9"/>
  <c r="Y164" i="9"/>
  <c r="Z164" i="9" s="1"/>
  <c r="Y167" i="9"/>
  <c r="AA133" i="9"/>
  <c r="AB133" i="9" s="1"/>
  <c r="U148" i="9" s="1"/>
  <c r="Y151" i="9" s="1"/>
  <c r="Z151" i="9" s="1"/>
  <c r="AA151" i="9" s="1"/>
  <c r="AB151" i="9" s="1"/>
  <c r="U173" i="9" s="1"/>
  <c r="Y327" i="9"/>
  <c r="Z327" i="9" s="1"/>
  <c r="AA327" i="9" s="1"/>
  <c r="AB327" i="9" s="1"/>
  <c r="B99" i="6" s="1"/>
  <c r="Y328" i="9"/>
  <c r="Z328" i="9" s="1"/>
  <c r="AA328" i="9" s="1"/>
  <c r="AB328" i="9" s="1"/>
  <c r="E99" i="6" s="1"/>
  <c r="Y326" i="9"/>
  <c r="Z326" i="9" s="1"/>
  <c r="B17" i="4"/>
  <c r="Y308" i="9"/>
  <c r="Z308" i="9" s="1"/>
  <c r="Y309" i="9"/>
  <c r="Z309" i="9" s="1"/>
  <c r="AA309" i="9" s="1"/>
  <c r="AB309" i="9" s="1"/>
  <c r="U311" i="9"/>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Z336" i="9" l="1"/>
  <c r="AA336" i="9" s="1"/>
  <c r="AB336" i="9" s="1"/>
  <c r="G92" i="6" s="1"/>
  <c r="Y150" i="9"/>
  <c r="AA326" i="9"/>
  <c r="AB326" i="9" s="1"/>
  <c r="G99" i="6" s="1"/>
  <c r="P99" i="6" s="1"/>
  <c r="B18" i="2" s="1"/>
  <c r="D18" i="2" s="1"/>
  <c r="Y148" i="9"/>
  <c r="Z148" i="9" s="1"/>
  <c r="Y149" i="9"/>
  <c r="Z149" i="9" s="1"/>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AA335" i="9" l="1"/>
  <c r="AB335" i="9" s="1"/>
  <c r="B92" i="6" s="1"/>
  <c r="P92" i="6" s="1"/>
  <c r="B11" i="2" s="1"/>
  <c r="H6" i="4"/>
  <c r="H13" i="4"/>
  <c r="C18" i="2"/>
  <c r="Y310" i="9"/>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D11" i="2" l="1"/>
  <c r="C11" i="2"/>
  <c r="U317" i="9"/>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U318" i="9"/>
  <c r="Z318" i="9" s="1"/>
  <c r="AA318" i="9" s="1"/>
  <c r="AB318" i="9"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L109" i="6" l="1"/>
  <c r="U322" i="9"/>
  <c r="AA319" i="9"/>
  <c r="AB319" i="9"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U323" i="9" l="1"/>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323" i="9" l="1"/>
  <c r="Z323" i="9" s="1"/>
  <c r="Y322" i="9"/>
  <c r="Z322" i="9" s="1"/>
  <c r="AA322" i="9" s="1"/>
  <c r="AB322" i="9" s="1"/>
  <c r="Y109" i="9"/>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AA323" i="9" l="1"/>
  <c r="AB323" i="9" s="1"/>
  <c r="U324" i="9"/>
  <c r="T34" i="1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325" i="9" l="1"/>
  <c r="Y324" i="9"/>
  <c r="Z324" i="9" s="1"/>
  <c r="U325" i="9"/>
  <c r="Y120" i="9"/>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Z325" i="9" l="1"/>
  <c r="AA325" i="9" s="1"/>
  <c r="AB325" i="9" s="1"/>
  <c r="U320" i="9"/>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U330" i="9" l="1"/>
  <c r="AA324" i="9"/>
  <c r="AB324" i="9" s="1"/>
  <c r="Z320" i="9"/>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U329" i="9" l="1"/>
  <c r="AA320" i="9"/>
  <c r="AB320" i="9" s="1"/>
  <c r="AA321" i="9"/>
  <c r="AB321" i="9"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U340" i="9" l="1"/>
  <c r="U339" i="9"/>
  <c r="Y329" i="9"/>
  <c r="Z329" i="9" s="1"/>
  <c r="Y330" i="9"/>
  <c r="Z330" i="9" s="1"/>
  <c r="AA330" i="9" s="1"/>
  <c r="AB330" i="9" s="1"/>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Y340" i="9" l="1"/>
  <c r="Z340" i="9" s="1"/>
  <c r="Y339" i="9"/>
  <c r="Z339" i="9" s="1"/>
  <c r="AA339" i="9" s="1"/>
  <c r="AB339" i="9" s="1"/>
  <c r="U332" i="9"/>
  <c r="AA329" i="9"/>
  <c r="AB329" i="9" s="1"/>
  <c r="AA273" i="9"/>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V20" i="9"/>
  <c r="U341" i="9" l="1"/>
  <c r="AA340" i="9"/>
  <c r="AB340" i="9" s="1"/>
  <c r="Y331" i="9"/>
  <c r="Y332" i="9"/>
  <c r="Z332" i="9" s="1"/>
  <c r="U331" i="9"/>
  <c r="Q19" i="9"/>
  <c r="V19" i="9"/>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Y342" i="9" l="1"/>
  <c r="Y341" i="9"/>
  <c r="Z341" i="9" s="1"/>
  <c r="U342" i="9"/>
  <c r="Z331" i="9"/>
  <c r="AA331" i="9" s="1"/>
  <c r="AB331" i="9" s="1"/>
  <c r="G109" i="6" s="1"/>
  <c r="AA83" i="9"/>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AA341" i="9" l="1"/>
  <c r="AB341" i="9" s="1"/>
  <c r="Z342" i="9"/>
  <c r="AA342" i="9" s="1"/>
  <c r="AB342" i="9" s="1"/>
  <c r="AA332" i="9"/>
  <c r="AB332" i="9" s="1"/>
  <c r="B109" i="6" s="1"/>
  <c r="P109" i="6" s="1"/>
  <c r="B28" i="2" s="1"/>
  <c r="H23" i="4"/>
  <c r="Y85" i="9"/>
  <c r="Z85" i="9" s="1"/>
  <c r="Y84" i="9"/>
  <c r="Z84" i="9" s="1"/>
  <c r="M33" i="9"/>
  <c r="N33" i="9" s="1"/>
  <c r="M34" i="9"/>
  <c r="N34" i="9" s="1"/>
  <c r="AA265" i="9"/>
  <c r="AB265" i="9" s="1"/>
  <c r="U267" i="9" s="1"/>
  <c r="AA264" i="9"/>
  <c r="AB264" i="9" s="1"/>
  <c r="U266" i="9" s="1"/>
  <c r="Y185" i="9"/>
  <c r="Z185" i="9" s="1"/>
  <c r="M20" i="9"/>
  <c r="N20" i="9" s="1"/>
  <c r="Y186" i="9"/>
  <c r="Z278" i="9"/>
  <c r="M19" i="9"/>
  <c r="Y184" i="9"/>
  <c r="Z184" i="9" s="1"/>
  <c r="Z175" i="9"/>
  <c r="AA175" i="9" s="1"/>
  <c r="AB175" i="9" s="1"/>
  <c r="U193" i="9" s="1"/>
  <c r="Z174" i="9"/>
  <c r="Y187" i="9"/>
  <c r="U344" i="9" l="1"/>
  <c r="U343" i="9"/>
  <c r="D28" i="2"/>
  <c r="C28" i="2"/>
  <c r="AA172" i="9"/>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344" i="9" l="1"/>
  <c r="Z344" i="9" s="1"/>
  <c r="AA344" i="9" s="1"/>
  <c r="AB344" i="9" s="1"/>
  <c r="B103" i="6" s="1"/>
  <c r="E23" i="8" s="1"/>
  <c r="Y343" i="9"/>
  <c r="Z343" i="9" s="1"/>
  <c r="AA343" i="9" s="1"/>
  <c r="AB343" i="9" s="1"/>
  <c r="G103" i="6" s="1"/>
  <c r="Y281" i="9"/>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H17" i="4" l="1"/>
  <c r="P103" i="6"/>
  <c r="B22" i="2" s="1"/>
  <c r="AA177" i="9"/>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D22" i="2" l="1"/>
  <c r="C22" i="2"/>
  <c r="Y283" i="9"/>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U303" i="9" l="1"/>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Y96" i="9" l="1"/>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P166" i="9"/>
  <c r="P165" i="9"/>
  <c r="Q165" i="9" s="1"/>
  <c r="P164" i="9"/>
  <c r="Q164" i="9" s="1"/>
  <c r="P167" i="9"/>
  <c r="V164" i="9"/>
  <c r="J123" i="9"/>
  <c r="M123" i="9" s="1"/>
  <c r="N123" i="9" s="1"/>
  <c r="J122" i="9"/>
  <c r="M122" i="9" s="1"/>
  <c r="N122" i="9" s="1"/>
  <c r="M170" i="11" l="1"/>
  <c r="M171" i="11"/>
  <c r="M168" i="11"/>
  <c r="M169" i="11"/>
  <c r="M167" i="11"/>
  <c r="M166" i="11"/>
  <c r="M164" i="11"/>
  <c r="M165" i="11"/>
  <c r="M162" i="11"/>
  <c r="M163" i="11"/>
  <c r="M160" i="11"/>
  <c r="M161" i="11"/>
  <c r="M158" i="1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J190" i="9"/>
  <c r="M190" i="9" s="1"/>
  <c r="N190" i="9" s="1"/>
  <c r="J189" i="9"/>
  <c r="M189" i="9" s="1"/>
  <c r="N189" i="9" s="1"/>
  <c r="J188" i="9"/>
  <c r="M188" i="9" s="1"/>
  <c r="N188" i="9" s="1"/>
  <c r="H337" i="9" l="1"/>
  <c r="W167" i="11"/>
  <c r="W166" i="11"/>
  <c r="W164" i="11"/>
  <c r="W165" i="11"/>
  <c r="W162" i="11"/>
  <c r="W163" i="11"/>
  <c r="W160" i="11"/>
  <c r="W161" i="11"/>
  <c r="W158" i="11"/>
  <c r="W159" i="11"/>
  <c r="W156" i="11"/>
  <c r="W157" i="11"/>
  <c r="W153" i="11"/>
  <c r="W155" i="11"/>
  <c r="W154" i="11"/>
  <c r="W151" i="11"/>
  <c r="W152" i="11"/>
  <c r="Q103" i="11"/>
  <c r="H194" i="9"/>
  <c r="U103" i="11"/>
  <c r="H195" i="9"/>
  <c r="L104" i="11"/>
  <c r="L106" i="11"/>
  <c r="L103" i="11"/>
  <c r="L105" i="11"/>
  <c r="H205" i="9"/>
  <c r="W146" i="11"/>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338" i="9" l="1"/>
  <c r="P337" i="9"/>
  <c r="Q337" i="9" s="1"/>
  <c r="V337" i="9"/>
  <c r="V205" i="9"/>
  <c r="P207" i="9"/>
  <c r="P205" i="9"/>
  <c r="Q205" i="9" s="1"/>
  <c r="P204" i="9"/>
  <c r="Q204" i="9" s="1"/>
  <c r="P206" i="9"/>
  <c r="V195" i="9"/>
  <c r="X195" i="9" s="1"/>
  <c r="J195" i="9" s="1"/>
  <c r="M195" i="9" s="1"/>
  <c r="N195" i="9" s="1"/>
  <c r="Q195" i="9"/>
  <c r="V194" i="9"/>
  <c r="X194" i="9" s="1"/>
  <c r="Q194" i="9"/>
  <c r="W338" i="9" l="1"/>
  <c r="W337" i="9"/>
  <c r="X337" i="9" s="1"/>
  <c r="U105" i="11"/>
  <c r="U107" i="11"/>
  <c r="U104" i="11"/>
  <c r="U106" i="11"/>
  <c r="H211" i="9"/>
  <c r="J192" i="9"/>
  <c r="M192" i="9" s="1"/>
  <c r="N192" i="9" s="1"/>
  <c r="J193" i="9"/>
  <c r="M193" i="9" s="1"/>
  <c r="N193" i="9" s="1"/>
  <c r="J194" i="9"/>
  <c r="M194" i="9" s="1"/>
  <c r="N194" i="9" s="1"/>
  <c r="W207" i="9"/>
  <c r="W206" i="9"/>
  <c r="W205" i="9"/>
  <c r="X205" i="9" s="1"/>
  <c r="W204" i="9"/>
  <c r="X204" i="9" s="1"/>
  <c r="P104" i="11" l="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H328" i="9" s="1"/>
  <c r="J218" i="9"/>
  <c r="M218" i="9" s="1"/>
  <c r="N218" i="9" s="1"/>
  <c r="V328" i="9" l="1"/>
  <c r="N162" i="11"/>
  <c r="N160" i="11"/>
  <c r="N161" i="11"/>
  <c r="N158" i="11"/>
  <c r="N159" i="11"/>
  <c r="N156" i="11"/>
  <c r="N157" i="11"/>
  <c r="N153" i="11"/>
  <c r="N155" i="11"/>
  <c r="N154" i="11"/>
  <c r="N151" i="11"/>
  <c r="N152" i="11"/>
  <c r="V247" i="9"/>
  <c r="P110" i="11"/>
  <c r="P112" i="11"/>
  <c r="P111" i="11"/>
  <c r="H226" i="9"/>
  <c r="N145" i="11"/>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Q112" i="11"/>
  <c r="Q113" i="11"/>
  <c r="H228" i="9"/>
  <c r="H338" i="9" l="1"/>
  <c r="V167" i="11"/>
  <c r="V166" i="11"/>
  <c r="V164" i="11"/>
  <c r="V165" i="11"/>
  <c r="V162" i="11"/>
  <c r="V163" i="11"/>
  <c r="V160" i="11"/>
  <c r="V161" i="11"/>
  <c r="V158" i="11"/>
  <c r="V159" i="11"/>
  <c r="V156" i="11"/>
  <c r="V157" i="11"/>
  <c r="V153" i="11"/>
  <c r="V155" i="11"/>
  <c r="V154" i="11"/>
  <c r="V151" i="11"/>
  <c r="V152" i="11"/>
  <c r="V228" i="9"/>
  <c r="X228" i="9" s="1"/>
  <c r="Q228" i="9"/>
  <c r="V146" i="11"/>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V226" i="9"/>
  <c r="X226" i="9" s="1"/>
  <c r="Q226" i="9"/>
  <c r="V338" i="9" l="1"/>
  <c r="X338" i="9" s="1"/>
  <c r="Q338" i="9"/>
  <c r="J226" i="9"/>
  <c r="M226" i="9" s="1"/>
  <c r="N226" i="9" s="1"/>
  <c r="J224" i="9"/>
  <c r="M224" i="9" s="1"/>
  <c r="N224" i="9" s="1"/>
  <c r="J228" i="9"/>
  <c r="M228" i="9" s="1"/>
  <c r="N228" i="9" s="1"/>
  <c r="J227" i="9"/>
  <c r="M227" i="9" s="1"/>
  <c r="N227" i="9" s="1"/>
  <c r="W240" i="9"/>
  <c r="X240" i="9" s="1"/>
  <c r="W241" i="9"/>
  <c r="J338" i="9" l="1"/>
  <c r="M338" i="9" s="1"/>
  <c r="N338" i="9" s="1"/>
  <c r="V171" i="11" s="1"/>
  <c r="J337" i="9"/>
  <c r="M337" i="9" s="1"/>
  <c r="N337" i="9" s="1"/>
  <c r="W171" i="11" s="1"/>
  <c r="V168" i="11"/>
  <c r="B13" i="12"/>
  <c r="U114" i="11"/>
  <c r="H229" i="9"/>
  <c r="Q114" i="11"/>
  <c r="H230" i="9"/>
  <c r="R117" i="11"/>
  <c r="R114" i="11"/>
  <c r="R116" i="11"/>
  <c r="R113" i="11"/>
  <c r="R115" i="11"/>
  <c r="H235" i="9"/>
  <c r="P115" i="11"/>
  <c r="P117" i="11"/>
  <c r="P114" i="11"/>
  <c r="P116" i="11"/>
  <c r="P118" i="11"/>
  <c r="P113" i="11"/>
  <c r="H238" i="9"/>
  <c r="W169" i="11" l="1"/>
  <c r="W170" i="11"/>
  <c r="V169" i="11"/>
  <c r="V170" i="11"/>
  <c r="B14" i="12"/>
  <c r="W168" i="11"/>
  <c r="O2" i="12"/>
  <c r="B18" i="11"/>
  <c r="S18" i="11" s="1"/>
  <c r="W18" i="11" s="1"/>
  <c r="F82" i="6"/>
  <c r="V238" i="9"/>
  <c r="V230" i="9"/>
  <c r="P229" i="9"/>
  <c r="Q229" i="9" s="1"/>
  <c r="P230" i="9"/>
  <c r="Q230" i="9" s="1"/>
  <c r="V229" i="9"/>
  <c r="P235" i="9"/>
  <c r="Q235" i="9" s="1"/>
  <c r="P236" i="9"/>
  <c r="Q236" i="9" s="1"/>
  <c r="V235" i="9"/>
  <c r="P2" i="12" l="1"/>
  <c r="B19" i="11"/>
  <c r="S19" i="11" s="1"/>
  <c r="W19" i="11" s="1"/>
  <c r="F83" i="6"/>
  <c r="W236" i="9"/>
  <c r="X236" i="9" s="1"/>
  <c r="W235" i="9"/>
  <c r="X235" i="9" s="1"/>
  <c r="W230" i="9"/>
  <c r="X230" i="9" s="1"/>
  <c r="W229" i="9"/>
  <c r="X229" i="9" s="1"/>
  <c r="J229" i="9" l="1"/>
  <c r="M229" i="9" s="1"/>
  <c r="N229" i="9" s="1"/>
  <c r="J230" i="9"/>
  <c r="M230" i="9" s="1"/>
  <c r="N230" i="9" s="1"/>
  <c r="J236" i="9"/>
  <c r="M236" i="9" s="1"/>
  <c r="N236" i="9" s="1"/>
  <c r="J235" i="9"/>
  <c r="M235" i="9" s="1"/>
  <c r="N235" i="9" s="1"/>
  <c r="T170" i="11" l="1"/>
  <c r="T171" i="11"/>
  <c r="T168" i="11"/>
  <c r="T169" i="11"/>
  <c r="T166" i="11"/>
  <c r="T167" i="11"/>
  <c r="T164" i="11"/>
  <c r="T165" i="11"/>
  <c r="T162" i="11"/>
  <c r="T163" i="11"/>
  <c r="T160" i="11"/>
  <c r="T161" i="11"/>
  <c r="T158" i="1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W16" i="11"/>
  <c r="J238" i="9"/>
  <c r="M238" i="9" s="1"/>
  <c r="N238" i="9" s="1"/>
  <c r="Q170" i="11" l="1"/>
  <c r="Q171" i="11"/>
  <c r="Q168" i="11"/>
  <c r="Q169" i="11"/>
  <c r="Q167" i="11"/>
  <c r="Q166" i="11"/>
  <c r="Q164" i="11"/>
  <c r="Q165" i="11"/>
  <c r="Q162" i="11"/>
  <c r="Q163" i="11"/>
  <c r="Q160" i="11"/>
  <c r="Q161" i="11"/>
  <c r="Q158" i="1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70" i="11" l="1"/>
  <c r="L171" i="11"/>
  <c r="L168" i="11"/>
  <c r="L169" i="11"/>
  <c r="L167" i="11"/>
  <c r="L166" i="11"/>
  <c r="L164" i="11"/>
  <c r="L165" i="11"/>
  <c r="L162" i="11"/>
  <c r="L163" i="11"/>
  <c r="L160" i="11"/>
  <c r="L161" i="11"/>
  <c r="L158" i="1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70" i="11" l="1"/>
  <c r="S171" i="11"/>
  <c r="S168" i="11"/>
  <c r="S169" i="11"/>
  <c r="S167" i="11"/>
  <c r="S166" i="11"/>
  <c r="S164" i="11"/>
  <c r="S165" i="11"/>
  <c r="S162" i="11"/>
  <c r="S163" i="11"/>
  <c r="S160" i="11"/>
  <c r="S161" i="11"/>
  <c r="S158" i="1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J265" i="9"/>
  <c r="M265" i="9" s="1"/>
  <c r="N265" i="9" s="1"/>
  <c r="J264" i="9"/>
  <c r="M264" i="9" s="1"/>
  <c r="N264" i="9" s="1"/>
  <c r="O170" i="11" l="1"/>
  <c r="O171" i="11"/>
  <c r="O168" i="11"/>
  <c r="O169" i="11"/>
  <c r="O167" i="11"/>
  <c r="O166" i="11"/>
  <c r="O164" i="11"/>
  <c r="O165" i="11"/>
  <c r="O162" i="11"/>
  <c r="O163" i="11"/>
  <c r="O160" i="11"/>
  <c r="O161" i="11"/>
  <c r="O158" i="1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J294" i="9"/>
  <c r="M294" i="9" s="1"/>
  <c r="N294" i="9" s="1"/>
  <c r="R170" i="11" l="1"/>
  <c r="R171" i="11"/>
  <c r="R168" i="11"/>
  <c r="R169" i="11"/>
  <c r="R167" i="11"/>
  <c r="R166" i="11"/>
  <c r="R164" i="11"/>
  <c r="R165" i="11"/>
  <c r="R162" i="11"/>
  <c r="R163" i="11"/>
  <c r="R160" i="11"/>
  <c r="R161" i="11"/>
  <c r="R158" i="1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70" i="11" l="1"/>
  <c r="U171" i="11"/>
  <c r="U168" i="11"/>
  <c r="U169" i="11"/>
  <c r="U165" i="11"/>
  <c r="U166" i="11"/>
  <c r="U167" i="11"/>
  <c r="U163" i="11"/>
  <c r="U164" i="11"/>
  <c r="U161" i="11"/>
  <c r="U162" i="11"/>
  <c r="U159" i="1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9" i="11"/>
  <c r="AI8" i="11"/>
  <c r="P306" i="9" l="1"/>
  <c r="Q306" i="9" s="1"/>
  <c r="P307" i="9"/>
  <c r="Q307" i="9" s="1"/>
  <c r="V306" i="9"/>
  <c r="G25" i="11"/>
  <c r="M19" i="11" s="1"/>
  <c r="M7" i="11"/>
  <c r="M17" i="11"/>
  <c r="M18" i="11"/>
  <c r="M14" i="11"/>
  <c r="W307" i="9" l="1"/>
  <c r="X307" i="9" s="1"/>
  <c r="J307" i="9" s="1"/>
  <c r="M307" i="9" s="1"/>
  <c r="N307" i="9" s="1"/>
  <c r="W306" i="9"/>
  <c r="X306" i="9" s="1"/>
  <c r="M10" i="11"/>
  <c r="M9" i="11"/>
  <c r="M16" i="11"/>
  <c r="M13" i="11"/>
  <c r="M12" i="11"/>
  <c r="M15" i="11"/>
  <c r="M8" i="11"/>
  <c r="M11" i="11"/>
  <c r="M20" i="11"/>
  <c r="I25" i="11"/>
  <c r="J306" i="9" l="1"/>
  <c r="M306" i="9" s="1"/>
  <c r="N306" i="9" s="1"/>
  <c r="H308" i="9" s="1"/>
  <c r="P309" i="9" s="1"/>
  <c r="H309" i="9"/>
  <c r="K153" i="11"/>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V308" i="9" l="1"/>
  <c r="P308" i="9"/>
  <c r="Q308" i="9" s="1"/>
  <c r="W308" i="9"/>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W311" i="9"/>
  <c r="X311" i="9" s="1"/>
  <c r="J311" i="9" s="1"/>
  <c r="M311" i="9" s="1"/>
  <c r="N311" i="9" s="1"/>
  <c r="H313" i="9" s="1"/>
  <c r="R50" i="10"/>
  <c r="J310" i="9" l="1"/>
  <c r="M310" i="9" s="1"/>
  <c r="N310" i="9" s="1"/>
  <c r="H312" i="9" s="1"/>
  <c r="P313" i="9"/>
  <c r="Q313" i="9" s="1"/>
  <c r="P312" i="9"/>
  <c r="V313" i="9"/>
  <c r="K155" i="1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W320" i="9"/>
  <c r="X320" i="9" s="1"/>
  <c r="J320" i="9" s="1"/>
  <c r="M320" i="9" s="1"/>
  <c r="J321" i="9" l="1"/>
  <c r="M321" i="9" s="1"/>
  <c r="N321" i="9" s="1"/>
  <c r="H323" i="9"/>
  <c r="N320" i="9"/>
  <c r="K160" i="11"/>
  <c r="P160" i="11"/>
  <c r="P323" i="9" l="1"/>
  <c r="Q323" i="9" s="1"/>
  <c r="P322" i="9"/>
  <c r="V323" i="9"/>
  <c r="H322" i="9"/>
  <c r="W323" i="9" l="1"/>
  <c r="X323" i="9" s="1"/>
  <c r="W322" i="9"/>
  <c r="Q322" i="9"/>
  <c r="V322" i="9"/>
  <c r="J323" i="9" l="1"/>
  <c r="M323" i="9" s="1"/>
  <c r="N323" i="9" s="1"/>
  <c r="X322" i="9"/>
  <c r="J322" i="9" s="1"/>
  <c r="M322" i="9" s="1"/>
  <c r="N322" i="9" s="1"/>
  <c r="H325" i="9" l="1"/>
  <c r="H324" i="9"/>
  <c r="K161" i="11"/>
  <c r="P161" i="11"/>
  <c r="P325" i="9" l="1"/>
  <c r="Q325" i="9" s="1"/>
  <c r="P324" i="9"/>
  <c r="Q324" i="9" s="1"/>
  <c r="V325" i="9"/>
  <c r="V324" i="9"/>
  <c r="W325" i="9" l="1"/>
  <c r="X325" i="9" s="1"/>
  <c r="J325" i="9" s="1"/>
  <c r="M325" i="9" s="1"/>
  <c r="N325" i="9" s="1"/>
  <c r="W324" i="9"/>
  <c r="X324" i="9" s="1"/>
  <c r="J324" i="9" l="1"/>
  <c r="M324" i="9" s="1"/>
  <c r="N324" i="9" s="1"/>
  <c r="P162" i="11" s="1"/>
  <c r="H327" i="9"/>
  <c r="K162" i="11"/>
  <c r="V327" i="9" l="1"/>
  <c r="H326" i="9"/>
  <c r="P328" i="9" l="1"/>
  <c r="Q328" i="9" s="1"/>
  <c r="P326" i="9"/>
  <c r="Q326" i="9" s="1"/>
  <c r="P327" i="9"/>
  <c r="Q327" i="9" s="1"/>
  <c r="V326" i="9"/>
  <c r="W326" i="9" l="1"/>
  <c r="X326" i="9" s="1"/>
  <c r="W327" i="9"/>
  <c r="X327" i="9" s="1"/>
  <c r="J327" i="9" s="1"/>
  <c r="M327" i="9" s="1"/>
  <c r="N327" i="9" s="1"/>
  <c r="W328" i="9"/>
  <c r="X328" i="9" s="1"/>
  <c r="J328" i="9" s="1"/>
  <c r="M328" i="9" s="1"/>
  <c r="N328" i="9" s="1"/>
  <c r="N170" i="11" l="1"/>
  <c r="N171" i="11"/>
  <c r="J326" i="9"/>
  <c r="M326" i="9" s="1"/>
  <c r="N168" i="11"/>
  <c r="N169" i="11"/>
  <c r="N167" i="11"/>
  <c r="N166" i="11"/>
  <c r="N164" i="11"/>
  <c r="N165" i="11"/>
  <c r="H330" i="9"/>
  <c r="N326" i="9"/>
  <c r="K163" i="11"/>
  <c r="N163" i="11"/>
  <c r="B5" i="12"/>
  <c r="P163" i="11"/>
  <c r="V330" i="9" l="1"/>
  <c r="H329" i="9"/>
  <c r="G2" i="12"/>
  <c r="B10" i="11"/>
  <c r="S10" i="11" s="1"/>
  <c r="F86" i="6"/>
  <c r="S86" i="6" s="1"/>
  <c r="P330" i="9" l="1"/>
  <c r="Q330" i="9" s="1"/>
  <c r="P329" i="9"/>
  <c r="Q329" i="9" s="1"/>
  <c r="V329" i="9"/>
  <c r="W10" i="11"/>
  <c r="AI10" i="11"/>
  <c r="W329" i="9" l="1"/>
  <c r="X329" i="9" s="1"/>
  <c r="W330" i="9"/>
  <c r="X330" i="9" s="1"/>
  <c r="J330" i="9" s="1"/>
  <c r="M330" i="9" s="1"/>
  <c r="N330" i="9" s="1"/>
  <c r="J329" i="9" l="1"/>
  <c r="M329" i="9" s="1"/>
  <c r="N329" i="9" s="1"/>
  <c r="P164" i="11" s="1"/>
  <c r="H332" i="9"/>
  <c r="K164" i="11"/>
  <c r="P332" i="9" l="1"/>
  <c r="Q332" i="9" s="1"/>
  <c r="P331" i="9"/>
  <c r="V332" i="9"/>
  <c r="H331" i="9"/>
  <c r="W331" i="9" l="1"/>
  <c r="W332" i="9"/>
  <c r="X332" i="9" s="1"/>
  <c r="Q331" i="9"/>
  <c r="V331" i="9"/>
  <c r="J332" i="9" l="1"/>
  <c r="M332" i="9" s="1"/>
  <c r="N332" i="9" s="1"/>
  <c r="H334" i="9" s="1"/>
  <c r="X331" i="9"/>
  <c r="J331" i="9" s="1"/>
  <c r="M331" i="9" s="1"/>
  <c r="N331" i="9" s="1"/>
  <c r="H333" i="9" s="1"/>
  <c r="P334" i="9" l="1"/>
  <c r="Q334" i="9" s="1"/>
  <c r="P333" i="9"/>
  <c r="Q333" i="9" s="1"/>
  <c r="V333" i="9"/>
  <c r="V334" i="9"/>
  <c r="K165" i="11"/>
  <c r="P165" i="11"/>
  <c r="W334" i="9" l="1"/>
  <c r="X334" i="9" s="1"/>
  <c r="J334" i="9" s="1"/>
  <c r="M334" i="9" s="1"/>
  <c r="N334" i="9" s="1"/>
  <c r="H335" i="9" s="1"/>
  <c r="W333" i="9"/>
  <c r="X333" i="9" s="1"/>
  <c r="J333" i="9" s="1"/>
  <c r="M333" i="9" s="1"/>
  <c r="P336" i="9" l="1"/>
  <c r="P335" i="9"/>
  <c r="Q335" i="9" s="1"/>
  <c r="V335" i="9"/>
  <c r="N333" i="9"/>
  <c r="H336" i="9" s="1"/>
  <c r="K166" i="11"/>
  <c r="V336" i="9" l="1"/>
  <c r="W336" i="9"/>
  <c r="X336" i="9" s="1"/>
  <c r="J336" i="9" s="1"/>
  <c r="M336" i="9" s="1"/>
  <c r="N336" i="9" s="1"/>
  <c r="H339" i="9" s="1"/>
  <c r="W335" i="9"/>
  <c r="X335" i="9" s="1"/>
  <c r="J335" i="9" s="1"/>
  <c r="M335" i="9" s="1"/>
  <c r="Q336" i="9"/>
  <c r="P166" i="11"/>
  <c r="V339" i="9" l="1"/>
  <c r="P168" i="11"/>
  <c r="P167" i="11"/>
  <c r="N335" i="9"/>
  <c r="H340" i="9" s="1"/>
  <c r="P340" i="9" l="1"/>
  <c r="Q340" i="9" s="1"/>
  <c r="P339" i="9"/>
  <c r="Q339" i="9" s="1"/>
  <c r="V340" i="9"/>
  <c r="K168" i="11"/>
  <c r="K167" i="11"/>
  <c r="W340" i="9" l="1"/>
  <c r="X340" i="9" s="1"/>
  <c r="J340" i="9" s="1"/>
  <c r="M340" i="9" s="1"/>
  <c r="W339" i="9"/>
  <c r="X339" i="9" s="1"/>
  <c r="J339" i="9" s="1"/>
  <c r="M339" i="9" s="1"/>
  <c r="N339" i="9" s="1"/>
  <c r="H341" i="9" s="1"/>
  <c r="P341" i="9" l="1"/>
  <c r="Q341" i="9" s="1"/>
  <c r="P342" i="9"/>
  <c r="V341" i="9"/>
  <c r="N340" i="9"/>
  <c r="H342" i="9" s="1"/>
  <c r="P169" i="11"/>
  <c r="K169" i="11"/>
  <c r="W342" i="9" l="1"/>
  <c r="W341" i="9"/>
  <c r="X341" i="9" s="1"/>
  <c r="Q342" i="9"/>
  <c r="V342" i="9"/>
  <c r="J341" i="9" l="1"/>
  <c r="M341" i="9" s="1"/>
  <c r="N341" i="9" s="1"/>
  <c r="H343" i="9" s="1"/>
  <c r="P170" i="11"/>
  <c r="X342" i="9"/>
  <c r="J342" i="9" s="1"/>
  <c r="M342" i="9" s="1"/>
  <c r="N342" i="9" s="1"/>
  <c r="H344" i="9" s="1"/>
  <c r="P343" i="9" l="1"/>
  <c r="Q343" i="9" s="1"/>
  <c r="P344" i="9"/>
  <c r="Q344" i="9" s="1"/>
  <c r="V344" i="9"/>
  <c r="V343" i="9"/>
  <c r="K170" i="11"/>
  <c r="W344" i="9" l="1"/>
  <c r="X344" i="9" s="1"/>
  <c r="J344" i="9" s="1"/>
  <c r="M344" i="9" s="1"/>
  <c r="N344" i="9" s="1"/>
  <c r="W343" i="9"/>
  <c r="X343" i="9" s="1"/>
  <c r="J343" i="9" s="1"/>
  <c r="M343" i="9" s="1"/>
  <c r="H19" i="7" l="1"/>
  <c r="C19" i="7" s="1"/>
  <c r="B18" i="7"/>
  <c r="H18" i="7"/>
  <c r="E18" i="7" s="1"/>
  <c r="B19" i="7"/>
  <c r="N343" i="9"/>
  <c r="H17" i="7" s="1"/>
  <c r="B2" i="12"/>
  <c r="B7" i="11" s="1"/>
  <c r="S7" i="11" s="1"/>
  <c r="K171" i="11"/>
  <c r="P171" i="11"/>
  <c r="B7" i="12"/>
  <c r="B17" i="7"/>
  <c r="D18" i="7" l="1"/>
  <c r="F18" i="7"/>
  <c r="D19" i="7"/>
  <c r="E19" i="7"/>
  <c r="C18" i="7"/>
  <c r="F19" i="7"/>
  <c r="D2" i="12"/>
  <c r="F79" i="6"/>
  <c r="S79" i="6" s="1"/>
  <c r="D17" i="7"/>
  <c r="C17" i="7"/>
  <c r="F17" i="7" s="1"/>
  <c r="E17" i="7"/>
  <c r="B12" i="11"/>
  <c r="I2" i="12"/>
  <c r="F80" i="6"/>
  <c r="S80" i="6" s="1"/>
  <c r="AI7" i="11"/>
  <c r="W7" i="11"/>
  <c r="C4" i="6" l="1"/>
  <c r="A6" i="2" s="1"/>
  <c r="S12" i="11"/>
  <c r="E20" i="11"/>
  <c r="D9" i="11"/>
  <c r="L9" i="11" s="1"/>
  <c r="D12" i="11"/>
  <c r="L12" i="11" s="1"/>
  <c r="D15" i="11"/>
  <c r="L15" i="11" s="1"/>
  <c r="C19" i="8"/>
  <c r="A5" i="8"/>
  <c r="D13" i="11"/>
  <c r="L13" i="11" s="1"/>
  <c r="E16" i="11"/>
  <c r="B17" i="8"/>
  <c r="E19" i="11"/>
  <c r="E17" i="11"/>
  <c r="D16" i="11"/>
  <c r="L16" i="11" s="1"/>
  <c r="E8" i="11"/>
  <c r="E14" i="11"/>
  <c r="E15" i="11"/>
  <c r="E7" i="11"/>
  <c r="B18" i="8"/>
  <c r="D17" i="11"/>
  <c r="L17" i="11" s="1"/>
  <c r="C18" i="8"/>
  <c r="D14" i="11"/>
  <c r="L14" i="11" s="1"/>
  <c r="D8" i="11"/>
  <c r="L8" i="11" s="1"/>
  <c r="D18" i="8"/>
  <c r="E9" i="11"/>
  <c r="D19" i="11"/>
  <c r="L19" i="11" s="1"/>
  <c r="D19" i="8"/>
  <c r="D18" i="11"/>
  <c r="L18" i="11" s="1"/>
  <c r="D11" i="11"/>
  <c r="L11" i="11" s="1"/>
  <c r="E12" i="11"/>
  <c r="B15" i="4" s="1"/>
  <c r="B19" i="8"/>
  <c r="E11" i="11"/>
  <c r="D20" i="11"/>
  <c r="L20" i="11" s="1"/>
  <c r="E18" i="11"/>
  <c r="E13" i="11"/>
  <c r="C17" i="8"/>
  <c r="D7" i="11"/>
  <c r="L7" i="11" s="1"/>
  <c r="E10" i="11"/>
  <c r="D10" i="11"/>
  <c r="L10" i="11" s="1"/>
  <c r="C6" i="12"/>
  <c r="C11" i="11" s="1"/>
  <c r="AA11" i="11" s="1"/>
  <c r="C8" i="12"/>
  <c r="C13" i="11" s="1"/>
  <c r="AA13" i="11" s="1"/>
  <c r="C15" i="12"/>
  <c r="C20" i="11" s="1"/>
  <c r="AA20" i="11" s="1"/>
  <c r="C12" i="12"/>
  <c r="C17" i="11" s="1"/>
  <c r="AA17" i="11" s="1"/>
  <c r="C14" i="12"/>
  <c r="C19" i="11" s="1"/>
  <c r="AA19" i="11" s="1"/>
  <c r="C11" i="12"/>
  <c r="C16" i="11" s="1"/>
  <c r="AA16" i="11" s="1"/>
  <c r="C5" i="12"/>
  <c r="C10" i="11" s="1"/>
  <c r="AA10" i="11" s="1"/>
  <c r="C7" i="12"/>
  <c r="C12" i="11" s="1"/>
  <c r="C13" i="12"/>
  <c r="C18" i="11" s="1"/>
  <c r="AA18" i="11" s="1"/>
  <c r="C3" i="12"/>
  <c r="C8" i="11" s="1"/>
  <c r="AA8" i="11" s="1"/>
  <c r="C10" i="12"/>
  <c r="C15" i="11" s="1"/>
  <c r="AA15" i="11" s="1"/>
  <c r="C4" i="12"/>
  <c r="C9" i="11" s="1"/>
  <c r="AA9" i="11" s="1"/>
  <c r="C9" i="12"/>
  <c r="C14" i="11" s="1"/>
  <c r="AA14" i="11" s="1"/>
  <c r="C2" i="12"/>
  <c r="C7" i="11" s="1"/>
  <c r="AA7" i="11" s="1"/>
  <c r="A5" i="2" l="1"/>
  <c r="B28" i="7" s="1"/>
  <c r="B12" i="4"/>
  <c r="AA12" i="11"/>
  <c r="B28" i="4" s="1"/>
  <c r="A8" i="8"/>
  <c r="W12" i="11"/>
  <c r="B24" i="4" s="1"/>
  <c r="AI12" i="11"/>
  <c r="B5" i="3" l="1"/>
  <c r="B14" i="3"/>
  <c r="B18" i="3"/>
  <c r="B9" i="3"/>
  <c r="B8" i="3"/>
  <c r="B17" i="3"/>
  <c r="B10" i="3"/>
  <c r="B16" i="3"/>
  <c r="B12" i="3"/>
  <c r="B7" i="3"/>
  <c r="B6" i="3"/>
  <c r="B11" i="3"/>
  <c r="B13" i="3"/>
  <c r="B15" i="3"/>
  <c r="S15" i="3" l="1"/>
  <c r="K15" i="3"/>
  <c r="Y18" i="11" s="1"/>
  <c r="C15" i="3"/>
  <c r="U15" i="3" s="1"/>
  <c r="E15" i="3"/>
  <c r="R15" i="3"/>
  <c r="H15" i="3"/>
  <c r="M15" i="3"/>
  <c r="O15" i="3"/>
  <c r="X15" i="3"/>
  <c r="J15" i="3"/>
  <c r="Q15" i="3"/>
  <c r="D15" i="3"/>
  <c r="I15" i="3"/>
  <c r="T15" i="3"/>
  <c r="V15" i="3"/>
  <c r="P15" i="3"/>
  <c r="J11" i="3"/>
  <c r="E11" i="3"/>
  <c r="H11" i="3"/>
  <c r="T11" i="3"/>
  <c r="R11" i="3"/>
  <c r="C11" i="3"/>
  <c r="U11" i="3" s="1"/>
  <c r="O11" i="3"/>
  <c r="D11" i="3"/>
  <c r="M11" i="3"/>
  <c r="K11" i="3"/>
  <c r="P11" i="3"/>
  <c r="Q11" i="3"/>
  <c r="S11" i="3"/>
  <c r="X11" i="3"/>
  <c r="I11" i="3"/>
  <c r="V11" i="3"/>
  <c r="T6" i="3"/>
  <c r="S6" i="3"/>
  <c r="I6" i="3"/>
  <c r="C6" i="3"/>
  <c r="U6" i="3" s="1"/>
  <c r="Q6" i="3"/>
  <c r="K6" i="3"/>
  <c r="Y11" i="11" s="1"/>
  <c r="O6" i="3"/>
  <c r="M6" i="3"/>
  <c r="P6" i="3"/>
  <c r="R6" i="3"/>
  <c r="V6" i="3"/>
  <c r="X6" i="3"/>
  <c r="E6" i="3"/>
  <c r="H6" i="3"/>
  <c r="D6" i="3"/>
  <c r="J6" i="3"/>
  <c r="H7" i="3"/>
  <c r="J7" i="3"/>
  <c r="C7" i="3"/>
  <c r="U7" i="3" s="1"/>
  <c r="M7" i="3"/>
  <c r="V7" i="3"/>
  <c r="D7" i="3"/>
  <c r="AD13" i="11" s="1"/>
  <c r="Q7" i="3"/>
  <c r="K7" i="3"/>
  <c r="E7" i="3"/>
  <c r="R7" i="3"/>
  <c r="S7" i="3"/>
  <c r="X7" i="3"/>
  <c r="O7" i="3"/>
  <c r="P7" i="3"/>
  <c r="I7" i="3"/>
  <c r="T7" i="3"/>
  <c r="P12" i="3"/>
  <c r="C12" i="3"/>
  <c r="U12" i="3" s="1"/>
  <c r="I12" i="3"/>
  <c r="J12" i="3"/>
  <c r="R12" i="3"/>
  <c r="T12" i="3"/>
  <c r="K12" i="3"/>
  <c r="V12" i="3"/>
  <c r="D12" i="3"/>
  <c r="Q12" i="3"/>
  <c r="H12" i="3"/>
  <c r="S12" i="3"/>
  <c r="E12" i="3"/>
  <c r="X12" i="3"/>
  <c r="M12" i="3"/>
  <c r="O12" i="3"/>
  <c r="E16" i="3"/>
  <c r="Q16" i="3"/>
  <c r="K16" i="3"/>
  <c r="Y20" i="11" s="1"/>
  <c r="D16" i="3"/>
  <c r="R16" i="3"/>
  <c r="V16" i="3"/>
  <c r="X16" i="3"/>
  <c r="P16" i="3"/>
  <c r="O16" i="3"/>
  <c r="J16" i="3"/>
  <c r="T16" i="3"/>
  <c r="S16" i="3"/>
  <c r="I16" i="3"/>
  <c r="M16" i="3"/>
  <c r="H16" i="3"/>
  <c r="C16" i="3"/>
  <c r="U16" i="3" s="1"/>
  <c r="T17" i="3"/>
  <c r="S17" i="3"/>
  <c r="X17" i="3"/>
  <c r="Q17" i="3"/>
  <c r="K17" i="3"/>
  <c r="Y10" i="11" s="1"/>
  <c r="V17" i="3"/>
  <c r="I17" i="3"/>
  <c r="D17" i="3"/>
  <c r="M17" i="3"/>
  <c r="E17" i="3"/>
  <c r="P17" i="3"/>
  <c r="C17" i="3"/>
  <c r="U17" i="3" s="1"/>
  <c r="J17" i="3"/>
  <c r="O17" i="3"/>
  <c r="R17" i="3"/>
  <c r="H17" i="3"/>
  <c r="K8" i="3"/>
  <c r="D8" i="3"/>
  <c r="J8" i="3"/>
  <c r="O8" i="3"/>
  <c r="R8" i="3"/>
  <c r="E8" i="3"/>
  <c r="M8" i="3"/>
  <c r="I8" i="3"/>
  <c r="H8" i="3"/>
  <c r="C8" i="3"/>
  <c r="U8" i="3" s="1"/>
  <c r="Q8" i="3"/>
  <c r="V8" i="3"/>
  <c r="T8" i="3"/>
  <c r="X8" i="3"/>
  <c r="P8" i="3"/>
  <c r="S8" i="3"/>
  <c r="Q9" i="3"/>
  <c r="C9" i="3"/>
  <c r="U9" i="3" s="1"/>
  <c r="E9" i="3"/>
  <c r="J9" i="3"/>
  <c r="T9" i="3"/>
  <c r="H9" i="3"/>
  <c r="O9" i="3"/>
  <c r="V9" i="3"/>
  <c r="S9" i="3"/>
  <c r="R9" i="3"/>
  <c r="I9" i="3"/>
  <c r="M9" i="3"/>
  <c r="P9" i="3"/>
  <c r="K9" i="3"/>
  <c r="X9" i="3"/>
  <c r="D9" i="3"/>
  <c r="E18" i="3"/>
  <c r="M18" i="3"/>
  <c r="O18" i="3"/>
  <c r="V18" i="3"/>
  <c r="C18" i="3"/>
  <c r="U18" i="3" s="1"/>
  <c r="S18" i="3"/>
  <c r="I18" i="3"/>
  <c r="H18" i="3"/>
  <c r="T18" i="3"/>
  <c r="X18" i="3"/>
  <c r="K18" i="3"/>
  <c r="R18" i="3"/>
  <c r="P18" i="3"/>
  <c r="Q18" i="3"/>
  <c r="J18" i="3"/>
  <c r="D18" i="3"/>
  <c r="M13" i="3"/>
  <c r="O13" i="3"/>
  <c r="S13" i="3"/>
  <c r="E13" i="3"/>
  <c r="Q13" i="3"/>
  <c r="D13" i="3"/>
  <c r="H13" i="3"/>
  <c r="J13" i="3"/>
  <c r="P13" i="3"/>
  <c r="I13" i="3"/>
  <c r="X13" i="3"/>
  <c r="T13" i="3"/>
  <c r="K13" i="3"/>
  <c r="C13" i="3"/>
  <c r="U13" i="3" s="1"/>
  <c r="R13" i="3"/>
  <c r="V13" i="3"/>
  <c r="AD20" i="11"/>
  <c r="AF20" i="11" s="1"/>
  <c r="M10" i="3"/>
  <c r="S10" i="3"/>
  <c r="T10" i="3"/>
  <c r="K10" i="3"/>
  <c r="E10" i="3"/>
  <c r="O10" i="3"/>
  <c r="C10" i="3"/>
  <c r="U10" i="3" s="1"/>
  <c r="V10" i="3"/>
  <c r="P10" i="3"/>
  <c r="R10" i="3"/>
  <c r="X10" i="3"/>
  <c r="D10" i="3"/>
  <c r="H10" i="3"/>
  <c r="Q10" i="3"/>
  <c r="J10" i="3"/>
  <c r="I10" i="3"/>
  <c r="R14" i="3"/>
  <c r="S14" i="3"/>
  <c r="O14" i="3"/>
  <c r="P14" i="3"/>
  <c r="C14" i="3"/>
  <c r="U14" i="3" s="1"/>
  <c r="Q14" i="3"/>
  <c r="X14" i="3"/>
  <c r="H14" i="3"/>
  <c r="J14" i="3"/>
  <c r="E14" i="3"/>
  <c r="D14" i="3"/>
  <c r="K14" i="3"/>
  <c r="AE12" i="11" s="1"/>
  <c r="M14" i="3"/>
  <c r="I14" i="3"/>
  <c r="V14" i="3"/>
  <c r="T14" i="3"/>
  <c r="AD19" i="11"/>
  <c r="I5" i="3"/>
  <c r="K5" i="3"/>
  <c r="R5" i="3"/>
  <c r="T5" i="3"/>
  <c r="T2" i="3" s="1"/>
  <c r="C5" i="3"/>
  <c r="E5" i="3"/>
  <c r="M5" i="3"/>
  <c r="H5" i="3"/>
  <c r="J5" i="3"/>
  <c r="B5" i="4"/>
  <c r="Q5" i="3"/>
  <c r="X5" i="3"/>
  <c r="D5" i="3"/>
  <c r="O5" i="3"/>
  <c r="P5" i="3"/>
  <c r="S5" i="3"/>
  <c r="V5" i="3"/>
  <c r="AD8" i="11" l="1"/>
  <c r="AE8" i="11"/>
  <c r="AE18" i="11"/>
  <c r="Y14" i="11"/>
  <c r="AE7" i="11"/>
  <c r="Y7" i="11"/>
  <c r="Y13" i="11"/>
  <c r="AD7" i="11"/>
  <c r="L7" i="3"/>
  <c r="G7" i="3"/>
  <c r="F7" i="3"/>
  <c r="B6" i="4"/>
  <c r="Y12" i="11"/>
  <c r="B26" i="4" s="1"/>
  <c r="AD11" i="11"/>
  <c r="G6" i="3"/>
  <c r="X11" i="11" s="1"/>
  <c r="AB11" i="11" s="1"/>
  <c r="F6" i="3"/>
  <c r="L6" i="3"/>
  <c r="G8" i="3"/>
  <c r="L8" i="3"/>
  <c r="F8" i="3"/>
  <c r="AE20" i="11"/>
  <c r="AE13" i="11"/>
  <c r="G13" i="3"/>
  <c r="L13" i="3"/>
  <c r="F13" i="3"/>
  <c r="AD16" i="11"/>
  <c r="F18" i="3"/>
  <c r="L18" i="3"/>
  <c r="G18" i="3"/>
  <c r="X16" i="11" s="1"/>
  <c r="AD17" i="11"/>
  <c r="G9" i="3"/>
  <c r="L9" i="3"/>
  <c r="F9" i="3"/>
  <c r="Y8" i="11"/>
  <c r="AE11" i="11"/>
  <c r="Y9" i="11"/>
  <c r="AE9" i="11"/>
  <c r="AE14" i="11"/>
  <c r="G17" i="3"/>
  <c r="X10" i="11" s="1"/>
  <c r="AB10" i="11" s="1"/>
  <c r="L17" i="3"/>
  <c r="F17" i="3"/>
  <c r="AD18" i="11"/>
  <c r="G15" i="3"/>
  <c r="F15" i="3"/>
  <c r="L15" i="3"/>
  <c r="G10" i="3"/>
  <c r="F10" i="3"/>
  <c r="L10" i="3"/>
  <c r="B11" i="4"/>
  <c r="F12" i="3"/>
  <c r="G12" i="3"/>
  <c r="L12" i="3"/>
  <c r="G11" i="3"/>
  <c r="F11" i="3"/>
  <c r="L11" i="3"/>
  <c r="AD14" i="11"/>
  <c r="Y17" i="11"/>
  <c r="AE17" i="11"/>
  <c r="AE10" i="11"/>
  <c r="G16" i="3"/>
  <c r="X20" i="11" s="1"/>
  <c r="AB20" i="11" s="1"/>
  <c r="L16" i="3"/>
  <c r="F16" i="3"/>
  <c r="B8" i="4" s="1"/>
  <c r="F14" i="3"/>
  <c r="G14" i="3"/>
  <c r="L14" i="3"/>
  <c r="B16" i="4" s="1"/>
  <c r="AD12" i="11"/>
  <c r="N11" i="3"/>
  <c r="N7" i="3"/>
  <c r="U5" i="3"/>
  <c r="N16" i="3"/>
  <c r="N17" i="3"/>
  <c r="N13" i="3"/>
  <c r="N15" i="3"/>
  <c r="B33" i="7"/>
  <c r="N18" i="3"/>
  <c r="N9" i="3"/>
  <c r="N12" i="3"/>
  <c r="N8" i="3"/>
  <c r="N5" i="3"/>
  <c r="N6" i="3"/>
  <c r="N14" i="3"/>
  <c r="N10" i="3"/>
  <c r="AE16" i="11"/>
  <c r="Y16" i="11"/>
  <c r="B10" i="4"/>
  <c r="AE15" i="11"/>
  <c r="Y15" i="11"/>
  <c r="C22" i="7"/>
  <c r="B31" i="7"/>
  <c r="B22" i="7"/>
  <c r="AE19" i="11"/>
  <c r="Y19" i="11"/>
  <c r="AD15" i="11"/>
  <c r="L5" i="3"/>
  <c r="B21" i="7"/>
  <c r="B30" i="7"/>
  <c r="A10" i="8"/>
  <c r="C21" i="7"/>
  <c r="F21" i="7" s="1"/>
  <c r="G5" i="3"/>
  <c r="X15" i="11" s="1"/>
  <c r="F5" i="3"/>
  <c r="AD10" i="11"/>
  <c r="AD9" i="11"/>
  <c r="X8" i="11" l="1"/>
  <c r="X17" i="11"/>
  <c r="AB17" i="11" s="1"/>
  <c r="AB16" i="11"/>
  <c r="X9" i="11"/>
  <c r="AB9" i="11" s="1"/>
  <c r="AF9" i="11" s="1"/>
  <c r="X19" i="11"/>
  <c r="AB19" i="11" s="1"/>
  <c r="AF19" i="11" s="1"/>
  <c r="AF16" i="11"/>
  <c r="W18" i="3" s="1"/>
  <c r="X14" i="11"/>
  <c r="AB14" i="11" s="1"/>
  <c r="AF14" i="11" s="1"/>
  <c r="W11" i="3" s="1"/>
  <c r="AF10" i="11"/>
  <c r="W17" i="3" s="1"/>
  <c r="AB15" i="11"/>
  <c r="AF15" i="11" s="1"/>
  <c r="W5" i="3" s="1"/>
  <c r="AB8" i="11"/>
  <c r="AF8" i="11" s="1"/>
  <c r="X7" i="11"/>
  <c r="AB7" i="11" s="1"/>
  <c r="AF7" i="11" s="1"/>
  <c r="X13" i="11"/>
  <c r="AB13" i="11" s="1"/>
  <c r="AF13" i="11" s="1"/>
  <c r="AF17" i="11"/>
  <c r="AF11" i="11"/>
  <c r="W6" i="3" s="1"/>
  <c r="X18" i="11"/>
  <c r="AB18" i="11" s="1"/>
  <c r="AF18" i="11" s="1"/>
  <c r="W15" i="3" s="1"/>
  <c r="B9" i="4"/>
  <c r="X12" i="11"/>
  <c r="A3" i="3"/>
  <c r="W9" i="3" l="1"/>
  <c r="B25" i="4"/>
  <c r="AB12" i="11"/>
  <c r="W7" i="3"/>
  <c r="W12" i="3"/>
  <c r="W10" i="3"/>
  <c r="W16" i="3"/>
  <c r="AF12" i="11" l="1"/>
  <c r="B23" i="4"/>
  <c r="W13" i="3" l="1"/>
  <c r="W8" i="3"/>
  <c r="W14" i="3"/>
  <c r="B7" i="4"/>
</calcChain>
</file>

<file path=xl/sharedStrings.xml><?xml version="1.0" encoding="utf-8"?>
<sst xmlns="http://schemas.openxmlformats.org/spreadsheetml/2006/main" count="1956" uniqueCount="447">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</sst>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Dylan A</v>
      </c>
      <c r="C11" s="30">
        <f>IF(OR($B11="—",$B11=""),"",ROUND(MAX('Sport Records'!$B$92:$O$92),0))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13</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1024</v>
      </c>
      <c r="D28" s="30" t="str">
        <f>IF(OR($B28="—",$B28=""),"—",COUNTIFS('Match Log'!$D$4:$D$810,$B28,'Match Log'!$C$4:$C$810,$A28,'Match Log'!$E$4:$E$810,"Win")&amp;"–"&amp;(COUNTIFS('Match Log'!$D$4:$D$810,$B28,'Match Log'!$C$4:$C$810,$A28)-COUNTIFS('Match Log'!$D$4:$D$810,$B28,'Match Log'!$C$4:$C$810,$A28,'Match Log'!$E$4:$E$810,"Win")))</f>
        <v>6–3</v>
      </c>
      <c r="E28" s="30">
        <f>'Sport Records'!$P$26</f>
        <v>13</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147  ·  11 Jul 2026</v>
      </c>
      <c r="T2" s="44" t="str">
        <f>IF(COUNTIF($T$5:$T$18,"At risk")+COUNTIF($T$5:$T$18,"Inactive")=0,"Inactivity watch:  all players active ✓","⚠ Inactivity watch:  "&amp;(COUNTIF($T$5:$T$18,"At risk")+COUNTIF($T$5:$T$18,"Inactive"))&amp;" player(s) need a game — see Activity column")</f>
        <v>⚠ Inactivity watch:  6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1053.8373197066285</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3.6</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Josh</v>
      </c>
      <c r="C6" s="48">
        <f>INDEX(Engine!$B$2:$B$15,MATCH($B6,Engine!$A$2:$A$15,0))+SUMIF('Poker Stake Ledger'!$C$18:$C$137,$B6,'Poker Stake Ledger'!$K$18:$K$137)</f>
        <v>1129.7012289075892</v>
      </c>
      <c r="D6" s="49">
        <f>COUNTIF('Match Log'!$D$4:$D$810,$B6)</f>
        <v>32</v>
      </c>
      <c r="E6" s="49">
        <f>COUNTIFS('Match Log'!$D$4:$D$810,$B6,'Match Log'!$E$4:$E$810,"Win")</f>
        <v>20</v>
      </c>
      <c r="F6" s="49">
        <f>$D6-$E6</f>
        <v>12</v>
      </c>
      <c r="G6" s="50">
        <f>IF($D6=0,"",$E6/$D6)</f>
        <v>0.625</v>
      </c>
      <c r="H6" s="51">
        <f>SUMIF('Match Log'!$D$4:$D$810,$B6,'Match Log'!$J$4:$J$810)</f>
        <v>36.229836962054236</v>
      </c>
      <c r="I6" s="51">
        <f>SUMIF('Match Log'!$D$4:$D$810,$B6,'Match Log'!$K$4:$K$810)</f>
        <v>51.471391945534876</v>
      </c>
      <c r="J6" s="51">
        <f>SUMIF('Match Log'!$D$4:$D$810,$B6,'Match Log'!$L$4:$L$810)</f>
        <v>42</v>
      </c>
      <c r="K6" s="49">
        <f>SUMPRODUCT(--(COUNTIFS('Match Log'!$D$4:$D$810,$B6,'Match Log'!$C$4:$C$810,Lists!$C$2:$C$21)&gt;0))</f>
        <v>8</v>
      </c>
      <c r="L6" s="49" t="str">
        <f>IF($D6=0,"No games",IF(AND($D6&gt;='Guide &amp; Settings'!$C$45,$K6&gt;='Guide &amp; Settings'!$C$46),"Eligible","Provisional"))</f>
        <v>Eligible</v>
      </c>
      <c r="M6" s="48">
        <f>IFERROR(INDEX(Calcs!$C$7:$C$20,MATCH($B6,Calcs!$A$7:$A$20,0)),"")</f>
        <v>1049.8493408791915</v>
      </c>
      <c r="N6" s="48">
        <f>MAX($C$5:$C$18)-$C6</f>
        <v>38.510114693154947</v>
      </c>
      <c r="O6" s="49" t="str">
        <f>IFERROR(INDEX(Calcs!$H$7:$H$20,MATCH($B6,Calcs!$A$7:$A$20,0)),"")</f>
        <v>L1</v>
      </c>
      <c r="P6" s="49" t="str">
        <f>IFERROR(INDEX(Calcs!$I$7:$I$20,MATCH($B6,Calcs!$A$7:$A$20,0)),"")</f>
        <v>LLWWL</v>
      </c>
      <c r="Q6" s="49" t="str">
        <f>IFERROR(IF(INDEX(Calcs!$L$7:$L$20,MATCH($B6,Calcs!$A$7:$A$20,0))&gt;0,"▲"&amp;INDEX(Calcs!$L$7:$L$20,MATCH($B6,Calcs!$A$7:$A$20,0)),IF(INDEX(Calcs!$L$7:$L$20,MATCH($B6,Calcs!$A$7:$A$20,0))&lt;0,"▼"&amp;ABS(INDEX(Calcs!$L$7:$L$20,MATCH($B6,Calcs!$A$7:$A$20,0))),"–")),"")</f>
        <v>▲1</v>
      </c>
      <c r="R6" s="49" t="str">
        <f>IFERROR(IF(INDEX(Calcs!$P$7:$P$20,MATCH($B6,Calcs!$A$7:$A$20,0))=0,"—",TEXT(INDEX(Calcs!$P$7:$P$20,MATCH($B6,Calcs!$A$7:$A$20,0)),"d mmm")),"")</f>
        <v>26 Jun</v>
      </c>
      <c r="S6" s="49">
        <f>IFERROR(ROUND(INDEX(Calcs!$Q$7:$Q$20,MATCH($B6,Calcs!$A$7:$A$20,0)),1),"")</f>
        <v>2.1</v>
      </c>
      <c r="T6" s="49" t="str">
        <f>IFERROR(INDEX(Calcs!$T$7:$T$20,MATCH($B6,Calcs!$A$7:$A$20,0)),"")</f>
        <v>At risk</v>
      </c>
      <c r="U6">
        <f>IFERROR(MAX(0,ROUND($C6-INDEX(Calcs!$S$7:$S$20,MATCH($B6,Calcs!$A$7:$A$20,0)),0)),0)</f>
        <v>0</v>
      </c>
      <c r="V6" s="51">
        <f>IFERROR(ROUND(INDEX(Calcs!$S$7:$S$20,MATCH($B6,Calcs!$A$7:$A$20,0)),0),"")</f>
        <v>1130</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Simon</v>
      </c>
      <c r="C7" s="48">
        <f>INDEX(Engine!$B$2:$B$15,MATCH($B7,Engine!$A$2:$A$15,0))+SUMIF('Poker Stake Ledger'!$C$18:$C$137,$B7,'Poker Stake Ledger'!$K$18:$K$137)</f>
        <v>1084.8903813508514</v>
      </c>
      <c r="D7" s="49">
        <f>COUNTIF('Match Log'!$D$4:$D$810,$B7)</f>
        <v>17</v>
      </c>
      <c r="E7" s="49">
        <f>COUNTIFS('Match Log'!$D$4:$D$810,$B7,'Match Log'!$E$4:$E$810,"Win")</f>
        <v>10</v>
      </c>
      <c r="F7" s="49">
        <f>$D7-$E7</f>
        <v>7</v>
      </c>
      <c r="G7" s="50">
        <f>IF($D7=0,"",$E7/$D7)</f>
        <v>0.58823529411764708</v>
      </c>
      <c r="H7" s="51">
        <f>SUMIF('Match Log'!$D$4:$D$810,$B7,'Match Log'!$J$4:$J$810)</f>
        <v>19.980017009183754</v>
      </c>
      <c r="I7" s="51">
        <f>SUMIF('Match Log'!$D$4:$D$810,$B7,'Match Log'!$K$4:$K$810)</f>
        <v>28.910364341667837</v>
      </c>
      <c r="J7" s="51">
        <f>SUMIF('Match Log'!$D$4:$D$810,$B7,'Match Log'!$L$4:$L$810)</f>
        <v>36</v>
      </c>
      <c r="K7" s="49">
        <f>SUMPRODUCT(--(COUNTIFS('Match Log'!$D$4:$D$810,$B7,'Match Log'!$C$4:$C$810,Lists!$C$2:$C$21)&gt;0))</f>
        <v>4</v>
      </c>
      <c r="L7" s="49" t="str">
        <f>IF($D7=0,"No games",IF(AND($D7&gt;='Guide &amp; Settings'!$C$45,$K7&gt;='Guide &amp; Settings'!$C$46),"Eligible","Provisional"))</f>
        <v>Eligible</v>
      </c>
      <c r="M7" s="48">
        <f>IFERROR(INDEX(Calcs!$C$7:$C$20,MATCH($B7,Calcs!$A$7:$A$20,0)),"")</f>
        <v>1053.8858913691661</v>
      </c>
      <c r="N7" s="48">
        <f>MAX($C$5:$C$18)-$C7</f>
        <v>83.320962249892773</v>
      </c>
      <c r="O7" s="49" t="str">
        <f>IFERROR(INDEX(Calcs!$H$7:$H$20,MATCH($B7,Calcs!$A$7:$A$20,0)),"")</f>
        <v>L3</v>
      </c>
      <c r="P7" s="49" t="str">
        <f>IFERROR(INDEX(Calcs!$I$7:$I$20,MATCH($B7,Calcs!$A$7:$A$20,0)),"")</f>
        <v>WWLLL</v>
      </c>
      <c r="Q7" s="49" t="str">
        <f>IFERROR(IF(INDEX(Calcs!$L$7:$L$20,MATCH($B7,Calcs!$A$7:$A$20,0))&gt;0,"▲"&amp;INDEX(Calcs!$L$7:$L$20,MATCH($B7,Calcs!$A$7:$A$20,0)),IF(INDEX(Calcs!$L$7:$L$20,MATCH($B7,Calcs!$A$7:$A$20,0))&lt;0,"▼"&amp;ABS(INDEX(Calcs!$L$7:$L$20,MATCH($B7,Calcs!$A$7:$A$20,0))),"–")),"")</f>
        <v>▲2</v>
      </c>
      <c r="R7" s="49" t="str">
        <f>IFERROR(IF(INDEX(Calcs!$P$7:$P$20,MATCH($B7,Calcs!$A$7:$A$20,0))=0,"—",TEXT(INDEX(Calcs!$P$7:$P$20,MATCH($B7,Calcs!$A$7:$A$20,0)),"d mmm")),"")</f>
        <v>15 Jun</v>
      </c>
      <c r="S7" s="49">
        <f>IFERROR(ROUND(INDEX(Calcs!$Q$7:$Q$20,MATCH($B7,Calcs!$A$7:$A$20,0)),1),"")</f>
        <v>3.7</v>
      </c>
      <c r="T7" s="49" t="str">
        <f>IFERROR(INDEX(Calcs!$T$7:$T$20,MATCH($B7,Calcs!$A$7:$A$20,0)),"")</f>
        <v>At risk</v>
      </c>
      <c r="U7">
        <f>IFERROR(MAX(0,ROUND($C7-INDEX(Calcs!$S$7:$S$20,MATCH($B7,Calcs!$A$7:$A$20,0)),0)),0)</f>
        <v>0</v>
      </c>
      <c r="V7" s="51">
        <f>IFERROR(ROUND(INDEX(Calcs!$S$7:$S$20,MATCH($B7,Calcs!$A$7:$A$20,0)),0),"")</f>
        <v>1085</v>
      </c>
      <c r="W7" s="49" t="str">
        <f>IFERROR(INDEX(Calcs!$AF$7:$AF$20,MATCH($B7,Calcs!$A$7:$A$20,0)),"")</f>
        <v>Strong</v>
      </c>
      <c r="X7" s="51">
        <f>IFERROR(ROUND(SUMIF('Poker Stake Ledger'!$C$18:$C$137,$B7,'Poker Stake Ledger'!$K$18:$K$137),1),0)</f>
        <v>0</v>
      </c>
    </row>
    <row r="8" spans="1:24" ht="15" customHeight="1" x14ac:dyDescent="0.2">
      <c r="A8" s="46">
        <f>ROW()-4</f>
        <v>4</v>
      </c>
      <c r="B8" s="47" t="str">
        <f>IFERROR(INDEX(Calcs!$A$7:$A$20,MATCH(LARGE(Calcs!$AI$7:$AI$20,ROW()-4),Calcs!$AI$7:$AI$20,0)),"")</f>
        <v>Shawn</v>
      </c>
      <c r="C8" s="48">
        <f>INDEX(Engine!$B$2:$B$15,MATCH($B8,Engine!$A$2:$A$15,0))+SUMIF('Poker Stake Ledger'!$C$18:$C$137,$B8,'Poker Stake Ledger'!$K$18:$K$137)</f>
        <v>1083.5128925537913</v>
      </c>
      <c r="D8" s="49">
        <f>COUNTIF('Match Log'!$D$4:$D$810,$B8)</f>
        <v>69</v>
      </c>
      <c r="E8" s="49">
        <f>COUNTIFS('Match Log'!$D$4:$D$810,$B8,'Match Log'!$E$4:$E$810,"Win")</f>
        <v>32</v>
      </c>
      <c r="F8" s="49">
        <f>$D8-$E8</f>
        <v>37</v>
      </c>
      <c r="G8" s="50">
        <f>IF($D8=0,"",$E8/$D8)</f>
        <v>0.46376811594202899</v>
      </c>
      <c r="H8" s="51">
        <f>SUMIF('Match Log'!$D$4:$D$810,$B8,'Match Log'!$J$4:$J$810)</f>
        <v>37.087813002708941</v>
      </c>
      <c r="I8" s="51">
        <f>SUMIF('Match Log'!$D$4:$D$810,$B8,'Match Log'!$K$4:$K$810)</f>
        <v>-1.5749204489176432</v>
      </c>
      <c r="J8" s="51">
        <f>SUMIF('Match Log'!$D$4:$D$810,$B8,'Match Log'!$L$4:$L$810)</f>
        <v>48</v>
      </c>
      <c r="K8" s="49">
        <f>SUMPRODUCT(--(COUNTIFS('Match Log'!$D$4:$D$810,$B8,'Match Log'!$C$4:$C$810,Lists!$C$2:$C$21)&gt;0))</f>
        <v>10</v>
      </c>
      <c r="L8" s="49" t="str">
        <f>IF($D8=0,"No games",IF(AND($D8&gt;='Guide &amp; Settings'!$C$45,$K8&gt;='Guide &amp; Settings'!$C$46),"Eligible","Provisional"))</f>
        <v>Eligible</v>
      </c>
      <c r="M8" s="48">
        <f>IFERROR(INDEX(Calcs!$C$7:$C$20,MATCH($B8,Calcs!$A$7:$A$20,0)),"")</f>
        <v>1066.2651883848898</v>
      </c>
      <c r="N8" s="48">
        <f>MAX($C$5:$C$18)-$C8</f>
        <v>84.698451046952869</v>
      </c>
      <c r="O8" s="49" t="str">
        <f>IFERROR(INDEX(Calcs!$H$7:$H$20,MATCH($B8,Calcs!$A$7:$A$20,0)),"")</f>
        <v>W2</v>
      </c>
      <c r="P8" s="49" t="str">
        <f>IFERROR(INDEX(Calcs!$I$7:$I$20,MATCH($B8,Calcs!$A$7:$A$20,0)),"")</f>
        <v>WLLWW</v>
      </c>
      <c r="Q8" s="49" t="str">
        <f>IFERROR(IF(INDEX(Calcs!$L$7:$L$20,MATCH($B8,Calcs!$A$7:$A$20,0))&gt;0,"▲"&amp;INDEX(Calcs!$L$7:$L$20,MATCH($B8,Calcs!$A$7:$A$20,0)),IF(INDEX(Calcs!$L$7:$L$20,MATCH($B8,Calcs!$A$7:$A$20,0))&lt;0,"▼"&amp;ABS(INDEX(Calcs!$L$7:$L$20,MATCH($B8,Calcs!$A$7:$A$20,0))),"–")),"")</f>
        <v>▲9</v>
      </c>
      <c r="R8" s="49" t="str">
        <f>IFERROR(IF(INDEX(Calcs!$P$7:$P$20,MATCH($B8,Calcs!$A$7:$A$20,0))=0,"—",TEXT(INDEX(Calcs!$P$7:$P$20,MATCH($B8,Calcs!$A$7:$A$20,0)),"d mmm")),"")</f>
        <v>11 Jul</v>
      </c>
      <c r="S8" s="49">
        <f>IFERROR(ROUND(INDEX(Calcs!$Q$7:$Q$20,MATCH($B8,Calcs!$A$7:$A$20,0)),1),"")</f>
        <v>0</v>
      </c>
      <c r="T8" s="49" t="str">
        <f>IFERROR(INDEX(Calcs!$T$7:$T$20,MATCH($B8,Calcs!$A$7:$A$20,0)),"")</f>
        <v>Active</v>
      </c>
      <c r="U8">
        <f>IFERROR(MAX(0,ROUND($C8-INDEX(Calcs!$S$7:$S$20,MATCH($B8,Calcs!$A$7:$A$20,0)),0)),0)</f>
        <v>0</v>
      </c>
      <c r="V8" s="51">
        <f>IFERROR(ROUND(INDEX(Calcs!$S$7:$S$20,MATCH($B8,Calcs!$A$7:$A$20,0)),0),"")</f>
        <v>1084</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Aaron</v>
      </c>
      <c r="C9" s="48">
        <f>INDEX(Engine!$B$2:$B$15,MATCH($B9,Engine!$A$2:$A$15,0))+SUMIF('Poker Stake Ledger'!$C$18:$C$137,$B9,'Poker Stake Ledger'!$K$18:$K$137)</f>
        <v>1063.3178557740468</v>
      </c>
      <c r="D9" s="49">
        <f>COUNTIF('Match Log'!$D$4:$D$810,$B9)</f>
        <v>45</v>
      </c>
      <c r="E9" s="49">
        <f>COUNTIFS('Match Log'!$D$4:$D$810,$B9,'Match Log'!$E$4:$E$810,"Win")</f>
        <v>24</v>
      </c>
      <c r="F9" s="49">
        <f>$D9-$E9</f>
        <v>21</v>
      </c>
      <c r="G9" s="50">
        <f>IF($D9=0,"",$E9/$D9)</f>
        <v>0.53333333333333333</v>
      </c>
      <c r="H9" s="51">
        <f>SUMIF('Match Log'!$D$4:$D$810,$B9,'Match Log'!$J$4:$J$810)</f>
        <v>-7.844413048483208</v>
      </c>
      <c r="I9" s="51">
        <f>SUMIF('Match Log'!$D$4:$D$810,$B9,'Match Log'!$K$4:$K$810)</f>
        <v>40.162268822530379</v>
      </c>
      <c r="J9" s="51">
        <f>SUMIF('Match Log'!$D$4:$D$810,$B9,'Match Log'!$L$4:$L$810)</f>
        <v>31</v>
      </c>
      <c r="K9" s="49">
        <f>SUMPRODUCT(--(COUNTIFS('Match Log'!$D$4:$D$810,$B9,'Match Log'!$C$4:$C$810,Lists!$C$2:$C$21)&gt;0))</f>
        <v>10</v>
      </c>
      <c r="L9" s="49" t="str">
        <f>IF($D9=0,"No games",IF(AND($D9&gt;='Guide &amp; Settings'!$C$45,$K9&gt;='Guide &amp; Settings'!$C$46),"Eligible","Provisional"))</f>
        <v>Eligible</v>
      </c>
      <c r="M9" s="48">
        <f>IFERROR(INDEX(Calcs!$C$7:$C$20,MATCH($B9,Calcs!$A$7:$A$20,0)),"")</f>
        <v>1061.4916714943342</v>
      </c>
      <c r="N9" s="48">
        <f>MAX($C$5:$C$18)-$C9</f>
        <v>104.89348782669731</v>
      </c>
      <c r="O9" s="49" t="str">
        <f>IFERROR(INDEX(Calcs!$H$7:$H$20,MATCH($B9,Calcs!$A$7:$A$20,0)),"")</f>
        <v>L2</v>
      </c>
      <c r="P9" s="49" t="str">
        <f>IFERROR(INDEX(Calcs!$I$7:$I$20,MATCH($B9,Calcs!$A$7:$A$20,0)),"")</f>
        <v>LWWLL</v>
      </c>
      <c r="Q9" s="49" t="str">
        <f>IFERROR(IF(INDEX(Calcs!$L$7:$L$20,MATCH($B9,Calcs!$A$7:$A$20,0))&gt;0,"▲"&amp;INDEX(Calcs!$L$7:$L$20,MATCH($B9,Calcs!$A$7:$A$20,0)),IF(INDEX(Calcs!$L$7:$L$20,MATCH($B9,Calcs!$A$7:$A$20,0))&lt;0,"▼"&amp;ABS(INDEX(Calcs!$L$7:$L$20,MATCH($B9,Calcs!$A$7:$A$20,0))),"–")),"")</f>
        <v>▼1</v>
      </c>
      <c r="R9" s="49" t="str">
        <f>IFERROR(IF(INDEX(Calcs!$P$7:$P$20,MATCH($B9,Calcs!$A$7:$A$20,0))=0,"—",TEXT(INDEX(Calcs!$P$7:$P$20,MATCH($B9,Calcs!$A$7:$A$20,0)),"d mmm")),"")</f>
        <v>11 Jul</v>
      </c>
      <c r="S9" s="49">
        <f>IFERROR(ROUND(INDEX(Calcs!$Q$7:$Q$20,MATCH($B9,Calcs!$A$7:$A$20,0)),1),"")</f>
        <v>0</v>
      </c>
      <c r="T9" s="49" t="str">
        <f>IFERROR(INDEX(Calcs!$T$7:$T$20,MATCH($B9,Calcs!$A$7:$A$20,0)),"")</f>
        <v>Active</v>
      </c>
      <c r="U9">
        <f>IFERROR(MAX(0,ROUND($C9-INDEX(Calcs!$S$7:$S$20,MATCH($B9,Calcs!$A$7:$A$20,0)),0)),0)</f>
        <v>0</v>
      </c>
      <c r="V9" s="51">
        <f>IFERROR(ROUND(INDEX(Calcs!$S$7:$S$20,MATCH($B9,Calcs!$A$7:$A$20,0)),0),"")</f>
        <v>1063</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Oscar</v>
      </c>
      <c r="C10" s="48">
        <f>INDEX(Engine!$B$2:$B$15,MATCH($B10,Engine!$A$2:$A$15,0))+SUMIF('Poker Stake Ledger'!$C$18:$C$137,$B10,'Poker Stake Ledger'!$K$18:$K$137)</f>
        <v>1058.6657209484931</v>
      </c>
      <c r="D10" s="49">
        <f>COUNTIF('Match Log'!$D$4:$D$810,$B10)</f>
        <v>44</v>
      </c>
      <c r="E10" s="49">
        <f>COUNTIFS('Match Log'!$D$4:$D$810,$B10,'Match Log'!$E$4:$E$810,"Win")</f>
        <v>20</v>
      </c>
      <c r="F10" s="49">
        <f>$D10-$E10</f>
        <v>24</v>
      </c>
      <c r="G10" s="50">
        <f>IF($D10=0,"",$E10/$D10)</f>
        <v>0.45454545454545453</v>
      </c>
      <c r="H10" s="51">
        <f>SUMIF('Match Log'!$D$4:$D$810,$B10,'Match Log'!$J$4:$J$810)</f>
        <v>-4.5119528516974903</v>
      </c>
      <c r="I10" s="51">
        <f>SUMIF('Match Log'!$D$4:$D$810,$B10,'Match Log'!$K$4:$K$810)</f>
        <v>18.177673800191201</v>
      </c>
      <c r="J10" s="51">
        <f>SUMIF('Match Log'!$D$4:$D$810,$B10,'Match Log'!$L$4:$L$810)</f>
        <v>45</v>
      </c>
      <c r="K10" s="49">
        <f>SUMPRODUCT(--(COUNTIFS('Match Log'!$D$4:$D$810,$B10,'Match Log'!$C$4:$C$810,Lists!$C$2:$C$21)&gt;0))</f>
        <v>8</v>
      </c>
      <c r="L10" s="49" t="str">
        <f>IF($D10=0,"No games",IF(AND($D10&gt;='Guide &amp; Settings'!$C$45,$K10&gt;='Guide &amp; Settings'!$C$46),"Eligible","Provisional"))</f>
        <v>Eligible</v>
      </c>
      <c r="M10" s="48">
        <f>IFERROR(INDEX(Calcs!$C$7:$C$20,MATCH($B10,Calcs!$A$7:$A$20,0)),"")</f>
        <v>1073.1540859725756</v>
      </c>
      <c r="N10" s="48">
        <f>MAX($C$5:$C$18)-$C10</f>
        <v>109.54562265225104</v>
      </c>
      <c r="O10" s="49" t="str">
        <f>IFERROR(INDEX(Calcs!$H$7:$H$20,MATCH($B10,Calcs!$A$7:$A$20,0)),"")</f>
        <v>L1</v>
      </c>
      <c r="P10" s="49" t="str">
        <f>IFERROR(INDEX(Calcs!$I$7:$I$20,MATCH($B10,Calcs!$A$7:$A$20,0)),"")</f>
        <v>LLLWL</v>
      </c>
      <c r="Q10" s="49" t="str">
        <f>IFERROR(IF(INDEX(Calcs!$L$7:$L$20,MATCH($B10,Calcs!$A$7:$A$20,0))&gt;0,"▲"&amp;INDEX(Calcs!$L$7:$L$20,MATCH($B10,Calcs!$A$7:$A$20,0)),IF(INDEX(Calcs!$L$7:$L$20,MATCH($B10,Calcs!$A$7:$A$20,0))&lt;0,"▼"&amp;ABS(INDEX(Calcs!$L$7:$L$20,MATCH($B10,Calcs!$A$7:$A$20,0))),"–")),"")</f>
        <v>▼4</v>
      </c>
      <c r="R10" s="49" t="str">
        <f>IFERROR(IF(INDEX(Calcs!$P$7:$P$20,MATCH($B10,Calcs!$A$7:$A$20,0))=0,"—",TEXT(INDEX(Calcs!$P$7:$P$20,MATCH($B10,Calcs!$A$7:$A$20,0)),"d mmm")),"")</f>
        <v>6 Jul</v>
      </c>
      <c r="S10" s="49">
        <f>IFERROR(ROUND(INDEX(Calcs!$Q$7:$Q$20,MATCH($B10,Calcs!$A$7:$A$20,0)),1),"")</f>
        <v>0.7</v>
      </c>
      <c r="T10" s="49" t="str">
        <f>IFERROR(INDEX(Calcs!$T$7:$T$20,MATCH($B10,Calcs!$A$7:$A$20,0)),"")</f>
        <v>Active</v>
      </c>
      <c r="U10">
        <f>IFERROR(MAX(0,ROUND($C10-INDEX(Calcs!$S$7:$S$20,MATCH($B10,Calcs!$A$7:$A$20,0)),0)),0)</f>
        <v>0</v>
      </c>
      <c r="V10" s="51">
        <f>IFERROR(ROUND(INDEX(Calcs!$S$7:$S$20,MATCH($B10,Calcs!$A$7:$A$20,0)),0),"")</f>
        <v>1059</v>
      </c>
      <c r="W10" s="49" t="str">
        <f>IFERROR(INDEX(Calcs!$AF$7:$AF$20,MATCH($B10,Calcs!$A$7:$A$20,0)),"")</f>
        <v>Strong</v>
      </c>
      <c r="X10" s="51">
        <f>IFERROR(ROUND(SUMIF('Poker Stake Ledger'!$C$18:$C$137,$B10,'Poker Stake Ledger'!$K$18:$K$137),1),0)</f>
        <v>0</v>
      </c>
    </row>
    <row r="11" spans="1:24" ht="15" customHeight="1" x14ac:dyDescent="0.2">
      <c r="A11" s="46">
        <f>ROW()-4</f>
        <v>7</v>
      </c>
      <c r="B11" s="47" t="str">
        <f>IFERROR(INDEX(Calcs!$A$7:$A$20,MATCH(LARGE(Calcs!$AI$7:$AI$20,ROW()-4),Calcs!$AI$7:$AI$20,0)),"")</f>
        <v>Dylan A</v>
      </c>
      <c r="C11" s="48">
        <f>INDEX(Engine!$B$2:$B$15,MATCH($B11,Engine!$A$2:$A$15,0))+SUMIF('Poker Stake Ledger'!$C$18:$C$137,$B11,'Poker Stake Ledger'!$K$18:$K$137)</f>
        <v>1052.4204774129059</v>
      </c>
      <c r="D11" s="49">
        <f>COUNTIF('Match Log'!$D$4:$D$810,$B11)</f>
        <v>5</v>
      </c>
      <c r="E11" s="49">
        <f>COUNTIFS('Match Log'!$D$4:$D$810,$B11,'Match Log'!$E$4:$E$810,"Win")</f>
        <v>3</v>
      </c>
      <c r="F11" s="49">
        <f>$D11-$E11</f>
        <v>2</v>
      </c>
      <c r="G11" s="50">
        <f>IF($D11=0,"",$E11/$D11)</f>
        <v>0.6</v>
      </c>
      <c r="H11" s="51">
        <f>SUMIF('Match Log'!$D$4:$D$810,$B11,'Match Log'!$J$4:$J$810)</f>
        <v>17.555186246898288</v>
      </c>
      <c r="I11" s="51">
        <f>SUMIF('Match Log'!$D$4:$D$810,$B11,'Match Log'!$K$4:$K$810)</f>
        <v>18.865291166007616</v>
      </c>
      <c r="J11" s="51">
        <f>SUMIF('Match Log'!$D$4:$D$810,$B11,'Match Log'!$L$4:$L$810)</f>
        <v>16</v>
      </c>
      <c r="K11" s="49">
        <f>SUMPRODUCT(--(COUNTIFS('Match Log'!$D$4:$D$810,$B11,'Match Log'!$C$4:$C$810,Lists!$C$2:$C$21)&gt;0))</f>
        <v>2</v>
      </c>
      <c r="L11" s="49" t="str">
        <f>IF($D11=0,"No games",IF(AND($D11&gt;='Guide &amp; Settings'!$C$45,$K11&gt;='Guide &amp; Settings'!$C$46),"Eligible","Provisional"))</f>
        <v>Provisional</v>
      </c>
      <c r="M11" s="48">
        <f>IFERROR(INDEX(Calcs!$C$7:$C$20,MATCH($B11,Calcs!$A$7:$A$20,0)),"")</f>
        <v>1065.0360659588493</v>
      </c>
      <c r="N11" s="48">
        <f>MAX($C$5:$C$18)-$C11</f>
        <v>115.79086618783822</v>
      </c>
      <c r="O11" s="49" t="str">
        <f>IFERROR(INDEX(Calcs!$H$7:$H$20,MATCH($B11,Calcs!$A$7:$A$20,0)),"")</f>
        <v>W1</v>
      </c>
      <c r="P11" s="49" t="str">
        <f>IFERROR(INDEX(Calcs!$I$7:$I$20,MATCH($B11,Calcs!$A$7:$A$20,0)),"")</f>
        <v>WLWLW</v>
      </c>
      <c r="Q11" s="49" t="str">
        <f>IFERROR(IF(INDEX(Calcs!$L$7:$L$20,MATCH($B11,Calcs!$A$7:$A$20,0))&gt;0,"▲"&amp;INDEX(Calcs!$L$7:$L$20,MATCH($B11,Calcs!$A$7:$A$20,0)),IF(INDEX(Calcs!$L$7:$L$20,MATCH($B11,Calcs!$A$7:$A$20,0))&lt;0,"▼"&amp;ABS(INDEX(Calcs!$L$7:$L$20,MATCH($B11,Calcs!$A$7:$A$20,0))),"–")),"")</f>
        <v>▲1</v>
      </c>
      <c r="R11" s="49" t="str">
        <f>IFERROR(IF(INDEX(Calcs!$P$7:$P$20,MATCH($B11,Calcs!$A$7:$A$20,0))=0,"—",TEXT(INDEX(Calcs!$P$7:$P$20,MATCH($B11,Calcs!$A$7:$A$20,0)),"d mmm")),"")</f>
        <v>11 Jul</v>
      </c>
      <c r="S11" s="49">
        <f>IFERROR(ROUND(INDEX(Calcs!$Q$7:$Q$20,MATCH($B11,Calcs!$A$7:$A$20,0)),1),"")</f>
        <v>0</v>
      </c>
      <c r="T11" s="49" t="str">
        <f>IFERROR(INDEX(Calcs!$T$7:$T$20,MATCH($B11,Calcs!$A$7:$A$20,0)),"")</f>
        <v>Active</v>
      </c>
      <c r="U11">
        <f>IFERROR(MAX(0,ROUND($C11-INDEX(Calcs!$S$7:$S$20,MATCH($B11,Calcs!$A$7:$A$20,0)),0)),0)</f>
        <v>0</v>
      </c>
      <c r="V11" s="51">
        <f>IFERROR(ROUND(INDEX(Calcs!$S$7:$S$20,MATCH($B11,Calcs!$A$7:$A$20,0)),0),"")</f>
        <v>1052</v>
      </c>
      <c r="W11" s="49" t="str">
        <f>IFERROR(INDEX(Calcs!$AF$7:$AF$20,MATCH($B11,Calcs!$A$7:$A$20,0)),"")</f>
        <v>Mid</v>
      </c>
      <c r="X11" s="51">
        <f>IFERROR(ROUND(SUMIF('Poker Stake Ledger'!$C$18:$C$137,$B11,'Poker Stake Ledger'!$K$18:$K$137),1),0)</f>
        <v>0</v>
      </c>
    </row>
    <row r="12" spans="1:24" ht="15" customHeight="1" x14ac:dyDescent="0.2">
      <c r="A12" s="46">
        <f>ROW()-4</f>
        <v>8</v>
      </c>
      <c r="B12" s="47" t="str">
        <f>IFERROR(INDEX(Calcs!$A$7:$A$20,MATCH(LARGE(Calcs!$AI$7:$AI$20,ROW()-4),Calcs!$AI$7:$AI$20,0)),"")</f>
        <v>Daniel (Ferret)</v>
      </c>
      <c r="C12" s="48">
        <f>INDEX(Engine!$B$2:$B$15,MATCH($B12,Engine!$A$2:$A$15,0))+SUMIF('Poker Stake Ledger'!$C$18:$C$137,$B12,'Poker Stake Ledger'!$K$18:$K$137)</f>
        <v>1050.8634549674414</v>
      </c>
      <c r="D12" s="49">
        <f>COUNTIF('Match Log'!$D$4:$D$810,$B12)</f>
        <v>52</v>
      </c>
      <c r="E12" s="49">
        <f>COUNTIFS('Match Log'!$D$4:$D$810,$B12,'Match Log'!$E$4:$E$810,"Win")</f>
        <v>23</v>
      </c>
      <c r="F12" s="49">
        <f>$D12-$E12</f>
        <v>29</v>
      </c>
      <c r="G12" s="50">
        <f>IF($D12=0,"",$E12/$D12)</f>
        <v>0.44230769230769229</v>
      </c>
      <c r="H12" s="51">
        <f>SUMIF('Match Log'!$D$4:$D$810,$B12,'Match Log'!$J$4:$J$810)</f>
        <v>-23.673795462339218</v>
      </c>
      <c r="I12" s="51">
        <f>SUMIF('Match Log'!$D$4:$D$810,$B12,'Match Log'!$K$4:$K$810)</f>
        <v>25.537250429780578</v>
      </c>
      <c r="J12" s="51">
        <f>SUMIF('Match Log'!$D$4:$D$810,$B12,'Match Log'!$L$4:$L$810)</f>
        <v>49</v>
      </c>
      <c r="K12" s="49">
        <f>SUMPRODUCT(--(COUNTIFS('Match Log'!$D$4:$D$810,$B12,'Match Log'!$C$4:$C$810,Lists!$C$2:$C$21)&gt;0))</f>
        <v>11</v>
      </c>
      <c r="L12" s="49" t="str">
        <f>IF($D12=0,"No games",IF(AND($D12&gt;='Guide &amp; Settings'!$C$45,$K12&gt;='Guide &amp; Settings'!$C$46),"Eligible","Provisional"))</f>
        <v>Eligible</v>
      </c>
      <c r="M12" s="48">
        <f>IFERROR(INDEX(Calcs!$C$7:$C$20,MATCH($B12,Calcs!$A$7:$A$20,0)),"")</f>
        <v>1080.7916923696475</v>
      </c>
      <c r="N12" s="48">
        <f>MAX($C$5:$C$18)-$C12</f>
        <v>117.34788863330277</v>
      </c>
      <c r="O12" s="49" t="str">
        <f>IFERROR(INDEX(Calcs!$H$7:$H$20,MATCH($B12,Calcs!$A$7:$A$20,0)),"")</f>
        <v>W1</v>
      </c>
      <c r="P12" s="49" t="str">
        <f>IFERROR(INDEX(Calcs!$I$7:$I$20,MATCH($B12,Calcs!$A$7:$A$20,0)),"")</f>
        <v>WLWLW</v>
      </c>
      <c r="Q12" s="49" t="str">
        <f>IFERROR(IF(INDEX(Calcs!$L$7:$L$20,MATCH($B12,Calcs!$A$7:$A$20,0))&gt;0,"▲"&amp;INDEX(Calcs!$L$7:$L$20,MATCH($B12,Calcs!$A$7:$A$20,0)),IF(INDEX(Calcs!$L$7:$L$20,MATCH($B12,Calcs!$A$7:$A$20,0))&lt;0,"▼"&amp;ABS(INDEX(Calcs!$L$7:$L$20,MATCH($B12,Calcs!$A$7:$A$20,0))),"–")),"")</f>
        <v>▼2</v>
      </c>
      <c r="R12" s="49" t="str">
        <f>IFERROR(IF(INDEX(Calcs!$P$7:$P$20,MATCH($B12,Calcs!$A$7:$A$20,0))=0,"—",TEXT(INDEX(Calcs!$P$7:$P$20,MATCH($B12,Calcs!$A$7:$A$20,0)),"d mmm")),"")</f>
        <v>5 Jul</v>
      </c>
      <c r="S12" s="49">
        <f>IFERROR(ROUND(INDEX(Calcs!$Q$7:$Q$20,MATCH($B12,Calcs!$A$7:$A$20,0)),1),"")</f>
        <v>0.9</v>
      </c>
      <c r="T12" s="49" t="str">
        <f>IFERROR(INDEX(Calcs!$T$7:$T$20,MATCH($B12,Calcs!$A$7:$A$20,0)),"")</f>
        <v>Active</v>
      </c>
      <c r="U12">
        <f>IFERROR(MAX(0,ROUND($C12-INDEX(Calcs!$S$7:$S$20,MATCH($B12,Calcs!$A$7:$A$20,0)),0)),0)</f>
        <v>0</v>
      </c>
      <c r="V12" s="51">
        <f>IFERROR(ROUND(INDEX(Calcs!$S$7:$S$20,MATCH($B12,Calcs!$A$7:$A$20,0)),0),"")</f>
        <v>1051</v>
      </c>
      <c r="W12" s="49" t="str">
        <f>IFERROR(INDEX(Calcs!$AF$7:$AF$20,MATCH($B12,Calcs!$A$7:$A$20,0)),"")</f>
        <v>Strong</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1029.2201908859522</v>
      </c>
      <c r="D13" s="49">
        <f>COUNTIF('Match Log'!$D$4:$D$810,$B13)</f>
        <v>10</v>
      </c>
      <c r="E13" s="49">
        <f>COUNTIFS('Match Log'!$D$4:$D$810,$B13,'Match Log'!$E$4:$E$810,"Win")</f>
        <v>5</v>
      </c>
      <c r="F13" s="49">
        <f>$D13-$E13</f>
        <v>5</v>
      </c>
      <c r="G13" s="50">
        <f>IF($D13=0,"",$E13/$D13)</f>
        <v>0.5</v>
      </c>
      <c r="H13" s="51">
        <f>SUMIF('Match Log'!$D$4:$D$810,$B13,'Match Log'!$J$4:$J$810)</f>
        <v>-14.85952397332303</v>
      </c>
      <c r="I13" s="51">
        <f>SUMIF('Match Log'!$D$4:$D$810,$B13,'Match Log'!$K$4:$K$810)</f>
        <v>16.079714859275072</v>
      </c>
      <c r="J13" s="51">
        <f>SUMIF('Match Log'!$D$4:$D$810,$B13,'Match Log'!$L$4:$L$810)</f>
        <v>28</v>
      </c>
      <c r="K13" s="49">
        <f>SUMPRODUCT(--(COUNTIFS('Match Log'!$D$4:$D$810,$B13,'Match Log'!$C$4:$C$810,Lists!$C$2:$C$21)&gt;0))</f>
        <v>3</v>
      </c>
      <c r="L13" s="49" t="str">
        <f>IF($D13=0,"No games",IF(AND($D13&gt;='Guide &amp; Settings'!$C$45,$K13&gt;='Guide &amp; Settings'!$C$46),"Eligible","Provisional"))</f>
        <v>Eligible</v>
      </c>
      <c r="M13" s="48">
        <f>IFERROR(INDEX(Calcs!$C$7:$C$20,MATCH($B13,Calcs!$A$7:$A$20,0)),"")</f>
        <v>1061.4338171357142</v>
      </c>
      <c r="N13" s="48">
        <f>MAX($C$5:$C$18)-$C13</f>
        <v>138.99115271479195</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3.7</v>
      </c>
      <c r="T13" s="49" t="str">
        <f>IFERROR(INDEX(Calcs!$T$7:$T$20,MATCH($B13,Calcs!$A$7:$A$20,0)),"")</f>
        <v>At risk</v>
      </c>
      <c r="U13">
        <f>IFERROR(MAX(0,ROUND($C13-INDEX(Calcs!$S$7:$S$20,MATCH($B13,Calcs!$A$7:$A$20,0)),0)),0)</f>
        <v>0</v>
      </c>
      <c r="V13" s="51">
        <f>IFERROR(ROUND(INDEX(Calcs!$S$7:$S$20,MATCH($B13,Calcs!$A$7:$A$20,0)),0),"")</f>
        <v>1029</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Chase</v>
      </c>
      <c r="C14" s="48">
        <f>INDEX(Engine!$B$2:$B$15,MATCH($B14,Engine!$A$2:$A$15,0))+SUMIF('Poker Stake Ledger'!$C$18:$C$137,$B14,'Poker Stake Ledger'!$K$18:$K$137)</f>
        <v>1016.7837867075796</v>
      </c>
      <c r="D14" s="49">
        <f>COUNTIF('Match Log'!$D$4:$D$810,$B14)</f>
        <v>10</v>
      </c>
      <c r="E14" s="49">
        <f>COUNTIFS('Match Log'!$D$4:$D$810,$B14,'Match Log'!$E$4:$E$810,"Win")</f>
        <v>5</v>
      </c>
      <c r="F14" s="49">
        <f>$D14-$E14</f>
        <v>5</v>
      </c>
      <c r="G14" s="50">
        <f>IF($D14=0,"",$E14/$D14)</f>
        <v>0.5</v>
      </c>
      <c r="H14" s="51">
        <f>SUMIF('Match Log'!$D$4:$D$810,$B14,'Match Log'!$J$4:$J$810)</f>
        <v>7.3695009932937108</v>
      </c>
      <c r="I14" s="51">
        <f>SUMIF('Match Log'!$D$4:$D$810,$B14,'Match Log'!$K$4:$K$810)</f>
        <v>-1.5857142857142881</v>
      </c>
      <c r="J14" s="51">
        <f>SUMIF('Match Log'!$D$4:$D$810,$B14,'Match Log'!$L$4:$L$810)</f>
        <v>11</v>
      </c>
      <c r="K14" s="49">
        <f>SUMPRODUCT(--(COUNTIFS('Match Log'!$D$4:$D$810,$B14,'Match Log'!$C$4:$C$810,Lists!$C$2:$C$21)&gt;0))</f>
        <v>6</v>
      </c>
      <c r="L14" s="49" t="str">
        <f>IF($D14=0,"No games",IF(AND($D14&gt;='Guide &amp; Settings'!$C$45,$K14&gt;='Guide &amp; Settings'!$C$46),"Eligible","Provisional"))</f>
        <v>Eligible</v>
      </c>
      <c r="M14" s="48">
        <f>IFERROR(INDEX(Calcs!$C$7:$C$20,MATCH($B14,Calcs!$A$7:$A$20,0)),"")</f>
        <v>1052.8644060211864</v>
      </c>
      <c r="N14" s="48">
        <f>MAX($C$5:$C$18)-$C14</f>
        <v>151.42755689316459</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v>
      </c>
      <c r="R14" s="49" t="str">
        <f>IFERROR(IF(INDEX(Calcs!$P$7:$P$20,MATCH($B14,Calcs!$A$7:$A$20,0))=0,"—",TEXT(INDEX(Calcs!$P$7:$P$20,MATCH($B14,Calcs!$A$7:$A$20,0)),"d mmm")),"")</f>
        <v>15 Jun</v>
      </c>
      <c r="S14" s="49">
        <f>IFERROR(ROUND(INDEX(Calcs!$Q$7:$Q$20,MATCH($B14,Calcs!$A$7:$A$20,0)),1),"")</f>
        <v>3.7</v>
      </c>
      <c r="T14" s="49" t="str">
        <f>IFERROR(INDEX(Calcs!$T$7:$T$20,MATCH($B14,Calcs!$A$7:$A$20,0)),"")</f>
        <v>At risk</v>
      </c>
      <c r="U14">
        <f>IFERROR(MAX(0,ROUND($C14-INDEX(Calcs!$S$7:$S$20,MATCH($B14,Calcs!$A$7:$A$20,0)),0)),0)</f>
        <v>0</v>
      </c>
      <c r="V14" s="51">
        <f>IFERROR(ROUND(INDEX(Calcs!$S$7:$S$20,MATCH($B14,Calcs!$A$7:$A$20,0)),0),"")</f>
        <v>1017</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Dean M</v>
      </c>
      <c r="C15" s="48">
        <f>INDEX(Engine!$B$2:$B$15,MATCH($B15,Engine!$A$2:$A$15,0))+SUMIF('Poker Stake Ledger'!$C$18:$C$137,$B15,'Poker Stake Ledger'!$K$18:$K$137)</f>
        <v>1009.1869692929786</v>
      </c>
      <c r="D15" s="49">
        <f>COUNTIF('Match Log'!$D$4:$D$810,$B15)</f>
        <v>6</v>
      </c>
      <c r="E15" s="49">
        <f>COUNTIFS('Match Log'!$D$4:$D$810,$B15,'Match Log'!$E$4:$E$810,"Win")</f>
        <v>2</v>
      </c>
      <c r="F15" s="49">
        <f>$D15-$E15</f>
        <v>4</v>
      </c>
      <c r="G15" s="50">
        <f>IF($D15=0,"",$E15/$D15)</f>
        <v>0.33333333333333331</v>
      </c>
      <c r="H15" s="51">
        <f>SUMIF('Match Log'!$D$4:$D$810,$B15,'Match Log'!$J$4:$J$810)</f>
        <v>-18.279903252741974</v>
      </c>
      <c r="I15" s="51">
        <f>SUMIF('Match Log'!$D$4:$D$810,$B15,'Match Log'!$K$4:$K$810)</f>
        <v>7.4668725457205358</v>
      </c>
      <c r="J15" s="51">
        <f>SUMIF('Match Log'!$D$4:$D$810,$B15,'Match Log'!$L$4:$L$810)</f>
        <v>20</v>
      </c>
      <c r="K15" s="49">
        <f>SUMPRODUCT(--(COUNTIFS('Match Log'!$D$4:$D$810,$B15,'Match Log'!$C$4:$C$810,Lists!$C$2:$C$21)&gt;0))</f>
        <v>2</v>
      </c>
      <c r="L15" s="49" t="str">
        <f>IF($D15=0,"No games",IF(AND($D15&gt;='Guide &amp; Settings'!$C$45,$K15&gt;='Guide &amp; Settings'!$C$46),"Eligible","Provisional"))</f>
        <v>Provisional</v>
      </c>
      <c r="M15" s="48">
        <f>IFERROR(INDEX(Calcs!$C$7:$C$20,MATCH($B15,Calcs!$A$7:$A$20,0)),"")</f>
        <v>1050.3639420982418</v>
      </c>
      <c r="N15" s="48">
        <f>MAX($C$5:$C$18)-$C15</f>
        <v>159.02437430776558</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Log'!$C$4:$C$810,Lists!$C$2:$C$21)&gt;0))</f>
        <v>0</v>
      </c>
      <c r="L16" s="49" t="str">
        <f>IF($D16=0,"No games",IF(AND($D16&gt;='Guide &amp; Settings'!$C$45,$K16&gt;='Guide &amp; Settings'!$C$46),"Eligible","Provisional"))</f>
        <v>No games</v>
      </c>
      <c r="M16" s="48" t="str">
        <f>IFERROR(INDEX(Calcs!$C$7:$C$20,MATCH($B16,Calcs!$A$7:$A$20,0)),"")</f>
        <v/>
      </c>
      <c r="N16" s="48">
        <f>MAX($C$5:$C$18)-$C16</f>
        <v>168.21134360074416</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973.18894572037368</v>
      </c>
      <c r="D17" s="49">
        <f>COUNTIF('Match Log'!$D$4:$D$810,$B17)</f>
        <v>15</v>
      </c>
      <c r="E17" s="49">
        <f>COUNTIFS('Match Log'!$D$4:$D$810,$B17,'Match Log'!$E$4:$E$810,"Win")</f>
        <v>4</v>
      </c>
      <c r="F17" s="49">
        <f>$D17-$E17</f>
        <v>11</v>
      </c>
      <c r="G17" s="50">
        <f>IF($D17=0,"",$E17/$D17)</f>
        <v>0.26666666666666666</v>
      </c>
      <c r="H17" s="51">
        <f>SUMIF('Match Log'!$D$4:$D$810,$B17,'Match Log'!$J$4:$J$810)</f>
        <v>-47.273602017876598</v>
      </c>
      <c r="I17" s="51">
        <f>SUMIF('Match Log'!$D$4:$D$810,$B17,'Match Log'!$K$4:$K$810)</f>
        <v>-10.537452261749699</v>
      </c>
      <c r="J17" s="51">
        <f>SUMIF('Match Log'!$D$4:$D$810,$B17,'Match Log'!$L$4:$L$810)</f>
        <v>31</v>
      </c>
      <c r="K17" s="49">
        <f>SUMPRODUCT(--(COUNTIFS('Match Log'!$D$4:$D$810,$B17,'Match Log'!$C$4:$C$810,Lists!$C$2:$C$21)&gt;0))</f>
        <v>4</v>
      </c>
      <c r="L17" s="49" t="str">
        <f>IF($D17=0,"No games",IF(AND($D17&gt;='Guide &amp; Settings'!$C$45,$K17&gt;='Guide &amp; Settings'!$C$46),"Eligible","Provisional"))</f>
        <v>Eligible</v>
      </c>
      <c r="M17" s="48">
        <f>IFERROR(INDEX(Calcs!$C$7:$C$20,MATCH($B17,Calcs!$A$7:$A$20,0)),"")</f>
        <v>1068.6190541336225</v>
      </c>
      <c r="N17" s="48">
        <f>MAX($C$5:$C$18)-$C17</f>
        <v>195.02239788037048</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▼1</v>
      </c>
      <c r="R17" s="49" t="str">
        <f>IFERROR(IF(INDEX(Calcs!$P$7:$P$20,MATCH($B17,Calcs!$A$7:$A$20,0))=0,"—",TEXT(INDEX(Calcs!$P$7:$P$20,MATCH($B17,Calcs!$A$7:$A$20,0)),"d mmm")),"")</f>
        <v>11 Jul</v>
      </c>
      <c r="S17" s="49">
        <f>IFERROR(ROUND(INDEX(Calcs!$Q$7:$Q$20,MATCH($B17,Calcs!$A$7:$A$20,0)),1),"")</f>
        <v>0</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1075.3146899750097</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3.7</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4</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1083.5128925537913</v>
      </c>
      <c r="D6" s="60" t="s">
        <v>182</v>
      </c>
      <c r="E6" s="39">
        <f>COUNTIFS('Match Log'!$D$4:$D$810,$B$3,'Match Log'!$C$4:$C$810,$D6)</f>
        <v>2</v>
      </c>
      <c r="F6" s="39">
        <f>COUNTIFS('Match Log'!$D$4:$D$810,$B$3,'Match Log'!$C$4:$C$810,$D6,'Match Log'!$E$4:$E$810,"Win")</f>
        <v>1</v>
      </c>
      <c r="G6" s="61">
        <f t="shared" si="0"/>
        <v>0.5</v>
      </c>
      <c r="H6" s="62">
        <f>IFERROR(IF($E6=0,"",INDEX('Sport Records'!$B$91:$O$110,MATCH($D6,'Sport Records'!$A$91:$A$110,0),MATCH($B$3,'Sport Records'!$B$90:$O$90,0))),"")</f>
        <v>998.53049847102454</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32–37</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0.46376811594202899</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69</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1066.2651883848898</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W2</v>
      </c>
      <c r="D13" s="56" t="s">
        <v>192</v>
      </c>
      <c r="E13" s="36">
        <f>COUNTIFS('Match Log'!$D$4:$D$810,$B$3,'Match Log'!$C$4:$C$810,$D13)</f>
        <v>2</v>
      </c>
      <c r="F13" s="36">
        <f>COUNTIFS('Match Log'!$D$4:$D$810,$B$3,'Match Log'!$C$4:$C$810,$D13,'Match Log'!$E$4:$E$810,"Win")</f>
        <v>1</v>
      </c>
      <c r="G13" s="57">
        <f t="shared" si="0"/>
        <v>0.5</v>
      </c>
      <c r="H13" s="58">
        <f>IFERROR(IF($E13=0,"",INDEX('Sport Records'!$B$91:$O$110,MATCH($D13,'Sport Records'!$A$91:$A$110,0),MATCH($B$3,'Sport Records'!$B$90:$O$90,0))),"")</f>
        <v>1008.3683485189694</v>
      </c>
    </row>
    <row r="14" spans="1:8" ht="15" customHeight="1" x14ac:dyDescent="0.2">
      <c r="A14" s="54" t="s">
        <v>162</v>
      </c>
      <c r="B14" s="55" t="str">
        <f>IFERROR(INDEX(Calcs!$I$7:$I$20,MATCH($B$3,Calcs!$A$7:$A$20,0)),"")</f>
        <v>WLLWW</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84.698451046952869</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12</v>
      </c>
      <c r="F17" s="36">
        <f>COUNTIFS('Match Log'!$D$4:$D$810,$B$3,'Match Log'!$C$4:$C$810,$D17,'Match Log'!$E$4:$E$810,"Win")</f>
        <v>4</v>
      </c>
      <c r="G17" s="57">
        <f t="shared" si="0"/>
        <v>0.33333333333333331</v>
      </c>
      <c r="H17" s="58">
        <f>IFERROR(IF($E17=0,"",INDEX('Sport Records'!$B$91:$O$110,MATCH($D17,'Sport Records'!$A$91:$A$110,0),MATCH($B$3,'Sport Records'!$B$90:$O$90,0))),"")</f>
        <v>974.40980580511507</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70</v>
      </c>
      <c r="D23" s="56" t="s">
        <v>208</v>
      </c>
      <c r="E23" s="36">
        <f>COUNTIFS('Match Log'!$D$4:$D$810,$B$3,'Match Log'!$C$4:$C$810,$D23)</f>
        <v>9</v>
      </c>
      <c r="F23" s="36">
        <f>COUNTIFS('Match Log'!$D$4:$D$810,$B$3,'Match Log'!$C$4:$C$810,$D23,'Match Log'!$E$4:$E$810,"Win")</f>
        <v>6</v>
      </c>
      <c r="G23" s="57">
        <f t="shared" si="0"/>
        <v>0.66666666666666663</v>
      </c>
      <c r="H23" s="58">
        <f>IFERROR(IF($E23=0,"",INDEX('Sport Records'!$B$91:$O$110,MATCH($D23,'Sport Records'!$A$91:$A$110,0),MATCH($B$3,'Sport Records'!$B$90:$O$90,0))),"")</f>
        <v>1023.5480887963037</v>
      </c>
    </row>
    <row r="24" spans="1:8" x14ac:dyDescent="0.2">
      <c r="A24" s="64" t="s">
        <v>209</v>
      </c>
      <c r="B24" s="65">
        <f>IFERROR(ROUND(INDEX(Calcs!$W$7:$W$20,MATCH($B$3,Calcs!$A$7:$A$20,0)),0),"")</f>
        <v>71</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46</v>
      </c>
    </row>
    <row r="26" spans="1:8" x14ac:dyDescent="0.2">
      <c r="A26" s="64" t="s">
        <v>211</v>
      </c>
      <c r="B26" s="65">
        <f>IFERROR(ROUND(INDEX(Calcs!$Y$7:$Y$20,MATCH($B$3,Calcs!$A$7:$A$20,0)),0),"")</f>
        <v>100</v>
      </c>
    </row>
    <row r="27" spans="1:8" x14ac:dyDescent="0.2">
      <c r="A27" s="64" t="s">
        <v>212</v>
      </c>
      <c r="B27" s="65">
        <f>IFERROR(ROUND(INDEX(Calcs!$Z$7:$Z$20,MATCH($B$3,Calcs!$A$7:$A$20,0)),0),"")</f>
        <v>60</v>
      </c>
    </row>
    <row r="28" spans="1:8" x14ac:dyDescent="0.2">
      <c r="A28" s="64" t="s">
        <v>213</v>
      </c>
      <c r="B28" s="65">
        <f>IFERROR(ROUND(INDEX(Calcs!$AA$7:$AA$20,MATCH($B$3,Calcs!$A$7:$A$20,0)),0),"")</f>
        <v>67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2" id="{00000000-000E-0000-0300-000020000000}">
            <xm:f>IFERROR(INDEX(Calcs!$Q$7:$Q$20,MATCH($B$3,Calcs!$A$7:$A$20,0)),0)&gt;=8</xm:f>
            <x14:dxf>
              <fill>
                <patternFill>
                  <bgColor rgb="FFFFC7CE"/>
                </patternFill>
              </fill>
            </x14:dxf>
          </x14:cfRule>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55% of 31</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45% of 31</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31</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31</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147</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2</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2</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1</v>
      </c>
      <c r="N9" s="77">
        <f>COUNTIFS('Match Log'!$D$4:$D$810,N$7,'Match Log'!$C$4:$C$810,$A9)</f>
        <v>1</v>
      </c>
      <c r="O9" s="77">
        <f>COUNTIFS('Match Log'!$D$4:$D$810,O$7,'Match Log'!$C$4:$C$810,$A9)</f>
        <v>0</v>
      </c>
      <c r="P9" s="78">
        <f>SUMPRODUCT(('Match Log'!$C$4:$C$810=$A9)*('Match Log'!$D$4:$D$810='Match Log'!$G$4:$G$810)*('Match Log'!$D$4:$D$810&lt;&gt;""))</f>
        <v>3</v>
      </c>
      <c r="Q9" s="79" t="str">
        <f t="shared" si="0"/>
        <v>Aaron</v>
      </c>
      <c r="R9" s="78">
        <f t="shared" si="1"/>
        <v>1</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1</v>
      </c>
      <c r="C16" s="77">
        <f>COUNTIFS('Match Log'!$D$4:$D$810,C$7,'Match Log'!$C$4:$C$810,$A16)</f>
        <v>0</v>
      </c>
      <c r="D16" s="77">
        <f>COUNTIFS('Match Log'!$D$4:$D$810,D$7,'Match Log'!$C$4:$C$810,$A16)</f>
        <v>0</v>
      </c>
      <c r="E16" s="77">
        <f>COUNTIFS('Match Log'!$D$4:$D$810,E$7,'Match Log'!$C$4:$C$810,$A16)</f>
        <v>1</v>
      </c>
      <c r="F16" s="77">
        <f>COUNTIFS('Match Log'!$D$4:$D$810,F$7,'Match Log'!$C$4:$C$810,$A16)</f>
        <v>1</v>
      </c>
      <c r="G16" s="77">
        <f>COUNTIFS('Match Log'!$D$4:$D$810,G$7,'Match Log'!$C$4:$C$810,$A16)</f>
        <v>2</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2</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6</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12</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13</v>
      </c>
      <c r="Q20" s="79" t="str">
        <f t="shared" si="0"/>
        <v>Daniel (Ferret)</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9</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9</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13</v>
      </c>
      <c r="Q26" s="79" t="str">
        <f t="shared" si="0"/>
        <v>Shawn</v>
      </c>
      <c r="R26" s="78">
        <f t="shared" si="1"/>
        <v>6</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1</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1</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1</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1</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3</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4</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3</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6</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f t="shared" ref="B53:O53" si="3">IF(B9=0,"",B31/B9)</f>
        <v>0.5</v>
      </c>
      <c r="C53" s="80" t="str">
        <f t="shared" si="3"/>
        <v/>
      </c>
      <c r="D53" s="80" t="str">
        <f t="shared" si="3"/>
        <v/>
      </c>
      <c r="E53" s="80" t="str">
        <f t="shared" si="3"/>
        <v/>
      </c>
      <c r="F53" s="80" t="str">
        <f t="shared" si="3"/>
        <v/>
      </c>
      <c r="G53" s="80">
        <f t="shared" si="3"/>
        <v>0.5</v>
      </c>
      <c r="H53" s="80" t="str">
        <f t="shared" si="3"/>
        <v/>
      </c>
      <c r="I53" s="80" t="str">
        <f t="shared" si="3"/>
        <v/>
      </c>
      <c r="J53" s="80" t="str">
        <f t="shared" si="3"/>
        <v/>
      </c>
      <c r="K53" s="80" t="str">
        <f t="shared" si="3"/>
        <v/>
      </c>
      <c r="L53" s="80" t="str">
        <f t="shared" si="3"/>
        <v/>
      </c>
      <c r="M53" s="80">
        <f t="shared" si="3"/>
        <v>0</v>
      </c>
      <c r="N53" s="80">
        <f t="shared" si="3"/>
        <v>1</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f t="shared" ref="B60:O60" si="10">IF(B16=0,"",B38/B16)</f>
        <v>0</v>
      </c>
      <c r="C60" s="80" t="str">
        <f t="shared" si="10"/>
        <v/>
      </c>
      <c r="D60" s="80" t="str">
        <f t="shared" si="10"/>
        <v/>
      </c>
      <c r="E60" s="80">
        <f t="shared" si="10"/>
        <v>0</v>
      </c>
      <c r="F60" s="80">
        <f t="shared" si="10"/>
        <v>1</v>
      </c>
      <c r="G60" s="80">
        <f t="shared" si="10"/>
        <v>0.5</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0.5</v>
      </c>
      <c r="C64" s="80" t="str">
        <f t="shared" si="14"/>
        <v/>
      </c>
      <c r="D64" s="80" t="str">
        <f t="shared" si="14"/>
        <v/>
      </c>
      <c r="E64" s="80" t="str">
        <f t="shared" si="14"/>
        <v/>
      </c>
      <c r="F64" s="80">
        <f t="shared" si="14"/>
        <v>0</v>
      </c>
      <c r="G64" s="80">
        <f t="shared" si="14"/>
        <v>0.33333333333333331</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0.33333333333333331</v>
      </c>
      <c r="C70" s="80" t="str">
        <f t="shared" si="20"/>
        <v/>
      </c>
      <c r="D70" s="80" t="str">
        <f t="shared" si="20"/>
        <v/>
      </c>
      <c r="E70" s="80" t="str">
        <f t="shared" si="20"/>
        <v/>
      </c>
      <c r="F70" s="80">
        <f t="shared" si="20"/>
        <v>0.5</v>
      </c>
      <c r="G70" s="80">
        <f t="shared" si="20"/>
        <v>0.66666666666666663</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45</v>
      </c>
      <c r="C79" s="77">
        <f>SUMPRODUCT(--(COUNTIFS('Match Log'!$D$4:$D$810,$A79,'Match Log'!$C$4:$C$810,Lists!$C$2:$C$21)&gt;0))</f>
        <v>10</v>
      </c>
      <c r="D79" s="77">
        <f>COUNTIFS('Match Log'!$D$4:$D$810,$A79,'Match Log'!$E$4:$E$810,"Win")</f>
        <v>24</v>
      </c>
      <c r="E79" s="80">
        <f t="shared" si="22"/>
        <v>0.53333333333333333</v>
      </c>
      <c r="F79" s="82">
        <f>IFERROR(INDEX(Engine!$B$2:$B$15,MATCH($A79,Engine!$A$2:$A$15,0)),"")</f>
        <v>1063.3178557740468</v>
      </c>
      <c r="G79" s="77" t="str">
        <f>IF($B79=0,"No games",IF(AND($B79&gt;='Guide &amp; Settings'!$C$45,$C79&gt;='Guide &amp; Settings'!$C$46),"Eligible","Provisional"))</f>
        <v>Eligible</v>
      </c>
      <c r="S79" s="83">
        <f t="shared" si="23"/>
        <v>1063.3178557740468</v>
      </c>
    </row>
    <row r="80" spans="1:19" ht="15" customHeight="1" x14ac:dyDescent="0.2">
      <c r="A80" s="76" t="s">
        <v>134</v>
      </c>
      <c r="B80" s="77">
        <f>COUNTIF('Match Log'!$D$4:$D$810,$A80)</f>
        <v>69</v>
      </c>
      <c r="C80" s="77">
        <f>SUMPRODUCT(--(COUNTIFS('Match Log'!$D$4:$D$810,$A80,'Match Log'!$C$4:$C$810,Lists!$C$2:$C$21)&gt;0))</f>
        <v>10</v>
      </c>
      <c r="D80" s="77">
        <f>COUNTIFS('Match Log'!$D$4:$D$810,$A80,'Match Log'!$E$4:$E$810,"Win")</f>
        <v>32</v>
      </c>
      <c r="E80" s="80">
        <f t="shared" si="22"/>
        <v>0.46376811594202899</v>
      </c>
      <c r="F80" s="82">
        <f>IFERROR(INDEX(Engine!$B$2:$B$15,MATCH($A80,Engine!$A$2:$A$15,0)),"")</f>
        <v>1083.5128925537913</v>
      </c>
      <c r="G80" s="77" t="str">
        <f>IF($B80=0,"No games",IF(AND($B80&gt;='Guide &amp; Settings'!$C$45,$C80&gt;='Guide &amp; Settings'!$C$46),"Eligible","Provisional"))</f>
        <v>Eligible</v>
      </c>
      <c r="S80" s="83">
        <f t="shared" si="23"/>
        <v>1083.5128925537913</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6</v>
      </c>
      <c r="C82" s="77">
        <f>SUMPRODUCT(--(COUNTIFS('Match Log'!$D$4:$D$810,$A82,'Match Log'!$C$4:$C$810,Lists!$C$2:$C$21)&gt;0))</f>
        <v>2</v>
      </c>
      <c r="D82" s="77">
        <f>COUNTIFS('Match Log'!$D$4:$D$810,$A82,'Match Log'!$E$4:$E$810,"Win")</f>
        <v>2</v>
      </c>
      <c r="E82" s="80">
        <f t="shared" si="22"/>
        <v>0.33333333333333331</v>
      </c>
      <c r="F82" s="82">
        <f>IFERROR(INDEX(Engine!$B$2:$B$15,MATCH($A82,Engine!$A$2:$A$15,0)),"")</f>
        <v>1009.1869692929786</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5</v>
      </c>
      <c r="C83" s="77">
        <f>SUMPRODUCT(--(COUNTIFS('Match Log'!$D$4:$D$810,$A83,'Match Log'!$C$4:$C$810,Lists!$C$2:$C$21)&gt;0))</f>
        <v>2</v>
      </c>
      <c r="D83" s="77">
        <f>COUNTIFS('Match Log'!$D$4:$D$810,$A83,'Match Log'!$E$4:$E$810,"Win")</f>
        <v>3</v>
      </c>
      <c r="E83" s="80">
        <f t="shared" si="22"/>
        <v>0.6</v>
      </c>
      <c r="F83" s="82">
        <f>IFERROR(INDEX(Engine!$B$2:$B$15,MATCH($A83,Engine!$A$2:$A$15,0)),"")</f>
        <v>1052.4204774129059</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15</v>
      </c>
      <c r="C86" s="77">
        <f>SUMPRODUCT(--(COUNTIFS('Match Log'!$D$4:$D$810,$A86,'Match Log'!$C$4:$C$810,Lists!$C$2:$C$21)&gt;0))</f>
        <v>4</v>
      </c>
      <c r="D86" s="77">
        <f>COUNTIFS('Match Log'!$D$4:$D$810,$A86,'Match Log'!$E$4:$E$810,"Win")</f>
        <v>4</v>
      </c>
      <c r="E86" s="80">
        <f t="shared" si="22"/>
        <v>0.26666666666666666</v>
      </c>
      <c r="F86" s="82">
        <f>IFERROR(INDEX(Engine!$B$2:$B$15,MATCH($A86,Engine!$A$2:$A$15,0)),"")</f>
        <v>973.18894572037368</v>
      </c>
      <c r="G86" s="77" t="str">
        <f>IF($B86=0,"No games",IF(AND($B86&gt;='Guide &amp; Settings'!$C$45,$C86&gt;='Guide &amp; Settings'!$C$46),"Eligible","Provisional"))</f>
        <v>Eligible</v>
      </c>
      <c r="S86" s="83">
        <f t="shared" si="23"/>
        <v>973.18894572037368</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f>IFERROR(LOOKUP(2,1/(('Match Log'!$D$4:$D$810=B$90)*('Match Log'!$C$4:$C$810=$A92)),'Match Log'!$AB$4:$AB$810),"")</f>
        <v>1001.4695015289755</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f>IFERROR(LOOKUP(2,1/(('Match Log'!$D$4:$D$810=G$90)*('Match Log'!$C$4:$C$810=$A92)),'Match Log'!$AB$4:$AB$810),"")</f>
        <v>998.53049847102454</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f>IFERROR(LOOKUP(2,1/(('Match Log'!$D$4:$D$810=M$90)*('Match Log'!$C$4:$C$810=$A92)),'Match Log'!$AB$4:$AB$810),"")</f>
        <v>984</v>
      </c>
      <c r="N92" s="82">
        <f>IFERROR(LOOKUP(2,1/(('Match Log'!$D$4:$D$810=N$90)*('Match Log'!$C$4:$C$810=$A92)),'Match Log'!$AB$4:$AB$810),"")</f>
        <v>1016</v>
      </c>
      <c r="O92" s="82" t="str">
        <f>IFERROR(LOOKUP(2,1/(('Match Log'!$D$4:$D$810=O$90)*('Match Log'!$C$4:$C$810=$A92)),'Match Log'!$AB$4:$AB$810),"")</f>
        <v/>
      </c>
      <c r="P92" s="79" t="str">
        <f t="shared" si="24"/>
        <v>Dylan A</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f>IFERROR(LOOKUP(2,1/(('Match Log'!$D$4:$D$810=B$90)*('Match Log'!$C$4:$C$810=$A99)),'Match Log'!$AB$4:$AB$810),"")</f>
        <v>991.81582574051538</v>
      </c>
      <c r="C99" s="82" t="str">
        <f>IFERROR(LOOKUP(2,1/(('Match Log'!$D$4:$D$810=C$90)*('Match Log'!$C$4:$C$810=$A99)),'Match Log'!$AB$4:$AB$810),"")</f>
        <v/>
      </c>
      <c r="D99" s="82" t="str">
        <f>IFERROR(LOOKUP(2,1/(('Match Log'!$D$4:$D$810=D$90)*('Match Log'!$C$4:$C$810=$A99)),'Match Log'!$AB$4:$AB$810),"")</f>
        <v/>
      </c>
      <c r="E99" s="82">
        <f>IFERROR(LOOKUP(2,1/(('Match Log'!$D$4:$D$810=E$90)*('Match Log'!$C$4:$C$810=$A99)),'Match Log'!$AB$4:$AB$810),"")</f>
        <v>991.81582574051538</v>
      </c>
      <c r="F99" s="82">
        <f>IFERROR(LOOKUP(2,1/(('Match Log'!$D$4:$D$810=F$90)*('Match Log'!$C$4:$C$810=$A99)),'Match Log'!$AB$4:$AB$810),"")</f>
        <v>1016</v>
      </c>
      <c r="G99" s="82">
        <f>IFERROR(LOOKUP(2,1/(('Match Log'!$D$4:$D$810=G$90)*('Match Log'!$C$4:$C$810=$A99)),'Match Log'!$AB$4:$AB$810),"")</f>
        <v>1008.3683485189694</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988.98399093344892</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974.40980580511507</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976.45191120369645</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1023.5480887963037</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69</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2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39 points clear of Josh.</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9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69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147 games played across 13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Josh</v>
      </c>
      <c r="C18" s="104">
        <f>ROUND(LARGE(Calcs!$B$7:$B$20,2),0)</f>
        <v>1130</v>
      </c>
      <c r="D18" s="105" t="str">
        <f>IF(2=1,"— leader —",ROUND(MAX(Calcs!$B$7:$B$20)-LARGE(Calcs!$B$7:$B$20,2),0)&amp;" behind")</f>
        <v>39 behind</v>
      </c>
      <c r="E18" s="99"/>
      <c r="F18" s="26"/>
    </row>
    <row r="19" spans="1:6" ht="15" customHeight="1" x14ac:dyDescent="0.2">
      <c r="A19" s="104">
        <v>3</v>
      </c>
      <c r="B19" s="55" t="str">
        <f>INDEX(Calcs!$A$7:$A$20,MATCH(LARGE(Calcs!$B$7:$B$20,3),Calcs!$B$7:$B$20,0))</f>
        <v>Simon</v>
      </c>
      <c r="C19" s="104">
        <f>ROUND(LARGE(Calcs!$B$7:$B$20,3),0)</f>
        <v>1085</v>
      </c>
      <c r="D19" s="105" t="str">
        <f>IF(3=1,"— leader —",ROUND(MAX(Calcs!$B$7:$B$20)-LARGE(Calcs!$B$7:$B$20,3),0)&amp;" behind")</f>
        <v>83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6</v>
      </c>
      <c r="C23" s="36">
        <f>COUNTIFS('Match Log'!$D$4:$D$810,$A23,'Match Log'!$C$4:$C$810,$D$21,'Match Log'!$E$4:$E$810,"Win")</f>
        <v>3</v>
      </c>
      <c r="D23" s="57">
        <f t="shared" ref="D23:D36" si="0">IF($B23=0,"",$C23/$B23)</f>
        <v>0.5</v>
      </c>
      <c r="E23" s="58">
        <f>IFERROR(IF($B23=0,"",INDEX('Sport Records'!$B$91:$O$110,MATCH($D$21,'Sport Records'!$A$91:$A$110,0),MATCH($A23,'Sport Records'!$B$90:$O$90,0))),"")</f>
        <v>988.98399093344892</v>
      </c>
      <c r="F23" s="36">
        <f t="shared" ref="F23:F36" si="1">IF($E23="","",RANK($E23,$E$23:$E$36))</f>
        <v>3</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12</v>
      </c>
      <c r="C28" s="39">
        <f>COUNTIFS('Match Log'!$D$4:$D$810,$A28,'Match Log'!$C$4:$C$810,$D$21,'Match Log'!$E$4:$E$810,"Win")</f>
        <v>4</v>
      </c>
      <c r="D28" s="61">
        <f t="shared" si="0"/>
        <v>0.33333333333333331</v>
      </c>
      <c r="E28" s="62">
        <f>IFERROR(IF($B28=0,"",INDEX('Sport Records'!$B$91:$O$110,MATCH($D$21,'Sport Records'!$A$91:$A$110,0),MATCH($A28,'Sport Records'!$B$90:$O$90,0))),"")</f>
        <v>974.40980580511507</v>
      </c>
      <c r="F28" s="39">
        <f t="shared" si="1"/>
        <v>5</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W</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W</v>
      </c>
      <c r="G40" s="107" t="str">
        <f>IFERROR(IF(INDEX('Match Log'!$E$1:$E$810,_xlfn.AGGREGATE(14,6,ROW('Match Log'!$A$4:$A$810)/('Match Log'!$D$4:$D$810=$A40),5))="Win","W","L"),"")</f>
        <v>L</v>
      </c>
      <c r="H40" s="107" t="str">
        <f>IFERROR(IF(INDEX('Match Log'!$E$1:$E$810,_xlfn.AGGREGATE(14,6,ROW('Match Log'!$A$4:$A$810)/('Match Log'!$D$4:$D$810=$A40),4))="Win","W","L"),"")</f>
        <v>W</v>
      </c>
      <c r="I40" s="107" t="str">
        <f>IFERROR(IF(INDEX('Match Log'!$E$1:$E$810,_xlfn.AGGREGATE(14,6,ROW('Match Log'!$A$4:$A$810)/('Match Log'!$D$4:$D$810=$A40),3))="Win","W","L"),"")</f>
        <v>W</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W</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W</v>
      </c>
      <c r="H45" s="107" t="str">
        <f>IFERROR(IF(INDEX('Match Log'!$E$1:$E$810,_xlfn.AGGREGATE(14,6,ROW('Match Log'!$A$4:$A$810)/('Match Log'!$D$4:$D$810=$A45),4))="Win","W","L"),"")</f>
        <v>L</v>
      </c>
      <c r="I45" s="107" t="str">
        <f>IFERROR(IF(INDEX('Match Log'!$E$1:$E$810,_xlfn.AGGREGATE(14,6,ROW('Match Log'!$A$4:$A$810)/('Match Log'!$D$4:$D$810=$A45),3))="Win","W","L"),"")</f>
        <v>L</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f>IFERROR(INDEX('Sport Records'!$B$52:$O$71,MATCH($C$57,'Sport Records'!$A$52:$A$71,0),MATCH($A58,'Sport Records'!$B$51:$O$51,0)),"")</f>
        <v>0.5</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f>IFERROR(INDEX('Sport Records'!$B$52:$O$71,MATCH($J$57,'Sport Records'!$A$52:$A$71,0),MATCH($A58,'Sport Records'!$B$51:$O$51,0)),"")</f>
        <v>0</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0.5</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0.33333333333333331</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f>IFERROR(INDEX('Sport Records'!$B$52:$O$71,MATCH($J$57,'Sport Records'!$A$52:$A$71,0),MATCH($A61,'Sport Records'!$B$51:$O$51,0)),"")</f>
        <v>0</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f>IFERROR(INDEX('Sport Records'!$B$52:$O$71,MATCH($C$57,'Sport Records'!$A$52:$A$71,0),MATCH($A63,'Sport Records'!$B$51:$O$51,0)),"")</f>
        <v>0.5</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0.5</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0.33333333333333331</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0.66666666666666663</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f>IFERROR(INDEX('Sport Records'!$B$52:$O$71,MATCH($C$57,'Sport Records'!$A$52:$A$71,0),MATCH($A69,'Sport Records'!$B$51:$O$51,0)),"")</f>
        <v>0</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f>IFERROR(INDEX('Sport Records'!$B$52:$O$71,MATCH($C$57,'Sport Records'!$A$52:$A$71,0),MATCH($A70,'Sport Records'!$B$51:$O$51,0)),"")</f>
        <v>1</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306" activePane="bottomRight" state="frozen"/>
      <selection pane="topRight" activeCell="F1" sqref="F1"/>
      <selection pane="bottomLeft" activeCell="A244" sqref="A244"/>
      <selection pane="bottomRight" activeCell="E345" sqref="E345"/>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997.36259998776018</v>
      </c>
      <c r="I324" s="117">
        <f t="shared" si="87"/>
        <v>0.625</v>
      </c>
      <c r="J324" s="118">
        <f>IF($D324="",0,IF($F324&lt;2,0,IF($E324="Win",('Guide &amp; Settings'!$C$42/(($F324-1)*COUNTIFS($A$4:$A$810,$A324,$E$4:$E$810,"Win")))*SUMIFS($X$4:$X$810,$A$4:$A$810,$A324,$E$4:$E$810,"Loss"),-('Guide &amp; Settings'!$C$42/($F324-1))*$X324)))</f>
        <v>18.014954609390589</v>
      </c>
      <c r="K324" s="118">
        <f>IF($D324="",0,'Guide &amp; Settings'!$C$43*(IF($E324="Win",1,0)-$I324))</f>
        <v>4.5</v>
      </c>
      <c r="L324" s="119">
        <f>IF($D324="",0,'Guide &amp; Settings'!$C$44*IF($F324&gt;=3,$F324,0))</f>
        <v>0</v>
      </c>
      <c r="M324" s="118">
        <f t="shared" si="88"/>
        <v>22.514954609390589</v>
      </c>
      <c r="N324" s="116">
        <f t="shared" si="89"/>
        <v>1019.8775545971507</v>
      </c>
      <c r="O324" s="115" t="str">
        <f t="shared" si="90"/>
        <v>OK</v>
      </c>
      <c r="P324">
        <f t="shared" si="91"/>
        <v>997.36259998776018</v>
      </c>
      <c r="Q324">
        <f t="shared" si="92"/>
        <v>0.5</v>
      </c>
      <c r="R324">
        <f t="shared" si="93"/>
        <v>0.625</v>
      </c>
      <c r="S324">
        <f t="shared" si="94"/>
        <v>1</v>
      </c>
      <c r="T324" s="83">
        <f t="shared" si="95"/>
        <v>6</v>
      </c>
      <c r="U324" s="120">
        <f>IF($D324="",0,IFERROR(LOOKUP(2,1/(($D$3:D323=$D324)*($C$3:C323=$C324)*($A$3:A323&lt;$A324)),$AB$3:AB323),1000))</f>
        <v>1015.6654796209059</v>
      </c>
      <c r="V324" s="120">
        <f t="shared" si="96"/>
        <v>1007.3459888785669</v>
      </c>
      <c r="W324">
        <f t="shared" si="97"/>
        <v>1007.3459888785669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1131.7327279757073</v>
      </c>
      <c r="I325" s="117">
        <f t="shared" si="87"/>
        <v>0.375</v>
      </c>
      <c r="J325" s="118">
        <f>IF($D325="",0,IF($F325&lt;2,0,IF($E325="Win",('Guide &amp; Settings'!$C$42/(($F325-1)*COUNTIFS($A$4:$A$810,$A325,$E$4:$E$810,"Win")))*SUMIFS($X$4:$X$810,$A$4:$A$810,$A325,$E$4:$E$810,"Loss"),-('Guide &amp; Settings'!$C$42/($F325-1))*$X325)))</f>
        <v>-18.014954609390589</v>
      </c>
      <c r="K325" s="118">
        <f>IF($D325="",0,'Guide &amp; Settings'!$C$43*(IF($E325="Win",1,0)-$I325))</f>
        <v>-4.5</v>
      </c>
      <c r="L325" s="119">
        <f>IF($D325="",0,'Guide &amp; Settings'!$C$44*IF($F325&gt;=3,$F325,0))</f>
        <v>0</v>
      </c>
      <c r="M325" s="118">
        <f t="shared" si="88"/>
        <v>-22.514954609390589</v>
      </c>
      <c r="N325" s="116">
        <f t="shared" si="89"/>
        <v>1109.2177733663168</v>
      </c>
      <c r="O325" s="115" t="str">
        <f t="shared" si="90"/>
        <v>OK</v>
      </c>
      <c r="P325">
        <f t="shared" si="91"/>
        <v>997.36259998776018</v>
      </c>
      <c r="Q325">
        <f t="shared" si="92"/>
        <v>0.6842768000753876</v>
      </c>
      <c r="R325">
        <f t="shared" si="93"/>
        <v>0.375</v>
      </c>
      <c r="S325">
        <f t="shared" si="94"/>
        <v>1</v>
      </c>
      <c r="T325" s="83">
        <f t="shared" si="95"/>
        <v>6</v>
      </c>
      <c r="U325" s="120">
        <f>IF($D325="",0,IFERROR(LOOKUP(2,1/(($D$3:D324=$D325)*($C$3:C324=$C325)*($A$3:A324&lt;$A325)),$AB$3:AB324),1000))</f>
        <v>984.3345203790941</v>
      </c>
      <c r="V325" s="120">
        <f t="shared" si="96"/>
        <v>1051.3337056502819</v>
      </c>
      <c r="W325">
        <f t="shared" si="97"/>
        <v>1007.3459888785669</v>
      </c>
      <c r="X325">
        <f t="shared" si="98"/>
        <v>0.56296733154345591</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1019.8775545971507</v>
      </c>
      <c r="I326" s="117">
        <f t="shared" si="87"/>
        <v>0.25</v>
      </c>
      <c r="J326" s="118">
        <f>IF($D326="",0,IF($F326&lt;2,0,IF($E326="Win",('Guide &amp; Settings'!$C$42/(($F326-1)*COUNTIFS($A$4:$A$810,$A326,$E$4:$E$810,"Win")))*SUMIFS($X$4:$X$810,$A$4:$A$810,$A326,$E$4:$E$810,"Loss"),-('Guide &amp; Settings'!$C$42/($F326-1))*$X326)))</f>
        <v>17.348250919887988</v>
      </c>
      <c r="K326" s="118">
        <f>IF($D326="",0,'Guide &amp; Settings'!$C$43*(IF($E326="Win",1,0)-$I326))</f>
        <v>9</v>
      </c>
      <c r="L326" s="119">
        <f>IF($D326="",0,'Guide &amp; Settings'!$C$44*IF($F326&gt;=3,$F326,0))</f>
        <v>3</v>
      </c>
      <c r="M326" s="118">
        <f t="shared" si="88"/>
        <v>29.348250919887988</v>
      </c>
      <c r="N326" s="116">
        <f t="shared" si="89"/>
        <v>1049.2258055170387</v>
      </c>
      <c r="O326" s="115" t="str">
        <f>IF($D326="","",IF(COUNTIFS($A$4:$A$810,$A326,$E$4:$E$810,"Win")=0,"need a winner",IF(COUNTIFS($A$4:$A$810,$A326,$E$4:$E$810,"Loss")=0,"need a loser",IF(COUNTIFS($A$4:$A$810,$A326,$D$4:$D$810,$D326)&gt;1,"duplicate player","OK"))))</f>
        <v>OK</v>
      </c>
      <c r="P326">
        <f>IF($D326="",0,IFERROR(SUMIFS($H$4:$H$810,$A$4:$A$810,$A326,$E$4:$E$810,"Win")/COUNTIFS($A$4:$A$810,$A326,$E$4:$E$810,"Win"),0))</f>
        <v>1019.8775545971507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1015.2312954976255</v>
      </c>
      <c r="W326">
        <f>IF($D326="",0,IFERROR(SUMIFS($V$4:$V$810,$A$4:$A$810,$A326,$E$4:$E$810,"Win")/COUNTIFS($A$4:$A$810,$A326,$E$4:$E$810,"Win"),0))</f>
        <v>1015.2312954976255</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1109.2177733663168</v>
      </c>
      <c r="I327" s="117">
        <f t="shared" si="87"/>
        <v>0.375</v>
      </c>
      <c r="J327" s="118">
        <f>IF($D327="",0,IF($F327&lt;2,0,IF($E327="Win",('Guide &amp; Settings'!$C$42/(($F327-1)*COUNTIFS($A$4:$A$810,$A327,$E$4:$E$810,"Win")))*SUMIFS($X$4:$X$810,$A$4:$A$810,$A327,$E$4:$E$810,"Loss"),-('Guide &amp; Settings'!$C$42/($F327-1))*$X327)))</f>
        <v>-10.112830555517277</v>
      </c>
      <c r="K327" s="118">
        <f>IF($D327="",0,'Guide &amp; Settings'!$C$43*(IF($E327="Win",1,0)-$I327))</f>
        <v>-4.5</v>
      </c>
      <c r="L327" s="119">
        <f>IF($D327="",0,'Guide &amp; Settings'!$C$44*IF($F327&gt;=3,$F327,0))</f>
        <v>3</v>
      </c>
      <c r="M327" s="118">
        <f t="shared" si="88"/>
        <v>-11.612830555517277</v>
      </c>
      <c r="N327" s="116">
        <f t="shared" si="89"/>
        <v>1097.6049428107995</v>
      </c>
      <c r="O327" s="115" t="str">
        <f>IF($D327="","",IF(COUNTIFS($A$4:$A$810,$A327,$E$4:$E$810,"Win")=0,"need a winner",IF(COUNTIFS($A$4:$A$810,$A327,$E$4:$E$810,"Loss")=0,"need a loser",IF(COUNTIFS($A$4:$A$810,$A327,$D$4:$D$810,$D327)&gt;1,"duplicate player","OK"))))</f>
        <v>OK</v>
      </c>
      <c r="P327">
        <f>IF($D327="",0,IFERROR(SUMIFS($H$4:$H$810,$A$4:$A$810,$A327,$E$4:$E$810,"Win")/COUNTIFS($A$4:$A$810,$A327,$E$4:$E$810,"Win"),0))</f>
        <v>1019.8775545971507</v>
      </c>
      <c r="Q327">
        <f t="shared" si="92"/>
        <v>0.62581012153733528</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1109.2177733663168</v>
      </c>
      <c r="W327">
        <f>IF($D327="",0,IFERROR(SUMIFS($V$4:$V$810,$A$4:$A$810,$A327,$E$4:$E$810,"Win")/COUNTIFS($A$4:$A$810,$A327,$E$4:$E$810,"Win"),0))</f>
        <v>1015.2312954976255</v>
      </c>
      <c r="X327">
        <f t="shared" si="98"/>
        <v>0.63205190971982983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981.92436608474441</v>
      </c>
      <c r="I328" s="117">
        <f t="shared" si="87"/>
        <v>0.375</v>
      </c>
      <c r="J328" s="118">
        <f>IF($D328="",0,IF($F328&lt;2,0,IF($E328="Win",('Guide &amp; Settings'!$C$42/(($F328-1)*COUNTIFS($A$4:$A$810,$A328,$E$4:$E$810,"Win")))*SUMIFS($X$4:$X$810,$A$4:$A$810,$A328,$E$4:$E$810,"Loss"),-('Guide &amp; Settings'!$C$42/($F328-1))*$X328)))</f>
        <v>-7.2354203643707127</v>
      </c>
      <c r="K328" s="118">
        <f>IF($D328="",0,'Guide &amp; Settings'!$C$43*(IF($E328="Win",1,0)-$I328))</f>
        <v>-4.5</v>
      </c>
      <c r="L328" s="119">
        <f>IF($D328="",0,'Guide &amp; Settings'!$C$44*IF($F328&gt;=3,$F328,0))</f>
        <v>3</v>
      </c>
      <c r="M328" s="118">
        <f t="shared" si="88"/>
        <v>-8.7354203643707127</v>
      </c>
      <c r="N328" s="116">
        <f t="shared" si="89"/>
        <v>973.18894572037368</v>
      </c>
      <c r="O328" s="115" t="str">
        <f t="shared" si="90"/>
        <v>OK</v>
      </c>
      <c r="P328">
        <f t="shared" si="91"/>
        <v>1019.8775545971507</v>
      </c>
      <c r="Q328">
        <f t="shared" si="92"/>
        <v>0.4455971946111823</v>
      </c>
      <c r="R328">
        <f t="shared" si="93"/>
        <v>0.5</v>
      </c>
      <c r="S328">
        <f t="shared" si="94"/>
        <v>1.3333333333333333</v>
      </c>
      <c r="T328" s="83">
        <f t="shared" si="95"/>
        <v>0</v>
      </c>
      <c r="U328" s="120">
        <f>IF($D328="",0,IFERROR(LOOKUP(2,1/(($D$3:D327=$D328)*($C$3:C327=$C328)*($A$3:A327&lt;$A328)),$AB$3:AB327),1000))</f>
        <v>1000</v>
      </c>
      <c r="V328" s="120">
        <f t="shared" si="96"/>
        <v>981.92436608474441</v>
      </c>
      <c r="W328">
        <f t="shared" si="97"/>
        <v>1015.2312954976255</v>
      </c>
      <c r="X328">
        <f t="shared" si="98"/>
        <v>0.45221377277316954</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1049.2258055170387</v>
      </c>
      <c r="I329" s="117">
        <f t="shared" si="87"/>
        <v>0.66666666666666663</v>
      </c>
      <c r="J329" s="118">
        <f>IF($D329="",0,IF($F329&lt;2,0,IF($E329="Win",('Guide &amp; Settings'!$C$42/(($F329-1)*COUNTIFS($A$4:$A$810,$A329,$E$4:$E$810,"Win")))*SUMIFS($X$4:$X$810,$A$4:$A$810,$A329,$E$4:$E$810,"Loss"),-('Guide &amp; Settings'!$C$42/($F329-1))*$X329)))</f>
        <v>15.304766496853651</v>
      </c>
      <c r="K329" s="118">
        <f>IF($D329="",0,'Guide &amp; Settings'!$C$43*(IF($E329="Win",1,0)-$I329))</f>
        <v>4</v>
      </c>
      <c r="L329" s="119">
        <f>IF($D329="",0,'Guide &amp; Settings'!$C$44*IF($F329&gt;=3,$F329,0))</f>
        <v>0</v>
      </c>
      <c r="M329" s="118">
        <f t="shared" si="88"/>
        <v>19.304766496853652</v>
      </c>
      <c r="N329" s="116">
        <f t="shared" si="89"/>
        <v>1068.5305720138924</v>
      </c>
      <c r="O329" s="115" t="str">
        <f t="shared" si="90"/>
        <v>OK</v>
      </c>
      <c r="P329">
        <f t="shared" si="91"/>
        <v>1049.2258055170387</v>
      </c>
      <c r="Q329">
        <f t="shared" si="92"/>
        <v>0.5</v>
      </c>
      <c r="R329">
        <f t="shared" si="93"/>
        <v>0.66666666666666663</v>
      </c>
      <c r="S329">
        <f t="shared" si="94"/>
        <v>1</v>
      </c>
      <c r="T329" s="83">
        <f t="shared" si="95"/>
        <v>7</v>
      </c>
      <c r="U329" s="120">
        <f>IF($D329="",0,IFERROR(LOOKUP(2,1/(($D$3:D328=$D329)*($C$3:C328=$C329)*($A$3:A328&lt;$A329)),$AB$3:AB328),1000))</f>
        <v>1030.2265340285246</v>
      </c>
      <c r="V329" s="120">
        <f t="shared" si="96"/>
        <v>1038.1428971487389</v>
      </c>
      <c r="W329">
        <f t="shared" si="97"/>
        <v>1038.1428971487389</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IF($D329="","",IF(SUMPRODUCT(MAX(($D$4:$D$810=$D329)*($B$4:$B$810&lt;$B329)*$B$4:$B$810))=0,0,MAX(($B329-MAX(SUMPRODUCT(MAX(($D$4:$D$810=$D329)*($B$4:$B$810&lt;$B329)*$B$4:$B$810)),'Guide &amp; Settings'!$C$50))/7-'Guide &amp; Settings'!$C$48,0)*'Guide &amp; Settings'!$C$49))</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1097.6049428107995</v>
      </c>
      <c r="I330" s="117">
        <f t="shared" si="87"/>
        <v>0.33333333333333331</v>
      </c>
      <c r="J330" s="118">
        <f>IF($D330="",0,IF($F330&lt;2,0,IF($E330="Win",('Guide &amp; Settings'!$C$42/(($F330-1)*COUNTIFS($A$4:$A$810,$A330,$E$4:$E$810,"Win")))*SUMIFS($X$4:$X$810,$A$4:$A$810,$A330,$E$4:$E$810,"Loss"),-('Guide &amp; Settings'!$C$42/($F330-1))*$X330)))</f>
        <v>-15.304766496853651</v>
      </c>
      <c r="K330" s="118">
        <f>IF($D330="",0,'Guide &amp; Settings'!$C$43*(IF($E330="Win",1,0)-$I330))</f>
        <v>-4</v>
      </c>
      <c r="L330" s="119">
        <f>IF($D330="",0,'Guide &amp; Settings'!$C$44*IF($F330&gt;=3,$F330,0))</f>
        <v>0</v>
      </c>
      <c r="M330" s="118">
        <f t="shared" si="88"/>
        <v>-19.304766496853652</v>
      </c>
      <c r="N330" s="116">
        <f t="shared" si="89"/>
        <v>1078.3001763139457</v>
      </c>
      <c r="O330" s="115" t="str">
        <f t="shared" si="90"/>
        <v>OK</v>
      </c>
      <c r="P330">
        <f t="shared" si="91"/>
        <v>1049.2258055170387</v>
      </c>
      <c r="Q330">
        <f t="shared" si="92"/>
        <v>0.56917665080277347</v>
      </c>
      <c r="R330">
        <f t="shared" si="93"/>
        <v>0.33333333333333331</v>
      </c>
      <c r="S330">
        <f t="shared" si="94"/>
        <v>1</v>
      </c>
      <c r="T330" s="83">
        <f t="shared" si="95"/>
        <v>7</v>
      </c>
      <c r="U330" s="120">
        <f>IF($D330="",0,IFERROR(LOOKUP(2,1/(($D$3:D329=$D330)*($C$3:C329=$C330)*($A$3:A329&lt;$A330)),$AB$3:AB329),1000))</f>
        <v>969.77346597147539</v>
      </c>
      <c r="V330" s="120">
        <f t="shared" si="96"/>
        <v>1023.0365813211937</v>
      </c>
      <c r="W330">
        <f t="shared" si="97"/>
        <v>1038.1428971487389</v>
      </c>
      <c r="X330">
        <f t="shared" si="98"/>
        <v>0.47827395302667658</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IF($D330="","",IF(SUMPRODUCT(MAX(($D$4:$D$810=$D330)*($B$4:$B$810&lt;$B330)*$B$4:$B$810))=0,0,MAX(($B330-MAX(SUMPRODUCT(MAX(($D$4:$D$810=$D330)*($B$4:$B$810&lt;$B330)*$B$4:$B$810)),'Guide &amp; Settings'!$C$50))/7-'Guide &amp; Settings'!$C$48,0)*'Guide &amp; Settings'!$C$49))</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1068.5305720138924</v>
      </c>
      <c r="I331" s="117">
        <f t="shared" si="87"/>
        <v>0.7</v>
      </c>
      <c r="J331" s="118">
        <f>IF($D331="",0,IF($F331&lt;2,0,IF($E331="Win",('Guide &amp; Settings'!$C$42/(($F331-1)*COUNTIFS($A$4:$A$810,$A331,$E$4:$E$810,"Win")))*SUMIFS($X$4:$X$810,$A$4:$A$810,$A331,$E$4:$E$810,"Loss"),-('Guide &amp; Settings'!$C$42/($F331-1))*$X331)))</f>
        <v>-18.275288185921696</v>
      </c>
      <c r="K331" s="118">
        <f>IF($D331="",0,'Guide &amp; Settings'!$C$43*(IF($E331="Win",1,0)-$I331))</f>
        <v>-8.3999999999999986</v>
      </c>
      <c r="L331" s="119">
        <f>IF($D331="",0,'Guide &amp; Settings'!$C$44*IF($F331&gt;=3,$F331,0))</f>
        <v>0</v>
      </c>
      <c r="M331" s="118">
        <f t="shared" si="88"/>
        <v>-26.675288185921694</v>
      </c>
      <c r="N331" s="116">
        <f t="shared" si="89"/>
        <v>1041.8552838279707</v>
      </c>
      <c r="O331" s="115" t="str">
        <f t="shared" si="90"/>
        <v>OK</v>
      </c>
      <c r="P331">
        <f t="shared" si="91"/>
        <v>1078.3001763139457</v>
      </c>
      <c r="Q331">
        <f t="shared" si="92"/>
        <v>0.48594411364726281</v>
      </c>
      <c r="R331">
        <f t="shared" si="93"/>
        <v>0.7</v>
      </c>
      <c r="S331">
        <f t="shared" si="94"/>
        <v>1</v>
      </c>
      <c r="T331" s="83">
        <f t="shared" si="95"/>
        <v>8</v>
      </c>
      <c r="U331" s="120">
        <f>IF($D331="",0,IFERROR(LOOKUP(2,1/(($D$3:D330=$D331)*($C$3:C330=$C331)*($A$3:A330&lt;$A331)),$AB$3:AB330),1000))</f>
        <v>1043.4703263644824</v>
      </c>
      <c r="V331" s="120">
        <f t="shared" si="96"/>
        <v>1053.1088823834862</v>
      </c>
      <c r="W331">
        <f t="shared" si="97"/>
        <v>1003.36448235799</v>
      </c>
      <c r="X331">
        <f t="shared" si="98"/>
        <v>0.57110275581005299</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IF($D331="","",IF(SUMPRODUCT(MAX(($D$4:$D$810=$D331)*($B$4:$B$810&lt;$B331)*$B$4:$B$810))=0,0,MAX(($B331-MAX(SUMPRODUCT(MAX(($D$4:$D$810=$D331)*($B$4:$B$810&lt;$B331)*$B$4:$B$810)),'Guide &amp; Settings'!$C$50))/7-'Guide &amp; Settings'!$C$48,0)*'Guide &amp; Settings'!$C$49))</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1078.3001763139457</v>
      </c>
      <c r="I332" s="117">
        <f t="shared" si="87"/>
        <v>0.3</v>
      </c>
      <c r="J332" s="118">
        <f>IF($D332="",0,IF($F332&lt;2,0,IF($E332="Win",('Guide &amp; Settings'!$C$42/(($F332-1)*COUNTIFS($A$4:$A$810,$A332,$E$4:$E$810,"Win")))*SUMIFS($X$4:$X$810,$A$4:$A$810,$A332,$E$4:$E$810,"Loss"),-('Guide &amp; Settings'!$C$42/($F332-1))*$X332)))</f>
        <v>18.275288185921696</v>
      </c>
      <c r="K332" s="118">
        <f>IF($D332="",0,'Guide &amp; Settings'!$C$43*(IF($E332="Win",1,0)-$I332))</f>
        <v>8.3999999999999986</v>
      </c>
      <c r="L332" s="119">
        <f>IF($D332="",0,'Guide &amp; Settings'!$C$44*IF($F332&gt;=3,$F332,0))</f>
        <v>0</v>
      </c>
      <c r="M332" s="118">
        <f t="shared" si="88"/>
        <v>26.675288185921694</v>
      </c>
      <c r="N332" s="116">
        <f t="shared" si="89"/>
        <v>1104.9754644998675</v>
      </c>
      <c r="O332" s="115" t="str">
        <f t="shared" si="90"/>
        <v>OK</v>
      </c>
      <c r="P332">
        <f t="shared" si="91"/>
        <v>1078.3001763139457</v>
      </c>
      <c r="Q332">
        <f t="shared" si="92"/>
        <v>0.5</v>
      </c>
      <c r="R332">
        <f t="shared" si="93"/>
        <v>0.3</v>
      </c>
      <c r="S332">
        <f t="shared" si="94"/>
        <v>1</v>
      </c>
      <c r="T332" s="83">
        <f t="shared" si="95"/>
        <v>8</v>
      </c>
      <c r="U332" s="120">
        <f>IF($D332="",0,IFERROR(LOOKUP(2,1/(($D$3:D331=$D332)*($C$3:C331=$C332)*($A$3:A331&lt;$A332)),$AB$3:AB331),1000))</f>
        <v>956.52967363551772</v>
      </c>
      <c r="V332" s="120">
        <f t="shared" si="96"/>
        <v>1003.36448235799</v>
      </c>
      <c r="W332">
        <f t="shared" si="97"/>
        <v>1003.36448235799</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IF($D332="","",IF(SUMPRODUCT(MAX(($D$4:$D$810=$D332)*($B$4:$B$810&lt;$B332)*$B$4:$B$810))=0,0,MAX(($B332-MAX(SUMPRODUCT(MAX(($D$4:$D$810=$D332)*($B$4:$B$810&lt;$B332)*$B$4:$B$810)),'Guide &amp; Settings'!$C$50))/7-'Guide &amp; Settings'!$C$48,0)*'Guide &amp; Settings'!$C$49))</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1041.8552838279707</v>
      </c>
      <c r="I333" s="117">
        <f t="shared" si="87"/>
        <v>0.5</v>
      </c>
      <c r="J333" s="118">
        <f>IF($D333="",0,IF($F333&lt;2,0,IF($E333="Win",('Guide &amp; Settings'!$C$42/(($F333-1)*COUNTIFS($A$4:$A$810,$A333,$E$4:$E$810,"Win")))*SUMIFS($X$4:$X$810,$A$4:$A$810,$A333,$E$4:$E$810,"Loss"),-('Guide &amp; Settings'!$C$42/($F333-1))*$X333)))</f>
        <v>18.875228232802513</v>
      </c>
      <c r="K333" s="118">
        <f>IF($D333="",0,'Guide &amp; Settings'!$C$43*(IF($E333="Win",1,0)-$I333))</f>
        <v>6</v>
      </c>
      <c r="L333" s="119">
        <f>IF($D333="",0,'Guide &amp; Settings'!$C$44*IF($F333&gt;=3,$F333,0))</f>
        <v>0</v>
      </c>
      <c r="M333" s="118">
        <f t="shared" si="88"/>
        <v>24.875228232802513</v>
      </c>
      <c r="N333" s="116">
        <f t="shared" si="89"/>
        <v>1066.7305120607732</v>
      </c>
      <c r="O333" s="115" t="str">
        <f t="shared" si="90"/>
        <v>OK</v>
      </c>
      <c r="P333">
        <f t="shared" si="91"/>
        <v>1041.8552838279707</v>
      </c>
      <c r="Q333">
        <f t="shared" si="92"/>
        <v>0.5</v>
      </c>
      <c r="R333">
        <f t="shared" si="93"/>
        <v>0.5</v>
      </c>
      <c r="S333">
        <f t="shared" si="94"/>
        <v>1</v>
      </c>
      <c r="T333" s="83">
        <f t="shared" si="95"/>
        <v>0</v>
      </c>
      <c r="U333" s="120">
        <f>IF($D333="",0,IFERROR(LOOKUP(2,1/(($D$3:D332=$D333)*($C$3:C332=$C333)*($A$3:A332&lt;$A333)),$AB$3:AB332),1000))</f>
        <v>1000</v>
      </c>
      <c r="V333" s="120">
        <f t="shared" si="96"/>
        <v>1041.8552838279707</v>
      </c>
      <c r="W333">
        <f t="shared" si="97"/>
        <v>1041.8552838279707</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IF($D333="","",IF(SUMPRODUCT(MAX(($D$4:$D$810=$D333)*($B$4:$B$810&lt;$B333)*$B$4:$B$810))=0,0,MAX(($B333-MAX(SUMPRODUCT(MAX(($D$4:$D$810=$D333)*($B$4:$B$810&lt;$B333)*$B$4:$B$810)),'Guide &amp; Settings'!$C$50))/7-'Guide &amp; Settings'!$C$48,0)*'Guide &amp; Settings'!$C$49))</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1104.9754644998675</v>
      </c>
      <c r="I334" s="117">
        <f t="shared" si="87"/>
        <v>0.5</v>
      </c>
      <c r="J334" s="118">
        <f>IF($D334="",0,IF($F334&lt;2,0,IF($E334="Win",('Guide &amp; Settings'!$C$42/(($F334-1)*COUNTIFS($A$4:$A$810,$A334,$E$4:$E$810,"Win")))*SUMIFS($X$4:$X$810,$A$4:$A$810,$A334,$E$4:$E$810,"Loss"),-('Guide &amp; Settings'!$C$42/($F334-1))*$X334)))</f>
        <v>-18.875228232802513</v>
      </c>
      <c r="K334" s="118">
        <f>IF($D334="",0,'Guide &amp; Settings'!$C$43*(IF($E334="Win",1,0)-$I334))</f>
        <v>-6</v>
      </c>
      <c r="L334" s="119">
        <f>IF($D334="",0,'Guide &amp; Settings'!$C$44*IF($F334&gt;=3,$F334,0))</f>
        <v>0</v>
      </c>
      <c r="M334" s="118">
        <f t="shared" si="88"/>
        <v>-24.875228232802513</v>
      </c>
      <c r="N334" s="116">
        <f t="shared" si="89"/>
        <v>1080.1002362670649</v>
      </c>
      <c r="O334" s="115" t="str">
        <f t="shared" si="90"/>
        <v>OK</v>
      </c>
      <c r="P334">
        <f t="shared" si="91"/>
        <v>1041.8552838279707</v>
      </c>
      <c r="Q334">
        <f t="shared" si="92"/>
        <v>0.58985088227507854</v>
      </c>
      <c r="R334">
        <f t="shared" si="93"/>
        <v>0.5</v>
      </c>
      <c r="S334">
        <f t="shared" si="94"/>
        <v>1</v>
      </c>
      <c r="T334" s="83">
        <f t="shared" si="95"/>
        <v>0</v>
      </c>
      <c r="U334" s="120">
        <f>IF($D334="",0,IFERROR(LOOKUP(2,1/(($D$3:D333=$D334)*($C$3:C333=$C334)*($A$3:A333&lt;$A334)),$AB$3:AB333),1000))</f>
        <v>1000</v>
      </c>
      <c r="V334" s="120">
        <f t="shared" si="96"/>
        <v>1104.9754644998675</v>
      </c>
      <c r="W334">
        <f t="shared" si="97"/>
        <v>1041.8552838279707</v>
      </c>
      <c r="X334">
        <f t="shared" si="98"/>
        <v>0.58985088227507854</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IF($D334="","",IF(SUMPRODUCT(MAX(($D$4:$D$810=$D334)*($B$4:$B$810&lt;$B334)*$B$4:$B$810))=0,0,MAX(($B334-MAX(SUMPRODUCT(MAX(($D$4:$D$810=$D334)*($B$4:$B$810&lt;$B334)*$B$4:$B$810)),'Guide &amp; Settings'!$C$50))/7-'Guide &amp; Settings'!$C$48,0)*'Guide &amp; Settings'!$C$49))</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1080.1002362670649</v>
      </c>
      <c r="I335" s="117">
        <f t="shared" si="87"/>
        <v>0.33333333333333331</v>
      </c>
      <c r="J335" s="118">
        <f>IF($D335="",0,IF($F335&lt;2,0,IF($E335="Win",('Guide &amp; Settings'!$C$42/(($F335-1)*COUNTIFS($A$4:$A$810,$A335,$E$4:$E$810,"Win")))*SUMIFS($X$4:$X$810,$A$4:$A$810,$A335,$E$4:$E$810,"Loss"),-('Guide &amp; Settings'!$C$42/($F335-1))*$X335)))</f>
        <v>15.732551862252018</v>
      </c>
      <c r="K335" s="118">
        <f>IF($D335="",0,'Guide &amp; Settings'!$C$43*(IF($E335="Win",1,0)-$I335))</f>
        <v>8</v>
      </c>
      <c r="L335" s="119">
        <f>IF($D335="",0,'Guide &amp; Settings'!$C$44*IF($F335&gt;=3,$F335,0))</f>
        <v>0</v>
      </c>
      <c r="M335" s="118">
        <f t="shared" si="88"/>
        <v>23.732551862252016</v>
      </c>
      <c r="N335" s="116">
        <f t="shared" si="89"/>
        <v>1103.8327881293169</v>
      </c>
      <c r="O335" s="115" t="str">
        <f t="shared" si="90"/>
        <v>OK</v>
      </c>
      <c r="P335">
        <f t="shared" si="91"/>
        <v>1080.1002362670649</v>
      </c>
      <c r="Q335">
        <f t="shared" si="92"/>
        <v>0.5</v>
      </c>
      <c r="R335">
        <f t="shared" si="93"/>
        <v>0.33333333333333331</v>
      </c>
      <c r="S335">
        <f t="shared" si="94"/>
        <v>1</v>
      </c>
      <c r="T335" s="83">
        <f t="shared" si="95"/>
        <v>1</v>
      </c>
      <c r="U335" s="120">
        <f>IF($D335="",0,IFERROR(LOOKUP(2,1/(($D$3:D334=$D335)*($C$3:C334=$C335)*($A$3:A334&lt;$A335)),$AB$3:AB334),1000))</f>
        <v>984</v>
      </c>
      <c r="V335" s="120">
        <f t="shared" si="96"/>
        <v>1064.0835302225541</v>
      </c>
      <c r="W335">
        <f t="shared" si="97"/>
        <v>1064.0835302225541</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IF($D335="","",IF(SUMPRODUCT(MAX(($D$4:$D$810=$D335)*($B$4:$B$810&lt;$B335)*$B$4:$B$810))=0,0,MAX(($B335-MAX(SUMPRODUCT(MAX(($D$4:$D$810=$D335)*($B$4:$B$810&lt;$B335)*$B$4:$B$810)),'Guide &amp; Settings'!$C$50))/7-'Guide &amp; Settings'!$C$48,0)*'Guide &amp; Settings'!$C$49))</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1066.7305120607732</v>
      </c>
      <c r="I336" s="117">
        <f t="shared" si="87"/>
        <v>0.66666666666666663</v>
      </c>
      <c r="J336" s="118">
        <f>IF($D336="",0,IF($F336&lt;2,0,IF($E336="Win",('Guide &amp; Settings'!$C$42/(($F336-1)*COUNTIFS($A$4:$A$810,$A336,$E$4:$E$810,"Win")))*SUMIFS($X$4:$X$810,$A$4:$A$810,$A336,$E$4:$E$810,"Loss"),-('Guide &amp; Settings'!$C$42/($F336-1))*$X336)))</f>
        <v>-15.732551862252018</v>
      </c>
      <c r="K336" s="118">
        <f>IF($D336="",0,'Guide &amp; Settings'!$C$43*(IF($E336="Win",1,0)-$I336))</f>
        <v>-8</v>
      </c>
      <c r="L336" s="119">
        <f>IF($D336="",0,'Guide &amp; Settings'!$C$44*IF($F336&gt;=3,$F336,0))</f>
        <v>0</v>
      </c>
      <c r="M336" s="118">
        <f t="shared" si="88"/>
        <v>-23.732551862252016</v>
      </c>
      <c r="N336" s="116">
        <f t="shared" si="89"/>
        <v>1042.9979601985212</v>
      </c>
      <c r="O336" s="115" t="str">
        <f t="shared" si="90"/>
        <v>OK</v>
      </c>
      <c r="P336">
        <f t="shared" si="91"/>
        <v>1080.1002362670649</v>
      </c>
      <c r="Q336">
        <f t="shared" si="92"/>
        <v>0.48076891174162362</v>
      </c>
      <c r="R336">
        <f t="shared" si="93"/>
        <v>0.66666666666666663</v>
      </c>
      <c r="S336">
        <f t="shared" si="94"/>
        <v>1</v>
      </c>
      <c r="T336" s="83">
        <f t="shared" si="95"/>
        <v>1</v>
      </c>
      <c r="U336" s="120">
        <f>IF($D336="",0,IFERROR(LOOKUP(2,1/(($D$3:D335=$D336)*($C$3:C335=$C336)*($A$3:A335&lt;$A336)),$AB$3:AB335),1000))</f>
        <v>1016</v>
      </c>
      <c r="V336" s="120">
        <f t="shared" si="96"/>
        <v>1058.2754267173111</v>
      </c>
      <c r="W336">
        <f t="shared" si="97"/>
        <v>1064.0835302225541</v>
      </c>
      <c r="X336">
        <f t="shared" si="98"/>
        <v>0.49164224569537557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IF($D336="","",IF(SUMPRODUCT(MAX(($D$4:$D$810=$D336)*($B$4:$B$810&lt;$B336)*$B$4:$B$810))=0,0,MAX(($B336-MAX(SUMPRODUCT(MAX(($D$4:$D$810=$D336)*($B$4:$B$810&lt;$B336)*$B$4:$B$810)),'Guide &amp; Settings'!$C$50))/7-'Guide &amp; Settings'!$C$48,0)*'Guide &amp; Settings'!$C$49))</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1030.3815983388336</v>
      </c>
      <c r="I337" s="117">
        <f t="shared" si="87"/>
        <v>0.5</v>
      </c>
      <c r="J337" s="118">
        <f>IF($D337="",0,IF($F337&lt;2,0,IF($E337="Win",('Guide &amp; Settings'!$C$42/(($F337-1)*COUNTIFS($A$4:$A$810,$A337,$E$4:$E$810,"Win")))*SUMIFS($X$4:$X$810,$A$4:$A$810,$A337,$E$4:$E$810,"Loss"),-('Guide &amp; Settings'!$C$42/($F337-1))*$X337)))</f>
        <v>16.038879074072355</v>
      </c>
      <c r="K337" s="118">
        <f>IF($D337="",0,'Guide &amp; Settings'!$C$43*(IF($E337="Win",1,0)-$I337))</f>
        <v>6</v>
      </c>
      <c r="L337" s="119">
        <f>IF($D337="",0,'Guide &amp; Settings'!$C$44*IF($F337&gt;=3,$F337,0))</f>
        <v>0</v>
      </c>
      <c r="M337" s="118">
        <f t="shared" si="88"/>
        <v>22.038879074072355</v>
      </c>
      <c r="N337" s="116">
        <f t="shared" si="89"/>
        <v>1052.4204774129059</v>
      </c>
      <c r="O337" s="115" t="str">
        <f t="shared" si="90"/>
        <v>OK</v>
      </c>
      <c r="P337">
        <f t="shared" si="91"/>
        <v>1030.3815983388336</v>
      </c>
      <c r="Q337">
        <f t="shared" si="92"/>
        <v>0.5</v>
      </c>
      <c r="R337">
        <f t="shared" si="93"/>
        <v>0.5</v>
      </c>
      <c r="S337">
        <f t="shared" si="94"/>
        <v>1</v>
      </c>
      <c r="T337" s="83">
        <f t="shared" si="95"/>
        <v>0</v>
      </c>
      <c r="U337" s="120">
        <f>IF($D337="",0,IFERROR(LOOKUP(2,1/(($D$3:D336=$D337)*($C$3:C336=$C337)*($A$3:A336&lt;$A337)),$AB$3:AB336),1000))</f>
        <v>1000</v>
      </c>
      <c r="V337" s="120">
        <f t="shared" si="96"/>
        <v>1030.3815983388336</v>
      </c>
      <c r="W337">
        <f t="shared" si="97"/>
        <v>1030.3815983388336</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IF($D337="","",IF(SUMPRODUCT(MAX(($D$4:$D$810=$D337)*($B$4:$B$810&lt;$B337)*$B$4:$B$810))=0,0,MAX(($B337-MAX(SUMPRODUCT(MAX(($D$4:$D$810=$D337)*($B$4:$B$810&lt;$B337)*$B$4:$B$810)),'Guide &amp; Settings'!$C$50))/7-'Guide &amp; Settings'!$C$48,0)*'Guide &amp; Settings'!$C$49))</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1031.225848367051</v>
      </c>
      <c r="I338" s="117">
        <f t="shared" si="87"/>
        <v>0.5</v>
      </c>
      <c r="J338" s="118">
        <f>IF($D338="",0,IF($F338&lt;2,0,IF($E338="Win",('Guide &amp; Settings'!$C$42/(($F338-1)*COUNTIFS($A$4:$A$810,$A338,$E$4:$E$810,"Win")))*SUMIFS($X$4:$X$810,$A$4:$A$810,$A338,$E$4:$E$810,"Loss"),-('Guide &amp; Settings'!$C$42/($F338-1))*$X338)))</f>
        <v>-16.038879074072355</v>
      </c>
      <c r="K338" s="118">
        <f>IF($D338="",0,'Guide &amp; Settings'!$C$43*(IF($E338="Win",1,0)-$I338))</f>
        <v>-6</v>
      </c>
      <c r="L338" s="119">
        <f>IF($D338="",0,'Guide &amp; Settings'!$C$44*IF($F338&gt;=3,$F338,0))</f>
        <v>0</v>
      </c>
      <c r="M338" s="118">
        <f t="shared" si="88"/>
        <v>-22.038879074072355</v>
      </c>
      <c r="N338" s="116">
        <f t="shared" si="89"/>
        <v>1009.1869692929786</v>
      </c>
      <c r="O338" s="115" t="str">
        <f t="shared" si="90"/>
        <v>OK</v>
      </c>
      <c r="P338">
        <f t="shared" si="91"/>
        <v>1030.3815983388336</v>
      </c>
      <c r="Q338">
        <f t="shared" si="92"/>
        <v>0.50121497106476109</v>
      </c>
      <c r="R338">
        <f t="shared" si="93"/>
        <v>0.5</v>
      </c>
      <c r="S338">
        <f t="shared" si="94"/>
        <v>1</v>
      </c>
      <c r="T338" s="83">
        <f t="shared" si="95"/>
        <v>0</v>
      </c>
      <c r="U338" s="120">
        <f>IF($D338="",0,IFERROR(LOOKUP(2,1/(($D$3:D337=$D338)*($C$3:C337=$C338)*($A$3:A337&lt;$A338)),$AB$3:AB337),1000))</f>
        <v>1000</v>
      </c>
      <c r="V338" s="120">
        <f t="shared" si="96"/>
        <v>1031.225848367051</v>
      </c>
      <c r="W338">
        <f t="shared" si="97"/>
        <v>1030.3815983388336</v>
      </c>
      <c r="X338">
        <f t="shared" si="98"/>
        <v>0.50121497106476109</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IF($D338="","",IF(SUMPRODUCT(MAX(($D$4:$D$810=$D338)*($B$4:$B$810&lt;$B338)*$B$4:$B$810))=0,0,MAX(($B338-MAX(SUMPRODUCT(MAX(($D$4:$D$810=$D338)*($B$4:$B$810&lt;$B338)*$B$4:$B$810)),'Guide &amp; Settings'!$C$50))/7-'Guide &amp; Settings'!$C$48,0)*'Guide &amp; Settings'!$C$49))</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1042.9979601985212</v>
      </c>
      <c r="I339" s="117">
        <f t="shared" si="87"/>
        <v>0.3125</v>
      </c>
      <c r="J339" s="118">
        <f>IF($D339="",0,IF($F339&lt;2,0,IF($E339="Win",('Guide &amp; Settings'!$C$42/(($F339-1)*COUNTIFS($A$4:$A$810,$A339,$E$4:$E$810,"Win")))*SUMIFS($X$4:$X$810,$A$4:$A$810,$A339,$E$4:$E$810,"Loss"),-('Guide &amp; Settings'!$C$42/($F339-1))*$X339)))</f>
        <v>-12.042528408126769</v>
      </c>
      <c r="K339" s="118">
        <f>IF($D339="",0,'Guide &amp; Settings'!$C$43*(IF($E339="Win",1,0)-$I339))</f>
        <v>-3.75</v>
      </c>
      <c r="L339" s="119">
        <f>IF($D339="",0,'Guide &amp; Settings'!$C$44*IF($F339&gt;=3,$F339,0))</f>
        <v>0</v>
      </c>
      <c r="M339" s="118">
        <f t="shared" si="88"/>
        <v>-15.792528408126769</v>
      </c>
      <c r="N339" s="116">
        <f t="shared" si="89"/>
        <v>1027.2054317903944</v>
      </c>
      <c r="O339" s="115" t="str">
        <f t="shared" si="90"/>
        <v>OK</v>
      </c>
      <c r="P339">
        <f t="shared" si="91"/>
        <v>1103.8327881293169</v>
      </c>
      <c r="Q339">
        <f t="shared" si="92"/>
        <v>0.41333551806592617</v>
      </c>
      <c r="R339">
        <f t="shared" si="93"/>
        <v>0.27272727272727271</v>
      </c>
      <c r="S339">
        <f t="shared" si="94"/>
        <v>0.87272727272727268</v>
      </c>
      <c r="T339" s="83">
        <f t="shared" si="95"/>
        <v>9</v>
      </c>
      <c r="U339" s="120">
        <f>IF($D339="",0,IFERROR(LOOKUP(2,1/(($D$3:D338=$D339)*($C$3:C338=$C339)*($A$3:A338&lt;$A339)),$AB$3:AB338),1000))</f>
        <v>948.96790333240949</v>
      </c>
      <c r="V339" s="120">
        <f t="shared" si="96"/>
        <v>982.55006649887787</v>
      </c>
      <c r="W339">
        <f t="shared" si="97"/>
        <v>1070.3052026081309</v>
      </c>
      <c r="X339">
        <f t="shared" si="98"/>
        <v>0.37632901275396152</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IF($D339="","",IF(SUMPRODUCT(MAX(($D$4:$D$810=$D339)*($B$4:$B$810&lt;$B339)*$B$4:$B$810))=0,0,MAX(($B339-MAX(SUMPRODUCT(MAX(($D$4:$D$810=$D339)*($B$4:$B$810&lt;$B339)*$B$4:$B$810)),'Guide &amp; Settings'!$C$50))/7-'Guide &amp; Settings'!$C$48,0)*'Guide &amp; Settings'!$C$49))</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1103.8327881293169</v>
      </c>
      <c r="I340" s="117">
        <f t="shared" si="87"/>
        <v>0.6875</v>
      </c>
      <c r="J340" s="118">
        <f>IF($D340="",0,IF($F340&lt;2,0,IF($E340="Win",('Guide &amp; Settings'!$C$42/(($F340-1)*COUNTIFS($A$4:$A$810,$A340,$E$4:$E$810,"Win")))*SUMIFS($X$4:$X$810,$A$4:$A$810,$A340,$E$4:$E$810,"Loss"),-('Guide &amp; Settings'!$C$42/($F340-1))*$X340)))</f>
        <v>12.042528408126769</v>
      </c>
      <c r="K340" s="118">
        <f>IF($D340="",0,'Guide &amp; Settings'!$C$43*(IF($E340="Win",1,0)-$I340))</f>
        <v>3.75</v>
      </c>
      <c r="L340" s="119">
        <f>IF($D340="",0,'Guide &amp; Settings'!$C$44*IF($F340&gt;=3,$F340,0))</f>
        <v>0</v>
      </c>
      <c r="M340" s="118">
        <f t="shared" si="88"/>
        <v>15.792528408126769</v>
      </c>
      <c r="N340" s="116">
        <f t="shared" si="89"/>
        <v>1119.6253165374437</v>
      </c>
      <c r="O340" s="115" t="str">
        <f t="shared" si="90"/>
        <v>OK</v>
      </c>
      <c r="P340">
        <f t="shared" si="91"/>
        <v>1103.8327881293169</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1070.3052026081309</v>
      </c>
      <c r="W340">
        <f t="shared" si="97"/>
        <v>1070.3052026081309</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IF($D340="","",IF(SUMPRODUCT(MAX(($D$4:$D$810=$D340)*($B$4:$B$810&lt;$B340)*$B$4:$B$810))=0,0,MAX(($B340-MAX(SUMPRODUCT(MAX(($D$4:$D$810=$D340)*($B$4:$B$810&lt;$B340)*$B$4:$B$810)),'Guide &amp; Settings'!$C$50))/7-'Guide &amp; Settings'!$C$48,0)*'Guide &amp; Settings'!$C$49))</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1027.2054317903944</v>
      </c>
      <c r="I341" s="117">
        <f t="shared" si="87"/>
        <v>0.27272727272727276</v>
      </c>
      <c r="J341" s="118">
        <f>IF($D341="",0,IF($F341&lt;2,0,IF($E341="Win",('Guide &amp; Settings'!$C$42/(($F341-1)*COUNTIFS($A$4:$A$810,$A341,$E$4:$E$810,"Win")))*SUMIFS($X$4:$X$810,$A$4:$A$810,$A341,$E$4:$E$810,"Loss"),-('Guide &amp; Settings'!$C$42/($F341-1))*$X341)))</f>
        <v>20.998327618926375</v>
      </c>
      <c r="K341" s="118">
        <f>IF($D341="",0,'Guide &amp; Settings'!$C$43*(IF($E341="Win",1,0)-$I341))</f>
        <v>8.7272727272727266</v>
      </c>
      <c r="L341" s="119">
        <f>IF($D341="",0,'Guide &amp; Settings'!$C$44*IF($F341&gt;=3,$F341,0))</f>
        <v>0</v>
      </c>
      <c r="M341" s="118">
        <f t="shared" si="88"/>
        <v>29.725600346199101</v>
      </c>
      <c r="N341" s="116">
        <f t="shared" si="89"/>
        <v>1056.9310321365936</v>
      </c>
      <c r="O341" s="115" t="str">
        <f t="shared" si="90"/>
        <v>OK</v>
      </c>
      <c r="P341">
        <f t="shared" si="91"/>
        <v>1027.2054317903944</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966.36660235479394</v>
      </c>
      <c r="W341">
        <f t="shared" si="97"/>
        <v>966.36660235479394</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IF($D341="","",IF(SUMPRODUCT(MAX(($D$4:$D$810=$D341)*($B$4:$B$810&lt;$B341)*$B$4:$B$810))=0,0,MAX(($B341-MAX(SUMPRODUCT(MAX(($D$4:$D$810=$D341)*($B$4:$B$810&lt;$B341)*$B$4:$B$810)),'Guide &amp; Settings'!$C$50))/7-'Guide &amp; Settings'!$C$48,0)*'Guide &amp; Settings'!$C$49))</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1119.6253165374437</v>
      </c>
      <c r="I342" s="117">
        <f t="shared" si="87"/>
        <v>0.72727272727272729</v>
      </c>
      <c r="J342" s="118">
        <f>IF($D342="",0,IF($F342&lt;2,0,IF($E342="Win",('Guide &amp; Settings'!$C$42/(($F342-1)*COUNTIFS($A$4:$A$810,$A342,$E$4:$E$810,"Win")))*SUMIFS($X$4:$X$810,$A$4:$A$810,$A342,$E$4:$E$810,"Loss"),-('Guide &amp; Settings'!$C$42/($F342-1))*$X342)))</f>
        <v>-20.998327618926375</v>
      </c>
      <c r="K342" s="118">
        <f>IF($D342="",0,'Guide &amp; Settings'!$C$43*(IF($E342="Win",1,0)-$I342))</f>
        <v>-8.7272727272727266</v>
      </c>
      <c r="L342" s="119">
        <f>IF($D342="",0,'Guide &amp; Settings'!$C$44*IF($F342&gt;=3,$F342,0))</f>
        <v>0</v>
      </c>
      <c r="M342" s="118">
        <f t="shared" si="88"/>
        <v>-29.725600346199101</v>
      </c>
      <c r="N342" s="116">
        <f t="shared" si="89"/>
        <v>1089.8997161912446</v>
      </c>
      <c r="O342" s="115" t="str">
        <f t="shared" si="90"/>
        <v>OK</v>
      </c>
      <c r="P342">
        <f t="shared" si="91"/>
        <v>1027.2054317903944</v>
      </c>
      <c r="Q342">
        <f t="shared" si="92"/>
        <v>0.6299521685948628</v>
      </c>
      <c r="R342">
        <f t="shared" si="93"/>
        <v>0.66666666666666663</v>
      </c>
      <c r="S342">
        <f t="shared" si="94"/>
        <v>0.91666666666666663</v>
      </c>
      <c r="T342" s="83">
        <f t="shared" si="95"/>
        <v>4</v>
      </c>
      <c r="U342" s="120">
        <f>IF($D342="",0,IFERROR(LOOKUP(2,1/(($D$3:D341=$D342)*($C$3:C341=$C342)*($A$3:A341&lt;$A342)),$AB$3:AB341),1000))</f>
        <v>1027.4466091015704</v>
      </c>
      <c r="V342" s="120">
        <f t="shared" si="96"/>
        <v>1078.6570021215</v>
      </c>
      <c r="W342">
        <f t="shared" si="97"/>
        <v>966.36660235479394</v>
      </c>
      <c r="X342">
        <f t="shared" si="98"/>
        <v>0.65619773809144921</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IF($D342="","",IF(SUMPRODUCT(MAX(($D$4:$D$810=$D342)*($B$4:$B$810&lt;$B342)*$B$4:$B$810))=0,0,MAX(($B342-MAX(SUMPRODUCT(MAX(($D$4:$D$810=$D342)*($B$4:$B$810&lt;$B342)*$B$4:$B$810)),'Guide &amp; Settings'!$C$50))/7-'Guide &amp; Settings'!$C$48,0)*'Guide &amp; Settings'!$C$49))</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1056.9310321365936</v>
      </c>
      <c r="I343" s="117">
        <f t="shared" si="87"/>
        <v>0.35000000000000003</v>
      </c>
      <c r="J343" s="118">
        <f>IF($D343="",0,IF($F343&lt;2,0,IF($E343="Win",('Guide &amp; Settings'!$C$42/(($F343-1)*COUNTIFS($A$4:$A$810,$A343,$E$4:$E$810,"Win")))*SUMIFS($X$4:$X$810,$A$4:$A$810,$A343,$E$4:$E$810,"Loss"),-('Guide &amp; Settings'!$C$42/($F343-1))*$X343)))</f>
        <v>18.781860417197773</v>
      </c>
      <c r="K343" s="118">
        <f>IF($D343="",0,'Guide &amp; Settings'!$C$43*(IF($E343="Win",1,0)-$I343))</f>
        <v>7.7999999999999989</v>
      </c>
      <c r="L343" s="119">
        <f>IF($D343="",0,'Guide &amp; Settings'!$C$44*IF($F343&gt;=3,$F343,0))</f>
        <v>0</v>
      </c>
      <c r="M343" s="118">
        <f t="shared" si="88"/>
        <v>26.581860417197774</v>
      </c>
      <c r="N343" s="116">
        <f t="shared" si="89"/>
        <v>1083.5128925537913</v>
      </c>
      <c r="O343" s="115" t="str">
        <f t="shared" si="90"/>
        <v>OK</v>
      </c>
      <c r="P343">
        <f t="shared" si="91"/>
        <v>1056.9310321365936</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987.58639429756568</v>
      </c>
      <c r="W343">
        <f t="shared" si="97"/>
        <v>987.58639429756568</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IF($D343="","",IF(SUMPRODUCT(MAX(($D$4:$D$810=$D343)*($B$4:$B$810&lt;$B343)*$B$4:$B$810))=0,0,MAX(($B343-MAX(SUMPRODUCT(MAX(($D$4:$D$810=$D343)*($B$4:$B$810&lt;$B343)*$B$4:$B$810)),'Guide &amp; Settings'!$C$50))/7-'Guide &amp; Settings'!$C$48,0)*'Guide &amp; Settings'!$C$49))</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1089.8997161912446</v>
      </c>
      <c r="I344" s="117">
        <f t="shared" si="87"/>
        <v>0.65</v>
      </c>
      <c r="J344" s="118">
        <f>IF($D344="",0,IF($F344&lt;2,0,IF($E344="Win",('Guide &amp; Settings'!$C$42/(($F344-1)*COUNTIFS($A$4:$A$810,$A344,$E$4:$E$810,"Win")))*SUMIFS($X$4:$X$810,$A$4:$A$810,$A344,$E$4:$E$810,"Loss"),-('Guide &amp; Settings'!$C$42/($F344-1))*$X344)))</f>
        <v>-18.781860417197773</v>
      </c>
      <c r="K344" s="118">
        <f>IF($D344="",0,'Guide &amp; Settings'!$C$43*(IF($E344="Win",1,0)-$I344))</f>
        <v>-7.8000000000000007</v>
      </c>
      <c r="L344" s="119">
        <f>IF($D344="",0,'Guide &amp; Settings'!$C$44*IF($F344&gt;=3,$F344,0))</f>
        <v>0</v>
      </c>
      <c r="M344" s="118">
        <f t="shared" si="88"/>
        <v>-26.581860417197774</v>
      </c>
      <c r="N344" s="116">
        <f t="shared" si="89"/>
        <v>1063.3178557740468</v>
      </c>
      <c r="O344" s="115" t="str">
        <f t="shared" si="90"/>
        <v>OK</v>
      </c>
      <c r="P344">
        <f t="shared" si="91"/>
        <v>1056.9310321365936</v>
      </c>
      <c r="Q344">
        <f t="shared" si="92"/>
        <v>0.54730385453869546</v>
      </c>
      <c r="R344">
        <f t="shared" si="93"/>
        <v>0.5714285714285714</v>
      </c>
      <c r="S344">
        <f t="shared" si="94"/>
        <v>0.87912087912087911</v>
      </c>
      <c r="T344" s="83">
        <f t="shared" si="95"/>
        <v>5</v>
      </c>
      <c r="U344" s="120">
        <f>IF($D344="",0,IFERROR(LOOKUP(2,1/(($D$3:D343=$D344)*($C$3:C343=$C344)*($A$3:A343&lt;$A344)),$AB$3:AB343),1000))</f>
        <v>1007.3276923678292</v>
      </c>
      <c r="V344" s="120">
        <f t="shared" si="96"/>
        <v>1048.6137042795369</v>
      </c>
      <c r="W344">
        <f t="shared" si="97"/>
        <v>987.58639429756568</v>
      </c>
      <c r="X344">
        <f t="shared" si="98"/>
        <v>0.58693313803743041</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IF($D344="","",IF(SUMPRODUCT(MAX(($D$4:$D$810=$D344)*($B$4:$B$810&lt;$B344)*$B$4:$B$810))=0,0,MAX(($B344-MAX(SUMPRODUCT(MAX(($D$4:$D$810=$D344)*($B$4:$B$810&lt;$B344)*$B$4:$B$810)),'Guide &amp; Settings'!$C$50))/7-'Guide &amp; Settings'!$C$48,0)*'Guide &amp; Settings'!$C$49))</f>
        <v>0</v>
      </c>
    </row>
    <row r="345" spans="1:29" x14ac:dyDescent="0.2">
      <c r="A345" s="111"/>
      <c r="B345" s="112"/>
      <c r="C345" s="113"/>
      <c r="D345" s="113"/>
      <c r="E345" s="111"/>
      <c r="F345" s="114">
        <f t="shared" si="85"/>
        <v>0</v>
      </c>
      <c r="G345" s="115" t="str">
        <f t="shared" si="86"/>
        <v/>
      </c>
      <c r="H345" s="116">
        <f>IF($D345="",0,IFERROR(LOOKUP(2,1/(($D$3:D344=$D345)*($A$3:A344&lt;$A345)),$N$3:N344),'Guide &amp; Settings'!$C$41))</f>
        <v>0</v>
      </c>
      <c r="I345" s="117">
        <f t="shared" si="87"/>
        <v>0</v>
      </c>
      <c r="J345" s="118">
        <f>IF($D345="",0,IF($F345&lt;2,0,IF($E345="Win",('Guide &amp; Settings'!$C$42/(($F345-1)*COUNTIFS($A$4:$A$810,$A345,$E$4:$E$810,"Win")))*SUMIFS($X$4:$X$810,$A$4:$A$810,$A345,$E$4:$E$810,"Loss"),-('Guide &amp; Settings'!$C$42/($F345-1))*$X345)))</f>
        <v>0</v>
      </c>
      <c r="K345" s="118">
        <f>IF($D345="",0,'Guide &amp; Settings'!$C$43*(IF($E345="Win",1,0)-$I345))</f>
        <v>0</v>
      </c>
      <c r="L345" s="119">
        <f>IF($D345="",0,'Guide &amp; Settings'!$C$44*IF($F345&gt;=3,$F345,0))</f>
        <v>0</v>
      </c>
      <c r="M345" s="118">
        <f t="shared" si="88"/>
        <v>0</v>
      </c>
      <c r="N345" s="116">
        <f t="shared" si="89"/>
        <v>0</v>
      </c>
      <c r="O345" s="115" t="str">
        <f t="shared" si="90"/>
        <v/>
      </c>
      <c r="P345">
        <f t="shared" si="91"/>
        <v>0</v>
      </c>
      <c r="Q345">
        <f t="shared" si="92"/>
        <v>0</v>
      </c>
      <c r="R345">
        <f t="shared" si="93"/>
        <v>0</v>
      </c>
      <c r="S345">
        <f t="shared" si="94"/>
        <v>0</v>
      </c>
      <c r="T345" s="83">
        <f t="shared" si="95"/>
        <v>0</v>
      </c>
      <c r="U345" s="120">
        <f>IF($D345="",0,IFERROR(LOOKUP(2,1/(($D$3:D344=$D345)*($C$3:C344=$C345)*($A$3:A344&lt;$A345)),$AB$3:AB344),1000))</f>
        <v>0</v>
      </c>
      <c r="V345" s="120">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0">
        <f t="shared" si="101"/>
        <v>0</v>
      </c>
      <c r="AC345" s="120" t="str">
        <f>IF($D345="","",IF(SUMPRODUCT(MAX(($D$4:$D$810=$D345)*($B$4:$B$810&lt;$B345)*$B$4:$B$810))=0,0,MAX(($B345-MAX(SUMPRODUCT(MAX(($D$4:$D$810=$D345)*($B$4:$B$810&lt;$B345)*$B$4:$B$810)),'Guide &amp; Settings'!$C$50))/7-'Guide &amp; Settings'!$C$48,0)*'Guide &amp; Settings'!$C$49))</f>
        <v/>
      </c>
    </row>
    <row r="346" spans="1:29" x14ac:dyDescent="0.2">
      <c r="A346" s="111"/>
      <c r="B346" s="112"/>
      <c r="C346" s="113"/>
      <c r="D346" s="113"/>
      <c r="E346" s="111"/>
      <c r="F346" s="114">
        <f t="shared" si="85"/>
        <v>0</v>
      </c>
      <c r="G346" s="115" t="str">
        <f t="shared" si="86"/>
        <v/>
      </c>
      <c r="H346" s="116">
        <f>IF($D346="",0,IFERROR(LOOKUP(2,1/(($D$3:D345=$D346)*($A$3:A345&lt;$A346)),$N$3:N345),'Guide &amp; Settings'!$C$41))</f>
        <v>0</v>
      </c>
      <c r="I346" s="117">
        <f t="shared" si="87"/>
        <v>0</v>
      </c>
      <c r="J346" s="118">
        <f>IF($D346="",0,IF($F346&lt;2,0,IF($E346="Win",('Guide &amp; Settings'!$C$42/(($F346-1)*COUNTIFS($A$4:$A$810,$A346,$E$4:$E$810,"Win")))*SUMIFS($X$4:$X$810,$A$4:$A$810,$A346,$E$4:$E$810,"Loss"),-('Guide &amp; Settings'!$C$42/($F346-1))*$X346)))</f>
        <v>0</v>
      </c>
      <c r="K346" s="118">
        <f>IF($D346="",0,'Guide &amp; Settings'!$C$43*(IF($E346="Win",1,0)-$I346))</f>
        <v>0</v>
      </c>
      <c r="L346" s="119">
        <f>IF($D346="",0,'Guide &amp; Settings'!$C$44*IF($F346&gt;=3,$F346,0))</f>
        <v>0</v>
      </c>
      <c r="M346" s="118">
        <f t="shared" si="88"/>
        <v>0</v>
      </c>
      <c r="N346" s="116">
        <f t="shared" si="89"/>
        <v>0</v>
      </c>
      <c r="O346" s="115" t="str">
        <f t="shared" si="90"/>
        <v/>
      </c>
      <c r="P346">
        <f t="shared" si="91"/>
        <v>0</v>
      </c>
      <c r="Q346">
        <f t="shared" si="92"/>
        <v>0</v>
      </c>
      <c r="R346">
        <f t="shared" si="93"/>
        <v>0</v>
      </c>
      <c r="S346">
        <f t="shared" si="94"/>
        <v>0</v>
      </c>
      <c r="T346" s="83">
        <f t="shared" si="95"/>
        <v>0</v>
      </c>
      <c r="U346" s="120">
        <f>IF($D346="",0,IFERROR(LOOKUP(2,1/(($D$3:D345=$D346)*($C$3:C345=$C346)*($A$3:A345&lt;$A346)),$AB$3:AB345),1000))</f>
        <v>0</v>
      </c>
      <c r="V346" s="120">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0">
        <f t="shared" si="101"/>
        <v>0</v>
      </c>
      <c r="AC346" s="120" t="str">
        <f>IF($D346="","",IF(SUMPRODUCT(MAX(($D$4:$D$810=$D346)*($B$4:$B$810&lt;$B346)*$B$4:$B$810))=0,0,MAX(($B346-MAX(SUMPRODUCT(MAX(($D$4:$D$810=$D346)*($B$4:$B$810&lt;$B346)*$B$4:$B$810)),'Guide &amp; Settings'!$C$50))/7-'Guide &amp; Settings'!$C$48,0)*'Guide &amp; Settings'!$C$49))</f>
        <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46207</v>
      </c>
    </row>
    <row r="4" spans="1:35" ht="15" customHeight="1" x14ac:dyDescent="0.2">
      <c r="A4" t="s">
        <v>330</v>
      </c>
      <c r="B4" s="127">
        <f>MAX('Match Log'!$B$4:$B$810)</f>
        <v>46214</v>
      </c>
    </row>
    <row r="5" spans="1:35" x14ac:dyDescent="0.2">
      <c r="B5">
        <f ca="1">TODAY()-7</f>
        <v>46207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1063.3178557740468</v>
      </c>
      <c r="C7">
        <f>IFERROR(INDEX(Engine!$C$2:$C$15,MATCH($A7,Engine!$A$2:$A$15,0)),"")</f>
        <v>1061.4916714943342</v>
      </c>
      <c r="D7">
        <f t="shared" ref="D7:D20" si="0">RANK($B7,$B$7:$B$20)</f>
        <v>5</v>
      </c>
      <c r="E7">
        <f t="shared" ref="E7:E20" si="1">MAX($B$7:$B$20)-$B7</f>
        <v>104.89348782669731</v>
      </c>
      <c r="F7" t="str">
        <f>IFERROR(LOOKUP(2,1/('Match Log'!$D$4:$D$810=$A7),'Match Log'!$E$4:$E$810),"")</f>
        <v>Loss</v>
      </c>
      <c r="G7">
        <f>IF($F7="",0,SUMPRODUCT(('Match Log'!$D$4:$D$810=$A7)*(ROW('Match Log'!$A$4:$A$810)&gt;SUMPRODUCT(MAX(('Match Log'!$D$4:$D$810=$A7)*('Match Log'!$E$4:$E$810&lt;&gt;$F7)*ROW('Match Log'!$A$4:$A$810))))))</f>
        <v>2</v>
      </c>
      <c r="H7" t="str">
        <f t="shared" ref="H7:H20" si="2">IF($G7=0,"",LEFT($F7,1)&amp;$G7)</f>
        <v>L2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LWWLL</v>
      </c>
      <c r="J7">
        <f>IFERROR(LOOKUP(2,1/(('Match Log'!$D$4:$D$810=$A7)*('Match Log'!$B$4:$B$810&lt;=$B$3)),'Match Log'!$N$4:$N$810),1000)</f>
        <v>1112.3077761293196</v>
      </c>
      <c r="K7">
        <f t="shared" ref="K7:K20" si="3">RANK($J7,$J$7:$J$20)</f>
        <v>4</v>
      </c>
      <c r="L7">
        <f t="shared" ref="L7:L20" si="4">$K7-$D7</f>
        <v>-1</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si="8">IF($P7=0,"",($B$4-$P7)/7)</f>
        <v>0</v>
      </c>
      <c r="R7">
        <f>IF($P7=0,0,MAX($Q7-'Guide &amp; Settings'!$C$48,0)*'Guide &amp; Settings'!$C$49)</f>
        <v>0</v>
      </c>
      <c r="S7">
        <f>$B7-$R7-$U7+SUMIF('Poker Stake Ledger'!$C$18:$C$137,$A7,'Poker Stake Ledger'!$K$18:$K$137)</f>
        <v>1063.3178557740468</v>
      </c>
      <c r="T7" t="str">
        <f>IF($P7=0,"No games",IF($Q7&gt;='Guide &amp; Settings'!$C$48,"Inactive",IF($Q7&gt;='Guide &amp; Settings'!$C$47,"At risk","Active")))</f>
        <v>Active</v>
      </c>
      <c r="U7">
        <f>SUMIF('Match Log'!$D$4:$D$810,$A7,'Match Log'!$AC$4:$AC$810)</f>
        <v>0</v>
      </c>
      <c r="V7">
        <f t="shared" ref="V7:V20" si="9">IF($F7="Loss",$G7,0)</f>
        <v>2</v>
      </c>
      <c r="W7">
        <f t="shared" ref="W7:W20" si="10">MAX(0,MIN(100,50+($S7-1000)/4))</f>
        <v>65.829463943511712</v>
      </c>
      <c r="X7">
        <f>IFERROR(INDEX(Dashboard!$G$5:$G$18,MATCH($A7,Dashboard!$B$5:$B$18,0))*100,0)</f>
        <v>53.333333333333336</v>
      </c>
      <c r="Y7">
        <f>MIN(100,IFERROR(INDEX(Dashboard!$K$5:$K$18,MATCH($A7,Dashboard!$B$5:$B$18,0)),0)/5*50+$AC7/4*50)</f>
        <v>100</v>
      </c>
      <c r="Z7">
        <f t="shared" ref="Z7:Z20" si="11">IFERROR($N7/LEN($I7)*100,0)</f>
        <v>40</v>
      </c>
      <c r="AA7">
        <f t="shared" ref="AA7:AA20" si="12">IF($C7="",0,MAX(0,MIN(100,50+($C7-1000)/4)))</f>
        <v>65.37291787358356</v>
      </c>
      <c r="AB7">
        <f t="shared" ref="AB7:AB20" si="13">0.35*$W7+0.2*$X7+0.2*$Y7+0.15*$Z7+0.1*$AA7</f>
        <v>66.244270834254124</v>
      </c>
      <c r="AC7">
        <f>IFERROR(SUMPRODUCT((INDEX('Sport Records'!$B$8:$O$26,0,MATCH($A7,'Sport Records'!$B$7:$O$7,0))&gt;=2)*(INDEX('Sport Records'!$B$52:$O$70,0,MATCH($A7,'Sport Records'!$B$51:$O$51,0))&gt;=0.5)),0)</f>
        <v>6</v>
      </c>
      <c r="AD7">
        <f>IFERROR(INDEX(Dashboard!$D$5:$D$18,MATCH($A7,Dashboard!$B$5:$B$18,0)),0)</f>
        <v>45</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20</v>
      </c>
      <c r="AH7">
        <f ca="1">COUNTIFS('Match Log'!$D$4:$D$810,$A7,'Match Log'!$B$4:$B$810,"&gt;="&amp;$B$5,'Match Log'!$E$4:$E$810,"Win")</f>
        <v>9</v>
      </c>
      <c r="AI7">
        <f t="shared" ref="AI7:AI20" si="15">IF(ISNUMBER($S7),$S7,-1000000)+ROW()/10000000</f>
        <v>1063.3178564740469</v>
      </c>
    </row>
    <row r="8" spans="1:35" ht="15" customHeight="1" x14ac:dyDescent="0.2">
      <c r="A8" t="s">
        <v>135</v>
      </c>
      <c r="B8">
        <f>IFERROR(INDEX(Engine!$B$2:$B$15,MATCH($A8,Engine!$A$2:$A$15,0)),1000)</f>
        <v>1029.2201908859522</v>
      </c>
      <c r="C8">
        <f>IFERROR(INDEX(Engine!$C$2:$C$15,MATCH($A8,Engine!$A$2:$A$15,0)),"")</f>
        <v>1061.4338171357142</v>
      </c>
      <c r="D8">
        <f t="shared" si="0"/>
        <v>9</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0</v>
      </c>
      <c r="M8">
        <f t="shared" si="5"/>
        <v>0</v>
      </c>
      <c r="N8">
        <f t="shared" si="6"/>
        <v>2</v>
      </c>
      <c r="O8">
        <f t="shared" si="7"/>
        <v>0</v>
      </c>
      <c r="P8">
        <f>IFERROR(SUMPRODUCT(MAX(('Match Log'!$D$4:$D$810=$A8)*'Match Log'!$B$4:$B$810)),0)</f>
        <v>46188</v>
      </c>
      <c r="Q8">
        <f t="shared" si="8"/>
        <v>3.7142857142857144</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65.358454283928552</v>
      </c>
      <c r="AB8">
        <f t="shared" si="13"/>
        <v>51.092612130913672</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1052.8644060211864</v>
      </c>
      <c r="D9">
        <f t="shared" si="0"/>
        <v>10</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0</v>
      </c>
      <c r="M9">
        <f t="shared" si="5"/>
        <v>0</v>
      </c>
      <c r="N9">
        <f t="shared" si="6"/>
        <v>2</v>
      </c>
      <c r="O9">
        <f t="shared" si="7"/>
        <v>1</v>
      </c>
      <c r="P9">
        <f>IFERROR(SUMPRODUCT(MAX(('Match Log'!$D$4:$D$810=$A9)*'Match Log'!$B$4:$B$810)),0)</f>
        <v>46188</v>
      </c>
      <c r="Q9">
        <f t="shared" si="8"/>
        <v>3.7142857142857144</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63.216101505296592</v>
      </c>
      <c r="AB9">
        <f t="shared" si="13"/>
        <v>55.790191487442868</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973.18894572037368</v>
      </c>
      <c r="C10">
        <f>IFERROR(INDEX(Engine!$C$2:$C$15,MATCH($A10,Engine!$A$2:$A$15,0)),"")</f>
        <v>1068.6190541336225</v>
      </c>
      <c r="D10">
        <f t="shared" si="0"/>
        <v>13</v>
      </c>
      <c r="E10">
        <f t="shared" si="1"/>
        <v>195.02239788037048</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981.92436608474441</v>
      </c>
      <c r="K10">
        <f t="shared" si="3"/>
        <v>12</v>
      </c>
      <c r="L10">
        <f t="shared" si="4"/>
        <v>-1</v>
      </c>
      <c r="M10">
        <f t="shared" si="5"/>
        <v>0</v>
      </c>
      <c r="N10">
        <f t="shared" si="6"/>
        <v>2</v>
      </c>
      <c r="O10">
        <f t="shared" si="7"/>
        <v>0</v>
      </c>
      <c r="P10">
        <f>IFERROR(SUMPRODUCT(MAX(('Match Log'!$D$4:$D$810=$A10)*'Match Log'!$B$4:$B$810)),0)</f>
        <v>46214</v>
      </c>
      <c r="Q10">
        <f t="shared" si="8"/>
        <v>0</v>
      </c>
      <c r="R10">
        <f>IF($P10=0,0,MAX($Q10-'Guide &amp; Settings'!$C$48,0)*'Guide &amp; Settings'!$C$49)</f>
        <v>0</v>
      </c>
      <c r="S10">
        <f>$B10-$R10-$U10+SUMIF('Poker Stake Ledger'!$C$18:$C$137,$A10,'Poker Stake Ledger'!$K$18:$K$137)</f>
        <v>973.18894572037368</v>
      </c>
      <c r="T10" t="str">
        <f>IF($P10=0,"No games",IF($Q10&gt;='Guide &amp; Settings'!$C$48,"Inactive",IF($Q10&gt;='Guide &amp; Settings'!$C$47,"At risk","Active")))</f>
        <v>Active</v>
      </c>
      <c r="U10">
        <f>SUMIF('Match Log'!$D$4:$D$810,$A10,'Match Log'!$AC$4:$AC$810)</f>
        <v>0</v>
      </c>
      <c r="V10">
        <f t="shared" si="9"/>
        <v>1</v>
      </c>
      <c r="W10">
        <f t="shared" si="10"/>
        <v>43.29723643009342</v>
      </c>
      <c r="X10">
        <f>IFERROR(INDEX(Dashboard!$G$5:$G$18,MATCH($A10,Dashboard!$B$5:$B$18,0))*100,0)</f>
        <v>26.666666666666668</v>
      </c>
      <c r="Y10">
        <f>MIN(100,IFERROR(INDEX(Dashboard!$K$5:$K$18,MATCH($A10,Dashboard!$B$5:$B$18,0)),0)/5*50+$AC10/4*50)</f>
        <v>40</v>
      </c>
      <c r="Z10">
        <f t="shared" si="11"/>
        <v>40</v>
      </c>
      <c r="AA10">
        <f t="shared" si="12"/>
        <v>67.154763533405628</v>
      </c>
      <c r="AB10">
        <f t="shared" si="13"/>
        <v>41.202842437206591</v>
      </c>
      <c r="AC10">
        <f>IFERROR(SUMPRODUCT((INDEX('Sport Records'!$B$8:$O$26,0,MATCH($A10,'Sport Records'!$B$7:$O$7,0))&gt;=2)*(INDEX('Sport Records'!$B$52:$O$70,0,MATCH($A10,'Sport Records'!$B$51:$O$51,0))&gt;=0.5)),0)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973.18894672037368</v>
      </c>
    </row>
    <row r="11" spans="1:35" ht="15" customHeight="1" x14ac:dyDescent="0.2">
      <c r="A11" t="s">
        <v>137</v>
      </c>
      <c r="B11">
        <f>IFERROR(INDEX(Engine!$B$2:$B$15,MATCH($A11,Engine!$A$2:$A$15,0)),1000)</f>
        <v>1129.7012289075892</v>
      </c>
      <c r="C11">
        <f>IFERROR(INDEX(Engine!$C$2:$C$15,MATCH($A11,Engine!$A$2:$A$15,0)),"")</f>
        <v>1049.8493408791915</v>
      </c>
      <c r="D11">
        <f t="shared" si="0"/>
        <v>2</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3</v>
      </c>
      <c r="L11">
        <f t="shared" si="4"/>
        <v>1</v>
      </c>
      <c r="M11">
        <f t="shared" si="5"/>
        <v>1</v>
      </c>
      <c r="N11">
        <f t="shared" si="6"/>
        <v>2</v>
      </c>
      <c r="O11">
        <f t="shared" si="7"/>
        <v>0</v>
      </c>
      <c r="P11">
        <f>IFERROR(SUMPRODUCT(MAX(('Match Log'!$D$4:$D$810=$A11)*'Match Log'!$B$4:$B$810)),0)</f>
        <v>46199</v>
      </c>
      <c r="Q11">
        <f t="shared" si="8"/>
        <v>2.1428571428571428</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62.462335219797865</v>
      </c>
      <c r="AB11">
        <f t="shared" si="13"/>
        <v>73.595091051393851</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1083.5128925537913</v>
      </c>
      <c r="C12">
        <f>IFERROR(INDEX(Engine!$C$2:$C$15,MATCH($A12,Engine!$A$2:$A$15,0)),"")</f>
        <v>1066.2651883848898</v>
      </c>
      <c r="D12">
        <f t="shared" si="0"/>
        <v>4</v>
      </c>
      <c r="E12">
        <f t="shared" si="1"/>
        <v>84.698451046952869</v>
      </c>
      <c r="F12" t="str">
        <f>IFERROR(LOOKUP(2,1/('Match Log'!$D$4:$D$810=$A12),'Match Log'!$E$4:$E$810),"")</f>
        <v>Win</v>
      </c>
      <c r="G12">
        <f>IF($F12="",0,SUMPRODUCT(('Match Log'!$D$4:$D$810=$A12)*(ROW('Match Log'!$A$4:$A$810)&gt;SUMPRODUCT(MAX(('Match Log'!$D$4:$D$810=$A12)*('Match Log'!$E$4:$E$810&lt;&gt;$F12)*ROW('Match Log'!$A$4:$A$810))))))</f>
        <v>2</v>
      </c>
      <c r="H12" t="str">
        <f t="shared" si="2"/>
        <v>W2</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WLLWW</v>
      </c>
      <c r="J12">
        <f>IFERROR(LOOKUP(2,1/(('Match Log'!$D$4:$D$810=$A12)*('Match Log'!$B$4:$B$810&lt;=$B$3)),'Match Log'!$N$4:$N$810),1000)</f>
        <v>942.18333246120994</v>
      </c>
      <c r="K12">
        <f t="shared" si="3"/>
        <v>13</v>
      </c>
      <c r="L12">
        <f t="shared" si="4"/>
        <v>9</v>
      </c>
      <c r="M12">
        <f t="shared" si="5"/>
        <v>5</v>
      </c>
      <c r="N12">
        <f t="shared" si="6"/>
        <v>3</v>
      </c>
      <c r="O12">
        <f t="shared" si="7"/>
        <v>2</v>
      </c>
      <c r="P12">
        <f>IFERROR(SUMPRODUCT(MAX(('Match Log'!$D$4:$D$810=$A12)*'Match Log'!$B$4:$B$810)),0)</f>
        <v>46214</v>
      </c>
      <c r="Q12">
        <f t="shared" si="8"/>
        <v>0</v>
      </c>
      <c r="R12">
        <f>IF($P12=0,0,MAX($Q12-'Guide &amp; Settings'!$C$48,0)*'Guide &amp; Settings'!$C$49)</f>
        <v>0</v>
      </c>
      <c r="S12">
        <f>$B12-$R12-$U12+SUMIF('Poker Stake Ledger'!$C$18:$C$137,$A12,'Poker Stake Ledger'!$K$18:$K$137)</f>
        <v>1083.5128925537913</v>
      </c>
      <c r="T12" t="str">
        <f>IF($P12=0,"No games",IF($Q12&gt;='Guide &amp; Settings'!$C$48,"Inactive",IF($Q12&gt;='Guide &amp; Settings'!$C$47,"At risk","Active")))</f>
        <v>Active</v>
      </c>
      <c r="U12">
        <f>SUMIF('Match Log'!$D$4:$D$810,$A12,'Match Log'!$AC$4:$AC$810)</f>
        <v>0</v>
      </c>
      <c r="V12">
        <f t="shared" si="9"/>
        <v>0</v>
      </c>
      <c r="W12">
        <f t="shared" si="10"/>
        <v>70.878223138447822</v>
      </c>
      <c r="X12">
        <f>IFERROR(INDEX(Dashboard!$G$5:$G$18,MATCH($A12,Dashboard!$B$5:$B$18,0))*100,0)</f>
        <v>46.376811594202898</v>
      </c>
      <c r="Y12">
        <f>MIN(100,IFERROR(INDEX(Dashboard!$K$5:$K$18,MATCH($A12,Dashboard!$B$5:$B$18,0)),0)/5*50+$AC12/4*50)</f>
        <v>100</v>
      </c>
      <c r="Z12">
        <f t="shared" si="11"/>
        <v>60</v>
      </c>
      <c r="AA12">
        <f t="shared" si="12"/>
        <v>66.566297096222456</v>
      </c>
      <c r="AB12">
        <f t="shared" si="13"/>
        <v>69.739370126919567</v>
      </c>
      <c r="AC12">
        <f>IFERROR(SUMPRODUCT((INDEX('Sport Records'!$B$8:$O$26,0,MATCH($A12,'Sport Records'!$B$7:$O$7,0))&gt;=2)*(INDEX('Sport Records'!$B$52:$O$70,0,MATCH($A12,'Sport Records'!$B$51:$O$51,0))&gt;=0.5)),0)</f>
        <v>5</v>
      </c>
      <c r="AD12">
        <f>IFERROR(INDEX(Dashboard!$D$5:$D$18,MATCH($A12,Dashboard!$B$5:$B$18,0)),0)</f>
        <v>69</v>
      </c>
      <c r="AE12">
        <f>IFERROR(INDEX(Dashboard!$K$5:$K$18,MATCH($A12,Dashboard!$B$5:$B$18,0)),0)</f>
        <v>10</v>
      </c>
      <c r="AF12" t="str">
        <f t="shared" si="14"/>
        <v>Strong</v>
      </c>
      <c r="AG12">
        <f ca="1">COUNTIFS('Match Log'!$D$4:$D$810,$A12,'Match Log'!$B$4:$B$810,"&gt;="&amp;$B$5)</f>
        <v>32</v>
      </c>
      <c r="AH12">
        <f ca="1">COUNTIFS('Match Log'!$D$4:$D$810,$A12,'Match Log'!$B$4:$B$810,"&gt;="&amp;$B$5,'Match Log'!$E$4:$E$810,"Win")</f>
        <v>16</v>
      </c>
      <c r="AI12">
        <f t="shared" si="15"/>
        <v>1083.5128937537913</v>
      </c>
    </row>
    <row r="13" spans="1:35" ht="15" customHeight="1" x14ac:dyDescent="0.2">
      <c r="A13" t="s">
        <v>168</v>
      </c>
      <c r="B13">
        <f>IFERROR(INDEX(Engine!$B$2:$B$15,MATCH($A13,Engine!$A$2:$A$15,0)),1000)</f>
        <v>1084.8903813508514</v>
      </c>
      <c r="C13">
        <f>IFERROR(INDEX(Engine!$C$2:$C$15,MATCH($A13,Engine!$A$2:$A$15,0)),"")</f>
        <v>1053.8858913691661</v>
      </c>
      <c r="D13">
        <f t="shared" si="0"/>
        <v>3</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2</v>
      </c>
      <c r="M13">
        <f t="shared" si="5"/>
        <v>0</v>
      </c>
      <c r="N13">
        <f t="shared" si="6"/>
        <v>2</v>
      </c>
      <c r="O13">
        <f t="shared" si="7"/>
        <v>0</v>
      </c>
      <c r="P13">
        <f>IFERROR(SUMPRODUCT(MAX(('Match Log'!$D$4:$D$810=$A13)*'Match Log'!$B$4:$B$810)),0)</f>
        <v>46188</v>
      </c>
      <c r="Q13">
        <f t="shared" si="8"/>
        <v>3.7142857142857144</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63.471472842291519</v>
      </c>
      <c r="AB13">
        <f t="shared" si="13"/>
        <v>62.03976153478159</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1080.7916923696475</v>
      </c>
      <c r="D14">
        <f t="shared" si="0"/>
        <v>8</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-2</v>
      </c>
      <c r="M14">
        <f t="shared" si="5"/>
        <v>4</v>
      </c>
      <c r="N14">
        <f t="shared" si="6"/>
        <v>3</v>
      </c>
      <c r="O14">
        <f t="shared" si="7"/>
        <v>1</v>
      </c>
      <c r="P14">
        <f>IFERROR(SUMPRODUCT(MAX(('Match Log'!$D$4:$D$810=$A14)*'Match Log'!$B$4:$B$810)),0)</f>
        <v>46208</v>
      </c>
      <c r="Q14">
        <f t="shared" si="8"/>
        <v>0.8571428571428571</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70.197923092411884</v>
      </c>
      <c r="AB14">
        <f t="shared" si="13"/>
        <v>66.816498465046152</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1053.8373197066285</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3.5714285714285716</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63.459329926657119</v>
      </c>
      <c r="AB15">
        <f t="shared" si="13"/>
        <v>71.107903818600391</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1075.3146899750097</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3.7142857142857144</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68.828672493752435</v>
      </c>
      <c r="AB16">
        <f t="shared" si="13"/>
        <v>27.100506115557849</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1073.1540859725756</v>
      </c>
      <c r="D17">
        <f t="shared" si="0"/>
        <v>6</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1137.3990392485098</v>
      </c>
      <c r="K17">
        <f t="shared" si="3"/>
        <v>2</v>
      </c>
      <c r="L17">
        <f t="shared" si="4"/>
        <v>-4</v>
      </c>
      <c r="M17">
        <f t="shared" si="5"/>
        <v>2</v>
      </c>
      <c r="N17">
        <f t="shared" si="6"/>
        <v>1</v>
      </c>
      <c r="O17">
        <f t="shared" si="7"/>
        <v>0</v>
      </c>
      <c r="P17">
        <f>IFERROR(SUMPRODUCT(MAX(('Match Log'!$D$4:$D$810=$A17)*'Match Log'!$B$4:$B$810)),0)</f>
        <v>46209</v>
      </c>
      <c r="Q17">
        <f t="shared" si="8"/>
        <v>0.7142857142857143</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68.28852149314389</v>
      </c>
      <c r="AB17">
        <f t="shared" si="13"/>
        <v>61.553011823216622</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1009.1869692929786</v>
      </c>
      <c r="C18">
        <f>IFERROR(INDEX(Engine!$C$2:$C$15,MATCH($A18,Engine!$A$2:$A$15,0)),"")</f>
        <v>1050.3639420982418</v>
      </c>
      <c r="D18">
        <f t="shared" si="0"/>
        <v>11</v>
      </c>
      <c r="E18">
        <f t="shared" si="1"/>
        <v>159.02437430776558</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1031.225848367051</v>
      </c>
      <c r="K18">
        <f t="shared" si="3"/>
        <v>7</v>
      </c>
      <c r="L18">
        <f t="shared" si="4"/>
        <v>-4</v>
      </c>
      <c r="M18">
        <f t="shared" si="5"/>
        <v>0</v>
      </c>
      <c r="N18">
        <f t="shared" si="6"/>
        <v>2</v>
      </c>
      <c r="O18">
        <f t="shared" si="7"/>
        <v>0</v>
      </c>
      <c r="P18">
        <f>IFERROR(SUMPRODUCT(MAX(('Match Log'!$D$4:$D$810=$A18)*'Match Log'!$B$4:$B$810)),0)</f>
        <v>46214</v>
      </c>
      <c r="Q18">
        <f t="shared" si="8"/>
        <v>0</v>
      </c>
      <c r="R18">
        <f>IF($P18=0,0,MAX($Q18-'Guide &amp; Settings'!$C$48,0)*'Guide &amp; Settings'!$C$49)</f>
        <v>0</v>
      </c>
      <c r="S18">
        <f>$B18-$R18-$U18+SUMIF('Poker Stake Ledger'!$C$18:$C$137,$A18,'Poker Stake Ledger'!$K$18:$K$137)</f>
        <v>1009.1869692929786</v>
      </c>
      <c r="T18" t="str">
        <f>IF($P18=0,"No games",IF($Q18&gt;='Guide &amp; Settings'!$C$48,"Inactive",IF($Q18&gt;='Guide &amp; Settings'!$C$47,"At risk","Active")))</f>
        <v>Active</v>
      </c>
      <c r="U18">
        <f>SUMIF('Match Log'!$D$4:$D$810,$A18,'Match Log'!$AC$4:$AC$810)</f>
        <v>0</v>
      </c>
      <c r="V18">
        <f t="shared" si="9"/>
        <v>1</v>
      </c>
      <c r="W18">
        <f t="shared" si="10"/>
        <v>52.296742323244644</v>
      </c>
      <c r="X18">
        <f>IFERROR(INDEX(Dashboard!$G$5:$G$18,MATCH($A18,Dashboard!$B$5:$B$18,0))*100,0)</f>
        <v>33.333333333333329</v>
      </c>
      <c r="Y18">
        <f>MIN(100,IFERROR(INDEX(Dashboard!$K$5:$K$18,MATCH($A18,Dashboard!$B$5:$B$18,0)),0)/5*50+$AC18/4*50)</f>
        <v>20</v>
      </c>
      <c r="Z18">
        <f t="shared" si="11"/>
        <v>40</v>
      </c>
      <c r="AA18">
        <f t="shared" si="12"/>
        <v>62.590985524560438</v>
      </c>
      <c r="AB18">
        <f t="shared" si="13"/>
        <v>41.229625032258333</v>
      </c>
      <c r="AC18">
        <f>IFERROR(SUMPRODUCT((INDEX('Sport Records'!$B$8:$O$26,0,MATCH($A18,'Sport Records'!$B$7:$O$7,0))&gt;=2)*(INDEX('Sport Records'!$B$52:$O$70,0,MATCH($A18,'Sport Records'!$B$51:$O$51,0))&gt;=0.5)),0)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1009.1869710929785</v>
      </c>
    </row>
    <row r="19" spans="1:35" ht="15" customHeight="1" x14ac:dyDescent="0.2">
      <c r="A19" t="s">
        <v>172</v>
      </c>
      <c r="B19">
        <f>IFERROR(INDEX(Engine!$B$2:$B$15,MATCH($A19,Engine!$A$2:$A$15,0)),1000)</f>
        <v>1052.4204774129059</v>
      </c>
      <c r="C19">
        <f>IFERROR(INDEX(Engine!$C$2:$C$15,MATCH($A19,Engine!$A$2:$A$15,0)),"")</f>
        <v>1065.0360659588493</v>
      </c>
      <c r="D19">
        <f t="shared" si="0"/>
        <v>7</v>
      </c>
      <c r="E19">
        <f t="shared" si="1"/>
        <v>115.79086618783822</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1030.3815983388336</v>
      </c>
      <c r="K19">
        <f t="shared" si="3"/>
        <v>8</v>
      </c>
      <c r="L19">
        <f t="shared" si="4"/>
        <v>1</v>
      </c>
      <c r="M19">
        <f t="shared" si="5"/>
        <v>0</v>
      </c>
      <c r="N19">
        <f t="shared" si="6"/>
        <v>3</v>
      </c>
      <c r="O19">
        <f t="shared" si="7"/>
        <v>1</v>
      </c>
      <c r="P19">
        <f>IFERROR(SUMPRODUCT(MAX(('Match Log'!$D$4:$D$810=$A19)*'Match Log'!$B$4:$B$810)),0)</f>
        <v>46214</v>
      </c>
      <c r="Q19">
        <f t="shared" si="8"/>
        <v>0</v>
      </c>
      <c r="R19">
        <f>IF($P19=0,0,MAX($Q19-'Guide &amp; Settings'!$C$48,0)*'Guide &amp; Settings'!$C$49)</f>
        <v>0</v>
      </c>
      <c r="S19">
        <f>$B19-$R19-$U19+SUMIF('Poker Stake Ledger'!$C$18:$C$137,$A19,'Poker Stake Ledger'!$K$18:$K$137)</f>
        <v>1052.4204774129059</v>
      </c>
      <c r="T19" t="str">
        <f>IF($P19=0,"No games",IF($Q19&gt;='Guide &amp; Settings'!$C$48,"Inactive",IF($Q19&gt;='Guide &amp; Settings'!$C$47,"At risk","Active")))</f>
        <v>Active</v>
      </c>
      <c r="U19">
        <f>SUMIF('Match Log'!$D$4:$D$810,$A19,'Match Log'!$AC$4:$AC$810)</f>
        <v>0</v>
      </c>
      <c r="V19">
        <f t="shared" si="9"/>
        <v>0</v>
      </c>
      <c r="W19">
        <f t="shared" si="10"/>
        <v>63.105119353226485</v>
      </c>
      <c r="X19">
        <f>IFERROR(INDEX(Dashboard!$G$5:$G$18,MATCH($A19,Dashboard!$B$5:$B$18,0))*100,0)</f>
        <v>60</v>
      </c>
      <c r="Y19">
        <f>MIN(100,IFERROR(INDEX(Dashboard!$K$5:$K$18,MATCH($A19,Dashboard!$B$5:$B$18,0)),0)/5*50+$AC19/4*50)</f>
        <v>32.5</v>
      </c>
      <c r="Z19">
        <f t="shared" si="11"/>
        <v>60</v>
      </c>
      <c r="AA19">
        <f t="shared" si="12"/>
        <v>66.259016489712337</v>
      </c>
      <c r="AB19">
        <f t="shared" si="13"/>
        <v>56.212693422600509</v>
      </c>
      <c r="AC19">
        <f>IFERROR(SUMPRODUCT((INDEX('Sport Records'!$B$8:$O$26,0,MATCH($A19,'Sport Records'!$B$7:$O$7,0))&gt;=2)*(INDEX('Sport Records'!$B$52:$O$70,0,MATCH($A19,'Sport Records'!$B$51:$O$51,0))&gt;=0.5)),0)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1052.4204793129059</v>
      </c>
    </row>
    <row r="20" spans="1:35" ht="15" customHeight="1" x14ac:dyDescent="0.2">
      <c r="A20" t="s">
        <v>174</v>
      </c>
      <c r="B20">
        <f>IFERROR(INDEX(Engine!$B$2:$B$15,MATCH($A20,Engine!$A$2:$A$15,0)),1000)</f>
        <v>1000</v>
      </c>
      <c r="C20" t="str">
        <f>IFERROR(INDEX(Engine!$C$2:$C$15,MATCH($A20,Engine!$A$2:$A$15,0)),"")</f>
        <v/>
      </c>
      <c r="D20">
        <f t="shared" si="0"/>
        <v>12</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1109.2177733663168</v>
      </c>
      <c r="L162">
        <f>IF($J162&gt;MAX('Match Log'!$A$4:$A$810),NA(),IFERROR(LOOKUP(2,1/(('Match Log'!$D$4:$D$810=$L$24)*('Match Log'!$A$4:$A$810&lt;=$J162)),'Match Log'!$N$4:$N$810),NA()))</f>
        <v>1029.2201908859522</v>
      </c>
      <c r="M162">
        <f>IF($J162&gt;MAX('Match Log'!$A$4:$A$810),NA(),IFERROR(LOOKUP(2,1/(('Match Log'!$D$4:$D$810=$M$24)*('Match Log'!$A$4:$A$810&lt;=$J162)),'Match Log'!$N$4:$N$810),NA()))</f>
        <v>1016.7837867075796</v>
      </c>
      <c r="N162">
        <f>IF($J162&gt;MAX('Match Log'!$A$4:$A$810),NA(),IFERROR(LOOKUP(2,1/(('Match Log'!$D$4:$D$810=$N$24)*('Match Log'!$A$4:$A$810&lt;=$J162)),'Match Log'!$N$4:$N$810),NA()))</f>
        <v>981.92436608474441</v>
      </c>
      <c r="O162">
        <f>IF($J162&gt;MAX('Match Log'!$A$4:$A$810),NA(),IFERROR(LOOKUP(2,1/(('Match Log'!$D$4:$D$810=$O$24)*('Match Log'!$A$4:$A$810&lt;=$J162)),'Match Log'!$N$4:$N$810),NA()))</f>
        <v>1129.7012289075892</v>
      </c>
      <c r="P162">
        <f>IF($J162&gt;MAX('Match Log'!$A$4:$A$810),NA(),IFERROR(LOOKUP(2,1/(('Match Log'!$D$4:$D$810=$P$24)*('Match Log'!$A$4:$A$810&lt;=$J162)),'Match Log'!$N$4:$N$810),NA()))</f>
        <v>1019.8775545971507</v>
      </c>
      <c r="Q162">
        <f>IF($J162&gt;MAX('Match Log'!$A$4:$A$810),NA(),IFERROR(LOOKUP(2,1/(('Match Log'!$D$4:$D$810=$Q$24)*('Match Log'!$A$4:$A$810&lt;=$J162)),'Match Log'!$N$4:$N$810),NA()))</f>
        <v>1084.8903813508514</v>
      </c>
      <c r="R162">
        <f>IF($J162&gt;MAX('Match Log'!$A$4:$A$810),NA(),IFERROR(LOOKUP(2,1/(('Match Log'!$D$4:$D$810=$R$24)*('Match Log'!$A$4:$A$810&lt;=$J162)),'Match Log'!$N$4:$N$810),NA()))</f>
        <v>1050.8634549674414</v>
      </c>
      <c r="S162">
        <f>IF($J162&gt;MAX('Match Log'!$A$4:$A$810),NA(),IFERROR(LOOKUP(2,1/(('Match Log'!$D$4:$D$810=$S$24)*('Match Log'!$A$4:$A$810&lt;=$J162)),'Match Log'!$N$4:$N$810),NA()))</f>
        <v>1168.2113436007442</v>
      </c>
      <c r="T162">
        <f>IF($J162&gt;MAX('Match Log'!$A$4:$A$810),NA(),IFERROR(LOOKUP(2,1/(('Match Log'!$D$4:$D$810=$T$24)*('Match Log'!$A$4:$A$810&lt;=$J162)),'Match Log'!$N$4:$N$810),NA()))</f>
        <v>893.03675187725173</v>
      </c>
      <c r="U162">
        <f>IF($J162&gt;MAX('Match Log'!$A$4:$A$810),NA(),IFERROR(LOOKUP(2,1/(('Match Log'!$D$4:$D$810=$U$24)*('Match Log'!$A$4:$A$810&lt;=$J162)),'Match Log'!$N$4:$N$810),NA()))</f>
        <v>1058.6657209484931</v>
      </c>
      <c r="V162">
        <f>IF($J162&gt;MAX('Match Log'!$A$4:$A$810),NA(),IFERROR(LOOKUP(2,1/(('Match Log'!$D$4:$D$810=$V$24)*('Match Log'!$A$4:$A$810&lt;=$J162)),'Match Log'!$N$4:$N$810),NA()))</f>
        <v>1031.225848367051</v>
      </c>
      <c r="W162">
        <f>IF($J162&gt;MAX('Match Log'!$A$4:$A$810),NA(),IFERROR(LOOKUP(2,1/(('Match Log'!$D$4:$D$810=$W$24)*('Match Log'!$A$4:$A$810&lt;=$J162)),'Match Log'!$N$4:$N$810),NA()))</f>
        <v>1030.3815983388336</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1097.6049428107995</v>
      </c>
      <c r="L163">
        <f>IF($J163&gt;MAX('Match Log'!$A$4:$A$810),NA(),IFERROR(LOOKUP(2,1/(('Match Log'!$D$4:$D$810=$L$24)*('Match Log'!$A$4:$A$810&lt;=$J163)),'Match Log'!$N$4:$N$810),NA()))</f>
        <v>1029.2201908859522</v>
      </c>
      <c r="M163">
        <f>IF($J163&gt;MAX('Match Log'!$A$4:$A$810),NA(),IFERROR(LOOKUP(2,1/(('Match Log'!$D$4:$D$810=$M$24)*('Match Log'!$A$4:$A$810&lt;=$J163)),'Match Log'!$N$4:$N$810),NA()))</f>
        <v>1016.7837867075796</v>
      </c>
      <c r="N163">
        <f>IF($J163&gt;MAX('Match Log'!$A$4:$A$810),NA(),IFERROR(LOOKUP(2,1/(('Match Log'!$D$4:$D$810=$N$24)*('Match Log'!$A$4:$A$810&lt;=$J163)),'Match Log'!$N$4:$N$810),NA()))</f>
        <v>973.18894572037368</v>
      </c>
      <c r="O163">
        <f>IF($J163&gt;MAX('Match Log'!$A$4:$A$810),NA(),IFERROR(LOOKUP(2,1/(('Match Log'!$D$4:$D$810=$O$24)*('Match Log'!$A$4:$A$810&lt;=$J163)),'Match Log'!$N$4:$N$810),NA()))</f>
        <v>1129.7012289075892</v>
      </c>
      <c r="P163">
        <f>IF($J163&gt;MAX('Match Log'!$A$4:$A$810),NA(),IFERROR(LOOKUP(2,1/(('Match Log'!$D$4:$D$810=$P$24)*('Match Log'!$A$4:$A$810&lt;=$J163)),'Match Log'!$N$4:$N$810),NA()))</f>
        <v>1049.2258055170387</v>
      </c>
      <c r="Q163">
        <f>IF($J163&gt;MAX('Match Log'!$A$4:$A$810),NA(),IFERROR(LOOKUP(2,1/(('Match Log'!$D$4:$D$810=$Q$24)*('Match Log'!$A$4:$A$810&lt;=$J163)),'Match Log'!$N$4:$N$810),NA()))</f>
        <v>1084.8903813508514</v>
      </c>
      <c r="R163">
        <f>IF($J163&gt;MAX('Match Log'!$A$4:$A$810),NA(),IFERROR(LOOKUP(2,1/(('Match Log'!$D$4:$D$810=$R$24)*('Match Log'!$A$4:$A$810&lt;=$J163)),'Match Log'!$N$4:$N$810),NA()))</f>
        <v>1050.8634549674414</v>
      </c>
      <c r="S163">
        <f>IF($J163&gt;MAX('Match Log'!$A$4:$A$810),NA(),IFERROR(LOOKUP(2,1/(('Match Log'!$D$4:$D$810=$S$24)*('Match Log'!$A$4:$A$810&lt;=$J163)),'Match Log'!$N$4:$N$810),NA()))</f>
        <v>1168.2113436007442</v>
      </c>
      <c r="T163">
        <f>IF($J163&gt;MAX('Match Log'!$A$4:$A$810),NA(),IFERROR(LOOKUP(2,1/(('Match Log'!$D$4:$D$810=$T$24)*('Match Log'!$A$4:$A$810&lt;=$J163)),'Match Log'!$N$4:$N$810),NA()))</f>
        <v>893.03675187725173</v>
      </c>
      <c r="U163">
        <f>IF($J163&gt;MAX('Match Log'!$A$4:$A$810),NA(),IFERROR(LOOKUP(2,1/(('Match Log'!$D$4:$D$810=$U$24)*('Match Log'!$A$4:$A$810&lt;=$J163)),'Match Log'!$N$4:$N$810),NA()))</f>
        <v>1058.6657209484931</v>
      </c>
      <c r="V163">
        <f>IF($J163&gt;MAX('Match Log'!$A$4:$A$810),NA(),IFERROR(LOOKUP(2,1/(('Match Log'!$D$4:$D$810=$V$24)*('Match Log'!$A$4:$A$810&lt;=$J163)),'Match Log'!$N$4:$N$810),NA()))</f>
        <v>1031.225848367051</v>
      </c>
      <c r="W163">
        <f>IF($J163&gt;MAX('Match Log'!$A$4:$A$810),NA(),IFERROR(LOOKUP(2,1/(('Match Log'!$D$4:$D$810=$W$24)*('Match Log'!$A$4:$A$810&lt;=$J163)),'Match Log'!$N$4:$N$810),NA()))</f>
        <v>1030.3815983388336</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1078.3001763139457</v>
      </c>
      <c r="L164">
        <f>IF($J164&gt;MAX('Match Log'!$A$4:$A$810),NA(),IFERROR(LOOKUP(2,1/(('Match Log'!$D$4:$D$810=$L$24)*('Match Log'!$A$4:$A$810&lt;=$J164)),'Match Log'!$N$4:$N$810),NA()))</f>
        <v>1029.2201908859522</v>
      </c>
      <c r="M164">
        <f>IF($J164&gt;MAX('Match Log'!$A$4:$A$810),NA(),IFERROR(LOOKUP(2,1/(('Match Log'!$D$4:$D$810=$M$24)*('Match Log'!$A$4:$A$810&lt;=$J164)),'Match Log'!$N$4:$N$810),NA()))</f>
        <v>1016.7837867075796</v>
      </c>
      <c r="N164">
        <f>IF($J164&gt;MAX('Match Log'!$A$4:$A$810),NA(),IFERROR(LOOKUP(2,1/(('Match Log'!$D$4:$D$810=$N$24)*('Match Log'!$A$4:$A$810&lt;=$J164)),'Match Log'!$N$4:$N$810),NA()))</f>
        <v>973.18894572037368</v>
      </c>
      <c r="O164">
        <f>IF($J164&gt;MAX('Match Log'!$A$4:$A$810),NA(),IFERROR(LOOKUP(2,1/(('Match Log'!$D$4:$D$810=$O$24)*('Match Log'!$A$4:$A$810&lt;=$J164)),'Match Log'!$N$4:$N$810),NA()))</f>
        <v>1129.7012289075892</v>
      </c>
      <c r="P164">
        <f>IF($J164&gt;MAX('Match Log'!$A$4:$A$810),NA(),IFERROR(LOOKUP(2,1/(('Match Log'!$D$4:$D$810=$P$24)*('Match Log'!$A$4:$A$810&lt;=$J164)),'Match Log'!$N$4:$N$810),NA()))</f>
        <v>1068.5305720138924</v>
      </c>
      <c r="Q164">
        <f>IF($J164&gt;MAX('Match Log'!$A$4:$A$810),NA(),IFERROR(LOOKUP(2,1/(('Match Log'!$D$4:$D$810=$Q$24)*('Match Log'!$A$4:$A$810&lt;=$J164)),'Match Log'!$N$4:$N$810),NA()))</f>
        <v>1084.8903813508514</v>
      </c>
      <c r="R164">
        <f>IF($J164&gt;MAX('Match Log'!$A$4:$A$810),NA(),IFERROR(LOOKUP(2,1/(('Match Log'!$D$4:$D$810=$R$24)*('Match Log'!$A$4:$A$810&lt;=$J164)),'Match Log'!$N$4:$N$810),NA()))</f>
        <v>1050.8634549674414</v>
      </c>
      <c r="S164">
        <f>IF($J164&gt;MAX('Match Log'!$A$4:$A$810),NA(),IFERROR(LOOKUP(2,1/(('Match Log'!$D$4:$D$810=$S$24)*('Match Log'!$A$4:$A$810&lt;=$J164)),'Match Log'!$N$4:$N$810),NA()))</f>
        <v>1168.2113436007442</v>
      </c>
      <c r="T164">
        <f>IF($J164&gt;MAX('Match Log'!$A$4:$A$810),NA(),IFERROR(LOOKUP(2,1/(('Match Log'!$D$4:$D$810=$T$24)*('Match Log'!$A$4:$A$810&lt;=$J164)),'Match Log'!$N$4:$N$810),NA()))</f>
        <v>893.03675187725173</v>
      </c>
      <c r="U164">
        <f>IF($J164&gt;MAX('Match Log'!$A$4:$A$810),NA(),IFERROR(LOOKUP(2,1/(('Match Log'!$D$4:$D$810=$U$24)*('Match Log'!$A$4:$A$810&lt;=$J164)),'Match Log'!$N$4:$N$810),NA()))</f>
        <v>1058.6657209484931</v>
      </c>
      <c r="V164">
        <f>IF($J164&gt;MAX('Match Log'!$A$4:$A$810),NA(),IFERROR(LOOKUP(2,1/(('Match Log'!$D$4:$D$810=$V$24)*('Match Log'!$A$4:$A$810&lt;=$J164)),'Match Log'!$N$4:$N$810),NA()))</f>
        <v>1031.225848367051</v>
      </c>
      <c r="W164">
        <f>IF($J164&gt;MAX('Match Log'!$A$4:$A$810),NA(),IFERROR(LOOKUP(2,1/(('Match Log'!$D$4:$D$810=$W$24)*('Match Log'!$A$4:$A$810&lt;=$J164)),'Match Log'!$N$4:$N$810),NA()))</f>
        <v>1030.3815983388336</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1104.9754644998675</v>
      </c>
      <c r="L165">
        <f>IF($J165&gt;MAX('Match Log'!$A$4:$A$810),NA(),IFERROR(LOOKUP(2,1/(('Match Log'!$D$4:$D$810=$L$24)*('Match Log'!$A$4:$A$810&lt;=$J165)),'Match Log'!$N$4:$N$810),NA()))</f>
        <v>1029.2201908859522</v>
      </c>
      <c r="M165">
        <f>IF($J165&gt;MAX('Match Log'!$A$4:$A$810),NA(),IFERROR(LOOKUP(2,1/(('Match Log'!$D$4:$D$810=$M$24)*('Match Log'!$A$4:$A$810&lt;=$J165)),'Match Log'!$N$4:$N$810),NA()))</f>
        <v>1016.7837867075796</v>
      </c>
      <c r="N165">
        <f>IF($J165&gt;MAX('Match Log'!$A$4:$A$810),NA(),IFERROR(LOOKUP(2,1/(('Match Log'!$D$4:$D$810=$N$24)*('Match Log'!$A$4:$A$810&lt;=$J165)),'Match Log'!$N$4:$N$810),NA()))</f>
        <v>973.18894572037368</v>
      </c>
      <c r="O165">
        <f>IF($J165&gt;MAX('Match Log'!$A$4:$A$810),NA(),IFERROR(LOOKUP(2,1/(('Match Log'!$D$4:$D$810=$O$24)*('Match Log'!$A$4:$A$810&lt;=$J165)),'Match Log'!$N$4:$N$810),NA()))</f>
        <v>1129.7012289075892</v>
      </c>
      <c r="P165">
        <f>IF($J165&gt;MAX('Match Log'!$A$4:$A$810),NA(),IFERROR(LOOKUP(2,1/(('Match Log'!$D$4:$D$810=$P$24)*('Match Log'!$A$4:$A$810&lt;=$J165)),'Match Log'!$N$4:$N$810),NA()))</f>
        <v>1041.8552838279707</v>
      </c>
      <c r="Q165">
        <f>IF($J165&gt;MAX('Match Log'!$A$4:$A$810),NA(),IFERROR(LOOKUP(2,1/(('Match Log'!$D$4:$D$810=$Q$24)*('Match Log'!$A$4:$A$810&lt;=$J165)),'Match Log'!$N$4:$N$810),NA()))</f>
        <v>1084.8903813508514</v>
      </c>
      <c r="R165">
        <f>IF($J165&gt;MAX('Match Log'!$A$4:$A$810),NA(),IFERROR(LOOKUP(2,1/(('Match Log'!$D$4:$D$810=$R$24)*('Match Log'!$A$4:$A$810&lt;=$J165)),'Match Log'!$N$4:$N$810),NA()))</f>
        <v>1050.8634549674414</v>
      </c>
      <c r="S165">
        <f>IF($J165&gt;MAX('Match Log'!$A$4:$A$810),NA(),IFERROR(LOOKUP(2,1/(('Match Log'!$D$4:$D$810=$S$24)*('Match Log'!$A$4:$A$810&lt;=$J165)),'Match Log'!$N$4:$N$810),NA()))</f>
        <v>1168.2113436007442</v>
      </c>
      <c r="T165">
        <f>IF($J165&gt;MAX('Match Log'!$A$4:$A$810),NA(),IFERROR(LOOKUP(2,1/(('Match Log'!$D$4:$D$810=$T$24)*('Match Log'!$A$4:$A$810&lt;=$J165)),'Match Log'!$N$4:$N$810),NA()))</f>
        <v>893.03675187725173</v>
      </c>
      <c r="U165">
        <f>IF($J165&gt;MAX('Match Log'!$A$4:$A$810),NA(),IFERROR(LOOKUP(2,1/(('Match Log'!$D$4:$D$810=$U$24)*('Match Log'!$A$4:$A$810&lt;=$J165)),'Match Log'!$N$4:$N$810),NA()))</f>
        <v>1058.6657209484931</v>
      </c>
      <c r="V165">
        <f>IF($J165&gt;MAX('Match Log'!$A$4:$A$810),NA(),IFERROR(LOOKUP(2,1/(('Match Log'!$D$4:$D$810=$V$24)*('Match Log'!$A$4:$A$810&lt;=$J165)),'Match Log'!$N$4:$N$810),NA()))</f>
        <v>1031.225848367051</v>
      </c>
      <c r="W165">
        <f>IF($J165&gt;MAX('Match Log'!$A$4:$A$810),NA(),IFERROR(LOOKUP(2,1/(('Match Log'!$D$4:$D$810=$W$24)*('Match Log'!$A$4:$A$810&lt;=$J165)),'Match Log'!$N$4:$N$810),NA()))</f>
        <v>1030.3815983388336</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1080.1002362670649</v>
      </c>
      <c r="L166">
        <f>IF($J166&gt;MAX('Match Log'!$A$4:$A$810),NA(),IFERROR(LOOKUP(2,1/(('Match Log'!$D$4:$D$810=$L$24)*('Match Log'!$A$4:$A$810&lt;=$J166)),'Match Log'!$N$4:$N$810),NA()))</f>
        <v>1029.2201908859522</v>
      </c>
      <c r="M166">
        <f>IF($J166&gt;MAX('Match Log'!$A$4:$A$810),NA(),IFERROR(LOOKUP(2,1/(('Match Log'!$D$4:$D$810=$M$24)*('Match Log'!$A$4:$A$810&lt;=$J166)),'Match Log'!$N$4:$N$810),NA()))</f>
        <v>1016.7837867075796</v>
      </c>
      <c r="N166">
        <f>IF($J166&gt;MAX('Match Log'!$A$4:$A$810),NA(),IFERROR(LOOKUP(2,1/(('Match Log'!$D$4:$D$810=$N$24)*('Match Log'!$A$4:$A$810&lt;=$J166)),'Match Log'!$N$4:$N$810),NA()))</f>
        <v>973.18894572037368</v>
      </c>
      <c r="O166">
        <f>IF($J166&gt;MAX('Match Log'!$A$4:$A$810),NA(),IFERROR(LOOKUP(2,1/(('Match Log'!$D$4:$D$810=$O$24)*('Match Log'!$A$4:$A$810&lt;=$J166)),'Match Log'!$N$4:$N$810),NA()))</f>
        <v>1129.7012289075892</v>
      </c>
      <c r="P166">
        <f>IF($J166&gt;MAX('Match Log'!$A$4:$A$810),NA(),IFERROR(LOOKUP(2,1/(('Match Log'!$D$4:$D$810=$P$24)*('Match Log'!$A$4:$A$810&lt;=$J166)),'Match Log'!$N$4:$N$810),NA()))</f>
        <v>1066.7305120607732</v>
      </c>
      <c r="Q166">
        <f>IF($J166&gt;MAX('Match Log'!$A$4:$A$810),NA(),IFERROR(LOOKUP(2,1/(('Match Log'!$D$4:$D$810=$Q$24)*('Match Log'!$A$4:$A$810&lt;=$J166)),'Match Log'!$N$4:$N$810),NA()))</f>
        <v>1084.8903813508514</v>
      </c>
      <c r="R166">
        <f>IF($J166&gt;MAX('Match Log'!$A$4:$A$810),NA(),IFERROR(LOOKUP(2,1/(('Match Log'!$D$4:$D$810=$R$24)*('Match Log'!$A$4:$A$810&lt;=$J166)),'Match Log'!$N$4:$N$810),NA()))</f>
        <v>1050.8634549674414</v>
      </c>
      <c r="S166">
        <f>IF($J166&gt;MAX('Match Log'!$A$4:$A$810),NA(),IFERROR(LOOKUP(2,1/(('Match Log'!$D$4:$D$810=$S$24)*('Match Log'!$A$4:$A$810&lt;=$J166)),'Match Log'!$N$4:$N$810),NA()))</f>
        <v>1168.2113436007442</v>
      </c>
      <c r="T166">
        <f>IF($J166&gt;MAX('Match Log'!$A$4:$A$810),NA(),IFERROR(LOOKUP(2,1/(('Match Log'!$D$4:$D$810=$T$24)*('Match Log'!$A$4:$A$810&lt;=$J166)),'Match Log'!$N$4:$N$810),NA()))</f>
        <v>893.03675187725173</v>
      </c>
      <c r="U166">
        <f>IF($J166&gt;MAX('Match Log'!$A$4:$A$810),NA(),IFERROR(LOOKUP(2,1/(('Match Log'!$D$4:$D$810=$U$24)*('Match Log'!$A$4:$A$810&lt;=$J166)),'Match Log'!$N$4:$N$810),NA()))</f>
        <v>1058.6657209484931</v>
      </c>
      <c r="V166">
        <f>IF($J166&gt;MAX('Match Log'!$A$4:$A$810),NA(),IFERROR(LOOKUP(2,1/(('Match Log'!$D$4:$D$810=$V$24)*('Match Log'!$A$4:$A$810&lt;=$J166)),'Match Log'!$N$4:$N$810),NA()))</f>
        <v>1031.225848367051</v>
      </c>
      <c r="W166">
        <f>IF($J166&gt;MAX('Match Log'!$A$4:$A$810),NA(),IFERROR(LOOKUP(2,1/(('Match Log'!$D$4:$D$810=$W$24)*('Match Log'!$A$4:$A$810&lt;=$J166)),'Match Log'!$N$4:$N$810),NA()))</f>
        <v>1030.3815983388336</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1103.8327881293169</v>
      </c>
      <c r="L167">
        <f>IF($J167&gt;MAX('Match Log'!$A$4:$A$810),NA(),IFERROR(LOOKUP(2,1/(('Match Log'!$D$4:$D$810=$L$24)*('Match Log'!$A$4:$A$810&lt;=$J167)),'Match Log'!$N$4:$N$810),NA()))</f>
        <v>1029.2201908859522</v>
      </c>
      <c r="M167">
        <f>IF($J167&gt;MAX('Match Log'!$A$4:$A$810),NA(),IFERROR(LOOKUP(2,1/(('Match Log'!$D$4:$D$810=$M$24)*('Match Log'!$A$4:$A$810&lt;=$J167)),'Match Log'!$N$4:$N$810),NA()))</f>
        <v>1016.7837867075796</v>
      </c>
      <c r="N167">
        <f>IF($J167&gt;MAX('Match Log'!$A$4:$A$810),NA(),IFERROR(LOOKUP(2,1/(('Match Log'!$D$4:$D$810=$N$24)*('Match Log'!$A$4:$A$810&lt;=$J167)),'Match Log'!$N$4:$N$810),NA()))</f>
        <v>973.18894572037368</v>
      </c>
      <c r="O167">
        <f>IF($J167&gt;MAX('Match Log'!$A$4:$A$810),NA(),IFERROR(LOOKUP(2,1/(('Match Log'!$D$4:$D$810=$O$24)*('Match Log'!$A$4:$A$810&lt;=$J167)),'Match Log'!$N$4:$N$810),NA()))</f>
        <v>1129.7012289075892</v>
      </c>
      <c r="P167">
        <f>IF($J167&gt;MAX('Match Log'!$A$4:$A$810),NA(),IFERROR(LOOKUP(2,1/(('Match Log'!$D$4:$D$810=$P$24)*('Match Log'!$A$4:$A$810&lt;=$J167)),'Match Log'!$N$4:$N$810),NA()))</f>
        <v>1042.9979601985212</v>
      </c>
      <c r="Q167">
        <f>IF($J167&gt;MAX('Match Log'!$A$4:$A$810),NA(),IFERROR(LOOKUP(2,1/(('Match Log'!$D$4:$D$810=$Q$24)*('Match Log'!$A$4:$A$810&lt;=$J167)),'Match Log'!$N$4:$N$810),NA()))</f>
        <v>1084.8903813508514</v>
      </c>
      <c r="R167">
        <f>IF($J167&gt;MAX('Match Log'!$A$4:$A$810),NA(),IFERROR(LOOKUP(2,1/(('Match Log'!$D$4:$D$810=$R$24)*('Match Log'!$A$4:$A$810&lt;=$J167)),'Match Log'!$N$4:$N$810),NA()))</f>
        <v>1050.8634549674414</v>
      </c>
      <c r="S167">
        <f>IF($J167&gt;MAX('Match Log'!$A$4:$A$810),NA(),IFERROR(LOOKUP(2,1/(('Match Log'!$D$4:$D$810=$S$24)*('Match Log'!$A$4:$A$810&lt;=$J167)),'Match Log'!$N$4:$N$810),NA()))</f>
        <v>1168.2113436007442</v>
      </c>
      <c r="T167">
        <f>IF($J167&gt;MAX('Match Log'!$A$4:$A$810),NA(),IFERROR(LOOKUP(2,1/(('Match Log'!$D$4:$D$810=$T$24)*('Match Log'!$A$4:$A$810&lt;=$J167)),'Match Log'!$N$4:$N$810),NA()))</f>
        <v>893.03675187725173</v>
      </c>
      <c r="U167">
        <f>IF($J167&gt;MAX('Match Log'!$A$4:$A$810),NA(),IFERROR(LOOKUP(2,1/(('Match Log'!$D$4:$D$810=$U$24)*('Match Log'!$A$4:$A$810&lt;=$J167)),'Match Log'!$N$4:$N$810),NA()))</f>
        <v>1058.6657209484931</v>
      </c>
      <c r="V167">
        <f>IF($J167&gt;MAX('Match Log'!$A$4:$A$810),NA(),IFERROR(LOOKUP(2,1/(('Match Log'!$D$4:$D$810=$V$24)*('Match Log'!$A$4:$A$810&lt;=$J167)),'Match Log'!$N$4:$N$810),NA()))</f>
        <v>1031.225848367051</v>
      </c>
      <c r="W167">
        <f>IF($J167&gt;MAX('Match Log'!$A$4:$A$810),NA(),IFERROR(LOOKUP(2,1/(('Match Log'!$D$4:$D$810=$W$24)*('Match Log'!$A$4:$A$810&lt;=$J167)),'Match Log'!$N$4:$N$810),NA()))</f>
        <v>1030.3815983388336</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1103.8327881293169</v>
      </c>
      <c r="L168">
        <f>IF($J168&gt;MAX('Match Log'!$A$4:$A$810),NA(),IFERROR(LOOKUP(2,1/(('Match Log'!$D$4:$D$810=$L$24)*('Match Log'!$A$4:$A$810&lt;=$J168)),'Match Log'!$N$4:$N$810),NA()))</f>
        <v>1029.2201908859522</v>
      </c>
      <c r="M168">
        <f>IF($J168&gt;MAX('Match Log'!$A$4:$A$810),NA(),IFERROR(LOOKUP(2,1/(('Match Log'!$D$4:$D$810=$M$24)*('Match Log'!$A$4:$A$810&lt;=$J168)),'Match Log'!$N$4:$N$810),NA()))</f>
        <v>1016.7837867075796</v>
      </c>
      <c r="N168">
        <f>IF($J168&gt;MAX('Match Log'!$A$4:$A$810),NA(),IFERROR(LOOKUP(2,1/(('Match Log'!$D$4:$D$810=$N$24)*('Match Log'!$A$4:$A$810&lt;=$J168)),'Match Log'!$N$4:$N$810),NA()))</f>
        <v>973.18894572037368</v>
      </c>
      <c r="O168">
        <f>IF($J168&gt;MAX('Match Log'!$A$4:$A$810),NA(),IFERROR(LOOKUP(2,1/(('Match Log'!$D$4:$D$810=$O$24)*('Match Log'!$A$4:$A$810&lt;=$J168)),'Match Log'!$N$4:$N$810),NA()))</f>
        <v>1129.7012289075892</v>
      </c>
      <c r="P168">
        <f>IF($J168&gt;MAX('Match Log'!$A$4:$A$810),NA(),IFERROR(LOOKUP(2,1/(('Match Log'!$D$4:$D$810=$P$24)*('Match Log'!$A$4:$A$810&lt;=$J168)),'Match Log'!$N$4:$N$810),NA()))</f>
        <v>1042.9979601985212</v>
      </c>
      <c r="Q168">
        <f>IF($J168&gt;MAX('Match Log'!$A$4:$A$810),NA(),IFERROR(LOOKUP(2,1/(('Match Log'!$D$4:$D$810=$Q$24)*('Match Log'!$A$4:$A$810&lt;=$J168)),'Match Log'!$N$4:$N$810),NA()))</f>
        <v>1084.8903813508514</v>
      </c>
      <c r="R168">
        <f>IF($J168&gt;MAX('Match Log'!$A$4:$A$810),NA(),IFERROR(LOOKUP(2,1/(('Match Log'!$D$4:$D$810=$R$24)*('Match Log'!$A$4:$A$810&lt;=$J168)),'Match Log'!$N$4:$N$810),NA()))</f>
        <v>1050.8634549674414</v>
      </c>
      <c r="S168">
        <f>IF($J168&gt;MAX('Match Log'!$A$4:$A$810),NA(),IFERROR(LOOKUP(2,1/(('Match Log'!$D$4:$D$810=$S$24)*('Match Log'!$A$4:$A$810&lt;=$J168)),'Match Log'!$N$4:$N$810),NA()))</f>
        <v>1168.2113436007442</v>
      </c>
      <c r="T168">
        <f>IF($J168&gt;MAX('Match Log'!$A$4:$A$810),NA(),IFERROR(LOOKUP(2,1/(('Match Log'!$D$4:$D$810=$T$24)*('Match Log'!$A$4:$A$810&lt;=$J168)),'Match Log'!$N$4:$N$810),NA()))</f>
        <v>893.03675187725173</v>
      </c>
      <c r="U168">
        <f>IF($J168&gt;MAX('Match Log'!$A$4:$A$810),NA(),IFERROR(LOOKUP(2,1/(('Match Log'!$D$4:$D$810=$U$24)*('Match Log'!$A$4:$A$810&lt;=$J168)),'Match Log'!$N$4:$N$810),NA()))</f>
        <v>1058.6657209484931</v>
      </c>
      <c r="V168">
        <f>IF($J168&gt;MAX('Match Log'!$A$4:$A$810),NA(),IFERROR(LOOKUP(2,1/(('Match Log'!$D$4:$D$810=$V$24)*('Match Log'!$A$4:$A$810&lt;=$J168)),'Match Log'!$N$4:$N$810),NA()))</f>
        <v>1009.1869692929786</v>
      </c>
      <c r="W168">
        <f>IF($J168&gt;MAX('Match Log'!$A$4:$A$810),NA(),IFERROR(LOOKUP(2,1/(('Match Log'!$D$4:$D$810=$W$24)*('Match Log'!$A$4:$A$810&lt;=$J168)),'Match Log'!$N$4:$N$810),NA()))</f>
        <v>1052.4204774129059</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1119.6253165374437</v>
      </c>
      <c r="L169">
        <f>IF($J169&gt;MAX('Match Log'!$A$4:$A$810),NA(),IFERROR(LOOKUP(2,1/(('Match Log'!$D$4:$D$810=$L$24)*('Match Log'!$A$4:$A$810&lt;=$J169)),'Match Log'!$N$4:$N$810),NA()))</f>
        <v>1029.2201908859522</v>
      </c>
      <c r="M169">
        <f>IF($J169&gt;MAX('Match Log'!$A$4:$A$810),NA(),IFERROR(LOOKUP(2,1/(('Match Log'!$D$4:$D$810=$M$24)*('Match Log'!$A$4:$A$810&lt;=$J169)),'Match Log'!$N$4:$N$810),NA()))</f>
        <v>1016.7837867075796</v>
      </c>
      <c r="N169">
        <f>IF($J169&gt;MAX('Match Log'!$A$4:$A$810),NA(),IFERROR(LOOKUP(2,1/(('Match Log'!$D$4:$D$810=$N$24)*('Match Log'!$A$4:$A$810&lt;=$J169)),'Match Log'!$N$4:$N$810),NA()))</f>
        <v>973.18894572037368</v>
      </c>
      <c r="O169">
        <f>IF($J169&gt;MAX('Match Log'!$A$4:$A$810),NA(),IFERROR(LOOKUP(2,1/(('Match Log'!$D$4:$D$810=$O$24)*('Match Log'!$A$4:$A$810&lt;=$J169)),'Match Log'!$N$4:$N$810),NA()))</f>
        <v>1129.7012289075892</v>
      </c>
      <c r="P169">
        <f>IF($J169&gt;MAX('Match Log'!$A$4:$A$810),NA(),IFERROR(LOOKUP(2,1/(('Match Log'!$D$4:$D$810=$P$24)*('Match Log'!$A$4:$A$810&lt;=$J169)),'Match Log'!$N$4:$N$810),NA()))</f>
        <v>1027.2054317903944</v>
      </c>
      <c r="Q169">
        <f>IF($J169&gt;MAX('Match Log'!$A$4:$A$810),NA(),IFERROR(LOOKUP(2,1/(('Match Log'!$D$4:$D$810=$Q$24)*('Match Log'!$A$4:$A$810&lt;=$J169)),'Match Log'!$N$4:$N$810),NA()))</f>
        <v>1084.8903813508514</v>
      </c>
      <c r="R169">
        <f>IF($J169&gt;MAX('Match Log'!$A$4:$A$810),NA(),IFERROR(LOOKUP(2,1/(('Match Log'!$D$4:$D$810=$R$24)*('Match Log'!$A$4:$A$810&lt;=$J169)),'Match Log'!$N$4:$N$810),NA()))</f>
        <v>1050.8634549674414</v>
      </c>
      <c r="S169">
        <f>IF($J169&gt;MAX('Match Log'!$A$4:$A$810),NA(),IFERROR(LOOKUP(2,1/(('Match Log'!$D$4:$D$810=$S$24)*('Match Log'!$A$4:$A$810&lt;=$J169)),'Match Log'!$N$4:$N$810),NA()))</f>
        <v>1168.2113436007442</v>
      </c>
      <c r="T169">
        <f>IF($J169&gt;MAX('Match Log'!$A$4:$A$810),NA(),IFERROR(LOOKUP(2,1/(('Match Log'!$D$4:$D$810=$T$24)*('Match Log'!$A$4:$A$810&lt;=$J169)),'Match Log'!$N$4:$N$810),NA()))</f>
        <v>893.03675187725173</v>
      </c>
      <c r="U169">
        <f>IF($J169&gt;MAX('Match Log'!$A$4:$A$810),NA(),IFERROR(LOOKUP(2,1/(('Match Log'!$D$4:$D$810=$U$24)*('Match Log'!$A$4:$A$810&lt;=$J169)),'Match Log'!$N$4:$N$810),NA()))</f>
        <v>1058.6657209484931</v>
      </c>
      <c r="V169">
        <f>IF($J169&gt;MAX('Match Log'!$A$4:$A$810),NA(),IFERROR(LOOKUP(2,1/(('Match Log'!$D$4:$D$810=$V$24)*('Match Log'!$A$4:$A$810&lt;=$J169)),'Match Log'!$N$4:$N$810),NA()))</f>
        <v>1009.1869692929786</v>
      </c>
      <c r="W169">
        <f>IF($J169&gt;MAX('Match Log'!$A$4:$A$810),NA(),IFERROR(LOOKUP(2,1/(('Match Log'!$D$4:$D$810=$W$24)*('Match Log'!$A$4:$A$810&lt;=$J169)),'Match Log'!$N$4:$N$810),NA()))</f>
        <v>1052.4204774129059</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1089.8997161912446</v>
      </c>
      <c r="L170">
        <f>IF($J170&gt;MAX('Match Log'!$A$4:$A$810),NA(),IFERROR(LOOKUP(2,1/(('Match Log'!$D$4:$D$810=$L$24)*('Match Log'!$A$4:$A$810&lt;=$J170)),'Match Log'!$N$4:$N$810),NA()))</f>
        <v>1029.2201908859522</v>
      </c>
      <c r="M170">
        <f>IF($J170&gt;MAX('Match Log'!$A$4:$A$810),NA(),IFERROR(LOOKUP(2,1/(('Match Log'!$D$4:$D$810=$M$24)*('Match Log'!$A$4:$A$810&lt;=$J170)),'Match Log'!$N$4:$N$810),NA()))</f>
        <v>1016.7837867075796</v>
      </c>
      <c r="N170">
        <f>IF($J170&gt;MAX('Match Log'!$A$4:$A$810),NA(),IFERROR(LOOKUP(2,1/(('Match Log'!$D$4:$D$810=$N$24)*('Match Log'!$A$4:$A$810&lt;=$J170)),'Match Log'!$N$4:$N$810),NA()))</f>
        <v>973.18894572037368</v>
      </c>
      <c r="O170">
        <f>IF($J170&gt;MAX('Match Log'!$A$4:$A$810),NA(),IFERROR(LOOKUP(2,1/(('Match Log'!$D$4:$D$810=$O$24)*('Match Log'!$A$4:$A$810&lt;=$J170)),'Match Log'!$N$4:$N$810),NA()))</f>
        <v>1129.7012289075892</v>
      </c>
      <c r="P170">
        <f>IF($J170&gt;MAX('Match Log'!$A$4:$A$810),NA(),IFERROR(LOOKUP(2,1/(('Match Log'!$D$4:$D$810=$P$24)*('Match Log'!$A$4:$A$810&lt;=$J170)),'Match Log'!$N$4:$N$810),NA()))</f>
        <v>1056.9310321365936</v>
      </c>
      <c r="Q170">
        <f>IF($J170&gt;MAX('Match Log'!$A$4:$A$810),NA(),IFERROR(LOOKUP(2,1/(('Match Log'!$D$4:$D$810=$Q$24)*('Match Log'!$A$4:$A$810&lt;=$J170)),'Match Log'!$N$4:$N$810),NA()))</f>
        <v>1084.8903813508514</v>
      </c>
      <c r="R170">
        <f>IF($J170&gt;MAX('Match Log'!$A$4:$A$810),NA(),IFERROR(LOOKUP(2,1/(('Match Log'!$D$4:$D$810=$R$24)*('Match Log'!$A$4:$A$810&lt;=$J170)),'Match Log'!$N$4:$N$810),NA()))</f>
        <v>1050.8634549674414</v>
      </c>
      <c r="S170">
        <f>IF($J170&gt;MAX('Match Log'!$A$4:$A$810),NA(),IFERROR(LOOKUP(2,1/(('Match Log'!$D$4:$D$810=$S$24)*('Match Log'!$A$4:$A$810&lt;=$J170)),'Match Log'!$N$4:$N$810),NA()))</f>
        <v>1168.2113436007442</v>
      </c>
      <c r="T170">
        <f>IF($J170&gt;MAX('Match Log'!$A$4:$A$810),NA(),IFERROR(LOOKUP(2,1/(('Match Log'!$D$4:$D$810=$T$24)*('Match Log'!$A$4:$A$810&lt;=$J170)),'Match Log'!$N$4:$N$810),NA()))</f>
        <v>893.03675187725173</v>
      </c>
      <c r="U170">
        <f>IF($J170&gt;MAX('Match Log'!$A$4:$A$810),NA(),IFERROR(LOOKUP(2,1/(('Match Log'!$D$4:$D$810=$U$24)*('Match Log'!$A$4:$A$810&lt;=$J170)),'Match Log'!$N$4:$N$810),NA()))</f>
        <v>1058.6657209484931</v>
      </c>
      <c r="V170">
        <f>IF($J170&gt;MAX('Match Log'!$A$4:$A$810),NA(),IFERROR(LOOKUP(2,1/(('Match Log'!$D$4:$D$810=$V$24)*('Match Log'!$A$4:$A$810&lt;=$J170)),'Match Log'!$N$4:$N$810),NA()))</f>
        <v>1009.1869692929786</v>
      </c>
      <c r="W170">
        <f>IF($J170&gt;MAX('Match Log'!$A$4:$A$810),NA(),IFERROR(LOOKUP(2,1/(('Match Log'!$D$4:$D$810=$W$24)*('Match Log'!$A$4:$A$810&lt;=$J170)),'Match Log'!$N$4:$N$810),NA()))</f>
        <v>1052.4204774129059</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1063.3178557740468</v>
      </c>
      <c r="L171">
        <f>IF($J171&gt;MAX('Match Log'!$A$4:$A$810),NA(),IFERROR(LOOKUP(2,1/(('Match Log'!$D$4:$D$810=$L$24)*('Match Log'!$A$4:$A$810&lt;=$J171)),'Match Log'!$N$4:$N$810),NA()))</f>
        <v>1029.2201908859522</v>
      </c>
      <c r="M171">
        <f>IF($J171&gt;MAX('Match Log'!$A$4:$A$810),NA(),IFERROR(LOOKUP(2,1/(('Match Log'!$D$4:$D$810=$M$24)*('Match Log'!$A$4:$A$810&lt;=$J171)),'Match Log'!$N$4:$N$810),NA()))</f>
        <v>1016.7837867075796</v>
      </c>
      <c r="N171">
        <f>IF($J171&gt;MAX('Match Log'!$A$4:$A$810),NA(),IFERROR(LOOKUP(2,1/(('Match Log'!$D$4:$D$810=$N$24)*('Match Log'!$A$4:$A$810&lt;=$J171)),'Match Log'!$N$4:$N$810),NA()))</f>
        <v>973.18894572037368</v>
      </c>
      <c r="O171">
        <f>IF($J171&gt;MAX('Match Log'!$A$4:$A$810),NA(),IFERROR(LOOKUP(2,1/(('Match Log'!$D$4:$D$810=$O$24)*('Match Log'!$A$4:$A$810&lt;=$J171)),'Match Log'!$N$4:$N$810),NA()))</f>
        <v>1129.7012289075892</v>
      </c>
      <c r="P171">
        <f>IF($J171&gt;MAX('Match Log'!$A$4:$A$810),NA(),IFERROR(LOOKUP(2,1/(('Match Log'!$D$4:$D$810=$P$24)*('Match Log'!$A$4:$A$810&lt;=$J171)),'Match Log'!$N$4:$N$810),NA()))</f>
        <v>1083.5128925537913</v>
      </c>
      <c r="Q171">
        <f>IF($J171&gt;MAX('Match Log'!$A$4:$A$810),NA(),IFERROR(LOOKUP(2,1/(('Match Log'!$D$4:$D$810=$Q$24)*('Match Log'!$A$4:$A$810&lt;=$J171)),'Match Log'!$N$4:$N$810),NA()))</f>
        <v>1084.8903813508514</v>
      </c>
      <c r="R171">
        <f>IF($J171&gt;MAX('Match Log'!$A$4:$A$810),NA(),IFERROR(LOOKUP(2,1/(('Match Log'!$D$4:$D$810=$R$24)*('Match Log'!$A$4:$A$810&lt;=$J171)),'Match Log'!$N$4:$N$810),NA()))</f>
        <v>1050.8634549674414</v>
      </c>
      <c r="S171">
        <f>IF($J171&gt;MAX('Match Log'!$A$4:$A$810),NA(),IFERROR(LOOKUP(2,1/(('Match Log'!$D$4:$D$810=$S$24)*('Match Log'!$A$4:$A$810&lt;=$J171)),'Match Log'!$N$4:$N$810),NA()))</f>
        <v>1168.2113436007442</v>
      </c>
      <c r="T171">
        <f>IF($J171&gt;MAX('Match Log'!$A$4:$A$810),NA(),IFERROR(LOOKUP(2,1/(('Match Log'!$D$4:$D$810=$T$24)*('Match Log'!$A$4:$A$810&lt;=$J171)),'Match Log'!$N$4:$N$810),NA()))</f>
        <v>893.03675187725173</v>
      </c>
      <c r="U171">
        <f>IF($J171&gt;MAX('Match Log'!$A$4:$A$810),NA(),IFERROR(LOOKUP(2,1/(('Match Log'!$D$4:$D$810=$U$24)*('Match Log'!$A$4:$A$810&lt;=$J171)),'Match Log'!$N$4:$N$810),NA()))</f>
        <v>1058.6657209484931</v>
      </c>
      <c r="V171">
        <f>IF($J171&gt;MAX('Match Log'!$A$4:$A$810),NA(),IFERROR(LOOKUP(2,1/(('Match Log'!$D$4:$D$810=$V$24)*('Match Log'!$A$4:$A$810&lt;=$J171)),'Match Log'!$N$4:$N$810),NA()))</f>
        <v>1009.1869692929786</v>
      </c>
      <c r="W171">
        <f>IF($J171&gt;MAX('Match Log'!$A$4:$A$810),NA(),IFERROR(LOOKUP(2,1/(('Match Log'!$D$4:$D$810=$W$24)*('Match Log'!$A$4:$A$810&lt;=$J171)),'Match Log'!$N$4:$N$810),NA()))</f>
        <v>1052.4204774129059</v>
      </c>
      <c r="X171" t="e">
        <f>IF($J171&gt;MAX('Match Log'!$A$4:$A$810),NA(),IFERROR(LOOKUP(2,1/(('Match Log'!$D$4:$D$810=$X$24)*('Match Log'!$A$4:$A$810&lt;=$J171)),'Match Log'!$N$4:$N$810),NA()))</f>
        <v>#N/A</v>
      </c>
      <c r="Y171">
        <f t="shared" ca="1" si="30"/>
        <v>0.29985299999999993</v>
      </c>
    </row>
    <row r="172" spans="1:25" x14ac:dyDescent="0.2">
      <c r="A172">
        <v>148</v>
      </c>
      <c r="B172" t="str">
        <f>IFERROR(INDEX('Match Log'!$B$4:$B$810,MATCH(148,'Match Log'!$A$4:$A$810,0)),"")</f>
        <v/>
      </c>
      <c r="C172" t="str">
        <f>IFERROR(INDEX('Match Log'!$C$4:$C$810,MATCH(148,'Match Log'!$A$4:$A$810,0)),"")</f>
        <v/>
      </c>
      <c r="D172" t="str">
        <f t="array" ref="D172">IFERROR(_xlfn.TEXTJOIN(" + ",TRUE,IF(('Match Log'!$A$4:$A$810=$A172)*('Match Log'!$E$4:$E$810="Win"),'Match Log'!$D$4:$D$810,"")),IFERROR(LOOKUP(2,1/(('Match Log'!$A$4:$A$810=$A172)*('Match Log'!$E$4:$E$810="Win")),'Match Log'!$D$4:$D$810),""))</f>
        <v/>
      </c>
      <c r="E172" t="str">
        <f>IFERROR(INDEX('Match Log'!$F$4:$F$810,MATCH(148,'Match Log'!$A$4:$A$810,0)),"")</f>
        <v/>
      </c>
      <c r="F172">
        <f>IFERROR(SUMIFS('Match Log'!$I$4:$I$810,'Match Log'!$A$4:$A$810,148,'Match Log'!$E$4:$E$810,"Win"),"")</f>
        <v>0</v>
      </c>
      <c r="G172" t="str">
        <f t="shared" si="28"/>
        <v/>
      </c>
      <c r="H172" t="str">
        <f t="array" ref="H172">IFERROR(IF(COUNTIFS('Match Log'!$A$4:$A$810,$A172,'Match Log'!$E$4:$E$810,"Win")&gt;1,_xlfn.TEXTJOIN(" + ",TRUE,IF(('Match Log'!$A$4:$A$810=$A172)*('Match Log'!$E$4:$E$810="Loss"),'Match Log'!$D$4:$D$810,"")),IF($E172=2,LOOKUP(2,1/(('Match Log'!$A$4:$A$810=$A172)*('Match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1063.3178557740468</v>
      </c>
      <c r="C2">
        <f>IFERROR(SUMPRODUCT(INDEX('Head-to-Head'!$B$22:$O$35,1,0),$D$2:$Q$2)/SUM(INDEX('Head-to-Head'!$B$22:$O$35,1,0)),"")</f>
        <v>1061.4916714943342</v>
      </c>
      <c r="D2">
        <f>$B$2</f>
        <v>1063.3178557740468</v>
      </c>
      <c r="E2">
        <f>$B$3</f>
        <v>1029.2201908859522</v>
      </c>
      <c r="F2">
        <f>$B$4</f>
        <v>1016.7837867075796</v>
      </c>
      <c r="G2">
        <f>$B$5</f>
        <v>973.18894572037368</v>
      </c>
      <c r="H2">
        <f>$B$6</f>
        <v>1129.7012289075892</v>
      </c>
      <c r="I2">
        <f>$B$7</f>
        <v>1083.5128925537913</v>
      </c>
      <c r="J2">
        <f>$B$8</f>
        <v>1084.8903813508514</v>
      </c>
      <c r="K2">
        <f>$B$9</f>
        <v>1050.8634549674414</v>
      </c>
      <c r="L2">
        <f>$B$10</f>
        <v>1168.2113436007442</v>
      </c>
      <c r="M2">
        <f>$B$11</f>
        <v>893.03675187725173</v>
      </c>
      <c r="N2">
        <f>$B$12</f>
        <v>1058.6657209484931</v>
      </c>
      <c r="O2">
        <f>$B$13</f>
        <v>1009.1869692929786</v>
      </c>
      <c r="P2">
        <f>$B$14</f>
        <v>1052.4204774129059</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1061.4338171357142</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1052.8644060211864</v>
      </c>
    </row>
    <row r="5" spans="1:17" ht="15" customHeight="1" x14ac:dyDescent="0.2">
      <c r="A5" t="s">
        <v>140</v>
      </c>
      <c r="B5">
        <f>IF(COUNTIF('Match Log'!$D$4:$D$810,$A5)=0,'Guide &amp; Settings'!$C$41,IFERROR(LOOKUP(2,1/('Match Log'!$D$4:$D$810=$A5),'Match Log'!$N$4:$N$810),'Guide &amp; Settings'!$C$41))</f>
        <v>973.18894572037368</v>
      </c>
      <c r="C5">
        <f>IFERROR(SUMPRODUCT(INDEX('Head-to-Head'!$B$22:$O$35,4,0),$D$2:$Q$2)/SUM(INDEX('Head-to-Head'!$B$22:$O$35,4,0)),"")</f>
        <v>1068.6190541336225</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1049.8493408791915</v>
      </c>
    </row>
    <row r="7" spans="1:17" ht="15" customHeight="1" x14ac:dyDescent="0.2">
      <c r="A7" t="s">
        <v>134</v>
      </c>
      <c r="B7">
        <f>IF(COUNTIF('Match Log'!$D$4:$D$810,$A7)=0,'Guide &amp; Settings'!$C$41,IFERROR(LOOKUP(2,1/('Match Log'!$D$4:$D$810=$A7),'Match Log'!$N$4:$N$810),'Guide &amp; Settings'!$C$41))</f>
        <v>1083.5128925537913</v>
      </c>
      <c r="C7">
        <f>IFERROR(SUMPRODUCT(INDEX('Head-to-Head'!$B$22:$O$35,6,0),$D$2:$Q$2)/SUM(INDEX('Head-to-Head'!$B$22:$O$35,6,0)),"")</f>
        <v>1066.2651883848898</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1053.8858913691661</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1080.7916923696475</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1053.8373197066285</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1075.3146899750097</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1073.1540859725756</v>
      </c>
    </row>
    <row r="13" spans="1:17" ht="15" customHeight="1" x14ac:dyDescent="0.2">
      <c r="A13" t="s">
        <v>171</v>
      </c>
      <c r="B13">
        <f>IF(COUNTIF('Match Log'!$D$4:$D$810,$A13)=0,'Guide &amp; Settings'!$C$41,IFERROR(LOOKUP(2,1/('Match Log'!$D$4:$D$810=$A13),'Match Log'!$N$4:$N$810),'Guide &amp; Settings'!$C$41))</f>
        <v>1009.1869692929786</v>
      </c>
      <c r="C13">
        <f>IFERROR(SUMPRODUCT(INDEX('Head-to-Head'!$B$22:$O$35,12,0),$D$2:$Q$2)/SUM(INDEX('Head-to-Head'!$B$22:$O$35,12,0)),"")</f>
        <v>1050.3639420982418</v>
      </c>
    </row>
    <row r="14" spans="1:17" ht="15" customHeight="1" x14ac:dyDescent="0.2">
      <c r="A14" t="s">
        <v>172</v>
      </c>
      <c r="B14">
        <f>IF(COUNTIF('Match Log'!$D$4:$D$810,$A14)=0,'Guide &amp; Settings'!$C$41,IFERROR(LOOKUP(2,1/('Match Log'!$D$4:$D$810=$A14),'Match Log'!$N$4:$N$810),'Guide &amp; Settings'!$C$41))</f>
        <v>1052.4204774129059</v>
      </c>
      <c r="C14">
        <f>IFERROR(SUMPRODUCT(INDEX('Head-to-Head'!$B$22:$O$35,13,0),$D$2:$Q$2)/SUM(INDEX('Head-to-Head'!$B$22:$O$35,13,0)),"")</f>
        <v>1065.0360659588493</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2026-07-11T12:17:45Z</dcterms:modified>
  <dc:language>en-US</dc:language>
</cp:coreProperties>
</file>