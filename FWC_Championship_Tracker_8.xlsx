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55CA4391-FB4E-2147-859A-D6EB89A851A8}" xr6:coauthVersionLast="47" xr6:coauthVersionMax="47" xr10:uidLastSave="{00000000-0000-0000-0000-000000000000}"/>
  <bookViews>
    <workbookView xWindow="0" yWindow="680" windowWidth="34560" windowHeight="20960" tabRatio="500" activeTab="2"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W184" i="11"/>
  <c r="V184" i="11"/>
  <c r="U184" i="11"/>
  <c r="T184" i="11"/>
  <c r="S184" i="11"/>
  <c r="R184" i="11"/>
  <c r="Q184" i="11"/>
  <c r="P184" i="11"/>
  <c r="O184" i="11"/>
  <c r="N184" i="11"/>
  <c r="M184" i="11"/>
  <c r="L184" i="11"/>
  <c r="K184" i="11"/>
  <c r="F184" i="11"/>
  <c r="E184" i="11"/>
  <c r="H184" i="11" s="1" a="1"/>
  <c r="H184" i="11" s="1"/>
  <c r="D184" i="11" a="1"/>
  <c r="D184" i="11" s="1"/>
  <c r="G184" i="11" s="1"/>
  <c r="I184" i="11" s="1"/>
  <c r="C184" i="11"/>
  <c r="B184" i="11"/>
  <c r="X183" i="11"/>
  <c r="W183" i="11"/>
  <c r="V183" i="11"/>
  <c r="U183" i="11"/>
  <c r="T183" i="11"/>
  <c r="S183" i="11"/>
  <c r="R183" i="11"/>
  <c r="Q183" i="11"/>
  <c r="P183" i="11"/>
  <c r="O183" i="11"/>
  <c r="N183" i="11"/>
  <c r="M183" i="11"/>
  <c r="L183" i="11"/>
  <c r="K183" i="11"/>
  <c r="F183" i="11"/>
  <c r="E183" i="11"/>
  <c r="H183" i="11" s="1" a="1"/>
  <c r="H183" i="11" s="1"/>
  <c r="D183" i="11" a="1"/>
  <c r="D183" i="11" s="1"/>
  <c r="G183" i="11" s="1"/>
  <c r="I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L118" i="6"/>
  <c r="K118" i="6"/>
  <c r="J118" i="6"/>
  <c r="H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F94"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L76" i="6" s="1"/>
  <c r="T68" i="8" s="1"/>
  <c r="K26" i="6"/>
  <c r="K76" i="6" s="1"/>
  <c r="T67" i="8" s="1"/>
  <c r="J26" i="6"/>
  <c r="J76" i="6" s="1"/>
  <c r="T66" i="8" s="1"/>
  <c r="I26" i="6"/>
  <c r="H26" i="6"/>
  <c r="H76" i="6" s="1"/>
  <c r="T64" i="8" s="1"/>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U367" i="9"/>
  <c r="Y367" i="9" s="1"/>
  <c r="Z367" i="9" s="1"/>
  <c r="T367" i="9"/>
  <c r="R367" i="9"/>
  <c r="O367" i="9"/>
  <c r="L367" i="9"/>
  <c r="G367" i="9"/>
  <c r="F367" i="9"/>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Y366" i="9" l="1"/>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S91" i="6" s="1"/>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Q12" i="11"/>
  <c r="R12" i="11" s="1"/>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S246" i="9"/>
  <c r="I246" i="9" s="1"/>
  <c r="J62" i="6"/>
  <c r="F66" i="8" s="1"/>
  <c r="H69" i="6"/>
  <c r="M64" i="8" s="1"/>
  <c r="L71" i="6"/>
  <c r="O68" i="8" s="1"/>
  <c r="D75" i="6"/>
  <c r="S60" i="8" s="1"/>
  <c r="AH10" i="11"/>
  <c r="AH18" i="11"/>
  <c r="F48" i="11"/>
  <c r="G48" i="11" s="1"/>
  <c r="I48" i="11" s="1"/>
  <c r="Y48" i="11" s="1"/>
  <c r="K57" i="9"/>
  <c r="AA24" i="9"/>
  <c r="AB24" i="9" s="1"/>
  <c r="U26" i="9" s="1"/>
  <c r="AA23" i="9"/>
  <c r="AB23" i="9" s="1"/>
  <c r="U25" i="9" s="1"/>
  <c r="L62" i="9"/>
  <c r="L5" i="9"/>
  <c r="S66" i="9"/>
  <c r="I66" i="9" s="1"/>
  <c r="K66" i="9" s="1"/>
  <c r="S65" i="9"/>
  <c r="I65" i="9" s="1"/>
  <c r="F65" i="11"/>
  <c r="K93" i="9"/>
  <c r="L14" i="9"/>
  <c r="F57" i="11"/>
  <c r="F67" i="11"/>
  <c r="K97" i="9"/>
  <c r="E46" i="11"/>
  <c r="H46" i="11" s="1" a="1"/>
  <c r="H46" i="11" s="1"/>
  <c r="L53" i="9"/>
  <c r="F33" i="11"/>
  <c r="G33" i="11" s="1"/>
  <c r="I33" i="11" s="1"/>
  <c r="K28"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K128" i="9"/>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K220" i="9"/>
  <c r="E127" i="11"/>
  <c r="H127" i="11" s="1" a="1"/>
  <c r="H127" i="11" s="1"/>
  <c r="L254" i="9"/>
  <c r="E128" i="11"/>
  <c r="H128" i="11" s="1" a="1"/>
  <c r="H128" i="11" s="1"/>
  <c r="S263" i="9"/>
  <c r="I263" i="9" s="1"/>
  <c r="S271" i="9"/>
  <c r="I271" i="9" s="1"/>
  <c r="K271" i="9" s="1"/>
  <c r="S270" i="9"/>
  <c r="I270" i="9" s="1"/>
  <c r="L283" i="9"/>
  <c r="F150" i="11"/>
  <c r="K300" i="9"/>
  <c r="K295" i="9"/>
  <c r="L323" i="9"/>
  <c r="E145" i="11"/>
  <c r="H145" i="11" s="1" a="1"/>
  <c r="H145" i="11" s="1"/>
  <c r="L290" i="9"/>
  <c r="L307" i="9"/>
  <c r="S309" i="9"/>
  <c r="I309" i="9" s="1"/>
  <c r="K309" i="9" s="1"/>
  <c r="S308" i="9"/>
  <c r="I308" i="9" s="1"/>
  <c r="F168" i="11"/>
  <c r="G168" i="11" s="1"/>
  <c r="I168" i="11" s="1"/>
  <c r="Y168" i="11"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H10" i="11"/>
  <c r="V10" i="11"/>
  <c r="AC17" i="11"/>
  <c r="C58" i="6"/>
  <c r="B59" i="8" s="1"/>
  <c r="E86" i="6"/>
  <c r="Q37" i="10"/>
  <c r="P37" i="10"/>
  <c r="AC18" i="11"/>
  <c r="G89" i="6"/>
  <c r="AC19" i="11"/>
  <c r="E58" i="6"/>
  <c r="B61" i="8" s="1"/>
  <c r="AC20" i="11"/>
  <c r="F58" i="6"/>
  <c r="B62" i="8" s="1"/>
  <c r="O7" i="11"/>
  <c r="G7" i="11"/>
  <c r="H7" i="11" s="1"/>
  <c r="E29" i="8"/>
  <c r="F29" i="8" s="1"/>
  <c r="D29" i="8"/>
  <c r="H58" i="6"/>
  <c r="B64" i="8" s="1"/>
  <c r="O9" i="11"/>
  <c r="I58" i="6"/>
  <c r="B65" i="8" s="1"/>
  <c r="G8" i="11"/>
  <c r="H8" i="11" s="1"/>
  <c r="V13" i="11"/>
  <c r="V19" i="11"/>
  <c r="G20" i="11"/>
  <c r="H20" i="11" s="1"/>
  <c r="G55" i="11"/>
  <c r="I55" i="11" s="1"/>
  <c r="Y55" i="11" s="1"/>
  <c r="Q18" i="11"/>
  <c r="G80" i="11"/>
  <c r="I80" i="11" s="1"/>
  <c r="Y80" i="11" s="1"/>
  <c r="O17" i="11"/>
  <c r="G57" i="11"/>
  <c r="I57" i="11" s="1"/>
  <c r="Y57" i="11" s="1"/>
  <c r="R9" i="10"/>
  <c r="Q38" i="10"/>
  <c r="R38" i="10" s="1"/>
  <c r="G19" i="11"/>
  <c r="H19" i="11" s="1"/>
  <c r="P47" i="10"/>
  <c r="Q17" i="11"/>
  <c r="R17" i="11" s="1"/>
  <c r="AH20" i="11"/>
  <c r="D23" i="8"/>
  <c r="Q47" i="10"/>
  <c r="AG16" i="11"/>
  <c r="G41" i="11"/>
  <c r="I41" i="11" s="1"/>
  <c r="Y41" i="11" s="1"/>
  <c r="R10" i="10"/>
  <c r="O16" i="11"/>
  <c r="AH16" i="11"/>
  <c r="D33" i="8"/>
  <c r="P35" i="10"/>
  <c r="R35" i="10" s="1"/>
  <c r="Q39" i="10"/>
  <c r="R39" i="10" s="1"/>
  <c r="R20" i="11"/>
  <c r="S20" i="11" s="1"/>
  <c r="Y33" i="11"/>
  <c r="G74" i="11"/>
  <c r="I74" i="11" s="1"/>
  <c r="Y74" i="11" s="1"/>
  <c r="AG7" i="11"/>
  <c r="AG8" i="11"/>
  <c r="AG9" i="11"/>
  <c r="AG10" i="11"/>
  <c r="AG11" i="11"/>
  <c r="AG12" i="11"/>
  <c r="Q16" i="11"/>
  <c r="V17" i="11"/>
  <c r="Q7" i="11"/>
  <c r="T7" i="11" s="1"/>
  <c r="Q8" i="11"/>
  <c r="Q9" i="11"/>
  <c r="R9" i="11" s="1"/>
  <c r="Q10" i="11"/>
  <c r="R10" i="11" s="1"/>
  <c r="Q11" i="11"/>
  <c r="R11" i="11" s="1"/>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183" i="11"/>
  <c r="Y209" i="11"/>
  <c r="Y199" i="11"/>
  <c r="Y225" i="11"/>
  <c r="Y215" i="11"/>
  <c r="AG20" i="11"/>
  <c r="AG19" i="11"/>
  <c r="Y76" i="11"/>
  <c r="AH15" i="11"/>
  <c r="AH7" i="11"/>
  <c r="Q13" i="11"/>
  <c r="T13" i="11" s="1"/>
  <c r="AH13" i="11"/>
  <c r="Q14" i="11"/>
  <c r="T14" i="11" s="1"/>
  <c r="AH14" i="11"/>
  <c r="Q15" i="11"/>
  <c r="R15" i="11" s="1"/>
  <c r="Q40" i="10"/>
  <c r="Q19" i="11"/>
  <c r="T19" i="11" s="1"/>
  <c r="V20" i="11"/>
  <c r="P49" i="10"/>
  <c r="R49" i="10" s="1"/>
  <c r="G49" i="11"/>
  <c r="I49" i="11" s="1"/>
  <c r="Y49" i="11" s="1"/>
  <c r="G70" i="11"/>
  <c r="I70" i="11" s="1"/>
  <c r="Y70" i="11" s="1"/>
  <c r="G121" i="11"/>
  <c r="I121" i="11" s="1"/>
  <c r="Y121"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84"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AC15" i="11" l="1"/>
  <c r="K367" i="9"/>
  <c r="F182" i="11"/>
  <c r="G182" i="11" s="1"/>
  <c r="I182" i="11" s="1"/>
  <c r="Y182" i="11" s="1"/>
  <c r="R31" i="10"/>
  <c r="AA306" i="9"/>
  <c r="AB306" i="9" s="1"/>
  <c r="U308" i="9" s="1"/>
  <c r="K268" i="9"/>
  <c r="AC7" i="11"/>
  <c r="K40" i="9"/>
  <c r="K244" i="9"/>
  <c r="AC12" i="11"/>
  <c r="K258" i="9"/>
  <c r="K288" i="9"/>
  <c r="AA125" i="9"/>
  <c r="AB125" i="9" s="1"/>
  <c r="U129" i="9" s="1"/>
  <c r="F40" i="11"/>
  <c r="G40" i="11" s="1"/>
  <c r="I40" i="11" s="1"/>
  <c r="Y40" i="11" s="1"/>
  <c r="F119" i="11"/>
  <c r="G119" i="11" s="1"/>
  <c r="I119" i="11" s="1"/>
  <c r="Y119" i="11" s="1"/>
  <c r="K235" i="9"/>
  <c r="R32" i="10"/>
  <c r="K364" i="9"/>
  <c r="F181" i="11"/>
  <c r="G181" i="11" s="1"/>
  <c r="I181" i="11" s="1"/>
  <c r="Y181" i="11" s="1"/>
  <c r="K276" i="9"/>
  <c r="X6" i="9"/>
  <c r="J6" i="9" s="1"/>
  <c r="K138" i="9"/>
  <c r="G65" i="11"/>
  <c r="I65" i="11" s="1"/>
  <c r="Y65" i="11" s="1"/>
  <c r="AA126" i="9"/>
  <c r="AB126" i="9" s="1"/>
  <c r="U134" i="9" s="1"/>
  <c r="G67" i="11"/>
  <c r="I67" i="11" s="1"/>
  <c r="Y67" i="11" s="1"/>
  <c r="K299" i="9"/>
  <c r="U51" i="9"/>
  <c r="R36" i="10"/>
  <c r="F30" i="11"/>
  <c r="G30" i="11" s="1"/>
  <c r="I30" i="11" s="1"/>
  <c r="Y30" i="11" s="1"/>
  <c r="AC9" i="11"/>
  <c r="R33" i="10"/>
  <c r="R7" i="10"/>
  <c r="K363" i="9"/>
  <c r="F180" i="11"/>
  <c r="G180" i="11" s="1"/>
  <c r="I180" i="11" s="1"/>
  <c r="Y180" i="11" s="1"/>
  <c r="K231" i="9"/>
  <c r="F46" i="1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T12" i="11"/>
  <c r="B17" i="4" s="1"/>
  <c r="Y46" i="9"/>
  <c r="Z46" i="9" s="1"/>
  <c r="AA45" i="9" s="1"/>
  <c r="AB45" i="9" s="1"/>
  <c r="U47" i="9" s="1"/>
  <c r="Y47" i="9" s="1"/>
  <c r="Z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T15" i="1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T9" i="11"/>
  <c r="AA122" i="9"/>
  <c r="AB122" i="9" s="1"/>
  <c r="U133" i="9" s="1"/>
  <c r="Z133" i="9" s="1"/>
  <c r="W14" i="9"/>
  <c r="X14" i="9" s="1"/>
  <c r="J14" i="9" s="1"/>
  <c r="M14" i="9" s="1"/>
  <c r="N14" i="9" s="1"/>
  <c r="M32" i="11" s="1"/>
  <c r="W12" i="9"/>
  <c r="X12" i="9" s="1"/>
  <c r="J12" i="9" s="1"/>
  <c r="M12" i="9" s="1"/>
  <c r="N12" i="9" s="1"/>
  <c r="N42" i="11" s="1"/>
  <c r="AC11" i="11"/>
  <c r="V7" i="11"/>
  <c r="T1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M41" i="11"/>
  <c r="M37" i="11"/>
  <c r="M35" i="11"/>
  <c r="M36" i="11"/>
  <c r="M28" i="11"/>
  <c r="M27" i="11"/>
  <c r="M30" i="11"/>
  <c r="M26" i="11"/>
  <c r="M31" i="11"/>
  <c r="H46"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Z129" i="9"/>
  <c r="T18" i="11"/>
  <c r="R18" i="1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T10" i="11"/>
  <c r="F163" i="11"/>
  <c r="G163" i="11" s="1"/>
  <c r="I163" i="11" s="1"/>
  <c r="Y163" i="11" s="1"/>
  <c r="K326" i="9"/>
  <c r="F156" i="11"/>
  <c r="G156" i="11" s="1"/>
  <c r="I156" i="11" s="1"/>
  <c r="Y156" i="11" s="1"/>
  <c r="K313" i="9"/>
  <c r="F104" i="11"/>
  <c r="G104" i="11" s="1"/>
  <c r="I104" i="11" s="1"/>
  <c r="Y104" i="11" s="1"/>
  <c r="K192" i="9"/>
  <c r="R14" i="11"/>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R7" i="11"/>
  <c r="F132" i="11"/>
  <c r="G132" i="11" s="1"/>
  <c r="I132" i="11" s="1"/>
  <c r="Y132" i="11" s="1"/>
  <c r="K265" i="9"/>
  <c r="F105" i="11"/>
  <c r="G105" i="11" s="1"/>
  <c r="I105" i="11" s="1"/>
  <c r="Y105" i="11" s="1"/>
  <c r="K196" i="9"/>
  <c r="F93" i="11"/>
  <c r="G93" i="11" s="1"/>
  <c r="I93" i="11" s="1"/>
  <c r="Y93" i="11" s="1"/>
  <c r="K148" i="9"/>
  <c r="R13" i="6"/>
  <c r="Q13" i="6"/>
  <c r="E15" i="2"/>
  <c r="Q25" i="6"/>
  <c r="R25" i="6"/>
  <c r="E27" i="2"/>
  <c r="M6" i="9"/>
  <c r="N6" i="9" s="1"/>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A6" i="8" s="1"/>
  <c r="F101" i="11"/>
  <c r="G101" i="11" s="1"/>
  <c r="I101" i="11" s="1"/>
  <c r="Y101" i="11" s="1"/>
  <c r="K180" i="9"/>
  <c r="F94" i="11"/>
  <c r="G94" i="11" s="1"/>
  <c r="I94" i="11" s="1"/>
  <c r="Y94" i="11" s="1"/>
  <c r="K152" i="9"/>
  <c r="R15" i="6"/>
  <c r="Q15" i="6"/>
  <c r="E17" i="2"/>
  <c r="F31" i="11"/>
  <c r="G31" i="11" s="1"/>
  <c r="I31" i="11" s="1"/>
  <c r="Y31" i="11" s="1"/>
  <c r="K24" i="9"/>
  <c r="G46" i="11"/>
  <c r="I46" i="11" s="1"/>
  <c r="Y46" i="11" s="1"/>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R19" i="1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T8" i="11"/>
  <c r="R8" i="11"/>
  <c r="D29" i="2"/>
  <c r="C29" i="2"/>
  <c r="T11" i="11"/>
  <c r="Y309" i="9"/>
  <c r="Z309" i="9" s="1"/>
  <c r="Y308" i="9"/>
  <c r="Z308" i="9" s="1"/>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A7" i="8" s="1"/>
  <c r="T16" i="11"/>
  <c r="R16" i="11"/>
  <c r="R13"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M38" i="11" l="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V128" i="9" l="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D11" i="2" l="1"/>
  <c r="U365" i="9"/>
  <c r="U364" i="9"/>
  <c r="Q8" i="9"/>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65" i="9" l="1"/>
  <c r="Z365" i="9" s="1"/>
  <c r="AA365" i="9" s="1"/>
  <c r="AB365" i="9" s="1"/>
  <c r="I100" i="6" s="1"/>
  <c r="Y364" i="9"/>
  <c r="Z364" i="9" s="1"/>
  <c r="AA364" i="9" s="1"/>
  <c r="AB364" i="9" s="1"/>
  <c r="Y54" i="9"/>
  <c r="Z54" i="9" s="1"/>
  <c r="Y53" i="9"/>
  <c r="Z53" i="9" s="1"/>
  <c r="Y351" i="9"/>
  <c r="Z351" i="9" s="1"/>
  <c r="Y352" i="9"/>
  <c r="Z352" i="9" s="1"/>
  <c r="AA352" i="9" s="1"/>
  <c r="AB352" i="9" s="1"/>
  <c r="U354" i="9" s="1"/>
  <c r="P115" i="6"/>
  <c r="B25" i="2"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366" i="9" l="1"/>
  <c r="AA54" i="9"/>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Z366" i="9" l="1"/>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366" i="9" l="1"/>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P100" i="6" l="1"/>
  <c r="B10" i="2" s="1"/>
  <c r="D10" i="2" s="1"/>
  <c r="AA55" i="9"/>
  <c r="AB55" i="9" s="1"/>
  <c r="U104" i="9"/>
  <c r="Y105" i="9" s="1"/>
  <c r="Z105" i="9" s="1"/>
  <c r="U246" i="9"/>
  <c r="D113" i="6"/>
  <c r="D118" i="6"/>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C10" i="2" l="1"/>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G118" i="6" s="1"/>
  <c r="H23" i="4"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AA360" i="9" l="1"/>
  <c r="AB360" i="9" s="1"/>
  <c r="AA253" i="9"/>
  <c r="AB253" i="9" s="1"/>
  <c r="I118" i="6"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P118" i="6" l="1"/>
  <c r="B28" i="2" s="1"/>
  <c r="C28" i="2" s="1"/>
  <c r="J20" i="9"/>
  <c r="M20" i="9" s="1"/>
  <c r="N20"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H22" i="9"/>
  <c r="N19" i="9"/>
  <c r="Z83" i="9"/>
  <c r="J44" i="9"/>
  <c r="M44" i="9" s="1"/>
  <c r="N44" i="9" s="1"/>
  <c r="J43" i="9"/>
  <c r="M43" i="9" s="1"/>
  <c r="N43" i="9" s="1"/>
  <c r="AA261" i="9"/>
  <c r="AB261" i="9" s="1"/>
  <c r="U263" i="9" s="1"/>
  <c r="AA260" i="9"/>
  <c r="AB260" i="9" s="1"/>
  <c r="U262" i="9" s="1"/>
  <c r="D28" i="2" l="1"/>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04" i="6" l="1"/>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C14" i="2" l="1"/>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J45" i="9" l="1"/>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81" i="11" l="1"/>
  <c r="W182" i="11"/>
  <c r="V181" i="11"/>
  <c r="V182" i="11"/>
  <c r="W179" i="1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F91" i="6"/>
  <c r="V238" i="9"/>
  <c r="P2" i="12"/>
  <c r="B19" i="11"/>
  <c r="F92" i="6"/>
  <c r="S18" i="11" l="1"/>
  <c r="S19" i="11"/>
  <c r="W236" i="9"/>
  <c r="X236" i="9" s="1"/>
  <c r="W235" i="9"/>
  <c r="X235" i="9" s="1"/>
  <c r="P230" i="9"/>
  <c r="Q230" i="9" s="1"/>
  <c r="P229" i="9"/>
  <c r="Q229" i="9" s="1"/>
  <c r="V229" i="9"/>
  <c r="V230" i="9"/>
  <c r="J235" i="9" l="1"/>
  <c r="M235" i="9" s="1"/>
  <c r="N235" i="9" s="1"/>
  <c r="J236" i="9"/>
  <c r="M236" i="9" s="1"/>
  <c r="N236" i="9" s="1"/>
  <c r="W230" i="9"/>
  <c r="X230" i="9" s="1"/>
  <c r="W229" i="9"/>
  <c r="X229" i="9" s="1"/>
  <c r="AI18" i="11"/>
  <c r="W18" i="11"/>
  <c r="AI19" i="11"/>
  <c r="W19" i="11"/>
  <c r="T181" i="11" l="1"/>
  <c r="T182" i="11"/>
  <c r="T179" i="1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F96" i="6"/>
  <c r="S96" i="6" s="1"/>
  <c r="U115" i="11"/>
  <c r="H231" i="9"/>
  <c r="Q115" i="11"/>
  <c r="H232" i="9"/>
  <c r="V232" i="9" l="1"/>
  <c r="P232" i="9"/>
  <c r="Q232" i="9" s="1"/>
  <c r="P231" i="9"/>
  <c r="Q231" i="9" s="1"/>
  <c r="V231" i="9"/>
  <c r="W238" i="9"/>
  <c r="X238" i="9" s="1"/>
  <c r="W237" i="9"/>
  <c r="X237" i="9" s="1"/>
  <c r="W239" i="9"/>
  <c r="S16" i="11"/>
  <c r="W16" i="11" l="1"/>
  <c r="AI16" i="11"/>
  <c r="J238" i="9"/>
  <c r="M238" i="9" s="1"/>
  <c r="N238" i="9" s="1"/>
  <c r="W232" i="9"/>
  <c r="X232" i="9" s="1"/>
  <c r="W231" i="9"/>
  <c r="X231" i="9" s="1"/>
  <c r="P120" i="11" l="1"/>
  <c r="P121" i="11"/>
  <c r="P119" i="11"/>
  <c r="H244" i="9"/>
  <c r="J231" i="9"/>
  <c r="M231" i="9" s="1"/>
  <c r="N231" i="9" s="1"/>
  <c r="J232" i="9"/>
  <c r="M232" i="9" s="1"/>
  <c r="N232" i="9" s="1"/>
  <c r="Q181" i="11" l="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W234" i="9" l="1"/>
  <c r="X234" i="9" s="1"/>
  <c r="W233" i="9"/>
  <c r="X233" i="9" s="1"/>
  <c r="J233" i="9" l="1"/>
  <c r="M233" i="9" s="1"/>
  <c r="N233" i="9" s="1"/>
  <c r="J234" i="9"/>
  <c r="M234" i="9" s="1"/>
  <c r="N234" i="9" s="1"/>
  <c r="L181" i="11" l="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F90" i="6"/>
  <c r="S90" i="6" s="1"/>
  <c r="V239" i="9"/>
  <c r="X239" i="9" s="1"/>
  <c r="Q239" i="9"/>
  <c r="J239" i="9" l="1"/>
  <c r="M239" i="9" s="1"/>
  <c r="N239" i="9" s="1"/>
  <c r="J237" i="9"/>
  <c r="M237" i="9" s="1"/>
  <c r="N237" i="9" s="1"/>
  <c r="S8" i="11"/>
  <c r="AI8" i="11" l="1"/>
  <c r="W8" i="11"/>
  <c r="R119" i="1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J17" i="11"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12" i="11" s="1"/>
  <c r="J295" i="9"/>
  <c r="M295" i="9" s="1"/>
  <c r="N295" i="9" s="1"/>
  <c r="H348" i="9" s="1"/>
  <c r="Q348" i="9" l="1"/>
  <c r="V348" i="9"/>
  <c r="X348" i="9" s="1"/>
  <c r="J14" i="11"/>
  <c r="K14" i="11"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K15" i="11"/>
  <c r="K17" i="11"/>
  <c r="K16" i="11"/>
  <c r="K18" i="11"/>
  <c r="K20" i="11"/>
  <c r="K7" i="11"/>
  <c r="K12" i="11"/>
  <c r="K10" i="11"/>
  <c r="K13" i="11"/>
  <c r="K19" i="11"/>
  <c r="K11" i="11"/>
  <c r="K8" i="11"/>
  <c r="K9"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U181" i="11" l="1"/>
  <c r="U182" i="11"/>
  <c r="U179" i="11"/>
  <c r="U180" i="11"/>
  <c r="U177" i="11"/>
  <c r="U178" i="11"/>
  <c r="P356" i="9"/>
  <c r="Q356" i="9" s="1"/>
  <c r="P355" i="9"/>
  <c r="Q355" i="9" s="1"/>
  <c r="V355" i="9"/>
  <c r="U175" i="11"/>
  <c r="U176" i="11"/>
  <c r="U173" i="11"/>
  <c r="U174" i="11"/>
  <c r="B12" i="12"/>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W355" i="9" l="1"/>
  <c r="X355" i="9" s="1"/>
  <c r="W356" i="9"/>
  <c r="X356" i="9" s="1"/>
  <c r="J356" i="9" s="1"/>
  <c r="M356" i="9" s="1"/>
  <c r="N356" i="9" s="1"/>
  <c r="P302" i="9"/>
  <c r="Q302" i="9" s="1"/>
  <c r="P303" i="9"/>
  <c r="Q303" i="9" s="1"/>
  <c r="V302" i="9"/>
  <c r="N2" i="12"/>
  <c r="B17" i="11"/>
  <c r="F86" i="6"/>
  <c r="S86" i="6" s="1"/>
  <c r="H357" i="9" l="1"/>
  <c r="J355" i="9"/>
  <c r="M355" i="9" s="1"/>
  <c r="N355" i="9" s="1"/>
  <c r="O177" i="11"/>
  <c r="R177" i="11"/>
  <c r="S17" i="11"/>
  <c r="W303" i="9"/>
  <c r="X303" i="9" s="1"/>
  <c r="W302" i="9"/>
  <c r="X302" i="9" s="1"/>
  <c r="P358" i="9" l="1"/>
  <c r="P359" i="9"/>
  <c r="Q359" i="9" s="1"/>
  <c r="P357" i="9"/>
  <c r="Q357" i="9" s="1"/>
  <c r="H358" i="9"/>
  <c r="V357" i="9"/>
  <c r="J302" i="9"/>
  <c r="M302" i="9" s="1"/>
  <c r="N302" i="9" s="1"/>
  <c r="J303" i="9"/>
  <c r="M303" i="9" s="1"/>
  <c r="N303" i="9" s="1"/>
  <c r="W17" i="11"/>
  <c r="AI17" i="1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2" i="11" s="1"/>
  <c r="W360" i="9"/>
  <c r="X360" i="9" s="1"/>
  <c r="J360" i="9" s="1"/>
  <c r="M360" i="9" s="1"/>
  <c r="N360" i="9" s="1"/>
  <c r="P152" i="11"/>
  <c r="H306" i="9"/>
  <c r="K152" i="11"/>
  <c r="H307" i="9"/>
  <c r="O180" i="11" l="1"/>
  <c r="O181" i="11"/>
  <c r="H362" i="9"/>
  <c r="R179" i="11"/>
  <c r="O179" i="11"/>
  <c r="B6" i="12"/>
  <c r="F84" i="6" s="1"/>
  <c r="S84" i="6" s="1"/>
  <c r="V307" i="9"/>
  <c r="P307" i="9"/>
  <c r="Q307" i="9" s="1"/>
  <c r="V306" i="9"/>
  <c r="P306" i="9"/>
  <c r="Q306" i="9" s="1"/>
  <c r="Q362" i="9" l="1"/>
  <c r="V362" i="9"/>
  <c r="X362" i="9" s="1"/>
  <c r="B11" i="11"/>
  <c r="S11" i="11" s="1"/>
  <c r="AI11" i="11" s="1"/>
  <c r="H2" i="12"/>
  <c r="W306" i="9"/>
  <c r="X306" i="9" s="1"/>
  <c r="W307" i="9"/>
  <c r="X307" i="9" s="1"/>
  <c r="J362" i="9" l="1"/>
  <c r="M362" i="9" s="1"/>
  <c r="N362" i="9" s="1"/>
  <c r="J363" i="9"/>
  <c r="M363" i="9" s="1"/>
  <c r="N363" i="9" s="1"/>
  <c r="R180" i="11"/>
  <c r="W11" i="11"/>
  <c r="J306" i="9"/>
  <c r="M306" i="9" s="1"/>
  <c r="N306" i="9" s="1"/>
  <c r="J307" i="9"/>
  <c r="M307" i="9" s="1"/>
  <c r="N307" i="9" s="1"/>
  <c r="S181" i="11" l="1"/>
  <c r="S182" i="11"/>
  <c r="H365" i="9"/>
  <c r="B10" i="12"/>
  <c r="S180" i="11"/>
  <c r="K153" i="11"/>
  <c r="H309" i="9"/>
  <c r="P153" i="11"/>
  <c r="H308" i="9"/>
  <c r="V365" i="9" l="1"/>
  <c r="B15" i="11"/>
  <c r="S15" i="11" s="1"/>
  <c r="L2" i="12"/>
  <c r="F83" i="6"/>
  <c r="S83" i="6" s="1"/>
  <c r="P308" i="9"/>
  <c r="Q308" i="9" s="1"/>
  <c r="P309" i="9"/>
  <c r="Q309" i="9" s="1"/>
  <c r="V308" i="9"/>
  <c r="V309" i="9"/>
  <c r="W15" i="11" l="1"/>
  <c r="AI15" i="11"/>
  <c r="W309" i="9"/>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81" i="11" l="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F95" i="6"/>
  <c r="S95" i="6" s="1"/>
  <c r="K163" i="11"/>
  <c r="H330" i="9"/>
  <c r="P163" i="11"/>
  <c r="H329" i="9"/>
  <c r="V330" i="9" l="1"/>
  <c r="S10" i="11"/>
  <c r="P330" i="9"/>
  <c r="Q330" i="9" s="1"/>
  <c r="P329" i="9"/>
  <c r="Q329" i="9" s="1"/>
  <c r="V329" i="9"/>
  <c r="W329" i="9" l="1"/>
  <c r="X329" i="9" s="1"/>
  <c r="W330" i="9"/>
  <c r="X330" i="9" s="1"/>
  <c r="AI10" i="11"/>
  <c r="W10" i="1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K181" i="11" l="1"/>
  <c r="K182" i="11"/>
  <c r="P365" i="9"/>
  <c r="Q365" i="9" s="1"/>
  <c r="P364" i="9"/>
  <c r="Q364" i="9" s="1"/>
  <c r="V364" i="9"/>
  <c r="K179" i="11"/>
  <c r="K180" i="11"/>
  <c r="K177" i="11"/>
  <c r="K178" i="11"/>
  <c r="K175" i="11"/>
  <c r="K176" i="11"/>
  <c r="K173" i="11"/>
  <c r="K174" i="11"/>
  <c r="B2" i="12"/>
  <c r="K172" i="11"/>
  <c r="W365" i="9" l="1"/>
  <c r="X365" i="9" s="1"/>
  <c r="J365" i="9" s="1"/>
  <c r="M365" i="9" s="1"/>
  <c r="N365" i="9" s="1"/>
  <c r="R182" i="11" s="1"/>
  <c r="W364" i="9"/>
  <c r="X364" i="9" s="1"/>
  <c r="D2" i="12"/>
  <c r="B7" i="11"/>
  <c r="F88" i="6"/>
  <c r="S88" i="6" s="1"/>
  <c r="J364" i="9" l="1"/>
  <c r="M364" i="9" s="1"/>
  <c r="B9" i="12"/>
  <c r="R181" i="11"/>
  <c r="S7" i="11"/>
  <c r="N364" i="9" l="1"/>
  <c r="F87" i="6"/>
  <c r="S87" i="6" s="1"/>
  <c r="B14" i="11"/>
  <c r="S14" i="11" s="1"/>
  <c r="K2" i="12"/>
  <c r="AI7" i="11"/>
  <c r="W7" i="11"/>
  <c r="H366" i="9" l="1"/>
  <c r="P181" i="11"/>
  <c r="AI14" i="11"/>
  <c r="W14" i="11"/>
  <c r="Q366" i="9" l="1"/>
  <c r="V366" i="9"/>
  <c r="X366" i="9" s="1"/>
  <c r="J366" i="9" l="1"/>
  <c r="M366" i="9" s="1"/>
  <c r="J367" i="9"/>
  <c r="M367" i="9" s="1"/>
  <c r="N367" i="9" s="1"/>
  <c r="N366" i="9"/>
  <c r="H18" i="7" l="1"/>
  <c r="B19" i="7"/>
  <c r="H19" i="7"/>
  <c r="F19" i="7" s="1"/>
  <c r="M182" i="11"/>
  <c r="B4" i="12"/>
  <c r="B18" i="7"/>
  <c r="Q182" i="11"/>
  <c r="B8" i="12"/>
  <c r="P182" i="11"/>
  <c r="H17" i="7"/>
  <c r="B7" i="12"/>
  <c r="B17" i="7"/>
  <c r="C18" i="7"/>
  <c r="E18" i="7"/>
  <c r="D18" i="7"/>
  <c r="F18" i="7"/>
  <c r="F2" i="12" l="1"/>
  <c r="F93" i="6"/>
  <c r="S93" i="6" s="1"/>
  <c r="B9" i="11"/>
  <c r="S9" i="11" s="1"/>
  <c r="D19" i="7"/>
  <c r="C19" i="7"/>
  <c r="E19" i="7"/>
  <c r="J2" i="12"/>
  <c r="B13" i="11"/>
  <c r="S13" i="11" s="1"/>
  <c r="F85" i="6"/>
  <c r="S85" i="6" s="1"/>
  <c r="B12" i="11"/>
  <c r="I2" i="12"/>
  <c r="F89" i="6"/>
  <c r="S89" i="6" s="1"/>
  <c r="D17" i="7"/>
  <c r="E17" i="7"/>
  <c r="C17" i="7"/>
  <c r="F17" i="7"/>
  <c r="C4" i="6" l="1"/>
  <c r="W9" i="11"/>
  <c r="AI9" i="11"/>
  <c r="AI13" i="11"/>
  <c r="W13" i="11"/>
  <c r="A5" i="2"/>
  <c r="B28" i="7" s="1"/>
  <c r="A6" i="2"/>
  <c r="C13" i="12"/>
  <c r="C18" i="11" s="1"/>
  <c r="AA18" i="11" s="1"/>
  <c r="C6" i="12"/>
  <c r="C11" i="11" s="1"/>
  <c r="AA11" i="11" s="1"/>
  <c r="C10" i="12"/>
  <c r="C15" i="11" s="1"/>
  <c r="AA15" i="11" s="1"/>
  <c r="C8" i="12"/>
  <c r="C13" i="11" s="1"/>
  <c r="AA13" i="11" s="1"/>
  <c r="C3" i="12"/>
  <c r="C8" i="11" s="1"/>
  <c r="AA8" i="11" s="1"/>
  <c r="C9" i="12"/>
  <c r="C14" i="11" s="1"/>
  <c r="AA14" i="11" s="1"/>
  <c r="C14" i="12"/>
  <c r="C19" i="11" s="1"/>
  <c r="AA19" i="11" s="1"/>
  <c r="C5" i="12"/>
  <c r="C10" i="11" s="1"/>
  <c r="AA10" i="11" s="1"/>
  <c r="C11" i="12"/>
  <c r="C16" i="11" s="1"/>
  <c r="AA16" i="11" s="1"/>
  <c r="C12" i="12"/>
  <c r="C17" i="11" s="1"/>
  <c r="AA17" i="11" s="1"/>
  <c r="C7" i="12"/>
  <c r="C12" i="11" s="1"/>
  <c r="C15" i="12"/>
  <c r="C20" i="11" s="1"/>
  <c r="AA20" i="11" s="1"/>
  <c r="C4" i="12"/>
  <c r="C9" i="11" s="1"/>
  <c r="AA9" i="11" s="1"/>
  <c r="C2" i="12"/>
  <c r="C7" i="11" s="1"/>
  <c r="AA7" i="11" s="1"/>
  <c r="D17" i="11"/>
  <c r="L17" i="11" s="1"/>
  <c r="D9" i="11"/>
  <c r="L9" i="11" s="1"/>
  <c r="A5" i="8"/>
  <c r="D12" i="11"/>
  <c r="L12" i="11" s="1"/>
  <c r="E15" i="11"/>
  <c r="C17" i="8"/>
  <c r="E8" i="11"/>
  <c r="B18" i="8"/>
  <c r="D16" i="11"/>
  <c r="L16" i="11" s="1"/>
  <c r="E20" i="11"/>
  <c r="E11" i="11"/>
  <c r="D18" i="8"/>
  <c r="E18" i="11"/>
  <c r="D18" i="11"/>
  <c r="L18" i="11" s="1"/>
  <c r="E7" i="11"/>
  <c r="E12" i="11"/>
  <c r="B15" i="4" s="1"/>
  <c r="B17" i="8"/>
  <c r="E17" i="11"/>
  <c r="E13" i="11"/>
  <c r="D20" i="11"/>
  <c r="L20" i="11" s="1"/>
  <c r="D13" i="11"/>
  <c r="L13" i="11" s="1"/>
  <c r="C18" i="8"/>
  <c r="E9" i="11"/>
  <c r="E14" i="11"/>
  <c r="D19" i="11"/>
  <c r="L19" i="11" s="1"/>
  <c r="D14" i="11"/>
  <c r="L14" i="11" s="1"/>
  <c r="D8" i="11"/>
  <c r="L8" i="11" s="1"/>
  <c r="E16" i="11"/>
  <c r="C19" i="8"/>
  <c r="D11" i="11"/>
  <c r="L11" i="11" s="1"/>
  <c r="E19" i="11"/>
  <c r="E10" i="11"/>
  <c r="D7" i="11"/>
  <c r="L7" i="11" s="1"/>
  <c r="D10" i="11"/>
  <c r="L10" i="11" s="1"/>
  <c r="B19" i="8"/>
  <c r="D19" i="8"/>
  <c r="S12" i="11"/>
  <c r="D15" i="11"/>
  <c r="L15" i="11" s="1"/>
  <c r="B12" i="4" l="1"/>
  <c r="AA12" i="11"/>
  <c r="B28" i="4" s="1"/>
  <c r="W12" i="11"/>
  <c r="B24" i="4" s="1"/>
  <c r="AI12" i="11"/>
  <c r="A8" i="8"/>
  <c r="B5" i="3" l="1"/>
  <c r="B7" i="3"/>
  <c r="B16" i="3"/>
  <c r="B10" i="3"/>
  <c r="B8" i="3"/>
  <c r="B15" i="3"/>
  <c r="B17" i="3"/>
  <c r="B13" i="3"/>
  <c r="B14" i="3"/>
  <c r="B12" i="3"/>
  <c r="B6" i="3"/>
  <c r="B9" i="3"/>
  <c r="B11" i="3"/>
  <c r="B18" i="3"/>
  <c r="E12" i="3" l="1"/>
  <c r="X12" i="3"/>
  <c r="M12" i="3"/>
  <c r="K12" i="3"/>
  <c r="Q12" i="3"/>
  <c r="J12" i="3"/>
  <c r="T12" i="3"/>
  <c r="P12" i="3"/>
  <c r="O12" i="3"/>
  <c r="V12" i="3"/>
  <c r="C12" i="3"/>
  <c r="U12" i="3" s="1"/>
  <c r="R12" i="3"/>
  <c r="D12" i="3"/>
  <c r="S12" i="3"/>
  <c r="H12" i="3"/>
  <c r="I12" i="3"/>
  <c r="X10" i="3"/>
  <c r="J10" i="3"/>
  <c r="I10" i="3"/>
  <c r="S10" i="3"/>
  <c r="H10" i="3"/>
  <c r="M10" i="3"/>
  <c r="K10" i="3"/>
  <c r="O10" i="3"/>
  <c r="V10" i="3"/>
  <c r="R10" i="3"/>
  <c r="E10" i="3"/>
  <c r="T10" i="3"/>
  <c r="D10" i="3"/>
  <c r="Q10" i="3"/>
  <c r="P10" i="3"/>
  <c r="C10" i="3"/>
  <c r="U10" i="3" s="1"/>
  <c r="Q11" i="3"/>
  <c r="R11" i="3"/>
  <c r="P11" i="3"/>
  <c r="H11" i="3"/>
  <c r="K11" i="3"/>
  <c r="O11" i="3"/>
  <c r="T11" i="3"/>
  <c r="M11" i="3"/>
  <c r="C11" i="3"/>
  <c r="U11" i="3" s="1"/>
  <c r="J11" i="3"/>
  <c r="X11" i="3"/>
  <c r="S11" i="3"/>
  <c r="I11" i="3"/>
  <c r="V11" i="3"/>
  <c r="D11" i="3"/>
  <c r="AD9" i="11" s="1"/>
  <c r="E11" i="3"/>
  <c r="P13" i="3"/>
  <c r="H13" i="3"/>
  <c r="M13" i="3"/>
  <c r="R13" i="3"/>
  <c r="T13" i="3"/>
  <c r="X13" i="3"/>
  <c r="E13" i="3"/>
  <c r="O13" i="3"/>
  <c r="J13" i="3"/>
  <c r="Q13" i="3"/>
  <c r="D13" i="3"/>
  <c r="K13" i="3"/>
  <c r="S13" i="3"/>
  <c r="V13" i="3"/>
  <c r="I13" i="3"/>
  <c r="C13" i="3"/>
  <c r="U13" i="3" s="1"/>
  <c r="K16" i="3"/>
  <c r="AE20" i="11" s="1"/>
  <c r="R16" i="3"/>
  <c r="M16" i="3"/>
  <c r="T16" i="3"/>
  <c r="O16" i="3"/>
  <c r="S16" i="3"/>
  <c r="J16" i="3"/>
  <c r="P16" i="3"/>
  <c r="Q16" i="3"/>
  <c r="C16" i="3"/>
  <c r="U16" i="3" s="1"/>
  <c r="I16" i="3"/>
  <c r="V16" i="3"/>
  <c r="H16" i="3"/>
  <c r="D16" i="3"/>
  <c r="AD20" i="11" s="1"/>
  <c r="AF20" i="11" s="1"/>
  <c r="X16" i="3"/>
  <c r="E16" i="3"/>
  <c r="K18" i="3"/>
  <c r="Y16" i="11" s="1"/>
  <c r="V18" i="3"/>
  <c r="M18" i="3"/>
  <c r="C18" i="3"/>
  <c r="U18" i="3" s="1"/>
  <c r="J18" i="3"/>
  <c r="T18" i="3"/>
  <c r="R18" i="3"/>
  <c r="I18" i="3"/>
  <c r="E18" i="3"/>
  <c r="H18" i="3"/>
  <c r="Q18" i="3"/>
  <c r="X18" i="3"/>
  <c r="P18" i="3"/>
  <c r="O18" i="3"/>
  <c r="D18" i="3"/>
  <c r="AD16" i="11" s="1"/>
  <c r="S18" i="3"/>
  <c r="V6" i="3"/>
  <c r="O6" i="3"/>
  <c r="J6" i="3"/>
  <c r="C6" i="3"/>
  <c r="U6" i="3" s="1"/>
  <c r="X6" i="3"/>
  <c r="M6" i="3"/>
  <c r="E6" i="3"/>
  <c r="T6" i="3"/>
  <c r="S6" i="3"/>
  <c r="Q6" i="3"/>
  <c r="P6" i="3"/>
  <c r="I6" i="3"/>
  <c r="D6" i="3"/>
  <c r="B10" i="4" s="1"/>
  <c r="R6" i="3"/>
  <c r="H6" i="3"/>
  <c r="K6" i="3"/>
  <c r="P15" i="3"/>
  <c r="J15" i="3"/>
  <c r="R15" i="3"/>
  <c r="I15" i="3"/>
  <c r="E15" i="3"/>
  <c r="K15" i="3"/>
  <c r="S15" i="3"/>
  <c r="D15" i="3"/>
  <c r="T15" i="3"/>
  <c r="H15" i="3"/>
  <c r="V15" i="3"/>
  <c r="C15" i="3"/>
  <c r="U15" i="3" s="1"/>
  <c r="X15" i="3"/>
  <c r="O15" i="3"/>
  <c r="Q15" i="3"/>
  <c r="M15" i="3"/>
  <c r="Q9" i="3"/>
  <c r="S9" i="3"/>
  <c r="R9" i="3"/>
  <c r="H9" i="3"/>
  <c r="X9" i="3"/>
  <c r="M9" i="3"/>
  <c r="C9" i="3"/>
  <c r="U9" i="3" s="1"/>
  <c r="I9" i="3"/>
  <c r="J9" i="3"/>
  <c r="P9" i="3"/>
  <c r="D9" i="3"/>
  <c r="O9" i="3"/>
  <c r="E9" i="3"/>
  <c r="T9" i="3"/>
  <c r="K9" i="3"/>
  <c r="V9" i="3"/>
  <c r="S14" i="3"/>
  <c r="H14" i="3"/>
  <c r="D14" i="3"/>
  <c r="P14" i="3"/>
  <c r="O14" i="3"/>
  <c r="V14" i="3"/>
  <c r="I14" i="3"/>
  <c r="M14" i="3"/>
  <c r="K14" i="3"/>
  <c r="R14" i="3"/>
  <c r="E14" i="3"/>
  <c r="T14" i="3"/>
  <c r="C14" i="3"/>
  <c r="U14" i="3" s="1"/>
  <c r="X14" i="3"/>
  <c r="J14" i="3"/>
  <c r="Q14" i="3"/>
  <c r="R17" i="3"/>
  <c r="K17" i="3"/>
  <c r="AE10" i="11" s="1"/>
  <c r="I17" i="3"/>
  <c r="S17" i="3"/>
  <c r="J17" i="3"/>
  <c r="E17" i="3"/>
  <c r="C17" i="3"/>
  <c r="U17" i="3" s="1"/>
  <c r="D17" i="3"/>
  <c r="O17" i="3"/>
  <c r="V17" i="3"/>
  <c r="M17" i="3"/>
  <c r="Q17" i="3"/>
  <c r="X17" i="3"/>
  <c r="P17" i="3"/>
  <c r="H17" i="3"/>
  <c r="T17" i="3"/>
  <c r="O8" i="3"/>
  <c r="R8" i="3"/>
  <c r="T8" i="3"/>
  <c r="X8" i="3"/>
  <c r="Q8" i="3"/>
  <c r="E8" i="3"/>
  <c r="M8" i="3"/>
  <c r="S8" i="3"/>
  <c r="D8" i="3"/>
  <c r="V8" i="3"/>
  <c r="I8" i="3"/>
  <c r="C8" i="3"/>
  <c r="U8" i="3" s="1"/>
  <c r="H8" i="3"/>
  <c r="P8" i="3"/>
  <c r="K8" i="3"/>
  <c r="J8" i="3"/>
  <c r="H7" i="3"/>
  <c r="D7" i="3"/>
  <c r="R7" i="3"/>
  <c r="M7" i="3"/>
  <c r="I7" i="3"/>
  <c r="V7" i="3"/>
  <c r="X7" i="3"/>
  <c r="J7" i="3"/>
  <c r="O7" i="3"/>
  <c r="T7" i="3"/>
  <c r="C7" i="3"/>
  <c r="U7" i="3" s="1"/>
  <c r="P7" i="3"/>
  <c r="K7" i="3"/>
  <c r="S7" i="3"/>
  <c r="E7" i="3"/>
  <c r="Q7" i="3"/>
  <c r="B5" i="4"/>
  <c r="Q5" i="3"/>
  <c r="R5" i="3"/>
  <c r="O5" i="3"/>
  <c r="M5" i="3"/>
  <c r="J5" i="3"/>
  <c r="S5" i="3"/>
  <c r="I5" i="3"/>
  <c r="H5" i="3"/>
  <c r="E5" i="3"/>
  <c r="C5" i="3"/>
  <c r="K5" i="3"/>
  <c r="Y15" i="11" s="1"/>
  <c r="V5" i="3"/>
  <c r="D5" i="3"/>
  <c r="AD15" i="11" s="1"/>
  <c r="P5" i="3"/>
  <c r="T5" i="3"/>
  <c r="X5" i="3"/>
  <c r="Y20" i="11"/>
  <c r="AD14" i="11"/>
  <c r="AD18" i="11"/>
  <c r="Y7" i="11" l="1"/>
  <c r="Y9" i="11"/>
  <c r="AD7" i="11"/>
  <c r="AE14" i="11"/>
  <c r="AE13" i="11"/>
  <c r="Y13" i="11"/>
  <c r="AE8" i="11"/>
  <c r="Y11" i="11"/>
  <c r="AE18" i="11"/>
  <c r="Y17" i="11"/>
  <c r="Y19" i="11"/>
  <c r="B21" i="7"/>
  <c r="L5" i="3"/>
  <c r="C21" i="7"/>
  <c r="F21" i="7" s="1"/>
  <c r="A10" i="8"/>
  <c r="G5" i="3"/>
  <c r="X15" i="11" s="1"/>
  <c r="AB15" i="11" s="1"/>
  <c r="F5" i="3"/>
  <c r="B30" i="7"/>
  <c r="F12" i="3"/>
  <c r="G12" i="3"/>
  <c r="L12" i="3"/>
  <c r="Y18" i="11"/>
  <c r="B11" i="4"/>
  <c r="L13" i="3"/>
  <c r="G13" i="3"/>
  <c r="F13" i="3"/>
  <c r="AE15" i="11"/>
  <c r="B31" i="7"/>
  <c r="B22" i="7"/>
  <c r="C22" i="7"/>
  <c r="Y12" i="11"/>
  <c r="B26" i="4" s="1"/>
  <c r="L7" i="3"/>
  <c r="G7" i="3"/>
  <c r="F7" i="3"/>
  <c r="AE7" i="11"/>
  <c r="Y14" i="11"/>
  <c r="AE9" i="11"/>
  <c r="AE11" i="11"/>
  <c r="B33" i="7"/>
  <c r="N14" i="3"/>
  <c r="U5" i="3"/>
  <c r="N15" i="3"/>
  <c r="N6" i="3"/>
  <c r="N13" i="3"/>
  <c r="N11" i="3"/>
  <c r="N9" i="3"/>
  <c r="N12" i="3"/>
  <c r="N10" i="3"/>
  <c r="N7" i="3"/>
  <c r="N18" i="3"/>
  <c r="N5" i="3"/>
  <c r="N8" i="3"/>
  <c r="N17" i="3"/>
  <c r="N16" i="3"/>
  <c r="G6" i="3"/>
  <c r="F6" i="3"/>
  <c r="B8" i="4" s="1"/>
  <c r="L6" i="3"/>
  <c r="AD19" i="11"/>
  <c r="F10" i="3"/>
  <c r="L10" i="3"/>
  <c r="G10" i="3"/>
  <c r="X19" i="11" s="1"/>
  <c r="AD13" i="11"/>
  <c r="L9" i="3"/>
  <c r="F9" i="3"/>
  <c r="G9" i="3"/>
  <c r="L8" i="3"/>
  <c r="G8" i="3"/>
  <c r="F8" i="3"/>
  <c r="B6" i="4"/>
  <c r="AD11" i="11"/>
  <c r="AD8" i="11"/>
  <c r="L17" i="3"/>
  <c r="G17" i="3"/>
  <c r="X10" i="11" s="1"/>
  <c r="F17" i="3"/>
  <c r="AD17" i="11"/>
  <c r="AD10" i="11"/>
  <c r="L15" i="3"/>
  <c r="G15" i="3"/>
  <c r="F15" i="3"/>
  <c r="AE17" i="11"/>
  <c r="Y10" i="11"/>
  <c r="AE19" i="11"/>
  <c r="AD12" i="11"/>
  <c r="G14" i="3"/>
  <c r="L14" i="3"/>
  <c r="F14" i="3"/>
  <c r="Y8" i="11"/>
  <c r="T2" i="3"/>
  <c r="AE16" i="11"/>
  <c r="AE12" i="11"/>
  <c r="G18" i="3"/>
  <c r="X16" i="11" s="1"/>
  <c r="AB16" i="11" s="1"/>
  <c r="F18" i="3"/>
  <c r="L18" i="3"/>
  <c r="G11" i="3"/>
  <c r="F11" i="3"/>
  <c r="L11" i="3"/>
  <c r="F16" i="3"/>
  <c r="L16" i="3"/>
  <c r="G16" i="3"/>
  <c r="X20" i="11" s="1"/>
  <c r="AB20" i="11" s="1"/>
  <c r="X14" i="11" l="1"/>
  <c r="X8" i="11"/>
  <c r="AB8" i="11" s="1"/>
  <c r="X7" i="11"/>
  <c r="AB7" i="11" s="1"/>
  <c r="AF7" i="11" s="1"/>
  <c r="AB19" i="11"/>
  <c r="AF16" i="11"/>
  <c r="W18" i="3" s="1"/>
  <c r="X9" i="11"/>
  <c r="AB9" i="11" s="1"/>
  <c r="AF9" i="11" s="1"/>
  <c r="X17" i="11"/>
  <c r="AB17" i="11" s="1"/>
  <c r="AF17" i="11" s="1"/>
  <c r="X18" i="11"/>
  <c r="AB18" i="11" s="1"/>
  <c r="AF18" i="11" s="1"/>
  <c r="W15" i="3" s="1"/>
  <c r="AB14" i="11"/>
  <c r="AF14" i="11" s="1"/>
  <c r="W16" i="3"/>
  <c r="X11" i="11"/>
  <c r="AB11" i="11" s="1"/>
  <c r="AF11" i="11" s="1"/>
  <c r="AF19" i="11"/>
  <c r="AF8" i="11"/>
  <c r="W12" i="3" s="1"/>
  <c r="X13" i="11"/>
  <c r="AB13" i="11" s="1"/>
  <c r="AF13" i="11" s="1"/>
  <c r="B9" i="4"/>
  <c r="X12" i="11"/>
  <c r="AF15" i="11"/>
  <c r="W5" i="3" s="1"/>
  <c r="A3" i="3"/>
  <c r="AB10" i="11"/>
  <c r="AF10" i="11" s="1"/>
  <c r="W17" i="3" s="1"/>
  <c r="B16" i="4"/>
  <c r="W9" i="3" l="1"/>
  <c r="W13" i="3"/>
  <c r="W11" i="3"/>
  <c r="W8" i="3"/>
  <c r="W14" i="3"/>
  <c r="W10" i="3"/>
  <c r="AB12" i="11"/>
  <c r="B25" i="4"/>
  <c r="B23" i="4" l="1"/>
  <c r="AF12" i="11"/>
  <c r="W6" i="3" s="1"/>
  <c r="W7" i="3" l="1"/>
  <c r="B7" i="4"/>
</calcChain>
</file>

<file path=xl/sharedStrings.xml><?xml version="1.0" encoding="utf-8"?>
<sst xmlns="http://schemas.openxmlformats.org/spreadsheetml/2006/main" count="2049" uniqueCount="450">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</sst>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inlineStr">
        <is>
          <t>•  At 4.0 weeks idle  →  the hammer drops INSTANTLY: 10 rating points gone the moment your personal idle timer ticks over to 4.0, and you cannot hold the live Champion crown until you play again.</t>
        </is>
      </c>
    </row>
    <row r="62" spans="2:4" ht="30" customHeight="1" x14ac:dyDescent="0.2">
      <c r="B62" s="3" t="inlineStr">
        <is>
          <t>•  Another 10 points comes off the instant you hit 5.0 weeks, 6.0 weeks, and so on. There is NO maximum. The timer is individual (it runs from YOUR last game) and it follows the real calendar: it ticks over whether or not anyone else plays, and updates every time the tracker is opened.</t>
        </is>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tabSelected="1"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10</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1056</v>
      </c>
      <c r="D28" s="30" t="str">
        <f>IF(OR($B28="—",$B28=""),"—",COUNTIFS('Match Log'!$D$4:$D$810,$B28,'Match Log'!$C$4:$C$810,$A28,'Match Log'!$E$4:$E$810,"Win")&amp;"–"&amp;(COUNTIFS('Match Log'!$D$4:$D$810,$B28,'Match Log'!$C$4:$C$810,$A28)-COUNTIFS('Match Log'!$D$4:$D$810,$B28,'Match Log'!$C$4:$C$810,$A28,'Match Log'!$E$4:$E$810,"Win")))</f>
        <v>4–0</v>
      </c>
      <c r="E28" s="30">
        <f>'Sport Records'!$P$26</f>
        <v>17</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447</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448</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449</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180" zoomScaleNormal="100" workbookViewId="0">
      <pane xSplit="3" ySplit="4" topLeftCell="D5" activePane="bottomRight" state="frozen"/>
      <selection pane="topRight" activeCell="D1" sqref="D1"/>
      <selection pane="bottomLeft" activeCell="A5" sqref="A5"/>
      <selection pane="bottomRight" activeCell="H24" sqref="H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158  ·  12 Jul 2026</v>
      </c>
      <c r="T2" s="44" t="str">
        <f>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 t="shared" ref="A5:A18" si="0">ROW()-4</f>
        <v>1</v>
      </c>
      <c r="B5" s="47" t="str">
        <f>IFERROR(INDEX(Calcs!$A$7:$A$20,MATCH(LARGE(Calcs!$AI$7:$AI$20,ROW()-4),Calcs!$AI$7:$AI$20,0)),"")</f>
        <v>Dean B</v>
      </c>
      <c r="C5" s="48">
        <f>IFERROR(INDEX(Calcs!$S$7:$S$20,MATCH($B5,Calcs!$A$7:$A$20,0)),"")</f>
        <v>1241.7029363250533</v>
      </c>
      <c r="D5" s="49">
        <f>COUNTIF('Match Log'!$D$4:$D$810,$B5)</f>
        <v>29</v>
      </c>
      <c r="E5" s="49">
        <f>COUNTIFS('Match Log'!$D$4:$D$810,$B5,'Match Log'!$E$4:$E$810,"Win")</f>
        <v>20</v>
      </c>
      <c r="F5" s="49">
        <f t="shared" ref="F5:F18" si="1">$D5-$E5</f>
        <v>9</v>
      </c>
      <c r="G5" s="50">
        <f t="shared" ref="G5:G18" si="2">IF($D5=0,"",$E5/$D5)</f>
        <v>0.68965517241379315</v>
      </c>
      <c r="H5" s="51">
        <f>SUMIF('Match Log'!$D$4:$D$810,$B5,'Match Log'!$J$4:$J$810)</f>
        <v>129.333162440519</v>
      </c>
      <c r="I5" s="51">
        <f>SUMIF('Match Log'!$D$4:$D$810,$B5,'Match Log'!$K$4:$K$810)</f>
        <v>77.369773884534624</v>
      </c>
      <c r="J5" s="51">
        <f>SUMIF('Match Log'!$D$4:$D$810,$B5,'Match Log'!$L$4:$L$810)</f>
        <v>35</v>
      </c>
      <c r="K5" s="49">
        <f>SUMPRODUCT(--(COUNTIFS('Match Log'!$D$4:$D$810,$B5,'Match Log'!$C$4:$C$810,Lists!$C$2:$C$24)&gt;0))</f>
        <v>5</v>
      </c>
      <c r="L5" s="49" t="str">
        <f>IF($D5=0,"No games",IF(AND($D5&gt;='Guide &amp; Settings'!$C$45,$K5&gt;='Guide &amp; Settings'!$C$46),"Eligible","Provisional"))</f>
        <v>Eligible</v>
      </c>
      <c r="M5" s="48">
        <f>IFERROR(INDEX(Calcs!$C$7:$C$20,MATCH($B5,Calcs!$A$7:$A$20,0)),"")</f>
        <v>1040.7160364286033</v>
      </c>
      <c r="N5" s="48">
        <f t="shared" ref="N5:N18" si="3">MAX($C$5:$C$18)-$C5</f>
        <v>0</v>
      </c>
      <c r="O5" s="49" t="str">
        <f>IFERROR(INDEX(Calcs!$H$7:$H$20,MATCH($B5,Calcs!$A$7:$A$20,0)),"")</f>
        <v>W1</v>
      </c>
      <c r="P5" s="49" t="str">
        <f>IFERROR(INDEX(Calcs!$I$7:$I$20,MATCH($B5,Calcs!$A$7:$A$20,0)),"")</f>
        <v>WWWLW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12 Jul</v>
      </c>
      <c r="S5" s="49">
        <f>IFERROR(ROUND(INDEX(Calcs!$Q$7:$Q$20,MATCH($B5,Calcs!$A$7:$A$20,0)),1),"")</f>
        <v>0</v>
      </c>
      <c r="T5" s="49" t="str">
        <f>IFERROR(INDEX(Calcs!$T$7:$T$20,MATCH($B5,Calcs!$A$7:$A$20,0)),"")</f>
        <v>Active</v>
      </c>
      <c r="U5">
        <f>IFERROR(MAX(0,ROUND($C5-INDEX(Calcs!$S$7:$S$20,MATCH($B5,Calcs!$A$7:$A$20,0)),0)),0)</f>
        <v>0</v>
      </c>
      <c r="V5" s="51">
        <f>IFERROR(ROUND(INDEX(Calcs!$S$7:$S$20,MATCH($B5,Calcs!$A$7:$A$20,0)),0),"")</f>
        <v>1242</v>
      </c>
      <c r="W5" s="49" t="str">
        <f>IFERROR(INDEX(Calcs!$AF$7:$AF$20,MATCH($B5,Calcs!$A$7:$A$20,0)),"")</f>
        <v>Elite</v>
      </c>
      <c r="X5" s="51">
        <f>IFERROR(ROUND(SUMIF('Poker Stake Ledger'!$C$18:$C$137,$B5,'Poker Stake Ledger'!$K$18:$K$137),1),0)</f>
        <v>0</v>
      </c>
    </row>
    <row r="6" spans="1:24" ht="15" customHeight="1" x14ac:dyDescent="0.2">
      <c r="A6" s="46">
        <f t="shared" si="0"/>
        <v>2</v>
      </c>
      <c r="B6" s="47" t="str">
        <f>IFERROR(INDEX(Calcs!$A$7:$A$20,MATCH(LARGE(Calcs!$AI$7:$AI$20,ROW()-4),Calcs!$AI$7:$AI$20,0)),"")</f>
        <v>Shawn</v>
      </c>
      <c r="C6" s="48">
        <f>IFERROR(INDEX(Calcs!$S$7:$S$20,MATCH($B6,Calcs!$A$7:$A$20,0)),"")</f>
        <v>1124.7994137993414</v>
      </c>
      <c r="D6" s="49">
        <f>COUNTIF('Match Log'!$D$4:$D$810,$B6)</f>
        <v>71</v>
      </c>
      <c r="E6" s="49">
        <f>COUNTIFS('Match Log'!$D$4:$D$810,$B6,'Match Log'!$E$4:$E$810,"Win")</f>
        <v>34</v>
      </c>
      <c r="F6" s="49">
        <f t="shared" si="1"/>
        <v>37</v>
      </c>
      <c r="G6" s="50">
        <f t="shared" si="2"/>
        <v>0.47887323943661969</v>
      </c>
      <c r="H6" s="51">
        <f>SUMIF('Match Log'!$D$4:$D$810,$B6,'Match Log'!$J$4:$J$810)</f>
        <v>68.37433424825916</v>
      </c>
      <c r="I6" s="51">
        <f>SUMIF('Match Log'!$D$4:$D$810,$B6,'Match Log'!$K$4:$K$810)</f>
        <v>8.4250795510823568</v>
      </c>
      <c r="J6" s="51">
        <f>SUMIF('Match Log'!$D$4:$D$810,$B6,'Match Log'!$L$4:$L$810)</f>
        <v>48</v>
      </c>
      <c r="K6" s="49">
        <f>SUMPRODUCT(--(COUNTIFS('Match Log'!$D$4:$D$810,$B6,'Match Log'!$C$4:$C$810,Lists!$C$2:$C$24)&gt;0))</f>
        <v>10</v>
      </c>
      <c r="L6" s="49" t="str">
        <f>IF($D6=0,"No games",IF(AND($D6&gt;='Guide &amp; Settings'!$C$45,$K6&gt;='Guide &amp; Settings'!$C$46),"Eligible","Provisional"))</f>
        <v>Eligible</v>
      </c>
      <c r="M6" s="48">
        <f>IFERROR(INDEX(Calcs!$C$7:$C$20,MATCH($B6,Calcs!$A$7:$A$20,0)),"")</f>
        <v>1048.6561508961991</v>
      </c>
      <c r="N6" s="48">
        <f t="shared" si="3"/>
        <v>116.90352252571188</v>
      </c>
      <c r="O6" s="49" t="str">
        <f>IFERROR(INDEX(Calcs!$H$7:$H$20,MATCH($B6,Calcs!$A$7:$A$20,0)),"")</f>
        <v>W4</v>
      </c>
      <c r="P6" s="49" t="str">
        <f>IFERROR(INDEX(Calcs!$I$7:$I$20,MATCH($B6,Calcs!$A$7:$A$20,0)),"")</f>
        <v>LWWWW</v>
      </c>
      <c r="Q6" s="49" t="str">
        <f>IFERROR(IF(INDEX(Calcs!$L$7:$L$20,MATCH($B6,Calcs!$A$7:$A$20,0))&gt;0,"▲"&amp;INDEX(Calcs!$L$7:$L$20,MATCH($B6,Calcs!$A$7:$A$20,0)),IF(INDEX(Calcs!$L$7:$L$20,MATCH($B6,Calcs!$A$7:$A$20,0))&lt;0,"▼"&amp;ABS(INDEX(Calcs!$L$7:$L$20,MATCH($B6,Calcs!$A$7:$A$20,0))),"–")),"")</f>
        <v>▲10</v>
      </c>
      <c r="R6" s="49" t="str">
        <f>IFERROR(IF(INDEX(Calcs!$P$7:$P$20,MATCH($B6,Calcs!$A$7:$A$20,0))=0,"—",TEXT(INDEX(Calcs!$P$7:$P$20,MATCH($B6,Calcs!$A$7:$A$20,0)),"d mmm")),"")</f>
        <v>12 Jul</v>
      </c>
      <c r="S6" s="49">
        <f>IFERROR(ROUND(INDEX(Calcs!$Q$7:$Q$20,MATCH($B6,Calcs!$A$7:$A$20,0)),1),"")</f>
        <v>0</v>
      </c>
      <c r="T6" s="49" t="str">
        <f>IFERROR(INDEX(Calcs!$T$7:$T$20,MATCH($B6,Calcs!$A$7:$A$20,0)),"")</f>
        <v>Active</v>
      </c>
      <c r="U6">
        <f>IFERROR(MAX(0,ROUND($C6-INDEX(Calcs!$S$7:$S$20,MATCH($B6,Calcs!$A$7:$A$20,0)),0)),0)</f>
        <v>0</v>
      </c>
      <c r="V6" s="51">
        <f>IFERROR(ROUND(INDEX(Calcs!$S$7:$S$20,MATCH($B6,Calcs!$A$7:$A$20,0)),0),"")</f>
        <v>1125</v>
      </c>
      <c r="W6" s="49" t="str">
        <f>IFERROR(INDEX(Calcs!$AF$7:$AF$20,MATCH($B6,Calcs!$A$7:$A$20,0)),"")</f>
        <v>Elite</v>
      </c>
      <c r="X6" s="51">
        <f>IFERROR(ROUND(SUMIF('Poker Stake Ledger'!$C$18:$C$137,$B6,'Poker Stake Ledger'!$K$18:$K$137),1),0)</f>
        <v>0</v>
      </c>
    </row>
    <row r="7" spans="1:24" ht="15" customHeight="1" x14ac:dyDescent="0.2">
      <c r="A7" s="46">
        <f t="shared" si="0"/>
        <v>3</v>
      </c>
      <c r="B7" s="47" t="str">
        <f>IFERROR(INDEX(Calcs!$A$7:$A$20,MATCH(LARGE(Calcs!$AI$7:$AI$20,ROW()-4),Calcs!$AI$7:$AI$20,0)),"")</f>
        <v>Josh</v>
      </c>
      <c r="C7" s="48">
        <f>IFERROR(INDEX(Calcs!$S$7:$S$20,MATCH($B7,Calcs!$A$7:$A$20,0)),"")</f>
        <v>1063.3497487715442</v>
      </c>
      <c r="D7" s="49">
        <f>COUNTIF('Match Log'!$D$4:$D$810,$B7)</f>
        <v>37</v>
      </c>
      <c r="E7" s="49">
        <f>COUNTIFS('Match Log'!$D$4:$D$810,$B7,'Match Log'!$E$4:$E$810,"Win")</f>
        <v>21</v>
      </c>
      <c r="F7" s="49">
        <f t="shared" si="1"/>
        <v>16</v>
      </c>
      <c r="G7" s="50">
        <f t="shared" si="2"/>
        <v>0.56756756756756754</v>
      </c>
      <c r="H7" s="51">
        <f>SUMIF('Match Log'!$D$4:$D$810,$B7,'Match Log'!$J$4:$J$810)</f>
        <v>-11.785238402291522</v>
      </c>
      <c r="I7" s="51">
        <f>SUMIF('Match Log'!$D$4:$D$810,$B7,'Match Log'!$K$4:$K$810)</f>
        <v>30.134987173835981</v>
      </c>
      <c r="J7" s="51">
        <f>SUMIF('Match Log'!$D$4:$D$810,$B7,'Match Log'!$L$4:$L$810)</f>
        <v>45</v>
      </c>
      <c r="K7" s="49">
        <f>SUMPRODUCT(--(COUNTIFS('Match Log'!$D$4:$D$810,$B7,'Match Log'!$C$4:$C$810,Lists!$C$2:$C$24)&gt;0))</f>
        <v>12</v>
      </c>
      <c r="L7" s="49" t="str">
        <f>IF($D7=0,"No games",IF(AND($D7&gt;='Guide &amp; Settings'!$C$45,$K7&gt;='Guide &amp; Settings'!$C$46),"Eligible","Provisional"))</f>
        <v>Eligible</v>
      </c>
      <c r="M7" s="48">
        <f>IFERROR(INDEX(Calcs!$C$7:$C$20,MATCH($B7,Calcs!$A$7:$A$20,0)),"")</f>
        <v>1066.126091669209</v>
      </c>
      <c r="N7" s="48">
        <f t="shared" si="3"/>
        <v>178.35318755350909</v>
      </c>
      <c r="O7" s="49" t="str">
        <f>IFERROR(INDEX(Calcs!$H$7:$H$20,MATCH($B7,Calcs!$A$7:$A$20,0)),"")</f>
        <v>L2</v>
      </c>
      <c r="P7" s="49" t="str">
        <f>IFERROR(INDEX(Calcs!$I$7:$I$20,MATCH($B7,Calcs!$A$7:$A$20,0)),"")</f>
        <v>LLWLL</v>
      </c>
      <c r="Q7" s="49" t="str">
        <f>IFERROR(IF(INDEX(Calcs!$L$7:$L$20,MATCH($B7,Calcs!$A$7:$A$20,0))&gt;0,"▲"&amp;INDEX(Calcs!$L$7:$L$20,MATCH($B7,Calcs!$A$7:$A$20,0)),IF(INDEX(Calcs!$L$7:$L$20,MATCH($B7,Calcs!$A$7:$A$20,0))&lt;0,"▼"&amp;ABS(INDEX(Calcs!$L$7:$L$20,MATCH($B7,Calcs!$A$7:$A$20,0))),"–")),"")</f>
        <v>▼1</v>
      </c>
      <c r="R7" s="49" t="str">
        <f>IFERROR(IF(INDEX(Calcs!$P$7:$P$20,MATCH($B7,Calcs!$A$7:$A$20,0))=0,"—",TEXT(INDEX(Calcs!$P$7:$P$20,MATCH($B7,Calcs!$A$7:$A$20,0)),"d mmm")),"")</f>
        <v>12 Jul</v>
      </c>
      <c r="S7" s="49">
        <f>IFERROR(ROUND(INDEX(Calcs!$Q$7:$Q$20,MATCH($B7,Calcs!$A$7:$A$20,0)),1),"")</f>
        <v>0</v>
      </c>
      <c r="T7" s="49" t="str">
        <f>IFERROR(INDEX(Calcs!$T$7:$T$20,MATCH($B7,Calcs!$A$7:$A$20,0)),"")</f>
        <v>Active</v>
      </c>
      <c r="U7">
        <f>IFERROR(MAX(0,ROUND($C7-INDEX(Calcs!$S$7:$S$20,MATCH($B7,Calcs!$A$7:$A$20,0)),0)),0)</f>
        <v>0</v>
      </c>
      <c r="V7" s="51">
        <f>IFERROR(ROUND(INDEX(Calcs!$S$7:$S$20,MATCH($B7,Calcs!$A$7:$A$20,0)),0),"")</f>
        <v>1063</v>
      </c>
      <c r="W7" s="49" t="str">
        <f>IFERROR(INDEX(Calcs!$AF$7:$AF$20,MATCH($B7,Calcs!$A$7:$A$20,0)),"")</f>
        <v>Strong</v>
      </c>
      <c r="X7" s="51">
        <f>IFERROR(ROUND(SUMIF('Poker Stake Ledger'!$C$18:$C$137,$B7,'Poker Stake Ledger'!$K$18:$K$137),1),0)</f>
        <v>0</v>
      </c>
    </row>
    <row r="8" spans="1:24" ht="15" customHeight="1" x14ac:dyDescent="0.2">
      <c r="A8" s="46">
        <f t="shared" si="0"/>
        <v>4</v>
      </c>
      <c r="B8" s="47" t="str">
        <f>IFERROR(INDEX(Calcs!$A$7:$A$20,MATCH(LARGE(Calcs!$AI$7:$AI$20,ROW()-4),Calcs!$AI$7:$AI$20,0)),"")</f>
        <v>Oscar</v>
      </c>
      <c r="C8" s="48">
        <f>IFERROR(INDEX(Calcs!$S$7:$S$20,MATCH($B8,Calcs!$A$7:$A$20,0)),"")</f>
        <v>1062.8275894279936</v>
      </c>
      <c r="D8" s="49">
        <f>COUNTIF('Match Log'!$D$4:$D$810,$B8)</f>
        <v>44</v>
      </c>
      <c r="E8" s="49">
        <f>COUNTIFS('Match Log'!$D$4:$D$810,$B8,'Match Log'!$E$4:$E$810,"Win")</f>
        <v>20</v>
      </c>
      <c r="F8" s="49">
        <f t="shared" si="1"/>
        <v>24</v>
      </c>
      <c r="G8" s="50">
        <f t="shared" si="2"/>
        <v>0.45454545454545453</v>
      </c>
      <c r="H8" s="51">
        <f>SUMIF('Match Log'!$D$4:$D$810,$B8,'Match Log'!$J$4:$J$810)</f>
        <v>-7.6116228337358152</v>
      </c>
      <c r="I8" s="51">
        <f>SUMIF('Match Log'!$D$4:$D$810,$B8,'Match Log'!$K$4:$K$810)</f>
        <v>25.439212261729658</v>
      </c>
      <c r="J8" s="51">
        <f>SUMIF('Match Log'!$D$4:$D$810,$B8,'Match Log'!$L$4:$L$810)</f>
        <v>45</v>
      </c>
      <c r="K8" s="49">
        <f>SUMPRODUCT(--(COUNTIFS('Match Log'!$D$4:$D$810,$B8,'Match Log'!$C$4:$C$810,Lists!$C$2:$C$24)&gt;0))</f>
        <v>8</v>
      </c>
      <c r="L8" s="49" t="str">
        <f>IF($D8=0,"No games",IF(AND($D8&gt;='Guide &amp; Settings'!$C$45,$K8&gt;='Guide &amp; Settings'!$C$46),"Eligible","Provisional"))</f>
        <v>Eligible</v>
      </c>
      <c r="M8" s="48">
        <f>IFERROR(INDEX(Calcs!$C$7:$C$20,MATCH($B8,Calcs!$A$7:$A$20,0)),"")</f>
        <v>1075.6220287670715</v>
      </c>
      <c r="N8" s="48">
        <f t="shared" si="3"/>
        <v>178.87534689705967</v>
      </c>
      <c r="O8" s="49" t="str">
        <f>IFERROR(INDEX(Calcs!$H$7:$H$20,MATCH($B8,Calcs!$A$7:$A$20,0)),"")</f>
        <v>L1</v>
      </c>
      <c r="P8" s="49" t="str">
        <f>IFERROR(INDEX(Calcs!$I$7:$I$20,MATCH($B8,Calcs!$A$7:$A$20,0)),"")</f>
        <v>LLLWL</v>
      </c>
      <c r="Q8" s="49" t="str">
        <f>IFERROR(IF(INDEX(Calcs!$L$7:$L$20,MATCH($B8,Calcs!$A$7:$A$20,0))&gt;0,"▲"&amp;INDEX(Calcs!$L$7:$L$20,MATCH($B8,Calcs!$A$7:$A$20,0)),IF(INDEX(Calcs!$L$7:$L$20,MATCH($B8,Calcs!$A$7:$A$20,0))&lt;0,"▼"&amp;ABS(INDEX(Calcs!$L$7:$L$20,MATCH($B8,Calcs!$A$7:$A$20,0))),"–")),"")</f>
        <v>–</v>
      </c>
      <c r="R8" s="49" t="str">
        <f>IFERROR(IF(INDEX(Calcs!$P$7:$P$20,MATCH($B8,Calcs!$A$7:$A$20,0))=0,"—",TEXT(INDEX(Calcs!$P$7:$P$20,MATCH($B8,Calcs!$A$7:$A$20,0)),"d mmm")),"")</f>
        <v>6 Jul</v>
      </c>
      <c r="S8" s="49">
        <f>IFERROR(ROUND(INDEX(Calcs!$Q$7:$Q$20,MATCH($B8,Calcs!$A$7:$A$20,0)),1),"")</f>
        <v>0.9</v>
      </c>
      <c r="T8" s="49" t="str">
        <f>IFERROR(INDEX(Calcs!$T$7:$T$20,MATCH($B8,Calcs!$A$7:$A$20,0)),"")</f>
        <v>Active</v>
      </c>
      <c r="U8">
        <f>IFERROR(MAX(0,ROUND($C8-INDEX(Calcs!$S$7:$S$20,MATCH($B8,Calcs!$A$7:$A$20,0)),0)),0)</f>
        <v>0</v>
      </c>
      <c r="V8" s="51">
        <f>IFERROR(ROUND(INDEX(Calcs!$S$7:$S$20,MATCH($B8,Calcs!$A$7:$A$20,0)),0),"")</f>
        <v>1063</v>
      </c>
      <c r="W8" s="49" t="str">
        <f>IFERROR(INDEX(Calcs!$AF$7:$AF$20,MATCH($B8,Calcs!$A$7:$A$20,0)),"")</f>
        <v>Strong</v>
      </c>
      <c r="X8" s="51">
        <f>IFERROR(ROUND(SUMIF('Poker Stake Ledger'!$C$18:$C$137,$B8,'Poker Stake Ledger'!$K$18:$K$137),1),0)</f>
        <v>0</v>
      </c>
    </row>
    <row r="9" spans="1:24" ht="15" customHeight="1" x14ac:dyDescent="0.2">
      <c r="A9" s="46">
        <f t="shared" si="0"/>
        <v>5</v>
      </c>
      <c r="B9" s="47" t="str">
        <f>IFERROR(INDEX(Calcs!$A$7:$A$20,MATCH(LARGE(Calcs!$AI$7:$AI$20,ROW()-4),Calcs!$AI$7:$AI$20,0)),"")</f>
        <v>Simon</v>
      </c>
      <c r="C9" s="48">
        <f>IFERROR(INDEX(Calcs!$S$7:$S$20,MATCH($B9,Calcs!$A$7:$A$20,0)),"")</f>
        <v>1060.3667074371201</v>
      </c>
      <c r="D9" s="49">
        <f>COUNTIF('Match Log'!$D$4:$D$810,$B9)</f>
        <v>18</v>
      </c>
      <c r="E9" s="49">
        <f>COUNTIFS('Match Log'!$D$4:$D$810,$B9,'Match Log'!$E$4:$E$810,"Win")</f>
        <v>10</v>
      </c>
      <c r="F9" s="49">
        <f t="shared" si="1"/>
        <v>8</v>
      </c>
      <c r="G9" s="50">
        <f t="shared" si="2"/>
        <v>0.55555555555555558</v>
      </c>
      <c r="H9" s="51">
        <f>SUMIF('Match Log'!$D$4:$D$810,$B9,'Match Log'!$J$4:$J$810)</f>
        <v>1.4563430954523646</v>
      </c>
      <c r="I9" s="51">
        <f>SUMIF('Match Log'!$D$4:$D$810,$B9,'Match Log'!$K$4:$K$810)</f>
        <v>22.910364341667837</v>
      </c>
      <c r="J9" s="51">
        <f>SUMIF('Match Log'!$D$4:$D$810,$B9,'Match Log'!$L$4:$L$810)</f>
        <v>36</v>
      </c>
      <c r="K9" s="49">
        <f>SUMPRODUCT(--(COUNTIFS('Match Log'!$D$4:$D$810,$B9,'Match Log'!$C$4:$C$810,Lists!$C$2:$C$24)&gt;0))</f>
        <v>5</v>
      </c>
      <c r="L9" s="49" t="str">
        <f>IF($D9=0,"No games",IF(AND($D9&gt;='Guide &amp; Settings'!$C$45,$K9&gt;='Guide &amp; Settings'!$C$46),"Eligible","Provisional"))</f>
        <v>Eligible</v>
      </c>
      <c r="M9" s="48">
        <f>IFERROR(INDEX(Calcs!$C$7:$C$20,MATCH($B9,Calcs!$A$7:$A$20,0)),"")</f>
        <v>1054.5714807383069</v>
      </c>
      <c r="N9" s="48">
        <f t="shared" si="3"/>
        <v>181.3362288879332</v>
      </c>
      <c r="O9" s="49" t="str">
        <f>IFERROR(INDEX(Calcs!$H$7:$H$20,MATCH($B9,Calcs!$A$7:$A$20,0)),"")</f>
        <v>L4</v>
      </c>
      <c r="P9" s="49" t="str">
        <f>IFERROR(INDEX(Calcs!$I$7:$I$20,MATCH($B9,Calcs!$A$7:$A$20,0)),"")</f>
        <v>WLLLL</v>
      </c>
      <c r="Q9" s="49" t="str">
        <f>IFERROR(IF(INDEX(Calcs!$L$7:$L$20,MATCH($B9,Calcs!$A$7:$A$20,0))&gt;0,"▲"&amp;INDEX(Calcs!$L$7:$L$20,MATCH($B9,Calcs!$A$7:$A$20,0)),IF(INDEX(Calcs!$L$7:$L$20,MATCH($B9,Calcs!$A$7:$A$20,0))&lt;0,"▼"&amp;ABS(INDEX(Calcs!$L$7:$L$20,MATCH($B9,Calcs!$A$7:$A$20,0))),"–")),"")</f>
        <v>–</v>
      </c>
      <c r="R9" s="49" t="str">
        <f>IFERROR(IF(INDEX(Calcs!$P$7:$P$20,MATCH($B9,Calcs!$A$7:$A$20,0))=0,"—",TEXT(INDEX(Calcs!$P$7:$P$20,MATCH($B9,Calcs!$A$7:$A$20,0)),"d mmm")),"")</f>
        <v>12 Jul</v>
      </c>
      <c r="S9" s="49">
        <f>IFERROR(ROUND(INDEX(Calcs!$Q$7:$Q$20,MATCH($B9,Calcs!$A$7:$A$20,0)),1),"")</f>
        <v>0</v>
      </c>
      <c r="T9" s="49" t="str">
        <f>IFERROR(INDEX(Calcs!$T$7:$T$20,MATCH($B9,Calcs!$A$7:$A$20,0)),"")</f>
        <v>Active</v>
      </c>
      <c r="U9">
        <f>IFERROR(MAX(0,ROUND($C9-INDEX(Calcs!$S$7:$S$20,MATCH($B9,Calcs!$A$7:$A$20,0)),0)),0)</f>
        <v>0</v>
      </c>
      <c r="V9" s="51">
        <f>IFERROR(ROUND(INDEX(Calcs!$S$7:$S$20,MATCH($B9,Calcs!$A$7:$A$20,0)),0),"")</f>
        <v>1060</v>
      </c>
      <c r="W9" s="49" t="str">
        <f>IFERROR(INDEX(Calcs!$AF$7:$AF$20,MATCH($B9,Calcs!$A$7:$A$20,0)),"")</f>
        <v>Strong</v>
      </c>
      <c r="X9" s="51">
        <f>IFERROR(ROUND(SUMIF('Poker Stake Ledger'!$C$18:$C$137,$B9,'Poker Stake Ledger'!$K$18:$K$137),1),0)</f>
        <v>0</v>
      </c>
    </row>
    <row r="10" spans="1:24" ht="15" customHeight="1" x14ac:dyDescent="0.2">
      <c r="A10" s="46">
        <f t="shared" si="0"/>
        <v>6</v>
      </c>
      <c r="B10" s="47" t="str">
        <f>IFERROR(INDEX(Calcs!$A$7:$A$20,MATCH(LARGE(Calcs!$AI$7:$AI$20,ROW()-4),Calcs!$AI$7:$AI$20,0)),"")</f>
        <v>Dylan A</v>
      </c>
      <c r="C10" s="48">
        <f>IFERROR(INDEX(Calcs!$S$7:$S$20,MATCH($B10,Calcs!$A$7:$A$20,0)),"")</f>
        <v>1052.4264189977837</v>
      </c>
      <c r="D10" s="49">
        <f>COUNTIF('Match Log'!$D$4:$D$810,$B10)</f>
        <v>5</v>
      </c>
      <c r="E10" s="49">
        <f>COUNTIFS('Match Log'!$D$4:$D$810,$B10,'Match Log'!$E$4:$E$810,"Win")</f>
        <v>3</v>
      </c>
      <c r="F10" s="49">
        <f t="shared" si="1"/>
        <v>2</v>
      </c>
      <c r="G10" s="50">
        <f t="shared" si="2"/>
        <v>0.6</v>
      </c>
      <c r="H10" s="51">
        <f>SUMIF('Match Log'!$D$4:$D$810,$B10,'Match Log'!$J$4:$J$810)</f>
        <v>17.561127831776151</v>
      </c>
      <c r="I10" s="51">
        <f>SUMIF('Match Log'!$D$4:$D$810,$B10,'Match Log'!$K$4:$K$810)</f>
        <v>18.865291166007616</v>
      </c>
      <c r="J10" s="51">
        <f>SUMIF('Match Log'!$D$4:$D$810,$B10,'Match Log'!$L$4:$L$810)</f>
        <v>16</v>
      </c>
      <c r="K10" s="49">
        <f>SUMPRODUCT(--(COUNTIFS('Match Log'!$D$4:$D$810,$B10,'Match Log'!$C$4:$C$810,Lists!$C$2:$C$24)&gt;0))</f>
        <v>2</v>
      </c>
      <c r="L10" s="49" t="str">
        <f>IF($D10=0,"No games",IF(AND($D10&gt;='Guide &amp; Settings'!$C$45,$K10&gt;='Guide &amp; Settings'!$C$46),"Eligible","Provisional"))</f>
        <v>Provisional</v>
      </c>
      <c r="M10" s="48">
        <f>IFERROR(INDEX(Calcs!$C$7:$C$20,MATCH($B10,Calcs!$A$7:$A$20,0)),"")</f>
        <v>1064.0704733392361</v>
      </c>
      <c r="N10" s="48">
        <f t="shared" si="3"/>
        <v>189.27651732726963</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▲2</v>
      </c>
      <c r="R10" s="49" t="str">
        <f>IFERROR(IF(INDEX(Calcs!$P$7:$P$20,MATCH($B10,Calcs!$A$7:$A$20,0))=0,"—",TEXT(INDEX(Calcs!$P$7:$P$20,MATCH($B10,Calcs!$A$7:$A$20,0)),"d mmm")),"")</f>
        <v>11 Jul</v>
      </c>
      <c r="S10" s="49">
        <f>IFERROR(ROUND(INDEX(Calcs!$Q$7:$Q$20,MATCH($B10,Calcs!$A$7:$A$20,0)),1),"")</f>
        <v>0.1</v>
      </c>
      <c r="T10" s="49" t="str">
        <f>IFERROR(INDEX(Calcs!$T$7:$T$20,MATCH($B10,Calcs!$A$7:$A$20,0)),"")</f>
        <v>Active</v>
      </c>
      <c r="U10">
        <f>IFERROR(MAX(0,ROUND($C10-INDEX(Calcs!$S$7:$S$20,MATCH($B10,Calcs!$A$7:$A$20,0)),0)),0)</f>
        <v>0</v>
      </c>
      <c r="V10" s="51">
        <f>IFERROR(ROUND(INDEX(Calcs!$S$7:$S$20,MATCH($B10,Calcs!$A$7:$A$20,0)),0),"")</f>
        <v>1052</v>
      </c>
      <c r="W10" s="49" t="str">
        <f>IFERROR(INDEX(Calcs!$AF$7:$AF$20,MATCH($B10,Calcs!$A$7:$A$20,0)),"")</f>
        <v>Mid</v>
      </c>
      <c r="X10" s="51">
        <f>IFERROR(ROUND(SUMIF('Poker Stake Ledger'!$C$18:$C$137,$B10,'Poker Stake Ledger'!$K$18:$K$137),1),0)</f>
        <v>0</v>
      </c>
    </row>
    <row r="11" spans="1:24" ht="15" customHeight="1" x14ac:dyDescent="0.2">
      <c r="A11" s="46">
        <f t="shared" si="0"/>
        <v>7</v>
      </c>
      <c r="B11" s="47" t="str">
        <f>IFERROR(INDEX(Calcs!$A$7:$A$20,MATCH(LARGE(Calcs!$AI$7:$AI$20,ROW()-4),Calcs!$AI$7:$AI$20,0)),"")</f>
        <v>Chase</v>
      </c>
      <c r="C11" s="48">
        <f>IFERROR(INDEX(Calcs!$S$7:$S$20,MATCH($B11,Calcs!$A$7:$A$20,0)),"")</f>
        <v>1041.9075825481382</v>
      </c>
      <c r="D11" s="49">
        <f>COUNTIF('Match Log'!$D$4:$D$810,$B11)</f>
        <v>11</v>
      </c>
      <c r="E11" s="49">
        <f>COUNTIFS('Match Log'!$D$4:$D$810,$B11,'Match Log'!$E$4:$E$810,"Win")</f>
        <v>6</v>
      </c>
      <c r="F11" s="49">
        <f t="shared" si="1"/>
        <v>5</v>
      </c>
      <c r="G11" s="50">
        <f t="shared" si="2"/>
        <v>0.54545454545454541</v>
      </c>
      <c r="H11" s="51">
        <f>SUMIF('Match Log'!$D$4:$D$810,$B11,'Match Log'!$J$4:$J$810)</f>
        <v>26.49329683385244</v>
      </c>
      <c r="I11" s="51">
        <f>SUMIF('Match Log'!$D$4:$D$810,$B11,'Match Log'!$K$4:$K$810)</f>
        <v>4.4142857142857119</v>
      </c>
      <c r="J11" s="51">
        <f>SUMIF('Match Log'!$D$4:$D$810,$B11,'Match Log'!$L$4:$L$810)</f>
        <v>11</v>
      </c>
      <c r="K11" s="49">
        <f>SUMPRODUCT(--(COUNTIFS('Match Log'!$D$4:$D$810,$B11,'Match Log'!$C$4:$C$810,Lists!$C$2:$C$24)&gt;0))</f>
        <v>7</v>
      </c>
      <c r="L11" s="49" t="str">
        <f>IF($D11=0,"No games",IF(AND($D11&gt;='Guide &amp; Settings'!$C$45,$K11&gt;='Guide &amp; Settings'!$C$46),"Eligible","Provisional"))</f>
        <v>Eligible</v>
      </c>
      <c r="M11" s="48">
        <f>IFERROR(INDEX(Calcs!$C$7:$C$20,MATCH($B11,Calcs!$A$7:$A$20,0)),"")</f>
        <v>1034.8894485676019</v>
      </c>
      <c r="N11" s="48">
        <f t="shared" si="3"/>
        <v>199.79535377691514</v>
      </c>
      <c r="O11" s="49" t="str">
        <f>IFERROR(INDEX(Calcs!$H$7:$H$20,MATCH($B11,Calcs!$A$7:$A$20,0)),"")</f>
        <v>W2</v>
      </c>
      <c r="P11" s="49" t="str">
        <f>IFERROR(INDEX(Calcs!$I$7:$I$20,MATCH($B11,Calcs!$A$7:$A$20,0)),"")</f>
        <v>LLLWW</v>
      </c>
      <c r="Q11" s="49" t="str">
        <f>IFERROR(IF(INDEX(Calcs!$L$7:$L$20,MATCH($B11,Calcs!$A$7:$A$20,0))&gt;0,"▲"&amp;INDEX(Calcs!$L$7:$L$20,MATCH($B11,Calcs!$A$7:$A$20,0)),IF(INDEX(Calcs!$L$7:$L$20,MATCH($B11,Calcs!$A$7:$A$20,0))&lt;0,"▼"&amp;ABS(INDEX(Calcs!$L$7:$L$20,MATCH($B11,Calcs!$A$7:$A$20,0))),"–")),"")</f>
        <v>▲3</v>
      </c>
      <c r="R11" s="49" t="str">
        <f>IFERROR(IF(INDEX(Calcs!$P$7:$P$20,MATCH($B11,Calcs!$A$7:$A$20,0))=0,"—",TEXT(INDEX(Calcs!$P$7:$P$20,MATCH($B11,Calcs!$A$7:$A$20,0)),"d mmm")),"")</f>
        <v>12 Jul</v>
      </c>
      <c r="S11" s="49">
        <f>IFERROR(ROUND(INDEX(Calcs!$Q$7:$Q$20,MATCH($B11,Calcs!$A$7:$A$20,0)),1),"")</f>
        <v>0</v>
      </c>
      <c r="T11" s="49" t="str">
        <f>IFERROR(INDEX(Calcs!$T$7:$T$20,MATCH($B11,Calcs!$A$7:$A$20,0)),"")</f>
        <v>Active</v>
      </c>
      <c r="U11">
        <f>IFERROR(MAX(0,ROUND($C11-INDEX(Calcs!$S$7:$S$20,MATCH($B11,Calcs!$A$7:$A$20,0)),0)),0)</f>
        <v>0</v>
      </c>
      <c r="V11" s="51">
        <f>IFERROR(ROUND(INDEX(Calcs!$S$7:$S$20,MATCH($B11,Calcs!$A$7:$A$20,0)),0),"")</f>
        <v>1042</v>
      </c>
      <c r="W11" s="49" t="str">
        <f>IFERROR(INDEX(Calcs!$AF$7:$AF$20,MATCH($B11,Calcs!$A$7:$A$20,0)),"")</f>
        <v>Strong</v>
      </c>
      <c r="X11" s="51">
        <f>IFERROR(ROUND(SUMIF('Poker Stake Ledger'!$C$18:$C$137,$B11,'Poker Stake Ledger'!$K$18:$K$137),1),0)</f>
        <v>0</v>
      </c>
    </row>
    <row r="12" spans="1:24" ht="15" customHeight="1" x14ac:dyDescent="0.2">
      <c r="A12" s="46">
        <f t="shared" si="0"/>
        <v>8</v>
      </c>
      <c r="B12" s="47" t="str">
        <f>IFERROR(INDEX(Calcs!$A$7:$A$20,MATCH(LARGE(Calcs!$AI$7:$AI$20,ROW()-4),Calcs!$AI$7:$AI$20,0)),"")</f>
        <v>Aaron</v>
      </c>
      <c r="C12" s="48">
        <f>IFERROR(INDEX(Calcs!$S$7:$S$20,MATCH($B12,Calcs!$A$7:$A$20,0)),"")</f>
        <v>1040.1422573837137</v>
      </c>
      <c r="D12" s="49">
        <f>COUNTIF('Match Log'!$D$4:$D$810,$B12)</f>
        <v>46</v>
      </c>
      <c r="E12" s="49">
        <f>COUNTIFS('Match Log'!$D$4:$D$810,$B12,'Match Log'!$E$4:$E$810,"Win")</f>
        <v>24</v>
      </c>
      <c r="F12" s="49">
        <f t="shared" si="1"/>
        <v>22</v>
      </c>
      <c r="G12" s="50">
        <f t="shared" si="2"/>
        <v>0.52173913043478259</v>
      </c>
      <c r="H12" s="51">
        <f>SUMIF('Match Log'!$D$4:$D$810,$B12,'Match Log'!$J$4:$J$810)</f>
        <v>-24.020011438816706</v>
      </c>
      <c r="I12" s="51">
        <f>SUMIF('Match Log'!$D$4:$D$810,$B12,'Match Log'!$K$4:$K$810)</f>
        <v>33.162268822530379</v>
      </c>
      <c r="J12" s="51">
        <f>SUMIF('Match Log'!$D$4:$D$810,$B12,'Match Log'!$L$4:$L$810)</f>
        <v>31</v>
      </c>
      <c r="K12" s="49">
        <f>SUMPRODUCT(--(COUNTIFS('Match Log'!$D$4:$D$810,$B12,'Match Log'!$C$4:$C$810,Lists!$C$2:$C$24)&gt;0))</f>
        <v>10</v>
      </c>
      <c r="L12" s="49" t="str">
        <f>IF($D12=0,"No games",IF(AND($D12&gt;='Guide &amp; Settings'!$C$45,$K12&gt;='Guide &amp; Settings'!$C$46),"Eligible","Provisional"))</f>
        <v>Eligible</v>
      </c>
      <c r="M12" s="48">
        <f>IFERROR(INDEX(Calcs!$C$7:$C$20,MATCH($B12,Calcs!$A$7:$A$20,0)),"")</f>
        <v>1081.2612004587625</v>
      </c>
      <c r="N12" s="48">
        <f t="shared" si="3"/>
        <v>201.56067894133957</v>
      </c>
      <c r="O12" s="49" t="str">
        <f>IFERROR(INDEX(Calcs!$H$7:$H$20,MATCH($B12,Calcs!$A$7:$A$20,0)),"")</f>
        <v>L3</v>
      </c>
      <c r="P12" s="49" t="str">
        <f>IFERROR(INDEX(Calcs!$I$7:$I$20,MATCH($B12,Calcs!$A$7:$A$20,0)),"")</f>
        <v>WWLLL</v>
      </c>
      <c r="Q12" s="49" t="str">
        <f>IFERROR(IF(INDEX(Calcs!$L$7:$L$20,MATCH($B12,Calcs!$A$7:$A$20,0))&gt;0,"▲"&amp;INDEX(Calcs!$L$7:$L$20,MATCH($B12,Calcs!$A$7:$A$20,0)),IF(INDEX(Calcs!$L$7:$L$20,MATCH($B12,Calcs!$A$7:$A$20,0))&lt;0,"▼"&amp;ABS(INDEX(Calcs!$L$7:$L$20,MATCH($B12,Calcs!$A$7:$A$20,0))),"–")),"")</f>
        <v>▼5</v>
      </c>
      <c r="R12" s="49" t="str">
        <f>IFERROR(IF(INDEX(Calcs!$P$7:$P$20,MATCH($B12,Calcs!$A$7:$A$20,0))=0,"—",TEXT(INDEX(Calcs!$P$7:$P$20,MATCH($B12,Calcs!$A$7:$A$20,0)),"d mmm")),"")</f>
        <v>11 Jul</v>
      </c>
      <c r="S12" s="49">
        <f>IFERROR(ROUND(INDEX(Calcs!$Q$7:$Q$20,MATCH($B12,Calcs!$A$7:$A$20,0)),1),"")</f>
        <v>0.1</v>
      </c>
      <c r="T12" s="49" t="str">
        <f>IFERROR(INDEX(Calcs!$T$7:$T$20,MATCH($B12,Calcs!$A$7:$A$20,0)),"")</f>
        <v>Active</v>
      </c>
      <c r="U12">
        <f>IFERROR(MAX(0,ROUND($C12-INDEX(Calcs!$S$7:$S$20,MATCH($B12,Calcs!$A$7:$A$20,0)),0)),0)</f>
        <v>0</v>
      </c>
      <c r="V12" s="51">
        <f>IFERROR(ROUND(INDEX(Calcs!$S$7:$S$20,MATCH($B12,Calcs!$A$7:$A$20,0)),0),"")</f>
        <v>1040</v>
      </c>
      <c r="W12" s="49" t="str">
        <f>IFERROR(INDEX(Calcs!$AF$7:$AF$20,MATCH($B12,Calcs!$A$7:$A$20,0)),"")</f>
        <v>Strong</v>
      </c>
      <c r="X12" s="51">
        <f>IFERROR(ROUND(SUMIF('Poker Stake Ledger'!$C$18:$C$137,$B12,'Poker Stake Ledger'!$K$18:$K$137),1),0)</f>
        <v>0</v>
      </c>
    </row>
    <row r="13" spans="1:24" ht="15" customHeight="1" x14ac:dyDescent="0.2">
      <c r="A13" s="46">
        <f t="shared" si="0"/>
        <v>9</v>
      </c>
      <c r="B13" s="47" t="str">
        <f>IFERROR(INDEX(Calcs!$A$7:$A$20,MATCH(LARGE(Calcs!$AI$7:$AI$20,ROW()-4),Calcs!$AI$7:$AI$20,0)),"")</f>
        <v>Beau</v>
      </c>
      <c r="C13" s="48">
        <f>IFERROR(INDEX(Calcs!$S$7:$S$20,MATCH($B13,Calcs!$A$7:$A$20,0)),"")</f>
        <v>1029.5175965335138</v>
      </c>
      <c r="D13" s="49">
        <f>COUNTIF('Match Log'!$D$4:$D$810,$B13)</f>
        <v>10</v>
      </c>
      <c r="E13" s="49">
        <f>COUNTIFS('Match Log'!$D$4:$D$810,$B13,'Match Log'!$E$4:$E$810,"Win")</f>
        <v>5</v>
      </c>
      <c r="F13" s="49">
        <f t="shared" si="1"/>
        <v>5</v>
      </c>
      <c r="G13" s="50">
        <f t="shared" si="2"/>
        <v>0.5</v>
      </c>
      <c r="H13" s="51">
        <f>SUMIF('Match Log'!$D$4:$D$810,$B13,'Match Log'!$J$4:$J$810)</f>
        <v>-14.562118325761057</v>
      </c>
      <c r="I13" s="51">
        <f>SUMIF('Match Log'!$D$4:$D$810,$B13,'Match Log'!$K$4:$K$810)</f>
        <v>16.079714859275072</v>
      </c>
      <c r="J13" s="51">
        <f>SUMIF('Match Log'!$D$4:$D$810,$B13,'Match Log'!$L$4:$L$810)</f>
        <v>28</v>
      </c>
      <c r="K13" s="49">
        <f>SUMPRODUCT(--(COUNTIFS('Match Log'!$D$4:$D$810,$B13,'Match Log'!$C$4:$C$810,Lists!$C$2:$C$24)&gt;0))</f>
        <v>3</v>
      </c>
      <c r="L13" s="49" t="str">
        <f>IF($D13=0,"No games",IF(AND($D13&gt;='Guide &amp; Settings'!$C$45,$K13&gt;='Guide &amp; Settings'!$C$46),"Eligible","Provisional"))</f>
        <v>Eligible</v>
      </c>
      <c r="M13" s="48">
        <f>IFERROR(INDEX(Calcs!$C$7:$C$20,MATCH($B13,Calcs!$A$7:$A$20,0)),"")</f>
        <v>1059.6390822823084</v>
      </c>
      <c r="N13" s="48">
        <f t="shared" si="3"/>
        <v>212.18533979153949</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3.9</v>
      </c>
      <c r="T13" s="49" t="str">
        <f>IFERROR(INDEX(Calcs!$T$7:$T$20,MATCH($B13,Calcs!$A$7:$A$20,0)),"")</f>
        <v>At risk</v>
      </c>
      <c r="U13">
        <f>IFERROR(MAX(0,ROUND($C13-INDEX(Calcs!$S$7:$S$20,MATCH($B13,Calcs!$A$7:$A$20,0)),0)),0)</f>
        <v>0</v>
      </c>
      <c r="V13" s="51">
        <f>IFERROR(ROUND(INDEX(Calcs!$S$7:$S$20,MATCH($B13,Calcs!$A$7:$A$20,0)),0),"")</f>
        <v>1030</v>
      </c>
      <c r="W13" s="49" t="str">
        <f>IFERROR(INDEX(Calcs!$AF$7:$AF$20,MATCH($B13,Calcs!$A$7:$A$20,0)),"")</f>
        <v>Mid</v>
      </c>
      <c r="X13" s="51">
        <f>IFERROR(ROUND(SUMIF('Poker Stake Ledger'!$C$18:$C$137,$B13,'Poker Stake Ledger'!$K$18:$K$137),1),0)</f>
        <v>0</v>
      </c>
    </row>
    <row r="14" spans="1:24" ht="15" customHeight="1" x14ac:dyDescent="0.2">
      <c r="A14" s="46">
        <f t="shared" si="0"/>
        <v>10</v>
      </c>
      <c r="B14" s="47" t="str">
        <f>IFERROR(INDEX(Calcs!$A$7:$A$20,MATCH(LARGE(Calcs!$AI$7:$AI$20,ROW()-4),Calcs!$AI$7:$AI$20,0)),"")</f>
        <v>Daniel (Ferret)</v>
      </c>
      <c r="C14" s="48">
        <f>IFERROR(INDEX(Calcs!$S$7:$S$20,MATCH($B14,Calcs!$A$7:$A$20,0)),"")</f>
        <v>1029.4526731850108</v>
      </c>
      <c r="D14" s="49">
        <f>COUNTIF('Match Log'!$D$4:$D$810,$B14)</f>
        <v>59</v>
      </c>
      <c r="E14" s="49">
        <f>COUNTIFS('Match Log'!$D$4:$D$810,$B14,'Match Log'!$E$4:$E$810,"Win")</f>
        <v>25</v>
      </c>
      <c r="F14" s="49">
        <f t="shared" si="1"/>
        <v>34</v>
      </c>
      <c r="G14" s="50">
        <f t="shared" si="2"/>
        <v>0.42372881355932202</v>
      </c>
      <c r="H14" s="51">
        <f>SUMIF('Match Log'!$D$4:$D$810,$B14,'Match Log'!$J$4:$J$810)</f>
        <v>-38.430031790224753</v>
      </c>
      <c r="I14" s="51">
        <f>SUMIF('Match Log'!$D$4:$D$810,$B14,'Match Log'!$K$4:$K$810)</f>
        <v>15.882704975235129</v>
      </c>
      <c r="J14" s="51">
        <f>SUMIF('Match Log'!$D$4:$D$810,$B14,'Match Log'!$L$4:$L$810)</f>
        <v>52</v>
      </c>
      <c r="K14" s="49">
        <f>SUMPRODUCT(--(COUNTIFS('Match Log'!$D$4:$D$810,$B14,'Match Log'!$C$4:$C$810,Lists!$C$2:$C$24)&gt;0))</f>
        <v>14</v>
      </c>
      <c r="L14" s="49" t="str">
        <f>IF($D14=0,"No games",IF(AND($D14&gt;='Guide &amp; Settings'!$C$45,$K14&gt;='Guide &amp; Settings'!$C$46),"Eligible","Provisional"))</f>
        <v>Eligible</v>
      </c>
      <c r="M14" s="48">
        <f>IFERROR(INDEX(Calcs!$C$7:$C$20,MATCH($B14,Calcs!$A$7:$A$20,0)),"")</f>
        <v>1099.8999525740301</v>
      </c>
      <c r="N14" s="48">
        <f t="shared" si="3"/>
        <v>212.25026314004253</v>
      </c>
      <c r="O14" s="49" t="str">
        <f>IFERROR(INDEX(Calcs!$H$7:$H$20,MATCH($B14,Calcs!$A$7:$A$20,0)),"")</f>
        <v>L2</v>
      </c>
      <c r="P14" s="49" t="str">
        <f>IFERROR(INDEX(Calcs!$I$7:$I$20,MATCH($B14,Calcs!$A$7:$A$20,0)),"")</f>
        <v>LWWLL</v>
      </c>
      <c r="Q14" s="49" t="str">
        <f>IFERROR(IF(INDEX(Calcs!$L$7:$L$20,MATCH($B14,Calcs!$A$7:$A$20,0))&gt;0,"▲"&amp;INDEX(Calcs!$L$7:$L$20,MATCH($B14,Calcs!$A$7:$A$20,0)),IF(INDEX(Calcs!$L$7:$L$20,MATCH($B14,Calcs!$A$7:$A$20,0))&lt;0,"▼"&amp;ABS(INDEX(Calcs!$L$7:$L$20,MATCH($B14,Calcs!$A$7:$A$20,0))),"–")),"")</f>
        <v>▼4</v>
      </c>
      <c r="R14" s="49" t="str">
        <f>IFERROR(IF(INDEX(Calcs!$P$7:$P$20,MATCH($B14,Calcs!$A$7:$A$20,0))=0,"—",TEXT(INDEX(Calcs!$P$7:$P$20,MATCH($B14,Calcs!$A$7:$A$20,0)),"d mmm")),"")</f>
        <v>12 Jul</v>
      </c>
      <c r="S14" s="49">
        <f>IFERROR(ROUND(INDEX(Calcs!$Q$7:$Q$20,MATCH($B14,Calcs!$A$7:$A$20,0)),1),"")</f>
        <v>0</v>
      </c>
      <c r="T14" s="49" t="str">
        <f>IFERROR(INDEX(Calcs!$T$7:$T$20,MATCH($B14,Calcs!$A$7:$A$20,0)),"")</f>
        <v>Active</v>
      </c>
      <c r="U14">
        <f>IFERROR(MAX(0,ROUND($C14-INDEX(Calcs!$S$7:$S$20,MATCH($B14,Calcs!$A$7:$A$20,0)),0)),0)</f>
        <v>0</v>
      </c>
      <c r="V14" s="51">
        <f>IFERROR(ROUND(INDEX(Calcs!$S$7:$S$20,MATCH($B14,Calcs!$A$7:$A$20,0)),0),"")</f>
        <v>1029</v>
      </c>
      <c r="W14" s="49" t="str">
        <f>IFERROR(INDEX(Calcs!$AF$7:$AF$20,MATCH($B14,Calcs!$A$7:$A$20,0)),"")</f>
        <v>Strong</v>
      </c>
      <c r="X14" s="51">
        <f>IFERROR(ROUND(SUMIF('Poker Stake Ledger'!$C$18:$C$137,$B14,'Poker Stake Ledger'!$K$18:$K$137),1),0)</f>
        <v>0</v>
      </c>
    </row>
    <row r="15" spans="1:24" ht="15" customHeight="1" x14ac:dyDescent="0.2">
      <c r="A15" s="46">
        <f t="shared" si="0"/>
        <v>11</v>
      </c>
      <c r="B15" s="47" t="str">
        <f>IFERROR(INDEX(Calcs!$A$7:$A$20,MATCH(LARGE(Calcs!$AI$7:$AI$20,ROW()-4),Calcs!$AI$7:$AI$20,0)),"")</f>
        <v>Dean M</v>
      </c>
      <c r="C15" s="48">
        <f>IFERROR(INDEX(Calcs!$S$7:$S$20,MATCH($B15,Calcs!$A$7:$A$20,0)),"")</f>
        <v>1009.152401464836</v>
      </c>
      <c r="D15" s="49">
        <f>COUNTIF('Match Log'!$D$4:$D$810,$B15)</f>
        <v>6</v>
      </c>
      <c r="E15" s="49">
        <f>COUNTIFS('Match Log'!$D$4:$D$810,$B15,'Match Log'!$E$4:$E$810,"Win")</f>
        <v>2</v>
      </c>
      <c r="F15" s="49">
        <f t="shared" si="1"/>
        <v>4</v>
      </c>
      <c r="G15" s="50">
        <f t="shared" si="2"/>
        <v>0.33333333333333331</v>
      </c>
      <c r="H15" s="51">
        <f>SUMIF('Match Log'!$D$4:$D$810,$B15,'Match Log'!$J$4:$J$810)</f>
        <v>-18.314471080884388</v>
      </c>
      <c r="I15" s="51">
        <f>SUMIF('Match Log'!$D$4:$D$810,$B15,'Match Log'!$K$4:$K$810)</f>
        <v>7.4668725457205358</v>
      </c>
      <c r="J15" s="51">
        <f>SUMIF('Match Log'!$D$4:$D$810,$B15,'Match Log'!$L$4:$L$810)</f>
        <v>20</v>
      </c>
      <c r="K15" s="49">
        <f>SUMPRODUCT(--(COUNTIFS('Match Log'!$D$4:$D$810,$B15,'Match Log'!$C$4:$C$810,Lists!$C$2:$C$24)&gt;0))</f>
        <v>2</v>
      </c>
      <c r="L15" s="49" t="str">
        <f>IF($D15=0,"No games",IF(AND($D15&gt;='Guide &amp; Settings'!$C$45,$K15&gt;='Guide &amp; Settings'!$C$46),"Eligible","Provisional"))</f>
        <v>Provisional</v>
      </c>
      <c r="M15" s="48">
        <f>IFERROR(INDEX(Calcs!$C$7:$C$20,MATCH($B15,Calcs!$A$7:$A$20,0)),"")</f>
        <v>1052.6078903755624</v>
      </c>
      <c r="N15" s="48">
        <f t="shared" si="3"/>
        <v>232.55053486021734</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0.1</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 t="shared" si="0"/>
        <v>12</v>
      </c>
      <c r="B16" s="47" t="str">
        <f>IFERROR(INDEX(Calcs!$A$7:$A$20,MATCH(LARGE(Calcs!$AI$7:$AI$20,ROW()-4),Calcs!$AI$7:$AI$20,0)),"")</f>
        <v>Dylan S</v>
      </c>
      <c r="C16" s="48">
        <f>IFERROR(INDEX(Calcs!$S$7:$S$20,MATCH($B16,Calcs!$A$7:$A$20,0)),"")</f>
        <v>1000</v>
      </c>
      <c r="D16" s="49">
        <f>COUNTIF('Match Log'!$D$4:$D$810,$B16)</f>
        <v>0</v>
      </c>
      <c r="E16" s="49">
        <f>COUNTIFS('Match Log'!$D$4:$D$810,$B16,'Match Log'!$E$4:$E$810,"Win")</f>
        <v>0</v>
      </c>
      <c r="F16" s="49">
        <f t="shared" si="1"/>
        <v>0</v>
      </c>
      <c r="G16" s="50" t="str">
        <f t="shared" si="2"/>
        <v/>
      </c>
      <c r="H16" s="51">
        <f>SUMIF('Match Log'!$D$4:$D$810,$B16,'Match Log'!$J$4:$J$810)</f>
        <v>0</v>
      </c>
      <c r="I16" s="51">
        <f>SUMIF('Match Log'!$D$4:$D$810,$B16,'Match Log'!$K$4:$K$810)</f>
        <v>0</v>
      </c>
      <c r="J16" s="51">
        <f>SUMIF('Match Log'!$D$4:$D$810,$B16,'Match Log'!$L$4:$L$810)</f>
        <v>0</v>
      </c>
      <c r="K16" s="49">
        <f>SUMPRODUCT(--(COUNTIFS('Match Log'!$D$4:$D$810,$B16,'Match Log'!$C$4:$C$810,Lists!$C$2:$C$24)&gt;0))</f>
        <v>0</v>
      </c>
      <c r="L16" s="49" t="str">
        <f>IF($D16=0,"No games",IF(AND($D16&gt;='Guide &amp; Settings'!$C$45,$K16&gt;='Guide &amp; Settings'!$C$46),"Eligible","Provisional"))</f>
        <v>No games</v>
      </c>
      <c r="M16" s="48" t="str">
        <f>IFERROR(INDEX(Calcs!$C$7:$C$20,MATCH($B16,Calcs!$A$7:$A$20,0)),"")</f>
        <v/>
      </c>
      <c r="N16" s="48">
        <f t="shared" si="3"/>
        <v>241.70293632505332</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 t="shared" si="0"/>
        <v>13</v>
      </c>
      <c r="B17" s="47" t="str">
        <f>IFERROR(INDEX(Calcs!$A$7:$A$20,MATCH(LARGE(Calcs!$AI$7:$AI$20,ROW()-4),Calcs!$AI$7:$AI$20,0)),"")</f>
        <v>David</v>
      </c>
      <c r="C17" s="48">
        <f>IFERROR(INDEX(Calcs!$S$7:$S$20,MATCH($B17,Calcs!$A$7:$A$20,0)),"")</f>
        <v>973.19705892757202</v>
      </c>
      <c r="D17" s="49">
        <f>COUNTIF('Match Log'!$D$4:$D$810,$B17)</f>
        <v>15</v>
      </c>
      <c r="E17" s="49">
        <f>COUNTIFS('Match Log'!$D$4:$D$810,$B17,'Match Log'!$E$4:$E$810,"Win")</f>
        <v>4</v>
      </c>
      <c r="F17" s="49">
        <f t="shared" si="1"/>
        <v>11</v>
      </c>
      <c r="G17" s="50">
        <f t="shared" si="2"/>
        <v>0.26666666666666666</v>
      </c>
      <c r="H17" s="51">
        <f>SUMIF('Match Log'!$D$4:$D$810,$B17,'Match Log'!$J$4:$J$810)</f>
        <v>-47.265488810678391</v>
      </c>
      <c r="I17" s="51">
        <f>SUMIF('Match Log'!$D$4:$D$810,$B17,'Match Log'!$K$4:$K$810)</f>
        <v>-10.537452261749699</v>
      </c>
      <c r="J17" s="51">
        <f>SUMIF('Match Log'!$D$4:$D$810,$B17,'Match Log'!$L$4:$L$810)</f>
        <v>31</v>
      </c>
      <c r="K17" s="49">
        <f>SUMPRODUCT(--(COUNTIFS('Match Log'!$D$4:$D$810,$B17,'Match Log'!$C$4:$C$810,Lists!$C$2:$C$24)&gt;0))</f>
        <v>4</v>
      </c>
      <c r="L17" s="49" t="str">
        <f>IF($D17=0,"No games",IF(AND($D17&gt;='Guide &amp; Settings'!$C$45,$K17&gt;='Guide &amp; Settings'!$C$46),"Eligible","Provisional"))</f>
        <v>Eligible</v>
      </c>
      <c r="M17" s="48">
        <f>IFERROR(INDEX(Calcs!$C$7:$C$20,MATCH($B17,Calcs!$A$7:$A$20,0)),"")</f>
        <v>1062.2347240382487</v>
      </c>
      <c r="N17" s="48">
        <f t="shared" si="3"/>
        <v>268.5058773974813</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v>
      </c>
      <c r="R17" s="49" t="str">
        <f>IFERROR(IF(INDEX(Calcs!$P$7:$P$20,MATCH($B17,Calcs!$A$7:$A$20,0))=0,"—",TEXT(INDEX(Calcs!$P$7:$P$20,MATCH($B17,Calcs!$A$7:$A$20,0)),"d mmm")),"")</f>
        <v>11 Jul</v>
      </c>
      <c r="S17" s="49">
        <f>IFERROR(ROUND(INDEX(Calcs!$Q$7:$Q$20,MATCH($B17,Calcs!$A$7:$A$20,0)),1),"")</f>
        <v>0.1</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 t="shared" si="0"/>
        <v>14</v>
      </c>
      <c r="B18" s="47" t="str">
        <f>IFERROR(INDEX(Calcs!$A$7:$A$20,MATCH(LARGE(Calcs!$AI$7:$AI$20,ROW()-4),Calcs!$AI$7:$AI$20,0)),"")</f>
        <v>Cody</v>
      </c>
      <c r="C18" s="48">
        <f>IFERROR(INDEX(Calcs!$S$7:$S$20,MATCH($B18,Calcs!$A$7:$A$20,0)),"")</f>
        <v>893.15761519837804</v>
      </c>
      <c r="D18" s="49">
        <f>COUNTIF('Match Log'!$D$4:$D$810,$B18)</f>
        <v>13</v>
      </c>
      <c r="E18" s="49">
        <f>COUNTIFS('Match Log'!$D$4:$D$810,$B18,'Match Log'!$E$4:$E$810,"Win")</f>
        <v>2</v>
      </c>
      <c r="F18" s="49">
        <f t="shared" si="1"/>
        <v>11</v>
      </c>
      <c r="G18" s="50">
        <f t="shared" si="2"/>
        <v>0.15384615384615385</v>
      </c>
      <c r="H18" s="51">
        <f>SUMIF('Match Log'!$D$4:$D$810,$B18,'Match Log'!$J$4:$J$810)</f>
        <v>-81.229281767466446</v>
      </c>
      <c r="I18" s="51">
        <f>SUMIF('Match Log'!$D$4:$D$810,$B18,'Match Log'!$K$4:$K$810)</f>
        <v>-33.613103034155223</v>
      </c>
      <c r="J18" s="51">
        <f>SUMIF('Match Log'!$D$4:$D$810,$B18,'Match Log'!$L$4:$L$810)</f>
        <v>8</v>
      </c>
      <c r="K18" s="49">
        <f>SUMPRODUCT(--(COUNTIFS('Match Log'!$D$4:$D$810,$B18,'Match Log'!$C$4:$C$810,Lists!$C$2:$C$24)&gt;0))</f>
        <v>3</v>
      </c>
      <c r="L18" s="49" t="str">
        <f>IF($D18=0,"No games",IF(AND($D18&gt;='Guide &amp; Settings'!$C$45,$K18&gt;='Guide &amp; Settings'!$C$46),"Eligible","Provisional"))</f>
        <v>Eligible</v>
      </c>
      <c r="M18" s="48">
        <f>IFERROR(INDEX(Calcs!$C$7:$C$20,MATCH($B18,Calcs!$A$7:$A$20,0)),"")</f>
        <v>1058.1253066891838</v>
      </c>
      <c r="N18" s="48">
        <f t="shared" si="3"/>
        <v>348.54532112667528</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3.9</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IFERROR(INDEX(Dashboard!$C$5:$C$18,MATCH($B$3,Dashboard!$B$5:$B$18,0)),"")</f>
        <v>1124.7994137993414</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IFERROR(INDEX(Dashboard!$E$5:$E$18,MATCH($B$3,Dashboard!$B$5:$B$18,0))&amp;"–"&amp;INDEX(Dashboard!$F$5:$F$18,MATCH($B$3,Dashboard!$B$5:$B$18,0)),"")</f>
        <v>34–37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IFERROR(INDEX(Dashboard!$G$5:$G$18,MATCH($B$3,Dashboard!$B$5:$B$18,0)),"")</f>
        <v>0.47887323943661969</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IFERROR(INDEX(Dashboard!$D$5:$D$18,MATCH($B$3,Dashboard!$B$5:$B$18,0)),"")</f>
        <v>71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1048.6561508961991</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W4</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LWWWW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116.90352252571188</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IFERROR(TEXT(INDEX(Calcs!$P$7:$P$20,MATCH($B$3,Calcs!$A$7:$A$20,0)),"d mmm")&amp;"  ·  "&amp;INDEX(Calcs!$T$7:$T$20,MATCH($B$3,Calcs!$A$7:$A$20,0)),"")</f>
        <v>12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905.69410378055966</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IFERROR(ROUND(INDEX(Calcs!$AB$7:$AB$20,MATCH($B$3,Calcs!$A$7:$A$20,0)),0),"")</f>
        <v>76</v>
      </c>
      <c r="D23" s="56" t="s">
        <v>208</v>
      </c>
      <c r="E23" s="36">
        <f>COUNTIFS('Match Log'!$D$4:$D$810,$B$3,'Match Log'!$C$4:$C$810,$D23)</f>
        <v>9</v>
      </c>
      <c r="F23" s="36">
        <f>COUNTIFS('Match Log'!$D$4:$D$810,$B$3,'Match Log'!$C$4:$C$810,$D23,'Match Log'!$E$4:$E$810,"Win")</f>
        <v>6</v>
      </c>
      <c r="G23" s="57">
        <f t="shared" si="0"/>
        <v>0.66666666666666663</v>
      </c>
      <c r="H23" s="58">
        <f>IFERROR(IF($E23=0,"",INDEX('Sport Records'!$B$100:$O$122,MATCH($D23,'Sport Records'!$A$100:$A$122,0),MATCH($B$3,'Sport Records'!$B$99:$O$99,0))),"")</f>
        <v>1023.5480887963037</v>
      </c>
    </row>
    <row r="24" spans="1:8" x14ac:dyDescent="0.2">
      <c r="A24" s="64" t="s">
        <v>209</v>
      </c>
      <c r="B24" s="65">
        <f>IFERROR(ROUND(INDEX(Calcs!$W$7:$W$20,MATCH($B$3,Calcs!$A$7:$A$20,0)),0),"")</f>
        <v>81</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IFERROR(ROUND(INDEX(Calcs!$X$7:$X$20,MATCH($B$3,Calcs!$A$7:$A$20,0)),0),"")</f>
        <v>48</v>
      </c>
      <c r="D25" s="56" t="s">
        <v>447</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IFERROR(ROUND(INDEX(Calcs!$Y$7:$Y$20,MATCH($B$3,Calcs!$A$7:$A$20,0)),0),"")</f>
        <v>100</v>
      </c>
      <c r="D26" s="56" t="s">
        <v>448</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80</v>
      </c>
      <c r="D27" s="56" t="s">
        <v>449</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1</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1</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2</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2</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23</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158</v>
      </c>
    </row>
    <row r="4" spans="1:18" ht="18.75" customHeight="1" x14ac:dyDescent="0.2">
      <c r="A4" s="73" t="s">
        <v>223</v>
      </c>
      <c r="C4" s="159" t="str">
        <f>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0</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3</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10</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4</v>
      </c>
      <c r="E26" s="77">
        <f>COUNTIFS('Match Log'!$D$4:$D$819,E$7,'Match Log'!$C$4:$C$819,$A26)</f>
        <v>0</v>
      </c>
      <c r="F26" s="77">
        <f>COUNTIFS('Match Log'!$D$4:$D$819,F$7,'Match Log'!$C$4:$C$819,$A26)</f>
        <v>4</v>
      </c>
      <c r="G26" s="77">
        <f>COUNTIFS('Match Log'!$D$4:$D$819,G$7,'Match Log'!$C$4:$C$819,$A26)</f>
        <v>9</v>
      </c>
      <c r="H26" s="77">
        <f>COUNTIFS('Match Log'!$D$4:$D$819,H$7,'Match Log'!$C$4:$C$819,$A26)</f>
        <v>0</v>
      </c>
      <c r="I26" s="77">
        <f>COUNTIFS('Match Log'!$D$4:$D$819,I$7,'Match Log'!$C$4:$C$819,$A26)</f>
        <v>8</v>
      </c>
      <c r="J26" s="77">
        <f>COUNTIFS('Match Log'!$D$4:$D$819,J$7,'Match Log'!$C$4:$C$819,$A26)</f>
        <v>0</v>
      </c>
      <c r="K26" s="77">
        <f>COUNTIFS('Match Log'!$D$4:$D$819,K$7,'Match Log'!$C$4:$C$819,$A26)</f>
        <v>0</v>
      </c>
      <c r="L26" s="77">
        <f>COUNTIFS('Match Log'!$D$4:$D$819,L$7,'Match Log'!$C$4:$C$819,$A26)</f>
        <v>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17</v>
      </c>
      <c r="Q26" s="79" t="str">
        <f t="shared" si="0"/>
        <v>Shawn</v>
      </c>
      <c r="R26" s="78">
        <f t="shared" si="1"/>
        <v>6</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447</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448</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449</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0</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6</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0</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447</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448</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449</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t="str">
        <f t="shared" si="15"/>
        <v/>
      </c>
      <c r="E71" s="80" t="str">
        <f t="shared" si="15"/>
        <v/>
      </c>
      <c r="F71" s="80" t="str">
        <f t="shared" si="15"/>
        <v/>
      </c>
      <c r="G71" s="80">
        <f t="shared" si="15"/>
        <v>0</v>
      </c>
      <c r="H71" s="80" t="str">
        <f t="shared" si="15"/>
        <v/>
      </c>
      <c r="I71" s="80">
        <f t="shared" si="15"/>
        <v>0.66666666666666663</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1</v>
      </c>
      <c r="E76" s="80" t="str">
        <f t="shared" si="20"/>
        <v/>
      </c>
      <c r="F76" s="80">
        <f t="shared" si="20"/>
        <v>0.5</v>
      </c>
      <c r="G76" s="80">
        <f t="shared" si="20"/>
        <v>0.66666666666666663</v>
      </c>
      <c r="H76" s="80" t="str">
        <f t="shared" si="20"/>
        <v/>
      </c>
      <c r="I76" s="80">
        <f t="shared" si="20"/>
        <v>0.25</v>
      </c>
      <c r="J76" s="80" t="str">
        <f t="shared" si="20"/>
        <v/>
      </c>
      <c r="K76" s="80" t="str">
        <f t="shared" si="20"/>
        <v/>
      </c>
      <c r="L76" s="80" t="str">
        <f t="shared" si="20"/>
        <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447</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448</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449</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IFERROR(INDEX(Calcs!$S$7:$S$20,MATCH($A83,Calcs!$A$7:$A$20,0)),"")</f>
        <v>1241.7029363250533</v>
      </c>
      <c r="G83" s="77" t="str">
        <f>IF($B83=0,"No games",IF(AND($B83&gt;='Guide &amp; Settings'!$C$45,$C83&gt;='Guide &amp; Settings'!$C$46),"Eligible","Provisional"))</f>
        <v>Eligible</v>
      </c>
      <c r="S83" s="83">
        <f>IF($G83="Eligible",IF(IFERROR(INDEX(Calcs!$T$7:$T$20,MATCH($A83,Calcs!$A$7:$A$20,0)),"")="Inactive",-1,$F83),-1)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IFERROR(INDEX(Calcs!$S$7:$S$20,MATCH($A84,Calcs!$A$7:$A$20,0)),"")</f>
        <v>1063.3497487715442</v>
      </c>
      <c r="G84" s="77" t="str">
        <f>IF($B84=0,"No games",IF(AND($B84&gt;='Guide &amp; Settings'!$C$45,$C84&gt;='Guide &amp; Settings'!$C$46),"Eligible","Provisional"))</f>
        <v>Eligible</v>
      </c>
      <c r="S84" s="83">
        <f>IF($G84="Eligible",IF(IFERROR(INDEX(Calcs!$T$7:$T$20,MATCH($A84,Calcs!$A$7:$A$20,0)),"")="Inactive",-1,$F84),-1)</f>
        <v>1063.3497487715442</v>
      </c>
    </row>
    <row r="85" spans="1:19" ht="15" customHeight="1" x14ac:dyDescent="0.2">
      <c r="A85" s="76" t="s">
        <v>168</v>
      </c>
      <c r="B85" s="77">
        <f>COUNTIF('Match Log'!$D$4:$D$819,$A85)</f>
        <v>18</v>
      </c>
      <c r="C85" s="77">
        <f>SUMPRODUCT(--(COUNTIFS('Match Log'!$D$4:$D$819,$A85,'Match Log'!$C$4:$C$819,Lists!$C$2:$C$24)&gt;0))</f>
        <v>5</v>
      </c>
      <c r="D85" s="77">
        <f>COUNTIFS('Match Log'!$D$4:$D$819,$A85,'Match Log'!$E$4:$E$819,"Win")</f>
        <v>10</v>
      </c>
      <c r="E85" s="80">
        <f t="shared" si="25"/>
        <v>0.55555555555555558</v>
      </c>
      <c r="F85" s="82">
        <f>IFERROR(INDEX(Calcs!$S$7:$S$20,MATCH($A85,Calcs!$A$7:$A$20,0)),"")</f>
        <v>1060.3667074371201</v>
      </c>
      <c r="G85" s="77" t="str">
        <f>IF($B85=0,"No games",IF(AND($B85&gt;='Guide &amp; Settings'!$C$45,$C85&gt;='Guide &amp; Settings'!$C$46),"Eligible","Provisional"))</f>
        <v>Eligible</v>
      </c>
      <c r="S85" s="83">
        <f>IF($G85="Eligible",IF(IFERROR(INDEX(Calcs!$T$7:$T$20,MATCH($A85,Calcs!$A$7:$A$20,0)),"")="Inactive",-1,$F85),-1)</f>
        <v>1060.3667074371201</v>
      </c>
    </row>
    <row r="86" spans="1:19" ht="15" customHeight="1" x14ac:dyDescent="0.2">
      <c r="A86" s="76" t="s">
        <v>169</v>
      </c>
      <c r="B86" s="77">
        <f>COUNTIF('Match Log'!$D$4:$D$819,$A86)</f>
        <v>44</v>
      </c>
      <c r="C86" s="77">
        <f>SUMPRODUCT(--(COUNTIFS('Match Log'!$D$4:$D$819,$A86,'Match Log'!$C$4:$C$819,Lists!$C$2:$C$24)&gt;0))</f>
        <v>8</v>
      </c>
      <c r="D86" s="77">
        <f>COUNTIFS('Match Log'!$D$4:$D$819,$A86,'Match Log'!$E$4:$E$819,"Win")</f>
        <v>20</v>
      </c>
      <c r="E86" s="80">
        <f t="shared" si="25"/>
        <v>0.45454545454545453</v>
      </c>
      <c r="F86" s="82">
        <f>IFERROR(INDEX(Calcs!$S$7:$S$20,MATCH($A86,Calcs!$A$7:$A$20,0)),"")</f>
        <v>1062.8275894279936</v>
      </c>
      <c r="G86" s="77" t="str">
        <f>IF($B86=0,"No games",IF(AND($B86&gt;='Guide &amp; Settings'!$C$45,$C86&gt;='Guide &amp; Settings'!$C$46),"Eligible","Provisional"))</f>
        <v>Eligible</v>
      </c>
      <c r="S86" s="83">
        <f>IF($G86="Eligible",IF(IFERROR(INDEX(Calcs!$T$7:$T$20,MATCH($A86,Calcs!$A$7:$A$20,0)),"")="Inactive",-1,$F86),-1)</f>
        <v>1062.8275894279936</v>
      </c>
    </row>
    <row r="87" spans="1:19" ht="15" customHeight="1" x14ac:dyDescent="0.2">
      <c r="A87" s="76" t="s">
        <v>170</v>
      </c>
      <c r="B87" s="77">
        <f>COUNTIF('Match Log'!$D$4:$D$819,$A87)</f>
        <v>59</v>
      </c>
      <c r="C87" s="77">
        <f>SUMPRODUCT(--(COUNTIFS('Match Log'!$D$4:$D$819,$A87,'Match Log'!$C$4:$C$819,Lists!$C$2:$C$24)&gt;0))</f>
        <v>14</v>
      </c>
      <c r="D87" s="77">
        <f>COUNTIFS('Match Log'!$D$4:$D$819,$A87,'Match Log'!$E$4:$E$819,"Win")</f>
        <v>25</v>
      </c>
      <c r="E87" s="80">
        <f t="shared" si="25"/>
        <v>0.42372881355932202</v>
      </c>
      <c r="F87" s="82">
        <f>IFERROR(INDEX(Calcs!$S$7:$S$20,MATCH($A87,Calcs!$A$7:$A$20,0)),"")</f>
        <v>1029.4526731850108</v>
      </c>
      <c r="G87" s="77" t="str">
        <f>IF($B87=0,"No games",IF(AND($B87&gt;='Guide &amp; Settings'!$C$45,$C87&gt;='Guide &amp; Settings'!$C$46),"Eligible","Provisional"))</f>
        <v>Eligible</v>
      </c>
      <c r="S87" s="83">
        <f>IF($G87="Eligible",IF(IFERROR(INDEX(Calcs!$T$7:$T$20,MATCH($A87,Calcs!$A$7:$A$20,0)),"")="Inactive",-1,$F87),-1)</f>
        <v>1029.4526731850108</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IFERROR(INDEX(Calcs!$S$7:$S$20,MATCH($A88,Calcs!$A$7:$A$20,0)),"")</f>
        <v>1040.1422573837137</v>
      </c>
      <c r="G88" s="77" t="str">
        <f>IF($B88=0,"No games",IF(AND($B88&gt;='Guide &amp; Settings'!$C$45,$C88&gt;='Guide &amp; Settings'!$C$46),"Eligible","Provisional"))</f>
        <v>Eligible</v>
      </c>
      <c r="S88" s="83">
        <f>IF($G88="Eligible",IF(IFERROR(INDEX(Calcs!$T$7:$T$20,MATCH($A88,Calcs!$A$7:$A$20,0)),"")="Inactive",-1,$F88),-1)</f>
        <v>1040.1422573837137</v>
      </c>
    </row>
    <row r="89" spans="1:19" ht="15" customHeight="1" x14ac:dyDescent="0.2">
      <c r="A89" s="76" t="s">
        <v>134</v>
      </c>
      <c r="B89" s="77">
        <f>COUNTIF('Match Log'!$D$4:$D$819,$A89)</f>
        <v>71</v>
      </c>
      <c r="C89" s="77">
        <f>SUMPRODUCT(--(COUNTIFS('Match Log'!$D$4:$D$819,$A89,'Match Log'!$C$4:$C$819,Lists!$C$2:$C$24)&gt;0))</f>
        <v>10</v>
      </c>
      <c r="D89" s="77">
        <f>COUNTIFS('Match Log'!$D$4:$D$819,$A89,'Match Log'!$E$4:$E$819,"Win")</f>
        <v>34</v>
      </c>
      <c r="E89" s="80">
        <f t="shared" si="25"/>
        <v>0.47887323943661969</v>
      </c>
      <c r="F89" s="82">
        <f>IFERROR(INDEX(Calcs!$S$7:$S$20,MATCH($A89,Calcs!$A$7:$A$20,0)),"")</f>
        <v>1124.7994137993414</v>
      </c>
      <c r="G89" s="77" t="str">
        <f>IF($B89=0,"No games",IF(AND($B89&gt;='Guide &amp; Settings'!$C$45,$C89&gt;='Guide &amp; Settings'!$C$46),"Eligible","Provisional"))</f>
        <v>Eligible</v>
      </c>
      <c r="S89" s="83">
        <f>IF($G89="Eligible",IF(IFERROR(INDEX(Calcs!$T$7:$T$20,MATCH($A89,Calcs!$A$7:$A$20,0)),"")="Inactive",-1,$F89),-1)</f>
        <v>1124.7994137993414</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IFERROR(INDEX(Calcs!$S$7:$S$20,MATCH($A90,Calcs!$A$7:$A$20,0)),"")</f>
        <v>1029.5175965335138</v>
      </c>
      <c r="G90" s="77" t="str">
        <f>IF($B90=0,"No games",IF(AND($B90&gt;='Guide &amp; Settings'!$C$45,$C90&gt;='Guide &amp; Settings'!$C$46),"Eligible","Provisional"))</f>
        <v>Eligible</v>
      </c>
      <c r="S90" s="83">
        <f>IF($G90="Eligible",IF(IFERROR(INDEX(Calcs!$T$7:$T$20,MATCH($A90,Calcs!$A$7:$A$20,0)),"")="Inactive",-1,$F90),-1)</f>
        <v>1029.5175965335138</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IFERROR(INDEX(Calcs!$S$7:$S$20,MATCH($A91,Calcs!$A$7:$A$20,0)),"")</f>
        <v>1009.152401464836</v>
      </c>
      <c r="G91" s="77" t="str">
        <f>IF($B91=0,"No games",IF(AND($B91&gt;='Guide &amp; Settings'!$C$45,$C91&gt;='Guide &amp; Settings'!$C$46),"Eligible","Provisional"))</f>
        <v>Provisional</v>
      </c>
      <c r="S91" s="83">
        <f>IF($G91="Eligible",IF(IFERROR(INDEX(Calcs!$T$7:$T$20,MATCH($A91,Calcs!$A$7:$A$20,0)),"")="Inactive",-1,$F91),-1)</f>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IFERROR(INDEX(Calcs!$S$7:$S$20,MATCH($A92,Calcs!$A$7:$A$20,0)),"")</f>
        <v>1052.4264189977837</v>
      </c>
      <c r="G92" s="77" t="str">
        <f>IF($B92=0,"No games",IF(AND($B92&gt;='Guide &amp; Settings'!$C$45,$C92&gt;='Guide &amp; Settings'!$C$46),"Eligible","Provisional"))</f>
        <v>Provisional</v>
      </c>
      <c r="S92" s="83">
        <f>IF($G92="Eligible",IF(IFERROR(INDEX(Calcs!$T$7:$T$20,MATCH($A92,Calcs!$A$7:$A$20,0)),"")="Inactive",-1,$F92),-1)</f>
        <v>-1</v>
      </c>
    </row>
    <row r="93" spans="1:19" ht="15" customHeight="1" x14ac:dyDescent="0.2">
      <c r="A93" s="76" t="s">
        <v>173</v>
      </c>
      <c r="B93" s="77">
        <f>COUNTIF('Match Log'!$D$4:$D$819,$A93)</f>
        <v>11</v>
      </c>
      <c r="C93" s="77">
        <f>SUMPRODUCT(--(COUNTIFS('Match Log'!$D$4:$D$819,$A93,'Match Log'!$C$4:$C$819,Lists!$C$2:$C$24)&gt;0))</f>
        <v>7</v>
      </c>
      <c r="D93" s="77">
        <f>COUNTIFS('Match Log'!$D$4:$D$819,$A93,'Match Log'!$E$4:$E$819,"Win")</f>
        <v>6</v>
      </c>
      <c r="E93" s="80">
        <f t="shared" si="25"/>
        <v>0.54545454545454541</v>
      </c>
      <c r="F93" s="82">
        <f>IFERROR(INDEX(Calcs!$S$7:$S$20,MATCH($A93,Calcs!$A$7:$A$20,0)),"")</f>
        <v>1041.9075825481382</v>
      </c>
      <c r="G93" s="77" t="str">
        <f>IF($B93=0,"No games",IF(AND($B93&gt;='Guide &amp; Settings'!$C$45,$C93&gt;='Guide &amp; Settings'!$C$46),"Eligible","Provisional"))</f>
        <v>Eligible</v>
      </c>
      <c r="S93" s="83">
        <f>IF($G93="Eligible",IF(IFERROR(INDEX(Calcs!$T$7:$T$20,MATCH($A93,Calcs!$A$7:$A$20,0)),"")="Inactive",-1,$F93),-1)</f>
        <v>1041.9075825481382</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IFERROR(INDEX(Calcs!$S$7:$S$20,MATCH($A95,Calcs!$A$7:$A$20,0)),"")</f>
        <v>973.19705892757202</v>
      </c>
      <c r="G95" s="77" t="str">
        <f>IF($B95=0,"No games",IF(AND($B95&gt;='Guide &amp; Settings'!$C$45,$C95&gt;='Guide &amp; Settings'!$C$46),"Eligible","Provisional"))</f>
        <v>Eligible</v>
      </c>
      <c r="S95" s="83">
        <f>IF($G95="Eligible",IF(IFERROR(INDEX(Calcs!$T$7:$T$20,MATCH($A95,Calcs!$A$7:$A$20,0)),"")="Inactive",-1,$F95),-1)</f>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IFERROR(INDEX(Calcs!$S$7:$S$20,MATCH($A96,Calcs!$A$7:$A$20,0)),"")</f>
        <v>893.15761519837804</v>
      </c>
      <c r="G96" s="77" t="str">
        <f>IF($B96=0,"No games",IF(AND($B96&gt;='Guide &amp; Settings'!$C$45,$C96&gt;='Guide &amp; Settings'!$C$46),"Eligible","Provisional"))</f>
        <v>Eligible</v>
      </c>
      <c r="S96" s="83">
        <f>IF($G96="Eligible",IF(IFERROR(INDEX(Calcs!$T$7:$T$20,MATCH($A96,Calcs!$A$7:$A$20,0)),"")="Inactive",-1,$F96),-1)</f>
        <v>893.15761519837804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7">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7"/>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7"/>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7"/>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7"/>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7"/>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7"/>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7"/>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7"/>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7"/>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7"/>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7"/>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7"/>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t="str">
        <f>IFERROR(LOOKUP(2,1/(('Match Log'!$D$4:$D$819=D$99)*('Match Log'!$C$4:$C$819=$A113)),'Match Log'!$AB$4:$AB$819),"")</f>
        <v/>
      </c>
      <c r="E113" s="82" t="str">
        <f>IFERROR(LOOKUP(2,1/(('Match Log'!$D$4:$D$819=E$99)*('Match Log'!$C$4:$C$819=$A113)),'Match Log'!$AB$4:$AB$819),"")</f>
        <v/>
      </c>
      <c r="F113" s="82" t="str">
        <f>IFERROR(LOOKUP(2,1/(('Match Log'!$D$4:$D$819=F$99)*('Match Log'!$C$4:$C$819=$A113)),'Match Log'!$AB$4:$AB$819),"")</f>
        <v/>
      </c>
      <c r="G113" s="82">
        <f>IFERROR(LOOKUP(2,1/(('Match Log'!$D$4:$D$819=G$99)*('Match Log'!$C$4:$C$819=$A113)),'Match Log'!$AB$4:$AB$819),"")</f>
        <v>905.69410378055966</v>
      </c>
      <c r="H113" s="82" t="str">
        <f>IFERROR(LOOKUP(2,1/(('Match Log'!$D$4:$D$819=H$99)*('Match Log'!$C$4:$C$819=$A113)),'Match Log'!$AB$4:$AB$819),"")</f>
        <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1040.8607146992172</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7"/>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7"/>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7"/>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7"/>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7"/>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1055.8009426289977</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1023.5480887963037</v>
      </c>
      <c r="H118" s="82" t="str">
        <f>IFERROR(LOOKUP(2,1/(('Match Log'!$D$4:$D$819=H$99)*('Match Log'!$C$4:$C$819=$A118)),'Match Log'!$AB$4:$AB$819),"")</f>
        <v/>
      </c>
      <c r="I118" s="82">
        <f>IFERROR(LOOKUP(2,1/(('Match Log'!$D$4:$D$819=I$99)*('Match Log'!$C$4:$C$819=$A118)),'Match Log'!$AB$4:$AB$819),"")</f>
        <v>947.76142264977557</v>
      </c>
      <c r="J118" s="82" t="str">
        <f>IFERROR(LOOKUP(2,1/(('Match Log'!$D$4:$D$819=J$99)*('Match Log'!$C$4:$C$819=$A118)),'Match Log'!$AB$4:$AB$819),"")</f>
        <v/>
      </c>
      <c r="K118" s="82" t="str">
        <f>IFERROR(LOOKUP(2,1/(('Match Log'!$D$4:$D$819=K$99)*('Match Log'!$C$4:$C$819=$A118)),'Match Log'!$AB$4:$AB$819),"")</f>
        <v/>
      </c>
      <c r="L118" s="82" t="str">
        <f>IFERROR(LOOKUP(2,1/(('Match Log'!$D$4:$D$819=L$99)*('Match Log'!$C$4:$C$819=$A118)),'Match Log'!$AB$4:$AB$819),"")</f>
        <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7"/>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447</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448</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449</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71</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14</v>
      </c>
      <c r="C22" s="39" t="str">
        <f>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4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117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4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71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158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1125</v>
      </c>
      <c r="D18" s="105" t="str">
        <f>IF(2=1,"— leader —",ROUND(MAX(Calcs!$B$7:$B$20)-LARGE(Calcs!$B$7:$B$20,2),0)&amp;" behind")</f>
        <v>117 behind</v>
      </c>
      <c r="E18" s="99"/>
      <c r="F18" s="26"/>
    </row>
    <row r="19" spans="1:6" ht="15" customHeight="1" x14ac:dyDescent="0.2">
      <c r="A19" s="104">
        <v>3</v>
      </c>
      <c r="B19" s="55" t="str">
        <f>INDEX(Calcs!$A$7:$A$20,MATCH(LARGE(Calcs!$B$7:$B$20,3),Calcs!$B$7:$B$20,0))</f>
        <v>Josh</v>
      </c>
      <c r="C19" s="104">
        <f>ROUND(LARGE(Calcs!$B$7:$B$20,3),0)</f>
        <v>1063</v>
      </c>
      <c r="D19" s="105" t="str">
        <f>IF(3=1,"— leader —",ROUND(MAX(Calcs!$B$7:$B$20)-LARGE(Calcs!$B$7:$B$20,3),0)&amp;" behind")</f>
        <v>178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W</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W</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L</v>
      </c>
      <c r="E46" s="107" t="str">
        <f>IFERROR(IF(INDEX('Match Log'!$E$1:$E$810,_xlfn.AGGREGATE(14,6,ROW('Match Log'!$A$4:$A$810)/('Match Log'!$D$4:$D$810=$A46),7))="Win","W","L"),"")</f>
        <v>L</v>
      </c>
      <c r="F46" s="107" t="str">
        <f>IFERROR(IF(INDEX('Match Log'!$E$1:$E$810,_xlfn.AGGREGATE(14,6,ROW('Match Log'!$A$4:$A$810)/('Match Log'!$D$4:$D$810=$A46),6))="Win","W","L"),"")</f>
        <v>W</v>
      </c>
      <c r="G46" s="107" t="str">
        <f>IFERROR(IF(INDEX('Match Log'!$E$1:$E$810,_xlfn.AGGREGATE(14,6,ROW('Match Log'!$A$4:$A$810)/('Match Log'!$D$4:$D$810=$A46),5))="Win","W","L"),"")</f>
        <v>W</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W</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W</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447</v>
      </c>
      <c r="W57" s="26" t="s">
        <v>448</v>
      </c>
      <c r="X57" s="26" t="s">
        <v>449</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t="str">
        <f>IFERROR(INDEX('Sport Records'!$B$58:$O$80,MATCH($O$57,'Sport Records'!$A$58:$A$80,0),MATCH($A60,'Sport Records'!$B$57:$O$57,0)),"")</f>
        <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1</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t="str">
        <f>IFERROR(INDEX('Sport Records'!$B$58:$O$80,MATCH($T$57,'Sport Records'!$A$58:$A$80,0),MATCH($A68,'Sport Records'!$B$57:$O$57,0)),"")</f>
        <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37" activePane="bottomRight" state="frozen"/>
      <selection pane="topRight" activeCell="F1" sqref="F1"/>
      <selection pane="bottomLeft" activeCell="A244" sqref="A244"/>
      <selection pane="bottomRight" activeCell="E367" sqref="E367"/>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447</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447</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447</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447</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447</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447</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447</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447</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448</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448</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449</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449</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449</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IF($D368="","",IF(SUMPRODUCT(MAX(($D$4:$D$810=$D368)*($B$4:$B$810&lt;$B368)*$B$4:$B$810))=0,0,IF(($B368-MAX(SUMPRODUCT(MAX(($D$4:$D$810=$D368)*($B$4:$B$810&lt;$B368)*$B$4:$B$810)),'Guide &amp; Settings'!$C$50))/7-'Guide &amp; Settings'!$C$48&gt;=0,(INT(($B368-MAX(SUMPRODUCT(MAX(($D$4:$D$810=$D368)*($B$4:$B$810&lt;$B368)*$B$4:$B$810)),'Guide &amp; Settings'!$C$50))/7-'Guide &amp; Settings'!$C$48)+1)*'Guide &amp; Settings'!$C$49,0)))</f>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IF($D369="","",IF(SUMPRODUCT(MAX(($D$4:$D$810=$D369)*($B$4:$B$810&lt;$B369)*$B$4:$B$810))=0,0,IF(($B369-MAX(SUMPRODUCT(MAX(($D$4:$D$810=$D369)*($B$4:$B$810&lt;$B369)*$B$4:$B$810)),'Guide &amp; Settings'!$C$50))/7-'Guide &amp; Settings'!$C$48&gt;=0,(INT(($B369-MAX(SUMPRODUCT(MAX(($D$4:$D$810=$D369)*($B$4:$B$810&lt;$B369)*$B$4:$B$810)),'Guide &amp; Settings'!$C$50))/7-'Guide &amp; Settings'!$C$48)+1)*'Guide &amp; Settings'!$C$49,0)))</f>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IF($D370="","",IF(SUMPRODUCT(MAX(($D$4:$D$810=$D370)*($B$4:$B$810&lt;$B370)*$B$4:$B$810))=0,0,IF(($B370-MAX(SUMPRODUCT(MAX(($D$4:$D$810=$D370)*($B$4:$B$810&lt;$B370)*$B$4:$B$810)),'Guide &amp; Settings'!$C$50))/7-'Guide &amp; Settings'!$C$48&gt;=0,(INT(($B370-MAX(SUMPRODUCT(MAX(($D$4:$D$810=$D370)*($B$4:$B$810&lt;$B370)*$B$4:$B$810)),'Guide &amp; Settings'!$C$50))/7-'Guide &amp; Settings'!$C$48)+1)*'Guide &amp; Settings'!$C$49,0)))</f>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IF($D371="","",IF(SUMPRODUCT(MAX(($D$4:$D$810=$D371)*($B$4:$B$810&lt;$B371)*$B$4:$B$810))=0,0,IF(($B371-MAX(SUMPRODUCT(MAX(($D$4:$D$810=$D371)*($B$4:$B$810&lt;$B371)*$B$4:$B$810)),'Guide &amp; Settings'!$C$50))/7-'Guide &amp; Settings'!$C$48&gt;=0,(INT(($B371-MAX(SUMPRODUCT(MAX(($D$4:$D$810=$D371)*($B$4:$B$810&lt;$B371)*$B$4:$B$810)),'Guide &amp; Settings'!$C$50))/7-'Guide &amp; Settings'!$C$48)+1)*'Guide &amp; Settings'!$C$49,0)))</f>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IF($D372="","",IF(SUMPRODUCT(MAX(($D$4:$D$810=$D372)*($B$4:$B$810&lt;$B372)*$B$4:$B$810))=0,0,IF(($B372-MAX(SUMPRODUCT(MAX(($D$4:$D$810=$D372)*($B$4:$B$810&lt;$B372)*$B$4:$B$810)),'Guide &amp; Settings'!$C$50))/7-'Guide &amp; Settings'!$C$48&gt;=0,(INT(($B372-MAX(SUMPRODUCT(MAX(($D$4:$D$810=$D372)*($B$4:$B$810&lt;$B372)*$B$4:$B$810)),'Guide &amp; Settings'!$C$50))/7-'Guide &amp; Settings'!$C$48)+1)*'Guide &amp; Settings'!$C$49,0)))</f>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IF($D373="","",IF(SUMPRODUCT(MAX(($D$4:$D$810=$D373)*($B$4:$B$810&lt;$B373)*$B$4:$B$810))=0,0,IF(($B373-MAX(SUMPRODUCT(MAX(($D$4:$D$810=$D373)*($B$4:$B$810&lt;$B373)*$B$4:$B$810)),'Guide &amp; Settings'!$C$50))/7-'Guide &amp; Settings'!$C$48&gt;=0,(INT(($B373-MAX(SUMPRODUCT(MAX(($D$4:$D$810=$D373)*($B$4:$B$810&lt;$B373)*$B$4:$B$810)),'Guide &amp; Settings'!$C$50))/7-'Guide &amp; Settings'!$C$48)+1)*'Guide &amp; Settings'!$C$49,0)))</f>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IF($D374="","",IF(SUMPRODUCT(MAX(($D$4:$D$810=$D374)*($B$4:$B$810&lt;$B374)*$B$4:$B$810))=0,0,IF(($B374-MAX(SUMPRODUCT(MAX(($D$4:$D$810=$D374)*($B$4:$B$810&lt;$B374)*$B$4:$B$810)),'Guide &amp; Settings'!$C$50))/7-'Guide &amp; Settings'!$C$48&gt;=0,(INT(($B374-MAX(SUMPRODUCT(MAX(($D$4:$D$810=$D374)*($B$4:$B$810&lt;$B374)*$B$4:$B$810)),'Guide &amp; Settings'!$C$50))/7-'Guide &amp; Settings'!$C$48)+1)*'Guide &amp; Settings'!$C$49,0)))</f>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IF($D375="","",IF(SUMPRODUCT(MAX(($D$4:$D$810=$D375)*($B$4:$B$810&lt;$B375)*$B$4:$B$810))=0,0,IF(($B375-MAX(SUMPRODUCT(MAX(($D$4:$D$810=$D375)*($B$4:$B$810&lt;$B375)*$B$4:$B$810)),'Guide &amp; Settings'!$C$50))/7-'Guide &amp; Settings'!$C$48&gt;=0,(INT(($B375-MAX(SUMPRODUCT(MAX(($D$4:$D$810=$D375)*($B$4:$B$810&lt;$B375)*$B$4:$B$810)),'Guide &amp; Settings'!$C$50))/7-'Guide &amp; Settings'!$C$48)+1)*'Guide &amp; Settings'!$C$49,0)))</f>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IF($D376="","",IF(SUMPRODUCT(MAX(($D$4:$D$810=$D376)*($B$4:$B$810&lt;$B376)*$B$4:$B$810))=0,0,IF(($B376-MAX(SUMPRODUCT(MAX(($D$4:$D$810=$D376)*($B$4:$B$810&lt;$B376)*$B$4:$B$810)),'Guide &amp; Settings'!$C$50))/7-'Guide &amp; Settings'!$C$48&gt;=0,(INT(($B376-MAX(SUMPRODUCT(MAX(($D$4:$D$810=$D376)*($B$4:$B$810&lt;$B376)*$B$4:$B$810)),'Guide &amp; Settings'!$C$50))/7-'Guide &amp; Settings'!$C$48)+1)*'Guide &amp; Settings'!$C$49,0)))</f>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IF($D377="","",IF(SUMPRODUCT(MAX(($D$4:$D$810=$D377)*($B$4:$B$810&lt;$B377)*$B$4:$B$810))=0,0,IF(($B377-MAX(SUMPRODUCT(MAX(($D$4:$D$810=$D377)*($B$4:$B$810&lt;$B377)*$B$4:$B$810)),'Guide &amp; Settings'!$C$50))/7-'Guide &amp; Settings'!$C$48&gt;=0,(INT(($B377-MAX(SUMPRODUCT(MAX(($D$4:$D$810=$D377)*($B$4:$B$810&lt;$B377)*$B$4:$B$810)),'Guide &amp; Settings'!$C$50))/7-'Guide &amp; Settings'!$C$48)+1)*'Guide &amp; Settings'!$C$49,0)))</f>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IF($D378="","",IF(SUMPRODUCT(MAX(($D$4:$D$810=$D378)*($B$4:$B$810&lt;$B378)*$B$4:$B$810))=0,0,IF(($B378-MAX(SUMPRODUCT(MAX(($D$4:$D$810=$D378)*($B$4:$B$810&lt;$B378)*$B$4:$B$810)),'Guide &amp; Settings'!$C$50))/7-'Guide &amp; Settings'!$C$48&gt;=0,(INT(($B378-MAX(SUMPRODUCT(MAX(($D$4:$D$810=$D378)*($B$4:$B$810&lt;$B378)*$B$4:$B$810)),'Guide &amp; Settings'!$C$50))/7-'Guide &amp; Settings'!$C$48)+1)*'Guide &amp; Settings'!$C$49,0)))</f>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IF($D379="","",IF(SUMPRODUCT(MAX(($D$4:$D$810=$D379)*($B$4:$B$810&lt;$B379)*$B$4:$B$810))=0,0,IF(($B379-MAX(SUMPRODUCT(MAX(($D$4:$D$810=$D379)*($B$4:$B$810&lt;$B379)*$B$4:$B$810)),'Guide &amp; Settings'!$C$50))/7-'Guide &amp; Settings'!$C$48&gt;=0,(INT(($B379-MAX(SUMPRODUCT(MAX(($D$4:$D$810=$D379)*($B$4:$B$810&lt;$B379)*$B$4:$B$810)),'Guide &amp; Settings'!$C$50))/7-'Guide &amp; Settings'!$C$48)+1)*'Guide &amp; Settings'!$C$49,0)))</f>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IF($D380="","",IF(SUMPRODUCT(MAX(($D$4:$D$810=$D380)*($B$4:$B$810&lt;$B380)*$B$4:$B$810))=0,0,IF(($B380-MAX(SUMPRODUCT(MAX(($D$4:$D$810=$D380)*($B$4:$B$810&lt;$B380)*$B$4:$B$810)),'Guide &amp; Settings'!$C$50))/7-'Guide &amp; Settings'!$C$48&gt;=0,(INT(($B380-MAX(SUMPRODUCT(MAX(($D$4:$D$810=$D380)*($B$4:$B$810&lt;$B380)*$B$4:$B$810)),'Guide &amp; Settings'!$C$50))/7-'Guide &amp; Settings'!$C$48)+1)*'Guide &amp; Settings'!$C$49,0)))</f>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IF($D381="","",IF(SUMPRODUCT(MAX(($D$4:$D$810=$D381)*($B$4:$B$810&lt;$B381)*$B$4:$B$810))=0,0,IF(($B381-MAX(SUMPRODUCT(MAX(($D$4:$D$810=$D381)*($B$4:$B$810&lt;$B381)*$B$4:$B$810)),'Guide &amp; Settings'!$C$50))/7-'Guide &amp; Settings'!$C$48&gt;=0,(INT(($B381-MAX(SUMPRODUCT(MAX(($D$4:$D$810=$D381)*($B$4:$B$810&lt;$B381)*$B$4:$B$810)),'Guide &amp; Settings'!$C$50))/7-'Guide &amp; Settings'!$C$48)+1)*'Guide &amp; Settings'!$C$49,0)))</f>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IF($D382="","",IF(SUMPRODUCT(MAX(($D$4:$D$810=$D382)*($B$4:$B$810&lt;$B382)*$B$4:$B$810))=0,0,IF(($B382-MAX(SUMPRODUCT(MAX(($D$4:$D$810=$D382)*($B$4:$B$810&lt;$B382)*$B$4:$B$810)),'Guide &amp; Settings'!$C$50))/7-'Guide &amp; Settings'!$C$48&gt;=0,(INT(($B382-MAX(SUMPRODUCT(MAX(($D$4:$D$810=$D382)*($B$4:$B$810&lt;$B382)*$B$4:$B$810)),'Guide &amp; Settings'!$C$50))/7-'Guide &amp; Settings'!$C$48)+1)*'Guide &amp; Settings'!$C$49,0)))</f>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IF($D383="","",IF(SUMPRODUCT(MAX(($D$4:$D$810=$D383)*($B$4:$B$810&lt;$B383)*$B$4:$B$810))=0,0,IF(($B383-MAX(SUMPRODUCT(MAX(($D$4:$D$810=$D383)*($B$4:$B$810&lt;$B383)*$B$4:$B$810)),'Guide &amp; Settings'!$C$50))/7-'Guide &amp; Settings'!$C$48&gt;=0,(INT(($B383-MAX(SUMPRODUCT(MAX(($D$4:$D$810=$D383)*($B$4:$B$810&lt;$B383)*$B$4:$B$810)),'Guide &amp; Settings'!$C$50))/7-'Guide &amp; Settings'!$C$48)+1)*'Guide &amp; Settings'!$C$49,0)))</f>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IF($D384="","",IF(SUMPRODUCT(MAX(($D$4:$D$810=$D384)*($B$4:$B$810&lt;$B384)*$B$4:$B$810))=0,0,IF(($B384-MAX(SUMPRODUCT(MAX(($D$4:$D$810=$D384)*($B$4:$B$810&lt;$B384)*$B$4:$B$810)),'Guide &amp; Settings'!$C$50))/7-'Guide &amp; Settings'!$C$48&gt;=0,(INT(($B384-MAX(SUMPRODUCT(MAX(($D$4:$D$810=$D384)*($B$4:$B$810&lt;$B384)*$B$4:$B$810)),'Guide &amp; Settings'!$C$50))/7-'Guide &amp; Settings'!$C$48)+1)*'Guide &amp; Settings'!$C$49,0)))</f>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IF($D385="","",IF(SUMPRODUCT(MAX(($D$4:$D$810=$D385)*($B$4:$B$810&lt;$B385)*$B$4:$B$810))=0,0,IF(($B385-MAX(SUMPRODUCT(MAX(($D$4:$D$810=$D385)*($B$4:$B$810&lt;$B385)*$B$4:$B$810)),'Guide &amp; Settings'!$C$50))/7-'Guide &amp; Settings'!$C$48&gt;=0,(INT(($B385-MAX(SUMPRODUCT(MAX(($D$4:$D$810=$D385)*($B$4:$B$810&lt;$B385)*$B$4:$B$810)),'Guide &amp; Settings'!$C$50))/7-'Guide &amp; Settings'!$C$48)+1)*'Guide &amp; Settings'!$C$49,0)))</f>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IF($D386="","",IF(SUMPRODUCT(MAX(($D$4:$D$810=$D386)*($B$4:$B$810&lt;$B386)*$B$4:$B$810))=0,0,IF(($B386-MAX(SUMPRODUCT(MAX(($D$4:$D$810=$D386)*($B$4:$B$810&lt;$B386)*$B$4:$B$810)),'Guide &amp; Settings'!$C$50))/7-'Guide &amp; Settings'!$C$48&gt;=0,(INT(($B386-MAX(SUMPRODUCT(MAX(($D$4:$D$810=$D386)*($B$4:$B$810&lt;$B386)*$B$4:$B$810)),'Guide &amp; Settings'!$C$50))/7-'Guide &amp; Settings'!$C$48)+1)*'Guide &amp; Settings'!$C$49,0)))</f>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IF($D387="","",IF(SUMPRODUCT(MAX(($D$4:$D$810=$D387)*($B$4:$B$810&lt;$B387)*$B$4:$B$810))=0,0,IF(($B387-MAX(SUMPRODUCT(MAX(($D$4:$D$810=$D387)*($B$4:$B$810&lt;$B387)*$B$4:$B$810)),'Guide &amp; Settings'!$C$50))/7-'Guide &amp; Settings'!$C$48&gt;=0,(INT(($B387-MAX(SUMPRODUCT(MAX(($D$4:$D$810=$D387)*($B$4:$B$810&lt;$B387)*$B$4:$B$810)),'Guide &amp; Settings'!$C$50))/7-'Guide &amp; Settings'!$C$48)+1)*'Guide &amp; Settings'!$C$49,0)))</f>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IF($D388="","",IF(SUMPRODUCT(MAX(($D$4:$D$810=$D388)*($B$4:$B$810&lt;$B388)*$B$4:$B$810))=0,0,IF(($B388-MAX(SUMPRODUCT(MAX(($D$4:$D$810=$D388)*($B$4:$B$810&lt;$B388)*$B$4:$B$810)),'Guide &amp; Settings'!$C$50))/7-'Guide &amp; Settings'!$C$48&gt;=0,(INT(($B388-MAX(SUMPRODUCT(MAX(($D$4:$D$810=$D388)*($B$4:$B$810&lt;$B388)*$B$4:$B$810)),'Guide &amp; Settings'!$C$50))/7-'Guide &amp; Settings'!$C$48)+1)*'Guide &amp; Settings'!$C$49,0)))</f>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IF($D389="","",IF(SUMPRODUCT(MAX(($D$4:$D$810=$D389)*($B$4:$B$810&lt;$B389)*$B$4:$B$810))=0,0,IF(($B389-MAX(SUMPRODUCT(MAX(($D$4:$D$810=$D389)*($B$4:$B$810&lt;$B389)*$B$4:$B$810)),'Guide &amp; Settings'!$C$50))/7-'Guide &amp; Settings'!$C$48&gt;=0,(INT(($B389-MAX(SUMPRODUCT(MAX(($D$4:$D$810=$D389)*($B$4:$B$810&lt;$B389)*$B$4:$B$810)),'Guide &amp; Settings'!$C$50))/7-'Guide &amp; Settings'!$C$48)+1)*'Guide &amp; Settings'!$C$49,0)))</f>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IF($D390="","",IF(SUMPRODUCT(MAX(($D$4:$D$810=$D390)*($B$4:$B$810&lt;$B390)*$B$4:$B$810))=0,0,IF(($B390-MAX(SUMPRODUCT(MAX(($D$4:$D$810=$D390)*($B$4:$B$810&lt;$B390)*$B$4:$B$810)),'Guide &amp; Settings'!$C$50))/7-'Guide &amp; Settings'!$C$48&gt;=0,(INT(($B390-MAX(SUMPRODUCT(MAX(($D$4:$D$810=$D390)*($B$4:$B$810&lt;$B390)*$B$4:$B$810)),'Guide &amp; Settings'!$C$50))/7-'Guide &amp; Settings'!$C$48)+1)*'Guide &amp; Settings'!$C$49,0)))</f>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IF($D391="","",IF(SUMPRODUCT(MAX(($D$4:$D$810=$D391)*($B$4:$B$810&lt;$B391)*$B$4:$B$810))=0,0,IF(($B391-MAX(SUMPRODUCT(MAX(($D$4:$D$810=$D391)*($B$4:$B$810&lt;$B391)*$B$4:$B$810)),'Guide &amp; Settings'!$C$50))/7-'Guide &amp; Settings'!$C$48&gt;=0,(INT(($B391-MAX(SUMPRODUCT(MAX(($D$4:$D$810=$D391)*($B$4:$B$810&lt;$B391)*$B$4:$B$810)),'Guide &amp; Settings'!$C$50))/7-'Guide &amp; Settings'!$C$48)+1)*'Guide &amp; Settings'!$C$49,0)))</f>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IF($D392="","",IF(SUMPRODUCT(MAX(($D$4:$D$810=$D392)*($B$4:$B$810&lt;$B392)*$B$4:$B$810))=0,0,IF(($B392-MAX(SUMPRODUCT(MAX(($D$4:$D$810=$D392)*($B$4:$B$810&lt;$B392)*$B$4:$B$810)),'Guide &amp; Settings'!$C$50))/7-'Guide &amp; Settings'!$C$48&gt;=0,(INT(($B392-MAX(SUMPRODUCT(MAX(($D$4:$D$810=$D392)*($B$4:$B$810&lt;$B392)*$B$4:$B$810)),'Guide &amp; Settings'!$C$50))/7-'Guide &amp; Settings'!$C$48)+1)*'Guide &amp; Settings'!$C$49,0)))</f>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IF($D393="","",IF(SUMPRODUCT(MAX(($D$4:$D$810=$D393)*($B$4:$B$810&lt;$B393)*$B$4:$B$810))=0,0,IF(($B393-MAX(SUMPRODUCT(MAX(($D$4:$D$810=$D393)*($B$4:$B$810&lt;$B393)*$B$4:$B$810)),'Guide &amp; Settings'!$C$50))/7-'Guide &amp; Settings'!$C$48&gt;=0,(INT(($B393-MAX(SUMPRODUCT(MAX(($D$4:$D$810=$D393)*($B$4:$B$810&lt;$B393)*$B$4:$B$810)),'Guide &amp; Settings'!$C$50))/7-'Guide &amp; Settings'!$C$48)+1)*'Guide &amp; Settings'!$C$49,0)))</f>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IF($D394="","",IF(SUMPRODUCT(MAX(($D$4:$D$810=$D394)*($B$4:$B$810&lt;$B394)*$B$4:$B$810))=0,0,IF(($B394-MAX(SUMPRODUCT(MAX(($D$4:$D$810=$D394)*($B$4:$B$810&lt;$B394)*$B$4:$B$810)),'Guide &amp; Settings'!$C$50))/7-'Guide &amp; Settings'!$C$48&gt;=0,(INT(($B394-MAX(SUMPRODUCT(MAX(($D$4:$D$810=$D394)*($B$4:$B$810&lt;$B394)*$B$4:$B$810)),'Guide &amp; Settings'!$C$50))/7-'Guide &amp; Settings'!$C$48)+1)*'Guide &amp; Settings'!$C$49,0)))</f>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IF($D395="","",IF(SUMPRODUCT(MAX(($D$4:$D$810=$D395)*($B$4:$B$810&lt;$B395)*$B$4:$B$810))=0,0,IF(($B395-MAX(SUMPRODUCT(MAX(($D$4:$D$810=$D395)*($B$4:$B$810&lt;$B395)*$B$4:$B$810)),'Guide &amp; Settings'!$C$50))/7-'Guide &amp; Settings'!$C$48&gt;=0,(INT(($B395-MAX(SUMPRODUCT(MAX(($D$4:$D$810=$D395)*($B$4:$B$810&lt;$B395)*$B$4:$B$810)),'Guide &amp; Settings'!$C$50))/7-'Guide &amp; Settings'!$C$48)+1)*'Guide &amp; Settings'!$C$49,0)))</f>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IF($D396="","",IF(SUMPRODUCT(MAX(($D$4:$D$810=$D396)*($B$4:$B$810&lt;$B396)*$B$4:$B$810))=0,0,IF(($B396-MAX(SUMPRODUCT(MAX(($D$4:$D$810=$D396)*($B$4:$B$810&lt;$B396)*$B$4:$B$810)),'Guide &amp; Settings'!$C$50))/7-'Guide &amp; Settings'!$C$48&gt;=0,(INT(($B396-MAX(SUMPRODUCT(MAX(($D$4:$D$810=$D396)*($B$4:$B$810&lt;$B396)*$B$4:$B$810)),'Guide &amp; Settings'!$C$50))/7-'Guide &amp; Settings'!$C$48)+1)*'Guide &amp; Settings'!$C$49,0)))</f>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IF($D397="","",IF(SUMPRODUCT(MAX(($D$4:$D$810=$D397)*($B$4:$B$810&lt;$B397)*$B$4:$B$810))=0,0,IF(($B397-MAX(SUMPRODUCT(MAX(($D$4:$D$810=$D397)*($B$4:$B$810&lt;$B397)*$B$4:$B$810)),'Guide &amp; Settings'!$C$50))/7-'Guide &amp; Settings'!$C$48&gt;=0,(INT(($B397-MAX(SUMPRODUCT(MAX(($D$4:$D$810=$D397)*($B$4:$B$810&lt;$B397)*$B$4:$B$810)),'Guide &amp; Settings'!$C$50))/7-'Guide &amp; Settings'!$C$48)+1)*'Guide &amp; Settings'!$C$49,0)))</f>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IF($D398="","",IF(SUMPRODUCT(MAX(($D$4:$D$810=$D398)*($B$4:$B$810&lt;$B398)*$B$4:$B$810))=0,0,IF(($B398-MAX(SUMPRODUCT(MAX(($D$4:$D$810=$D398)*($B$4:$B$810&lt;$B398)*$B$4:$B$810)),'Guide &amp; Settings'!$C$50))/7-'Guide &amp; Settings'!$C$48&gt;=0,(INT(($B398-MAX(SUMPRODUCT(MAX(($D$4:$D$810=$D398)*($B$4:$B$810&lt;$B398)*$B$4:$B$810)),'Guide &amp; Settings'!$C$50))/7-'Guide &amp; Settings'!$C$48)+1)*'Guide &amp; Settings'!$C$49,0)))</f>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IF($D399="","",IF(SUMPRODUCT(MAX(($D$4:$D$810=$D399)*($B$4:$B$810&lt;$B399)*$B$4:$B$810))=0,0,IF(($B399-MAX(SUMPRODUCT(MAX(($D$4:$D$810=$D399)*($B$4:$B$810&lt;$B399)*$B$4:$B$810)),'Guide &amp; Settings'!$C$50))/7-'Guide &amp; Settings'!$C$48&gt;=0,(INT(($B399-MAX(SUMPRODUCT(MAX(($D$4:$D$810=$D399)*($B$4:$B$810&lt;$B399)*$B$4:$B$810)),'Guide &amp; Settings'!$C$50))/7-'Guide &amp; Settings'!$C$48)+1)*'Guide &amp; Settings'!$C$49,0)))</f>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IF($D400="","",IF(SUMPRODUCT(MAX(($D$4:$D$810=$D400)*($B$4:$B$810&lt;$B400)*$B$4:$B$810))=0,0,IF(($B400-MAX(SUMPRODUCT(MAX(($D$4:$D$810=$D400)*($B$4:$B$810&lt;$B400)*$B$4:$B$810)),'Guide &amp; Settings'!$C$50))/7-'Guide &amp; Settings'!$C$48&gt;=0,(INT(($B400-MAX(SUMPRODUCT(MAX(($D$4:$D$810=$D400)*($B$4:$B$810&lt;$B400)*$B$4:$B$810)),'Guide &amp; Settings'!$C$50))/7-'Guide &amp; Settings'!$C$48)+1)*'Guide &amp; Settings'!$C$49,0)))</f>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IF($D401="","",IF(SUMPRODUCT(MAX(($D$4:$D$810=$D401)*($B$4:$B$810&lt;$B401)*$B$4:$B$810))=0,0,IF(($B401-MAX(SUMPRODUCT(MAX(($D$4:$D$810=$D401)*($B$4:$B$810&lt;$B401)*$B$4:$B$810)),'Guide &amp; Settings'!$C$50))/7-'Guide &amp; Settings'!$C$48&gt;=0,(INT(($B401-MAX(SUMPRODUCT(MAX(($D$4:$D$810=$D401)*($B$4:$B$810&lt;$B401)*$B$4:$B$810)),'Guide &amp; Settings'!$C$50))/7-'Guide &amp; Settings'!$C$48)+1)*'Guide &amp; Settings'!$C$49,0)))</f>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IF($D402="","",IF(SUMPRODUCT(MAX(($D$4:$D$810=$D402)*($B$4:$B$810&lt;$B402)*$B$4:$B$810))=0,0,IF(($B402-MAX(SUMPRODUCT(MAX(($D$4:$D$810=$D402)*($B$4:$B$810&lt;$B402)*$B$4:$B$810)),'Guide &amp; Settings'!$C$50))/7-'Guide &amp; Settings'!$C$48&gt;=0,(INT(($B402-MAX(SUMPRODUCT(MAX(($D$4:$D$810=$D402)*($B$4:$B$810&lt;$B402)*$B$4:$B$810)),'Guide &amp; Settings'!$C$50))/7-'Guide &amp; Settings'!$C$48)+1)*'Guide &amp; Settings'!$C$49,0)))</f>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IF($D403="","",IF(SUMPRODUCT(MAX(($D$4:$D$810=$D403)*($B$4:$B$810&lt;$B403)*$B$4:$B$810))=0,0,IF(($B403-MAX(SUMPRODUCT(MAX(($D$4:$D$810=$D403)*($B$4:$B$810&lt;$B403)*$B$4:$B$810)),'Guide &amp; Settings'!$C$50))/7-'Guide &amp; Settings'!$C$48&gt;=0,(INT(($B403-MAX(SUMPRODUCT(MAX(($D$4:$D$810=$D403)*($B$4:$B$810&lt;$B403)*$B$4:$B$810)),'Guide &amp; Settings'!$C$50))/7-'Guide &amp; Settings'!$C$48)+1)*'Guide &amp; Settings'!$C$49,0)))</f>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IF($D404="","",IF(SUMPRODUCT(MAX(($D$4:$D$810=$D404)*($B$4:$B$810&lt;$B404)*$B$4:$B$810))=0,0,IF(($B404-MAX(SUMPRODUCT(MAX(($D$4:$D$810=$D404)*($B$4:$B$810&lt;$B404)*$B$4:$B$810)),'Guide &amp; Settings'!$C$50))/7-'Guide &amp; Settings'!$C$48&gt;=0,(INT(($B404-MAX(SUMPRODUCT(MAX(($D$4:$D$810=$D404)*($B$4:$B$810&lt;$B404)*$B$4:$B$810)),'Guide &amp; Settings'!$C$50))/7-'Guide &amp; Settings'!$C$48)+1)*'Guide &amp; Settings'!$C$49,0)))</f>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IF($D405="","",IF(SUMPRODUCT(MAX(($D$4:$D$810=$D405)*($B$4:$B$810&lt;$B405)*$B$4:$B$810))=0,0,IF(($B405-MAX(SUMPRODUCT(MAX(($D$4:$D$810=$D405)*($B$4:$B$810&lt;$B405)*$B$4:$B$810)),'Guide &amp; Settings'!$C$50))/7-'Guide &amp; Settings'!$C$48&gt;=0,(INT(($B405-MAX(SUMPRODUCT(MAX(($D$4:$D$810=$D405)*($B$4:$B$810&lt;$B405)*$B$4:$B$810)),'Guide &amp; Settings'!$C$50))/7-'Guide &amp; Settings'!$C$48)+1)*'Guide &amp; Settings'!$C$49,0)))</f>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IF($D406="","",IF(SUMPRODUCT(MAX(($D$4:$D$810=$D406)*($B$4:$B$810&lt;$B406)*$B$4:$B$810))=0,0,IF(($B406-MAX(SUMPRODUCT(MAX(($D$4:$D$810=$D406)*($B$4:$B$810&lt;$B406)*$B$4:$B$810)),'Guide &amp; Settings'!$C$50))/7-'Guide &amp; Settings'!$C$48&gt;=0,(INT(($B406-MAX(SUMPRODUCT(MAX(($D$4:$D$810=$D406)*($B$4:$B$810&lt;$B406)*$B$4:$B$810)),'Guide &amp; Settings'!$C$50))/7-'Guide &amp; Settings'!$C$48)+1)*'Guide &amp; Settings'!$C$49,0)))</f>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IF($D407="","",IF(SUMPRODUCT(MAX(($D$4:$D$810=$D407)*($B$4:$B$810&lt;$B407)*$B$4:$B$810))=0,0,IF(($B407-MAX(SUMPRODUCT(MAX(($D$4:$D$810=$D407)*($B$4:$B$810&lt;$B407)*$B$4:$B$810)),'Guide &amp; Settings'!$C$50))/7-'Guide &amp; Settings'!$C$48&gt;=0,(INT(($B407-MAX(SUMPRODUCT(MAX(($D$4:$D$810=$D407)*($B$4:$B$810&lt;$B407)*$B$4:$B$810)),'Guide &amp; Settings'!$C$50))/7-'Guide &amp; Settings'!$C$48)+1)*'Guide &amp; Settings'!$C$49,0)))</f>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IF($D408="","",IF(SUMPRODUCT(MAX(($D$4:$D$810=$D408)*($B$4:$B$810&lt;$B408)*$B$4:$B$810))=0,0,IF(($B408-MAX(SUMPRODUCT(MAX(($D$4:$D$810=$D408)*($B$4:$B$810&lt;$B408)*$B$4:$B$810)),'Guide &amp; Settings'!$C$50))/7-'Guide &amp; Settings'!$C$48&gt;=0,(INT(($B408-MAX(SUMPRODUCT(MAX(($D$4:$D$810=$D408)*($B$4:$B$810&lt;$B408)*$B$4:$B$810)),'Guide &amp; Settings'!$C$50))/7-'Guide &amp; Settings'!$C$48)+1)*'Guide &amp; Settings'!$C$49,0)))</f>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IF($D409="","",IF(SUMPRODUCT(MAX(($D$4:$D$810=$D409)*($B$4:$B$810&lt;$B409)*$B$4:$B$810))=0,0,IF(($B409-MAX(SUMPRODUCT(MAX(($D$4:$D$810=$D409)*($B$4:$B$810&lt;$B409)*$B$4:$B$810)),'Guide &amp; Settings'!$C$50))/7-'Guide &amp; Settings'!$C$48&gt;=0,(INT(($B409-MAX(SUMPRODUCT(MAX(($D$4:$D$810=$D409)*($B$4:$B$810&lt;$B409)*$B$4:$B$810)),'Guide &amp; Settings'!$C$50))/7-'Guide &amp; Settings'!$C$48)+1)*'Guide &amp; Settings'!$C$49,0)))</f>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IF($D410="","",IF(SUMPRODUCT(MAX(($D$4:$D$810=$D410)*($B$4:$B$810&lt;$B410)*$B$4:$B$810))=0,0,IF(($B410-MAX(SUMPRODUCT(MAX(($D$4:$D$810=$D410)*($B$4:$B$810&lt;$B410)*$B$4:$B$810)),'Guide &amp; Settings'!$C$50))/7-'Guide &amp; Settings'!$C$48&gt;=0,(INT(($B410-MAX(SUMPRODUCT(MAX(($D$4:$D$810=$D410)*($B$4:$B$810&lt;$B410)*$B$4:$B$810)),'Guide &amp; Settings'!$C$50))/7-'Guide &amp; Settings'!$C$48)+1)*'Guide &amp; Settings'!$C$49,0)))</f>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IF($D411="","",IF(SUMPRODUCT(MAX(($D$4:$D$810=$D411)*($B$4:$B$810&lt;$B411)*$B$4:$B$810))=0,0,IF(($B411-MAX(SUMPRODUCT(MAX(($D$4:$D$810=$D411)*($B$4:$B$810&lt;$B411)*$B$4:$B$810)),'Guide &amp; Settings'!$C$50))/7-'Guide &amp; Settings'!$C$48&gt;=0,(INT(($B411-MAX(SUMPRODUCT(MAX(($D$4:$D$810=$D411)*($B$4:$B$810&lt;$B411)*$B$4:$B$810)),'Guide &amp; Settings'!$C$50))/7-'Guide &amp; Settings'!$C$48)+1)*'Guide &amp; Settings'!$C$49,0)))</f>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IF($D412="","",IF(SUMPRODUCT(MAX(($D$4:$D$810=$D412)*($B$4:$B$810&lt;$B412)*$B$4:$B$810))=0,0,IF(($B412-MAX(SUMPRODUCT(MAX(($D$4:$D$810=$D412)*($B$4:$B$810&lt;$B412)*$B$4:$B$810)),'Guide &amp; Settings'!$C$50))/7-'Guide &amp; Settings'!$C$48&gt;=0,(INT(($B412-MAX(SUMPRODUCT(MAX(($D$4:$D$810=$D412)*($B$4:$B$810&lt;$B412)*$B$4:$B$810)),'Guide &amp; Settings'!$C$50))/7-'Guide &amp; Settings'!$C$48)+1)*'Guide &amp; Settings'!$C$49,0)))</f>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IF($D413="","",IF(SUMPRODUCT(MAX(($D$4:$D$810=$D413)*($B$4:$B$810&lt;$B413)*$B$4:$B$810))=0,0,IF(($B413-MAX(SUMPRODUCT(MAX(($D$4:$D$810=$D413)*($B$4:$B$810&lt;$B413)*$B$4:$B$810)),'Guide &amp; Settings'!$C$50))/7-'Guide &amp; Settings'!$C$48&gt;=0,(INT(($B413-MAX(SUMPRODUCT(MAX(($D$4:$D$810=$D413)*($B$4:$B$810&lt;$B413)*$B$4:$B$810)),'Guide &amp; Settings'!$C$50))/7-'Guide &amp; Settings'!$C$48)+1)*'Guide &amp; Settings'!$C$49,0)))</f>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IF($D414="","",IF(SUMPRODUCT(MAX(($D$4:$D$810=$D414)*($B$4:$B$810&lt;$B414)*$B$4:$B$810))=0,0,IF(($B414-MAX(SUMPRODUCT(MAX(($D$4:$D$810=$D414)*($B$4:$B$810&lt;$B414)*$B$4:$B$810)),'Guide &amp; Settings'!$C$50))/7-'Guide &amp; Settings'!$C$48&gt;=0,(INT(($B414-MAX(SUMPRODUCT(MAX(($D$4:$D$810=$D414)*($B$4:$B$810&lt;$B414)*$B$4:$B$810)),'Guide &amp; Settings'!$C$50))/7-'Guide &amp; Settings'!$C$48)+1)*'Guide &amp; Settings'!$C$49,0)))</f>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IF($D415="","",IF(SUMPRODUCT(MAX(($D$4:$D$810=$D415)*($B$4:$B$810&lt;$B415)*$B$4:$B$810))=0,0,IF(($B415-MAX(SUMPRODUCT(MAX(($D$4:$D$810=$D415)*($B$4:$B$810&lt;$B415)*$B$4:$B$810)),'Guide &amp; Settings'!$C$50))/7-'Guide &amp; Settings'!$C$48&gt;=0,(INT(($B415-MAX(SUMPRODUCT(MAX(($D$4:$D$810=$D415)*($B$4:$B$810&lt;$B415)*$B$4:$B$810)),'Guide &amp; Settings'!$C$50))/7-'Guide &amp; Settings'!$C$48)+1)*'Guide &amp; Settings'!$C$49,0)))</f>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IF($D416="","",IF(SUMPRODUCT(MAX(($D$4:$D$810=$D416)*($B$4:$B$810&lt;$B416)*$B$4:$B$810))=0,0,IF(($B416-MAX(SUMPRODUCT(MAX(($D$4:$D$810=$D416)*($B$4:$B$810&lt;$B416)*$B$4:$B$810)),'Guide &amp; Settings'!$C$50))/7-'Guide &amp; Settings'!$C$48&gt;=0,(INT(($B416-MAX(SUMPRODUCT(MAX(($D$4:$D$810=$D416)*($B$4:$B$810&lt;$B416)*$B$4:$B$810)),'Guide &amp; Settings'!$C$50))/7-'Guide &amp; Settings'!$C$48)+1)*'Guide &amp; Settings'!$C$49,0)))</f>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IF($D417="","",IF(SUMPRODUCT(MAX(($D$4:$D$810=$D417)*($B$4:$B$810&lt;$B417)*$B$4:$B$810))=0,0,IF(($B417-MAX(SUMPRODUCT(MAX(($D$4:$D$810=$D417)*($B$4:$B$810&lt;$B417)*$B$4:$B$810)),'Guide &amp; Settings'!$C$50))/7-'Guide &amp; Settings'!$C$48&gt;=0,(INT(($B417-MAX(SUMPRODUCT(MAX(($D$4:$D$810=$D417)*($B$4:$B$810&lt;$B417)*$B$4:$B$810)),'Guide &amp; Settings'!$C$50))/7-'Guide &amp; Settings'!$C$48)+1)*'Guide &amp; Settings'!$C$49,0)))</f>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IF($D418="","",IF(SUMPRODUCT(MAX(($D$4:$D$810=$D418)*($B$4:$B$810&lt;$B418)*$B$4:$B$810))=0,0,IF(($B418-MAX(SUMPRODUCT(MAX(($D$4:$D$810=$D418)*($B$4:$B$810&lt;$B418)*$B$4:$B$810)),'Guide &amp; Settings'!$C$50))/7-'Guide &amp; Settings'!$C$48&gt;=0,(INT(($B418-MAX(SUMPRODUCT(MAX(($D$4:$D$810=$D418)*($B$4:$B$810&lt;$B418)*$B$4:$B$810)),'Guide &amp; Settings'!$C$50))/7-'Guide &amp; Settings'!$C$48)+1)*'Guide &amp; Settings'!$C$49,0)))</f>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IF($D419="","",IF(SUMPRODUCT(MAX(($D$4:$D$810=$D419)*($B$4:$B$810&lt;$B419)*$B$4:$B$810))=0,0,IF(($B419-MAX(SUMPRODUCT(MAX(($D$4:$D$810=$D419)*($B$4:$B$810&lt;$B419)*$B$4:$B$810)),'Guide &amp; Settings'!$C$50))/7-'Guide &amp; Settings'!$C$48&gt;=0,(INT(($B419-MAX(SUMPRODUCT(MAX(($D$4:$D$810=$D419)*($B$4:$B$810&lt;$B419)*$B$4:$B$810)),'Guide &amp; Settings'!$C$50))/7-'Guide &amp; Settings'!$C$48)+1)*'Guide &amp; Settings'!$C$49,0)))</f>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46208</v>
      </c>
    </row>
    <row r="4" spans="1:35" ht="15" customHeight="1" x14ac:dyDescent="0.2">
      <c r="A4" t="s">
        <v>330</v>
      </c>
      <c r="B4" s="127">
        <f>MAX('Match Log'!$B$4:$B$810)</f>
        <v>46215</v>
      </c>
      <c r="C4" t="inlineStr">
        <is>
          <t>Idle clock (today):</t>
        </is>
      </c>
      <c r="D4" s="127">
        <f>MAX($B$4,TODAY())</f>
        <v>46215</v>
      </c>
    </row>
    <row r="5" spans="1:35" x14ac:dyDescent="0.2">
      <c r="B5">
        <f ca="1">TODAY()-7</f>
        <v>46208</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1081.2612004587625</v>
      </c>
      <c r="D7">
        <f t="shared" ref="D7:D20" si="0">RANK($B7,$B$7:$B$20)</f>
        <v>8</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1112.2862350502705</v>
      </c>
      <c r="K7">
        <f t="shared" ref="K7:K20" si="3">RANK($J7,$J$7:$J$20)</f>
        <v>3</v>
      </c>
      <c r="L7">
        <f t="shared" ref="L7:L20" si="4">$K7-$D7</f>
        <v>-5</v>
      </c>
      <c r="M7">
        <f t="shared" ref="M7:M20" si="5">SUMPRODUCT(($D$25:$D$444=$A7)*($G$25:$G$444&gt;0.25)*($D$25:$D$444&lt;&gt;""))</f>
        <v>4</v>
      </c>
      <c r="N7">
        <f t="shared" ref="N7:N20" si="6">LEN($I7)-LEN(SUBSTITUTE($I7,"W",""))</f>
        <v>2</v>
      </c>
      <c r="O7">
        <f t="shared" ref="O7:O20" si="7">IF($F7="Win",$G7,0)</f>
        <v>0</v>
      </c>
      <c r="P7">
        <f>IFERROR(SUMPRODUCT(MAX(('Match Log'!$D$4:$D$810=$A7)*'Match Log'!$B$4:$B$810)),0)</f>
        <v>46214</v>
      </c>
      <c r="Q7">
        <f>IF($P7=0,"",($D$4-$P7)/7)</f>
        <v>0.14285714285714285</v>
      </c>
      <c r="R7">
        <f>IF($P7=0,0,IF($Q7&gt;='Guide &amp; Settings'!$C$48,(INT($Q7-'Guide &amp; Settings'!$C$48)+1)*'Guide &amp; Settings'!$C$49,0))</f>
        <v>0</v>
      </c>
      <c r="S7">
        <f>$B7-$R7-$U7+SUMIF('Poker Stake Ledger'!$C$18:$C$137,$A7,'Poker Stake Ledger'!$K$18:$K$137)</f>
        <v>1040.1422573837137</v>
      </c>
      <c r="T7" t="str">
        <f>IF($P7=0,"No games",IF($Q7&gt;='Guide &amp; Settings'!$C$48,"Inactive",IF($Q7&gt;='Guide &amp; Settings'!$C$47,"At risk","Active")))</f>
        <v>Active</v>
      </c>
      <c r="U7">
        <f>SUMIF('Match Log'!$D$4:$D$810,$A7,'Match Log'!$AC$4:$AC$810)</f>
        <v>0</v>
      </c>
      <c r="V7">
        <f t="shared" ref="V7:V20" si="9">IF($F7="Loss",$G7,0)</f>
        <v>3</v>
      </c>
      <c r="W7">
        <f t="shared" ref="W7:W20" si="10">MAX(0,MIN(100,50+($S7-1000)/4))</f>
        <v>60.035564345928435</v>
      </c>
      <c r="X7">
        <f>IFERROR(INDEX(Dashboard!$G$5:$G$18,MATCH($A7,Dashboard!$B$5:$B$18,0))*100,0)</f>
        <v>52.173913043478258</v>
      </c>
      <c r="Y7">
        <f>MIN(100,IFERROR(INDEX(Dashboard!$K$5:$K$18,MATCH($A7,Dashboard!$B$5:$B$18,0)),0)/5*50+$AC7/4*50)</f>
        <v>100</v>
      </c>
      <c r="Z7">
        <f t="shared" ref="Z7:Z20" si="11">IFERROR($N7/LEN($I7)*100,0)</f>
        <v>40</v>
      </c>
      <c r="AA7">
        <f t="shared" ref="AA7:AA20" si="12">IF($C7="",0,MAX(0,MIN(100,50+($C7-1000)/4)))</f>
        <v>70.315300114690615</v>
      </c>
      <c r="AB7">
        <f t="shared" ref="AB7:AB20" si="13">0.35*$W7+0.2*$X7+0.2*$Y7+0.15*$Z7+0.1*$AA7</f>
        <v>64.478760141239661</v>
      </c>
      <c r="AC7">
        <f>IFERROR(SUMPRODUCT((INDEX('Sport Records'!$B$8:$O$26,0,MATCH($A7,'Sport Records'!$B$7:$O$7,0))&gt;=2)*(INDEX('Sport Records'!$B$58:$O$76,0,MATCH($A7,'Sport Records'!$B$57:$O$57,0))&gt;=0.5)),0)</f>
        <v>5</v>
      </c>
      <c r="AD7">
        <f>IFERROR(INDEX(Dashboard!$D$5:$D$18,MATCH($A7,Dashboard!$B$5:$B$18,0)),0)</f>
        <v>46</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si="15">IF(ISNUMBER($S7),$S7,-1000000)+ROW()/10000000</f>
        <v>1040.1422580837138</v>
      </c>
    </row>
    <row r="8" spans="1:35" ht="15" customHeight="1" x14ac:dyDescent="0.2">
      <c r="A8" t="s">
        <v>135</v>
      </c>
      <c r="B8">
        <f>IFERROR(INDEX(Engine!$B$2:$B$15,MATCH($A8,Engine!$A$2:$A$15,0)),1000)</f>
        <v>1029.5175965335138</v>
      </c>
      <c r="C8">
        <f>IFERROR(INDEX(Engine!$C$2:$C$15,MATCH($A8,Engine!$A$2:$A$15,0)),"")</f>
        <v>1059.6390822823084</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IF($P8=0,"",($D$4-$P8)/7)</f>
        <v>3.8571428571428572</v>
      </c>
      <c r="R8">
        <f>IF($P8=0,0,IF($Q8&gt;='Guide &amp; Settings'!$C$48,(INT($Q8-'Guide &amp; Settings'!$C$48)+1)*'Guide &amp; Settings'!$C$49,0))</f>
        <v>0</v>
      </c>
      <c r="S8">
        <f>$B8-$R8-$U8+SUMIF('Poker Stake Ledger'!$C$18:$C$137,$A8,'Poker Stake Ledger'!$K$18:$K$137)</f>
        <v>1029.5175965335138</v>
      </c>
      <c r="T8" t="str">
        <f>IF($P8=0,"No games",IF($Q8&gt;='Guide &amp; Settings'!$C$48,"Inactive",IF($Q8&gt;='Guide &amp; Settings'!$C$47,"At risk","Active")))</f>
        <v>At risk</v>
      </c>
      <c r="U8">
        <f>SUMIF('Match Log'!$D$4:$D$810,$A8,'Match Log'!$AC$4:$AC$810)</f>
        <v>0</v>
      </c>
      <c r="V8">
        <f t="shared" si="9"/>
        <v>2</v>
      </c>
      <c r="W8">
        <f t="shared" si="10"/>
        <v>57.379399133378456</v>
      </c>
      <c r="X8">
        <f>IFERROR(INDEX(Dashboard!$G$5:$G$18,MATCH($A8,Dashboard!$B$5:$B$18,0))*100,0)</f>
        <v>50</v>
      </c>
      <c r="Y8">
        <f>MIN(100,IFERROR(INDEX(Dashboard!$K$5:$K$18,MATCH($A8,Dashboard!$B$5:$B$18,0)),0)/5*50+$AC8/4*50)</f>
        <v>42.5</v>
      </c>
      <c r="Z8">
        <f t="shared" si="11"/>
        <v>40</v>
      </c>
      <c r="AA8">
        <f t="shared" si="12"/>
        <v>64.909770570577109</v>
      </c>
      <c r="AB8">
        <f t="shared" si="13"/>
        <v>51.073766753740166</v>
      </c>
      <c r="AC8">
        <f>IFERROR(SUMPRODUCT((INDEX('Sport Records'!$B$8:$O$26,0,MATCH($A8,'Sport Records'!$B$7:$O$7,0))&gt;=2)*(INDEX('Sport Records'!$B$58:$O$76,0,MATCH($A8,'Sport Records'!$B$57:$O$57,0))&gt;=0.5)),0)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1029.5175973335138</v>
      </c>
    </row>
    <row r="9" spans="1:35" ht="15" customHeight="1" x14ac:dyDescent="0.2">
      <c r="A9" t="s">
        <v>173</v>
      </c>
      <c r="B9">
        <f>IFERROR(INDEX(Engine!$B$2:$B$15,MATCH($A9,Engine!$A$2:$A$15,0)),1000)</f>
        <v>1041.9075825481382</v>
      </c>
      <c r="C9">
        <f>IFERROR(INDEX(Engine!$C$2:$C$15,MATCH($A9,Engine!$A$2:$A$15,0)),"")</f>
        <v>1034.8894485676019</v>
      </c>
      <c r="D9">
        <f t="shared" si="0"/>
        <v>7</v>
      </c>
      <c r="E9">
        <f t="shared" si="1"/>
        <v>199.79535377691514</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1016.7841648959289</v>
      </c>
      <c r="K9">
        <f t="shared" si="3"/>
        <v>10</v>
      </c>
      <c r="L9">
        <f t="shared" si="4"/>
        <v>3</v>
      </c>
      <c r="M9">
        <f t="shared" si="5"/>
        <v>0</v>
      </c>
      <c r="N9">
        <f t="shared" si="6"/>
        <v>2</v>
      </c>
      <c r="O9">
        <f t="shared" si="7"/>
        <v>2</v>
      </c>
      <c r="P9">
        <f>IFERROR(SUMPRODUCT(MAX(('Match Log'!$D$4:$D$810=$A9)*'Match Log'!$B$4:$B$810)),0)</f>
        <v>46215</v>
      </c>
      <c r="Q9">
        <f>IF($P9=0,"",($D$4-$P9)/7)</f>
        <v>0</v>
      </c>
      <c r="R9">
        <f>IF($P9=0,0,IF($Q9&gt;='Guide &amp; Settings'!$C$48,(INT($Q9-'Guide &amp; Settings'!$C$48)+1)*'Guide &amp; Settings'!$C$49,0))</f>
        <v>0</v>
      </c>
      <c r="S9">
        <f>$B9-$R9-$U9+SUMIF('Poker Stake Ledger'!$C$18:$C$137,$A9,'Poker Stake Ledger'!$K$18:$K$137)</f>
        <v>1041.9075825481382</v>
      </c>
      <c r="T9" t="str">
        <f>IF($P9=0,"No games",IF($Q9&gt;='Guide &amp; Settings'!$C$48,"Inactive",IF($Q9&gt;='Guide &amp; Settings'!$C$47,"At risk","Active")))</f>
        <v>Active</v>
      </c>
      <c r="U9">
        <f>SUMIF('Match Log'!$D$4:$D$810,$A9,'Match Log'!$AC$4:$AC$810)</f>
        <v>0</v>
      </c>
      <c r="V9">
        <f t="shared" si="9"/>
        <v>0</v>
      </c>
      <c r="W9">
        <f t="shared" si="10"/>
        <v>60.476895637034545</v>
      </c>
      <c r="X9">
        <f>IFERROR(INDEX(Dashboard!$G$5:$G$18,MATCH($A9,Dashboard!$B$5:$B$18,0))*100,0)</f>
        <v>54.54545454545454</v>
      </c>
      <c r="Y9">
        <f>MIN(100,IFERROR(INDEX(Dashboard!$K$5:$K$18,MATCH($A9,Dashboard!$B$5:$B$18,0)),0)/5*50+$AC9/4*50)</f>
        <v>82.5</v>
      </c>
      <c r="Z9">
        <f t="shared" si="11"/>
        <v>40</v>
      </c>
      <c r="AA9">
        <f t="shared" si="12"/>
        <v>58.722362141900476</v>
      </c>
      <c r="AB9">
        <f t="shared" si="13"/>
        <v>60.448240596243046</v>
      </c>
      <c r="AC9">
        <f>IFERROR(SUMPRODUCT((INDEX('Sport Records'!$B$8:$O$26,0,MATCH($A9,'Sport Records'!$B$7:$O$7,0))&gt;=2)*(INDEX('Sport Records'!$B$58:$O$76,0,MATCH($A9,'Sport Records'!$B$57:$O$57,0))&gt;=0.5)),0)</f>
        <v>1</v>
      </c>
      <c r="AD9">
        <f>IFERROR(INDEX(Dashboard!$D$5:$D$18,MATCH($A9,Dashboard!$B$5:$B$18,0)),0)</f>
        <v>11</v>
      </c>
      <c r="AE9">
        <f>IFERROR(INDEX(Dashboard!$K$5:$K$18,MATCH($A9,Dashboard!$B$5:$B$18,0)),0)</f>
        <v>7</v>
      </c>
      <c r="AF9" t="str">
        <f t="shared" si="14"/>
        <v>Strong</v>
      </c>
      <c r="AG9">
        <f ca="1">COUNTIFS('Match Log'!$D$4:$D$810,$A9,'Match Log'!$B$4:$B$810,"&gt;="&amp;$B$5)</f>
        <v>1</v>
      </c>
      <c r="AH9">
        <f ca="1">COUNTIFS('Match Log'!$D$4:$D$810,$A9,'Match Log'!$B$4:$B$810,"&gt;="&amp;$B$5,'Match Log'!$E$4:$E$810,"Win")</f>
        <v>1</v>
      </c>
      <c r="AI9">
        <f t="shared" si="15"/>
        <v>1041.9075834481382</v>
      </c>
    </row>
    <row r="10" spans="1:35" ht="15" customHeight="1" x14ac:dyDescent="0.2">
      <c r="A10" t="s">
        <v>140</v>
      </c>
      <c r="B10">
        <f>IFERROR(INDEX(Engine!$B$2:$B$15,MATCH($A10,Engine!$A$2:$A$15,0)),1000)</f>
        <v>973.19705892757202</v>
      </c>
      <c r="C10">
        <f>IFERROR(INDEX(Engine!$C$2:$C$15,MATCH($A10,Engine!$A$2:$A$15,0)),"")</f>
        <v>1062.2347240382487</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IF($P10=0,"",($D$4-$P10)/7)</f>
        <v>0.14285714285714285</v>
      </c>
      <c r="R10">
        <f>IF($P10=0,0,IF($Q10&gt;='Guide &amp; Settings'!$C$48,(INT($Q10-'Guide &amp; Settings'!$C$48)+1)*'Guide &amp; Settings'!$C$49,0))</f>
        <v>0</v>
      </c>
      <c r="S10">
        <f>$B10-$R10-$U10+SUMIF('Poker Stake Ledger'!$C$18:$C$137,$A10,'Poker Stake Ledger'!$K$18:$K$137)</f>
        <v>973.19705892757202</v>
      </c>
      <c r="T10" t="str">
        <f>IF($P10=0,"No games",IF($Q10&gt;='Guide &amp; Settings'!$C$48,"Inactive",IF($Q10&gt;='Guide &amp; Settings'!$C$47,"At risk","Active")))</f>
        <v>Active</v>
      </c>
      <c r="U10">
        <f>SUMIF('Match Log'!$D$4:$D$810,$A10,'Match Log'!$AC$4:$AC$810)</f>
        <v>0</v>
      </c>
      <c r="V10">
        <f t="shared" si="9"/>
        <v>1</v>
      </c>
      <c r="W10">
        <f t="shared" si="10"/>
        <v>43.299264731893004</v>
      </c>
      <c r="X10">
        <f>IFERROR(INDEX(Dashboard!$G$5:$G$18,MATCH($A10,Dashboard!$B$5:$B$18,0))*100,0)</f>
        <v>26.666666666666668</v>
      </c>
      <c r="Y10">
        <f>MIN(100,IFERROR(INDEX(Dashboard!$K$5:$K$18,MATCH($A10,Dashboard!$B$5:$B$18,0)),0)/5*50+$AC10/4*50)</f>
        <v>40</v>
      </c>
      <c r="Z10">
        <f t="shared" si="11"/>
        <v>40</v>
      </c>
      <c r="AA10">
        <f t="shared" si="12"/>
        <v>65.558681009562179</v>
      </c>
      <c r="AB10">
        <f t="shared" si="13"/>
        <v>41.043944090452101</v>
      </c>
      <c r="AC10">
        <f>IFERROR(SUMPRODUCT((INDEX('Sport Records'!$B$8:$O$26,0,MATCH($A10,'Sport Records'!$B$7:$O$7,0))&gt;=2)*(INDEX('Sport Records'!$B$58:$O$76,0,MATCH($A10,'Sport Records'!$B$57:$O$57,0))&gt;=0.5)),0)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973.19705992757201</v>
      </c>
    </row>
    <row r="11" spans="1:35" ht="15" customHeight="1" x14ac:dyDescent="0.2">
      <c r="A11" t="s">
        <v>137</v>
      </c>
      <c r="B11">
        <f>IFERROR(INDEX(Engine!$B$2:$B$15,MATCH($A11,Engine!$A$2:$A$15,0)),1000)</f>
        <v>1063.3497487715442</v>
      </c>
      <c r="C11">
        <f>IFERROR(INDEX(Engine!$C$2:$C$15,MATCH($A11,Engine!$A$2:$A$15,0)),"")</f>
        <v>1066.126091669209</v>
      </c>
      <c r="D11">
        <f t="shared" si="0"/>
        <v>3</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-1</v>
      </c>
      <c r="M11">
        <f t="shared" si="5"/>
        <v>0</v>
      </c>
      <c r="N11">
        <f t="shared" si="6"/>
        <v>1</v>
      </c>
      <c r="O11">
        <f t="shared" si="7"/>
        <v>0</v>
      </c>
      <c r="P11">
        <f>IFERROR(SUMPRODUCT(MAX(('Match Log'!$D$4:$D$810=$A11)*'Match Log'!$B$4:$B$810)),0)</f>
        <v>46215</v>
      </c>
      <c r="Q11">
        <f>IF($P11=0,"",($D$4-$P11)/7)</f>
        <v>0</v>
      </c>
      <c r="R11">
        <f>IF($P11=0,0,IF($Q11&gt;='Guide &amp; Settings'!$C$48,(INT($Q11-'Guide &amp; Settings'!$C$48)+1)*'Guide &amp; Settings'!$C$49,0))</f>
        <v>0</v>
      </c>
      <c r="S11">
        <f>$B11-$R11-$U11+SUMIF('Poker Stake Ledger'!$C$18:$C$137,$A11,'Poker Stake Ledger'!$K$18:$K$137)</f>
        <v>1063.3497487715442</v>
      </c>
      <c r="T11" t="str">
        <f>IF($P11=0,"No games",IF($Q11&gt;='Guide &amp; Settings'!$C$48,"Inactive",IF($Q11&gt;='Guide &amp; Settings'!$C$47,"At risk","Active")))</f>
        <v>Active</v>
      </c>
      <c r="U11">
        <f>SUMIF('Match Log'!$D$4:$D$810,$A11,'Match Log'!$AC$4:$AC$810)</f>
        <v>0</v>
      </c>
      <c r="V11">
        <f t="shared" si="9"/>
        <v>2</v>
      </c>
      <c r="W11">
        <f t="shared" si="10"/>
        <v>65.837437192886057</v>
      </c>
      <c r="X11">
        <f>IFERROR(INDEX(Dashboard!$G$5:$G$18,MATCH($A11,Dashboard!$B$5:$B$18,0))*100,0)</f>
        <v>56.756756756756758</v>
      </c>
      <c r="Y11">
        <f>MIN(100,IFERROR(INDEX(Dashboard!$K$5:$K$18,MATCH($A11,Dashboard!$B$5:$B$18,0)),0)/5*50+$AC11/4*50)</f>
        <v>100</v>
      </c>
      <c r="Z11">
        <f t="shared" si="11"/>
        <v>20</v>
      </c>
      <c r="AA11">
        <f t="shared" si="12"/>
        <v>66.531522917302254</v>
      </c>
      <c r="AB11">
        <f t="shared" si="13"/>
        <v>64.047606660591697</v>
      </c>
      <c r="AC11">
        <f>IFERROR(SUMPRODUCT((INDEX('Sport Records'!$B$8:$O$26,0,MATCH($A11,'Sport Records'!$B$7:$O$7,0))&gt;=2)*(INDEX('Sport Records'!$B$58:$O$76,0,MATCH($A11,'Sport Records'!$B$57:$O$57,0))&gt;=0.5)),0)</f>
        <v>2</v>
      </c>
      <c r="AD11">
        <f>IFERROR(INDEX(Dashboard!$D$5:$D$18,MATCH($A11,Dashboard!$B$5:$B$18,0)),0)</f>
        <v>37</v>
      </c>
      <c r="AE11">
        <f>IFERROR(INDEX(Dashboard!$K$5:$K$18,MATCH($A11,Dashboard!$B$5:$B$18,0)),0)</f>
        <v>12</v>
      </c>
      <c r="AF11" t="str">
        <f t="shared" si="14"/>
        <v>Strong</v>
      </c>
      <c r="AG11">
        <f ca="1">COUNTIFS('Match Log'!$D$4:$D$810,$A11,'Match Log'!$B$4:$B$810,"&gt;="&amp;$B$5)</f>
        <v>5</v>
      </c>
      <c r="AH11">
        <f ca="1">COUNTIFS('Match Log'!$D$4:$D$810,$A11,'Match Log'!$B$4:$B$810,"&gt;="&amp;$B$5,'Match Log'!$E$4:$E$810,"Win")</f>
        <v>1</v>
      </c>
      <c r="AI11">
        <f t="shared" si="15"/>
        <v>1063.3497498715442</v>
      </c>
    </row>
    <row r="12" spans="1:35" ht="15" customHeight="1" x14ac:dyDescent="0.2">
      <c r="A12" t="s">
        <v>134</v>
      </c>
      <c r="B12">
        <f>IFERROR(INDEX(Engine!$B$2:$B$15,MATCH($A12,Engine!$A$2:$A$15,0)),1000)</f>
        <v>1124.7994137993414</v>
      </c>
      <c r="C12">
        <f>IFERROR(INDEX(Engine!$C$2:$C$15,MATCH($A12,Engine!$A$2:$A$15,0)),"")</f>
        <v>1048.6561508961991</v>
      </c>
      <c r="D12">
        <f t="shared" si="0"/>
        <v>2</v>
      </c>
      <c r="E12">
        <f t="shared" si="1"/>
        <v>116.90352252571188</v>
      </c>
      <c r="F12" t="str">
        <f>IFERROR(LOOKUP(2,1/('Match Log'!$D$4:$D$810=$A12),'Match Log'!$E$4:$E$810),"")</f>
        <v>Win</v>
      </c>
      <c r="G12">
        <f>IF($F12="",0,SUMPRODUCT(('Match Log'!$D$4:$D$810=$A12)*(ROW('Match Log'!$A$4:$A$810)&gt;SUMPRODUCT(MAX(('Match Log'!$D$4:$D$810=$A12)*('Match Log'!$E$4:$E$810&lt;&gt;$F12)*ROW('Match Log'!$A$4:$A$810))))))</f>
        <v>4</v>
      </c>
      <c r="H12" t="str">
        <f t="shared" si="2"/>
        <v>W4</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LWWWW</v>
      </c>
      <c r="J12">
        <f>IFERROR(LOOKUP(2,1/(('Match Log'!$D$4:$D$810=$A12)*('Match Log'!$B$4:$B$810&lt;=$B$3)),'Match Log'!$N$4:$N$810),1000)</f>
        <v>986.57333856486002</v>
      </c>
      <c r="K12">
        <f t="shared" si="3"/>
        <v>12</v>
      </c>
      <c r="L12">
        <f t="shared" si="4"/>
        <v>10</v>
      </c>
      <c r="M12">
        <f t="shared" si="5"/>
        <v>5</v>
      </c>
      <c r="N12">
        <f t="shared" si="6"/>
        <v>4</v>
      </c>
      <c r="O12">
        <f t="shared" si="7"/>
        <v>4</v>
      </c>
      <c r="P12">
        <f>IFERROR(SUMPRODUCT(MAX(('Match Log'!$D$4:$D$810=$A12)*'Match Log'!$B$4:$B$810)),0)</f>
        <v>46215</v>
      </c>
      <c r="Q12">
        <f>IF($P12=0,"",($D$4-$P12)/7)</f>
        <v>0</v>
      </c>
      <c r="R12">
        <f>IF($P12=0,0,IF($Q12&gt;='Guide &amp; Settings'!$C$48,(INT($Q12-'Guide &amp; Settings'!$C$48)+1)*'Guide &amp; Settings'!$C$49,0))</f>
        <v>0</v>
      </c>
      <c r="S12">
        <f>$B12-$R12-$U12+SUMIF('Poker Stake Ledger'!$C$18:$C$137,$A12,'Poker Stake Ledger'!$K$18:$K$137)</f>
        <v>1124.7994137993414</v>
      </c>
      <c r="T12" t="str">
        <f>IF($P12=0,"No games",IF($Q12&gt;='Guide &amp; Settings'!$C$48,"Inactive",IF($Q12&gt;='Guide &amp; Settings'!$C$47,"At risk","Active")))</f>
        <v>Active</v>
      </c>
      <c r="U12">
        <f>SUMIF('Match Log'!$D$4:$D$810,$A12,'Match Log'!$AC$4:$AC$810)</f>
        <v>0</v>
      </c>
      <c r="V12">
        <f t="shared" si="9"/>
        <v>0</v>
      </c>
      <c r="W12">
        <f t="shared" si="10"/>
        <v>81.199853449835359</v>
      </c>
      <c r="X12">
        <f>IFERROR(INDEX(Dashboard!$G$5:$G$18,MATCH($A12,Dashboard!$B$5:$B$18,0))*100,0)</f>
        <v>47.887323943661968</v>
      </c>
      <c r="Y12">
        <f>MIN(100,IFERROR(INDEX(Dashboard!$K$5:$K$18,MATCH($A12,Dashboard!$B$5:$B$18,0)),0)/5*50+$AC12/4*50)</f>
        <v>100</v>
      </c>
      <c r="Z12">
        <f t="shared" si="11"/>
        <v>80</v>
      </c>
      <c r="AA12">
        <f t="shared" si="12"/>
        <v>62.164037724049763</v>
      </c>
      <c r="AB12">
        <f t="shared" si="13"/>
        <v>76.213817268579746</v>
      </c>
      <c r="AC12">
        <f>IFERROR(SUMPRODUCT((INDEX('Sport Records'!$B$8:$O$26,0,MATCH($A12,'Sport Records'!$B$7:$O$7,0))&gt;=2)*(INDEX('Sport Records'!$B$58:$O$76,0,MATCH($A12,'Sport Records'!$B$57:$O$57,0))&gt;=0.5)),0)</f>
        <v>5</v>
      </c>
      <c r="AD12">
        <f>IFERROR(INDEX(Dashboard!$D$5:$D$18,MATCH($A12,Dashboard!$B$5:$B$18,0)),0)</f>
        <v>71</v>
      </c>
      <c r="AE12">
        <f>IFERROR(INDEX(Dashboard!$K$5:$K$18,MATCH($A12,Dashboard!$B$5:$B$18,0)),0)</f>
        <v>10</v>
      </c>
      <c r="AF12" t="str">
        <f t="shared" si="14"/>
        <v>Elite</v>
      </c>
      <c r="AG12">
        <f ca="1">COUNTIFS('Match Log'!$D$4:$D$810,$A12,'Match Log'!$B$4:$B$810,"&gt;="&amp;$B$5)</f>
        <v>30</v>
      </c>
      <c r="AH12">
        <f ca="1">COUNTIFS('Match Log'!$D$4:$D$810,$A12,'Match Log'!$B$4:$B$810,"&gt;="&amp;$B$5,'Match Log'!$E$4:$E$810,"Win")</f>
        <v>18</v>
      </c>
      <c r="AI12">
        <f t="shared" si="15"/>
        <v>1124.7994149993415</v>
      </c>
    </row>
    <row r="13" spans="1:35" ht="15" customHeight="1" x14ac:dyDescent="0.2">
      <c r="A13" t="s">
        <v>168</v>
      </c>
      <c r="B13">
        <f>IFERROR(INDEX(Engine!$B$2:$B$15,MATCH($A13,Engine!$A$2:$A$15,0)),1000)</f>
        <v>1060.3667074371201</v>
      </c>
      <c r="C13">
        <f>IFERROR(INDEX(Engine!$C$2:$C$15,MATCH($A13,Engine!$A$2:$A$15,0)),"")</f>
        <v>1054.5714807383069</v>
      </c>
      <c r="D13">
        <f t="shared" si="0"/>
        <v>5</v>
      </c>
      <c r="E13">
        <f t="shared" si="1"/>
        <v>181.3362288879332</v>
      </c>
      <c r="F13" t="str">
        <f>IFERROR(LOOKUP(2,1/('Match Log'!$D$4:$D$810=$A13),'Match Log'!$E$4:$E$810),"")</f>
        <v>Loss</v>
      </c>
      <c r="G13">
        <f>IF($F13="",0,SUMPRODUCT(('Match Log'!$D$4:$D$810=$A13)*(ROW('Match Log'!$A$4:$A$810)&gt;SUMPRODUCT(MAX(('Match Log'!$D$4:$D$810=$A13)*('Match Log'!$E$4:$E$810&lt;&gt;$F13)*ROW('Match Log'!$A$4:$A$810))))))</f>
        <v>4</v>
      </c>
      <c r="H13" t="str">
        <f t="shared" si="2"/>
        <v>L4</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WLLLL</v>
      </c>
      <c r="J13">
        <f>IFERROR(LOOKUP(2,1/(('Match Log'!$D$4:$D$810=$A13)*('Match Log'!$B$4:$B$810&lt;=$B$3)),'Match Log'!$N$4:$N$810),1000)</f>
        <v>1085.4901250893295</v>
      </c>
      <c r="K13">
        <f t="shared" si="3"/>
        <v>5</v>
      </c>
      <c r="L13">
        <f t="shared" si="4"/>
        <v>0</v>
      </c>
      <c r="M13">
        <f t="shared" si="5"/>
        <v>0</v>
      </c>
      <c r="N13">
        <f t="shared" si="6"/>
        <v>1</v>
      </c>
      <c r="O13">
        <f t="shared" si="7"/>
        <v>0</v>
      </c>
      <c r="P13">
        <f>IFERROR(SUMPRODUCT(MAX(('Match Log'!$D$4:$D$810=$A13)*'Match Log'!$B$4:$B$810)),0)</f>
        <v>46215</v>
      </c>
      <c r="Q13">
        <f>IF($P13=0,"",($D$4-$P13)/7)</f>
        <v>0</v>
      </c>
      <c r="R13">
        <f>IF($P13=0,0,IF($Q13&gt;='Guide &amp; Settings'!$C$48,(INT($Q13-'Guide &amp; Settings'!$C$48)+1)*'Guide &amp; Settings'!$C$49,0))</f>
        <v>0</v>
      </c>
      <c r="S13">
        <f>$B13-$R13-$U13+SUMIF('Poker Stake Ledger'!$C$18:$C$137,$A13,'Poker Stake Ledger'!$K$18:$K$137)</f>
        <v>1060.3667074371201</v>
      </c>
      <c r="T13" t="str">
        <f>IF($P13=0,"No games",IF($Q13&gt;='Guide &amp; Settings'!$C$48,"Inactive",IF($Q13&gt;='Guide &amp; Settings'!$C$47,"At risk","Active")))</f>
        <v>Active</v>
      </c>
      <c r="U13">
        <f>SUMIF('Match Log'!$D$4:$D$810,$A13,'Match Log'!$AC$4:$AC$810)</f>
        <v>0</v>
      </c>
      <c r="V13">
        <f t="shared" si="9"/>
        <v>4</v>
      </c>
      <c r="W13">
        <f t="shared" si="10"/>
        <v>65.091676859280028</v>
      </c>
      <c r="X13">
        <f>IFERROR(INDEX(Dashboard!$G$5:$G$18,MATCH($A13,Dashboard!$B$5:$B$18,0))*100,0)</f>
        <v>55.555555555555557</v>
      </c>
      <c r="Y13">
        <f>MIN(100,IFERROR(INDEX(Dashboard!$K$5:$K$18,MATCH($A13,Dashboard!$B$5:$B$18,0)),0)/5*50+$AC13/4*50)</f>
        <v>75</v>
      </c>
      <c r="Z13">
        <f t="shared" si="11"/>
        <v>20</v>
      </c>
      <c r="AA13">
        <f t="shared" si="12"/>
        <v>63.642870184576736</v>
      </c>
      <c r="AB13">
        <f t="shared" si="13"/>
        <v>58.257485030316793</v>
      </c>
      <c r="AC13">
        <f>IFERROR(SUMPRODUCT((INDEX('Sport Records'!$B$8:$O$26,0,MATCH($A13,'Sport Records'!$B$7:$O$7,0))&gt;=2)*(INDEX('Sport Records'!$B$58:$O$76,0,MATCH($A13,'Sport Records'!$B$57:$O$57,0))&gt;=0.5)),0)</f>
        <v>2</v>
      </c>
      <c r="AD13">
        <f>IFERROR(INDEX(Dashboard!$D$5:$D$18,MATCH($A13,Dashboard!$B$5:$B$18,0)),0)</f>
        <v>18</v>
      </c>
      <c r="AE13">
        <f>IFERROR(INDEX(Dashboard!$K$5:$K$18,MATCH($A13,Dashboard!$B$5:$B$18,0)),0)</f>
        <v>5</v>
      </c>
      <c r="AF13" t="str">
        <f t="shared" si="14"/>
        <v>Strong</v>
      </c>
      <c r="AG13">
        <f ca="1">COUNTIFS('Match Log'!$D$4:$D$810,$A13,'Match Log'!$B$4:$B$810,"&gt;="&amp;$B$5)</f>
        <v>1</v>
      </c>
      <c r="AH13">
        <f ca="1">COUNTIFS('Match Log'!$D$4:$D$810,$A13,'Match Log'!$B$4:$B$810,"&gt;="&amp;$B$5,'Match Log'!$E$4:$E$810,"Win")</f>
        <v>0</v>
      </c>
      <c r="AI13">
        <f t="shared" si="15"/>
        <v>1060.36670873712</v>
      </c>
    </row>
    <row r="14" spans="1:35" ht="15" customHeight="1" x14ac:dyDescent="0.2">
      <c r="A14" t="s">
        <v>170</v>
      </c>
      <c r="B14">
        <f>IFERROR(INDEX(Engine!$B$2:$B$15,MATCH($A14,Engine!$A$2:$A$15,0)),1000)</f>
        <v>1029.4526731850108</v>
      </c>
      <c r="C14">
        <f>IFERROR(INDEX(Engine!$C$2:$C$15,MATCH($A14,Engine!$A$2:$A$15,0)),"")</f>
        <v>1099.8999525740301</v>
      </c>
      <c r="D14">
        <f t="shared" si="0"/>
        <v>10</v>
      </c>
      <c r="E14">
        <f t="shared" si="1"/>
        <v>212.25026314004253</v>
      </c>
      <c r="F14" t="str">
        <f>IFERROR(LOOKUP(2,1/('Match Log'!$D$4:$D$810=$A14),'Match Log'!$E$4:$E$810),"")</f>
        <v>Loss</v>
      </c>
      <c r="G14">
        <f>IF($F14="",0,SUMPRODUCT(('Match Log'!$D$4:$D$810=$A14)*(ROW('Match Log'!$A$4:$A$810)&gt;SUMPRODUCT(MAX(('Match Log'!$D$4:$D$810=$A14)*('Match Log'!$E$4:$E$810&lt;&gt;$F14)*ROW('Match Log'!$A$4:$A$810))))))</f>
        <v>2</v>
      </c>
      <c r="H14" t="str">
        <f t="shared" si="2"/>
        <v>L2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LWWLL</v>
      </c>
      <c r="J14">
        <f>IFERROR(LOOKUP(2,1/(('Match Log'!$D$4:$D$810=$A14)*('Match Log'!$B$4:$B$810&lt;=$B$3)),'Match Log'!$N$4:$N$810),1000)</f>
        <v>1058.2210518223603</v>
      </c>
      <c r="K14">
        <f t="shared" si="3"/>
        <v>6</v>
      </c>
      <c r="L14">
        <f t="shared" si="4"/>
        <v>-4</v>
      </c>
      <c r="M14">
        <f t="shared" si="5"/>
        <v>4</v>
      </c>
      <c r="N14">
        <f t="shared" si="6"/>
        <v>2</v>
      </c>
      <c r="O14">
        <f t="shared" si="7"/>
        <v>0</v>
      </c>
      <c r="P14">
        <f>IFERROR(SUMPRODUCT(MAX(('Match Log'!$D$4:$D$810=$A14)*'Match Log'!$B$4:$B$810)),0)</f>
        <v>46215</v>
      </c>
      <c r="Q14">
        <f>IF($P14=0,"",($D$4-$P14)/7)</f>
        <v>0</v>
      </c>
      <c r="R14">
        <f>IF($P14=0,0,IF($Q14&gt;='Guide &amp; Settings'!$C$48,(INT($Q14-'Guide &amp; Settings'!$C$48)+1)*'Guide &amp; Settings'!$C$49,0))</f>
        <v>0</v>
      </c>
      <c r="S14">
        <f>$B14-$R14-$U14+SUMIF('Poker Stake Ledger'!$C$18:$C$137,$A14,'Poker Stake Ledger'!$K$18:$K$137)</f>
        <v>1029.4526731850108</v>
      </c>
      <c r="T14" t="str">
        <f>IF($P14=0,"No games",IF($Q14&gt;='Guide &amp; Settings'!$C$48,"Inactive",IF($Q14&gt;='Guide &amp; Settings'!$C$47,"At risk","Active")))</f>
        <v>Active</v>
      </c>
      <c r="U14">
        <f>SUMIF('Match Log'!$D$4:$D$810,$A14,'Match Log'!$AC$4:$AC$810)</f>
        <v>0</v>
      </c>
      <c r="V14">
        <f t="shared" si="9"/>
        <v>2</v>
      </c>
      <c r="W14">
        <f t="shared" si="10"/>
        <v>57.363168296252695</v>
      </c>
      <c r="X14">
        <f>IFERROR(INDEX(Dashboard!$G$5:$G$18,MATCH($A14,Dashboard!$B$5:$B$18,0))*100,0)</f>
        <v>42.372881355932201</v>
      </c>
      <c r="Y14">
        <f>MIN(100,IFERROR(INDEX(Dashboard!$K$5:$K$18,MATCH($A14,Dashboard!$B$5:$B$18,0)),0)/5*50+$AC14/4*50)</f>
        <v>100</v>
      </c>
      <c r="Z14">
        <f t="shared" si="11"/>
        <v>40</v>
      </c>
      <c r="AA14">
        <f t="shared" si="12"/>
        <v>74.974988143507517</v>
      </c>
      <c r="AB14">
        <f t="shared" si="13"/>
        <v>62.049183989225639</v>
      </c>
      <c r="AC14">
        <f>IFERROR(SUMPRODUCT((INDEX('Sport Records'!$B$8:$O$26,0,MATCH($A14,'Sport Records'!$B$7:$O$7,0))&gt;=2)*(INDEX('Sport Records'!$B$58:$O$76,0,MATCH($A14,'Sport Records'!$B$57:$O$57,0))&gt;=0.5)),0)</f>
        <v>5</v>
      </c>
      <c r="AD14">
        <f>IFERROR(INDEX(Dashboard!$D$5:$D$18,MATCH($A14,Dashboard!$B$5:$B$18,0)),0)</f>
        <v>59</v>
      </c>
      <c r="AE14">
        <f>IFERROR(INDEX(Dashboard!$K$5:$K$18,MATCH($A14,Dashboard!$B$5:$B$18,0)),0)</f>
        <v>14</v>
      </c>
      <c r="AF14" t="str">
        <f t="shared" si="14"/>
        <v>Strong</v>
      </c>
      <c r="AG14">
        <f ca="1">COUNTIFS('Match Log'!$D$4:$D$810,$A14,'Match Log'!$B$4:$B$810,"&gt;="&amp;$B$5)</f>
        <v>10</v>
      </c>
      <c r="AH14">
        <f ca="1">COUNTIFS('Match Log'!$D$4:$D$810,$A14,'Match Log'!$B$4:$B$810,"&gt;="&amp;$B$5,'Match Log'!$E$4:$E$810,"Win")</f>
        <v>4</v>
      </c>
      <c r="AI14">
        <f t="shared" si="15"/>
        <v>1029.4526745850108</v>
      </c>
    </row>
    <row r="15" spans="1:35" ht="15" customHeight="1" x14ac:dyDescent="0.2">
      <c r="A15" t="s">
        <v>167</v>
      </c>
      <c r="B15">
        <f>IFERROR(INDEX(Engine!$B$2:$B$15,MATCH($A15,Engine!$A$2:$A$15,0)),1000)</f>
        <v>1241.7029363250533</v>
      </c>
      <c r="C15">
        <f>IFERROR(INDEX(Engine!$C$2:$C$15,MATCH($A15,Engine!$A$2:$A$15,0)),"")</f>
        <v>1040.7160364286033</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IF($P15=0,"",($D$4-$P15)/7)</f>
        <v>0</v>
      </c>
      <c r="R15">
        <f>IF($P15=0,0,IF($Q15&gt;='Guide &amp; Settings'!$C$48,(INT($Q15-'Guide &amp; Settings'!$C$48)+1)*'Guide &amp; Settings'!$C$49,0))</f>
        <v>0</v>
      </c>
      <c r="S15">
        <f>$B15-$R15-$U15+SUMIF('Poker Stake Ledger'!$C$18:$C$137,$A15,'Poker Stake Ledger'!$K$18:$K$137)</f>
        <v>1241.7029363250533</v>
      </c>
      <c r="T15" t="str">
        <f>IF($P15=0,"No games",IF($Q15&gt;='Guide &amp; Settings'!$C$48,"Inactive",IF($Q15&gt;='Guide &amp; Settings'!$C$47,"At risk","Active")))</f>
        <v>Active</v>
      </c>
      <c r="U15">
        <f>SUMIF('Match Log'!$D$4:$D$810,$A15,'Match Log'!$AC$4:$AC$810)</f>
        <v>0</v>
      </c>
      <c r="V15">
        <f t="shared" si="9"/>
        <v>0</v>
      </c>
      <c r="W15">
        <f t="shared" si="10"/>
        <v>100</v>
      </c>
      <c r="X15">
        <f>IFERROR(INDEX(Dashboard!$G$5:$G$18,MATCH($A15,Dashboard!$B$5:$B$18,0))*100,0)</f>
        <v>68.965517241379317</v>
      </c>
      <c r="Y15">
        <f>MIN(100,IFERROR(INDEX(Dashboard!$K$5:$K$18,MATCH($A15,Dashboard!$B$5:$B$18,0)),0)/5*50+$AC15/4*50)</f>
        <v>87.5</v>
      </c>
      <c r="Z15">
        <f t="shared" si="11"/>
        <v>80</v>
      </c>
      <c r="AA15">
        <f t="shared" si="12"/>
        <v>60.179009107150819</v>
      </c>
      <c r="AB15">
        <f t="shared" si="13"/>
        <v>84.311004358990957</v>
      </c>
      <c r="AC15">
        <f>IFERROR(SUMPRODUCT((INDEX('Sport Records'!$B$8:$O$26,0,MATCH($A15,'Sport Records'!$B$7:$O$7,0))&gt;=2)*(INDEX('Sport Records'!$B$58:$O$76,0,MATCH($A15,'Sport Records'!$B$57:$O$57,0))&gt;=0.5)),0)</f>
        <v>3</v>
      </c>
      <c r="AD15">
        <f>IFERROR(INDEX(Dashboard!$D$5:$D$18,MATCH($A15,Dashboard!$B$5:$B$18,0)),0)</f>
        <v>29</v>
      </c>
      <c r="AE15">
        <f>IFERROR(INDEX(Dashboard!$K$5:$K$18,MATCH($A15,Dashboard!$B$5:$B$18,0)),0)</f>
        <v>5</v>
      </c>
      <c r="AF15" t="str">
        <f t="shared" si="14"/>
        <v>Elite</v>
      </c>
      <c r="AG15">
        <f ca="1">COUNTIFS('Match Log'!$D$4:$D$810,$A15,'Match Log'!$B$4:$B$810,"&gt;="&amp;$B$5)</f>
        <v>6</v>
      </c>
      <c r="AH15">
        <f ca="1">COUNTIFS('Match Log'!$D$4:$D$810,$A15,'Match Log'!$B$4:$B$810,"&gt;="&amp;$B$5,'Match Log'!$E$4:$E$810,"Win")</f>
        <v>5</v>
      </c>
      <c r="AI15">
        <f t="shared" si="15"/>
        <v>1241.7029378250534</v>
      </c>
    </row>
    <row r="16" spans="1:35" ht="15" customHeight="1" x14ac:dyDescent="0.2">
      <c r="A16" t="s">
        <v>175</v>
      </c>
      <c r="B16">
        <f>IFERROR(INDEX(Engine!$B$2:$B$15,MATCH($A16,Engine!$A$2:$A$15,0)),1000)</f>
        <v>893.15761519837804</v>
      </c>
      <c r="C16">
        <f>IFERROR(INDEX(Engine!$C$2:$C$15,MATCH($A16,Engine!$A$2:$A$15,0)),"")</f>
        <v>1058.1253066891838</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IF($P16=0,"",($D$4-$P16)/7)</f>
        <v>3.8571428571428572</v>
      </c>
      <c r="R16">
        <f>IF($P16=0,0,IF($Q16&gt;='Guide &amp; Settings'!$C$48,(INT($Q16-'Guide &amp; Settings'!$C$48)+1)*'Guide &amp; Settings'!$C$49,0))</f>
        <v>0</v>
      </c>
      <c r="S16">
        <f>$B16-$R16-$U16+SUMIF('Poker Stake Ledger'!$C$18:$C$137,$A16,'Poker Stake Ledger'!$K$18:$K$137)</f>
        <v>893.15761519837804</v>
      </c>
      <c r="T16" t="str">
        <f>IF($P16=0,"No games",IF($Q16&gt;='Guide &amp; Settings'!$C$48,"Inactive",IF($Q16&gt;='Guide &amp; Settings'!$C$47,"At risk","Active")))</f>
        <v>At risk</v>
      </c>
      <c r="U16">
        <f>SUMIF('Match Log'!$D$4:$D$810,$A16,'Match Log'!$AC$4:$AC$810)</f>
        <v>0</v>
      </c>
      <c r="V16">
        <f t="shared" si="9"/>
        <v>4</v>
      </c>
      <c r="W16">
        <f t="shared" si="10"/>
        <v>23.28940379959451</v>
      </c>
      <c r="X16">
        <f>IFERROR(INDEX(Dashboard!$G$5:$G$18,MATCH($A16,Dashboard!$B$5:$B$18,0))*100,0)</f>
        <v>15.384615384615385</v>
      </c>
      <c r="Y16">
        <f>MIN(100,IFERROR(INDEX(Dashboard!$K$5:$K$18,MATCH($A16,Dashboard!$B$5:$B$18,0)),0)/5*50+$AC16/4*50)</f>
        <v>30</v>
      </c>
      <c r="Z16">
        <f t="shared" si="11"/>
        <v>20</v>
      </c>
      <c r="AA16">
        <f t="shared" si="12"/>
        <v>64.531326672295961</v>
      </c>
      <c r="AB16">
        <f t="shared" si="13"/>
        <v>26.681347074010752</v>
      </c>
      <c r="AC16">
        <f>IFERROR(SUMPRODUCT((INDEX('Sport Records'!$B$8:$O$26,0,MATCH($A16,'Sport Records'!$B$7:$O$7,0))&gt;=2)*(INDEX('Sport Records'!$B$58:$O$76,0,MATCH($A16,'Sport Records'!$B$57:$O$57,0))&gt;=0.5)),0)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893.15761679837806</v>
      </c>
    </row>
    <row r="17" spans="1:35" ht="15" customHeight="1" x14ac:dyDescent="0.2">
      <c r="A17" t="s">
        <v>169</v>
      </c>
      <c r="B17">
        <f>IFERROR(INDEX(Engine!$B$2:$B$15,MATCH($A17,Engine!$A$2:$A$15,0)),1000)</f>
        <v>1062.8275894279936</v>
      </c>
      <c r="C17">
        <f>IFERROR(INDEX(Engine!$C$2:$C$15,MATCH($A17,Engine!$A$2:$A$15,0)),"")</f>
        <v>1075.6220287670715</v>
      </c>
      <c r="D17">
        <f t="shared" si="0"/>
        <v>4</v>
      </c>
      <c r="E17">
        <f t="shared" si="1"/>
        <v>178.87534689705967</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1095.0513163681151</v>
      </c>
      <c r="K17">
        <f t="shared" si="3"/>
        <v>4</v>
      </c>
      <c r="L17">
        <f t="shared" si="4"/>
        <v>0</v>
      </c>
      <c r="M17">
        <f t="shared" si="5"/>
        <v>3</v>
      </c>
      <c r="N17">
        <f t="shared" si="6"/>
        <v>1</v>
      </c>
      <c r="O17">
        <f t="shared" si="7"/>
        <v>0</v>
      </c>
      <c r="P17">
        <f>IFERROR(SUMPRODUCT(MAX(('Match Log'!$D$4:$D$810=$A17)*'Match Log'!$B$4:$B$810)),0)</f>
        <v>46209</v>
      </c>
      <c r="Q17">
        <f>IF($P17=0,"",($D$4-$P17)/7)</f>
        <v>0.8571428571428571</v>
      </c>
      <c r="R17">
        <f>IF($P17=0,0,IF($Q17&gt;='Guide &amp; Settings'!$C$48,(INT($Q17-'Guide &amp; Settings'!$C$48)+1)*'Guide &amp; Settings'!$C$49,0))</f>
        <v>0</v>
      </c>
      <c r="S17">
        <f>$B17-$R17-$U17+SUMIF('Poker Stake Ledger'!$C$18:$C$137,$A17,'Poker Stake Ledger'!$K$18:$K$137)</f>
        <v>1062.8275894279936</v>
      </c>
      <c r="T17" t="str">
        <f>IF($P17=0,"No games",IF($Q17&gt;='Guide &amp; Settings'!$C$48,"Inactive",IF($Q17&gt;='Guide &amp; Settings'!$C$47,"At risk","Active")))</f>
        <v>Active</v>
      </c>
      <c r="U17">
        <f>SUMIF('Match Log'!$D$4:$D$810,$A17,'Match Log'!$AC$4:$AC$810)</f>
        <v>0</v>
      </c>
      <c r="V17">
        <f t="shared" si="9"/>
        <v>1</v>
      </c>
      <c r="W17">
        <f t="shared" si="10"/>
        <v>65.706897356998411</v>
      </c>
      <c r="X17">
        <f>IFERROR(INDEX(Dashboard!$G$5:$G$18,MATCH($A17,Dashboard!$B$5:$B$18,0))*100,0)</f>
        <v>45.454545454545453</v>
      </c>
      <c r="Y17">
        <f>MIN(100,IFERROR(INDEX(Dashboard!$K$5:$K$18,MATCH($A17,Dashboard!$B$5:$B$18,0)),0)/5*50+$AC17/4*50)</f>
        <v>100</v>
      </c>
      <c r="Z17">
        <f t="shared" si="11"/>
        <v>20</v>
      </c>
      <c r="AA17">
        <f t="shared" si="12"/>
        <v>68.905507191767867</v>
      </c>
      <c r="AB17">
        <f t="shared" si="13"/>
        <v>61.97887388503532</v>
      </c>
      <c r="AC17">
        <f>IFERROR(SUMPRODUCT((INDEX('Sport Records'!$B$8:$O$26,0,MATCH($A17,'Sport Records'!$B$7:$O$7,0))&gt;=2)*(INDEX('Sport Records'!$B$58:$O$76,0,MATCH($A17,'Sport Records'!$B$57:$O$57,0))&gt;=0.5)),0)</f>
        <v>2</v>
      </c>
      <c r="AD17">
        <f>IFERROR(INDEX(Dashboard!$D$5:$D$18,MATCH($A17,Dashboard!$B$5:$B$18,0)),0)</f>
        <v>44</v>
      </c>
      <c r="AE17">
        <f>IFERROR(INDEX(Dashboard!$K$5:$K$18,MATCH($A17,Dashboard!$B$5:$B$18,0)),0)</f>
        <v>8</v>
      </c>
      <c r="AF17" t="str">
        <f t="shared" si="14"/>
        <v>Strong</v>
      </c>
      <c r="AG17">
        <f ca="1">COUNTIFS('Match Log'!$D$4:$D$810,$A17,'Match Log'!$B$4:$B$810,"&gt;="&amp;$B$5)</f>
        <v>5</v>
      </c>
      <c r="AH17">
        <f ca="1">COUNTIFS('Match Log'!$D$4:$D$810,$A17,'Match Log'!$B$4:$B$810,"&gt;="&amp;$B$5,'Match Log'!$E$4:$E$810,"Win")</f>
        <v>1</v>
      </c>
      <c r="AI17">
        <f t="shared" si="15"/>
        <v>1062.8275911279936</v>
      </c>
    </row>
    <row r="18" spans="1:35" ht="15" customHeight="1" x14ac:dyDescent="0.2">
      <c r="A18" t="s">
        <v>171</v>
      </c>
      <c r="B18">
        <f>IFERROR(INDEX(Engine!$B$2:$B$15,MATCH($A18,Engine!$A$2:$A$15,0)),1000)</f>
        <v>1009.152401464836</v>
      </c>
      <c r="C18">
        <f>IFERROR(INDEX(Engine!$C$2:$C$15,MATCH($A18,Engine!$A$2:$A$15,0)),"")</f>
        <v>1052.6078903755624</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-4</v>
      </c>
      <c r="M18">
        <f t="shared" si="5"/>
        <v>0</v>
      </c>
      <c r="N18">
        <f t="shared" si="6"/>
        <v>2</v>
      </c>
      <c r="O18">
        <f t="shared" si="7"/>
        <v>0</v>
      </c>
      <c r="P18">
        <f>IFERROR(SUMPRODUCT(MAX(('Match Log'!$D$4:$D$810=$A18)*'Match Log'!$B$4:$B$810)),0)</f>
        <v>46214</v>
      </c>
      <c r="Q18">
        <f>IF($P18=0,"",($D$4-$P18)/7)</f>
        <v>0.14285714285714285</v>
      </c>
      <c r="R18">
        <f>IF($P18=0,0,IF($Q18&gt;='Guide &amp; Settings'!$C$48,(INT($Q18-'Guide &amp; Settings'!$C$48)+1)*'Guide &amp; Settings'!$C$49,0))</f>
        <v>0</v>
      </c>
      <c r="S18">
        <f>$B18-$R18-$U18+SUMIF('Poker Stake Ledger'!$C$18:$C$137,$A18,'Poker Stake Ledger'!$K$18:$K$137)</f>
        <v>1009.152401464836</v>
      </c>
      <c r="T18" t="str">
        <f>IF($P18=0,"No games",IF($Q18&gt;='Guide &amp; Settings'!$C$48,"Inactive",IF($Q18&gt;='Guide &amp; Settings'!$C$47,"At risk","Active")))</f>
        <v>Active</v>
      </c>
      <c r="U18">
        <f>SUMIF('Match Log'!$D$4:$D$810,$A18,'Match Log'!$AC$4:$AC$810)</f>
        <v>0</v>
      </c>
      <c r="V18">
        <f t="shared" si="9"/>
        <v>1</v>
      </c>
      <c r="W18">
        <f t="shared" si="10"/>
        <v>52.288100366208994</v>
      </c>
      <c r="X18">
        <f>IFERROR(INDEX(Dashboard!$G$5:$G$18,MATCH($A18,Dashboard!$B$5:$B$18,0))*100,0)</f>
        <v>33.333333333333329</v>
      </c>
      <c r="Y18">
        <f>MIN(100,IFERROR(INDEX(Dashboard!$K$5:$K$18,MATCH($A18,Dashboard!$B$5:$B$18,0)),0)/5*50+$AC18/4*50)</f>
        <v>20</v>
      </c>
      <c r="Z18">
        <f t="shared" si="11"/>
        <v>40</v>
      </c>
      <c r="AA18">
        <f t="shared" si="12"/>
        <v>63.151972593890605</v>
      </c>
      <c r="AB18">
        <f t="shared" si="13"/>
        <v>41.282699054228871</v>
      </c>
      <c r="AC18">
        <f>IFERROR(SUMPRODUCT((INDEX('Sport Records'!$B$8:$O$26,0,MATCH($A18,'Sport Records'!$B$7:$O$7,0))&gt;=2)*(INDEX('Sport Records'!$B$58:$O$76,0,MATCH($A18,'Sport Records'!$B$57:$O$57,0))&gt;=0.5)),0)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1009.1524032648359</v>
      </c>
    </row>
    <row r="19" spans="1:35" ht="15" customHeight="1" x14ac:dyDescent="0.2">
      <c r="A19" t="s">
        <v>172</v>
      </c>
      <c r="B19">
        <f>IFERROR(INDEX(Engine!$B$2:$B$15,MATCH($A19,Engine!$A$2:$A$15,0)),1000)</f>
        <v>1052.4264189977837</v>
      </c>
      <c r="C19">
        <f>IFERROR(INDEX(Engine!$C$2:$C$15,MATCH($A19,Engine!$A$2:$A$15,0)),"")</f>
        <v>1064.0704733392361</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IF($P19=0,"",($D$4-$P19)/7)</f>
        <v>0.14285714285714285</v>
      </c>
      <c r="R19">
        <f>IF($P19=0,0,IF($Q19&gt;='Guide &amp; Settings'!$C$48,(INT($Q19-'Guide &amp; Settings'!$C$48)+1)*'Guide &amp; Settings'!$C$49,0))</f>
        <v>0</v>
      </c>
      <c r="S19">
        <f>$B19-$R19-$U19+SUMIF('Poker Stake Ledger'!$C$18:$C$137,$A19,'Poker Stake Ledger'!$K$18:$K$137)</f>
        <v>1052.4264189977837</v>
      </c>
      <c r="T19" t="str">
        <f>IF($P19=0,"No games",IF($Q19&gt;='Guide &amp; Settings'!$C$48,"Inactive",IF($Q19&gt;='Guide &amp; Settings'!$C$47,"At risk","Active")))</f>
        <v>Active</v>
      </c>
      <c r="U19">
        <f>SUMIF('Match Log'!$D$4:$D$810,$A19,'Match Log'!$AC$4:$AC$810)</f>
        <v>0</v>
      </c>
      <c r="V19">
        <f t="shared" si="9"/>
        <v>0</v>
      </c>
      <c r="W19">
        <f t="shared" si="10"/>
        <v>63.106604749445921</v>
      </c>
      <c r="X19">
        <f>IFERROR(INDEX(Dashboard!$G$5:$G$18,MATCH($A19,Dashboard!$B$5:$B$18,0))*100,0)</f>
        <v>60</v>
      </c>
      <c r="Y19">
        <f>MIN(100,IFERROR(INDEX(Dashboard!$K$5:$K$18,MATCH($A19,Dashboard!$B$5:$B$18,0)),0)/5*50+$AC19/4*50)</f>
        <v>32.5</v>
      </c>
      <c r="Z19">
        <f t="shared" si="11"/>
        <v>60</v>
      </c>
      <c r="AA19">
        <f t="shared" si="12"/>
        <v>66.017618334809015</v>
      </c>
      <c r="AB19">
        <f t="shared" si="13"/>
        <v>56.189073495786971</v>
      </c>
      <c r="AC19">
        <f>IFERROR(SUMPRODUCT((INDEX('Sport Records'!$B$8:$O$26,0,MATCH($A19,'Sport Records'!$B$7:$O$7,0))&gt;=2)*(INDEX('Sport Records'!$B$58:$O$76,0,MATCH($A19,'Sport Records'!$B$57:$O$57,0))&gt;=0.5)),0)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IF($P20=0,"",($D$4-$P20)/7)</f>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Records'!$B$58:$O$76,0,MATCH($A20,'Sport Records'!$B$57:$O$57,0))&gt;=0.5)),0)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1081.2612004587625</v>
      </c>
      <c r="D2">
        <f>$B$2</f>
        <v>1040.1422573837137</v>
      </c>
      <c r="E2">
        <f>$B$3</f>
        <v>1029.5175965335138</v>
      </c>
      <c r="F2">
        <f>$B$4</f>
        <v>1041.9075825481382</v>
      </c>
      <c r="G2">
        <f>$B$5</f>
        <v>973.19705892757202</v>
      </c>
      <c r="H2">
        <f>$B$6</f>
        <v>1063.3497487715442</v>
      </c>
      <c r="I2">
        <f>$B$7</f>
        <v>1124.7994137993414</v>
      </c>
      <c r="J2">
        <f>$B$8</f>
        <v>1060.3667074371201</v>
      </c>
      <c r="K2">
        <f>$B$9</f>
        <v>1029.4526731850108</v>
      </c>
      <c r="L2">
        <f>$B$10</f>
        <v>1241.7029363250533</v>
      </c>
      <c r="M2">
        <f>$B$11</f>
        <v>893.15761519837804</v>
      </c>
      <c r="N2">
        <f>$B$12</f>
        <v>1062.8275894279936</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1059.6390822823084</v>
      </c>
    </row>
    <row r="4" spans="1:17" ht="15" customHeight="1" x14ac:dyDescent="0.2">
      <c r="A4" t="s">
        <v>173</v>
      </c>
      <c r="B4">
        <f>IF(COUNTIF('Match Log'!$D$4:$D$810,$A4)=0,'Guide &amp; Settings'!$C$41,IFERROR(LOOKUP(2,1/('Match Log'!$D$4:$D$810=$A4),'Match Log'!$N$4:$N$810),'Guide &amp; Settings'!$C$41))</f>
        <v>1041.9075825481382</v>
      </c>
      <c r="C4">
        <f>IFERROR(SUMPRODUCT(INDEX('Head-to-Head'!$B$22:$O$35,3,0),$D$2:$Q$2)/SUM(INDEX('Head-to-Head'!$B$22:$O$35,3,0)),"")</f>
        <v>1034.8894485676019</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1062.2347240382487</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1066.126091669209</v>
      </c>
    </row>
    <row r="7" spans="1:17" ht="15" customHeight="1" x14ac:dyDescent="0.2">
      <c r="A7" t="s">
        <v>134</v>
      </c>
      <c r="B7">
        <f>IF(COUNTIF('Match Log'!$D$4:$D$810,$A7)=0,'Guide &amp; Settings'!$C$41,IFERROR(LOOKUP(2,1/('Match Log'!$D$4:$D$810=$A7),'Match Log'!$N$4:$N$810),'Guide &amp; Settings'!$C$41))</f>
        <v>1124.7994137993414</v>
      </c>
      <c r="C7">
        <f>IFERROR(SUMPRODUCT(INDEX('Head-to-Head'!$B$22:$O$35,6,0),$D$2:$Q$2)/SUM(INDEX('Head-to-Head'!$B$22:$O$35,6,0)),"")</f>
        <v>1048.6561508961991</v>
      </c>
    </row>
    <row r="8" spans="1:17" ht="15" customHeight="1" x14ac:dyDescent="0.2">
      <c r="A8" t="s">
        <v>168</v>
      </c>
      <c r="B8">
        <f>IF(COUNTIF('Match Log'!$D$4:$D$810,$A8)=0,'Guide &amp; Settings'!$C$41,IFERROR(LOOKUP(2,1/('Match Log'!$D$4:$D$810=$A8),'Match Log'!$N$4:$N$810),'Guide &amp; Settings'!$C$41))</f>
        <v>1060.3667074371201</v>
      </c>
      <c r="C8">
        <f>IFERROR(SUMPRODUCT(INDEX('Head-to-Head'!$B$22:$O$35,7,0),$D$2:$Q$2)/SUM(INDEX('Head-to-Head'!$B$22:$O$35,7,0)),"")</f>
        <v>1054.5714807383069</v>
      </c>
    </row>
    <row r="9" spans="1:17" ht="15" customHeight="1" x14ac:dyDescent="0.2">
      <c r="A9" t="s">
        <v>170</v>
      </c>
      <c r="B9">
        <f>IF(COUNTIF('Match Log'!$D$4:$D$810,$A9)=0,'Guide &amp; Settings'!$C$41,IFERROR(LOOKUP(2,1/('Match Log'!$D$4:$D$810=$A9),'Match Log'!$N$4:$N$810),'Guide &amp; Settings'!$C$41))</f>
        <v>1029.4526731850108</v>
      </c>
      <c r="C9">
        <f>IFERROR(SUMPRODUCT(INDEX('Head-to-Head'!$B$22:$O$35,8,0),$D$2:$Q$2)/SUM(INDEX('Head-to-Head'!$B$22:$O$35,8,0)),"")</f>
        <v>1099.8999525740301</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1040.7160364286033</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1058.1253066891838</v>
      </c>
    </row>
    <row r="12" spans="1:17" ht="15" customHeight="1" x14ac:dyDescent="0.2">
      <c r="A12" t="s">
        <v>169</v>
      </c>
      <c r="B12">
        <f>IF(COUNTIF('Match Log'!$D$4:$D$810,$A12)=0,'Guide &amp; Settings'!$C$41,IFERROR(LOOKUP(2,1/('Match Log'!$D$4:$D$810=$A12),'Match Log'!$N$4:$N$810),'Guide &amp; Settings'!$C$41))</f>
        <v>1062.8275894279936</v>
      </c>
      <c r="C12">
        <f>IFERROR(SUMPRODUCT(INDEX('Head-to-Head'!$B$22:$O$35,11,0),$D$2:$Q$2)/SUM(INDEX('Head-to-Head'!$B$22:$O$35,11,0)),"")</f>
        <v>1075.6220287670715</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1052.6078903755624</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1064.0704733392361</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447</v>
      </c>
    </row>
    <row r="23" spans="3:3" x14ac:dyDescent="0.2">
      <c r="C23" t="s">
        <v>448</v>
      </c>
    </row>
    <row r="24" spans="3:3" x14ac:dyDescent="0.2">
      <c r="C24" t="s">
        <v>449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2026-07-12T13:35:11Z</dcterms:modified>
  <dc:language>en-US</dc:language>
</cp:coreProperties>
</file>