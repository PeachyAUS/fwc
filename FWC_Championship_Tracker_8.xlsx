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E6011D4E-7143-3644-BFB5-CF1D6B124EAA}"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D215" i="11" a="1"/>
  <c r="D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T447" i="9"/>
  <c r="R447" i="9"/>
  <c r="O447" i="9"/>
  <c r="L447" i="9"/>
  <c r="G447" i="9"/>
  <c r="F447" i="9"/>
  <c r="AC446" i="9"/>
  <c r="T446" i="9"/>
  <c r="R446" i="9"/>
  <c r="O446" i="9"/>
  <c r="G446" i="9"/>
  <c r="F446" i="9"/>
  <c r="E215" i="11" s="1"/>
  <c r="H215" i="11" s="1" a="1"/>
  <c r="H215" i="11" s="1"/>
  <c r="AC445" i="9"/>
  <c r="T445" i="9"/>
  <c r="R445" i="9"/>
  <c r="O445" i="9"/>
  <c r="G445" i="9"/>
  <c r="F445" i="9"/>
  <c r="L445" i="9" s="1"/>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46" i="9" l="1"/>
  <c r="I446" i="9" s="1"/>
  <c r="K446" i="9" s="1"/>
  <c r="S447" i="9"/>
  <c r="I447" i="9" s="1"/>
  <c r="K447" i="9" s="1"/>
  <c r="L446" i="9"/>
  <c r="S443" i="9"/>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339" i="11"/>
  <c r="Y271" i="11"/>
  <c r="Y427" i="11"/>
  <c r="Y399" i="11"/>
  <c r="Y381" i="11"/>
  <c r="Y302" i="11"/>
  <c r="Y269" i="11"/>
  <c r="Y225" i="11"/>
  <c r="AG20" i="11"/>
  <c r="AG19" i="11"/>
  <c r="Y76" i="11"/>
  <c r="AH15" i="11"/>
  <c r="AH7" i="11"/>
  <c r="AH13" i="11"/>
  <c r="AH14" i="11"/>
  <c r="Q40" i="10"/>
  <c r="V20" i="11"/>
  <c r="P49" i="10"/>
  <c r="R49" i="10" s="1"/>
  <c r="G70" i="11"/>
  <c r="I70" i="11" s="1"/>
  <c r="Y70" i="11" s="1"/>
  <c r="G111" i="11"/>
  <c r="I111" i="11" s="1"/>
  <c r="Y111" i="11" s="1"/>
  <c r="Y332" i="11"/>
  <c r="Y216" i="11"/>
  <c r="Y222" i="11"/>
  <c r="Y260" i="11"/>
  <c r="Y270" i="11"/>
  <c r="Y294" i="11"/>
  <c r="Y387" i="11"/>
  <c r="Y226" i="11"/>
  <c r="Y230" i="11"/>
  <c r="Y267" i="11"/>
  <c r="Y316" i="11"/>
  <c r="Y340" i="11"/>
  <c r="Y223" i="11"/>
  <c r="Y250" i="11"/>
  <c r="Y264" i="11"/>
  <c r="Y326" i="11"/>
  <c r="Y237" i="11"/>
  <c r="Y299" i="11"/>
  <c r="Y303" i="11"/>
  <c r="Y411" i="11"/>
  <c r="Y217" i="11"/>
  <c r="Y278" i="11"/>
  <c r="Y227" i="11"/>
  <c r="Y254" i="11"/>
  <c r="Y268" i="11"/>
  <c r="Y310" i="11"/>
  <c r="Y348" i="11"/>
  <c r="Y355" i="11"/>
  <c r="Y220" i="11"/>
  <c r="Y231" i="11"/>
  <c r="Y262" i="11"/>
  <c r="Y292" i="11"/>
  <c r="Y295" i="11"/>
  <c r="Y307" i="11"/>
  <c r="Y324"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F215" i="11" l="1"/>
  <c r="G215" i="11" s="1"/>
  <c r="I215" i="11" s="1"/>
  <c r="Y215" i="11" s="1"/>
  <c r="K444" i="9"/>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A11" i="8" l="1"/>
  <c r="L22" i="15"/>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22" i="9" l="1"/>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P108" i="6"/>
  <c r="B18" i="2" s="1"/>
  <c r="Y284" i="9"/>
  <c r="Y285" i="9"/>
  <c r="Z285" i="9" s="1"/>
  <c r="AA238" i="9"/>
  <c r="AB238" i="9" s="1"/>
  <c r="U257" i="9" s="1"/>
  <c r="AA237" i="9"/>
  <c r="AB237" i="9" s="1"/>
  <c r="U254" i="9" s="1"/>
  <c r="Y34" i="9"/>
  <c r="Z34" i="9" s="1"/>
  <c r="Y33" i="9"/>
  <c r="Z33" i="9" s="1"/>
  <c r="V13" i="9"/>
  <c r="X13" i="9" s="1"/>
  <c r="J13" i="9" s="1"/>
  <c r="M13" i="9" s="1"/>
  <c r="N13" i="9" s="1"/>
  <c r="Q13" i="9"/>
  <c r="AA424" i="9" l="1"/>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C26" i="2" l="1"/>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14" i="9" l="1"/>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AA425" i="9" l="1"/>
  <c r="AB425" i="9" s="1"/>
  <c r="AA426" i="9"/>
  <c r="AB426" i="9" s="1"/>
  <c r="H18" i="4"/>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U428" i="9" l="1"/>
  <c r="U427" i="9"/>
  <c r="C23" i="2"/>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Y428" i="9" l="1"/>
  <c r="Z428" i="9" s="1"/>
  <c r="AA428" i="9" s="1"/>
  <c r="AB428" i="9" s="1"/>
  <c r="Y427" i="9"/>
  <c r="Z427" i="9" s="1"/>
  <c r="AA427" i="9" s="1"/>
  <c r="AB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U430" i="9" l="1"/>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30" i="9" l="1"/>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32" i="9" l="1"/>
  <c r="U431" i="9"/>
  <c r="P102" i="6"/>
  <c r="B12" i="2" s="1"/>
  <c r="C12" i="2" s="1"/>
  <c r="Z214" i="9"/>
  <c r="Z215" i="9"/>
  <c r="AA215" i="9" s="1"/>
  <c r="AB215" i="9" s="1"/>
  <c r="C117" i="6" s="1"/>
  <c r="W38" i="9"/>
  <c r="X38" i="9" s="1"/>
  <c r="W37" i="9"/>
  <c r="X37" i="9" s="1"/>
  <c r="AA228" i="9"/>
  <c r="AB228" i="9" s="1"/>
  <c r="U230" i="9" s="1"/>
  <c r="AA227" i="9"/>
  <c r="AB227" i="9" s="1"/>
  <c r="U229" i="9" s="1"/>
  <c r="Y432" i="9" l="1"/>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AA432" i="9" l="1"/>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Y434" i="9" l="1"/>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U435" i="9" l="1"/>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Y443" i="9"/>
  <c r="Z443" i="9" s="1"/>
  <c r="AA443" i="9" s="1"/>
  <c r="AB443" i="9" s="1"/>
  <c r="Y444" i="9"/>
  <c r="Z444" i="9" s="1"/>
  <c r="AA444" i="9" s="1"/>
  <c r="AB444" i="9" s="1"/>
  <c r="I118" i="6" s="1"/>
  <c r="J48" i="9"/>
  <c r="M48" i="9" s="1"/>
  <c r="N48" i="9" s="1"/>
  <c r="J47" i="9"/>
  <c r="M47" i="9" s="1"/>
  <c r="N47" i="9" s="1"/>
  <c r="D21" i="2"/>
  <c r="C21" i="2"/>
  <c r="U447" i="9" l="1"/>
  <c r="U446" i="9"/>
  <c r="K52" i="11"/>
  <c r="K50" i="11"/>
  <c r="K51" i="11"/>
  <c r="K43" i="11"/>
  <c r="K49" i="11"/>
  <c r="K46" i="11"/>
  <c r="K44" i="11"/>
  <c r="K48" i="11"/>
  <c r="K47" i="11"/>
  <c r="K45" i="11"/>
  <c r="H67" i="9"/>
  <c r="R43" i="11"/>
  <c r="H50" i="9"/>
  <c r="Y447" i="9" l="1"/>
  <c r="Z447" i="9" s="1"/>
  <c r="AA447" i="9" s="1"/>
  <c r="AB447" i="9" s="1"/>
  <c r="L118" i="6" s="1"/>
  <c r="Y446" i="9"/>
  <c r="Z446" i="9" s="1"/>
  <c r="V50" i="9"/>
  <c r="X50" i="9" s="1"/>
  <c r="Q50" i="9"/>
  <c r="V67" i="9"/>
  <c r="X67" i="9" s="1"/>
  <c r="Q67" i="9"/>
  <c r="AA446" i="9" l="1"/>
  <c r="AB446" i="9" s="1"/>
  <c r="G118" i="6" s="1"/>
  <c r="H23" i="4" s="1"/>
  <c r="B19" i="4" s="1"/>
  <c r="J68" i="9"/>
  <c r="M68" i="9" s="1"/>
  <c r="N68" i="9" s="1"/>
  <c r="J67" i="9"/>
  <c r="M67" i="9" s="1"/>
  <c r="N67" i="9" s="1"/>
  <c r="J49" i="9"/>
  <c r="M49" i="9" s="1"/>
  <c r="N49" i="9" s="1"/>
  <c r="J50" i="9"/>
  <c r="M50" i="9" s="1"/>
  <c r="N50" i="9" s="1"/>
  <c r="P118" i="6" l="1"/>
  <c r="B28" i="2" s="1"/>
  <c r="C28" i="2" s="1"/>
  <c r="R44" i="11"/>
  <c r="H52" i="9"/>
  <c r="M44" i="11"/>
  <c r="H51" i="9"/>
  <c r="K53" i="11"/>
  <c r="H69" i="9"/>
  <c r="U58" i="11"/>
  <c r="U56" i="11"/>
  <c r="U54" i="11"/>
  <c r="U61" i="11"/>
  <c r="U59" i="11"/>
  <c r="U57" i="11"/>
  <c r="U53" i="11"/>
  <c r="U60" i="11"/>
  <c r="U55" i="11"/>
  <c r="H87" i="9"/>
  <c r="D28" i="2" l="1"/>
  <c r="P70" i="9"/>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9" i="9" s="1"/>
  <c r="M419" i="9" s="1"/>
  <c r="N419" i="9" s="1"/>
  <c r="J416" i="9"/>
  <c r="M416" i="9" s="1"/>
  <c r="N416" i="9" s="1"/>
  <c r="W215" i="11" s="1"/>
  <c r="W209" i="11"/>
  <c r="W210" i="11"/>
  <c r="W207" i="11"/>
  <c r="W208" i="11"/>
  <c r="J19" i="11"/>
  <c r="W206" i="11"/>
  <c r="W204" i="11"/>
  <c r="W205" i="11"/>
  <c r="J418" i="9"/>
  <c r="M418" i="9" s="1"/>
  <c r="N418" i="9" s="1"/>
  <c r="Q419" i="9"/>
  <c r="W203" i="11"/>
  <c r="B14" i="12"/>
  <c r="P2" i="12" s="1"/>
  <c r="T203" i="11"/>
  <c r="P234" i="9"/>
  <c r="Q234" i="9" s="1"/>
  <c r="P233" i="9"/>
  <c r="Q233" i="9" s="1"/>
  <c r="V234" i="9"/>
  <c r="W245" i="9"/>
  <c r="W244" i="9"/>
  <c r="X244" i="9" s="1"/>
  <c r="T215" i="11" l="1"/>
  <c r="B11" i="12"/>
  <c r="V214" i="11"/>
  <c r="V215" i="11"/>
  <c r="T213" i="1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B16" i="11"/>
  <c r="M2" i="12"/>
  <c r="W234" i="9"/>
  <c r="X234" i="9" s="1"/>
  <c r="W233" i="9"/>
  <c r="X233" i="9" s="1"/>
  <c r="O2" i="12" l="1"/>
  <c r="B18" i="11"/>
  <c r="J233" i="9"/>
  <c r="M233" i="9" s="1"/>
  <c r="N233" i="9" s="1"/>
  <c r="J234" i="9"/>
  <c r="M234" i="9" s="1"/>
  <c r="N234" i="9" s="1"/>
  <c r="L214" i="11" l="1"/>
  <c r="L215" i="11"/>
  <c r="L212" i="1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R180" i="11"/>
  <c r="J306" i="9"/>
  <c r="M306" i="9" s="1"/>
  <c r="N306" i="9" s="1"/>
  <c r="J307" i="9"/>
  <c r="M307" i="9" s="1"/>
  <c r="N307" i="9" s="1"/>
  <c r="S214" i="11" l="1"/>
  <c r="S215" i="11"/>
  <c r="S212" i="1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214" i="11" l="1"/>
  <c r="N215" i="11"/>
  <c r="N212" i="1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15" i="11" s="1"/>
  <c r="Q205" i="11"/>
  <c r="B8" i="12"/>
  <c r="V402" i="9"/>
  <c r="K194" i="11"/>
  <c r="K195" i="11"/>
  <c r="J386" i="9"/>
  <c r="M386" i="9" s="1"/>
  <c r="N386" i="9" s="1"/>
  <c r="H403" i="9" s="1"/>
  <c r="K192" i="11"/>
  <c r="K193" i="11"/>
  <c r="R191" i="11"/>
  <c r="K190" i="11"/>
  <c r="K191" i="11"/>
  <c r="W387" i="9"/>
  <c r="W388" i="9"/>
  <c r="X388" i="9" s="1"/>
  <c r="Q387" i="9"/>
  <c r="V387" i="9"/>
  <c r="K189" i="11"/>
  <c r="N380" i="9"/>
  <c r="H395" i="9" s="1"/>
  <c r="Q213" i="11" l="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K215" i="11" s="1"/>
  <c r="Q421" i="9"/>
  <c r="H397" i="9"/>
  <c r="J394" i="9"/>
  <c r="M394" i="9" s="1"/>
  <c r="N394" i="9" s="1"/>
  <c r="J393" i="9"/>
  <c r="M393" i="9" s="1"/>
  <c r="N393" i="9" s="1"/>
  <c r="M193" i="11"/>
  <c r="K213" i="11" l="1"/>
  <c r="K214" i="11"/>
  <c r="K211" i="11"/>
  <c r="K212" i="11"/>
  <c r="K209" i="11"/>
  <c r="K210" i="11"/>
  <c r="K207" i="11"/>
  <c r="K208" i="11"/>
  <c r="P426" i="9"/>
  <c r="Q426" i="9" s="1"/>
  <c r="P425" i="9"/>
  <c r="V426" i="9"/>
  <c r="K206" i="11"/>
  <c r="J7"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M215" i="11" s="1"/>
  <c r="W401" i="9"/>
  <c r="X401" i="9" s="1"/>
  <c r="J401" i="9" s="1"/>
  <c r="M401" i="9" s="1"/>
  <c r="N401" i="9" s="1"/>
  <c r="W399" i="9"/>
  <c r="X399" i="9" s="1"/>
  <c r="J399" i="9" s="1"/>
  <c r="M399" i="9" s="1"/>
  <c r="M213" i="11" l="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O215" i="11" s="1"/>
  <c r="F93" i="6"/>
  <c r="S93" i="6" s="1"/>
  <c r="AI9" i="11"/>
  <c r="W9" i="11"/>
  <c r="O213" i="11" l="1"/>
  <c r="O214" i="11"/>
  <c r="O211" i="11"/>
  <c r="O212" i="11"/>
  <c r="O209" i="11"/>
  <c r="O210" i="11"/>
  <c r="O207" i="11"/>
  <c r="O208" i="11"/>
  <c r="Q425" i="9"/>
  <c r="V425" i="9"/>
  <c r="X425" i="9" s="1"/>
  <c r="O206" i="11"/>
  <c r="J11" i="11"/>
  <c r="O205" i="11"/>
  <c r="B6" i="12"/>
  <c r="P205" i="11"/>
  <c r="J425" i="9" l="1"/>
  <c r="M425" i="9" s="1"/>
  <c r="J426" i="9"/>
  <c r="M426" i="9" s="1"/>
  <c r="N426" i="9" s="1"/>
  <c r="H2" i="12"/>
  <c r="B11" i="11"/>
  <c r="S11" i="11" s="1"/>
  <c r="H428" i="9" l="1"/>
  <c r="R206" i="11"/>
  <c r="N425" i="9"/>
  <c r="W11" i="11"/>
  <c r="F84" i="6"/>
  <c r="S84" i="6" s="1"/>
  <c r="AI11" i="11"/>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R211" i="11"/>
  <c r="N433" i="9"/>
  <c r="J12" i="11" s="1"/>
  <c r="R210" i="11"/>
  <c r="P210" i="11"/>
  <c r="H438" i="9" l="1"/>
  <c r="V438" i="9" s="1"/>
  <c r="J14" i="11"/>
  <c r="K14" i="11" s="1"/>
  <c r="H435" i="9"/>
  <c r="K13" i="11" l="1"/>
  <c r="K8" i="11"/>
  <c r="K9" i="11"/>
  <c r="K11" i="11"/>
  <c r="K17" i="11"/>
  <c r="K20" i="11"/>
  <c r="K15" i="11"/>
  <c r="K19" i="11"/>
  <c r="K7" i="11"/>
  <c r="K16" i="11"/>
  <c r="K10" i="11"/>
  <c r="K18" i="11"/>
  <c r="K12" i="11"/>
  <c r="P435" i="9"/>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s="1"/>
  <c r="M444" i="9" s="1"/>
  <c r="N444" i="9" s="1"/>
  <c r="R215" i="11" s="1"/>
  <c r="H447" i="9" l="1"/>
  <c r="R214" i="11"/>
  <c r="B9" i="12"/>
  <c r="K2" i="12" s="1"/>
  <c r="N443" i="9"/>
  <c r="H446" i="9" s="1"/>
  <c r="U214" i="11"/>
  <c r="P214" i="11"/>
  <c r="P447" i="9" l="1"/>
  <c r="Q447" i="9" s="1"/>
  <c r="P446" i="9"/>
  <c r="Q446" i="9" s="1"/>
  <c r="V447" i="9"/>
  <c r="V446" i="9"/>
  <c r="B14" i="11"/>
  <c r="S14" i="11" s="1"/>
  <c r="AI14" i="11" s="1"/>
  <c r="W447" i="9" l="1"/>
  <c r="X447" i="9" s="1"/>
  <c r="J447" i="9" s="1"/>
  <c r="M447" i="9" s="1"/>
  <c r="N447" i="9" s="1"/>
  <c r="W446" i="9"/>
  <c r="X446" i="9" s="1"/>
  <c r="J446" i="9" s="1"/>
  <c r="M446" i="9" s="1"/>
  <c r="F87" i="6"/>
  <c r="S87" i="6" s="1"/>
  <c r="W14" i="11"/>
  <c r="H18" i="7" l="1"/>
  <c r="N446" i="9"/>
  <c r="H19" i="7"/>
  <c r="F19" i="7" s="1"/>
  <c r="B19" i="7"/>
  <c r="B18" i="7"/>
  <c r="B12" i="12"/>
  <c r="B17" i="11" s="1"/>
  <c r="S17" i="11" s="1"/>
  <c r="U215" i="11"/>
  <c r="B7" i="12"/>
  <c r="H17" i="7"/>
  <c r="P215" i="11"/>
  <c r="B17" i="7"/>
  <c r="C18" i="7"/>
  <c r="F18" i="7"/>
  <c r="E18" i="7"/>
  <c r="D18" i="7"/>
  <c r="N2" i="12" l="1"/>
  <c r="D19" i="7"/>
  <c r="C19" i="7"/>
  <c r="E19" i="7"/>
  <c r="W17" i="11"/>
  <c r="AI17" i="11"/>
  <c r="F86" i="6"/>
  <c r="S86" i="6" s="1"/>
  <c r="E17" i="7"/>
  <c r="C17" i="7"/>
  <c r="F17" i="7" s="1"/>
  <c r="D17" i="7"/>
  <c r="I2" i="12"/>
  <c r="B12" i="11"/>
  <c r="E9" i="11" l="1"/>
  <c r="E10" i="11"/>
  <c r="D18" i="11"/>
  <c r="L18" i="11" s="1"/>
  <c r="E17" i="11"/>
  <c r="D18" i="8"/>
  <c r="E15" i="11"/>
  <c r="E19" i="11"/>
  <c r="D9" i="11"/>
  <c r="L9" i="11" s="1"/>
  <c r="E12" i="11"/>
  <c r="B15" i="4" s="1"/>
  <c r="S12" i="11"/>
  <c r="D19" i="8"/>
  <c r="C19" i="8"/>
  <c r="D7" i="11"/>
  <c r="L7" i="11" s="1"/>
  <c r="D10" i="11"/>
  <c r="L10" i="11" s="1"/>
  <c r="E20" i="11"/>
  <c r="D12" i="11"/>
  <c r="L12" i="11" s="1"/>
  <c r="E13" i="11"/>
  <c r="E11" i="11"/>
  <c r="D20" i="11"/>
  <c r="L20" i="11" s="1"/>
  <c r="D11" i="11"/>
  <c r="L11" i="11" s="1"/>
  <c r="D14" i="11"/>
  <c r="L14" i="11" s="1"/>
  <c r="E18" i="11"/>
  <c r="E7" i="11"/>
  <c r="D8" i="11"/>
  <c r="L8" i="11" s="1"/>
  <c r="E8" i="11"/>
  <c r="D17" i="11"/>
  <c r="L17" i="11" s="1"/>
  <c r="B19" i="8"/>
  <c r="D16" i="11"/>
  <c r="L16" i="11" s="1"/>
  <c r="B18" i="8"/>
  <c r="A5" i="8"/>
  <c r="D15" i="11"/>
  <c r="L15" i="11" s="1"/>
  <c r="D19" i="11"/>
  <c r="L19" i="11" s="1"/>
  <c r="C17" i="8"/>
  <c r="C18" i="8"/>
  <c r="B17" i="8"/>
  <c r="E16" i="11"/>
  <c r="E14" i="11"/>
  <c r="D13" i="11"/>
  <c r="L13" i="11" s="1"/>
  <c r="C9" i="12"/>
  <c r="C14" i="11" s="1"/>
  <c r="AA14" i="11" s="1"/>
  <c r="C8" i="12"/>
  <c r="C13" i="11" s="1"/>
  <c r="AA13" i="11" s="1"/>
  <c r="C7" i="12"/>
  <c r="C12" i="11" s="1"/>
  <c r="C15" i="12"/>
  <c r="C20" i="11" s="1"/>
  <c r="AA20" i="11" s="1"/>
  <c r="C2" i="12"/>
  <c r="C7" i="11" s="1"/>
  <c r="AA7" i="11" s="1"/>
  <c r="C4" i="12"/>
  <c r="C9" i="11" s="1"/>
  <c r="AA9" i="11" s="1"/>
  <c r="C5" i="12"/>
  <c r="C10" i="11" s="1"/>
  <c r="AA10" i="11" s="1"/>
  <c r="C12" i="12"/>
  <c r="C17" i="11" s="1"/>
  <c r="AA17" i="11" s="1"/>
  <c r="C3" i="12"/>
  <c r="C8" i="11" s="1"/>
  <c r="AA8" i="11" s="1"/>
  <c r="C13" i="12"/>
  <c r="C18" i="11" s="1"/>
  <c r="AA18" i="11" s="1"/>
  <c r="C10" i="12"/>
  <c r="C15" i="11" s="1"/>
  <c r="AA15" i="11" s="1"/>
  <c r="C14" i="12"/>
  <c r="C19" i="11" s="1"/>
  <c r="AA19" i="11" s="1"/>
  <c r="C6" i="12"/>
  <c r="C11" i="11" s="1"/>
  <c r="AA11" i="11" s="1"/>
  <c r="C11" i="12"/>
  <c r="C16" i="11" s="1"/>
  <c r="AA16" i="11" s="1"/>
  <c r="A8" i="8" l="1"/>
  <c r="F89" i="6"/>
  <c r="S89" i="6" s="1"/>
  <c r="C4" i="6" s="1"/>
  <c r="W12" i="11"/>
  <c r="B24" i="4" s="1"/>
  <c r="AI12" i="11"/>
  <c r="AA12" i="11"/>
  <c r="B28" i="4" s="1"/>
  <c r="B12" i="4"/>
  <c r="B5" i="3" l="1"/>
  <c r="B18" i="3"/>
  <c r="B12" i="3"/>
  <c r="B7" i="3"/>
  <c r="B17" i="3"/>
  <c r="B9" i="3"/>
  <c r="B11" i="3"/>
  <c r="B16" i="3"/>
  <c r="B8" i="3"/>
  <c r="B13" i="3"/>
  <c r="B14" i="3"/>
  <c r="B15" i="3"/>
  <c r="B6" i="3"/>
  <c r="B10" i="3"/>
  <c r="A6" i="2"/>
  <c r="A5" i="2"/>
  <c r="B28" i="7" s="1"/>
  <c r="J10" i="3" l="1"/>
  <c r="E10" i="3"/>
  <c r="K10" i="3"/>
  <c r="V10" i="3"/>
  <c r="R10" i="3"/>
  <c r="H10" i="3"/>
  <c r="I10" i="3"/>
  <c r="D10" i="3"/>
  <c r="X10" i="3"/>
  <c r="C10" i="3"/>
  <c r="U10" i="3"/>
  <c r="P10" i="3"/>
  <c r="M10" i="3"/>
  <c r="O10" i="3"/>
  <c r="T10" i="3"/>
  <c r="Q10" i="3"/>
  <c r="S10" i="3"/>
  <c r="U11" i="3"/>
  <c r="J11" i="3"/>
  <c r="Q11" i="3"/>
  <c r="O11" i="3"/>
  <c r="I11" i="3"/>
  <c r="V11" i="3"/>
  <c r="M11" i="3"/>
  <c r="R11" i="3"/>
  <c r="P11" i="3"/>
  <c r="C11" i="3"/>
  <c r="K11" i="3"/>
  <c r="Y13" i="11" s="1"/>
  <c r="E11" i="3"/>
  <c r="H11" i="3"/>
  <c r="X11" i="3"/>
  <c r="S11" i="3"/>
  <c r="D11" i="3"/>
  <c r="T11" i="3"/>
  <c r="M9" i="3"/>
  <c r="O9" i="3"/>
  <c r="P9" i="3"/>
  <c r="D9" i="3"/>
  <c r="C9" i="3"/>
  <c r="H9" i="3"/>
  <c r="J9" i="3"/>
  <c r="K9" i="3"/>
  <c r="AE19" i="11" s="1"/>
  <c r="I9" i="3"/>
  <c r="E9" i="3"/>
  <c r="X9" i="3"/>
  <c r="S9" i="3"/>
  <c r="T9" i="3"/>
  <c r="R9" i="3"/>
  <c r="U9" i="3"/>
  <c r="Q9" i="3"/>
  <c r="V9" i="3"/>
  <c r="K6" i="3"/>
  <c r="AE14" i="11" s="1"/>
  <c r="J6" i="3"/>
  <c r="S6" i="3"/>
  <c r="X6" i="3"/>
  <c r="Q6" i="3"/>
  <c r="T6" i="3"/>
  <c r="U6" i="3"/>
  <c r="C6" i="3"/>
  <c r="M6" i="3"/>
  <c r="P6" i="3"/>
  <c r="D6" i="3"/>
  <c r="E6" i="3"/>
  <c r="R6" i="3"/>
  <c r="I6" i="3"/>
  <c r="V6" i="3"/>
  <c r="H6" i="3"/>
  <c r="O6" i="3"/>
  <c r="V13" i="3"/>
  <c r="E13" i="3"/>
  <c r="H13" i="3"/>
  <c r="O13" i="3"/>
  <c r="D13" i="3"/>
  <c r="C13" i="3"/>
  <c r="R13" i="3"/>
  <c r="X13" i="3"/>
  <c r="T13" i="3"/>
  <c r="I13" i="3"/>
  <c r="J13" i="3"/>
  <c r="U13" i="3"/>
  <c r="S13" i="3"/>
  <c r="M13" i="3"/>
  <c r="P13" i="3"/>
  <c r="K13" i="3"/>
  <c r="AE18" i="11" s="1"/>
  <c r="Q13" i="3"/>
  <c r="X17" i="3"/>
  <c r="C17" i="3"/>
  <c r="R17" i="3"/>
  <c r="S17" i="3"/>
  <c r="E17" i="3"/>
  <c r="I17" i="3"/>
  <c r="V17" i="3"/>
  <c r="D17" i="3"/>
  <c r="AD10" i="11" s="1"/>
  <c r="U17" i="3"/>
  <c r="P17" i="3"/>
  <c r="J17" i="3"/>
  <c r="T17" i="3"/>
  <c r="M17" i="3"/>
  <c r="O17" i="3"/>
  <c r="Q17" i="3"/>
  <c r="K17" i="3"/>
  <c r="AE10" i="11" s="1"/>
  <c r="H17" i="3"/>
  <c r="P8" i="3"/>
  <c r="I8" i="3"/>
  <c r="D8" i="3"/>
  <c r="O8" i="3"/>
  <c r="Q8" i="3"/>
  <c r="J8" i="3"/>
  <c r="E8" i="3"/>
  <c r="R8" i="3"/>
  <c r="X8" i="3"/>
  <c r="V8" i="3"/>
  <c r="K8" i="3"/>
  <c r="Y19" i="11" s="1"/>
  <c r="T8" i="3"/>
  <c r="H8" i="3"/>
  <c r="U8" i="3"/>
  <c r="S8" i="3"/>
  <c r="C8" i="3"/>
  <c r="M8" i="3"/>
  <c r="K7" i="3"/>
  <c r="AE11" i="11" s="1"/>
  <c r="E7" i="3"/>
  <c r="S7" i="3"/>
  <c r="V7" i="3"/>
  <c r="D7" i="3"/>
  <c r="AD11" i="11" s="1"/>
  <c r="U7" i="3"/>
  <c r="Q7" i="3"/>
  <c r="M7" i="3"/>
  <c r="C7" i="3"/>
  <c r="O7" i="3"/>
  <c r="J7" i="3"/>
  <c r="H7" i="3"/>
  <c r="P7" i="3"/>
  <c r="R7" i="3"/>
  <c r="I7" i="3"/>
  <c r="T7" i="3"/>
  <c r="X7" i="3"/>
  <c r="R12" i="3"/>
  <c r="E12" i="3"/>
  <c r="M12" i="3"/>
  <c r="I12" i="3"/>
  <c r="X12" i="3"/>
  <c r="K12" i="3"/>
  <c r="U12" i="3"/>
  <c r="H12" i="3"/>
  <c r="T12" i="3"/>
  <c r="Q12" i="3"/>
  <c r="P12" i="3"/>
  <c r="S12" i="3"/>
  <c r="O12" i="3"/>
  <c r="J12" i="3"/>
  <c r="C12" i="3"/>
  <c r="V12" i="3"/>
  <c r="D12" i="3"/>
  <c r="E15" i="3"/>
  <c r="Q15" i="3"/>
  <c r="S15" i="3"/>
  <c r="D15" i="3"/>
  <c r="AD7" i="11" s="1"/>
  <c r="X15" i="3"/>
  <c r="T15" i="3"/>
  <c r="O15" i="3"/>
  <c r="C15" i="3"/>
  <c r="I15" i="3"/>
  <c r="M15" i="3"/>
  <c r="R15" i="3"/>
  <c r="P15" i="3"/>
  <c r="H15" i="3"/>
  <c r="J15" i="3"/>
  <c r="U15" i="3"/>
  <c r="V15" i="3"/>
  <c r="K15" i="3"/>
  <c r="AE7" i="11" s="1"/>
  <c r="K14" i="3"/>
  <c r="AE20" i="11" s="1"/>
  <c r="H14" i="3"/>
  <c r="X14" i="3"/>
  <c r="T14" i="3"/>
  <c r="Q14" i="3"/>
  <c r="P14" i="3"/>
  <c r="E14" i="3"/>
  <c r="I14" i="3"/>
  <c r="R14" i="3"/>
  <c r="D14" i="3"/>
  <c r="V14" i="3"/>
  <c r="O14" i="3"/>
  <c r="C14" i="3"/>
  <c r="M14" i="3"/>
  <c r="S14" i="3"/>
  <c r="J14" i="3"/>
  <c r="U14" i="3"/>
  <c r="V18" i="3"/>
  <c r="J18" i="3"/>
  <c r="D18" i="3"/>
  <c r="AD16" i="11" s="1"/>
  <c r="K18" i="3"/>
  <c r="Y16" i="11" s="1"/>
  <c r="Q18" i="3"/>
  <c r="I18" i="3"/>
  <c r="H18" i="3"/>
  <c r="M18" i="3"/>
  <c r="E18" i="3"/>
  <c r="T18" i="3"/>
  <c r="R18" i="3"/>
  <c r="X18" i="3"/>
  <c r="S18" i="3"/>
  <c r="P18" i="3"/>
  <c r="C18" i="3"/>
  <c r="O18" i="3"/>
  <c r="U18" i="3"/>
  <c r="T16" i="3"/>
  <c r="X16" i="3"/>
  <c r="V16" i="3"/>
  <c r="E16" i="3"/>
  <c r="I16" i="3"/>
  <c r="M16" i="3"/>
  <c r="U16" i="3"/>
  <c r="S16" i="3"/>
  <c r="O16" i="3"/>
  <c r="K16" i="3"/>
  <c r="AE8" i="11" s="1"/>
  <c r="H16" i="3"/>
  <c r="P16" i="3"/>
  <c r="Q16" i="3"/>
  <c r="C16" i="3"/>
  <c r="J16" i="3"/>
  <c r="R16" i="3"/>
  <c r="D16" i="3"/>
  <c r="X5" i="3"/>
  <c r="D5" i="3"/>
  <c r="H5" i="3"/>
  <c r="V5" i="3"/>
  <c r="K5" i="3"/>
  <c r="AE15" i="11" s="1"/>
  <c r="O5" i="3"/>
  <c r="U5" i="3"/>
  <c r="B5" i="4"/>
  <c r="Q5" i="3"/>
  <c r="J5" i="3"/>
  <c r="I5" i="3"/>
  <c r="S5" i="3"/>
  <c r="C5" i="3"/>
  <c r="R5" i="3"/>
  <c r="M5" i="3"/>
  <c r="E5" i="3"/>
  <c r="T5" i="3"/>
  <c r="P5" i="3"/>
  <c r="AD13" i="11"/>
  <c r="AD9" i="11"/>
  <c r="AD18" i="11"/>
  <c r="AD14" i="11"/>
  <c r="B10" i="4"/>
  <c r="AD19" i="11"/>
  <c r="AE9" i="11" l="1"/>
  <c r="T2" i="3"/>
  <c r="B6" i="4"/>
  <c r="Y14" i="11"/>
  <c r="AE17" i="11"/>
  <c r="AE16" i="11"/>
  <c r="Y17" i="11"/>
  <c r="L6" i="3"/>
  <c r="F6" i="3"/>
  <c r="G6" i="3"/>
  <c r="X14" i="11" s="1"/>
  <c r="AB14" i="11" s="1"/>
  <c r="AF14" i="11" s="1"/>
  <c r="W6" i="3" s="1"/>
  <c r="AD8" i="11"/>
  <c r="L16" i="3"/>
  <c r="G16" i="3"/>
  <c r="X8" i="11" s="1"/>
  <c r="F16" i="3"/>
  <c r="L15" i="3"/>
  <c r="G15" i="3"/>
  <c r="X7" i="11" s="1"/>
  <c r="AB7" i="11" s="1"/>
  <c r="AF7" i="11" s="1"/>
  <c r="W15" i="3" s="1"/>
  <c r="F15" i="3"/>
  <c r="F17" i="3"/>
  <c r="G17" i="3"/>
  <c r="X10" i="11" s="1"/>
  <c r="L17" i="3"/>
  <c r="AE13" i="11"/>
  <c r="Y7" i="11"/>
  <c r="N15" i="3"/>
  <c r="N5" i="3"/>
  <c r="N9" i="3"/>
  <c r="N11" i="3"/>
  <c r="N16" i="3"/>
  <c r="N12" i="3"/>
  <c r="N18" i="3"/>
  <c r="B33" i="7"/>
  <c r="N17" i="3"/>
  <c r="N13" i="3"/>
  <c r="N14" i="3"/>
  <c r="N7" i="3"/>
  <c r="N10" i="3"/>
  <c r="N6" i="3"/>
  <c r="N8" i="3"/>
  <c r="F12" i="3"/>
  <c r="L12" i="3"/>
  <c r="G12" i="3"/>
  <c r="F8" i="3"/>
  <c r="L8" i="3"/>
  <c r="G8" i="3"/>
  <c r="L13" i="3"/>
  <c r="G13" i="3"/>
  <c r="X18" i="11" s="1"/>
  <c r="F13" i="3"/>
  <c r="AD17" i="11"/>
  <c r="G10" i="3"/>
  <c r="X17" i="11" s="1"/>
  <c r="AB17" i="11" s="1"/>
  <c r="AF17" i="11" s="1"/>
  <c r="F10" i="3"/>
  <c r="L10" i="3"/>
  <c r="Y12" i="11"/>
  <c r="B26" i="4" s="1"/>
  <c r="Y9" i="11"/>
  <c r="L9" i="3"/>
  <c r="F9" i="3"/>
  <c r="G9" i="3"/>
  <c r="G18" i="3"/>
  <c r="X16" i="11" s="1"/>
  <c r="AB16" i="11" s="1"/>
  <c r="F18" i="3"/>
  <c r="L18" i="3"/>
  <c r="Y8" i="11"/>
  <c r="Y18" i="11"/>
  <c r="Y20" i="11"/>
  <c r="Y11" i="11"/>
  <c r="AD12" i="11"/>
  <c r="L7" i="3"/>
  <c r="F7" i="3"/>
  <c r="G7" i="3"/>
  <c r="AD20" i="11"/>
  <c r="AF20" i="11" s="1"/>
  <c r="W14" i="3" s="1"/>
  <c r="G14" i="3"/>
  <c r="X20" i="11" s="1"/>
  <c r="L14" i="3"/>
  <c r="F14" i="3"/>
  <c r="B11" i="4"/>
  <c r="G11" i="3"/>
  <c r="L11" i="3"/>
  <c r="F11" i="3"/>
  <c r="Y15" i="11"/>
  <c r="B22" i="7"/>
  <c r="B31" i="7"/>
  <c r="C22" i="7"/>
  <c r="AE12" i="11"/>
  <c r="Y10" i="11"/>
  <c r="AD15" i="11"/>
  <c r="G5" i="3"/>
  <c r="X15" i="11" s="1"/>
  <c r="A10" i="8"/>
  <c r="B30" i="7"/>
  <c r="C21" i="7"/>
  <c r="F21" i="7" s="1"/>
  <c r="B21" i="7"/>
  <c r="F5" i="3"/>
  <c r="L5" i="3"/>
  <c r="AB18" i="11" l="1"/>
  <c r="AF18" i="11" s="1"/>
  <c r="W13" i="3" s="1"/>
  <c r="AB8" i="11"/>
  <c r="AF8" i="11" s="1"/>
  <c r="W16" i="3" s="1"/>
  <c r="X11" i="11"/>
  <c r="AB11" i="11" s="1"/>
  <c r="AF11" i="11" s="1"/>
  <c r="X13" i="11"/>
  <c r="AB13" i="11" s="1"/>
  <c r="AF13" i="11" s="1"/>
  <c r="X9" i="11"/>
  <c r="AB9" i="11" s="1"/>
  <c r="AF9" i="11" s="1"/>
  <c r="W12" i="3" s="1"/>
  <c r="AF16" i="11"/>
  <c r="W18" i="3" s="1"/>
  <c r="B16" i="4"/>
  <c r="W10" i="3"/>
  <c r="B8" i="4"/>
  <c r="AB15" i="11"/>
  <c r="AF15" i="11" s="1"/>
  <c r="W5" i="3" s="1"/>
  <c r="AB10" i="11"/>
  <c r="AF10" i="11" s="1"/>
  <c r="W17" i="3" s="1"/>
  <c r="X19" i="11"/>
  <c r="AB19" i="11" s="1"/>
  <c r="AF19" i="11" s="1"/>
  <c r="B9" i="4"/>
  <c r="X12" i="11"/>
  <c r="A3" i="3"/>
  <c r="AB20" i="11"/>
  <c r="W11" i="3" l="1"/>
  <c r="AB12" i="11"/>
  <c r="B25" i="4"/>
  <c r="B23" i="4" l="1"/>
  <c r="AF12" i="11"/>
  <c r="W8" i="3" s="1"/>
  <c r="W7" i="3" l="1"/>
  <c r="B7" i="4"/>
  <c r="W9" i="3"/>
</calcChain>
</file>

<file path=xl/sharedStrings.xml><?xml version="1.0" encoding="utf-8"?>
<sst xmlns="http://schemas.openxmlformats.org/spreadsheetml/2006/main" count="2305" uniqueCount="454">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</sst>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Daniel (Ferret)</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1153   |   35 wins, 41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1048</v>
      </c>
      <c r="D28" s="30" t="str">
        <f>IF(OR($B28="—",$B28=""),"—",COUNTIFS('Match Log'!$D$4:$D$810,$B28,'Match Log'!$C$4:$C$810,$A28,'Match Log'!$E$4:$E$810,"Win")&amp;"–"&amp;(COUNTIFS('Match Log'!$D$4:$D$810,$B28,'Match Log'!$C$4:$C$810,$A28)-COUNTIFS('Match Log'!$D$4:$D$810,$B28,'Match Log'!$C$4:$C$810,$A28,'Match Log'!$E$4:$E$810,"Win")))</f>
        <v>15–10</v>
      </c>
      <c r="E28" s="30">
        <f>'Sport Records'!$P$26</f>
        <v>33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Normal="100" workbookViewId="0">
      <pane xSplit="3" ySplit="4" topLeftCell="D5" activePane="bottomRight" state="frozen"/>
      <selection pane="topRight" activeCell="D1" sqref="D1"/>
      <selection pane="bottomLeft" activeCell="A5" sqref="A5"/>
      <selection pane="bottomRight" activeCell="F37" sqref="F37"/>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191  ·  9 Aug 2026</v>
      </c>
      <c r="T2" s="44" t="str">
        <f ca="1">IF(COUNTIF($T$5:$T$18,"At risk")+COUNTIF($T$5:$T$18,"Inactive")=0,"Inactivity watch:  all players active ✓","⚠ Inactivity watch:  "&amp;(COUNTIF($T$5:$T$18,"At risk")+COUNTIF($T$5:$T$18,"Inactive"))&amp;" player(s) need a game — see Activity column")</f>
        <v>⚠ Inactivity watch:  10 player(s) need a game — see Activity column</v>
      </c>
    </row>
    <row r="3" spans="1:24" ht="15.75" customHeight="1" x14ac:dyDescent="0.2">
      <c r="A3" s="137" t="str">
        <f ca="1">"Current Champion:  "&amp;IFERROR(INDEX($B$5:$B$18,MATCH(SUMPRODUCT(MAX(($L$5:$L$18="Eligible")*($T$5:$T$18&lt;&gt;"Inactive")*$V$5:$V$18)),$V$5:$V$18,0)),"— none eligible yet —")</f>
        <v>Current Champion:  Daniel (Ferret)</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1231.7029363250533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1087.7901100950801</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4.0999999999999996</v>
      </c>
      <c r="T5" s="49" t="str">
        <f ca="1">IFERROR(INDEX(Calcs!$T$7:$T$20,MATCH($B5,Calcs!$A$7:$A$20,0)),"")</f>
        <v>Inactive</v>
      </c>
      <c r="U5">
        <f ca="1">IFERROR(ROUND(INDEX(Calcs!$R$7:$R$20,MATCH($B5,Calcs!$A$7:$A$20,0))+INDEX(Calcs!$U$7:$U$20,MATCH($B5,Calcs!$A$7:$A$20,0)),0),0)</f>
        <v>10</v>
      </c>
      <c r="V5" s="51">
        <f ca="1">IFERROR(ROUND(INDEX(Calcs!$S$7:$S$20,MATCH($B5,Calcs!$A$7:$A$20,0)),0),"")</f>
        <v>1232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Daniel (Ferret)</v>
      </c>
      <c r="C6" s="48">
        <f ca="1">IFERROR(INDEX(Calcs!$S$7:$S$20,MATCH($B6,Calcs!$A$7:$A$20,0)),"")</f>
        <v>1153.0208401956088</v>
      </c>
      <c r="D6" s="49">
        <f ca="1">COUNTIF('Match Log'!$D$4:$D$810,$B6)</f>
        <v>76</v>
      </c>
      <c r="E6" s="49">
        <f ca="1">COUNTIFS('Match Log'!$D$4:$D$810,$B6,'Match Log'!$E$4:$E$810,"Win")</f>
        <v>35</v>
      </c>
      <c r="F6" s="49">
        <f t="shared" ca="1" si="1"/>
        <v>41</v>
      </c>
      <c r="G6" s="50">
        <f t="shared" ca="1" si="2"/>
        <v>0.46052631578947367</v>
      </c>
      <c r="H6" s="51">
        <f ca="1">SUMIF('Match Log'!$D$4:$D$810,$B6,'Match Log'!$J$4:$J$810)</f>
        <v>41.774552221548468</v>
      </c>
      <c r="I6" s="51">
        <f ca="1">SUMIF('Match Log'!$D$4:$D$810,$B6,'Match Log'!$K$4:$K$810)</f>
        <v>43.596287974060196</v>
      </c>
      <c r="J6" s="51">
        <f ca="1">SUMIF('Match Log'!$D$4:$D$810,$B6,'Match Log'!$L$4:$L$810)</f>
        <v>69</v>
      </c>
      <c r="K6" s="49">
        <f ca="1">SUMPRODUCT(--(COUNTIFS('Match Log'!$D$4:$D$810,$B6,'Match Log'!$C$4:$C$810,Lists!$C$2:$C$24)&gt;0))</f>
        <v>14</v>
      </c>
      <c r="L6" s="49" t="str">
        <f ca="1">IF($D6=0,"No games",IF(AND($D6&gt;='Guide &amp; Settings'!$C$45,$K6&gt;='Guide &amp; Settings'!$C$46),"Eligible","Provisional"))</f>
        <v>Eligible</v>
      </c>
      <c r="M6" s="48">
        <f ca="1">IFERROR(INDEX(Calcs!$C$7:$C$20,MATCH($B6,Calcs!$A$7:$A$20,0)),"")</f>
        <v>1100.7634826998838</v>
      </c>
      <c r="N6" s="48">
        <f t="shared" ca="1" si="3"/>
        <v>78.682096129444517</v>
      </c>
      <c r="O6" s="49" t="str">
        <f ca="1">IFERROR(INDEX(Calcs!$H$7:$H$20,MATCH($B6,Calcs!$A$7:$A$20,0)),"")</f>
        <v>W2</v>
      </c>
      <c r="P6" s="49" t="str">
        <f ca="1">IFERROR(INDEX(Calcs!$I$7:$I$20,MATCH($B6,Calcs!$A$7:$A$20,0)),"")</f>
        <v>WWLWW</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7 Aug</v>
      </c>
      <c r="S6" s="49">
        <f ca="1">IFERROR(ROUND(INDEX(Calcs!$Q$7:$Q$20,MATCH($B6,Calcs!$A$7:$A$20,0)),1),"")</f>
        <v>0.4</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-1.4</v>
      </c>
    </row>
    <row r="7" spans="1:24" ht="15" customHeight="1" x14ac:dyDescent="0.2">
      <c r="A7" s="46">
        <f t="shared" si="0"/>
        <v>3</v>
      </c>
      <c r="B7" s="47" t="str">
        <f ca="1">IFERROR(INDEX(Calcs!$A$7:$A$20,MATCH(LARGE(Calcs!$AI$7:$AI$20,ROW()-4),Calcs!$AI$7:$AI$20,0)),"")</f>
        <v>Shawn</v>
      </c>
      <c r="C7" s="48">
        <f ca="1">IFERROR(INDEX(Calcs!$S$7:$S$20,MATCH($B7,Calcs!$A$7:$A$20,0)),"")</f>
        <v>1138.9018506237364</v>
      </c>
      <c r="D7" s="49">
        <f ca="1">COUNTIF('Match Log'!$D$4:$D$810,$B7)</f>
        <v>92</v>
      </c>
      <c r="E7" s="49">
        <f ca="1">COUNTIFS('Match Log'!$D$4:$D$810,$B7,'Match Log'!$E$4:$E$810,"Win")</f>
        <v>43</v>
      </c>
      <c r="F7" s="49">
        <f t="shared" ca="1" si="1"/>
        <v>49</v>
      </c>
      <c r="G7" s="50">
        <f t="shared" ca="1" si="2"/>
        <v>0.46739130434782611</v>
      </c>
      <c r="H7" s="51">
        <f ca="1">SUMIF('Match Log'!$D$4:$D$810,$B7,'Match Log'!$J$4:$J$810)</f>
        <v>55.034715662778908</v>
      </c>
      <c r="I7" s="51">
        <f ca="1">SUMIF('Match Log'!$D$4:$D$810,$B7,'Match Log'!$K$4:$K$810)</f>
        <v>5.6171349609579639</v>
      </c>
      <c r="J7" s="51">
        <f ca="1">SUMIF('Match Log'!$D$4:$D$810,$B7,'Match Log'!$L$4:$L$810)</f>
        <v>82</v>
      </c>
      <c r="K7" s="49">
        <f ca="1">SUMPRODUCT(--(COUNTIFS('Match Log'!$D$4:$D$810,$B7,'Match Log'!$C$4:$C$810,Lists!$C$2:$C$24)&gt;0))</f>
        <v>11</v>
      </c>
      <c r="L7" s="49" t="str">
        <f ca="1">IF($D7=0,"No games",IF(AND($D7&gt;='Guide &amp; Settings'!$C$45,$K7&gt;='Guide &amp; Settings'!$C$46),"Eligible","Provisional"))</f>
        <v>Eligible</v>
      </c>
      <c r="M7" s="48">
        <f ca="1">IFERROR(INDEX(Calcs!$C$7:$C$20,MATCH($B7,Calcs!$A$7:$A$20,0)),"")</f>
        <v>1072.9382537274287</v>
      </c>
      <c r="N7" s="48">
        <f t="shared" ca="1" si="3"/>
        <v>92.801085701316879</v>
      </c>
      <c r="O7" s="49" t="str">
        <f ca="1">IFERROR(INDEX(Calcs!$H$7:$H$20,MATCH($B7,Calcs!$A$7:$A$20,0)),"")</f>
        <v>W1</v>
      </c>
      <c r="P7" s="49" t="str">
        <f ca="1">IFERROR(INDEX(Calcs!$I$7:$I$20,MATCH($B7,Calcs!$A$7:$A$20,0)),"")</f>
        <v>WWLLW</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9 Aug</v>
      </c>
      <c r="S7" s="49">
        <f ca="1">IFERROR(ROUND(INDEX(Calcs!$Q$7:$Q$20,MATCH($B7,Calcs!$A$7:$A$20,0)),1),"")</f>
        <v>0.1</v>
      </c>
      <c r="T7" s="49" t="str">
        <f ca="1">IFERROR(INDEX(Calcs!$T$7:$T$20,MATCH($B7,Calcs!$A$7:$A$20,0)),"")</f>
        <v>Active</v>
      </c>
      <c r="U7">
        <f ca="1">IFERROR(ROUND(INDEX(Calcs!$R$7:$R$20,MATCH($B7,Calcs!$A$7:$A$20,0))+INDEX(Calcs!$U$7:$U$20,MATCH($B7,Calcs!$A$7:$A$20,0)),0),0)</f>
        <v>0</v>
      </c>
      <c r="V7" s="51">
        <f ca="1">IFERROR(ROUND(INDEX(Calcs!$S$7:$S$20,MATCH($B7,Calcs!$A$7:$A$20,0)),0),"")</f>
        <v>1139</v>
      </c>
      <c r="W7" s="49" t="str">
        <f ca="1">IFERROR(INDEX(Calcs!$AF$7:$AF$20,MATCH($B7,Calcs!$A$7:$A$20,0)),"")</f>
        <v>Elite</v>
      </c>
      <c r="X7" s="51">
        <f ca="1">IFERROR(ROUND(SUMIF('Poker Stake Ledger'!$C$18:$C$137,$B7,'Poker Stake Ledger'!$K$18:$K$137),1),0)</f>
        <v>-3.8</v>
      </c>
    </row>
    <row r="8" spans="1:24" ht="15" customHeight="1" x14ac:dyDescent="0.2">
      <c r="A8" s="46">
        <f t="shared" si="0"/>
        <v>4</v>
      </c>
      <c r="B8" s="47" t="str">
        <f ca="1">IFERROR(INDEX(Calcs!$A$7:$A$20,MATCH(LARGE(Calcs!$AI$7:$AI$20,ROW()-4),Calcs!$AI$7:$AI$20,0)),"")</f>
        <v>Josh</v>
      </c>
      <c r="C8" s="48">
        <f ca="1">IFERROR(INDEX(Calcs!$S$7:$S$20,MATCH($B8,Calcs!$A$7:$A$20,0)),"")</f>
        <v>1115.3515451357737</v>
      </c>
      <c r="D8" s="49">
        <f ca="1">COUNTIF('Match Log'!$D$4:$D$810,$B8)</f>
        <v>38</v>
      </c>
      <c r="E8" s="49">
        <f ca="1">COUNTIFS('Match Log'!$D$4:$D$810,$B8,'Match Log'!$E$4:$E$810,"Win")</f>
        <v>22</v>
      </c>
      <c r="F8" s="49">
        <f t="shared" ca="1" si="1"/>
        <v>16</v>
      </c>
      <c r="G8" s="50">
        <f t="shared" ca="1" si="2"/>
        <v>0.57894736842105265</v>
      </c>
      <c r="H8" s="51">
        <f ca="1">SUMIF('Match Log'!$D$4:$D$810,$B8,'Match Log'!$J$4:$J$810)</f>
        <v>4.6665579619380289</v>
      </c>
      <c r="I8" s="51">
        <f ca="1">SUMIF('Match Log'!$D$4:$D$810,$B8,'Match Log'!$K$4:$K$810)</f>
        <v>38.934987173835978</v>
      </c>
      <c r="J8" s="51">
        <f ca="1">SUMIF('Match Log'!$D$4:$D$810,$B8,'Match Log'!$L$4:$L$810)</f>
        <v>50</v>
      </c>
      <c r="K8" s="49">
        <f ca="1">SUMPRODUCT(--(COUNTIFS('Match Log'!$D$4:$D$810,$B8,'Match Log'!$C$4:$C$810,Lists!$C$2:$C$24)&gt;0))</f>
        <v>12</v>
      </c>
      <c r="L8" s="49" t="str">
        <f ca="1">IF($D8=0,"No games",IF(AND($D8&gt;='Guide &amp; Settings'!$C$45,$K8&gt;='Guide &amp; Settings'!$C$46),"Eligible","Provisional"))</f>
        <v>Eligible</v>
      </c>
      <c r="M8" s="48">
        <f ca="1">IFERROR(INDEX(Calcs!$C$7:$C$20,MATCH($B8,Calcs!$A$7:$A$20,0)),"")</f>
        <v>1097.6630866724743</v>
      </c>
      <c r="N8" s="48">
        <f t="shared" ca="1" si="3"/>
        <v>116.35139118927964</v>
      </c>
      <c r="O8" s="49" t="str">
        <f ca="1">IFERROR(INDEX(Calcs!$H$7:$H$20,MATCH($B8,Calcs!$A$7:$A$20,0)),"")</f>
        <v>W1</v>
      </c>
      <c r="P8" s="49" t="str">
        <f ca="1">IFERROR(INDEX(Calcs!$I$7:$I$20,MATCH($B8,Calcs!$A$7:$A$20,0)),"")</f>
        <v>LWLLW</v>
      </c>
      <c r="Q8" s="49" t="str">
        <f ca="1">IFERROR(IF(INDEX(Calcs!$L$7:$L$20,MATCH($B8,Calcs!$A$7:$A$20,0))&gt;0,"▲"&amp;INDEX(Calcs!$L$7:$L$20,MATCH($B8,Calcs!$A$7:$A$20,0)),IF(INDEX(Calcs!$L$7:$L$20,MATCH($B8,Calcs!$A$7:$A$20,0))&lt;0,"▼"&amp;ABS(INDEX(Calcs!$L$7:$L$20,MATCH($B8,Calcs!$A$7:$A$20,0))),"–")),"")</f>
        <v>▲1</v>
      </c>
      <c r="R8" s="49" t="str">
        <f ca="1">IFERROR(IF(INDEX(Calcs!$P$7:$P$20,MATCH($B8,Calcs!$A$7:$A$20,0))=0,"—",TEXT(INDEX(Calcs!$P$7:$P$20,MATCH($B8,Calcs!$A$7:$A$20,0)),"d mmm")),"")</f>
        <v>26 Jul</v>
      </c>
      <c r="S8" s="49">
        <f ca="1">IFERROR(ROUND(INDEX(Calcs!$Q$7:$Q$20,MATCH($B8,Calcs!$A$7:$A$20,0)),1),"")</f>
        <v>2.1</v>
      </c>
      <c r="T8" s="49" t="str">
        <f ca="1">IFERROR(INDEX(Calcs!$T$7:$T$20,MATCH($B8,Calcs!$A$7:$A$20,0)),"")</f>
        <v>At risk</v>
      </c>
      <c r="U8">
        <f ca="1">IFERROR(ROUND(INDEX(Calcs!$R$7:$R$20,MATCH($B8,Calcs!$A$7:$A$20,0))+INDEX(Calcs!$U$7:$U$20,MATCH($B8,Calcs!$A$7:$A$20,0)),0),0)</f>
        <v>0</v>
      </c>
      <c r="V8" s="51">
        <f ca="1">IFERROR(ROUND(INDEX(Calcs!$S$7:$S$20,MATCH($B8,Calcs!$A$7:$A$20,0)),0),"")</f>
        <v>1115</v>
      </c>
      <c r="W8" s="49" t="str">
        <f ca="1">IFERROR(INDEX(Calcs!$AF$7:$AF$20,MATCH($B8,Calcs!$A$7:$A$20,0)),"")</f>
        <v>Elite</v>
      </c>
      <c r="X8" s="51">
        <f ca="1">IFERROR(ROUND(SUMIF('Poker Stake Ledger'!$C$18:$C$137,$B8,'Poker Stake Ledger'!$K$18:$K$137),1),0)</f>
        <v>21.8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1051.1937613447224</v>
      </c>
      <c r="N9" s="48">
        <f t="shared" ca="1" si="3"/>
        <v>151.31984435006098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3.1</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1054.3366131438215</v>
      </c>
      <c r="D10" s="49">
        <f ca="1">COUNTIF('Match Log'!$D$4:$D$810,$B10)</f>
        <v>59</v>
      </c>
      <c r="E10" s="49">
        <f ca="1">COUNTIFS('Match Log'!$D$4:$D$810,$B10,'Match Log'!$E$4:$E$810,"Win")</f>
        <v>25</v>
      </c>
      <c r="F10" s="49">
        <f t="shared" ca="1" si="1"/>
        <v>34</v>
      </c>
      <c r="G10" s="50">
        <f t="shared" ca="1" si="2"/>
        <v>0.42372881355932202</v>
      </c>
      <c r="H10" s="51">
        <f ca="1">SUMIF('Match Log'!$D$4:$D$810,$B10,'Match Log'!$J$4:$J$810)</f>
        <v>-33.21875751222327</v>
      </c>
      <c r="I10" s="51">
        <f ca="1">SUMIF('Match Log'!$D$4:$D$810,$B10,'Match Log'!$K$4:$K$810)</f>
        <v>13.555370656044481</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1097.7135039639188</v>
      </c>
      <c r="N10" s="48">
        <f t="shared" ca="1" si="3"/>
        <v>177.36632318123179</v>
      </c>
      <c r="O10" s="49" t="str">
        <f ca="1">IFERROR(INDEX(Calcs!$H$7:$H$20,MATCH($B10,Calcs!$A$7:$A$20,0)),"")</f>
        <v>L6</v>
      </c>
      <c r="P10" s="49" t="str">
        <f ca="1">IFERROR(INDEX(Calcs!$I$7:$I$20,MATCH($B10,Calcs!$A$7:$A$20,0)),"")</f>
        <v>LLLLL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9 Aug</v>
      </c>
      <c r="S10" s="49">
        <f ca="1">IFERROR(ROUND(INDEX(Calcs!$Q$7:$Q$20,MATCH($B10,Calcs!$A$7:$A$20,0)),1),"")</f>
        <v>0.1</v>
      </c>
      <c r="T10" s="49" t="str">
        <f ca="1">IFERROR(INDEX(Calcs!$T$7:$T$20,MATCH($B10,Calcs!$A$7:$A$20,0)),"")</f>
        <v>Active</v>
      </c>
      <c r="U10">
        <f ca="1">IFERROR(ROUND(INDEX(Calcs!$R$7:$R$20,MATCH($B10,Calcs!$A$7:$A$20,0))+INDEX(Calcs!$U$7:$U$20,MATCH($B10,Calcs!$A$7:$A$20,0)),0),0)</f>
        <v>0</v>
      </c>
      <c r="V10" s="51">
        <f ca="1">IFERROR(ROUND(INDEX(Calcs!$S$7:$S$20,MATCH($B10,Calcs!$A$7:$A$20,0)),0),"")</f>
        <v>1054</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1061.8794329697569</v>
      </c>
      <c r="N11" s="48">
        <f t="shared" ca="1" si="3"/>
        <v>187.0136290126959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2.1</v>
      </c>
      <c r="T11" s="49" t="str">
        <f ca="1">IFERROR(INDEX(Calcs!$T$7:$T$20,MATCH($B11,Calcs!$A$7:$A$20,0)),"")</f>
        <v>At risk</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1083.8528433389447</v>
      </c>
      <c r="N12" s="48">
        <f t="shared" ca="1" si="3"/>
        <v>193.88322485295953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3.4</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1061.1030588367298</v>
      </c>
      <c r="N13" s="48">
        <f t="shared" ca="1" si="3"/>
        <v>219.57253637582289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3.1</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231.70293632505332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1104.7521485999755</v>
      </c>
      <c r="N15" s="48">
        <f t="shared" ca="1" si="3"/>
        <v>232.97683165558283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2.1</v>
      </c>
      <c r="T15" s="49" t="str">
        <f ca="1">IFERROR(INDEX(Calcs!$T$7:$T$20,MATCH($B15,Calcs!$A$7:$A$20,0)),"")</f>
        <v>At risk</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979.51759653351382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1068.7234592074572</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8</v>
      </c>
      <c r="T16" s="49" t="str">
        <f ca="1">IFERROR(INDEX(Calcs!$T$7:$T$20,MATCH($B16,Calcs!$A$7:$A$20,0)),"")</f>
        <v>Inactive</v>
      </c>
      <c r="U16">
        <f ca="1">IFERROR(ROUND(INDEX(Calcs!$R$7:$R$20,MATCH($B16,Calcs!$A$7:$A$20,0))+INDEX(Calcs!$U$7:$U$20,MATCH($B16,Calcs!$A$7:$A$20,0)),0),0)</f>
        <v>50</v>
      </c>
      <c r="V16" s="51">
        <f ca="1">IFERROR(ROUND(INDEX(Calcs!$S$7:$S$20,MATCH($B16,Calcs!$A$7:$A$20,0)),0),"")</f>
        <v>980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963.19705892757202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1077.7203144704974</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4.3</v>
      </c>
      <c r="T17" s="49" t="str">
        <f ca="1">IFERROR(INDEX(Calcs!$T$7:$T$20,MATCH($B17,Calcs!$A$7:$A$20,0)),"")</f>
        <v>Inactive</v>
      </c>
      <c r="U17">
        <f ca="1">IFERROR(ROUND(INDEX(Calcs!$R$7:$R$20,MATCH($B17,Calcs!$A$7:$A$20,0))+INDEX(Calcs!$U$7:$U$20,MATCH($B17,Calcs!$A$7:$A$20,0)),0),0)</f>
        <v>10</v>
      </c>
      <c r="V17" s="51">
        <f ca="1">IFERROR(ROUND(INDEX(Calcs!$S$7:$S$20,MATCH($B17,Calcs!$A$7:$A$20,0)),0),"")</f>
        <v>963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1070.5810168164153</v>
      </c>
      <c r="N18" s="48">
        <f t="shared" ca="1" si="3"/>
        <v>369.47999258827838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3.1</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3</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1138.9018506237364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43–49</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0.46739130434782611</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92</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11</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1072.9382537274287</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WWLLW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99.051085701316879</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9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75</v>
      </c>
      <c r="D23" s="56" t="s">
        <v>208</v>
      </c>
      <c r="E23" s="36">
        <f>COUNTIFS('Match Log'!$D$4:$D$810,$B$3,'Match Log'!$C$4:$C$810,$D23)</f>
        <v>25</v>
      </c>
      <c r="F23" s="36">
        <f>COUNTIFS('Match Log'!$D$4:$D$810,$B$3,'Match Log'!$C$4:$C$810,$D23,'Match Log'!$E$4:$E$810,"Win")</f>
        <v>15</v>
      </c>
      <c r="G23" s="57">
        <f t="shared" si="0"/>
        <v>0.6</v>
      </c>
      <c r="H23" s="58">
        <f>IFERROR(IF($E23=0,"",INDEX('Sport Records'!$B$100:$O$122,MATCH($D23,'Sport Records'!$A$100:$A$122,0),MATCH($B$3,'Sport Records'!$B$99:$O$99,0))),"")</f>
        <v>1047.5054308988927</v>
      </c>
    </row>
    <row r="24" spans="1:8" x14ac:dyDescent="0.2">
      <c r="A24" s="64" t="s">
        <v>209</v>
      </c>
      <c r="B24" s="65">
        <f ca="1">IFERROR(ROUND(INDEX(Calcs!$W$7:$W$20,MATCH($B$3,Calcs!$A$7:$A$20,0)),0),"")</f>
        <v>85</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47</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60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68</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67% of 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33% of 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50% of 30</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50% of 30</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32</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33</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32</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191</v>
      </c>
    </row>
    <row r="4" spans="1:18" ht="18.75" customHeight="1" x14ac:dyDescent="0.2">
      <c r="A4" s="73" t="s">
        <v>223</v>
      </c>
      <c r="C4" s="159" t="str">
        <f ca="1">INDEX($A$83:$A$96,MATCH(MAX($S$83:$S$96),$S$83:$S$96,0))</f>
        <v>Daniel (Ferret)</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25</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11</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33</v>
      </c>
      <c r="Q26" s="79" t="str">
        <f t="shared" si="0"/>
        <v>Shawn</v>
      </c>
      <c r="R26" s="78">
        <f t="shared" si="1"/>
        <v>15</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15</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0.41176470588235292</v>
      </c>
      <c r="J76" s="80" t="str">
        <f t="shared" si="20"/>
        <v/>
      </c>
      <c r="K76" s="80" t="str">
        <f t="shared" si="20"/>
        <v/>
      </c>
      <c r="L76" s="80">
        <f t="shared" si="20"/>
        <v>0.18181818181818182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1231.7029363250533</v>
      </c>
      <c r="G83" s="77" t="str">
        <f>IF($B83=0,"No games",IF(AND($B83&gt;='Guide &amp; Settings'!$C$45,$C83&gt;='Guide &amp; Settings'!$C$46),"Eligible","Provisional"))</f>
        <v>Eligible</v>
      </c>
      <c r="S83" s="83">
        <f ca="1">IF($G83="Eligible",IF(IFERROR(INDEX(Calcs!$T$7:$T$20,MATCH($A83,Calcs!$A$7:$A$20,0)),"")="Inactive",-1,$F83),-1)</f>
        <v>-1</v>
      </c>
    </row>
    <row r="84" spans="1:19" ht="15" customHeight="1" x14ac:dyDescent="0.2">
      <c r="A84" s="76" t="s">
        <v>137</v>
      </c>
      <c r="B84" s="77">
        <f>COUNTIF('Match Log'!$D$4:$D$819,$A84)</f>
        <v>38</v>
      </c>
      <c r="C84" s="77">
        <f>SUMPRODUCT(--(COUNTIFS('Match Log'!$D$4:$D$819,$A84,'Match Log'!$C$4:$C$819,Lists!$C$2:$C$24)&gt;0))</f>
        <v>12</v>
      </c>
      <c r="D84" s="77">
        <f>COUNTIFS('Match Log'!$D$4:$D$819,$A84,'Match Log'!$E$4:$E$819,"Win")</f>
        <v>22</v>
      </c>
      <c r="E84" s="80">
        <f t="shared" si="25"/>
        <v>0.57894736842105265</v>
      </c>
      <c r="F84" s="82">
        <f ca="1">IFERROR(INDEX(Calcs!$S$7:$S$20,MATCH($A84,Calcs!$A$7:$A$20,0)),"")</f>
        <v>1115.3515451357737</v>
      </c>
      <c r="G84" s="77" t="str">
        <f>IF($B84=0,"No games",IF(AND($B84&gt;='Guide &amp; Settings'!$C$45,$C84&gt;='Guide &amp; Settings'!$C$46),"Eligible","Provisional"))</f>
        <v>Eligible</v>
      </c>
      <c r="S84" s="83">
        <f ca="1">IF($G84="Eligible",IF(IFERROR(INDEX(Calcs!$T$7:$T$20,MATCH($A84,Calcs!$A$7:$A$20,0)),"")="Inactive",-1,$F84),-1)</f>
        <v>1115.3515451357737</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59</v>
      </c>
      <c r="C86" s="77">
        <f>SUMPRODUCT(--(COUNTIFS('Match Log'!$D$4:$D$819,$A86,'Match Log'!$C$4:$C$819,Lists!$C$2:$C$24)&gt;0))</f>
        <v>9</v>
      </c>
      <c r="D86" s="77">
        <f>COUNTIFS('Match Log'!$D$4:$D$819,$A86,'Match Log'!$E$4:$E$819,"Win")</f>
        <v>25</v>
      </c>
      <c r="E86" s="80">
        <f t="shared" si="25"/>
        <v>0.42372881355932202</v>
      </c>
      <c r="F86" s="82">
        <f ca="1">IFERROR(INDEX(Calcs!$S$7:$S$20,MATCH($A86,Calcs!$A$7:$A$20,0)),"")</f>
        <v>1054.3366131438215</v>
      </c>
      <c r="G86" s="77" t="str">
        <f>IF($B86=0,"No games",IF(AND($B86&gt;='Guide &amp; Settings'!$C$45,$C86&gt;='Guide &amp; Settings'!$C$46),"Eligible","Provisional"))</f>
        <v>Eligible</v>
      </c>
      <c r="S86" s="83">
        <f ca="1">IF($G86="Eligible",IF(IFERROR(INDEX(Calcs!$T$7:$T$20,MATCH($A86,Calcs!$A$7:$A$20,0)),"")="Inactive",-1,$F86),-1)</f>
        <v>1054.3366131438215</v>
      </c>
    </row>
    <row r="87" spans="1:19" ht="15" customHeight="1" x14ac:dyDescent="0.2">
      <c r="A87" s="76" t="s">
        <v>170</v>
      </c>
      <c r="B87" s="77">
        <f>COUNTIF('Match Log'!$D$4:$D$819,$A87)</f>
        <v>76</v>
      </c>
      <c r="C87" s="77">
        <f>SUMPRODUCT(--(COUNTIFS('Match Log'!$D$4:$D$819,$A87,'Match Log'!$C$4:$C$819,Lists!$C$2:$C$24)&gt;0))</f>
        <v>14</v>
      </c>
      <c r="D87" s="77">
        <f>COUNTIFS('Match Log'!$D$4:$D$819,$A87,'Match Log'!$E$4:$E$819,"Win")</f>
        <v>35</v>
      </c>
      <c r="E87" s="80">
        <f t="shared" si="25"/>
        <v>0.46052631578947367</v>
      </c>
      <c r="F87" s="82">
        <f ca="1">IFERROR(INDEX(Calcs!$S$7:$S$20,MATCH($A87,Calcs!$A$7:$A$20,0)),"")</f>
        <v>1153.0208401956088</v>
      </c>
      <c r="G87" s="77" t="str">
        <f>IF($B87=0,"No games",IF(AND($B87&gt;='Guide &amp; Settings'!$C$45,$C87&gt;='Guide &amp; Settings'!$C$46),"Eligible","Provisional"))</f>
        <v>Eligible</v>
      </c>
      <c r="S87" s="83">
        <f ca="1">IF($G87="Eligible",IF(IFERROR(INDEX(Calcs!$T$7:$T$20,MATCH($A87,Calcs!$A$7:$A$20,0)),"")="Inactive",-1,$F87),-1)</f>
        <v>1153.0208401956088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92</v>
      </c>
      <c r="C89" s="77">
        <f>SUMPRODUCT(--(COUNTIFS('Match Log'!$D$4:$D$819,$A89,'Match Log'!$C$4:$C$819,Lists!$C$2:$C$24)&gt;0))</f>
        <v>11</v>
      </c>
      <c r="D89" s="77">
        <f>COUNTIFS('Match Log'!$D$4:$D$819,$A89,'Match Log'!$E$4:$E$819,"Win")</f>
        <v>43</v>
      </c>
      <c r="E89" s="80">
        <f t="shared" si="25"/>
        <v>0.46739130434782611</v>
      </c>
      <c r="F89" s="82">
        <f ca="1">IFERROR(INDEX(Calcs!$S$7:$S$20,MATCH($A89,Calcs!$A$7:$A$20,0)),"")</f>
        <v>1138.9018506237364</v>
      </c>
      <c r="G89" s="77" t="str">
        <f>IF($B89=0,"No games",IF(AND($B89&gt;='Guide &amp; Settings'!$C$45,$C89&gt;='Guide &amp; Settings'!$C$46),"Eligible","Provisional"))</f>
        <v>Eligible</v>
      </c>
      <c r="S89" s="83">
        <f ca="1">IF($G89="Eligible",IF(IFERROR(INDEX(Calcs!$T$7:$T$20,MATCH($A89,Calcs!$A$7:$A$20,0)),"")="Inactive",-1,$F89),-1)</f>
        <v>1138.9018506237364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979.51759653351382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963.19705892757202</v>
      </c>
      <c r="G95" s="77" t="str">
        <f>IF($B95=0,"No games",IF(AND($B95&gt;='Guide &amp; Settings'!$C$45,$C95&gt;='Guide &amp; Settings'!$C$46),"Eligible","Provisional"))</f>
        <v>Eligible</v>
      </c>
      <c r="S95" s="83">
        <f ca="1">IF($G95="Eligible",IF(IFERROR(INDEX(Calcs!$T$7:$T$20,MATCH($A95,Calcs!$A$7:$A$20,0)),"")="Inactive",-1,$F95),-1)</f>
        <v>-1</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1047.5054308988927</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951.24465656388634</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92</v>
      </c>
      <c r="C21" s="36" t="str">
        <f ca="1">INDEX(Dashboard!$B$5:$B$18,MATCH(MAX(Dashboard!$D$5:$D$18),Dashboard!$D$5:$D$18,0))</f>
        <v>Shawn</v>
      </c>
      <c r="D21" s="36" t="s">
        <v>252</v>
      </c>
      <c r="E21" s="36" t="s">
        <v>252</v>
      </c>
      <c r="F21" s="36" t="str">
        <f ca="1">"across "&amp;INDEX(Dashboard!$K$5:$K$18,MATCH($C21,Dashboard!$B$5:$B$18,0))&amp;" sports"</f>
        <v>across 11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33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2 wins</v>
      </c>
      <c r="C24" s="39" t="str">
        <f>INDEX(Calcs!$A$7:$A$20,MATCH(MAX(Calcs!$O$7:$O$20),Calcs!$O$7:$O$20,0))</f>
        <v>Daniel (Ferret)</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Daniel (Ferret)</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Daniel (Ferret)</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87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Daniel (Ferret)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92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33 contests.</v>
      </c>
      <c r="B11" s="91"/>
      <c r="C11" s="91"/>
      <c r="D11" s="96"/>
      <c r="E11" s="97"/>
      <c r="F11" s="91"/>
    </row>
    <row r="12" spans="1:6" ht="15" customHeight="1" x14ac:dyDescent="0.2">
      <c r="A12" s="92" t="str">
        <f>"🎲  "&amp;MAX('Match Log'!$A$4:$A$810)&amp;" games played across "&amp;COUNTIF('Sport Records'!$P$8:$P$30,"&gt;0")&amp;" different sports — and counting."</f>
        <v>🎲  191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1154</v>
      </c>
      <c r="D18" s="105" t="str">
        <f>IF(2=1,"— leader —",ROUND(MAX(Calcs!$B$7:$B$20)-LARGE(Calcs!$B$7:$B$20,2),0)&amp;" behind")</f>
        <v>87 behind</v>
      </c>
      <c r="E18" s="99"/>
      <c r="F18" s="26"/>
    </row>
    <row r="19" spans="1:6" ht="15" customHeight="1" x14ac:dyDescent="0.2">
      <c r="A19" s="104">
        <v>3</v>
      </c>
      <c r="B19" s="55" t="str">
        <f>INDEX(Calcs!$A$7:$A$20,MATCH(LARGE(Calcs!$B$7:$B$20,3),Calcs!$B$7:$B$20,0))</f>
        <v>Shawn</v>
      </c>
      <c r="C19" s="104">
        <f>ROUND(LARGE(Calcs!$B$7:$B$20,3),0)</f>
        <v>1143</v>
      </c>
      <c r="D19" s="105" t="str">
        <f>IF(3=1,"— leader —",ROUND(MAX(Calcs!$B$7:$B$20)-LARGE(Calcs!$B$7:$B$20,3),0)&amp;" behind")</f>
        <v>99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W</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W</v>
      </c>
      <c r="I44" s="107" t="str">
        <f>IFERROR(IF(INDEX('Match Log'!$E$1:$E$810,_xlfn.AGGREGATE(14,6,ROW('Match Log'!$A$4:$A$810)/('Match Log'!$D$4:$D$810=$A44),3))="Win","W","L"),"")</f>
        <v>L</v>
      </c>
      <c r="J44" s="107" t="str">
        <f>IFERROR(IF(INDEX('Match Log'!$E$1:$E$810,_xlfn.AGGREGATE(14,6,ROW('Match Log'!$A$4:$A$810)/('Match Log'!$D$4:$D$810=$A44),2))="Win","W","L"),"")</f>
        <v>L</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W</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L</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W</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0.18181818181818182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424" activePane="bottomRight" state="frozen"/>
      <selection pane="topRight" activeCell="F1" sqref="F1"/>
      <selection pane="bottomLeft" activeCell="A244" sqref="A244"/>
      <selection pane="bottomRight" activeCell="D452" sqref="D452"/>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v>191</v>
      </c>
      <c r="B446" s="112">
        <v>46243</v>
      </c>
      <c r="C446" s="113" t="s">
        <v>208</v>
      </c>
      <c r="D446" s="113" t="s">
        <v>134</v>
      </c>
      <c r="E446" s="111" t="s">
        <v>308</v>
      </c>
      <c r="F446" s="114">
        <f t="shared" si="119"/>
        <v>2</v>
      </c>
      <c r="G446" s="115" t="str">
        <f t="shared" si="120"/>
        <v>Shawn</v>
      </c>
      <c r="H446" s="116">
        <f>IF($D446="",0,IFERROR(LOOKUP(2,1/(($D$3:D445=$D446)*($A$3:A445&lt;$A446)),$N$3:N445),'Guide &amp; Settings'!$C$41))</f>
        <v>1125.3301927780342</v>
      </c>
      <c r="I446" s="117">
        <f t="shared" si="121"/>
        <v>0.69767441860465118</v>
      </c>
      <c r="J446" s="118">
        <f>IF($D446="",0,IF($F446&lt;2,0,IF($E446="Win",('Guide &amp; Settings'!$C$42/(($F446-1)*COUNTIFS($A$4:$A$810,$A446,$E$4:$E$810,"Win")))*SUMIFS($X$4:$X$810,$A$4:$A$810,$A446,$E$4:$E$810,"Loss"),-('Guide &amp; Settings'!$C$42/($F446-1))*$X446)))</f>
        <v>13.69375086895811</v>
      </c>
      <c r="K446" s="118">
        <f>IF($D446="",0,'Guide &amp; Settings'!$C$43*(IF($E446="Win",1,0)-$I446))</f>
        <v>3.6279069767441858</v>
      </c>
      <c r="L446" s="119">
        <f>IF($D446="",0,'Guide &amp; Settings'!$C$44*IF($F446&gt;=3,$F446,0))</f>
        <v>0</v>
      </c>
      <c r="M446" s="118">
        <f t="shared" si="122"/>
        <v>17.321657845702298</v>
      </c>
      <c r="N446" s="116">
        <f t="shared" si="123"/>
        <v>1142.6518506237364</v>
      </c>
      <c r="O446" s="115" t="str">
        <f t="shared" si="124"/>
        <v>OK</v>
      </c>
      <c r="P446">
        <f t="shared" si="125"/>
        <v>1125.3301927780342</v>
      </c>
      <c r="Q446">
        <f t="shared" si="126"/>
        <v>0.5</v>
      </c>
      <c r="R446">
        <f t="shared" si="127"/>
        <v>0.57692307692307687</v>
      </c>
      <c r="S446">
        <f t="shared" si="128"/>
        <v>0.82692307692307687</v>
      </c>
      <c r="T446" s="83">
        <f t="shared" si="129"/>
        <v>24</v>
      </c>
      <c r="U446" s="120">
        <f>IF($D446="",0,IFERROR(LOOKUP(2,1/(($D$3:D445=$D446)*($C$3:C445=$C446)*($A$3:A445&lt;$A446)),$AB$3:AB445),1000))</f>
        <v>1034.7163058371079</v>
      </c>
      <c r="V446" s="120">
        <f t="shared" si="130"/>
        <v>1050.33938979244</v>
      </c>
      <c r="W446">
        <f t="shared" si="131"/>
        <v>1050.33938979244</v>
      </c>
      <c r="X446">
        <f t="shared" si="132"/>
        <v>0.5</v>
      </c>
      <c r="Y446">
        <f t="shared" si="133"/>
        <v>1034.7163058371079</v>
      </c>
      <c r="Z446">
        <f t="shared" si="134"/>
        <v>0.5</v>
      </c>
      <c r="AA446">
        <f>IF($D446="",0,IF($F446&lt;2,0,IF($E446="Win",('Guide &amp; Settings'!$C$42/(($F446-1)*COUNTIFS($A$4:$A$810,$A446,$E$4:$E$810,"Win")))*SUMIFS($Z$4:$Z$810,$A$4:$A$810,$A446,$E$4:$E$810,"Loss"),-('Guide &amp; Settings'!$C$42/($F446-1))*$Z446)))</f>
        <v>12.789125061784798</v>
      </c>
      <c r="AB446" s="120">
        <f t="shared" si="135"/>
        <v>1047.5054308988927</v>
      </c>
      <c r="AC446" s="12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1">
        <v>191</v>
      </c>
      <c r="B447" s="112">
        <v>46243</v>
      </c>
      <c r="C447" s="113" t="s">
        <v>208</v>
      </c>
      <c r="D447" s="113" t="s">
        <v>169</v>
      </c>
      <c r="E447" s="111" t="s">
        <v>309</v>
      </c>
      <c r="F447" s="114">
        <f t="shared" si="119"/>
        <v>2</v>
      </c>
      <c r="G447" s="115" t="str">
        <f t="shared" si="120"/>
        <v>Shawn</v>
      </c>
      <c r="H447" s="116">
        <f>IF($D447="",0,IFERROR(LOOKUP(2,1/(($D$3:D446=$D447)*($A$3:A446&lt;$A447)),$N$3:N446),'Guide &amp; Settings'!$C$41))</f>
        <v>1071.6582709895238</v>
      </c>
      <c r="I447" s="117">
        <f t="shared" si="121"/>
        <v>0.30232558139534887</v>
      </c>
      <c r="J447" s="118">
        <f>IF($D447="",0,IF($F447&lt;2,0,IF($E447="Win",('Guide &amp; Settings'!$C$42/(($F447-1)*COUNTIFS($A$4:$A$810,$A447,$E$4:$E$810,"Win")))*SUMIFS($X$4:$X$810,$A$4:$A$810,$A447,$E$4:$E$810,"Loss"),-('Guide &amp; Settings'!$C$42/($F447-1))*$X447)))</f>
        <v>-13.69375086895811</v>
      </c>
      <c r="K447" s="118">
        <f>IF($D447="",0,'Guide &amp; Settings'!$C$43*(IF($E447="Win",1,0)-$I447))</f>
        <v>-3.6279069767441863</v>
      </c>
      <c r="L447" s="119">
        <f>IF($D447="",0,'Guide &amp; Settings'!$C$44*IF($F447&gt;=3,$F447,0))</f>
        <v>0</v>
      </c>
      <c r="M447" s="118">
        <f t="shared" si="122"/>
        <v>-17.321657845702298</v>
      </c>
      <c r="N447" s="116">
        <f t="shared" si="123"/>
        <v>1054.3366131438215</v>
      </c>
      <c r="O447" s="115" t="str">
        <f t="shared" si="124"/>
        <v>OK</v>
      </c>
      <c r="P447">
        <f t="shared" si="125"/>
        <v>1125.3301927780342</v>
      </c>
      <c r="Q447">
        <f t="shared" si="126"/>
        <v>0.42336850941071563</v>
      </c>
      <c r="R447">
        <f t="shared" si="127"/>
        <v>0.25</v>
      </c>
      <c r="S447">
        <f t="shared" si="128"/>
        <v>0.82692307692307687</v>
      </c>
      <c r="T447" s="83">
        <f t="shared" si="129"/>
        <v>10</v>
      </c>
      <c r="U447" s="120">
        <f>IF($D447="",0,IFERROR(LOOKUP(2,1/(($D$3:D446=$D447)*($C$3:C446=$C447)*($A$3:A446&lt;$A447)),$AB$3:AB446),1000))</f>
        <v>964.03378162567117</v>
      </c>
      <c r="V447" s="120">
        <f t="shared" si="130"/>
        <v>999.90861141362211</v>
      </c>
      <c r="W447">
        <f t="shared" si="131"/>
        <v>1050.33938979244</v>
      </c>
      <c r="X447">
        <f t="shared" si="132"/>
        <v>0.42792971465494095</v>
      </c>
      <c r="Y447">
        <f t="shared" si="133"/>
        <v>1034.7163058371079</v>
      </c>
      <c r="Z447">
        <f t="shared" si="134"/>
        <v>0.39966015818077494</v>
      </c>
      <c r="AA447">
        <f>IF($D447="",0,IF($F447&lt;2,0,IF($E447="Win",('Guide &amp; Settings'!$C$42/(($F447-1)*COUNTIFS($A$4:$A$810,$A447,$E$4:$E$810,"Win")))*SUMIFS($Z$4:$Z$810,$A$4:$A$810,$A447,$E$4:$E$810,"Loss"),-('Guide &amp; Settings'!$C$42/($F447-1))*$Z447)))</f>
        <v>-12.789125061784798</v>
      </c>
      <c r="AB447" s="120">
        <f t="shared" si="135"/>
        <v>951.24465656388634</v>
      </c>
      <c r="AC447" s="12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46236</v>
      </c>
    </row>
    <row r="4" spans="1:35" ht="15" customHeight="1" x14ac:dyDescent="0.2">
      <c r="A4" t="s">
        <v>330</v>
      </c>
      <c r="B4" s="127">
        <f>MAX('Match Log'!$B$4:$B$810)</f>
        <v>46243</v>
      </c>
      <c r="C4" t="s">
        <v>450</v>
      </c>
      <c r="D4" s="127">
        <f ca="1">MAX($B$4,TODAY())</f>
        <v>46244</v>
      </c>
    </row>
    <row r="5" spans="1:35" x14ac:dyDescent="0.2">
      <c r="B5">
        <f ca="1">TODAY()-7</f>
        <v>46237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1104.7521485999755</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2.1428571428571428</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76.188037149993875</v>
      </c>
      <c r="AB7">
        <f t="shared" ref="AB7:AB20" ca="1" si="13">0.35*$W7+0.2*$X7+0.2*$Y7+0.15*$Z7+0.1*$AA7</f>
        <v>60.636967503207686</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1068.7234592074572</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67.180864801864288</v>
      </c>
      <c r="AB8">
        <f t="shared" ca="1" si="13"/>
        <v>46.92587617686889</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173</v>
      </c>
      <c r="B9">
        <f>IFERROR(INDEX(Engine!$B$2:$B$15,MATCH($A9,Engine!$A$2:$A$15,0)),1000)</f>
        <v>1037.8197114720938</v>
      </c>
      <c r="C9">
        <f>IFERROR(INDEX(Engine!$C$2:$C$15,MATCH($A9,Engine!$A$2:$A$15,0)),"")</f>
        <v>1083.8528433389447</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3.4285714285714284</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70.963210834736174</v>
      </c>
      <c r="AB9">
        <f t="shared" ca="1" si="13"/>
        <v>58.155545837281828</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1077.7203144704974</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4.2857142857142856</v>
      </c>
      <c r="R10">
        <f ca="1">IF($P10=0,0,IF($Q10&gt;='Guide &amp; Settings'!$C$48,(INT($Q10-'Guide &amp; Settings'!$C$48)+1)*'Guide &amp; Settings'!$C$49,0))</f>
        <v>10</v>
      </c>
      <c r="S10">
        <f ca="1">$B10-$R10-$U10+SUMIF('Poker Stake Ledger'!$C$18:$C$137,$A10,'Poker Stake Ledger'!$K$18:$K$137)</f>
        <v>963.19705892757202</v>
      </c>
      <c r="T10" t="str">
        <f ca="1">IF($P10=0,"No games",IF($Q10&gt;='Guide &amp; Settings'!$C$48,"Inactive",IF($Q10&gt;='Guide &amp; Settings'!$C$47,"At risk","Active")))</f>
        <v>Inactive</v>
      </c>
      <c r="U10">
        <f>SUMIF('Match Log'!$D$4:$D$810,$A10,'Match Log'!$AC$4:$AC$810)</f>
        <v>0</v>
      </c>
      <c r="V10">
        <f t="shared" si="9"/>
        <v>1</v>
      </c>
      <c r="W10">
        <f t="shared" ca="1" si="10"/>
        <v>40.799264731893004</v>
      </c>
      <c r="X10">
        <f ca="1">IFERROR(INDEX(Dashboard!$G$5:$G$18,MATCH($A10,Dashboard!$B$5:$B$18,0))*100,0)</f>
        <v>26.666666666666668</v>
      </c>
      <c r="Y10">
        <f ca="1">MIN(100,IFERROR(INDEX(Dashboard!$K$5:$K$18,MATCH($A10,Dashboard!$B$5:$B$18,0)),0)/5*50+$AC10/4*50)</f>
        <v>40</v>
      </c>
      <c r="Z10">
        <f t="shared" si="11"/>
        <v>40</v>
      </c>
      <c r="AA10">
        <f t="shared" si="12"/>
        <v>69.430078617624361</v>
      </c>
      <c r="AB10">
        <f t="shared" ca="1" si="13"/>
        <v>40.556083851258322</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963.19705992757201</v>
      </c>
    </row>
    <row r="11" spans="1:35" ht="15" customHeight="1" x14ac:dyDescent="0.2">
      <c r="A11" t="s">
        <v>137</v>
      </c>
      <c r="B11">
        <f>IFERROR(INDEX(Engine!$B$2:$B$15,MATCH($A11,Engine!$A$2:$A$15,0)),1000)</f>
        <v>1093.6015451357737</v>
      </c>
      <c r="C11">
        <f>IFERROR(INDEX(Engine!$C$2:$C$15,MATCH($A11,Engine!$A$2:$A$15,0)),"")</f>
        <v>1097.6630866724743</v>
      </c>
      <c r="D11">
        <f t="shared" si="0"/>
        <v>4</v>
      </c>
      <c r="E11">
        <f t="shared" si="1"/>
        <v>148.10139118927964</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LWLLW</v>
      </c>
      <c r="J11">
        <f>IFERROR(LOOKUP(2,1/(('Match Log'!$D$4:$D$810=$A11)*('Match Log'!$B$4:$B$810&lt;=$B$3)),'Match Log'!$N$4:$N$810),1000)</f>
        <v>1093.6015451357737</v>
      </c>
      <c r="K11">
        <f t="shared" si="3"/>
        <v>5</v>
      </c>
      <c r="L11">
        <f t="shared" si="4"/>
        <v>1</v>
      </c>
      <c r="M11">
        <f t="shared" si="5"/>
        <v>0</v>
      </c>
      <c r="N11">
        <f t="shared" si="6"/>
        <v>2</v>
      </c>
      <c r="O11">
        <f t="shared" si="7"/>
        <v>1</v>
      </c>
      <c r="P11">
        <f>IFERROR(SUMPRODUCT(MAX(('Match Log'!$D$4:$D$810=$A11)*'Match Log'!$B$4:$B$810)),0)</f>
        <v>46229</v>
      </c>
      <c r="Q11">
        <f t="shared" ca="1" si="8"/>
        <v>2.1428571428571428</v>
      </c>
      <c r="R11">
        <f ca="1">IF($P11=0,0,IF($Q11&gt;='Guide &amp; Settings'!$C$48,(INT($Q11-'Guide &amp; Settings'!$C$48)+1)*'Guide &amp; Settings'!$C$49,0))</f>
        <v>0</v>
      </c>
      <c r="S11">
        <f ca="1">$B11-$R11-$U11+SUMIF('Poker Stake Ledger'!$C$18:$C$137,$A11,'Poker Stake Ledger'!$K$18:$K$137)</f>
        <v>1115.3515451357737</v>
      </c>
      <c r="T11" t="str">
        <f ca="1">IF($P11=0,"No games",IF($Q11&gt;='Guide &amp; Settings'!$C$48,"Inactive",IF($Q11&gt;='Guide &amp; Settings'!$C$47,"At risk","Active")))</f>
        <v>At risk</v>
      </c>
      <c r="U11">
        <f>SUMIF('Match Log'!$D$4:$D$810,$A11,'Match Log'!$AC$4:$AC$810)</f>
        <v>0</v>
      </c>
      <c r="V11">
        <f t="shared" si="9"/>
        <v>0</v>
      </c>
      <c r="W11">
        <f t="shared" ca="1" si="10"/>
        <v>78.837886283943419</v>
      </c>
      <c r="X11">
        <f ca="1">IFERROR(INDEX(Dashboard!$G$5:$G$18,MATCH($A11,Dashboard!$B$5:$B$18,0))*100,0)</f>
        <v>57.894736842105267</v>
      </c>
      <c r="Y11">
        <f ca="1">MIN(100,IFERROR(INDEX(Dashboard!$K$5:$K$18,MATCH($A11,Dashboard!$B$5:$B$18,0)),0)/5*50+$AC11/4*50)</f>
        <v>100</v>
      </c>
      <c r="Z11">
        <f t="shared" si="11"/>
        <v>40</v>
      </c>
      <c r="AA11">
        <f t="shared" si="12"/>
        <v>74.415771668118566</v>
      </c>
      <c r="AB11">
        <f t="shared" ca="1" si="13"/>
        <v>72.613784734613105</v>
      </c>
      <c r="AC11">
        <f>IFERROR(SUMPRODUCT((INDEX('Sport Records'!$B$8:$O$26,0,MATCH($A11,'Sport Records'!$B$7:$O$7,0))&gt;=2)*(INDEX('Sport Records'!$B$58:$O$76,0,MATCH($A11,'Sport Records'!$B$57:$O$57,0))&gt;=0.5)),0)</f>
        <v>3</v>
      </c>
      <c r="AD11">
        <f ca="1">IFERROR(INDEX(Dashboard!$D$5:$D$18,MATCH($A11,Dashboard!$B$5:$B$18,0)),0)</f>
        <v>38</v>
      </c>
      <c r="AE11">
        <f ca="1">IFERROR(INDEX(Dashboard!$K$5:$K$18,MATCH($A11,Dashboard!$B$5:$B$18,0)),0)</f>
        <v>12</v>
      </c>
      <c r="AF11" t="str">
        <f t="shared" ca="1" si="14"/>
        <v>Elite</v>
      </c>
      <c r="AG11">
        <f ca="1">COUNTIFS('Match Log'!$D$4:$D$810,$A11,'Match Log'!$B$4:$B$810,"&gt;="&amp;$B$5)</f>
        <v>0</v>
      </c>
      <c r="AH11">
        <f ca="1">COUNTIFS('Match Log'!$D$4:$D$810,$A11,'Match Log'!$B$4:$B$810,"&gt;="&amp;$B$5,'Match Log'!$E$4:$E$810,"Win")</f>
        <v>0</v>
      </c>
      <c r="AI11">
        <f t="shared" ca="1" si="15"/>
        <v>1115.3515462357736</v>
      </c>
    </row>
    <row r="12" spans="1:35" ht="15" customHeight="1" x14ac:dyDescent="0.2">
      <c r="A12" t="s">
        <v>134</v>
      </c>
      <c r="B12">
        <f>IFERROR(INDEX(Engine!$B$2:$B$15,MATCH($A12,Engine!$A$2:$A$15,0)),1000)</f>
        <v>1142.6518506237364</v>
      </c>
      <c r="C12">
        <f>IFERROR(INDEX(Engine!$C$2:$C$15,MATCH($A12,Engine!$A$2:$A$15,0)),"")</f>
        <v>1072.9382537274287</v>
      </c>
      <c r="D12">
        <f t="shared" si="0"/>
        <v>3</v>
      </c>
      <c r="E12">
        <f t="shared" si="1"/>
        <v>99.051085701316879</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WWLLW</v>
      </c>
      <c r="J12">
        <f>IFERROR(LOOKUP(2,1/(('Match Log'!$D$4:$D$810=$A12)*('Match Log'!$B$4:$B$810&lt;=$B$3)),'Match Log'!$N$4:$N$810),1000)</f>
        <v>1104.1921812390008</v>
      </c>
      <c r="K12">
        <f t="shared" si="3"/>
        <v>4</v>
      </c>
      <c r="L12">
        <f t="shared" si="4"/>
        <v>1</v>
      </c>
      <c r="M12">
        <f t="shared" si="5"/>
        <v>5</v>
      </c>
      <c r="N12">
        <f t="shared" si="6"/>
        <v>3</v>
      </c>
      <c r="O12">
        <f t="shared" si="7"/>
        <v>1</v>
      </c>
      <c r="P12">
        <f>IFERROR(SUMPRODUCT(MAX(('Match Log'!$D$4:$D$810=$A12)*'Match Log'!$B$4:$B$810)),0)</f>
        <v>46243</v>
      </c>
      <c r="Q12">
        <f t="shared" ca="1" si="8"/>
        <v>0.14285714285714285</v>
      </c>
      <c r="R12">
        <f ca="1">IF($P12=0,0,IF($Q12&gt;='Guide &amp; Settings'!$C$48,(INT($Q12-'Guide &amp; Settings'!$C$48)+1)*'Guide &amp; Settings'!$C$49,0))</f>
        <v>0</v>
      </c>
      <c r="S12">
        <f ca="1">$B12-$R12-$U12+SUMIF('Poker Stake Ledger'!$C$18:$C$137,$A12,'Poker Stake Ledger'!$K$18:$K$137)</f>
        <v>1138.9018506237364</v>
      </c>
      <c r="T12" t="str">
        <f ca="1">IF($P12=0,"No games",IF($Q12&gt;='Guide &amp; Settings'!$C$48,"Inactive",IF($Q12&gt;='Guide &amp; Settings'!$C$47,"At risk","Active")))</f>
        <v>Active</v>
      </c>
      <c r="U12">
        <f>SUMIF('Match Log'!$D$4:$D$810,$A12,'Match Log'!$AC$4:$AC$810)</f>
        <v>0</v>
      </c>
      <c r="V12">
        <f t="shared" si="9"/>
        <v>0</v>
      </c>
      <c r="W12">
        <f t="shared" ca="1" si="10"/>
        <v>84.725462655934109</v>
      </c>
      <c r="X12">
        <f ca="1">IFERROR(INDEX(Dashboard!$G$5:$G$18,MATCH($A12,Dashboard!$B$5:$B$18,0))*100,0)</f>
        <v>46.739130434782609</v>
      </c>
      <c r="Y12">
        <f ca="1">MIN(100,IFERROR(INDEX(Dashboard!$K$5:$K$18,MATCH($A12,Dashboard!$B$5:$B$18,0)),0)/5*50+$AC12/4*50)</f>
        <v>100</v>
      </c>
      <c r="Z12">
        <f t="shared" si="11"/>
        <v>60</v>
      </c>
      <c r="AA12">
        <f t="shared" si="12"/>
        <v>68.234563431857168</v>
      </c>
      <c r="AB12">
        <f t="shared" ca="1" si="13"/>
        <v>74.825194359719177</v>
      </c>
      <c r="AC12">
        <f>IFERROR(SUMPRODUCT((INDEX('Sport Records'!$B$8:$O$26,0,MATCH($A12,'Sport Records'!$B$7:$O$7,0))&gt;=2)*(INDEX('Sport Records'!$B$58:$O$76,0,MATCH($A12,'Sport Records'!$B$57:$O$57,0))&gt;=0.5)),0)</f>
        <v>5</v>
      </c>
      <c r="AD12">
        <f ca="1">IFERROR(INDEX(Dashboard!$D$5:$D$18,MATCH($A12,Dashboard!$B$5:$B$18,0)),0)</f>
        <v>92</v>
      </c>
      <c r="AE12">
        <f ca="1">IFERROR(INDEX(Dashboard!$K$5:$K$18,MATCH($A12,Dashboard!$B$5:$B$18,0)),0)</f>
        <v>11</v>
      </c>
      <c r="AF12" t="str">
        <f t="shared" ca="1" si="14"/>
        <v>Elite</v>
      </c>
      <c r="AG12">
        <f ca="1">COUNTIFS('Match Log'!$D$4:$D$810,$A12,'Match Log'!$B$4:$B$810,"&gt;="&amp;$B$5)</f>
        <v>5</v>
      </c>
      <c r="AH12">
        <f ca="1">COUNTIFS('Match Log'!$D$4:$D$810,$A12,'Match Log'!$B$4:$B$810,"&gt;="&amp;$B$5,'Match Log'!$E$4:$E$810,"Win")</f>
        <v>3</v>
      </c>
      <c r="AI12">
        <f t="shared" ca="1" si="15"/>
        <v>1138.9018518237365</v>
      </c>
    </row>
    <row r="13" spans="1:35" ht="15" customHeight="1" x14ac:dyDescent="0.2">
      <c r="A13" t="s">
        <v>168</v>
      </c>
      <c r="B13">
        <f>IFERROR(INDEX(Engine!$B$2:$B$15,MATCH($A13,Engine!$A$2:$A$15,0)),1000)</f>
        <v>1050.2393073123574</v>
      </c>
      <c r="C13">
        <f>IFERROR(INDEX(Engine!$C$2:$C$15,MATCH($A13,Engine!$A$2:$A$15,0)),"")</f>
        <v>1061.8794329697569</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2.1428571428571428</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65.469858242439216</v>
      </c>
      <c r="AB13">
        <f t="shared" ca="1" si="13"/>
        <v>57.481109737884722</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1154.3708401956087</v>
      </c>
      <c r="C14">
        <f>IFERROR(INDEX(Engine!$C$2:$C$15,MATCH($A14,Engine!$A$2:$A$15,0)),"")</f>
        <v>1100.7634826998838</v>
      </c>
      <c r="D14">
        <f t="shared" si="0"/>
        <v>2</v>
      </c>
      <c r="E14">
        <f t="shared" si="1"/>
        <v>87.332096129444608</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WWLWW</v>
      </c>
      <c r="J14">
        <f>IFERROR(LOOKUP(2,1/(('Match Log'!$D$4:$D$810=$A14)*('Match Log'!$B$4:$B$810&lt;=$B$3)),'Match Log'!$N$4:$N$810),1000)</f>
        <v>1104.3459294969905</v>
      </c>
      <c r="K14">
        <f t="shared" si="3"/>
        <v>3</v>
      </c>
      <c r="L14">
        <f t="shared" si="4"/>
        <v>1</v>
      </c>
      <c r="M14">
        <f t="shared" si="5"/>
        <v>7</v>
      </c>
      <c r="N14">
        <f t="shared" si="6"/>
        <v>4</v>
      </c>
      <c r="O14">
        <f t="shared" si="7"/>
        <v>2</v>
      </c>
      <c r="P14">
        <f>IFERROR(SUMPRODUCT(MAX(('Match Log'!$D$4:$D$810=$A14)*'Match Log'!$B$4:$B$810)),0)</f>
        <v>46241</v>
      </c>
      <c r="Q14">
        <f t="shared" ca="1" si="8"/>
        <v>0.42857142857142855</v>
      </c>
      <c r="R14">
        <f ca="1">IF($P14=0,0,IF($Q14&gt;='Guide &amp; Settings'!$C$48,(INT($Q14-'Guide &amp; Settings'!$C$48)+1)*'Guide &amp; Settings'!$C$49,0))</f>
        <v>0</v>
      </c>
      <c r="S14">
        <f ca="1">$B14-$R14-$U14+SUMIF('Poker Stake Ledger'!$C$18:$C$137,$A14,'Poker Stake Ledger'!$K$18:$K$137)</f>
        <v>1153.0208401956088</v>
      </c>
      <c r="T14" t="str">
        <f ca="1">IF($P14=0,"No games",IF($Q14&gt;='Guide &amp; Settings'!$C$48,"Inactive",IF($Q14&gt;='Guide &amp; Settings'!$C$47,"At risk","Active")))</f>
        <v>Active</v>
      </c>
      <c r="U14">
        <f>SUMIF('Match Log'!$D$4:$D$810,$A14,'Match Log'!$AC$4:$AC$810)</f>
        <v>0</v>
      </c>
      <c r="V14">
        <f t="shared" si="9"/>
        <v>0</v>
      </c>
      <c r="W14">
        <f t="shared" ca="1" si="10"/>
        <v>88.2552100489022</v>
      </c>
      <c r="X14">
        <f ca="1">IFERROR(INDEX(Dashboard!$G$5:$G$18,MATCH($A14,Dashboard!$B$5:$B$18,0))*100,0)</f>
        <v>46.05263157894737</v>
      </c>
      <c r="Y14">
        <f ca="1">MIN(100,IFERROR(INDEX(Dashboard!$K$5:$K$18,MATCH($A14,Dashboard!$B$5:$B$18,0)),0)/5*50+$AC14/4*50)</f>
        <v>100</v>
      </c>
      <c r="Z14">
        <f t="shared" si="11"/>
        <v>80</v>
      </c>
      <c r="AA14">
        <f t="shared" si="12"/>
        <v>75.190870674970938</v>
      </c>
      <c r="AB14">
        <f t="shared" ca="1" si="13"/>
        <v>79.618936900402346</v>
      </c>
      <c r="AC14">
        <f>IFERROR(SUMPRODUCT((INDEX('Sport Records'!$B$8:$O$26,0,MATCH($A14,'Sport Records'!$B$7:$O$7,0))&gt;=2)*(INDEX('Sport Records'!$B$58:$O$76,0,MATCH($A14,'Sport Records'!$B$57:$O$57,0))&gt;=0.5)),0)</f>
        <v>5</v>
      </c>
      <c r="AD14">
        <f ca="1">IFERROR(INDEX(Dashboard!$D$5:$D$18,MATCH($A14,Dashboard!$B$5:$B$18,0)),0)</f>
        <v>76</v>
      </c>
      <c r="AE14">
        <f ca="1">IFERROR(INDEX(Dashboard!$K$5:$K$18,MATCH($A14,Dashboard!$B$5:$B$18,0)),0)</f>
        <v>14</v>
      </c>
      <c r="AF14" t="str">
        <f t="shared" ca="1" si="14"/>
        <v>Elite</v>
      </c>
      <c r="AG14">
        <f ca="1">COUNTIFS('Match Log'!$D$4:$D$810,$A14,'Match Log'!$B$4:$B$810,"&gt;="&amp;$B$5)</f>
        <v>3</v>
      </c>
      <c r="AH14">
        <f ca="1">COUNTIFS('Match Log'!$D$4:$D$810,$A14,'Match Log'!$B$4:$B$810,"&gt;="&amp;$B$5,'Match Log'!$E$4:$E$810,"Win")</f>
        <v>2</v>
      </c>
      <c r="AI14">
        <f t="shared" ca="1" si="15"/>
        <v>1153.0208415956088</v>
      </c>
    </row>
    <row r="15" spans="1:35" ht="15" customHeight="1" x14ac:dyDescent="0.2">
      <c r="A15" t="s">
        <v>167</v>
      </c>
      <c r="B15">
        <f>IFERROR(INDEX(Engine!$B$2:$B$15,MATCH($A15,Engine!$A$2:$A$15,0)),1000)</f>
        <v>1241.7029363250533</v>
      </c>
      <c r="C15">
        <f>IFERROR(INDEX(Engine!$C$2:$C$15,MATCH($A15,Engine!$A$2:$A$15,0)),"")</f>
        <v>1087.7901100950801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4.1428571428571432</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71.94752752377002</v>
      </c>
      <c r="AB15">
        <f t="shared" ca="1" si="13"/>
        <v>85.487856200652871</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175</v>
      </c>
      <c r="B16">
        <f>IFERROR(INDEX(Engine!$B$2:$B$15,MATCH($A16,Engine!$A$2:$A$15,0)),1000)</f>
        <v>862.22294373677494</v>
      </c>
      <c r="C16">
        <f>IFERROR(INDEX(Engine!$C$2:$C$15,MATCH($A16,Engine!$A$2:$A$15,0)),"")</f>
        <v>1070.5810168164153</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3.1428571428571428</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67.645254204103821</v>
      </c>
      <c r="AB16">
        <f t="shared" ca="1" si="13"/>
        <v>20.875699664044856</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1054.3366131438215</v>
      </c>
      <c r="C17">
        <f>IFERROR(INDEX(Engine!$C$2:$C$15,MATCH($A17,Engine!$A$2:$A$15,0)),"")</f>
        <v>1097.7135039639188</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2</v>
      </c>
      <c r="L17">
        <f t="shared" si="4"/>
        <v>-4</v>
      </c>
      <c r="M17">
        <f t="shared" si="5"/>
        <v>4</v>
      </c>
      <c r="N17">
        <f t="shared" si="6"/>
        <v>0</v>
      </c>
      <c r="O17">
        <f t="shared" si="7"/>
        <v>0</v>
      </c>
      <c r="P17">
        <f>IFERROR(SUMPRODUCT(MAX(('Match Log'!$D$4:$D$810=$A17)*'Match Log'!$B$4:$B$810)),0)</f>
        <v>46243</v>
      </c>
      <c r="Q17">
        <f t="shared" ca="1" si="8"/>
        <v>0.14285714285714285</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74.428375990979703</v>
      </c>
      <c r="AB17">
        <f t="shared" ca="1" si="13"/>
        <v>58.171867520368792</v>
      </c>
      <c r="AC17">
        <f>IFERROR(SUMPRODUCT((INDEX('Sport Records'!$B$8:$O$26,0,MATCH($A17,'Sport Records'!$B$7:$O$7,0))&gt;=2)*(INDEX('Sport Records'!$B$58:$O$76,0,MATCH($A17,'Sport Records'!$B$57:$O$57,0))&gt;=0.5)),0)</f>
        <v>2</v>
      </c>
      <c r="AD17">
        <f ca="1">IFERROR(INDEX(Dashboard!$D$5:$D$18,MATCH($A17,Dashboard!$B$5:$B$18,0)),0)</f>
        <v>59</v>
      </c>
      <c r="AE17">
        <f ca="1">IFERROR(INDEX(Dashboard!$K$5:$K$18,MATCH($A17,Dashboard!$B$5:$B$18,0)),0)</f>
        <v>9</v>
      </c>
      <c r="AF17" t="str">
        <f t="shared" ca="1" si="14"/>
        <v>Strong</v>
      </c>
      <c r="AG17">
        <f ca="1">COUNTIFS('Match Log'!$D$4:$D$810,$A17,'Match Log'!$B$4:$B$810,"&gt;="&amp;$B$5)</f>
        <v>5</v>
      </c>
      <c r="AH17">
        <f ca="1">COUNTIFS('Match Log'!$D$4:$D$810,$A17,'Match Log'!$B$4:$B$810,"&gt;="&amp;$B$5,'Match Log'!$E$4:$E$810,"Win")</f>
        <v>0</v>
      </c>
      <c r="AI17">
        <f t="shared" ca="1" si="15"/>
        <v>1054.3366148438215</v>
      </c>
    </row>
    <row r="18" spans="1:35" ht="15" customHeight="1" x14ac:dyDescent="0.2">
      <c r="A18" t="s">
        <v>171</v>
      </c>
      <c r="B18">
        <f>IFERROR(INDEX(Engine!$B$2:$B$15,MATCH($A18,Engine!$A$2:$A$15,0)),1000)</f>
        <v>1012.1303999492304</v>
      </c>
      <c r="C18">
        <f>IFERROR(INDEX(Engine!$C$2:$C$15,MATCH($A18,Engine!$A$2:$A$15,0)),"")</f>
        <v>1061.1030588367298</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3.1428571428571428</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65.275764709182454</v>
      </c>
      <c r="AB18">
        <f t="shared" ca="1" si="13"/>
        <v>47.588986466475909</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1051.1937613447224</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6</v>
      </c>
      <c r="L19">
        <f t="shared" si="4"/>
        <v>1</v>
      </c>
      <c r="M19">
        <f t="shared" si="5"/>
        <v>0</v>
      </c>
      <c r="N19">
        <f t="shared" si="6"/>
        <v>4</v>
      </c>
      <c r="O19">
        <f t="shared" si="7"/>
        <v>2</v>
      </c>
      <c r="P19">
        <f>IFERROR(SUMPRODUCT(MAX(('Match Log'!$D$4:$D$810=$A19)*'Match Log'!$B$4:$B$810)),0)</f>
        <v>46222</v>
      </c>
      <c r="Q19">
        <f t="shared" ca="1" si="8"/>
        <v>3.1428571428571428</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62.79844033618059</v>
      </c>
      <c r="AB19">
        <f t="shared" ca="1" si="13"/>
        <v>67.146697914763223</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30"/>
        <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30"/>
        <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30"/>
        <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ref="Y209:Y272" ca="1" si="33">IF(AND($B209&lt;&gt;"",$B209&gt;=$B$5,$I209&lt;&gt;""),$I209,"")</f>
        <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33"/>
        <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f>IFERROR(INDEX('Match Log'!$F$4:$F$810,MATCH(191,'Match Log'!$A$4:$A$810,0)),"")</f>
        <v>2</v>
      </c>
      <c r="F215">
        <f>IFERROR(SUMIFS('Match Log'!$I$4:$I$810,'Match Log'!$A$4:$A$810,191,'Match Log'!$E$4:$E$810,"Win"),"")</f>
        <v>0.69767441860465118</v>
      </c>
      <c r="G215">
        <f t="shared" si="31"/>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32"/>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33"/>
        <v>-0.39553983720930236</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1104.7521485999755</v>
      </c>
      <c r="D2">
        <f>$B$2</f>
        <v>1009.8261046694705</v>
      </c>
      <c r="E2">
        <f>$B$3</f>
        <v>1029.5175965335138</v>
      </c>
      <c r="F2">
        <f>$B$4</f>
        <v>1037.8197114720938</v>
      </c>
      <c r="G2">
        <f>$B$5</f>
        <v>973.19705892757202</v>
      </c>
      <c r="H2">
        <f>$B$6</f>
        <v>1093.6015451357737</v>
      </c>
      <c r="I2">
        <f>$B$7</f>
        <v>1142.6518506237364</v>
      </c>
      <c r="J2">
        <f>$B$8</f>
        <v>1050.2393073123574</v>
      </c>
      <c r="K2">
        <f>$B$9</f>
        <v>1154.3708401956087</v>
      </c>
      <c r="L2">
        <f>$B$10</f>
        <v>1241.7029363250533</v>
      </c>
      <c r="M2">
        <f>$B$11</f>
        <v>862.22294373677494</v>
      </c>
      <c r="N2">
        <f>$B$12</f>
        <v>1054.3366131438215</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1068.7234592074572</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1083.8528433389447</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1077.7203144704974</v>
      </c>
    </row>
    <row r="6" spans="1:17" ht="15" customHeight="1" x14ac:dyDescent="0.2">
      <c r="A6" t="s">
        <v>137</v>
      </c>
      <c r="B6">
        <f>IF(COUNTIF('Match Log'!$D$4:$D$810,$A6)=0,'Guide &amp; Settings'!$C$41,IFERROR(LOOKUP(2,1/('Match Log'!$D$4:$D$810=$A6),'Match Log'!$N$4:$N$810),'Guide &amp; Settings'!$C$41))</f>
        <v>1093.6015451357737</v>
      </c>
      <c r="C6">
        <f>IFERROR(SUMPRODUCT(INDEX('Head-to-Head'!$B$22:$O$35,5,0),$D$2:$Q$2)/SUM(INDEX('Head-to-Head'!$B$22:$O$35,5,0)),"")</f>
        <v>1097.6630866724743</v>
      </c>
    </row>
    <row r="7" spans="1:17" ht="15" customHeight="1" x14ac:dyDescent="0.2">
      <c r="A7" t="s">
        <v>134</v>
      </c>
      <c r="B7">
        <f>IF(COUNTIF('Match Log'!$D$4:$D$810,$A7)=0,'Guide &amp; Settings'!$C$41,IFERROR(LOOKUP(2,1/('Match Log'!$D$4:$D$810=$A7),'Match Log'!$N$4:$N$810),'Guide &amp; Settings'!$C$41))</f>
        <v>1142.6518506237364</v>
      </c>
      <c r="C7">
        <f>IFERROR(SUMPRODUCT(INDEX('Head-to-Head'!$B$22:$O$35,6,0),$D$2:$Q$2)/SUM(INDEX('Head-to-Head'!$B$22:$O$35,6,0)),"")</f>
        <v>1072.9382537274287</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1061.8794329697569</v>
      </c>
    </row>
    <row r="9" spans="1:17" ht="15" customHeight="1" x14ac:dyDescent="0.2">
      <c r="A9" t="s">
        <v>170</v>
      </c>
      <c r="B9">
        <f>IF(COUNTIF('Match Log'!$D$4:$D$810,$A9)=0,'Guide &amp; Settings'!$C$41,IFERROR(LOOKUP(2,1/('Match Log'!$D$4:$D$810=$A9),'Match Log'!$N$4:$N$810),'Guide &amp; Settings'!$C$41))</f>
        <v>1154.3708401956087</v>
      </c>
      <c r="C9">
        <f>IFERROR(SUMPRODUCT(INDEX('Head-to-Head'!$B$22:$O$35,8,0),$D$2:$Q$2)/SUM(INDEX('Head-to-Head'!$B$22:$O$35,8,0)),"")</f>
        <v>1100.7634826998838</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1087.7901100950801</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1070.5810168164153</v>
      </c>
    </row>
    <row r="12" spans="1:17" ht="15" customHeight="1" x14ac:dyDescent="0.2">
      <c r="A12" t="s">
        <v>169</v>
      </c>
      <c r="B12">
        <f>IF(COUNTIF('Match Log'!$D$4:$D$810,$A12)=0,'Guide &amp; Settings'!$C$41,IFERROR(LOOKUP(2,1/('Match Log'!$D$4:$D$810=$A12),'Match Log'!$N$4:$N$810),'Guide &amp; Settings'!$C$41))</f>
        <v>1054.3366131438215</v>
      </c>
      <c r="C12">
        <f>IFERROR(SUMPRODUCT(INDEX('Head-to-Head'!$B$22:$O$35,11,0),$D$2:$Q$2)/SUM(INDEX('Head-to-Head'!$B$22:$O$35,11,0)),"")</f>
        <v>1097.7135039639188</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1061.1030588367298</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1051.1937613447224</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2026-08-10T01:02:35Z</dcterms:modified>
  <dc:language>en-US</dc:language>
</cp:coreProperties>
</file>