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7FCA3BDA-1C5A-D349-8215-42F0EBBDA898}" xr6:coauthVersionLast="47" xr6:coauthVersionMax="47" xr10:uidLastSave="{00000000-0000-0000-0000-000000000000}"/>
  <bookViews>
    <workbookView xWindow="-2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C444" i="11"/>
  <c r="B444" i="11"/>
  <c r="X443" i="11"/>
  <c r="W443" i="11"/>
  <c r="V443" i="11"/>
  <c r="U443" i="11"/>
  <c r="T443" i="11"/>
  <c r="S443" i="11"/>
  <c r="R443" i="11"/>
  <c r="Q443" i="11"/>
  <c r="P443" i="11"/>
  <c r="O443" i="11"/>
  <c r="N443" i="11"/>
  <c r="M443" i="11"/>
  <c r="L443" i="11"/>
  <c r="K443" i="11"/>
  <c r="F443" i="11"/>
  <c r="E443" i="11"/>
  <c r="C443" i="11"/>
  <c r="B443" i="11"/>
  <c r="X442" i="11"/>
  <c r="W442" i="11"/>
  <c r="V442" i="11"/>
  <c r="U442" i="11"/>
  <c r="T442" i="11"/>
  <c r="S442" i="11"/>
  <c r="R442" i="11"/>
  <c r="Q442" i="11"/>
  <c r="P442" i="11"/>
  <c r="O442" i="11"/>
  <c r="N442" i="11"/>
  <c r="M442" i="11"/>
  <c r="L442" i="11"/>
  <c r="K442" i="11"/>
  <c r="F442" i="11"/>
  <c r="E442" i="11"/>
  <c r="C442" i="11"/>
  <c r="B442" i="11"/>
  <c r="X441" i="11"/>
  <c r="W441" i="11"/>
  <c r="V441" i="11"/>
  <c r="U441" i="11"/>
  <c r="T441" i="11"/>
  <c r="S441" i="11"/>
  <c r="R441" i="11"/>
  <c r="Q441" i="11"/>
  <c r="P441" i="11"/>
  <c r="O441" i="11"/>
  <c r="N441" i="11"/>
  <c r="M441" i="11"/>
  <c r="L441" i="11"/>
  <c r="K441" i="11"/>
  <c r="F441" i="11"/>
  <c r="E441" i="11"/>
  <c r="C441" i="11"/>
  <c r="B441" i="11"/>
  <c r="X440" i="11"/>
  <c r="W440" i="11"/>
  <c r="V440" i="11"/>
  <c r="U440" i="11"/>
  <c r="T440" i="11"/>
  <c r="S440" i="11"/>
  <c r="R440" i="11"/>
  <c r="Q440" i="11"/>
  <c r="P440" i="11"/>
  <c r="O440" i="11"/>
  <c r="N440" i="11"/>
  <c r="M440" i="11"/>
  <c r="L440" i="11"/>
  <c r="K440" i="11"/>
  <c r="F440" i="11"/>
  <c r="E440" i="11"/>
  <c r="C440" i="11"/>
  <c r="B440" i="11"/>
  <c r="X439" i="11"/>
  <c r="W439" i="11"/>
  <c r="V439" i="11"/>
  <c r="U439" i="11"/>
  <c r="T439" i="11"/>
  <c r="S439" i="11"/>
  <c r="R439" i="11"/>
  <c r="Q439" i="11"/>
  <c r="P439" i="11"/>
  <c r="O439" i="11"/>
  <c r="N439" i="11"/>
  <c r="M439" i="11"/>
  <c r="L439" i="11"/>
  <c r="K439" i="11"/>
  <c r="F439" i="11"/>
  <c r="E439" i="11"/>
  <c r="C439" i="11"/>
  <c r="B439" i="11"/>
  <c r="X438" i="11"/>
  <c r="W438" i="11"/>
  <c r="V438" i="11"/>
  <c r="U438" i="11"/>
  <c r="T438" i="11"/>
  <c r="S438" i="11"/>
  <c r="R438" i="11"/>
  <c r="Q438" i="11"/>
  <c r="P438" i="11"/>
  <c r="O438" i="11"/>
  <c r="N438" i="11"/>
  <c r="M438" i="11"/>
  <c r="L438" i="11"/>
  <c r="K438" i="11"/>
  <c r="F438" i="11"/>
  <c r="E438" i="11"/>
  <c r="C438" i="11"/>
  <c r="B438" i="11"/>
  <c r="X437" i="11"/>
  <c r="W437" i="11"/>
  <c r="V437" i="11"/>
  <c r="U437" i="11"/>
  <c r="T437" i="11"/>
  <c r="S437" i="11"/>
  <c r="R437" i="11"/>
  <c r="Q437" i="11"/>
  <c r="P437" i="11"/>
  <c r="O437" i="11"/>
  <c r="N437" i="11"/>
  <c r="M437" i="11"/>
  <c r="L437" i="11"/>
  <c r="K437" i="11"/>
  <c r="F437" i="11"/>
  <c r="E437" i="11"/>
  <c r="C437" i="11"/>
  <c r="B437" i="11"/>
  <c r="X436" i="11"/>
  <c r="W436" i="11"/>
  <c r="V436" i="11"/>
  <c r="U436" i="11"/>
  <c r="T436" i="11"/>
  <c r="S436" i="11"/>
  <c r="R436" i="11"/>
  <c r="Q436" i="11"/>
  <c r="P436" i="11"/>
  <c r="O436" i="11"/>
  <c r="N436" i="11"/>
  <c r="M436" i="11"/>
  <c r="L436" i="11"/>
  <c r="K436" i="11"/>
  <c r="F436" i="11"/>
  <c r="E436" i="11"/>
  <c r="C436" i="11"/>
  <c r="B436" i="11"/>
  <c r="X435" i="11"/>
  <c r="W435" i="11"/>
  <c r="V435" i="11"/>
  <c r="U435" i="11"/>
  <c r="T435" i="11"/>
  <c r="S435" i="11"/>
  <c r="R435" i="11"/>
  <c r="Q435" i="11"/>
  <c r="P435" i="11"/>
  <c r="O435" i="11"/>
  <c r="N435" i="11"/>
  <c r="M435" i="11"/>
  <c r="L435" i="11"/>
  <c r="K435" i="11"/>
  <c r="F435" i="11"/>
  <c r="E435" i="11"/>
  <c r="C435" i="11"/>
  <c r="B435" i="11"/>
  <c r="X434" i="11"/>
  <c r="W434" i="11"/>
  <c r="V434" i="11"/>
  <c r="U434" i="11"/>
  <c r="T434" i="11"/>
  <c r="S434" i="11"/>
  <c r="R434" i="11"/>
  <c r="Q434" i="11"/>
  <c r="P434" i="11"/>
  <c r="O434" i="11"/>
  <c r="N434" i="11"/>
  <c r="M434" i="11"/>
  <c r="L434" i="11"/>
  <c r="K434" i="11"/>
  <c r="F434" i="11"/>
  <c r="E434" i="11"/>
  <c r="C434" i="11"/>
  <c r="B434" i="11"/>
  <c r="X433" i="11"/>
  <c r="W433" i="11"/>
  <c r="V433" i="11"/>
  <c r="U433" i="11"/>
  <c r="T433" i="11"/>
  <c r="S433" i="11"/>
  <c r="R433" i="11"/>
  <c r="Q433" i="11"/>
  <c r="P433" i="11"/>
  <c r="O433" i="11"/>
  <c r="N433" i="11"/>
  <c r="M433" i="11"/>
  <c r="L433" i="11"/>
  <c r="K433" i="11"/>
  <c r="F433" i="11"/>
  <c r="E433" i="11"/>
  <c r="C433" i="11"/>
  <c r="B433" i="11"/>
  <c r="X432" i="11"/>
  <c r="W432" i="11"/>
  <c r="V432" i="11"/>
  <c r="U432" i="11"/>
  <c r="T432" i="11"/>
  <c r="S432" i="11"/>
  <c r="R432" i="11"/>
  <c r="Q432" i="11"/>
  <c r="P432" i="11"/>
  <c r="O432" i="11"/>
  <c r="N432" i="11"/>
  <c r="M432" i="11"/>
  <c r="L432" i="11"/>
  <c r="K432" i="11"/>
  <c r="F432" i="11"/>
  <c r="E432" i="11"/>
  <c r="C432" i="11"/>
  <c r="B432" i="11"/>
  <c r="X431" i="11"/>
  <c r="W431" i="11"/>
  <c r="V431" i="11"/>
  <c r="U431" i="11"/>
  <c r="T431" i="11"/>
  <c r="S431" i="11"/>
  <c r="R431" i="11"/>
  <c r="Q431" i="11"/>
  <c r="P431" i="11"/>
  <c r="O431" i="11"/>
  <c r="N431" i="11"/>
  <c r="M431" i="11"/>
  <c r="L431" i="11"/>
  <c r="K431" i="11"/>
  <c r="F431" i="11"/>
  <c r="E431" i="11"/>
  <c r="C431" i="11"/>
  <c r="B431" i="11"/>
  <c r="X430" i="11"/>
  <c r="W430" i="11"/>
  <c r="V430" i="11"/>
  <c r="U430" i="11"/>
  <c r="T430" i="11"/>
  <c r="S430" i="11"/>
  <c r="R430" i="11"/>
  <c r="Q430" i="11"/>
  <c r="P430" i="11"/>
  <c r="O430" i="11"/>
  <c r="N430" i="11"/>
  <c r="M430" i="11"/>
  <c r="L430" i="11"/>
  <c r="K430" i="11"/>
  <c r="F430" i="11"/>
  <c r="E430" i="11"/>
  <c r="C430" i="11"/>
  <c r="B430" i="11"/>
  <c r="X429" i="11"/>
  <c r="W429" i="11"/>
  <c r="V429" i="11"/>
  <c r="U429" i="11"/>
  <c r="T429" i="11"/>
  <c r="S429" i="11"/>
  <c r="R429" i="11"/>
  <c r="Q429" i="11"/>
  <c r="P429" i="11"/>
  <c r="O429" i="11"/>
  <c r="N429" i="11"/>
  <c r="M429" i="11"/>
  <c r="L429" i="11"/>
  <c r="K429" i="11"/>
  <c r="F429" i="11"/>
  <c r="E429" i="11"/>
  <c r="C429" i="11"/>
  <c r="B429" i="11"/>
  <c r="X428" i="11"/>
  <c r="W428" i="11"/>
  <c r="V428" i="11"/>
  <c r="U428" i="11"/>
  <c r="T428" i="11"/>
  <c r="S428" i="11"/>
  <c r="R428" i="11"/>
  <c r="Q428" i="11"/>
  <c r="P428" i="11"/>
  <c r="O428" i="11"/>
  <c r="N428" i="11"/>
  <c r="M428" i="11"/>
  <c r="L428" i="11"/>
  <c r="K428" i="11"/>
  <c r="F428" i="11"/>
  <c r="E428" i="11"/>
  <c r="C428" i="11"/>
  <c r="B428" i="11"/>
  <c r="X427" i="11"/>
  <c r="W427" i="11"/>
  <c r="V427" i="11"/>
  <c r="U427" i="11"/>
  <c r="T427" i="11"/>
  <c r="S427" i="11"/>
  <c r="R427" i="11"/>
  <c r="Q427" i="11"/>
  <c r="P427" i="11"/>
  <c r="O427" i="11"/>
  <c r="N427" i="11"/>
  <c r="M427" i="11"/>
  <c r="L427" i="11"/>
  <c r="K427" i="11"/>
  <c r="F427" i="11"/>
  <c r="E427" i="11"/>
  <c r="C427" i="11"/>
  <c r="B427" i="11"/>
  <c r="X426" i="11"/>
  <c r="W426" i="11"/>
  <c r="V426" i="11"/>
  <c r="U426" i="11"/>
  <c r="T426" i="11"/>
  <c r="S426" i="11"/>
  <c r="R426" i="11"/>
  <c r="Q426" i="11"/>
  <c r="P426" i="11"/>
  <c r="O426" i="11"/>
  <c r="N426" i="11"/>
  <c r="M426" i="11"/>
  <c r="L426" i="11"/>
  <c r="K426" i="11"/>
  <c r="F426" i="11"/>
  <c r="E426" i="11"/>
  <c r="C426" i="11"/>
  <c r="B426" i="11"/>
  <c r="X425" i="11"/>
  <c r="W425" i="11"/>
  <c r="V425" i="11"/>
  <c r="U425" i="11"/>
  <c r="T425" i="11"/>
  <c r="S425" i="11"/>
  <c r="R425" i="11"/>
  <c r="Q425" i="11"/>
  <c r="P425" i="11"/>
  <c r="O425" i="11"/>
  <c r="N425" i="11"/>
  <c r="M425" i="11"/>
  <c r="L425" i="11"/>
  <c r="K425" i="11"/>
  <c r="F425" i="11"/>
  <c r="E425" i="11"/>
  <c r="C425" i="11"/>
  <c r="B425" i="11"/>
  <c r="X424" i="11"/>
  <c r="W424" i="11"/>
  <c r="V424" i="11"/>
  <c r="U424" i="11"/>
  <c r="T424" i="11"/>
  <c r="S424" i="11"/>
  <c r="R424" i="11"/>
  <c r="Q424" i="11"/>
  <c r="P424" i="11"/>
  <c r="O424" i="11"/>
  <c r="N424" i="11"/>
  <c r="M424" i="11"/>
  <c r="L424" i="11"/>
  <c r="K424" i="11"/>
  <c r="F424" i="11"/>
  <c r="E424" i="11"/>
  <c r="C424" i="11"/>
  <c r="B424" i="11"/>
  <c r="X423" i="11"/>
  <c r="W423" i="11"/>
  <c r="V423" i="11"/>
  <c r="U423" i="11"/>
  <c r="T423" i="11"/>
  <c r="S423" i="11"/>
  <c r="R423" i="11"/>
  <c r="Q423" i="11"/>
  <c r="P423" i="11"/>
  <c r="O423" i="11"/>
  <c r="N423" i="11"/>
  <c r="M423" i="11"/>
  <c r="L423" i="11"/>
  <c r="K423" i="11"/>
  <c r="F423" i="11"/>
  <c r="E423" i="11"/>
  <c r="C423" i="11"/>
  <c r="B423" i="11"/>
  <c r="X422" i="11"/>
  <c r="W422" i="11"/>
  <c r="V422" i="11"/>
  <c r="U422" i="11"/>
  <c r="T422" i="11"/>
  <c r="S422" i="11"/>
  <c r="R422" i="11"/>
  <c r="Q422" i="11"/>
  <c r="P422" i="11"/>
  <c r="O422" i="11"/>
  <c r="N422" i="11"/>
  <c r="M422" i="11"/>
  <c r="L422" i="11"/>
  <c r="K422" i="11"/>
  <c r="F422" i="11"/>
  <c r="E422" i="11"/>
  <c r="C422" i="11"/>
  <c r="B422" i="11"/>
  <c r="X421" i="11"/>
  <c r="W421" i="11"/>
  <c r="V421" i="11"/>
  <c r="U421" i="11"/>
  <c r="T421" i="11"/>
  <c r="S421" i="11"/>
  <c r="R421" i="11"/>
  <c r="Q421" i="11"/>
  <c r="P421" i="11"/>
  <c r="O421" i="11"/>
  <c r="N421" i="11"/>
  <c r="M421" i="11"/>
  <c r="L421" i="11"/>
  <c r="K421" i="11"/>
  <c r="F421" i="11"/>
  <c r="E421" i="11"/>
  <c r="C421" i="11"/>
  <c r="B421" i="11"/>
  <c r="X420" i="11"/>
  <c r="W420" i="11"/>
  <c r="V420" i="11"/>
  <c r="U420" i="11"/>
  <c r="T420" i="11"/>
  <c r="S420" i="11"/>
  <c r="R420" i="11"/>
  <c r="Q420" i="11"/>
  <c r="P420" i="11"/>
  <c r="O420" i="11"/>
  <c r="N420" i="11"/>
  <c r="M420" i="11"/>
  <c r="L420" i="11"/>
  <c r="K420" i="11"/>
  <c r="F420" i="11"/>
  <c r="E420" i="11"/>
  <c r="C420" i="11"/>
  <c r="B420" i="11"/>
  <c r="X419" i="11"/>
  <c r="W419" i="11"/>
  <c r="V419" i="11"/>
  <c r="U419" i="11"/>
  <c r="T419" i="11"/>
  <c r="S419" i="11"/>
  <c r="R419" i="11"/>
  <c r="Q419" i="11"/>
  <c r="P419" i="11"/>
  <c r="O419" i="11"/>
  <c r="N419" i="11"/>
  <c r="M419" i="11"/>
  <c r="L419" i="11"/>
  <c r="K419" i="11"/>
  <c r="F419" i="11"/>
  <c r="E419" i="11"/>
  <c r="C419" i="11"/>
  <c r="B419" i="11"/>
  <c r="X418" i="11"/>
  <c r="W418" i="11"/>
  <c r="V418" i="11"/>
  <c r="U418" i="11"/>
  <c r="T418" i="11"/>
  <c r="S418" i="11"/>
  <c r="R418" i="11"/>
  <c r="Q418" i="11"/>
  <c r="P418" i="11"/>
  <c r="O418" i="11"/>
  <c r="N418" i="11"/>
  <c r="M418" i="11"/>
  <c r="L418" i="11"/>
  <c r="K418" i="11"/>
  <c r="F418" i="11"/>
  <c r="E418" i="11"/>
  <c r="C418" i="11"/>
  <c r="B418" i="11"/>
  <c r="X417" i="11"/>
  <c r="W417" i="11"/>
  <c r="V417" i="11"/>
  <c r="U417" i="11"/>
  <c r="T417" i="11"/>
  <c r="S417" i="11"/>
  <c r="R417" i="11"/>
  <c r="Q417" i="11"/>
  <c r="P417" i="11"/>
  <c r="O417" i="11"/>
  <c r="N417" i="11"/>
  <c r="M417" i="11"/>
  <c r="L417" i="11"/>
  <c r="K417" i="11"/>
  <c r="F417" i="11"/>
  <c r="E417" i="11"/>
  <c r="C417" i="11"/>
  <c r="B417" i="11"/>
  <c r="X416" i="11"/>
  <c r="W416" i="11"/>
  <c r="V416" i="11"/>
  <c r="U416" i="11"/>
  <c r="T416" i="11"/>
  <c r="S416" i="11"/>
  <c r="R416" i="11"/>
  <c r="Q416" i="11"/>
  <c r="P416" i="11"/>
  <c r="O416" i="11"/>
  <c r="N416" i="11"/>
  <c r="M416" i="11"/>
  <c r="L416" i="11"/>
  <c r="K416" i="11"/>
  <c r="F416" i="11"/>
  <c r="E416" i="11"/>
  <c r="C416" i="11"/>
  <c r="B416" i="11"/>
  <c r="X415" i="11"/>
  <c r="W415" i="11"/>
  <c r="V415" i="11"/>
  <c r="U415" i="11"/>
  <c r="T415" i="11"/>
  <c r="S415" i="11"/>
  <c r="R415" i="11"/>
  <c r="Q415" i="11"/>
  <c r="P415" i="11"/>
  <c r="O415" i="11"/>
  <c r="N415" i="11"/>
  <c r="M415" i="11"/>
  <c r="L415" i="11"/>
  <c r="K415" i="11"/>
  <c r="F415" i="11"/>
  <c r="E415" i="11"/>
  <c r="C415" i="11"/>
  <c r="B415" i="11"/>
  <c r="X414" i="11"/>
  <c r="W414" i="11"/>
  <c r="V414" i="11"/>
  <c r="U414" i="11"/>
  <c r="T414" i="11"/>
  <c r="S414" i="11"/>
  <c r="R414" i="11"/>
  <c r="Q414" i="11"/>
  <c r="P414" i="11"/>
  <c r="O414" i="11"/>
  <c r="N414" i="11"/>
  <c r="M414" i="11"/>
  <c r="L414" i="11"/>
  <c r="K414" i="11"/>
  <c r="F414" i="11"/>
  <c r="E414" i="11"/>
  <c r="C414" i="11"/>
  <c r="B414" i="11"/>
  <c r="X413" i="11"/>
  <c r="W413" i="11"/>
  <c r="V413" i="11"/>
  <c r="U413" i="11"/>
  <c r="T413" i="11"/>
  <c r="S413" i="11"/>
  <c r="R413" i="11"/>
  <c r="Q413" i="11"/>
  <c r="P413" i="11"/>
  <c r="O413" i="11"/>
  <c r="N413" i="11"/>
  <c r="M413" i="11"/>
  <c r="L413" i="11"/>
  <c r="K413" i="11"/>
  <c r="F413" i="11"/>
  <c r="E413" i="11"/>
  <c r="C413" i="11"/>
  <c r="B413" i="11"/>
  <c r="X412" i="11"/>
  <c r="W412" i="11"/>
  <c r="V412" i="11"/>
  <c r="U412" i="11"/>
  <c r="T412" i="11"/>
  <c r="S412" i="11"/>
  <c r="R412" i="11"/>
  <c r="Q412" i="11"/>
  <c r="P412" i="11"/>
  <c r="O412" i="11"/>
  <c r="N412" i="11"/>
  <c r="M412" i="11"/>
  <c r="L412" i="11"/>
  <c r="K412" i="11"/>
  <c r="F412" i="11"/>
  <c r="E412" i="11"/>
  <c r="C412" i="11"/>
  <c r="B412" i="11"/>
  <c r="X411" i="11"/>
  <c r="W411" i="11"/>
  <c r="V411" i="11"/>
  <c r="U411" i="11"/>
  <c r="T411" i="11"/>
  <c r="S411" i="11"/>
  <c r="R411" i="11"/>
  <c r="Q411" i="11"/>
  <c r="P411" i="11"/>
  <c r="O411" i="11"/>
  <c r="N411" i="11"/>
  <c r="M411" i="11"/>
  <c r="L411" i="11"/>
  <c r="K411" i="11"/>
  <c r="F411" i="11"/>
  <c r="E411" i="11"/>
  <c r="C411" i="11"/>
  <c r="B411" i="11"/>
  <c r="X410" i="11"/>
  <c r="W410" i="11"/>
  <c r="V410" i="11"/>
  <c r="U410" i="11"/>
  <c r="T410" i="11"/>
  <c r="S410" i="11"/>
  <c r="R410" i="11"/>
  <c r="Q410" i="11"/>
  <c r="P410" i="11"/>
  <c r="O410" i="11"/>
  <c r="N410" i="11"/>
  <c r="M410" i="11"/>
  <c r="L410" i="11"/>
  <c r="K410" i="11"/>
  <c r="F410" i="11"/>
  <c r="E410" i="11"/>
  <c r="C410" i="11"/>
  <c r="B410" i="11"/>
  <c r="X409" i="11"/>
  <c r="W409" i="11"/>
  <c r="V409" i="11"/>
  <c r="U409" i="11"/>
  <c r="T409" i="11"/>
  <c r="S409" i="11"/>
  <c r="R409" i="11"/>
  <c r="Q409" i="11"/>
  <c r="P409" i="11"/>
  <c r="O409" i="11"/>
  <c r="N409" i="11"/>
  <c r="M409" i="11"/>
  <c r="L409" i="11"/>
  <c r="K409" i="11"/>
  <c r="F409" i="11"/>
  <c r="E409" i="11"/>
  <c r="C409" i="11"/>
  <c r="B409" i="11"/>
  <c r="X408" i="11"/>
  <c r="W408" i="11"/>
  <c r="V408" i="11"/>
  <c r="U408" i="11"/>
  <c r="T408" i="11"/>
  <c r="S408" i="11"/>
  <c r="R408" i="11"/>
  <c r="Q408" i="11"/>
  <c r="P408" i="11"/>
  <c r="O408" i="11"/>
  <c r="N408" i="11"/>
  <c r="M408" i="11"/>
  <c r="L408" i="11"/>
  <c r="K408" i="11"/>
  <c r="F408" i="11"/>
  <c r="E408" i="11"/>
  <c r="C408" i="11"/>
  <c r="B408" i="11"/>
  <c r="X407" i="11"/>
  <c r="W407" i="11"/>
  <c r="V407" i="11"/>
  <c r="U407" i="11"/>
  <c r="T407" i="11"/>
  <c r="S407" i="11"/>
  <c r="R407" i="11"/>
  <c r="Q407" i="11"/>
  <c r="P407" i="11"/>
  <c r="O407" i="11"/>
  <c r="N407" i="11"/>
  <c r="M407" i="11"/>
  <c r="L407" i="11"/>
  <c r="K407" i="11"/>
  <c r="F407" i="11"/>
  <c r="E407" i="11"/>
  <c r="C407" i="11"/>
  <c r="B407" i="11"/>
  <c r="X406" i="11"/>
  <c r="W406" i="11"/>
  <c r="V406" i="11"/>
  <c r="U406" i="11"/>
  <c r="T406" i="11"/>
  <c r="S406" i="11"/>
  <c r="R406" i="11"/>
  <c r="Q406" i="11"/>
  <c r="P406" i="11"/>
  <c r="O406" i="11"/>
  <c r="N406" i="11"/>
  <c r="M406" i="11"/>
  <c r="L406" i="11"/>
  <c r="K406" i="11"/>
  <c r="F406" i="11"/>
  <c r="E406" i="11"/>
  <c r="C406" i="11"/>
  <c r="B406" i="11"/>
  <c r="X405" i="11"/>
  <c r="W405" i="11"/>
  <c r="V405" i="11"/>
  <c r="U405" i="11"/>
  <c r="T405" i="11"/>
  <c r="S405" i="11"/>
  <c r="R405" i="11"/>
  <c r="Q405" i="11"/>
  <c r="P405" i="11"/>
  <c r="O405" i="11"/>
  <c r="N405" i="11"/>
  <c r="M405" i="11"/>
  <c r="L405" i="11"/>
  <c r="K405" i="11"/>
  <c r="F405" i="11"/>
  <c r="E405" i="11"/>
  <c r="C405" i="11"/>
  <c r="B405" i="11"/>
  <c r="X404" i="11"/>
  <c r="W404" i="11"/>
  <c r="V404" i="11"/>
  <c r="U404" i="11"/>
  <c r="T404" i="11"/>
  <c r="S404" i="11"/>
  <c r="R404" i="11"/>
  <c r="Q404" i="11"/>
  <c r="P404" i="11"/>
  <c r="O404" i="11"/>
  <c r="N404" i="11"/>
  <c r="M404" i="11"/>
  <c r="L404" i="11"/>
  <c r="K404" i="11"/>
  <c r="F404" i="11"/>
  <c r="E404" i="11"/>
  <c r="C404" i="11"/>
  <c r="B404" i="11"/>
  <c r="X403" i="11"/>
  <c r="W403" i="11"/>
  <c r="V403" i="11"/>
  <c r="U403" i="11"/>
  <c r="T403" i="11"/>
  <c r="S403" i="11"/>
  <c r="R403" i="11"/>
  <c r="Q403" i="11"/>
  <c r="P403" i="11"/>
  <c r="O403" i="11"/>
  <c r="N403" i="11"/>
  <c r="M403" i="11"/>
  <c r="L403" i="11"/>
  <c r="K403" i="11"/>
  <c r="F403" i="11"/>
  <c r="E403" i="11"/>
  <c r="C403" i="11"/>
  <c r="B403" i="11"/>
  <c r="X402" i="11"/>
  <c r="W402" i="11"/>
  <c r="V402" i="11"/>
  <c r="U402" i="11"/>
  <c r="T402" i="11"/>
  <c r="S402" i="11"/>
  <c r="R402" i="11"/>
  <c r="Q402" i="11"/>
  <c r="P402" i="11"/>
  <c r="O402" i="11"/>
  <c r="N402" i="11"/>
  <c r="M402" i="11"/>
  <c r="L402" i="11"/>
  <c r="K402" i="11"/>
  <c r="F402" i="11"/>
  <c r="E402" i="11"/>
  <c r="C402" i="11"/>
  <c r="B402" i="11"/>
  <c r="X401" i="11"/>
  <c r="W401" i="11"/>
  <c r="V401" i="11"/>
  <c r="U401" i="11"/>
  <c r="T401" i="11"/>
  <c r="S401" i="11"/>
  <c r="R401" i="11"/>
  <c r="Q401" i="11"/>
  <c r="P401" i="11"/>
  <c r="O401" i="11"/>
  <c r="N401" i="11"/>
  <c r="M401" i="11"/>
  <c r="L401" i="11"/>
  <c r="K401" i="11"/>
  <c r="F401" i="11"/>
  <c r="E401" i="11"/>
  <c r="C401" i="11"/>
  <c r="B401" i="11"/>
  <c r="X400" i="11"/>
  <c r="W400" i="11"/>
  <c r="V400" i="11"/>
  <c r="U400" i="11"/>
  <c r="T400" i="11"/>
  <c r="S400" i="11"/>
  <c r="R400" i="11"/>
  <c r="Q400" i="11"/>
  <c r="P400" i="11"/>
  <c r="O400" i="11"/>
  <c r="N400" i="11"/>
  <c r="M400" i="11"/>
  <c r="L400" i="11"/>
  <c r="K400" i="11"/>
  <c r="F400" i="11"/>
  <c r="E400" i="11"/>
  <c r="C400" i="11"/>
  <c r="B400" i="11"/>
  <c r="X399" i="11"/>
  <c r="W399" i="11"/>
  <c r="V399" i="11"/>
  <c r="U399" i="11"/>
  <c r="T399" i="11"/>
  <c r="S399" i="11"/>
  <c r="R399" i="11"/>
  <c r="Q399" i="11"/>
  <c r="P399" i="11"/>
  <c r="O399" i="11"/>
  <c r="N399" i="11"/>
  <c r="M399" i="11"/>
  <c r="L399" i="11"/>
  <c r="K399" i="11"/>
  <c r="F399" i="11"/>
  <c r="E399" i="11"/>
  <c r="C399" i="11"/>
  <c r="B399" i="11"/>
  <c r="X398" i="11"/>
  <c r="W398" i="11"/>
  <c r="V398" i="11"/>
  <c r="U398" i="11"/>
  <c r="T398" i="11"/>
  <c r="S398" i="11"/>
  <c r="R398" i="11"/>
  <c r="Q398" i="11"/>
  <c r="P398" i="11"/>
  <c r="O398" i="11"/>
  <c r="N398" i="11"/>
  <c r="M398" i="11"/>
  <c r="L398" i="11"/>
  <c r="K398" i="11"/>
  <c r="F398" i="11"/>
  <c r="E398" i="11"/>
  <c r="C398" i="11"/>
  <c r="B398" i="11"/>
  <c r="X397" i="11"/>
  <c r="W397" i="11"/>
  <c r="V397" i="11"/>
  <c r="U397" i="11"/>
  <c r="T397" i="11"/>
  <c r="S397" i="11"/>
  <c r="R397" i="11"/>
  <c r="Q397" i="11"/>
  <c r="P397" i="11"/>
  <c r="O397" i="11"/>
  <c r="N397" i="11"/>
  <c r="M397" i="11"/>
  <c r="L397" i="11"/>
  <c r="K397" i="11"/>
  <c r="F397" i="11"/>
  <c r="E397" i="11"/>
  <c r="C397" i="11"/>
  <c r="B397" i="11"/>
  <c r="X396" i="11"/>
  <c r="W396" i="11"/>
  <c r="V396" i="11"/>
  <c r="U396" i="11"/>
  <c r="T396" i="11"/>
  <c r="S396" i="11"/>
  <c r="R396" i="11"/>
  <c r="Q396" i="11"/>
  <c r="P396" i="11"/>
  <c r="O396" i="11"/>
  <c r="N396" i="11"/>
  <c r="M396" i="11"/>
  <c r="L396" i="11"/>
  <c r="K396" i="11"/>
  <c r="F396" i="11"/>
  <c r="E396" i="11"/>
  <c r="C396" i="11"/>
  <c r="B396" i="11"/>
  <c r="X395" i="11"/>
  <c r="W395" i="11"/>
  <c r="V395" i="11"/>
  <c r="U395" i="11"/>
  <c r="T395" i="11"/>
  <c r="S395" i="11"/>
  <c r="R395" i="11"/>
  <c r="Q395" i="11"/>
  <c r="P395" i="11"/>
  <c r="O395" i="11"/>
  <c r="N395" i="11"/>
  <c r="M395" i="11"/>
  <c r="L395" i="11"/>
  <c r="K395" i="11"/>
  <c r="F395" i="11"/>
  <c r="E395" i="11"/>
  <c r="C395" i="11"/>
  <c r="B395" i="11"/>
  <c r="X394" i="11"/>
  <c r="W394" i="11"/>
  <c r="V394" i="11"/>
  <c r="U394" i="11"/>
  <c r="T394" i="11"/>
  <c r="S394" i="11"/>
  <c r="R394" i="11"/>
  <c r="Q394" i="11"/>
  <c r="P394" i="11"/>
  <c r="O394" i="11"/>
  <c r="N394" i="11"/>
  <c r="M394" i="11"/>
  <c r="L394" i="11"/>
  <c r="K394" i="11"/>
  <c r="F394" i="11"/>
  <c r="E394" i="11"/>
  <c r="C394" i="11"/>
  <c r="B394" i="11"/>
  <c r="X393" i="11"/>
  <c r="W393" i="11"/>
  <c r="V393" i="11"/>
  <c r="U393" i="11"/>
  <c r="T393" i="11"/>
  <c r="S393" i="11"/>
  <c r="R393" i="11"/>
  <c r="Q393" i="11"/>
  <c r="P393" i="11"/>
  <c r="O393" i="11"/>
  <c r="N393" i="11"/>
  <c r="M393" i="11"/>
  <c r="L393" i="11"/>
  <c r="K393" i="11"/>
  <c r="F393" i="11"/>
  <c r="E393" i="11"/>
  <c r="C393" i="11"/>
  <c r="B393" i="11"/>
  <c r="X392" i="11"/>
  <c r="W392" i="11"/>
  <c r="V392" i="11"/>
  <c r="U392" i="11"/>
  <c r="T392" i="11"/>
  <c r="S392" i="11"/>
  <c r="R392" i="11"/>
  <c r="Q392" i="11"/>
  <c r="P392" i="11"/>
  <c r="O392" i="11"/>
  <c r="N392" i="11"/>
  <c r="M392" i="11"/>
  <c r="L392" i="11"/>
  <c r="K392" i="11"/>
  <c r="F392" i="11"/>
  <c r="E392" i="11"/>
  <c r="C392" i="11"/>
  <c r="B392" i="11"/>
  <c r="X391" i="11"/>
  <c r="W391" i="11"/>
  <c r="V391" i="11"/>
  <c r="U391" i="11"/>
  <c r="T391" i="11"/>
  <c r="S391" i="11"/>
  <c r="R391" i="11"/>
  <c r="Q391" i="11"/>
  <c r="P391" i="11"/>
  <c r="O391" i="11"/>
  <c r="N391" i="11"/>
  <c r="M391" i="11"/>
  <c r="L391" i="11"/>
  <c r="K391" i="11"/>
  <c r="F391" i="11"/>
  <c r="E391" i="11"/>
  <c r="C391" i="11"/>
  <c r="B391" i="11"/>
  <c r="X390" i="11"/>
  <c r="W390" i="11"/>
  <c r="V390" i="11"/>
  <c r="U390" i="11"/>
  <c r="T390" i="11"/>
  <c r="S390" i="11"/>
  <c r="R390" i="11"/>
  <c r="Q390" i="11"/>
  <c r="P390" i="11"/>
  <c r="O390" i="11"/>
  <c r="N390" i="11"/>
  <c r="M390" i="11"/>
  <c r="L390" i="11"/>
  <c r="K390" i="11"/>
  <c r="F390" i="11"/>
  <c r="E390" i="11"/>
  <c r="C390" i="11"/>
  <c r="B390" i="11"/>
  <c r="X389" i="11"/>
  <c r="W389" i="11"/>
  <c r="V389" i="11"/>
  <c r="U389" i="11"/>
  <c r="T389" i="11"/>
  <c r="S389" i="11"/>
  <c r="R389" i="11"/>
  <c r="Q389" i="11"/>
  <c r="P389" i="11"/>
  <c r="O389" i="11"/>
  <c r="N389" i="11"/>
  <c r="M389" i="11"/>
  <c r="L389" i="11"/>
  <c r="K389" i="11"/>
  <c r="F389" i="11"/>
  <c r="E389" i="11"/>
  <c r="C389" i="11"/>
  <c r="B389" i="11"/>
  <c r="X388" i="11"/>
  <c r="W388" i="11"/>
  <c r="V388" i="11"/>
  <c r="U388" i="11"/>
  <c r="T388" i="11"/>
  <c r="S388" i="11"/>
  <c r="R388" i="11"/>
  <c r="Q388" i="11"/>
  <c r="P388" i="11"/>
  <c r="O388" i="11"/>
  <c r="N388" i="11"/>
  <c r="M388" i="11"/>
  <c r="L388" i="11"/>
  <c r="K388" i="11"/>
  <c r="F388" i="11"/>
  <c r="E388" i="11"/>
  <c r="C388" i="11"/>
  <c r="B388" i="11"/>
  <c r="X387" i="11"/>
  <c r="W387" i="11"/>
  <c r="V387" i="11"/>
  <c r="U387" i="11"/>
  <c r="T387" i="11"/>
  <c r="S387" i="11"/>
  <c r="R387" i="11"/>
  <c r="Q387" i="11"/>
  <c r="P387" i="11"/>
  <c r="O387" i="11"/>
  <c r="N387" i="11"/>
  <c r="M387" i="11"/>
  <c r="L387" i="11"/>
  <c r="K387" i="11"/>
  <c r="F387" i="11"/>
  <c r="E387" i="11"/>
  <c r="C387" i="11"/>
  <c r="B387" i="11"/>
  <c r="X386" i="11"/>
  <c r="W386" i="11"/>
  <c r="V386" i="11"/>
  <c r="U386" i="11"/>
  <c r="T386" i="11"/>
  <c r="S386" i="11"/>
  <c r="R386" i="11"/>
  <c r="Q386" i="11"/>
  <c r="P386" i="11"/>
  <c r="O386" i="11"/>
  <c r="N386" i="11"/>
  <c r="M386" i="11"/>
  <c r="L386" i="11"/>
  <c r="K386" i="11"/>
  <c r="F386" i="11"/>
  <c r="E386" i="11"/>
  <c r="C386" i="11"/>
  <c r="B386" i="11"/>
  <c r="X385" i="11"/>
  <c r="W385" i="11"/>
  <c r="V385" i="11"/>
  <c r="U385" i="11"/>
  <c r="T385" i="11"/>
  <c r="S385" i="11"/>
  <c r="R385" i="11"/>
  <c r="Q385" i="11"/>
  <c r="P385" i="11"/>
  <c r="O385" i="11"/>
  <c r="N385" i="11"/>
  <c r="M385" i="11"/>
  <c r="L385" i="11"/>
  <c r="K385" i="11"/>
  <c r="F385" i="11"/>
  <c r="E385" i="11"/>
  <c r="C385" i="11"/>
  <c r="B385" i="11"/>
  <c r="X384" i="11"/>
  <c r="W384" i="11"/>
  <c r="V384" i="11"/>
  <c r="U384" i="11"/>
  <c r="T384" i="11"/>
  <c r="S384" i="11"/>
  <c r="R384" i="11"/>
  <c r="Q384" i="11"/>
  <c r="P384" i="11"/>
  <c r="O384" i="11"/>
  <c r="N384" i="11"/>
  <c r="M384" i="11"/>
  <c r="L384" i="11"/>
  <c r="K384" i="11"/>
  <c r="F384" i="11"/>
  <c r="E384" i="11"/>
  <c r="C384" i="11"/>
  <c r="B384" i="11"/>
  <c r="X383" i="11"/>
  <c r="W383" i="11"/>
  <c r="V383" i="11"/>
  <c r="U383" i="11"/>
  <c r="T383" i="11"/>
  <c r="S383" i="11"/>
  <c r="R383" i="11"/>
  <c r="Q383" i="11"/>
  <c r="P383" i="11"/>
  <c r="O383" i="11"/>
  <c r="N383" i="11"/>
  <c r="M383" i="11"/>
  <c r="L383" i="11"/>
  <c r="K383" i="11"/>
  <c r="F383" i="11"/>
  <c r="E383" i="11"/>
  <c r="C383" i="11"/>
  <c r="B383" i="11"/>
  <c r="X382" i="11"/>
  <c r="W382" i="11"/>
  <c r="V382" i="11"/>
  <c r="U382" i="11"/>
  <c r="T382" i="11"/>
  <c r="S382" i="11"/>
  <c r="R382" i="11"/>
  <c r="Q382" i="11"/>
  <c r="P382" i="11"/>
  <c r="O382" i="11"/>
  <c r="N382" i="11"/>
  <c r="M382" i="11"/>
  <c r="L382" i="11"/>
  <c r="K382" i="11"/>
  <c r="F382" i="11"/>
  <c r="E382" i="11"/>
  <c r="C382" i="11"/>
  <c r="B382" i="11"/>
  <c r="X381" i="11"/>
  <c r="W381" i="11"/>
  <c r="V381" i="11"/>
  <c r="U381" i="11"/>
  <c r="T381" i="11"/>
  <c r="S381" i="11"/>
  <c r="R381" i="11"/>
  <c r="Q381" i="11"/>
  <c r="P381" i="11"/>
  <c r="O381" i="11"/>
  <c r="N381" i="11"/>
  <c r="M381" i="11"/>
  <c r="L381" i="11"/>
  <c r="K381" i="11"/>
  <c r="F381" i="11"/>
  <c r="E381" i="11"/>
  <c r="C381" i="11"/>
  <c r="B381" i="11"/>
  <c r="X380" i="11"/>
  <c r="W380" i="11"/>
  <c r="V380" i="11"/>
  <c r="U380" i="11"/>
  <c r="T380" i="11"/>
  <c r="S380" i="11"/>
  <c r="R380" i="11"/>
  <c r="Q380" i="11"/>
  <c r="P380" i="11"/>
  <c r="O380" i="11"/>
  <c r="N380" i="11"/>
  <c r="M380" i="11"/>
  <c r="L380" i="11"/>
  <c r="K380" i="11"/>
  <c r="F380" i="11"/>
  <c r="E380" i="11"/>
  <c r="C380" i="11"/>
  <c r="B380" i="11"/>
  <c r="X379" i="11"/>
  <c r="W379" i="11"/>
  <c r="V379" i="11"/>
  <c r="U379" i="11"/>
  <c r="T379" i="11"/>
  <c r="S379" i="11"/>
  <c r="R379" i="11"/>
  <c r="Q379" i="11"/>
  <c r="P379" i="11"/>
  <c r="O379" i="11"/>
  <c r="N379" i="11"/>
  <c r="M379" i="11"/>
  <c r="L379" i="11"/>
  <c r="K379" i="11"/>
  <c r="F379" i="11"/>
  <c r="E379" i="11"/>
  <c r="C379" i="11"/>
  <c r="B379" i="11"/>
  <c r="X378" i="11"/>
  <c r="W378" i="11"/>
  <c r="V378" i="11"/>
  <c r="U378" i="11"/>
  <c r="T378" i="11"/>
  <c r="S378" i="11"/>
  <c r="R378" i="11"/>
  <c r="Q378" i="11"/>
  <c r="P378" i="11"/>
  <c r="O378" i="11"/>
  <c r="N378" i="11"/>
  <c r="M378" i="11"/>
  <c r="L378" i="11"/>
  <c r="K378" i="11"/>
  <c r="F378" i="11"/>
  <c r="E378" i="11"/>
  <c r="C378" i="11"/>
  <c r="B378" i="11"/>
  <c r="X377" i="11"/>
  <c r="W377" i="11"/>
  <c r="V377" i="11"/>
  <c r="U377" i="11"/>
  <c r="T377" i="11"/>
  <c r="S377" i="11"/>
  <c r="R377" i="11"/>
  <c r="Q377" i="11"/>
  <c r="P377" i="11"/>
  <c r="O377" i="11"/>
  <c r="N377" i="11"/>
  <c r="M377" i="11"/>
  <c r="L377" i="11"/>
  <c r="K377" i="11"/>
  <c r="F377" i="11"/>
  <c r="E377" i="11"/>
  <c r="C377" i="11"/>
  <c r="B377" i="11"/>
  <c r="X376" i="11"/>
  <c r="W376" i="11"/>
  <c r="V376" i="11"/>
  <c r="U376" i="11"/>
  <c r="T376" i="11"/>
  <c r="S376" i="11"/>
  <c r="R376" i="11"/>
  <c r="Q376" i="11"/>
  <c r="P376" i="11"/>
  <c r="O376" i="11"/>
  <c r="N376" i="11"/>
  <c r="M376" i="11"/>
  <c r="L376" i="11"/>
  <c r="K376" i="11"/>
  <c r="F376" i="11"/>
  <c r="E376" i="11"/>
  <c r="C376" i="11"/>
  <c r="B376" i="11"/>
  <c r="X375" i="11"/>
  <c r="W375" i="11"/>
  <c r="V375" i="11"/>
  <c r="U375" i="11"/>
  <c r="T375" i="11"/>
  <c r="S375" i="11"/>
  <c r="R375" i="11"/>
  <c r="Q375" i="11"/>
  <c r="P375" i="11"/>
  <c r="O375" i="11"/>
  <c r="N375" i="11"/>
  <c r="M375" i="11"/>
  <c r="L375" i="11"/>
  <c r="K375" i="11"/>
  <c r="F375" i="11"/>
  <c r="E375" i="11"/>
  <c r="C375" i="11"/>
  <c r="B375" i="11"/>
  <c r="X374" i="11"/>
  <c r="W374" i="11"/>
  <c r="V374" i="11"/>
  <c r="U374" i="11"/>
  <c r="T374" i="11"/>
  <c r="S374" i="11"/>
  <c r="R374" i="11"/>
  <c r="Q374" i="11"/>
  <c r="P374" i="11"/>
  <c r="O374" i="11"/>
  <c r="N374" i="11"/>
  <c r="M374" i="11"/>
  <c r="L374" i="11"/>
  <c r="K374" i="11"/>
  <c r="F374" i="11"/>
  <c r="E374" i="11"/>
  <c r="C374" i="11"/>
  <c r="B374" i="11"/>
  <c r="X373" i="11"/>
  <c r="W373" i="11"/>
  <c r="V373" i="11"/>
  <c r="U373" i="11"/>
  <c r="T373" i="11"/>
  <c r="S373" i="11"/>
  <c r="R373" i="11"/>
  <c r="Q373" i="11"/>
  <c r="P373" i="11"/>
  <c r="O373" i="11"/>
  <c r="N373" i="11"/>
  <c r="M373" i="11"/>
  <c r="L373" i="11"/>
  <c r="K373" i="11"/>
  <c r="F373" i="11"/>
  <c r="E373" i="11"/>
  <c r="C373" i="11"/>
  <c r="B373" i="11"/>
  <c r="X372" i="11"/>
  <c r="W372" i="11"/>
  <c r="V372" i="11"/>
  <c r="U372" i="11"/>
  <c r="T372" i="11"/>
  <c r="S372" i="11"/>
  <c r="R372" i="11"/>
  <c r="Q372" i="11"/>
  <c r="P372" i="11"/>
  <c r="O372" i="11"/>
  <c r="N372" i="11"/>
  <c r="M372" i="11"/>
  <c r="L372" i="11"/>
  <c r="K372" i="11"/>
  <c r="F372" i="11"/>
  <c r="E372" i="11"/>
  <c r="C372" i="11"/>
  <c r="B372" i="11"/>
  <c r="X371" i="11"/>
  <c r="W371" i="11"/>
  <c r="V371" i="11"/>
  <c r="U371" i="11"/>
  <c r="T371" i="11"/>
  <c r="S371" i="11"/>
  <c r="R371" i="11"/>
  <c r="Q371" i="11"/>
  <c r="P371" i="11"/>
  <c r="O371" i="11"/>
  <c r="N371" i="11"/>
  <c r="M371" i="11"/>
  <c r="L371" i="11"/>
  <c r="K371" i="11"/>
  <c r="F371" i="11"/>
  <c r="E371" i="11"/>
  <c r="C371" i="11"/>
  <c r="B371" i="11"/>
  <c r="X370" i="11"/>
  <c r="W370" i="11"/>
  <c r="V370" i="11"/>
  <c r="U370" i="11"/>
  <c r="T370" i="11"/>
  <c r="S370" i="11"/>
  <c r="R370" i="11"/>
  <c r="Q370" i="11"/>
  <c r="P370" i="11"/>
  <c r="O370" i="11"/>
  <c r="N370" i="11"/>
  <c r="M370" i="11"/>
  <c r="L370" i="11"/>
  <c r="K370" i="11"/>
  <c r="F370" i="11"/>
  <c r="E370" i="11"/>
  <c r="C370" i="11"/>
  <c r="B370" i="11"/>
  <c r="X369" i="11"/>
  <c r="W369" i="11"/>
  <c r="V369" i="11"/>
  <c r="U369" i="11"/>
  <c r="T369" i="11"/>
  <c r="S369" i="11"/>
  <c r="R369" i="11"/>
  <c r="Q369" i="11"/>
  <c r="P369" i="11"/>
  <c r="O369" i="11"/>
  <c r="N369" i="11"/>
  <c r="M369" i="11"/>
  <c r="L369" i="11"/>
  <c r="K369" i="11"/>
  <c r="F369" i="11"/>
  <c r="E369" i="11"/>
  <c r="C369" i="11"/>
  <c r="B369" i="11"/>
  <c r="X368" i="11"/>
  <c r="W368" i="11"/>
  <c r="V368" i="11"/>
  <c r="U368" i="11"/>
  <c r="T368" i="11"/>
  <c r="S368" i="11"/>
  <c r="R368" i="11"/>
  <c r="Q368" i="11"/>
  <c r="P368" i="11"/>
  <c r="O368" i="11"/>
  <c r="N368" i="11"/>
  <c r="M368" i="11"/>
  <c r="L368" i="11"/>
  <c r="K368" i="11"/>
  <c r="F368" i="11"/>
  <c r="E368" i="11"/>
  <c r="C368" i="11"/>
  <c r="B368" i="11"/>
  <c r="X367" i="11"/>
  <c r="W367" i="11"/>
  <c r="V367" i="11"/>
  <c r="U367" i="11"/>
  <c r="T367" i="11"/>
  <c r="S367" i="11"/>
  <c r="R367" i="11"/>
  <c r="Q367" i="11"/>
  <c r="P367" i="11"/>
  <c r="O367" i="11"/>
  <c r="N367" i="11"/>
  <c r="M367" i="11"/>
  <c r="L367" i="11"/>
  <c r="K367" i="11"/>
  <c r="F367" i="11"/>
  <c r="E367" i="11"/>
  <c r="C367" i="11"/>
  <c r="B367" i="11"/>
  <c r="X366" i="11"/>
  <c r="W366" i="11"/>
  <c r="V366" i="11"/>
  <c r="U366" i="11"/>
  <c r="T366" i="11"/>
  <c r="S366" i="11"/>
  <c r="R366" i="11"/>
  <c r="Q366" i="11"/>
  <c r="P366" i="11"/>
  <c r="O366" i="11"/>
  <c r="N366" i="11"/>
  <c r="M366" i="11"/>
  <c r="L366" i="11"/>
  <c r="K366" i="11"/>
  <c r="F366" i="11"/>
  <c r="E366" i="11"/>
  <c r="C366" i="11"/>
  <c r="B366" i="11"/>
  <c r="X365" i="11"/>
  <c r="W365" i="11"/>
  <c r="V365" i="11"/>
  <c r="U365" i="11"/>
  <c r="T365" i="11"/>
  <c r="S365" i="11"/>
  <c r="R365" i="11"/>
  <c r="Q365" i="11"/>
  <c r="P365" i="11"/>
  <c r="O365" i="11"/>
  <c r="N365" i="11"/>
  <c r="M365" i="11"/>
  <c r="L365" i="11"/>
  <c r="K365" i="11"/>
  <c r="F365" i="11"/>
  <c r="E365" i="11"/>
  <c r="C365" i="11"/>
  <c r="B365" i="11"/>
  <c r="X364" i="11"/>
  <c r="W364" i="11"/>
  <c r="V364" i="11"/>
  <c r="U364" i="11"/>
  <c r="T364" i="11"/>
  <c r="S364" i="11"/>
  <c r="R364" i="11"/>
  <c r="Q364" i="11"/>
  <c r="P364" i="11"/>
  <c r="O364" i="11"/>
  <c r="N364" i="11"/>
  <c r="M364" i="11"/>
  <c r="L364" i="11"/>
  <c r="K364" i="11"/>
  <c r="F364" i="11"/>
  <c r="E364" i="11"/>
  <c r="C364" i="11"/>
  <c r="B364" i="11"/>
  <c r="X363" i="11"/>
  <c r="W363" i="11"/>
  <c r="V363" i="11"/>
  <c r="U363" i="11"/>
  <c r="T363" i="11"/>
  <c r="S363" i="11"/>
  <c r="R363" i="11"/>
  <c r="Q363" i="11"/>
  <c r="P363" i="11"/>
  <c r="O363" i="11"/>
  <c r="N363" i="11"/>
  <c r="M363" i="11"/>
  <c r="L363" i="11"/>
  <c r="K363" i="11"/>
  <c r="F363" i="11"/>
  <c r="E363" i="11"/>
  <c r="C363" i="11"/>
  <c r="B363" i="11"/>
  <c r="X362" i="11"/>
  <c r="W362" i="11"/>
  <c r="V362" i="11"/>
  <c r="U362" i="11"/>
  <c r="T362" i="11"/>
  <c r="S362" i="11"/>
  <c r="R362" i="11"/>
  <c r="Q362" i="11"/>
  <c r="P362" i="11"/>
  <c r="O362" i="11"/>
  <c r="N362" i="11"/>
  <c r="M362" i="11"/>
  <c r="L362" i="11"/>
  <c r="K362" i="11"/>
  <c r="F362" i="11"/>
  <c r="E362" i="11"/>
  <c r="C362" i="11"/>
  <c r="B362" i="11"/>
  <c r="X361" i="11"/>
  <c r="W361" i="11"/>
  <c r="V361" i="11"/>
  <c r="U361" i="11"/>
  <c r="T361" i="11"/>
  <c r="S361" i="11"/>
  <c r="R361" i="11"/>
  <c r="Q361" i="11"/>
  <c r="P361" i="11"/>
  <c r="O361" i="11"/>
  <c r="N361" i="11"/>
  <c r="M361" i="11"/>
  <c r="L361" i="11"/>
  <c r="K361" i="11"/>
  <c r="F361" i="11"/>
  <c r="E361" i="11"/>
  <c r="C361" i="11"/>
  <c r="B361" i="11"/>
  <c r="X360" i="11"/>
  <c r="W360" i="11"/>
  <c r="V360" i="11"/>
  <c r="U360" i="11"/>
  <c r="T360" i="11"/>
  <c r="S360" i="11"/>
  <c r="R360" i="11"/>
  <c r="Q360" i="11"/>
  <c r="P360" i="11"/>
  <c r="O360" i="11"/>
  <c r="N360" i="11"/>
  <c r="M360" i="11"/>
  <c r="L360" i="11"/>
  <c r="K360" i="11"/>
  <c r="F360" i="11"/>
  <c r="E360" i="11"/>
  <c r="C360" i="11"/>
  <c r="B360" i="11"/>
  <c r="X359" i="11"/>
  <c r="W359" i="11"/>
  <c r="V359" i="11"/>
  <c r="U359" i="11"/>
  <c r="T359" i="11"/>
  <c r="S359" i="11"/>
  <c r="R359" i="11"/>
  <c r="Q359" i="11"/>
  <c r="P359" i="11"/>
  <c r="O359" i="11"/>
  <c r="N359" i="11"/>
  <c r="M359" i="11"/>
  <c r="L359" i="11"/>
  <c r="K359" i="11"/>
  <c r="F359" i="11"/>
  <c r="E359" i="11"/>
  <c r="C359" i="11"/>
  <c r="B359" i="11"/>
  <c r="X358" i="11"/>
  <c r="W358" i="11"/>
  <c r="V358" i="11"/>
  <c r="U358" i="11"/>
  <c r="T358" i="11"/>
  <c r="S358" i="11"/>
  <c r="R358" i="11"/>
  <c r="Q358" i="11"/>
  <c r="P358" i="11"/>
  <c r="O358" i="11"/>
  <c r="N358" i="11"/>
  <c r="M358" i="11"/>
  <c r="L358" i="11"/>
  <c r="K358" i="11"/>
  <c r="F358" i="11"/>
  <c r="E358" i="11"/>
  <c r="C358" i="11"/>
  <c r="B358" i="11"/>
  <c r="X357" i="11"/>
  <c r="W357" i="11"/>
  <c r="V357" i="11"/>
  <c r="U357" i="11"/>
  <c r="T357" i="11"/>
  <c r="S357" i="11"/>
  <c r="R357" i="11"/>
  <c r="Q357" i="11"/>
  <c r="P357" i="11"/>
  <c r="O357" i="11"/>
  <c r="N357" i="11"/>
  <c r="M357" i="11"/>
  <c r="L357" i="11"/>
  <c r="K357" i="11"/>
  <c r="F357" i="11"/>
  <c r="E357" i="11"/>
  <c r="C357" i="11"/>
  <c r="B357" i="11"/>
  <c r="X356" i="11"/>
  <c r="W356" i="11"/>
  <c r="V356" i="11"/>
  <c r="U356" i="11"/>
  <c r="T356" i="11"/>
  <c r="S356" i="11"/>
  <c r="R356" i="11"/>
  <c r="Q356" i="11"/>
  <c r="P356" i="11"/>
  <c r="O356" i="11"/>
  <c r="N356" i="11"/>
  <c r="M356" i="11"/>
  <c r="L356" i="11"/>
  <c r="K356" i="11"/>
  <c r="F356" i="11"/>
  <c r="E356" i="11"/>
  <c r="C356" i="11"/>
  <c r="B356" i="11"/>
  <c r="X355" i="11"/>
  <c r="W355" i="11"/>
  <c r="V355" i="11"/>
  <c r="U355" i="11"/>
  <c r="T355" i="11"/>
  <c r="S355" i="11"/>
  <c r="R355" i="11"/>
  <c r="Q355" i="11"/>
  <c r="P355" i="11"/>
  <c r="O355" i="11"/>
  <c r="N355" i="11"/>
  <c r="M355" i="11"/>
  <c r="L355" i="11"/>
  <c r="K355" i="11"/>
  <c r="F355" i="11"/>
  <c r="E355" i="11"/>
  <c r="C355" i="11"/>
  <c r="B355" i="11"/>
  <c r="X354" i="11"/>
  <c r="W354" i="11"/>
  <c r="V354" i="11"/>
  <c r="U354" i="11"/>
  <c r="T354" i="11"/>
  <c r="S354" i="11"/>
  <c r="R354" i="11"/>
  <c r="Q354" i="11"/>
  <c r="P354" i="11"/>
  <c r="O354" i="11"/>
  <c r="N354" i="11"/>
  <c r="M354" i="11"/>
  <c r="L354" i="11"/>
  <c r="K354" i="11"/>
  <c r="F354" i="11"/>
  <c r="E354" i="11"/>
  <c r="C354" i="11"/>
  <c r="B354" i="11"/>
  <c r="X353" i="11"/>
  <c r="W353" i="11"/>
  <c r="V353" i="11"/>
  <c r="U353" i="11"/>
  <c r="T353" i="11"/>
  <c r="S353" i="11"/>
  <c r="R353" i="11"/>
  <c r="Q353" i="11"/>
  <c r="P353" i="11"/>
  <c r="O353" i="11"/>
  <c r="N353" i="11"/>
  <c r="M353" i="11"/>
  <c r="L353" i="11"/>
  <c r="K353" i="11"/>
  <c r="F353" i="11"/>
  <c r="E353" i="11"/>
  <c r="C353" i="11"/>
  <c r="B353" i="11"/>
  <c r="X352" i="11"/>
  <c r="W352" i="11"/>
  <c r="V352" i="11"/>
  <c r="U352" i="11"/>
  <c r="T352" i="11"/>
  <c r="S352" i="11"/>
  <c r="R352" i="11"/>
  <c r="Q352" i="11"/>
  <c r="P352" i="11"/>
  <c r="O352" i="11"/>
  <c r="N352" i="11"/>
  <c r="M352" i="11"/>
  <c r="L352" i="11"/>
  <c r="K352" i="11"/>
  <c r="F352" i="11"/>
  <c r="E352" i="11"/>
  <c r="C352" i="11"/>
  <c r="B352" i="11"/>
  <c r="X351" i="11"/>
  <c r="W351" i="11"/>
  <c r="V351" i="11"/>
  <c r="U351" i="11"/>
  <c r="T351" i="11"/>
  <c r="S351" i="11"/>
  <c r="R351" i="11"/>
  <c r="Q351" i="11"/>
  <c r="P351" i="11"/>
  <c r="O351" i="11"/>
  <c r="N351" i="11"/>
  <c r="M351" i="11"/>
  <c r="L351" i="11"/>
  <c r="K351" i="11"/>
  <c r="F351" i="11"/>
  <c r="E351" i="11"/>
  <c r="C351" i="11"/>
  <c r="B351" i="11"/>
  <c r="X350" i="11"/>
  <c r="W350" i="11"/>
  <c r="V350" i="11"/>
  <c r="U350" i="11"/>
  <c r="T350" i="11"/>
  <c r="S350" i="11"/>
  <c r="R350" i="11"/>
  <c r="Q350" i="11"/>
  <c r="P350" i="11"/>
  <c r="O350" i="11"/>
  <c r="N350" i="11"/>
  <c r="M350" i="11"/>
  <c r="L350" i="11"/>
  <c r="K350" i="11"/>
  <c r="F350" i="11"/>
  <c r="E350" i="11"/>
  <c r="C350" i="11"/>
  <c r="B350" i="11"/>
  <c r="X349" i="11"/>
  <c r="W349" i="11"/>
  <c r="V349" i="11"/>
  <c r="U349" i="11"/>
  <c r="T349" i="11"/>
  <c r="S349" i="11"/>
  <c r="R349" i="11"/>
  <c r="Q349" i="11"/>
  <c r="P349" i="11"/>
  <c r="O349" i="11"/>
  <c r="N349" i="11"/>
  <c r="M349" i="11"/>
  <c r="L349" i="11"/>
  <c r="K349" i="11"/>
  <c r="F349" i="11"/>
  <c r="E349" i="11"/>
  <c r="C349" i="11"/>
  <c r="B349" i="11"/>
  <c r="X348" i="11"/>
  <c r="W348" i="11"/>
  <c r="V348" i="11"/>
  <c r="U348" i="11"/>
  <c r="T348" i="11"/>
  <c r="S348" i="11"/>
  <c r="R348" i="11"/>
  <c r="Q348" i="11"/>
  <c r="P348" i="11"/>
  <c r="O348" i="11"/>
  <c r="N348" i="11"/>
  <c r="M348" i="11"/>
  <c r="L348" i="11"/>
  <c r="K348" i="11"/>
  <c r="F348" i="11"/>
  <c r="E348" i="11"/>
  <c r="C348" i="11"/>
  <c r="B348" i="11"/>
  <c r="X347" i="11"/>
  <c r="W347" i="11"/>
  <c r="V347" i="11"/>
  <c r="U347" i="11"/>
  <c r="T347" i="11"/>
  <c r="S347" i="11"/>
  <c r="R347" i="11"/>
  <c r="Q347" i="11"/>
  <c r="P347" i="11"/>
  <c r="O347" i="11"/>
  <c r="N347" i="11"/>
  <c r="M347" i="11"/>
  <c r="L347" i="11"/>
  <c r="K347" i="11"/>
  <c r="F347" i="11"/>
  <c r="E347" i="11"/>
  <c r="C347" i="11"/>
  <c r="B347" i="11"/>
  <c r="X346" i="11"/>
  <c r="W346" i="11"/>
  <c r="V346" i="11"/>
  <c r="U346" i="11"/>
  <c r="T346" i="11"/>
  <c r="S346" i="11"/>
  <c r="R346" i="11"/>
  <c r="Q346" i="11"/>
  <c r="P346" i="11"/>
  <c r="O346" i="11"/>
  <c r="N346" i="11"/>
  <c r="M346" i="11"/>
  <c r="L346" i="11"/>
  <c r="K346" i="11"/>
  <c r="F346" i="11"/>
  <c r="E346" i="11"/>
  <c r="C346" i="11"/>
  <c r="B346" i="11"/>
  <c r="X345" i="11"/>
  <c r="W345" i="11"/>
  <c r="V345" i="11"/>
  <c r="U345" i="11"/>
  <c r="T345" i="11"/>
  <c r="S345" i="11"/>
  <c r="R345" i="11"/>
  <c r="Q345" i="11"/>
  <c r="P345" i="11"/>
  <c r="O345" i="11"/>
  <c r="N345" i="11"/>
  <c r="M345" i="11"/>
  <c r="L345" i="11"/>
  <c r="K345" i="11"/>
  <c r="F345" i="11"/>
  <c r="E345" i="11"/>
  <c r="C345" i="11"/>
  <c r="B345" i="11"/>
  <c r="X344" i="11"/>
  <c r="W344" i="11"/>
  <c r="V344" i="11"/>
  <c r="U344" i="11"/>
  <c r="T344" i="11"/>
  <c r="S344" i="11"/>
  <c r="R344" i="11"/>
  <c r="Q344" i="11"/>
  <c r="P344" i="11"/>
  <c r="O344" i="11"/>
  <c r="N344" i="11"/>
  <c r="M344" i="11"/>
  <c r="L344" i="11"/>
  <c r="K344" i="11"/>
  <c r="F344" i="11"/>
  <c r="E344" i="11"/>
  <c r="C344" i="11"/>
  <c r="B344" i="11"/>
  <c r="X343" i="11"/>
  <c r="W343" i="11"/>
  <c r="V343" i="11"/>
  <c r="U343" i="11"/>
  <c r="T343" i="11"/>
  <c r="S343" i="11"/>
  <c r="R343" i="11"/>
  <c r="Q343" i="11"/>
  <c r="P343" i="11"/>
  <c r="O343" i="11"/>
  <c r="N343" i="11"/>
  <c r="M343" i="11"/>
  <c r="L343" i="11"/>
  <c r="K343" i="11"/>
  <c r="F343" i="11"/>
  <c r="E343" i="11"/>
  <c r="C343" i="11"/>
  <c r="B343" i="11"/>
  <c r="X342" i="11"/>
  <c r="W342" i="11"/>
  <c r="V342" i="11"/>
  <c r="U342" i="11"/>
  <c r="T342" i="11"/>
  <c r="S342" i="11"/>
  <c r="R342" i="11"/>
  <c r="Q342" i="11"/>
  <c r="P342" i="11"/>
  <c r="O342" i="11"/>
  <c r="N342" i="11"/>
  <c r="M342" i="11"/>
  <c r="L342" i="11"/>
  <c r="K342" i="11"/>
  <c r="F342" i="11"/>
  <c r="E342" i="11"/>
  <c r="C342" i="11"/>
  <c r="B342" i="11"/>
  <c r="X341" i="11"/>
  <c r="W341" i="11"/>
  <c r="V341" i="11"/>
  <c r="U341" i="11"/>
  <c r="T341" i="11"/>
  <c r="S341" i="11"/>
  <c r="R341" i="11"/>
  <c r="Q341" i="11"/>
  <c r="P341" i="11"/>
  <c r="O341" i="11"/>
  <c r="N341" i="11"/>
  <c r="M341" i="11"/>
  <c r="L341" i="11"/>
  <c r="K341" i="11"/>
  <c r="F341" i="11"/>
  <c r="E341" i="11"/>
  <c r="C341" i="11"/>
  <c r="B341" i="11"/>
  <c r="X340" i="11"/>
  <c r="W340" i="11"/>
  <c r="V340" i="11"/>
  <c r="U340" i="11"/>
  <c r="T340" i="11"/>
  <c r="S340" i="11"/>
  <c r="R340" i="11"/>
  <c r="Q340" i="11"/>
  <c r="P340" i="11"/>
  <c r="O340" i="11"/>
  <c r="N340" i="11"/>
  <c r="M340" i="11"/>
  <c r="L340" i="11"/>
  <c r="K340" i="11"/>
  <c r="F340" i="11"/>
  <c r="E340" i="11"/>
  <c r="C340" i="11"/>
  <c r="B340" i="11"/>
  <c r="X339" i="11"/>
  <c r="W339" i="11"/>
  <c r="V339" i="11"/>
  <c r="U339" i="11"/>
  <c r="T339" i="11"/>
  <c r="S339" i="11"/>
  <c r="R339" i="11"/>
  <c r="Q339" i="11"/>
  <c r="P339" i="11"/>
  <c r="O339" i="11"/>
  <c r="N339" i="11"/>
  <c r="M339" i="11"/>
  <c r="L339" i="11"/>
  <c r="K339" i="11"/>
  <c r="F339" i="11"/>
  <c r="E339" i="11"/>
  <c r="C339" i="11"/>
  <c r="B339" i="11"/>
  <c r="X338" i="11"/>
  <c r="W338" i="11"/>
  <c r="V338" i="11"/>
  <c r="U338" i="11"/>
  <c r="T338" i="11"/>
  <c r="S338" i="11"/>
  <c r="R338" i="11"/>
  <c r="Q338" i="11"/>
  <c r="P338" i="11"/>
  <c r="O338" i="11"/>
  <c r="N338" i="11"/>
  <c r="M338" i="11"/>
  <c r="L338" i="11"/>
  <c r="K338" i="11"/>
  <c r="F338" i="11"/>
  <c r="E338" i="11"/>
  <c r="C338" i="11"/>
  <c r="B338" i="11"/>
  <c r="X337" i="11"/>
  <c r="W337" i="11"/>
  <c r="V337" i="11"/>
  <c r="U337" i="11"/>
  <c r="T337" i="11"/>
  <c r="S337" i="11"/>
  <c r="R337" i="11"/>
  <c r="Q337" i="11"/>
  <c r="P337" i="11"/>
  <c r="O337" i="11"/>
  <c r="N337" i="11"/>
  <c r="M337" i="11"/>
  <c r="L337" i="11"/>
  <c r="K337" i="11"/>
  <c r="F337" i="11"/>
  <c r="E337" i="11"/>
  <c r="C337" i="11"/>
  <c r="B337" i="11"/>
  <c r="X336" i="11"/>
  <c r="W336" i="11"/>
  <c r="V336" i="11"/>
  <c r="U336" i="11"/>
  <c r="T336" i="11"/>
  <c r="S336" i="11"/>
  <c r="R336" i="11"/>
  <c r="Q336" i="11"/>
  <c r="P336" i="11"/>
  <c r="O336" i="11"/>
  <c r="N336" i="11"/>
  <c r="M336" i="11"/>
  <c r="L336" i="11"/>
  <c r="K336" i="11"/>
  <c r="F336" i="11"/>
  <c r="E336" i="11"/>
  <c r="C336" i="11"/>
  <c r="B336" i="11"/>
  <c r="X335" i="11"/>
  <c r="W335" i="11"/>
  <c r="V335" i="11"/>
  <c r="U335" i="11"/>
  <c r="T335" i="11"/>
  <c r="S335" i="11"/>
  <c r="R335" i="11"/>
  <c r="Q335" i="11"/>
  <c r="P335" i="11"/>
  <c r="O335" i="11"/>
  <c r="N335" i="11"/>
  <c r="M335" i="11"/>
  <c r="L335" i="11"/>
  <c r="K335" i="11"/>
  <c r="F335" i="11"/>
  <c r="E335" i="11"/>
  <c r="C335" i="11"/>
  <c r="B335" i="11"/>
  <c r="X334" i="11"/>
  <c r="W334" i="11"/>
  <c r="V334" i="11"/>
  <c r="U334" i="11"/>
  <c r="T334" i="11"/>
  <c r="S334" i="11"/>
  <c r="R334" i="11"/>
  <c r="Q334" i="11"/>
  <c r="P334" i="11"/>
  <c r="O334" i="11"/>
  <c r="N334" i="11"/>
  <c r="M334" i="11"/>
  <c r="L334" i="11"/>
  <c r="K334" i="11"/>
  <c r="F334" i="11"/>
  <c r="E334" i="11"/>
  <c r="C334" i="11"/>
  <c r="B334" i="11"/>
  <c r="X333" i="11"/>
  <c r="W333" i="11"/>
  <c r="V333" i="11"/>
  <c r="U333" i="11"/>
  <c r="T333" i="11"/>
  <c r="S333" i="11"/>
  <c r="R333" i="11"/>
  <c r="Q333" i="11"/>
  <c r="P333" i="11"/>
  <c r="O333" i="11"/>
  <c r="N333" i="11"/>
  <c r="M333" i="11"/>
  <c r="L333" i="11"/>
  <c r="K333" i="11"/>
  <c r="F333" i="11"/>
  <c r="E333" i="11"/>
  <c r="C333" i="11"/>
  <c r="B333" i="11"/>
  <c r="X332" i="11"/>
  <c r="W332" i="11"/>
  <c r="V332" i="11"/>
  <c r="U332" i="11"/>
  <c r="T332" i="11"/>
  <c r="S332" i="11"/>
  <c r="R332" i="11"/>
  <c r="Q332" i="11"/>
  <c r="P332" i="11"/>
  <c r="O332" i="11"/>
  <c r="N332" i="11"/>
  <c r="M332" i="11"/>
  <c r="L332" i="11"/>
  <c r="K332" i="11"/>
  <c r="F332" i="11"/>
  <c r="E332" i="11"/>
  <c r="C332" i="11"/>
  <c r="B332" i="11"/>
  <c r="X331" i="11"/>
  <c r="W331" i="11"/>
  <c r="V331" i="11"/>
  <c r="U331" i="11"/>
  <c r="T331" i="11"/>
  <c r="S331" i="11"/>
  <c r="R331" i="11"/>
  <c r="Q331" i="11"/>
  <c r="P331" i="11"/>
  <c r="O331" i="11"/>
  <c r="N331" i="11"/>
  <c r="M331" i="11"/>
  <c r="L331" i="11"/>
  <c r="K331" i="11"/>
  <c r="F331" i="11"/>
  <c r="E331" i="11"/>
  <c r="C331" i="11"/>
  <c r="B331" i="11"/>
  <c r="X330" i="11"/>
  <c r="W330" i="11"/>
  <c r="V330" i="11"/>
  <c r="U330" i="11"/>
  <c r="T330" i="11"/>
  <c r="S330" i="11"/>
  <c r="R330" i="11"/>
  <c r="Q330" i="11"/>
  <c r="P330" i="11"/>
  <c r="O330" i="11"/>
  <c r="N330" i="11"/>
  <c r="M330" i="11"/>
  <c r="L330" i="11"/>
  <c r="K330" i="11"/>
  <c r="F330" i="11"/>
  <c r="E330" i="11"/>
  <c r="C330" i="11"/>
  <c r="B330" i="11"/>
  <c r="X329" i="11"/>
  <c r="W329" i="11"/>
  <c r="V329" i="11"/>
  <c r="U329" i="11"/>
  <c r="T329" i="11"/>
  <c r="S329" i="11"/>
  <c r="R329" i="11"/>
  <c r="Q329" i="11"/>
  <c r="P329" i="11"/>
  <c r="O329" i="11"/>
  <c r="N329" i="11"/>
  <c r="M329" i="11"/>
  <c r="L329" i="11"/>
  <c r="K329" i="11"/>
  <c r="F329" i="11"/>
  <c r="E329" i="11"/>
  <c r="C329" i="11"/>
  <c r="B329" i="11"/>
  <c r="X328" i="11"/>
  <c r="W328" i="11"/>
  <c r="V328" i="11"/>
  <c r="U328" i="11"/>
  <c r="T328" i="11"/>
  <c r="S328" i="11"/>
  <c r="R328" i="11"/>
  <c r="Q328" i="11"/>
  <c r="P328" i="11"/>
  <c r="O328" i="11"/>
  <c r="N328" i="11"/>
  <c r="M328" i="11"/>
  <c r="L328" i="11"/>
  <c r="K328" i="11"/>
  <c r="F328" i="11"/>
  <c r="E328" i="11"/>
  <c r="C328" i="11"/>
  <c r="B328" i="11"/>
  <c r="X327" i="11"/>
  <c r="W327" i="11"/>
  <c r="V327" i="11"/>
  <c r="U327" i="11"/>
  <c r="T327" i="11"/>
  <c r="S327" i="11"/>
  <c r="R327" i="11"/>
  <c r="Q327" i="11"/>
  <c r="P327" i="11"/>
  <c r="O327" i="11"/>
  <c r="N327" i="11"/>
  <c r="M327" i="11"/>
  <c r="L327" i="11"/>
  <c r="K327" i="11"/>
  <c r="F327" i="11"/>
  <c r="E327" i="11"/>
  <c r="C327" i="11"/>
  <c r="B327" i="11"/>
  <c r="X326" i="11"/>
  <c r="W326" i="11"/>
  <c r="V326" i="11"/>
  <c r="U326" i="11"/>
  <c r="T326" i="11"/>
  <c r="S326" i="11"/>
  <c r="R326" i="11"/>
  <c r="Q326" i="11"/>
  <c r="P326" i="11"/>
  <c r="O326" i="11"/>
  <c r="N326" i="11"/>
  <c r="M326" i="11"/>
  <c r="L326" i="11"/>
  <c r="K326" i="11"/>
  <c r="F326" i="11"/>
  <c r="E326" i="11"/>
  <c r="C326" i="11"/>
  <c r="B326" i="11"/>
  <c r="X325" i="11"/>
  <c r="W325" i="11"/>
  <c r="V325" i="11"/>
  <c r="U325" i="11"/>
  <c r="T325" i="11"/>
  <c r="S325" i="11"/>
  <c r="R325" i="11"/>
  <c r="Q325" i="11"/>
  <c r="P325" i="11"/>
  <c r="O325" i="11"/>
  <c r="N325" i="11"/>
  <c r="M325" i="11"/>
  <c r="L325" i="11"/>
  <c r="K325" i="11"/>
  <c r="F325" i="11"/>
  <c r="E325" i="11"/>
  <c r="C325" i="11"/>
  <c r="B325" i="11"/>
  <c r="X324" i="11"/>
  <c r="W324" i="11"/>
  <c r="V324" i="11"/>
  <c r="U324" i="11"/>
  <c r="T324" i="11"/>
  <c r="S324" i="11"/>
  <c r="R324" i="11"/>
  <c r="Q324" i="11"/>
  <c r="P324" i="11"/>
  <c r="O324" i="11"/>
  <c r="N324" i="11"/>
  <c r="M324" i="11"/>
  <c r="L324" i="11"/>
  <c r="K324" i="11"/>
  <c r="F324" i="11"/>
  <c r="E324" i="11"/>
  <c r="C324" i="11"/>
  <c r="B324" i="11"/>
  <c r="X323" i="11"/>
  <c r="W323" i="11"/>
  <c r="V323" i="11"/>
  <c r="U323" i="11"/>
  <c r="T323" i="11"/>
  <c r="S323" i="11"/>
  <c r="R323" i="11"/>
  <c r="Q323" i="11"/>
  <c r="P323" i="11"/>
  <c r="O323" i="11"/>
  <c r="N323" i="11"/>
  <c r="M323" i="11"/>
  <c r="L323" i="11"/>
  <c r="K323" i="11"/>
  <c r="F323" i="11"/>
  <c r="E323" i="11"/>
  <c r="C323" i="11"/>
  <c r="B323" i="11"/>
  <c r="X322" i="11"/>
  <c r="W322" i="11"/>
  <c r="V322" i="11"/>
  <c r="U322" i="11"/>
  <c r="T322" i="11"/>
  <c r="S322" i="11"/>
  <c r="R322" i="11"/>
  <c r="Q322" i="11"/>
  <c r="P322" i="11"/>
  <c r="O322" i="11"/>
  <c r="N322" i="11"/>
  <c r="M322" i="11"/>
  <c r="L322" i="11"/>
  <c r="K322" i="11"/>
  <c r="F322" i="11"/>
  <c r="E322" i="11"/>
  <c r="C322" i="11"/>
  <c r="B322" i="11"/>
  <c r="X321" i="11"/>
  <c r="W321" i="11"/>
  <c r="V321" i="11"/>
  <c r="U321" i="11"/>
  <c r="T321" i="11"/>
  <c r="S321" i="11"/>
  <c r="R321" i="11"/>
  <c r="Q321" i="11"/>
  <c r="P321" i="11"/>
  <c r="O321" i="11"/>
  <c r="N321" i="11"/>
  <c r="M321" i="11"/>
  <c r="L321" i="11"/>
  <c r="K321" i="11"/>
  <c r="F321" i="11"/>
  <c r="E321" i="11"/>
  <c r="C321" i="11"/>
  <c r="B321" i="11"/>
  <c r="X320" i="11"/>
  <c r="W320" i="11"/>
  <c r="V320" i="11"/>
  <c r="U320" i="11"/>
  <c r="T320" i="11"/>
  <c r="S320" i="11"/>
  <c r="R320" i="11"/>
  <c r="Q320" i="11"/>
  <c r="P320" i="11"/>
  <c r="O320" i="11"/>
  <c r="N320" i="11"/>
  <c r="M320" i="11"/>
  <c r="L320" i="11"/>
  <c r="K320" i="11"/>
  <c r="F320" i="11"/>
  <c r="E320" i="11"/>
  <c r="C320" i="11"/>
  <c r="B320" i="11"/>
  <c r="X319" i="11"/>
  <c r="W319" i="11"/>
  <c r="V319" i="11"/>
  <c r="U319" i="11"/>
  <c r="T319" i="11"/>
  <c r="S319" i="11"/>
  <c r="R319" i="11"/>
  <c r="Q319" i="11"/>
  <c r="P319" i="11"/>
  <c r="O319" i="11"/>
  <c r="N319" i="11"/>
  <c r="M319" i="11"/>
  <c r="L319" i="11"/>
  <c r="K319" i="11"/>
  <c r="F319" i="11"/>
  <c r="E319" i="11"/>
  <c r="C319" i="11"/>
  <c r="B319" i="11"/>
  <c r="X318" i="11"/>
  <c r="W318" i="11"/>
  <c r="V318" i="11"/>
  <c r="U318" i="11"/>
  <c r="T318" i="11"/>
  <c r="S318" i="11"/>
  <c r="R318" i="11"/>
  <c r="Q318" i="11"/>
  <c r="P318" i="11"/>
  <c r="O318" i="11"/>
  <c r="N318" i="11"/>
  <c r="M318" i="11"/>
  <c r="L318" i="11"/>
  <c r="K318" i="11"/>
  <c r="F318" i="11"/>
  <c r="E318" i="11"/>
  <c r="C318" i="11"/>
  <c r="B318" i="11"/>
  <c r="X317" i="11"/>
  <c r="W317" i="11"/>
  <c r="V317" i="11"/>
  <c r="U317" i="11"/>
  <c r="T317" i="11"/>
  <c r="S317" i="11"/>
  <c r="R317" i="11"/>
  <c r="Q317" i="11"/>
  <c r="P317" i="11"/>
  <c r="O317" i="11"/>
  <c r="N317" i="11"/>
  <c r="M317" i="11"/>
  <c r="L317" i="11"/>
  <c r="K317" i="11"/>
  <c r="F317" i="11"/>
  <c r="E317" i="11"/>
  <c r="C317" i="11"/>
  <c r="B317" i="11"/>
  <c r="X316" i="11"/>
  <c r="W316" i="11"/>
  <c r="V316" i="11"/>
  <c r="U316" i="11"/>
  <c r="T316" i="11"/>
  <c r="S316" i="11"/>
  <c r="R316" i="11"/>
  <c r="Q316" i="11"/>
  <c r="P316" i="11"/>
  <c r="O316" i="11"/>
  <c r="N316" i="11"/>
  <c r="M316" i="11"/>
  <c r="L316" i="11"/>
  <c r="K316" i="11"/>
  <c r="F316" i="11"/>
  <c r="E316" i="11"/>
  <c r="C316" i="11"/>
  <c r="B316" i="11"/>
  <c r="X315" i="11"/>
  <c r="W315" i="11"/>
  <c r="V315" i="11"/>
  <c r="U315" i="11"/>
  <c r="T315" i="11"/>
  <c r="S315" i="11"/>
  <c r="R315" i="11"/>
  <c r="Q315" i="11"/>
  <c r="P315" i="11"/>
  <c r="O315" i="11"/>
  <c r="N315" i="11"/>
  <c r="M315" i="11"/>
  <c r="L315" i="11"/>
  <c r="K315" i="11"/>
  <c r="F315" i="11"/>
  <c r="E315" i="11"/>
  <c r="C315" i="11"/>
  <c r="B315" i="11"/>
  <c r="X314" i="11"/>
  <c r="W314" i="11"/>
  <c r="V314" i="11"/>
  <c r="U314" i="11"/>
  <c r="T314" i="11"/>
  <c r="S314" i="11"/>
  <c r="R314" i="11"/>
  <c r="Q314" i="11"/>
  <c r="P314" i="11"/>
  <c r="O314" i="11"/>
  <c r="N314" i="11"/>
  <c r="M314" i="11"/>
  <c r="L314" i="11"/>
  <c r="K314" i="11"/>
  <c r="F314" i="11"/>
  <c r="E314" i="11"/>
  <c r="C314" i="11"/>
  <c r="B314" i="11"/>
  <c r="X313" i="11"/>
  <c r="W313" i="11"/>
  <c r="V313" i="11"/>
  <c r="U313" i="11"/>
  <c r="T313" i="11"/>
  <c r="S313" i="11"/>
  <c r="R313" i="11"/>
  <c r="Q313" i="11"/>
  <c r="P313" i="11"/>
  <c r="O313" i="11"/>
  <c r="N313" i="11"/>
  <c r="M313" i="11"/>
  <c r="L313" i="11"/>
  <c r="K313" i="11"/>
  <c r="F313" i="11"/>
  <c r="E313" i="11"/>
  <c r="C313" i="11"/>
  <c r="B313" i="11"/>
  <c r="X312" i="11"/>
  <c r="W312" i="11"/>
  <c r="V312" i="11"/>
  <c r="U312" i="11"/>
  <c r="T312" i="11"/>
  <c r="S312" i="11"/>
  <c r="R312" i="11"/>
  <c r="Q312" i="11"/>
  <c r="P312" i="11"/>
  <c r="O312" i="11"/>
  <c r="N312" i="11"/>
  <c r="M312" i="11"/>
  <c r="L312" i="11"/>
  <c r="K312" i="11"/>
  <c r="F312" i="11"/>
  <c r="E312" i="11"/>
  <c r="C312" i="11"/>
  <c r="B312" i="11"/>
  <c r="X311" i="11"/>
  <c r="W311" i="11"/>
  <c r="V311" i="11"/>
  <c r="U311" i="11"/>
  <c r="T311" i="11"/>
  <c r="S311" i="11"/>
  <c r="R311" i="11"/>
  <c r="Q311" i="11"/>
  <c r="P311" i="11"/>
  <c r="O311" i="11"/>
  <c r="N311" i="11"/>
  <c r="M311" i="11"/>
  <c r="L311" i="11"/>
  <c r="K311" i="11"/>
  <c r="F311" i="11"/>
  <c r="E311" i="11"/>
  <c r="C311" i="11"/>
  <c r="B311" i="11"/>
  <c r="X310" i="11"/>
  <c r="W310" i="11"/>
  <c r="V310" i="11"/>
  <c r="U310" i="11"/>
  <c r="T310" i="11"/>
  <c r="S310" i="11"/>
  <c r="R310" i="11"/>
  <c r="Q310" i="11"/>
  <c r="P310" i="11"/>
  <c r="O310" i="11"/>
  <c r="N310" i="11"/>
  <c r="M310" i="11"/>
  <c r="L310" i="11"/>
  <c r="K310" i="11"/>
  <c r="F310" i="11"/>
  <c r="E310" i="11"/>
  <c r="C310" i="11"/>
  <c r="B310" i="11"/>
  <c r="X309" i="11"/>
  <c r="W309" i="11"/>
  <c r="V309" i="11"/>
  <c r="U309" i="11"/>
  <c r="T309" i="11"/>
  <c r="S309" i="11"/>
  <c r="R309" i="11"/>
  <c r="Q309" i="11"/>
  <c r="P309" i="11"/>
  <c r="O309" i="11"/>
  <c r="N309" i="11"/>
  <c r="M309" i="11"/>
  <c r="L309" i="11"/>
  <c r="K309" i="11"/>
  <c r="F309" i="11"/>
  <c r="E309" i="11"/>
  <c r="C309" i="11"/>
  <c r="B309" i="11"/>
  <c r="X308" i="11"/>
  <c r="W308" i="11"/>
  <c r="V308" i="11"/>
  <c r="U308" i="11"/>
  <c r="T308" i="11"/>
  <c r="S308" i="11"/>
  <c r="R308" i="11"/>
  <c r="Q308" i="11"/>
  <c r="P308" i="11"/>
  <c r="O308" i="11"/>
  <c r="N308" i="11"/>
  <c r="M308" i="11"/>
  <c r="L308" i="11"/>
  <c r="K308" i="11"/>
  <c r="F308" i="11"/>
  <c r="E308" i="11"/>
  <c r="C308" i="11"/>
  <c r="B308" i="11"/>
  <c r="X307" i="11"/>
  <c r="W307" i="11"/>
  <c r="V307" i="11"/>
  <c r="U307" i="11"/>
  <c r="T307" i="11"/>
  <c r="S307" i="11"/>
  <c r="R307" i="11"/>
  <c r="Q307" i="11"/>
  <c r="P307" i="11"/>
  <c r="O307" i="11"/>
  <c r="N307" i="11"/>
  <c r="M307" i="11"/>
  <c r="L307" i="11"/>
  <c r="K307" i="11"/>
  <c r="F307" i="11"/>
  <c r="E307" i="11"/>
  <c r="C307" i="11"/>
  <c r="B307" i="11"/>
  <c r="X306" i="11"/>
  <c r="W306" i="11"/>
  <c r="V306" i="11"/>
  <c r="U306" i="11"/>
  <c r="T306" i="11"/>
  <c r="S306" i="11"/>
  <c r="R306" i="11"/>
  <c r="Q306" i="11"/>
  <c r="P306" i="11"/>
  <c r="O306" i="11"/>
  <c r="N306" i="11"/>
  <c r="M306" i="11"/>
  <c r="L306" i="11"/>
  <c r="K306" i="11"/>
  <c r="F306" i="11"/>
  <c r="E306" i="11"/>
  <c r="C306" i="11"/>
  <c r="B306" i="11"/>
  <c r="X305" i="11"/>
  <c r="W305" i="11"/>
  <c r="V305" i="11"/>
  <c r="U305" i="11"/>
  <c r="T305" i="11"/>
  <c r="S305" i="11"/>
  <c r="R305" i="11"/>
  <c r="Q305" i="11"/>
  <c r="P305" i="11"/>
  <c r="O305" i="11"/>
  <c r="N305" i="11"/>
  <c r="M305" i="11"/>
  <c r="L305" i="11"/>
  <c r="K305" i="11"/>
  <c r="F305" i="11"/>
  <c r="E305" i="11"/>
  <c r="C305" i="11"/>
  <c r="B305" i="11"/>
  <c r="X304" i="11"/>
  <c r="W304" i="11"/>
  <c r="V304" i="11"/>
  <c r="U304" i="11"/>
  <c r="T304" i="11"/>
  <c r="S304" i="11"/>
  <c r="R304" i="11"/>
  <c r="Q304" i="11"/>
  <c r="P304" i="11"/>
  <c r="O304" i="11"/>
  <c r="N304" i="11"/>
  <c r="M304" i="11"/>
  <c r="L304" i="11"/>
  <c r="K304" i="11"/>
  <c r="F304" i="11"/>
  <c r="E304" i="11"/>
  <c r="C304" i="11"/>
  <c r="B304" i="11"/>
  <c r="X303" i="11"/>
  <c r="W303" i="11"/>
  <c r="V303" i="11"/>
  <c r="U303" i="11"/>
  <c r="T303" i="11"/>
  <c r="S303" i="11"/>
  <c r="R303" i="11"/>
  <c r="Q303" i="11"/>
  <c r="P303" i="11"/>
  <c r="O303" i="11"/>
  <c r="N303" i="11"/>
  <c r="M303" i="11"/>
  <c r="L303" i="11"/>
  <c r="K303" i="11"/>
  <c r="F303" i="11"/>
  <c r="E303" i="11"/>
  <c r="C303" i="11"/>
  <c r="B303" i="11"/>
  <c r="X302" i="11"/>
  <c r="W302" i="11"/>
  <c r="V302" i="11"/>
  <c r="U302" i="11"/>
  <c r="T302" i="11"/>
  <c r="S302" i="11"/>
  <c r="R302" i="11"/>
  <c r="Q302" i="11"/>
  <c r="P302" i="11"/>
  <c r="O302" i="11"/>
  <c r="N302" i="11"/>
  <c r="M302" i="11"/>
  <c r="L302" i="11"/>
  <c r="K302" i="11"/>
  <c r="F302" i="11"/>
  <c r="E302" i="11"/>
  <c r="C302" i="11"/>
  <c r="B302" i="11"/>
  <c r="X301" i="11"/>
  <c r="W301" i="11"/>
  <c r="V301" i="11"/>
  <c r="U301" i="11"/>
  <c r="T301" i="11"/>
  <c r="S301" i="11"/>
  <c r="R301" i="11"/>
  <c r="Q301" i="11"/>
  <c r="P301" i="11"/>
  <c r="O301" i="11"/>
  <c r="N301" i="11"/>
  <c r="M301" i="11"/>
  <c r="L301" i="11"/>
  <c r="K301" i="11"/>
  <c r="F301" i="11"/>
  <c r="E301" i="11"/>
  <c r="C301" i="11"/>
  <c r="B301" i="11"/>
  <c r="X300" i="11"/>
  <c r="W300" i="11"/>
  <c r="V300" i="11"/>
  <c r="U300" i="11"/>
  <c r="T300" i="11"/>
  <c r="S300" i="11"/>
  <c r="R300" i="11"/>
  <c r="Q300" i="11"/>
  <c r="P300" i="11"/>
  <c r="O300" i="11"/>
  <c r="N300" i="11"/>
  <c r="M300" i="11"/>
  <c r="L300" i="11"/>
  <c r="K300" i="11"/>
  <c r="F300" i="11"/>
  <c r="E300" i="11"/>
  <c r="C300" i="11"/>
  <c r="B300" i="11"/>
  <c r="X299" i="11"/>
  <c r="W299" i="11"/>
  <c r="V299" i="11"/>
  <c r="U299" i="11"/>
  <c r="T299" i="11"/>
  <c r="S299" i="11"/>
  <c r="R299" i="11"/>
  <c r="Q299" i="11"/>
  <c r="P299" i="11"/>
  <c r="O299" i="11"/>
  <c r="N299" i="11"/>
  <c r="M299" i="11"/>
  <c r="L299" i="11"/>
  <c r="K299" i="11"/>
  <c r="F299" i="11"/>
  <c r="E299" i="11"/>
  <c r="C299" i="11"/>
  <c r="B299" i="11"/>
  <c r="X298" i="11"/>
  <c r="W298" i="11"/>
  <c r="V298" i="11"/>
  <c r="U298" i="11"/>
  <c r="T298" i="11"/>
  <c r="S298" i="11"/>
  <c r="R298" i="11"/>
  <c r="Q298" i="11"/>
  <c r="P298" i="11"/>
  <c r="O298" i="11"/>
  <c r="N298" i="11"/>
  <c r="M298" i="11"/>
  <c r="L298" i="11"/>
  <c r="K298" i="11"/>
  <c r="F298" i="11"/>
  <c r="E298" i="11"/>
  <c r="C298" i="11"/>
  <c r="B298" i="11"/>
  <c r="X297" i="11"/>
  <c r="W297" i="11"/>
  <c r="V297" i="11"/>
  <c r="U297" i="11"/>
  <c r="T297" i="11"/>
  <c r="S297" i="11"/>
  <c r="R297" i="11"/>
  <c r="Q297" i="11"/>
  <c r="P297" i="11"/>
  <c r="O297" i="11"/>
  <c r="N297" i="11"/>
  <c r="M297" i="11"/>
  <c r="L297" i="11"/>
  <c r="K297" i="11"/>
  <c r="F297" i="11"/>
  <c r="E297" i="11"/>
  <c r="C297" i="11"/>
  <c r="B297" i="11"/>
  <c r="X296" i="11"/>
  <c r="W296" i="11"/>
  <c r="V296" i="11"/>
  <c r="U296" i="11"/>
  <c r="T296" i="11"/>
  <c r="S296" i="11"/>
  <c r="R296" i="11"/>
  <c r="Q296" i="11"/>
  <c r="P296" i="11"/>
  <c r="O296" i="11"/>
  <c r="N296" i="11"/>
  <c r="M296" i="11"/>
  <c r="L296" i="11"/>
  <c r="K296" i="11"/>
  <c r="F296" i="11"/>
  <c r="E296" i="11"/>
  <c r="C296" i="11"/>
  <c r="B296" i="11"/>
  <c r="X295" i="11"/>
  <c r="W295" i="11"/>
  <c r="V295" i="11"/>
  <c r="U295" i="11"/>
  <c r="T295" i="11"/>
  <c r="S295" i="11"/>
  <c r="R295" i="11"/>
  <c r="Q295" i="11"/>
  <c r="P295" i="11"/>
  <c r="O295" i="11"/>
  <c r="N295" i="11"/>
  <c r="M295" i="11"/>
  <c r="L295" i="11"/>
  <c r="K295" i="11"/>
  <c r="F295" i="11"/>
  <c r="E295" i="11"/>
  <c r="C295" i="11"/>
  <c r="B295" i="11"/>
  <c r="X294" i="11"/>
  <c r="W294" i="11"/>
  <c r="V294" i="11"/>
  <c r="U294" i="11"/>
  <c r="T294" i="11"/>
  <c r="S294" i="11"/>
  <c r="R294" i="11"/>
  <c r="Q294" i="11"/>
  <c r="P294" i="11"/>
  <c r="O294" i="11"/>
  <c r="N294" i="11"/>
  <c r="M294" i="11"/>
  <c r="L294" i="11"/>
  <c r="K294" i="11"/>
  <c r="F294" i="11"/>
  <c r="E294" i="11"/>
  <c r="C294" i="11"/>
  <c r="B294" i="11"/>
  <c r="X293" i="11"/>
  <c r="W293" i="11"/>
  <c r="V293" i="11"/>
  <c r="U293" i="11"/>
  <c r="T293" i="11"/>
  <c r="S293" i="11"/>
  <c r="R293" i="11"/>
  <c r="Q293" i="11"/>
  <c r="P293" i="11"/>
  <c r="O293" i="11"/>
  <c r="N293" i="11"/>
  <c r="M293" i="11"/>
  <c r="L293" i="11"/>
  <c r="K293" i="11"/>
  <c r="F293" i="11"/>
  <c r="E293" i="11"/>
  <c r="C293" i="11"/>
  <c r="B293" i="11"/>
  <c r="X292" i="11"/>
  <c r="W292" i="11"/>
  <c r="V292" i="11"/>
  <c r="U292" i="11"/>
  <c r="T292" i="11"/>
  <c r="S292" i="11"/>
  <c r="R292" i="11"/>
  <c r="Q292" i="11"/>
  <c r="P292" i="11"/>
  <c r="O292" i="11"/>
  <c r="N292" i="11"/>
  <c r="M292" i="11"/>
  <c r="L292" i="11"/>
  <c r="K292" i="11"/>
  <c r="F292" i="11"/>
  <c r="E292" i="11"/>
  <c r="C292" i="11"/>
  <c r="B292" i="11"/>
  <c r="X291" i="11"/>
  <c r="W291" i="11"/>
  <c r="V291" i="11"/>
  <c r="U291" i="11"/>
  <c r="T291" i="11"/>
  <c r="S291" i="11"/>
  <c r="R291" i="11"/>
  <c r="Q291" i="11"/>
  <c r="P291" i="11"/>
  <c r="O291" i="11"/>
  <c r="N291" i="11"/>
  <c r="M291" i="11"/>
  <c r="L291" i="11"/>
  <c r="K291" i="11"/>
  <c r="F291" i="11"/>
  <c r="E291" i="11"/>
  <c r="C291" i="11"/>
  <c r="B291" i="11"/>
  <c r="X290" i="11"/>
  <c r="W290" i="11"/>
  <c r="V290" i="11"/>
  <c r="U290" i="11"/>
  <c r="T290" i="11"/>
  <c r="S290" i="11"/>
  <c r="R290" i="11"/>
  <c r="Q290" i="11"/>
  <c r="P290" i="11"/>
  <c r="O290" i="11"/>
  <c r="N290" i="11"/>
  <c r="M290" i="11"/>
  <c r="L290" i="11"/>
  <c r="K290" i="11"/>
  <c r="F290" i="11"/>
  <c r="E290" i="11"/>
  <c r="C290" i="11"/>
  <c r="B290" i="11"/>
  <c r="X289" i="11"/>
  <c r="W289" i="11"/>
  <c r="V289" i="11"/>
  <c r="U289" i="11"/>
  <c r="T289" i="11"/>
  <c r="S289" i="11"/>
  <c r="R289" i="11"/>
  <c r="Q289" i="11"/>
  <c r="P289" i="11"/>
  <c r="O289" i="11"/>
  <c r="N289" i="11"/>
  <c r="M289" i="11"/>
  <c r="L289" i="11"/>
  <c r="K289" i="11"/>
  <c r="F289" i="11"/>
  <c r="E289" i="11"/>
  <c r="C289" i="11"/>
  <c r="B289" i="11"/>
  <c r="X288" i="11"/>
  <c r="W288" i="11"/>
  <c r="V288" i="11"/>
  <c r="U288" i="11"/>
  <c r="T288" i="11"/>
  <c r="S288" i="11"/>
  <c r="R288" i="11"/>
  <c r="Q288" i="11"/>
  <c r="P288" i="11"/>
  <c r="O288" i="11"/>
  <c r="N288" i="11"/>
  <c r="M288" i="11"/>
  <c r="L288" i="11"/>
  <c r="K288" i="11"/>
  <c r="F288" i="11"/>
  <c r="E288" i="11"/>
  <c r="C288" i="11"/>
  <c r="B288" i="11"/>
  <c r="X287" i="11"/>
  <c r="W287" i="11"/>
  <c r="V287" i="11"/>
  <c r="U287" i="11"/>
  <c r="T287" i="11"/>
  <c r="S287" i="11"/>
  <c r="R287" i="11"/>
  <c r="Q287" i="11"/>
  <c r="P287" i="11"/>
  <c r="O287" i="11"/>
  <c r="N287" i="11"/>
  <c r="M287" i="11"/>
  <c r="L287" i="11"/>
  <c r="K287" i="11"/>
  <c r="F287" i="11"/>
  <c r="E287" i="11"/>
  <c r="C287" i="11"/>
  <c r="B287" i="11"/>
  <c r="X286" i="11"/>
  <c r="W286" i="11"/>
  <c r="V286" i="11"/>
  <c r="U286" i="11"/>
  <c r="T286" i="11"/>
  <c r="S286" i="11"/>
  <c r="R286" i="11"/>
  <c r="Q286" i="11"/>
  <c r="P286" i="11"/>
  <c r="O286" i="11"/>
  <c r="N286" i="11"/>
  <c r="M286" i="11"/>
  <c r="L286" i="11"/>
  <c r="K286" i="11"/>
  <c r="F286" i="11"/>
  <c r="E286" i="11"/>
  <c r="C286" i="11"/>
  <c r="B286" i="11"/>
  <c r="X285" i="11"/>
  <c r="W285" i="11"/>
  <c r="V285" i="11"/>
  <c r="U285" i="11"/>
  <c r="T285" i="11"/>
  <c r="S285" i="11"/>
  <c r="R285" i="11"/>
  <c r="Q285" i="11"/>
  <c r="P285" i="11"/>
  <c r="O285" i="11"/>
  <c r="N285" i="11"/>
  <c r="M285" i="11"/>
  <c r="L285" i="11"/>
  <c r="K285" i="11"/>
  <c r="F285" i="11"/>
  <c r="E285" i="11"/>
  <c r="C285" i="11"/>
  <c r="B285" i="11"/>
  <c r="X284" i="11"/>
  <c r="W284" i="11"/>
  <c r="V284" i="11"/>
  <c r="U284" i="11"/>
  <c r="T284" i="11"/>
  <c r="S284" i="11"/>
  <c r="R284" i="11"/>
  <c r="Q284" i="11"/>
  <c r="P284" i="11"/>
  <c r="O284" i="11"/>
  <c r="N284" i="11"/>
  <c r="M284" i="11"/>
  <c r="L284" i="11"/>
  <c r="K284" i="11"/>
  <c r="F284" i="11"/>
  <c r="E284" i="11"/>
  <c r="C284" i="11"/>
  <c r="B284" i="11"/>
  <c r="X283" i="11"/>
  <c r="W283" i="11"/>
  <c r="V283" i="11"/>
  <c r="U283" i="11"/>
  <c r="T283" i="11"/>
  <c r="S283" i="11"/>
  <c r="R283" i="11"/>
  <c r="Q283" i="11"/>
  <c r="P283" i="11"/>
  <c r="O283" i="11"/>
  <c r="N283" i="11"/>
  <c r="M283" i="11"/>
  <c r="L283" i="11"/>
  <c r="K283" i="11"/>
  <c r="F283" i="11"/>
  <c r="E283" i="11"/>
  <c r="C283" i="11"/>
  <c r="B283" i="11"/>
  <c r="X282" i="11"/>
  <c r="W282" i="11"/>
  <c r="V282" i="11"/>
  <c r="U282" i="11"/>
  <c r="T282" i="11"/>
  <c r="S282" i="11"/>
  <c r="R282" i="11"/>
  <c r="Q282" i="11"/>
  <c r="P282" i="11"/>
  <c r="O282" i="11"/>
  <c r="N282" i="11"/>
  <c r="M282" i="11"/>
  <c r="L282" i="11"/>
  <c r="K282" i="11"/>
  <c r="F282" i="11"/>
  <c r="E282" i="11"/>
  <c r="C282" i="11"/>
  <c r="B282" i="11"/>
  <c r="X281" i="11"/>
  <c r="W281" i="11"/>
  <c r="V281" i="11"/>
  <c r="U281" i="11"/>
  <c r="T281" i="11"/>
  <c r="S281" i="11"/>
  <c r="R281" i="11"/>
  <c r="Q281" i="11"/>
  <c r="P281" i="11"/>
  <c r="O281" i="11"/>
  <c r="N281" i="11"/>
  <c r="M281" i="11"/>
  <c r="L281" i="11"/>
  <c r="K281" i="11"/>
  <c r="F281" i="11"/>
  <c r="E281" i="11"/>
  <c r="C281" i="11"/>
  <c r="B281" i="11"/>
  <c r="X280" i="11"/>
  <c r="W280" i="11"/>
  <c r="V280" i="11"/>
  <c r="U280" i="11"/>
  <c r="T280" i="11"/>
  <c r="S280" i="11"/>
  <c r="R280" i="11"/>
  <c r="Q280" i="11"/>
  <c r="P280" i="11"/>
  <c r="O280" i="11"/>
  <c r="N280" i="11"/>
  <c r="M280" i="11"/>
  <c r="L280" i="11"/>
  <c r="K280" i="11"/>
  <c r="F280" i="11"/>
  <c r="E280" i="11"/>
  <c r="C280" i="11"/>
  <c r="B280" i="11"/>
  <c r="X279" i="11"/>
  <c r="W279" i="11"/>
  <c r="V279" i="11"/>
  <c r="U279" i="11"/>
  <c r="T279" i="11"/>
  <c r="S279" i="11"/>
  <c r="R279" i="11"/>
  <c r="Q279" i="11"/>
  <c r="P279" i="11"/>
  <c r="O279" i="11"/>
  <c r="N279" i="11"/>
  <c r="M279" i="11"/>
  <c r="L279" i="11"/>
  <c r="K279" i="11"/>
  <c r="F279" i="11"/>
  <c r="E279" i="11"/>
  <c r="C279" i="11"/>
  <c r="B279" i="11"/>
  <c r="X278" i="11"/>
  <c r="W278" i="11"/>
  <c r="V278" i="11"/>
  <c r="U278" i="11"/>
  <c r="T278" i="11"/>
  <c r="S278" i="11"/>
  <c r="R278" i="11"/>
  <c r="Q278" i="11"/>
  <c r="P278" i="11"/>
  <c r="O278" i="11"/>
  <c r="N278" i="11"/>
  <c r="M278" i="11"/>
  <c r="L278" i="11"/>
  <c r="K278" i="11"/>
  <c r="F278" i="11"/>
  <c r="E278" i="11"/>
  <c r="C278" i="11"/>
  <c r="B278" i="11"/>
  <c r="X277" i="11"/>
  <c r="W277" i="11"/>
  <c r="V277" i="11"/>
  <c r="U277" i="11"/>
  <c r="T277" i="11"/>
  <c r="S277" i="11"/>
  <c r="R277" i="11"/>
  <c r="Q277" i="11"/>
  <c r="P277" i="11"/>
  <c r="O277" i="11"/>
  <c r="N277" i="11"/>
  <c r="M277" i="11"/>
  <c r="L277" i="11"/>
  <c r="K277" i="11"/>
  <c r="F277" i="11"/>
  <c r="E277" i="11"/>
  <c r="C277" i="11"/>
  <c r="B277" i="11"/>
  <c r="X276" i="11"/>
  <c r="W276" i="11"/>
  <c r="V276" i="11"/>
  <c r="U276" i="11"/>
  <c r="T276" i="11"/>
  <c r="S276" i="11"/>
  <c r="R276" i="11"/>
  <c r="Q276" i="11"/>
  <c r="P276" i="11"/>
  <c r="O276" i="11"/>
  <c r="N276" i="11"/>
  <c r="M276" i="11"/>
  <c r="L276" i="11"/>
  <c r="K276" i="11"/>
  <c r="F276" i="11"/>
  <c r="E276" i="11"/>
  <c r="C276" i="11"/>
  <c r="B276" i="11"/>
  <c r="X275" i="11"/>
  <c r="W275" i="11"/>
  <c r="V275" i="11"/>
  <c r="U275" i="11"/>
  <c r="T275" i="11"/>
  <c r="S275" i="11"/>
  <c r="R275" i="11"/>
  <c r="Q275" i="11"/>
  <c r="P275" i="11"/>
  <c r="O275" i="11"/>
  <c r="N275" i="11"/>
  <c r="M275" i="11"/>
  <c r="L275" i="11"/>
  <c r="K275" i="11"/>
  <c r="F275" i="11"/>
  <c r="E275" i="11"/>
  <c r="C275" i="11"/>
  <c r="B275" i="11"/>
  <c r="X274" i="11"/>
  <c r="W274" i="11"/>
  <c r="V274" i="11"/>
  <c r="U274" i="11"/>
  <c r="T274" i="11"/>
  <c r="S274" i="11"/>
  <c r="R274" i="11"/>
  <c r="Q274" i="11"/>
  <c r="P274" i="11"/>
  <c r="O274" i="11"/>
  <c r="N274" i="11"/>
  <c r="M274" i="11"/>
  <c r="L274" i="11"/>
  <c r="K274" i="11"/>
  <c r="F274" i="11"/>
  <c r="E274" i="11"/>
  <c r="C274" i="11"/>
  <c r="B274" i="11"/>
  <c r="X273" i="11"/>
  <c r="W273" i="11"/>
  <c r="V273" i="11"/>
  <c r="U273" i="11"/>
  <c r="T273" i="11"/>
  <c r="S273" i="11"/>
  <c r="R273" i="11"/>
  <c r="Q273" i="11"/>
  <c r="P273" i="11"/>
  <c r="O273" i="11"/>
  <c r="N273" i="11"/>
  <c r="M273" i="11"/>
  <c r="L273" i="11"/>
  <c r="K273" i="11"/>
  <c r="F273" i="11"/>
  <c r="E273" i="11"/>
  <c r="C273" i="11"/>
  <c r="B273" i="11"/>
  <c r="X272" i="11"/>
  <c r="W272" i="11"/>
  <c r="V272" i="11"/>
  <c r="U272" i="11"/>
  <c r="T272" i="11"/>
  <c r="S272" i="11"/>
  <c r="R272" i="11"/>
  <c r="Q272" i="11"/>
  <c r="P272" i="11"/>
  <c r="O272" i="11"/>
  <c r="N272" i="11"/>
  <c r="M272" i="11"/>
  <c r="L272" i="11"/>
  <c r="K272" i="11"/>
  <c r="F272" i="11"/>
  <c r="E272" i="11"/>
  <c r="C272" i="11"/>
  <c r="B272" i="11"/>
  <c r="X271" i="11"/>
  <c r="W271" i="11"/>
  <c r="V271" i="11"/>
  <c r="U271" i="11"/>
  <c r="T271" i="11"/>
  <c r="S271" i="11"/>
  <c r="R271" i="11"/>
  <c r="Q271" i="11"/>
  <c r="P271" i="11"/>
  <c r="O271" i="11"/>
  <c r="N271" i="11"/>
  <c r="M271" i="11"/>
  <c r="L271" i="11"/>
  <c r="K271" i="11"/>
  <c r="F271" i="11"/>
  <c r="E271" i="11"/>
  <c r="C271" i="11"/>
  <c r="B271" i="11"/>
  <c r="X270" i="11"/>
  <c r="W270" i="11"/>
  <c r="V270" i="11"/>
  <c r="U270" i="11"/>
  <c r="T270" i="11"/>
  <c r="S270" i="11"/>
  <c r="R270" i="11"/>
  <c r="Q270" i="11"/>
  <c r="P270" i="11"/>
  <c r="O270" i="11"/>
  <c r="N270" i="11"/>
  <c r="M270" i="11"/>
  <c r="L270" i="11"/>
  <c r="K270" i="11"/>
  <c r="F270" i="11"/>
  <c r="E270" i="11"/>
  <c r="C270" i="11"/>
  <c r="B270" i="11"/>
  <c r="X269" i="11"/>
  <c r="W269" i="11"/>
  <c r="V269" i="11"/>
  <c r="U269" i="11"/>
  <c r="T269" i="11"/>
  <c r="S269" i="11"/>
  <c r="R269" i="11"/>
  <c r="Q269" i="11"/>
  <c r="P269" i="11"/>
  <c r="O269" i="11"/>
  <c r="N269" i="11"/>
  <c r="M269" i="11"/>
  <c r="L269" i="11"/>
  <c r="K269" i="11"/>
  <c r="F269" i="11"/>
  <c r="E269" i="11"/>
  <c r="C269" i="11"/>
  <c r="B269" i="11"/>
  <c r="X268" i="11"/>
  <c r="W268" i="11"/>
  <c r="V268" i="11"/>
  <c r="U268" i="11"/>
  <c r="T268" i="11"/>
  <c r="S268" i="11"/>
  <c r="R268" i="11"/>
  <c r="Q268" i="11"/>
  <c r="P268" i="11"/>
  <c r="O268" i="11"/>
  <c r="N268" i="11"/>
  <c r="M268" i="11"/>
  <c r="L268" i="11"/>
  <c r="K268" i="11"/>
  <c r="F268" i="11"/>
  <c r="E268" i="11"/>
  <c r="C268" i="11"/>
  <c r="B268" i="11"/>
  <c r="X267" i="11"/>
  <c r="W267" i="11"/>
  <c r="V267" i="11"/>
  <c r="U267" i="11"/>
  <c r="T267" i="11"/>
  <c r="S267" i="11"/>
  <c r="R267" i="11"/>
  <c r="Q267" i="11"/>
  <c r="P267" i="11"/>
  <c r="O267" i="11"/>
  <c r="N267" i="11"/>
  <c r="M267" i="11"/>
  <c r="L267" i="11"/>
  <c r="K267" i="11"/>
  <c r="F267" i="11"/>
  <c r="E267" i="11"/>
  <c r="C267" i="11"/>
  <c r="B267" i="11"/>
  <c r="X266" i="11"/>
  <c r="W266" i="11"/>
  <c r="V266" i="11"/>
  <c r="U266" i="11"/>
  <c r="T266" i="11"/>
  <c r="S266" i="11"/>
  <c r="R266" i="11"/>
  <c r="Q266" i="11"/>
  <c r="P266" i="11"/>
  <c r="O266" i="11"/>
  <c r="N266" i="11"/>
  <c r="M266" i="11"/>
  <c r="L266" i="11"/>
  <c r="K266" i="11"/>
  <c r="F266" i="11"/>
  <c r="E266" i="11"/>
  <c r="C266" i="11"/>
  <c r="B266" i="11"/>
  <c r="X265" i="11"/>
  <c r="W265" i="11"/>
  <c r="V265" i="11"/>
  <c r="U265" i="11"/>
  <c r="T265" i="11"/>
  <c r="S265" i="11"/>
  <c r="R265" i="11"/>
  <c r="Q265" i="11"/>
  <c r="P265" i="11"/>
  <c r="O265" i="11"/>
  <c r="N265" i="11"/>
  <c r="M265" i="11"/>
  <c r="L265" i="11"/>
  <c r="K265" i="11"/>
  <c r="F265" i="11"/>
  <c r="E265" i="11"/>
  <c r="C265" i="11"/>
  <c r="B265" i="11"/>
  <c r="X264" i="11"/>
  <c r="W264" i="11"/>
  <c r="V264" i="11"/>
  <c r="U264" i="11"/>
  <c r="T264" i="11"/>
  <c r="S264" i="11"/>
  <c r="R264" i="11"/>
  <c r="Q264" i="11"/>
  <c r="P264" i="11"/>
  <c r="O264" i="11"/>
  <c r="N264" i="11"/>
  <c r="M264" i="11"/>
  <c r="L264" i="11"/>
  <c r="K264" i="11"/>
  <c r="F264" i="11"/>
  <c r="E264" i="11"/>
  <c r="C264" i="11"/>
  <c r="B264" i="11"/>
  <c r="X263" i="11"/>
  <c r="W263" i="11"/>
  <c r="V263" i="11"/>
  <c r="U263" i="11"/>
  <c r="T263" i="11"/>
  <c r="S263" i="11"/>
  <c r="R263" i="11"/>
  <c r="Q263" i="11"/>
  <c r="P263" i="11"/>
  <c r="O263" i="11"/>
  <c r="N263" i="11"/>
  <c r="M263" i="11"/>
  <c r="L263" i="11"/>
  <c r="K263" i="11"/>
  <c r="F263" i="11"/>
  <c r="E263" i="11"/>
  <c r="C263" i="11"/>
  <c r="B263" i="11"/>
  <c r="X262" i="11"/>
  <c r="W262" i="11"/>
  <c r="V262" i="11"/>
  <c r="U262" i="11"/>
  <c r="T262" i="11"/>
  <c r="S262" i="11"/>
  <c r="R262" i="11"/>
  <c r="Q262" i="11"/>
  <c r="P262" i="11"/>
  <c r="O262" i="11"/>
  <c r="N262" i="11"/>
  <c r="M262" i="11"/>
  <c r="L262" i="11"/>
  <c r="K262" i="11"/>
  <c r="F262" i="11"/>
  <c r="E262" i="11"/>
  <c r="C262" i="11"/>
  <c r="B262" i="11"/>
  <c r="X261" i="11"/>
  <c r="W261" i="11"/>
  <c r="V261" i="11"/>
  <c r="U261" i="11"/>
  <c r="T261" i="11"/>
  <c r="S261" i="11"/>
  <c r="R261" i="11"/>
  <c r="Q261" i="11"/>
  <c r="P261" i="11"/>
  <c r="O261" i="11"/>
  <c r="N261" i="11"/>
  <c r="M261" i="11"/>
  <c r="L261" i="11"/>
  <c r="K261" i="11"/>
  <c r="F261" i="11"/>
  <c r="E261" i="11"/>
  <c r="C261" i="11"/>
  <c r="B261" i="11"/>
  <c r="X260" i="11"/>
  <c r="W260" i="11"/>
  <c r="V260" i="11"/>
  <c r="U260" i="11"/>
  <c r="T260" i="11"/>
  <c r="S260" i="11"/>
  <c r="R260" i="11"/>
  <c r="Q260" i="11"/>
  <c r="P260" i="11"/>
  <c r="O260" i="11"/>
  <c r="N260" i="11"/>
  <c r="M260" i="11"/>
  <c r="L260" i="11"/>
  <c r="K260" i="11"/>
  <c r="F260" i="11"/>
  <c r="E260" i="11"/>
  <c r="C260" i="11"/>
  <c r="B260" i="11"/>
  <c r="X259" i="11"/>
  <c r="W259" i="11"/>
  <c r="V259" i="11"/>
  <c r="U259" i="11"/>
  <c r="T259" i="11"/>
  <c r="S259" i="11"/>
  <c r="R259" i="11"/>
  <c r="Q259" i="11"/>
  <c r="P259" i="11"/>
  <c r="O259" i="11"/>
  <c r="N259" i="11"/>
  <c r="M259" i="11"/>
  <c r="L259" i="11"/>
  <c r="K259" i="11"/>
  <c r="F259" i="11"/>
  <c r="E259" i="11"/>
  <c r="C259" i="11"/>
  <c r="B259" i="11"/>
  <c r="X258" i="11"/>
  <c r="W258" i="11"/>
  <c r="V258" i="11"/>
  <c r="U258" i="11"/>
  <c r="T258" i="11"/>
  <c r="S258" i="11"/>
  <c r="R258" i="11"/>
  <c r="Q258" i="11"/>
  <c r="P258" i="11"/>
  <c r="O258" i="11"/>
  <c r="N258" i="11"/>
  <c r="M258" i="11"/>
  <c r="L258" i="11"/>
  <c r="K258" i="11"/>
  <c r="F258" i="11"/>
  <c r="E258" i="11"/>
  <c r="C258" i="11"/>
  <c r="B258" i="11"/>
  <c r="X257" i="11"/>
  <c r="W257" i="11"/>
  <c r="V257" i="11"/>
  <c r="U257" i="11"/>
  <c r="T257" i="11"/>
  <c r="S257" i="11"/>
  <c r="R257" i="11"/>
  <c r="Q257" i="11"/>
  <c r="P257" i="11"/>
  <c r="O257" i="11"/>
  <c r="N257" i="11"/>
  <c r="M257" i="11"/>
  <c r="L257" i="11"/>
  <c r="K257" i="11"/>
  <c r="F257" i="11"/>
  <c r="E257" i="11"/>
  <c r="C257" i="11"/>
  <c r="B257" i="11"/>
  <c r="X256" i="11"/>
  <c r="W256" i="11"/>
  <c r="V256" i="11"/>
  <c r="U256" i="11"/>
  <c r="T256" i="11"/>
  <c r="S256" i="11"/>
  <c r="R256" i="11"/>
  <c r="Q256" i="11"/>
  <c r="P256" i="11"/>
  <c r="O256" i="11"/>
  <c r="N256" i="11"/>
  <c r="M256" i="11"/>
  <c r="L256" i="11"/>
  <c r="K256" i="11"/>
  <c r="F256" i="11"/>
  <c r="E256" i="11"/>
  <c r="C256" i="11"/>
  <c r="B256" i="11"/>
  <c r="X255" i="11"/>
  <c r="W255" i="11"/>
  <c r="V255" i="11"/>
  <c r="U255" i="11"/>
  <c r="T255" i="11"/>
  <c r="S255" i="11"/>
  <c r="R255" i="11"/>
  <c r="Q255" i="11"/>
  <c r="P255" i="11"/>
  <c r="O255" i="11"/>
  <c r="N255" i="11"/>
  <c r="M255" i="11"/>
  <c r="L255" i="11"/>
  <c r="K255" i="11"/>
  <c r="F255" i="11"/>
  <c r="E255" i="11"/>
  <c r="C255" i="11"/>
  <c r="B255" i="11"/>
  <c r="X254" i="11"/>
  <c r="W254" i="11"/>
  <c r="V254" i="11"/>
  <c r="U254" i="11"/>
  <c r="T254" i="11"/>
  <c r="S254" i="11"/>
  <c r="R254" i="11"/>
  <c r="Q254" i="11"/>
  <c r="P254" i="11"/>
  <c r="O254" i="11"/>
  <c r="N254" i="11"/>
  <c r="M254" i="11"/>
  <c r="L254" i="11"/>
  <c r="K254" i="11"/>
  <c r="F254" i="11"/>
  <c r="E254" i="11"/>
  <c r="C254" i="11"/>
  <c r="B254" i="11"/>
  <c r="X253" i="11"/>
  <c r="W253" i="11"/>
  <c r="V253" i="11"/>
  <c r="U253" i="11"/>
  <c r="T253" i="11"/>
  <c r="S253" i="11"/>
  <c r="R253" i="11"/>
  <c r="Q253" i="11"/>
  <c r="P253" i="11"/>
  <c r="O253" i="11"/>
  <c r="N253" i="11"/>
  <c r="M253" i="11"/>
  <c r="L253" i="11"/>
  <c r="K253" i="11"/>
  <c r="F253" i="11"/>
  <c r="E253" i="11"/>
  <c r="C253" i="11"/>
  <c r="B253" i="11"/>
  <c r="X252" i="11"/>
  <c r="W252" i="11"/>
  <c r="V252" i="11"/>
  <c r="U252" i="11"/>
  <c r="T252" i="11"/>
  <c r="S252" i="11"/>
  <c r="R252" i="11"/>
  <c r="Q252" i="11"/>
  <c r="P252" i="11"/>
  <c r="O252" i="11"/>
  <c r="N252" i="11"/>
  <c r="M252" i="11"/>
  <c r="L252" i="11"/>
  <c r="K252" i="11"/>
  <c r="F252" i="11"/>
  <c r="E252" i="11"/>
  <c r="C252" i="11"/>
  <c r="B252" i="11"/>
  <c r="X251" i="11"/>
  <c r="W251" i="11"/>
  <c r="V251" i="11"/>
  <c r="U251" i="11"/>
  <c r="T251" i="11"/>
  <c r="S251" i="11"/>
  <c r="R251" i="11"/>
  <c r="Q251" i="11"/>
  <c r="P251" i="11"/>
  <c r="O251" i="11"/>
  <c r="N251" i="11"/>
  <c r="M251" i="11"/>
  <c r="L251" i="11"/>
  <c r="K251" i="11"/>
  <c r="F251" i="11"/>
  <c r="E251" i="11"/>
  <c r="C251" i="11"/>
  <c r="B251" i="11"/>
  <c r="X250" i="11"/>
  <c r="W250" i="11"/>
  <c r="V250" i="11"/>
  <c r="U250" i="11"/>
  <c r="T250" i="11"/>
  <c r="S250" i="11"/>
  <c r="R250" i="11"/>
  <c r="Q250" i="11"/>
  <c r="P250" i="11"/>
  <c r="O250" i="11"/>
  <c r="N250" i="11"/>
  <c r="M250" i="11"/>
  <c r="L250" i="11"/>
  <c r="K250" i="11"/>
  <c r="F250" i="11"/>
  <c r="E250" i="11"/>
  <c r="C250" i="11"/>
  <c r="B250" i="11"/>
  <c r="X249" i="11"/>
  <c r="W249" i="11"/>
  <c r="V249" i="11"/>
  <c r="U249" i="11"/>
  <c r="T249" i="11"/>
  <c r="S249" i="11"/>
  <c r="R249" i="11"/>
  <c r="Q249" i="11"/>
  <c r="P249" i="11"/>
  <c r="O249" i="11"/>
  <c r="N249" i="11"/>
  <c r="M249" i="11"/>
  <c r="L249" i="11"/>
  <c r="K249" i="11"/>
  <c r="F249" i="11"/>
  <c r="E249" i="11"/>
  <c r="C249" i="11"/>
  <c r="B249" i="11"/>
  <c r="X248" i="11"/>
  <c r="W248" i="11"/>
  <c r="V248" i="11"/>
  <c r="U248" i="11"/>
  <c r="T248" i="11"/>
  <c r="S248" i="11"/>
  <c r="R248" i="11"/>
  <c r="Q248" i="11"/>
  <c r="P248" i="11"/>
  <c r="O248" i="11"/>
  <c r="N248" i="11"/>
  <c r="M248" i="11"/>
  <c r="L248" i="11"/>
  <c r="K248" i="11"/>
  <c r="F248" i="11"/>
  <c r="E248" i="11"/>
  <c r="C248" i="11"/>
  <c r="B248" i="11"/>
  <c r="X247" i="11"/>
  <c r="W247" i="11"/>
  <c r="V247" i="11"/>
  <c r="U247" i="11"/>
  <c r="T247" i="11"/>
  <c r="S247" i="11"/>
  <c r="R247" i="11"/>
  <c r="Q247" i="11"/>
  <c r="P247" i="11"/>
  <c r="O247" i="11"/>
  <c r="N247" i="11"/>
  <c r="M247" i="11"/>
  <c r="L247" i="11"/>
  <c r="K247" i="11"/>
  <c r="F247" i="11"/>
  <c r="E247" i="11"/>
  <c r="C247" i="11"/>
  <c r="B247" i="11"/>
  <c r="X246" i="11"/>
  <c r="W246" i="11"/>
  <c r="V246" i="11"/>
  <c r="U246" i="11"/>
  <c r="T246" i="11"/>
  <c r="S246" i="11"/>
  <c r="R246" i="11"/>
  <c r="Q246" i="11"/>
  <c r="P246" i="11"/>
  <c r="O246" i="11"/>
  <c r="N246" i="11"/>
  <c r="M246" i="11"/>
  <c r="L246" i="11"/>
  <c r="K246" i="11"/>
  <c r="F246" i="11"/>
  <c r="E246" i="11"/>
  <c r="C246" i="11"/>
  <c r="B246" i="11"/>
  <c r="X245" i="11"/>
  <c r="W245" i="11"/>
  <c r="V245" i="11"/>
  <c r="U245" i="11"/>
  <c r="T245" i="11"/>
  <c r="S245" i="11"/>
  <c r="R245" i="11"/>
  <c r="Q245" i="11"/>
  <c r="P245" i="11"/>
  <c r="O245" i="11"/>
  <c r="N245" i="11"/>
  <c r="M245" i="11"/>
  <c r="L245" i="11"/>
  <c r="K245" i="11"/>
  <c r="F245" i="11"/>
  <c r="E245" i="11"/>
  <c r="C245" i="11"/>
  <c r="B245" i="11"/>
  <c r="X244" i="11"/>
  <c r="W244" i="11"/>
  <c r="V244" i="11"/>
  <c r="U244" i="11"/>
  <c r="T244" i="11"/>
  <c r="S244" i="11"/>
  <c r="R244" i="11"/>
  <c r="Q244" i="11"/>
  <c r="P244" i="11"/>
  <c r="O244" i="11"/>
  <c r="N244" i="11"/>
  <c r="M244" i="11"/>
  <c r="L244" i="11"/>
  <c r="K244" i="11"/>
  <c r="F244" i="11"/>
  <c r="E244" i="11"/>
  <c r="C244" i="11"/>
  <c r="B244" i="11"/>
  <c r="X243" i="11"/>
  <c r="W243" i="11"/>
  <c r="V243" i="11"/>
  <c r="U243" i="11"/>
  <c r="T243" i="11"/>
  <c r="S243" i="11"/>
  <c r="R243" i="11"/>
  <c r="Q243" i="11"/>
  <c r="P243" i="11"/>
  <c r="O243" i="11"/>
  <c r="N243" i="11"/>
  <c r="M243" i="11"/>
  <c r="L243" i="11"/>
  <c r="K243" i="11"/>
  <c r="F243" i="11"/>
  <c r="E243" i="11"/>
  <c r="C243" i="11"/>
  <c r="B243" i="11"/>
  <c r="X242" i="11"/>
  <c r="W242" i="11"/>
  <c r="V242" i="11"/>
  <c r="U242" i="11"/>
  <c r="T242" i="11"/>
  <c r="S242" i="11"/>
  <c r="R242" i="11"/>
  <c r="Q242" i="11"/>
  <c r="P242" i="11"/>
  <c r="O242" i="11"/>
  <c r="N242" i="11"/>
  <c r="M242" i="11"/>
  <c r="L242" i="11"/>
  <c r="K242" i="11"/>
  <c r="F242" i="11"/>
  <c r="E242" i="11"/>
  <c r="C242" i="11"/>
  <c r="B242" i="11"/>
  <c r="X241" i="11"/>
  <c r="W241" i="11"/>
  <c r="V241" i="11"/>
  <c r="U241" i="11"/>
  <c r="T241" i="11"/>
  <c r="S241" i="11"/>
  <c r="R241" i="11"/>
  <c r="Q241" i="11"/>
  <c r="P241" i="11"/>
  <c r="O241" i="11"/>
  <c r="N241" i="11"/>
  <c r="M241" i="11"/>
  <c r="L241" i="11"/>
  <c r="K241" i="11"/>
  <c r="F241" i="11"/>
  <c r="E241" i="11"/>
  <c r="C241" i="11"/>
  <c r="B241" i="11"/>
  <c r="X240" i="11"/>
  <c r="W240" i="11"/>
  <c r="V240" i="11"/>
  <c r="U240" i="11"/>
  <c r="T240" i="11"/>
  <c r="S240" i="11"/>
  <c r="R240" i="11"/>
  <c r="Q240" i="11"/>
  <c r="P240" i="11"/>
  <c r="O240" i="11"/>
  <c r="N240" i="11"/>
  <c r="M240" i="11"/>
  <c r="L240" i="11"/>
  <c r="K240" i="11"/>
  <c r="F240" i="11"/>
  <c r="E240" i="11"/>
  <c r="C240" i="11"/>
  <c r="B240" i="11"/>
  <c r="X239" i="11"/>
  <c r="W239" i="11"/>
  <c r="V239" i="11"/>
  <c r="U239" i="11"/>
  <c r="T239" i="11"/>
  <c r="S239" i="11"/>
  <c r="R239" i="11"/>
  <c r="Q239" i="11"/>
  <c r="P239" i="11"/>
  <c r="O239" i="11"/>
  <c r="N239" i="11"/>
  <c r="M239" i="11"/>
  <c r="L239" i="11"/>
  <c r="K239" i="11"/>
  <c r="F239" i="11"/>
  <c r="E239" i="11"/>
  <c r="C239" i="11"/>
  <c r="B239" i="11"/>
  <c r="X238" i="11"/>
  <c r="W238" i="11"/>
  <c r="V238" i="11"/>
  <c r="U238" i="11"/>
  <c r="T238" i="11"/>
  <c r="S238" i="11"/>
  <c r="R238" i="11"/>
  <c r="Q238" i="11"/>
  <c r="P238" i="11"/>
  <c r="O238" i="11"/>
  <c r="N238" i="11"/>
  <c r="M238" i="11"/>
  <c r="L238" i="11"/>
  <c r="K238" i="11"/>
  <c r="F238" i="11"/>
  <c r="E238" i="11"/>
  <c r="C238" i="11"/>
  <c r="B238" i="11"/>
  <c r="X237" i="11"/>
  <c r="W237" i="11"/>
  <c r="V237" i="11"/>
  <c r="U237" i="11"/>
  <c r="T237" i="11"/>
  <c r="S237" i="11"/>
  <c r="R237" i="11"/>
  <c r="Q237" i="11"/>
  <c r="P237" i="11"/>
  <c r="O237" i="11"/>
  <c r="N237" i="11"/>
  <c r="M237" i="11"/>
  <c r="L237" i="11"/>
  <c r="K237" i="11"/>
  <c r="F237" i="11"/>
  <c r="E237" i="11"/>
  <c r="C237" i="11"/>
  <c r="B237" i="11"/>
  <c r="X236" i="11"/>
  <c r="W236" i="11"/>
  <c r="V236" i="11"/>
  <c r="U236" i="11"/>
  <c r="T236" i="11"/>
  <c r="S236" i="11"/>
  <c r="R236" i="11"/>
  <c r="Q236" i="11"/>
  <c r="P236" i="11"/>
  <c r="O236" i="11"/>
  <c r="N236" i="11"/>
  <c r="M236" i="11"/>
  <c r="L236" i="11"/>
  <c r="K236" i="11"/>
  <c r="F236" i="11"/>
  <c r="E236" i="11"/>
  <c r="C236" i="11"/>
  <c r="B236" i="11"/>
  <c r="X235" i="11"/>
  <c r="W235" i="11"/>
  <c r="V235" i="11"/>
  <c r="U235" i="11"/>
  <c r="T235" i="11"/>
  <c r="S235" i="11"/>
  <c r="R235" i="11"/>
  <c r="Q235" i="11"/>
  <c r="P235" i="11"/>
  <c r="O235" i="11"/>
  <c r="N235" i="11"/>
  <c r="M235" i="11"/>
  <c r="L235" i="11"/>
  <c r="K235" i="11"/>
  <c r="F235" i="11"/>
  <c r="E235" i="11"/>
  <c r="C235" i="11"/>
  <c r="B235" i="11"/>
  <c r="X234" i="11"/>
  <c r="W234" i="11"/>
  <c r="V234" i="11"/>
  <c r="U234" i="11"/>
  <c r="T234" i="11"/>
  <c r="S234" i="11"/>
  <c r="R234" i="11"/>
  <c r="Q234" i="11"/>
  <c r="P234" i="11"/>
  <c r="O234" i="11"/>
  <c r="N234" i="11"/>
  <c r="M234" i="11"/>
  <c r="L234" i="11"/>
  <c r="K234" i="11"/>
  <c r="F234" i="11"/>
  <c r="E234" i="11"/>
  <c r="C234" i="11"/>
  <c r="B234" i="11"/>
  <c r="X233" i="11"/>
  <c r="W233" i="11"/>
  <c r="V233" i="11"/>
  <c r="U233" i="11"/>
  <c r="T233" i="11"/>
  <c r="S233" i="11"/>
  <c r="R233" i="11"/>
  <c r="Q233" i="11"/>
  <c r="P233" i="11"/>
  <c r="O233" i="11"/>
  <c r="N233" i="11"/>
  <c r="M233" i="11"/>
  <c r="L233" i="11"/>
  <c r="K233" i="11"/>
  <c r="F233" i="11"/>
  <c r="E233" i="11"/>
  <c r="C233" i="11"/>
  <c r="B233" i="11"/>
  <c r="X232" i="11"/>
  <c r="W232" i="11"/>
  <c r="V232" i="11"/>
  <c r="U232" i="11"/>
  <c r="T232" i="11"/>
  <c r="S232" i="11"/>
  <c r="R232" i="11"/>
  <c r="Q232" i="11"/>
  <c r="P232" i="11"/>
  <c r="O232" i="11"/>
  <c r="N232" i="11"/>
  <c r="M232" i="11"/>
  <c r="L232" i="11"/>
  <c r="K232" i="11"/>
  <c r="F232" i="11"/>
  <c r="E232" i="11"/>
  <c r="C232" i="11"/>
  <c r="B232" i="11"/>
  <c r="X231" i="11"/>
  <c r="W231" i="11"/>
  <c r="V231" i="11"/>
  <c r="U231" i="11"/>
  <c r="T231" i="11"/>
  <c r="S231" i="11"/>
  <c r="R231" i="11"/>
  <c r="Q231" i="11"/>
  <c r="P231" i="11"/>
  <c r="O231" i="11"/>
  <c r="N231" i="11"/>
  <c r="M231" i="11"/>
  <c r="L231" i="11"/>
  <c r="K231" i="11"/>
  <c r="F231" i="11"/>
  <c r="E231" i="11"/>
  <c r="C231" i="11"/>
  <c r="B231" i="11"/>
  <c r="X230" i="11"/>
  <c r="W230" i="11"/>
  <c r="V230" i="11"/>
  <c r="U230" i="11"/>
  <c r="T230" i="11"/>
  <c r="S230" i="11"/>
  <c r="R230" i="11"/>
  <c r="Q230" i="11"/>
  <c r="P230" i="11"/>
  <c r="O230" i="11"/>
  <c r="N230" i="11"/>
  <c r="M230" i="11"/>
  <c r="L230" i="11"/>
  <c r="K230" i="11"/>
  <c r="F230" i="11"/>
  <c r="E230" i="11"/>
  <c r="C230" i="11"/>
  <c r="B230" i="11"/>
  <c r="X229" i="11"/>
  <c r="W229" i="11"/>
  <c r="V229" i="11"/>
  <c r="U229" i="11"/>
  <c r="T229" i="11"/>
  <c r="S229" i="11"/>
  <c r="R229" i="11"/>
  <c r="Q229" i="11"/>
  <c r="P229" i="11"/>
  <c r="O229" i="11"/>
  <c r="N229" i="11"/>
  <c r="M229" i="11"/>
  <c r="L229" i="11"/>
  <c r="K229" i="11"/>
  <c r="F229" i="11"/>
  <c r="E229" i="11"/>
  <c r="C229" i="11"/>
  <c r="B229" i="11"/>
  <c r="X228" i="11"/>
  <c r="W228" i="11"/>
  <c r="V228" i="11"/>
  <c r="U228" i="11"/>
  <c r="T228" i="11"/>
  <c r="S228" i="11"/>
  <c r="R228" i="11"/>
  <c r="Q228" i="11"/>
  <c r="P228" i="11"/>
  <c r="O228" i="11"/>
  <c r="N228" i="11"/>
  <c r="M228" i="11"/>
  <c r="L228" i="11"/>
  <c r="K228" i="11"/>
  <c r="F228" i="11"/>
  <c r="E228" i="11"/>
  <c r="C228" i="11"/>
  <c r="B228" i="11"/>
  <c r="X227" i="11"/>
  <c r="W227" i="11"/>
  <c r="V227" i="11"/>
  <c r="U227" i="11"/>
  <c r="T227" i="11"/>
  <c r="S227" i="11"/>
  <c r="R227" i="11"/>
  <c r="Q227" i="11"/>
  <c r="P227" i="11"/>
  <c r="O227" i="11"/>
  <c r="N227" i="11"/>
  <c r="M227" i="11"/>
  <c r="L227" i="11"/>
  <c r="K227" i="11"/>
  <c r="F227" i="11"/>
  <c r="E227" i="11"/>
  <c r="C227" i="11"/>
  <c r="B227" i="11"/>
  <c r="X226" i="11"/>
  <c r="W226" i="11"/>
  <c r="V226" i="11"/>
  <c r="U226" i="11"/>
  <c r="T226" i="11"/>
  <c r="S226" i="11"/>
  <c r="R226" i="11"/>
  <c r="Q226" i="11"/>
  <c r="P226" i="11"/>
  <c r="O226" i="11"/>
  <c r="N226" i="11"/>
  <c r="M226" i="11"/>
  <c r="L226" i="11"/>
  <c r="K226" i="11"/>
  <c r="F226" i="11"/>
  <c r="E226" i="11"/>
  <c r="C226" i="11"/>
  <c r="B226" i="11"/>
  <c r="X225" i="11"/>
  <c r="W225" i="11"/>
  <c r="V225" i="11"/>
  <c r="U225" i="11"/>
  <c r="T225" i="11"/>
  <c r="S225" i="11"/>
  <c r="R225" i="11"/>
  <c r="Q225" i="11"/>
  <c r="P225" i="11"/>
  <c r="O225" i="11"/>
  <c r="N225" i="11"/>
  <c r="M225" i="11"/>
  <c r="L225" i="11"/>
  <c r="K225" i="11"/>
  <c r="F225" i="11"/>
  <c r="E225" i="11"/>
  <c r="C225" i="11"/>
  <c r="B225" i="11"/>
  <c r="X224" i="11"/>
  <c r="W224" i="11"/>
  <c r="V224" i="11"/>
  <c r="U224" i="11"/>
  <c r="T224" i="11"/>
  <c r="S224" i="11"/>
  <c r="R224" i="11"/>
  <c r="Q224" i="11"/>
  <c r="P224" i="11"/>
  <c r="O224" i="11"/>
  <c r="N224" i="11"/>
  <c r="M224" i="11"/>
  <c r="L224" i="11"/>
  <c r="K224" i="11"/>
  <c r="F224" i="11"/>
  <c r="E224" i="11"/>
  <c r="C224" i="11"/>
  <c r="B224" i="11"/>
  <c r="X223" i="11"/>
  <c r="W223" i="11"/>
  <c r="V223" i="11"/>
  <c r="U223" i="11"/>
  <c r="T223" i="11"/>
  <c r="S223" i="11"/>
  <c r="R223" i="11"/>
  <c r="Q223" i="11"/>
  <c r="P223" i="11"/>
  <c r="O223" i="11"/>
  <c r="N223" i="11"/>
  <c r="M223" i="11"/>
  <c r="L223" i="11"/>
  <c r="K223" i="11"/>
  <c r="F223" i="11"/>
  <c r="E223" i="11"/>
  <c r="C223" i="11"/>
  <c r="B223" i="11"/>
  <c r="X222" i="11"/>
  <c r="W222" i="11"/>
  <c r="V222" i="11"/>
  <c r="U222" i="11"/>
  <c r="T222" i="11"/>
  <c r="S222" i="11"/>
  <c r="R222" i="11"/>
  <c r="Q222" i="11"/>
  <c r="P222" i="11"/>
  <c r="O222" i="11"/>
  <c r="N222" i="11"/>
  <c r="M222" i="11"/>
  <c r="L222" i="11"/>
  <c r="K222" i="11"/>
  <c r="F222" i="11"/>
  <c r="E222" i="11"/>
  <c r="C222" i="11"/>
  <c r="B222" i="11"/>
  <c r="X221" i="11"/>
  <c r="W221" i="11"/>
  <c r="V221" i="11"/>
  <c r="U221" i="11"/>
  <c r="T221" i="11"/>
  <c r="S221" i="11"/>
  <c r="R221" i="11"/>
  <c r="Q221" i="11"/>
  <c r="P221" i="11"/>
  <c r="O221" i="11"/>
  <c r="N221" i="11"/>
  <c r="M221" i="11"/>
  <c r="L221" i="11"/>
  <c r="K221" i="11"/>
  <c r="F221" i="11"/>
  <c r="E221" i="11"/>
  <c r="C221" i="11"/>
  <c r="B221" i="11"/>
  <c r="X220" i="11"/>
  <c r="W220" i="11"/>
  <c r="V220" i="11"/>
  <c r="U220" i="11"/>
  <c r="T220" i="11"/>
  <c r="S220" i="11"/>
  <c r="R220" i="11"/>
  <c r="Q220" i="11"/>
  <c r="P220" i="11"/>
  <c r="O220" i="11"/>
  <c r="N220" i="11"/>
  <c r="M220" i="11"/>
  <c r="L220" i="11"/>
  <c r="K220" i="11"/>
  <c r="F220" i="11"/>
  <c r="E220" i="11"/>
  <c r="C220" i="11"/>
  <c r="B220" i="11"/>
  <c r="X219" i="11"/>
  <c r="W219" i="11"/>
  <c r="V219" i="11"/>
  <c r="U219" i="11"/>
  <c r="T219" i="11"/>
  <c r="S219" i="11"/>
  <c r="R219" i="11"/>
  <c r="Q219" i="11"/>
  <c r="P219" i="11"/>
  <c r="O219" i="11"/>
  <c r="N219" i="11"/>
  <c r="M219" i="11"/>
  <c r="L219" i="11"/>
  <c r="K219" i="11"/>
  <c r="F219" i="11"/>
  <c r="E219" i="11"/>
  <c r="C219" i="11"/>
  <c r="B219" i="11"/>
  <c r="X218" i="11"/>
  <c r="W218" i="11"/>
  <c r="V218" i="11"/>
  <c r="U218" i="11"/>
  <c r="T218" i="11"/>
  <c r="S218" i="11"/>
  <c r="R218" i="11"/>
  <c r="Q218" i="11"/>
  <c r="P218" i="11"/>
  <c r="O218" i="11"/>
  <c r="N218" i="11"/>
  <c r="M218" i="11"/>
  <c r="L218" i="11"/>
  <c r="K218" i="11"/>
  <c r="F218" i="11"/>
  <c r="E218" i="11"/>
  <c r="C218" i="11"/>
  <c r="B218" i="11"/>
  <c r="X217" i="11"/>
  <c r="W217" i="11"/>
  <c r="V217" i="11"/>
  <c r="U217" i="11"/>
  <c r="T217" i="11"/>
  <c r="S217" i="11"/>
  <c r="R217" i="11"/>
  <c r="Q217" i="11"/>
  <c r="P217" i="11"/>
  <c r="O217" i="11"/>
  <c r="N217" i="11"/>
  <c r="M217" i="11"/>
  <c r="L217" i="11"/>
  <c r="K217" i="11"/>
  <c r="F217" i="11"/>
  <c r="E217" i="11"/>
  <c r="C217" i="11"/>
  <c r="B217" i="11"/>
  <c r="X216" i="11"/>
  <c r="W216" i="11"/>
  <c r="V216" i="11"/>
  <c r="U216" i="11"/>
  <c r="T216" i="11"/>
  <c r="S216" i="11"/>
  <c r="R216" i="11"/>
  <c r="Q216" i="11"/>
  <c r="P216" i="11"/>
  <c r="O216" i="11"/>
  <c r="N216" i="11"/>
  <c r="M216" i="11"/>
  <c r="L216" i="11"/>
  <c r="K216" i="11"/>
  <c r="F216" i="11"/>
  <c r="E216" i="11"/>
  <c r="C216" i="11"/>
  <c r="B216" i="11"/>
  <c r="X215" i="11"/>
  <c r="W215" i="11"/>
  <c r="V215" i="11"/>
  <c r="U215" i="11"/>
  <c r="T215" i="11"/>
  <c r="S215" i="11"/>
  <c r="R215" i="11"/>
  <c r="Q215" i="11"/>
  <c r="P215" i="11"/>
  <c r="O215" i="11"/>
  <c r="N215" i="11"/>
  <c r="M215" i="11"/>
  <c r="L215" i="11"/>
  <c r="K215" i="11"/>
  <c r="F215" i="11"/>
  <c r="E215" i="11"/>
  <c r="C215" i="11"/>
  <c r="B215" i="11"/>
  <c r="X214" i="11"/>
  <c r="W214" i="11"/>
  <c r="V214" i="11"/>
  <c r="U214" i="11"/>
  <c r="T214" i="11"/>
  <c r="S214" i="11"/>
  <c r="R214" i="11"/>
  <c r="Q214" i="11"/>
  <c r="P214" i="11"/>
  <c r="O214" i="11"/>
  <c r="N214" i="11"/>
  <c r="M214" i="11"/>
  <c r="L214" i="11"/>
  <c r="K214" i="11"/>
  <c r="F214" i="11"/>
  <c r="E214" i="11"/>
  <c r="C214" i="11"/>
  <c r="B214" i="11"/>
  <c r="X213" i="11"/>
  <c r="W213" i="11"/>
  <c r="V213" i="11"/>
  <c r="U213" i="11"/>
  <c r="T213" i="11"/>
  <c r="S213" i="11"/>
  <c r="R213" i="11"/>
  <c r="Q213" i="11"/>
  <c r="P213" i="11"/>
  <c r="O213" i="11"/>
  <c r="N213" i="11"/>
  <c r="M213" i="11"/>
  <c r="L213" i="11"/>
  <c r="K213" i="11"/>
  <c r="F213" i="11"/>
  <c r="E213" i="11"/>
  <c r="C213" i="11"/>
  <c r="B213" i="11"/>
  <c r="X212" i="11"/>
  <c r="W212" i="11"/>
  <c r="V212" i="11"/>
  <c r="U212" i="11"/>
  <c r="T212" i="11"/>
  <c r="S212" i="11"/>
  <c r="R212" i="11"/>
  <c r="Q212" i="11"/>
  <c r="P212" i="11"/>
  <c r="O212" i="11"/>
  <c r="N212" i="11"/>
  <c r="M212" i="11"/>
  <c r="L212" i="11"/>
  <c r="K212" i="11"/>
  <c r="F212" i="11"/>
  <c r="E212" i="11"/>
  <c r="C212" i="11"/>
  <c r="B212" i="11"/>
  <c r="X211" i="11"/>
  <c r="W211" i="11"/>
  <c r="V211" i="11"/>
  <c r="U211" i="11"/>
  <c r="T211" i="11"/>
  <c r="S211" i="11"/>
  <c r="R211" i="11"/>
  <c r="Q211" i="11"/>
  <c r="P211" i="11"/>
  <c r="O211" i="11"/>
  <c r="N211" i="11"/>
  <c r="M211" i="11"/>
  <c r="L211" i="11"/>
  <c r="K211" i="11"/>
  <c r="F211" i="11"/>
  <c r="E211" i="11"/>
  <c r="C211" i="11"/>
  <c r="B211" i="11"/>
  <c r="X210" i="11"/>
  <c r="W210" i="11"/>
  <c r="V210" i="11"/>
  <c r="U210" i="11"/>
  <c r="T210" i="11"/>
  <c r="S210" i="11"/>
  <c r="R210" i="11"/>
  <c r="Q210" i="11"/>
  <c r="P210" i="11"/>
  <c r="O210" i="11"/>
  <c r="N210" i="11"/>
  <c r="M210" i="11"/>
  <c r="L210" i="11"/>
  <c r="K210" i="11"/>
  <c r="F210" i="11"/>
  <c r="E210" i="11"/>
  <c r="C210" i="11"/>
  <c r="B210" i="11"/>
  <c r="X209" i="11"/>
  <c r="W209" i="11"/>
  <c r="V209" i="11"/>
  <c r="U209" i="11"/>
  <c r="T209" i="11"/>
  <c r="S209" i="11"/>
  <c r="R209" i="11"/>
  <c r="Q209" i="11"/>
  <c r="P209" i="11"/>
  <c r="O209" i="11"/>
  <c r="N209" i="11"/>
  <c r="M209" i="11"/>
  <c r="L209" i="11"/>
  <c r="K209" i="11"/>
  <c r="F209" i="11"/>
  <c r="E209" i="11"/>
  <c r="C209" i="11"/>
  <c r="B209" i="11"/>
  <c r="X208" i="11"/>
  <c r="W208" i="11"/>
  <c r="V208" i="11"/>
  <c r="U208" i="11"/>
  <c r="T208" i="11"/>
  <c r="S208" i="11"/>
  <c r="R208" i="11"/>
  <c r="Q208" i="11"/>
  <c r="P208" i="11"/>
  <c r="O208" i="11"/>
  <c r="N208" i="11"/>
  <c r="M208" i="11"/>
  <c r="L208" i="11"/>
  <c r="K208" i="11"/>
  <c r="F208" i="11"/>
  <c r="E208" i="11"/>
  <c r="C208" i="11"/>
  <c r="B208" i="11"/>
  <c r="X207" i="11"/>
  <c r="W207" i="11"/>
  <c r="V207" i="11"/>
  <c r="U207" i="11"/>
  <c r="T207" i="11"/>
  <c r="S207" i="11"/>
  <c r="R207" i="11"/>
  <c r="Q207" i="11"/>
  <c r="P207" i="11"/>
  <c r="O207" i="11"/>
  <c r="N207" i="11"/>
  <c r="M207" i="11"/>
  <c r="L207" i="11"/>
  <c r="K207" i="11"/>
  <c r="F207" i="11"/>
  <c r="E207" i="11"/>
  <c r="C207" i="11"/>
  <c r="B207" i="11"/>
  <c r="X206" i="11"/>
  <c r="W206" i="11"/>
  <c r="V206" i="11"/>
  <c r="U206" i="11"/>
  <c r="T206" i="11"/>
  <c r="S206" i="11"/>
  <c r="R206" i="11"/>
  <c r="Q206" i="11"/>
  <c r="P206" i="11"/>
  <c r="O206" i="11"/>
  <c r="N206" i="11"/>
  <c r="M206" i="11"/>
  <c r="L206" i="11"/>
  <c r="K206" i="11"/>
  <c r="F206" i="11"/>
  <c r="E206" i="11"/>
  <c r="C206" i="11"/>
  <c r="B206" i="11"/>
  <c r="X205" i="11"/>
  <c r="W205" i="11"/>
  <c r="V205" i="11"/>
  <c r="U205" i="11"/>
  <c r="T205" i="11"/>
  <c r="S205" i="11"/>
  <c r="R205" i="11"/>
  <c r="Q205" i="11"/>
  <c r="P205" i="11"/>
  <c r="O205" i="11"/>
  <c r="N205" i="11"/>
  <c r="M205" i="11"/>
  <c r="L205" i="11"/>
  <c r="K205" i="11"/>
  <c r="F205" i="11"/>
  <c r="E205" i="11"/>
  <c r="C205" i="11"/>
  <c r="B205" i="11"/>
  <c r="X204" i="11"/>
  <c r="W204" i="11"/>
  <c r="V204" i="11"/>
  <c r="U204" i="11"/>
  <c r="T204" i="11"/>
  <c r="S204" i="11"/>
  <c r="R204" i="11"/>
  <c r="Q204" i="11"/>
  <c r="P204" i="11"/>
  <c r="O204" i="11"/>
  <c r="N204" i="11"/>
  <c r="M204" i="11"/>
  <c r="L204" i="11"/>
  <c r="K204" i="11"/>
  <c r="F204" i="11"/>
  <c r="E204" i="11"/>
  <c r="C204" i="11"/>
  <c r="B204" i="11"/>
  <c r="X203" i="11"/>
  <c r="W203" i="11"/>
  <c r="V203" i="11"/>
  <c r="U203" i="11"/>
  <c r="T203" i="11"/>
  <c r="S203" i="11"/>
  <c r="R203" i="11"/>
  <c r="Q203" i="11"/>
  <c r="P203" i="11"/>
  <c r="O203" i="11"/>
  <c r="N203" i="11"/>
  <c r="M203" i="11"/>
  <c r="L203" i="11"/>
  <c r="K203" i="11"/>
  <c r="F203" i="11"/>
  <c r="E203" i="11"/>
  <c r="C203" i="11"/>
  <c r="B203" i="11"/>
  <c r="X202" i="11"/>
  <c r="W202" i="11"/>
  <c r="V202" i="11"/>
  <c r="U202" i="11"/>
  <c r="T202" i="11"/>
  <c r="S202" i="11"/>
  <c r="R202" i="11"/>
  <c r="Q202" i="11"/>
  <c r="P202" i="11"/>
  <c r="O202" i="11"/>
  <c r="N202" i="11"/>
  <c r="M202" i="11"/>
  <c r="L202" i="11"/>
  <c r="K202" i="11"/>
  <c r="F202" i="11"/>
  <c r="E202" i="11"/>
  <c r="C202" i="11"/>
  <c r="B202" i="11"/>
  <c r="X201" i="11"/>
  <c r="W201" i="11"/>
  <c r="V201" i="11"/>
  <c r="U201" i="11"/>
  <c r="T201" i="11"/>
  <c r="S201" i="11"/>
  <c r="R201" i="11"/>
  <c r="Q201" i="11"/>
  <c r="P201" i="11"/>
  <c r="O201" i="11"/>
  <c r="N201" i="11"/>
  <c r="M201" i="11"/>
  <c r="L201" i="11"/>
  <c r="K201" i="11"/>
  <c r="F201" i="11"/>
  <c r="E201" i="11"/>
  <c r="C201" i="11"/>
  <c r="B201" i="11"/>
  <c r="X200" i="11"/>
  <c r="W200" i="11"/>
  <c r="V200" i="11"/>
  <c r="U200" i="11"/>
  <c r="T200" i="11"/>
  <c r="S200" i="11"/>
  <c r="R200" i="11"/>
  <c r="Q200" i="11"/>
  <c r="P200" i="11"/>
  <c r="O200" i="11"/>
  <c r="N200" i="11"/>
  <c r="M200" i="11"/>
  <c r="L200" i="11"/>
  <c r="K200" i="11"/>
  <c r="F200" i="11"/>
  <c r="E200" i="11"/>
  <c r="C200" i="11"/>
  <c r="B200" i="11"/>
  <c r="X199" i="11"/>
  <c r="W199" i="11"/>
  <c r="V199" i="11"/>
  <c r="U199" i="11"/>
  <c r="T199" i="11"/>
  <c r="S199" i="11"/>
  <c r="R199" i="11"/>
  <c r="Q199" i="11"/>
  <c r="P199" i="11"/>
  <c r="O199" i="11"/>
  <c r="N199" i="11"/>
  <c r="M199" i="11"/>
  <c r="L199" i="11"/>
  <c r="K199" i="11"/>
  <c r="F199" i="11"/>
  <c r="E199" i="11"/>
  <c r="C199" i="11"/>
  <c r="B199" i="11"/>
  <c r="X198" i="11"/>
  <c r="W198" i="11"/>
  <c r="V198" i="11"/>
  <c r="U198" i="11"/>
  <c r="T198" i="11"/>
  <c r="S198" i="11"/>
  <c r="R198" i="11"/>
  <c r="Q198" i="11"/>
  <c r="P198" i="11"/>
  <c r="O198" i="11"/>
  <c r="N198" i="11"/>
  <c r="M198" i="11"/>
  <c r="L198" i="11"/>
  <c r="K198" i="11"/>
  <c r="F198" i="11"/>
  <c r="E198" i="11"/>
  <c r="C198" i="11"/>
  <c r="B198" i="11"/>
  <c r="X197" i="11"/>
  <c r="W197" i="11"/>
  <c r="V197" i="11"/>
  <c r="U197" i="11"/>
  <c r="T197" i="11"/>
  <c r="S197" i="11"/>
  <c r="R197" i="11"/>
  <c r="Q197" i="11"/>
  <c r="P197" i="11"/>
  <c r="O197" i="11"/>
  <c r="N197" i="11"/>
  <c r="M197" i="11"/>
  <c r="L197" i="11"/>
  <c r="K197" i="11"/>
  <c r="F197" i="11"/>
  <c r="E197" i="11"/>
  <c r="C197" i="11"/>
  <c r="B197" i="11"/>
  <c r="X196" i="11"/>
  <c r="W196" i="11"/>
  <c r="V196" i="11"/>
  <c r="U196" i="11"/>
  <c r="T196" i="11"/>
  <c r="S196" i="11"/>
  <c r="R196" i="11"/>
  <c r="Q196" i="11"/>
  <c r="P196" i="11"/>
  <c r="O196" i="11"/>
  <c r="N196" i="11"/>
  <c r="M196" i="11"/>
  <c r="L196" i="11"/>
  <c r="K196" i="11"/>
  <c r="F196" i="11"/>
  <c r="E196" i="11"/>
  <c r="C196" i="11"/>
  <c r="B196" i="11"/>
  <c r="X195" i="11"/>
  <c r="W195" i="11"/>
  <c r="V195" i="11"/>
  <c r="U195" i="11"/>
  <c r="T195" i="11"/>
  <c r="S195" i="11"/>
  <c r="R195" i="11"/>
  <c r="Q195" i="11"/>
  <c r="P195" i="11"/>
  <c r="O195" i="11"/>
  <c r="N195" i="11"/>
  <c r="M195" i="11"/>
  <c r="L195" i="11"/>
  <c r="K195" i="11"/>
  <c r="F195" i="11"/>
  <c r="E195" i="11"/>
  <c r="C195" i="11"/>
  <c r="B195" i="11"/>
  <c r="X194" i="11"/>
  <c r="W194" i="11"/>
  <c r="V194" i="11"/>
  <c r="U194" i="11"/>
  <c r="T194" i="11"/>
  <c r="S194" i="11"/>
  <c r="R194" i="11"/>
  <c r="Q194" i="11"/>
  <c r="P194" i="11"/>
  <c r="O194" i="11"/>
  <c r="N194" i="11"/>
  <c r="M194" i="11"/>
  <c r="L194" i="11"/>
  <c r="K194" i="11"/>
  <c r="F194" i="11"/>
  <c r="E194" i="11"/>
  <c r="C194" i="11"/>
  <c r="B194" i="11"/>
  <c r="X193" i="11"/>
  <c r="W193" i="11"/>
  <c r="V193" i="11"/>
  <c r="U193" i="11"/>
  <c r="T193" i="11"/>
  <c r="S193" i="11"/>
  <c r="R193" i="11"/>
  <c r="Q193" i="11"/>
  <c r="P193" i="11"/>
  <c r="O193" i="11"/>
  <c r="N193" i="11"/>
  <c r="M193" i="11"/>
  <c r="L193" i="11"/>
  <c r="K193" i="11"/>
  <c r="F193" i="11"/>
  <c r="E193" i="11"/>
  <c r="C193" i="11"/>
  <c r="B193" i="11"/>
  <c r="X192" i="11"/>
  <c r="W192" i="11"/>
  <c r="V192" i="11"/>
  <c r="U192" i="11"/>
  <c r="T192" i="11"/>
  <c r="S192" i="11"/>
  <c r="R192" i="11"/>
  <c r="Q192" i="11"/>
  <c r="P192" i="11"/>
  <c r="O192" i="11"/>
  <c r="N192" i="11"/>
  <c r="M192" i="11"/>
  <c r="L192" i="11"/>
  <c r="K192" i="11"/>
  <c r="F192" i="11"/>
  <c r="E192" i="11"/>
  <c r="C192" i="11"/>
  <c r="B192" i="11"/>
  <c r="X191" i="11"/>
  <c r="W191" i="11"/>
  <c r="V191" i="11"/>
  <c r="U191" i="11"/>
  <c r="T191" i="11"/>
  <c r="S191" i="11"/>
  <c r="R191" i="11"/>
  <c r="Q191" i="11"/>
  <c r="P191" i="11"/>
  <c r="O191" i="11"/>
  <c r="N191" i="11"/>
  <c r="M191" i="11"/>
  <c r="L191" i="11"/>
  <c r="K191" i="11"/>
  <c r="F191" i="11"/>
  <c r="E191" i="11"/>
  <c r="C191" i="11"/>
  <c r="B191" i="11"/>
  <c r="X190" i="11"/>
  <c r="W190" i="11"/>
  <c r="V190" i="11"/>
  <c r="U190" i="11"/>
  <c r="T190" i="11"/>
  <c r="S190" i="11"/>
  <c r="R190" i="11"/>
  <c r="Q190" i="11"/>
  <c r="P190" i="11"/>
  <c r="O190" i="11"/>
  <c r="N190" i="11"/>
  <c r="M190" i="11"/>
  <c r="L190" i="11"/>
  <c r="K190" i="11"/>
  <c r="F190" i="11"/>
  <c r="E190" i="11"/>
  <c r="C190" i="11"/>
  <c r="B190" i="11"/>
  <c r="X189" i="11"/>
  <c r="W189" i="11"/>
  <c r="V189" i="11"/>
  <c r="U189" i="11"/>
  <c r="T189" i="11"/>
  <c r="S189" i="11"/>
  <c r="R189" i="11"/>
  <c r="Q189" i="11"/>
  <c r="P189" i="11"/>
  <c r="O189" i="11"/>
  <c r="N189" i="11"/>
  <c r="M189" i="11"/>
  <c r="L189" i="11"/>
  <c r="K189" i="11"/>
  <c r="F189" i="11"/>
  <c r="E189" i="11"/>
  <c r="C189" i="11"/>
  <c r="B189" i="11"/>
  <c r="X188" i="11"/>
  <c r="W188" i="11"/>
  <c r="V188" i="11"/>
  <c r="U188" i="11"/>
  <c r="T188" i="11"/>
  <c r="S188" i="11"/>
  <c r="R188" i="11"/>
  <c r="Q188" i="11"/>
  <c r="P188" i="11"/>
  <c r="O188" i="11"/>
  <c r="N188" i="11"/>
  <c r="M188" i="11"/>
  <c r="L188" i="11"/>
  <c r="K188" i="11"/>
  <c r="F188" i="11"/>
  <c r="E188" i="11"/>
  <c r="C188" i="11"/>
  <c r="B188" i="11"/>
  <c r="X187" i="11"/>
  <c r="W187" i="11"/>
  <c r="V187" i="11"/>
  <c r="U187" i="11"/>
  <c r="T187" i="11"/>
  <c r="S187" i="11"/>
  <c r="R187" i="11"/>
  <c r="Q187" i="11"/>
  <c r="P187" i="11"/>
  <c r="O187" i="11"/>
  <c r="N187" i="11"/>
  <c r="M187" i="11"/>
  <c r="L187" i="11"/>
  <c r="K187" i="11"/>
  <c r="F187" i="11"/>
  <c r="E187" i="11"/>
  <c r="C187" i="11"/>
  <c r="B187" i="11"/>
  <c r="X186" i="11"/>
  <c r="W186" i="11"/>
  <c r="V186" i="11"/>
  <c r="U186" i="11"/>
  <c r="T186" i="11"/>
  <c r="S186" i="11"/>
  <c r="R186" i="11"/>
  <c r="Q186" i="11"/>
  <c r="P186" i="11"/>
  <c r="O186" i="11"/>
  <c r="N186" i="11"/>
  <c r="M186" i="11"/>
  <c r="L186" i="11"/>
  <c r="K186" i="11"/>
  <c r="F186" i="11"/>
  <c r="E186" i="11"/>
  <c r="C186" i="11"/>
  <c r="B186" i="11"/>
  <c r="X185" i="11"/>
  <c r="W185" i="11"/>
  <c r="V185" i="11"/>
  <c r="U185" i="11"/>
  <c r="T185" i="11"/>
  <c r="S185" i="11"/>
  <c r="R185" i="11"/>
  <c r="Q185" i="11"/>
  <c r="P185" i="11"/>
  <c r="O185" i="11"/>
  <c r="N185" i="11"/>
  <c r="M185" i="11"/>
  <c r="L185" i="11"/>
  <c r="K185" i="11"/>
  <c r="F185" i="11"/>
  <c r="E185" i="11"/>
  <c r="C185" i="11"/>
  <c r="B185" i="11"/>
  <c r="X184" i="11"/>
  <c r="W184" i="11"/>
  <c r="V184" i="11"/>
  <c r="U184" i="11"/>
  <c r="T184" i="11"/>
  <c r="S184" i="11"/>
  <c r="R184" i="11"/>
  <c r="Q184" i="11"/>
  <c r="P184" i="11"/>
  <c r="O184" i="11"/>
  <c r="N184" i="11"/>
  <c r="M184" i="11"/>
  <c r="L184" i="11"/>
  <c r="K184" i="11"/>
  <c r="F184" i="11"/>
  <c r="E184" i="11"/>
  <c r="C184" i="11"/>
  <c r="B184" i="11"/>
  <c r="X183" i="11"/>
  <c r="W183" i="11"/>
  <c r="V183" i="11"/>
  <c r="U183" i="11"/>
  <c r="T183" i="11"/>
  <c r="S183" i="11"/>
  <c r="R183" i="11"/>
  <c r="Q183" i="11"/>
  <c r="P183" i="11"/>
  <c r="O183" i="11"/>
  <c r="N183" i="11"/>
  <c r="M183" i="11"/>
  <c r="L183" i="11"/>
  <c r="K183" i="11"/>
  <c r="F183" i="11"/>
  <c r="E183" i="11"/>
  <c r="C183" i="11"/>
  <c r="B183" i="11"/>
  <c r="X182" i="11"/>
  <c r="W182" i="11"/>
  <c r="V182" i="11"/>
  <c r="U182" i="11"/>
  <c r="T182" i="11"/>
  <c r="S182" i="11"/>
  <c r="R182" i="11"/>
  <c r="Q182" i="11"/>
  <c r="P182" i="11"/>
  <c r="O182" i="11"/>
  <c r="N182" i="11"/>
  <c r="M182" i="11"/>
  <c r="L182" i="11"/>
  <c r="K182" i="11"/>
  <c r="F182" i="11"/>
  <c r="E182" i="11"/>
  <c r="C182" i="11"/>
  <c r="B182" i="11"/>
  <c r="X181" i="11"/>
  <c r="W181" i="11"/>
  <c r="V181" i="11"/>
  <c r="U181" i="11"/>
  <c r="T181" i="11"/>
  <c r="S181" i="11"/>
  <c r="R181" i="11"/>
  <c r="Q181" i="11"/>
  <c r="P181" i="11"/>
  <c r="O181" i="11"/>
  <c r="N181" i="11"/>
  <c r="M181" i="11"/>
  <c r="L181" i="11"/>
  <c r="K181" i="11"/>
  <c r="F181" i="11"/>
  <c r="E181" i="11"/>
  <c r="C181" i="11"/>
  <c r="B181" i="11"/>
  <c r="X180" i="11"/>
  <c r="W180" i="11"/>
  <c r="V180" i="11"/>
  <c r="U180" i="11"/>
  <c r="T180" i="11"/>
  <c r="S180" i="11"/>
  <c r="R180" i="11"/>
  <c r="Q180" i="11"/>
  <c r="P180" i="11"/>
  <c r="O180" i="11"/>
  <c r="N180" i="11"/>
  <c r="M180" i="11"/>
  <c r="L180" i="11"/>
  <c r="K180" i="11"/>
  <c r="F180" i="11"/>
  <c r="E180" i="11"/>
  <c r="C180" i="11"/>
  <c r="B180" i="11"/>
  <c r="X179" i="11"/>
  <c r="W179" i="11"/>
  <c r="V179" i="11"/>
  <c r="U179" i="11"/>
  <c r="T179" i="11"/>
  <c r="S179" i="11"/>
  <c r="R179" i="11"/>
  <c r="Q179" i="11"/>
  <c r="P179" i="11"/>
  <c r="O179" i="11"/>
  <c r="N179" i="11"/>
  <c r="M179" i="11"/>
  <c r="L179" i="11"/>
  <c r="K179" i="11"/>
  <c r="F179" i="11"/>
  <c r="E179" i="11"/>
  <c r="C179" i="11"/>
  <c r="B179" i="11"/>
  <c r="X178" i="11"/>
  <c r="W178" i="11"/>
  <c r="V178" i="11"/>
  <c r="U178" i="11"/>
  <c r="T178" i="11"/>
  <c r="S178" i="11"/>
  <c r="R178" i="11"/>
  <c r="Q178" i="11"/>
  <c r="P178" i="11"/>
  <c r="O178" i="11"/>
  <c r="N178" i="11"/>
  <c r="M178" i="11"/>
  <c r="L178" i="11"/>
  <c r="K178" i="11"/>
  <c r="F178" i="11"/>
  <c r="E178" i="11"/>
  <c r="C178" i="11"/>
  <c r="B178" i="11"/>
  <c r="X177" i="11"/>
  <c r="W177" i="11"/>
  <c r="V177" i="11"/>
  <c r="U177" i="11"/>
  <c r="T177" i="11"/>
  <c r="S177" i="11"/>
  <c r="R177" i="11"/>
  <c r="Q177" i="11"/>
  <c r="P177" i="11"/>
  <c r="O177" i="11"/>
  <c r="N177" i="11"/>
  <c r="M177" i="11"/>
  <c r="L177" i="11"/>
  <c r="K177" i="11"/>
  <c r="F177" i="11"/>
  <c r="E177" i="11"/>
  <c r="C177" i="11"/>
  <c r="B177" i="11"/>
  <c r="X176" i="11"/>
  <c r="W176" i="11"/>
  <c r="V176" i="11"/>
  <c r="U176" i="11"/>
  <c r="T176" i="11"/>
  <c r="S176" i="11"/>
  <c r="R176" i="11"/>
  <c r="Q176" i="11"/>
  <c r="P176" i="11"/>
  <c r="O176" i="11"/>
  <c r="N176" i="11"/>
  <c r="M176" i="11"/>
  <c r="L176" i="11"/>
  <c r="K176" i="11"/>
  <c r="F176" i="11"/>
  <c r="E176" i="11"/>
  <c r="C176" i="11"/>
  <c r="B176" i="11"/>
  <c r="X175" i="11"/>
  <c r="W175" i="11"/>
  <c r="V175" i="11"/>
  <c r="U175" i="11"/>
  <c r="T175" i="11"/>
  <c r="S175" i="11"/>
  <c r="R175" i="11"/>
  <c r="Q175" i="11"/>
  <c r="P175" i="11"/>
  <c r="O175" i="11"/>
  <c r="N175" i="11"/>
  <c r="M175" i="11"/>
  <c r="L175" i="11"/>
  <c r="K175" i="11"/>
  <c r="F175" i="11"/>
  <c r="E175" i="11"/>
  <c r="C175" i="11"/>
  <c r="B175" i="11"/>
  <c r="X174" i="11"/>
  <c r="W174" i="11"/>
  <c r="V174" i="11"/>
  <c r="U174" i="11"/>
  <c r="T174" i="11"/>
  <c r="S174" i="11"/>
  <c r="R174" i="11"/>
  <c r="Q174" i="11"/>
  <c r="P174" i="11"/>
  <c r="O174" i="11"/>
  <c r="N174" i="11"/>
  <c r="M174" i="11"/>
  <c r="L174" i="11"/>
  <c r="K174" i="11"/>
  <c r="F174" i="11"/>
  <c r="E174" i="11"/>
  <c r="C174" i="11"/>
  <c r="B174" i="11"/>
  <c r="X173" i="11"/>
  <c r="W173" i="11"/>
  <c r="V173" i="11"/>
  <c r="U173" i="11"/>
  <c r="T173" i="11"/>
  <c r="S173" i="11"/>
  <c r="R173" i="11"/>
  <c r="Q173" i="11"/>
  <c r="P173" i="11"/>
  <c r="O173" i="11"/>
  <c r="N173" i="11"/>
  <c r="M173" i="11"/>
  <c r="L173" i="11"/>
  <c r="K173" i="11"/>
  <c r="F173" i="11"/>
  <c r="E173" i="11"/>
  <c r="C173" i="11"/>
  <c r="B173" i="11"/>
  <c r="X172" i="11"/>
  <c r="W172" i="11"/>
  <c r="V172" i="11"/>
  <c r="U172" i="11"/>
  <c r="T172" i="11"/>
  <c r="S172" i="11"/>
  <c r="R172" i="11"/>
  <c r="Q172" i="11"/>
  <c r="P172" i="11"/>
  <c r="O172" i="11"/>
  <c r="N172" i="11"/>
  <c r="M172" i="11"/>
  <c r="L172" i="11"/>
  <c r="K172" i="11"/>
  <c r="F172" i="11"/>
  <c r="E172" i="11"/>
  <c r="C172" i="11"/>
  <c r="B172" i="11"/>
  <c r="X171" i="11"/>
  <c r="W171" i="11"/>
  <c r="V171" i="11"/>
  <c r="U171" i="11"/>
  <c r="T171" i="11"/>
  <c r="S171" i="11"/>
  <c r="R171" i="11"/>
  <c r="Q171" i="11"/>
  <c r="P171" i="11"/>
  <c r="O171" i="11"/>
  <c r="N171" i="11"/>
  <c r="M171" i="11"/>
  <c r="L171" i="11"/>
  <c r="K171" i="11"/>
  <c r="F171" i="11"/>
  <c r="E171" i="11"/>
  <c r="C171" i="11"/>
  <c r="B171" i="11"/>
  <c r="X170" i="11"/>
  <c r="W170" i="11"/>
  <c r="V170" i="11"/>
  <c r="U170" i="11"/>
  <c r="T170" i="11"/>
  <c r="S170" i="11"/>
  <c r="R170" i="11"/>
  <c r="Q170" i="11"/>
  <c r="P170" i="11"/>
  <c r="O170" i="11"/>
  <c r="N170" i="11"/>
  <c r="M170" i="11"/>
  <c r="L170" i="11"/>
  <c r="K170" i="11"/>
  <c r="F170" i="11"/>
  <c r="E170" i="11"/>
  <c r="C170" i="11"/>
  <c r="B170" i="11"/>
  <c r="X169" i="11"/>
  <c r="W169" i="11"/>
  <c r="V169" i="11"/>
  <c r="U169" i="11"/>
  <c r="T169" i="11"/>
  <c r="S169" i="11"/>
  <c r="R169" i="11"/>
  <c r="Q169" i="11"/>
  <c r="P169" i="11"/>
  <c r="O169" i="11"/>
  <c r="N169" i="11"/>
  <c r="M169" i="11"/>
  <c r="L169" i="11"/>
  <c r="K169" i="11"/>
  <c r="F169" i="11"/>
  <c r="E169" i="11"/>
  <c r="C169" i="11"/>
  <c r="B169" i="11"/>
  <c r="X168" i="11"/>
  <c r="W168" i="11"/>
  <c r="V168" i="11"/>
  <c r="U168" i="11"/>
  <c r="T168" i="11"/>
  <c r="S168" i="11"/>
  <c r="R168" i="11"/>
  <c r="Q168" i="11"/>
  <c r="P168" i="11"/>
  <c r="O168" i="11"/>
  <c r="N168" i="11"/>
  <c r="M168" i="11"/>
  <c r="L168" i="11"/>
  <c r="K168" i="11"/>
  <c r="F168" i="11"/>
  <c r="E168" i="11"/>
  <c r="C168" i="11"/>
  <c r="B168" i="11"/>
  <c r="X167" i="11"/>
  <c r="W167" i="11"/>
  <c r="V167" i="11"/>
  <c r="U167" i="11"/>
  <c r="T167" i="11"/>
  <c r="S167" i="11"/>
  <c r="R167" i="11"/>
  <c r="Q167" i="11"/>
  <c r="P167" i="11"/>
  <c r="O167" i="11"/>
  <c r="N167" i="11"/>
  <c r="M167" i="11"/>
  <c r="L167" i="11"/>
  <c r="K167" i="11"/>
  <c r="F167" i="11"/>
  <c r="E167" i="11"/>
  <c r="C167" i="11"/>
  <c r="B167" i="11"/>
  <c r="X166" i="11"/>
  <c r="W166" i="11"/>
  <c r="V166" i="11"/>
  <c r="U166" i="11"/>
  <c r="T166" i="11"/>
  <c r="S166" i="11"/>
  <c r="R166" i="11"/>
  <c r="Q166" i="11"/>
  <c r="P166" i="11"/>
  <c r="O166" i="11"/>
  <c r="N166" i="11"/>
  <c r="M166" i="11"/>
  <c r="L166" i="11"/>
  <c r="K166" i="11"/>
  <c r="F166" i="11"/>
  <c r="E166" i="11"/>
  <c r="C166" i="11"/>
  <c r="B166" i="11"/>
  <c r="X165" i="11"/>
  <c r="W165" i="11"/>
  <c r="V165" i="11"/>
  <c r="U165" i="11"/>
  <c r="T165" i="11"/>
  <c r="S165" i="11"/>
  <c r="R165" i="11"/>
  <c r="Q165" i="11"/>
  <c r="P165" i="11"/>
  <c r="O165" i="11"/>
  <c r="N165" i="11"/>
  <c r="M165" i="11"/>
  <c r="L165" i="11"/>
  <c r="K165" i="11"/>
  <c r="F165" i="11"/>
  <c r="E165" i="11"/>
  <c r="C165" i="11"/>
  <c r="B165" i="11"/>
  <c r="X164" i="11"/>
  <c r="W164" i="11"/>
  <c r="V164" i="11"/>
  <c r="U164" i="11"/>
  <c r="T164" i="11"/>
  <c r="S164" i="11"/>
  <c r="R164" i="11"/>
  <c r="Q164" i="11"/>
  <c r="P164" i="11"/>
  <c r="O164" i="11"/>
  <c r="N164" i="11"/>
  <c r="M164" i="11"/>
  <c r="L164" i="11"/>
  <c r="K164" i="11"/>
  <c r="F164" i="11"/>
  <c r="E164" i="11"/>
  <c r="C164" i="11"/>
  <c r="B164" i="11"/>
  <c r="X163" i="11"/>
  <c r="C163" i="11"/>
  <c r="B163" i="11"/>
  <c r="X162" i="11"/>
  <c r="C162" i="11"/>
  <c r="B162" i="11"/>
  <c r="X161" i="11"/>
  <c r="C161" i="11"/>
  <c r="B161" i="11"/>
  <c r="X160" i="11"/>
  <c r="C160" i="11"/>
  <c r="B160" i="11"/>
  <c r="X159" i="11"/>
  <c r="C159" i="11"/>
  <c r="B159" i="11"/>
  <c r="X158" i="11"/>
  <c r="C158" i="11"/>
  <c r="B158" i="11"/>
  <c r="X157" i="11"/>
  <c r="C157" i="11"/>
  <c r="B157" i="11"/>
  <c r="X156" i="11"/>
  <c r="C156" i="11"/>
  <c r="B156" i="11"/>
  <c r="X155" i="11"/>
  <c r="C155" i="11"/>
  <c r="B155" i="11"/>
  <c r="X154" i="11"/>
  <c r="C154" i="11"/>
  <c r="B154" i="11"/>
  <c r="X153" i="11"/>
  <c r="C153" i="11"/>
  <c r="B153" i="11"/>
  <c r="X152" i="11"/>
  <c r="C152" i="11"/>
  <c r="B152" i="11"/>
  <c r="X151" i="1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I20" i="11"/>
  <c r="N20" i="11" s="1"/>
  <c r="Z20" i="11" s="1"/>
  <c r="F20" i="11"/>
  <c r="P19" i="11"/>
  <c r="I19" i="11"/>
  <c r="N19" i="11" s="1"/>
  <c r="Z19" i="11" s="1"/>
  <c r="F19" i="11"/>
  <c r="P18" i="11"/>
  <c r="I18" i="11"/>
  <c r="N18" i="11" s="1"/>
  <c r="Z18" i="11" s="1"/>
  <c r="F18" i="11"/>
  <c r="G18" i="11" s="1"/>
  <c r="H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P11" i="11"/>
  <c r="I11" i="11"/>
  <c r="N11" i="11" s="1"/>
  <c r="Z11" i="11" s="1"/>
  <c r="F11" i="11"/>
  <c r="O11" i="11" s="1"/>
  <c r="P10" i="11"/>
  <c r="I10" i="11"/>
  <c r="N10" i="11" s="1"/>
  <c r="Z10" i="11" s="1"/>
  <c r="F10" i="11"/>
  <c r="P9" i="11"/>
  <c r="I9" i="11"/>
  <c r="N9" i="11" s="1"/>
  <c r="Z9" i="11" s="1"/>
  <c r="F9" i="11"/>
  <c r="G9" i="11" s="1"/>
  <c r="O9" i="11" s="1"/>
  <c r="P8" i="11"/>
  <c r="I8" i="11"/>
  <c r="N8" i="11" s="1"/>
  <c r="Z8" i="11" s="1"/>
  <c r="F8" i="11"/>
  <c r="G8" i="11" s="1"/>
  <c r="H8" i="11" s="1"/>
  <c r="P7" i="11"/>
  <c r="I7" i="11"/>
  <c r="N7" i="11" s="1"/>
  <c r="F7" i="11"/>
  <c r="G7" i="11" s="1"/>
  <c r="H7" i="11" s="1"/>
  <c r="B5" i="11"/>
  <c r="AG19" i="11" s="1"/>
  <c r="B4" i="11"/>
  <c r="B3" i="1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G27" i="15"/>
  <c r="F27" i="15"/>
  <c r="N26" i="15"/>
  <c r="O26" i="15" s="1"/>
  <c r="G26" i="15"/>
  <c r="F26" i="15"/>
  <c r="N25" i="15"/>
  <c r="G25" i="15"/>
  <c r="F25" i="15"/>
  <c r="N24" i="15"/>
  <c r="G24" i="15"/>
  <c r="F24" i="15"/>
  <c r="N23" i="15"/>
  <c r="G23" i="15"/>
  <c r="F23" i="15"/>
  <c r="N22" i="15"/>
  <c r="G22" i="15"/>
  <c r="F22" i="15"/>
  <c r="N21" i="15"/>
  <c r="O21" i="15" s="1"/>
  <c r="G21" i="15"/>
  <c r="F21" i="15"/>
  <c r="I21" i="15" s="1"/>
  <c r="N20" i="15"/>
  <c r="G20" i="15"/>
  <c r="F20" i="15"/>
  <c r="N19" i="15"/>
  <c r="O19" i="15" s="1"/>
  <c r="G19" i="15"/>
  <c r="F19" i="15"/>
  <c r="I19" i="15" s="1"/>
  <c r="N18" i="15"/>
  <c r="G18" i="15"/>
  <c r="F18" i="15"/>
  <c r="I18" i="15" s="1"/>
  <c r="A50" i="10"/>
  <c r="A49" i="10"/>
  <c r="P49" i="10" s="1"/>
  <c r="A48" i="10"/>
  <c r="Q48" i="10" s="1"/>
  <c r="A47" i="10"/>
  <c r="P47" i="10" s="1"/>
  <c r="A46" i="10"/>
  <c r="A45" i="10"/>
  <c r="P45" i="10" s="1"/>
  <c r="A44" i="10"/>
  <c r="A43" i="10"/>
  <c r="A42" i="10"/>
  <c r="A41" i="10"/>
  <c r="P41" i="10" s="1"/>
  <c r="A40" i="10"/>
  <c r="A39" i="10"/>
  <c r="P39" i="10" s="1"/>
  <c r="A38" i="10"/>
  <c r="P38" i="10" s="1"/>
  <c r="A37" i="10"/>
  <c r="P37" i="10" s="1"/>
  <c r="A36" i="10"/>
  <c r="A35" i="10"/>
  <c r="P35" i="10" s="1"/>
  <c r="A34" i="10"/>
  <c r="Q34" i="10" s="1"/>
  <c r="A33" i="10"/>
  <c r="P33" i="10" s="1"/>
  <c r="A32" i="10"/>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AB344" i="9"/>
  <c r="AA344" i="9"/>
  <c r="Z344" i="9"/>
  <c r="Y344" i="9"/>
  <c r="X344" i="9"/>
  <c r="W344" i="9"/>
  <c r="V344" i="9"/>
  <c r="U344" i="9"/>
  <c r="T344" i="9"/>
  <c r="S344" i="9"/>
  <c r="R344" i="9"/>
  <c r="Q344" i="9"/>
  <c r="P344" i="9"/>
  <c r="O344" i="9"/>
  <c r="N344" i="9"/>
  <c r="M344" i="9"/>
  <c r="L344" i="9"/>
  <c r="K344" i="9"/>
  <c r="J344" i="9"/>
  <c r="I344" i="9"/>
  <c r="H344" i="9"/>
  <c r="G344" i="9"/>
  <c r="F344" i="9"/>
  <c r="AC343" i="9"/>
  <c r="AB343" i="9"/>
  <c r="AA343" i="9"/>
  <c r="Z343" i="9"/>
  <c r="Y343" i="9"/>
  <c r="X343" i="9"/>
  <c r="W343" i="9"/>
  <c r="V343" i="9"/>
  <c r="U343" i="9"/>
  <c r="T343" i="9"/>
  <c r="S343" i="9"/>
  <c r="R343" i="9"/>
  <c r="Q343" i="9"/>
  <c r="P343" i="9"/>
  <c r="O343" i="9"/>
  <c r="N343" i="9"/>
  <c r="M343" i="9"/>
  <c r="L343" i="9"/>
  <c r="K343" i="9"/>
  <c r="J343" i="9"/>
  <c r="I343" i="9"/>
  <c r="H343" i="9"/>
  <c r="G343" i="9"/>
  <c r="F343" i="9"/>
  <c r="AC342" i="9"/>
  <c r="AB342" i="9"/>
  <c r="AA342" i="9"/>
  <c r="Z342" i="9"/>
  <c r="Y342" i="9"/>
  <c r="X342" i="9"/>
  <c r="W342" i="9"/>
  <c r="V342" i="9"/>
  <c r="U342" i="9"/>
  <c r="T342" i="9"/>
  <c r="S342" i="9"/>
  <c r="R342" i="9"/>
  <c r="Q342" i="9"/>
  <c r="P342" i="9"/>
  <c r="O342" i="9"/>
  <c r="N342" i="9"/>
  <c r="M342" i="9"/>
  <c r="L342" i="9"/>
  <c r="K342" i="9"/>
  <c r="J342" i="9"/>
  <c r="I342" i="9"/>
  <c r="H342" i="9"/>
  <c r="G342" i="9"/>
  <c r="F342" i="9"/>
  <c r="AC341" i="9"/>
  <c r="AB341" i="9"/>
  <c r="AA341" i="9"/>
  <c r="Z341" i="9"/>
  <c r="Y341" i="9"/>
  <c r="X341" i="9"/>
  <c r="W341" i="9"/>
  <c r="V341" i="9"/>
  <c r="U341" i="9"/>
  <c r="T341" i="9"/>
  <c r="S341" i="9"/>
  <c r="R341" i="9"/>
  <c r="Q341" i="9"/>
  <c r="P341" i="9"/>
  <c r="O341" i="9"/>
  <c r="N341" i="9"/>
  <c r="M341" i="9"/>
  <c r="L341" i="9"/>
  <c r="K341" i="9"/>
  <c r="J341" i="9"/>
  <c r="I341" i="9"/>
  <c r="H341" i="9"/>
  <c r="G341" i="9"/>
  <c r="F341" i="9"/>
  <c r="AC340" i="9"/>
  <c r="AB340" i="9"/>
  <c r="AA340" i="9"/>
  <c r="Z340" i="9"/>
  <c r="Y340" i="9"/>
  <c r="X340" i="9"/>
  <c r="W340" i="9"/>
  <c r="V340" i="9"/>
  <c r="U340" i="9"/>
  <c r="T340" i="9"/>
  <c r="S340" i="9"/>
  <c r="R340" i="9"/>
  <c r="Q340" i="9"/>
  <c r="P340" i="9"/>
  <c r="O340" i="9"/>
  <c r="N340" i="9"/>
  <c r="M340" i="9"/>
  <c r="L340" i="9"/>
  <c r="K340" i="9"/>
  <c r="J340" i="9"/>
  <c r="I340" i="9"/>
  <c r="H340" i="9"/>
  <c r="G340" i="9"/>
  <c r="F340" i="9"/>
  <c r="AC339" i="9"/>
  <c r="AB339" i="9"/>
  <c r="AA339" i="9"/>
  <c r="Z339" i="9"/>
  <c r="Y339" i="9"/>
  <c r="X339" i="9"/>
  <c r="W339" i="9"/>
  <c r="V339" i="9"/>
  <c r="U339" i="9"/>
  <c r="T339" i="9"/>
  <c r="S339" i="9"/>
  <c r="R339" i="9"/>
  <c r="Q339" i="9"/>
  <c r="P339" i="9"/>
  <c r="O339" i="9"/>
  <c r="N339" i="9"/>
  <c r="M339" i="9"/>
  <c r="L339" i="9"/>
  <c r="K339" i="9"/>
  <c r="J339" i="9"/>
  <c r="I339" i="9"/>
  <c r="H339" i="9"/>
  <c r="G339" i="9"/>
  <c r="F339" i="9"/>
  <c r="AC338" i="9"/>
  <c r="AB338" i="9"/>
  <c r="AA338" i="9"/>
  <c r="Z338" i="9"/>
  <c r="Y338" i="9"/>
  <c r="X338" i="9"/>
  <c r="W338" i="9"/>
  <c r="V338" i="9"/>
  <c r="U338" i="9"/>
  <c r="T338" i="9"/>
  <c r="S338" i="9"/>
  <c r="R338" i="9"/>
  <c r="Q338" i="9"/>
  <c r="P338" i="9"/>
  <c r="O338" i="9"/>
  <c r="N338" i="9"/>
  <c r="M338" i="9"/>
  <c r="L338" i="9"/>
  <c r="K338" i="9"/>
  <c r="J338" i="9"/>
  <c r="I338" i="9"/>
  <c r="H338" i="9"/>
  <c r="G338" i="9"/>
  <c r="F338" i="9"/>
  <c r="AC337" i="9"/>
  <c r="AB337" i="9"/>
  <c r="AA337" i="9"/>
  <c r="Z337" i="9"/>
  <c r="Y337" i="9"/>
  <c r="X337" i="9"/>
  <c r="W337" i="9"/>
  <c r="V337" i="9"/>
  <c r="U337" i="9"/>
  <c r="T337" i="9"/>
  <c r="S337" i="9"/>
  <c r="R337" i="9"/>
  <c r="Q337" i="9"/>
  <c r="P337" i="9"/>
  <c r="O337" i="9"/>
  <c r="N337" i="9"/>
  <c r="M337" i="9"/>
  <c r="L337" i="9"/>
  <c r="K337" i="9"/>
  <c r="J337" i="9"/>
  <c r="I337" i="9"/>
  <c r="H337" i="9"/>
  <c r="G337" i="9"/>
  <c r="F337" i="9"/>
  <c r="AC336" i="9"/>
  <c r="AB336" i="9"/>
  <c r="AA336" i="9"/>
  <c r="Z336" i="9"/>
  <c r="Y336" i="9"/>
  <c r="X336" i="9"/>
  <c r="W336" i="9"/>
  <c r="V336" i="9"/>
  <c r="U336" i="9"/>
  <c r="T336" i="9"/>
  <c r="S336" i="9"/>
  <c r="R336" i="9"/>
  <c r="Q336" i="9"/>
  <c r="P336" i="9"/>
  <c r="O336" i="9"/>
  <c r="N336" i="9"/>
  <c r="M336" i="9"/>
  <c r="L336" i="9"/>
  <c r="K336" i="9"/>
  <c r="J336" i="9"/>
  <c r="I336" i="9"/>
  <c r="H336" i="9"/>
  <c r="G336" i="9"/>
  <c r="F336" i="9"/>
  <c r="AC335" i="9"/>
  <c r="AB335" i="9"/>
  <c r="AA335" i="9"/>
  <c r="Z335" i="9"/>
  <c r="Y335" i="9"/>
  <c r="X335" i="9"/>
  <c r="W335" i="9"/>
  <c r="V335" i="9"/>
  <c r="U335" i="9"/>
  <c r="T335" i="9"/>
  <c r="S335" i="9"/>
  <c r="R335" i="9"/>
  <c r="Q335" i="9"/>
  <c r="P335" i="9"/>
  <c r="O335" i="9"/>
  <c r="N335" i="9"/>
  <c r="M335" i="9"/>
  <c r="L335" i="9"/>
  <c r="K335" i="9"/>
  <c r="J335" i="9"/>
  <c r="I335" i="9"/>
  <c r="H335" i="9"/>
  <c r="G335" i="9"/>
  <c r="F335" i="9"/>
  <c r="AC334" i="9"/>
  <c r="AB334" i="9"/>
  <c r="AA334" i="9"/>
  <c r="Z334" i="9"/>
  <c r="Y334" i="9"/>
  <c r="X334" i="9"/>
  <c r="W334" i="9"/>
  <c r="V334" i="9"/>
  <c r="U334" i="9"/>
  <c r="T334" i="9"/>
  <c r="S334" i="9"/>
  <c r="R334" i="9"/>
  <c r="Q334" i="9"/>
  <c r="P334" i="9"/>
  <c r="O334" i="9"/>
  <c r="N334" i="9"/>
  <c r="M334" i="9"/>
  <c r="L334" i="9"/>
  <c r="K334" i="9"/>
  <c r="J334" i="9"/>
  <c r="I334" i="9"/>
  <c r="H334" i="9"/>
  <c r="G334" i="9"/>
  <c r="F334" i="9"/>
  <c r="AC333" i="9"/>
  <c r="AB333" i="9"/>
  <c r="AA333" i="9"/>
  <c r="Z333" i="9"/>
  <c r="Y333" i="9"/>
  <c r="X333" i="9"/>
  <c r="W333" i="9"/>
  <c r="V333" i="9"/>
  <c r="U333" i="9"/>
  <c r="T333" i="9"/>
  <c r="S333" i="9"/>
  <c r="R333" i="9"/>
  <c r="Q333" i="9"/>
  <c r="P333" i="9"/>
  <c r="O333" i="9"/>
  <c r="N333" i="9"/>
  <c r="M333" i="9"/>
  <c r="L333" i="9"/>
  <c r="K333" i="9"/>
  <c r="J333" i="9"/>
  <c r="I333" i="9"/>
  <c r="H333" i="9"/>
  <c r="G333" i="9"/>
  <c r="F333" i="9"/>
  <c r="AC332" i="9"/>
  <c r="AB332" i="9"/>
  <c r="AA332" i="9"/>
  <c r="Z332" i="9"/>
  <c r="Y332" i="9"/>
  <c r="X332" i="9"/>
  <c r="W332" i="9"/>
  <c r="V332" i="9"/>
  <c r="U332" i="9"/>
  <c r="T332" i="9"/>
  <c r="S332" i="9"/>
  <c r="R332" i="9"/>
  <c r="Q332" i="9"/>
  <c r="P332" i="9"/>
  <c r="O332" i="9"/>
  <c r="N332" i="9"/>
  <c r="M332" i="9"/>
  <c r="L332" i="9"/>
  <c r="K332" i="9"/>
  <c r="J332" i="9"/>
  <c r="I332" i="9"/>
  <c r="H332" i="9"/>
  <c r="G332" i="9"/>
  <c r="F332" i="9"/>
  <c r="AC331" i="9"/>
  <c r="AB331" i="9"/>
  <c r="AA331" i="9"/>
  <c r="Z331" i="9"/>
  <c r="Y331" i="9"/>
  <c r="X331" i="9"/>
  <c r="W331" i="9"/>
  <c r="V331" i="9"/>
  <c r="U331" i="9"/>
  <c r="T331" i="9"/>
  <c r="S331" i="9"/>
  <c r="R331" i="9"/>
  <c r="Q331" i="9"/>
  <c r="P331" i="9"/>
  <c r="O331" i="9"/>
  <c r="N331" i="9"/>
  <c r="M331" i="9"/>
  <c r="L331" i="9"/>
  <c r="K331" i="9"/>
  <c r="J331" i="9"/>
  <c r="I331" i="9"/>
  <c r="H331" i="9"/>
  <c r="G331" i="9"/>
  <c r="F331" i="9"/>
  <c r="AC330" i="9"/>
  <c r="AB330" i="9"/>
  <c r="AA330" i="9"/>
  <c r="Z330" i="9"/>
  <c r="Y330" i="9"/>
  <c r="X330" i="9"/>
  <c r="W330" i="9"/>
  <c r="V330" i="9"/>
  <c r="U330" i="9"/>
  <c r="T330" i="9"/>
  <c r="S330" i="9"/>
  <c r="R330" i="9"/>
  <c r="Q330" i="9"/>
  <c r="P330" i="9"/>
  <c r="O330" i="9"/>
  <c r="N330" i="9"/>
  <c r="M330" i="9"/>
  <c r="L330" i="9"/>
  <c r="K330" i="9"/>
  <c r="J330" i="9"/>
  <c r="I330" i="9"/>
  <c r="H330" i="9"/>
  <c r="G330" i="9"/>
  <c r="F330" i="9"/>
  <c r="AC329" i="9"/>
  <c r="AB329" i="9"/>
  <c r="AA329" i="9"/>
  <c r="Z329" i="9"/>
  <c r="Y329" i="9"/>
  <c r="X329" i="9"/>
  <c r="W329" i="9"/>
  <c r="V329" i="9"/>
  <c r="U329" i="9"/>
  <c r="T329" i="9"/>
  <c r="S329" i="9"/>
  <c r="R329" i="9"/>
  <c r="Q329" i="9"/>
  <c r="P329" i="9"/>
  <c r="O329" i="9"/>
  <c r="N329" i="9"/>
  <c r="M329" i="9"/>
  <c r="L329" i="9"/>
  <c r="K329" i="9"/>
  <c r="J329" i="9"/>
  <c r="I329" i="9"/>
  <c r="H329" i="9"/>
  <c r="G329" i="9"/>
  <c r="F329" i="9"/>
  <c r="AC328" i="9"/>
  <c r="U328" i="9"/>
  <c r="T328" i="9"/>
  <c r="R328" i="9"/>
  <c r="O328" i="9"/>
  <c r="G328" i="9"/>
  <c r="F328" i="9"/>
  <c r="L328" i="9" s="1"/>
  <c r="AC327" i="9"/>
  <c r="U327" i="9"/>
  <c r="T327" i="9"/>
  <c r="R327" i="9"/>
  <c r="O327" i="9"/>
  <c r="G327" i="9"/>
  <c r="F327" i="9"/>
  <c r="L327" i="9" s="1"/>
  <c r="AC326" i="9"/>
  <c r="T326" i="9"/>
  <c r="R326" i="9"/>
  <c r="O326" i="9"/>
  <c r="G326" i="9"/>
  <c r="F326" i="9"/>
  <c r="E163" i="11" s="1"/>
  <c r="AC325" i="9"/>
  <c r="T325" i="9"/>
  <c r="R325" i="9"/>
  <c r="O325" i="9"/>
  <c r="G325" i="9"/>
  <c r="F325" i="9"/>
  <c r="L325" i="9" s="1"/>
  <c r="AC324" i="9"/>
  <c r="T324" i="9"/>
  <c r="R324" i="9"/>
  <c r="O324" i="9"/>
  <c r="G324" i="9"/>
  <c r="F324" i="9"/>
  <c r="E162" i="11" s="1"/>
  <c r="AC323" i="9"/>
  <c r="T323" i="9"/>
  <c r="R323" i="9"/>
  <c r="O323" i="9"/>
  <c r="G323" i="9"/>
  <c r="F323" i="9"/>
  <c r="L323" i="9" s="1"/>
  <c r="AC322" i="9"/>
  <c r="T322" i="9"/>
  <c r="R322" i="9"/>
  <c r="O322" i="9"/>
  <c r="G322" i="9"/>
  <c r="F322" i="9"/>
  <c r="E161" i="11" s="1"/>
  <c r="AC321" i="9"/>
  <c r="T321" i="9"/>
  <c r="R321" i="9"/>
  <c r="O321" i="9"/>
  <c r="G321" i="9"/>
  <c r="F321" i="9"/>
  <c r="L321" i="9" s="1"/>
  <c r="AC320" i="9"/>
  <c r="T320" i="9"/>
  <c r="R320" i="9"/>
  <c r="O320" i="9"/>
  <c r="G320" i="9"/>
  <c r="F320" i="9"/>
  <c r="E160" i="11" s="1"/>
  <c r="AC319" i="9"/>
  <c r="T319" i="9"/>
  <c r="R319" i="9"/>
  <c r="O319" i="9"/>
  <c r="G319" i="9"/>
  <c r="F319" i="9"/>
  <c r="L319" i="9" s="1"/>
  <c r="AC318" i="9"/>
  <c r="T318" i="9"/>
  <c r="R318" i="9"/>
  <c r="O318" i="9"/>
  <c r="G318" i="9"/>
  <c r="F318" i="9"/>
  <c r="L318" i="9" s="1"/>
  <c r="AC317" i="9"/>
  <c r="T317" i="9"/>
  <c r="R317" i="9"/>
  <c r="O317" i="9"/>
  <c r="G317" i="9"/>
  <c r="F317" i="9"/>
  <c r="L317" i="9" s="1"/>
  <c r="AC316" i="9"/>
  <c r="T316" i="9"/>
  <c r="R316" i="9"/>
  <c r="O316" i="9"/>
  <c r="G316" i="9"/>
  <c r="F316" i="9"/>
  <c r="E158" i="11" s="1"/>
  <c r="AC315" i="9"/>
  <c r="T315" i="9"/>
  <c r="R315" i="9"/>
  <c r="O315" i="9"/>
  <c r="G315" i="9"/>
  <c r="F315" i="9"/>
  <c r="L315" i="9" s="1"/>
  <c r="AC314" i="9"/>
  <c r="T314" i="9"/>
  <c r="R314" i="9"/>
  <c r="O314" i="9"/>
  <c r="G314" i="9"/>
  <c r="F314" i="9"/>
  <c r="E157" i="11" s="1"/>
  <c r="AC313" i="9"/>
  <c r="T313" i="9"/>
  <c r="R313" i="9"/>
  <c r="O313" i="9"/>
  <c r="G313" i="9"/>
  <c r="F313" i="9"/>
  <c r="L313" i="9" s="1"/>
  <c r="AC312" i="9"/>
  <c r="T312" i="9"/>
  <c r="R312" i="9"/>
  <c r="O312" i="9"/>
  <c r="G312" i="9"/>
  <c r="F312" i="9"/>
  <c r="E156" i="11" s="1"/>
  <c r="AC311" i="9"/>
  <c r="T311" i="9"/>
  <c r="R311" i="9"/>
  <c r="O311" i="9"/>
  <c r="G311" i="9"/>
  <c r="F311" i="9"/>
  <c r="L311" i="9" s="1"/>
  <c r="AC310" i="9"/>
  <c r="T310" i="9"/>
  <c r="R310" i="9"/>
  <c r="O310" i="9"/>
  <c r="G310" i="9"/>
  <c r="F310" i="9"/>
  <c r="E155" i="11" s="1"/>
  <c r="AC309" i="9"/>
  <c r="T309" i="9"/>
  <c r="R309" i="9"/>
  <c r="O309" i="9"/>
  <c r="G309" i="9"/>
  <c r="F309" i="9"/>
  <c r="L309" i="9" s="1"/>
  <c r="AC308" i="9"/>
  <c r="T308" i="9"/>
  <c r="R308" i="9"/>
  <c r="O308" i="9"/>
  <c r="G308" i="9"/>
  <c r="F308" i="9"/>
  <c r="E154" i="11" s="1"/>
  <c r="AC307" i="9"/>
  <c r="U307" i="9"/>
  <c r="T307" i="9"/>
  <c r="R307" i="9"/>
  <c r="O307" i="9"/>
  <c r="G307" i="9"/>
  <c r="F307" i="9"/>
  <c r="L307" i="9" s="1"/>
  <c r="AC306" i="9"/>
  <c r="U306" i="9"/>
  <c r="Y307" i="9" s="1"/>
  <c r="T306" i="9"/>
  <c r="R306" i="9"/>
  <c r="O306" i="9"/>
  <c r="G306" i="9"/>
  <c r="F306" i="9"/>
  <c r="E153" i="11"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E151" i="11" s="1"/>
  <c r="AC301" i="9"/>
  <c r="T301" i="9"/>
  <c r="R301" i="9"/>
  <c r="O301" i="9"/>
  <c r="G301" i="9"/>
  <c r="F301" i="9"/>
  <c r="L301" i="9" s="1"/>
  <c r="AC300" i="9"/>
  <c r="T300" i="9"/>
  <c r="R300" i="9"/>
  <c r="O300" i="9"/>
  <c r="G300" i="9"/>
  <c r="F300" i="9"/>
  <c r="E150" i="11" s="1"/>
  <c r="AC299" i="9"/>
  <c r="T299" i="9"/>
  <c r="R299" i="9"/>
  <c r="O299" i="9"/>
  <c r="G299" i="9"/>
  <c r="F299" i="9"/>
  <c r="L299" i="9" s="1"/>
  <c r="AC298" i="9"/>
  <c r="T298" i="9"/>
  <c r="R298" i="9"/>
  <c r="O298" i="9"/>
  <c r="G298" i="9"/>
  <c r="F298" i="9"/>
  <c r="E149" i="11" s="1"/>
  <c r="AC297" i="9"/>
  <c r="U297" i="9"/>
  <c r="T297" i="9"/>
  <c r="R297" i="9"/>
  <c r="O297" i="9"/>
  <c r="G297" i="9"/>
  <c r="F297" i="9"/>
  <c r="L297" i="9" s="1"/>
  <c r="AC296" i="9"/>
  <c r="T296" i="9"/>
  <c r="R296" i="9"/>
  <c r="O296" i="9"/>
  <c r="G296" i="9"/>
  <c r="F296" i="9"/>
  <c r="E148" i="11" s="1"/>
  <c r="AC295" i="9"/>
  <c r="T295" i="9"/>
  <c r="R295" i="9"/>
  <c r="O295" i="9"/>
  <c r="G295" i="9"/>
  <c r="F295" i="9"/>
  <c r="L295" i="9" s="1"/>
  <c r="AC294" i="9"/>
  <c r="T294" i="9"/>
  <c r="R294" i="9"/>
  <c r="O294" i="9"/>
  <c r="G294" i="9"/>
  <c r="F294" i="9"/>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E145" i="11" s="1"/>
  <c r="AC289" i="9"/>
  <c r="T289" i="9"/>
  <c r="R289" i="9"/>
  <c r="O289" i="9"/>
  <c r="G289" i="9"/>
  <c r="F289" i="9"/>
  <c r="L289" i="9" s="1"/>
  <c r="AC288" i="9"/>
  <c r="T288" i="9"/>
  <c r="R288" i="9"/>
  <c r="O288" i="9"/>
  <c r="G288" i="9"/>
  <c r="F288" i="9"/>
  <c r="E144" i="11" s="1"/>
  <c r="AC287" i="9"/>
  <c r="T287" i="9"/>
  <c r="R287" i="9"/>
  <c r="O287" i="9"/>
  <c r="G287" i="9"/>
  <c r="F287" i="9"/>
  <c r="AC286" i="9"/>
  <c r="T286" i="9"/>
  <c r="R286" i="9"/>
  <c r="O286" i="9"/>
  <c r="G286" i="9"/>
  <c r="F286" i="9"/>
  <c r="AC285" i="9"/>
  <c r="T285" i="9"/>
  <c r="R285" i="9"/>
  <c r="O285" i="9"/>
  <c r="G285" i="9"/>
  <c r="F285" i="9"/>
  <c r="AC284" i="9"/>
  <c r="T284" i="9"/>
  <c r="R284" i="9"/>
  <c r="O284" i="9"/>
  <c r="G284" i="9"/>
  <c r="F284" i="9"/>
  <c r="E142" i="11" s="1"/>
  <c r="AC283" i="9"/>
  <c r="T283" i="9"/>
  <c r="R283" i="9"/>
  <c r="O283" i="9"/>
  <c r="G283" i="9"/>
  <c r="F283" i="9"/>
  <c r="L283" i="9" s="1"/>
  <c r="AC282" i="9"/>
  <c r="T282" i="9"/>
  <c r="R282" i="9"/>
  <c r="O282" i="9"/>
  <c r="G282" i="9"/>
  <c r="F282" i="9"/>
  <c r="AC281" i="9"/>
  <c r="T281" i="9"/>
  <c r="R281" i="9"/>
  <c r="O281" i="9"/>
  <c r="G281" i="9"/>
  <c r="F281" i="9"/>
  <c r="L281" i="9" s="1"/>
  <c r="AC280" i="9"/>
  <c r="T280" i="9"/>
  <c r="R280" i="9"/>
  <c r="O280" i="9"/>
  <c r="G280" i="9"/>
  <c r="F280" i="9"/>
  <c r="E140" i="11" s="1"/>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E137" i="11" s="1"/>
  <c r="AC273" i="9"/>
  <c r="T273" i="9"/>
  <c r="R273" i="9"/>
  <c r="O273" i="9"/>
  <c r="G273" i="9"/>
  <c r="F273" i="9"/>
  <c r="L273" i="9" s="1"/>
  <c r="AC272" i="9"/>
  <c r="T272" i="9"/>
  <c r="R272" i="9"/>
  <c r="O272" i="9"/>
  <c r="G272" i="9"/>
  <c r="F272" i="9"/>
  <c r="AC271" i="9"/>
  <c r="T271" i="9"/>
  <c r="R271" i="9"/>
  <c r="O271" i="9"/>
  <c r="G271" i="9"/>
  <c r="F271" i="9"/>
  <c r="AC270" i="9"/>
  <c r="U270" i="9"/>
  <c r="T270" i="9"/>
  <c r="R270" i="9"/>
  <c r="O270" i="9"/>
  <c r="G270" i="9"/>
  <c r="F270" i="9"/>
  <c r="AC269" i="9"/>
  <c r="T269" i="9"/>
  <c r="R269" i="9"/>
  <c r="O269" i="9"/>
  <c r="G269" i="9"/>
  <c r="F269" i="9"/>
  <c r="AC268" i="9"/>
  <c r="T268" i="9"/>
  <c r="R268" i="9"/>
  <c r="O268" i="9"/>
  <c r="G268" i="9"/>
  <c r="F268" i="9"/>
  <c r="E134" i="11" s="1"/>
  <c r="AC267" i="9"/>
  <c r="T267" i="9"/>
  <c r="R267" i="9"/>
  <c r="O267" i="9"/>
  <c r="G267" i="9"/>
  <c r="F267" i="9"/>
  <c r="L267" i="9" s="1"/>
  <c r="AC266" i="9"/>
  <c r="T266" i="9"/>
  <c r="R266" i="9"/>
  <c r="O266" i="9"/>
  <c r="G266" i="9"/>
  <c r="F266" i="9"/>
  <c r="E133" i="11"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AC261" i="9"/>
  <c r="T261" i="9"/>
  <c r="R261" i="9"/>
  <c r="O261" i="9"/>
  <c r="G261" i="9"/>
  <c r="F261" i="9"/>
  <c r="L261" i="9" s="1"/>
  <c r="AC260" i="9"/>
  <c r="T260" i="9"/>
  <c r="R260" i="9"/>
  <c r="O260" i="9"/>
  <c r="G260" i="9"/>
  <c r="F260" i="9"/>
  <c r="AC259" i="9"/>
  <c r="T259" i="9"/>
  <c r="R259" i="9"/>
  <c r="O259" i="9"/>
  <c r="G259" i="9"/>
  <c r="F259" i="9"/>
  <c r="L259" i="9" s="1"/>
  <c r="AC258" i="9"/>
  <c r="T258" i="9"/>
  <c r="R258" i="9"/>
  <c r="O258" i="9"/>
  <c r="G258" i="9"/>
  <c r="F258" i="9"/>
  <c r="AC257" i="9"/>
  <c r="T257" i="9"/>
  <c r="R257" i="9"/>
  <c r="O257" i="9"/>
  <c r="G257" i="9"/>
  <c r="F257" i="9"/>
  <c r="L257" i="9" s="1"/>
  <c r="AC256" i="9"/>
  <c r="U256" i="9"/>
  <c r="T256" i="9"/>
  <c r="R256" i="9"/>
  <c r="O256" i="9"/>
  <c r="G256" i="9"/>
  <c r="F256" i="9"/>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AC251" i="9"/>
  <c r="T251" i="9"/>
  <c r="R251" i="9"/>
  <c r="O251" i="9"/>
  <c r="G251" i="9"/>
  <c r="F251" i="9"/>
  <c r="AC250" i="9"/>
  <c r="T250" i="9"/>
  <c r="R250" i="9"/>
  <c r="O250" i="9"/>
  <c r="G250" i="9"/>
  <c r="F250" i="9"/>
  <c r="AC249" i="9"/>
  <c r="T249" i="9"/>
  <c r="R249" i="9"/>
  <c r="O249" i="9"/>
  <c r="G249" i="9"/>
  <c r="F249" i="9"/>
  <c r="AC248" i="9"/>
  <c r="T248" i="9"/>
  <c r="R248" i="9"/>
  <c r="O248" i="9"/>
  <c r="G248" i="9"/>
  <c r="F248" i="9"/>
  <c r="AC247" i="9"/>
  <c r="U247" i="9"/>
  <c r="T247" i="9"/>
  <c r="R247" i="9"/>
  <c r="O247" i="9"/>
  <c r="G247" i="9"/>
  <c r="F247" i="9"/>
  <c r="L247" i="9" s="1"/>
  <c r="AC246" i="9"/>
  <c r="U246" i="9"/>
  <c r="T246" i="9"/>
  <c r="R246" i="9"/>
  <c r="O246" i="9"/>
  <c r="G246" i="9"/>
  <c r="F246" i="9"/>
  <c r="AC245" i="9"/>
  <c r="U245" i="9"/>
  <c r="T245" i="9"/>
  <c r="R245" i="9"/>
  <c r="O245" i="9"/>
  <c r="G245" i="9"/>
  <c r="F245" i="9"/>
  <c r="L245" i="9" s="1"/>
  <c r="AC244" i="9"/>
  <c r="U244" i="9"/>
  <c r="Y245" i="9" s="1"/>
  <c r="T244" i="9"/>
  <c r="R244" i="9"/>
  <c r="O244" i="9"/>
  <c r="G244" i="9"/>
  <c r="F244" i="9"/>
  <c r="AC243" i="9"/>
  <c r="T243" i="9"/>
  <c r="R243" i="9"/>
  <c r="O243" i="9"/>
  <c r="G243" i="9"/>
  <c r="F243" i="9"/>
  <c r="AC242" i="9"/>
  <c r="T242" i="9"/>
  <c r="R242" i="9"/>
  <c r="O242" i="9"/>
  <c r="G242" i="9"/>
  <c r="F242" i="9"/>
  <c r="AC241" i="9"/>
  <c r="T241" i="9"/>
  <c r="R241" i="9"/>
  <c r="O241" i="9"/>
  <c r="G241" i="9"/>
  <c r="F241" i="9"/>
  <c r="L241" i="9" s="1"/>
  <c r="AC240" i="9"/>
  <c r="T240" i="9"/>
  <c r="R240" i="9"/>
  <c r="O240" i="9"/>
  <c r="G240" i="9"/>
  <c r="F240" i="9"/>
  <c r="AC239" i="9"/>
  <c r="T239" i="9"/>
  <c r="R239" i="9"/>
  <c r="O239" i="9"/>
  <c r="G239" i="9"/>
  <c r="F239" i="9"/>
  <c r="L239" i="9" s="1"/>
  <c r="AC238" i="9"/>
  <c r="T238" i="9"/>
  <c r="R238" i="9"/>
  <c r="O238" i="9"/>
  <c r="G238" i="9"/>
  <c r="F238" i="9"/>
  <c r="L238" i="9" s="1"/>
  <c r="AC237" i="9"/>
  <c r="T237" i="9"/>
  <c r="R237" i="9"/>
  <c r="O237" i="9"/>
  <c r="G237" i="9"/>
  <c r="F237" i="9"/>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AC232" i="9"/>
  <c r="T232" i="9"/>
  <c r="R232" i="9"/>
  <c r="O232" i="9"/>
  <c r="G232" i="9"/>
  <c r="F232" i="9"/>
  <c r="AC231" i="9"/>
  <c r="T231" i="9"/>
  <c r="R231" i="9"/>
  <c r="O231" i="9"/>
  <c r="G231" i="9"/>
  <c r="F231" i="9"/>
  <c r="E116" i="11" s="1"/>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AC226" i="9"/>
  <c r="U226" i="9"/>
  <c r="T226" i="9"/>
  <c r="R226" i="9"/>
  <c r="O226" i="9"/>
  <c r="G226" i="9"/>
  <c r="F226" i="9"/>
  <c r="AC225" i="9"/>
  <c r="U225" i="9"/>
  <c r="T225" i="9"/>
  <c r="R225" i="9"/>
  <c r="O225" i="9"/>
  <c r="G225" i="9"/>
  <c r="F225" i="9"/>
  <c r="L225" i="9" s="1"/>
  <c r="AC224" i="9"/>
  <c r="U224" i="9"/>
  <c r="Y226" i="9" s="1"/>
  <c r="T224" i="9"/>
  <c r="R224" i="9"/>
  <c r="O224" i="9"/>
  <c r="G224" i="9"/>
  <c r="F224" i="9"/>
  <c r="AC223" i="9"/>
  <c r="T223" i="9"/>
  <c r="R223" i="9"/>
  <c r="O223" i="9"/>
  <c r="G223" i="9"/>
  <c r="F223" i="9"/>
  <c r="L223" i="9" s="1"/>
  <c r="AC222" i="9"/>
  <c r="T222" i="9"/>
  <c r="R222" i="9"/>
  <c r="O222" i="9"/>
  <c r="G222" i="9"/>
  <c r="F222" i="9"/>
  <c r="AC221" i="9"/>
  <c r="T221" i="9"/>
  <c r="R221" i="9"/>
  <c r="O221" i="9"/>
  <c r="G221" i="9"/>
  <c r="F221" i="9"/>
  <c r="L221" i="9" s="1"/>
  <c r="AC220" i="9"/>
  <c r="U220" i="9"/>
  <c r="Y221" i="9" s="1"/>
  <c r="T220" i="9"/>
  <c r="R220" i="9"/>
  <c r="O220" i="9"/>
  <c r="G220" i="9"/>
  <c r="F220" i="9"/>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AC215" i="9"/>
  <c r="T215" i="9"/>
  <c r="R215" i="9"/>
  <c r="O215" i="9"/>
  <c r="G215" i="9"/>
  <c r="F215" i="9"/>
  <c r="AC214" i="9"/>
  <c r="T214" i="9"/>
  <c r="R214" i="9"/>
  <c r="O214" i="9"/>
  <c r="G214" i="9"/>
  <c r="F214" i="9"/>
  <c r="L214" i="9" s="1"/>
  <c r="AC213" i="9"/>
  <c r="T213" i="9"/>
  <c r="R213" i="9"/>
  <c r="O213" i="9"/>
  <c r="G213" i="9"/>
  <c r="F213" i="9"/>
  <c r="L213" i="9" s="1"/>
  <c r="AC212" i="9"/>
  <c r="T212" i="9"/>
  <c r="R212" i="9"/>
  <c r="O212" i="9"/>
  <c r="G212" i="9"/>
  <c r="F212" i="9"/>
  <c r="AC211" i="9"/>
  <c r="T211" i="9"/>
  <c r="R211" i="9"/>
  <c r="O211" i="9"/>
  <c r="G211" i="9"/>
  <c r="F211" i="9"/>
  <c r="L211" i="9" s="1"/>
  <c r="AC210" i="9"/>
  <c r="T210" i="9"/>
  <c r="R210" i="9"/>
  <c r="O210" i="9"/>
  <c r="G210" i="9"/>
  <c r="F210" i="9"/>
  <c r="AC209" i="9"/>
  <c r="T209" i="9"/>
  <c r="R209" i="9"/>
  <c r="O209" i="9"/>
  <c r="G209" i="9"/>
  <c r="F209" i="9"/>
  <c r="L209" i="9" s="1"/>
  <c r="AC208" i="9"/>
  <c r="T208" i="9"/>
  <c r="R208" i="9"/>
  <c r="O208" i="9"/>
  <c r="G208" i="9"/>
  <c r="F208" i="9"/>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AC203" i="9"/>
  <c r="T203" i="9"/>
  <c r="R203" i="9"/>
  <c r="O203" i="9"/>
  <c r="G203" i="9"/>
  <c r="F203" i="9"/>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AC198" i="9"/>
  <c r="T198" i="9"/>
  <c r="R198" i="9"/>
  <c r="O198" i="9"/>
  <c r="G198" i="9"/>
  <c r="F198" i="9"/>
  <c r="L198" i="9" s="1"/>
  <c r="AC197" i="9"/>
  <c r="T197" i="9"/>
  <c r="R197" i="9"/>
  <c r="O197" i="9"/>
  <c r="G197" i="9"/>
  <c r="F197" i="9"/>
  <c r="L197" i="9" s="1"/>
  <c r="AC196" i="9"/>
  <c r="T196" i="9"/>
  <c r="R196" i="9"/>
  <c r="O196" i="9"/>
  <c r="G196" i="9"/>
  <c r="F196" i="9"/>
  <c r="AC195" i="9"/>
  <c r="T195" i="9"/>
  <c r="R195" i="9"/>
  <c r="O195" i="9"/>
  <c r="G195" i="9"/>
  <c r="F195" i="9"/>
  <c r="L195" i="9" s="1"/>
  <c r="AC194" i="9"/>
  <c r="T194" i="9"/>
  <c r="R194" i="9"/>
  <c r="O194" i="9"/>
  <c r="G194" i="9"/>
  <c r="F194" i="9"/>
  <c r="L194" i="9" s="1"/>
  <c r="AC193" i="9"/>
  <c r="T193" i="9"/>
  <c r="R193" i="9"/>
  <c r="O193" i="9"/>
  <c r="G193" i="9"/>
  <c r="F193" i="9"/>
  <c r="AC192" i="9"/>
  <c r="T192" i="9"/>
  <c r="R192" i="9"/>
  <c r="O192" i="9"/>
  <c r="G192" i="9"/>
  <c r="F192" i="9"/>
  <c r="E104" i="11" s="1"/>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AC187" i="9"/>
  <c r="T187" i="9"/>
  <c r="R187" i="9"/>
  <c r="O187" i="9"/>
  <c r="G187" i="9"/>
  <c r="F187" i="9"/>
  <c r="L187" i="9" s="1"/>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F180" i="9"/>
  <c r="E101" i="11" s="1"/>
  <c r="AC179" i="9"/>
  <c r="T179" i="9"/>
  <c r="R179" i="9"/>
  <c r="O179" i="9"/>
  <c r="G179" i="9"/>
  <c r="F179" i="9"/>
  <c r="AC178" i="9"/>
  <c r="T178" i="9"/>
  <c r="R178" i="9"/>
  <c r="O178" i="9"/>
  <c r="G178" i="9"/>
  <c r="F178" i="9"/>
  <c r="AC177" i="9"/>
  <c r="T177" i="9"/>
  <c r="R177" i="9"/>
  <c r="O177" i="9"/>
  <c r="G177" i="9"/>
  <c r="F177" i="9"/>
  <c r="L177" i="9" s="1"/>
  <c r="AC176" i="9"/>
  <c r="T176" i="9"/>
  <c r="R176" i="9"/>
  <c r="O176" i="9"/>
  <c r="G176" i="9"/>
  <c r="F176" i="9"/>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F172" i="9"/>
  <c r="E99" i="11" s="1"/>
  <c r="AC171" i="9"/>
  <c r="T171" i="9"/>
  <c r="R171" i="9"/>
  <c r="O171" i="9"/>
  <c r="G171" i="9"/>
  <c r="F171" i="9"/>
  <c r="AC170" i="9"/>
  <c r="T170" i="9"/>
  <c r="R170" i="9"/>
  <c r="O170" i="9"/>
  <c r="G170" i="9"/>
  <c r="F170" i="9"/>
  <c r="L170" i="9" s="1"/>
  <c r="AC169" i="9"/>
  <c r="T169" i="9"/>
  <c r="R169" i="9"/>
  <c r="O169" i="9"/>
  <c r="G169" i="9"/>
  <c r="F169" i="9"/>
  <c r="L169" i="9" s="1"/>
  <c r="AC168" i="9"/>
  <c r="T168" i="9"/>
  <c r="R168" i="9"/>
  <c r="O168" i="9"/>
  <c r="G168" i="9"/>
  <c r="F168" i="9"/>
  <c r="AC167" i="9"/>
  <c r="T167" i="9"/>
  <c r="R167" i="9"/>
  <c r="O167" i="9"/>
  <c r="G167" i="9"/>
  <c r="F167" i="9"/>
  <c r="AC166" i="9"/>
  <c r="T166" i="9"/>
  <c r="R166" i="9"/>
  <c r="O166" i="9"/>
  <c r="G166" i="9"/>
  <c r="F166" i="9"/>
  <c r="AC165" i="9"/>
  <c r="U165" i="9"/>
  <c r="T165" i="9"/>
  <c r="R165" i="9"/>
  <c r="O165" i="9"/>
  <c r="H165" i="9"/>
  <c r="G165" i="9"/>
  <c r="F165" i="9"/>
  <c r="L165" i="9" s="1"/>
  <c r="AC164" i="9"/>
  <c r="T164" i="9"/>
  <c r="R164" i="9"/>
  <c r="O164" i="9"/>
  <c r="G164" i="9"/>
  <c r="F164" i="9"/>
  <c r="E97" i="11" s="1"/>
  <c r="AC163" i="9"/>
  <c r="T163" i="9"/>
  <c r="R163" i="9"/>
  <c r="O163" i="9"/>
  <c r="G163" i="9"/>
  <c r="F163" i="9"/>
  <c r="AC162" i="9"/>
  <c r="T162" i="9"/>
  <c r="R162" i="9"/>
  <c r="O162" i="9"/>
  <c r="G162" i="9"/>
  <c r="F162" i="9"/>
  <c r="L162" i="9" s="1"/>
  <c r="AC161" i="9"/>
  <c r="T161" i="9"/>
  <c r="R161" i="9"/>
  <c r="O161" i="9"/>
  <c r="G161" i="9"/>
  <c r="F161" i="9"/>
  <c r="L161" i="9" s="1"/>
  <c r="AC160" i="9"/>
  <c r="T160" i="9"/>
  <c r="R160" i="9"/>
  <c r="O160" i="9"/>
  <c r="G160" i="9"/>
  <c r="F160" i="9"/>
  <c r="E96" i="11" s="1"/>
  <c r="AC159" i="9"/>
  <c r="U159" i="9"/>
  <c r="T159" i="9"/>
  <c r="R159" i="9"/>
  <c r="O159" i="9"/>
  <c r="H159" i="9"/>
  <c r="G159" i="9"/>
  <c r="F159" i="9"/>
  <c r="AC158" i="9"/>
  <c r="T158" i="9"/>
  <c r="R158" i="9"/>
  <c r="O158" i="9"/>
  <c r="G158" i="9"/>
  <c r="F158" i="9"/>
  <c r="L158" i="9" s="1"/>
  <c r="AC157" i="9"/>
  <c r="T157" i="9"/>
  <c r="R157" i="9"/>
  <c r="O157" i="9"/>
  <c r="G157" i="9"/>
  <c r="F157" i="9"/>
  <c r="L157" i="9" s="1"/>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AC151" i="9"/>
  <c r="T151" i="9"/>
  <c r="R151" i="9"/>
  <c r="O151" i="9"/>
  <c r="G151" i="9"/>
  <c r="F151" i="9"/>
  <c r="L151" i="9" s="1"/>
  <c r="AC150" i="9"/>
  <c r="T150" i="9"/>
  <c r="R150" i="9"/>
  <c r="O150" i="9"/>
  <c r="G150" i="9"/>
  <c r="F150" i="9"/>
  <c r="AC149" i="9"/>
  <c r="T149" i="9"/>
  <c r="R149" i="9"/>
  <c r="O149" i="9"/>
  <c r="G149" i="9"/>
  <c r="F149" i="9"/>
  <c r="L149" i="9" s="1"/>
  <c r="AC148" i="9"/>
  <c r="T148" i="9"/>
  <c r="R148" i="9"/>
  <c r="O148" i="9"/>
  <c r="G148" i="9"/>
  <c r="F148" i="9"/>
  <c r="E93" i="11" s="1"/>
  <c r="AC147" i="9"/>
  <c r="T147" i="9"/>
  <c r="R147" i="9"/>
  <c r="O147" i="9"/>
  <c r="G147" i="9"/>
  <c r="F147" i="9"/>
  <c r="AC146" i="9"/>
  <c r="T146" i="9"/>
  <c r="R146" i="9"/>
  <c r="O146" i="9"/>
  <c r="G146" i="9"/>
  <c r="F146" i="9"/>
  <c r="L146" i="9" s="1"/>
  <c r="AC145" i="9"/>
  <c r="T145" i="9"/>
  <c r="R145" i="9"/>
  <c r="O145" i="9"/>
  <c r="G145" i="9"/>
  <c r="F145" i="9"/>
  <c r="L145" i="9" s="1"/>
  <c r="AC144" i="9"/>
  <c r="T144" i="9"/>
  <c r="R144" i="9"/>
  <c r="O144" i="9"/>
  <c r="G144" i="9"/>
  <c r="F144" i="9"/>
  <c r="AC143" i="9"/>
  <c r="T143" i="9"/>
  <c r="R143" i="9"/>
  <c r="O143" i="9"/>
  <c r="G143" i="9"/>
  <c r="F143" i="9"/>
  <c r="L143" i="9" s="1"/>
  <c r="AC142" i="9"/>
  <c r="T142" i="9"/>
  <c r="R142" i="9"/>
  <c r="O142" i="9"/>
  <c r="G142" i="9"/>
  <c r="F142" i="9"/>
  <c r="E90" i="11" s="1"/>
  <c r="AC141" i="9"/>
  <c r="T141" i="9"/>
  <c r="R141" i="9"/>
  <c r="O141" i="9"/>
  <c r="G141" i="9"/>
  <c r="F141" i="9"/>
  <c r="L141" i="9" s="1"/>
  <c r="AC140" i="9"/>
  <c r="T140" i="9"/>
  <c r="R140" i="9"/>
  <c r="O140" i="9"/>
  <c r="G140" i="9"/>
  <c r="F140" i="9"/>
  <c r="E89" i="11" s="1"/>
  <c r="AC139" i="9"/>
  <c r="T139" i="9"/>
  <c r="R139" i="9"/>
  <c r="O139" i="9"/>
  <c r="G139" i="9"/>
  <c r="F139" i="9"/>
  <c r="L139" i="9" s="1"/>
  <c r="AC138" i="9"/>
  <c r="U138" i="9"/>
  <c r="Y139" i="9" s="1"/>
  <c r="T138" i="9"/>
  <c r="R138" i="9"/>
  <c r="O138" i="9"/>
  <c r="G138" i="9"/>
  <c r="F138" i="9"/>
  <c r="AC137" i="9"/>
  <c r="T137" i="9"/>
  <c r="R137" i="9"/>
  <c r="O137" i="9"/>
  <c r="G137" i="9"/>
  <c r="F137" i="9"/>
  <c r="L137" i="9" s="1"/>
  <c r="AC136" i="9"/>
  <c r="T136" i="9"/>
  <c r="R136" i="9"/>
  <c r="O136" i="9"/>
  <c r="G136" i="9"/>
  <c r="F136" i="9"/>
  <c r="L136" i="9" s="1"/>
  <c r="AC135" i="9"/>
  <c r="T135" i="9"/>
  <c r="R135" i="9"/>
  <c r="O135" i="9"/>
  <c r="G135" i="9"/>
  <c r="F135" i="9"/>
  <c r="L135" i="9" s="1"/>
  <c r="AC134" i="9"/>
  <c r="T134" i="9"/>
  <c r="R134" i="9"/>
  <c r="O134" i="9"/>
  <c r="G134" i="9"/>
  <c r="F134" i="9"/>
  <c r="L134" i="9" s="1"/>
  <c r="AC133" i="9"/>
  <c r="T133" i="9"/>
  <c r="R133" i="9"/>
  <c r="O133" i="9"/>
  <c r="G133" i="9"/>
  <c r="F133" i="9"/>
  <c r="L133" i="9" s="1"/>
  <c r="AC132" i="9"/>
  <c r="U132" i="9"/>
  <c r="Y133" i="9" s="1"/>
  <c r="T132" i="9"/>
  <c r="R132" i="9"/>
  <c r="O132" i="9"/>
  <c r="G132" i="9"/>
  <c r="F132" i="9"/>
  <c r="L132" i="9" s="1"/>
  <c r="AC131" i="9"/>
  <c r="U131" i="9"/>
  <c r="T131" i="9"/>
  <c r="R131" i="9"/>
  <c r="O131" i="9"/>
  <c r="G131" i="9"/>
  <c r="F131" i="9"/>
  <c r="AC130" i="9"/>
  <c r="U130" i="9"/>
  <c r="Y131" i="9" s="1"/>
  <c r="T130" i="9"/>
  <c r="R130" i="9"/>
  <c r="O130" i="9"/>
  <c r="G130" i="9"/>
  <c r="F130" i="9"/>
  <c r="E84" i="11" s="1"/>
  <c r="AC129" i="9"/>
  <c r="T129" i="9"/>
  <c r="R129" i="9"/>
  <c r="O129" i="9"/>
  <c r="G129" i="9"/>
  <c r="F129" i="9"/>
  <c r="L129" i="9" s="1"/>
  <c r="AC128" i="9"/>
  <c r="U128" i="9"/>
  <c r="Y129" i="9" s="1"/>
  <c r="T128" i="9"/>
  <c r="R128" i="9"/>
  <c r="O128" i="9"/>
  <c r="G128" i="9"/>
  <c r="F128" i="9"/>
  <c r="AC127" i="9"/>
  <c r="U127" i="9"/>
  <c r="T127" i="9"/>
  <c r="R127" i="9"/>
  <c r="O127" i="9"/>
  <c r="G127" i="9"/>
  <c r="F127" i="9"/>
  <c r="L127" i="9" s="1"/>
  <c r="AC126" i="9"/>
  <c r="U126" i="9"/>
  <c r="Y126" i="9" s="1"/>
  <c r="Z126" i="9" s="1"/>
  <c r="T126" i="9"/>
  <c r="R126" i="9"/>
  <c r="O126" i="9"/>
  <c r="G126" i="9"/>
  <c r="F126" i="9"/>
  <c r="E82" i="11" s="1"/>
  <c r="AC125" i="9"/>
  <c r="U125" i="9"/>
  <c r="T125" i="9"/>
  <c r="R125" i="9"/>
  <c r="O125" i="9"/>
  <c r="G125" i="9"/>
  <c r="F125" i="9"/>
  <c r="AC124" i="9"/>
  <c r="U124" i="9"/>
  <c r="Y124" i="9" s="1"/>
  <c r="Z124" i="9" s="1"/>
  <c r="T124" i="9"/>
  <c r="R124" i="9"/>
  <c r="O124" i="9"/>
  <c r="G124" i="9"/>
  <c r="F124" i="9"/>
  <c r="AC123" i="9"/>
  <c r="U123" i="9"/>
  <c r="T123" i="9"/>
  <c r="R123" i="9"/>
  <c r="O123" i="9"/>
  <c r="G123" i="9"/>
  <c r="F123" i="9"/>
  <c r="L123" i="9" s="1"/>
  <c r="AC122" i="9"/>
  <c r="U122" i="9"/>
  <c r="Y123" i="9" s="1"/>
  <c r="T122" i="9"/>
  <c r="R122" i="9"/>
  <c r="O122" i="9"/>
  <c r="G122" i="9"/>
  <c r="F122" i="9"/>
  <c r="E80" i="11" s="1"/>
  <c r="AC121" i="9"/>
  <c r="T121" i="9"/>
  <c r="R121" i="9"/>
  <c r="O121" i="9"/>
  <c r="G121" i="9"/>
  <c r="F121" i="9"/>
  <c r="L121" i="9" s="1"/>
  <c r="AC120" i="9"/>
  <c r="U120" i="9"/>
  <c r="T120" i="9"/>
  <c r="R120" i="9"/>
  <c r="O120" i="9"/>
  <c r="G120" i="9"/>
  <c r="F120" i="9"/>
  <c r="E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AC115" i="9"/>
  <c r="T115" i="9"/>
  <c r="R115" i="9"/>
  <c r="O115" i="9"/>
  <c r="G115" i="9"/>
  <c r="F115" i="9"/>
  <c r="L115" i="9" s="1"/>
  <c r="AC114" i="9"/>
  <c r="T114" i="9"/>
  <c r="R114" i="9"/>
  <c r="O114" i="9"/>
  <c r="G114" i="9"/>
  <c r="F114" i="9"/>
  <c r="E76" i="11" s="1"/>
  <c r="AC113" i="9"/>
  <c r="T113" i="9"/>
  <c r="R113" i="9"/>
  <c r="O113" i="9"/>
  <c r="G113" i="9"/>
  <c r="F113" i="9"/>
  <c r="L113" i="9" s="1"/>
  <c r="AC112" i="9"/>
  <c r="T112" i="9"/>
  <c r="R112" i="9"/>
  <c r="O112" i="9"/>
  <c r="G112" i="9"/>
  <c r="F112" i="9"/>
  <c r="E75" i="11" s="1"/>
  <c r="AC111" i="9"/>
  <c r="T111" i="9"/>
  <c r="R111" i="9"/>
  <c r="O111" i="9"/>
  <c r="G111" i="9"/>
  <c r="F111" i="9"/>
  <c r="L111" i="9" s="1"/>
  <c r="AC110" i="9"/>
  <c r="T110" i="9"/>
  <c r="R110" i="9"/>
  <c r="O110" i="9"/>
  <c r="G110" i="9"/>
  <c r="F110" i="9"/>
  <c r="E74" i="11" s="1"/>
  <c r="AC109" i="9"/>
  <c r="T109" i="9"/>
  <c r="R109" i="9"/>
  <c r="O109" i="9"/>
  <c r="G109" i="9"/>
  <c r="F109" i="9"/>
  <c r="L109" i="9" s="1"/>
  <c r="AC108" i="9"/>
  <c r="T108" i="9"/>
  <c r="R108" i="9"/>
  <c r="O108" i="9"/>
  <c r="G108" i="9"/>
  <c r="F108" i="9"/>
  <c r="E73" i="11" s="1"/>
  <c r="AC107" i="9"/>
  <c r="T107" i="9"/>
  <c r="R107" i="9"/>
  <c r="O107" i="9"/>
  <c r="G107" i="9"/>
  <c r="F107" i="9"/>
  <c r="L107" i="9" s="1"/>
  <c r="AC106" i="9"/>
  <c r="T106" i="9"/>
  <c r="R106" i="9"/>
  <c r="O106" i="9"/>
  <c r="G106" i="9"/>
  <c r="F106" i="9"/>
  <c r="E72" i="11" s="1"/>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E70" i="11" s="1"/>
  <c r="AC101" i="9"/>
  <c r="T101" i="9"/>
  <c r="R101" i="9"/>
  <c r="O101" i="9"/>
  <c r="G101" i="9"/>
  <c r="F101" i="9"/>
  <c r="L101" i="9" s="1"/>
  <c r="AC100" i="9"/>
  <c r="T100" i="9"/>
  <c r="R100" i="9"/>
  <c r="O100" i="9"/>
  <c r="G100" i="9"/>
  <c r="F100" i="9"/>
  <c r="E69" i="11" s="1"/>
  <c r="AC99" i="9"/>
  <c r="T99" i="9"/>
  <c r="R99" i="9"/>
  <c r="O99" i="9"/>
  <c r="G99" i="9"/>
  <c r="F99" i="9"/>
  <c r="L99" i="9" s="1"/>
  <c r="AC98" i="9"/>
  <c r="T98" i="9"/>
  <c r="R98" i="9"/>
  <c r="O98" i="9"/>
  <c r="G98" i="9"/>
  <c r="F98" i="9"/>
  <c r="E68" i="11" s="1"/>
  <c r="AC97" i="9"/>
  <c r="T97" i="9"/>
  <c r="R97" i="9"/>
  <c r="O97" i="9"/>
  <c r="G97" i="9"/>
  <c r="F97" i="9"/>
  <c r="L97" i="9" s="1"/>
  <c r="AC96" i="9"/>
  <c r="T96" i="9"/>
  <c r="R96" i="9"/>
  <c r="O96" i="9"/>
  <c r="G96" i="9"/>
  <c r="F96" i="9"/>
  <c r="E67" i="11" s="1"/>
  <c r="AC95" i="9"/>
  <c r="U95" i="9"/>
  <c r="T95" i="9"/>
  <c r="R95" i="9"/>
  <c r="O95" i="9"/>
  <c r="G95" i="9"/>
  <c r="F95" i="9"/>
  <c r="L95" i="9" s="1"/>
  <c r="AC94" i="9"/>
  <c r="T94" i="9"/>
  <c r="R94" i="9"/>
  <c r="O94" i="9"/>
  <c r="G94" i="9"/>
  <c r="F94" i="9"/>
  <c r="E66" i="11" s="1"/>
  <c r="AC93" i="9"/>
  <c r="T93" i="9"/>
  <c r="R93" i="9"/>
  <c r="O93" i="9"/>
  <c r="G93" i="9"/>
  <c r="F93" i="9"/>
  <c r="L93" i="9" s="1"/>
  <c r="AC92" i="9"/>
  <c r="T92" i="9"/>
  <c r="R92" i="9"/>
  <c r="O92" i="9"/>
  <c r="G92" i="9"/>
  <c r="F92" i="9"/>
  <c r="E65" i="11" s="1"/>
  <c r="AC91" i="9"/>
  <c r="T91" i="9"/>
  <c r="R91" i="9"/>
  <c r="O91" i="9"/>
  <c r="G91" i="9"/>
  <c r="F91" i="9"/>
  <c r="L91" i="9" s="1"/>
  <c r="AC90" i="9"/>
  <c r="U90" i="9"/>
  <c r="T90" i="9"/>
  <c r="R90" i="9"/>
  <c r="O90" i="9"/>
  <c r="G90" i="9"/>
  <c r="F90" i="9"/>
  <c r="E64" i="11" s="1"/>
  <c r="AC89" i="9"/>
  <c r="T89" i="9"/>
  <c r="R89" i="9"/>
  <c r="O89" i="9"/>
  <c r="G89" i="9"/>
  <c r="F89" i="9"/>
  <c r="L89" i="9" s="1"/>
  <c r="AC88" i="9"/>
  <c r="T88" i="9"/>
  <c r="R88" i="9"/>
  <c r="O88" i="9"/>
  <c r="G88" i="9"/>
  <c r="F88" i="9"/>
  <c r="AC87" i="9"/>
  <c r="U87" i="9"/>
  <c r="T87" i="9"/>
  <c r="R87" i="9"/>
  <c r="O87" i="9"/>
  <c r="G87" i="9"/>
  <c r="F87" i="9"/>
  <c r="L87" i="9" s="1"/>
  <c r="AC86" i="9"/>
  <c r="U86" i="9"/>
  <c r="Y86" i="9" s="1"/>
  <c r="Z86" i="9" s="1"/>
  <c r="T86" i="9"/>
  <c r="R86" i="9"/>
  <c r="O86" i="9"/>
  <c r="H86" i="9"/>
  <c r="P87" i="9" s="1"/>
  <c r="G86" i="9"/>
  <c r="F86" i="9"/>
  <c r="AC85" i="9"/>
  <c r="T85" i="9"/>
  <c r="R85" i="9"/>
  <c r="O85" i="9"/>
  <c r="G85" i="9"/>
  <c r="F85" i="9"/>
  <c r="L85" i="9" s="1"/>
  <c r="AC84" i="9"/>
  <c r="T84" i="9"/>
  <c r="R84" i="9"/>
  <c r="O84" i="9"/>
  <c r="G84" i="9"/>
  <c r="F84" i="9"/>
  <c r="E61" i="11" s="1"/>
  <c r="AC83" i="9"/>
  <c r="T83" i="9"/>
  <c r="R83" i="9"/>
  <c r="O83" i="9"/>
  <c r="G83" i="9"/>
  <c r="F83" i="9"/>
  <c r="L83" i="9" s="1"/>
  <c r="AC82" i="9"/>
  <c r="T82" i="9"/>
  <c r="R82" i="9"/>
  <c r="O82" i="9"/>
  <c r="G82" i="9"/>
  <c r="F82" i="9"/>
  <c r="E60" i="11" s="1"/>
  <c r="AC81" i="9"/>
  <c r="T81" i="9"/>
  <c r="R81" i="9"/>
  <c r="O81" i="9"/>
  <c r="G81" i="9"/>
  <c r="F81" i="9"/>
  <c r="L81" i="9" s="1"/>
  <c r="AC80" i="9"/>
  <c r="T80" i="9"/>
  <c r="R80" i="9"/>
  <c r="O80" i="9"/>
  <c r="G80" i="9"/>
  <c r="F80" i="9"/>
  <c r="E59" i="11" s="1"/>
  <c r="AC79" i="9"/>
  <c r="U79" i="9"/>
  <c r="T79" i="9"/>
  <c r="R79" i="9"/>
  <c r="O79" i="9"/>
  <c r="G79" i="9"/>
  <c r="F79" i="9"/>
  <c r="L79" i="9" s="1"/>
  <c r="AC78" i="9"/>
  <c r="U78" i="9"/>
  <c r="T78" i="9"/>
  <c r="R78" i="9"/>
  <c r="O78" i="9"/>
  <c r="G78" i="9"/>
  <c r="F78" i="9"/>
  <c r="AC77" i="9"/>
  <c r="U77" i="9"/>
  <c r="Y78" i="9" s="1"/>
  <c r="T77" i="9"/>
  <c r="R77" i="9"/>
  <c r="O77" i="9"/>
  <c r="G77" i="9"/>
  <c r="F77" i="9"/>
  <c r="E58" i="11" s="1"/>
  <c r="AC76" i="9"/>
  <c r="T76" i="9"/>
  <c r="R76" i="9"/>
  <c r="O76" i="9"/>
  <c r="G76" i="9"/>
  <c r="F76" i="9"/>
  <c r="AC75" i="9"/>
  <c r="T75" i="9"/>
  <c r="R75" i="9"/>
  <c r="O75" i="9"/>
  <c r="G75" i="9"/>
  <c r="F75" i="9"/>
  <c r="E57" i="11" s="1"/>
  <c r="AC74" i="9"/>
  <c r="U74" i="9"/>
  <c r="T74" i="9"/>
  <c r="R74" i="9"/>
  <c r="O74" i="9"/>
  <c r="G74" i="9"/>
  <c r="F74" i="9"/>
  <c r="L74" i="9" s="1"/>
  <c r="AC73" i="9"/>
  <c r="T73" i="9"/>
  <c r="R73" i="9"/>
  <c r="O73" i="9"/>
  <c r="G73" i="9"/>
  <c r="F73" i="9"/>
  <c r="E56" i="11" s="1"/>
  <c r="AC72" i="9"/>
  <c r="U72" i="9"/>
  <c r="T72" i="9"/>
  <c r="R72" i="9"/>
  <c r="O72" i="9"/>
  <c r="G72" i="9"/>
  <c r="F72" i="9"/>
  <c r="AC71" i="9"/>
  <c r="U71" i="9"/>
  <c r="Y72" i="9" s="1"/>
  <c r="T71" i="9"/>
  <c r="R71" i="9"/>
  <c r="O71" i="9"/>
  <c r="G71" i="9"/>
  <c r="F71" i="9"/>
  <c r="AC70" i="9"/>
  <c r="T70" i="9"/>
  <c r="R70" i="9"/>
  <c r="O70" i="9"/>
  <c r="G70" i="9"/>
  <c r="F70" i="9"/>
  <c r="L70" i="9" s="1"/>
  <c r="AC69" i="9"/>
  <c r="T69" i="9"/>
  <c r="R69" i="9"/>
  <c r="O69" i="9"/>
  <c r="G69" i="9"/>
  <c r="F69" i="9"/>
  <c r="E54" i="11" s="1"/>
  <c r="AC68" i="9"/>
  <c r="U68" i="9"/>
  <c r="Y68" i="9" s="1"/>
  <c r="Z68" i="9" s="1"/>
  <c r="T68" i="9"/>
  <c r="R68" i="9"/>
  <c r="O68" i="9"/>
  <c r="G68" i="9"/>
  <c r="F68" i="9"/>
  <c r="AC67" i="9"/>
  <c r="U67" i="9"/>
  <c r="T67" i="9"/>
  <c r="R67" i="9"/>
  <c r="O67" i="9"/>
  <c r="G67" i="9"/>
  <c r="F67" i="9"/>
  <c r="E53" i="11" s="1"/>
  <c r="AC66" i="9"/>
  <c r="T66" i="9"/>
  <c r="R66" i="9"/>
  <c r="O66" i="9"/>
  <c r="G66" i="9"/>
  <c r="F66" i="9"/>
  <c r="AC65" i="9"/>
  <c r="T65" i="9"/>
  <c r="R65" i="9"/>
  <c r="O65" i="9"/>
  <c r="G65" i="9"/>
  <c r="F65" i="9"/>
  <c r="E52" i="11" s="1"/>
  <c r="AC64" i="9"/>
  <c r="T64" i="9"/>
  <c r="R64" i="9"/>
  <c r="O64" i="9"/>
  <c r="G64" i="9"/>
  <c r="F64" i="9"/>
  <c r="L64" i="9" s="1"/>
  <c r="AC63" i="9"/>
  <c r="T63" i="9"/>
  <c r="R63" i="9"/>
  <c r="O63" i="9"/>
  <c r="G63" i="9"/>
  <c r="F63" i="9"/>
  <c r="E51" i="11" s="1"/>
  <c r="AC62" i="9"/>
  <c r="T62" i="9"/>
  <c r="R62" i="9"/>
  <c r="O62" i="9"/>
  <c r="G62" i="9"/>
  <c r="F62" i="9"/>
  <c r="AC61" i="9"/>
  <c r="T61" i="9"/>
  <c r="R61" i="9"/>
  <c r="O61" i="9"/>
  <c r="G61" i="9"/>
  <c r="F61" i="9"/>
  <c r="E50" i="11" s="1"/>
  <c r="AC60" i="9"/>
  <c r="U60" i="9"/>
  <c r="T60" i="9"/>
  <c r="R60" i="9"/>
  <c r="O60" i="9"/>
  <c r="G60" i="9"/>
  <c r="F60" i="9"/>
  <c r="AC59" i="9"/>
  <c r="T59" i="9"/>
  <c r="R59" i="9"/>
  <c r="O59" i="9"/>
  <c r="G59" i="9"/>
  <c r="F59" i="9"/>
  <c r="AC58" i="9"/>
  <c r="T58" i="9"/>
  <c r="R58" i="9"/>
  <c r="O58" i="9"/>
  <c r="G58" i="9"/>
  <c r="F58" i="9"/>
  <c r="L58" i="9" s="1"/>
  <c r="AC57" i="9"/>
  <c r="T57" i="9"/>
  <c r="R57" i="9"/>
  <c r="O57" i="9"/>
  <c r="G57" i="9"/>
  <c r="F57" i="9"/>
  <c r="E48" i="11" s="1"/>
  <c r="AC56" i="9"/>
  <c r="T56" i="9"/>
  <c r="R56" i="9"/>
  <c r="O56" i="9"/>
  <c r="G56" i="9"/>
  <c r="F56" i="9"/>
  <c r="L56" i="9" s="1"/>
  <c r="AC55" i="9"/>
  <c r="T55" i="9"/>
  <c r="R55" i="9"/>
  <c r="O55" i="9"/>
  <c r="G55" i="9"/>
  <c r="F55" i="9"/>
  <c r="E47" i="11" s="1"/>
  <c r="AC54" i="9"/>
  <c r="T54" i="9"/>
  <c r="R54" i="9"/>
  <c r="O54" i="9"/>
  <c r="G54" i="9"/>
  <c r="F54" i="9"/>
  <c r="AC53" i="9"/>
  <c r="T53" i="9"/>
  <c r="R53" i="9"/>
  <c r="O53" i="9"/>
  <c r="G53" i="9"/>
  <c r="F53" i="9"/>
  <c r="AC52" i="9"/>
  <c r="T52" i="9"/>
  <c r="R52" i="9"/>
  <c r="O52" i="9"/>
  <c r="G52" i="9"/>
  <c r="F52" i="9"/>
  <c r="L52" i="9" s="1"/>
  <c r="AC51" i="9"/>
  <c r="T51" i="9"/>
  <c r="R51" i="9"/>
  <c r="O51" i="9"/>
  <c r="G51" i="9"/>
  <c r="F51" i="9"/>
  <c r="E45" i="11" s="1"/>
  <c r="AC50" i="9"/>
  <c r="U50" i="9"/>
  <c r="T50" i="9"/>
  <c r="R50" i="9"/>
  <c r="O50" i="9"/>
  <c r="G50" i="9"/>
  <c r="F50" i="9"/>
  <c r="L50" i="9" s="1"/>
  <c r="AC49" i="9"/>
  <c r="U49" i="9"/>
  <c r="Y49" i="9" s="1"/>
  <c r="Z49" i="9" s="1"/>
  <c r="T49" i="9"/>
  <c r="R49" i="9"/>
  <c r="O49" i="9"/>
  <c r="G49" i="9"/>
  <c r="F49" i="9"/>
  <c r="AC48" i="9"/>
  <c r="T48" i="9"/>
  <c r="R48" i="9"/>
  <c r="O48" i="9"/>
  <c r="G48" i="9"/>
  <c r="F48" i="9"/>
  <c r="L48" i="9" s="1"/>
  <c r="AC47" i="9"/>
  <c r="T47" i="9"/>
  <c r="R47" i="9"/>
  <c r="O47" i="9"/>
  <c r="G47" i="9"/>
  <c r="F47" i="9"/>
  <c r="AC46" i="9"/>
  <c r="U46" i="9"/>
  <c r="T46" i="9"/>
  <c r="R46" i="9"/>
  <c r="O46" i="9"/>
  <c r="G46" i="9"/>
  <c r="F46" i="9"/>
  <c r="L46" i="9" s="1"/>
  <c r="AC45" i="9"/>
  <c r="T45" i="9"/>
  <c r="R45" i="9"/>
  <c r="O45" i="9"/>
  <c r="G45" i="9"/>
  <c r="F45" i="9"/>
  <c r="L45" i="9" s="1"/>
  <c r="AC44" i="9"/>
  <c r="U44" i="9"/>
  <c r="T44" i="9"/>
  <c r="R44" i="9"/>
  <c r="O44" i="9"/>
  <c r="G44" i="9"/>
  <c r="F44" i="9"/>
  <c r="L44" i="9" s="1"/>
  <c r="AC43" i="9"/>
  <c r="U43" i="9"/>
  <c r="Y44" i="9" s="1"/>
  <c r="T43" i="9"/>
  <c r="R43" i="9"/>
  <c r="O43" i="9"/>
  <c r="G43" i="9"/>
  <c r="F43" i="9"/>
  <c r="E41" i="11" s="1"/>
  <c r="AC42" i="9"/>
  <c r="T42" i="9"/>
  <c r="R42" i="9"/>
  <c r="O42" i="9"/>
  <c r="G42" i="9"/>
  <c r="F42" i="9"/>
  <c r="L42" i="9" s="1"/>
  <c r="AC41" i="9"/>
  <c r="T41" i="9"/>
  <c r="R41" i="9"/>
  <c r="O41" i="9"/>
  <c r="G41" i="9"/>
  <c r="F41" i="9"/>
  <c r="E40" i="11" s="1"/>
  <c r="AC40" i="9"/>
  <c r="T40" i="9"/>
  <c r="R40" i="9"/>
  <c r="O40" i="9"/>
  <c r="G40" i="9"/>
  <c r="F40" i="9"/>
  <c r="AC39" i="9"/>
  <c r="T39" i="9"/>
  <c r="R39" i="9"/>
  <c r="O39" i="9"/>
  <c r="G39" i="9"/>
  <c r="F39" i="9"/>
  <c r="E39" i="11" s="1"/>
  <c r="AC38" i="9"/>
  <c r="T38" i="9"/>
  <c r="R38" i="9"/>
  <c r="O38" i="9"/>
  <c r="G38" i="9"/>
  <c r="F38" i="9"/>
  <c r="L38" i="9" s="1"/>
  <c r="AC37" i="9"/>
  <c r="T37" i="9"/>
  <c r="R37" i="9"/>
  <c r="O37" i="9"/>
  <c r="G37" i="9"/>
  <c r="F37" i="9"/>
  <c r="E38" i="11" s="1"/>
  <c r="AC36" i="9"/>
  <c r="T36" i="9"/>
  <c r="R36" i="9"/>
  <c r="O36" i="9"/>
  <c r="G36" i="9"/>
  <c r="F36" i="9"/>
  <c r="L36" i="9" s="1"/>
  <c r="AC35" i="9"/>
  <c r="T35" i="9"/>
  <c r="R35" i="9"/>
  <c r="O35" i="9"/>
  <c r="G35" i="9"/>
  <c r="F35" i="9"/>
  <c r="AC34" i="9"/>
  <c r="T34" i="9"/>
  <c r="R34" i="9"/>
  <c r="O34" i="9"/>
  <c r="G34" i="9"/>
  <c r="F34" i="9"/>
  <c r="L34" i="9" s="1"/>
  <c r="AC33" i="9"/>
  <c r="T33" i="9"/>
  <c r="R33" i="9"/>
  <c r="O33" i="9"/>
  <c r="G33" i="9"/>
  <c r="F33" i="9"/>
  <c r="E36" i="11" s="1"/>
  <c r="AC32" i="9"/>
  <c r="T32" i="9"/>
  <c r="R32" i="9"/>
  <c r="O32" i="9"/>
  <c r="G32" i="9"/>
  <c r="F32" i="9"/>
  <c r="L32" i="9" s="1"/>
  <c r="AC31" i="9"/>
  <c r="T31" i="9"/>
  <c r="R31" i="9"/>
  <c r="O31" i="9"/>
  <c r="G31" i="9"/>
  <c r="F31" i="9"/>
  <c r="E35" i="11" s="1"/>
  <c r="AC30" i="9"/>
  <c r="U30" i="9"/>
  <c r="T30" i="9"/>
  <c r="R30" i="9"/>
  <c r="O30" i="9"/>
  <c r="H30" i="9"/>
  <c r="G30" i="9"/>
  <c r="F30" i="9"/>
  <c r="L30" i="9" s="1"/>
  <c r="AC29" i="9"/>
  <c r="U29" i="9"/>
  <c r="Y29" i="9" s="1"/>
  <c r="Z29" i="9" s="1"/>
  <c r="T29" i="9"/>
  <c r="R29" i="9"/>
  <c r="O29" i="9"/>
  <c r="G29" i="9"/>
  <c r="F29" i="9"/>
  <c r="E34" i="11" s="1"/>
  <c r="AC28" i="9"/>
  <c r="T28" i="9"/>
  <c r="R28" i="9"/>
  <c r="O28" i="9"/>
  <c r="G28" i="9"/>
  <c r="F28" i="9"/>
  <c r="AC27" i="9"/>
  <c r="T27" i="9"/>
  <c r="R27" i="9"/>
  <c r="O27" i="9"/>
  <c r="G27" i="9"/>
  <c r="F27" i="9"/>
  <c r="E33" i="11" s="1"/>
  <c r="AC26" i="9"/>
  <c r="T26" i="9"/>
  <c r="R26" i="9"/>
  <c r="O26" i="9"/>
  <c r="G26" i="9"/>
  <c r="F26" i="9"/>
  <c r="L26" i="9" s="1"/>
  <c r="AC25" i="9"/>
  <c r="T25" i="9"/>
  <c r="R25" i="9"/>
  <c r="O25" i="9"/>
  <c r="G25" i="9"/>
  <c r="F25" i="9"/>
  <c r="E32" i="11" s="1"/>
  <c r="AC24" i="9"/>
  <c r="U24" i="9"/>
  <c r="Y23" i="9" s="1"/>
  <c r="T24" i="9"/>
  <c r="R24" i="9"/>
  <c r="O24" i="9"/>
  <c r="G24" i="9"/>
  <c r="F24" i="9"/>
  <c r="L24" i="9" s="1"/>
  <c r="AC23" i="9"/>
  <c r="U23" i="9"/>
  <c r="T23" i="9"/>
  <c r="R23" i="9"/>
  <c r="O23" i="9"/>
  <c r="G23" i="9"/>
  <c r="F23" i="9"/>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AC18" i="9"/>
  <c r="T18" i="9"/>
  <c r="R18" i="9"/>
  <c r="O18" i="9"/>
  <c r="G18" i="9"/>
  <c r="F18" i="9"/>
  <c r="L18" i="9" s="1"/>
  <c r="AC17" i="9"/>
  <c r="T17" i="9"/>
  <c r="R17" i="9"/>
  <c r="O17" i="9"/>
  <c r="G17" i="9"/>
  <c r="F17" i="9"/>
  <c r="AC16" i="9"/>
  <c r="U16" i="9"/>
  <c r="Y16" i="9" s="1"/>
  <c r="Z16" i="9" s="1"/>
  <c r="T16" i="9"/>
  <c r="R16" i="9"/>
  <c r="O16" i="9"/>
  <c r="G16" i="9"/>
  <c r="F16" i="9"/>
  <c r="L16" i="9" s="1"/>
  <c r="AC15" i="9"/>
  <c r="U15" i="9"/>
  <c r="T15" i="9"/>
  <c r="R15" i="9"/>
  <c r="O15" i="9"/>
  <c r="G15" i="9"/>
  <c r="F15" i="9"/>
  <c r="E27" i="11" s="1"/>
  <c r="AC14" i="9"/>
  <c r="U14" i="9"/>
  <c r="T14" i="9"/>
  <c r="R14" i="9"/>
  <c r="O14" i="9"/>
  <c r="H14" i="9"/>
  <c r="G14" i="9"/>
  <c r="F14" i="9"/>
  <c r="L14" i="9" s="1"/>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13" i="9" s="1"/>
  <c r="T7" i="9"/>
  <c r="R7" i="9"/>
  <c r="O7" i="9"/>
  <c r="H7" i="9"/>
  <c r="P8" i="9" s="1"/>
  <c r="G7" i="9"/>
  <c r="F7" i="9"/>
  <c r="AC6" i="9"/>
  <c r="U6" i="9"/>
  <c r="T6" i="9"/>
  <c r="R6" i="9"/>
  <c r="O6" i="9"/>
  <c r="H6" i="9"/>
  <c r="G6" i="9"/>
  <c r="F6" i="9"/>
  <c r="L6" i="9" s="1"/>
  <c r="AC5" i="9"/>
  <c r="U5" i="9"/>
  <c r="T5" i="9"/>
  <c r="R5" i="9"/>
  <c r="O5" i="9"/>
  <c r="H5" i="9"/>
  <c r="G5" i="9"/>
  <c r="F5" i="9"/>
  <c r="L5" i="9" s="1"/>
  <c r="AC4" i="9"/>
  <c r="U4" i="9"/>
  <c r="Y5" i="9" s="1"/>
  <c r="T4" i="9"/>
  <c r="R4" i="9"/>
  <c r="O4" i="9"/>
  <c r="H4" i="9"/>
  <c r="P5" i="9" s="1"/>
  <c r="G4" i="9"/>
  <c r="F4" i="9"/>
  <c r="E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E34" i="8" s="1"/>
  <c r="F34" i="8" s="1"/>
  <c r="C33" i="8"/>
  <c r="B33" i="8"/>
  <c r="C32" i="8"/>
  <c r="B32" i="8"/>
  <c r="E32" i="8" s="1"/>
  <c r="F32" i="8" s="1"/>
  <c r="C31" i="8"/>
  <c r="B31" i="8"/>
  <c r="D31" i="8" s="1"/>
  <c r="C30" i="8"/>
  <c r="B30" i="8"/>
  <c r="C29" i="8"/>
  <c r="B29" i="8"/>
  <c r="E29" i="8" s="1"/>
  <c r="F29" i="8" s="1"/>
  <c r="C28" i="8"/>
  <c r="B28" i="8"/>
  <c r="C27" i="8"/>
  <c r="B27" i="8"/>
  <c r="C26" i="8"/>
  <c r="B26" i="8"/>
  <c r="E26" i="8" s="1"/>
  <c r="F26" i="8" s="1"/>
  <c r="C25" i="8"/>
  <c r="B25" i="8"/>
  <c r="C24" i="8"/>
  <c r="B24" i="8"/>
  <c r="E24" i="8" s="1"/>
  <c r="F24" i="8" s="1"/>
  <c r="C23" i="8"/>
  <c r="B23" i="8"/>
  <c r="D17" i="8"/>
  <c r="O110" i="6"/>
  <c r="N110" i="6"/>
  <c r="M110" i="6"/>
  <c r="L110" i="6"/>
  <c r="K110" i="6"/>
  <c r="J110" i="6"/>
  <c r="I110" i="6"/>
  <c r="H110" i="6"/>
  <c r="G110" i="6"/>
  <c r="F110" i="6"/>
  <c r="E110" i="6"/>
  <c r="D110" i="6"/>
  <c r="C110" i="6"/>
  <c r="B110" i="6"/>
  <c r="O109" i="6"/>
  <c r="N109" i="6"/>
  <c r="M109" i="6"/>
  <c r="K109" i="6"/>
  <c r="J109" i="6"/>
  <c r="H109" i="6"/>
  <c r="E109" i="6"/>
  <c r="D109" i="6"/>
  <c r="C109" i="6"/>
  <c r="O108" i="6"/>
  <c r="O107" i="6"/>
  <c r="N107" i="6"/>
  <c r="M107" i="6"/>
  <c r="L107" i="6"/>
  <c r="K107" i="6"/>
  <c r="J107" i="6"/>
  <c r="H107" i="6"/>
  <c r="E107" i="6"/>
  <c r="C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D99" i="6"/>
  <c r="C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K26" i="6"/>
  <c r="K70" i="6" s="1"/>
  <c r="T67" i="8" s="1"/>
  <c r="J26" i="6"/>
  <c r="J70" i="6" s="1"/>
  <c r="T66" i="8" s="1"/>
  <c r="I26" i="6"/>
  <c r="H26" i="6"/>
  <c r="H70" i="6" s="1"/>
  <c r="T64" i="8" s="1"/>
  <c r="G26" i="6"/>
  <c r="F26" i="6"/>
  <c r="E26" i="6"/>
  <c r="E70" i="6" s="1"/>
  <c r="T61" i="8" s="1"/>
  <c r="D26" i="6"/>
  <c r="D70" i="6" s="1"/>
  <c r="T60" i="8" s="1"/>
  <c r="C26" i="6"/>
  <c r="C70" i="6" s="1"/>
  <c r="T59" i="8" s="1"/>
  <c r="B26" i="6"/>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F24" i="6"/>
  <c r="E24" i="6"/>
  <c r="E68" i="6" s="1"/>
  <c r="R61" i="8" s="1"/>
  <c r="D24" i="6"/>
  <c r="C24" i="6"/>
  <c r="C68" i="6" s="1"/>
  <c r="R59" i="8" s="1"/>
  <c r="B24" i="6"/>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D16" i="6"/>
  <c r="D60" i="6" s="1"/>
  <c r="J60" i="8" s="1"/>
  <c r="C16" i="6"/>
  <c r="C60" i="6" s="1"/>
  <c r="J59" i="8" s="1"/>
  <c r="B16" i="6"/>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N8" i="6"/>
  <c r="N52" i="6" s="1"/>
  <c r="B70" i="8" s="1"/>
  <c r="M8" i="6"/>
  <c r="M52" i="6" s="1"/>
  <c r="B69" i="8" s="1"/>
  <c r="L8" i="6"/>
  <c r="L52" i="6" s="1"/>
  <c r="B68" i="8" s="1"/>
  <c r="K8" i="6"/>
  <c r="K52" i="6" s="1"/>
  <c r="B67" i="8" s="1"/>
  <c r="J8" i="6"/>
  <c r="J52" i="6" s="1"/>
  <c r="B66" i="8" s="1"/>
  <c r="I8" i="6"/>
  <c r="H8" i="6"/>
  <c r="H52" i="6" s="1"/>
  <c r="B64" i="8" s="1"/>
  <c r="G8" i="6"/>
  <c r="F8" i="6"/>
  <c r="F52" i="6" s="1"/>
  <c r="B62" i="8" s="1"/>
  <c r="E8" i="6"/>
  <c r="E52" i="6" s="1"/>
  <c r="B61" i="8" s="1"/>
  <c r="D8" i="6"/>
  <c r="D52" i="6" s="1"/>
  <c r="B60" i="8"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4" i="4"/>
  <c r="E24" i="4"/>
  <c r="H24" i="4" s="1"/>
  <c r="F23" i="4"/>
  <c r="E23" i="4"/>
  <c r="F22" i="4"/>
  <c r="E22" i="4"/>
  <c r="F21" i="4"/>
  <c r="E21" i="4"/>
  <c r="F20" i="4"/>
  <c r="E20" i="4"/>
  <c r="F19" i="4"/>
  <c r="E19" i="4"/>
  <c r="H19" i="4" s="1"/>
  <c r="F18" i="4"/>
  <c r="E18" i="4"/>
  <c r="G18" i="4" s="1"/>
  <c r="F17" i="4"/>
  <c r="E17" i="4"/>
  <c r="F16" i="4"/>
  <c r="E16" i="4"/>
  <c r="F15" i="4"/>
  <c r="E15" i="4"/>
  <c r="H15" i="4" s="1"/>
  <c r="F14" i="4"/>
  <c r="E14" i="4"/>
  <c r="H14" i="4" s="1"/>
  <c r="B14" i="4"/>
  <c r="F13" i="4"/>
  <c r="E13" i="4"/>
  <c r="F12" i="4"/>
  <c r="E12" i="4"/>
  <c r="F11" i="4"/>
  <c r="E11" i="4"/>
  <c r="G11" i="4" s="1"/>
  <c r="F10" i="4"/>
  <c r="E10" i="4"/>
  <c r="F9" i="4"/>
  <c r="E9" i="4"/>
  <c r="F8" i="4"/>
  <c r="E8" i="4"/>
  <c r="H8" i="4" s="1"/>
  <c r="F7" i="4"/>
  <c r="E7" i="4"/>
  <c r="F6" i="4"/>
  <c r="E6" i="4"/>
  <c r="H6" i="4" s="1"/>
  <c r="F5" i="4"/>
  <c r="E5" i="4"/>
  <c r="G5" i="4" s="1"/>
  <c r="M2" i="3"/>
  <c r="A28" i="2"/>
  <c r="A27" i="2"/>
  <c r="A26" i="2"/>
  <c r="A25" i="2"/>
  <c r="A24" i="2"/>
  <c r="A23" i="2"/>
  <c r="A22" i="2"/>
  <c r="A21" i="2"/>
  <c r="A20" i="2"/>
  <c r="A19" i="2"/>
  <c r="A18" i="2"/>
  <c r="A17" i="2"/>
  <c r="A16" i="2"/>
  <c r="A15" i="2"/>
  <c r="A14" i="2"/>
  <c r="A13" i="2"/>
  <c r="A12" i="2"/>
  <c r="A11" i="2"/>
  <c r="A10" i="2"/>
  <c r="F22" i="7"/>
  <c r="S328" i="9" l="1"/>
  <c r="I328" i="9" s="1"/>
  <c r="K328" i="9" s="1"/>
  <c r="E60" i="6"/>
  <c r="J61" i="8" s="1"/>
  <c r="S326" i="9"/>
  <c r="I326" i="9" s="1"/>
  <c r="S327" i="9"/>
  <c r="I327" i="9" s="1"/>
  <c r="K327" i="9" s="1"/>
  <c r="B60" i="6"/>
  <c r="J58" i="8" s="1"/>
  <c r="L326" i="9"/>
  <c r="L324" i="9"/>
  <c r="S325" i="9"/>
  <c r="I325" i="9" s="1"/>
  <c r="K325" i="9" s="1"/>
  <c r="S324" i="9"/>
  <c r="I324" i="9" s="1"/>
  <c r="S322" i="9"/>
  <c r="I322" i="9" s="1"/>
  <c r="K322" i="9" s="1"/>
  <c r="S323" i="9"/>
  <c r="I323" i="9" s="1"/>
  <c r="L322" i="9"/>
  <c r="D27" i="8"/>
  <c r="S320" i="9"/>
  <c r="I320" i="9" s="1"/>
  <c r="K320" i="9" s="1"/>
  <c r="S321" i="9"/>
  <c r="I321" i="9" s="1"/>
  <c r="L320" i="9"/>
  <c r="S319" i="9"/>
  <c r="I319" i="9" s="1"/>
  <c r="K319" i="9" s="1"/>
  <c r="E159" i="11"/>
  <c r="L70" i="6"/>
  <c r="T68" i="8" s="1"/>
  <c r="S318" i="9"/>
  <c r="I318" i="9" s="1"/>
  <c r="K318" i="9" s="1"/>
  <c r="L316" i="9"/>
  <c r="S317" i="9"/>
  <c r="I317" i="9" s="1"/>
  <c r="K317" i="9" s="1"/>
  <c r="S316" i="9"/>
  <c r="I316" i="9" s="1"/>
  <c r="K316" i="9" s="1"/>
  <c r="S314" i="9"/>
  <c r="I314" i="9" s="1"/>
  <c r="K314" i="9" s="1"/>
  <c r="S315" i="9"/>
  <c r="I315" i="9" s="1"/>
  <c r="L314" i="9"/>
  <c r="S313" i="9"/>
  <c r="I313" i="9" s="1"/>
  <c r="K313" i="9" s="1"/>
  <c r="S312" i="9"/>
  <c r="I312" i="9" s="1"/>
  <c r="K312" i="9" s="1"/>
  <c r="L312" i="9"/>
  <c r="S310" i="9"/>
  <c r="I310" i="9" s="1"/>
  <c r="Y306" i="9"/>
  <c r="Z306" i="9" s="1"/>
  <c r="B70" i="6"/>
  <c r="T58" i="8" s="1"/>
  <c r="S311" i="9"/>
  <c r="I311" i="9" s="1"/>
  <c r="K311" i="9" s="1"/>
  <c r="S306" i="9"/>
  <c r="I306" i="9" s="1"/>
  <c r="L310" i="9"/>
  <c r="Z307" i="9"/>
  <c r="AA307" i="9" s="1"/>
  <c r="AB307" i="9" s="1"/>
  <c r="U309" i="9" s="1"/>
  <c r="S308" i="9"/>
  <c r="I308" i="9" s="1"/>
  <c r="S309" i="9"/>
  <c r="I309" i="9" s="1"/>
  <c r="K309" i="9" s="1"/>
  <c r="L308" i="9"/>
  <c r="S307" i="9"/>
  <c r="I307" i="9" s="1"/>
  <c r="K307" i="9" s="1"/>
  <c r="L306" i="9"/>
  <c r="G70" i="6"/>
  <c r="T63" i="8" s="1"/>
  <c r="E152" i="11"/>
  <c r="S304" i="9"/>
  <c r="I304" i="9" s="1"/>
  <c r="B68" i="6"/>
  <c r="R58" i="8" s="1"/>
  <c r="L302" i="9"/>
  <c r="S302" i="9"/>
  <c r="I302" i="9" s="1"/>
  <c r="S303" i="9"/>
  <c r="I303" i="9" s="1"/>
  <c r="K303" i="9" s="1"/>
  <c r="S305" i="9"/>
  <c r="I305" i="9" s="1"/>
  <c r="K305" i="9" s="1"/>
  <c r="G68" i="6"/>
  <c r="R63" i="8" s="1"/>
  <c r="L80" i="9"/>
  <c r="Q41" i="10"/>
  <c r="S91" i="9"/>
  <c r="I91" i="9" s="1"/>
  <c r="K91" i="9" s="1"/>
  <c r="S17" i="9"/>
  <c r="I17" i="9" s="1"/>
  <c r="K17" i="9" s="1"/>
  <c r="L290" i="9"/>
  <c r="D57" i="6"/>
  <c r="G60" i="8" s="1"/>
  <c r="B64" i="6"/>
  <c r="N58" i="8" s="1"/>
  <c r="D65" i="6"/>
  <c r="O60" i="8" s="1"/>
  <c r="S297" i="9"/>
  <c r="I297" i="9" s="1"/>
  <c r="K297" i="9" s="1"/>
  <c r="F57" i="6"/>
  <c r="G62" i="8" s="1"/>
  <c r="L60" i="6"/>
  <c r="J68" i="8" s="1"/>
  <c r="B63" i="6"/>
  <c r="M58" i="8" s="1"/>
  <c r="N69" i="6"/>
  <c r="S70" i="8" s="1"/>
  <c r="J63" i="6"/>
  <c r="M66" i="8" s="1"/>
  <c r="S67" i="9"/>
  <c r="I67" i="9" s="1"/>
  <c r="K67" i="9" s="1"/>
  <c r="D28" i="8"/>
  <c r="S111" i="9"/>
  <c r="I111" i="9" s="1"/>
  <c r="K111" i="9" s="1"/>
  <c r="S292" i="9"/>
  <c r="I292" i="9" s="1"/>
  <c r="F146" i="11" s="1"/>
  <c r="S44" i="9"/>
  <c r="I44" i="9" s="1"/>
  <c r="K44" i="9" s="1"/>
  <c r="S105" i="9"/>
  <c r="I105" i="9" s="1"/>
  <c r="K105" i="9" s="1"/>
  <c r="S139" i="9"/>
  <c r="I139" i="9" s="1"/>
  <c r="K139" i="9" s="1"/>
  <c r="G77" i="6"/>
  <c r="S31" i="9"/>
  <c r="I31" i="9" s="1"/>
  <c r="F35" i="11" s="1"/>
  <c r="F70" i="6"/>
  <c r="T62" i="8" s="1"/>
  <c r="S140" i="9"/>
  <c r="I140" i="9" s="1"/>
  <c r="F89" i="11" s="1"/>
  <c r="D32" i="8"/>
  <c r="V9" i="9"/>
  <c r="S106" i="9"/>
  <c r="I106" i="9" s="1"/>
  <c r="F72" i="11" s="1"/>
  <c r="S147" i="9"/>
  <c r="I147" i="9" s="1"/>
  <c r="K147" i="9" s="1"/>
  <c r="S222" i="9"/>
  <c r="I222" i="9" s="1"/>
  <c r="E87" i="6"/>
  <c r="S228" i="9"/>
  <c r="I228" i="9" s="1"/>
  <c r="K228" i="9" s="1"/>
  <c r="Q39" i="10"/>
  <c r="I54" i="6"/>
  <c r="D65" i="8" s="1"/>
  <c r="K63" i="6"/>
  <c r="M67" i="8" s="1"/>
  <c r="G69" i="6"/>
  <c r="S63" i="8" s="1"/>
  <c r="I70" i="6"/>
  <c r="T65" i="8" s="1"/>
  <c r="S132" i="9"/>
  <c r="I132" i="9" s="1"/>
  <c r="F85" i="11" s="1"/>
  <c r="S247" i="9"/>
  <c r="I247" i="9" s="1"/>
  <c r="K247" i="9" s="1"/>
  <c r="L98" i="9"/>
  <c r="E79" i="6"/>
  <c r="L106" i="9"/>
  <c r="S128" i="9"/>
  <c r="I128" i="9" s="1"/>
  <c r="E57" i="6"/>
  <c r="G61" i="8" s="1"/>
  <c r="I67" i="6"/>
  <c r="Q65" i="8" s="1"/>
  <c r="E74" i="6"/>
  <c r="L67" i="9"/>
  <c r="S69" i="9"/>
  <c r="I69" i="9" s="1"/>
  <c r="F54" i="11" s="1"/>
  <c r="S230" i="9"/>
  <c r="I230" i="9" s="1"/>
  <c r="K230" i="9" s="1"/>
  <c r="Y138" i="9"/>
  <c r="Z138" i="9" s="1"/>
  <c r="L122" i="9"/>
  <c r="S244" i="9"/>
  <c r="I244" i="9" s="1"/>
  <c r="F122" i="11" s="1"/>
  <c r="G64" i="6"/>
  <c r="N63" i="8" s="1"/>
  <c r="L77" i="9"/>
  <c r="L43" i="9"/>
  <c r="S145" i="9"/>
  <c r="I145" i="9" s="1"/>
  <c r="K145" i="9" s="1"/>
  <c r="S220" i="9"/>
  <c r="I220" i="9" s="1"/>
  <c r="F111" i="11" s="1"/>
  <c r="S294" i="9"/>
  <c r="I294" i="9" s="1"/>
  <c r="K294" i="9" s="1"/>
  <c r="S298" i="9"/>
  <c r="I298" i="9" s="1"/>
  <c r="K298" i="9" s="1"/>
  <c r="S212" i="9"/>
  <c r="I212" i="9" s="1"/>
  <c r="G8" i="4"/>
  <c r="S87" i="9"/>
  <c r="I87" i="9" s="1"/>
  <c r="K87" i="9" s="1"/>
  <c r="E86" i="6"/>
  <c r="S252" i="9"/>
  <c r="I252" i="9" s="1"/>
  <c r="O16" i="11"/>
  <c r="I52" i="6"/>
  <c r="B65" i="8" s="1"/>
  <c r="I68" i="6"/>
  <c r="R65" i="8" s="1"/>
  <c r="S131" i="9"/>
  <c r="I131" i="9" s="1"/>
  <c r="K131" i="9" s="1"/>
  <c r="H63" i="6"/>
  <c r="M64" i="8" s="1"/>
  <c r="P34" i="10"/>
  <c r="S56" i="9"/>
  <c r="I56" i="9" s="1"/>
  <c r="K56" i="9" s="1"/>
  <c r="L94" i="9"/>
  <c r="Z131" i="9"/>
  <c r="AA131" i="9" s="1"/>
  <c r="AB131" i="9" s="1"/>
  <c r="U139" i="9" s="1"/>
  <c r="S169" i="9"/>
  <c r="I169" i="9" s="1"/>
  <c r="K169" i="9" s="1"/>
  <c r="S301" i="9"/>
  <c r="I301" i="9" s="1"/>
  <c r="K301" i="9" s="1"/>
  <c r="L126" i="9"/>
  <c r="O17" i="11"/>
  <c r="S37" i="9"/>
  <c r="I37" i="9" s="1"/>
  <c r="K37" i="9" s="1"/>
  <c r="S83" i="9"/>
  <c r="I83" i="9" s="1"/>
  <c r="K83" i="9" s="1"/>
  <c r="S115" i="9"/>
  <c r="I115" i="9" s="1"/>
  <c r="K115" i="9" s="1"/>
  <c r="L288" i="9"/>
  <c r="L298" i="9"/>
  <c r="D3" i="10"/>
  <c r="R7" i="10" s="1"/>
  <c r="Q49" i="10"/>
  <c r="B54" i="6"/>
  <c r="D58" i="8" s="1"/>
  <c r="H57" i="6"/>
  <c r="G64" i="8" s="1"/>
  <c r="F64" i="6"/>
  <c r="N62" i="8" s="1"/>
  <c r="S18" i="9"/>
  <c r="I18" i="9" s="1"/>
  <c r="S47" i="9"/>
  <c r="I47" i="9" s="1"/>
  <c r="F43" i="11" s="1"/>
  <c r="S232" i="9"/>
  <c r="I232" i="9" s="1"/>
  <c r="K232" i="9" s="1"/>
  <c r="Q37" i="10"/>
  <c r="V14" i="9"/>
  <c r="S41" i="9"/>
  <c r="I41" i="9" s="1"/>
  <c r="K41" i="9" s="1"/>
  <c r="S124" i="9"/>
  <c r="I124" i="9" s="1"/>
  <c r="B69" i="6"/>
  <c r="S58" i="8" s="1"/>
  <c r="G84" i="6"/>
  <c r="S74" i="9"/>
  <c r="I74" i="9" s="1"/>
  <c r="K74" i="9" s="1"/>
  <c r="G74" i="6"/>
  <c r="S100" i="9"/>
  <c r="I100" i="9" s="1"/>
  <c r="K100" i="9" s="1"/>
  <c r="L268" i="9"/>
  <c r="G80" i="6"/>
  <c r="Z5" i="9"/>
  <c r="AA5" i="9" s="1"/>
  <c r="AB5" i="9" s="1"/>
  <c r="U18" i="11"/>
  <c r="Z7" i="11"/>
  <c r="B27" i="4" s="1"/>
  <c r="B32" i="7"/>
  <c r="S191" i="9"/>
  <c r="I191" i="9" s="1"/>
  <c r="K191" i="9" s="1"/>
  <c r="E77" i="6"/>
  <c r="E82" i="6"/>
  <c r="G87" i="6"/>
  <c r="P92" i="6"/>
  <c r="B11" i="2" s="1"/>
  <c r="D11" i="2" s="1"/>
  <c r="S20" i="9"/>
  <c r="I20" i="9" s="1"/>
  <c r="S66" i="9"/>
  <c r="I66" i="9" s="1"/>
  <c r="K66" i="9" s="1"/>
  <c r="Y132" i="9"/>
  <c r="Z132" i="9" s="1"/>
  <c r="S142" i="9"/>
  <c r="I142" i="9" s="1"/>
  <c r="F90" i="11" s="1"/>
  <c r="S155" i="9"/>
  <c r="I155" i="9" s="1"/>
  <c r="K155" i="9" s="1"/>
  <c r="Z226" i="9"/>
  <c r="G83" i="6"/>
  <c r="S83" i="6" s="1"/>
  <c r="S29" i="9"/>
  <c r="I29" i="9" s="1"/>
  <c r="K29" i="9" s="1"/>
  <c r="K31" i="9"/>
  <c r="S126" i="9"/>
  <c r="I126" i="9" s="1"/>
  <c r="K126" i="9" s="1"/>
  <c r="AA130" i="9"/>
  <c r="AB130" i="9" s="1"/>
  <c r="U164" i="9" s="1"/>
  <c r="Y165" i="9" s="1"/>
  <c r="Z165" i="9" s="1"/>
  <c r="L184" i="9"/>
  <c r="S245" i="9"/>
  <c r="I245" i="9" s="1"/>
  <c r="K245" i="9" s="1"/>
  <c r="I57" i="6"/>
  <c r="G65" i="8" s="1"/>
  <c r="E63" i="6"/>
  <c r="M61" i="8" s="1"/>
  <c r="S257" i="9"/>
  <c r="I257" i="9" s="1"/>
  <c r="S256" i="9"/>
  <c r="I256" i="9" s="1"/>
  <c r="K256" i="9" s="1"/>
  <c r="I56" i="6"/>
  <c r="F65" i="8" s="1"/>
  <c r="G63" i="6"/>
  <c r="M63" i="8" s="1"/>
  <c r="C69" i="6"/>
  <c r="S59" i="8" s="1"/>
  <c r="K69" i="6"/>
  <c r="S67" i="8" s="1"/>
  <c r="S10" i="9"/>
  <c r="I10" i="9" s="1"/>
  <c r="K10" i="9" s="1"/>
  <c r="L39" i="9"/>
  <c r="V86" i="9"/>
  <c r="W87" i="9" s="1"/>
  <c r="S123" i="9"/>
  <c r="I123" i="9" s="1"/>
  <c r="K123" i="9" s="1"/>
  <c r="Y128" i="9"/>
  <c r="Z128" i="9" s="1"/>
  <c r="L192" i="9"/>
  <c r="Y220" i="9"/>
  <c r="Z220" i="9" s="1"/>
  <c r="S227" i="9"/>
  <c r="I227" i="9" s="1"/>
  <c r="S264" i="9"/>
  <c r="I264" i="9" s="1"/>
  <c r="K264" i="9" s="1"/>
  <c r="S276" i="9"/>
  <c r="I276" i="9" s="1"/>
  <c r="L300" i="9"/>
  <c r="F54" i="6"/>
  <c r="D62" i="8" s="1"/>
  <c r="J56" i="6"/>
  <c r="F66" i="8" s="1"/>
  <c r="L57" i="6"/>
  <c r="G68" i="8" s="1"/>
  <c r="D34" i="8"/>
  <c r="S28" i="9"/>
  <c r="I28" i="9" s="1"/>
  <c r="F33" i="11" s="1"/>
  <c r="S54" i="9"/>
  <c r="I54" i="9" s="1"/>
  <c r="K54" i="9" s="1"/>
  <c r="S99" i="9"/>
  <c r="I99" i="9" s="1"/>
  <c r="K99" i="9" s="1"/>
  <c r="L160" i="9"/>
  <c r="Y244" i="9"/>
  <c r="Z244" i="9" s="1"/>
  <c r="I63" i="6"/>
  <c r="M65" i="8" s="1"/>
  <c r="E69" i="6"/>
  <c r="S61" i="8" s="1"/>
  <c r="V11" i="9"/>
  <c r="S40" i="9"/>
  <c r="I40" i="9" s="1"/>
  <c r="K40" i="9" s="1"/>
  <c r="S85" i="9"/>
  <c r="I85" i="9" s="1"/>
  <c r="K85" i="9" s="1"/>
  <c r="S102" i="9"/>
  <c r="I102" i="9" s="1"/>
  <c r="K102" i="9" s="1"/>
  <c r="Z123" i="9"/>
  <c r="AA123" i="9" s="1"/>
  <c r="V9" i="11"/>
  <c r="L56" i="6"/>
  <c r="F68" i="8" s="1"/>
  <c r="L64" i="6"/>
  <c r="N68" i="8" s="1"/>
  <c r="D68" i="6"/>
  <c r="R60" i="8" s="1"/>
  <c r="F69" i="6"/>
  <c r="S62" i="8" s="1"/>
  <c r="U7" i="11"/>
  <c r="Y9" i="9"/>
  <c r="Z9" i="9" s="1"/>
  <c r="AA9" i="9" s="1"/>
  <c r="AB9" i="9" s="1"/>
  <c r="I96" i="6" s="1"/>
  <c r="Y11" i="9"/>
  <c r="Z11" i="9" s="1"/>
  <c r="AA11" i="9" s="1"/>
  <c r="AB11" i="9" s="1"/>
  <c r="H96" i="6" s="1"/>
  <c r="L51" i="9"/>
  <c r="S76" i="9"/>
  <c r="I76" i="9" s="1"/>
  <c r="K76" i="9" s="1"/>
  <c r="Y77" i="9"/>
  <c r="Z77" i="9" s="1"/>
  <c r="L180" i="9"/>
  <c r="S211" i="9"/>
  <c r="I211" i="9" s="1"/>
  <c r="K211" i="9" s="1"/>
  <c r="Q45" i="10"/>
  <c r="O18" i="11"/>
  <c r="G23" i="4"/>
  <c r="E75" i="6"/>
  <c r="P9" i="6"/>
  <c r="R9" i="6" s="1"/>
  <c r="U13" i="11"/>
  <c r="S42" i="9"/>
  <c r="I42" i="9" s="1"/>
  <c r="F40" i="11" s="1"/>
  <c r="S82" i="9"/>
  <c r="I82" i="9" s="1"/>
  <c r="F60" i="11" s="1"/>
  <c r="S97" i="9"/>
  <c r="I97" i="9" s="1"/>
  <c r="F67" i="11" s="1"/>
  <c r="S118" i="9"/>
  <c r="I118" i="9" s="1"/>
  <c r="K118" i="9" s="1"/>
  <c r="S236" i="9"/>
  <c r="I236" i="9" s="1"/>
  <c r="K236" i="9" s="1"/>
  <c r="S283" i="9"/>
  <c r="I283" i="9" s="1"/>
  <c r="S299" i="9"/>
  <c r="I299" i="9" s="1"/>
  <c r="F60" i="6"/>
  <c r="J62" i="8" s="1"/>
  <c r="L63" i="6"/>
  <c r="M68" i="8" s="1"/>
  <c r="D67" i="6"/>
  <c r="Q60" i="8" s="1"/>
  <c r="G75" i="6"/>
  <c r="D30" i="8"/>
  <c r="L4" i="9"/>
  <c r="S49" i="9"/>
  <c r="I49" i="9" s="1"/>
  <c r="K49" i="9" s="1"/>
  <c r="S89" i="9"/>
  <c r="I89" i="9" s="1"/>
  <c r="K89" i="9" s="1"/>
  <c r="S101" i="9"/>
  <c r="I101" i="9" s="1"/>
  <c r="K101" i="9" s="1"/>
  <c r="S136" i="9"/>
  <c r="I136" i="9" s="1"/>
  <c r="F87" i="11" s="1"/>
  <c r="S181" i="9"/>
  <c r="I181" i="9" s="1"/>
  <c r="K181" i="9" s="1"/>
  <c r="S216" i="9"/>
  <c r="I216" i="9" s="1"/>
  <c r="K216" i="9" s="1"/>
  <c r="V18" i="11"/>
  <c r="S141" i="9"/>
  <c r="I141" i="9" s="1"/>
  <c r="K141" i="9" s="1"/>
  <c r="L54" i="6"/>
  <c r="D68" i="8" s="1"/>
  <c r="B57" i="6"/>
  <c r="G58" i="8" s="1"/>
  <c r="G81" i="6"/>
  <c r="S4" i="9"/>
  <c r="I4" i="9" s="1"/>
  <c r="K4" i="9" s="1"/>
  <c r="S30" i="9"/>
  <c r="I30" i="9" s="1"/>
  <c r="K30" i="9" s="1"/>
  <c r="S36" i="9"/>
  <c r="I36" i="9" s="1"/>
  <c r="K36" i="9" s="1"/>
  <c r="S94" i="9"/>
  <c r="I94" i="9" s="1"/>
  <c r="F66" i="11" s="1"/>
  <c r="P48" i="10"/>
  <c r="E31" i="8"/>
  <c r="F31" i="8" s="1"/>
  <c r="S104" i="9"/>
  <c r="I104" i="9" s="1"/>
  <c r="F71" i="11" s="1"/>
  <c r="S201" i="9"/>
  <c r="I201" i="9" s="1"/>
  <c r="K201" i="9" s="1"/>
  <c r="S239" i="9"/>
  <c r="I239" i="9" s="1"/>
  <c r="K239" i="9" s="1"/>
  <c r="Q38" i="10"/>
  <c r="R38" i="10" s="1"/>
  <c r="L231" i="9"/>
  <c r="S268" i="9"/>
  <c r="I268" i="9" s="1"/>
  <c r="F134" i="11" s="1"/>
  <c r="L284" i="9"/>
  <c r="G82" i="6"/>
  <c r="S82" i="6" s="1"/>
  <c r="V12" i="9"/>
  <c r="S149" i="9"/>
  <c r="I149" i="9" s="1"/>
  <c r="K149" i="9" s="1"/>
  <c r="G57" i="6"/>
  <c r="G63" i="8" s="1"/>
  <c r="G16" i="4"/>
  <c r="G52" i="6"/>
  <c r="B63" i="8" s="1"/>
  <c r="G54" i="6"/>
  <c r="D63" i="8" s="1"/>
  <c r="L65" i="6"/>
  <c r="O68" i="8" s="1"/>
  <c r="M69" i="6"/>
  <c r="S69" i="8" s="1"/>
  <c r="D25" i="8"/>
  <c r="L31" i="9"/>
  <c r="L82" i="9"/>
  <c r="L84" i="9"/>
  <c r="S86" i="9"/>
  <c r="I86" i="9" s="1"/>
  <c r="F62" i="11" s="1"/>
  <c r="Y122" i="9"/>
  <c r="Z122" i="9" s="1"/>
  <c r="L164" i="9"/>
  <c r="S208" i="9"/>
  <c r="I208" i="9" s="1"/>
  <c r="K208" i="9" s="1"/>
  <c r="H56" i="6"/>
  <c r="F64" i="8" s="1"/>
  <c r="P27" i="6"/>
  <c r="S24" i="9"/>
  <c r="I24" i="9" s="1"/>
  <c r="L148" i="9"/>
  <c r="G17" i="4"/>
  <c r="P23" i="6"/>
  <c r="P24" i="6"/>
  <c r="P26" i="6"/>
  <c r="Q26" i="6" s="1"/>
  <c r="Y71" i="9"/>
  <c r="Z71" i="9" s="1"/>
  <c r="E105" i="11"/>
  <c r="L196" i="9"/>
  <c r="E141" i="11"/>
  <c r="L282" i="9"/>
  <c r="P22" i="6"/>
  <c r="Q22" i="6" s="1"/>
  <c r="P25" i="6"/>
  <c r="Q25" i="6" s="1"/>
  <c r="E84" i="6"/>
  <c r="P97" i="6"/>
  <c r="B16" i="2" s="1"/>
  <c r="D16" i="2" s="1"/>
  <c r="D26" i="8"/>
  <c r="S16" i="9"/>
  <c r="I16" i="9" s="1"/>
  <c r="K16" i="9" s="1"/>
  <c r="S22" i="9"/>
  <c r="I22" i="9" s="1"/>
  <c r="K22" i="9" s="1"/>
  <c r="S53" i="9"/>
  <c r="I53" i="9" s="1"/>
  <c r="S151" i="9"/>
  <c r="I151" i="9" s="1"/>
  <c r="K151" i="9" s="1"/>
  <c r="K56" i="6"/>
  <c r="F67" i="8" s="1"/>
  <c r="P21" i="6"/>
  <c r="E23" i="2" s="1"/>
  <c r="B67" i="6"/>
  <c r="Q58" i="8" s="1"/>
  <c r="G76" i="6"/>
  <c r="S15" i="9"/>
  <c r="I15" i="9" s="1"/>
  <c r="K15" i="9" s="1"/>
  <c r="S21" i="9"/>
  <c r="I21" i="9" s="1"/>
  <c r="K21" i="9" s="1"/>
  <c r="S48" i="9"/>
  <c r="I48" i="9" s="1"/>
  <c r="K48" i="9" s="1"/>
  <c r="S81" i="9"/>
  <c r="I81" i="9" s="1"/>
  <c r="K81" i="9" s="1"/>
  <c r="S88" i="9"/>
  <c r="I88" i="9" s="1"/>
  <c r="F63" i="11" s="1"/>
  <c r="L112" i="9"/>
  <c r="S114" i="9"/>
  <c r="I114" i="9" s="1"/>
  <c r="K114" i="9" s="1"/>
  <c r="Y130" i="9"/>
  <c r="Z130" i="9" s="1"/>
  <c r="S134" i="9"/>
  <c r="I134" i="9" s="1"/>
  <c r="F86" i="11" s="1"/>
  <c r="S243" i="9"/>
  <c r="I243" i="9" s="1"/>
  <c r="K243" i="9" s="1"/>
  <c r="S242" i="9"/>
  <c r="I242" i="9" s="1"/>
  <c r="F121" i="11" s="1"/>
  <c r="S284" i="9"/>
  <c r="I284" i="9" s="1"/>
  <c r="K284" i="9" s="1"/>
  <c r="S285" i="9"/>
  <c r="I285" i="9" s="1"/>
  <c r="P20" i="6"/>
  <c r="E22" i="2" s="1"/>
  <c r="E80" i="6"/>
  <c r="P94" i="6"/>
  <c r="B13" i="2" s="1"/>
  <c r="D13" i="2" s="1"/>
  <c r="P110" i="6"/>
  <c r="B29" i="2" s="1"/>
  <c r="D29" i="2" s="1"/>
  <c r="S51" i="9"/>
  <c r="I51" i="9" s="1"/>
  <c r="F45" i="11" s="1"/>
  <c r="U15" i="11"/>
  <c r="S179" i="9"/>
  <c r="I179" i="9" s="1"/>
  <c r="K179" i="9" s="1"/>
  <c r="O20" i="11"/>
  <c r="V20" i="11"/>
  <c r="P17" i="6"/>
  <c r="P19" i="6"/>
  <c r="Q19" i="6" s="1"/>
  <c r="B65" i="6"/>
  <c r="O58" i="8" s="1"/>
  <c r="U17" i="11"/>
  <c r="S43" i="9"/>
  <c r="I43" i="9" s="1"/>
  <c r="F41" i="11" s="1"/>
  <c r="S109" i="9"/>
  <c r="I109" i="9" s="1"/>
  <c r="K109" i="9" s="1"/>
  <c r="S113" i="9"/>
  <c r="I113" i="9" s="1"/>
  <c r="K113" i="9" s="1"/>
  <c r="S112" i="9"/>
  <c r="I112" i="9" s="1"/>
  <c r="K112" i="9" s="1"/>
  <c r="E136" i="11"/>
  <c r="L272" i="9"/>
  <c r="S282" i="9"/>
  <c r="I282" i="9" s="1"/>
  <c r="K282" i="9" s="1"/>
  <c r="P14" i="6"/>
  <c r="P16" i="6"/>
  <c r="P18" i="6"/>
  <c r="Q18" i="6" s="1"/>
  <c r="D69" i="6"/>
  <c r="S60" i="8" s="1"/>
  <c r="E76" i="6"/>
  <c r="P101" i="6"/>
  <c r="B20" i="2" s="1"/>
  <c r="D20" i="2" s="1"/>
  <c r="Y15" i="9"/>
  <c r="Z15" i="9" s="1"/>
  <c r="AA16" i="9" s="1"/>
  <c r="AB16" i="9" s="1"/>
  <c r="U18" i="9" s="1"/>
  <c r="Y17" i="9" s="1"/>
  <c r="L61" i="9"/>
  <c r="S95" i="9"/>
  <c r="I95" i="9" s="1"/>
  <c r="K95" i="9" s="1"/>
  <c r="L102" i="9"/>
  <c r="S107" i="9"/>
  <c r="I107" i="9" s="1"/>
  <c r="K107" i="9" s="1"/>
  <c r="S108" i="9"/>
  <c r="I108" i="9" s="1"/>
  <c r="K108" i="9" s="1"/>
  <c r="S119" i="9"/>
  <c r="I119" i="9" s="1"/>
  <c r="K119" i="9" s="1"/>
  <c r="L172" i="9"/>
  <c r="S221" i="9"/>
  <c r="I221" i="9" s="1"/>
  <c r="K221" i="9" s="1"/>
  <c r="S241" i="9"/>
  <c r="I241" i="9" s="1"/>
  <c r="K241" i="9" s="1"/>
  <c r="S240" i="9"/>
  <c r="I240" i="9" s="1"/>
  <c r="R41" i="10"/>
  <c r="R20" i="11"/>
  <c r="T20" i="11"/>
  <c r="P11" i="6"/>
  <c r="P13" i="6"/>
  <c r="R13" i="6" s="1"/>
  <c r="P15" i="6"/>
  <c r="Q15" i="6" s="1"/>
  <c r="F68" i="6"/>
  <c r="R62" i="8" s="1"/>
  <c r="H69" i="6"/>
  <c r="S64" i="8" s="1"/>
  <c r="E85" i="6"/>
  <c r="P100" i="6"/>
  <c r="B19" i="2" s="1"/>
  <c r="D19" i="2" s="1"/>
  <c r="S72" i="9"/>
  <c r="I72" i="9" s="1"/>
  <c r="K72" i="9" s="1"/>
  <c r="S93" i="9"/>
  <c r="I93" i="9" s="1"/>
  <c r="F65" i="11" s="1"/>
  <c r="S125" i="9"/>
  <c r="I125" i="9" s="1"/>
  <c r="K125" i="9" s="1"/>
  <c r="P8" i="6"/>
  <c r="P10" i="6"/>
  <c r="Q10" i="6" s="1"/>
  <c r="P12" i="6"/>
  <c r="Q12" i="6" s="1"/>
  <c r="C63" i="6"/>
  <c r="M59" i="8" s="1"/>
  <c r="S38" i="9"/>
  <c r="I38" i="9" s="1"/>
  <c r="K38" i="9" s="1"/>
  <c r="S39" i="9"/>
  <c r="I39" i="9" s="1"/>
  <c r="K39" i="9" s="1"/>
  <c r="S61" i="9"/>
  <c r="I61" i="9" s="1"/>
  <c r="K61" i="9" s="1"/>
  <c r="S70" i="9"/>
  <c r="I70" i="9" s="1"/>
  <c r="K70" i="9" s="1"/>
  <c r="S117" i="9"/>
  <c r="I117" i="9" s="1"/>
  <c r="K117" i="9" s="1"/>
  <c r="E135" i="11"/>
  <c r="L270" i="9"/>
  <c r="S280" i="9"/>
  <c r="I280" i="9" s="1"/>
  <c r="K280" i="9" s="1"/>
  <c r="S281" i="9"/>
  <c r="I281" i="9" s="1"/>
  <c r="F140" i="11" s="1"/>
  <c r="Q43" i="10"/>
  <c r="P43" i="10"/>
  <c r="V5" i="9"/>
  <c r="U8" i="11"/>
  <c r="R34" i="10"/>
  <c r="Q44" i="10"/>
  <c r="P44" i="10"/>
  <c r="G65" i="6"/>
  <c r="O63" i="8" s="1"/>
  <c r="S14" i="9"/>
  <c r="I14" i="9" s="1"/>
  <c r="K14" i="9" s="1"/>
  <c r="C56" i="6"/>
  <c r="F59" i="8" s="1"/>
  <c r="F63" i="6"/>
  <c r="M62" i="8" s="1"/>
  <c r="I69" i="6"/>
  <c r="S65" i="8" s="1"/>
  <c r="L69" i="6"/>
  <c r="S68" i="8" s="1"/>
  <c r="G78" i="6"/>
  <c r="G86" i="6"/>
  <c r="Z23" i="9"/>
  <c r="AA24" i="9" s="1"/>
  <c r="AB24" i="9" s="1"/>
  <c r="U26" i="9" s="1"/>
  <c r="Y26" i="9" s="1"/>
  <c r="Z26" i="9" s="1"/>
  <c r="U16" i="11"/>
  <c r="S50" i="9"/>
  <c r="I50" i="9" s="1"/>
  <c r="K50" i="9" s="1"/>
  <c r="L57" i="9"/>
  <c r="E78" i="11"/>
  <c r="L118" i="9"/>
  <c r="L140" i="9"/>
  <c r="V165" i="9"/>
  <c r="S270" i="9"/>
  <c r="I270" i="9" s="1"/>
  <c r="K270" i="9" s="1"/>
  <c r="S271" i="9"/>
  <c r="I271" i="9" s="1"/>
  <c r="K271" i="9" s="1"/>
  <c r="D54" i="6"/>
  <c r="D60" i="8" s="1"/>
  <c r="I65" i="6"/>
  <c r="O65" i="8" s="1"/>
  <c r="J69" i="6"/>
  <c r="S66" i="8" s="1"/>
  <c r="D24" i="8"/>
  <c r="Z13" i="9"/>
  <c r="AA13" i="9" s="1"/>
  <c r="AB13" i="9" s="1"/>
  <c r="L96" i="6" s="1"/>
  <c r="L27" i="9"/>
  <c r="L33" i="9"/>
  <c r="S110" i="9"/>
  <c r="I110" i="9" s="1"/>
  <c r="F74" i="11" s="1"/>
  <c r="S122" i="9"/>
  <c r="I122" i="9" s="1"/>
  <c r="F80" i="11" s="1"/>
  <c r="S202" i="9"/>
  <c r="I202" i="9" s="1"/>
  <c r="K202" i="9" s="1"/>
  <c r="E115" i="11"/>
  <c r="L229" i="9"/>
  <c r="E143" i="11"/>
  <c r="L286" i="9"/>
  <c r="Q36" i="10"/>
  <c r="P36" i="10"/>
  <c r="G60" i="6"/>
  <c r="J63" i="8" s="1"/>
  <c r="I64" i="6"/>
  <c r="N65" i="8" s="1"/>
  <c r="Q5" i="9"/>
  <c r="Y7" i="9"/>
  <c r="Z7" i="9" s="1"/>
  <c r="U10" i="11"/>
  <c r="E46" i="11"/>
  <c r="L53" i="9"/>
  <c r="L73" i="9"/>
  <c r="Z78" i="9"/>
  <c r="AA78" i="9" s="1"/>
  <c r="AB78" i="9" s="1"/>
  <c r="Y79" i="9"/>
  <c r="Z79" i="9" s="1"/>
  <c r="AA79" i="9" s="1"/>
  <c r="AB79" i="9" s="1"/>
  <c r="D107" i="6" s="1"/>
  <c r="S183" i="9"/>
  <c r="I183" i="9" s="1"/>
  <c r="K183" i="9" s="1"/>
  <c r="S269" i="9"/>
  <c r="I269" i="9" s="1"/>
  <c r="K269" i="9" s="1"/>
  <c r="S277" i="9"/>
  <c r="I277" i="9" s="1"/>
  <c r="K277" i="9" s="1"/>
  <c r="G12" i="11"/>
  <c r="H12" i="11" s="1"/>
  <c r="S263" i="9"/>
  <c r="I263" i="9" s="1"/>
  <c r="S171" i="9"/>
  <c r="I171" i="9" s="1"/>
  <c r="K171" i="9" s="1"/>
  <c r="S262" i="9"/>
  <c r="I262" i="9" s="1"/>
  <c r="K262" i="9" s="1"/>
  <c r="L274" i="9"/>
  <c r="S291" i="9"/>
  <c r="I291" i="9" s="1"/>
  <c r="F145" i="11" s="1"/>
  <c r="Q47" i="10"/>
  <c r="S224" i="9"/>
  <c r="I224" i="9" s="1"/>
  <c r="F113" i="11" s="1"/>
  <c r="S261" i="9"/>
  <c r="I261" i="9" s="1"/>
  <c r="K261" i="9" s="1"/>
  <c r="S289" i="9"/>
  <c r="I289" i="9" s="1"/>
  <c r="K289" i="9" s="1"/>
  <c r="S103" i="9"/>
  <c r="I103" i="9" s="1"/>
  <c r="K103" i="9" s="1"/>
  <c r="S223" i="9"/>
  <c r="I223" i="9" s="1"/>
  <c r="K223" i="9" s="1"/>
  <c r="S234" i="9"/>
  <c r="I234" i="9" s="1"/>
  <c r="K234" i="9" s="1"/>
  <c r="S248" i="9"/>
  <c r="I248" i="9" s="1"/>
  <c r="F124" i="11" s="1"/>
  <c r="S253" i="9"/>
  <c r="I253" i="9" s="1"/>
  <c r="K253" i="9" s="1"/>
  <c r="S300" i="9"/>
  <c r="I300" i="9" s="1"/>
  <c r="F150" i="11" s="1"/>
  <c r="G10" i="11"/>
  <c r="H10" i="11" s="1"/>
  <c r="B20" i="11"/>
  <c r="L266" i="9"/>
  <c r="S274" i="9"/>
  <c r="I274" i="9" s="1"/>
  <c r="K274" i="9" s="1"/>
  <c r="Q35" i="10"/>
  <c r="R35" i="10" s="1"/>
  <c r="V8" i="11"/>
  <c r="S219" i="9"/>
  <c r="I219" i="9" s="1"/>
  <c r="K219" i="9" s="1"/>
  <c r="S272" i="9"/>
  <c r="I272" i="9" s="1"/>
  <c r="K272" i="9" s="1"/>
  <c r="S278" i="9"/>
  <c r="I278" i="9" s="1"/>
  <c r="K278" i="9" s="1"/>
  <c r="S296" i="9"/>
  <c r="I296" i="9" s="1"/>
  <c r="S213" i="9"/>
  <c r="I213" i="9" s="1"/>
  <c r="K213" i="9" s="1"/>
  <c r="S293" i="9"/>
  <c r="I293" i="9" s="1"/>
  <c r="K293" i="9" s="1"/>
  <c r="O8" i="11"/>
  <c r="R9" i="10"/>
  <c r="H27" i="15"/>
  <c r="I27" i="15"/>
  <c r="J27" i="15" s="1"/>
  <c r="K27" i="15" s="1"/>
  <c r="H24" i="15"/>
  <c r="H26" i="15"/>
  <c r="I26" i="15"/>
  <c r="H25" i="15"/>
  <c r="I25" i="15"/>
  <c r="I24" i="15"/>
  <c r="G14" i="4"/>
  <c r="G22" i="4"/>
  <c r="G15" i="4"/>
  <c r="G21" i="4"/>
  <c r="H11" i="4"/>
  <c r="G24" i="4"/>
  <c r="H19" i="15"/>
  <c r="J19" i="15" s="1"/>
  <c r="K19" i="15" s="1"/>
  <c r="H21" i="15"/>
  <c r="J21" i="15" s="1"/>
  <c r="K21" i="15" s="1"/>
  <c r="H22" i="15"/>
  <c r="H23" i="15"/>
  <c r="H20" i="15"/>
  <c r="I23" i="15"/>
  <c r="I20" i="15"/>
  <c r="I22" i="15"/>
  <c r="H18" i="15"/>
  <c r="J18" i="15" s="1"/>
  <c r="K18" i="15" s="1"/>
  <c r="AG10" i="11"/>
  <c r="AH13" i="11"/>
  <c r="B20" i="4"/>
  <c r="G9" i="4"/>
  <c r="G12" i="4"/>
  <c r="H12" i="4"/>
  <c r="G13" i="4"/>
  <c r="G10" i="4"/>
  <c r="G79" i="6"/>
  <c r="G6" i="4"/>
  <c r="G19" i="4"/>
  <c r="G7" i="4"/>
  <c r="G20" i="4"/>
  <c r="P105" i="6"/>
  <c r="B24" i="2" s="1"/>
  <c r="F25" i="11"/>
  <c r="S26" i="9"/>
  <c r="I26" i="9" s="1"/>
  <c r="S25" i="9"/>
  <c r="I25" i="9" s="1"/>
  <c r="K25" i="9" s="1"/>
  <c r="U11" i="11"/>
  <c r="E28" i="11"/>
  <c r="L17" i="9"/>
  <c r="E83" i="6"/>
  <c r="P98" i="6"/>
  <c r="B17" i="2" s="1"/>
  <c r="D29" i="8"/>
  <c r="S5" i="9"/>
  <c r="I5" i="9" s="1"/>
  <c r="K5" i="9" s="1"/>
  <c r="S6" i="9"/>
  <c r="I6" i="9" s="1"/>
  <c r="K6" i="9" s="1"/>
  <c r="E78" i="6"/>
  <c r="F39" i="11"/>
  <c r="Z44" i="9"/>
  <c r="AA44" i="9" s="1"/>
  <c r="AB44" i="9" s="1"/>
  <c r="F93" i="6" s="1"/>
  <c r="E26" i="11"/>
  <c r="L7" i="9"/>
  <c r="E30" i="11"/>
  <c r="L21" i="9"/>
  <c r="O52" i="6"/>
  <c r="B71" i="8" s="1"/>
  <c r="E81" i="6"/>
  <c r="D35" i="8"/>
  <c r="S12" i="9"/>
  <c r="I12" i="9" s="1"/>
  <c r="K12" i="9" s="1"/>
  <c r="S7" i="9"/>
  <c r="I7" i="9" s="1"/>
  <c r="S11" i="9"/>
  <c r="I11" i="9" s="1"/>
  <c r="K11" i="9" s="1"/>
  <c r="S8" i="9"/>
  <c r="I8" i="9" s="1"/>
  <c r="K8" i="9" s="1"/>
  <c r="V7" i="9"/>
  <c r="P10" i="9"/>
  <c r="P12" i="9"/>
  <c r="Q12" i="9" s="1"/>
  <c r="P7" i="9"/>
  <c r="Q7" i="9" s="1"/>
  <c r="P14" i="9"/>
  <c r="Q14" i="9" s="1"/>
  <c r="P9" i="9"/>
  <c r="Q9" i="9" s="1"/>
  <c r="P11" i="9"/>
  <c r="Q11" i="9" s="1"/>
  <c r="P13" i="9"/>
  <c r="E55" i="11"/>
  <c r="L71" i="9"/>
  <c r="E36" i="8"/>
  <c r="F36" i="8" s="1"/>
  <c r="D36" i="8"/>
  <c r="AC19" i="11"/>
  <c r="B52" i="6"/>
  <c r="B58" i="8" s="1"/>
  <c r="D23" i="8"/>
  <c r="L19" i="9"/>
  <c r="E37" i="11"/>
  <c r="L35" i="9"/>
  <c r="F28" i="11"/>
  <c r="K18" i="9"/>
  <c r="L28" i="9"/>
  <c r="Y30" i="9"/>
  <c r="Z30" i="9" s="1"/>
  <c r="AA30" i="9" s="1"/>
  <c r="AB30" i="9" s="1"/>
  <c r="U32" i="9" s="1"/>
  <c r="S58" i="9"/>
  <c r="I58" i="9" s="1"/>
  <c r="K58" i="9" s="1"/>
  <c r="S57" i="9"/>
  <c r="I57" i="9" s="1"/>
  <c r="P6" i="9"/>
  <c r="Q6" i="9" s="1"/>
  <c r="U14" i="11"/>
  <c r="S13" i="9"/>
  <c r="I13" i="9" s="1"/>
  <c r="K13" i="9" s="1"/>
  <c r="U9" i="11"/>
  <c r="E49" i="11"/>
  <c r="L59" i="9"/>
  <c r="Z72" i="9"/>
  <c r="AA71" i="9" s="1"/>
  <c r="AB71" i="9" s="1"/>
  <c r="U73" i="9" s="1"/>
  <c r="E44" i="11"/>
  <c r="S63" i="9"/>
  <c r="I63" i="9" s="1"/>
  <c r="S64" i="9"/>
  <c r="I64" i="9" s="1"/>
  <c r="K64" i="9" s="1"/>
  <c r="P4" i="9"/>
  <c r="Q4" i="9" s="1"/>
  <c r="S32" i="9"/>
  <c r="I32" i="9" s="1"/>
  <c r="K32" i="9" s="1"/>
  <c r="E43" i="11"/>
  <c r="L47" i="9"/>
  <c r="L62" i="9"/>
  <c r="S19" i="9"/>
  <c r="I19" i="9" s="1"/>
  <c r="K19" i="9" s="1"/>
  <c r="S23" i="9"/>
  <c r="I23" i="9" s="1"/>
  <c r="K23" i="9" s="1"/>
  <c r="S27" i="9"/>
  <c r="I27" i="9" s="1"/>
  <c r="K27" i="9" s="1"/>
  <c r="V30" i="9"/>
  <c r="E42" i="11"/>
  <c r="D33" i="8"/>
  <c r="S34" i="9"/>
  <c r="I34" i="9" s="1"/>
  <c r="K34" i="9" s="1"/>
  <c r="S33" i="9"/>
  <c r="I33" i="9" s="1"/>
  <c r="L40" i="9"/>
  <c r="L49" i="9"/>
  <c r="S52" i="9"/>
  <c r="I52" i="9" s="1"/>
  <c r="K52" i="9" s="1"/>
  <c r="S59" i="9"/>
  <c r="I59" i="9" s="1"/>
  <c r="U12" i="11"/>
  <c r="V6" i="9"/>
  <c r="S9" i="9"/>
  <c r="I9" i="9" s="1"/>
  <c r="K9" i="9" s="1"/>
  <c r="S35" i="9"/>
  <c r="I35" i="9" s="1"/>
  <c r="L37" i="9"/>
  <c r="L15" i="9"/>
  <c r="L29" i="9"/>
  <c r="Y6" i="9"/>
  <c r="Z6" i="9" s="1"/>
  <c r="AA6" i="9" s="1"/>
  <c r="AB6" i="9" s="1"/>
  <c r="L99" i="6" s="1"/>
  <c r="Y4" i="9"/>
  <c r="Z4" i="9" s="1"/>
  <c r="L41" i="9"/>
  <c r="V4" i="9"/>
  <c r="L25" i="9"/>
  <c r="E31" i="11"/>
  <c r="L23" i="9"/>
  <c r="S55" i="9"/>
  <c r="I55" i="9" s="1"/>
  <c r="F69" i="11"/>
  <c r="E83" i="11"/>
  <c r="L128" i="9"/>
  <c r="Y14" i="9"/>
  <c r="Z14" i="9" s="1"/>
  <c r="AA14" i="9" s="1"/>
  <c r="AB14" i="9" s="1"/>
  <c r="D96" i="6" s="1"/>
  <c r="Y12" i="9"/>
  <c r="Z12" i="9" s="1"/>
  <c r="AA12" i="9" s="1"/>
  <c r="AB12" i="9" s="1"/>
  <c r="E96" i="6" s="1"/>
  <c r="Y10" i="9"/>
  <c r="Z10" i="9" s="1"/>
  <c r="AA10" i="9" s="1"/>
  <c r="AB10" i="9" s="1"/>
  <c r="F96" i="6" s="1"/>
  <c r="Y8" i="9"/>
  <c r="Z8" i="9" s="1"/>
  <c r="AA8" i="9" s="1"/>
  <c r="AB8" i="9" s="1"/>
  <c r="G96" i="6" s="1"/>
  <c r="S46" i="9"/>
  <c r="I46" i="9" s="1"/>
  <c r="K46" i="9" s="1"/>
  <c r="Y50" i="9"/>
  <c r="Z50" i="9" s="1"/>
  <c r="AA50" i="9" s="1"/>
  <c r="AB50" i="9" s="1"/>
  <c r="U52" i="9" s="1"/>
  <c r="L54" i="9"/>
  <c r="Y24" i="9"/>
  <c r="Z24" i="9" s="1"/>
  <c r="S45" i="9"/>
  <c r="I45" i="9" s="1"/>
  <c r="S92" i="9"/>
  <c r="I92" i="9" s="1"/>
  <c r="K92" i="9" s="1"/>
  <c r="E62" i="11"/>
  <c r="F83" i="11"/>
  <c r="K128" i="9"/>
  <c r="S60" i="9"/>
  <c r="I60" i="9" s="1"/>
  <c r="K60" i="9" s="1"/>
  <c r="S73" i="9"/>
  <c r="I73" i="9" s="1"/>
  <c r="P86" i="9"/>
  <c r="Q86" i="9" s="1"/>
  <c r="L90" i="9"/>
  <c r="L96" i="9"/>
  <c r="L68" i="9"/>
  <c r="S121" i="9"/>
  <c r="I121" i="9" s="1"/>
  <c r="S120" i="9"/>
  <c r="I120" i="9" s="1"/>
  <c r="K120" i="9" s="1"/>
  <c r="S84" i="9"/>
  <c r="I84" i="9" s="1"/>
  <c r="L86" i="9"/>
  <c r="E63" i="11"/>
  <c r="L88" i="9"/>
  <c r="L65" i="9"/>
  <c r="L78" i="9"/>
  <c r="S80" i="9"/>
  <c r="I80" i="9" s="1"/>
  <c r="S79" i="9"/>
  <c r="I79" i="9" s="1"/>
  <c r="K79" i="9" s="1"/>
  <c r="S77" i="9"/>
  <c r="I77" i="9" s="1"/>
  <c r="L72" i="9"/>
  <c r="L75" i="9"/>
  <c r="S90" i="9"/>
  <c r="I90" i="9" s="1"/>
  <c r="S96" i="9"/>
  <c r="I96" i="9" s="1"/>
  <c r="K96" i="9" s="1"/>
  <c r="E81" i="11"/>
  <c r="L124" i="9"/>
  <c r="K69" i="9"/>
  <c r="S71" i="9"/>
  <c r="I71" i="9" s="1"/>
  <c r="E71" i="11"/>
  <c r="L104" i="9"/>
  <c r="Y43" i="9"/>
  <c r="Z43" i="9" s="1"/>
  <c r="L66" i="9"/>
  <c r="L69" i="9"/>
  <c r="Y91" i="9"/>
  <c r="L100" i="9"/>
  <c r="E77" i="11"/>
  <c r="L116" i="9"/>
  <c r="K136" i="9"/>
  <c r="S65" i="9"/>
  <c r="I65" i="9" s="1"/>
  <c r="Y67" i="9"/>
  <c r="Z67" i="9" s="1"/>
  <c r="AA67" i="9" s="1"/>
  <c r="AB67" i="9" s="1"/>
  <c r="U69" i="9" s="1"/>
  <c r="S68" i="9"/>
  <c r="I68" i="9" s="1"/>
  <c r="L92" i="9"/>
  <c r="S98" i="9"/>
  <c r="I98" i="9" s="1"/>
  <c r="K106" i="9"/>
  <c r="F81" i="11"/>
  <c r="K124" i="9"/>
  <c r="L55" i="9"/>
  <c r="L60" i="9"/>
  <c r="L63" i="9"/>
  <c r="L76" i="9"/>
  <c r="Y87" i="9"/>
  <c r="Z87" i="9" s="1"/>
  <c r="AA87" i="9" s="1"/>
  <c r="AB87" i="9" s="1"/>
  <c r="U89" i="9" s="1"/>
  <c r="S62" i="9"/>
  <c r="I62" i="9" s="1"/>
  <c r="S75" i="9"/>
  <c r="I75" i="9" s="1"/>
  <c r="S78" i="9"/>
  <c r="I78" i="9" s="1"/>
  <c r="K78" i="9" s="1"/>
  <c r="Y90" i="9"/>
  <c r="Z90" i="9" s="1"/>
  <c r="K94" i="9"/>
  <c r="S116" i="9"/>
  <c r="I116" i="9" s="1"/>
  <c r="L150" i="9"/>
  <c r="V119" i="9"/>
  <c r="S130" i="9"/>
  <c r="I130" i="9" s="1"/>
  <c r="E91" i="11"/>
  <c r="L144" i="9"/>
  <c r="S137" i="9"/>
  <c r="I137" i="9" s="1"/>
  <c r="K137" i="9" s="1"/>
  <c r="K142" i="9"/>
  <c r="Y125" i="9"/>
  <c r="Z125" i="9" s="1"/>
  <c r="S133" i="9"/>
  <c r="I133" i="9" s="1"/>
  <c r="K133" i="9" s="1"/>
  <c r="AA122" i="9"/>
  <c r="AB122" i="9" s="1"/>
  <c r="U133" i="9" s="1"/>
  <c r="Z133" i="9" s="1"/>
  <c r="S135" i="9"/>
  <c r="I135" i="9" s="1"/>
  <c r="K135" i="9" s="1"/>
  <c r="E88" i="11"/>
  <c r="S206" i="9"/>
  <c r="I206" i="9" s="1"/>
  <c r="K206" i="9" s="1"/>
  <c r="S207" i="9"/>
  <c r="I207" i="9" s="1"/>
  <c r="K207" i="9" s="1"/>
  <c r="S205" i="9"/>
  <c r="I205" i="9" s="1"/>
  <c r="K205" i="9" s="1"/>
  <c r="S204" i="9"/>
  <c r="I204" i="9" s="1"/>
  <c r="L110" i="9"/>
  <c r="S127" i="9"/>
  <c r="I127" i="9" s="1"/>
  <c r="K127" i="9" s="1"/>
  <c r="L125" i="9"/>
  <c r="F82" i="11"/>
  <c r="E85" i="11"/>
  <c r="L138" i="9"/>
  <c r="L108" i="9"/>
  <c r="Y127" i="9"/>
  <c r="Z127" i="9" s="1"/>
  <c r="AA127" i="9" s="1"/>
  <c r="AB127" i="9" s="1"/>
  <c r="U151" i="9" s="1"/>
  <c r="L130" i="9"/>
  <c r="E87" i="11"/>
  <c r="L114" i="9"/>
  <c r="AB123" i="9"/>
  <c r="U149" i="9" s="1"/>
  <c r="L120" i="9"/>
  <c r="S129" i="9"/>
  <c r="I129" i="9" s="1"/>
  <c r="K129" i="9" s="1"/>
  <c r="L131" i="9"/>
  <c r="K132" i="9"/>
  <c r="E86" i="11"/>
  <c r="S158" i="9"/>
  <c r="I158" i="9" s="1"/>
  <c r="K158" i="9" s="1"/>
  <c r="S156" i="9"/>
  <c r="I156" i="9" s="1"/>
  <c r="S157" i="9"/>
  <c r="I157" i="9" s="1"/>
  <c r="K157" i="9" s="1"/>
  <c r="U19" i="11"/>
  <c r="L171" i="9"/>
  <c r="S189" i="9"/>
  <c r="I189" i="9" s="1"/>
  <c r="K189" i="9" s="1"/>
  <c r="E94" i="11"/>
  <c r="L166" i="9"/>
  <c r="L207" i="9"/>
  <c r="L152" i="9"/>
  <c r="L173" i="9"/>
  <c r="E100" i="11"/>
  <c r="L176" i="9"/>
  <c r="E92" i="11"/>
  <c r="S150" i="9"/>
  <c r="I150" i="9" s="1"/>
  <c r="K150" i="9" s="1"/>
  <c r="S148" i="9"/>
  <c r="I148" i="9" s="1"/>
  <c r="L203" i="9"/>
  <c r="L163" i="9"/>
  <c r="S177" i="9"/>
  <c r="I177" i="9" s="1"/>
  <c r="K177" i="9" s="1"/>
  <c r="L178" i="9"/>
  <c r="L147" i="9"/>
  <c r="S162" i="9"/>
  <c r="I162" i="9" s="1"/>
  <c r="K162" i="9" s="1"/>
  <c r="S160" i="9"/>
  <c r="I160" i="9" s="1"/>
  <c r="S161" i="9"/>
  <c r="I161" i="9" s="1"/>
  <c r="K161" i="9" s="1"/>
  <c r="S163" i="9"/>
  <c r="I163" i="9" s="1"/>
  <c r="K163" i="9" s="1"/>
  <c r="E98" i="11"/>
  <c r="L168" i="9"/>
  <c r="K212" i="9"/>
  <c r="S143" i="9"/>
  <c r="I143" i="9" s="1"/>
  <c r="K143" i="9" s="1"/>
  <c r="S154" i="9"/>
  <c r="I154" i="9" s="1"/>
  <c r="K154" i="9" s="1"/>
  <c r="S152" i="9"/>
  <c r="I152" i="9" s="1"/>
  <c r="S153" i="9"/>
  <c r="I153" i="9" s="1"/>
  <c r="K153" i="9" s="1"/>
  <c r="S138" i="9"/>
  <c r="I138" i="9" s="1"/>
  <c r="S159" i="9"/>
  <c r="I159" i="9" s="1"/>
  <c r="K159" i="9" s="1"/>
  <c r="L215" i="9"/>
  <c r="S144" i="9"/>
  <c r="I144" i="9" s="1"/>
  <c r="E95" i="11"/>
  <c r="V159" i="9"/>
  <c r="S166" i="9"/>
  <c r="I166" i="9" s="1"/>
  <c r="K166" i="9" s="1"/>
  <c r="S164" i="9"/>
  <c r="I164" i="9" s="1"/>
  <c r="S165" i="9"/>
  <c r="I165" i="9" s="1"/>
  <c r="K165" i="9" s="1"/>
  <c r="S167" i="9"/>
  <c r="I167" i="9" s="1"/>
  <c r="K167" i="9" s="1"/>
  <c r="L183" i="9"/>
  <c r="L142" i="9"/>
  <c r="E103" i="11"/>
  <c r="L188" i="9"/>
  <c r="L156" i="9"/>
  <c r="S186" i="9"/>
  <c r="I186" i="9" s="1"/>
  <c r="K186" i="9" s="1"/>
  <c r="S184" i="9"/>
  <c r="I184" i="9" s="1"/>
  <c r="S185" i="9"/>
  <c r="I185" i="9" s="1"/>
  <c r="K185" i="9" s="1"/>
  <c r="S187" i="9"/>
  <c r="I187" i="9" s="1"/>
  <c r="K187" i="9" s="1"/>
  <c r="S198" i="9"/>
  <c r="I198" i="9" s="1"/>
  <c r="K198" i="9" s="1"/>
  <c r="S196" i="9"/>
  <c r="I196" i="9" s="1"/>
  <c r="F112" i="11"/>
  <c r="K222" i="9"/>
  <c r="E113" i="11"/>
  <c r="L224" i="9"/>
  <c r="S209" i="9"/>
  <c r="I209" i="9" s="1"/>
  <c r="K209" i="9" s="1"/>
  <c r="E114" i="11"/>
  <c r="L227" i="9"/>
  <c r="S174" i="9"/>
  <c r="I174" i="9" s="1"/>
  <c r="K174" i="9" s="1"/>
  <c r="S172" i="9"/>
  <c r="I172" i="9" s="1"/>
  <c r="S199" i="9"/>
  <c r="I199" i="9" s="1"/>
  <c r="K199" i="9" s="1"/>
  <c r="L200" i="9"/>
  <c r="E107" i="11"/>
  <c r="L204" i="9"/>
  <c r="E109" i="11"/>
  <c r="L212" i="9"/>
  <c r="F114" i="11"/>
  <c r="K227" i="9"/>
  <c r="S194" i="9"/>
  <c r="I194" i="9" s="1"/>
  <c r="K194" i="9" s="1"/>
  <c r="S192" i="9"/>
  <c r="I192" i="9" s="1"/>
  <c r="L193" i="9"/>
  <c r="S197" i="9"/>
  <c r="I197" i="9" s="1"/>
  <c r="K197" i="9" s="1"/>
  <c r="S210" i="9"/>
  <c r="I210" i="9" s="1"/>
  <c r="K210" i="9" s="1"/>
  <c r="S218" i="9"/>
  <c r="I218" i="9" s="1"/>
  <c r="K218" i="9" s="1"/>
  <c r="S217" i="9"/>
  <c r="I217" i="9" s="1"/>
  <c r="S175" i="9"/>
  <c r="I175" i="9" s="1"/>
  <c r="K175" i="9" s="1"/>
  <c r="S182" i="9"/>
  <c r="I182" i="9" s="1"/>
  <c r="K182" i="9" s="1"/>
  <c r="S180" i="9"/>
  <c r="I180" i="9" s="1"/>
  <c r="Y224" i="9"/>
  <c r="Z224" i="9" s="1"/>
  <c r="Y225" i="9"/>
  <c r="Z225" i="9" s="1"/>
  <c r="AA225" i="9" s="1"/>
  <c r="AB225" i="9" s="1"/>
  <c r="U239" i="9" s="1"/>
  <c r="L159" i="9"/>
  <c r="S170" i="9"/>
  <c r="I170" i="9" s="1"/>
  <c r="K170" i="9" s="1"/>
  <c r="S168" i="9"/>
  <c r="I168" i="9" s="1"/>
  <c r="S195" i="9"/>
  <c r="I195" i="9" s="1"/>
  <c r="K195" i="9" s="1"/>
  <c r="S200" i="9"/>
  <c r="I200" i="9" s="1"/>
  <c r="S146" i="9"/>
  <c r="I146" i="9" s="1"/>
  <c r="S173" i="9"/>
  <c r="I173" i="9" s="1"/>
  <c r="K173" i="9" s="1"/>
  <c r="L179" i="9"/>
  <c r="S203" i="9"/>
  <c r="I203" i="9" s="1"/>
  <c r="K203" i="9" s="1"/>
  <c r="S237" i="9"/>
  <c r="I237" i="9" s="1"/>
  <c r="S190" i="9"/>
  <c r="I190" i="9" s="1"/>
  <c r="K190" i="9" s="1"/>
  <c r="S188" i="9"/>
  <c r="I188" i="9" s="1"/>
  <c r="S233" i="9"/>
  <c r="I233" i="9" s="1"/>
  <c r="K233" i="9" s="1"/>
  <c r="S238" i="9"/>
  <c r="I238" i="9" s="1"/>
  <c r="K238" i="9" s="1"/>
  <c r="E121" i="11"/>
  <c r="L242" i="9"/>
  <c r="L167" i="9"/>
  <c r="S193" i="9"/>
  <c r="I193" i="9" s="1"/>
  <c r="K193" i="9" s="1"/>
  <c r="L199" i="9"/>
  <c r="L210" i="9"/>
  <c r="L232" i="9"/>
  <c r="S178" i="9"/>
  <c r="I178" i="9" s="1"/>
  <c r="K178" i="9" s="1"/>
  <c r="S176" i="9"/>
  <c r="I176" i="9" s="1"/>
  <c r="S215" i="9"/>
  <c r="I215" i="9" s="1"/>
  <c r="K215" i="9" s="1"/>
  <c r="S214" i="9"/>
  <c r="I214" i="9" s="1"/>
  <c r="K214" i="9" s="1"/>
  <c r="E119" i="11"/>
  <c r="L237" i="9"/>
  <c r="S229" i="9"/>
  <c r="I229" i="9" s="1"/>
  <c r="L226" i="9"/>
  <c r="AA226" i="9"/>
  <c r="AB226" i="9" s="1"/>
  <c r="U238" i="9" s="1"/>
  <c r="S246" i="9"/>
  <c r="I246" i="9" s="1"/>
  <c r="S249" i="9"/>
  <c r="I249" i="9" s="1"/>
  <c r="K249" i="9" s="1"/>
  <c r="F126" i="11"/>
  <c r="K252" i="9"/>
  <c r="F128" i="11"/>
  <c r="K257" i="9"/>
  <c r="Z245" i="9"/>
  <c r="AA245" i="9" s="1"/>
  <c r="AB245" i="9" s="1"/>
  <c r="U277" i="9" s="1"/>
  <c r="L251" i="9"/>
  <c r="E108" i="11"/>
  <c r="L208" i="9"/>
  <c r="E110" i="11"/>
  <c r="L216" i="9"/>
  <c r="S225" i="9"/>
  <c r="I225" i="9" s="1"/>
  <c r="K225" i="9" s="1"/>
  <c r="E122" i="11"/>
  <c r="L244" i="9"/>
  <c r="Y246" i="9"/>
  <c r="Z246" i="9" s="1"/>
  <c r="L243" i="9"/>
  <c r="Y247" i="9"/>
  <c r="Z247" i="9" s="1"/>
  <c r="AA247" i="9" s="1"/>
  <c r="AB247" i="9" s="1"/>
  <c r="U249" i="9" s="1"/>
  <c r="S267" i="9"/>
  <c r="I267" i="9" s="1"/>
  <c r="K267" i="9" s="1"/>
  <c r="S266" i="9"/>
  <c r="I266" i="9" s="1"/>
  <c r="E123" i="11"/>
  <c r="L246" i="9"/>
  <c r="E130" i="11"/>
  <c r="L260" i="9"/>
  <c r="E117" i="11"/>
  <c r="S235" i="9"/>
  <c r="I235" i="9" s="1"/>
  <c r="S259" i="9"/>
  <c r="I259" i="9" s="1"/>
  <c r="K259" i="9" s="1"/>
  <c r="S258" i="9"/>
  <c r="I258" i="9" s="1"/>
  <c r="K244" i="9"/>
  <c r="E124" i="11"/>
  <c r="L248" i="9"/>
  <c r="L249" i="9"/>
  <c r="S231" i="9"/>
  <c r="I231" i="9" s="1"/>
  <c r="E111" i="11"/>
  <c r="L220" i="9"/>
  <c r="S226" i="9"/>
  <c r="I226" i="9" s="1"/>
  <c r="K226" i="9" s="1"/>
  <c r="F141" i="11"/>
  <c r="K283" i="9"/>
  <c r="L233" i="9"/>
  <c r="F138" i="11"/>
  <c r="K276" i="9"/>
  <c r="S255" i="9"/>
  <c r="I255" i="9" s="1"/>
  <c r="K255" i="9" s="1"/>
  <c r="S254" i="9"/>
  <c r="I254" i="9" s="1"/>
  <c r="E118" i="11"/>
  <c r="L235" i="9"/>
  <c r="S250" i="9"/>
  <c r="I250" i="9" s="1"/>
  <c r="S251" i="9"/>
  <c r="I251" i="9" s="1"/>
  <c r="K251" i="9" s="1"/>
  <c r="E138" i="11"/>
  <c r="L276" i="9"/>
  <c r="Q7" i="11"/>
  <c r="T7" i="11" s="1"/>
  <c r="E126" i="11"/>
  <c r="L252" i="9"/>
  <c r="E129" i="11"/>
  <c r="L258" i="9"/>
  <c r="P46" i="10"/>
  <c r="E125" i="11"/>
  <c r="L250" i="9"/>
  <c r="Q46" i="10"/>
  <c r="S260" i="9"/>
  <c r="I260" i="9" s="1"/>
  <c r="S265" i="9"/>
  <c r="I265" i="9" s="1"/>
  <c r="L287" i="9"/>
  <c r="E132" i="11"/>
  <c r="L264" i="9"/>
  <c r="P32" i="10"/>
  <c r="S290" i="9"/>
  <c r="I290" i="9" s="1"/>
  <c r="K290" i="9" s="1"/>
  <c r="E146" i="11"/>
  <c r="L292" i="9"/>
  <c r="Q32" i="10"/>
  <c r="L285" i="9"/>
  <c r="E128" i="11"/>
  <c r="L256" i="9"/>
  <c r="L269" i="9"/>
  <c r="S273" i="9"/>
  <c r="I273" i="9" s="1"/>
  <c r="K273" i="9" s="1"/>
  <c r="K292" i="9"/>
  <c r="E147" i="11"/>
  <c r="L294" i="9"/>
  <c r="Y270" i="9"/>
  <c r="Z270" i="9" s="1"/>
  <c r="S275" i="9"/>
  <c r="I275" i="9" s="1"/>
  <c r="K275" i="9" s="1"/>
  <c r="S287" i="9"/>
  <c r="I287" i="9" s="1"/>
  <c r="K287" i="9" s="1"/>
  <c r="S286" i="9"/>
  <c r="I286" i="9" s="1"/>
  <c r="S288" i="9"/>
  <c r="I288" i="9" s="1"/>
  <c r="Q42" i="10"/>
  <c r="P42" i="10"/>
  <c r="E139" i="11"/>
  <c r="L278" i="9"/>
  <c r="F149" i="11"/>
  <c r="K299" i="9"/>
  <c r="Q17" i="11"/>
  <c r="R17" i="11" s="1"/>
  <c r="Q12" i="11"/>
  <c r="Q16" i="11"/>
  <c r="Q14" i="11"/>
  <c r="Y271" i="9"/>
  <c r="E120" i="11"/>
  <c r="L240" i="9"/>
  <c r="E127" i="11"/>
  <c r="L254" i="9"/>
  <c r="L271" i="9"/>
  <c r="E112" i="11"/>
  <c r="L222" i="9"/>
  <c r="E131" i="11"/>
  <c r="L262" i="9"/>
  <c r="R8" i="10"/>
  <c r="R45" i="10"/>
  <c r="O7" i="11"/>
  <c r="AH7" i="11"/>
  <c r="H9" i="11"/>
  <c r="AH18" i="11"/>
  <c r="AG16" i="11"/>
  <c r="J20" i="11"/>
  <c r="O15" i="11"/>
  <c r="R37" i="10"/>
  <c r="AH20" i="11"/>
  <c r="AH15" i="11"/>
  <c r="AG14" i="11"/>
  <c r="AG13" i="11"/>
  <c r="AH12" i="11"/>
  <c r="AH16" i="11"/>
  <c r="AG11" i="11"/>
  <c r="AH10" i="11"/>
  <c r="AG20" i="11"/>
  <c r="G19" i="11"/>
  <c r="H19" i="11" s="1"/>
  <c r="AH19" i="11"/>
  <c r="S279" i="9"/>
  <c r="I279" i="9" s="1"/>
  <c r="L280" i="9"/>
  <c r="S295" i="9"/>
  <c r="I295" i="9" s="1"/>
  <c r="L296" i="9"/>
  <c r="Q33" i="10"/>
  <c r="R33" i="10" s="1"/>
  <c r="Q10" i="11"/>
  <c r="T10" i="11" s="1"/>
  <c r="Q13" i="11"/>
  <c r="R13" i="11" s="1"/>
  <c r="Q18" i="11"/>
  <c r="R18" i="11" s="1"/>
  <c r="V7" i="11"/>
  <c r="AG9" i="11"/>
  <c r="G11" i="11"/>
  <c r="AH9" i="11"/>
  <c r="AG15" i="11"/>
  <c r="AG12" i="11"/>
  <c r="G14" i="11"/>
  <c r="H14" i="11" s="1"/>
  <c r="O19" i="11"/>
  <c r="Q9" i="11"/>
  <c r="AG17" i="11"/>
  <c r="G20" i="11"/>
  <c r="H20" i="11" s="1"/>
  <c r="Q15" i="11"/>
  <c r="AH17" i="11"/>
  <c r="Q19" i="11"/>
  <c r="R19" i="11" s="1"/>
  <c r="AG8" i="11"/>
  <c r="AH8" i="11"/>
  <c r="AH11" i="11"/>
  <c r="G13" i="11"/>
  <c r="H13" i="11" s="1"/>
  <c r="P31" i="10"/>
  <c r="R31" i="10" s="1"/>
  <c r="P40" i="10"/>
  <c r="R49" i="10"/>
  <c r="Q8" i="11"/>
  <c r="R8" i="11" s="1"/>
  <c r="AH14" i="11"/>
  <c r="V15" i="11"/>
  <c r="Q20" i="11"/>
  <c r="Q40" i="10"/>
  <c r="AG7" i="11"/>
  <c r="Q11" i="11"/>
  <c r="AG18" i="11"/>
  <c r="V17" i="11"/>
  <c r="V16" i="11"/>
  <c r="V10" i="11" l="1"/>
  <c r="K326" i="9"/>
  <c r="F163" i="11"/>
  <c r="U326" i="9"/>
  <c r="K324" i="9"/>
  <c r="F162" i="11"/>
  <c r="K323" i="9"/>
  <c r="F161" i="11"/>
  <c r="F159" i="11"/>
  <c r="K321" i="9"/>
  <c r="F160" i="11"/>
  <c r="F158" i="11"/>
  <c r="F156" i="11"/>
  <c r="K315" i="9"/>
  <c r="F157" i="11"/>
  <c r="K97" i="9"/>
  <c r="K47" i="9"/>
  <c r="K242" i="9"/>
  <c r="K86" i="9"/>
  <c r="AA306" i="9"/>
  <c r="AB306" i="9" s="1"/>
  <c r="U308" i="9" s="1"/>
  <c r="K310" i="9"/>
  <c r="F155" i="11"/>
  <c r="K308" i="9"/>
  <c r="F154" i="11"/>
  <c r="K306" i="9"/>
  <c r="F153" i="11"/>
  <c r="K140" i="9"/>
  <c r="V12" i="11"/>
  <c r="K304" i="9"/>
  <c r="F152" i="11"/>
  <c r="Y164" i="9"/>
  <c r="Z164" i="9" s="1"/>
  <c r="R48" i="10"/>
  <c r="R39" i="10"/>
  <c r="F76" i="11"/>
  <c r="K268" i="9"/>
  <c r="K134" i="9"/>
  <c r="V14" i="11"/>
  <c r="K302" i="9"/>
  <c r="F151" i="11"/>
  <c r="F27" i="11"/>
  <c r="F78" i="11"/>
  <c r="F34" i="11"/>
  <c r="Y167" i="9"/>
  <c r="R36" i="10"/>
  <c r="C29" i="2"/>
  <c r="F135" i="11"/>
  <c r="Y166" i="9"/>
  <c r="K82" i="9"/>
  <c r="K88" i="9"/>
  <c r="R47" i="10"/>
  <c r="F44" i="11"/>
  <c r="F38" i="11"/>
  <c r="AC10" i="11"/>
  <c r="K122" i="9"/>
  <c r="S20" i="11"/>
  <c r="R10" i="10"/>
  <c r="F30" i="11"/>
  <c r="W86" i="9"/>
  <c r="X86" i="9" s="1"/>
  <c r="K220" i="9"/>
  <c r="R44" i="10"/>
  <c r="F137" i="11"/>
  <c r="K248" i="9"/>
  <c r="Q9" i="6"/>
  <c r="K281" i="9"/>
  <c r="K104" i="9"/>
  <c r="AC18" i="11"/>
  <c r="C13" i="2"/>
  <c r="K42" i="9"/>
  <c r="F73" i="11"/>
  <c r="F109" i="11"/>
  <c r="C16" i="2"/>
  <c r="F117" i="11"/>
  <c r="C11" i="2"/>
  <c r="F136" i="11"/>
  <c r="T17" i="11"/>
  <c r="K300" i="9"/>
  <c r="Y18" i="9"/>
  <c r="Z18" i="9" s="1"/>
  <c r="K291" i="9"/>
  <c r="K224" i="9"/>
  <c r="C19" i="2"/>
  <c r="AC16" i="11"/>
  <c r="AA132" i="9"/>
  <c r="AB132" i="9" s="1"/>
  <c r="U137" i="9" s="1"/>
  <c r="AA133" i="9"/>
  <c r="AB133" i="9" s="1"/>
  <c r="U148" i="9" s="1"/>
  <c r="AC17" i="11"/>
  <c r="Y25" i="9"/>
  <c r="AC13" i="11"/>
  <c r="R32" i="10"/>
  <c r="AA15" i="9"/>
  <c r="AB15" i="9" s="1"/>
  <c r="U17" i="9" s="1"/>
  <c r="Z17" i="9" s="1"/>
  <c r="R21" i="6"/>
  <c r="K28" i="9"/>
  <c r="K43" i="9"/>
  <c r="F75" i="11"/>
  <c r="K110" i="9"/>
  <c r="C20" i="2"/>
  <c r="R10" i="11"/>
  <c r="AA126" i="9"/>
  <c r="AB126" i="9" s="1"/>
  <c r="U134" i="9" s="1"/>
  <c r="Y135" i="9" s="1"/>
  <c r="AC20" i="11"/>
  <c r="AA23" i="9"/>
  <c r="AB23" i="9" s="1"/>
  <c r="U25" i="9" s="1"/>
  <c r="AC14" i="11"/>
  <c r="Q20" i="6"/>
  <c r="A11" i="8"/>
  <c r="E11" i="2"/>
  <c r="AA224" i="9"/>
  <c r="AB224" i="9" s="1"/>
  <c r="U237" i="9" s="1"/>
  <c r="Y239" i="9" s="1"/>
  <c r="Z239" i="9" s="1"/>
  <c r="AA239" i="9" s="1"/>
  <c r="AB239" i="9" s="1"/>
  <c r="U285" i="9" s="1"/>
  <c r="AA43" i="9"/>
  <c r="AB43" i="9" s="1"/>
  <c r="U45" i="9" s="1"/>
  <c r="Y45" i="9" s="1"/>
  <c r="Z45" i="9" s="1"/>
  <c r="F29" i="11"/>
  <c r="K20" i="9"/>
  <c r="AC8" i="11"/>
  <c r="R40" i="10"/>
  <c r="AC15" i="11"/>
  <c r="AC11" i="11"/>
  <c r="F108" i="11"/>
  <c r="K217" i="9"/>
  <c r="F110" i="11"/>
  <c r="F148" i="11"/>
  <c r="K296" i="9"/>
  <c r="T19" i="11"/>
  <c r="AA124" i="9"/>
  <c r="AB124" i="9" s="1"/>
  <c r="U135" i="9" s="1"/>
  <c r="AA125" i="9"/>
  <c r="AB125" i="9" s="1"/>
  <c r="U129" i="9" s="1"/>
  <c r="Z129" i="9" s="1"/>
  <c r="R10" i="6"/>
  <c r="E12" i="2"/>
  <c r="R11" i="6"/>
  <c r="Q11" i="6"/>
  <c r="E13" i="2"/>
  <c r="R26" i="6"/>
  <c r="E28" i="2"/>
  <c r="E10" i="2"/>
  <c r="R8" i="6"/>
  <c r="Q8" i="6"/>
  <c r="C23" i="7"/>
  <c r="B23" i="7"/>
  <c r="R24" i="6"/>
  <c r="Q24" i="6"/>
  <c r="E26" i="2"/>
  <c r="A12" i="8"/>
  <c r="AA77" i="9"/>
  <c r="AB77" i="9" s="1"/>
  <c r="Q23" i="6"/>
  <c r="R23" i="6"/>
  <c r="E25" i="2"/>
  <c r="AC12" i="11"/>
  <c r="O12" i="11"/>
  <c r="AA72" i="9"/>
  <c r="AB72" i="9" s="1"/>
  <c r="U75" i="9" s="1"/>
  <c r="Y76" i="9" s="1"/>
  <c r="K51" i="9"/>
  <c r="AC9" i="11"/>
  <c r="C3" i="6"/>
  <c r="R43" i="10"/>
  <c r="F120" i="11"/>
  <c r="K240" i="9"/>
  <c r="R18" i="6"/>
  <c r="E20" i="2"/>
  <c r="Q21" i="6"/>
  <c r="Q16" i="6"/>
  <c r="E18" i="2"/>
  <c r="R20" i="6"/>
  <c r="E16" i="2"/>
  <c r="R14" i="6"/>
  <c r="Q14" i="6"/>
  <c r="R25" i="6"/>
  <c r="E27" i="2"/>
  <c r="R16" i="6"/>
  <c r="R19" i="6"/>
  <c r="E21" i="2"/>
  <c r="F142" i="11"/>
  <c r="K285" i="9"/>
  <c r="R22" i="6"/>
  <c r="E24" i="2"/>
  <c r="R17" i="6"/>
  <c r="Q17" i="6"/>
  <c r="E19" i="2"/>
  <c r="F31" i="11"/>
  <c r="K24" i="9"/>
  <c r="E29" i="2"/>
  <c r="R27" i="6"/>
  <c r="Q27" i="6"/>
  <c r="R46" i="10"/>
  <c r="F70" i="11"/>
  <c r="K93" i="9"/>
  <c r="F131" i="11"/>
  <c r="K263" i="9"/>
  <c r="R42" i="10"/>
  <c r="O10" i="11"/>
  <c r="J24" i="15"/>
  <c r="K24" i="15" s="1"/>
  <c r="R15" i="6"/>
  <c r="E17" i="2"/>
  <c r="R12" i="6"/>
  <c r="E14" i="2"/>
  <c r="Q13" i="6"/>
  <c r="E15" i="2"/>
  <c r="F46" i="11"/>
  <c r="K53" i="9"/>
  <c r="L27" i="15"/>
  <c r="J26" i="15"/>
  <c r="K26" i="15" s="1"/>
  <c r="J25" i="15"/>
  <c r="K25" i="15" s="1"/>
  <c r="L25" i="15" s="1"/>
  <c r="J22" i="15"/>
  <c r="K22" i="15" s="1"/>
  <c r="O25" i="15"/>
  <c r="J23" i="15"/>
  <c r="K23" i="15" s="1"/>
  <c r="O23" i="15"/>
  <c r="J20" i="15"/>
  <c r="K20" i="15" s="1"/>
  <c r="Y74" i="9"/>
  <c r="Z74" i="9" s="1"/>
  <c r="Y73" i="9"/>
  <c r="Z73" i="9" s="1"/>
  <c r="T16" i="11"/>
  <c r="R16" i="11"/>
  <c r="F104" i="11"/>
  <c r="K192" i="9"/>
  <c r="F68" i="11"/>
  <c r="K98" i="9"/>
  <c r="F95" i="11"/>
  <c r="K156" i="9"/>
  <c r="F58" i="11"/>
  <c r="K77" i="9"/>
  <c r="AA7" i="9"/>
  <c r="AB7" i="9" s="1"/>
  <c r="B96" i="6" s="1"/>
  <c r="P96" i="6" s="1"/>
  <c r="B15" i="2" s="1"/>
  <c r="F133" i="11"/>
  <c r="K266" i="9"/>
  <c r="F119" i="11"/>
  <c r="K237" i="9"/>
  <c r="F97" i="11"/>
  <c r="K164" i="9"/>
  <c r="F42" i="11"/>
  <c r="K45" i="9"/>
  <c r="T12" i="11"/>
  <c r="R12" i="11"/>
  <c r="V13" i="11"/>
  <c r="T13" i="11"/>
  <c r="T11" i="11"/>
  <c r="R11" i="11"/>
  <c r="F129" i="11"/>
  <c r="K258" i="9"/>
  <c r="F123" i="11"/>
  <c r="K246" i="9"/>
  <c r="F88" i="11"/>
  <c r="K138" i="9"/>
  <c r="F53" i="11"/>
  <c r="K68" i="9"/>
  <c r="F55" i="11"/>
  <c r="K71" i="9"/>
  <c r="F61" i="11"/>
  <c r="K84" i="9"/>
  <c r="F37" i="11"/>
  <c r="K35" i="9"/>
  <c r="AA29" i="9"/>
  <c r="AB29" i="9" s="1"/>
  <c r="U31" i="9" s="1"/>
  <c r="F26" i="11"/>
  <c r="K7" i="9"/>
  <c r="AC7" i="11"/>
  <c r="F100" i="11"/>
  <c r="K176" i="9"/>
  <c r="Y70" i="9"/>
  <c r="Y69" i="9"/>
  <c r="Z69" i="9" s="1"/>
  <c r="F132" i="11"/>
  <c r="K265" i="9"/>
  <c r="F118" i="11"/>
  <c r="K235" i="9"/>
  <c r="F98" i="11"/>
  <c r="K168" i="9"/>
  <c r="F77" i="11"/>
  <c r="K116" i="9"/>
  <c r="F52" i="11"/>
  <c r="K65" i="9"/>
  <c r="F56" i="11"/>
  <c r="K73" i="9"/>
  <c r="F36" i="11"/>
  <c r="K33" i="9"/>
  <c r="F130" i="11"/>
  <c r="K260" i="9"/>
  <c r="F99" i="11"/>
  <c r="K172" i="9"/>
  <c r="F94" i="11"/>
  <c r="K152" i="9"/>
  <c r="AA86" i="9"/>
  <c r="AB86" i="9" s="1"/>
  <c r="U88" i="9" s="1"/>
  <c r="F51" i="11"/>
  <c r="K63" i="9"/>
  <c r="F101" i="11"/>
  <c r="K180" i="9"/>
  <c r="F59" i="11"/>
  <c r="K80" i="9"/>
  <c r="F79" i="11"/>
  <c r="K121" i="9"/>
  <c r="F32" i="11"/>
  <c r="K26" i="9"/>
  <c r="F115" i="11"/>
  <c r="K229" i="9"/>
  <c r="F47" i="11"/>
  <c r="K55" i="9"/>
  <c r="AA4" i="9"/>
  <c r="AB4" i="9" s="1"/>
  <c r="F99" i="6" s="1"/>
  <c r="T8" i="11"/>
  <c r="H11" i="11"/>
  <c r="B13" i="4" s="1"/>
  <c r="V11" i="11"/>
  <c r="AA244" i="9"/>
  <c r="AB244" i="9" s="1"/>
  <c r="U276" i="9" s="1"/>
  <c r="AA68" i="9"/>
  <c r="AB68" i="9" s="1"/>
  <c r="U99" i="9" s="1"/>
  <c r="F48" i="11"/>
  <c r="K57" i="9"/>
  <c r="W14" i="9"/>
  <c r="X14" i="9" s="1"/>
  <c r="J14" i="9" s="1"/>
  <c r="W9" i="9"/>
  <c r="X9" i="9" s="1"/>
  <c r="J9" i="9" s="1"/>
  <c r="W11" i="9"/>
  <c r="X11" i="9" s="1"/>
  <c r="J11" i="9" s="1"/>
  <c r="W13" i="9"/>
  <c r="W8" i="9"/>
  <c r="W10" i="9"/>
  <c r="W12" i="9"/>
  <c r="X12" i="9" s="1"/>
  <c r="J12" i="9" s="1"/>
  <c r="W7" i="9"/>
  <c r="X7" i="9" s="1"/>
  <c r="F147" i="11"/>
  <c r="K295" i="9"/>
  <c r="O14" i="11"/>
  <c r="F127" i="11"/>
  <c r="K254" i="9"/>
  <c r="F139" i="11"/>
  <c r="K279" i="9"/>
  <c r="V19" i="11"/>
  <c r="F105" i="11"/>
  <c r="K196" i="9"/>
  <c r="F91" i="11"/>
  <c r="K144" i="9"/>
  <c r="F57" i="11"/>
  <c r="K75" i="9"/>
  <c r="AA49" i="9"/>
  <c r="AB49" i="9" s="1"/>
  <c r="U51" i="9" s="1"/>
  <c r="D17" i="2"/>
  <c r="C17" i="2"/>
  <c r="F50" i="11"/>
  <c r="K62" i="9"/>
  <c r="D24" i="2"/>
  <c r="C24" i="2"/>
  <c r="Z139" i="9"/>
  <c r="F64" i="11"/>
  <c r="K90" i="9"/>
  <c r="R9" i="11"/>
  <c r="T18" i="11"/>
  <c r="F144" i="11"/>
  <c r="K288" i="9"/>
  <c r="F84" i="11"/>
  <c r="K130" i="9"/>
  <c r="F49" i="11"/>
  <c r="K59" i="9"/>
  <c r="T15" i="11"/>
  <c r="R15" i="11"/>
  <c r="F125" i="11"/>
  <c r="K250" i="9"/>
  <c r="W20" i="11"/>
  <c r="F143" i="11"/>
  <c r="K286" i="9"/>
  <c r="T9" i="11"/>
  <c r="F92" i="11"/>
  <c r="K146" i="9"/>
  <c r="F93" i="11"/>
  <c r="K148" i="9"/>
  <c r="W4" i="9"/>
  <c r="X4" i="9" s="1"/>
  <c r="W6" i="9"/>
  <c r="X6" i="9" s="1"/>
  <c r="J6" i="9" s="1"/>
  <c r="W5" i="9"/>
  <c r="X5" i="9" s="1"/>
  <c r="F116" i="11"/>
  <c r="K231" i="9"/>
  <c r="R14" i="11"/>
  <c r="T14" i="11"/>
  <c r="R7" i="11"/>
  <c r="AA246" i="9"/>
  <c r="AB246" i="9" s="1"/>
  <c r="U248" i="9" s="1"/>
  <c r="F103" i="11"/>
  <c r="K188" i="9"/>
  <c r="F106" i="11"/>
  <c r="K200" i="9"/>
  <c r="F102" i="11"/>
  <c r="K184" i="9"/>
  <c r="F96" i="11"/>
  <c r="K160" i="9"/>
  <c r="F107" i="11"/>
  <c r="K204" i="9"/>
  <c r="Y327" i="9" l="1"/>
  <c r="Z327" i="9" s="1"/>
  <c r="AA327" i="9" s="1"/>
  <c r="AB327" i="9" s="1"/>
  <c r="B99" i="6" s="1"/>
  <c r="Y328" i="9"/>
  <c r="Z328" i="9" s="1"/>
  <c r="AA328" i="9" s="1"/>
  <c r="AB328" i="9" s="1"/>
  <c r="E99" i="6" s="1"/>
  <c r="Y326" i="9"/>
  <c r="Z326" i="9" s="1"/>
  <c r="AA326" i="9" s="1"/>
  <c r="AB326" i="9" s="1"/>
  <c r="G99" i="6" s="1"/>
  <c r="B17" i="4"/>
  <c r="Y308" i="9"/>
  <c r="Z308" i="9" s="1"/>
  <c r="Y309" i="9"/>
  <c r="Z309" i="9" s="1"/>
  <c r="AA309" i="9" s="1"/>
  <c r="AB309" i="9" s="1"/>
  <c r="U311" i="9"/>
  <c r="H10" i="4"/>
  <c r="O22" i="15"/>
  <c r="Y46" i="9"/>
  <c r="Z46" i="9" s="1"/>
  <c r="AA46" i="9" s="1"/>
  <c r="AB46" i="9" s="1"/>
  <c r="D93" i="6" s="1"/>
  <c r="Y134" i="9"/>
  <c r="Z134" i="9" s="1"/>
  <c r="Z25" i="9"/>
  <c r="AA25" i="9" s="1"/>
  <c r="AB25" i="9" s="1"/>
  <c r="U27" i="9" s="1"/>
  <c r="A7" i="8"/>
  <c r="C24" i="7"/>
  <c r="Z135" i="9"/>
  <c r="AA135" i="9" s="1"/>
  <c r="AB135" i="9" s="1"/>
  <c r="U158" i="9" s="1"/>
  <c r="Y75" i="9"/>
  <c r="Z75" i="9" s="1"/>
  <c r="A6" i="8"/>
  <c r="Y237" i="9"/>
  <c r="Z237" i="9" s="1"/>
  <c r="B24" i="7"/>
  <c r="Y238" i="9"/>
  <c r="Z238" i="9" s="1"/>
  <c r="AA238" i="9" s="1"/>
  <c r="AB238" i="9" s="1"/>
  <c r="U257" i="9" s="1"/>
  <c r="L26" i="15"/>
  <c r="L24" i="15"/>
  <c r="O20" i="15"/>
  <c r="L22" i="15"/>
  <c r="L21" i="15"/>
  <c r="O24" i="15"/>
  <c r="L23" i="15"/>
  <c r="O18" i="15"/>
  <c r="L19" i="15"/>
  <c r="L20" i="15"/>
  <c r="L18" i="15"/>
  <c r="C15" i="2"/>
  <c r="D15" i="2"/>
  <c r="AA73" i="9"/>
  <c r="AB73" i="9" s="1"/>
  <c r="I106" i="6" s="1"/>
  <c r="AA74" i="9"/>
  <c r="AB74" i="9" s="1"/>
  <c r="U76" i="9" s="1"/>
  <c r="Z76" i="9" s="1"/>
  <c r="Y249" i="9"/>
  <c r="Z249" i="9" s="1"/>
  <c r="Y248" i="9"/>
  <c r="Z248" i="9" s="1"/>
  <c r="M12" i="9"/>
  <c r="N12" i="9" s="1"/>
  <c r="Y284" i="9"/>
  <c r="Y285" i="9"/>
  <c r="Z285" i="9" s="1"/>
  <c r="AA17" i="9"/>
  <c r="AB17" i="9" s="1"/>
  <c r="U19" i="9" s="1"/>
  <c r="AA18" i="9"/>
  <c r="AB18" i="9" s="1"/>
  <c r="U20" i="9" s="1"/>
  <c r="M11" i="9"/>
  <c r="N11" i="9" s="1"/>
  <c r="Y150" i="9"/>
  <c r="Y151" i="9"/>
  <c r="Z151" i="9" s="1"/>
  <c r="AA151" i="9" s="1"/>
  <c r="AB151" i="9" s="1"/>
  <c r="U173" i="9" s="1"/>
  <c r="Y149" i="9"/>
  <c r="Z149" i="9" s="1"/>
  <c r="Y148" i="9"/>
  <c r="Z148" i="9" s="1"/>
  <c r="Y32" i="9"/>
  <c r="Z32" i="9" s="1"/>
  <c r="Y31" i="9"/>
  <c r="Z31" i="9" s="1"/>
  <c r="M14" i="9"/>
  <c r="N14" i="9" s="1"/>
  <c r="M9" i="9"/>
  <c r="N9" i="9" s="1"/>
  <c r="Y52" i="9"/>
  <c r="Z52" i="9" s="1"/>
  <c r="Y51" i="9"/>
  <c r="Z51" i="9" s="1"/>
  <c r="J4" i="9"/>
  <c r="J5" i="9"/>
  <c r="AA139" i="9"/>
  <c r="AB139" i="9" s="1"/>
  <c r="U140" i="9" s="1"/>
  <c r="AA138" i="9"/>
  <c r="AB138" i="9" s="1"/>
  <c r="D108" i="6" s="1"/>
  <c r="M6" i="9"/>
  <c r="N6" i="9" s="1"/>
  <c r="AA128" i="9"/>
  <c r="AB128" i="9" s="1"/>
  <c r="U136" i="9" s="1"/>
  <c r="AA129" i="9"/>
  <c r="AB129" i="9" s="1"/>
  <c r="U163" i="9" s="1"/>
  <c r="Y277" i="9"/>
  <c r="Z277" i="9" s="1"/>
  <c r="Y276" i="9"/>
  <c r="Z276" i="9" s="1"/>
  <c r="Y89" i="9"/>
  <c r="Z89" i="9" s="1"/>
  <c r="Y88" i="9"/>
  <c r="Z88" i="9" s="1"/>
  <c r="P99" i="6" l="1"/>
  <c r="B18" i="2" s="1"/>
  <c r="D18" i="2" s="1"/>
  <c r="H13" i="4"/>
  <c r="AA308" i="9"/>
  <c r="AB308" i="9" s="1"/>
  <c r="U310" i="9"/>
  <c r="AA45" i="9"/>
  <c r="AB45" i="9" s="1"/>
  <c r="U47" i="9" s="1"/>
  <c r="AA26" i="9"/>
  <c r="AB26" i="9" s="1"/>
  <c r="U28" i="9" s="1"/>
  <c r="Y28" i="9" s="1"/>
  <c r="Z28" i="9" s="1"/>
  <c r="AA134" i="9"/>
  <c r="AB134" i="9" s="1"/>
  <c r="U150" i="9" s="1"/>
  <c r="AA237" i="9"/>
  <c r="AB237" i="9" s="1"/>
  <c r="U254" i="9" s="1"/>
  <c r="AA89" i="9"/>
  <c r="AB89" i="9" s="1"/>
  <c r="U116" i="9" s="1"/>
  <c r="AA88" i="9"/>
  <c r="AB88" i="9" s="1"/>
  <c r="U91" i="9" s="1"/>
  <c r="M5" i="9"/>
  <c r="N5" i="9" s="1"/>
  <c r="M4" i="9"/>
  <c r="AA32" i="9"/>
  <c r="AB32" i="9" s="1"/>
  <c r="U34" i="9" s="1"/>
  <c r="AA31" i="9"/>
  <c r="AB31" i="9" s="1"/>
  <c r="U33" i="9" s="1"/>
  <c r="N43" i="11"/>
  <c r="N36" i="11"/>
  <c r="N47" i="11"/>
  <c r="N31" i="11"/>
  <c r="N40" i="11"/>
  <c r="N33" i="11"/>
  <c r="N42" i="11"/>
  <c r="N35" i="11"/>
  <c r="N44" i="11"/>
  <c r="N28" i="11"/>
  <c r="N37" i="11"/>
  <c r="N48" i="11"/>
  <c r="N46" i="11"/>
  <c r="N45" i="11"/>
  <c r="N27" i="11"/>
  <c r="N34" i="11"/>
  <c r="N39" i="11"/>
  <c r="N38" i="11"/>
  <c r="N32" i="11"/>
  <c r="N30" i="11"/>
  <c r="N41" i="11"/>
  <c r="N29" i="11"/>
  <c r="N26" i="11"/>
  <c r="H60" i="9"/>
  <c r="AA277" i="9"/>
  <c r="AB277" i="9" s="1"/>
  <c r="I91" i="6" s="1"/>
  <c r="AA276" i="9"/>
  <c r="AB276" i="9" s="1"/>
  <c r="G91" i="6" s="1"/>
  <c r="H5" i="4" s="1"/>
  <c r="AA248" i="9"/>
  <c r="AB248" i="9" s="1"/>
  <c r="U251" i="9" s="1"/>
  <c r="AA249" i="9"/>
  <c r="AB249" i="9" s="1"/>
  <c r="U250" i="9" s="1"/>
  <c r="Y137" i="9"/>
  <c r="Z137" i="9" s="1"/>
  <c r="Y136" i="9"/>
  <c r="Z136" i="9" s="1"/>
  <c r="AA51" i="9"/>
  <c r="AB51" i="9" s="1"/>
  <c r="U53" i="9" s="1"/>
  <c r="AA52" i="9"/>
  <c r="AB52" i="9" s="1"/>
  <c r="U54" i="9" s="1"/>
  <c r="AA76" i="9"/>
  <c r="AB76" i="9" s="1"/>
  <c r="D106" i="6" s="1"/>
  <c r="AA75" i="9"/>
  <c r="AB75" i="9" s="1"/>
  <c r="B106" i="6" s="1"/>
  <c r="H20" i="4" s="1"/>
  <c r="R26" i="11"/>
  <c r="H15" i="9"/>
  <c r="Z150" i="9"/>
  <c r="Y20" i="9"/>
  <c r="Z20" i="9" s="1"/>
  <c r="Y19" i="9"/>
  <c r="Z19" i="9" s="1"/>
  <c r="M38" i="11"/>
  <c r="M40" i="11"/>
  <c r="M33" i="11"/>
  <c r="M35" i="11"/>
  <c r="M28" i="11"/>
  <c r="M41" i="11"/>
  <c r="M29" i="11"/>
  <c r="M37" i="11"/>
  <c r="M36" i="11"/>
  <c r="M34" i="11"/>
  <c r="M39" i="11"/>
  <c r="M31" i="11"/>
  <c r="M30" i="11"/>
  <c r="M27" i="11"/>
  <c r="M26" i="11"/>
  <c r="M32" i="11"/>
  <c r="H46" i="9"/>
  <c r="Q70" i="11"/>
  <c r="Q54" i="11"/>
  <c r="Q38" i="11"/>
  <c r="Q79" i="11"/>
  <c r="Q63" i="11"/>
  <c r="Q47" i="11"/>
  <c r="Q31" i="11"/>
  <c r="Q72" i="11"/>
  <c r="Q56" i="11"/>
  <c r="Q81" i="11"/>
  <c r="Q65" i="11"/>
  <c r="Q49" i="11"/>
  <c r="Q74" i="11"/>
  <c r="Q58" i="11"/>
  <c r="Q42" i="11"/>
  <c r="Q67" i="11"/>
  <c r="Q51" i="11"/>
  <c r="Q35" i="11"/>
  <c r="Q76" i="11"/>
  <c r="Q60" i="11"/>
  <c r="Q44" i="11"/>
  <c r="Q69" i="11"/>
  <c r="Q53" i="11"/>
  <c r="Q37" i="11"/>
  <c r="Q78" i="11"/>
  <c r="Q62" i="11"/>
  <c r="Q46" i="11"/>
  <c r="Q30" i="11"/>
  <c r="Q71" i="11"/>
  <c r="Q55" i="11"/>
  <c r="Q39" i="11"/>
  <c r="Q80" i="11"/>
  <c r="Q64" i="11"/>
  <c r="Q48" i="11"/>
  <c r="Q32" i="11"/>
  <c r="Q73" i="11"/>
  <c r="Q82" i="11"/>
  <c r="Q66" i="11"/>
  <c r="Q75" i="11"/>
  <c r="Q59" i="11"/>
  <c r="Q68" i="11"/>
  <c r="Q52" i="11"/>
  <c r="Q77" i="11"/>
  <c r="Q57" i="11"/>
  <c r="Q50" i="11"/>
  <c r="Q27" i="11"/>
  <c r="Q61" i="11"/>
  <c r="Q45" i="11"/>
  <c r="Q34" i="11"/>
  <c r="Q36" i="11"/>
  <c r="Q33" i="11"/>
  <c r="Q41" i="11"/>
  <c r="Q40" i="11"/>
  <c r="Q43" i="11"/>
  <c r="Q29" i="11"/>
  <c r="Q28" i="11"/>
  <c r="Q26" i="11"/>
  <c r="H128" i="9"/>
  <c r="Y254" i="9"/>
  <c r="Z254" i="9" s="1"/>
  <c r="Y255" i="9"/>
  <c r="Z255" i="9" s="1"/>
  <c r="U25" i="11"/>
  <c r="H13" i="9"/>
  <c r="Y257" i="9"/>
  <c r="Z257" i="9" s="1"/>
  <c r="Y256" i="9"/>
  <c r="Z256" i="9" s="1"/>
  <c r="Y48" i="9"/>
  <c r="Y47" i="9"/>
  <c r="Z47" i="9" s="1"/>
  <c r="Y140" i="9"/>
  <c r="Z140" i="9" s="1"/>
  <c r="Y141" i="9"/>
  <c r="C18" i="2" l="1"/>
  <c r="Y310" i="9"/>
  <c r="Z310" i="9" s="1"/>
  <c r="Y311" i="9"/>
  <c r="Z311" i="9" s="1"/>
  <c r="AA311" i="9" s="1"/>
  <c r="AB311" i="9" s="1"/>
  <c r="Y27" i="9"/>
  <c r="Z27" i="9" s="1"/>
  <c r="AA19" i="9"/>
  <c r="AB19" i="9" s="1"/>
  <c r="U21" i="9" s="1"/>
  <c r="AA20" i="9"/>
  <c r="AB20" i="9" s="1"/>
  <c r="U22" i="9" s="1"/>
  <c r="Y54" i="9"/>
  <c r="Z54" i="9" s="1"/>
  <c r="Y53" i="9"/>
  <c r="Z53" i="9" s="1"/>
  <c r="AA136" i="9"/>
  <c r="AB136" i="9" s="1"/>
  <c r="U142" i="9" s="1"/>
  <c r="AA137" i="9"/>
  <c r="AB137" i="9" s="1"/>
  <c r="U141" i="9" s="1"/>
  <c r="Z141" i="9" s="1"/>
  <c r="P129" i="9"/>
  <c r="P128" i="9"/>
  <c r="Q128" i="9" s="1"/>
  <c r="V128" i="9"/>
  <c r="Y34" i="9"/>
  <c r="Z34" i="9" s="1"/>
  <c r="Y33" i="9"/>
  <c r="Z33" i="9" s="1"/>
  <c r="V46" i="9"/>
  <c r="Y251" i="9"/>
  <c r="Z251" i="9" s="1"/>
  <c r="Y250" i="9"/>
  <c r="Z250" i="9" s="1"/>
  <c r="V60" i="9"/>
  <c r="AA257" i="9"/>
  <c r="AB257" i="9" s="1"/>
  <c r="U259" i="9" s="1"/>
  <c r="AA256" i="9"/>
  <c r="AB256" i="9" s="1"/>
  <c r="U258" i="9" s="1"/>
  <c r="AA149" i="9"/>
  <c r="AB149" i="9" s="1"/>
  <c r="U155" i="9" s="1"/>
  <c r="AA148" i="9"/>
  <c r="AB148" i="9" s="1"/>
  <c r="U154" i="9" s="1"/>
  <c r="AA150" i="9"/>
  <c r="AB150" i="9" s="1"/>
  <c r="U172" i="9" s="1"/>
  <c r="N4" i="9"/>
  <c r="V15" i="9"/>
  <c r="P25" i="11"/>
  <c r="H8" i="9"/>
  <c r="V13" i="9"/>
  <c r="X13" i="9" s="1"/>
  <c r="J13" i="9" s="1"/>
  <c r="Q13" i="9"/>
  <c r="P106" i="6"/>
  <c r="B25" i="2" s="1"/>
  <c r="P91" i="6"/>
  <c r="B10" i="2" s="1"/>
  <c r="Z91" i="9"/>
  <c r="AA255" i="9"/>
  <c r="AB255" i="9" s="1"/>
  <c r="F103" i="6" s="1"/>
  <c r="E27" i="8" s="1"/>
  <c r="AA254" i="9"/>
  <c r="AB254" i="9" s="1"/>
  <c r="U291" i="9" s="1"/>
  <c r="Y117" i="9"/>
  <c r="Y116" i="9"/>
  <c r="Z116" i="9" s="1"/>
  <c r="U317" i="9" l="1"/>
  <c r="AA310" i="9"/>
  <c r="AB310" i="9" s="1"/>
  <c r="AA27" i="9"/>
  <c r="AB27" i="9" s="1"/>
  <c r="U58" i="9" s="1"/>
  <c r="AA28" i="9"/>
  <c r="AB28" i="9" s="1"/>
  <c r="U286" i="9" s="1"/>
  <c r="Y259" i="9"/>
  <c r="Z259" i="9" s="1"/>
  <c r="Y258" i="9"/>
  <c r="Z258" i="9" s="1"/>
  <c r="Y291" i="9"/>
  <c r="Z291" i="9" s="1"/>
  <c r="Y290" i="9"/>
  <c r="W128" i="9"/>
  <c r="X128" i="9" s="1"/>
  <c r="W129" i="9"/>
  <c r="Y143" i="9"/>
  <c r="Y142" i="9"/>
  <c r="Z142" i="9" s="1"/>
  <c r="AA34" i="9"/>
  <c r="AB34" i="9" s="1"/>
  <c r="U81" i="9" s="1"/>
  <c r="AA33" i="9"/>
  <c r="AB33" i="9" s="1"/>
  <c r="U57" i="9" s="1"/>
  <c r="AA91" i="9"/>
  <c r="AB91" i="9" s="1"/>
  <c r="U117" i="9" s="1"/>
  <c r="AA90" i="9"/>
  <c r="AB90" i="9" s="1"/>
  <c r="U235" i="9" s="1"/>
  <c r="AA250" i="9"/>
  <c r="AB250" i="9" s="1"/>
  <c r="U252" i="9" s="1"/>
  <c r="AA251" i="9"/>
  <c r="AB251" i="9" s="1"/>
  <c r="U253" i="9" s="1"/>
  <c r="M13" i="9"/>
  <c r="N13" i="9" s="1"/>
  <c r="O25" i="11"/>
  <c r="H10" i="9"/>
  <c r="D25" i="2"/>
  <c r="C25" i="2"/>
  <c r="AA140" i="9"/>
  <c r="AB140" i="9" s="1"/>
  <c r="U144" i="9" s="1"/>
  <c r="AA141" i="9"/>
  <c r="AB141" i="9" s="1"/>
  <c r="U143" i="9" s="1"/>
  <c r="C10" i="2"/>
  <c r="D10" i="2"/>
  <c r="V8" i="9"/>
  <c r="X8" i="9" s="1"/>
  <c r="Q8" i="9"/>
  <c r="AA53" i="9"/>
  <c r="AB53" i="9" s="1"/>
  <c r="U55" i="9" s="1"/>
  <c r="AA54" i="9"/>
  <c r="AB54" i="9" s="1"/>
  <c r="U56" i="9" s="1"/>
  <c r="Y175" i="9"/>
  <c r="Y172" i="9"/>
  <c r="Z172" i="9" s="1"/>
  <c r="Y174" i="9"/>
  <c r="Y173" i="9"/>
  <c r="Z173" i="9" s="1"/>
  <c r="Y22" i="9"/>
  <c r="Z22" i="9" s="1"/>
  <c r="Y21" i="9"/>
  <c r="Z21" i="9" s="1"/>
  <c r="U316" i="9" l="1"/>
  <c r="Y316" i="9" s="1"/>
  <c r="Y287" i="9"/>
  <c r="Y286" i="9"/>
  <c r="Z286" i="9" s="1"/>
  <c r="Y236" i="9"/>
  <c r="Z236" i="9" s="1"/>
  <c r="Y235" i="9"/>
  <c r="Z235" i="9" s="1"/>
  <c r="Y58" i="9"/>
  <c r="Z58" i="9" s="1"/>
  <c r="Y57" i="9"/>
  <c r="Z57" i="9" s="1"/>
  <c r="Y145" i="9"/>
  <c r="Y144" i="9"/>
  <c r="Z144" i="9" s="1"/>
  <c r="Y253" i="9"/>
  <c r="Z253" i="9" s="1"/>
  <c r="Y252" i="9"/>
  <c r="Z252" i="9" s="1"/>
  <c r="J8" i="9"/>
  <c r="U42" i="11"/>
  <c r="U51" i="11"/>
  <c r="U35" i="11"/>
  <c r="U46" i="11"/>
  <c r="U30" i="11"/>
  <c r="U39" i="11"/>
  <c r="U48" i="11"/>
  <c r="U32" i="11"/>
  <c r="U41" i="11"/>
  <c r="U50" i="11"/>
  <c r="U34" i="11"/>
  <c r="U43" i="11"/>
  <c r="U27" i="11"/>
  <c r="U52" i="11"/>
  <c r="U36" i="11"/>
  <c r="U45" i="11"/>
  <c r="U37" i="11"/>
  <c r="U26" i="11"/>
  <c r="U47" i="11"/>
  <c r="U38" i="11"/>
  <c r="U33" i="11"/>
  <c r="U40" i="11"/>
  <c r="U29" i="11"/>
  <c r="U49" i="11"/>
  <c r="U44" i="11"/>
  <c r="U31" i="11"/>
  <c r="U28" i="11"/>
  <c r="H68" i="9"/>
  <c r="Z143" i="9"/>
  <c r="Y56" i="9"/>
  <c r="Z56" i="9" s="1"/>
  <c r="Y55" i="9"/>
  <c r="Z55" i="9" s="1"/>
  <c r="AA22" i="9"/>
  <c r="AB22" i="9" s="1"/>
  <c r="U35" i="9" s="1"/>
  <c r="AA21" i="9"/>
  <c r="AB21" i="9" s="1"/>
  <c r="U36" i="9" s="1"/>
  <c r="AA259" i="9"/>
  <c r="AB259" i="9" s="1"/>
  <c r="U284" i="9" s="1"/>
  <c r="AA258" i="9"/>
  <c r="AB258" i="9" s="1"/>
  <c r="Z117" i="9"/>
  <c r="V10" i="9"/>
  <c r="X10" i="9" s="1"/>
  <c r="J10" i="9" s="1"/>
  <c r="Q10" i="9"/>
  <c r="U321" i="9" l="1"/>
  <c r="Y317" i="9"/>
  <c r="Z317" i="9" s="1"/>
  <c r="AA317" i="9" s="1"/>
  <c r="AB317" i="9" s="1"/>
  <c r="Z316" i="9"/>
  <c r="J7" i="9"/>
  <c r="M8" i="9"/>
  <c r="N8" i="9" s="1"/>
  <c r="AA58" i="9"/>
  <c r="AB58" i="9" s="1"/>
  <c r="U62" i="9" s="1"/>
  <c r="AA57" i="9"/>
  <c r="AB57" i="9" s="1"/>
  <c r="U59" i="9" s="1"/>
  <c r="AA56" i="9"/>
  <c r="AB56" i="9" s="1"/>
  <c r="U104" i="9" s="1"/>
  <c r="AA55" i="9"/>
  <c r="AB55" i="9" s="1"/>
  <c r="D104" i="6" s="1"/>
  <c r="E25" i="8" s="1"/>
  <c r="AA143" i="9"/>
  <c r="AB143" i="9" s="1"/>
  <c r="U145" i="9" s="1"/>
  <c r="AA142" i="9"/>
  <c r="AB142" i="9" s="1"/>
  <c r="U146" i="9" s="1"/>
  <c r="M10" i="9"/>
  <c r="N10" i="9" s="1"/>
  <c r="P68" i="9"/>
  <c r="Q68" i="9" s="1"/>
  <c r="P67" i="9"/>
  <c r="V68" i="9"/>
  <c r="AA253" i="9"/>
  <c r="AB253" i="9" s="1"/>
  <c r="I109" i="6" s="1"/>
  <c r="AA252" i="9"/>
  <c r="AB252" i="9" s="1"/>
  <c r="F109" i="6" s="1"/>
  <c r="AA236" i="9"/>
  <c r="AB236" i="9" s="1"/>
  <c r="K95" i="6" s="1"/>
  <c r="AA235" i="9"/>
  <c r="AB235" i="9" s="1"/>
  <c r="U241" i="9" s="1"/>
  <c r="Y36" i="9"/>
  <c r="Z36" i="9" s="1"/>
  <c r="Y35" i="9"/>
  <c r="Z35" i="9" s="1"/>
  <c r="AA117" i="9"/>
  <c r="AB117" i="9" s="1"/>
  <c r="U221" i="9" s="1"/>
  <c r="AA116" i="9"/>
  <c r="AB116" i="9" s="1"/>
  <c r="U118" i="9" s="1"/>
  <c r="Z284" i="9"/>
  <c r="Y321" i="9" l="1"/>
  <c r="Z321" i="9" s="1"/>
  <c r="Y320" i="9"/>
  <c r="U319" i="9"/>
  <c r="AA316" i="9"/>
  <c r="AB316" i="9" s="1"/>
  <c r="AA284" i="9"/>
  <c r="AB284" i="9" s="1"/>
  <c r="U290" i="9" s="1"/>
  <c r="AA285" i="9"/>
  <c r="AB285" i="9" s="1"/>
  <c r="L103" i="6" s="1"/>
  <c r="W67" i="9"/>
  <c r="W68" i="9"/>
  <c r="X68" i="9" s="1"/>
  <c r="Y118" i="9"/>
  <c r="Z118" i="9" s="1"/>
  <c r="Y119" i="9"/>
  <c r="Z119" i="9" s="1"/>
  <c r="Z221" i="9"/>
  <c r="O29" i="11"/>
  <c r="O33" i="11"/>
  <c r="O28" i="11"/>
  <c r="O30" i="11"/>
  <c r="O27" i="11"/>
  <c r="O32" i="11"/>
  <c r="O26" i="11"/>
  <c r="O31" i="11"/>
  <c r="H29" i="9"/>
  <c r="Y147" i="9"/>
  <c r="Y146" i="9"/>
  <c r="Z146" i="9" s="1"/>
  <c r="Y105" i="9"/>
  <c r="Z105" i="9" s="1"/>
  <c r="Y104" i="9"/>
  <c r="Z104" i="9" s="1"/>
  <c r="Y60" i="9"/>
  <c r="Z60" i="9" s="1"/>
  <c r="Y59" i="9"/>
  <c r="Z59" i="9" s="1"/>
  <c r="Z145" i="9"/>
  <c r="AA36" i="9"/>
  <c r="AB36" i="9" s="1"/>
  <c r="U38" i="9" s="1"/>
  <c r="AA35" i="9"/>
  <c r="AB35" i="9" s="1"/>
  <c r="U37" i="9" s="1"/>
  <c r="Y62" i="9"/>
  <c r="Z62" i="9" s="1"/>
  <c r="Y61" i="9"/>
  <c r="P26" i="11"/>
  <c r="H16" i="9"/>
  <c r="M7" i="9"/>
  <c r="Y319" i="9" l="1"/>
  <c r="Z319" i="9" s="1"/>
  <c r="Y318" i="9"/>
  <c r="U318" i="9"/>
  <c r="Z318" i="9" s="1"/>
  <c r="AA318" i="9" s="1"/>
  <c r="AB318" i="9" s="1"/>
  <c r="AA105" i="9"/>
  <c r="AB105" i="9" s="1"/>
  <c r="U107" i="9" s="1"/>
  <c r="AA104" i="9"/>
  <c r="AB104" i="9" s="1"/>
  <c r="U106" i="9" s="1"/>
  <c r="AA220" i="9"/>
  <c r="AB220" i="9" s="1"/>
  <c r="U222" i="9" s="1"/>
  <c r="AA221" i="9"/>
  <c r="AB221" i="9" s="1"/>
  <c r="U223" i="9" s="1"/>
  <c r="AA119" i="9"/>
  <c r="AB119" i="9" s="1"/>
  <c r="C95" i="6" s="1"/>
  <c r="AA118" i="9"/>
  <c r="AB118" i="9" s="1"/>
  <c r="L95" i="6" s="1"/>
  <c r="H9" i="4" s="1"/>
  <c r="N7" i="9"/>
  <c r="AA60" i="9"/>
  <c r="AB60" i="9" s="1"/>
  <c r="U61" i="9" s="1"/>
  <c r="AA59" i="9"/>
  <c r="AB59" i="9" s="1"/>
  <c r="U63" i="9" s="1"/>
  <c r="Y38" i="9"/>
  <c r="Z38" i="9" s="1"/>
  <c r="Y37" i="9"/>
  <c r="Z37" i="9" s="1"/>
  <c r="P15" i="9"/>
  <c r="Q15" i="9" s="1"/>
  <c r="P16" i="9"/>
  <c r="Q16" i="9" s="1"/>
  <c r="V16" i="9"/>
  <c r="AA144" i="9"/>
  <c r="AB144" i="9" s="1"/>
  <c r="U147" i="9" s="1"/>
  <c r="AA145" i="9"/>
  <c r="AB145" i="9" s="1"/>
  <c r="U152" i="9" s="1"/>
  <c r="P29" i="9"/>
  <c r="Q29" i="9" s="1"/>
  <c r="P30" i="9"/>
  <c r="Q30" i="9" s="1"/>
  <c r="V29" i="9"/>
  <c r="Z290" i="9"/>
  <c r="L109" i="6" l="1"/>
  <c r="U322" i="9"/>
  <c r="AA319" i="9"/>
  <c r="AB319" i="9" s="1"/>
  <c r="Y64" i="9"/>
  <c r="Y63" i="9"/>
  <c r="Z63" i="9" s="1"/>
  <c r="Z147" i="9"/>
  <c r="Z61" i="9"/>
  <c r="W16" i="9"/>
  <c r="X16" i="9" s="1"/>
  <c r="W15" i="9"/>
  <c r="X15" i="9" s="1"/>
  <c r="K36" i="11"/>
  <c r="K38" i="11"/>
  <c r="K31" i="11"/>
  <c r="K40" i="11"/>
  <c r="K33" i="11"/>
  <c r="K26" i="11"/>
  <c r="K28" i="11"/>
  <c r="K29" i="11"/>
  <c r="K37" i="11"/>
  <c r="K32" i="11"/>
  <c r="K30" i="11"/>
  <c r="K39" i="11"/>
  <c r="K34" i="11"/>
  <c r="K35" i="11"/>
  <c r="K27" i="11"/>
  <c r="H43" i="9"/>
  <c r="AA290" i="9"/>
  <c r="AB290" i="9" s="1"/>
  <c r="U292" i="9" s="1"/>
  <c r="AA291" i="9"/>
  <c r="AB291" i="9" s="1"/>
  <c r="U293" i="9" s="1"/>
  <c r="Y223" i="9"/>
  <c r="Z223" i="9" s="1"/>
  <c r="Y222" i="9"/>
  <c r="Z222" i="9" s="1"/>
  <c r="Y106" i="9"/>
  <c r="Z106" i="9" s="1"/>
  <c r="Y107" i="9"/>
  <c r="Z107" i="9" s="1"/>
  <c r="AA38" i="9"/>
  <c r="AB38" i="9" s="1"/>
  <c r="U40" i="9" s="1"/>
  <c r="AA37" i="9"/>
  <c r="AB37" i="9" s="1"/>
  <c r="U39" i="9" s="1"/>
  <c r="W30" i="9"/>
  <c r="X30" i="9" s="1"/>
  <c r="W29" i="9"/>
  <c r="X29" i="9" s="1"/>
  <c r="U323" i="9" l="1"/>
  <c r="AA222" i="9"/>
  <c r="AB222" i="9" s="1"/>
  <c r="H95" i="6" s="1"/>
  <c r="AA223" i="9"/>
  <c r="AB223" i="9" s="1"/>
  <c r="U240" i="9" s="1"/>
  <c r="AA61" i="9"/>
  <c r="AB61" i="9" s="1"/>
  <c r="U66" i="9" s="1"/>
  <c r="AA62" i="9"/>
  <c r="AB62" i="9" s="1"/>
  <c r="U64" i="9" s="1"/>
  <c r="AA147" i="9"/>
  <c r="AB147" i="9" s="1"/>
  <c r="U162" i="9" s="1"/>
  <c r="AA146" i="9"/>
  <c r="AB146" i="9" s="1"/>
  <c r="U153" i="9" s="1"/>
  <c r="Y293" i="9"/>
  <c r="Z293" i="9" s="1"/>
  <c r="Y292" i="9"/>
  <c r="Z292" i="9" s="1"/>
  <c r="J30" i="9"/>
  <c r="J29" i="9"/>
  <c r="Y40" i="9"/>
  <c r="Z40" i="9" s="1"/>
  <c r="Y39" i="9"/>
  <c r="Z39" i="9" s="1"/>
  <c r="P44" i="9"/>
  <c r="P43" i="9"/>
  <c r="Q43" i="9" s="1"/>
  <c r="V43" i="9"/>
  <c r="J15" i="9"/>
  <c r="J16" i="9"/>
  <c r="AA106" i="9"/>
  <c r="AB106" i="9" s="1"/>
  <c r="U108" i="9" s="1"/>
  <c r="AA107" i="9"/>
  <c r="AB107" i="9" s="1"/>
  <c r="U109" i="9" s="1"/>
  <c r="Y323" i="9" l="1"/>
  <c r="Z323" i="9" s="1"/>
  <c r="Y322" i="9"/>
  <c r="Z322" i="9" s="1"/>
  <c r="AA322" i="9" s="1"/>
  <c r="AB322" i="9" s="1"/>
  <c r="Y109" i="9"/>
  <c r="Z109" i="9" s="1"/>
  <c r="Y108" i="9"/>
  <c r="Z108" i="9" s="1"/>
  <c r="M16" i="9"/>
  <c r="N16" i="9" s="1"/>
  <c r="AA293" i="9"/>
  <c r="AB293" i="9" s="1"/>
  <c r="U295" i="9" s="1"/>
  <c r="AA292" i="9"/>
  <c r="AB292" i="9" s="1"/>
  <c r="U294" i="9" s="1"/>
  <c r="M29" i="9"/>
  <c r="N29" i="9" s="1"/>
  <c r="Z64" i="9"/>
  <c r="M30" i="9"/>
  <c r="N30" i="9" s="1"/>
  <c r="M15" i="9"/>
  <c r="W43" i="9"/>
  <c r="X43" i="9" s="1"/>
  <c r="W44" i="9"/>
  <c r="AA39" i="9"/>
  <c r="AB39" i="9" s="1"/>
  <c r="U41" i="9" s="1"/>
  <c r="AA40" i="9"/>
  <c r="AB40" i="9" s="1"/>
  <c r="U42" i="9" s="1"/>
  <c r="Y152" i="9"/>
  <c r="Z152" i="9" s="1"/>
  <c r="Y154" i="9"/>
  <c r="Z154" i="9" s="1"/>
  <c r="Y153" i="9"/>
  <c r="Z153" i="9" s="1"/>
  <c r="Y155" i="9"/>
  <c r="Z155" i="9" s="1"/>
  <c r="AA155" i="9" s="1"/>
  <c r="AB155" i="9" s="1"/>
  <c r="U168" i="9" s="1"/>
  <c r="Y240" i="9"/>
  <c r="Z240" i="9" s="1"/>
  <c r="Y241" i="9"/>
  <c r="Z241" i="9" s="1"/>
  <c r="AA323" i="9" l="1"/>
  <c r="AB323" i="9" s="1"/>
  <c r="U324" i="9"/>
  <c r="T34" i="11"/>
  <c r="H32" i="9"/>
  <c r="O34" i="11"/>
  <c r="H31" i="9"/>
  <c r="AA152" i="9"/>
  <c r="AB152" i="9" s="1"/>
  <c r="U157" i="9" s="1"/>
  <c r="AA153" i="9"/>
  <c r="AB153" i="9" s="1"/>
  <c r="U156" i="9" s="1"/>
  <c r="AA154" i="9"/>
  <c r="AB154" i="9" s="1"/>
  <c r="U169" i="9" s="1"/>
  <c r="AA63" i="9"/>
  <c r="AB63" i="9" s="1"/>
  <c r="U65" i="9" s="1"/>
  <c r="AA64" i="9"/>
  <c r="AB64" i="9" s="1"/>
  <c r="U92" i="9" s="1"/>
  <c r="Y295" i="9"/>
  <c r="Z295" i="9" s="1"/>
  <c r="Y294" i="9"/>
  <c r="Z294" i="9" s="1"/>
  <c r="Y42" i="9"/>
  <c r="Z42" i="9" s="1"/>
  <c r="Y41" i="9"/>
  <c r="Z41" i="9" s="1"/>
  <c r="AA241" i="9"/>
  <c r="AB241" i="9" s="1"/>
  <c r="U243" i="9" s="1"/>
  <c r="AA240" i="9"/>
  <c r="AB240" i="9" s="1"/>
  <c r="U242" i="9" s="1"/>
  <c r="P27" i="11"/>
  <c r="H18" i="9"/>
  <c r="AA108" i="9"/>
  <c r="AB108" i="9" s="1"/>
  <c r="I104" i="6" s="1"/>
  <c r="AA109" i="9"/>
  <c r="AB109" i="9" s="1"/>
  <c r="U121" i="9" s="1"/>
  <c r="N15" i="9"/>
  <c r="Y325" i="9" l="1"/>
  <c r="Y324" i="9"/>
  <c r="Z324" i="9" s="1"/>
  <c r="U325" i="9"/>
  <c r="Y120" i="9"/>
  <c r="Z120" i="9" s="1"/>
  <c r="Y121" i="9"/>
  <c r="Z121" i="9" s="1"/>
  <c r="Y66" i="9"/>
  <c r="Z66" i="9" s="1"/>
  <c r="Y65" i="9"/>
  <c r="Z65" i="9" s="1"/>
  <c r="P18" i="9"/>
  <c r="Q18" i="9" s="1"/>
  <c r="P17" i="9"/>
  <c r="V18" i="9"/>
  <c r="Y157" i="9"/>
  <c r="Z157" i="9" s="1"/>
  <c r="Y159" i="9"/>
  <c r="Z159" i="9" s="1"/>
  <c r="AA159" i="9" s="1"/>
  <c r="AB159" i="9" s="1"/>
  <c r="U179" i="9" s="1"/>
  <c r="Y156" i="9"/>
  <c r="Z156" i="9" s="1"/>
  <c r="Y158" i="9"/>
  <c r="Z158" i="9" s="1"/>
  <c r="Y242" i="9"/>
  <c r="Z242" i="9" s="1"/>
  <c r="Y243" i="9"/>
  <c r="Z243" i="9" s="1"/>
  <c r="Y171" i="9"/>
  <c r="AA42" i="9"/>
  <c r="AB42" i="9" s="1"/>
  <c r="U48" i="9" s="1"/>
  <c r="AA41" i="9"/>
  <c r="AB41" i="9" s="1"/>
  <c r="U261" i="9" s="1"/>
  <c r="Y168" i="9"/>
  <c r="Z168" i="9" s="1"/>
  <c r="Y169" i="9"/>
  <c r="Z169" i="9" s="1"/>
  <c r="P32" i="9"/>
  <c r="Q32" i="9" s="1"/>
  <c r="P31" i="9"/>
  <c r="Q31" i="9" s="1"/>
  <c r="V31" i="9"/>
  <c r="AA295" i="9"/>
  <c r="AB295" i="9" s="1"/>
  <c r="I103" i="6" s="1"/>
  <c r="E30" i="8" s="1"/>
  <c r="AA294" i="9"/>
  <c r="AB294" i="9" s="1"/>
  <c r="R27" i="11"/>
  <c r="H17" i="9"/>
  <c r="Y170" i="9"/>
  <c r="V32" i="9"/>
  <c r="Z325" i="9" l="1"/>
  <c r="AA325" i="9" s="1"/>
  <c r="AB325" i="9" s="1"/>
  <c r="B109" i="6" s="1"/>
  <c r="U320" i="9"/>
  <c r="Q17" i="9"/>
  <c r="AA242" i="9"/>
  <c r="AB242" i="9" s="1"/>
  <c r="J95" i="6" s="1"/>
  <c r="AA243" i="9"/>
  <c r="AB243" i="9" s="1"/>
  <c r="I95" i="6" s="1"/>
  <c r="W31" i="9"/>
  <c r="X31" i="9" s="1"/>
  <c r="W32" i="9"/>
  <c r="X32" i="9" s="1"/>
  <c r="AA158" i="9"/>
  <c r="AB158" i="9" s="1"/>
  <c r="U178" i="9" s="1"/>
  <c r="AA156" i="9"/>
  <c r="AB156" i="9" s="1"/>
  <c r="U160" i="9" s="1"/>
  <c r="AA157" i="9"/>
  <c r="AB157" i="9" s="1"/>
  <c r="U161" i="9" s="1"/>
  <c r="AA66" i="9"/>
  <c r="AB66" i="9" s="1"/>
  <c r="U70" i="9" s="1"/>
  <c r="AA65" i="9"/>
  <c r="AB65" i="9" s="1"/>
  <c r="U82" i="9" s="1"/>
  <c r="W18" i="9"/>
  <c r="X18" i="9" s="1"/>
  <c r="W17" i="9"/>
  <c r="Z48" i="9"/>
  <c r="V17" i="9"/>
  <c r="AA120" i="9"/>
  <c r="AB120" i="9" s="1"/>
  <c r="U271" i="9" s="1"/>
  <c r="AA121" i="9"/>
  <c r="AB121" i="9" s="1"/>
  <c r="U279" i="9" s="1"/>
  <c r="AA324" i="9" l="1"/>
  <c r="AB324" i="9" s="1"/>
  <c r="G109" i="6" s="1"/>
  <c r="H23" i="4" s="1"/>
  <c r="Z320" i="9"/>
  <c r="P95" i="6"/>
  <c r="B14" i="2" s="1"/>
  <c r="D14" i="2" s="1"/>
  <c r="X17" i="9"/>
  <c r="J17" i="9" s="1"/>
  <c r="Y83" i="9"/>
  <c r="Y82" i="9"/>
  <c r="Z82" i="9" s="1"/>
  <c r="Z70" i="9"/>
  <c r="Y162" i="9"/>
  <c r="Z162" i="9" s="1"/>
  <c r="Y161" i="9"/>
  <c r="Z161" i="9" s="1"/>
  <c r="Y160" i="9"/>
  <c r="Z160" i="9" s="1"/>
  <c r="Y163" i="9"/>
  <c r="Z163" i="9" s="1"/>
  <c r="AA163" i="9" s="1"/>
  <c r="AB163" i="9" s="1"/>
  <c r="U183" i="9" s="1"/>
  <c r="J18" i="9"/>
  <c r="J31" i="9"/>
  <c r="J32" i="9"/>
  <c r="Y279" i="9"/>
  <c r="Z279" i="9" s="1"/>
  <c r="Y278" i="9"/>
  <c r="Z271" i="9"/>
  <c r="AA47" i="9"/>
  <c r="AB47" i="9" s="1"/>
  <c r="U260" i="9" s="1"/>
  <c r="AA48" i="9"/>
  <c r="AB48" i="9" s="1"/>
  <c r="I93" i="6" s="1"/>
  <c r="P109" i="6" l="1"/>
  <c r="B28" i="2" s="1"/>
  <c r="D28" i="2" s="1"/>
  <c r="AA320" i="9"/>
  <c r="AB320" i="9" s="1"/>
  <c r="G103" i="6" s="1"/>
  <c r="H17" i="4" s="1"/>
  <c r="AA321" i="9"/>
  <c r="AB321" i="9" s="1"/>
  <c r="B103" i="6" s="1"/>
  <c r="C14" i="2"/>
  <c r="AA270" i="9"/>
  <c r="AB270" i="9" s="1"/>
  <c r="U272" i="9" s="1"/>
  <c r="AA271" i="9"/>
  <c r="AB271" i="9" s="1"/>
  <c r="U273" i="9" s="1"/>
  <c r="M17" i="9"/>
  <c r="AA160" i="9"/>
  <c r="AB160" i="9" s="1"/>
  <c r="U167" i="9" s="1"/>
  <c r="AA162" i="9"/>
  <c r="AB162" i="9" s="1"/>
  <c r="U182" i="9" s="1"/>
  <c r="AA161" i="9"/>
  <c r="AB161" i="9" s="1"/>
  <c r="U166" i="9" s="1"/>
  <c r="AA69" i="9"/>
  <c r="AB69" i="9" s="1"/>
  <c r="B102" i="6" s="1"/>
  <c r="AA70" i="9"/>
  <c r="AB70" i="9" s="1"/>
  <c r="U80" i="9" s="1"/>
  <c r="M32" i="9"/>
  <c r="N32" i="9" s="1"/>
  <c r="M31" i="9"/>
  <c r="N31" i="9" s="1"/>
  <c r="Y261" i="9"/>
  <c r="Z261" i="9" s="1"/>
  <c r="Y260" i="9"/>
  <c r="Z260" i="9" s="1"/>
  <c r="M18" i="9"/>
  <c r="N18" i="9" s="1"/>
  <c r="C28" i="2" l="1"/>
  <c r="P103" i="6"/>
  <c r="B22" i="2" s="1"/>
  <c r="C22" i="2" s="1"/>
  <c r="Z166" i="9"/>
  <c r="Y80" i="9"/>
  <c r="Z80" i="9" s="1"/>
  <c r="Y81" i="9"/>
  <c r="Z81" i="9" s="1"/>
  <c r="O35" i="11"/>
  <c r="H33" i="9"/>
  <c r="T35" i="11"/>
  <c r="H34" i="9"/>
  <c r="Z167" i="9"/>
  <c r="AA167" i="9" s="1"/>
  <c r="AB167" i="9" s="1"/>
  <c r="U189" i="9" s="1"/>
  <c r="P28" i="11"/>
  <c r="H20" i="9"/>
  <c r="AA261" i="9"/>
  <c r="AB261" i="9" s="1"/>
  <c r="U263" i="9" s="1"/>
  <c r="AA260" i="9"/>
  <c r="AB260" i="9" s="1"/>
  <c r="U262" i="9" s="1"/>
  <c r="N17" i="9"/>
  <c r="Y273" i="9"/>
  <c r="Z273" i="9" s="1"/>
  <c r="Y272" i="9"/>
  <c r="Z272" i="9" s="1"/>
  <c r="D22" i="2" l="1"/>
  <c r="AA273" i="9"/>
  <c r="AB273" i="9" s="1"/>
  <c r="U275" i="9" s="1"/>
  <c r="AA272" i="9"/>
  <c r="AB272" i="9" s="1"/>
  <c r="U274" i="9" s="1"/>
  <c r="P34" i="9"/>
  <c r="Q34" i="9" s="1"/>
  <c r="P33" i="9"/>
  <c r="Q33" i="9" s="1"/>
  <c r="V33" i="9"/>
  <c r="R28" i="11"/>
  <c r="H19" i="9"/>
  <c r="AA80" i="9"/>
  <c r="AB80" i="9" s="1"/>
  <c r="U83" i="9" s="1"/>
  <c r="AA81" i="9"/>
  <c r="AB81" i="9" s="1"/>
  <c r="U85" i="9" s="1"/>
  <c r="V34" i="9"/>
  <c r="AA164" i="9"/>
  <c r="AB164" i="9" s="1"/>
  <c r="U171" i="9" s="1"/>
  <c r="AA165" i="9"/>
  <c r="AB165" i="9" s="1"/>
  <c r="U170" i="9" s="1"/>
  <c r="AA166" i="9"/>
  <c r="AB166" i="9" s="1"/>
  <c r="U188" i="9" s="1"/>
  <c r="Y262" i="9"/>
  <c r="Z262" i="9" s="1"/>
  <c r="Y263" i="9"/>
  <c r="Z263" i="9" s="1"/>
  <c r="P20" i="9"/>
  <c r="Q20" i="9" s="1"/>
  <c r="P19" i="9"/>
  <c r="Q19" i="9" s="1"/>
  <c r="V20" i="9"/>
  <c r="V19" i="9" l="1"/>
  <c r="W34" i="9"/>
  <c r="X34" i="9" s="1"/>
  <c r="W33" i="9"/>
  <c r="X33" i="9" s="1"/>
  <c r="AA263" i="9"/>
  <c r="AB263" i="9" s="1"/>
  <c r="U265" i="9" s="1"/>
  <c r="AA262" i="9"/>
  <c r="AB262" i="9" s="1"/>
  <c r="U264" i="9" s="1"/>
  <c r="Z83" i="9"/>
  <c r="W20" i="9"/>
  <c r="X20" i="9" s="1"/>
  <c r="W19" i="9"/>
  <c r="X19" i="9" s="1"/>
  <c r="Y189" i="9"/>
  <c r="Z189" i="9" s="1"/>
  <c r="Y191" i="9"/>
  <c r="Y188" i="9"/>
  <c r="Z188" i="9" s="1"/>
  <c r="Y190" i="9"/>
  <c r="Z170" i="9"/>
  <c r="Z171" i="9"/>
  <c r="AA171" i="9" s="1"/>
  <c r="AB171" i="9" s="1"/>
  <c r="U184" i="9" s="1"/>
  <c r="Y275" i="9"/>
  <c r="Z275" i="9" s="1"/>
  <c r="Y274" i="9"/>
  <c r="Z274" i="9" s="1"/>
  <c r="AA83" i="9" l="1"/>
  <c r="AB83" i="9" s="1"/>
  <c r="E102" i="6" s="1"/>
  <c r="AA82" i="9"/>
  <c r="AB82" i="9" s="1"/>
  <c r="U84" i="9" s="1"/>
  <c r="Y265" i="9"/>
  <c r="Z265" i="9" s="1"/>
  <c r="Y264" i="9"/>
  <c r="Z264" i="9" s="1"/>
  <c r="AA170" i="9"/>
  <c r="AB170" i="9" s="1"/>
  <c r="U185" i="9" s="1"/>
  <c r="AA168" i="9"/>
  <c r="AB168" i="9" s="1"/>
  <c r="U174" i="9" s="1"/>
  <c r="AA169" i="9"/>
  <c r="AB169" i="9" s="1"/>
  <c r="U175" i="9" s="1"/>
  <c r="J19" i="9"/>
  <c r="J20" i="9"/>
  <c r="AA274" i="9"/>
  <c r="AB274" i="9" s="1"/>
  <c r="B104" i="6" s="1"/>
  <c r="AA275" i="9"/>
  <c r="AB275" i="9" s="1"/>
  <c r="U278" i="9" s="1"/>
  <c r="J34" i="9"/>
  <c r="J33" i="9"/>
  <c r="Y85" i="9" l="1"/>
  <c r="Z85" i="9" s="1"/>
  <c r="Y84" i="9"/>
  <c r="Z84" i="9" s="1"/>
  <c r="M33" i="9"/>
  <c r="N33" i="9" s="1"/>
  <c r="M34" i="9"/>
  <c r="N34" i="9" s="1"/>
  <c r="AA265" i="9"/>
  <c r="AB265" i="9" s="1"/>
  <c r="U267" i="9" s="1"/>
  <c r="AA264" i="9"/>
  <c r="AB264" i="9" s="1"/>
  <c r="U266" i="9" s="1"/>
  <c r="Y185" i="9"/>
  <c r="Z185" i="9" s="1"/>
  <c r="E23" i="8"/>
  <c r="M20" i="9"/>
  <c r="N20" i="9" s="1"/>
  <c r="Y186" i="9"/>
  <c r="Z278" i="9"/>
  <c r="M19" i="9"/>
  <c r="Y184" i="9"/>
  <c r="Z184" i="9" s="1"/>
  <c r="Z175" i="9"/>
  <c r="AA175" i="9" s="1"/>
  <c r="AB175" i="9" s="1"/>
  <c r="U193" i="9" s="1"/>
  <c r="Z174" i="9"/>
  <c r="Y187" i="9"/>
  <c r="AA172" i="9" l="1"/>
  <c r="AB172" i="9" s="1"/>
  <c r="U176" i="9" s="1"/>
  <c r="AA174" i="9"/>
  <c r="AB174" i="9" s="1"/>
  <c r="U192" i="9" s="1"/>
  <c r="AA173" i="9"/>
  <c r="AB173" i="9" s="1"/>
  <c r="U177" i="9" s="1"/>
  <c r="T49" i="11"/>
  <c r="T58" i="11"/>
  <c r="T42" i="11"/>
  <c r="T51" i="11"/>
  <c r="T53" i="11"/>
  <c r="T37" i="11"/>
  <c r="T46" i="11"/>
  <c r="T55" i="11"/>
  <c r="T39" i="11"/>
  <c r="T48" i="11"/>
  <c r="T57" i="11"/>
  <c r="T41" i="11"/>
  <c r="T50" i="11"/>
  <c r="T43" i="11"/>
  <c r="T54" i="11"/>
  <c r="T47" i="11"/>
  <c r="T44" i="11"/>
  <c r="T45" i="11"/>
  <c r="T36" i="11"/>
  <c r="T52" i="11"/>
  <c r="T38" i="11"/>
  <c r="T56" i="11"/>
  <c r="T40" i="11"/>
  <c r="H81" i="9"/>
  <c r="P29" i="11"/>
  <c r="H22" i="9"/>
  <c r="N19" i="9"/>
  <c r="O40" i="11"/>
  <c r="O37" i="11"/>
  <c r="O39" i="11"/>
  <c r="O36" i="11"/>
  <c r="O38" i="11"/>
  <c r="H44" i="9"/>
  <c r="AA279" i="9"/>
  <c r="AB279" i="9" s="1"/>
  <c r="U281" i="9" s="1"/>
  <c r="AA278" i="9"/>
  <c r="AB278" i="9" s="1"/>
  <c r="U280" i="9" s="1"/>
  <c r="Y267" i="9"/>
  <c r="Z267" i="9" s="1"/>
  <c r="Y266" i="9"/>
  <c r="Z266" i="9" s="1"/>
  <c r="AA85" i="9"/>
  <c r="AB85" i="9" s="1"/>
  <c r="K102" i="6" s="1"/>
  <c r="AA84" i="9"/>
  <c r="AB84" i="9" s="1"/>
  <c r="U93" i="9" s="1"/>
  <c r="Y281" i="9" l="1"/>
  <c r="Z281" i="9" s="1"/>
  <c r="Y280" i="9"/>
  <c r="Z280" i="9" s="1"/>
  <c r="V81" i="9"/>
  <c r="R29" i="11"/>
  <c r="H21" i="9"/>
  <c r="Y93" i="9"/>
  <c r="Z93" i="9" s="1"/>
  <c r="Y92" i="9"/>
  <c r="Z92" i="9" s="1"/>
  <c r="Y192" i="9"/>
  <c r="Z192" i="9" s="1"/>
  <c r="Y194" i="9"/>
  <c r="Y193" i="9"/>
  <c r="Z193" i="9" s="1"/>
  <c r="Y195" i="9"/>
  <c r="Y177" i="9"/>
  <c r="Z177" i="9" s="1"/>
  <c r="Y179" i="9"/>
  <c r="Z179" i="9" s="1"/>
  <c r="AA179" i="9" s="1"/>
  <c r="AB179" i="9" s="1"/>
  <c r="U203" i="9" s="1"/>
  <c r="Y176" i="9"/>
  <c r="Z176" i="9" s="1"/>
  <c r="Y178" i="9"/>
  <c r="Z178" i="9" s="1"/>
  <c r="V22" i="9"/>
  <c r="V44" i="9"/>
  <c r="X44" i="9" s="1"/>
  <c r="Q44" i="9"/>
  <c r="AA266" i="9"/>
  <c r="AB266" i="9" s="1"/>
  <c r="U268" i="9" s="1"/>
  <c r="AA267" i="9"/>
  <c r="AB267" i="9" s="1"/>
  <c r="U269" i="9" s="1"/>
  <c r="AA177" i="9" l="1"/>
  <c r="AB177" i="9" s="1"/>
  <c r="U181" i="9" s="1"/>
  <c r="AA176" i="9"/>
  <c r="AB176" i="9" s="1"/>
  <c r="U180" i="9" s="1"/>
  <c r="AA178" i="9"/>
  <c r="AB178" i="9" s="1"/>
  <c r="U202" i="9" s="1"/>
  <c r="P21" i="9"/>
  <c r="Q21" i="9" s="1"/>
  <c r="P22" i="9"/>
  <c r="Q22" i="9" s="1"/>
  <c r="V21" i="9"/>
  <c r="AA93" i="9"/>
  <c r="AB93" i="9" s="1"/>
  <c r="U94" i="9" s="1"/>
  <c r="AA92" i="9"/>
  <c r="AB92" i="9" s="1"/>
  <c r="I102" i="6" s="1"/>
  <c r="AA280" i="9"/>
  <c r="AB280" i="9" s="1"/>
  <c r="U282" i="9" s="1"/>
  <c r="AA281" i="9"/>
  <c r="AB281" i="9" s="1"/>
  <c r="U283" i="9" s="1"/>
  <c r="Y269" i="9"/>
  <c r="Z269" i="9" s="1"/>
  <c r="Y268" i="9"/>
  <c r="Z268" i="9" s="1"/>
  <c r="J44" i="9"/>
  <c r="M44" i="9" s="1"/>
  <c r="N44" i="9" s="1"/>
  <c r="J43" i="9"/>
  <c r="Y283" i="9" l="1"/>
  <c r="Z283" i="9" s="1"/>
  <c r="Y282" i="9"/>
  <c r="Z282" i="9" s="1"/>
  <c r="Y95" i="9"/>
  <c r="Z95" i="9" s="1"/>
  <c r="Y94" i="9"/>
  <c r="Z94" i="9" s="1"/>
  <c r="W22" i="9"/>
  <c r="X22" i="9" s="1"/>
  <c r="W21" i="9"/>
  <c r="X21" i="9" s="1"/>
  <c r="AA268" i="9"/>
  <c r="AB268" i="9" s="1"/>
  <c r="AA269" i="9"/>
  <c r="AB269" i="9" s="1"/>
  <c r="U296" i="9" s="1"/>
  <c r="M43" i="9"/>
  <c r="N43" i="9" s="1"/>
  <c r="O45" i="11"/>
  <c r="O47" i="11"/>
  <c r="O42" i="11"/>
  <c r="O44" i="11"/>
  <c r="O46" i="11"/>
  <c r="O41" i="11"/>
  <c r="O43" i="11"/>
  <c r="H57" i="9"/>
  <c r="Y180" i="9"/>
  <c r="Z180" i="9" s="1"/>
  <c r="Y182" i="9"/>
  <c r="Z182" i="9" s="1"/>
  <c r="Y181" i="9"/>
  <c r="Z181" i="9" s="1"/>
  <c r="Y183" i="9"/>
  <c r="Z183" i="9" s="1"/>
  <c r="AA183" i="9" s="1"/>
  <c r="AB183" i="9" s="1"/>
  <c r="U204" i="9" s="1"/>
  <c r="U303" i="9" l="1"/>
  <c r="Y297" i="9"/>
  <c r="Z297" i="9" s="1"/>
  <c r="Y296" i="9"/>
  <c r="Z296" i="9" s="1"/>
  <c r="K41" i="11"/>
  <c r="H45" i="9"/>
  <c r="AA180" i="9"/>
  <c r="AB180" i="9" s="1"/>
  <c r="U186" i="9" s="1"/>
  <c r="AA182" i="9"/>
  <c r="AB182" i="9" s="1"/>
  <c r="K108" i="6" s="1"/>
  <c r="AA181" i="9"/>
  <c r="AB181" i="9" s="1"/>
  <c r="U187" i="9" s="1"/>
  <c r="J22" i="9"/>
  <c r="M22" i="9" s="1"/>
  <c r="N22" i="9" s="1"/>
  <c r="J21" i="9"/>
  <c r="P57" i="9"/>
  <c r="Q57" i="9" s="1"/>
  <c r="P58" i="9"/>
  <c r="V57" i="9"/>
  <c r="AA95" i="9"/>
  <c r="AB95" i="9" s="1"/>
  <c r="U97" i="9" s="1"/>
  <c r="AA94" i="9"/>
  <c r="AB94" i="9" s="1"/>
  <c r="U96" i="9" s="1"/>
  <c r="AA282" i="9"/>
  <c r="AB282" i="9" s="1"/>
  <c r="G104" i="6" s="1"/>
  <c r="AA283" i="9"/>
  <c r="AB283" i="9" s="1"/>
  <c r="L104" i="6" s="1"/>
  <c r="Y96" i="9" l="1"/>
  <c r="Z96" i="9" s="1"/>
  <c r="Y97" i="9"/>
  <c r="Z97" i="9" s="1"/>
  <c r="Z186" i="9"/>
  <c r="P45" i="9"/>
  <c r="Q45" i="9" s="1"/>
  <c r="P46" i="9"/>
  <c r="Q46" i="9" s="1"/>
  <c r="V45" i="9"/>
  <c r="Z187" i="9"/>
  <c r="AA187" i="9" s="1"/>
  <c r="AB187" i="9" s="1"/>
  <c r="U197" i="9" s="1"/>
  <c r="H18" i="4"/>
  <c r="E33" i="8"/>
  <c r="W58" i="9"/>
  <c r="W57" i="9"/>
  <c r="X57" i="9" s="1"/>
  <c r="AA296" i="9"/>
  <c r="AB296" i="9" s="1"/>
  <c r="U298" i="9" s="1"/>
  <c r="AA297" i="9"/>
  <c r="AB297" i="9" s="1"/>
  <c r="U299" i="9" s="1"/>
  <c r="E28" i="8"/>
  <c r="P104" i="6"/>
  <c r="B23" i="2" s="1"/>
  <c r="M21" i="9"/>
  <c r="N21" i="9" s="1"/>
  <c r="P30" i="11"/>
  <c r="H24" i="9"/>
  <c r="F27" i="8" l="1"/>
  <c r="P24" i="9"/>
  <c r="Q24" i="9" s="1"/>
  <c r="P23" i="9"/>
  <c r="V24" i="9"/>
  <c r="W46" i="9"/>
  <c r="X46" i="9" s="1"/>
  <c r="W45" i="9"/>
  <c r="X45" i="9" s="1"/>
  <c r="D23" i="2"/>
  <c r="C23" i="2"/>
  <c r="AA186" i="9"/>
  <c r="AB186" i="9" s="1"/>
  <c r="U196" i="9" s="1"/>
  <c r="AA185" i="9"/>
  <c r="AB185" i="9" s="1"/>
  <c r="U191" i="9" s="1"/>
  <c r="AA184" i="9"/>
  <c r="AB184" i="9" s="1"/>
  <c r="U190" i="9" s="1"/>
  <c r="F28" i="8"/>
  <c r="F23" i="8"/>
  <c r="F25" i="8"/>
  <c r="F30" i="8"/>
  <c r="Y299" i="9"/>
  <c r="Z299" i="9" s="1"/>
  <c r="Y298" i="9"/>
  <c r="Z298" i="9" s="1"/>
  <c r="AA97" i="9"/>
  <c r="AB97" i="9" s="1"/>
  <c r="U110" i="9" s="1"/>
  <c r="AA96" i="9"/>
  <c r="AB96" i="9" s="1"/>
  <c r="U98" i="9" s="1"/>
  <c r="R30" i="11"/>
  <c r="H23" i="9"/>
  <c r="F33" i="8"/>
  <c r="Y197" i="9" l="1"/>
  <c r="Z197" i="9" s="1"/>
  <c r="Y199" i="9"/>
  <c r="Y196" i="9"/>
  <c r="Z196" i="9" s="1"/>
  <c r="Y198" i="9"/>
  <c r="Z190" i="9"/>
  <c r="V23" i="9"/>
  <c r="AA298" i="9"/>
  <c r="AB298" i="9" s="1"/>
  <c r="U300" i="9" s="1"/>
  <c r="AA299" i="9"/>
  <c r="AB299" i="9" s="1"/>
  <c r="U301" i="9" s="1"/>
  <c r="Y99" i="9"/>
  <c r="Z99" i="9" s="1"/>
  <c r="Y98" i="9"/>
  <c r="Z98" i="9" s="1"/>
  <c r="Q23" i="9"/>
  <c r="Y111" i="9"/>
  <c r="Y110" i="9"/>
  <c r="Z110" i="9" s="1"/>
  <c r="Z191" i="9"/>
  <c r="AA191" i="9" s="1"/>
  <c r="AB191" i="9" s="1"/>
  <c r="N108" i="6" s="1"/>
  <c r="J46" i="9"/>
  <c r="J45" i="9"/>
  <c r="W23" i="9"/>
  <c r="W24" i="9"/>
  <c r="X24" i="9" s="1"/>
  <c r="X23" i="9" l="1"/>
  <c r="AA99" i="9"/>
  <c r="AB99" i="9" s="1"/>
  <c r="U101" i="9" s="1"/>
  <c r="AA98" i="9"/>
  <c r="AB98" i="9" s="1"/>
  <c r="U100" i="9" s="1"/>
  <c r="M46" i="9"/>
  <c r="N46" i="9" s="1"/>
  <c r="AA190" i="9"/>
  <c r="AB190" i="9" s="1"/>
  <c r="U205" i="9" s="1"/>
  <c r="AA188" i="9"/>
  <c r="AB188" i="9" s="1"/>
  <c r="U195" i="9" s="1"/>
  <c r="AA189" i="9"/>
  <c r="AB189" i="9" s="1"/>
  <c r="U194" i="9" s="1"/>
  <c r="M45" i="9"/>
  <c r="N45" i="9" s="1"/>
  <c r="J24" i="9"/>
  <c r="M24" i="9" s="1"/>
  <c r="N24" i="9" s="1"/>
  <c r="J23" i="9"/>
  <c r="M23" i="9" s="1"/>
  <c r="N23" i="9" s="1"/>
  <c r="Y300" i="9"/>
  <c r="Z300" i="9" s="1"/>
  <c r="Y301" i="9"/>
  <c r="Z301" i="9" s="1"/>
  <c r="R31" i="11" l="1"/>
  <c r="H25" i="9"/>
  <c r="P31" i="11"/>
  <c r="H26" i="9"/>
  <c r="K42" i="11"/>
  <c r="H47" i="9"/>
  <c r="Y204" i="9"/>
  <c r="Z204" i="9" s="1"/>
  <c r="Y206" i="9"/>
  <c r="Y205" i="9"/>
  <c r="Z205" i="9" s="1"/>
  <c r="Y207" i="9"/>
  <c r="M43" i="11"/>
  <c r="M42" i="11"/>
  <c r="H49" i="9"/>
  <c r="Z195" i="9"/>
  <c r="AA195" i="9" s="1"/>
  <c r="AB195" i="9" s="1"/>
  <c r="U211" i="9" s="1"/>
  <c r="Z194" i="9"/>
  <c r="AA300" i="9"/>
  <c r="AB300" i="9" s="1"/>
  <c r="AA301" i="9"/>
  <c r="AB301" i="9" s="1"/>
  <c r="L93" i="6" s="1"/>
  <c r="Y101" i="9"/>
  <c r="Z101" i="9" s="1"/>
  <c r="Y100" i="9"/>
  <c r="Z100" i="9" s="1"/>
  <c r="U302" i="9" l="1"/>
  <c r="P49" i="9"/>
  <c r="Q49" i="9" s="1"/>
  <c r="P50" i="9"/>
  <c r="V49" i="9"/>
  <c r="AA101" i="9"/>
  <c r="AB101" i="9" s="1"/>
  <c r="U103" i="9" s="1"/>
  <c r="AA100" i="9"/>
  <c r="AB100" i="9" s="1"/>
  <c r="U102" i="9" s="1"/>
  <c r="P47" i="9"/>
  <c r="Q47" i="9" s="1"/>
  <c r="P48" i="9"/>
  <c r="V47" i="9"/>
  <c r="P25" i="9"/>
  <c r="Q25" i="9" s="1"/>
  <c r="P26" i="9"/>
  <c r="Q26" i="9" s="1"/>
  <c r="V26" i="9"/>
  <c r="AA192" i="9"/>
  <c r="AB192" i="9" s="1"/>
  <c r="U198" i="9" s="1"/>
  <c r="AA194" i="9"/>
  <c r="AB194" i="9" s="1"/>
  <c r="U210" i="9" s="1"/>
  <c r="AA193" i="9"/>
  <c r="AB193" i="9" s="1"/>
  <c r="U199" i="9" s="1"/>
  <c r="V25" i="9"/>
  <c r="Y302" i="9" l="1"/>
  <c r="Z302" i="9" s="1"/>
  <c r="Y303" i="9"/>
  <c r="Z303" i="9" s="1"/>
  <c r="AA303" i="9" s="1"/>
  <c r="AB303" i="9" s="1"/>
  <c r="U305" i="9" s="1"/>
  <c r="W48" i="9"/>
  <c r="W47" i="9"/>
  <c r="X47" i="9" s="1"/>
  <c r="Z199" i="9"/>
  <c r="AA199" i="9" s="1"/>
  <c r="AB199" i="9" s="1"/>
  <c r="U218" i="9" s="1"/>
  <c r="Z198" i="9"/>
  <c r="Y103" i="9"/>
  <c r="Z103" i="9" s="1"/>
  <c r="Y102" i="9"/>
  <c r="Z102" i="9" s="1"/>
  <c r="W50" i="9"/>
  <c r="W49" i="9"/>
  <c r="X49" i="9" s="1"/>
  <c r="W26" i="9"/>
  <c r="X26" i="9" s="1"/>
  <c r="W25" i="9"/>
  <c r="X25" i="9" s="1"/>
  <c r="AA302" i="9" l="1"/>
  <c r="AB302" i="9" s="1"/>
  <c r="U304" i="9" s="1"/>
  <c r="Y305" i="9" s="1"/>
  <c r="Z305" i="9" s="1"/>
  <c r="Y304" i="9"/>
  <c r="B107" i="6"/>
  <c r="G107" i="6"/>
  <c r="AA103" i="9"/>
  <c r="AB103" i="9" s="1"/>
  <c r="U111" i="9" s="1"/>
  <c r="AA102" i="9"/>
  <c r="AB102" i="9" s="1"/>
  <c r="F102" i="6" s="1"/>
  <c r="J26" i="9"/>
  <c r="M26" i="9" s="1"/>
  <c r="N26" i="9" s="1"/>
  <c r="J25" i="9"/>
  <c r="M25" i="9" s="1"/>
  <c r="N25" i="9" s="1"/>
  <c r="AA198" i="9"/>
  <c r="AB198" i="9" s="1"/>
  <c r="U219" i="9" s="1"/>
  <c r="AA197" i="9"/>
  <c r="AB197" i="9" s="1"/>
  <c r="U201" i="9" s="1"/>
  <c r="AA196" i="9"/>
  <c r="AB196" i="9" s="1"/>
  <c r="U200" i="9" s="1"/>
  <c r="Z304" i="9" l="1"/>
  <c r="AA304" i="9" s="1"/>
  <c r="AB304" i="9" s="1"/>
  <c r="U312" i="9" s="1"/>
  <c r="F107" i="6"/>
  <c r="H21" i="4" s="1"/>
  <c r="Y202" i="9"/>
  <c r="Z202" i="9" s="1"/>
  <c r="Y201" i="9"/>
  <c r="Z201" i="9" s="1"/>
  <c r="Y203" i="9"/>
  <c r="Z203" i="9" s="1"/>
  <c r="AA203" i="9" s="1"/>
  <c r="AB203" i="9" s="1"/>
  <c r="U212" i="9" s="1"/>
  <c r="Y200" i="9"/>
  <c r="Z200" i="9" s="1"/>
  <c r="R32" i="11"/>
  <c r="H27" i="9"/>
  <c r="P32" i="11"/>
  <c r="H28" i="9"/>
  <c r="Z111" i="9"/>
  <c r="AA305" i="9" l="1"/>
  <c r="AB305" i="9" s="1"/>
  <c r="U313" i="9" s="1"/>
  <c r="I107" i="6"/>
  <c r="P107" i="6" s="1"/>
  <c r="B26" i="2" s="1"/>
  <c r="D26" i="2" s="1"/>
  <c r="P27" i="9"/>
  <c r="Q27" i="9" s="1"/>
  <c r="P28" i="9"/>
  <c r="Q28" i="9" s="1"/>
  <c r="V28" i="9"/>
  <c r="V27" i="9"/>
  <c r="AA201" i="9"/>
  <c r="AB201" i="9" s="1"/>
  <c r="U207" i="9" s="1"/>
  <c r="AA200" i="9"/>
  <c r="AB200" i="9" s="1"/>
  <c r="U206" i="9" s="1"/>
  <c r="AA202" i="9"/>
  <c r="AB202" i="9" s="1"/>
  <c r="U213" i="9" s="1"/>
  <c r="Y215" i="9" s="1"/>
  <c r="AA111" i="9"/>
  <c r="AB111" i="9" s="1"/>
  <c r="U113" i="9" s="1"/>
  <c r="AA110" i="9"/>
  <c r="AB110" i="9" s="1"/>
  <c r="U112" i="9" s="1"/>
  <c r="Y312" i="9" l="1"/>
  <c r="Z312" i="9" s="1"/>
  <c r="AA312" i="9" s="1"/>
  <c r="AB312" i="9" s="1"/>
  <c r="Y313" i="9"/>
  <c r="Z313" i="9" s="1"/>
  <c r="AA313" i="9" s="1"/>
  <c r="AB313" i="9" s="1"/>
  <c r="C26" i="2"/>
  <c r="Z207" i="9"/>
  <c r="AA207" i="9" s="1"/>
  <c r="AB207" i="9" s="1"/>
  <c r="I108" i="6" s="1"/>
  <c r="Y212" i="9"/>
  <c r="Z212" i="9" s="1"/>
  <c r="Z206" i="9"/>
  <c r="Y112" i="9"/>
  <c r="Z112" i="9" s="1"/>
  <c r="Y113" i="9"/>
  <c r="Z113" i="9" s="1"/>
  <c r="Y213" i="9"/>
  <c r="Z213" i="9" s="1"/>
  <c r="W27" i="9"/>
  <c r="X27" i="9" s="1"/>
  <c r="W28" i="9"/>
  <c r="X28" i="9" s="1"/>
  <c r="Y214" i="9"/>
  <c r="U315" i="9" l="1"/>
  <c r="U314" i="9"/>
  <c r="J27" i="9"/>
  <c r="M27" i="9" s="1"/>
  <c r="N27" i="9" s="1"/>
  <c r="J28" i="9"/>
  <c r="M28" i="9" s="1"/>
  <c r="N28" i="9" s="1"/>
  <c r="AA113" i="9"/>
  <c r="AB113" i="9" s="1"/>
  <c r="U115" i="9" s="1"/>
  <c r="AA112" i="9"/>
  <c r="AB112" i="9" s="1"/>
  <c r="U114" i="9" s="1"/>
  <c r="AA206" i="9"/>
  <c r="AB206" i="9" s="1"/>
  <c r="J108" i="6" s="1"/>
  <c r="AA205" i="9"/>
  <c r="AB205" i="9" s="1"/>
  <c r="U209" i="9" s="1"/>
  <c r="AA204" i="9"/>
  <c r="AB204" i="9" s="1"/>
  <c r="U208" i="9" s="1"/>
  <c r="Y314" i="9" l="1"/>
  <c r="Z314" i="9" s="1"/>
  <c r="AA314" i="9" s="1"/>
  <c r="AB314" i="9" s="1"/>
  <c r="G93" i="6" s="1"/>
  <c r="Y315" i="9"/>
  <c r="Z315" i="9" s="1"/>
  <c r="AA315" i="9" s="1"/>
  <c r="AB315" i="9" s="1"/>
  <c r="B93" i="6" s="1"/>
  <c r="Y208" i="9"/>
  <c r="Z208" i="9" s="1"/>
  <c r="Y210" i="9"/>
  <c r="Z210" i="9" s="1"/>
  <c r="Y209" i="9"/>
  <c r="Z209" i="9" s="1"/>
  <c r="Y211" i="9"/>
  <c r="Z211" i="9" s="1"/>
  <c r="AA211" i="9" s="1"/>
  <c r="AB211" i="9" s="1"/>
  <c r="L108" i="6" s="1"/>
  <c r="P33" i="11"/>
  <c r="P35" i="11"/>
  <c r="P34" i="11"/>
  <c r="P36" i="11"/>
  <c r="H35" i="9"/>
  <c r="Y115" i="9"/>
  <c r="Z115" i="9" s="1"/>
  <c r="Y114" i="9"/>
  <c r="Z114" i="9" s="1"/>
  <c r="R35" i="11"/>
  <c r="R34" i="11"/>
  <c r="R36" i="11"/>
  <c r="R33" i="11"/>
  <c r="H36" i="9"/>
  <c r="H7" i="4" l="1"/>
  <c r="P93" i="6"/>
  <c r="B12" i="2" s="1"/>
  <c r="AA115" i="9"/>
  <c r="AB115" i="9" s="1"/>
  <c r="U227" i="9" s="1"/>
  <c r="AA114" i="9"/>
  <c r="AB114" i="9" s="1"/>
  <c r="J102" i="6" s="1"/>
  <c r="P36" i="9"/>
  <c r="Q36" i="9" s="1"/>
  <c r="P35" i="9"/>
  <c r="Q35" i="9" s="1"/>
  <c r="V35" i="9"/>
  <c r="V36" i="9"/>
  <c r="AA209" i="9"/>
  <c r="AB209" i="9" s="1"/>
  <c r="U215" i="9" s="1"/>
  <c r="AA208" i="9"/>
  <c r="AB208" i="9" s="1"/>
  <c r="U214" i="9" s="1"/>
  <c r="AA210" i="9"/>
  <c r="AB210" i="9" s="1"/>
  <c r="H108" i="6" s="1"/>
  <c r="D12" i="2" l="1"/>
  <c r="C12" i="2"/>
  <c r="Z214" i="9"/>
  <c r="Z215" i="9"/>
  <c r="AA215" i="9" s="1"/>
  <c r="AB215" i="9" s="1"/>
  <c r="C108" i="6" s="1"/>
  <c r="W35" i="9"/>
  <c r="X35" i="9" s="1"/>
  <c r="W36" i="9"/>
  <c r="X36" i="9" s="1"/>
  <c r="Y228" i="9"/>
  <c r="Z228" i="9" s="1"/>
  <c r="Y227" i="9"/>
  <c r="Z227" i="9" s="1"/>
  <c r="AA228" i="9" l="1"/>
  <c r="AB228" i="9" s="1"/>
  <c r="U230" i="9" s="1"/>
  <c r="AA227" i="9"/>
  <c r="AB227" i="9" s="1"/>
  <c r="U229" i="9" s="1"/>
  <c r="J36" i="9"/>
  <c r="M36" i="9" s="1"/>
  <c r="N36" i="9" s="1"/>
  <c r="J35" i="9"/>
  <c r="M35" i="9" s="1"/>
  <c r="N35" i="9" s="1"/>
  <c r="AA213" i="9"/>
  <c r="AB213" i="9" s="1"/>
  <c r="U217" i="9" s="1"/>
  <c r="AA212" i="9"/>
  <c r="AB212" i="9" s="1"/>
  <c r="U216" i="9" s="1"/>
  <c r="AA214" i="9"/>
  <c r="AB214" i="9" s="1"/>
  <c r="B108" i="6" s="1"/>
  <c r="P37" i="11" l="1"/>
  <c r="H37" i="9"/>
  <c r="Y216" i="9"/>
  <c r="Z216" i="9" s="1"/>
  <c r="Y219" i="9"/>
  <c r="Z219" i="9" s="1"/>
  <c r="AA219" i="9" s="1"/>
  <c r="AB219" i="9" s="1"/>
  <c r="F108" i="6" s="1"/>
  <c r="Y218" i="9"/>
  <c r="Z218" i="9" s="1"/>
  <c r="Y217" i="9"/>
  <c r="Z217" i="9" s="1"/>
  <c r="R37" i="11"/>
  <c r="H38" i="9"/>
  <c r="Y230" i="9"/>
  <c r="Z230" i="9" s="1"/>
  <c r="Y229" i="9"/>
  <c r="Z229" i="9" s="1"/>
  <c r="P38" i="9" l="1"/>
  <c r="Q38" i="9" s="1"/>
  <c r="P37" i="9"/>
  <c r="Q37" i="9" s="1"/>
  <c r="V38" i="9"/>
  <c r="AA229" i="9"/>
  <c r="AB229" i="9" s="1"/>
  <c r="U231" i="9" s="1"/>
  <c r="AA230" i="9"/>
  <c r="AB230" i="9" s="1"/>
  <c r="U232" i="9" s="1"/>
  <c r="AA217" i="9"/>
  <c r="AB217" i="9" s="1"/>
  <c r="E108" i="6" s="1"/>
  <c r="AA218" i="9"/>
  <c r="AB218" i="9" s="1"/>
  <c r="G108" i="6" s="1"/>
  <c r="H22" i="4" s="1"/>
  <c r="AA216" i="9"/>
  <c r="AB216" i="9" s="1"/>
  <c r="M108" i="6" s="1"/>
  <c r="V37" i="9"/>
  <c r="P108" i="6" l="1"/>
  <c r="B27" i="2" s="1"/>
  <c r="Y231" i="9"/>
  <c r="Z231" i="9" s="1"/>
  <c r="Y232" i="9"/>
  <c r="Z232" i="9" s="1"/>
  <c r="W38" i="9"/>
  <c r="X38" i="9" s="1"/>
  <c r="W37" i="9"/>
  <c r="X37" i="9" s="1"/>
  <c r="AA231" i="9" l="1"/>
  <c r="AB231" i="9" s="1"/>
  <c r="U234" i="9" s="1"/>
  <c r="AA232" i="9"/>
  <c r="AB232" i="9" s="1"/>
  <c r="H102" i="6" s="1"/>
  <c r="J38" i="9"/>
  <c r="M38" i="9" s="1"/>
  <c r="N38" i="9" s="1"/>
  <c r="J37" i="9"/>
  <c r="M37" i="9" s="1"/>
  <c r="N37" i="9" s="1"/>
  <c r="D27" i="2"/>
  <c r="C27" i="2"/>
  <c r="P38" i="11" l="1"/>
  <c r="H39" i="9"/>
  <c r="R38" i="11"/>
  <c r="H40" i="9"/>
  <c r="Y234" i="9"/>
  <c r="Z234" i="9" s="1"/>
  <c r="Y233" i="9"/>
  <c r="Z233" i="9" s="1"/>
  <c r="AA234" i="9" l="1"/>
  <c r="AB234" i="9" s="1"/>
  <c r="U287" i="9" s="1"/>
  <c r="AA233" i="9"/>
  <c r="AB233" i="9" s="1"/>
  <c r="C102" i="6" s="1"/>
  <c r="P39" i="9"/>
  <c r="Q39" i="9" s="1"/>
  <c r="P40" i="9"/>
  <c r="Q40" i="9" s="1"/>
  <c r="V40" i="9"/>
  <c r="V39" i="9"/>
  <c r="W40" i="9" l="1"/>
  <c r="X40" i="9" s="1"/>
  <c r="W39" i="9"/>
  <c r="X39" i="9" s="1"/>
  <c r="Z287" i="9"/>
  <c r="AA286" i="9" l="1"/>
  <c r="AB286" i="9" s="1"/>
  <c r="U288" i="9" s="1"/>
  <c r="AA287" i="9"/>
  <c r="AB287" i="9" s="1"/>
  <c r="U289" i="9" s="1"/>
  <c r="J39" i="9"/>
  <c r="M39" i="9" s="1"/>
  <c r="N39" i="9" s="1"/>
  <c r="J40" i="9"/>
  <c r="M40" i="9" s="1"/>
  <c r="N40" i="9" s="1"/>
  <c r="R39" i="11" l="1"/>
  <c r="H42" i="9"/>
  <c r="P39" i="11"/>
  <c r="H41" i="9"/>
  <c r="Y288" i="9"/>
  <c r="Z288" i="9" s="1"/>
  <c r="Y289" i="9"/>
  <c r="Z289" i="9" s="1"/>
  <c r="AA288" i="9" l="1"/>
  <c r="AB288" i="9" s="1"/>
  <c r="G102" i="6" s="1"/>
  <c r="AA289" i="9"/>
  <c r="AB289" i="9" s="1"/>
  <c r="L102" i="6" s="1"/>
  <c r="V41" i="9"/>
  <c r="P41" i="9"/>
  <c r="Q41" i="9" s="1"/>
  <c r="P42" i="9"/>
  <c r="Q42" i="9" s="1"/>
  <c r="V42" i="9"/>
  <c r="H16" i="4" l="1"/>
  <c r="B19" i="4" s="1"/>
  <c r="P102" i="6"/>
  <c r="B21" i="2" s="1"/>
  <c r="D21" i="2" s="1"/>
  <c r="W42" i="9"/>
  <c r="X42" i="9" s="1"/>
  <c r="W41" i="9"/>
  <c r="X41" i="9" s="1"/>
  <c r="C21" i="2" l="1"/>
  <c r="J42" i="9"/>
  <c r="M42" i="9" s="1"/>
  <c r="N42" i="9" s="1"/>
  <c r="J41" i="9"/>
  <c r="M41" i="9" s="1"/>
  <c r="N41" i="9" s="1"/>
  <c r="P77" i="11" l="1"/>
  <c r="P61" i="11"/>
  <c r="P45" i="11"/>
  <c r="P70" i="11"/>
  <c r="P54" i="11"/>
  <c r="P63" i="11"/>
  <c r="P72" i="11"/>
  <c r="P56" i="11"/>
  <c r="P65" i="11"/>
  <c r="P49" i="11"/>
  <c r="P74" i="11"/>
  <c r="P58" i="11"/>
  <c r="P42" i="11"/>
  <c r="P67" i="11"/>
  <c r="P51" i="11"/>
  <c r="P76" i="11"/>
  <c r="P60" i="11"/>
  <c r="P44" i="11"/>
  <c r="P69" i="11"/>
  <c r="P53" i="11"/>
  <c r="P78" i="11"/>
  <c r="P62" i="11"/>
  <c r="P46" i="11"/>
  <c r="P71" i="11"/>
  <c r="P55" i="11"/>
  <c r="P73" i="11"/>
  <c r="P66" i="11"/>
  <c r="P50" i="11"/>
  <c r="P75" i="11"/>
  <c r="P59" i="11"/>
  <c r="P68" i="11"/>
  <c r="P43" i="11"/>
  <c r="P57" i="11"/>
  <c r="P64" i="11"/>
  <c r="P52" i="11"/>
  <c r="P47" i="11"/>
  <c r="P48" i="11"/>
  <c r="P41" i="11"/>
  <c r="P40" i="11"/>
  <c r="H120" i="9"/>
  <c r="R40" i="11"/>
  <c r="R41" i="11"/>
  <c r="R42" i="11"/>
  <c r="H48" i="9"/>
  <c r="V48" i="9" l="1"/>
  <c r="X48" i="9" s="1"/>
  <c r="Q48" i="9"/>
  <c r="V120" i="9"/>
  <c r="J47" i="9" l="1"/>
  <c r="J48" i="9"/>
  <c r="M48" i="9" s="1"/>
  <c r="N48" i="9" s="1"/>
  <c r="R43" i="11" l="1"/>
  <c r="H50" i="9"/>
  <c r="M47" i="9"/>
  <c r="N47" i="9" s="1"/>
  <c r="K48" i="11" l="1"/>
  <c r="K52" i="11"/>
  <c r="K45" i="11"/>
  <c r="K47" i="11"/>
  <c r="K49" i="11"/>
  <c r="K44" i="11"/>
  <c r="K43" i="11"/>
  <c r="K50" i="11"/>
  <c r="K51" i="11"/>
  <c r="K46" i="11"/>
  <c r="H67" i="9"/>
  <c r="V50" i="9"/>
  <c r="X50" i="9" s="1"/>
  <c r="Q50" i="9"/>
  <c r="J50" i="9" l="1"/>
  <c r="M50" i="9" s="1"/>
  <c r="N50" i="9" s="1"/>
  <c r="J49" i="9"/>
  <c r="V67" i="9"/>
  <c r="X67" i="9" s="1"/>
  <c r="Q67" i="9"/>
  <c r="M49" i="9" l="1"/>
  <c r="N49" i="9" s="1"/>
  <c r="J67" i="9"/>
  <c r="J68" i="9"/>
  <c r="R44" i="11"/>
  <c r="H52" i="9"/>
  <c r="V52" i="9" l="1"/>
  <c r="M68" i="9"/>
  <c r="N68" i="9" s="1"/>
  <c r="M67" i="9"/>
  <c r="N67" i="9" s="1"/>
  <c r="M44" i="11"/>
  <c r="H51" i="9"/>
  <c r="P52" i="9" l="1"/>
  <c r="Q52" i="9" s="1"/>
  <c r="P51" i="9"/>
  <c r="Q51" i="9" s="1"/>
  <c r="V51" i="9"/>
  <c r="K53" i="11"/>
  <c r="H69" i="9"/>
  <c r="U58" i="11"/>
  <c r="U60" i="11"/>
  <c r="U53" i="11"/>
  <c r="U55" i="11"/>
  <c r="U57" i="11"/>
  <c r="U59" i="11"/>
  <c r="U56" i="11"/>
  <c r="U54" i="11"/>
  <c r="U61" i="11"/>
  <c r="H87" i="9"/>
  <c r="Q87" i="9" l="1"/>
  <c r="V87" i="9"/>
  <c r="X87" i="9" s="1"/>
  <c r="P70" i="9"/>
  <c r="P69" i="9"/>
  <c r="Q69" i="9" s="1"/>
  <c r="V69" i="9"/>
  <c r="W51" i="9"/>
  <c r="X51" i="9" s="1"/>
  <c r="W52" i="9"/>
  <c r="X52" i="9" s="1"/>
  <c r="W70" i="9" l="1"/>
  <c r="W69" i="9"/>
  <c r="X69" i="9" s="1"/>
  <c r="J87" i="9"/>
  <c r="J86" i="9"/>
  <c r="J51" i="9"/>
  <c r="J52" i="9"/>
  <c r="M52" i="9" s="1"/>
  <c r="N52" i="9" s="1"/>
  <c r="R45" i="11" l="1"/>
  <c r="H54" i="9"/>
  <c r="M86" i="9"/>
  <c r="N86" i="9" s="1"/>
  <c r="M51" i="9"/>
  <c r="N51" i="9" s="1"/>
  <c r="M87" i="9"/>
  <c r="N87" i="9" s="1"/>
  <c r="U62" i="11" l="1"/>
  <c r="H89" i="9"/>
  <c r="M45" i="11"/>
  <c r="H53" i="9"/>
  <c r="S62" i="11"/>
  <c r="H88" i="9"/>
  <c r="V54" i="9"/>
  <c r="P88" i="9" l="1"/>
  <c r="Q88" i="9" s="1"/>
  <c r="P89" i="9"/>
  <c r="Q89" i="9" s="1"/>
  <c r="V88" i="9"/>
  <c r="P54" i="9"/>
  <c r="Q54" i="9" s="1"/>
  <c r="P53" i="9"/>
  <c r="Q53" i="9" s="1"/>
  <c r="V53" i="9"/>
  <c r="V89" i="9"/>
  <c r="W53" i="9" l="1"/>
  <c r="X53" i="9" s="1"/>
  <c r="W54" i="9"/>
  <c r="X54" i="9" s="1"/>
  <c r="W89" i="9"/>
  <c r="X89" i="9" s="1"/>
  <c r="W88" i="9"/>
  <c r="X88" i="9" s="1"/>
  <c r="J89" i="9" l="1"/>
  <c r="J88" i="9"/>
  <c r="J53" i="9"/>
  <c r="J54" i="9"/>
  <c r="M54" i="9" s="1"/>
  <c r="N54" i="9" s="1"/>
  <c r="R46" i="11" l="1"/>
  <c r="H56" i="9"/>
  <c r="M88" i="9"/>
  <c r="N88" i="9" s="1"/>
  <c r="M53" i="9"/>
  <c r="N53" i="9" s="1"/>
  <c r="M89" i="9"/>
  <c r="N89" i="9" s="1"/>
  <c r="U67" i="11" l="1"/>
  <c r="U64" i="11"/>
  <c r="U66" i="11"/>
  <c r="U63" i="11"/>
  <c r="U65" i="11"/>
  <c r="H99" i="9"/>
  <c r="M46" i="11"/>
  <c r="H55" i="9"/>
  <c r="S63" i="11"/>
  <c r="H91" i="9"/>
  <c r="V56" i="9"/>
  <c r="V91" i="9" l="1"/>
  <c r="P56" i="9"/>
  <c r="Q56" i="9" s="1"/>
  <c r="P55" i="9"/>
  <c r="Q55" i="9" s="1"/>
  <c r="V55" i="9"/>
  <c r="V99" i="9"/>
  <c r="W56" i="9" l="1"/>
  <c r="X56" i="9" s="1"/>
  <c r="W55" i="9"/>
  <c r="X55" i="9" s="1"/>
  <c r="J56" i="9" l="1"/>
  <c r="M56" i="9" s="1"/>
  <c r="N56" i="9" s="1"/>
  <c r="J55" i="9"/>
  <c r="M55" i="9" s="1"/>
  <c r="N55" i="9" s="1"/>
  <c r="M50" i="11" l="1"/>
  <c r="M52" i="11"/>
  <c r="M54" i="11"/>
  <c r="M47" i="11"/>
  <c r="M49" i="11"/>
  <c r="M51" i="11"/>
  <c r="M55" i="11"/>
  <c r="M48" i="11"/>
  <c r="M53" i="11"/>
  <c r="H74" i="9"/>
  <c r="R47" i="11"/>
  <c r="H58" i="9"/>
  <c r="V58" i="9" l="1"/>
  <c r="X58" i="9" s="1"/>
  <c r="Q58" i="9"/>
  <c r="V74" i="9"/>
  <c r="J58" i="9" l="1"/>
  <c r="M58" i="9" s="1"/>
  <c r="N58" i="9" s="1"/>
  <c r="J57" i="9"/>
  <c r="M57" i="9" s="1"/>
  <c r="N57" i="9" s="1"/>
  <c r="O48" i="11" l="1"/>
  <c r="H59" i="9"/>
  <c r="R48" i="11"/>
  <c r="R49" i="11"/>
  <c r="H62" i="9"/>
  <c r="P62" i="9" l="1"/>
  <c r="Q62" i="9" s="1"/>
  <c r="P61" i="9"/>
  <c r="V62" i="9"/>
  <c r="P59" i="9"/>
  <c r="Q59" i="9" s="1"/>
  <c r="P60" i="9"/>
  <c r="Q60" i="9" s="1"/>
  <c r="V59" i="9"/>
  <c r="W60" i="9" l="1"/>
  <c r="X60" i="9" s="1"/>
  <c r="W59" i="9"/>
  <c r="X59" i="9" s="1"/>
  <c r="W61" i="9"/>
  <c r="W62" i="9"/>
  <c r="X62" i="9" s="1"/>
  <c r="J60" i="9" l="1"/>
  <c r="J59" i="9"/>
  <c r="M59" i="9" s="1"/>
  <c r="N59" i="9" s="1"/>
  <c r="O49" i="11" l="1"/>
  <c r="O50" i="11"/>
  <c r="H63" i="9"/>
  <c r="M60" i="9"/>
  <c r="N60" i="9" s="1"/>
  <c r="N49" i="11" l="1"/>
  <c r="H61" i="9"/>
  <c r="P64" i="9"/>
  <c r="P63" i="9"/>
  <c r="Q63" i="9" s="1"/>
  <c r="V63" i="9"/>
  <c r="W64" i="9" l="1"/>
  <c r="W63" i="9"/>
  <c r="X63" i="9" s="1"/>
  <c r="V61" i="9"/>
  <c r="X61" i="9" s="1"/>
  <c r="Q61" i="9"/>
  <c r="J61" i="9" l="1"/>
  <c r="J62" i="9"/>
  <c r="M62" i="9" s="1"/>
  <c r="N62" i="9" s="1"/>
  <c r="R50" i="11" l="1"/>
  <c r="H64" i="9"/>
  <c r="M61" i="9"/>
  <c r="N61" i="9" s="1"/>
  <c r="N51" i="11" l="1"/>
  <c r="N50" i="11"/>
  <c r="H66" i="9"/>
  <c r="V64" i="9"/>
  <c r="X64" i="9" s="1"/>
  <c r="Q64" i="9"/>
  <c r="J64" i="9" l="1"/>
  <c r="M64" i="9" s="1"/>
  <c r="N64" i="9" s="1"/>
  <c r="J63" i="9"/>
  <c r="M63" i="9" s="1"/>
  <c r="N63" i="9" s="1"/>
  <c r="V66" i="9"/>
  <c r="O51" i="11" l="1"/>
  <c r="H65" i="9"/>
  <c r="R51" i="11"/>
  <c r="R53" i="11"/>
  <c r="R52" i="11"/>
  <c r="R54" i="11"/>
  <c r="H71" i="9"/>
  <c r="P72" i="9" l="1"/>
  <c r="P71" i="9"/>
  <c r="Q71" i="9" s="1"/>
  <c r="V71" i="9"/>
  <c r="P65" i="9"/>
  <c r="Q65" i="9" s="1"/>
  <c r="P66" i="9"/>
  <c r="Q66" i="9" s="1"/>
  <c r="V65" i="9"/>
  <c r="W66" i="9" l="1"/>
  <c r="X66" i="9" s="1"/>
  <c r="W65" i="9"/>
  <c r="X65" i="9" s="1"/>
  <c r="W71" i="9"/>
  <c r="X71" i="9" s="1"/>
  <c r="W72" i="9"/>
  <c r="J66" i="9" l="1"/>
  <c r="J65" i="9"/>
  <c r="M65" i="9" s="1"/>
  <c r="N65" i="9" s="1"/>
  <c r="O52" i="11" l="1"/>
  <c r="O54" i="11"/>
  <c r="O56" i="11"/>
  <c r="O53" i="11"/>
  <c r="O57" i="11"/>
  <c r="O55" i="11"/>
  <c r="H77" i="9"/>
  <c r="M66" i="9"/>
  <c r="N66" i="9" s="1"/>
  <c r="P78" i="9" l="1"/>
  <c r="P77" i="9"/>
  <c r="Q77" i="9" s="1"/>
  <c r="P79" i="9"/>
  <c r="V77" i="9"/>
  <c r="N52" i="11"/>
  <c r="N53" i="11"/>
  <c r="H70" i="9"/>
  <c r="V70" i="9" l="1"/>
  <c r="X70" i="9" s="1"/>
  <c r="Q70" i="9"/>
  <c r="W77" i="9"/>
  <c r="X77" i="9" s="1"/>
  <c r="W79" i="9"/>
  <c r="W78" i="9"/>
  <c r="J70" i="9" l="1"/>
  <c r="J69" i="9"/>
  <c r="M69" i="9" s="1"/>
  <c r="N69" i="9" s="1"/>
  <c r="K54" i="11" l="1"/>
  <c r="H72" i="9"/>
  <c r="M70" i="9"/>
  <c r="N70" i="9" s="1"/>
  <c r="N54" i="11" l="1"/>
  <c r="N56" i="11"/>
  <c r="N58" i="11"/>
  <c r="N57" i="11"/>
  <c r="N55" i="11"/>
  <c r="H80" i="9"/>
  <c r="V72" i="9"/>
  <c r="X72" i="9" s="1"/>
  <c r="Q72" i="9"/>
  <c r="J72" i="9" l="1"/>
  <c r="M72" i="9" s="1"/>
  <c r="N72" i="9" s="1"/>
  <c r="J71" i="9"/>
  <c r="M71" i="9" s="1"/>
  <c r="N71" i="9" s="1"/>
  <c r="P81" i="9"/>
  <c r="Q81" i="9" s="1"/>
  <c r="P80" i="9"/>
  <c r="Q80" i="9" s="1"/>
  <c r="V80" i="9"/>
  <c r="W80" i="9" l="1"/>
  <c r="X80" i="9" s="1"/>
  <c r="W81" i="9"/>
  <c r="X81" i="9" s="1"/>
  <c r="R55" i="11"/>
  <c r="H73" i="9"/>
  <c r="K56" i="11"/>
  <c r="K55" i="11"/>
  <c r="H75" i="9"/>
  <c r="P75" i="9" l="1"/>
  <c r="Q75" i="9" s="1"/>
  <c r="P76" i="9"/>
  <c r="V75" i="9"/>
  <c r="P74" i="9"/>
  <c r="Q74" i="9" s="1"/>
  <c r="P73" i="9"/>
  <c r="Q73" i="9" s="1"/>
  <c r="V73" i="9"/>
  <c r="J81" i="9"/>
  <c r="J80" i="9"/>
  <c r="M80" i="9" s="1"/>
  <c r="N80" i="9" s="1"/>
  <c r="N59" i="11" l="1"/>
  <c r="H83" i="9"/>
  <c r="M81" i="9"/>
  <c r="N81" i="9" s="1"/>
  <c r="W74" i="9"/>
  <c r="X74" i="9" s="1"/>
  <c r="W73" i="9"/>
  <c r="X73" i="9" s="1"/>
  <c r="W76" i="9"/>
  <c r="W75" i="9"/>
  <c r="X75" i="9" s="1"/>
  <c r="J74" i="9" l="1"/>
  <c r="M74" i="9" s="1"/>
  <c r="N74" i="9" s="1"/>
  <c r="J73" i="9"/>
  <c r="M73" i="9" s="1"/>
  <c r="N73" i="9" s="1"/>
  <c r="T60" i="11"/>
  <c r="T59" i="11"/>
  <c r="H85" i="9"/>
  <c r="V83" i="9"/>
  <c r="R56" i="11" l="1"/>
  <c r="R57" i="11"/>
  <c r="H78" i="9"/>
  <c r="V85" i="9"/>
  <c r="M56" i="11"/>
  <c r="H76" i="9"/>
  <c r="V76" i="9" l="1"/>
  <c r="X76" i="9" s="1"/>
  <c r="Q76" i="9"/>
  <c r="V78" i="9"/>
  <c r="X78" i="9" s="1"/>
  <c r="Q78" i="9"/>
  <c r="J76" i="9" l="1"/>
  <c r="M76" i="9" s="1"/>
  <c r="N76" i="9" s="1"/>
  <c r="J75" i="9"/>
  <c r="M75" i="9" s="1"/>
  <c r="N75" i="9" s="1"/>
  <c r="J78" i="9"/>
  <c r="M78" i="9" s="1"/>
  <c r="N78" i="9" s="1"/>
  <c r="K80" i="11" l="1"/>
  <c r="K64" i="11"/>
  <c r="K73" i="11"/>
  <c r="K57" i="11"/>
  <c r="K66" i="11"/>
  <c r="K75" i="11"/>
  <c r="K59" i="11"/>
  <c r="K68" i="11"/>
  <c r="K77" i="11"/>
  <c r="K61" i="11"/>
  <c r="K70" i="11"/>
  <c r="K79" i="11"/>
  <c r="K63" i="11"/>
  <c r="K72" i="11"/>
  <c r="K65" i="11"/>
  <c r="K74" i="11"/>
  <c r="K58" i="11"/>
  <c r="K67" i="11"/>
  <c r="K76" i="11"/>
  <c r="K69" i="11"/>
  <c r="K78" i="11"/>
  <c r="K62" i="11"/>
  <c r="K71" i="11"/>
  <c r="K60" i="11"/>
  <c r="H125" i="9"/>
  <c r="R63" i="11"/>
  <c r="R58" i="11"/>
  <c r="R60" i="11"/>
  <c r="R62" i="11"/>
  <c r="R61" i="11"/>
  <c r="R59" i="11"/>
  <c r="H90" i="9"/>
  <c r="M57" i="11"/>
  <c r="H79" i="9"/>
  <c r="V125" i="9" l="1"/>
  <c r="P90" i="9"/>
  <c r="Q90" i="9" s="1"/>
  <c r="P91" i="9"/>
  <c r="Q91" i="9" s="1"/>
  <c r="V90" i="9"/>
  <c r="V79" i="9"/>
  <c r="X79" i="9" s="1"/>
  <c r="Q79" i="9"/>
  <c r="J79" i="9" l="1"/>
  <c r="M79" i="9" s="1"/>
  <c r="N79" i="9" s="1"/>
  <c r="J77" i="9"/>
  <c r="M77" i="9" s="1"/>
  <c r="N77" i="9" s="1"/>
  <c r="W90" i="9"/>
  <c r="X90" i="9" s="1"/>
  <c r="W91" i="9"/>
  <c r="X91" i="9" s="1"/>
  <c r="J91" i="9" l="1"/>
  <c r="J90" i="9"/>
  <c r="M90" i="9" s="1"/>
  <c r="N90" i="9" s="1"/>
  <c r="O58" i="11"/>
  <c r="O59" i="11"/>
  <c r="H82" i="9"/>
  <c r="M82" i="11"/>
  <c r="M66" i="11"/>
  <c r="M75" i="11"/>
  <c r="M59" i="11"/>
  <c r="M84" i="11"/>
  <c r="M68" i="11"/>
  <c r="M77" i="11"/>
  <c r="M61" i="11"/>
  <c r="M86" i="11"/>
  <c r="M70" i="11"/>
  <c r="M79" i="11"/>
  <c r="M63" i="11"/>
  <c r="M72" i="11"/>
  <c r="M81" i="11"/>
  <c r="M65" i="11"/>
  <c r="M74" i="11"/>
  <c r="M58" i="11"/>
  <c r="M83" i="11"/>
  <c r="M67" i="11"/>
  <c r="M76" i="11"/>
  <c r="M60" i="11"/>
  <c r="M85" i="11"/>
  <c r="M69" i="11"/>
  <c r="M78" i="11"/>
  <c r="M62" i="11"/>
  <c r="M87" i="11"/>
  <c r="M71" i="11"/>
  <c r="M80" i="11"/>
  <c r="M64" i="11"/>
  <c r="M73" i="11"/>
  <c r="H138" i="9"/>
  <c r="P83" i="9" l="1"/>
  <c r="Q83" i="9" s="1"/>
  <c r="P82" i="9"/>
  <c r="Q82" i="9" s="1"/>
  <c r="V82" i="9"/>
  <c r="R64" i="11"/>
  <c r="H92" i="9"/>
  <c r="P138" i="9"/>
  <c r="Q138" i="9" s="1"/>
  <c r="P139" i="9"/>
  <c r="V138" i="9"/>
  <c r="M91" i="9"/>
  <c r="N91" i="9" s="1"/>
  <c r="W139" i="9" l="1"/>
  <c r="W138" i="9"/>
  <c r="X138" i="9" s="1"/>
  <c r="V92" i="9"/>
  <c r="W83" i="9"/>
  <c r="X83" i="9" s="1"/>
  <c r="W82" i="9"/>
  <c r="X82" i="9" s="1"/>
  <c r="S65" i="11"/>
  <c r="S64" i="11"/>
  <c r="H95" i="9"/>
  <c r="V95" i="9" l="1"/>
  <c r="J83" i="9"/>
  <c r="M83" i="9" s="1"/>
  <c r="N83" i="9" s="1"/>
  <c r="J82" i="9"/>
  <c r="M82" i="9" s="1"/>
  <c r="N82" i="9" s="1"/>
  <c r="O60" i="11" l="1"/>
  <c r="H84" i="9"/>
  <c r="N75" i="11"/>
  <c r="N68" i="11"/>
  <c r="N77" i="11"/>
  <c r="N61" i="11"/>
  <c r="N70" i="11"/>
  <c r="N79" i="11"/>
  <c r="N63" i="11"/>
  <c r="N72" i="11"/>
  <c r="N65" i="11"/>
  <c r="N74" i="11"/>
  <c r="N67" i="11"/>
  <c r="N76" i="11"/>
  <c r="N60" i="11"/>
  <c r="N69" i="11"/>
  <c r="N78" i="11"/>
  <c r="N71" i="11"/>
  <c r="N80" i="11"/>
  <c r="N64" i="11"/>
  <c r="N73" i="11"/>
  <c r="N66" i="11"/>
  <c r="N62" i="11"/>
  <c r="H124" i="9"/>
  <c r="P125" i="9" l="1"/>
  <c r="Q125" i="9" s="1"/>
  <c r="P124" i="9"/>
  <c r="Q124" i="9" s="1"/>
  <c r="V124" i="9"/>
  <c r="P84" i="9"/>
  <c r="Q84" i="9" s="1"/>
  <c r="P85" i="9"/>
  <c r="Q85" i="9" s="1"/>
  <c r="V84" i="9"/>
  <c r="W85" i="9" l="1"/>
  <c r="X85" i="9" s="1"/>
  <c r="W84" i="9"/>
  <c r="X84" i="9" s="1"/>
  <c r="W124" i="9"/>
  <c r="X124" i="9" s="1"/>
  <c r="W125" i="9"/>
  <c r="X125" i="9" s="1"/>
  <c r="J125" i="9" l="1"/>
  <c r="M125" i="9" s="1"/>
  <c r="N125" i="9" s="1"/>
  <c r="J124" i="9"/>
  <c r="M124" i="9" s="1"/>
  <c r="N124" i="9" s="1"/>
  <c r="J85" i="9"/>
  <c r="J84" i="9"/>
  <c r="M84" i="9" s="1"/>
  <c r="N84" i="9" s="1"/>
  <c r="M85" i="9" l="1"/>
  <c r="N85" i="9" s="1"/>
  <c r="N84" i="11"/>
  <c r="N81" i="11"/>
  <c r="N83" i="11"/>
  <c r="N85" i="11"/>
  <c r="N82" i="11"/>
  <c r="H135" i="9"/>
  <c r="O61" i="11"/>
  <c r="O63" i="11"/>
  <c r="O62" i="11"/>
  <c r="O64" i="11"/>
  <c r="H93" i="9"/>
  <c r="K82" i="11"/>
  <c r="K81" i="11"/>
  <c r="H129" i="9"/>
  <c r="V129" i="9" l="1"/>
  <c r="X129" i="9" s="1"/>
  <c r="Q129" i="9"/>
  <c r="P93" i="9"/>
  <c r="Q93" i="9" s="1"/>
  <c r="P92" i="9"/>
  <c r="Q92" i="9" s="1"/>
  <c r="V93" i="9"/>
  <c r="V135" i="9"/>
  <c r="T81" i="11"/>
  <c r="T65" i="11"/>
  <c r="T74" i="11"/>
  <c r="T83" i="11"/>
  <c r="T67" i="11"/>
  <c r="T76" i="11"/>
  <c r="T69" i="11"/>
  <c r="T78" i="11"/>
  <c r="T62" i="11"/>
  <c r="T71" i="11"/>
  <c r="T80" i="11"/>
  <c r="T64" i="11"/>
  <c r="T73" i="11"/>
  <c r="T82" i="11"/>
  <c r="T66" i="11"/>
  <c r="T75" i="11"/>
  <c r="T68" i="11"/>
  <c r="T77" i="11"/>
  <c r="T70" i="11"/>
  <c r="T79" i="11"/>
  <c r="T63" i="11"/>
  <c r="T72" i="11"/>
  <c r="T61" i="11"/>
  <c r="H131" i="9"/>
  <c r="W93" i="9" l="1"/>
  <c r="X93" i="9" s="1"/>
  <c r="W92" i="9"/>
  <c r="X92" i="9" s="1"/>
  <c r="J128" i="9"/>
  <c r="J129" i="9"/>
  <c r="M129" i="9" s="1"/>
  <c r="N129" i="9" s="1"/>
  <c r="V131" i="9"/>
  <c r="K93" i="11" l="1"/>
  <c r="K95" i="11"/>
  <c r="K94" i="11"/>
  <c r="K89" i="11"/>
  <c r="K91" i="11"/>
  <c r="K84" i="11"/>
  <c r="K86" i="11"/>
  <c r="K88" i="11"/>
  <c r="K90" i="11"/>
  <c r="K83" i="11"/>
  <c r="K92" i="11"/>
  <c r="K85" i="11"/>
  <c r="K87" i="11"/>
  <c r="H163" i="9"/>
  <c r="M128" i="9"/>
  <c r="N128" i="9" s="1"/>
  <c r="J93" i="9"/>
  <c r="M93" i="9" s="1"/>
  <c r="N93" i="9" s="1"/>
  <c r="J92" i="9"/>
  <c r="M92" i="9" s="1"/>
  <c r="N92" i="9" s="1"/>
  <c r="V163" i="9" l="1"/>
  <c r="Q86" i="11"/>
  <c r="Q83" i="11"/>
  <c r="Q85" i="11"/>
  <c r="Q84" i="11"/>
  <c r="H136" i="9"/>
  <c r="R65" i="11"/>
  <c r="R67" i="11"/>
  <c r="R69" i="11"/>
  <c r="R68" i="11"/>
  <c r="R70" i="11"/>
  <c r="R66" i="11"/>
  <c r="H104" i="9"/>
  <c r="O65" i="11"/>
  <c r="H94" i="9"/>
  <c r="P95" i="9" l="1"/>
  <c r="Q95" i="9" s="1"/>
  <c r="P94" i="9"/>
  <c r="Q94" i="9" s="1"/>
  <c r="V94" i="9"/>
  <c r="P105" i="9"/>
  <c r="P104" i="9"/>
  <c r="Q104" i="9" s="1"/>
  <c r="V104" i="9"/>
  <c r="P136" i="9"/>
  <c r="Q136" i="9" s="1"/>
  <c r="P137" i="9"/>
  <c r="V136" i="9"/>
  <c r="W137" i="9" l="1"/>
  <c r="W136" i="9"/>
  <c r="X136" i="9" s="1"/>
  <c r="W105" i="9"/>
  <c r="W104" i="9"/>
  <c r="X104" i="9" s="1"/>
  <c r="W95" i="9"/>
  <c r="X95" i="9" s="1"/>
  <c r="W94" i="9"/>
  <c r="X9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72" i="11" l="1"/>
  <c r="S67" i="11"/>
  <c r="S69" i="11"/>
  <c r="S71" i="11"/>
  <c r="S73" i="11"/>
  <c r="S68" i="11"/>
  <c r="S70" i="11"/>
  <c r="H110" i="9"/>
  <c r="P99" i="9"/>
  <c r="Q99" i="9" s="1"/>
  <c r="P98" i="9"/>
  <c r="Q98" i="9" s="1"/>
  <c r="V98" i="9"/>
  <c r="W99" i="9" l="1"/>
  <c r="X99" i="9" s="1"/>
  <c r="W98" i="9"/>
  <c r="X98" i="9" s="1"/>
  <c r="P111" i="9"/>
  <c r="P110" i="9"/>
  <c r="Q110" i="9" s="1"/>
  <c r="V110" i="9"/>
  <c r="W111" i="9" l="1"/>
  <c r="W110" i="9"/>
  <c r="X110" i="9" s="1"/>
  <c r="J99" i="9"/>
  <c r="M99" i="9" s="1"/>
  <c r="N99" i="9" s="1"/>
  <c r="J98" i="9"/>
  <c r="M98" i="9" s="1"/>
  <c r="N98" i="9" s="1"/>
  <c r="U68" i="11" l="1"/>
  <c r="H101" i="9"/>
  <c r="O68" i="11"/>
  <c r="H100" i="9"/>
  <c r="P100" i="9" l="1"/>
  <c r="Q100" i="9" s="1"/>
  <c r="P101" i="9"/>
  <c r="Q101" i="9" s="1"/>
  <c r="V100" i="9"/>
  <c r="V101" i="9"/>
  <c r="W101" i="9" l="1"/>
  <c r="X101" i="9" s="1"/>
  <c r="W100" i="9"/>
  <c r="X100" i="9" s="1"/>
  <c r="J101" i="9" l="1"/>
  <c r="M101" i="9" s="1"/>
  <c r="N101" i="9" s="1"/>
  <c r="J100" i="9"/>
  <c r="M100" i="9" s="1"/>
  <c r="N100" i="9" s="1"/>
  <c r="O69" i="11" l="1"/>
  <c r="H102" i="9"/>
  <c r="U69" i="11"/>
  <c r="H103" i="9"/>
  <c r="P102" i="9" l="1"/>
  <c r="Q102" i="9" s="1"/>
  <c r="P103" i="9"/>
  <c r="Q103" i="9" s="1"/>
  <c r="V103" i="9"/>
  <c r="V102" i="9"/>
  <c r="W102" i="9" l="1"/>
  <c r="X102" i="9" s="1"/>
  <c r="W103" i="9"/>
  <c r="X103" i="9" s="1"/>
  <c r="J103" i="9" l="1"/>
  <c r="M103" i="9" s="1"/>
  <c r="N103" i="9" s="1"/>
  <c r="J102" i="9"/>
  <c r="M102" i="9" s="1"/>
  <c r="N102" i="9" s="1"/>
  <c r="O77" i="11" l="1"/>
  <c r="O70" i="11"/>
  <c r="O79" i="11"/>
  <c r="O72" i="11"/>
  <c r="O74" i="11"/>
  <c r="O76" i="11"/>
  <c r="O78" i="11"/>
  <c r="O71" i="11"/>
  <c r="O73" i="11"/>
  <c r="O75" i="11"/>
  <c r="H123" i="9"/>
  <c r="U70" i="11"/>
  <c r="H105" i="9"/>
  <c r="V105" i="9" l="1"/>
  <c r="X105" i="9" s="1"/>
  <c r="Q105" i="9"/>
  <c r="V123" i="9"/>
  <c r="J105" i="9" l="1"/>
  <c r="M105" i="9" s="1"/>
  <c r="N105" i="9" s="1"/>
  <c r="J104" i="9"/>
  <c r="M104" i="9" s="1"/>
  <c r="N104" i="9" s="1"/>
  <c r="R71" i="11" l="1"/>
  <c r="H106" i="9"/>
  <c r="U71" i="11"/>
  <c r="H107" i="9"/>
  <c r="V107" i="9" l="1"/>
  <c r="P107" i="9"/>
  <c r="Q107" i="9" s="1"/>
  <c r="P106" i="9"/>
  <c r="Q106" i="9" s="1"/>
  <c r="V106" i="9"/>
  <c r="W106" i="9" l="1"/>
  <c r="X106" i="9" s="1"/>
  <c r="W107" i="9"/>
  <c r="X107"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9" i="11" l="1"/>
  <c r="R81" i="11"/>
  <c r="R74" i="11"/>
  <c r="R76" i="11"/>
  <c r="R78" i="11"/>
  <c r="R80" i="11"/>
  <c r="R73" i="11"/>
  <c r="R75" i="11"/>
  <c r="R77" i="11"/>
  <c r="H127" i="9"/>
  <c r="U73" i="11"/>
  <c r="H111" i="9"/>
  <c r="V111" i="9" l="1"/>
  <c r="X111" i="9" s="1"/>
  <c r="Q111" i="9"/>
  <c r="V127" i="9"/>
  <c r="J111" i="9" l="1"/>
  <c r="M111" i="9" s="1"/>
  <c r="N111" i="9" s="1"/>
  <c r="J110" i="9"/>
  <c r="M110" i="9" s="1"/>
  <c r="N110" i="9" s="1"/>
  <c r="S74" i="11" l="1"/>
  <c r="H112" i="9"/>
  <c r="U74" i="11"/>
  <c r="H113" i="9"/>
  <c r="V113" i="9" l="1"/>
  <c r="P113" i="9"/>
  <c r="Q113" i="9" s="1"/>
  <c r="P112" i="9"/>
  <c r="Q112" i="9" s="1"/>
  <c r="V112"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81" i="11"/>
  <c r="S78" i="11"/>
  <c r="S80" i="11"/>
  <c r="S77" i="11"/>
  <c r="S79" i="11"/>
  <c r="H126" i="9"/>
  <c r="P127" i="9" l="1"/>
  <c r="Q127" i="9" s="1"/>
  <c r="P126" i="9"/>
  <c r="Q126" i="9" s="1"/>
  <c r="V126" i="9"/>
  <c r="P119" i="9"/>
  <c r="Q119" i="9" s="1"/>
  <c r="P118" i="9"/>
  <c r="Q118" i="9" s="1"/>
  <c r="V118" i="9"/>
  <c r="W118" i="9" l="1"/>
  <c r="X118" i="9" s="1"/>
  <c r="W119" i="9"/>
  <c r="X119" i="9" s="1"/>
  <c r="W127" i="9"/>
  <c r="X127" i="9" s="1"/>
  <c r="W126" i="9"/>
  <c r="X126" i="9" s="1"/>
  <c r="J126" i="9" l="1"/>
  <c r="M126" i="9" s="1"/>
  <c r="N126" i="9" s="1"/>
  <c r="J127" i="9"/>
  <c r="M127" i="9" s="1"/>
  <c r="N127" i="9" s="1"/>
  <c r="J119" i="9"/>
  <c r="J118" i="9"/>
  <c r="M118" i="9" s="1"/>
  <c r="N118" i="9" s="1"/>
  <c r="U78" i="11" l="1"/>
  <c r="H121" i="9"/>
  <c r="M119" i="9"/>
  <c r="N119" i="9" s="1"/>
  <c r="R88" i="11"/>
  <c r="R90" i="11"/>
  <c r="R83" i="11"/>
  <c r="R92" i="11"/>
  <c r="R85" i="11"/>
  <c r="R87" i="11"/>
  <c r="R89" i="11"/>
  <c r="R82" i="11"/>
  <c r="R91" i="11"/>
  <c r="R84" i="11"/>
  <c r="R86" i="11"/>
  <c r="H151" i="9"/>
  <c r="S83" i="11"/>
  <c r="S85" i="11"/>
  <c r="S82" i="11"/>
  <c r="S84" i="11"/>
  <c r="H134" i="9"/>
  <c r="V151" i="9" l="1"/>
  <c r="P135" i="9"/>
  <c r="Q135" i="9" s="1"/>
  <c r="P134" i="9"/>
  <c r="Q134" i="9" s="1"/>
  <c r="V134" i="9"/>
  <c r="L82" i="11"/>
  <c r="L79" i="11"/>
  <c r="L81" i="11"/>
  <c r="L83" i="11"/>
  <c r="L78" i="11"/>
  <c r="L80" i="11"/>
  <c r="H130" i="9"/>
  <c r="P121" i="9"/>
  <c r="Q121" i="9" s="1"/>
  <c r="P120" i="9"/>
  <c r="Q120" i="9" s="1"/>
  <c r="V121" i="9"/>
  <c r="P131" i="9" l="1"/>
  <c r="Q131" i="9" s="1"/>
  <c r="P130" i="9"/>
  <c r="Q130" i="9" s="1"/>
  <c r="V130" i="9"/>
  <c r="W135" i="9"/>
  <c r="X135" i="9" s="1"/>
  <c r="W134" i="9"/>
  <c r="X134" i="9" s="1"/>
  <c r="W121" i="9"/>
  <c r="X121" i="9" s="1"/>
  <c r="W120" i="9"/>
  <c r="X120" i="9" s="1"/>
  <c r="J121" i="9" l="1"/>
  <c r="M121" i="9" s="1"/>
  <c r="N121" i="9" s="1"/>
  <c r="J120" i="9"/>
  <c r="M120" i="9" s="1"/>
  <c r="N120" i="9" s="1"/>
  <c r="J135" i="9"/>
  <c r="M135" i="9" s="1"/>
  <c r="N135" i="9" s="1"/>
  <c r="J134" i="9"/>
  <c r="M134" i="9" s="1"/>
  <c r="N134" i="9" s="1"/>
  <c r="W131" i="9"/>
  <c r="X131" i="9" s="1"/>
  <c r="W130" i="9"/>
  <c r="X130" i="9" s="1"/>
  <c r="J130" i="9" l="1"/>
  <c r="J131" i="9"/>
  <c r="M131" i="9" s="1"/>
  <c r="N131" i="9" s="1"/>
  <c r="N94" i="11"/>
  <c r="N91" i="11"/>
  <c r="N93" i="11"/>
  <c r="N86" i="11"/>
  <c r="N88" i="11"/>
  <c r="N90" i="11"/>
  <c r="N92" i="11"/>
  <c r="N87" i="11"/>
  <c r="N89" i="11"/>
  <c r="H158" i="9"/>
  <c r="S88" i="11"/>
  <c r="S90" i="11"/>
  <c r="S92" i="11"/>
  <c r="S87" i="11"/>
  <c r="S89" i="11"/>
  <c r="S91" i="11"/>
  <c r="S86" i="11"/>
  <c r="H150" i="9"/>
  <c r="P79" i="11"/>
  <c r="H122" i="9"/>
  <c r="U83" i="11"/>
  <c r="U80" i="11"/>
  <c r="U82" i="11"/>
  <c r="U84" i="11"/>
  <c r="U79" i="11"/>
  <c r="U81" i="11"/>
  <c r="H132" i="9"/>
  <c r="V158" i="9" l="1"/>
  <c r="P123" i="9"/>
  <c r="Q123" i="9" s="1"/>
  <c r="P122" i="9"/>
  <c r="Q122" i="9" s="1"/>
  <c r="V122" i="9"/>
  <c r="V150" i="9"/>
  <c r="T85" i="11"/>
  <c r="T87" i="11"/>
  <c r="T84" i="11"/>
  <c r="T86" i="11"/>
  <c r="H139" i="9"/>
  <c r="P133" i="9"/>
  <c r="P132" i="9"/>
  <c r="Q132" i="9" s="1"/>
  <c r="V132" i="9"/>
  <c r="M130" i="9"/>
  <c r="N130" i="9" s="1"/>
  <c r="W123" i="9" l="1"/>
  <c r="X123" i="9" s="1"/>
  <c r="W122" i="9"/>
  <c r="X122" i="9" s="1"/>
  <c r="V139" i="9"/>
  <c r="X139" i="9" s="1"/>
  <c r="Q139" i="9"/>
  <c r="L96" i="11"/>
  <c r="L89" i="11"/>
  <c r="L94" i="11"/>
  <c r="L91" i="11"/>
  <c r="L84" i="11"/>
  <c r="L95" i="11"/>
  <c r="L93" i="11"/>
  <c r="L86" i="11"/>
  <c r="L88" i="11"/>
  <c r="L90" i="11"/>
  <c r="L92" i="11"/>
  <c r="L85" i="11"/>
  <c r="L87" i="11"/>
  <c r="H164" i="9"/>
  <c r="W133" i="9"/>
  <c r="W132" i="9"/>
  <c r="X132" i="9" s="1"/>
  <c r="J139" i="9" l="1"/>
  <c r="M139" i="9" s="1"/>
  <c r="N139" i="9" s="1"/>
  <c r="J138" i="9"/>
  <c r="M138" i="9" s="1"/>
  <c r="N138" i="9" s="1"/>
  <c r="P166" i="9"/>
  <c r="P165" i="9"/>
  <c r="Q165" i="9" s="1"/>
  <c r="P164" i="9"/>
  <c r="Q164" i="9" s="1"/>
  <c r="P167" i="9"/>
  <c r="V164" i="9"/>
  <c r="J123" i="9"/>
  <c r="M123" i="9" s="1"/>
  <c r="N123" i="9" s="1"/>
  <c r="J122" i="9"/>
  <c r="M122" i="9" s="1"/>
  <c r="N122" i="9" s="1"/>
  <c r="M162" i="11" l="1"/>
  <c r="M163" i="11"/>
  <c r="M160" i="11"/>
  <c r="M161" i="11"/>
  <c r="M158" i="11"/>
  <c r="M159" i="11"/>
  <c r="M156" i="11"/>
  <c r="M157" i="11"/>
  <c r="M153" i="11"/>
  <c r="M154" i="11"/>
  <c r="M155" i="11"/>
  <c r="M151" i="11"/>
  <c r="M152" i="11"/>
  <c r="O84" i="11"/>
  <c r="O86" i="11"/>
  <c r="O88" i="11"/>
  <c r="O81" i="11"/>
  <c r="O90" i="11"/>
  <c r="O83" i="11"/>
  <c r="O92" i="11"/>
  <c r="O85" i="11"/>
  <c r="O87" i="11"/>
  <c r="O80" i="11"/>
  <c r="O89" i="11"/>
  <c r="O82" i="11"/>
  <c r="O91" i="11"/>
  <c r="H149" i="9"/>
  <c r="P81" i="11"/>
  <c r="P83" i="11"/>
  <c r="P80" i="11"/>
  <c r="P82" i="11"/>
  <c r="P84" i="11"/>
  <c r="H133" i="9"/>
  <c r="W165" i="9"/>
  <c r="X165" i="9" s="1"/>
  <c r="W167" i="9"/>
  <c r="W164" i="9"/>
  <c r="X164" i="9" s="1"/>
  <c r="W166" i="9"/>
  <c r="M150" i="11"/>
  <c r="M145" i="11"/>
  <c r="B4" i="12"/>
  <c r="M144" i="11"/>
  <c r="M146" i="11"/>
  <c r="M148" i="11"/>
  <c r="M143" i="11"/>
  <c r="M127" i="11"/>
  <c r="M111" i="11"/>
  <c r="M95" i="11"/>
  <c r="M136" i="11"/>
  <c r="M120" i="11"/>
  <c r="M129" i="11"/>
  <c r="M113" i="11"/>
  <c r="M97" i="11"/>
  <c r="M138" i="11"/>
  <c r="M122" i="11"/>
  <c r="M106" i="11"/>
  <c r="M131" i="11"/>
  <c r="M115" i="11"/>
  <c r="M99" i="11"/>
  <c r="M147" i="11"/>
  <c r="M140" i="11"/>
  <c r="M124" i="11"/>
  <c r="M108" i="11"/>
  <c r="M133" i="11"/>
  <c r="M117" i="11"/>
  <c r="M101" i="11"/>
  <c r="M142" i="11"/>
  <c r="M126" i="11"/>
  <c r="M110" i="11"/>
  <c r="M135" i="11"/>
  <c r="M119" i="11"/>
  <c r="M103" i="11"/>
  <c r="M128" i="11"/>
  <c r="M112" i="11"/>
  <c r="M96" i="11"/>
  <c r="M137" i="11"/>
  <c r="M121" i="11"/>
  <c r="M105" i="11"/>
  <c r="M130" i="11"/>
  <c r="M139" i="11"/>
  <c r="M132" i="11"/>
  <c r="M116" i="11"/>
  <c r="M141" i="11"/>
  <c r="M125" i="11"/>
  <c r="M109" i="11"/>
  <c r="M149" i="11"/>
  <c r="M134" i="11"/>
  <c r="M98" i="11"/>
  <c r="M94" i="11"/>
  <c r="M91" i="11"/>
  <c r="M107" i="11"/>
  <c r="M104" i="11"/>
  <c r="M93" i="11"/>
  <c r="M114" i="11"/>
  <c r="M88" i="11"/>
  <c r="M102" i="11"/>
  <c r="M118" i="11"/>
  <c r="M90" i="11"/>
  <c r="M92" i="11"/>
  <c r="M100" i="11"/>
  <c r="M123" i="11"/>
  <c r="M89" i="11"/>
  <c r="J9" i="11"/>
  <c r="T88" i="11"/>
  <c r="H140" i="9"/>
  <c r="V149" i="9" l="1"/>
  <c r="F2" i="12"/>
  <c r="B9" i="11"/>
  <c r="F84" i="6"/>
  <c r="S84" i="6" s="1"/>
  <c r="P141" i="9"/>
  <c r="P140" i="9"/>
  <c r="Q140" i="9" s="1"/>
  <c r="V140" i="9"/>
  <c r="V133" i="9"/>
  <c r="X133" i="9" s="1"/>
  <c r="Q133" i="9"/>
  <c r="J132" i="9" l="1"/>
  <c r="M132" i="9" s="1"/>
  <c r="N132" i="9" s="1"/>
  <c r="J133" i="9"/>
  <c r="M133" i="9" s="1"/>
  <c r="N133" i="9" s="1"/>
  <c r="S9" i="11"/>
  <c r="W140" i="9"/>
  <c r="X140" i="9" s="1"/>
  <c r="W141" i="9"/>
  <c r="W9" i="11" l="1"/>
  <c r="P86" i="11"/>
  <c r="P88" i="11"/>
  <c r="P90" i="11"/>
  <c r="P92" i="11"/>
  <c r="P85" i="11"/>
  <c r="P87" i="11"/>
  <c r="P89" i="11"/>
  <c r="P91" i="11"/>
  <c r="H148" i="9"/>
  <c r="U85" i="11"/>
  <c r="U86" i="11"/>
  <c r="H137" i="9"/>
  <c r="V137" i="9" l="1"/>
  <c r="X137" i="9" s="1"/>
  <c r="Q137" i="9"/>
  <c r="P150" i="9"/>
  <c r="Q150" i="9" s="1"/>
  <c r="P151" i="9"/>
  <c r="Q151" i="9" s="1"/>
  <c r="P149" i="9"/>
  <c r="Q149" i="9" s="1"/>
  <c r="P148" i="9"/>
  <c r="Q148" i="9" s="1"/>
  <c r="V148" i="9"/>
  <c r="W149" i="9" l="1"/>
  <c r="X149" i="9" s="1"/>
  <c r="W151" i="9"/>
  <c r="X151" i="9" s="1"/>
  <c r="J151" i="9" s="1"/>
  <c r="M151" i="9" s="1"/>
  <c r="N151" i="9" s="1"/>
  <c r="W150" i="9"/>
  <c r="X150" i="9" s="1"/>
  <c r="W148" i="9"/>
  <c r="X148" i="9" s="1"/>
  <c r="J137" i="9"/>
  <c r="M137" i="9" s="1"/>
  <c r="N137" i="9" s="1"/>
  <c r="J136" i="9"/>
  <c r="M136" i="9" l="1"/>
  <c r="N136" i="9" s="1"/>
  <c r="U87" i="11"/>
  <c r="U88" i="11"/>
  <c r="H141" i="9"/>
  <c r="J148" i="9"/>
  <c r="M148" i="9" s="1"/>
  <c r="N148" i="9" s="1"/>
  <c r="J149" i="9"/>
  <c r="M149" i="9" s="1"/>
  <c r="N149" i="9" s="1"/>
  <c r="J150" i="9"/>
  <c r="M150" i="9" s="1"/>
  <c r="N150" i="9" s="1"/>
  <c r="R94" i="11"/>
  <c r="R96" i="11"/>
  <c r="R98" i="11"/>
  <c r="R93" i="11"/>
  <c r="R95" i="11"/>
  <c r="R97" i="11"/>
  <c r="H173" i="9"/>
  <c r="V173" i="9" l="1"/>
  <c r="S96" i="11"/>
  <c r="S98" i="11"/>
  <c r="S95" i="11"/>
  <c r="S94" i="11"/>
  <c r="S97" i="11"/>
  <c r="S93" i="11"/>
  <c r="H172" i="9"/>
  <c r="O93" i="11"/>
  <c r="H155" i="9"/>
  <c r="P93" i="11"/>
  <c r="H154" i="9"/>
  <c r="V141" i="9"/>
  <c r="X141" i="9" s="1"/>
  <c r="Q141" i="9"/>
  <c r="Q88" i="11"/>
  <c r="Q87" i="11"/>
  <c r="Q89" i="11"/>
  <c r="H142" i="9"/>
  <c r="J141" i="9" l="1"/>
  <c r="M141" i="9" s="1"/>
  <c r="N141" i="9" s="1"/>
  <c r="J140" i="9"/>
  <c r="M140" i="9" s="1"/>
  <c r="N140" i="9" s="1"/>
  <c r="P143" i="9"/>
  <c r="P142" i="9"/>
  <c r="Q142" i="9" s="1"/>
  <c r="V142" i="9"/>
  <c r="V154" i="9"/>
  <c r="V155" i="9"/>
  <c r="P173" i="9"/>
  <c r="Q173" i="9" s="1"/>
  <c r="P175" i="9"/>
  <c r="P172" i="9"/>
  <c r="Q172" i="9" s="1"/>
  <c r="P174" i="9"/>
  <c r="V172" i="9"/>
  <c r="W175" i="9" l="1"/>
  <c r="W172" i="9"/>
  <c r="X172" i="9" s="1"/>
  <c r="W174" i="9"/>
  <c r="W173" i="9"/>
  <c r="X173" i="9" s="1"/>
  <c r="W143" i="9"/>
  <c r="W142" i="9"/>
  <c r="X142" i="9" s="1"/>
  <c r="T90" i="11"/>
  <c r="T89" i="11"/>
  <c r="H144" i="9"/>
  <c r="U89" i="11"/>
  <c r="H143" i="9"/>
  <c r="Q143" i="9" s="1"/>
  <c r="V143" i="9" l="1"/>
  <c r="X143" i="9" s="1"/>
  <c r="P145" i="9"/>
  <c r="P144" i="9"/>
  <c r="Q144" i="9" s="1"/>
  <c r="V144" i="9"/>
  <c r="J143" i="9" l="1"/>
  <c r="M143" i="9" s="1"/>
  <c r="N143" i="9" s="1"/>
  <c r="J142" i="9"/>
  <c r="W144" i="9"/>
  <c r="X144" i="9" s="1"/>
  <c r="W145" i="9"/>
  <c r="M142" i="9" l="1"/>
  <c r="N142" i="9" s="1"/>
  <c r="U90" i="11"/>
  <c r="H145" i="9"/>
  <c r="V145" i="9" l="1"/>
  <c r="X145" i="9" s="1"/>
  <c r="Q145" i="9"/>
  <c r="Q90" i="11"/>
  <c r="Q91" i="11"/>
  <c r="H146" i="9"/>
  <c r="P146" i="9" l="1"/>
  <c r="Q146" i="9" s="1"/>
  <c r="P147" i="9"/>
  <c r="V146" i="9"/>
  <c r="J144" i="9"/>
  <c r="M144" i="9" s="1"/>
  <c r="N144" i="9" s="1"/>
  <c r="J145" i="9"/>
  <c r="M145" i="9" s="1"/>
  <c r="N145" i="9" s="1"/>
  <c r="U92" i="11" l="1"/>
  <c r="U91" i="11"/>
  <c r="U93" i="11"/>
  <c r="H152" i="9"/>
  <c r="W147" i="9"/>
  <c r="W146" i="9"/>
  <c r="X146" i="9" s="1"/>
  <c r="T91" i="11"/>
  <c r="H147" i="9"/>
  <c r="V147" i="9" l="1"/>
  <c r="X147" i="9" s="1"/>
  <c r="Q147" i="9"/>
  <c r="V152" i="9"/>
  <c r="J147" i="9" l="1"/>
  <c r="M147" i="9" s="1"/>
  <c r="N147" i="9" s="1"/>
  <c r="J146" i="9"/>
  <c r="M146" i="9" l="1"/>
  <c r="N146" i="9" s="1"/>
  <c r="T94" i="11"/>
  <c r="T95" i="11"/>
  <c r="T92" i="11"/>
  <c r="T93" i="11"/>
  <c r="H162" i="9"/>
  <c r="V162" i="9" l="1"/>
  <c r="Q93" i="11"/>
  <c r="Q92" i="11"/>
  <c r="H153" i="9"/>
  <c r="V153" i="9" l="1"/>
  <c r="P154" i="9"/>
  <c r="Q154" i="9" s="1"/>
  <c r="P155" i="9"/>
  <c r="Q155" i="9" s="1"/>
  <c r="P153" i="9"/>
  <c r="Q153" i="9" s="1"/>
  <c r="P152" i="9"/>
  <c r="Q152" i="9" s="1"/>
  <c r="W153" i="9" l="1"/>
  <c r="X153" i="9" s="1"/>
  <c r="W155" i="9"/>
  <c r="X155" i="9" s="1"/>
  <c r="J155" i="9" s="1"/>
  <c r="M155" i="9" s="1"/>
  <c r="N155" i="9" s="1"/>
  <c r="W154" i="9"/>
  <c r="X154" i="9" s="1"/>
  <c r="W152" i="9"/>
  <c r="X152" i="9" s="1"/>
  <c r="J153" i="9" l="1"/>
  <c r="M153" i="9" s="1"/>
  <c r="N153" i="9" s="1"/>
  <c r="J152" i="9"/>
  <c r="M152" i="9" s="1"/>
  <c r="N152" i="9" s="1"/>
  <c r="J154" i="9"/>
  <c r="M154" i="9" s="1"/>
  <c r="N154" i="9" s="1"/>
  <c r="O97" i="11"/>
  <c r="O94" i="11"/>
  <c r="O96" i="11"/>
  <c r="O95" i="11"/>
  <c r="H168" i="9"/>
  <c r="V168" i="9" l="1"/>
  <c r="P94" i="11"/>
  <c r="P96" i="11"/>
  <c r="P95" i="11"/>
  <c r="P97" i="11"/>
  <c r="H169" i="9"/>
  <c r="U94" i="11"/>
  <c r="H157" i="9"/>
  <c r="Q94" i="11"/>
  <c r="H156" i="9"/>
  <c r="P159" i="9" l="1"/>
  <c r="Q159" i="9" s="1"/>
  <c r="P156" i="9"/>
  <c r="Q156" i="9" s="1"/>
  <c r="P158" i="9"/>
  <c r="Q158" i="9" s="1"/>
  <c r="P157" i="9"/>
  <c r="Q157" i="9" s="1"/>
  <c r="V156" i="9"/>
  <c r="V157" i="9"/>
  <c r="V169" i="9"/>
  <c r="W170" i="9" s="1"/>
  <c r="P169" i="9"/>
  <c r="Q169" i="9" s="1"/>
  <c r="P170" i="9"/>
  <c r="W171" i="9"/>
  <c r="W168" i="9"/>
  <c r="X168" i="9" s="1"/>
  <c r="P168" i="9"/>
  <c r="Q168" i="9" s="1"/>
  <c r="P171" i="9"/>
  <c r="W169" i="9" l="1"/>
  <c r="X169" i="9" s="1"/>
  <c r="W158" i="9"/>
  <c r="X158" i="9" s="1"/>
  <c r="W157" i="9"/>
  <c r="X157" i="9" s="1"/>
  <c r="W159" i="9"/>
  <c r="X159" i="9" s="1"/>
  <c r="J159" i="9" s="1"/>
  <c r="W156" i="9"/>
  <c r="X156" i="9" s="1"/>
  <c r="M159" i="9" l="1"/>
  <c r="N159" i="9" s="1"/>
  <c r="J158" i="9"/>
  <c r="M158" i="9" s="1"/>
  <c r="N158" i="9" s="1"/>
  <c r="J157" i="9"/>
  <c r="M157" i="9" s="1"/>
  <c r="N157" i="9" s="1"/>
  <c r="J156" i="9"/>
  <c r="M156" i="9" s="1"/>
  <c r="N156" i="9" s="1"/>
  <c r="U95" i="11" l="1"/>
  <c r="H161" i="9"/>
  <c r="Q95" i="11"/>
  <c r="H160" i="9"/>
  <c r="N99" i="11"/>
  <c r="N96" i="11"/>
  <c r="N98" i="11"/>
  <c r="N95" i="11"/>
  <c r="N97" i="11"/>
  <c r="H178" i="9"/>
  <c r="V96" i="11"/>
  <c r="V98" i="11"/>
  <c r="V95" i="11"/>
  <c r="V97" i="11"/>
  <c r="V99" i="11"/>
  <c r="H179" i="9"/>
  <c r="V178" i="9" l="1"/>
  <c r="P161" i="9"/>
  <c r="Q161" i="9" s="1"/>
  <c r="P163" i="9"/>
  <c r="Q163" i="9" s="1"/>
  <c r="P160" i="9"/>
  <c r="Q160" i="9" s="1"/>
  <c r="P162" i="9"/>
  <c r="Q162" i="9" s="1"/>
  <c r="V160" i="9"/>
  <c r="V161" i="9"/>
  <c r="V179" i="9"/>
  <c r="W160" i="9" l="1"/>
  <c r="X160" i="9" s="1"/>
  <c r="W162" i="9"/>
  <c r="X162" i="9" s="1"/>
  <c r="W161" i="9"/>
  <c r="X161" i="9" s="1"/>
  <c r="W163" i="9"/>
  <c r="X163" i="9" s="1"/>
  <c r="J163" i="9" s="1"/>
  <c r="M163" i="9" s="1"/>
  <c r="N163" i="9" s="1"/>
  <c r="K97" i="11" l="1"/>
  <c r="K99" i="11"/>
  <c r="K98" i="11"/>
  <c r="K96" i="11"/>
  <c r="K100" i="11"/>
  <c r="H183" i="9"/>
  <c r="J160" i="9"/>
  <c r="M160" i="9" s="1"/>
  <c r="N160" i="9" s="1"/>
  <c r="J162" i="9"/>
  <c r="M162" i="9" s="1"/>
  <c r="N162" i="9" s="1"/>
  <c r="J161" i="9"/>
  <c r="M161" i="9" s="1"/>
  <c r="N161" i="9" s="1"/>
  <c r="U96" i="11" l="1"/>
  <c r="H166" i="9"/>
  <c r="Q96" i="11"/>
  <c r="H167" i="9"/>
  <c r="T96" i="11"/>
  <c r="T98" i="11"/>
  <c r="T100" i="11"/>
  <c r="T99" i="11"/>
  <c r="T97" i="11"/>
  <c r="H182" i="9"/>
  <c r="V183" i="9"/>
  <c r="V182" i="9" l="1"/>
  <c r="V167" i="9"/>
  <c r="X167" i="9" s="1"/>
  <c r="J167" i="9" s="1"/>
  <c r="M167" i="9" s="1"/>
  <c r="N167" i="9" s="1"/>
  <c r="Q167" i="9"/>
  <c r="V166" i="9"/>
  <c r="X166" i="9" s="1"/>
  <c r="Q166" i="9"/>
  <c r="Q99" i="11" l="1"/>
  <c r="Q101" i="11"/>
  <c r="Q98" i="11"/>
  <c r="Q100" i="11"/>
  <c r="Q97" i="11"/>
  <c r="Q102" i="11"/>
  <c r="H189" i="9"/>
  <c r="J165" i="9"/>
  <c r="J164" i="9"/>
  <c r="J166" i="9"/>
  <c r="M166" i="9" s="1"/>
  <c r="N166" i="9" s="1"/>
  <c r="M165" i="9" l="1"/>
  <c r="N165" i="9" s="1"/>
  <c r="U98" i="11"/>
  <c r="U100" i="11"/>
  <c r="U102" i="11"/>
  <c r="U97" i="11"/>
  <c r="U101" i="11"/>
  <c r="U99" i="11"/>
  <c r="H188" i="9"/>
  <c r="M164" i="9"/>
  <c r="N164" i="9" s="1"/>
  <c r="V189" i="9"/>
  <c r="L97" i="11" l="1"/>
  <c r="H171" i="9"/>
  <c r="P191" i="9"/>
  <c r="P188" i="9"/>
  <c r="Q188" i="9" s="1"/>
  <c r="P190" i="9"/>
  <c r="P189" i="9"/>
  <c r="Q189" i="9" s="1"/>
  <c r="V188" i="9"/>
  <c r="W97" i="11"/>
  <c r="H170" i="9"/>
  <c r="V170" i="9" l="1"/>
  <c r="X170" i="9" s="1"/>
  <c r="Q170" i="9"/>
  <c r="W190" i="9"/>
  <c r="W189" i="9"/>
  <c r="X189" i="9" s="1"/>
  <c r="W191" i="9"/>
  <c r="W188" i="9"/>
  <c r="X188" i="9" s="1"/>
  <c r="V171" i="9"/>
  <c r="X171" i="9" s="1"/>
  <c r="J171" i="9" s="1"/>
  <c r="Q171" i="9"/>
  <c r="M171" i="9" l="1"/>
  <c r="N171" i="9" s="1"/>
  <c r="J169" i="9"/>
  <c r="M169" i="9" s="1"/>
  <c r="N169" i="9" s="1"/>
  <c r="J168" i="9"/>
  <c r="M168" i="9" s="1"/>
  <c r="N168" i="9" s="1"/>
  <c r="J170" i="9"/>
  <c r="M170" i="9" l="1"/>
  <c r="N170" i="9" s="1"/>
  <c r="O98" i="11"/>
  <c r="H174" i="9"/>
  <c r="P98" i="11"/>
  <c r="H175" i="9"/>
  <c r="L99" i="11"/>
  <c r="L101" i="11"/>
  <c r="L100" i="11"/>
  <c r="L98" i="11"/>
  <c r="H184" i="9"/>
  <c r="V184" i="9" l="1"/>
  <c r="V174" i="9"/>
  <c r="X174" i="9" s="1"/>
  <c r="Q174" i="9"/>
  <c r="V175" i="9"/>
  <c r="X175" i="9" s="1"/>
  <c r="J175" i="9" s="1"/>
  <c r="M175" i="9" s="1"/>
  <c r="N175" i="9" s="1"/>
  <c r="Q175" i="9"/>
  <c r="W100" i="11"/>
  <c r="W99" i="11"/>
  <c r="W98" i="11"/>
  <c r="W101" i="11"/>
  <c r="H185" i="9"/>
  <c r="P186" i="9" s="1"/>
  <c r="P101" i="11" l="1"/>
  <c r="P103" i="11"/>
  <c r="P100" i="11"/>
  <c r="P102" i="11"/>
  <c r="P99" i="11"/>
  <c r="H193" i="9"/>
  <c r="P184" i="9"/>
  <c r="Q184" i="9" s="1"/>
  <c r="P187" i="9"/>
  <c r="J172" i="9"/>
  <c r="M172" i="9" s="1"/>
  <c r="N172" i="9" s="1"/>
  <c r="J174" i="9"/>
  <c r="M174" i="9" s="1"/>
  <c r="N174" i="9" s="1"/>
  <c r="J173" i="9"/>
  <c r="M173" i="9" s="1"/>
  <c r="N173" i="9" s="1"/>
  <c r="P185" i="9"/>
  <c r="Q185" i="9" s="1"/>
  <c r="V185" i="9"/>
  <c r="W185" i="9" s="1"/>
  <c r="X185" i="9" s="1"/>
  <c r="W186" i="9" l="1"/>
  <c r="W187" i="9"/>
  <c r="W184" i="9"/>
  <c r="X184" i="9" s="1"/>
  <c r="S99" i="11"/>
  <c r="H176" i="9"/>
  <c r="R99" i="11"/>
  <c r="H177" i="9"/>
  <c r="O99" i="11"/>
  <c r="O101" i="11"/>
  <c r="O103" i="11"/>
  <c r="O102" i="11"/>
  <c r="O100" i="11"/>
  <c r="H192" i="9"/>
  <c r="V193" i="9"/>
  <c r="P193" i="9" l="1"/>
  <c r="Q193" i="9" s="1"/>
  <c r="P195" i="9"/>
  <c r="P192" i="9"/>
  <c r="Q192" i="9" s="1"/>
  <c r="P194" i="9"/>
  <c r="V192" i="9"/>
  <c r="V177" i="9"/>
  <c r="P176" i="9"/>
  <c r="Q176" i="9" s="1"/>
  <c r="P178" i="9"/>
  <c r="Q178" i="9" s="1"/>
  <c r="P179" i="9"/>
  <c r="Q179" i="9" s="1"/>
  <c r="P177" i="9"/>
  <c r="Q177" i="9" s="1"/>
  <c r="V176" i="9"/>
  <c r="W177" i="9" l="1"/>
  <c r="X177" i="9" s="1"/>
  <c r="W179" i="9"/>
  <c r="X179" i="9" s="1"/>
  <c r="J179" i="9" s="1"/>
  <c r="W178" i="9"/>
  <c r="X178" i="9" s="1"/>
  <c r="W176" i="9"/>
  <c r="X176" i="9" s="1"/>
  <c r="W195" i="9"/>
  <c r="W192" i="9"/>
  <c r="X192" i="9" s="1"/>
  <c r="W194" i="9"/>
  <c r="W193" i="9"/>
  <c r="X193" i="9" s="1"/>
  <c r="J176" i="9" l="1"/>
  <c r="M176" i="9" s="1"/>
  <c r="N176" i="9" s="1"/>
  <c r="J177" i="9"/>
  <c r="M177" i="9" s="1"/>
  <c r="N177" i="9" s="1"/>
  <c r="J178" i="9"/>
  <c r="M178" i="9" s="1"/>
  <c r="N178" i="9" s="1"/>
  <c r="M179" i="9"/>
  <c r="N179" i="9" s="1"/>
  <c r="V100" i="11" l="1"/>
  <c r="V102" i="11"/>
  <c r="V104" i="11"/>
  <c r="V105" i="11"/>
  <c r="V103" i="11"/>
  <c r="V101" i="11"/>
  <c r="H203" i="9"/>
  <c r="N104" i="11"/>
  <c r="N101" i="11"/>
  <c r="N103" i="11"/>
  <c r="N105" i="11"/>
  <c r="N102" i="11"/>
  <c r="N100" i="11"/>
  <c r="H202" i="9"/>
  <c r="R100" i="11"/>
  <c r="H181" i="9"/>
  <c r="S100" i="11"/>
  <c r="H180" i="9"/>
  <c r="V203" i="9" l="1"/>
  <c r="V181" i="9"/>
  <c r="V202" i="9"/>
  <c r="P181" i="9"/>
  <c r="Q181" i="9" s="1"/>
  <c r="P183" i="9"/>
  <c r="Q183" i="9" s="1"/>
  <c r="P180" i="9"/>
  <c r="Q180" i="9" s="1"/>
  <c r="P182" i="9"/>
  <c r="Q182" i="9" s="1"/>
  <c r="V180" i="9"/>
  <c r="W180" i="9" l="1"/>
  <c r="X180" i="9" s="1"/>
  <c r="W182" i="9"/>
  <c r="X182" i="9" s="1"/>
  <c r="W181" i="9"/>
  <c r="X181" i="9" s="1"/>
  <c r="W183" i="9"/>
  <c r="X183" i="9" s="1"/>
  <c r="J183" i="9" s="1"/>
  <c r="M183" i="9" s="1"/>
  <c r="N183" i="9" s="1"/>
  <c r="K104" i="11" l="1"/>
  <c r="K106" i="11"/>
  <c r="K101" i="11"/>
  <c r="K103" i="11"/>
  <c r="K105" i="11"/>
  <c r="K102" i="11"/>
  <c r="H204" i="9"/>
  <c r="J180" i="9"/>
  <c r="M180" i="9" s="1"/>
  <c r="N180" i="9" s="1"/>
  <c r="J181" i="9"/>
  <c r="M181" i="9" s="1"/>
  <c r="N181" i="9" s="1"/>
  <c r="J182" i="9"/>
  <c r="M182" i="9" s="1"/>
  <c r="N182" i="9" s="1"/>
  <c r="V204" i="9" l="1"/>
  <c r="T110" i="11"/>
  <c r="T112" i="11"/>
  <c r="T105" i="11"/>
  <c r="T114" i="11"/>
  <c r="T107" i="11"/>
  <c r="T116" i="11"/>
  <c r="T109" i="11"/>
  <c r="T102" i="11"/>
  <c r="T111" i="11"/>
  <c r="T104" i="11"/>
  <c r="T115" i="11"/>
  <c r="T108" i="11"/>
  <c r="T101" i="11"/>
  <c r="T106" i="11"/>
  <c r="T103" i="11"/>
  <c r="T113" i="11"/>
  <c r="T117" i="11"/>
  <c r="H236" i="9"/>
  <c r="R101" i="11"/>
  <c r="H187" i="9"/>
  <c r="S101" i="11"/>
  <c r="H186" i="9"/>
  <c r="V186" i="9" l="1"/>
  <c r="X186" i="9" s="1"/>
  <c r="Q186" i="9"/>
  <c r="V187" i="9"/>
  <c r="X187" i="9" s="1"/>
  <c r="J187" i="9" s="1"/>
  <c r="M187" i="9" s="1"/>
  <c r="N187" i="9" s="1"/>
  <c r="Q187" i="9"/>
  <c r="V236" i="9"/>
  <c r="R103" i="11" l="1"/>
  <c r="R102" i="11"/>
  <c r="R104" i="11"/>
  <c r="H197" i="9"/>
  <c r="J185" i="9"/>
  <c r="J186" i="9"/>
  <c r="M186" i="9" s="1"/>
  <c r="N186" i="9" s="1"/>
  <c r="J184" i="9"/>
  <c r="M184" i="9" l="1"/>
  <c r="N184" i="9" s="1"/>
  <c r="S103" i="11"/>
  <c r="S102" i="11"/>
  <c r="S104" i="11"/>
  <c r="H196" i="9"/>
  <c r="M185" i="9"/>
  <c r="N185" i="9" s="1"/>
  <c r="V197" i="9"/>
  <c r="W102" i="11" l="1"/>
  <c r="H191" i="9"/>
  <c r="P196" i="9"/>
  <c r="Q196" i="9" s="1"/>
  <c r="P198" i="9"/>
  <c r="P197" i="9"/>
  <c r="Q197" i="9" s="1"/>
  <c r="P199" i="9"/>
  <c r="V196" i="9"/>
  <c r="L102" i="11"/>
  <c r="H190" i="9"/>
  <c r="V190" i="9" l="1"/>
  <c r="X190" i="9" s="1"/>
  <c r="Q190" i="9"/>
  <c r="W197" i="9"/>
  <c r="X197" i="9" s="1"/>
  <c r="W199" i="9"/>
  <c r="W196" i="9"/>
  <c r="X196" i="9" s="1"/>
  <c r="W198" i="9"/>
  <c r="V191" i="9"/>
  <c r="X191" i="9" s="1"/>
  <c r="J191" i="9" s="1"/>
  <c r="Q191" i="9"/>
  <c r="M191" i="9" l="1"/>
  <c r="N191" i="9" s="1"/>
  <c r="J190" i="9"/>
  <c r="M190" i="9" s="1"/>
  <c r="N190" i="9" s="1"/>
  <c r="J189" i="9"/>
  <c r="M189" i="9" s="1"/>
  <c r="N189" i="9" s="1"/>
  <c r="J188" i="9"/>
  <c r="M188" i="9" s="1"/>
  <c r="N188" i="9" s="1"/>
  <c r="W162" i="11" l="1"/>
  <c r="W163" i="11"/>
  <c r="W160" i="11"/>
  <c r="W161" i="11"/>
  <c r="W158" i="11"/>
  <c r="W159" i="11"/>
  <c r="W156" i="11"/>
  <c r="W157" i="11"/>
  <c r="W153" i="11"/>
  <c r="W155" i="11"/>
  <c r="W154" i="11"/>
  <c r="W151" i="11"/>
  <c r="W152" i="11"/>
  <c r="Q103" i="11"/>
  <c r="H194" i="9"/>
  <c r="U103" i="11"/>
  <c r="H195" i="9"/>
  <c r="L104" i="11"/>
  <c r="L106" i="11"/>
  <c r="L103" i="11"/>
  <c r="L105" i="11"/>
  <c r="H205" i="9"/>
  <c r="W146" i="11"/>
  <c r="B14" i="12"/>
  <c r="W150" i="11"/>
  <c r="W145" i="11"/>
  <c r="W147" i="11"/>
  <c r="W149" i="11"/>
  <c r="W137" i="11"/>
  <c r="W121" i="11"/>
  <c r="W105" i="11"/>
  <c r="W130" i="11"/>
  <c r="W114" i="11"/>
  <c r="W139" i="11"/>
  <c r="W123" i="11"/>
  <c r="W107" i="11"/>
  <c r="W144" i="11"/>
  <c r="W132" i="11"/>
  <c r="W116" i="11"/>
  <c r="W148" i="11"/>
  <c r="W141" i="11"/>
  <c r="W125" i="11"/>
  <c r="W109" i="11"/>
  <c r="W134" i="11"/>
  <c r="W118" i="11"/>
  <c r="W127" i="11"/>
  <c r="W111" i="11"/>
  <c r="W143" i="11"/>
  <c r="W136" i="11"/>
  <c r="W120" i="11"/>
  <c r="W104" i="11"/>
  <c r="W129" i="11"/>
  <c r="W113" i="11"/>
  <c r="W138" i="11"/>
  <c r="W122" i="11"/>
  <c r="W106" i="11"/>
  <c r="W131" i="11"/>
  <c r="W115" i="11"/>
  <c r="W140" i="11"/>
  <c r="W124" i="11"/>
  <c r="W133" i="11"/>
  <c r="W142" i="11"/>
  <c r="W126" i="11"/>
  <c r="W110" i="11"/>
  <c r="W135" i="11"/>
  <c r="W119" i="11"/>
  <c r="W103" i="11"/>
  <c r="W128" i="11"/>
  <c r="W112" i="11"/>
  <c r="W108" i="11"/>
  <c r="W117" i="11"/>
  <c r="J19" i="11"/>
  <c r="P2" i="12" l="1"/>
  <c r="B19" i="11"/>
  <c r="F83" i="6"/>
  <c r="V205" i="9"/>
  <c r="P207" i="9"/>
  <c r="P205" i="9"/>
  <c r="Q205" i="9" s="1"/>
  <c r="P204" i="9"/>
  <c r="Q204" i="9" s="1"/>
  <c r="P206" i="9"/>
  <c r="V195" i="9"/>
  <c r="X195" i="9" s="1"/>
  <c r="J195" i="9" s="1"/>
  <c r="M195" i="9" s="1"/>
  <c r="N195" i="9" s="1"/>
  <c r="Q195" i="9"/>
  <c r="V194" i="9"/>
  <c r="X194" i="9" s="1"/>
  <c r="Q194" i="9"/>
  <c r="U105" i="11" l="1"/>
  <c r="U107" i="11"/>
  <c r="U104" i="11"/>
  <c r="U106" i="11"/>
  <c r="H211" i="9"/>
  <c r="J192" i="9"/>
  <c r="M192" i="9" s="1"/>
  <c r="N192" i="9" s="1"/>
  <c r="J193" i="9"/>
  <c r="M193" i="9" s="1"/>
  <c r="N193" i="9" s="1"/>
  <c r="J194" i="9"/>
  <c r="M194" i="9" s="1"/>
  <c r="N194" i="9" s="1"/>
  <c r="W207" i="9"/>
  <c r="W206" i="9"/>
  <c r="W205" i="9"/>
  <c r="X205" i="9" s="1"/>
  <c r="W204" i="9"/>
  <c r="X204" i="9" s="1"/>
  <c r="S19" i="11"/>
  <c r="W19" i="11" l="1"/>
  <c r="P104" i="11"/>
  <c r="H199" i="9"/>
  <c r="Q105" i="11"/>
  <c r="Q107" i="11"/>
  <c r="Q104" i="11"/>
  <c r="Q106" i="11"/>
  <c r="H210" i="9"/>
  <c r="O104" i="11"/>
  <c r="H198" i="9"/>
  <c r="V211" i="9"/>
  <c r="V198" i="9" l="1"/>
  <c r="X198" i="9" s="1"/>
  <c r="Q198" i="9"/>
  <c r="V210" i="9"/>
  <c r="V199" i="9"/>
  <c r="X199" i="9" s="1"/>
  <c r="J199" i="9" s="1"/>
  <c r="M199" i="9" s="1"/>
  <c r="N199" i="9" s="1"/>
  <c r="Q199" i="9"/>
  <c r="P106" i="11" l="1"/>
  <c r="P108" i="11"/>
  <c r="P105" i="11"/>
  <c r="P107" i="11"/>
  <c r="P109" i="11"/>
  <c r="H218" i="9"/>
  <c r="J197" i="9"/>
  <c r="M197" i="9" s="1"/>
  <c r="N197" i="9" s="1"/>
  <c r="J198" i="9"/>
  <c r="M198" i="9" s="1"/>
  <c r="N198" i="9" s="1"/>
  <c r="J196" i="9"/>
  <c r="M196" i="9" s="1"/>
  <c r="N196" i="9" s="1"/>
  <c r="S105" i="11" l="1"/>
  <c r="H200" i="9"/>
  <c r="O108" i="11"/>
  <c r="O105" i="11"/>
  <c r="O107" i="11"/>
  <c r="O106" i="11"/>
  <c r="O109" i="11"/>
  <c r="H219" i="9"/>
  <c r="R105" i="11"/>
  <c r="H201" i="9"/>
  <c r="V218" i="9"/>
  <c r="V201" i="9" l="1"/>
  <c r="V219" i="9"/>
  <c r="P201" i="9"/>
  <c r="Q201" i="9" s="1"/>
  <c r="P203" i="9"/>
  <c r="Q203" i="9" s="1"/>
  <c r="P200" i="9"/>
  <c r="Q200" i="9" s="1"/>
  <c r="P202" i="9"/>
  <c r="Q202" i="9" s="1"/>
  <c r="V200" i="9"/>
  <c r="W203" i="9" l="1"/>
  <c r="X203" i="9" s="1"/>
  <c r="J203" i="9" s="1"/>
  <c r="W200" i="9"/>
  <c r="X200" i="9" s="1"/>
  <c r="W202" i="9"/>
  <c r="X202" i="9" s="1"/>
  <c r="W201" i="9"/>
  <c r="X201" i="9" s="1"/>
  <c r="J202" i="9" l="1"/>
  <c r="M202" i="9" s="1"/>
  <c r="N202" i="9" s="1"/>
  <c r="J201" i="9"/>
  <c r="M201" i="9" s="1"/>
  <c r="N201" i="9" s="1"/>
  <c r="J200" i="9"/>
  <c r="M200" i="9" s="1"/>
  <c r="N200" i="9" s="1"/>
  <c r="M203" i="9"/>
  <c r="N203" i="9" s="1"/>
  <c r="V107" i="11" l="1"/>
  <c r="V106" i="11"/>
  <c r="V108" i="11"/>
  <c r="H212" i="9"/>
  <c r="R106" i="11"/>
  <c r="H207" i="9"/>
  <c r="S106" i="11"/>
  <c r="H206" i="9"/>
  <c r="N106" i="11"/>
  <c r="N108" i="11"/>
  <c r="N107" i="11"/>
  <c r="H213" i="9"/>
  <c r="V213" i="9" l="1"/>
  <c r="V206" i="9"/>
  <c r="X206" i="9" s="1"/>
  <c r="Q206" i="9"/>
  <c r="V207" i="9"/>
  <c r="X207" i="9" s="1"/>
  <c r="J207" i="9" s="1"/>
  <c r="M207" i="9" s="1"/>
  <c r="N207" i="9" s="1"/>
  <c r="Q207" i="9"/>
  <c r="P215" i="9"/>
  <c r="P212" i="9"/>
  <c r="Q212" i="9" s="1"/>
  <c r="P214" i="9"/>
  <c r="P213" i="9"/>
  <c r="Q213" i="9" s="1"/>
  <c r="V212" i="9"/>
  <c r="R108" i="11" l="1"/>
  <c r="R110" i="11"/>
  <c r="R112" i="11"/>
  <c r="R107" i="11"/>
  <c r="R109" i="11"/>
  <c r="R111" i="11"/>
  <c r="H224" i="9"/>
  <c r="W215" i="9"/>
  <c r="W214" i="9"/>
  <c r="W213" i="9"/>
  <c r="X213" i="9" s="1"/>
  <c r="W212" i="9"/>
  <c r="X212" i="9" s="1"/>
  <c r="J205" i="9"/>
  <c r="M205" i="9" s="1"/>
  <c r="N205" i="9" s="1"/>
  <c r="J206" i="9"/>
  <c r="M206" i="9" s="1"/>
  <c r="N206" i="9" s="1"/>
  <c r="J204" i="9"/>
  <c r="M204" i="9" s="1"/>
  <c r="N204" i="9" s="1"/>
  <c r="L107" i="11" l="1"/>
  <c r="H209" i="9"/>
  <c r="K107" i="11"/>
  <c r="H208" i="9"/>
  <c r="S107" i="11"/>
  <c r="S109" i="11"/>
  <c r="S110" i="11"/>
  <c r="S108" i="11"/>
  <c r="H221" i="9"/>
  <c r="P224" i="9"/>
  <c r="Q224" i="9" s="1"/>
  <c r="P226" i="9"/>
  <c r="P225" i="9"/>
  <c r="V224" i="9"/>
  <c r="W226" i="9" l="1"/>
  <c r="W225" i="9"/>
  <c r="W224" i="9"/>
  <c r="X224" i="9" s="1"/>
  <c r="V221" i="9"/>
  <c r="P208" i="9"/>
  <c r="Q208" i="9" s="1"/>
  <c r="P211" i="9"/>
  <c r="Q211" i="9" s="1"/>
  <c r="P210" i="9"/>
  <c r="Q210" i="9" s="1"/>
  <c r="P209" i="9"/>
  <c r="Q209" i="9" s="1"/>
  <c r="V208" i="9"/>
  <c r="V209" i="9"/>
  <c r="W210" i="9" l="1"/>
  <c r="X210" i="9" s="1"/>
  <c r="W209" i="9"/>
  <c r="X209" i="9" s="1"/>
  <c r="W208" i="9"/>
  <c r="X208" i="9" s="1"/>
  <c r="W211" i="9"/>
  <c r="X211" i="9" s="1"/>
  <c r="J211" i="9" s="1"/>
  <c r="M211" i="9" s="1"/>
  <c r="N211" i="9" s="1"/>
  <c r="U112" i="11" l="1"/>
  <c r="U109" i="11"/>
  <c r="U111" i="11"/>
  <c r="U108" i="11"/>
  <c r="U110" i="11"/>
  <c r="H225" i="9"/>
  <c r="J209" i="9"/>
  <c r="M209" i="9" s="1"/>
  <c r="N209" i="9" s="1"/>
  <c r="J208" i="9"/>
  <c r="M208" i="9" s="1"/>
  <c r="N208" i="9" s="1"/>
  <c r="J210" i="9"/>
  <c r="M210" i="9" s="1"/>
  <c r="N210" i="9" s="1"/>
  <c r="Q110" i="11" l="1"/>
  <c r="Q109" i="11"/>
  <c r="Q108" i="11"/>
  <c r="H220" i="9"/>
  <c r="K108" i="11"/>
  <c r="H214" i="9"/>
  <c r="L108" i="11"/>
  <c r="H215" i="9"/>
  <c r="V225" i="9"/>
  <c r="X225" i="9" s="1"/>
  <c r="Q225" i="9"/>
  <c r="J225" i="9" l="1"/>
  <c r="M225" i="9" s="1"/>
  <c r="N225" i="9" s="1"/>
  <c r="V215" i="9"/>
  <c r="X215" i="9" s="1"/>
  <c r="J215" i="9" s="1"/>
  <c r="M215" i="9" s="1"/>
  <c r="N215" i="9" s="1"/>
  <c r="Q215" i="9"/>
  <c r="V214" i="9"/>
  <c r="X214" i="9" s="1"/>
  <c r="Q214" i="9"/>
  <c r="P221" i="9"/>
  <c r="Q221" i="9" s="1"/>
  <c r="V220" i="9"/>
  <c r="P220" i="9"/>
  <c r="Q220" i="9" s="1"/>
  <c r="L113" i="11" l="1"/>
  <c r="L115" i="11"/>
  <c r="L110" i="11"/>
  <c r="L112" i="11"/>
  <c r="L116" i="11"/>
  <c r="L114" i="11"/>
  <c r="L111" i="11"/>
  <c r="L109" i="11"/>
  <c r="H233" i="9"/>
  <c r="W220" i="9"/>
  <c r="X220" i="9" s="1"/>
  <c r="W221" i="9"/>
  <c r="X221" i="9" s="1"/>
  <c r="J213" i="9"/>
  <c r="M213" i="9" s="1"/>
  <c r="N213" i="9" s="1"/>
  <c r="J214" i="9"/>
  <c r="M214" i="9" s="1"/>
  <c r="N214" i="9" s="1"/>
  <c r="J212" i="9"/>
  <c r="U113" i="11"/>
  <c r="H227" i="9"/>
  <c r="P227" i="9" l="1"/>
  <c r="Q227" i="9" s="1"/>
  <c r="P228" i="9"/>
  <c r="V227" i="9"/>
  <c r="N109" i="11"/>
  <c r="H217" i="9"/>
  <c r="J220" i="9"/>
  <c r="M220" i="9" s="1"/>
  <c r="N220" i="9" s="1"/>
  <c r="J221" i="9"/>
  <c r="M221" i="9" s="1"/>
  <c r="N221" i="9" s="1"/>
  <c r="M212" i="9"/>
  <c r="N212" i="9" s="1"/>
  <c r="K125" i="11"/>
  <c r="K109" i="11"/>
  <c r="K118" i="11"/>
  <c r="K127" i="11"/>
  <c r="K111" i="11"/>
  <c r="K120" i="11"/>
  <c r="K113" i="11"/>
  <c r="K122" i="11"/>
  <c r="K115" i="11"/>
  <c r="K124" i="11"/>
  <c r="K117" i="11"/>
  <c r="K126" i="11"/>
  <c r="K110" i="11"/>
  <c r="K119" i="11"/>
  <c r="K114" i="11"/>
  <c r="K123" i="11"/>
  <c r="K112" i="11"/>
  <c r="K116" i="11"/>
  <c r="K121" i="11"/>
  <c r="H256" i="9"/>
  <c r="V233" i="9"/>
  <c r="V256" i="9" l="1"/>
  <c r="V109" i="11"/>
  <c r="H216" i="9"/>
  <c r="S111" i="11"/>
  <c r="H223" i="9"/>
  <c r="Q111" i="11"/>
  <c r="H222" i="9"/>
  <c r="V217" i="9"/>
  <c r="W228" i="9"/>
  <c r="W227" i="9"/>
  <c r="X227" i="9" s="1"/>
  <c r="P223" i="9" l="1"/>
  <c r="Q223" i="9" s="1"/>
  <c r="P222" i="9"/>
  <c r="Q222" i="9" s="1"/>
  <c r="V222" i="9"/>
  <c r="V223" i="9"/>
  <c r="P219" i="9"/>
  <c r="Q219" i="9" s="1"/>
  <c r="P216" i="9"/>
  <c r="Q216" i="9" s="1"/>
  <c r="P218" i="9"/>
  <c r="Q218" i="9" s="1"/>
  <c r="P217" i="9"/>
  <c r="Q217" i="9" s="1"/>
  <c r="V216" i="9"/>
  <c r="W218" i="9" l="1"/>
  <c r="X218" i="9" s="1"/>
  <c r="W219" i="9"/>
  <c r="X219" i="9" s="1"/>
  <c r="J219" i="9" s="1"/>
  <c r="M219" i="9" s="1"/>
  <c r="N219" i="9" s="1"/>
  <c r="W217" i="9"/>
  <c r="X217" i="9" s="1"/>
  <c r="W216" i="9"/>
  <c r="X216" i="9" s="1"/>
  <c r="W222" i="9"/>
  <c r="X222" i="9" s="1"/>
  <c r="W223" i="9"/>
  <c r="X223" i="9" s="1"/>
  <c r="J222" i="9" l="1"/>
  <c r="M222" i="9" s="1"/>
  <c r="N222" i="9" s="1"/>
  <c r="J223" i="9"/>
  <c r="M223" i="9" s="1"/>
  <c r="N223" i="9" s="1"/>
  <c r="O113" i="11"/>
  <c r="O122" i="11"/>
  <c r="O115" i="11"/>
  <c r="O117" i="11"/>
  <c r="O110" i="11"/>
  <c r="O119" i="11"/>
  <c r="O112" i="11"/>
  <c r="O121" i="11"/>
  <c r="O114" i="11"/>
  <c r="O118" i="11"/>
  <c r="O111" i="11"/>
  <c r="O116" i="11"/>
  <c r="O120" i="11"/>
  <c r="H247" i="9"/>
  <c r="J216" i="9"/>
  <c r="J217" i="9"/>
  <c r="M217" i="9" s="1"/>
  <c r="N217" i="9" s="1"/>
  <c r="H328" i="9" s="1"/>
  <c r="J218" i="9"/>
  <c r="M218" i="9" s="1"/>
  <c r="N218" i="9" s="1"/>
  <c r="V328" i="9" l="1"/>
  <c r="N162" i="11"/>
  <c r="N160" i="11"/>
  <c r="N161" i="11"/>
  <c r="N158" i="11"/>
  <c r="N159" i="11"/>
  <c r="N156" i="11"/>
  <c r="N157" i="11"/>
  <c r="N153" i="11"/>
  <c r="N155" i="11"/>
  <c r="N154" i="11"/>
  <c r="N151" i="11"/>
  <c r="N152" i="11"/>
  <c r="V247" i="9"/>
  <c r="P110" i="11"/>
  <c r="P112" i="11"/>
  <c r="P111" i="11"/>
  <c r="H226" i="9"/>
  <c r="N145" i="11"/>
  <c r="N149" i="11"/>
  <c r="N146" i="11"/>
  <c r="N148" i="11"/>
  <c r="N136" i="11"/>
  <c r="N120" i="11"/>
  <c r="N129" i="11"/>
  <c r="N113" i="11"/>
  <c r="N150" i="11"/>
  <c r="N138" i="11"/>
  <c r="N122" i="11"/>
  <c r="N131" i="11"/>
  <c r="N115" i="11"/>
  <c r="N147" i="11"/>
  <c r="N140" i="11"/>
  <c r="N124" i="11"/>
  <c r="N133" i="11"/>
  <c r="N117" i="11"/>
  <c r="N142" i="11"/>
  <c r="N126" i="11"/>
  <c r="N110" i="11"/>
  <c r="N135" i="11"/>
  <c r="N119" i="11"/>
  <c r="N128" i="11"/>
  <c r="N112" i="11"/>
  <c r="N137" i="11"/>
  <c r="N121" i="11"/>
  <c r="N144" i="11"/>
  <c r="N130" i="11"/>
  <c r="N114" i="11"/>
  <c r="N139" i="11"/>
  <c r="N123" i="11"/>
  <c r="N132" i="11"/>
  <c r="N141" i="11"/>
  <c r="N125" i="11"/>
  <c r="N134" i="11"/>
  <c r="N118" i="11"/>
  <c r="N143" i="11"/>
  <c r="N116" i="11"/>
  <c r="N127" i="11"/>
  <c r="N111" i="11"/>
  <c r="J10" i="11"/>
  <c r="S117" i="11"/>
  <c r="S119" i="11"/>
  <c r="S112" i="11"/>
  <c r="S114" i="11"/>
  <c r="S116" i="11"/>
  <c r="S118" i="11"/>
  <c r="S115" i="11"/>
  <c r="S113" i="11"/>
  <c r="H240" i="9"/>
  <c r="M216" i="9"/>
  <c r="N216" i="9" s="1"/>
  <c r="Q112" i="11"/>
  <c r="Q113" i="11"/>
  <c r="H228" i="9"/>
  <c r="V162" i="11" l="1"/>
  <c r="V163" i="11"/>
  <c r="V160" i="11"/>
  <c r="V161" i="11"/>
  <c r="V158" i="11"/>
  <c r="V159" i="11"/>
  <c r="V156" i="11"/>
  <c r="V157" i="11"/>
  <c r="V153" i="11"/>
  <c r="V155" i="11"/>
  <c r="V154" i="11"/>
  <c r="V151" i="11"/>
  <c r="V152" i="11"/>
  <c r="V228" i="9"/>
  <c r="X228" i="9" s="1"/>
  <c r="Q228" i="9"/>
  <c r="V146" i="11"/>
  <c r="B13" i="12"/>
  <c r="V143" i="11"/>
  <c r="V145" i="11"/>
  <c r="V147" i="11"/>
  <c r="V149" i="11"/>
  <c r="V128" i="11"/>
  <c r="V112" i="11"/>
  <c r="V150" i="11"/>
  <c r="V137" i="11"/>
  <c r="V121" i="11"/>
  <c r="V130" i="11"/>
  <c r="V114" i="11"/>
  <c r="V139" i="11"/>
  <c r="V123" i="11"/>
  <c r="V144" i="11"/>
  <c r="V132" i="11"/>
  <c r="V116" i="11"/>
  <c r="V148" i="11"/>
  <c r="V141" i="11"/>
  <c r="V125" i="11"/>
  <c r="V134" i="11"/>
  <c r="V118" i="11"/>
  <c r="V127" i="11"/>
  <c r="V111" i="11"/>
  <c r="V136" i="11"/>
  <c r="V120" i="11"/>
  <c r="V129" i="11"/>
  <c r="V113" i="11"/>
  <c r="V138" i="11"/>
  <c r="V122" i="11"/>
  <c r="V131" i="11"/>
  <c r="V140" i="11"/>
  <c r="V133" i="11"/>
  <c r="V117" i="11"/>
  <c r="V142" i="11"/>
  <c r="V126" i="11"/>
  <c r="V110" i="11"/>
  <c r="V135" i="11"/>
  <c r="V124" i="11"/>
  <c r="V115" i="11"/>
  <c r="V119" i="11"/>
  <c r="J18" i="11"/>
  <c r="P241" i="9"/>
  <c r="P240" i="9"/>
  <c r="Q240" i="9" s="1"/>
  <c r="V240" i="9"/>
  <c r="V226" i="9"/>
  <c r="X226" i="9" s="1"/>
  <c r="Q226" i="9"/>
  <c r="J226" i="9" l="1"/>
  <c r="M226" i="9" s="1"/>
  <c r="N226" i="9" s="1"/>
  <c r="J224" i="9"/>
  <c r="M224" i="9" s="1"/>
  <c r="N224" i="9" s="1"/>
  <c r="O2" i="12"/>
  <c r="B18" i="11"/>
  <c r="F82" i="6"/>
  <c r="J228" i="9"/>
  <c r="M228" i="9" s="1"/>
  <c r="N228" i="9" s="1"/>
  <c r="J227" i="9"/>
  <c r="M227" i="9" s="1"/>
  <c r="N227" i="9" s="1"/>
  <c r="W240" i="9"/>
  <c r="X240" i="9" s="1"/>
  <c r="W241" i="9"/>
  <c r="U114" i="11" l="1"/>
  <c r="H229" i="9"/>
  <c r="Q114" i="11"/>
  <c r="H230" i="9"/>
  <c r="S18" i="11"/>
  <c r="R117" i="11"/>
  <c r="R114" i="11"/>
  <c r="R116" i="11"/>
  <c r="R113" i="11"/>
  <c r="R115" i="11"/>
  <c r="H235" i="9"/>
  <c r="P115" i="11"/>
  <c r="P117" i="11"/>
  <c r="P114" i="11"/>
  <c r="P116" i="11"/>
  <c r="P118" i="11"/>
  <c r="P113" i="11"/>
  <c r="H238" i="9"/>
  <c r="W18" i="11" l="1"/>
  <c r="V238" i="9"/>
  <c r="V230" i="9"/>
  <c r="P229" i="9"/>
  <c r="Q229" i="9" s="1"/>
  <c r="P230" i="9"/>
  <c r="Q230" i="9" s="1"/>
  <c r="V229" i="9"/>
  <c r="P235" i="9"/>
  <c r="Q235" i="9" s="1"/>
  <c r="P236" i="9"/>
  <c r="Q236" i="9" s="1"/>
  <c r="V235" i="9"/>
  <c r="W236" i="9" l="1"/>
  <c r="X236" i="9" s="1"/>
  <c r="W235" i="9"/>
  <c r="X235" i="9" s="1"/>
  <c r="W230" i="9"/>
  <c r="X230" i="9" s="1"/>
  <c r="W229" i="9"/>
  <c r="X229" i="9" s="1"/>
  <c r="J229" i="9" l="1"/>
  <c r="M229" i="9" s="1"/>
  <c r="N229" i="9" s="1"/>
  <c r="J230" i="9"/>
  <c r="M230" i="9" s="1"/>
  <c r="N230" i="9" s="1"/>
  <c r="J236" i="9"/>
  <c r="M236" i="9" s="1"/>
  <c r="N236" i="9" s="1"/>
  <c r="J235" i="9"/>
  <c r="M235" i="9" s="1"/>
  <c r="N235" i="9" s="1"/>
  <c r="T162" i="11" l="1"/>
  <c r="T163" i="11"/>
  <c r="T160" i="11"/>
  <c r="T161" i="11"/>
  <c r="T158" i="11"/>
  <c r="T159" i="11"/>
  <c r="T156" i="11"/>
  <c r="T157" i="11"/>
  <c r="T153" i="11"/>
  <c r="T155" i="11"/>
  <c r="T154" i="11"/>
  <c r="T151" i="11"/>
  <c r="T152" i="11"/>
  <c r="R118" i="11"/>
  <c r="H237" i="9"/>
  <c r="T149" i="11"/>
  <c r="B11" i="12"/>
  <c r="T150" i="11"/>
  <c r="T145" i="11"/>
  <c r="T147" i="11"/>
  <c r="T142" i="11"/>
  <c r="T126" i="11"/>
  <c r="T135" i="11"/>
  <c r="T119" i="11"/>
  <c r="T128" i="11"/>
  <c r="T137" i="11"/>
  <c r="T121" i="11"/>
  <c r="T130" i="11"/>
  <c r="T139" i="11"/>
  <c r="T123" i="11"/>
  <c r="T148" i="11"/>
  <c r="T144" i="11"/>
  <c r="T132" i="11"/>
  <c r="T141" i="11"/>
  <c r="T125" i="11"/>
  <c r="T134" i="11"/>
  <c r="T118" i="11"/>
  <c r="T143" i="11"/>
  <c r="T127" i="11"/>
  <c r="T136" i="11"/>
  <c r="T120" i="11"/>
  <c r="T129" i="11"/>
  <c r="T138" i="11"/>
  <c r="T146" i="11"/>
  <c r="T131" i="11"/>
  <c r="T140" i="11"/>
  <c r="T124" i="11"/>
  <c r="T133" i="11"/>
  <c r="T122" i="11"/>
  <c r="J16" i="11"/>
  <c r="Q115" i="11"/>
  <c r="H232" i="9"/>
  <c r="U115" i="11"/>
  <c r="H231" i="9"/>
  <c r="P232" i="9" l="1"/>
  <c r="Q232" i="9" s="1"/>
  <c r="P231" i="9"/>
  <c r="Q231" i="9" s="1"/>
  <c r="V231" i="9"/>
  <c r="V232" i="9"/>
  <c r="M2" i="12"/>
  <c r="B16" i="11"/>
  <c r="F87" i="6"/>
  <c r="S87" i="6" s="1"/>
  <c r="P239" i="9"/>
  <c r="P238" i="9"/>
  <c r="Q238" i="9" s="1"/>
  <c r="P237" i="9"/>
  <c r="Q237" i="9" s="1"/>
  <c r="V237" i="9"/>
  <c r="W238" i="9" l="1"/>
  <c r="X238" i="9" s="1"/>
  <c r="W239" i="9"/>
  <c r="W237" i="9"/>
  <c r="X237" i="9" s="1"/>
  <c r="S16" i="11"/>
  <c r="W231" i="9"/>
  <c r="X231" i="9" s="1"/>
  <c r="W232" i="9"/>
  <c r="X232" i="9" s="1"/>
  <c r="J231" i="9" l="1"/>
  <c r="M231" i="9" s="1"/>
  <c r="N231" i="9" s="1"/>
  <c r="J232" i="9"/>
  <c r="M232" i="9" s="1"/>
  <c r="N232" i="9" s="1"/>
  <c r="W16" i="11"/>
  <c r="J238" i="9"/>
  <c r="M238" i="9" s="1"/>
  <c r="N238" i="9" s="1"/>
  <c r="Q162" i="11" l="1"/>
  <c r="Q163" i="11"/>
  <c r="Q160" i="11"/>
  <c r="Q161" i="11"/>
  <c r="Q158" i="11"/>
  <c r="Q159" i="11"/>
  <c r="Q156" i="11"/>
  <c r="Q157" i="11"/>
  <c r="Q153" i="11"/>
  <c r="Q155" i="11"/>
  <c r="Q154" i="11"/>
  <c r="Q151" i="11"/>
  <c r="Q152" i="11"/>
  <c r="P119" i="11"/>
  <c r="P121" i="11"/>
  <c r="P120" i="11"/>
  <c r="H244" i="9"/>
  <c r="Q149" i="11"/>
  <c r="Q144" i="11"/>
  <c r="Q146" i="11"/>
  <c r="Q148" i="11"/>
  <c r="Q150" i="11"/>
  <c r="B8" i="12"/>
  <c r="Q131" i="11"/>
  <c r="Q140" i="11"/>
  <c r="Q124" i="11"/>
  <c r="Q133" i="11"/>
  <c r="Q117" i="11"/>
  <c r="Q147" i="11"/>
  <c r="Q142" i="11"/>
  <c r="Q126" i="11"/>
  <c r="Q135" i="11"/>
  <c r="Q119" i="11"/>
  <c r="Q128" i="11"/>
  <c r="Q137" i="11"/>
  <c r="Q121" i="11"/>
  <c r="Q145" i="11"/>
  <c r="Q130" i="11"/>
  <c r="Q139" i="11"/>
  <c r="Q123" i="11"/>
  <c r="Q132" i="11"/>
  <c r="Q116" i="11"/>
  <c r="Q141" i="11"/>
  <c r="Q125" i="11"/>
  <c r="Q134" i="11"/>
  <c r="Q143" i="11"/>
  <c r="Q127" i="11"/>
  <c r="Q136" i="11"/>
  <c r="Q120" i="11"/>
  <c r="Q129" i="11"/>
  <c r="Q138" i="11"/>
  <c r="Q118" i="11"/>
  <c r="Q122" i="11"/>
  <c r="J13" i="11"/>
  <c r="U116" i="11"/>
  <c r="H234" i="9"/>
  <c r="J2" i="12" l="1"/>
  <c r="B13" i="11"/>
  <c r="F76" i="6"/>
  <c r="S76" i="6" s="1"/>
  <c r="P233" i="9"/>
  <c r="Q233" i="9" s="1"/>
  <c r="P234" i="9"/>
  <c r="Q234" i="9" s="1"/>
  <c r="V234" i="9"/>
  <c r="P245" i="9"/>
  <c r="P244" i="9"/>
  <c r="Q244" i="9" s="1"/>
  <c r="V244" i="9"/>
  <c r="W234" i="9" l="1"/>
  <c r="X234" i="9" s="1"/>
  <c r="W233" i="9"/>
  <c r="X233" i="9" s="1"/>
  <c r="W245" i="9"/>
  <c r="W244" i="9"/>
  <c r="X244" i="9" s="1"/>
  <c r="S13" i="11"/>
  <c r="W13" i="11" l="1"/>
  <c r="J234" i="9"/>
  <c r="M234" i="9" s="1"/>
  <c r="N234" i="9" s="1"/>
  <c r="J233" i="9"/>
  <c r="M233" i="9" s="1"/>
  <c r="N233" i="9" s="1"/>
  <c r="L162" i="11" l="1"/>
  <c r="L163" i="11"/>
  <c r="L160" i="11"/>
  <c r="L161" i="11"/>
  <c r="L158" i="11"/>
  <c r="L159" i="11"/>
  <c r="L156" i="11"/>
  <c r="L157" i="11"/>
  <c r="L153" i="11"/>
  <c r="L154" i="11"/>
  <c r="L155" i="11"/>
  <c r="L151" i="11"/>
  <c r="L152" i="11"/>
  <c r="L147" i="11"/>
  <c r="L149" i="11"/>
  <c r="B3" i="12"/>
  <c r="L146" i="11"/>
  <c r="L134" i="11"/>
  <c r="L118" i="11"/>
  <c r="L143" i="11"/>
  <c r="L127" i="11"/>
  <c r="L136" i="11"/>
  <c r="L120" i="11"/>
  <c r="L150" i="11"/>
  <c r="L129" i="11"/>
  <c r="L138" i="11"/>
  <c r="L122" i="11"/>
  <c r="L131" i="11"/>
  <c r="L140" i="11"/>
  <c r="L124" i="11"/>
  <c r="L148" i="11"/>
  <c r="L133" i="11"/>
  <c r="L117" i="11"/>
  <c r="L142" i="11"/>
  <c r="L126" i="11"/>
  <c r="L135" i="11"/>
  <c r="L119" i="11"/>
  <c r="L145" i="11"/>
  <c r="L128" i="11"/>
  <c r="L144" i="11"/>
  <c r="L137" i="11"/>
  <c r="L130" i="11"/>
  <c r="L139" i="11"/>
  <c r="L123" i="11"/>
  <c r="L132" i="11"/>
  <c r="L141" i="11"/>
  <c r="L125" i="11"/>
  <c r="L121" i="11"/>
  <c r="J8" i="11"/>
  <c r="U118" i="11"/>
  <c r="U117" i="11"/>
  <c r="H239" i="9"/>
  <c r="V239" i="9" l="1"/>
  <c r="X239" i="9" s="1"/>
  <c r="Q239" i="9"/>
  <c r="E2" i="12"/>
  <c r="B8" i="11"/>
  <c r="F81" i="6"/>
  <c r="S81" i="6" s="1"/>
  <c r="S8" i="11" l="1"/>
  <c r="J239" i="9"/>
  <c r="M239" i="9" s="1"/>
  <c r="N239" i="9" s="1"/>
  <c r="J237" i="9"/>
  <c r="M237" i="9" s="1"/>
  <c r="N237" i="9" s="1"/>
  <c r="R119" i="11" l="1"/>
  <c r="H241" i="9"/>
  <c r="U135" i="11"/>
  <c r="U119" i="11"/>
  <c r="U128" i="11"/>
  <c r="U137" i="11"/>
  <c r="U121" i="11"/>
  <c r="U130" i="11"/>
  <c r="U123" i="11"/>
  <c r="U132" i="11"/>
  <c r="U125" i="11"/>
  <c r="U134" i="11"/>
  <c r="U127" i="11"/>
  <c r="U136" i="11"/>
  <c r="U120" i="11"/>
  <c r="U129" i="11"/>
  <c r="U138" i="11"/>
  <c r="U131" i="11"/>
  <c r="U124" i="11"/>
  <c r="U133" i="11"/>
  <c r="U122" i="11"/>
  <c r="U126" i="11"/>
  <c r="H279" i="9"/>
  <c r="W8" i="11"/>
  <c r="P278" i="9" l="1"/>
  <c r="P279" i="9"/>
  <c r="Q279" i="9" s="1"/>
  <c r="V279" i="9"/>
  <c r="V241" i="9"/>
  <c r="X241" i="9" s="1"/>
  <c r="Q241" i="9"/>
  <c r="W279" i="9" l="1"/>
  <c r="X279" i="9" s="1"/>
  <c r="W278" i="9"/>
  <c r="J240" i="9"/>
  <c r="M240" i="9" s="1"/>
  <c r="N240" i="9" s="1"/>
  <c r="J241" i="9"/>
  <c r="M241" i="9" s="1"/>
  <c r="N241" i="9" s="1"/>
  <c r="R120" i="11" l="1"/>
  <c r="H243" i="9"/>
  <c r="S120" i="11"/>
  <c r="H242" i="9"/>
  <c r="P242" i="9" l="1"/>
  <c r="Q242" i="9" s="1"/>
  <c r="P243" i="9"/>
  <c r="Q243" i="9" s="1"/>
  <c r="V242" i="9"/>
  <c r="V243" i="9"/>
  <c r="W242" i="9" l="1"/>
  <c r="X242" i="9" s="1"/>
  <c r="W243" i="9"/>
  <c r="X243" i="9" s="1"/>
  <c r="J243" i="9" l="1"/>
  <c r="M243" i="9" s="1"/>
  <c r="N243" i="9" s="1"/>
  <c r="J242" i="9"/>
  <c r="M242" i="9" s="1"/>
  <c r="N242" i="9" s="1"/>
  <c r="S162" i="11" l="1"/>
  <c r="S163" i="11"/>
  <c r="S160" i="11"/>
  <c r="S161" i="11"/>
  <c r="S158" i="11"/>
  <c r="S159" i="11"/>
  <c r="S156" i="11"/>
  <c r="S157" i="11"/>
  <c r="S153" i="11"/>
  <c r="S155" i="11"/>
  <c r="S154" i="11"/>
  <c r="S151" i="11"/>
  <c r="S152" i="11"/>
  <c r="S146" i="11"/>
  <c r="S148" i="11"/>
  <c r="S150" i="11"/>
  <c r="B10" i="12"/>
  <c r="S145" i="11"/>
  <c r="S133" i="11"/>
  <c r="S147" i="11"/>
  <c r="S142" i="11"/>
  <c r="S126" i="11"/>
  <c r="S135" i="11"/>
  <c r="S128" i="11"/>
  <c r="S137" i="11"/>
  <c r="S121" i="11"/>
  <c r="S130" i="11"/>
  <c r="S139" i="11"/>
  <c r="S123" i="11"/>
  <c r="S144" i="11"/>
  <c r="S132" i="11"/>
  <c r="S141" i="11"/>
  <c r="S125" i="11"/>
  <c r="S134" i="11"/>
  <c r="S143" i="11"/>
  <c r="S127" i="11"/>
  <c r="S136" i="11"/>
  <c r="S149" i="11"/>
  <c r="S129" i="11"/>
  <c r="S138" i="11"/>
  <c r="S122" i="11"/>
  <c r="S131" i="11"/>
  <c r="S140" i="11"/>
  <c r="S124" i="11"/>
  <c r="J15" i="11"/>
  <c r="R121" i="11"/>
  <c r="H245" i="9"/>
  <c r="L2" i="12" l="1"/>
  <c r="B15" i="11"/>
  <c r="F74" i="6"/>
  <c r="S74" i="6" s="1"/>
  <c r="V245" i="9"/>
  <c r="X245" i="9" s="1"/>
  <c r="Q245" i="9"/>
  <c r="J245" i="9" l="1"/>
  <c r="M245" i="9" s="1"/>
  <c r="N245" i="9" s="1"/>
  <c r="J244" i="9"/>
  <c r="M244" i="9" s="1"/>
  <c r="N244" i="9" s="1"/>
  <c r="S15" i="11"/>
  <c r="W15" i="11" l="1"/>
  <c r="P122" i="11"/>
  <c r="P124" i="11"/>
  <c r="P126" i="11"/>
  <c r="P123" i="11"/>
  <c r="P125" i="11"/>
  <c r="P127" i="11"/>
  <c r="H257" i="9"/>
  <c r="R122" i="11"/>
  <c r="H246" i="9"/>
  <c r="P247" i="9" l="1"/>
  <c r="Q247" i="9" s="1"/>
  <c r="P246" i="9"/>
  <c r="Q246" i="9" s="1"/>
  <c r="V246" i="9"/>
  <c r="P257" i="9"/>
  <c r="Q257" i="9" s="1"/>
  <c r="P256" i="9"/>
  <c r="Q256" i="9" s="1"/>
  <c r="V257" i="9"/>
  <c r="W256" i="9" l="1"/>
  <c r="X256" i="9" s="1"/>
  <c r="W257" i="9"/>
  <c r="X257" i="9" s="1"/>
  <c r="W247" i="9"/>
  <c r="X247" i="9" s="1"/>
  <c r="W246" i="9"/>
  <c r="X246" i="9" s="1"/>
  <c r="J247" i="9" l="1"/>
  <c r="M247" i="9" s="1"/>
  <c r="N247" i="9" s="1"/>
  <c r="J246" i="9"/>
  <c r="M246" i="9" s="1"/>
  <c r="N246" i="9" s="1"/>
  <c r="J257" i="9"/>
  <c r="M257" i="9" s="1"/>
  <c r="N257" i="9" s="1"/>
  <c r="J256" i="9"/>
  <c r="M256" i="9" s="1"/>
  <c r="N256" i="9" s="1"/>
  <c r="K128" i="11" l="1"/>
  <c r="H258" i="9"/>
  <c r="R123" i="11"/>
  <c r="H248" i="9"/>
  <c r="P128" i="11"/>
  <c r="H259" i="9"/>
  <c r="O123" i="11"/>
  <c r="H249" i="9"/>
  <c r="V249" i="9" l="1"/>
  <c r="V259" i="9"/>
  <c r="P249" i="9"/>
  <c r="Q249" i="9" s="1"/>
  <c r="P248" i="9"/>
  <c r="Q248" i="9" s="1"/>
  <c r="V248" i="9"/>
  <c r="P259" i="9"/>
  <c r="Q259" i="9" s="1"/>
  <c r="P258" i="9"/>
  <c r="Q258" i="9" s="1"/>
  <c r="V258" i="9"/>
  <c r="W258" i="9" l="1"/>
  <c r="X258" i="9" s="1"/>
  <c r="W259" i="9"/>
  <c r="X259" i="9" s="1"/>
  <c r="W249" i="9"/>
  <c r="X249" i="9" s="1"/>
  <c r="W248" i="9"/>
  <c r="X248" i="9" s="1"/>
  <c r="J249" i="9" l="1"/>
  <c r="M249" i="9" s="1"/>
  <c r="N249" i="9" s="1"/>
  <c r="J248" i="9"/>
  <c r="M248" i="9" s="1"/>
  <c r="N248" i="9" s="1"/>
  <c r="J259" i="9"/>
  <c r="M259" i="9" s="1"/>
  <c r="N259" i="9" s="1"/>
  <c r="J258" i="9"/>
  <c r="M258" i="9" s="1"/>
  <c r="N258" i="9" s="1"/>
  <c r="K129" i="11" l="1"/>
  <c r="H260" i="9"/>
  <c r="P129" i="11"/>
  <c r="H261" i="9"/>
  <c r="R124" i="11"/>
  <c r="H251" i="9"/>
  <c r="O124" i="11"/>
  <c r="H250" i="9"/>
  <c r="P250" i="9" l="1"/>
  <c r="Q250" i="9" s="1"/>
  <c r="P251" i="9"/>
  <c r="Q251" i="9" s="1"/>
  <c r="V250" i="9"/>
  <c r="V251" i="9"/>
  <c r="V261" i="9"/>
  <c r="P261" i="9"/>
  <c r="Q261" i="9" s="1"/>
  <c r="P260" i="9"/>
  <c r="Q260" i="9" s="1"/>
  <c r="V260" i="9"/>
  <c r="W261" i="9" l="1"/>
  <c r="X261" i="9" s="1"/>
  <c r="W260" i="9"/>
  <c r="X260"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3" i="9"/>
  <c r="X253" i="9" s="1"/>
  <c r="W252" i="9"/>
  <c r="X252" i="9" s="1"/>
  <c r="J252" i="9" l="1"/>
  <c r="M252" i="9" s="1"/>
  <c r="N252" i="9" s="1"/>
  <c r="J253" i="9"/>
  <c r="M253" i="9" s="1"/>
  <c r="N253" i="9" s="1"/>
  <c r="J263" i="9"/>
  <c r="M263" i="9" s="1"/>
  <c r="N263" i="9" s="1"/>
  <c r="J262" i="9"/>
  <c r="M262" i="9" s="1"/>
  <c r="N262" i="9" s="1"/>
  <c r="K131" i="11" l="1"/>
  <c r="H264" i="9"/>
  <c r="P131" i="11"/>
  <c r="H265" i="9"/>
  <c r="R126" i="11"/>
  <c r="H254" i="9"/>
  <c r="O126" i="11"/>
  <c r="H255" i="9"/>
  <c r="V255" i="9" l="1"/>
  <c r="P255" i="9"/>
  <c r="Q255" i="9" s="1"/>
  <c r="P254" i="9"/>
  <c r="Q254" i="9" s="1"/>
  <c r="V254" i="9"/>
  <c r="P264" i="9"/>
  <c r="Q264" i="9" s="1"/>
  <c r="P265" i="9"/>
  <c r="Q265" i="9" s="1"/>
  <c r="V265" i="9"/>
  <c r="V264" i="9"/>
  <c r="W265" i="9" l="1"/>
  <c r="X265" i="9" s="1"/>
  <c r="W264" i="9"/>
  <c r="X264" i="9" s="1"/>
  <c r="W254" i="9"/>
  <c r="X254" i="9" s="1"/>
  <c r="W255" i="9"/>
  <c r="X255" i="9" s="1"/>
  <c r="J254" i="9" l="1"/>
  <c r="M254" i="9" s="1"/>
  <c r="N254" i="9" s="1"/>
  <c r="J255" i="9"/>
  <c r="M255" i="9" s="1"/>
  <c r="N255" i="9" s="1"/>
  <c r="J265" i="9"/>
  <c r="M265" i="9" s="1"/>
  <c r="N265" i="9" s="1"/>
  <c r="J264" i="9"/>
  <c r="M264" i="9" s="1"/>
  <c r="N264" i="9" s="1"/>
  <c r="O162" i="11" l="1"/>
  <c r="O163" i="11"/>
  <c r="O160" i="11"/>
  <c r="O161" i="11"/>
  <c r="O158" i="11"/>
  <c r="O159" i="11"/>
  <c r="O156" i="11"/>
  <c r="O157" i="11"/>
  <c r="O155" i="11"/>
  <c r="O154" i="11"/>
  <c r="O152" i="11"/>
  <c r="O153" i="11"/>
  <c r="K132" i="11"/>
  <c r="H266" i="9"/>
  <c r="P132" i="11"/>
  <c r="H267" i="9"/>
  <c r="O147" i="11"/>
  <c r="O144" i="11"/>
  <c r="O146" i="11"/>
  <c r="O148" i="11"/>
  <c r="O150" i="11"/>
  <c r="O129" i="11"/>
  <c r="O138" i="11"/>
  <c r="O131" i="11"/>
  <c r="O140" i="11"/>
  <c r="O133" i="11"/>
  <c r="O142" i="11"/>
  <c r="O135" i="11"/>
  <c r="O128" i="11"/>
  <c r="O137" i="11"/>
  <c r="O145" i="11"/>
  <c r="O130" i="11"/>
  <c r="O139" i="11"/>
  <c r="O132" i="11"/>
  <c r="O141" i="11"/>
  <c r="O134" i="11"/>
  <c r="O149" i="11"/>
  <c r="O143" i="11"/>
  <c r="O127" i="11"/>
  <c r="O136" i="11"/>
  <c r="J11" i="11"/>
  <c r="R133" i="11"/>
  <c r="R135" i="11"/>
  <c r="R128" i="11"/>
  <c r="R137" i="11"/>
  <c r="R130" i="11"/>
  <c r="R132" i="11"/>
  <c r="R134" i="11"/>
  <c r="R127" i="11"/>
  <c r="R136" i="11"/>
  <c r="R129" i="11"/>
  <c r="R131" i="11"/>
  <c r="H277" i="9"/>
  <c r="V277" i="9" l="1"/>
  <c r="V267" i="9"/>
  <c r="P266" i="9"/>
  <c r="Q266" i="9" s="1"/>
  <c r="P267" i="9"/>
  <c r="Q267" i="9" s="1"/>
  <c r="V266" i="9"/>
  <c r="W267" i="9" l="1"/>
  <c r="X267" i="9" s="1"/>
  <c r="W266" i="9"/>
  <c r="X266" i="9" s="1"/>
  <c r="J267" i="9" l="1"/>
  <c r="M267" i="9" s="1"/>
  <c r="N267" i="9" s="1"/>
  <c r="J266" i="9"/>
  <c r="M266" i="9" s="1"/>
  <c r="N266" i="9" s="1"/>
  <c r="K133" i="11" l="1"/>
  <c r="H268" i="9"/>
  <c r="P133" i="11"/>
  <c r="H269" i="9"/>
  <c r="P268" i="9" l="1"/>
  <c r="Q268" i="9" s="1"/>
  <c r="P269" i="9"/>
  <c r="Q269" i="9" s="1"/>
  <c r="V268" i="9"/>
  <c r="V269" i="9"/>
  <c r="W269" i="9" l="1"/>
  <c r="X269" i="9" s="1"/>
  <c r="W268" i="9"/>
  <c r="X268" i="9" s="1"/>
  <c r="J268" i="9" l="1"/>
  <c r="M268" i="9" s="1"/>
  <c r="N268" i="9" s="1"/>
  <c r="J269" i="9"/>
  <c r="M269" i="9" s="1"/>
  <c r="N269" i="9" s="1"/>
  <c r="P134" i="11" l="1"/>
  <c r="H271" i="9"/>
  <c r="K134" i="11"/>
  <c r="H270" i="9"/>
  <c r="P271" i="9" l="1"/>
  <c r="Q271" i="9" s="1"/>
  <c r="P270" i="9"/>
  <c r="Q270" i="9" s="1"/>
  <c r="V270" i="9"/>
  <c r="V271" i="9"/>
  <c r="W270" i="9" l="1"/>
  <c r="X270" i="9" s="1"/>
  <c r="W271" i="9"/>
  <c r="X271" i="9" s="1"/>
  <c r="J270" i="9" l="1"/>
  <c r="M270" i="9" s="1"/>
  <c r="N270" i="9" s="1"/>
  <c r="J271" i="9"/>
  <c r="M271" i="9" s="1"/>
  <c r="N271" i="9" s="1"/>
  <c r="P135" i="11" l="1"/>
  <c r="H273" i="9"/>
  <c r="K135" i="11"/>
  <c r="H272" i="9"/>
  <c r="P273" i="9" l="1"/>
  <c r="Q273" i="9" s="1"/>
  <c r="P272" i="9"/>
  <c r="Q272" i="9" s="1"/>
  <c r="V272" i="9"/>
  <c r="V273" i="9"/>
  <c r="W273" i="9" l="1"/>
  <c r="X273" i="9" s="1"/>
  <c r="W272" i="9"/>
  <c r="X272" i="9" s="1"/>
  <c r="J272" i="9" l="1"/>
  <c r="M272" i="9" s="1"/>
  <c r="N272" i="9" s="1"/>
  <c r="J273" i="9"/>
  <c r="M273" i="9" s="1"/>
  <c r="N273" i="9" s="1"/>
  <c r="P136" i="11" l="1"/>
  <c r="H275" i="9"/>
  <c r="K136" i="11"/>
  <c r="H274" i="9"/>
  <c r="P274" i="9" l="1"/>
  <c r="Q274" i="9" s="1"/>
  <c r="P275" i="9"/>
  <c r="Q275" i="9" s="1"/>
  <c r="V274" i="9"/>
  <c r="V275" i="9"/>
  <c r="W275" i="9" l="1"/>
  <c r="X275" i="9" s="1"/>
  <c r="W274" i="9"/>
  <c r="X274" i="9" s="1"/>
  <c r="J275" i="9" l="1"/>
  <c r="M275" i="9" s="1"/>
  <c r="N275" i="9" s="1"/>
  <c r="J274" i="9"/>
  <c r="M274" i="9" s="1"/>
  <c r="N274" i="9" s="1"/>
  <c r="H303" i="9" l="1"/>
  <c r="K150" i="11"/>
  <c r="K149" i="11"/>
  <c r="K146" i="11"/>
  <c r="K141" i="11"/>
  <c r="K143" i="11"/>
  <c r="K138" i="11"/>
  <c r="K147" i="11"/>
  <c r="K140" i="11"/>
  <c r="K148" i="11"/>
  <c r="K142" i="11"/>
  <c r="K145" i="11"/>
  <c r="K144" i="11"/>
  <c r="K137" i="11"/>
  <c r="K139" i="11"/>
  <c r="J7" i="11"/>
  <c r="P137" i="11"/>
  <c r="H276" i="9"/>
  <c r="V303" i="9" l="1"/>
  <c r="P276" i="9"/>
  <c r="Q276" i="9" s="1"/>
  <c r="P277" i="9"/>
  <c r="Q277" i="9" s="1"/>
  <c r="V276" i="9"/>
  <c r="W277" i="9" l="1"/>
  <c r="X277" i="9" s="1"/>
  <c r="W276" i="9"/>
  <c r="X276" i="9" s="1"/>
  <c r="J277" i="9" l="1"/>
  <c r="M277" i="9" s="1"/>
  <c r="N277" i="9" s="1"/>
  <c r="J276" i="9"/>
  <c r="M276" i="9" s="1"/>
  <c r="N276" i="9" s="1"/>
  <c r="P138" i="11" l="1"/>
  <c r="H278" i="9"/>
  <c r="R140" i="11"/>
  <c r="R142" i="11"/>
  <c r="R139" i="11"/>
  <c r="R144" i="11"/>
  <c r="R141" i="11"/>
  <c r="R143" i="11"/>
  <c r="R138" i="11"/>
  <c r="H291" i="9"/>
  <c r="P290" i="9" l="1"/>
  <c r="P291" i="9"/>
  <c r="Q291" i="9" s="1"/>
  <c r="V291" i="9"/>
  <c r="V278" i="9"/>
  <c r="X278" i="9" s="1"/>
  <c r="Q278" i="9"/>
  <c r="W291" i="9" l="1"/>
  <c r="X291" i="9" s="1"/>
  <c r="W290" i="9"/>
  <c r="J279" i="9"/>
  <c r="M279" i="9" s="1"/>
  <c r="N279" i="9" s="1"/>
  <c r="J278" i="9"/>
  <c r="M278" i="9" s="1"/>
  <c r="N278" i="9" s="1"/>
  <c r="P139" i="11" l="1"/>
  <c r="H280" i="9"/>
  <c r="U139" i="11"/>
  <c r="H281" i="9"/>
  <c r="P280" i="9" l="1"/>
  <c r="Q280" i="9" s="1"/>
  <c r="P281" i="9"/>
  <c r="Q281" i="9" s="1"/>
  <c r="V281" i="9"/>
  <c r="V280" i="9"/>
  <c r="W281" i="9" l="1"/>
  <c r="X281" i="9" s="1"/>
  <c r="W280" i="9"/>
  <c r="X280" i="9" s="1"/>
  <c r="J281" i="9" l="1"/>
  <c r="M281" i="9" s="1"/>
  <c r="N281" i="9" s="1"/>
  <c r="J280" i="9"/>
  <c r="M280" i="9" s="1"/>
  <c r="N280" i="9" s="1"/>
  <c r="P140" i="11" l="1"/>
  <c r="H282" i="9"/>
  <c r="U140" i="11"/>
  <c r="H283" i="9"/>
  <c r="P283" i="9" l="1"/>
  <c r="Q283" i="9" s="1"/>
  <c r="P282" i="9"/>
  <c r="Q282" i="9" s="1"/>
  <c r="V283" i="9"/>
  <c r="V282" i="9"/>
  <c r="W282" i="9" l="1"/>
  <c r="X282" i="9" s="1"/>
  <c r="W283" i="9"/>
  <c r="X283" i="9" s="1"/>
  <c r="J282" i="9" l="1"/>
  <c r="M282" i="9" s="1"/>
  <c r="N282" i="9" s="1"/>
  <c r="J283" i="9"/>
  <c r="M283" i="9" s="1"/>
  <c r="N283" i="9" s="1"/>
  <c r="U141" i="11" l="1"/>
  <c r="H285" i="9"/>
  <c r="P141" i="11"/>
  <c r="H284" i="9"/>
  <c r="V284" i="9" l="1"/>
  <c r="P284" i="9"/>
  <c r="Q284" i="9" s="1"/>
  <c r="P285" i="9"/>
  <c r="Q285" i="9" s="1"/>
  <c r="V285" i="9"/>
  <c r="W285" i="9" l="1"/>
  <c r="X285" i="9" s="1"/>
  <c r="W284" i="9"/>
  <c r="X284" i="9" s="1"/>
  <c r="J284" i="9" l="1"/>
  <c r="M284" i="9" s="1"/>
  <c r="N284" i="9" s="1"/>
  <c r="J285" i="9"/>
  <c r="M285" i="9" s="1"/>
  <c r="N285" i="9" s="1"/>
  <c r="U142" i="11" l="1"/>
  <c r="H287" i="9"/>
  <c r="P142" i="11"/>
  <c r="H286" i="9"/>
  <c r="P287" i="9" l="1"/>
  <c r="Q287" i="9" s="1"/>
  <c r="P286" i="9"/>
  <c r="Q286" i="9" s="1"/>
  <c r="V286" i="9"/>
  <c r="V287" i="9"/>
  <c r="W286" i="9" l="1"/>
  <c r="X286" i="9" s="1"/>
  <c r="W287" i="9"/>
  <c r="X287" i="9" s="1"/>
  <c r="J286" i="9" l="1"/>
  <c r="M286" i="9" s="1"/>
  <c r="N286" i="9" s="1"/>
  <c r="J287" i="9"/>
  <c r="M287" i="9" s="1"/>
  <c r="N287" i="9" s="1"/>
  <c r="U143" i="11" l="1"/>
  <c r="H289" i="9"/>
  <c r="P143" i="11"/>
  <c r="H288" i="9"/>
  <c r="P288" i="9" l="1"/>
  <c r="Q288" i="9" s="1"/>
  <c r="P289" i="9"/>
  <c r="Q289" i="9" s="1"/>
  <c r="V288" i="9"/>
  <c r="V289" i="9"/>
  <c r="W289" i="9" l="1"/>
  <c r="X289" i="9" s="1"/>
  <c r="W288" i="9"/>
  <c r="X288" i="9" s="1"/>
  <c r="J288" i="9" l="1"/>
  <c r="M288" i="9" s="1"/>
  <c r="N288" i="9" s="1"/>
  <c r="J289" i="9"/>
  <c r="M289" i="9" s="1"/>
  <c r="N289" i="9" s="1"/>
  <c r="U145" i="11" l="1"/>
  <c r="U147" i="11"/>
  <c r="U144" i="11"/>
  <c r="U146"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4" i="9" l="1"/>
  <c r="Q294" i="9" s="1"/>
  <c r="P295" i="9"/>
  <c r="Q295" i="9" s="1"/>
  <c r="V295" i="9"/>
  <c r="V294" i="9"/>
  <c r="W295" i="9" l="1"/>
  <c r="X295" i="9" s="1"/>
  <c r="W294" i="9"/>
  <c r="X294" i="9" s="1"/>
  <c r="J295" i="9" l="1"/>
  <c r="M295" i="9" s="1"/>
  <c r="N295" i="9" s="1"/>
  <c r="J294" i="9"/>
  <c r="M294" i="9" s="1"/>
  <c r="N294" i="9" s="1"/>
  <c r="R162" i="11" l="1"/>
  <c r="R163" i="11"/>
  <c r="R160" i="11"/>
  <c r="R161" i="11"/>
  <c r="R158" i="11"/>
  <c r="R159" i="11"/>
  <c r="R156" i="11"/>
  <c r="R157" i="11"/>
  <c r="R153" i="11"/>
  <c r="R155" i="11"/>
  <c r="R154" i="11"/>
  <c r="R152" i="11"/>
  <c r="J14" i="11"/>
  <c r="P147" i="11"/>
  <c r="H296" i="9"/>
  <c r="R149" i="11"/>
  <c r="R148" i="11"/>
  <c r="R150" i="11"/>
  <c r="R147" i="11"/>
  <c r="P296" i="9" l="1"/>
  <c r="Q296" i="9" s="1"/>
  <c r="P297" i="9"/>
  <c r="Q297" i="9" s="1"/>
  <c r="V296" i="9"/>
  <c r="W297" i="9" l="1"/>
  <c r="X297" i="9" s="1"/>
  <c r="W296" i="9"/>
  <c r="X296" i="9" s="1"/>
  <c r="J296" i="9" l="1"/>
  <c r="M296" i="9" s="1"/>
  <c r="N296" i="9" s="1"/>
  <c r="J297" i="9"/>
  <c r="M297" i="9" s="1"/>
  <c r="N297" i="9" s="1"/>
  <c r="U148" i="11" l="1"/>
  <c r="H299" i="9"/>
  <c r="P148" i="11"/>
  <c r="H298" i="9"/>
  <c r="V298" i="9" l="1"/>
  <c r="P299" i="9"/>
  <c r="Q299" i="9" s="1"/>
  <c r="P298" i="9"/>
  <c r="Q298" i="9" s="1"/>
  <c r="V299" i="9"/>
  <c r="W298" i="9" l="1"/>
  <c r="X298" i="9" s="1"/>
  <c r="W299" i="9"/>
  <c r="X299" i="9" s="1"/>
  <c r="J298" i="9" l="1"/>
  <c r="M298" i="9" s="1"/>
  <c r="N298" i="9" s="1"/>
  <c r="J299" i="9"/>
  <c r="M299" i="9" s="1"/>
  <c r="N299" i="9" s="1"/>
  <c r="U149" i="11" l="1"/>
  <c r="H301" i="9"/>
  <c r="P149" i="11"/>
  <c r="H300" i="9"/>
  <c r="P301" i="9" l="1"/>
  <c r="Q301" i="9" s="1"/>
  <c r="P300" i="9"/>
  <c r="Q300" i="9" s="1"/>
  <c r="V300" i="9"/>
  <c r="V301" i="9"/>
  <c r="W300" i="9" l="1"/>
  <c r="X300" i="9" s="1"/>
  <c r="W301" i="9"/>
  <c r="X301" i="9" s="1"/>
  <c r="J300" i="9" l="1"/>
  <c r="M300" i="9" s="1"/>
  <c r="N300" i="9" s="1"/>
  <c r="H302" i="9" s="1"/>
  <c r="J301" i="9"/>
  <c r="P303" i="9" l="1"/>
  <c r="Q303" i="9" s="1"/>
  <c r="P302" i="9"/>
  <c r="Q302" i="9" s="1"/>
  <c r="V302" i="9"/>
  <c r="J12" i="11"/>
  <c r="M301" i="9"/>
  <c r="P150" i="11"/>
  <c r="W302" i="9" l="1"/>
  <c r="X302" i="9" s="1"/>
  <c r="W303" i="9"/>
  <c r="X303" i="9" s="1"/>
  <c r="J303" i="9" s="1"/>
  <c r="M303" i="9" s="1"/>
  <c r="N303" i="9" s="1"/>
  <c r="N301" i="9"/>
  <c r="U163" i="11" s="1"/>
  <c r="U161" i="11" l="1"/>
  <c r="U162" i="11"/>
  <c r="U159" i="11"/>
  <c r="U160" i="11"/>
  <c r="U156" i="11"/>
  <c r="U157" i="11"/>
  <c r="U155" i="11"/>
  <c r="U154" i="11"/>
  <c r="U152" i="11"/>
  <c r="U153" i="11"/>
  <c r="J302" i="9"/>
  <c r="M302" i="9" s="1"/>
  <c r="N302" i="9" s="1"/>
  <c r="H305" i="9"/>
  <c r="K151" i="11"/>
  <c r="B9" i="12"/>
  <c r="R151" i="11"/>
  <c r="B6" i="12"/>
  <c r="O151" i="11"/>
  <c r="U151" i="11"/>
  <c r="J17" i="11"/>
  <c r="U150" i="11"/>
  <c r="V305" i="9" l="1"/>
  <c r="H304" i="9"/>
  <c r="F75" i="6"/>
  <c r="S75" i="6" s="1"/>
  <c r="H2" i="12"/>
  <c r="B11" i="11"/>
  <c r="S11" i="11" s="1"/>
  <c r="W11" i="11" s="1"/>
  <c r="K2" i="12"/>
  <c r="B14" i="11"/>
  <c r="S14" i="11" s="1"/>
  <c r="W14" i="11" s="1"/>
  <c r="F78" i="6"/>
  <c r="S78" i="6" s="1"/>
  <c r="P151" i="11"/>
  <c r="K17" i="11"/>
  <c r="K10" i="11"/>
  <c r="K8" i="11"/>
  <c r="K16" i="11"/>
  <c r="K12" i="11"/>
  <c r="K19" i="11"/>
  <c r="K18" i="11"/>
  <c r="K13" i="11"/>
  <c r="K9" i="11"/>
  <c r="K7" i="11"/>
  <c r="K11" i="11"/>
  <c r="K20" i="11"/>
  <c r="K15" i="11"/>
  <c r="K14" i="11"/>
  <c r="P304" i="9" l="1"/>
  <c r="Q304" i="9" s="1"/>
  <c r="P305" i="9"/>
  <c r="Q305" i="9" s="1"/>
  <c r="V304" i="9"/>
  <c r="A13" i="3"/>
  <c r="A8" i="3"/>
  <c r="A14" i="3"/>
  <c r="A16" i="3"/>
  <c r="A9" i="3"/>
  <c r="A10" i="3"/>
  <c r="A15" i="3"/>
  <c r="A18" i="3"/>
  <c r="A11" i="3"/>
  <c r="A17" i="3"/>
  <c r="A5" i="3"/>
  <c r="A12" i="3"/>
  <c r="A6" i="3"/>
  <c r="A7" i="3"/>
  <c r="W304" i="9" l="1"/>
  <c r="X304" i="9" s="1"/>
  <c r="J304" i="9" s="1"/>
  <c r="M304" i="9" s="1"/>
  <c r="W305" i="9"/>
  <c r="X305" i="9" s="1"/>
  <c r="J305" i="9" s="1"/>
  <c r="M305" i="9" s="1"/>
  <c r="N305" i="9" s="1"/>
  <c r="H307" i="9" s="1"/>
  <c r="V307" i="9" l="1"/>
  <c r="N304" i="9"/>
  <c r="K152" i="11"/>
  <c r="P152" i="11"/>
  <c r="H306" i="9" l="1"/>
  <c r="H444" i="11" a="1"/>
  <c r="H444" i="11" s="1"/>
  <c r="D444" i="11" a="1"/>
  <c r="D444" i="11" s="1"/>
  <c r="G444" i="11" s="1"/>
  <c r="I444" i="11" s="1"/>
  <c r="Y444" i="11" s="1"/>
  <c r="H443" i="11" a="1"/>
  <c r="H443" i="11" s="1"/>
  <c r="D443" i="11" a="1"/>
  <c r="D443" i="11" s="1"/>
  <c r="G443" i="11" s="1"/>
  <c r="I443" i="11" s="1"/>
  <c r="Y443" i="11" s="1"/>
  <c r="H442" i="11" a="1"/>
  <c r="H442" i="11" s="1"/>
  <c r="D442" i="11" a="1"/>
  <c r="D442" i="11" s="1"/>
  <c r="G442" i="11" s="1"/>
  <c r="I442" i="11" s="1"/>
  <c r="Y442" i="11" s="1"/>
  <c r="H441" i="11" a="1"/>
  <c r="H441" i="11" s="1"/>
  <c r="D441" i="11" a="1"/>
  <c r="D441" i="11" s="1"/>
  <c r="G441" i="11" s="1"/>
  <c r="I441" i="11" s="1"/>
  <c r="Y441" i="11" s="1"/>
  <c r="H440" i="11" a="1"/>
  <c r="H440" i="11" s="1"/>
  <c r="D440" i="11" a="1"/>
  <c r="D440" i="11" s="1"/>
  <c r="G440" i="11" s="1"/>
  <c r="I440" i="11" s="1"/>
  <c r="Y440" i="11" s="1"/>
  <c r="H439" i="11" a="1"/>
  <c r="H439" i="11" s="1"/>
  <c r="D439" i="11" a="1"/>
  <c r="D439" i="11" s="1"/>
  <c r="G439" i="11" s="1"/>
  <c r="I439" i="11" s="1"/>
  <c r="Y439" i="11" s="1"/>
  <c r="H438" i="11" a="1"/>
  <c r="H438" i="11" s="1"/>
  <c r="D438" i="11" a="1"/>
  <c r="D438" i="11" s="1"/>
  <c r="G438" i="11" s="1"/>
  <c r="I438" i="11" s="1"/>
  <c r="Y438" i="11" s="1"/>
  <c r="H437" i="11" a="1"/>
  <c r="H437" i="11" s="1"/>
  <c r="D437" i="11" a="1"/>
  <c r="D437" i="11" s="1"/>
  <c r="G437" i="11" s="1"/>
  <c r="I437" i="11" s="1"/>
  <c r="Y437" i="11" s="1"/>
  <c r="H436" i="11" a="1"/>
  <c r="H436" i="11" s="1"/>
  <c r="D436" i="11" a="1"/>
  <c r="D436" i="11" s="1"/>
  <c r="G436" i="11" s="1"/>
  <c r="I436" i="11" s="1"/>
  <c r="Y436" i="11" s="1"/>
  <c r="H435" i="11" a="1"/>
  <c r="H435" i="11" s="1"/>
  <c r="D435" i="11" a="1"/>
  <c r="D435" i="11" s="1"/>
  <c r="G435" i="11" s="1"/>
  <c r="I435" i="11" s="1"/>
  <c r="Y435" i="11" s="1"/>
  <c r="H434" i="11" a="1"/>
  <c r="H434" i="11" s="1"/>
  <c r="D434" i="11" a="1"/>
  <c r="D434" i="11" s="1"/>
  <c r="G434" i="11" s="1"/>
  <c r="I434" i="11" s="1"/>
  <c r="Y434" i="11" s="1"/>
  <c r="H433" i="11" a="1"/>
  <c r="H433" i="11" s="1"/>
  <c r="D433" i="11" a="1"/>
  <c r="D433" i="11" s="1"/>
  <c r="G433" i="11" s="1"/>
  <c r="I433" i="11" s="1"/>
  <c r="Y433" i="11" s="1"/>
  <c r="H432" i="11" a="1"/>
  <c r="H432" i="11" s="1"/>
  <c r="D432" i="11" a="1"/>
  <c r="D432" i="11" s="1"/>
  <c r="G432" i="11" s="1"/>
  <c r="I432" i="11" s="1"/>
  <c r="Y432" i="11" s="1"/>
  <c r="H431" i="11" a="1"/>
  <c r="H431" i="11" s="1"/>
  <c r="D431" i="11" a="1"/>
  <c r="D431" i="11" s="1"/>
  <c r="G431" i="11" s="1"/>
  <c r="I431" i="11" s="1"/>
  <c r="Y431" i="11" s="1"/>
  <c r="H430" i="11" a="1"/>
  <c r="H430" i="11" s="1"/>
  <c r="D430" i="11" a="1"/>
  <c r="D430" i="11" s="1"/>
  <c r="G430" i="11" s="1"/>
  <c r="I430" i="11" s="1"/>
  <c r="Y430" i="11" s="1"/>
  <c r="H429" i="11" a="1"/>
  <c r="H429" i="11" s="1"/>
  <c r="D429" i="11" a="1"/>
  <c r="D429" i="11" s="1"/>
  <c r="G429" i="11" s="1"/>
  <c r="I429" i="11" s="1"/>
  <c r="Y429" i="11" s="1"/>
  <c r="H428" i="11" a="1"/>
  <c r="H428" i="11" s="1"/>
  <c r="D428" i="11" a="1"/>
  <c r="D428" i="11" s="1"/>
  <c r="G428" i="11" s="1"/>
  <c r="I428" i="11" s="1"/>
  <c r="Y428" i="11" s="1"/>
  <c r="H427" i="11" a="1"/>
  <c r="H427" i="11" s="1"/>
  <c r="D427" i="11" a="1"/>
  <c r="D427" i="11" s="1"/>
  <c r="G427" i="11" s="1"/>
  <c r="I427" i="11" s="1"/>
  <c r="Y427" i="11" s="1"/>
  <c r="H426" i="11" a="1"/>
  <c r="H426" i="11" s="1"/>
  <c r="D426" i="11" a="1"/>
  <c r="D426" i="11" s="1"/>
  <c r="G426" i="11" s="1"/>
  <c r="I426" i="11" s="1"/>
  <c r="Y426" i="11" s="1"/>
  <c r="H425" i="11" a="1"/>
  <c r="H425" i="11" s="1"/>
  <c r="D425" i="11" a="1"/>
  <c r="D425" i="11" s="1"/>
  <c r="G425" i="11" s="1"/>
  <c r="I425" i="11" s="1"/>
  <c r="Y425" i="11" s="1"/>
  <c r="H424" i="11" a="1"/>
  <c r="H424" i="11" s="1"/>
  <c r="D424" i="11" a="1"/>
  <c r="D424" i="11" s="1"/>
  <c r="G424" i="11" s="1"/>
  <c r="I424" i="11" s="1"/>
  <c r="Y424" i="11" s="1"/>
  <c r="H423" i="11" a="1"/>
  <c r="H423" i="11" s="1"/>
  <c r="D423" i="11" a="1"/>
  <c r="D423" i="11" s="1"/>
  <c r="G423" i="11" s="1"/>
  <c r="I423" i="11" s="1"/>
  <c r="Y423" i="11" s="1"/>
  <c r="H422" i="11" a="1"/>
  <c r="H422" i="11" s="1"/>
  <c r="D422" i="11" a="1"/>
  <c r="D422" i="11" s="1"/>
  <c r="G422" i="11" s="1"/>
  <c r="I422" i="11" s="1"/>
  <c r="Y422" i="11" s="1"/>
  <c r="H421" i="11" a="1"/>
  <c r="H421" i="11" s="1"/>
  <c r="D421" i="11" a="1"/>
  <c r="D421" i="11" s="1"/>
  <c r="G421" i="11" s="1"/>
  <c r="I421" i="11" s="1"/>
  <c r="Y421" i="11" s="1"/>
  <c r="H420" i="11" a="1"/>
  <c r="H420" i="11" s="1"/>
  <c r="D420" i="11" a="1"/>
  <c r="D420" i="11" s="1"/>
  <c r="G420" i="11" s="1"/>
  <c r="I420" i="11" s="1"/>
  <c r="Y420" i="11" s="1"/>
  <c r="H419" i="11" a="1"/>
  <c r="H419" i="11" s="1"/>
  <c r="D419" i="11" a="1"/>
  <c r="D419" i="11" s="1"/>
  <c r="G419" i="11" s="1"/>
  <c r="I419" i="11" s="1"/>
  <c r="Y419" i="11" s="1"/>
  <c r="H418" i="11" a="1"/>
  <c r="H418" i="11" s="1"/>
  <c r="D418" i="11" a="1"/>
  <c r="D418" i="11" s="1"/>
  <c r="G418" i="11" s="1"/>
  <c r="I418" i="11" s="1"/>
  <c r="Y418" i="11" s="1"/>
  <c r="H417" i="11" a="1"/>
  <c r="H417" i="11" s="1"/>
  <c r="D417" i="11" a="1"/>
  <c r="D417" i="11" s="1"/>
  <c r="G417" i="11" s="1"/>
  <c r="I417" i="11" s="1"/>
  <c r="Y417" i="11" s="1"/>
  <c r="H416" i="11" a="1"/>
  <c r="H416" i="11" s="1"/>
  <c r="D416" i="11" a="1"/>
  <c r="D416" i="11" s="1"/>
  <c r="G416" i="11" s="1"/>
  <c r="I416" i="11" s="1"/>
  <c r="Y416" i="11" s="1"/>
  <c r="H415" i="11" a="1"/>
  <c r="H415" i="11" s="1"/>
  <c r="D415" i="11" a="1"/>
  <c r="D415" i="11" s="1"/>
  <c r="G415" i="11" s="1"/>
  <c r="I415" i="11" s="1"/>
  <c r="Y415" i="11" s="1"/>
  <c r="H414" i="11" a="1"/>
  <c r="H414" i="11" s="1"/>
  <c r="D414" i="11" a="1"/>
  <c r="D414" i="11" s="1"/>
  <c r="G414" i="11" s="1"/>
  <c r="I414" i="11" s="1"/>
  <c r="Y414" i="11" s="1"/>
  <c r="H413" i="11" a="1"/>
  <c r="H413" i="11" s="1"/>
  <c r="D413" i="11" a="1"/>
  <c r="D413" i="11" s="1"/>
  <c r="G413" i="11" s="1"/>
  <c r="I413" i="11" s="1"/>
  <c r="Y413" i="11" s="1"/>
  <c r="H412" i="11" a="1"/>
  <c r="H412" i="11" s="1"/>
  <c r="D412" i="11" a="1"/>
  <c r="D412" i="11" s="1"/>
  <c r="G412" i="11" s="1"/>
  <c r="I412" i="11" s="1"/>
  <c r="Y412" i="11" s="1"/>
  <c r="H411" i="11" a="1"/>
  <c r="H411" i="11" s="1"/>
  <c r="D411" i="11" a="1"/>
  <c r="D411" i="11" s="1"/>
  <c r="G411" i="11" s="1"/>
  <c r="I411" i="11" s="1"/>
  <c r="Y411" i="11" s="1"/>
  <c r="H410" i="11" a="1"/>
  <c r="H410" i="11" s="1"/>
  <c r="D410" i="11" a="1"/>
  <c r="D410" i="11" s="1"/>
  <c r="G410" i="11" s="1"/>
  <c r="I410" i="11" s="1"/>
  <c r="Y410" i="11" s="1"/>
  <c r="H409" i="11" a="1"/>
  <c r="H409" i="11" s="1"/>
  <c r="D409" i="11" a="1"/>
  <c r="D409" i="11" s="1"/>
  <c r="G409" i="11" s="1"/>
  <c r="I409" i="11" s="1"/>
  <c r="Y409" i="11" s="1"/>
  <c r="H408" i="11" a="1"/>
  <c r="H408" i="11" s="1"/>
  <c r="D408" i="11" a="1"/>
  <c r="D408" i="11" s="1"/>
  <c r="G408" i="11" s="1"/>
  <c r="I408" i="11" s="1"/>
  <c r="Y408" i="11" s="1"/>
  <c r="H407" i="11" a="1"/>
  <c r="H407" i="11" s="1"/>
  <c r="D407" i="11" a="1"/>
  <c r="D407" i="11" s="1"/>
  <c r="G407" i="11" s="1"/>
  <c r="I407" i="11" s="1"/>
  <c r="Y407" i="11" s="1"/>
  <c r="H406" i="11" a="1"/>
  <c r="H406" i="11" s="1"/>
  <c r="D406" i="11" a="1"/>
  <c r="D406" i="11" s="1"/>
  <c r="G406" i="11" s="1"/>
  <c r="I406" i="11" s="1"/>
  <c r="Y406" i="11" s="1"/>
  <c r="H405" i="11" a="1"/>
  <c r="H405" i="11" s="1"/>
  <c r="D405" i="11" a="1"/>
  <c r="D405" i="11" s="1"/>
  <c r="G405" i="11" s="1"/>
  <c r="I405" i="11" s="1"/>
  <c r="Y405" i="11" s="1"/>
  <c r="H404" i="11" a="1"/>
  <c r="H404" i="11" s="1"/>
  <c r="D404" i="11" a="1"/>
  <c r="D404" i="11" s="1"/>
  <c r="G404" i="11" s="1"/>
  <c r="I404" i="11" s="1"/>
  <c r="Y404" i="11" s="1"/>
  <c r="H403" i="11" a="1"/>
  <c r="H403" i="11" s="1"/>
  <c r="D403" i="11" a="1"/>
  <c r="D403" i="11" s="1"/>
  <c r="G403" i="11" s="1"/>
  <c r="I403" i="11" s="1"/>
  <c r="Y403" i="11" s="1"/>
  <c r="H402" i="11" a="1"/>
  <c r="H402" i="11" s="1"/>
  <c r="D402" i="11" a="1"/>
  <c r="D402" i="11" s="1"/>
  <c r="G402" i="11" s="1"/>
  <c r="I402" i="11" s="1"/>
  <c r="Y402" i="11" s="1"/>
  <c r="H401" i="11" a="1"/>
  <c r="H401" i="11" s="1"/>
  <c r="D401" i="11" a="1"/>
  <c r="D401" i="11" s="1"/>
  <c r="G401" i="11" s="1"/>
  <c r="I401" i="11" s="1"/>
  <c r="Y401" i="11" s="1"/>
  <c r="H400" i="11" a="1"/>
  <c r="H400" i="11" s="1"/>
  <c r="D400" i="11" a="1"/>
  <c r="D400" i="11" s="1"/>
  <c r="G400" i="11" s="1"/>
  <c r="I400" i="11" s="1"/>
  <c r="Y400" i="11" s="1"/>
  <c r="H399" i="11" a="1"/>
  <c r="H399" i="11" s="1"/>
  <c r="D399" i="11" a="1"/>
  <c r="D399" i="11" s="1"/>
  <c r="G399" i="11" s="1"/>
  <c r="I399" i="11" s="1"/>
  <c r="Y399" i="11" s="1"/>
  <c r="H398" i="11" a="1"/>
  <c r="H398" i="11" s="1"/>
  <c r="D398" i="11" a="1"/>
  <c r="D398" i="11" s="1"/>
  <c r="G398" i="11" s="1"/>
  <c r="I398" i="11" s="1"/>
  <c r="Y398" i="11" s="1"/>
  <c r="H397" i="11" a="1"/>
  <c r="H397" i="11" s="1"/>
  <c r="D397" i="11" a="1"/>
  <c r="D397" i="11" s="1"/>
  <c r="G397" i="11" s="1"/>
  <c r="I397" i="11" s="1"/>
  <c r="Y397" i="11" s="1"/>
  <c r="H396" i="11" a="1"/>
  <c r="H396" i="11" s="1"/>
  <c r="D396" i="11" a="1"/>
  <c r="D396" i="11" s="1"/>
  <c r="G396" i="11" s="1"/>
  <c r="I396" i="11" s="1"/>
  <c r="Y396" i="11" s="1"/>
  <c r="H395" i="11" a="1"/>
  <c r="H395" i="11" s="1"/>
  <c r="D395" i="11" a="1"/>
  <c r="D395" i="11" s="1"/>
  <c r="G395" i="11" s="1"/>
  <c r="I395" i="11" s="1"/>
  <c r="Y395" i="11" s="1"/>
  <c r="H394" i="11" a="1"/>
  <c r="H394" i="11" s="1"/>
  <c r="D394" i="11" a="1"/>
  <c r="D394" i="11" s="1"/>
  <c r="G394" i="11" s="1"/>
  <c r="I394" i="11" s="1"/>
  <c r="Y394" i="11" s="1"/>
  <c r="H393" i="11" a="1"/>
  <c r="H393" i="11" s="1"/>
  <c r="D393" i="11" a="1"/>
  <c r="D393" i="11" s="1"/>
  <c r="G393" i="11" s="1"/>
  <c r="I393" i="11" s="1"/>
  <c r="Y393" i="11" s="1"/>
  <c r="H392" i="11" a="1"/>
  <c r="H392" i="11" s="1"/>
  <c r="D392" i="11" a="1"/>
  <c r="D392" i="11" s="1"/>
  <c r="G392" i="11" s="1"/>
  <c r="I392" i="11" s="1"/>
  <c r="Y392" i="11" s="1"/>
  <c r="H391" i="11" a="1"/>
  <c r="H391" i="11" s="1"/>
  <c r="D391" i="11" a="1"/>
  <c r="D391" i="11" s="1"/>
  <c r="G391" i="11" s="1"/>
  <c r="I391" i="11" s="1"/>
  <c r="Y391" i="11" s="1"/>
  <c r="H390" i="11" a="1"/>
  <c r="H390" i="11" s="1"/>
  <c r="D390" i="11" a="1"/>
  <c r="D390" i="11" s="1"/>
  <c r="G390" i="11" s="1"/>
  <c r="I390" i="11" s="1"/>
  <c r="Y390" i="11" s="1"/>
  <c r="H389" i="11" a="1"/>
  <c r="H389" i="11" s="1"/>
  <c r="D389" i="11" a="1"/>
  <c r="D389" i="11" s="1"/>
  <c r="G389" i="11" s="1"/>
  <c r="I389" i="11" s="1"/>
  <c r="Y389" i="11" s="1"/>
  <c r="H388" i="11" a="1"/>
  <c r="H388" i="11" s="1"/>
  <c r="D388" i="11" a="1"/>
  <c r="D388" i="11" s="1"/>
  <c r="G388" i="11" s="1"/>
  <c r="I388" i="11" s="1"/>
  <c r="Y388" i="11" s="1"/>
  <c r="H387" i="11" a="1"/>
  <c r="H387" i="11" s="1"/>
  <c r="D387" i="11" a="1"/>
  <c r="D387" i="11" s="1"/>
  <c r="G387" i="11" s="1"/>
  <c r="I387" i="11" s="1"/>
  <c r="Y387" i="11" s="1"/>
  <c r="H386" i="11" a="1"/>
  <c r="H386" i="11" s="1"/>
  <c r="D386" i="11" a="1"/>
  <c r="D386" i="11" s="1"/>
  <c r="G386" i="11" s="1"/>
  <c r="I386" i="11" s="1"/>
  <c r="Y386" i="11" s="1"/>
  <c r="H385" i="11" a="1"/>
  <c r="H385" i="11" s="1"/>
  <c r="D385" i="11" a="1"/>
  <c r="D385" i="11" s="1"/>
  <c r="G385" i="11" s="1"/>
  <c r="I385" i="11" s="1"/>
  <c r="Y385" i="11" s="1"/>
  <c r="H384" i="11" a="1"/>
  <c r="H384" i="11" s="1"/>
  <c r="D384" i="11" a="1"/>
  <c r="D384" i="11" s="1"/>
  <c r="G384" i="11" s="1"/>
  <c r="I384" i="11" s="1"/>
  <c r="Y384" i="11" s="1"/>
  <c r="H383" i="11" a="1"/>
  <c r="H383" i="11" s="1"/>
  <c r="D383" i="11" a="1"/>
  <c r="D383" i="11" s="1"/>
  <c r="G383" i="11" s="1"/>
  <c r="I383" i="11" s="1"/>
  <c r="Y383" i="11" s="1"/>
  <c r="H382" i="11" a="1"/>
  <c r="H382" i="11" s="1"/>
  <c r="D382" i="11" a="1"/>
  <c r="D382" i="11" s="1"/>
  <c r="G382" i="11" s="1"/>
  <c r="I382" i="11" s="1"/>
  <c r="Y382" i="11" s="1"/>
  <c r="H381" i="11" a="1"/>
  <c r="H381" i="11" s="1"/>
  <c r="D381" i="11" a="1"/>
  <c r="D381" i="11" s="1"/>
  <c r="G381" i="11" s="1"/>
  <c r="I381" i="11" s="1"/>
  <c r="Y381" i="11" s="1"/>
  <c r="H380" i="11" a="1"/>
  <c r="H380" i="11" s="1"/>
  <c r="D380" i="11" a="1"/>
  <c r="D380" i="11" s="1"/>
  <c r="G380" i="11" s="1"/>
  <c r="I380" i="11" s="1"/>
  <c r="Y380" i="11" s="1"/>
  <c r="H379" i="11" a="1"/>
  <c r="H379" i="11" s="1"/>
  <c r="D379" i="11" a="1"/>
  <c r="D379" i="11" s="1"/>
  <c r="G379" i="11" s="1"/>
  <c r="I379" i="11" s="1"/>
  <c r="Y379" i="11" s="1"/>
  <c r="H378" i="11" a="1"/>
  <c r="H378" i="11" s="1"/>
  <c r="D378" i="11" a="1"/>
  <c r="D378" i="11" s="1"/>
  <c r="G378" i="11" s="1"/>
  <c r="I378" i="11" s="1"/>
  <c r="Y378" i="11" s="1"/>
  <c r="H377" i="11" a="1"/>
  <c r="H377" i="11" s="1"/>
  <c r="D377" i="11" a="1"/>
  <c r="D377" i="11" s="1"/>
  <c r="G377" i="11" s="1"/>
  <c r="I377" i="11" s="1"/>
  <c r="Y377" i="11" s="1"/>
  <c r="H376" i="11" a="1"/>
  <c r="H376" i="11" s="1"/>
  <c r="D376" i="11" a="1"/>
  <c r="D376" i="11" s="1"/>
  <c r="G376" i="11" s="1"/>
  <c r="I376" i="11" s="1"/>
  <c r="Y376" i="11" s="1"/>
  <c r="H375" i="11" a="1"/>
  <c r="H375" i="11" s="1"/>
  <c r="D375" i="11" a="1"/>
  <c r="D375" i="11" s="1"/>
  <c r="G375" i="11" s="1"/>
  <c r="I375" i="11" s="1"/>
  <c r="Y375" i="11" s="1"/>
  <c r="H374" i="11" a="1"/>
  <c r="H374" i="11" s="1"/>
  <c r="D374" i="11" a="1"/>
  <c r="D374" i="11" s="1"/>
  <c r="G374" i="11" s="1"/>
  <c r="I374" i="11" s="1"/>
  <c r="Y374" i="11" s="1"/>
  <c r="H373" i="11" a="1"/>
  <c r="H373" i="11" s="1"/>
  <c r="D373" i="11" a="1"/>
  <c r="D373" i="11" s="1"/>
  <c r="G373" i="11" s="1"/>
  <c r="I373" i="11" s="1"/>
  <c r="Y373" i="11" s="1"/>
  <c r="H372" i="11" a="1"/>
  <c r="H372" i="11" s="1"/>
  <c r="D372" i="11" a="1"/>
  <c r="D372" i="11" s="1"/>
  <c r="G372" i="11" s="1"/>
  <c r="I372" i="11" s="1"/>
  <c r="Y372" i="11" s="1"/>
  <c r="H371" i="11" a="1"/>
  <c r="H371" i="11" s="1"/>
  <c r="D371" i="11" a="1"/>
  <c r="D371" i="11" s="1"/>
  <c r="G371" i="11" s="1"/>
  <c r="I371" i="11" s="1"/>
  <c r="Y371" i="11" s="1"/>
  <c r="H370" i="11" a="1"/>
  <c r="H370" i="11" s="1"/>
  <c r="D370" i="11" a="1"/>
  <c r="D370" i="11" s="1"/>
  <c r="G370" i="11" s="1"/>
  <c r="I370" i="11" s="1"/>
  <c r="Y370" i="11" s="1"/>
  <c r="H369" i="11" a="1"/>
  <c r="H369" i="11" s="1"/>
  <c r="D369" i="11" a="1"/>
  <c r="D369" i="11" s="1"/>
  <c r="G369" i="11" s="1"/>
  <c r="I369" i="11" s="1"/>
  <c r="Y369" i="11" s="1"/>
  <c r="H368" i="11" a="1"/>
  <c r="H368" i="11" s="1"/>
  <c r="D368" i="11" a="1"/>
  <c r="D368" i="11" s="1"/>
  <c r="G368" i="11" s="1"/>
  <c r="I368" i="11" s="1"/>
  <c r="Y368" i="11" s="1"/>
  <c r="H367" i="11" a="1"/>
  <c r="H367" i="11" s="1"/>
  <c r="D367" i="11" a="1"/>
  <c r="D367" i="11" s="1"/>
  <c r="G367" i="11" s="1"/>
  <c r="I367" i="11" s="1"/>
  <c r="Y367" i="11" s="1"/>
  <c r="H366" i="11" a="1"/>
  <c r="H366" i="11" s="1"/>
  <c r="D366" i="11" a="1"/>
  <c r="D366" i="11" s="1"/>
  <c r="G366" i="11" s="1"/>
  <c r="I366" i="11" s="1"/>
  <c r="Y366" i="11" s="1"/>
  <c r="H365" i="11" a="1"/>
  <c r="H365" i="11" s="1"/>
  <c r="D365" i="11" a="1"/>
  <c r="D365" i="11" s="1"/>
  <c r="G365" i="11" s="1"/>
  <c r="I365" i="11" s="1"/>
  <c r="Y365" i="11" s="1"/>
  <c r="H364" i="11" a="1"/>
  <c r="H364" i="11" s="1"/>
  <c r="D364" i="11" a="1"/>
  <c r="D364" i="11" s="1"/>
  <c r="G364" i="11" s="1"/>
  <c r="I364" i="11" s="1"/>
  <c r="Y364" i="11" s="1"/>
  <c r="H363" i="11" a="1"/>
  <c r="H363" i="11" s="1"/>
  <c r="D363" i="11" a="1"/>
  <c r="D363" i="11" s="1"/>
  <c r="G363" i="11" s="1"/>
  <c r="I363" i="11" s="1"/>
  <c r="Y363" i="11" s="1"/>
  <c r="H362" i="11" a="1"/>
  <c r="H362" i="11" s="1"/>
  <c r="D362" i="11" a="1"/>
  <c r="D362" i="11" s="1"/>
  <c r="G362" i="11" s="1"/>
  <c r="I362" i="11" s="1"/>
  <c r="Y362" i="11" s="1"/>
  <c r="H361" i="11" a="1"/>
  <c r="H361" i="11" s="1"/>
  <c r="D361" i="11" a="1"/>
  <c r="D361" i="11" s="1"/>
  <c r="G361" i="11" s="1"/>
  <c r="I361" i="11" s="1"/>
  <c r="Y361" i="11" s="1"/>
  <c r="H360" i="11" a="1"/>
  <c r="H360" i="11" s="1"/>
  <c r="D360" i="11" a="1"/>
  <c r="D360" i="11" s="1"/>
  <c r="G360" i="11" s="1"/>
  <c r="I360" i="11" s="1"/>
  <c r="Y360" i="11" s="1"/>
  <c r="H359" i="11" a="1"/>
  <c r="H359" i="11" s="1"/>
  <c r="D359" i="11" a="1"/>
  <c r="D359" i="11" s="1"/>
  <c r="G359" i="11" s="1"/>
  <c r="I359" i="11" s="1"/>
  <c r="Y359" i="11" s="1"/>
  <c r="H358" i="11" a="1"/>
  <c r="H358" i="11" s="1"/>
  <c r="D358" i="11" a="1"/>
  <c r="D358" i="11" s="1"/>
  <c r="G358" i="11" s="1"/>
  <c r="I358" i="11" s="1"/>
  <c r="Y358" i="11" s="1"/>
  <c r="H357" i="11" a="1"/>
  <c r="H357" i="11" s="1"/>
  <c r="D357" i="11" a="1"/>
  <c r="D357" i="11" s="1"/>
  <c r="G357" i="11" s="1"/>
  <c r="I357" i="11" s="1"/>
  <c r="Y357" i="11" s="1"/>
  <c r="H356" i="11" a="1"/>
  <c r="H356" i="11" s="1"/>
  <c r="D356" i="11" a="1"/>
  <c r="D356" i="11" s="1"/>
  <c r="G356" i="11" s="1"/>
  <c r="I356" i="11" s="1"/>
  <c r="Y356" i="11" s="1"/>
  <c r="H355" i="11" a="1"/>
  <c r="H355" i="11" s="1"/>
  <c r="D355" i="11" a="1"/>
  <c r="D355" i="11" s="1"/>
  <c r="G355" i="11" s="1"/>
  <c r="I355" i="11" s="1"/>
  <c r="Y355" i="11" s="1"/>
  <c r="H354" i="11" a="1"/>
  <c r="H354" i="11" s="1"/>
  <c r="D354" i="11" a="1"/>
  <c r="D354" i="11" s="1"/>
  <c r="G354" i="11" s="1"/>
  <c r="I354" i="11" s="1"/>
  <c r="Y354" i="11" s="1"/>
  <c r="H353" i="11" a="1"/>
  <c r="H353" i="11" s="1"/>
  <c r="D353" i="11" a="1"/>
  <c r="D353" i="11" s="1"/>
  <c r="G353" i="11" s="1"/>
  <c r="I353" i="11" s="1"/>
  <c r="Y353" i="11" s="1"/>
  <c r="H352" i="11" a="1"/>
  <c r="H352" i="11" s="1"/>
  <c r="D352" i="11" a="1"/>
  <c r="D352" i="11" s="1"/>
  <c r="G352" i="11" s="1"/>
  <c r="I352" i="11" s="1"/>
  <c r="Y352" i="11" s="1"/>
  <c r="H351" i="11" a="1"/>
  <c r="H351" i="11" s="1"/>
  <c r="D351" i="11" a="1"/>
  <c r="D351" i="11" s="1"/>
  <c r="G351" i="11" s="1"/>
  <c r="I351" i="11" s="1"/>
  <c r="Y351" i="11" s="1"/>
  <c r="H350" i="11" a="1"/>
  <c r="H350" i="11" s="1"/>
  <c r="D350" i="11" a="1"/>
  <c r="D350" i="11" s="1"/>
  <c r="G350" i="11" s="1"/>
  <c r="I350" i="11" s="1"/>
  <c r="Y350" i="11" s="1"/>
  <c r="H349" i="11" a="1"/>
  <c r="H349" i="11" s="1"/>
  <c r="D349" i="11" a="1"/>
  <c r="D349" i="11" s="1"/>
  <c r="G349" i="11" s="1"/>
  <c r="I349" i="11" s="1"/>
  <c r="Y349" i="11" s="1"/>
  <c r="H348" i="11" a="1"/>
  <c r="H348" i="11" s="1"/>
  <c r="D348" i="11" a="1"/>
  <c r="D348" i="11" s="1"/>
  <c r="G348" i="11" s="1"/>
  <c r="I348" i="11" s="1"/>
  <c r="Y348" i="11" s="1"/>
  <c r="H347" i="11" a="1"/>
  <c r="H347" i="11" s="1"/>
  <c r="D347" i="11" a="1"/>
  <c r="D347" i="11" s="1"/>
  <c r="G347" i="11" s="1"/>
  <c r="I347" i="11" s="1"/>
  <c r="Y347" i="11" s="1"/>
  <c r="H346" i="11" a="1"/>
  <c r="H346" i="11" s="1"/>
  <c r="D346" i="11" a="1"/>
  <c r="D346" i="11" s="1"/>
  <c r="G346" i="11" s="1"/>
  <c r="I346" i="11" s="1"/>
  <c r="Y346" i="11" s="1"/>
  <c r="H345" i="11" a="1"/>
  <c r="H345" i="11" s="1"/>
  <c r="D345" i="11" a="1"/>
  <c r="D345" i="11" s="1"/>
  <c r="G345" i="11" s="1"/>
  <c r="I345" i="11" s="1"/>
  <c r="Y345" i="11" s="1"/>
  <c r="H344" i="11" a="1"/>
  <c r="H344" i="11" s="1"/>
  <c r="D344" i="11" a="1"/>
  <c r="D344" i="11" s="1"/>
  <c r="G344" i="11" s="1"/>
  <c r="I344" i="11" s="1"/>
  <c r="Y344" i="11" s="1"/>
  <c r="H343" i="11" a="1"/>
  <c r="H343" i="11" s="1"/>
  <c r="D343" i="11" a="1"/>
  <c r="D343" i="11" s="1"/>
  <c r="G343" i="11" s="1"/>
  <c r="I343" i="11" s="1"/>
  <c r="Y343" i="11" s="1"/>
  <c r="H342" i="11" a="1"/>
  <c r="H342" i="11" s="1"/>
  <c r="D342" i="11" a="1"/>
  <c r="D342" i="11" s="1"/>
  <c r="G342" i="11" s="1"/>
  <c r="I342" i="11" s="1"/>
  <c r="Y342" i="11" s="1"/>
  <c r="H341" i="11" a="1"/>
  <c r="H341" i="11" s="1"/>
  <c r="D341" i="11" a="1"/>
  <c r="D341" i="11" s="1"/>
  <c r="G341" i="11" s="1"/>
  <c r="I341" i="11" s="1"/>
  <c r="Y341" i="11" s="1"/>
  <c r="H340" i="11" a="1"/>
  <c r="H340" i="11" s="1"/>
  <c r="D340" i="11" a="1"/>
  <c r="D340" i="11" s="1"/>
  <c r="G340" i="11" s="1"/>
  <c r="I340" i="11" s="1"/>
  <c r="Y340" i="11" s="1"/>
  <c r="H339" i="11" a="1"/>
  <c r="H339" i="11" s="1"/>
  <c r="D339" i="11" a="1"/>
  <c r="D339" i="11" s="1"/>
  <c r="G339" i="11" s="1"/>
  <c r="I339" i="11" s="1"/>
  <c r="Y339" i="11" s="1"/>
  <c r="H338" i="11" a="1"/>
  <c r="H338" i="11" s="1"/>
  <c r="D338" i="11" a="1"/>
  <c r="D338" i="11" s="1"/>
  <c r="G338" i="11" s="1"/>
  <c r="I338" i="11" s="1"/>
  <c r="Y338" i="11" s="1"/>
  <c r="H337" i="11" a="1"/>
  <c r="H337" i="11" s="1"/>
  <c r="D337" i="11" a="1"/>
  <c r="D337" i="11" s="1"/>
  <c r="G337" i="11" s="1"/>
  <c r="I337" i="11" s="1"/>
  <c r="Y337" i="11" s="1"/>
  <c r="H336" i="11" a="1"/>
  <c r="H336" i="11" s="1"/>
  <c r="D336" i="11" a="1"/>
  <c r="D336" i="11" s="1"/>
  <c r="G336" i="11" s="1"/>
  <c r="I336" i="11" s="1"/>
  <c r="Y336" i="11" s="1"/>
  <c r="H335" i="11" a="1"/>
  <c r="H335" i="11" s="1"/>
  <c r="D335" i="11" a="1"/>
  <c r="D335" i="11" s="1"/>
  <c r="G335" i="11" s="1"/>
  <c r="I335" i="11" s="1"/>
  <c r="Y335" i="11" s="1"/>
  <c r="H334" i="11" a="1"/>
  <c r="H334" i="11" s="1"/>
  <c r="D334" i="11" a="1"/>
  <c r="D334" i="11" s="1"/>
  <c r="G334" i="11" s="1"/>
  <c r="I334" i="11" s="1"/>
  <c r="Y334" i="11" s="1"/>
  <c r="H333" i="11" a="1"/>
  <c r="H333" i="11" s="1"/>
  <c r="D333" i="11" a="1"/>
  <c r="D333" i="11" s="1"/>
  <c r="G333" i="11" s="1"/>
  <c r="I333" i="11" s="1"/>
  <c r="Y333" i="11" s="1"/>
  <c r="H332" i="11" a="1"/>
  <c r="H332" i="11" s="1"/>
  <c r="D332" i="11" a="1"/>
  <c r="D332" i="11" s="1"/>
  <c r="G332" i="11" s="1"/>
  <c r="I332" i="11" s="1"/>
  <c r="Y332" i="11" s="1"/>
  <c r="H331" i="11" a="1"/>
  <c r="H331" i="11" s="1"/>
  <c r="D331" i="11" a="1"/>
  <c r="D331" i="11" s="1"/>
  <c r="G331" i="11" s="1"/>
  <c r="I331" i="11" s="1"/>
  <c r="Y331" i="11" s="1"/>
  <c r="H330" i="11" a="1"/>
  <c r="H330" i="11" s="1"/>
  <c r="D330" i="11" a="1"/>
  <c r="D330" i="11" s="1"/>
  <c r="G330" i="11" s="1"/>
  <c r="I330" i="11" s="1"/>
  <c r="Y330" i="11" s="1"/>
  <c r="H329" i="11" a="1"/>
  <c r="H329" i="11" s="1"/>
  <c r="D329" i="11" a="1"/>
  <c r="D329" i="11" s="1"/>
  <c r="G329" i="11" s="1"/>
  <c r="I329" i="11" s="1"/>
  <c r="Y329" i="11" s="1"/>
  <c r="H328" i="11" a="1"/>
  <c r="H328" i="11" s="1"/>
  <c r="D328" i="11" a="1"/>
  <c r="D328" i="11" s="1"/>
  <c r="G328" i="11" s="1"/>
  <c r="I328" i="11" s="1"/>
  <c r="Y328" i="11" s="1"/>
  <c r="H327" i="11" a="1"/>
  <c r="H327" i="11" s="1"/>
  <c r="D327" i="11" a="1"/>
  <c r="D327" i="11" s="1"/>
  <c r="G327" i="11" s="1"/>
  <c r="I327" i="11" s="1"/>
  <c r="Y327" i="11" s="1"/>
  <c r="H326" i="11" a="1"/>
  <c r="H326" i="11" s="1"/>
  <c r="D326" i="11" a="1"/>
  <c r="D326" i="11" s="1"/>
  <c r="G326" i="11" s="1"/>
  <c r="I326" i="11" s="1"/>
  <c r="Y326" i="11" s="1"/>
  <c r="H325" i="11" a="1"/>
  <c r="H325" i="11" s="1"/>
  <c r="D325" i="11" a="1"/>
  <c r="D325" i="11" s="1"/>
  <c r="G325" i="11" s="1"/>
  <c r="I325" i="11" s="1"/>
  <c r="Y325" i="11" s="1"/>
  <c r="H324" i="11" a="1"/>
  <c r="H324" i="11" s="1"/>
  <c r="D324" i="11" a="1"/>
  <c r="D324" i="11" s="1"/>
  <c r="G324" i="11" s="1"/>
  <c r="I324" i="11" s="1"/>
  <c r="Y324" i="11" s="1"/>
  <c r="H323" i="11" a="1"/>
  <c r="H323" i="11" s="1"/>
  <c r="D323" i="11" a="1"/>
  <c r="D323" i="11" s="1"/>
  <c r="G323" i="11" s="1"/>
  <c r="I323" i="11" s="1"/>
  <c r="Y323" i="11" s="1"/>
  <c r="H322" i="11" a="1"/>
  <c r="H322" i="11" s="1"/>
  <c r="D322" i="11" a="1"/>
  <c r="D322" i="11" s="1"/>
  <c r="G322" i="11" s="1"/>
  <c r="I322" i="11" s="1"/>
  <c r="Y322" i="11" s="1"/>
  <c r="H321" i="11" a="1"/>
  <c r="H321" i="11" s="1"/>
  <c r="D321" i="11" a="1"/>
  <c r="D321" i="11" s="1"/>
  <c r="G321" i="11" s="1"/>
  <c r="I321" i="11" s="1"/>
  <c r="Y321" i="11" s="1"/>
  <c r="H320" i="11" a="1"/>
  <c r="H320" i="11" s="1"/>
  <c r="D320" i="11" a="1"/>
  <c r="D320" i="11" s="1"/>
  <c r="G320" i="11" s="1"/>
  <c r="I320" i="11" s="1"/>
  <c r="Y320" i="11" s="1"/>
  <c r="H319" i="11" a="1"/>
  <c r="H319" i="11" s="1"/>
  <c r="D319" i="11" a="1"/>
  <c r="D319" i="11" s="1"/>
  <c r="G319" i="11" s="1"/>
  <c r="I319" i="11" s="1"/>
  <c r="Y319" i="11" s="1"/>
  <c r="H318" i="11" a="1"/>
  <c r="H318" i="11" s="1"/>
  <c r="D318" i="11" a="1"/>
  <c r="D318" i="11" s="1"/>
  <c r="G318" i="11" s="1"/>
  <c r="I318" i="11" s="1"/>
  <c r="Y318" i="11" s="1"/>
  <c r="H317" i="11" a="1"/>
  <c r="H317" i="11" s="1"/>
  <c r="D317" i="11" a="1"/>
  <c r="D317" i="11" s="1"/>
  <c r="G317" i="11" s="1"/>
  <c r="I317" i="11" s="1"/>
  <c r="Y317" i="11" s="1"/>
  <c r="H316" i="11" a="1"/>
  <c r="H316" i="11" s="1"/>
  <c r="D316" i="11" a="1"/>
  <c r="D316" i="11" s="1"/>
  <c r="G316" i="11" s="1"/>
  <c r="I316" i="11" s="1"/>
  <c r="Y316" i="11" s="1"/>
  <c r="H315" i="11" a="1"/>
  <c r="H315" i="11" s="1"/>
  <c r="D315" i="11" a="1"/>
  <c r="D315" i="11" s="1"/>
  <c r="G315" i="11" s="1"/>
  <c r="I315" i="11" s="1"/>
  <c r="Y315" i="11" s="1"/>
  <c r="H314" i="11" a="1"/>
  <c r="H314" i="11" s="1"/>
  <c r="D314" i="11" a="1"/>
  <c r="D314" i="11" s="1"/>
  <c r="G314" i="11" s="1"/>
  <c r="I314" i="11" s="1"/>
  <c r="Y314" i="11" s="1"/>
  <c r="H313" i="11" a="1"/>
  <c r="H313" i="11" s="1"/>
  <c r="D313" i="11" a="1"/>
  <c r="D313" i="11" s="1"/>
  <c r="G313" i="11" s="1"/>
  <c r="I313" i="11" s="1"/>
  <c r="Y313" i="11" s="1"/>
  <c r="H312" i="11" a="1"/>
  <c r="H312" i="11" s="1"/>
  <c r="D312" i="11" a="1"/>
  <c r="D312" i="11" s="1"/>
  <c r="G312" i="11" s="1"/>
  <c r="I312" i="11" s="1"/>
  <c r="Y312" i="11" s="1"/>
  <c r="H311" i="11" a="1"/>
  <c r="H311" i="11" s="1"/>
  <c r="D311" i="11" a="1"/>
  <c r="D311" i="11" s="1"/>
  <c r="G311" i="11" s="1"/>
  <c r="I311" i="11" s="1"/>
  <c r="Y311" i="11" s="1"/>
  <c r="H310" i="11" a="1"/>
  <c r="H310" i="11" s="1"/>
  <c r="D310" i="11" a="1"/>
  <c r="D310" i="11" s="1"/>
  <c r="G310" i="11" s="1"/>
  <c r="I310" i="11" s="1"/>
  <c r="Y310" i="11" s="1"/>
  <c r="H309" i="11" a="1"/>
  <c r="H309" i="11" s="1"/>
  <c r="D309" i="11" a="1"/>
  <c r="D309" i="11" s="1"/>
  <c r="G309" i="11" s="1"/>
  <c r="I309" i="11" s="1"/>
  <c r="Y309" i="11" s="1"/>
  <c r="H308" i="11" a="1"/>
  <c r="H308" i="11" s="1"/>
  <c r="D308" i="11" a="1"/>
  <c r="D308" i="11" s="1"/>
  <c r="G308" i="11" s="1"/>
  <c r="I308" i="11" s="1"/>
  <c r="Y308" i="11" s="1"/>
  <c r="H307" i="11" a="1"/>
  <c r="H307" i="11" s="1"/>
  <c r="D307" i="11" a="1"/>
  <c r="D307" i="11" s="1"/>
  <c r="G307" i="11" s="1"/>
  <c r="I307" i="11" s="1"/>
  <c r="Y307" i="11" s="1"/>
  <c r="H306" i="11" a="1"/>
  <c r="H306" i="11" s="1"/>
  <c r="D306" i="11" a="1"/>
  <c r="D306" i="11" s="1"/>
  <c r="G306" i="11" s="1"/>
  <c r="I306" i="11" s="1"/>
  <c r="Y306" i="11" s="1"/>
  <c r="H305" i="11" a="1"/>
  <c r="H305" i="11" s="1"/>
  <c r="D305" i="11" a="1"/>
  <c r="D305" i="11" s="1"/>
  <c r="G305" i="11" s="1"/>
  <c r="I305" i="11" s="1"/>
  <c r="Y305" i="11" s="1"/>
  <c r="H304" i="11" a="1"/>
  <c r="H304" i="11" s="1"/>
  <c r="D304" i="11" a="1"/>
  <c r="D304" i="11" s="1"/>
  <c r="G304" i="11" s="1"/>
  <c r="I304" i="11" s="1"/>
  <c r="Y304" i="11" s="1"/>
  <c r="H303" i="11" a="1"/>
  <c r="H303" i="11" s="1"/>
  <c r="D303" i="11" a="1"/>
  <c r="D303" i="11" s="1"/>
  <c r="G303" i="11" s="1"/>
  <c r="I303" i="11" s="1"/>
  <c r="Y303" i="11" s="1"/>
  <c r="H302" i="11" a="1"/>
  <c r="H302" i="11" s="1"/>
  <c r="D302" i="11" a="1"/>
  <c r="D302" i="11" s="1"/>
  <c r="G302" i="11" s="1"/>
  <c r="I302" i="11" s="1"/>
  <c r="Y302" i="11" s="1"/>
  <c r="H301" i="11" a="1"/>
  <c r="H301" i="11" s="1"/>
  <c r="D301" i="11" a="1"/>
  <c r="D301" i="11" s="1"/>
  <c r="G301" i="11" s="1"/>
  <c r="I301" i="11" s="1"/>
  <c r="Y301" i="11" s="1"/>
  <c r="H300" i="11" a="1"/>
  <c r="H300" i="11" s="1"/>
  <c r="D300" i="11" a="1"/>
  <c r="D300" i="11" s="1"/>
  <c r="G300" i="11" s="1"/>
  <c r="I300" i="11" s="1"/>
  <c r="Y300" i="11" s="1"/>
  <c r="H299" i="11" a="1"/>
  <c r="H299" i="11" s="1"/>
  <c r="D299" i="11" a="1"/>
  <c r="D299" i="11" s="1"/>
  <c r="G299" i="11" s="1"/>
  <c r="I299" i="11" s="1"/>
  <c r="Y299" i="11" s="1"/>
  <c r="H298" i="11" a="1"/>
  <c r="H298" i="11" s="1"/>
  <c r="D298" i="11" a="1"/>
  <c r="D298" i="11" s="1"/>
  <c r="G298" i="11" s="1"/>
  <c r="I298" i="11" s="1"/>
  <c r="Y298" i="11" s="1"/>
  <c r="H297" i="11" a="1"/>
  <c r="H297" i="11" s="1"/>
  <c r="D297" i="11" a="1"/>
  <c r="D297" i="11" s="1"/>
  <c r="G297" i="11" s="1"/>
  <c r="I297" i="11" s="1"/>
  <c r="Y297" i="11" s="1"/>
  <c r="H296" i="11" a="1"/>
  <c r="H296" i="11" s="1"/>
  <c r="D296" i="11" a="1"/>
  <c r="D296" i="11" s="1"/>
  <c r="G296" i="11" s="1"/>
  <c r="I296" i="11" s="1"/>
  <c r="Y296" i="11" s="1"/>
  <c r="H295" i="11" a="1"/>
  <c r="H295" i="11" s="1"/>
  <c r="D295" i="11" a="1"/>
  <c r="D295" i="11" s="1"/>
  <c r="G295" i="11" s="1"/>
  <c r="I295" i="11" s="1"/>
  <c r="Y295" i="11" s="1"/>
  <c r="H294" i="11" a="1"/>
  <c r="H294" i="11" s="1"/>
  <c r="D294" i="11" a="1"/>
  <c r="D294" i="11" s="1"/>
  <c r="G294" i="11" s="1"/>
  <c r="I294" i="11" s="1"/>
  <c r="Y294" i="11" s="1"/>
  <c r="H293" i="11" a="1"/>
  <c r="H293" i="11" s="1"/>
  <c r="D293" i="11" a="1"/>
  <c r="D293" i="11" s="1"/>
  <c r="G293" i="11" s="1"/>
  <c r="I293" i="11" s="1"/>
  <c r="Y293" i="11" s="1"/>
  <c r="H292" i="11" a="1"/>
  <c r="H292" i="11" s="1"/>
  <c r="D292" i="11" a="1"/>
  <c r="D292" i="11" s="1"/>
  <c r="G292" i="11" s="1"/>
  <c r="I292" i="11" s="1"/>
  <c r="Y292" i="11" s="1"/>
  <c r="H291" i="11" a="1"/>
  <c r="H291" i="11" s="1"/>
  <c r="D291" i="11" a="1"/>
  <c r="D291" i="11" s="1"/>
  <c r="G291" i="11" s="1"/>
  <c r="I291" i="11" s="1"/>
  <c r="Y291" i="11" s="1"/>
  <c r="H290" i="11" a="1"/>
  <c r="H290" i="11" s="1"/>
  <c r="D290" i="11" a="1"/>
  <c r="D290" i="11" s="1"/>
  <c r="G290" i="11" s="1"/>
  <c r="I290" i="11" s="1"/>
  <c r="Y290" i="11" s="1"/>
  <c r="H289" i="11" a="1"/>
  <c r="H289" i="11" s="1"/>
  <c r="D289" i="11" a="1"/>
  <c r="D289" i="11" s="1"/>
  <c r="G289" i="11" s="1"/>
  <c r="I289" i="11" s="1"/>
  <c r="Y289" i="11" s="1"/>
  <c r="H288" i="11" a="1"/>
  <c r="H288" i="11" s="1"/>
  <c r="D288" i="11" a="1"/>
  <c r="D288" i="11" s="1"/>
  <c r="G288" i="11" s="1"/>
  <c r="I288" i="11" s="1"/>
  <c r="Y288" i="11" s="1"/>
  <c r="H287" i="11" a="1"/>
  <c r="H287" i="11" s="1"/>
  <c r="D287" i="11" a="1"/>
  <c r="D287" i="11" s="1"/>
  <c r="G287" i="11" s="1"/>
  <c r="I287" i="11" s="1"/>
  <c r="Y287" i="11" s="1"/>
  <c r="H286" i="11" a="1"/>
  <c r="H286" i="11" s="1"/>
  <c r="D286" i="11" a="1"/>
  <c r="D286" i="11" s="1"/>
  <c r="G286" i="11" s="1"/>
  <c r="I286" i="11" s="1"/>
  <c r="Y286" i="11" s="1"/>
  <c r="H285" i="11" a="1"/>
  <c r="H285" i="11" s="1"/>
  <c r="D285" i="11" a="1"/>
  <c r="D285" i="11" s="1"/>
  <c r="G285" i="11" s="1"/>
  <c r="I285" i="11" s="1"/>
  <c r="Y285" i="11" s="1"/>
  <c r="H284" i="11" a="1"/>
  <c r="H284" i="11" s="1"/>
  <c r="D284" i="11" a="1"/>
  <c r="D284" i="11" s="1"/>
  <c r="G284" i="11" s="1"/>
  <c r="I284" i="11" s="1"/>
  <c r="Y284" i="11" s="1"/>
  <c r="H283" i="11" a="1"/>
  <c r="H283" i="11" s="1"/>
  <c r="D283" i="11" a="1"/>
  <c r="D283" i="11" s="1"/>
  <c r="G283" i="11" s="1"/>
  <c r="I283" i="11" s="1"/>
  <c r="Y283" i="11" s="1"/>
  <c r="H282" i="11" a="1"/>
  <c r="H282" i="11" s="1"/>
  <c r="D282" i="11" a="1"/>
  <c r="D282" i="11" s="1"/>
  <c r="G282" i="11" s="1"/>
  <c r="I282" i="11" s="1"/>
  <c r="Y282" i="11" s="1"/>
  <c r="H281" i="11" a="1"/>
  <c r="H281" i="11" s="1"/>
  <c r="D281" i="11" a="1"/>
  <c r="D281" i="11" s="1"/>
  <c r="G281" i="11" s="1"/>
  <c r="I281" i="11" s="1"/>
  <c r="Y281" i="11" s="1"/>
  <c r="H280" i="11" a="1"/>
  <c r="H280" i="11" s="1"/>
  <c r="D280" i="11" a="1"/>
  <c r="D280" i="11" s="1"/>
  <c r="G280" i="11" s="1"/>
  <c r="I280" i="11" s="1"/>
  <c r="Y280" i="11" s="1"/>
  <c r="H279" i="11" a="1"/>
  <c r="H279" i="11" s="1"/>
  <c r="D279" i="11" a="1"/>
  <c r="D279" i="11" s="1"/>
  <c r="G279" i="11" s="1"/>
  <c r="I279" i="11" s="1"/>
  <c r="Y279" i="11" s="1"/>
  <c r="H278" i="11" a="1"/>
  <c r="H278" i="11" s="1"/>
  <c r="D278" i="11" a="1"/>
  <c r="D278" i="11" s="1"/>
  <c r="G278" i="11" s="1"/>
  <c r="I278" i="11" s="1"/>
  <c r="Y278" i="11" s="1"/>
  <c r="H277" i="11" a="1"/>
  <c r="H277" i="11" s="1"/>
  <c r="D277" i="11" a="1"/>
  <c r="D277" i="11" s="1"/>
  <c r="G277" i="11" s="1"/>
  <c r="I277" i="11" s="1"/>
  <c r="Y277" i="11" s="1"/>
  <c r="H276" i="11" a="1"/>
  <c r="H276" i="11" s="1"/>
  <c r="D276" i="11" a="1"/>
  <c r="D276" i="11" s="1"/>
  <c r="G276" i="11" s="1"/>
  <c r="I276" i="11" s="1"/>
  <c r="Y276" i="11" s="1"/>
  <c r="H275" i="11" a="1"/>
  <c r="H275" i="11" s="1"/>
  <c r="D275" i="11" a="1"/>
  <c r="D275" i="11" s="1"/>
  <c r="G275" i="11" s="1"/>
  <c r="I275" i="11" s="1"/>
  <c r="Y275" i="11" s="1"/>
  <c r="H274" i="11" a="1"/>
  <c r="H274" i="11" s="1"/>
  <c r="D274" i="11" a="1"/>
  <c r="D274" i="11" s="1"/>
  <c r="G274" i="11" s="1"/>
  <c r="I274" i="11" s="1"/>
  <c r="Y274" i="11" s="1"/>
  <c r="H273" i="11" a="1"/>
  <c r="H273" i="11" s="1"/>
  <c r="D273" i="11" a="1"/>
  <c r="D273" i="11" s="1"/>
  <c r="G273" i="11" s="1"/>
  <c r="I273" i="11" s="1"/>
  <c r="Y273" i="11" s="1"/>
  <c r="H272" i="11" a="1"/>
  <c r="H272" i="11" s="1"/>
  <c r="D272" i="11" a="1"/>
  <c r="D272" i="11" s="1"/>
  <c r="G272" i="11" s="1"/>
  <c r="I272" i="11" s="1"/>
  <c r="Y272" i="11" s="1"/>
  <c r="H271" i="11" a="1"/>
  <c r="H271" i="11" s="1"/>
  <c r="D271" i="11" a="1"/>
  <c r="D271" i="11" s="1"/>
  <c r="G271" i="11" s="1"/>
  <c r="I271" i="11" s="1"/>
  <c r="Y271" i="11" s="1"/>
  <c r="H270" i="11" a="1"/>
  <c r="H270" i="11" s="1"/>
  <c r="D270" i="11" a="1"/>
  <c r="D270" i="11" s="1"/>
  <c r="G270" i="11" s="1"/>
  <c r="I270" i="11" s="1"/>
  <c r="Y270" i="11" s="1"/>
  <c r="H269" i="11" a="1"/>
  <c r="H269" i="11" s="1"/>
  <c r="D269" i="11" a="1"/>
  <c r="D269" i="11" s="1"/>
  <c r="G269" i="11" s="1"/>
  <c r="I269" i="11" s="1"/>
  <c r="Y269" i="11" s="1"/>
  <c r="H268" i="11" a="1"/>
  <c r="H268" i="11" s="1"/>
  <c r="D268" i="11" a="1"/>
  <c r="D268" i="11" s="1"/>
  <c r="G268" i="11" s="1"/>
  <c r="I268" i="11" s="1"/>
  <c r="Y268" i="11" s="1"/>
  <c r="H267" i="11" a="1"/>
  <c r="H267" i="11" s="1"/>
  <c r="D267" i="11" a="1"/>
  <c r="D267" i="11" s="1"/>
  <c r="G267" i="11" s="1"/>
  <c r="I267" i="11" s="1"/>
  <c r="Y267" i="11" s="1"/>
  <c r="H266" i="11" a="1"/>
  <c r="H266" i="11" s="1"/>
  <c r="D266" i="11" a="1"/>
  <c r="D266" i="11" s="1"/>
  <c r="G266" i="11" s="1"/>
  <c r="I266" i="11" s="1"/>
  <c r="Y266" i="11" s="1"/>
  <c r="H265" i="11" a="1"/>
  <c r="H265" i="11" s="1"/>
  <c r="D265" i="11" a="1"/>
  <c r="D265" i="11" s="1"/>
  <c r="G265" i="11" s="1"/>
  <c r="I265" i="11" s="1"/>
  <c r="Y265" i="11" s="1"/>
  <c r="H264" i="11" a="1"/>
  <c r="H264" i="11" s="1"/>
  <c r="D264" i="11" a="1"/>
  <c r="D264" i="11" s="1"/>
  <c r="G264" i="11" s="1"/>
  <c r="I264" i="11" s="1"/>
  <c r="Y264" i="11" s="1"/>
  <c r="H263" i="11" a="1"/>
  <c r="H263" i="11" s="1"/>
  <c r="D263" i="11" a="1"/>
  <c r="D263" i="11" s="1"/>
  <c r="G263" i="11" s="1"/>
  <c r="I263" i="11" s="1"/>
  <c r="Y263" i="11" s="1"/>
  <c r="H262" i="11" a="1"/>
  <c r="H262" i="11" s="1"/>
  <c r="D262" i="11" a="1"/>
  <c r="D262" i="11" s="1"/>
  <c r="G262" i="11" s="1"/>
  <c r="I262" i="11" s="1"/>
  <c r="Y262" i="11" s="1"/>
  <c r="H261" i="11" a="1"/>
  <c r="H261" i="11" s="1"/>
  <c r="D261" i="11" a="1"/>
  <c r="D261" i="11" s="1"/>
  <c r="G261" i="11" s="1"/>
  <c r="I261" i="11" s="1"/>
  <c r="Y261" i="11" s="1"/>
  <c r="H260" i="11" a="1"/>
  <c r="H260" i="11" s="1"/>
  <c r="D260" i="11" a="1"/>
  <c r="D260" i="11" s="1"/>
  <c r="G260" i="11" s="1"/>
  <c r="I260" i="11" s="1"/>
  <c r="Y260" i="11" s="1"/>
  <c r="H259" i="11" a="1"/>
  <c r="H259" i="11" s="1"/>
  <c r="D259" i="11" a="1"/>
  <c r="D259" i="11" s="1"/>
  <c r="G259" i="11" s="1"/>
  <c r="I259" i="11" s="1"/>
  <c r="Y259" i="11" s="1"/>
  <c r="H258" i="11" a="1"/>
  <c r="H258" i="11" s="1"/>
  <c r="D258" i="11" a="1"/>
  <c r="D258" i="11" s="1"/>
  <c r="G258" i="11" s="1"/>
  <c r="I258" i="11" s="1"/>
  <c r="Y258" i="11" s="1"/>
  <c r="H257" i="11" a="1"/>
  <c r="H257" i="11" s="1"/>
  <c r="D257" i="11" a="1"/>
  <c r="D257" i="11" s="1"/>
  <c r="G257" i="11" s="1"/>
  <c r="I257" i="11" s="1"/>
  <c r="Y257" i="11" s="1"/>
  <c r="H256" i="11" a="1"/>
  <c r="H256" i="11" s="1"/>
  <c r="D256" i="11" a="1"/>
  <c r="D256" i="11" s="1"/>
  <c r="G256" i="11" s="1"/>
  <c r="I256" i="11" s="1"/>
  <c r="Y256" i="11" s="1"/>
  <c r="H255" i="11" a="1"/>
  <c r="H255" i="11" s="1"/>
  <c r="D255" i="11" a="1"/>
  <c r="D255" i="11" s="1"/>
  <c r="G255" i="11" s="1"/>
  <c r="I255" i="11" s="1"/>
  <c r="Y255" i="11" s="1"/>
  <c r="H254" i="11" a="1"/>
  <c r="H254" i="11" s="1"/>
  <c r="D254" i="11" a="1"/>
  <c r="D254" i="11" s="1"/>
  <c r="G254" i="11" s="1"/>
  <c r="I254" i="11" s="1"/>
  <c r="Y254" i="11" s="1"/>
  <c r="H253" i="11" a="1"/>
  <c r="H253" i="11" s="1"/>
  <c r="D253" i="11" a="1"/>
  <c r="D253" i="11" s="1"/>
  <c r="G253" i="11" s="1"/>
  <c r="I253" i="11" s="1"/>
  <c r="Y253" i="11" s="1"/>
  <c r="H252" i="11" a="1"/>
  <c r="H252" i="11" s="1"/>
  <c r="D252" i="11" a="1"/>
  <c r="D252" i="11" s="1"/>
  <c r="G252" i="11" s="1"/>
  <c r="I252" i="11" s="1"/>
  <c r="Y252" i="11" s="1"/>
  <c r="H251" i="11" a="1"/>
  <c r="H251" i="11" s="1"/>
  <c r="D251" i="11" a="1"/>
  <c r="D251" i="11" s="1"/>
  <c r="G251" i="11" s="1"/>
  <c r="I251" i="11" s="1"/>
  <c r="Y251" i="11" s="1"/>
  <c r="H250" i="11" a="1"/>
  <c r="H250" i="11" s="1"/>
  <c r="D250" i="11" a="1"/>
  <c r="D250" i="11" s="1"/>
  <c r="G250" i="11" s="1"/>
  <c r="I250" i="11" s="1"/>
  <c r="Y250" i="11" s="1"/>
  <c r="H249" i="11" a="1"/>
  <c r="H249" i="11" s="1"/>
  <c r="D249" i="11" a="1"/>
  <c r="D249" i="11" s="1"/>
  <c r="G249" i="11" s="1"/>
  <c r="I249" i="11" s="1"/>
  <c r="Y249" i="11" s="1"/>
  <c r="H248" i="11" a="1"/>
  <c r="H248" i="11" s="1"/>
  <c r="D248" i="11" a="1"/>
  <c r="D248" i="11" s="1"/>
  <c r="G248" i="11" s="1"/>
  <c r="I248" i="11" s="1"/>
  <c r="Y248" i="11" s="1"/>
  <c r="H247" i="11" a="1"/>
  <c r="H247" i="11" s="1"/>
  <c r="D247" i="11" a="1"/>
  <c r="D247" i="11" s="1"/>
  <c r="G247" i="11" s="1"/>
  <c r="I247" i="11" s="1"/>
  <c r="Y247" i="11" s="1"/>
  <c r="H246" i="11" a="1"/>
  <c r="H246" i="11" s="1"/>
  <c r="D246" i="11" a="1"/>
  <c r="D246" i="11" s="1"/>
  <c r="G246" i="11" s="1"/>
  <c r="I246" i="11" s="1"/>
  <c r="Y246" i="11" s="1"/>
  <c r="H245" i="11" a="1"/>
  <c r="H245" i="11" s="1"/>
  <c r="D245" i="11" a="1"/>
  <c r="D245" i="11" s="1"/>
  <c r="G245" i="11" s="1"/>
  <c r="I245" i="11" s="1"/>
  <c r="Y245" i="11" s="1"/>
  <c r="H244" i="11" a="1"/>
  <c r="H244" i="11" s="1"/>
  <c r="D244" i="11" a="1"/>
  <c r="D244" i="11" s="1"/>
  <c r="G244" i="11" s="1"/>
  <c r="I244" i="11" s="1"/>
  <c r="Y244" i="11" s="1"/>
  <c r="H243" i="11" a="1"/>
  <c r="H243" i="11" s="1"/>
  <c r="D243" i="11" a="1"/>
  <c r="D243" i="11" s="1"/>
  <c r="G243" i="11" s="1"/>
  <c r="I243" i="11" s="1"/>
  <c r="Y243" i="11" s="1"/>
  <c r="H242" i="11" a="1"/>
  <c r="H242" i="11" s="1"/>
  <c r="D242" i="11" a="1"/>
  <c r="D242" i="11" s="1"/>
  <c r="G242" i="11" s="1"/>
  <c r="I242" i="11" s="1"/>
  <c r="Y242" i="11" s="1"/>
  <c r="H241" i="11" a="1"/>
  <c r="H241" i="11" s="1"/>
  <c r="D241" i="11" a="1"/>
  <c r="D241" i="11" s="1"/>
  <c r="G241" i="11" s="1"/>
  <c r="I241" i="11" s="1"/>
  <c r="Y241" i="11" s="1"/>
  <c r="H240" i="11" a="1"/>
  <c r="H240" i="11" s="1"/>
  <c r="D240" i="11" a="1"/>
  <c r="D240" i="11" s="1"/>
  <c r="G240" i="11" s="1"/>
  <c r="I240" i="11" s="1"/>
  <c r="Y240" i="11" s="1"/>
  <c r="H239" i="11" a="1"/>
  <c r="H239" i="11" s="1"/>
  <c r="D239" i="11" a="1"/>
  <c r="D239" i="11" s="1"/>
  <c r="G239" i="11" s="1"/>
  <c r="I239" i="11" s="1"/>
  <c r="Y239" i="11" s="1"/>
  <c r="H238" i="11" a="1"/>
  <c r="H238" i="11" s="1"/>
  <c r="D238" i="11" a="1"/>
  <c r="D238" i="11" s="1"/>
  <c r="G238" i="11" s="1"/>
  <c r="I238" i="11" s="1"/>
  <c r="Y238" i="11" s="1"/>
  <c r="H237" i="11" a="1"/>
  <c r="H237" i="11" s="1"/>
  <c r="D237" i="11" a="1"/>
  <c r="D237" i="11" s="1"/>
  <c r="G237" i="11" s="1"/>
  <c r="I237" i="11" s="1"/>
  <c r="Y237" i="11" s="1"/>
  <c r="H236" i="11" a="1"/>
  <c r="H236" i="11" s="1"/>
  <c r="D236" i="11" a="1"/>
  <c r="D236" i="11" s="1"/>
  <c r="G236" i="11" s="1"/>
  <c r="I236" i="11" s="1"/>
  <c r="Y236" i="11" s="1"/>
  <c r="H235" i="11" a="1"/>
  <c r="H235" i="11" s="1"/>
  <c r="D235" i="11" a="1"/>
  <c r="D235" i="11" s="1"/>
  <c r="G235" i="11" s="1"/>
  <c r="I235" i="11" s="1"/>
  <c r="Y235" i="11" s="1"/>
  <c r="H234" i="11" a="1"/>
  <c r="H234" i="11" s="1"/>
  <c r="D234" i="11" a="1"/>
  <c r="D234" i="11" s="1"/>
  <c r="G234" i="11" s="1"/>
  <c r="I234" i="11" s="1"/>
  <c r="Y234" i="11" s="1"/>
  <c r="H233" i="11" a="1"/>
  <c r="H233" i="11" s="1"/>
  <c r="D233" i="11" a="1"/>
  <c r="D233" i="11" s="1"/>
  <c r="G233" i="11" s="1"/>
  <c r="I233" i="11" s="1"/>
  <c r="Y233" i="11" s="1"/>
  <c r="H232" i="11" a="1"/>
  <c r="H232" i="11" s="1"/>
  <c r="D232" i="11" a="1"/>
  <c r="D232" i="11" s="1"/>
  <c r="G232" i="11" s="1"/>
  <c r="I232" i="11" s="1"/>
  <c r="Y232" i="11" s="1"/>
  <c r="H231" i="11" a="1"/>
  <c r="H231" i="11" s="1"/>
  <c r="D231" i="11" a="1"/>
  <c r="D231" i="11" s="1"/>
  <c r="G231" i="11" s="1"/>
  <c r="I231" i="11" s="1"/>
  <c r="Y231" i="11" s="1"/>
  <c r="H230" i="11" a="1"/>
  <c r="H230" i="11" s="1"/>
  <c r="D230" i="11" a="1"/>
  <c r="D230" i="11" s="1"/>
  <c r="G230" i="11" s="1"/>
  <c r="I230" i="11" s="1"/>
  <c r="Y230" i="11" s="1"/>
  <c r="H229" i="11" a="1"/>
  <c r="H229" i="11" s="1"/>
  <c r="D229" i="11" a="1"/>
  <c r="D229" i="11" s="1"/>
  <c r="G229" i="11" s="1"/>
  <c r="I229" i="11" s="1"/>
  <c r="Y229" i="11" s="1"/>
  <c r="H228" i="11" a="1"/>
  <c r="H228" i="11" s="1"/>
  <c r="D228" i="11" a="1"/>
  <c r="D228" i="11" s="1"/>
  <c r="G228" i="11" s="1"/>
  <c r="I228" i="11" s="1"/>
  <c r="Y228" i="11" s="1"/>
  <c r="H227" i="11" a="1"/>
  <c r="H227" i="11" s="1"/>
  <c r="D227" i="11" a="1"/>
  <c r="D227" i="11" s="1"/>
  <c r="G227" i="11" s="1"/>
  <c r="I227" i="11" s="1"/>
  <c r="Y227" i="11" s="1"/>
  <c r="H226" i="11" a="1"/>
  <c r="H226" i="11" s="1"/>
  <c r="D226" i="11" a="1"/>
  <c r="D226" i="11" s="1"/>
  <c r="G226" i="11" s="1"/>
  <c r="I226" i="11" s="1"/>
  <c r="Y226" i="11" s="1"/>
  <c r="H225" i="11" a="1"/>
  <c r="H225" i="11" s="1"/>
  <c r="D225" i="11" a="1"/>
  <c r="D225" i="11" s="1"/>
  <c r="G225" i="11" s="1"/>
  <c r="I225" i="11" s="1"/>
  <c r="Y225" i="11" s="1"/>
  <c r="H224" i="11" a="1"/>
  <c r="H224" i="11" s="1"/>
  <c r="D224" i="11" a="1"/>
  <c r="D224" i="11" s="1"/>
  <c r="G224" i="11" s="1"/>
  <c r="I224" i="11" s="1"/>
  <c r="Y224" i="11" s="1"/>
  <c r="H223" i="11" a="1"/>
  <c r="H223" i="11" s="1"/>
  <c r="D223" i="11" a="1"/>
  <c r="D223" i="11" s="1"/>
  <c r="G223" i="11" s="1"/>
  <c r="I223" i="11" s="1"/>
  <c r="Y223" i="11" s="1"/>
  <c r="H222" i="11" a="1"/>
  <c r="H222" i="11" s="1"/>
  <c r="D222" i="11" a="1"/>
  <c r="D222" i="11" s="1"/>
  <c r="G222" i="11" s="1"/>
  <c r="I222" i="11" s="1"/>
  <c r="Y222" i="11" s="1"/>
  <c r="H221" i="11" a="1"/>
  <c r="H221" i="11" s="1"/>
  <c r="D221" i="11" a="1"/>
  <c r="D221" i="11" s="1"/>
  <c r="G221" i="11" s="1"/>
  <c r="I221" i="11" s="1"/>
  <c r="Y221" i="11" s="1"/>
  <c r="H220" i="11" a="1"/>
  <c r="H220" i="11" s="1"/>
  <c r="D220" i="11" a="1"/>
  <c r="D220" i="11" s="1"/>
  <c r="G220" i="11" s="1"/>
  <c r="I220" i="11" s="1"/>
  <c r="Y220" i="11" s="1"/>
  <c r="H219" i="11" a="1"/>
  <c r="H219" i="11" s="1"/>
  <c r="D219" i="11" a="1"/>
  <c r="D219" i="11" s="1"/>
  <c r="G219" i="11" s="1"/>
  <c r="I219" i="11" s="1"/>
  <c r="Y219" i="11" s="1"/>
  <c r="H218" i="11" a="1"/>
  <c r="H218" i="11" s="1"/>
  <c r="D218" i="11" a="1"/>
  <c r="D218" i="11" s="1"/>
  <c r="G218" i="11" s="1"/>
  <c r="I218" i="11" s="1"/>
  <c r="Y218" i="11" s="1"/>
  <c r="H217" i="11" a="1"/>
  <c r="H217" i="11" s="1"/>
  <c r="D217" i="11" a="1"/>
  <c r="D217" i="11" s="1"/>
  <c r="G217" i="11" s="1"/>
  <c r="I217" i="11" s="1"/>
  <c r="Y217" i="11" s="1"/>
  <c r="H216" i="11" a="1"/>
  <c r="H216" i="11" s="1"/>
  <c r="D216" i="11" a="1"/>
  <c r="D216" i="11" s="1"/>
  <c r="G216" i="11" s="1"/>
  <c r="I216" i="11" s="1"/>
  <c r="Y216" i="11" s="1"/>
  <c r="H215" i="11" a="1"/>
  <c r="H215" i="11" s="1"/>
  <c r="D215" i="11" a="1"/>
  <c r="D215" i="11" s="1"/>
  <c r="G215" i="11" s="1"/>
  <c r="I215" i="11" s="1"/>
  <c r="Y215" i="11" s="1"/>
  <c r="H214" i="11" a="1"/>
  <c r="H214" i="11" s="1"/>
  <c r="D214" i="11" a="1"/>
  <c r="D214" i="11" s="1"/>
  <c r="G214" i="11" s="1"/>
  <c r="I214" i="11" s="1"/>
  <c r="Y214" i="11" s="1"/>
  <c r="H213" i="11" a="1"/>
  <c r="H213" i="11" s="1"/>
  <c r="D213" i="11" a="1"/>
  <c r="D213" i="11" s="1"/>
  <c r="G213" i="11" s="1"/>
  <c r="I213" i="11" s="1"/>
  <c r="Y213" i="11" s="1"/>
  <c r="H212" i="11" a="1"/>
  <c r="H212" i="11" s="1"/>
  <c r="D212" i="11" a="1"/>
  <c r="D212" i="11" s="1"/>
  <c r="G212" i="11" s="1"/>
  <c r="I212" i="11" s="1"/>
  <c r="Y212" i="11" s="1"/>
  <c r="H211" i="11" a="1"/>
  <c r="H211" i="11" s="1"/>
  <c r="D211" i="11" a="1"/>
  <c r="D211" i="11" s="1"/>
  <c r="G211" i="11" s="1"/>
  <c r="I211" i="11" s="1"/>
  <c r="Y211" i="11" s="1"/>
  <c r="H210" i="11" a="1"/>
  <c r="H210" i="11" s="1"/>
  <c r="D210" i="11" a="1"/>
  <c r="D210" i="11" s="1"/>
  <c r="G210" i="11" s="1"/>
  <c r="I210" i="11" s="1"/>
  <c r="Y210" i="11" s="1"/>
  <c r="H209" i="11" a="1"/>
  <c r="H209" i="11" s="1"/>
  <c r="D209" i="11" a="1"/>
  <c r="D209" i="11" s="1"/>
  <c r="G209" i="11" s="1"/>
  <c r="I209" i="11" s="1"/>
  <c r="Y209" i="11" s="1"/>
  <c r="H208" i="11" a="1"/>
  <c r="H208" i="11" s="1"/>
  <c r="D208" i="11" a="1"/>
  <c r="D208" i="11" s="1"/>
  <c r="G208" i="11" s="1"/>
  <c r="I208" i="11" s="1"/>
  <c r="Y208" i="11" s="1"/>
  <c r="H207" i="11" a="1"/>
  <c r="H207" i="11" s="1"/>
  <c r="D207" i="11" a="1"/>
  <c r="D207" i="11" s="1"/>
  <c r="G207" i="11" s="1"/>
  <c r="I207" i="11" s="1"/>
  <c r="Y207" i="11" s="1"/>
  <c r="H206" i="11" a="1"/>
  <c r="H206" i="11" s="1"/>
  <c r="D206" i="11" a="1"/>
  <c r="D206" i="11" s="1"/>
  <c r="G206" i="11" s="1"/>
  <c r="I206" i="11" s="1"/>
  <c r="Y206" i="11" s="1"/>
  <c r="H205" i="11" a="1"/>
  <c r="H205" i="11" s="1"/>
  <c r="D205" i="11" a="1"/>
  <c r="D205" i="11" s="1"/>
  <c r="G205" i="11" s="1"/>
  <c r="I205" i="11" s="1"/>
  <c r="Y205" i="11" s="1"/>
  <c r="H204" i="11" a="1"/>
  <c r="H204" i="11" s="1"/>
  <c r="D204" i="11" a="1"/>
  <c r="D204" i="11" s="1"/>
  <c r="G204" i="11" s="1"/>
  <c r="I204" i="11" s="1"/>
  <c r="Y204" i="11" s="1"/>
  <c r="H203" i="11" a="1"/>
  <c r="H203" i="11" s="1"/>
  <c r="D203" i="11" a="1"/>
  <c r="D203" i="11" s="1"/>
  <c r="G203" i="11" s="1"/>
  <c r="I203" i="11" s="1"/>
  <c r="Y203" i="11" s="1"/>
  <c r="H202" i="11" a="1"/>
  <c r="H202" i="11" s="1"/>
  <c r="D202" i="11" a="1"/>
  <c r="D202" i="11" s="1"/>
  <c r="G202" i="11" s="1"/>
  <c r="I202" i="11" s="1"/>
  <c r="Y202" i="11" s="1"/>
  <c r="H201" i="11" a="1"/>
  <c r="H201" i="11" s="1"/>
  <c r="D201" i="11" a="1"/>
  <c r="D201" i="11" s="1"/>
  <c r="G201" i="11" s="1"/>
  <c r="I201" i="11" s="1"/>
  <c r="Y201" i="11" s="1"/>
  <c r="H200" i="11" a="1"/>
  <c r="H200" i="11" s="1"/>
  <c r="D200" i="11" a="1"/>
  <c r="D200" i="11" s="1"/>
  <c r="G200" i="11" s="1"/>
  <c r="I200" i="11" s="1"/>
  <c r="Y200" i="11" s="1"/>
  <c r="H199" i="11" a="1"/>
  <c r="H199" i="11" s="1"/>
  <c r="D199" i="11" a="1"/>
  <c r="D199" i="11" s="1"/>
  <c r="G199" i="11" s="1"/>
  <c r="I199" i="11" s="1"/>
  <c r="Y199" i="11" s="1"/>
  <c r="H198" i="11" a="1"/>
  <c r="H198" i="11" s="1"/>
  <c r="D198" i="11" a="1"/>
  <c r="D198" i="11" s="1"/>
  <c r="G198" i="11" s="1"/>
  <c r="I198" i="11" s="1"/>
  <c r="Y198" i="11" s="1"/>
  <c r="H197" i="11" a="1"/>
  <c r="H197" i="11" s="1"/>
  <c r="D197" i="11" a="1"/>
  <c r="D197" i="11" s="1"/>
  <c r="G197" i="11" s="1"/>
  <c r="I197" i="11" s="1"/>
  <c r="Y197" i="11" s="1"/>
  <c r="H196" i="11" a="1"/>
  <c r="H196" i="11" s="1"/>
  <c r="D196" i="11" a="1"/>
  <c r="D196" i="11" s="1"/>
  <c r="G196" i="11" s="1"/>
  <c r="I196" i="11" s="1"/>
  <c r="Y196" i="11" s="1"/>
  <c r="H195" i="11" a="1"/>
  <c r="H195" i="11" s="1"/>
  <c r="D195" i="11" a="1"/>
  <c r="D195" i="11" s="1"/>
  <c r="G195" i="11" s="1"/>
  <c r="I195" i="11" s="1"/>
  <c r="Y195" i="11" s="1"/>
  <c r="H194" i="11" a="1"/>
  <c r="H194" i="11" s="1"/>
  <c r="D194" i="11" a="1"/>
  <c r="D194" i="11" s="1"/>
  <c r="G194" i="11" s="1"/>
  <c r="I194" i="11" s="1"/>
  <c r="Y194" i="11" s="1"/>
  <c r="H193" i="11" a="1"/>
  <c r="H193" i="11" s="1"/>
  <c r="D193" i="11" a="1"/>
  <c r="D193" i="11" s="1"/>
  <c r="G193" i="11" s="1"/>
  <c r="I193" i="11" s="1"/>
  <c r="Y193" i="11" s="1"/>
  <c r="H192" i="11" a="1"/>
  <c r="H192" i="11" s="1"/>
  <c r="D192" i="11" a="1"/>
  <c r="D192" i="11" s="1"/>
  <c r="G192" i="11" s="1"/>
  <c r="I192" i="11" s="1"/>
  <c r="Y192" i="11" s="1"/>
  <c r="H191" i="11" a="1"/>
  <c r="H191" i="11" s="1"/>
  <c r="D191" i="11" a="1"/>
  <c r="D191" i="11" s="1"/>
  <c r="G191" i="11" s="1"/>
  <c r="I191" i="11" s="1"/>
  <c r="Y191" i="11" s="1"/>
  <c r="H190" i="11" a="1"/>
  <c r="H190" i="11" s="1"/>
  <c r="D190" i="11" a="1"/>
  <c r="D190" i="11" s="1"/>
  <c r="G190" i="11" s="1"/>
  <c r="I190" i="11" s="1"/>
  <c r="Y190" i="11" s="1"/>
  <c r="H189" i="11" a="1"/>
  <c r="H189" i="11" s="1"/>
  <c r="D189" i="11" a="1"/>
  <c r="D189" i="11" s="1"/>
  <c r="G189" i="11" s="1"/>
  <c r="I189" i="11" s="1"/>
  <c r="Y189" i="11" s="1"/>
  <c r="H188" i="11" a="1"/>
  <c r="H188" i="11" s="1"/>
  <c r="D188" i="11" a="1"/>
  <c r="D188" i="11" s="1"/>
  <c r="G188" i="11" s="1"/>
  <c r="I188" i="11" s="1"/>
  <c r="Y188" i="11" s="1"/>
  <c r="H187" i="11" a="1"/>
  <c r="H187" i="11" s="1"/>
  <c r="D187" i="11" a="1"/>
  <c r="D187" i="11" s="1"/>
  <c r="G187" i="11" s="1"/>
  <c r="I187" i="11" s="1"/>
  <c r="Y187" i="11" s="1"/>
  <c r="H186" i="11" a="1"/>
  <c r="H186" i="11" s="1"/>
  <c r="D186" i="11" a="1"/>
  <c r="D186" i="11" s="1"/>
  <c r="G186" i="11" s="1"/>
  <c r="I186" i="11" s="1"/>
  <c r="Y186" i="11" s="1"/>
  <c r="H185" i="11" a="1"/>
  <c r="H185" i="11" s="1"/>
  <c r="D185" i="11" a="1"/>
  <c r="D185" i="11" s="1"/>
  <c r="G185" i="11" s="1"/>
  <c r="I185" i="11" s="1"/>
  <c r="Y185" i="11" s="1"/>
  <c r="H184" i="11" a="1"/>
  <c r="H184" i="11" s="1"/>
  <c r="D184" i="11" a="1"/>
  <c r="D184" i="11" s="1"/>
  <c r="G184" i="11" s="1"/>
  <c r="I184" i="11" s="1"/>
  <c r="Y184" i="11" s="1"/>
  <c r="H183" i="11" a="1"/>
  <c r="H183" i="11" s="1"/>
  <c r="D183" i="11" a="1"/>
  <c r="D183" i="11" s="1"/>
  <c r="G183" i="11" s="1"/>
  <c r="I183" i="11" s="1"/>
  <c r="Y183" i="11" s="1"/>
  <c r="H182" i="11" a="1"/>
  <c r="H182" i="11" s="1"/>
  <c r="D182" i="11" a="1"/>
  <c r="D182" i="11" s="1"/>
  <c r="G182" i="11" s="1"/>
  <c r="I182" i="11" s="1"/>
  <c r="Y182" i="11" s="1"/>
  <c r="H181" i="11" a="1"/>
  <c r="H181" i="11" s="1"/>
  <c r="D181" i="11" a="1"/>
  <c r="D181" i="11" s="1"/>
  <c r="G181" i="11" s="1"/>
  <c r="I181" i="11" s="1"/>
  <c r="Y181" i="11" s="1"/>
  <c r="H180" i="11" a="1"/>
  <c r="H180" i="11" s="1"/>
  <c r="D180" i="11" a="1"/>
  <c r="D180" i="11" s="1"/>
  <c r="G180" i="11" s="1"/>
  <c r="I180" i="11" s="1"/>
  <c r="Y180" i="11" s="1"/>
  <c r="H179" i="11" a="1"/>
  <c r="H179" i="11" s="1"/>
  <c r="D179" i="11" a="1"/>
  <c r="D179" i="11" s="1"/>
  <c r="G179" i="11" s="1"/>
  <c r="I179" i="11" s="1"/>
  <c r="Y179" i="11" s="1"/>
  <c r="H178" i="11" a="1"/>
  <c r="H178" i="11" s="1"/>
  <c r="D178" i="11" a="1"/>
  <c r="D178" i="11" s="1"/>
  <c r="G178" i="11" s="1"/>
  <c r="I178" i="11" s="1"/>
  <c r="Y178" i="11" s="1"/>
  <c r="H177" i="11" a="1"/>
  <c r="H177" i="11" s="1"/>
  <c r="D177" i="11" a="1"/>
  <c r="D177" i="11" s="1"/>
  <c r="G177" i="11" s="1"/>
  <c r="I177" i="11" s="1"/>
  <c r="Y177" i="11" s="1"/>
  <c r="H176" i="11" a="1"/>
  <c r="H176" i="11" s="1"/>
  <c r="D176" i="11" a="1"/>
  <c r="D176" i="11" s="1"/>
  <c r="G176" i="11" s="1"/>
  <c r="I176" i="11" s="1"/>
  <c r="Y176" i="11" s="1"/>
  <c r="H175" i="11" a="1"/>
  <c r="H175" i="11" s="1"/>
  <c r="D175" i="11" a="1"/>
  <c r="D175" i="11" s="1"/>
  <c r="G175" i="11" s="1"/>
  <c r="I175" i="11" s="1"/>
  <c r="Y175" i="11" s="1"/>
  <c r="H174" i="11" a="1"/>
  <c r="H174" i="11" s="1"/>
  <c r="D174" i="11" a="1"/>
  <c r="D174" i="11" s="1"/>
  <c r="G174" i="11" s="1"/>
  <c r="I174" i="11" s="1"/>
  <c r="Y174" i="11" s="1"/>
  <c r="H173" i="11" a="1"/>
  <c r="H173" i="11" s="1"/>
  <c r="D173" i="11" a="1"/>
  <c r="D173" i="11" s="1"/>
  <c r="G173" i="11" s="1"/>
  <c r="I173" i="11" s="1"/>
  <c r="Y173" i="11" s="1"/>
  <c r="H172" i="11" a="1"/>
  <c r="H172" i="11" s="1"/>
  <c r="D172" i="11" a="1"/>
  <c r="D172" i="11" s="1"/>
  <c r="G172" i="11" s="1"/>
  <c r="I172" i="11" s="1"/>
  <c r="Y172" i="11" s="1"/>
  <c r="H171" i="11" a="1"/>
  <c r="H171" i="11" s="1"/>
  <c r="D171" i="11" a="1"/>
  <c r="D171" i="11" s="1"/>
  <c r="G171" i="11" s="1"/>
  <c r="I171" i="11" s="1"/>
  <c r="Y171" i="11" s="1"/>
  <c r="H170" i="11" a="1"/>
  <c r="H170" i="11" s="1"/>
  <c r="D170" i="11" a="1"/>
  <c r="D170" i="11" s="1"/>
  <c r="G170" i="11" s="1"/>
  <c r="I170" i="11" s="1"/>
  <c r="Y170" i="11" s="1"/>
  <c r="H169" i="11" a="1"/>
  <c r="H169" i="11" s="1"/>
  <c r="D169" i="11" a="1"/>
  <c r="D169" i="11" s="1"/>
  <c r="G169" i="11" s="1"/>
  <c r="I169" i="11" s="1"/>
  <c r="Y169" i="11" s="1"/>
  <c r="H168" i="11" a="1"/>
  <c r="H168" i="11" s="1"/>
  <c r="D168" i="11" a="1"/>
  <c r="D168" i="11" s="1"/>
  <c r="G168" i="11" s="1"/>
  <c r="I168" i="11" s="1"/>
  <c r="Y168" i="11" s="1"/>
  <c r="H167" i="11" a="1"/>
  <c r="H167" i="11" s="1"/>
  <c r="D167" i="11" a="1"/>
  <c r="D167" i="11" s="1"/>
  <c r="G167" i="11" s="1"/>
  <c r="I167" i="11" s="1"/>
  <c r="Y167" i="11" s="1"/>
  <c r="H166" i="11" a="1"/>
  <c r="H166" i="11" s="1"/>
  <c r="D166" i="11" a="1"/>
  <c r="D166" i="11" s="1"/>
  <c r="G166" i="11" s="1"/>
  <c r="I166" i="11" s="1"/>
  <c r="Y166" i="11" s="1"/>
  <c r="H165" i="11" a="1"/>
  <c r="H165" i="11" s="1"/>
  <c r="D165" i="11" a="1"/>
  <c r="D165" i="11" s="1"/>
  <c r="G165" i="11" s="1"/>
  <c r="I165" i="11" s="1"/>
  <c r="Y165" i="11" s="1"/>
  <c r="H164" i="11" a="1"/>
  <c r="H164" i="11" s="1"/>
  <c r="D164" i="11" a="1"/>
  <c r="D164" i="11" s="1"/>
  <c r="G164" i="11" s="1"/>
  <c r="I164" i="11" s="1"/>
  <c r="Y164" i="11" s="1"/>
  <c r="H163" i="11" a="1"/>
  <c r="H163" i="11" s="1"/>
  <c r="D163" i="11" a="1"/>
  <c r="D163" i="11" s="1"/>
  <c r="G163" i="11" s="1"/>
  <c r="I163" i="11" s="1"/>
  <c r="Y163" i="11" s="1"/>
  <c r="H162" i="11" a="1"/>
  <c r="H162" i="11" s="1"/>
  <c r="D162" i="11" a="1"/>
  <c r="D162" i="11" s="1"/>
  <c r="G162" i="11" s="1"/>
  <c r="I162" i="11" s="1"/>
  <c r="Y162" i="11" s="1"/>
  <c r="H161" i="11" a="1"/>
  <c r="H161" i="11" s="1"/>
  <c r="D161" i="11" a="1"/>
  <c r="D161" i="11" s="1"/>
  <c r="G161" i="11" s="1"/>
  <c r="I161" i="11" s="1"/>
  <c r="Y161" i="11" s="1"/>
  <c r="H160" i="11" a="1"/>
  <c r="H160" i="11" s="1"/>
  <c r="D160" i="11" a="1"/>
  <c r="D160" i="11" s="1"/>
  <c r="G160" i="11" s="1"/>
  <c r="I160" i="11" s="1"/>
  <c r="Y160" i="11" s="1"/>
  <c r="H159" i="11" a="1"/>
  <c r="H159" i="11" s="1"/>
  <c r="D159" i="11" a="1"/>
  <c r="D159" i="11" s="1"/>
  <c r="G159" i="11" s="1"/>
  <c r="I159" i="11" s="1"/>
  <c r="Y159" i="11" s="1"/>
  <c r="H158" i="11" a="1"/>
  <c r="H158" i="11" s="1"/>
  <c r="D158" i="11" a="1"/>
  <c r="D158" i="11" s="1"/>
  <c r="G158" i="11" s="1"/>
  <c r="I158" i="11" s="1"/>
  <c r="Y158" i="11" s="1"/>
  <c r="H157" i="11" a="1"/>
  <c r="H157" i="11" s="1"/>
  <c r="D157" i="11" a="1"/>
  <c r="D157" i="11" s="1"/>
  <c r="G157" i="11" s="1"/>
  <c r="I157" i="11" s="1"/>
  <c r="Y157" i="11" s="1"/>
  <c r="H156" i="11" a="1"/>
  <c r="H156" i="11" s="1"/>
  <c r="D156" i="11" a="1"/>
  <c r="D156" i="11" s="1"/>
  <c r="G156" i="11" s="1"/>
  <c r="I156" i="11" s="1"/>
  <c r="Y156" i="11" s="1"/>
  <c r="H155" i="11" a="1"/>
  <c r="H155" i="11" s="1"/>
  <c r="D155" i="11" a="1"/>
  <c r="D155" i="11" s="1"/>
  <c r="G155" i="11" s="1"/>
  <c r="I155" i="11" s="1"/>
  <c r="Y155" i="11" s="1"/>
  <c r="H154" i="11" a="1"/>
  <c r="H154" i="11" s="1"/>
  <c r="D154" i="11" a="1"/>
  <c r="D154" i="11" s="1"/>
  <c r="G154" i="11" s="1"/>
  <c r="I154" i="11" s="1"/>
  <c r="Y154" i="11" s="1"/>
  <c r="H153" i="11" a="1"/>
  <c r="H153" i="11" s="1"/>
  <c r="D153" i="11" a="1"/>
  <c r="D153" i="11" s="1"/>
  <c r="G153" i="11" s="1"/>
  <c r="I153" i="11" s="1"/>
  <c r="Y153" i="11" s="1"/>
  <c r="H152" i="11" a="1"/>
  <c r="H152" i="11" s="1"/>
  <c r="D152" i="11" a="1"/>
  <c r="D152" i="11" s="1"/>
  <c r="G152" i="11" s="1"/>
  <c r="I152" i="11" s="1"/>
  <c r="Y152" i="11" s="1"/>
  <c r="H151" i="11" a="1"/>
  <c r="H151" i="11" s="1"/>
  <c r="D151" i="11" a="1"/>
  <c r="D151" i="11" s="1"/>
  <c r="G151" i="11" s="1"/>
  <c r="I151" i="11" s="1"/>
  <c r="Y151" i="11" s="1"/>
  <c r="H150" i="11" a="1"/>
  <c r="H150" i="11" s="1"/>
  <c r="D150" i="11" a="1"/>
  <c r="D150" i="11" s="1"/>
  <c r="G150" i="11" s="1"/>
  <c r="I150" i="11" s="1"/>
  <c r="Y150" i="11" s="1"/>
  <c r="H149" i="11" a="1"/>
  <c r="H149" i="11" s="1"/>
  <c r="D149" i="11" a="1"/>
  <c r="D149" i="11" s="1"/>
  <c r="G149" i="11" s="1"/>
  <c r="I149" i="11" s="1"/>
  <c r="Y149" i="11" s="1"/>
  <c r="H148" i="11" a="1"/>
  <c r="H148" i="11" s="1"/>
  <c r="D148" i="11" a="1"/>
  <c r="D148" i="11" s="1"/>
  <c r="G148" i="11" s="1"/>
  <c r="I148" i="11" s="1"/>
  <c r="Y148" i="11" s="1"/>
  <c r="H147" i="11" a="1"/>
  <c r="H147" i="11" s="1"/>
  <c r="D147" i="11" a="1"/>
  <c r="D147" i="11" s="1"/>
  <c r="G147" i="11" s="1"/>
  <c r="I147" i="11" s="1"/>
  <c r="Y147" i="11" s="1"/>
  <c r="H146" i="11" a="1"/>
  <c r="H146" i="11" s="1"/>
  <c r="D146" i="11" a="1"/>
  <c r="D146" i="11" s="1"/>
  <c r="G146" i="11" s="1"/>
  <c r="I146" i="11" s="1"/>
  <c r="Y146" i="11" s="1"/>
  <c r="H145" i="11" a="1"/>
  <c r="H145" i="11" s="1"/>
  <c r="D145" i="11" a="1"/>
  <c r="D145" i="11" s="1"/>
  <c r="G145" i="11" s="1"/>
  <c r="I145" i="11" s="1"/>
  <c r="Y145" i="11" s="1"/>
  <c r="H144" i="11" a="1"/>
  <c r="H144" i="11" s="1"/>
  <c r="D144" i="11" a="1"/>
  <c r="D144" i="11" s="1"/>
  <c r="G144" i="11" s="1"/>
  <c r="I144" i="11" s="1"/>
  <c r="Y144" i="11" s="1"/>
  <c r="H143" i="11" a="1"/>
  <c r="H143" i="11" s="1"/>
  <c r="D143" i="11" a="1"/>
  <c r="D143" i="11" s="1"/>
  <c r="G143" i="11" s="1"/>
  <c r="I143" i="11" s="1"/>
  <c r="Y143" i="11" s="1"/>
  <c r="H142" i="11" a="1"/>
  <c r="H142" i="11" s="1"/>
  <c r="D142" i="11" a="1"/>
  <c r="D142" i="11" s="1"/>
  <c r="G142" i="11" s="1"/>
  <c r="I142" i="11" s="1"/>
  <c r="Y142" i="11" s="1"/>
  <c r="H141" i="11" a="1"/>
  <c r="H141" i="11" s="1"/>
  <c r="D141" i="11" a="1"/>
  <c r="D141" i="11" s="1"/>
  <c r="G141" i="11" s="1"/>
  <c r="I141" i="11" s="1"/>
  <c r="Y141" i="11" s="1"/>
  <c r="H140" i="11" a="1"/>
  <c r="H140" i="11" s="1"/>
  <c r="D140" i="11" a="1"/>
  <c r="D140" i="11" s="1"/>
  <c r="G140" i="11" s="1"/>
  <c r="I140" i="11" s="1"/>
  <c r="Y140" i="11" s="1"/>
  <c r="H139" i="11" a="1"/>
  <c r="H139" i="11" s="1"/>
  <c r="D139" i="11" a="1"/>
  <c r="D139" i="11" s="1"/>
  <c r="G139" i="11" s="1"/>
  <c r="I139" i="11" s="1"/>
  <c r="Y139" i="11" s="1"/>
  <c r="H138" i="11" a="1"/>
  <c r="H138" i="11" s="1"/>
  <c r="D138" i="11" a="1"/>
  <c r="D138" i="11" s="1"/>
  <c r="G138" i="11" s="1"/>
  <c r="I138" i="11" s="1"/>
  <c r="Y138" i="11" s="1"/>
  <c r="H137" i="11" a="1"/>
  <c r="H137" i="11" s="1"/>
  <c r="D137" i="11" a="1"/>
  <c r="D137" i="11" s="1"/>
  <c r="G137" i="11" s="1"/>
  <c r="I137" i="11" s="1"/>
  <c r="Y137" i="11" s="1"/>
  <c r="H136" i="11" a="1"/>
  <c r="H136" i="11" s="1"/>
  <c r="D136" i="11" a="1"/>
  <c r="D136" i="11" s="1"/>
  <c r="G136" i="11" s="1"/>
  <c r="I136" i="11" s="1"/>
  <c r="Y136" i="11" s="1"/>
  <c r="H135" i="11" a="1"/>
  <c r="H135" i="11" s="1"/>
  <c r="D135" i="11" a="1"/>
  <c r="D135" i="11" s="1"/>
  <c r="G135" i="11" s="1"/>
  <c r="I135" i="11" s="1"/>
  <c r="Y135" i="11" s="1"/>
  <c r="H134" i="11" a="1"/>
  <c r="H134" i="11" s="1"/>
  <c r="D134" i="11" a="1"/>
  <c r="D134" i="11" s="1"/>
  <c r="G134" i="11" s="1"/>
  <c r="I134" i="11" s="1"/>
  <c r="Y134" i="11" s="1"/>
  <c r="H133" i="11" a="1"/>
  <c r="H133" i="11" s="1"/>
  <c r="D133" i="11" a="1"/>
  <c r="D133" i="11" s="1"/>
  <c r="G133" i="11" s="1"/>
  <c r="I133" i="11" s="1"/>
  <c r="Y133" i="11" s="1"/>
  <c r="H132" i="11" a="1"/>
  <c r="H132" i="11" s="1"/>
  <c r="D132" i="11" a="1"/>
  <c r="D132" i="11" s="1"/>
  <c r="G132" i="11" s="1"/>
  <c r="I132" i="11" s="1"/>
  <c r="Y132" i="11" s="1"/>
  <c r="H131" i="11" a="1"/>
  <c r="H131" i="11" s="1"/>
  <c r="D131" i="11" a="1"/>
  <c r="D131" i="11" s="1"/>
  <c r="G131" i="11" s="1"/>
  <c r="I131" i="11" s="1"/>
  <c r="Y131" i="11" s="1"/>
  <c r="H130" i="11" a="1"/>
  <c r="H130" i="11" s="1"/>
  <c r="D130" i="11" a="1"/>
  <c r="D130" i="11" s="1"/>
  <c r="G130" i="11" s="1"/>
  <c r="I130" i="11" s="1"/>
  <c r="Y130" i="11" s="1"/>
  <c r="H129" i="11" a="1"/>
  <c r="H129" i="11" s="1"/>
  <c r="D129" i="11" a="1"/>
  <c r="D129" i="11" s="1"/>
  <c r="G129" i="11" s="1"/>
  <c r="I129" i="11" s="1"/>
  <c r="Y129" i="11" s="1"/>
  <c r="H128" i="11" a="1"/>
  <c r="H128" i="11" s="1"/>
  <c r="D128" i="11" a="1"/>
  <c r="D128" i="11" s="1"/>
  <c r="G128" i="11" s="1"/>
  <c r="I128" i="11" s="1"/>
  <c r="Y128" i="11" s="1"/>
  <c r="H127" i="11" a="1"/>
  <c r="H127" i="11" s="1"/>
  <c r="D127" i="11" a="1"/>
  <c r="D127" i="11" s="1"/>
  <c r="G127" i="11" s="1"/>
  <c r="I127" i="11" s="1"/>
  <c r="Y127" i="11" s="1"/>
  <c r="H126" i="11" a="1"/>
  <c r="H126" i="11" s="1"/>
  <c r="D126" i="11" a="1"/>
  <c r="D126" i="11" s="1"/>
  <c r="G126" i="11" s="1"/>
  <c r="I126" i="11" s="1"/>
  <c r="Y126" i="11" s="1"/>
  <c r="H125" i="11" a="1"/>
  <c r="H125" i="11" s="1"/>
  <c r="D125" i="11" a="1"/>
  <c r="D125" i="11" s="1"/>
  <c r="G125" i="11" s="1"/>
  <c r="I125" i="11" s="1"/>
  <c r="Y125" i="11" s="1"/>
  <c r="H124" i="11" a="1"/>
  <c r="H124" i="11" s="1"/>
  <c r="D124" i="11" a="1"/>
  <c r="D124" i="11" s="1"/>
  <c r="G124" i="11" s="1"/>
  <c r="I124" i="11" s="1"/>
  <c r="Y124" i="11" s="1"/>
  <c r="H123" i="11" a="1"/>
  <c r="H123" i="11" s="1"/>
  <c r="D123" i="11" a="1"/>
  <c r="D123" i="11" s="1"/>
  <c r="G123" i="11" s="1"/>
  <c r="I123" i="11" s="1"/>
  <c r="Y123" i="11" s="1"/>
  <c r="H122" i="11" a="1"/>
  <c r="H122" i="11" s="1"/>
  <c r="D122" i="11" a="1"/>
  <c r="D122" i="11" s="1"/>
  <c r="G122" i="11" s="1"/>
  <c r="I122" i="11" s="1"/>
  <c r="Y122" i="11" s="1"/>
  <c r="H121" i="11" a="1"/>
  <c r="H121" i="11" s="1"/>
  <c r="D121" i="11" a="1"/>
  <c r="D121" i="11" s="1"/>
  <c r="G121" i="11" s="1"/>
  <c r="I121" i="11" s="1"/>
  <c r="Y121" i="11" s="1"/>
  <c r="H120" i="11" a="1"/>
  <c r="H120" i="11" s="1"/>
  <c r="D120" i="11" a="1"/>
  <c r="D120" i="11" s="1"/>
  <c r="G120" i="11" s="1"/>
  <c r="I120" i="11" s="1"/>
  <c r="Y120" i="11" s="1"/>
  <c r="H119" i="11" a="1"/>
  <c r="H119" i="11" s="1"/>
  <c r="D119" i="11" a="1"/>
  <c r="D119" i="11" s="1"/>
  <c r="G119" i="11" s="1"/>
  <c r="I119" i="11" s="1"/>
  <c r="Y119" i="11" s="1"/>
  <c r="H118" i="11" a="1"/>
  <c r="H118" i="11" s="1"/>
  <c r="D118" i="11" a="1"/>
  <c r="D118" i="11" s="1"/>
  <c r="G118" i="11" s="1"/>
  <c r="I118" i="11" s="1"/>
  <c r="Y118" i="11" s="1"/>
  <c r="H117" i="11" a="1"/>
  <c r="H117" i="11" s="1"/>
  <c r="D117" i="11" a="1"/>
  <c r="D117" i="11" s="1"/>
  <c r="G117" i="11" s="1"/>
  <c r="I117" i="11" s="1"/>
  <c r="Y117" i="11" s="1"/>
  <c r="H116" i="11" a="1"/>
  <c r="H116" i="11" s="1"/>
  <c r="D116" i="11" a="1"/>
  <c r="D116" i="11" s="1"/>
  <c r="G116" i="11" s="1"/>
  <c r="I116" i="11" s="1"/>
  <c r="Y116" i="11" s="1"/>
  <c r="H115" i="11" a="1"/>
  <c r="H115" i="11" s="1"/>
  <c r="D115" i="11" a="1"/>
  <c r="D115" i="11" s="1"/>
  <c r="G115" i="11" s="1"/>
  <c r="I115" i="11" s="1"/>
  <c r="Y115" i="11" s="1"/>
  <c r="H114" i="11" a="1"/>
  <c r="H114" i="11" s="1"/>
  <c r="D114" i="11" a="1"/>
  <c r="D114" i="11" s="1"/>
  <c r="G114" i="11" s="1"/>
  <c r="I114" i="11" s="1"/>
  <c r="Y114" i="11" s="1"/>
  <c r="H113" i="11" a="1"/>
  <c r="H113" i="11" s="1"/>
  <c r="D113" i="11" a="1"/>
  <c r="D113" i="11" s="1"/>
  <c r="G113" i="11" s="1"/>
  <c r="I113" i="11" s="1"/>
  <c r="Y113" i="11" s="1"/>
  <c r="H112" i="11" a="1"/>
  <c r="H112" i="11" s="1"/>
  <c r="D112" i="11" a="1"/>
  <c r="D112" i="11" s="1"/>
  <c r="G112" i="11" s="1"/>
  <c r="I112" i="11" s="1"/>
  <c r="Y112" i="11" s="1"/>
  <c r="H111" i="11" a="1"/>
  <c r="H111" i="11" s="1"/>
  <c r="D111" i="11" a="1"/>
  <c r="D111" i="11" s="1"/>
  <c r="G111" i="11" s="1"/>
  <c r="I111" i="11" s="1"/>
  <c r="Y111" i="11" s="1"/>
  <c r="H110" i="11" a="1"/>
  <c r="H110" i="11" s="1"/>
  <c r="D110" i="11" a="1"/>
  <c r="D110" i="11" s="1"/>
  <c r="G110" i="11" s="1"/>
  <c r="I110" i="11" s="1"/>
  <c r="Y110" i="11" s="1"/>
  <c r="H109" i="11" a="1"/>
  <c r="H109" i="11" s="1"/>
  <c r="D109" i="11" a="1"/>
  <c r="D109" i="11" s="1"/>
  <c r="G109" i="11" s="1"/>
  <c r="I109" i="11" s="1"/>
  <c r="Y109" i="11" s="1"/>
  <c r="H108" i="11" a="1"/>
  <c r="H108" i="11" s="1"/>
  <c r="D108" i="11" a="1"/>
  <c r="D108" i="11" s="1"/>
  <c r="G108" i="11" s="1"/>
  <c r="I108" i="11" s="1"/>
  <c r="Y108" i="11" s="1"/>
  <c r="H107" i="11" a="1"/>
  <c r="H107" i="11" s="1"/>
  <c r="D107" i="11" a="1"/>
  <c r="D107" i="11" s="1"/>
  <c r="G107" i="11" s="1"/>
  <c r="I107" i="11" s="1"/>
  <c r="Y107" i="11" s="1"/>
  <c r="H106" i="11" a="1"/>
  <c r="H106" i="11" s="1"/>
  <c r="D106" i="11" a="1"/>
  <c r="D106" i="11" s="1"/>
  <c r="G106" i="11" s="1"/>
  <c r="I106" i="11" s="1"/>
  <c r="Y106" i="11" s="1"/>
  <c r="H105" i="11" a="1"/>
  <c r="H105" i="11" s="1"/>
  <c r="D105" i="11" a="1"/>
  <c r="D105" i="11" s="1"/>
  <c r="G105" i="11" s="1"/>
  <c r="I105" i="11" s="1"/>
  <c r="Y105" i="11" s="1"/>
  <c r="H104" i="11" a="1"/>
  <c r="H104" i="11" s="1"/>
  <c r="D104" i="11" a="1"/>
  <c r="D104" i="11" s="1"/>
  <c r="G104" i="11" s="1"/>
  <c r="I104" i="11" s="1"/>
  <c r="Y104" i="11" s="1"/>
  <c r="H103" i="11" a="1"/>
  <c r="H103" i="11" s="1"/>
  <c r="D103" i="11" a="1"/>
  <c r="D103" i="11" s="1"/>
  <c r="G103" i="11" s="1"/>
  <c r="I103" i="11" s="1"/>
  <c r="Y103" i="11" s="1"/>
  <c r="H102" i="11" a="1"/>
  <c r="H102" i="11" s="1"/>
  <c r="D102" i="11" a="1"/>
  <c r="D102" i="11" s="1"/>
  <c r="G102" i="11" s="1"/>
  <c r="I102" i="11" s="1"/>
  <c r="Y102" i="11" s="1"/>
  <c r="H101" i="11" a="1"/>
  <c r="H101" i="11" s="1"/>
  <c r="D101" i="11" a="1"/>
  <c r="D101" i="11" s="1"/>
  <c r="G101" i="11" s="1"/>
  <c r="I101" i="11" s="1"/>
  <c r="Y101" i="11" s="1"/>
  <c r="H100" i="11" a="1"/>
  <c r="H100" i="11" s="1"/>
  <c r="D100" i="11" a="1"/>
  <c r="D100" i="11" s="1"/>
  <c r="G100" i="11" s="1"/>
  <c r="I100" i="11" s="1"/>
  <c r="Y100" i="11" s="1"/>
  <c r="H99" i="11" a="1"/>
  <c r="H99" i="11" s="1"/>
  <c r="D99" i="11" a="1"/>
  <c r="D99" i="11" s="1"/>
  <c r="G99" i="11" s="1"/>
  <c r="I99" i="11" s="1"/>
  <c r="Y99" i="11" s="1"/>
  <c r="H98" i="11" a="1"/>
  <c r="H98" i="11" s="1"/>
  <c r="D98" i="11" a="1"/>
  <c r="D98" i="11" s="1"/>
  <c r="G98" i="11" s="1"/>
  <c r="I98" i="11" s="1"/>
  <c r="Y98" i="11" s="1"/>
  <c r="H97" i="11" a="1"/>
  <c r="H97" i="11" s="1"/>
  <c r="D97" i="11" a="1"/>
  <c r="D97" i="11" s="1"/>
  <c r="G97" i="11" s="1"/>
  <c r="I97" i="11" s="1"/>
  <c r="Y97" i="11" s="1"/>
  <c r="H96" i="11" a="1"/>
  <c r="H96" i="11" s="1"/>
  <c r="D96" i="11" a="1"/>
  <c r="D96" i="11" s="1"/>
  <c r="G96" i="11" s="1"/>
  <c r="I96" i="11" s="1"/>
  <c r="Y96" i="11" s="1"/>
  <c r="H95" i="11" a="1"/>
  <c r="H95" i="11" s="1"/>
  <c r="D95" i="11" a="1"/>
  <c r="D95" i="11" s="1"/>
  <c r="G95" i="11" s="1"/>
  <c r="I95" i="11" s="1"/>
  <c r="Y95" i="11" s="1"/>
  <c r="H94" i="11" a="1"/>
  <c r="H94" i="11" s="1"/>
  <c r="D94" i="11" a="1"/>
  <c r="D94" i="11" s="1"/>
  <c r="G94" i="11" s="1"/>
  <c r="I94" i="11" s="1"/>
  <c r="Y94" i="11" s="1"/>
  <c r="H93" i="11" a="1"/>
  <c r="H93" i="11" s="1"/>
  <c r="D93" i="11" a="1"/>
  <c r="D93" i="11" s="1"/>
  <c r="G93" i="11" s="1"/>
  <c r="I93" i="11" s="1"/>
  <c r="Y93" i="11" s="1"/>
  <c r="H92" i="11" a="1"/>
  <c r="H92" i="11" s="1"/>
  <c r="D92" i="11" a="1"/>
  <c r="D92" i="11" s="1"/>
  <c r="G92" i="11" s="1"/>
  <c r="I92" i="11" s="1"/>
  <c r="Y92" i="11" s="1"/>
  <c r="H91" i="11" a="1"/>
  <c r="H91" i="11" s="1"/>
  <c r="D91" i="11" a="1"/>
  <c r="D91" i="11" s="1"/>
  <c r="G91" i="11" s="1"/>
  <c r="I91" i="11" s="1"/>
  <c r="Y91" i="11" s="1"/>
  <c r="H90" i="11" a="1"/>
  <c r="H90" i="11" s="1"/>
  <c r="D90" i="11" a="1"/>
  <c r="D90" i="11" s="1"/>
  <c r="G90" i="11" s="1"/>
  <c r="I90" i="11" s="1"/>
  <c r="Y90" i="11" s="1"/>
  <c r="H89" i="11" a="1"/>
  <c r="H89" i="11" s="1"/>
  <c r="D89" i="11" a="1"/>
  <c r="D89" i="11" s="1"/>
  <c r="G89" i="11" s="1"/>
  <c r="I89" i="11" s="1"/>
  <c r="Y89" i="11" s="1"/>
  <c r="H88" i="11" a="1"/>
  <c r="H88" i="11" s="1"/>
  <c r="D88" i="11" a="1"/>
  <c r="D88" i="11" s="1"/>
  <c r="G88" i="11" s="1"/>
  <c r="I88" i="11" s="1"/>
  <c r="Y88" i="11" s="1"/>
  <c r="H87" i="11" a="1"/>
  <c r="H87" i="11" s="1"/>
  <c r="D87" i="11" a="1"/>
  <c r="D87" i="11" s="1"/>
  <c r="G87" i="11" s="1"/>
  <c r="I87" i="11" s="1"/>
  <c r="Y87" i="11" s="1"/>
  <c r="H86" i="11" a="1"/>
  <c r="H86" i="11" s="1"/>
  <c r="D86" i="11" a="1"/>
  <c r="D86" i="11" s="1"/>
  <c r="G86" i="11" s="1"/>
  <c r="I86" i="11" s="1"/>
  <c r="Y86" i="11" s="1"/>
  <c r="H85" i="11" a="1"/>
  <c r="H85" i="11" s="1"/>
  <c r="D85" i="11" a="1"/>
  <c r="D85" i="11" s="1"/>
  <c r="G85" i="11" s="1"/>
  <c r="I85" i="11" s="1"/>
  <c r="Y85" i="11" s="1"/>
  <c r="H84" i="11" a="1"/>
  <c r="H84" i="11" s="1"/>
  <c r="D84" i="11" a="1"/>
  <c r="D84" i="11" s="1"/>
  <c r="G84" i="11" s="1"/>
  <c r="I84" i="11" s="1"/>
  <c r="Y84" i="11" s="1"/>
  <c r="H83" i="11" a="1"/>
  <c r="H83" i="11" s="1"/>
  <c r="D83" i="11" a="1"/>
  <c r="D83" i="11" s="1"/>
  <c r="G83" i="11" s="1"/>
  <c r="I83" i="11" s="1"/>
  <c r="Y83" i="11" s="1"/>
  <c r="H82" i="11" a="1"/>
  <c r="H82" i="11" s="1"/>
  <c r="D82" i="11" a="1"/>
  <c r="D82" i="11" s="1"/>
  <c r="G82" i="11" s="1"/>
  <c r="I82" i="11" s="1"/>
  <c r="Y82" i="11" s="1"/>
  <c r="H81" i="11" a="1"/>
  <c r="H81" i="11" s="1"/>
  <c r="D81" i="11" a="1"/>
  <c r="D81" i="11" s="1"/>
  <c r="G81" i="11" s="1"/>
  <c r="I81" i="11" s="1"/>
  <c r="Y81" i="11" s="1"/>
  <c r="H80" i="11" a="1"/>
  <c r="H80" i="11" s="1"/>
  <c r="D80" i="11" a="1"/>
  <c r="D80" i="11" s="1"/>
  <c r="G80" i="11" s="1"/>
  <c r="I80" i="11" s="1"/>
  <c r="Y80" i="11" s="1"/>
  <c r="H79" i="11" a="1"/>
  <c r="H79" i="11" s="1"/>
  <c r="D79" i="11" a="1"/>
  <c r="D79" i="11" s="1"/>
  <c r="G79" i="11" s="1"/>
  <c r="I79" i="11" s="1"/>
  <c r="Y79" i="11" s="1"/>
  <c r="H78" i="11" a="1"/>
  <c r="H78" i="11" s="1"/>
  <c r="D78" i="11" a="1"/>
  <c r="D78" i="11" s="1"/>
  <c r="G78" i="11" s="1"/>
  <c r="I78" i="11" s="1"/>
  <c r="Y78" i="11" s="1"/>
  <c r="H77" i="11" a="1"/>
  <c r="H77" i="11" s="1"/>
  <c r="D77" i="11" a="1"/>
  <c r="D77" i="11" s="1"/>
  <c r="G77" i="11" s="1"/>
  <c r="I77" i="11" s="1"/>
  <c r="Y77" i="11" s="1"/>
  <c r="H76" i="11" a="1"/>
  <c r="H76" i="11" s="1"/>
  <c r="D76" i="11" a="1"/>
  <c r="D76" i="11" s="1"/>
  <c r="G76" i="11" s="1"/>
  <c r="I76" i="11" s="1"/>
  <c r="Y76" i="11" s="1"/>
  <c r="H75" i="11" a="1"/>
  <c r="H75" i="11" s="1"/>
  <c r="D75" i="11" a="1"/>
  <c r="D75" i="11" s="1"/>
  <c r="G75" i="11" s="1"/>
  <c r="I75" i="11" s="1"/>
  <c r="Y75" i="11" s="1"/>
  <c r="H74" i="11" a="1"/>
  <c r="H74" i="11" s="1"/>
  <c r="D74" i="11" a="1"/>
  <c r="D74" i="11" s="1"/>
  <c r="G74" i="11" s="1"/>
  <c r="I74" i="11" s="1"/>
  <c r="Y74" i="11" s="1"/>
  <c r="H73" i="11" a="1"/>
  <c r="H73" i="11" s="1"/>
  <c r="D73" i="11" a="1"/>
  <c r="D73" i="11" s="1"/>
  <c r="G73" i="11" s="1"/>
  <c r="I73" i="11" s="1"/>
  <c r="Y73" i="11" s="1"/>
  <c r="H72" i="11" a="1"/>
  <c r="H72" i="11" s="1"/>
  <c r="D72" i="11" a="1"/>
  <c r="D72" i="11" s="1"/>
  <c r="G72" i="11" s="1"/>
  <c r="I72" i="11" s="1"/>
  <c r="Y72" i="11" s="1"/>
  <c r="H71" i="11" a="1"/>
  <c r="H71" i="11" s="1"/>
  <c r="D71" i="11" a="1"/>
  <c r="D71" i="11" s="1"/>
  <c r="G71" i="11" s="1"/>
  <c r="I71" i="11" s="1"/>
  <c r="Y71" i="11" s="1"/>
  <c r="H70" i="11" a="1"/>
  <c r="H70" i="11" s="1"/>
  <c r="D70" i="11" a="1"/>
  <c r="D70" i="11" s="1"/>
  <c r="G70" i="11" s="1"/>
  <c r="I70" i="11" s="1"/>
  <c r="Y70" i="11" s="1"/>
  <c r="H69" i="11" a="1"/>
  <c r="H69" i="11" s="1"/>
  <c r="D69" i="11" a="1"/>
  <c r="D69" i="11" s="1"/>
  <c r="G69" i="11" s="1"/>
  <c r="I69" i="11" s="1"/>
  <c r="Y69" i="11" s="1"/>
  <c r="H68" i="11" a="1"/>
  <c r="H68" i="11" s="1"/>
  <c r="D68" i="11" a="1"/>
  <c r="D68" i="11" s="1"/>
  <c r="G68" i="11" s="1"/>
  <c r="I68" i="11" s="1"/>
  <c r="Y68" i="11" s="1"/>
  <c r="H67" i="11" a="1"/>
  <c r="H67" i="11" s="1"/>
  <c r="D67" i="11" a="1"/>
  <c r="D67" i="11" s="1"/>
  <c r="G67" i="11" s="1"/>
  <c r="I67" i="11" s="1"/>
  <c r="Y67" i="11" s="1"/>
  <c r="H66" i="11" a="1"/>
  <c r="H66" i="11" s="1"/>
  <c r="D66" i="11" a="1"/>
  <c r="D66" i="11" s="1"/>
  <c r="G66" i="11" s="1"/>
  <c r="I66" i="11" s="1"/>
  <c r="Y66" i="11" s="1"/>
  <c r="H65" i="11" a="1"/>
  <c r="H65" i="11" s="1"/>
  <c r="D65" i="11" a="1"/>
  <c r="D65" i="11" s="1"/>
  <c r="G65" i="11" s="1"/>
  <c r="I65" i="11" s="1"/>
  <c r="Y65" i="11" s="1"/>
  <c r="H64" i="11" a="1"/>
  <c r="H64" i="11" s="1"/>
  <c r="D64" i="11" a="1"/>
  <c r="D64" i="11" s="1"/>
  <c r="G64" i="11" s="1"/>
  <c r="I64" i="11" s="1"/>
  <c r="Y64" i="11" s="1"/>
  <c r="H63" i="11" a="1"/>
  <c r="H63" i="11" s="1"/>
  <c r="D63" i="11" a="1"/>
  <c r="D63" i="11" s="1"/>
  <c r="G63" i="11" s="1"/>
  <c r="I63" i="11" s="1"/>
  <c r="Y63" i="11" s="1"/>
  <c r="H62" i="11" a="1"/>
  <c r="H62" i="11" s="1"/>
  <c r="D62" i="11" a="1"/>
  <c r="D62" i="11" s="1"/>
  <c r="G62" i="11" s="1"/>
  <c r="I62" i="11" s="1"/>
  <c r="Y62" i="11" s="1"/>
  <c r="H61" i="11" a="1"/>
  <c r="H61" i="11" s="1"/>
  <c r="D61" i="11" a="1"/>
  <c r="D61" i="11" s="1"/>
  <c r="G61" i="11" s="1"/>
  <c r="I61" i="11" s="1"/>
  <c r="Y61" i="11" s="1"/>
  <c r="H60" i="11" a="1"/>
  <c r="H60" i="11" s="1"/>
  <c r="D60" i="11" a="1"/>
  <c r="D60" i="11" s="1"/>
  <c r="G60" i="11" s="1"/>
  <c r="I60" i="11" s="1"/>
  <c r="Y60" i="11" s="1"/>
  <c r="H59" i="11" a="1"/>
  <c r="H59" i="11" s="1"/>
  <c r="D59" i="11" a="1"/>
  <c r="D59" i="11" s="1"/>
  <c r="G59" i="11" s="1"/>
  <c r="I59" i="11" s="1"/>
  <c r="Y59" i="11" s="1"/>
  <c r="H58" i="11" a="1"/>
  <c r="H58" i="11" s="1"/>
  <c r="D58" i="11" a="1"/>
  <c r="D58" i="11" s="1"/>
  <c r="G58" i="11" s="1"/>
  <c r="I58" i="11" s="1"/>
  <c r="Y58" i="11" s="1"/>
  <c r="H57" i="11" a="1"/>
  <c r="H57" i="11" s="1"/>
  <c r="D57" i="11" a="1"/>
  <c r="D57" i="11" s="1"/>
  <c r="G57" i="11" s="1"/>
  <c r="I57" i="11" s="1"/>
  <c r="Y57" i="11" s="1"/>
  <c r="H56" i="11" a="1"/>
  <c r="H56" i="11" s="1"/>
  <c r="D56" i="11" a="1"/>
  <c r="D56" i="11" s="1"/>
  <c r="G56" i="11" s="1"/>
  <c r="I56" i="11" s="1"/>
  <c r="Y56" i="11" s="1"/>
  <c r="H55" i="11" a="1"/>
  <c r="H55" i="11" s="1"/>
  <c r="D55" i="11" a="1"/>
  <c r="D55" i="11" s="1"/>
  <c r="G55" i="11" s="1"/>
  <c r="I55" i="11" s="1"/>
  <c r="Y55" i="11" s="1"/>
  <c r="H54" i="11" a="1"/>
  <c r="H54" i="11" s="1"/>
  <c r="D54" i="11" a="1"/>
  <c r="D54" i="11" s="1"/>
  <c r="G54" i="11" s="1"/>
  <c r="I54" i="11" s="1"/>
  <c r="Y54" i="11" s="1"/>
  <c r="H53" i="11" a="1"/>
  <c r="H53" i="11" s="1"/>
  <c r="D53" i="11" a="1"/>
  <c r="D53" i="11" s="1"/>
  <c r="G53" i="11" s="1"/>
  <c r="I53" i="11" s="1"/>
  <c r="Y53" i="11" s="1"/>
  <c r="H52" i="11" a="1"/>
  <c r="H52" i="11" s="1"/>
  <c r="D52" i="11" a="1"/>
  <c r="D52" i="11" s="1"/>
  <c r="G52" i="11" s="1"/>
  <c r="I52" i="11" s="1"/>
  <c r="Y52" i="11" s="1"/>
  <c r="H51" i="11" a="1"/>
  <c r="H51" i="11" s="1"/>
  <c r="D51" i="11" a="1"/>
  <c r="D51" i="11" s="1"/>
  <c r="G51" i="11" s="1"/>
  <c r="I51" i="11" s="1"/>
  <c r="Y51" i="11" s="1"/>
  <c r="H50" i="11" a="1"/>
  <c r="H50" i="11" s="1"/>
  <c r="D50" i="11" a="1"/>
  <c r="D50" i="11" s="1"/>
  <c r="G50" i="11" s="1"/>
  <c r="I50" i="11" s="1"/>
  <c r="Y50" i="11" s="1"/>
  <c r="H49" i="11" a="1"/>
  <c r="H49" i="11" s="1"/>
  <c r="D49" i="11" a="1"/>
  <c r="D49" i="11" s="1"/>
  <c r="G49" i="11" s="1"/>
  <c r="I49" i="11" s="1"/>
  <c r="Y49" i="11" s="1"/>
  <c r="H48" i="11" a="1"/>
  <c r="H48" i="11" s="1"/>
  <c r="D48" i="11" a="1"/>
  <c r="D48" i="11" s="1"/>
  <c r="G48" i="11" s="1"/>
  <c r="I48" i="11" s="1"/>
  <c r="Y48" i="11" s="1"/>
  <c r="H47" i="11" a="1"/>
  <c r="H47" i="11" s="1"/>
  <c r="D47" i="11" a="1"/>
  <c r="D47" i="11" s="1"/>
  <c r="G47" i="11" s="1"/>
  <c r="I47" i="11" s="1"/>
  <c r="Y47" i="11" s="1"/>
  <c r="H46" i="11" a="1"/>
  <c r="H46" i="11" s="1"/>
  <c r="D46" i="11" a="1"/>
  <c r="D46" i="11" s="1"/>
  <c r="G46" i="11" s="1"/>
  <c r="I46" i="11" s="1"/>
  <c r="Y46" i="11" s="1"/>
  <c r="H45" i="11" a="1"/>
  <c r="H45" i="11" s="1"/>
  <c r="D45" i="11" a="1"/>
  <c r="D45" i="11" s="1"/>
  <c r="G45" i="11" s="1"/>
  <c r="I45" i="11" s="1"/>
  <c r="Y45" i="11" s="1"/>
  <c r="H44" i="11" a="1"/>
  <c r="H44" i="11" s="1"/>
  <c r="D44" i="11" a="1"/>
  <c r="D44" i="11" s="1"/>
  <c r="G44" i="11" s="1"/>
  <c r="I44" i="11" s="1"/>
  <c r="Y44" i="11" s="1"/>
  <c r="H43" i="11" a="1"/>
  <c r="H43" i="11" s="1"/>
  <c r="D43" i="11" a="1"/>
  <c r="D43" i="11" s="1"/>
  <c r="G43" i="11" s="1"/>
  <c r="I43" i="11" s="1"/>
  <c r="Y43" i="11" s="1"/>
  <c r="H42" i="11" a="1"/>
  <c r="H42" i="11" s="1"/>
  <c r="D42" i="11" a="1"/>
  <c r="D42" i="11" s="1"/>
  <c r="G42" i="11" s="1"/>
  <c r="I42" i="11" s="1"/>
  <c r="Y42" i="11" s="1"/>
  <c r="H41" i="11" a="1"/>
  <c r="H41" i="11" s="1"/>
  <c r="D41" i="11" a="1"/>
  <c r="D41" i="11" s="1"/>
  <c r="G41" i="11" s="1"/>
  <c r="I41" i="11" s="1"/>
  <c r="Y41" i="11" s="1"/>
  <c r="H40" i="11" a="1"/>
  <c r="H40" i="11" s="1"/>
  <c r="D40" i="11" a="1"/>
  <c r="D40" i="11" s="1"/>
  <c r="G40" i="11" s="1"/>
  <c r="I40" i="11" s="1"/>
  <c r="Y40" i="11" s="1"/>
  <c r="H39" i="11" a="1"/>
  <c r="H39" i="11" s="1"/>
  <c r="D39" i="11" a="1"/>
  <c r="D39" i="11" s="1"/>
  <c r="G39" i="11" s="1"/>
  <c r="I39" i="11" s="1"/>
  <c r="Y39" i="11" s="1"/>
  <c r="H38" i="11" a="1"/>
  <c r="H38" i="11" s="1"/>
  <c r="D38" i="11" a="1"/>
  <c r="D38" i="11" s="1"/>
  <c r="G38" i="11" s="1"/>
  <c r="I38" i="11" s="1"/>
  <c r="Y38" i="11" s="1"/>
  <c r="H37" i="11" a="1"/>
  <c r="H37" i="11" s="1"/>
  <c r="D37" i="11" a="1"/>
  <c r="D37" i="11" s="1"/>
  <c r="G37" i="11" s="1"/>
  <c r="I37" i="11" s="1"/>
  <c r="Y37" i="11" s="1"/>
  <c r="H36" i="11" a="1"/>
  <c r="H36" i="11" s="1"/>
  <c r="D36" i="11" a="1"/>
  <c r="D36" i="11" s="1"/>
  <c r="G36" i="11" s="1"/>
  <c r="I36" i="11" s="1"/>
  <c r="Y36" i="11" s="1"/>
  <c r="H35" i="11" a="1"/>
  <c r="H35" i="11" s="1"/>
  <c r="D35" i="11" a="1"/>
  <c r="D35" i="11" s="1"/>
  <c r="G35" i="11" s="1"/>
  <c r="I35" i="11" s="1"/>
  <c r="Y35" i="11" s="1"/>
  <c r="H34" i="11" a="1"/>
  <c r="H34" i="11" s="1"/>
  <c r="D34" i="11" a="1"/>
  <c r="D34" i="11" s="1"/>
  <c r="G34" i="11" s="1"/>
  <c r="I34" i="11" s="1"/>
  <c r="Y34" i="11" s="1"/>
  <c r="H33" i="11" a="1"/>
  <c r="H33" i="11" s="1"/>
  <c r="D33" i="11" a="1"/>
  <c r="D33" i="11" s="1"/>
  <c r="G33" i="11" s="1"/>
  <c r="I33" i="11" s="1"/>
  <c r="Y33" i="11" s="1"/>
  <c r="H32" i="11" a="1"/>
  <c r="H32" i="11" s="1"/>
  <c r="D32" i="11" a="1"/>
  <c r="D32" i="11" s="1"/>
  <c r="G32" i="11" s="1"/>
  <c r="I32" i="11" s="1"/>
  <c r="Y32" i="11" s="1"/>
  <c r="H31" i="11" a="1"/>
  <c r="H31" i="11" s="1"/>
  <c r="D31" i="11" a="1"/>
  <c r="D31" i="11" s="1"/>
  <c r="G31" i="11" s="1"/>
  <c r="I31" i="11" s="1"/>
  <c r="Y31" i="11" s="1"/>
  <c r="H30" i="11" a="1"/>
  <c r="H30" i="11" s="1"/>
  <c r="D30" i="11" a="1"/>
  <c r="D30" i="11" s="1"/>
  <c r="G30" i="11" s="1"/>
  <c r="I30" i="11" s="1"/>
  <c r="Y30" i="11" s="1"/>
  <c r="H29" i="11" a="1"/>
  <c r="H29" i="11" s="1"/>
  <c r="D29" i="11" a="1"/>
  <c r="D29" i="11" s="1"/>
  <c r="G29" i="11" s="1"/>
  <c r="I29" i="11" s="1"/>
  <c r="Y29" i="11" s="1"/>
  <c r="H28" i="11" a="1"/>
  <c r="H28" i="11" s="1"/>
  <c r="D28" i="11" a="1"/>
  <c r="D28" i="11" s="1"/>
  <c r="G28" i="11" s="1"/>
  <c r="I28" i="11" s="1"/>
  <c r="Y28" i="11" s="1"/>
  <c r="H27" i="11" a="1"/>
  <c r="H27" i="11" s="1"/>
  <c r="D27" i="11" a="1"/>
  <c r="D27" i="11" s="1"/>
  <c r="G27" i="11" s="1"/>
  <c r="I27" i="11" s="1"/>
  <c r="Y27" i="11" s="1"/>
  <c r="H26" i="11" a="1"/>
  <c r="H26" i="11" s="1"/>
  <c r="D26" i="11" a="1"/>
  <c r="D26" i="11" s="1"/>
  <c r="G26" i="11" s="1"/>
  <c r="I26" i="11" s="1"/>
  <c r="Y26" i="11" s="1"/>
  <c r="H25" i="11" a="1"/>
  <c r="H25" i="11" s="1"/>
  <c r="D25" i="11" a="1"/>
  <c r="D25" i="11" s="1"/>
  <c r="AI20" i="11"/>
  <c r="AI19" i="11"/>
  <c r="AI18" i="11"/>
  <c r="AI16" i="11"/>
  <c r="AI15" i="11"/>
  <c r="AI14" i="11"/>
  <c r="AI13" i="11"/>
  <c r="AI11" i="11"/>
  <c r="AI9" i="11"/>
  <c r="AI8" i="11"/>
  <c r="P306" i="9" l="1"/>
  <c r="Q306" i="9" s="1"/>
  <c r="P307" i="9"/>
  <c r="Q307" i="9" s="1"/>
  <c r="V306" i="9"/>
  <c r="G25" i="11"/>
  <c r="M19" i="11" s="1"/>
  <c r="M7" i="11"/>
  <c r="M17" i="11"/>
  <c r="M18" i="11"/>
  <c r="M14" i="11"/>
  <c r="W307" i="9" l="1"/>
  <c r="X307" i="9" s="1"/>
  <c r="J307" i="9" s="1"/>
  <c r="M307" i="9" s="1"/>
  <c r="N307" i="9" s="1"/>
  <c r="W306" i="9"/>
  <c r="X306" i="9" s="1"/>
  <c r="J306" i="9" s="1"/>
  <c r="M306" i="9" s="1"/>
  <c r="N306" i="9" s="1"/>
  <c r="H308" i="9" s="1"/>
  <c r="M10" i="11"/>
  <c r="M9" i="11"/>
  <c r="M16" i="11"/>
  <c r="M13" i="11"/>
  <c r="M12" i="11"/>
  <c r="M15" i="11"/>
  <c r="M8" i="11"/>
  <c r="M11" i="11"/>
  <c r="M20" i="11"/>
  <c r="I25" i="11"/>
  <c r="P309" i="9" l="1"/>
  <c r="P308" i="9"/>
  <c r="Q308" i="9" s="1"/>
  <c r="H309" i="9"/>
  <c r="K153" i="11"/>
  <c r="V308" i="9"/>
  <c r="P153" i="11"/>
  <c r="A9" i="8"/>
  <c r="C12" i="7"/>
  <c r="E10" i="7"/>
  <c r="B7" i="7"/>
  <c r="B9" i="7"/>
  <c r="D7" i="7"/>
  <c r="C13" i="7"/>
  <c r="D8" i="7"/>
  <c r="D10" i="7"/>
  <c r="F6" i="7"/>
  <c r="E20" i="7" s="1"/>
  <c r="D11" i="7"/>
  <c r="C7" i="7"/>
  <c r="B12" i="7"/>
  <c r="E7" i="7"/>
  <c r="C8" i="7"/>
  <c r="B13" i="7"/>
  <c r="F11" i="7"/>
  <c r="B8" i="7"/>
  <c r="E6" i="7"/>
  <c r="B20" i="7" s="1"/>
  <c r="E8" i="7"/>
  <c r="C6" i="7"/>
  <c r="F20" i="7" s="1"/>
  <c r="C11" i="7"/>
  <c r="F9" i="7"/>
  <c r="F8" i="7"/>
  <c r="D12" i="7"/>
  <c r="F12" i="7"/>
  <c r="Y25" i="11"/>
  <c r="C9" i="7"/>
  <c r="D6" i="7"/>
  <c r="D20" i="7" s="1"/>
  <c r="B11" i="7"/>
  <c r="E12" i="7"/>
  <c r="E9" i="7"/>
  <c r="B6" i="7"/>
  <c r="C20" i="7" s="1"/>
  <c r="C10" i="7"/>
  <c r="F7" i="7"/>
  <c r="D9" i="7"/>
  <c r="F10" i="7"/>
  <c r="D13" i="7"/>
  <c r="E11" i="7"/>
  <c r="E13" i="7"/>
  <c r="B10" i="7"/>
  <c r="F13" i="7"/>
  <c r="B29" i="7"/>
  <c r="W308" i="9" l="1"/>
  <c r="X308" i="9" s="1"/>
  <c r="W309" i="9"/>
  <c r="Q309" i="9"/>
  <c r="V309" i="9"/>
  <c r="J308" i="9" l="1"/>
  <c r="M308" i="9" s="1"/>
  <c r="N308" i="9" s="1"/>
  <c r="H310" i="9" s="1"/>
  <c r="X309" i="9"/>
  <c r="J309" i="9" s="1"/>
  <c r="M309" i="9" s="1"/>
  <c r="N309" i="9" s="1"/>
  <c r="H311" i="9"/>
  <c r="K154" i="11"/>
  <c r="P154" i="11"/>
  <c r="P310" i="9" l="1"/>
  <c r="Q310" i="9" s="1"/>
  <c r="P311" i="9"/>
  <c r="Q311" i="9" s="1"/>
  <c r="V310" i="9"/>
  <c r="V311" i="9"/>
  <c r="Q50" i="10"/>
  <c r="P50" i="10"/>
  <c r="W310" i="9" l="1"/>
  <c r="X310" i="9" s="1"/>
  <c r="J310" i="9" s="1"/>
  <c r="M310" i="9" s="1"/>
  <c r="W311" i="9"/>
  <c r="X311" i="9" s="1"/>
  <c r="J311" i="9" s="1"/>
  <c r="M311" i="9" s="1"/>
  <c r="N311" i="9" s="1"/>
  <c r="H313" i="9" s="1"/>
  <c r="R50" i="10"/>
  <c r="P313" i="9" l="1"/>
  <c r="Q313" i="9" s="1"/>
  <c r="P312" i="9"/>
  <c r="V313" i="9"/>
  <c r="K155" i="11"/>
  <c r="N310" i="9"/>
  <c r="H312" i="9" s="1"/>
  <c r="W312" i="9" l="1"/>
  <c r="W313" i="9"/>
  <c r="X313" i="9" s="1"/>
  <c r="Q312" i="9"/>
  <c r="V312" i="9"/>
  <c r="P155" i="11"/>
  <c r="X312" i="9" l="1"/>
  <c r="J312" i="9" s="1"/>
  <c r="M312" i="9" s="1"/>
  <c r="N312" i="9" s="1"/>
  <c r="H314" i="9" s="1"/>
  <c r="J313" i="9"/>
  <c r="M313" i="9" s="1"/>
  <c r="N313" i="9" s="1"/>
  <c r="H315" i="9" s="1"/>
  <c r="K156" i="11"/>
  <c r="P315" i="9" l="1"/>
  <c r="Q315" i="9" s="1"/>
  <c r="P314" i="9"/>
  <c r="Q314" i="9" s="1"/>
  <c r="V315" i="9"/>
  <c r="V314" i="9"/>
  <c r="P156" i="11"/>
  <c r="W314" i="9" l="1"/>
  <c r="X314" i="9" s="1"/>
  <c r="J314" i="9" s="1"/>
  <c r="M314" i="9" s="1"/>
  <c r="W315" i="9"/>
  <c r="X315" i="9" s="1"/>
  <c r="J315" i="9" l="1"/>
  <c r="M315" i="9" s="1"/>
  <c r="N315" i="9" s="1"/>
  <c r="H317" i="9"/>
  <c r="K157" i="11"/>
  <c r="N314" i="9"/>
  <c r="P157" i="11"/>
  <c r="V317" i="9" l="1"/>
  <c r="H316" i="9"/>
  <c r="P317" i="9" s="1"/>
  <c r="Q317" i="9" s="1"/>
  <c r="P316" i="9" l="1"/>
  <c r="Q316" i="9" s="1"/>
  <c r="U158" i="11"/>
  <c r="B12" i="12"/>
  <c r="V316" i="9"/>
  <c r="W316" i="9" s="1"/>
  <c r="W317" i="9" l="1"/>
  <c r="X317" i="9" s="1"/>
  <c r="J317" i="9" s="1"/>
  <c r="M317" i="9" s="1"/>
  <c r="F77" i="6"/>
  <c r="S77" i="6" s="1"/>
  <c r="N2" i="12"/>
  <c r="B17" i="11"/>
  <c r="S17" i="11" s="1"/>
  <c r="X316" i="9"/>
  <c r="J316" i="9" s="1"/>
  <c r="M316" i="9" s="1"/>
  <c r="N316" i="9" l="1"/>
  <c r="N317" i="9"/>
  <c r="H319" i="9" s="1"/>
  <c r="W17" i="11"/>
  <c r="AI17" i="11"/>
  <c r="P158" i="11"/>
  <c r="P319" i="9" l="1"/>
  <c r="Q319" i="9" s="1"/>
  <c r="P318" i="9"/>
  <c r="V319" i="9"/>
  <c r="H318" i="9"/>
  <c r="K158" i="11"/>
  <c r="W319" i="9" l="1"/>
  <c r="X319" i="9" s="1"/>
  <c r="W318" i="9"/>
  <c r="V318" i="9"/>
  <c r="Q318" i="9"/>
  <c r="J319" i="9" l="1"/>
  <c r="M319" i="9" s="1"/>
  <c r="N319" i="9" s="1"/>
  <c r="X318" i="9"/>
  <c r="J318" i="9" s="1"/>
  <c r="M318" i="9" s="1"/>
  <c r="N318" i="9" s="1"/>
  <c r="H321" i="9" l="1"/>
  <c r="H320" i="9"/>
  <c r="K159" i="11"/>
  <c r="P159" i="11"/>
  <c r="P321" i="9" l="1"/>
  <c r="Q321" i="9" s="1"/>
  <c r="P320" i="9"/>
  <c r="Q320" i="9" s="1"/>
  <c r="V321" i="9"/>
  <c r="V320" i="9"/>
  <c r="W321" i="9" l="1"/>
  <c r="X321" i="9" s="1"/>
  <c r="J321" i="9" s="1"/>
  <c r="M321" i="9" s="1"/>
  <c r="N321" i="9" s="1"/>
  <c r="W320" i="9"/>
  <c r="X320" i="9" s="1"/>
  <c r="J320" i="9" s="1"/>
  <c r="M320" i="9" s="1"/>
  <c r="H323" i="9" l="1"/>
  <c r="N320" i="9"/>
  <c r="K160" i="11"/>
  <c r="P160" i="11"/>
  <c r="P323" i="9" l="1"/>
  <c r="Q323" i="9" s="1"/>
  <c r="P322" i="9"/>
  <c r="V323" i="9"/>
  <c r="H322" i="9"/>
  <c r="W323" i="9" l="1"/>
  <c r="X323" i="9" s="1"/>
  <c r="W322" i="9"/>
  <c r="Q322" i="9"/>
  <c r="V322" i="9"/>
  <c r="J323" i="9" l="1"/>
  <c r="M323" i="9" s="1"/>
  <c r="N323" i="9" s="1"/>
  <c r="X322" i="9"/>
  <c r="J322" i="9" s="1"/>
  <c r="M322" i="9" s="1"/>
  <c r="N322" i="9" s="1"/>
  <c r="H325" i="9" l="1"/>
  <c r="H324" i="9"/>
  <c r="K161" i="11"/>
  <c r="P161" i="11"/>
  <c r="P325" i="9" l="1"/>
  <c r="Q325" i="9" s="1"/>
  <c r="P324" i="9"/>
  <c r="Q324" i="9" s="1"/>
  <c r="V325" i="9"/>
  <c r="V324" i="9"/>
  <c r="W325" i="9" l="1"/>
  <c r="X325" i="9" s="1"/>
  <c r="J325" i="9" s="1"/>
  <c r="M325" i="9" s="1"/>
  <c r="N325" i="9" s="1"/>
  <c r="W324" i="9"/>
  <c r="X324" i="9" s="1"/>
  <c r="J324" i="9" s="1"/>
  <c r="M324" i="9" s="1"/>
  <c r="H327" i="9" l="1"/>
  <c r="N324" i="9"/>
  <c r="K162" i="11"/>
  <c r="P162" i="11"/>
  <c r="V327" i="9" l="1"/>
  <c r="H326" i="9"/>
  <c r="P328" i="9" l="1"/>
  <c r="Q328" i="9" s="1"/>
  <c r="P326" i="9"/>
  <c r="Q326" i="9" s="1"/>
  <c r="P327" i="9"/>
  <c r="Q327" i="9" s="1"/>
  <c r="V326" i="9"/>
  <c r="W326" i="9" l="1"/>
  <c r="X326" i="9" s="1"/>
  <c r="J326" i="9" s="1"/>
  <c r="M326" i="9" s="1"/>
  <c r="W327" i="9"/>
  <c r="X327" i="9" s="1"/>
  <c r="J327" i="9" s="1"/>
  <c r="M327" i="9" s="1"/>
  <c r="N327" i="9" s="1"/>
  <c r="W328" i="9"/>
  <c r="X328" i="9" s="1"/>
  <c r="J328" i="9" s="1"/>
  <c r="M328" i="9" s="1"/>
  <c r="N328" i="9" s="1"/>
  <c r="B18" i="7" l="1"/>
  <c r="H19" i="7"/>
  <c r="E19" i="7" s="1"/>
  <c r="N326" i="9"/>
  <c r="B19" i="7"/>
  <c r="H18" i="7"/>
  <c r="E18" i="7" s="1"/>
  <c r="B2" i="12"/>
  <c r="K163" i="11"/>
  <c r="N163" i="11"/>
  <c r="B5" i="12"/>
  <c r="B7" i="12"/>
  <c r="B17" i="7"/>
  <c r="H17" i="7"/>
  <c r="P163" i="11"/>
  <c r="F19" i="7"/>
  <c r="C18" i="7" l="1"/>
  <c r="D18" i="7"/>
  <c r="G2" i="12"/>
  <c r="B10" i="11"/>
  <c r="S10" i="11" s="1"/>
  <c r="F86" i="6"/>
  <c r="S86" i="6" s="1"/>
  <c r="F79" i="6"/>
  <c r="S79" i="6" s="1"/>
  <c r="D2" i="12"/>
  <c r="B7" i="11"/>
  <c r="S7" i="11" s="1"/>
  <c r="F18" i="7"/>
  <c r="C19" i="7"/>
  <c r="D19" i="7"/>
  <c r="E17" i="7"/>
  <c r="C17" i="7"/>
  <c r="F17" i="7" s="1"/>
  <c r="D17" i="7"/>
  <c r="I2" i="12"/>
  <c r="B12" i="11"/>
  <c r="F80" i="6"/>
  <c r="S80" i="6" s="1"/>
  <c r="W7" i="11" l="1"/>
  <c r="AI7" i="11"/>
  <c r="W10" i="11"/>
  <c r="AI10" i="11"/>
  <c r="C4" i="6"/>
  <c r="A6" i="2"/>
  <c r="A5" i="2"/>
  <c r="B28" i="7" s="1"/>
  <c r="E10" i="11"/>
  <c r="E7" i="11"/>
  <c r="D13" i="11"/>
  <c r="L13" i="11" s="1"/>
  <c r="D9" i="11"/>
  <c r="L9" i="11" s="1"/>
  <c r="D12" i="11"/>
  <c r="L12" i="11" s="1"/>
  <c r="E18" i="11"/>
  <c r="D10" i="11"/>
  <c r="L10" i="11" s="1"/>
  <c r="S12" i="11"/>
  <c r="D17" i="11"/>
  <c r="L17" i="11" s="1"/>
  <c r="E8" i="11"/>
  <c r="E14" i="11"/>
  <c r="D19" i="8"/>
  <c r="E15" i="11"/>
  <c r="C17" i="8"/>
  <c r="B19" i="8"/>
  <c r="D18" i="8"/>
  <c r="D16" i="11"/>
  <c r="L16" i="11" s="1"/>
  <c r="E16" i="11"/>
  <c r="E9" i="11"/>
  <c r="E12" i="11"/>
  <c r="B15" i="4" s="1"/>
  <c r="D15" i="11"/>
  <c r="L15" i="11" s="1"/>
  <c r="E13" i="11"/>
  <c r="C19" i="8"/>
  <c r="D11" i="11"/>
  <c r="L11" i="11" s="1"/>
  <c r="D14" i="11"/>
  <c r="L14" i="11" s="1"/>
  <c r="D18" i="11"/>
  <c r="L18" i="11" s="1"/>
  <c r="D20" i="11"/>
  <c r="L20" i="11" s="1"/>
  <c r="B17" i="8"/>
  <c r="B18" i="8"/>
  <c r="D19" i="11"/>
  <c r="L19" i="11" s="1"/>
  <c r="E17" i="11"/>
  <c r="C18" i="8"/>
  <c r="E11" i="11"/>
  <c r="D7" i="11"/>
  <c r="L7" i="11" s="1"/>
  <c r="D8" i="11"/>
  <c r="L8" i="11" s="1"/>
  <c r="A5" i="8"/>
  <c r="E19" i="11"/>
  <c r="E20" i="11"/>
  <c r="C13" i="12"/>
  <c r="C18" i="11" s="1"/>
  <c r="AA18" i="11" s="1"/>
  <c r="C3" i="12"/>
  <c r="C8" i="11" s="1"/>
  <c r="AA8" i="11" s="1"/>
  <c r="C14" i="12"/>
  <c r="C19" i="11" s="1"/>
  <c r="AA19" i="11" s="1"/>
  <c r="C12" i="12"/>
  <c r="C17" i="11" s="1"/>
  <c r="AA17" i="11" s="1"/>
  <c r="C5" i="12"/>
  <c r="C10" i="11" s="1"/>
  <c r="AA10" i="11" s="1"/>
  <c r="C6" i="12"/>
  <c r="C11" i="11" s="1"/>
  <c r="AA11" i="11" s="1"/>
  <c r="C15" i="12"/>
  <c r="C20" i="11" s="1"/>
  <c r="AA20" i="11" s="1"/>
  <c r="C4" i="12"/>
  <c r="C9" i="11" s="1"/>
  <c r="AA9" i="11" s="1"/>
  <c r="C10" i="12"/>
  <c r="C15" i="11" s="1"/>
  <c r="AA15" i="11" s="1"/>
  <c r="C9" i="12"/>
  <c r="C14" i="11" s="1"/>
  <c r="AA14" i="11" s="1"/>
  <c r="C2" i="12"/>
  <c r="C7" i="11" s="1"/>
  <c r="AA7" i="11" s="1"/>
  <c r="C7" i="12"/>
  <c r="C12" i="11" s="1"/>
  <c r="C11" i="12"/>
  <c r="C16" i="11" s="1"/>
  <c r="AA16" i="11" s="1"/>
  <c r="C8" i="12"/>
  <c r="C13" i="11" s="1"/>
  <c r="AA13" i="11" s="1"/>
  <c r="W12" i="11" l="1"/>
  <c r="B24" i="4" s="1"/>
  <c r="AI12" i="11"/>
  <c r="B12" i="4"/>
  <c r="AA12" i="11"/>
  <c r="B28" i="4" s="1"/>
  <c r="A8" i="8"/>
  <c r="B10" i="3" l="1"/>
  <c r="B11" i="3"/>
  <c r="B8" i="3"/>
  <c r="B9" i="3"/>
  <c r="B13" i="3"/>
  <c r="B14" i="3"/>
  <c r="B15" i="3"/>
  <c r="B6" i="3"/>
  <c r="B16" i="3"/>
  <c r="B18" i="3"/>
  <c r="B12" i="3"/>
  <c r="B5" i="3"/>
  <c r="B17" i="3"/>
  <c r="B7" i="3"/>
  <c r="J16" i="3" l="1"/>
  <c r="V16" i="3"/>
  <c r="X16" i="3"/>
  <c r="H16" i="3"/>
  <c r="K16" i="3"/>
  <c r="E16" i="3"/>
  <c r="P16" i="3"/>
  <c r="D16" i="3"/>
  <c r="Q16" i="3"/>
  <c r="T16" i="3"/>
  <c r="C16" i="3"/>
  <c r="U16" i="3" s="1"/>
  <c r="O16" i="3"/>
  <c r="R16" i="3"/>
  <c r="M16" i="3"/>
  <c r="S16" i="3"/>
  <c r="I16" i="3"/>
  <c r="V5" i="3"/>
  <c r="O5" i="3"/>
  <c r="X5" i="3"/>
  <c r="H5" i="3"/>
  <c r="M5" i="3"/>
  <c r="Q5" i="3"/>
  <c r="B5" i="4"/>
  <c r="I5" i="3"/>
  <c r="K5" i="3"/>
  <c r="Y15" i="11" s="1"/>
  <c r="R5" i="3"/>
  <c r="D5" i="3"/>
  <c r="E5" i="3"/>
  <c r="P5" i="3"/>
  <c r="J5" i="3"/>
  <c r="C5" i="3"/>
  <c r="S5" i="3"/>
  <c r="T5" i="3"/>
  <c r="S15" i="3"/>
  <c r="M15" i="3"/>
  <c r="V15" i="3"/>
  <c r="I15" i="3"/>
  <c r="E15" i="3"/>
  <c r="R15" i="3"/>
  <c r="X15" i="3"/>
  <c r="D15" i="3"/>
  <c r="B10" i="4" s="1"/>
  <c r="C15" i="3"/>
  <c r="U15" i="3" s="1"/>
  <c r="O15" i="3"/>
  <c r="J15" i="3"/>
  <c r="H15" i="3"/>
  <c r="T15" i="3"/>
  <c r="Q15" i="3"/>
  <c r="P15" i="3"/>
  <c r="K15" i="3"/>
  <c r="Y20" i="11" s="1"/>
  <c r="V13" i="3"/>
  <c r="D13" i="3"/>
  <c r="K13" i="3"/>
  <c r="E13" i="3"/>
  <c r="I13" i="3"/>
  <c r="Q13" i="3"/>
  <c r="H13" i="3"/>
  <c r="X13" i="3"/>
  <c r="C13" i="3"/>
  <c r="U13" i="3" s="1"/>
  <c r="S13" i="3"/>
  <c r="P13" i="3"/>
  <c r="T13" i="3"/>
  <c r="O13" i="3"/>
  <c r="M13" i="3"/>
  <c r="R13" i="3"/>
  <c r="J13" i="3"/>
  <c r="P12" i="3"/>
  <c r="T12" i="3"/>
  <c r="O12" i="3"/>
  <c r="J12" i="3"/>
  <c r="R12" i="3"/>
  <c r="S12" i="3"/>
  <c r="V12" i="3"/>
  <c r="X12" i="3"/>
  <c r="M12" i="3"/>
  <c r="E12" i="3"/>
  <c r="H12" i="3"/>
  <c r="C12" i="3"/>
  <c r="U12" i="3" s="1"/>
  <c r="D12" i="3"/>
  <c r="K12" i="3"/>
  <c r="AE19" i="11" s="1"/>
  <c r="Q12" i="3"/>
  <c r="I12" i="3"/>
  <c r="H9" i="3"/>
  <c r="R9" i="3"/>
  <c r="T9" i="3"/>
  <c r="P9" i="3"/>
  <c r="C9" i="3"/>
  <c r="U9" i="3" s="1"/>
  <c r="I9" i="3"/>
  <c r="S9" i="3"/>
  <c r="O9" i="3"/>
  <c r="D9" i="3"/>
  <c r="AD17" i="11" s="1"/>
  <c r="Q9" i="3"/>
  <c r="V9" i="3"/>
  <c r="K9" i="3"/>
  <c r="Y17" i="11" s="1"/>
  <c r="X9" i="3"/>
  <c r="M9" i="3"/>
  <c r="E9" i="3"/>
  <c r="J9" i="3"/>
  <c r="J8" i="3"/>
  <c r="R8" i="3"/>
  <c r="O8" i="3"/>
  <c r="C8" i="3"/>
  <c r="U8" i="3" s="1"/>
  <c r="M8" i="3"/>
  <c r="T8" i="3"/>
  <c r="P8" i="3"/>
  <c r="D8" i="3"/>
  <c r="K8" i="3"/>
  <c r="Y13" i="11" s="1"/>
  <c r="H8" i="3"/>
  <c r="Q8" i="3"/>
  <c r="S8" i="3"/>
  <c r="X8" i="3"/>
  <c r="V8" i="3"/>
  <c r="E8" i="3"/>
  <c r="I8" i="3"/>
  <c r="E17" i="3"/>
  <c r="J17" i="3"/>
  <c r="I17" i="3"/>
  <c r="T17" i="3"/>
  <c r="M17" i="3"/>
  <c r="D17" i="3"/>
  <c r="H17" i="3"/>
  <c r="Q17" i="3"/>
  <c r="V17" i="3"/>
  <c r="S17" i="3"/>
  <c r="C17" i="3"/>
  <c r="U17" i="3" s="1"/>
  <c r="P17" i="3"/>
  <c r="X17" i="3"/>
  <c r="R17" i="3"/>
  <c r="O17" i="3"/>
  <c r="K17" i="3"/>
  <c r="Y10" i="11" s="1"/>
  <c r="Q6" i="3"/>
  <c r="I6" i="3"/>
  <c r="S6" i="3"/>
  <c r="E6" i="3"/>
  <c r="V6" i="3"/>
  <c r="K6" i="3"/>
  <c r="J6" i="3"/>
  <c r="T6" i="3"/>
  <c r="D6" i="3"/>
  <c r="O6" i="3"/>
  <c r="R6" i="3"/>
  <c r="X6" i="3"/>
  <c r="P6" i="3"/>
  <c r="M6" i="3"/>
  <c r="H6" i="3"/>
  <c r="C6" i="3"/>
  <c r="U6" i="3" s="1"/>
  <c r="C11" i="3"/>
  <c r="U11" i="3" s="1"/>
  <c r="X11" i="3"/>
  <c r="D11" i="3"/>
  <c r="J11" i="3"/>
  <c r="S11" i="3"/>
  <c r="H11" i="3"/>
  <c r="P11" i="3"/>
  <c r="M11" i="3"/>
  <c r="T11" i="3"/>
  <c r="V11" i="3"/>
  <c r="Q11" i="3"/>
  <c r="I11" i="3"/>
  <c r="K11" i="3"/>
  <c r="R11" i="3"/>
  <c r="E11" i="3"/>
  <c r="O11" i="3"/>
  <c r="S7" i="3"/>
  <c r="C7" i="3"/>
  <c r="U7" i="3" s="1"/>
  <c r="R7" i="3"/>
  <c r="V7" i="3"/>
  <c r="X7" i="3"/>
  <c r="P7" i="3"/>
  <c r="J7" i="3"/>
  <c r="Q7" i="3"/>
  <c r="T7" i="3"/>
  <c r="H7" i="3"/>
  <c r="K7" i="3"/>
  <c r="AE7" i="11" s="1"/>
  <c r="E7" i="3"/>
  <c r="D7" i="3"/>
  <c r="M7" i="3"/>
  <c r="O7" i="3"/>
  <c r="I7" i="3"/>
  <c r="I18" i="3"/>
  <c r="C18" i="3"/>
  <c r="U18" i="3" s="1"/>
  <c r="Q18" i="3"/>
  <c r="H18" i="3"/>
  <c r="E18" i="3"/>
  <c r="S18" i="3"/>
  <c r="O18" i="3"/>
  <c r="R18" i="3"/>
  <c r="J18" i="3"/>
  <c r="T18" i="3"/>
  <c r="P18" i="3"/>
  <c r="K18" i="3"/>
  <c r="AE16" i="11" s="1"/>
  <c r="V18" i="3"/>
  <c r="X18" i="3"/>
  <c r="M18" i="3"/>
  <c r="D18" i="3"/>
  <c r="AD16" i="11" s="1"/>
  <c r="V14" i="3"/>
  <c r="D14" i="3"/>
  <c r="H14" i="3"/>
  <c r="M14" i="3"/>
  <c r="O14" i="3"/>
  <c r="S14" i="3"/>
  <c r="J14" i="3"/>
  <c r="X14" i="3"/>
  <c r="P14" i="3"/>
  <c r="I14" i="3"/>
  <c r="T14" i="3"/>
  <c r="Q14" i="3"/>
  <c r="E14" i="3"/>
  <c r="C14" i="3"/>
  <c r="U14" i="3" s="1"/>
  <c r="K14" i="3"/>
  <c r="Y9" i="11" s="1"/>
  <c r="R14" i="3"/>
  <c r="X10" i="3"/>
  <c r="T10" i="3"/>
  <c r="K10" i="3"/>
  <c r="AE14" i="11" s="1"/>
  <c r="R10" i="3"/>
  <c r="O10" i="3"/>
  <c r="J10" i="3"/>
  <c r="H10" i="3"/>
  <c r="P10" i="3"/>
  <c r="C10" i="3"/>
  <c r="U10" i="3" s="1"/>
  <c r="I10" i="3"/>
  <c r="Q10" i="3"/>
  <c r="D10" i="3"/>
  <c r="V10" i="3"/>
  <c r="E10" i="3"/>
  <c r="S10" i="3"/>
  <c r="M10" i="3"/>
  <c r="AE18" i="11" l="1"/>
  <c r="AE8" i="11"/>
  <c r="AD9" i="11"/>
  <c r="Y7" i="11"/>
  <c r="Y12" i="11"/>
  <c r="B26" i="4" s="1"/>
  <c r="AD13" i="11"/>
  <c r="G8" i="3"/>
  <c r="X13" i="11" s="1"/>
  <c r="AB13" i="11" s="1"/>
  <c r="F8" i="3"/>
  <c r="L8" i="3"/>
  <c r="B11" i="4"/>
  <c r="AE10" i="11"/>
  <c r="AD19" i="11"/>
  <c r="AF19" i="11" s="1"/>
  <c r="L12" i="3"/>
  <c r="F12" i="3"/>
  <c r="G12" i="3"/>
  <c r="Y18" i="11"/>
  <c r="T2" i="3"/>
  <c r="F10" i="3"/>
  <c r="L10" i="3"/>
  <c r="G10" i="3"/>
  <c r="X14" i="11" s="1"/>
  <c r="L6" i="3"/>
  <c r="F6" i="3"/>
  <c r="G6" i="3"/>
  <c r="X11" i="11" s="1"/>
  <c r="F15" i="3"/>
  <c r="G15" i="3"/>
  <c r="L15" i="3"/>
  <c r="AE12" i="11"/>
  <c r="F17" i="3"/>
  <c r="G17" i="3"/>
  <c r="L17" i="3"/>
  <c r="AE9" i="11"/>
  <c r="AE13" i="11"/>
  <c r="AE11" i="11"/>
  <c r="AD15" i="11"/>
  <c r="B21" i="7"/>
  <c r="G5" i="3"/>
  <c r="X15" i="11" s="1"/>
  <c r="AB15" i="11" s="1"/>
  <c r="F5" i="3"/>
  <c r="A10" i="8"/>
  <c r="L5" i="3"/>
  <c r="B30" i="7"/>
  <c r="C21" i="7"/>
  <c r="F21" i="7" s="1"/>
  <c r="Y8" i="11"/>
  <c r="AE20" i="11"/>
  <c r="AD18" i="11"/>
  <c r="AF18" i="11" s="1"/>
  <c r="G11" i="3"/>
  <c r="F11" i="3"/>
  <c r="L11" i="3"/>
  <c r="AD20" i="11"/>
  <c r="AF20" i="11" s="1"/>
  <c r="F14" i="3"/>
  <c r="G14" i="3"/>
  <c r="L14" i="3"/>
  <c r="G13" i="3"/>
  <c r="F13" i="3"/>
  <c r="L13" i="3"/>
  <c r="B31" i="7"/>
  <c r="B22" i="7"/>
  <c r="C22" i="7"/>
  <c r="AD14" i="11"/>
  <c r="AE15" i="11"/>
  <c r="L16" i="3"/>
  <c r="G16" i="3"/>
  <c r="F16" i="3"/>
  <c r="B8" i="4" s="1"/>
  <c r="Y14" i="11"/>
  <c r="AE17" i="11"/>
  <c r="AD8" i="11"/>
  <c r="Y19" i="11"/>
  <c r="AD7" i="11"/>
  <c r="G7" i="3"/>
  <c r="X7" i="11" s="1"/>
  <c r="AB7" i="11" s="1"/>
  <c r="L7" i="3"/>
  <c r="F7" i="3"/>
  <c r="L18" i="3"/>
  <c r="G18" i="3"/>
  <c r="X16" i="11" s="1"/>
  <c r="F18" i="3"/>
  <c r="AD11" i="11"/>
  <c r="Y11" i="11"/>
  <c r="AD12" i="11"/>
  <c r="B6" i="4"/>
  <c r="AD10" i="11"/>
  <c r="L9" i="3"/>
  <c r="F9" i="3"/>
  <c r="G9" i="3"/>
  <c r="X17" i="11" s="1"/>
  <c r="AB17" i="11" s="1"/>
  <c r="Y16" i="11"/>
  <c r="N10" i="3"/>
  <c r="N14" i="3"/>
  <c r="N8" i="3"/>
  <c r="N13" i="3"/>
  <c r="B33" i="7"/>
  <c r="N11" i="3"/>
  <c r="N17" i="3"/>
  <c r="N7" i="3"/>
  <c r="N18" i="3"/>
  <c r="N12" i="3"/>
  <c r="N16" i="3"/>
  <c r="U5" i="3"/>
  <c r="N5" i="3"/>
  <c r="N6" i="3"/>
  <c r="N9" i="3"/>
  <c r="N15" i="3"/>
  <c r="X19" i="11" l="1"/>
  <c r="W12" i="3"/>
  <c r="X8" i="11"/>
  <c r="X18" i="11"/>
  <c r="X9" i="11"/>
  <c r="AB9" i="11" s="1"/>
  <c r="AF9" i="11" s="1"/>
  <c r="AB19" i="11"/>
  <c r="AB8" i="11"/>
  <c r="AF15" i="11"/>
  <c r="W5" i="3" s="1"/>
  <c r="AB14" i="11"/>
  <c r="AF14" i="11" s="1"/>
  <c r="W10" i="3" s="1"/>
  <c r="AF17" i="11"/>
  <c r="W9" i="3" s="1"/>
  <c r="B16" i="4"/>
  <c r="X20" i="11"/>
  <c r="AB20" i="11" s="1"/>
  <c r="AB16" i="11"/>
  <c r="AF16" i="11" s="1"/>
  <c r="W18" i="3" s="1"/>
  <c r="AF7" i="11"/>
  <c r="W7" i="3" s="1"/>
  <c r="AF8" i="11"/>
  <c r="W13" i="3" s="1"/>
  <c r="X10" i="11"/>
  <c r="AB10" i="11" s="1"/>
  <c r="AF10" i="11" s="1"/>
  <c r="W17" i="3" s="1"/>
  <c r="X12" i="11"/>
  <c r="B9" i="4"/>
  <c r="A3" i="3"/>
  <c r="AF13" i="11"/>
  <c r="W8" i="3" s="1"/>
  <c r="AB18" i="11"/>
  <c r="AB11" i="11"/>
  <c r="AF11" i="11" s="1"/>
  <c r="W6" i="3" s="1"/>
  <c r="W14" i="3" l="1"/>
  <c r="B25" i="4"/>
  <c r="AB12" i="11"/>
  <c r="B23" i="4" l="1"/>
  <c r="AF12" i="11"/>
  <c r="W15" i="3" l="1"/>
  <c r="W11" i="3"/>
  <c r="W16" i="3"/>
  <c r="B7" i="4"/>
</calcChain>
</file>

<file path=xl/sharedStrings.xml><?xml version="1.0" encoding="utf-8"?>
<sst xmlns="http://schemas.openxmlformats.org/spreadsheetml/2006/main" count="1908" uniqueCount="447">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</sst>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60" zoomScaleNormal="16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1168   |   15 wins, 8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129</v>
      </c>
      <c r="H11" s="26"/>
      <c r="I11" s="26"/>
    </row>
    <row r="12" spans="1:9" ht="15" customHeight="1" x14ac:dyDescent="0.2">
      <c r="A12" s="28" t="str">
        <f>IF(Lists!$C$4="","",Lists!$C$4)</f>
        <v>FIFA</v>
      </c>
      <c r="B12" s="29" t="str">
        <f>IFERROR('Sport Records'!$P$93,"—")</f>
        <v>Aaron</v>
      </c>
      <c r="C12" s="30">
        <f>IF(OR($B12="—",$B12=""),"",ROUND(MAX('Sport Records'!$B$93:$O$93),0))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133</v>
      </c>
      <c r="H14" s="35" t="s">
        <v>134</v>
      </c>
      <c r="I14" s="36" t="s">
        <v>135</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10</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Shawn</v>
      </c>
      <c r="C28" s="30">
        <f>IF(OR($B28="—",$B28=""),"",ROUND(MAX('Sport Records'!$B$109:$O$109),0))</f>
        <v>1030</v>
      </c>
      <c r="D28" s="30" t="str">
        <f>IF(OR($B28="—",$B28=""),"—",COUNTIFS('Match Log'!$D$4:$D$810,$B28,'Match Log'!$C$4:$C$810,$A28,'Match Log'!$E$4:$E$810,"Win")&amp;"–"&amp;(COUNTIFS('Match Log'!$D$4:$D$810,$B28,'Match Log'!$C$4:$C$810,$A28)-COUNTIFS('Match Log'!$D$4:$D$810,$B28,'Match Log'!$C$4:$C$810,$A28,'Match Log'!$E$4:$E$810,"Win")))</f>
        <v>5–2</v>
      </c>
      <c r="E28" s="30">
        <f>'Sport Records'!$P$26</f>
        <v>11</v>
      </c>
    </row>
    <row r="29" spans="1:9" x14ac:dyDescent="0.2">
      <c r="A29" s="28" t="s">
        <v>407</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139  ·  11 Jul 2026</v>
      </c>
      <c r="T2" s="44" t="str">
        <f>IF(COUNTIF($T$5:$T$18,"At risk")+COUNTIF($T$5:$T$18,"Inactive")=0,"Inactivity watch:  all players active ✓","⚠ Inactivity watch:  "&amp;(COUNTIF($T$5:$T$18,"At risk")+COUNTIF($T$5:$T$18,"Inactive"))&amp;" player(s) need a game — see Activity column")</f>
        <v>⚠ Inactivity watch:  8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1168.2113436007442</v>
      </c>
      <c r="D5" s="49">
        <f>COUNTIF('Match Log'!$D$4:$D$810,$B5)</f>
        <v>23</v>
      </c>
      <c r="E5" s="49">
        <f>COUNTIFS('Match Log'!$D$4:$D$810,$B5,'Match Log'!$E$4:$E$810,"Win")</f>
        <v>15</v>
      </c>
      <c r="F5" s="49">
        <f>$D5-$E5</f>
        <v>8</v>
      </c>
      <c r="G5" s="50">
        <f>IF($D5=0,"",$E5/$D5)</f>
        <v>0.65217391304347827</v>
      </c>
      <c r="H5" s="51">
        <f>SUMIF('Match Log'!$D$4:$D$810,$B5,'Match Log'!$J$4:$J$810)</f>
        <v>79.570981480915592</v>
      </c>
      <c r="I5" s="51">
        <f>SUMIF('Match Log'!$D$4:$D$810,$B5,'Match Log'!$K$4:$K$810)</f>
        <v>56.640362119828737</v>
      </c>
      <c r="J5" s="51">
        <f>SUMIF('Match Log'!$D$4:$D$810,$B5,'Match Log'!$L$4:$L$810)</f>
        <v>32</v>
      </c>
      <c r="K5" s="49">
        <f>SUMPRODUCT(--(COUNTIFS('Match Log'!$D$4:$D$810,$B5,'Match Log'!$C$4:$C$810,Lists!$C$2:$C$21)&gt;0))</f>
        <v>3</v>
      </c>
      <c r="L5" s="49" t="str">
        <f>IF($D5=0,"No games",IF(AND($D5&gt;='Guide &amp; Settings'!$C$45,$K5&gt;='Guide &amp; Settings'!$C$46),"Eligible","Provisional"))</f>
        <v>Eligible</v>
      </c>
      <c r="M5" s="48">
        <f>IFERROR(INDEX(Calcs!$C$7:$C$20,MATCH($B5,Calcs!$A$7:$A$20,0)),"")</f>
        <v>1053.523263092201</v>
      </c>
      <c r="N5" s="48">
        <f>MAX($C$5:$C$18)-$C5</f>
        <v>0</v>
      </c>
      <c r="O5" s="49" t="str">
        <f>IFERROR(INDEX(Calcs!$H$7:$H$20,MATCH($B5,Calcs!$A$7:$A$20,0)),"")</f>
        <v>W2</v>
      </c>
      <c r="P5" s="49" t="str">
        <f>IFERROR(INDEX(Calcs!$I$7:$I$20,MATCH($B5,Calcs!$A$7:$A$20,0)),"")</f>
        <v>LLLWW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16 Jun</v>
      </c>
      <c r="S5" s="49">
        <f>IFERROR(ROUND(INDEX(Calcs!$Q$7:$Q$20,MATCH($B5,Calcs!$A$7:$A$20,0)),1),"")</f>
        <v>3.6</v>
      </c>
      <c r="T5" s="49" t="str">
        <f>IFERROR(INDEX(Calcs!$T$7:$T$20,MATCH($B5,Calcs!$A$7:$A$20,0)),"")</f>
        <v>At risk</v>
      </c>
      <c r="U5">
        <f>IFERROR(MAX(0,ROUND($C5-INDEX(Calcs!$S$7:$S$20,MATCH($B5,Calcs!$A$7:$A$20,0)),0)),0)</f>
        <v>0</v>
      </c>
      <c r="V5" s="51">
        <f>IFERROR(ROUND(INDEX(Calcs!$S$7:$S$20,MATCH($B5,Calcs!$A$7:$A$20,0)),0),"")</f>
        <v>1168</v>
      </c>
      <c r="W5" s="49" t="str">
        <f>IFERROR(INDEX(Calcs!$AF$7:$AF$20,MATCH($B5,Calcs!$A$7:$A$20,0)),"")</f>
        <v>Strong</v>
      </c>
      <c r="X5" s="51">
        <f>IFERROR(ROUND(SUMIF('Poker Stake Ledger'!$C$18:$C$137,$B5,'Poker Stake Ledger'!$K$18:$K$137),1),0)</f>
        <v>0</v>
      </c>
    </row>
    <row r="6" spans="1:24" ht="15" customHeight="1" x14ac:dyDescent="0.2">
      <c r="A6" s="46">
        <f>ROW()-4</f>
        <v>2</v>
      </c>
      <c r="B6" s="47" t="str">
        <f>IFERROR(INDEX(Calcs!$A$7:$A$20,MATCH(LARGE(Calcs!$AI$7:$AI$20,ROW()-4),Calcs!$AI$7:$AI$20,0)),"")</f>
        <v>Josh</v>
      </c>
      <c r="C6" s="48">
        <f>INDEX(Engine!$B$2:$B$15,MATCH($B6,Engine!$A$2:$A$15,0))+SUMIF('Poker Stake Ledger'!$C$18:$C$137,$B6,'Poker Stake Ledger'!$K$18:$K$137)</f>
        <v>1129.7012289075892</v>
      </c>
      <c r="D6" s="49">
        <f>COUNTIF('Match Log'!$D$4:$D$810,$B6)</f>
        <v>32</v>
      </c>
      <c r="E6" s="49">
        <f>COUNTIFS('Match Log'!$D$4:$D$810,$B6,'Match Log'!$E$4:$E$810,"Win")</f>
        <v>20</v>
      </c>
      <c r="F6" s="49">
        <f>$D6-$E6</f>
        <v>12</v>
      </c>
      <c r="G6" s="50">
        <f>IF($D6=0,"",$E6/$D6)</f>
        <v>0.625</v>
      </c>
      <c r="H6" s="51">
        <f>SUMIF('Match Log'!$D$4:$D$810,$B6,'Match Log'!$J$4:$J$810)</f>
        <v>36.229836962054236</v>
      </c>
      <c r="I6" s="51">
        <f>SUMIF('Match Log'!$D$4:$D$810,$B6,'Match Log'!$K$4:$K$810)</f>
        <v>51.471391945534876</v>
      </c>
      <c r="J6" s="51">
        <f>SUMIF('Match Log'!$D$4:$D$810,$B6,'Match Log'!$L$4:$L$810)</f>
        <v>42</v>
      </c>
      <c r="K6" s="49">
        <f>SUMPRODUCT(--(COUNTIFS('Match Log'!$D$4:$D$810,$B6,'Match Log'!$C$4:$C$810,Lists!$C$2:$C$21)&gt;0))</f>
        <v>8</v>
      </c>
      <c r="L6" s="49" t="str">
        <f>IF($D6=0,"No games",IF(AND($D6&gt;='Guide &amp; Settings'!$C$45,$K6&gt;='Guide &amp; Settings'!$C$46),"Eligible","Provisional"))</f>
        <v>Eligible</v>
      </c>
      <c r="M6" s="48">
        <f>IFERROR(INDEX(Calcs!$C$7:$C$20,MATCH($B6,Calcs!$A$7:$A$20,0)),"")</f>
        <v>1044.7697724293021</v>
      </c>
      <c r="N6" s="48">
        <f>MAX($C$5:$C$18)-$C6</f>
        <v>38.510114693154947</v>
      </c>
      <c r="O6" s="49" t="str">
        <f>IFERROR(INDEX(Calcs!$H$7:$H$20,MATCH($B6,Calcs!$A$7:$A$20,0)),"")</f>
        <v>L1</v>
      </c>
      <c r="P6" s="49" t="str">
        <f>IFERROR(INDEX(Calcs!$I$7:$I$20,MATCH($B6,Calcs!$A$7:$A$20,0)),"")</f>
        <v>LLWWL</v>
      </c>
      <c r="Q6" s="49" t="str">
        <f>IFERROR(IF(INDEX(Calcs!$L$7:$L$20,MATCH($B6,Calcs!$A$7:$A$20,0))&gt;0,"▲"&amp;INDEX(Calcs!$L$7:$L$20,MATCH($B6,Calcs!$A$7:$A$20,0)),IF(INDEX(Calcs!$L$7:$L$20,MATCH($B6,Calcs!$A$7:$A$20,0))&lt;0,"▼"&amp;ABS(INDEX(Calcs!$L$7:$L$20,MATCH($B6,Calcs!$A$7:$A$20,0))),"–")),"")</f>
        <v>▲1</v>
      </c>
      <c r="R6" s="49" t="str">
        <f>IFERROR(IF(INDEX(Calcs!$P$7:$P$20,MATCH($B6,Calcs!$A$7:$A$20,0))=0,"—",TEXT(INDEX(Calcs!$P$7:$P$20,MATCH($B6,Calcs!$A$7:$A$20,0)),"d mmm")),"")</f>
        <v>26 Jun</v>
      </c>
      <c r="S6" s="49">
        <f>IFERROR(ROUND(INDEX(Calcs!$Q$7:$Q$20,MATCH($B6,Calcs!$A$7:$A$20,0)),1),"")</f>
        <v>2.1</v>
      </c>
      <c r="T6" s="49" t="str">
        <f>IFERROR(INDEX(Calcs!$T$7:$T$20,MATCH($B6,Calcs!$A$7:$A$20,0)),"")</f>
        <v>At risk</v>
      </c>
      <c r="U6">
        <f>IFERROR(MAX(0,ROUND($C6-INDEX(Calcs!$S$7:$S$20,MATCH($B6,Calcs!$A$7:$A$20,0)),0)),0)</f>
        <v>0</v>
      </c>
      <c r="V6" s="51">
        <f>IFERROR(ROUND(INDEX(Calcs!$S$7:$S$20,MATCH($B6,Calcs!$A$7:$A$20,0)),0),"")</f>
        <v>1130</v>
      </c>
      <c r="W6" s="49" t="str">
        <f>IFERROR(INDEX(Calcs!$AF$7:$AF$20,MATCH($B6,Calcs!$A$7:$A$20,0)),"")</f>
        <v>Elite</v>
      </c>
      <c r="X6" s="51">
        <f>IFERROR(ROUND(SUMIF('Poker Stake Ledger'!$C$18:$C$137,$B6,'Poker Stake Ledger'!$K$18:$K$137),1),0)</f>
        <v>0</v>
      </c>
    </row>
    <row r="7" spans="1:24" ht="15" customHeight="1" x14ac:dyDescent="0.2">
      <c r="A7" s="46">
        <f>ROW()-4</f>
        <v>3</v>
      </c>
      <c r="B7" s="47" t="str">
        <f>IFERROR(INDEX(Calcs!$A$7:$A$20,MATCH(LARGE(Calcs!$AI$7:$AI$20,ROW()-4),Calcs!$AI$7:$AI$20,0)),"")</f>
        <v>Aaron</v>
      </c>
      <c r="C7" s="48">
        <f>INDEX(Engine!$B$2:$B$15,MATCH($B7,Engine!$A$2:$A$15,0))+SUMIF('Poker Stake Ledger'!$C$18:$C$137,$B7,'Poker Stake Ledger'!$K$18:$K$137)</f>
        <v>1097.6049428107995</v>
      </c>
      <c r="D7" s="49">
        <f>COUNTIF('Match Log'!$D$4:$D$810,$B7)</f>
        <v>38</v>
      </c>
      <c r="E7" s="49">
        <f>COUNTIFS('Match Log'!$D$4:$D$810,$B7,'Match Log'!$E$4:$E$810,"Win")</f>
        <v>21</v>
      </c>
      <c r="F7" s="49">
        <f>$D7-$E7</f>
        <v>17</v>
      </c>
      <c r="G7" s="50">
        <f>IF($D7=0,"",$E7/$D7)</f>
        <v>0.55263157894736847</v>
      </c>
      <c r="H7" s="51">
        <f>SUMIF('Match Log'!$D$4:$D$810,$B7,'Match Log'!$J$4:$J$810)</f>
        <v>20.065401260996619</v>
      </c>
      <c r="I7" s="51">
        <f>SUMIF('Match Log'!$D$4:$D$810,$B7,'Match Log'!$K$4:$K$810)</f>
        <v>46.539541549803104</v>
      </c>
      <c r="J7" s="51">
        <f>SUMIF('Match Log'!$D$4:$D$810,$B7,'Match Log'!$L$4:$L$810)</f>
        <v>31</v>
      </c>
      <c r="K7" s="49">
        <f>SUMPRODUCT(--(COUNTIFS('Match Log'!$D$4:$D$810,$B7,'Match Log'!$C$4:$C$810,Lists!$C$2:$C$21)&gt;0))</f>
        <v>9</v>
      </c>
      <c r="L7" s="49" t="str">
        <f>IF($D7=0,"No games",IF(AND($D7&gt;='Guide &amp; Settings'!$C$45,$K7&gt;='Guide &amp; Settings'!$C$46),"Eligible","Provisional"))</f>
        <v>Eligible</v>
      </c>
      <c r="M7" s="48">
        <f>IFERROR(INDEX(Calcs!$C$7:$C$20,MATCH($B7,Calcs!$A$7:$A$20,0)),"")</f>
        <v>1044.1280395448036</v>
      </c>
      <c r="N7" s="48">
        <f>MAX($C$5:$C$18)-$C7</f>
        <v>70.606400789944701</v>
      </c>
      <c r="O7" s="49" t="str">
        <f>IFERROR(INDEX(Calcs!$H$7:$H$20,MATCH($B7,Calcs!$A$7:$A$20,0)),"")</f>
        <v>L2</v>
      </c>
      <c r="P7" s="49" t="str">
        <f>IFERROR(INDEX(Calcs!$I$7:$I$20,MATCH($B7,Calcs!$A$7:$A$20,0)),"")</f>
        <v>WWWLL</v>
      </c>
      <c r="Q7" s="49" t="str">
        <f>IFERROR(IF(INDEX(Calcs!$L$7:$L$20,MATCH($B7,Calcs!$A$7:$A$20,0))&gt;0,"▲"&amp;INDEX(Calcs!$L$7:$L$20,MATCH($B7,Calcs!$A$7:$A$20,0)),IF(INDEX(Calcs!$L$7:$L$20,MATCH($B7,Calcs!$A$7:$A$20,0))&lt;0,"▼"&amp;ABS(INDEX(Calcs!$L$7:$L$20,MATCH($B7,Calcs!$A$7:$A$20,0))),"–")),"")</f>
        <v>▲1</v>
      </c>
      <c r="R7" s="49" t="str">
        <f>IFERROR(IF(INDEX(Calcs!$P$7:$P$20,MATCH($B7,Calcs!$A$7:$A$20,0))=0,"—",TEXT(INDEX(Calcs!$P$7:$P$20,MATCH($B7,Calcs!$A$7:$A$20,0)),"d mmm")),"")</f>
        <v>11 Jul</v>
      </c>
      <c r="S7" s="49">
        <f>IFERROR(ROUND(INDEX(Calcs!$Q$7:$Q$20,MATCH($B7,Calcs!$A$7:$A$20,0)),1),"")</f>
        <v>0</v>
      </c>
      <c r="T7" s="49" t="str">
        <f>IFERROR(INDEX(Calcs!$T$7:$T$20,MATCH($B7,Calcs!$A$7:$A$20,0)),"")</f>
        <v>Active</v>
      </c>
      <c r="U7">
        <f>IFERROR(MAX(0,ROUND($C7-INDEX(Calcs!$S$7:$S$20,MATCH($B7,Calcs!$A$7:$A$20,0)),0)),0)</f>
        <v>0</v>
      </c>
      <c r="V7" s="51">
        <f>IFERROR(ROUND(INDEX(Calcs!$S$7:$S$20,MATCH($B7,Calcs!$A$7:$A$20,0)),0),"")</f>
        <v>1098</v>
      </c>
      <c r="W7" s="49" t="str">
        <f>IFERROR(INDEX(Calcs!$AF$7:$AF$20,MATCH($B7,Calcs!$A$7:$A$20,0)),"")</f>
        <v>Elite</v>
      </c>
      <c r="X7" s="51">
        <f>IFERROR(ROUND(SUMIF('Poker Stake Ledger'!$C$18:$C$137,$B7,'Poker Stake Ledger'!$K$18:$K$137),1),0)</f>
        <v>0</v>
      </c>
    </row>
    <row r="8" spans="1:24" ht="15" customHeight="1" x14ac:dyDescent="0.2">
      <c r="A8" s="46">
        <f>ROW()-4</f>
        <v>4</v>
      </c>
      <c r="B8" s="47" t="str">
        <f>IFERROR(INDEX(Calcs!$A$7:$A$20,MATCH(LARGE(Calcs!$AI$7:$AI$20,ROW()-4),Calcs!$AI$7:$AI$20,0)),"")</f>
        <v>Simon</v>
      </c>
      <c r="C8" s="48">
        <f>INDEX(Engine!$B$2:$B$15,MATCH($B8,Engine!$A$2:$A$15,0))+SUMIF('Poker Stake Ledger'!$C$18:$C$137,$B8,'Poker Stake Ledger'!$K$18:$K$137)</f>
        <v>1084.8903813508514</v>
      </c>
      <c r="D8" s="49">
        <f>COUNTIF('Match Log'!$D$4:$D$810,$B8)</f>
        <v>17</v>
      </c>
      <c r="E8" s="49">
        <f>COUNTIFS('Match Log'!$D$4:$D$810,$B8,'Match Log'!$E$4:$E$810,"Win")</f>
        <v>10</v>
      </c>
      <c r="F8" s="49">
        <f>$D8-$E8</f>
        <v>7</v>
      </c>
      <c r="G8" s="50">
        <f>IF($D8=0,"",$E8/$D8)</f>
        <v>0.58823529411764708</v>
      </c>
      <c r="H8" s="51">
        <f>SUMIF('Match Log'!$D$4:$D$810,$B8,'Match Log'!$J$4:$J$810)</f>
        <v>19.980017009183754</v>
      </c>
      <c r="I8" s="51">
        <f>SUMIF('Match Log'!$D$4:$D$810,$B8,'Match Log'!$K$4:$K$810)</f>
        <v>28.910364341667837</v>
      </c>
      <c r="J8" s="51">
        <f>SUMIF('Match Log'!$D$4:$D$810,$B8,'Match Log'!$L$4:$L$810)</f>
        <v>36</v>
      </c>
      <c r="K8" s="49">
        <f>SUMPRODUCT(--(COUNTIFS('Match Log'!$D$4:$D$810,$B8,'Match Log'!$C$4:$C$810,Lists!$C$2:$C$21)&gt;0))</f>
        <v>4</v>
      </c>
      <c r="L8" s="49" t="str">
        <f>IF($D8=0,"No games",IF(AND($D8&gt;='Guide &amp; Settings'!$C$45,$K8&gt;='Guide &amp; Settings'!$C$46),"Eligible","Provisional"))</f>
        <v>Eligible</v>
      </c>
      <c r="M8" s="48">
        <f>IFERROR(INDEX(Calcs!$C$7:$C$20,MATCH($B8,Calcs!$A$7:$A$20,0)),"")</f>
        <v>1054.2169240168062</v>
      </c>
      <c r="N8" s="48">
        <f>MAX($C$5:$C$18)-$C8</f>
        <v>83.320962249892773</v>
      </c>
      <c r="O8" s="49" t="str">
        <f>IFERROR(INDEX(Calcs!$H$7:$H$20,MATCH($B8,Calcs!$A$7:$A$20,0)),"")</f>
        <v>L3</v>
      </c>
      <c r="P8" s="49" t="str">
        <f>IFERROR(INDEX(Calcs!$I$7:$I$20,MATCH($B8,Calcs!$A$7:$A$20,0)),"")</f>
        <v>WWLLL</v>
      </c>
      <c r="Q8" s="49" t="str">
        <f>IFERROR(IF(INDEX(Calcs!$L$7:$L$20,MATCH($B8,Calcs!$A$7:$A$20,0))&gt;0,"▲"&amp;INDEX(Calcs!$L$7:$L$20,MATCH($B8,Calcs!$A$7:$A$20,0)),IF(INDEX(Calcs!$L$7:$L$20,MATCH($B8,Calcs!$A$7:$A$20,0))&lt;0,"▼"&amp;ABS(INDEX(Calcs!$L$7:$L$20,MATCH($B8,Calcs!$A$7:$A$20,0))),"–")),"")</f>
        <v>▲1</v>
      </c>
      <c r="R8" s="49" t="str">
        <f>IFERROR(IF(INDEX(Calcs!$P$7:$P$20,MATCH($B8,Calcs!$A$7:$A$20,0))=0,"—",TEXT(INDEX(Calcs!$P$7:$P$20,MATCH($B8,Calcs!$A$7:$A$20,0)),"d mmm")),"")</f>
        <v>15 Jun</v>
      </c>
      <c r="S8" s="49">
        <f>IFERROR(ROUND(INDEX(Calcs!$Q$7:$Q$20,MATCH($B8,Calcs!$A$7:$A$20,0)),1),"")</f>
        <v>3.7</v>
      </c>
      <c r="T8" s="49" t="str">
        <f>IFERROR(INDEX(Calcs!$T$7:$T$20,MATCH($B8,Calcs!$A$7:$A$20,0)),"")</f>
        <v>At risk</v>
      </c>
      <c r="U8">
        <f>IFERROR(MAX(0,ROUND($C8-INDEX(Calcs!$S$7:$S$20,MATCH($B8,Calcs!$A$7:$A$20,0)),0)),0)</f>
        <v>0</v>
      </c>
      <c r="V8" s="51">
        <f>IFERROR(ROUND(INDEX(Calcs!$S$7:$S$20,MATCH($B8,Calcs!$A$7:$A$20,0)),0),"")</f>
        <v>1085</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1058.6657209484931</v>
      </c>
      <c r="D9" s="49">
        <f>COUNTIF('Match Log'!$D$4:$D$810,$B9)</f>
        <v>44</v>
      </c>
      <c r="E9" s="49">
        <f>COUNTIFS('Match Log'!$D$4:$D$810,$B9,'Match Log'!$E$4:$E$810,"Win")</f>
        <v>20</v>
      </c>
      <c r="F9" s="49">
        <f>$D9-$E9</f>
        <v>24</v>
      </c>
      <c r="G9" s="50">
        <f>IF($D9=0,"",$E9/$D9)</f>
        <v>0.45454545454545453</v>
      </c>
      <c r="H9" s="51">
        <f>SUMIF('Match Log'!$D$4:$D$810,$B9,'Match Log'!$J$4:$J$810)</f>
        <v>-4.5119528516974903</v>
      </c>
      <c r="I9" s="51">
        <f>SUMIF('Match Log'!$D$4:$D$810,$B9,'Match Log'!$K$4:$K$810)</f>
        <v>18.177673800191201</v>
      </c>
      <c r="J9" s="51">
        <f>SUMIF('Match Log'!$D$4:$D$810,$B9,'Match Log'!$L$4:$L$810)</f>
        <v>45</v>
      </c>
      <c r="K9" s="49">
        <f>SUMPRODUCT(--(COUNTIFS('Match Log'!$D$4:$D$810,$B9,'Match Log'!$C$4:$C$810,Lists!$C$2:$C$21)&gt;0))</f>
        <v>8</v>
      </c>
      <c r="L9" s="49" t="str">
        <f>IF($D9=0,"No games",IF(AND($D9&gt;='Guide &amp; Settings'!$C$45,$K9&gt;='Guide &amp; Settings'!$C$46),"Eligible","Provisional"))</f>
        <v>Eligible</v>
      </c>
      <c r="M9" s="48">
        <f>IFERROR(INDEX(Calcs!$C$7:$C$20,MATCH($B9,Calcs!$A$7:$A$20,0)),"")</f>
        <v>1066.1724290986674</v>
      </c>
      <c r="N9" s="48">
        <f>MAX($C$5:$C$18)-$C9</f>
        <v>109.54562265225104</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▼3</v>
      </c>
      <c r="R9" s="49" t="str">
        <f>IFERROR(IF(INDEX(Calcs!$P$7:$P$20,MATCH($B9,Calcs!$A$7:$A$20,0))=0,"—",TEXT(INDEX(Calcs!$P$7:$P$20,MATCH($B9,Calcs!$A$7:$A$20,0)),"d mmm")),"")</f>
        <v>6 Jul</v>
      </c>
      <c r="S9" s="49">
        <f>IFERROR(ROUND(INDEX(Calcs!$Q$7:$Q$20,MATCH($B9,Calcs!$A$7:$A$20,0)),1),"")</f>
        <v>0.7</v>
      </c>
      <c r="T9" s="49" t="str">
        <f>IFERROR(INDEX(Calcs!$T$7:$T$20,MATCH($B9,Calcs!$A$7:$A$20,0)),"")</f>
        <v>Active</v>
      </c>
      <c r="U9">
        <f>IFERROR(MAX(0,ROUND($C9-INDEX(Calcs!$S$7:$S$20,MATCH($B9,Calcs!$A$7:$A$20,0)),0)),0)</f>
        <v>0</v>
      </c>
      <c r="V9" s="51">
        <f>IFERROR(ROUND(INDEX(Calcs!$S$7:$S$20,MATCH($B9,Calcs!$A$7:$A$20,0)),0),"")</f>
        <v>1059</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Daniel (Ferret)</v>
      </c>
      <c r="C10" s="48">
        <f>INDEX(Engine!$B$2:$B$15,MATCH($B10,Engine!$A$2:$A$15,0))+SUMIF('Poker Stake Ledger'!$C$18:$C$137,$B10,'Poker Stake Ledger'!$K$18:$K$137)</f>
        <v>1050.8634549674414</v>
      </c>
      <c r="D10" s="49">
        <f>COUNTIF('Match Log'!$D$4:$D$810,$B10)</f>
        <v>52</v>
      </c>
      <c r="E10" s="49">
        <f>COUNTIFS('Match Log'!$D$4:$D$810,$B10,'Match Log'!$E$4:$E$810,"Win")</f>
        <v>23</v>
      </c>
      <c r="F10" s="49">
        <f>$D10-$E10</f>
        <v>29</v>
      </c>
      <c r="G10" s="50">
        <f>IF($D10=0,"",$E10/$D10)</f>
        <v>0.44230769230769229</v>
      </c>
      <c r="H10" s="51">
        <f>SUMIF('Match Log'!$D$4:$D$810,$B10,'Match Log'!$J$4:$J$810)</f>
        <v>-23.673795462339218</v>
      </c>
      <c r="I10" s="51">
        <f>SUMIF('Match Log'!$D$4:$D$810,$B10,'Match Log'!$K$4:$K$810)</f>
        <v>25.537250429780578</v>
      </c>
      <c r="J10" s="51">
        <f>SUMIF('Match Log'!$D$4:$D$810,$B10,'Match Log'!$L$4:$L$810)</f>
        <v>49</v>
      </c>
      <c r="K10" s="49">
        <f>SUMPRODUCT(--(COUNTIFS('Match Log'!$D$4:$D$810,$B10,'Match Log'!$C$4:$C$810,Lists!$C$2:$C$21)&gt;0))</f>
        <v>11</v>
      </c>
      <c r="L10" s="49" t="str">
        <f>IF($D10=0,"No games",IF(AND($D10&gt;='Guide &amp; Settings'!$C$45,$K10&gt;='Guide &amp; Settings'!$C$46),"Eligible","Provisional"))</f>
        <v>Eligible</v>
      </c>
      <c r="M10" s="48">
        <f>IFERROR(INDEX(Calcs!$C$7:$C$20,MATCH($B10,Calcs!$A$7:$A$20,0)),"")</f>
        <v>1073.5080352196385</v>
      </c>
      <c r="N10" s="48">
        <f>MAX($C$5:$C$18)-$C10</f>
        <v>117.34788863330277</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v>
      </c>
      <c r="R10" s="49" t="str">
        <f>IFERROR(IF(INDEX(Calcs!$P$7:$P$20,MATCH($B10,Calcs!$A$7:$A$20,0))=0,"—",TEXT(INDEX(Calcs!$P$7:$P$20,MATCH($B10,Calcs!$A$7:$A$20,0)),"d mmm")),"")</f>
        <v>5 Jul</v>
      </c>
      <c r="S10" s="49">
        <f>IFERROR(ROUND(INDEX(Calcs!$Q$7:$Q$20,MATCH($B10,Calcs!$A$7:$A$20,0)),1),"")</f>
        <v>0.9</v>
      </c>
      <c r="T10" s="49" t="str">
        <f>IFERROR(INDEX(Calcs!$T$7:$T$20,MATCH($B10,Calcs!$A$7:$A$20,0)),"")</f>
        <v>Active</v>
      </c>
      <c r="U10">
        <f>IFERROR(MAX(0,ROUND($C10-INDEX(Calcs!$S$7:$S$20,MATCH($B10,Calcs!$A$7:$A$20,0)),0)),0)</f>
        <v>0</v>
      </c>
      <c r="V10" s="51">
        <f>IFERROR(ROUND(INDEX(Calcs!$S$7:$S$20,MATCH($B10,Calcs!$A$7:$A$20,0)),0),"")</f>
        <v>1051</v>
      </c>
      <c r="W10" s="49" t="str">
        <f>IFERROR(INDEX(Calcs!$AF$7:$AF$20,MATCH($B10,Calcs!$A$7:$A$20,0)),"")</f>
        <v>Strong</v>
      </c>
      <c r="X10" s="51">
        <f>IFERROR(ROUND(SUMIF('Poker Stake Ledger'!$C$18:$C$137,$B10,'Poker Stake Ledger'!$K$18:$K$137),1),0)</f>
        <v>0</v>
      </c>
    </row>
    <row r="11" spans="1:24" ht="15" customHeight="1" x14ac:dyDescent="0.2">
      <c r="A11" s="46">
        <f>ROW()-4</f>
        <v>7</v>
      </c>
      <c r="B11" s="47" t="str">
        <f>IFERROR(INDEX(Calcs!$A$7:$A$20,MATCH(LARGE(Calcs!$AI$7:$AI$20,ROW()-4),Calcs!$AI$7:$AI$20,0)),"")</f>
        <v>Shawn</v>
      </c>
      <c r="C11" s="48">
        <f>INDEX(Engine!$B$2:$B$15,MATCH($B11,Engine!$A$2:$A$15,0))+SUMIF('Poker Stake Ledger'!$C$18:$C$137,$B11,'Poker Stake Ledger'!$K$18:$K$137)</f>
        <v>1049.2258055170387</v>
      </c>
      <c r="D11" s="49">
        <f>COUNTIF('Match Log'!$D$4:$D$810,$B11)</f>
        <v>62</v>
      </c>
      <c r="E11" s="49">
        <f>COUNTIFS('Match Log'!$D$4:$D$810,$B11,'Match Log'!$E$4:$E$810,"Win")</f>
        <v>28</v>
      </c>
      <c r="F11" s="49">
        <f>$D11-$E11</f>
        <v>34</v>
      </c>
      <c r="G11" s="50">
        <f>IF($D11=0,"",$E11/$D11)</f>
        <v>0.45161290322580644</v>
      </c>
      <c r="H11" s="51">
        <f>SUMIF('Match Log'!$D$4:$D$810,$B11,'Match Log'!$J$4:$J$810)</f>
        <v>9.1779986932291102</v>
      </c>
      <c r="I11" s="51">
        <f>SUMIF('Match Log'!$D$4:$D$810,$B11,'Match Log'!$K$4:$K$810)</f>
        <v>-7.9521931761903701</v>
      </c>
      <c r="J11" s="51">
        <f>SUMIF('Match Log'!$D$4:$D$810,$B11,'Match Log'!$L$4:$L$810)</f>
        <v>48</v>
      </c>
      <c r="K11" s="49">
        <f>SUMPRODUCT(--(COUNTIFS('Match Log'!$D$4:$D$810,$B11,'Match Log'!$C$4:$C$810,Lists!$C$2:$C$21)&gt;0))</f>
        <v>9</v>
      </c>
      <c r="L11" s="49" t="str">
        <f>IF($D11=0,"No games",IF(AND($D11&gt;='Guide &amp; Settings'!$C$45,$K11&gt;='Guide &amp; Settings'!$C$46),"Eligible","Provisional"))</f>
        <v>Eligible</v>
      </c>
      <c r="M11" s="48">
        <f>IFERROR(INDEX(Calcs!$C$7:$C$20,MATCH($B11,Calcs!$A$7:$A$20,0)),"")</f>
        <v>1076.0735769564942</v>
      </c>
      <c r="N11" s="48">
        <f>MAX($C$5:$C$18)-$C11</f>
        <v>118.98553808370548</v>
      </c>
      <c r="O11" s="49" t="str">
        <f>IFERROR(INDEX(Calcs!$H$7:$H$20,MATCH($B11,Calcs!$A$7:$A$20,0)),"")</f>
        <v>W2</v>
      </c>
      <c r="P11" s="49" t="str">
        <f>IFERROR(INDEX(Calcs!$I$7:$I$20,MATCH($B11,Calcs!$A$7:$A$20,0)),"")</f>
        <v>LLLWW</v>
      </c>
      <c r="Q11" s="49" t="str">
        <f>IFERROR(IF(INDEX(Calcs!$L$7:$L$20,MATCH($B11,Calcs!$A$7:$A$20,0))&gt;0,"▲"&amp;INDEX(Calcs!$L$7:$L$20,MATCH($B11,Calcs!$A$7:$A$20,0)),IF(INDEX(Calcs!$L$7:$L$20,MATCH($B11,Calcs!$A$7:$A$20,0))&lt;0,"▼"&amp;ABS(INDEX(Calcs!$L$7:$L$20,MATCH($B11,Calcs!$A$7:$A$20,0))),"–")),"")</f>
        <v>▲6</v>
      </c>
      <c r="R11" s="49" t="str">
        <f>IFERROR(IF(INDEX(Calcs!$P$7:$P$20,MATCH($B11,Calcs!$A$7:$A$20,0))=0,"—",TEXT(INDEX(Calcs!$P$7:$P$20,MATCH($B11,Calcs!$A$7:$A$20,0)),"d mmm")),"")</f>
        <v>11 Jul</v>
      </c>
      <c r="S11" s="49">
        <f>IFERROR(ROUND(INDEX(Calcs!$Q$7:$Q$20,MATCH($B11,Calcs!$A$7:$A$20,0)),1),"")</f>
        <v>0</v>
      </c>
      <c r="T11" s="49" t="str">
        <f>IFERROR(INDEX(Calcs!$T$7:$T$20,MATCH($B11,Calcs!$A$7:$A$20,0)),"")</f>
        <v>Active</v>
      </c>
      <c r="U11">
        <f>IFERROR(MAX(0,ROUND($C11-INDEX(Calcs!$S$7:$S$20,MATCH($B11,Calcs!$A$7:$A$20,0)),0)),0)</f>
        <v>0</v>
      </c>
      <c r="V11" s="51">
        <f>IFERROR(ROUND(INDEX(Calcs!$S$7:$S$20,MATCH($B11,Calcs!$A$7:$A$20,0)),0),"")</f>
        <v>1049</v>
      </c>
      <c r="W11" s="49" t="str">
        <f>IFERROR(INDEX(Calcs!$AF$7:$AF$20,MATCH($B11,Calcs!$A$7:$A$20,0)),"")</f>
        <v>Strong</v>
      </c>
      <c r="X11" s="51">
        <f>IFERROR(ROUND(SUMIF('Poker Stake Ledger'!$C$18:$C$137,$B11,'Poker Stake Ledger'!$K$18:$K$137),1),0)</f>
        <v>0</v>
      </c>
    </row>
    <row r="12" spans="1:24" ht="15" customHeight="1" x14ac:dyDescent="0.2">
      <c r="A12" s="46">
        <f>ROW()-4</f>
        <v>8</v>
      </c>
      <c r="B12" s="47" t="str">
        <f>IFERROR(INDEX(Calcs!$A$7:$A$20,MATCH(LARGE(Calcs!$AI$7:$AI$20,ROW()-4),Calcs!$AI$7:$AI$20,0)),"")</f>
        <v>Dean M</v>
      </c>
      <c r="C12" s="48">
        <f>INDEX(Engine!$B$2:$B$15,MATCH($B12,Engine!$A$2:$A$15,0))+SUMIF('Poker Stake Ledger'!$C$18:$C$137,$B12,'Poker Stake Ledger'!$K$18:$K$137)</f>
        <v>1031.225848367051</v>
      </c>
      <c r="D12" s="49">
        <f>COUNTIF('Match Log'!$D$4:$D$810,$B12)</f>
        <v>5</v>
      </c>
      <c r="E12" s="49">
        <f>COUNTIFS('Match Log'!$D$4:$D$810,$B12,'Match Log'!$E$4:$E$810,"Win")</f>
        <v>2</v>
      </c>
      <c r="F12" s="49">
        <f>$D12-$E12</f>
        <v>3</v>
      </c>
      <c r="G12" s="50">
        <f>IF($D12=0,"",$E12/$D12)</f>
        <v>0.4</v>
      </c>
      <c r="H12" s="51">
        <f>SUMIF('Match Log'!$D$4:$D$810,$B12,'Match Log'!$J$4:$J$810)</f>
        <v>-2.241024178669619</v>
      </c>
      <c r="I12" s="51">
        <f>SUMIF('Match Log'!$D$4:$D$810,$B12,'Match Log'!$K$4:$K$810)</f>
        <v>13.466872545720536</v>
      </c>
      <c r="J12" s="51">
        <f>SUMIF('Match Log'!$D$4:$D$810,$B12,'Match Log'!$L$4:$L$810)</f>
        <v>20</v>
      </c>
      <c r="K12" s="49">
        <f>SUMPRODUCT(--(COUNTIFS('Match Log'!$D$4:$D$810,$B12,'Match Log'!$C$4:$C$810,Lists!$C$2:$C$21)&gt;0))</f>
        <v>1</v>
      </c>
      <c r="L12" s="49" t="str">
        <f>IF($D12=0,"No games",IF(AND($D12&gt;='Guide &amp; Settings'!$C$45,$K12&gt;='Guide &amp; Settings'!$C$46),"Eligible","Provisional"))</f>
        <v>Provisional</v>
      </c>
      <c r="M12" s="48">
        <f>IFERROR(INDEX(Calcs!$C$7:$C$20,MATCH($B12,Calcs!$A$7:$A$20,0)),"")</f>
        <v>1050.2268397439309</v>
      </c>
      <c r="N12" s="48">
        <f>MAX($C$5:$C$18)-$C12</f>
        <v>136.9854952336932</v>
      </c>
      <c r="O12" s="49" t="str">
        <f>IFERROR(INDEX(Calcs!$H$7:$H$20,MATCH($B12,Calcs!$A$7:$A$20,0)),"")</f>
        <v>W2</v>
      </c>
      <c r="P12" s="49" t="str">
        <f>IFERROR(INDEX(Calcs!$I$7:$I$20,MATCH($B12,Calcs!$A$7:$A$20,0)),"")</f>
        <v>LLLWW</v>
      </c>
      <c r="Q12" s="49" t="str">
        <f>IFERROR(IF(INDEX(Calcs!$L$7:$L$20,MATCH($B12,Calcs!$A$7:$A$20,0))&gt;0,"▲"&amp;INDEX(Calcs!$L$7:$L$20,MATCH($B12,Calcs!$A$7:$A$20,0)),IF(INDEX(Calcs!$L$7:$L$20,MATCH($B12,Calcs!$A$7:$A$20,0))&lt;0,"▼"&amp;ABS(INDEX(Calcs!$L$7:$L$20,MATCH($B12,Calcs!$A$7:$A$20,0))),"–")),"")</f>
        <v>▼1</v>
      </c>
      <c r="R12" s="49" t="str">
        <f>IFERROR(IF(INDEX(Calcs!$P$7:$P$20,MATCH($B12,Calcs!$A$7:$A$20,0))=0,"—",TEXT(INDEX(Calcs!$P$7:$P$20,MATCH($B12,Calcs!$A$7:$A$20,0)),"d mmm")),"")</f>
        <v>15 Jun</v>
      </c>
      <c r="S12" s="49">
        <f>IFERROR(ROUND(INDEX(Calcs!$Q$7:$Q$20,MATCH($B12,Calcs!$A$7:$A$20,0)),1),"")</f>
        <v>3.7</v>
      </c>
      <c r="T12" s="49" t="str">
        <f>IFERROR(INDEX(Calcs!$T$7:$T$20,MATCH($B12,Calcs!$A$7:$A$20,0)),"")</f>
        <v>At risk</v>
      </c>
      <c r="U12">
        <f>IFERROR(MAX(0,ROUND($C12-INDEX(Calcs!$S$7:$S$20,MATCH($B12,Calcs!$A$7:$A$20,0)),0)),0)</f>
        <v>0</v>
      </c>
      <c r="V12" s="51">
        <f>IFERROR(ROUND(INDEX(Calcs!$S$7:$S$20,MATCH($B12,Calcs!$A$7:$A$20,0)),0),"")</f>
        <v>1031</v>
      </c>
      <c r="W12" s="49" t="str">
        <f>IFERROR(INDEX(Calcs!$AF$7:$AF$20,MATCH($B12,Calcs!$A$7:$A$20,0)),"")</f>
        <v>Unranked</v>
      </c>
      <c r="X12" s="51">
        <f>IFERROR(ROUND(SUMIF('Poker Stake Ledger'!$C$18:$C$137,$B12,'Poker Stake Ledger'!$K$18:$K$137),1),0)</f>
        <v>0</v>
      </c>
    </row>
    <row r="13" spans="1:24" ht="15" customHeight="1" x14ac:dyDescent="0.2">
      <c r="A13" s="46">
        <f>ROW()-4</f>
        <v>9</v>
      </c>
      <c r="B13" s="47" t="str">
        <f>IFERROR(INDEX(Calcs!$A$7:$A$20,MATCH(LARGE(Calcs!$AI$7:$AI$20,ROW()-4),Calcs!$AI$7:$AI$20,0)),"")</f>
        <v>Dylan A</v>
      </c>
      <c r="C13" s="48">
        <f>INDEX(Engine!$B$2:$B$15,MATCH($B13,Engine!$A$2:$A$15,0))+SUMIF('Poker Stake Ledger'!$C$18:$C$137,$B13,'Poker Stake Ledger'!$K$18:$K$137)</f>
        <v>1030.3815983388336</v>
      </c>
      <c r="D13" s="49">
        <f>COUNTIF('Match Log'!$D$4:$D$810,$B13)</f>
        <v>4</v>
      </c>
      <c r="E13" s="49">
        <f>COUNTIFS('Match Log'!$D$4:$D$810,$B13,'Match Log'!$E$4:$E$810,"Win")</f>
        <v>2</v>
      </c>
      <c r="F13" s="49">
        <f>$D13-$E13</f>
        <v>2</v>
      </c>
      <c r="G13" s="50">
        <f>IF($D13=0,"",$E13/$D13)</f>
        <v>0.5</v>
      </c>
      <c r="H13" s="51">
        <f>SUMIF('Match Log'!$D$4:$D$810,$B13,'Match Log'!$J$4:$J$810)</f>
        <v>1.5163071728259316</v>
      </c>
      <c r="I13" s="51">
        <f>SUMIF('Match Log'!$D$4:$D$810,$B13,'Match Log'!$K$4:$K$810)</f>
        <v>12.865291166007616</v>
      </c>
      <c r="J13" s="51">
        <f>SUMIF('Match Log'!$D$4:$D$810,$B13,'Match Log'!$L$4:$L$810)</f>
        <v>16</v>
      </c>
      <c r="K13" s="49">
        <f>SUMPRODUCT(--(COUNTIFS('Match Log'!$D$4:$D$810,$B13,'Match Log'!$C$4:$C$810,Lists!$C$2:$C$21)&gt;0))</f>
        <v>1</v>
      </c>
      <c r="L13" s="49" t="str">
        <f>IF($D13=0,"No games",IF(AND($D13&gt;='Guide &amp; Settings'!$C$45,$K13&gt;='Guide &amp; Settings'!$C$46),"Eligible","Provisional"))</f>
        <v>Provisional</v>
      </c>
      <c r="M13" s="48">
        <f>IFERROR(INDEX(Calcs!$C$7:$C$20,MATCH($B13,Calcs!$A$7:$A$20,0)),"")</f>
        <v>1066.8329000946092</v>
      </c>
      <c r="N13" s="48">
        <f>MAX($C$5:$C$18)-$C13</f>
        <v>137.8297452619106</v>
      </c>
      <c r="O13" s="49" t="str">
        <f>IFERROR(INDEX(Calcs!$H$7:$H$20,MATCH($B13,Calcs!$A$7:$A$20,0)),"")</f>
        <v>L1</v>
      </c>
      <c r="P13" s="49" t="str">
        <f>IFERROR(INDEX(Calcs!$I$7:$I$20,MATCH($B13,Calcs!$A$7:$A$20,0)),"")</f>
        <v>WLWL</v>
      </c>
      <c r="Q13" s="49" t="str">
        <f>IFERROR(IF(INDEX(Calcs!$L$7:$L$20,MATCH($B13,Calcs!$A$7:$A$20,0))&gt;0,"▲"&amp;INDEX(Calcs!$L$7:$L$20,MATCH($B13,Calcs!$A$7:$A$20,0)),IF(INDEX(Calcs!$L$7:$L$20,MATCH($B13,Calcs!$A$7:$A$20,0))&lt;0,"▼"&amp;ABS(INDEX(Calcs!$L$7:$L$20,MATCH($B13,Calcs!$A$7:$A$20,0))),"–")),"")</f>
        <v>▼1</v>
      </c>
      <c r="R13" s="49" t="str">
        <f>IFERROR(IF(INDEX(Calcs!$P$7:$P$20,MATCH($B13,Calcs!$A$7:$A$20,0))=0,"—",TEXT(INDEX(Calcs!$P$7:$P$20,MATCH($B13,Calcs!$A$7:$A$20,0)),"d mmm")),"")</f>
        <v>15 Jun</v>
      </c>
      <c r="S13" s="49">
        <f>IFERROR(ROUND(INDEX(Calcs!$Q$7:$Q$20,MATCH($B13,Calcs!$A$7:$A$20,0)),1),"")</f>
        <v>3.7</v>
      </c>
      <c r="T13" s="49" t="str">
        <f>IFERROR(INDEX(Calcs!$T$7:$T$20,MATCH($B13,Calcs!$A$7:$A$20,0)),"")</f>
        <v>At risk</v>
      </c>
      <c r="U13">
        <f>IFERROR(MAX(0,ROUND($C13-INDEX(Calcs!$S$7:$S$20,MATCH($B13,Calcs!$A$7:$A$20,0)),0)),0)</f>
        <v>0</v>
      </c>
      <c r="V13" s="51">
        <f>IFERROR(ROUND(INDEX(Calcs!$S$7:$S$20,MATCH($B13,Calcs!$A$7:$A$20,0)),0),"")</f>
        <v>1030</v>
      </c>
      <c r="W13" s="49" t="str">
        <f>IFERROR(INDEX(Calcs!$AF$7:$AF$20,MATCH($B13,Calcs!$A$7:$A$20,0)),"")</f>
        <v>Unranked</v>
      </c>
      <c r="X13" s="51">
        <f>IFERROR(ROUND(SUMIF('Poker Stake Ledger'!$C$18:$C$137,$B13,'Poker Stake Ledger'!$K$18:$K$137),1),0)</f>
        <v>0</v>
      </c>
    </row>
    <row r="14" spans="1:24" ht="15" customHeight="1" x14ac:dyDescent="0.2">
      <c r="A14" s="46">
        <f>ROW()-4</f>
        <v>10</v>
      </c>
      <c r="B14" s="47" t="str">
        <f>IFERROR(INDEX(Calcs!$A$7:$A$20,MATCH(LARGE(Calcs!$AI$7:$AI$20,ROW()-4),Calcs!$AI$7:$AI$20,0)),"")</f>
        <v>Beau</v>
      </c>
      <c r="C14" s="48">
        <f>INDEX(Engine!$B$2:$B$15,MATCH($B14,Engine!$A$2:$A$15,0))+SUMIF('Poker Stake Ledger'!$C$18:$C$137,$B14,'Poker Stake Ledger'!$K$18:$K$137)</f>
        <v>1029.2201908859522</v>
      </c>
      <c r="D14" s="49">
        <f>COUNTIF('Match Log'!$D$4:$D$810,$B14)</f>
        <v>10</v>
      </c>
      <c r="E14" s="49">
        <f>COUNTIFS('Match Log'!$D$4:$D$810,$B14,'Match Log'!$E$4:$E$810,"Win")</f>
        <v>5</v>
      </c>
      <c r="F14" s="49">
        <f>$D14-$E14</f>
        <v>5</v>
      </c>
      <c r="G14" s="50">
        <f>IF($D14=0,"",$E14/$D14)</f>
        <v>0.5</v>
      </c>
      <c r="H14" s="51">
        <f>SUMIF('Match Log'!$D$4:$D$810,$B14,'Match Log'!$J$4:$J$810)</f>
        <v>-14.85952397332303</v>
      </c>
      <c r="I14" s="51">
        <f>SUMIF('Match Log'!$D$4:$D$810,$B14,'Match Log'!$K$4:$K$810)</f>
        <v>16.079714859275072</v>
      </c>
      <c r="J14" s="51">
        <f>SUMIF('Match Log'!$D$4:$D$810,$B14,'Match Log'!$L$4:$L$810)</f>
        <v>28</v>
      </c>
      <c r="K14" s="49">
        <f>SUMPRODUCT(--(COUNTIFS('Match Log'!$D$4:$D$810,$B14,'Match Log'!$C$4:$C$810,Lists!$C$2:$C$21)&gt;0))</f>
        <v>3</v>
      </c>
      <c r="L14" s="49" t="str">
        <f>IF($D14=0,"No games",IF(AND($D14&gt;='Guide &amp; Settings'!$C$45,$K14&gt;='Guide &amp; Settings'!$C$46),"Eligible","Provisional"))</f>
        <v>Eligible</v>
      </c>
      <c r="M14" s="48">
        <f>IFERROR(INDEX(Calcs!$C$7:$C$20,MATCH($B14,Calcs!$A$7:$A$20,0)),"")</f>
        <v>1061.5362145045176</v>
      </c>
      <c r="N14" s="48">
        <f>MAX($C$5:$C$18)-$C14</f>
        <v>138.99115271479195</v>
      </c>
      <c r="O14" s="49" t="str">
        <f>IFERROR(INDEX(Calcs!$H$7:$H$20,MATCH($B14,Calcs!$A$7:$A$20,0)),"")</f>
        <v>L2</v>
      </c>
      <c r="P14" s="49" t="str">
        <f>IFERROR(INDEX(Calcs!$I$7:$I$20,MATCH($B14,Calcs!$A$7:$A$20,0)),"")</f>
        <v>LWWLL</v>
      </c>
      <c r="Q14" s="49" t="str">
        <f>IFERROR(IF(INDEX(Calcs!$L$7:$L$20,MATCH($B14,Calcs!$A$7:$A$20,0))&gt;0,"▲"&amp;INDEX(Calcs!$L$7:$L$20,MATCH($B14,Calcs!$A$7:$A$20,0)),IF(INDEX(Calcs!$L$7:$L$20,MATCH($B14,Calcs!$A$7:$A$20,0))&lt;0,"▼"&amp;ABS(INDEX(Calcs!$L$7:$L$20,MATCH($B14,Calcs!$A$7:$A$20,0))),"–")),"")</f>
        <v>▼1</v>
      </c>
      <c r="R14" s="49" t="str">
        <f>IFERROR(IF(INDEX(Calcs!$P$7:$P$20,MATCH($B14,Calcs!$A$7:$A$20,0))=0,"—",TEXT(INDEX(Calcs!$P$7:$P$20,MATCH($B14,Calcs!$A$7:$A$20,0)),"d mmm")),"")</f>
        <v>15 Jun</v>
      </c>
      <c r="S14" s="49">
        <f>IFERROR(ROUND(INDEX(Calcs!$Q$7:$Q$20,MATCH($B14,Calcs!$A$7:$A$20,0)),1),"")</f>
        <v>3.7</v>
      </c>
      <c r="T14" s="49" t="str">
        <f>IFERROR(INDEX(Calcs!$T$7:$T$20,MATCH($B14,Calcs!$A$7:$A$20,0)),"")</f>
        <v>At risk</v>
      </c>
      <c r="U14">
        <f>IFERROR(MAX(0,ROUND($C14-INDEX(Calcs!$S$7:$S$20,MATCH($B14,Calcs!$A$7:$A$20,0)),0)),0)</f>
        <v>0</v>
      </c>
      <c r="V14" s="51">
        <f>IFERROR(ROUND(INDEX(Calcs!$S$7:$S$20,MATCH($B14,Calcs!$A$7:$A$20,0)),0),"")</f>
        <v>1029</v>
      </c>
      <c r="W14" s="49" t="str">
        <f>IFERROR(INDEX(Calcs!$AF$7:$AF$20,MATCH($B14,Calcs!$A$7:$A$20,0)),"")</f>
        <v>Mid</v>
      </c>
      <c r="X14" s="51">
        <f>IFERROR(ROUND(SUMIF('Poker Stake Ledger'!$C$18:$C$137,$B14,'Poker Stake Ledger'!$K$18:$K$137),1),0)</f>
        <v>0</v>
      </c>
    </row>
    <row r="15" spans="1:24" ht="15" customHeight="1" x14ac:dyDescent="0.2">
      <c r="A15" s="46">
        <f>ROW()-4</f>
        <v>11</v>
      </c>
      <c r="B15" s="47" t="str">
        <f>IFERROR(INDEX(Calcs!$A$7:$A$20,MATCH(LARGE(Calcs!$AI$7:$AI$20,ROW()-4),Calcs!$AI$7:$AI$20,0)),"")</f>
        <v>Chase</v>
      </c>
      <c r="C15" s="48">
        <f>INDEX(Engine!$B$2:$B$15,MATCH($B15,Engine!$A$2:$A$15,0))+SUMIF('Poker Stake Ledger'!$C$18:$C$137,$B15,'Poker Stake Ledger'!$K$18:$K$137)</f>
        <v>1016.7837867075796</v>
      </c>
      <c r="D15" s="49">
        <f>COUNTIF('Match Log'!$D$4:$D$810,$B15)</f>
        <v>10</v>
      </c>
      <c r="E15" s="49">
        <f>COUNTIFS('Match Log'!$D$4:$D$810,$B15,'Match Log'!$E$4:$E$810,"Win")</f>
        <v>5</v>
      </c>
      <c r="F15" s="49">
        <f>$D15-$E15</f>
        <v>5</v>
      </c>
      <c r="G15" s="50">
        <f>IF($D15=0,"",$E15/$D15)</f>
        <v>0.5</v>
      </c>
      <c r="H15" s="51">
        <f>SUMIF('Match Log'!$D$4:$D$810,$B15,'Match Log'!$J$4:$J$810)</f>
        <v>7.3695009932937108</v>
      </c>
      <c r="I15" s="51">
        <f>SUMIF('Match Log'!$D$4:$D$810,$B15,'Match Log'!$K$4:$K$810)</f>
        <v>-1.5857142857142881</v>
      </c>
      <c r="J15" s="51">
        <f>SUMIF('Match Log'!$D$4:$D$810,$B15,'Match Log'!$L$4:$L$810)</f>
        <v>11</v>
      </c>
      <c r="K15" s="49">
        <f>SUMPRODUCT(--(COUNTIFS('Match Log'!$D$4:$D$810,$B15,'Match Log'!$C$4:$C$810,Lists!$C$2:$C$21)&gt;0))</f>
        <v>6</v>
      </c>
      <c r="L15" s="49" t="str">
        <f>IF($D15=0,"No games",IF(AND($D15&gt;='Guide &amp; Settings'!$C$45,$K15&gt;='Guide &amp; Settings'!$C$46),"Eligible","Provisional"))</f>
        <v>Eligible</v>
      </c>
      <c r="M15" s="48">
        <f>IFERROR(INDEX(Calcs!$C$7:$C$20,MATCH($B15,Calcs!$A$7:$A$20,0)),"")</f>
        <v>1056.8981809666868</v>
      </c>
      <c r="N15" s="48">
        <f>MAX($C$5:$C$18)-$C15</f>
        <v>151.42755689316459</v>
      </c>
      <c r="O15" s="49" t="str">
        <f>IFERROR(INDEX(Calcs!$H$7:$H$20,MATCH($B15,Calcs!$A$7:$A$20,0)),"")</f>
        <v>W1</v>
      </c>
      <c r="P15" s="49" t="str">
        <f>IFERROR(INDEX(Calcs!$I$7:$I$20,MATCH($B15,Calcs!$A$7:$A$20,0)),"")</f>
        <v>WLLLW</v>
      </c>
      <c r="Q15" s="49" t="str">
        <f>IFERROR(IF(INDEX(Calcs!$L$7:$L$20,MATCH($B15,Calcs!$A$7:$A$20,0))&gt;0,"▲"&amp;INDEX(Calcs!$L$7:$L$20,MATCH($B15,Calcs!$A$7:$A$20,0)),IF(INDEX(Calcs!$L$7:$L$20,MATCH($B15,Calcs!$A$7:$A$20,0))&lt;0,"▼"&amp;ABS(INDEX(Calcs!$L$7:$L$20,MATCH($B15,Calcs!$A$7:$A$20,0))),"–")),"")</f>
        <v>▼1</v>
      </c>
      <c r="R15" s="49" t="str">
        <f>IFERROR(IF(INDEX(Calcs!$P$7:$P$20,MATCH($B15,Calcs!$A$7:$A$20,0))=0,"—",TEXT(INDEX(Calcs!$P$7:$P$20,MATCH($B15,Calcs!$A$7:$A$20,0)),"d mmm")),"")</f>
        <v>15 Jun</v>
      </c>
      <c r="S15" s="49">
        <f>IFERROR(ROUND(INDEX(Calcs!$Q$7:$Q$20,MATCH($B15,Calcs!$A$7:$A$20,0)),1),"")</f>
        <v>3.7</v>
      </c>
      <c r="T15" s="49" t="str">
        <f>IFERROR(INDEX(Calcs!$T$7:$T$20,MATCH($B15,Calcs!$A$7:$A$20,0)),"")</f>
        <v>At risk</v>
      </c>
      <c r="U15">
        <f>IFERROR(MAX(0,ROUND($C15-INDEX(Calcs!$S$7:$S$20,MATCH($B15,Calcs!$A$7:$A$20,0)),0)),0)</f>
        <v>0</v>
      </c>
      <c r="V15" s="51">
        <f>IFERROR(ROUND(INDEX(Calcs!$S$7:$S$20,MATCH($B15,Calcs!$A$7:$A$20,0)),0),"")</f>
        <v>1017</v>
      </c>
      <c r="W15" s="49" t="str">
        <f>IFERROR(INDEX(Calcs!$AF$7:$AF$20,MATCH($B15,Calcs!$A$7:$A$20,0)),"")</f>
        <v>Mid</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Log'!$C$4:$C$810,Lists!$C$2:$C$21)&gt;0))</f>
        <v>0</v>
      </c>
      <c r="L16" s="49" t="str">
        <f>IF($D16=0,"No games",IF(AND($D16&gt;='Guide &amp; Settings'!$C$45,$K16&gt;='Guide &amp; Settings'!$C$46),"Eligible","Provisional"))</f>
        <v>No games</v>
      </c>
      <c r="M16" s="48" t="str">
        <f>IFERROR(INDEX(Calcs!$C$7:$C$20,MATCH($B16,Calcs!$A$7:$A$20,0)),"")</f>
        <v/>
      </c>
      <c r="N16" s="48">
        <f>MAX($C$5:$C$18)-$C16</f>
        <v>168.21134360074416</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973.18894572037368</v>
      </c>
      <c r="D17" s="49">
        <f>COUNTIF('Match Log'!$D$4:$D$810,$B17)</f>
        <v>15</v>
      </c>
      <c r="E17" s="49">
        <f>COUNTIFS('Match Log'!$D$4:$D$810,$B17,'Match Log'!$E$4:$E$810,"Win")</f>
        <v>4</v>
      </c>
      <c r="F17" s="49">
        <f>$D17-$E17</f>
        <v>11</v>
      </c>
      <c r="G17" s="50">
        <f>IF($D17=0,"",$E17/$D17)</f>
        <v>0.26666666666666666</v>
      </c>
      <c r="H17" s="51">
        <f>SUMIF('Match Log'!$D$4:$D$810,$B17,'Match Log'!$J$4:$J$810)</f>
        <v>-47.273602017876598</v>
      </c>
      <c r="I17" s="51">
        <f>SUMIF('Match Log'!$D$4:$D$810,$B17,'Match Log'!$K$4:$K$810)</f>
        <v>-10.537452261749699</v>
      </c>
      <c r="J17" s="51">
        <f>SUMIF('Match Log'!$D$4:$D$810,$B17,'Match Log'!$L$4:$L$810)</f>
        <v>31</v>
      </c>
      <c r="K17" s="49">
        <f>SUMPRODUCT(--(COUNTIFS('Match Log'!$D$4:$D$810,$B17,'Match Log'!$C$4:$C$810,Lists!$C$2:$C$21)&gt;0))</f>
        <v>4</v>
      </c>
      <c r="L17" s="49" t="str">
        <f>IF($D17=0,"No games",IF(AND($D17&gt;='Guide &amp; Settings'!$C$45,$K17&gt;='Guide &amp; Settings'!$C$46),"Eligible","Provisional"))</f>
        <v>Eligible</v>
      </c>
      <c r="M17" s="48">
        <f>IFERROR(INDEX(Calcs!$C$7:$C$20,MATCH($B17,Calcs!$A$7:$A$20,0)),"")</f>
        <v>1074.2055719287434</v>
      </c>
      <c r="N17" s="48">
        <f>MAX($C$5:$C$18)-$C17</f>
        <v>195.02239788037048</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▼1</v>
      </c>
      <c r="R17" s="49" t="str">
        <f>IFERROR(IF(INDEX(Calcs!$P$7:$P$20,MATCH($B17,Calcs!$A$7:$A$20,0))=0,"—",TEXT(INDEX(Calcs!$P$7:$P$20,MATCH($B17,Calcs!$A$7:$A$20,0)),"d mmm")),"")</f>
        <v>11 Jul</v>
      </c>
      <c r="S17" s="49">
        <f>IFERROR(ROUND(INDEX(Calcs!$Q$7:$Q$20,MATCH($B17,Calcs!$A$7:$A$20,0)),1),"")</f>
        <v>0</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Log'!$C$4:$C$810,Lists!$C$2:$C$21)&gt;0))</f>
        <v>3</v>
      </c>
      <c r="L18" s="49" t="str">
        <f>IF($D18=0,"No games",IF(AND($D18&gt;='Guide &amp; Settings'!$C$45,$K18&gt;='Guide &amp; Settings'!$C$46),"Eligible","Provisional"))</f>
        <v>Eligible</v>
      </c>
      <c r="M18" s="48">
        <f>IFERROR(INDEX(Calcs!$C$7:$C$20,MATCH($B18,Calcs!$A$7:$A$20,0)),"")</f>
        <v>1079.3484649205102</v>
      </c>
      <c r="N18" s="48">
        <f>MAX($C$5:$C$18)-$C18</f>
        <v>275.17459172349243</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3.7</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7</v>
      </c>
      <c r="D5" s="56" t="s">
        <v>181</v>
      </c>
      <c r="E5" s="36">
        <f>COUNTIFS('Match Log'!$D$4:$D$810,$B$3,'Match Log'!$C$4:$C$810,$D5)</f>
        <v>2</v>
      </c>
      <c r="F5" s="36">
        <f>COUNTIFS('Match Log'!$D$4:$D$810,$B$3,'Match Log'!$C$4:$C$810,$D5,'Match Log'!$E$4:$E$810,"Win")</f>
        <v>2</v>
      </c>
      <c r="G5" s="57">
        <f t="shared" ref="G5:G23" si="0">IF($E5=0,"",$F5/$E5)</f>
        <v>1</v>
      </c>
      <c r="H5" s="58">
        <f>IFERROR(IF($E5=0,"",INDEX('Sport Records'!$B$91:$O$110,MATCH($D5,'Sport Records'!$A$91:$A$110,0),MATCH($B$3,'Sport Records'!$B$90:$O$90,0))),"")</f>
        <v>1030.5304984710244</v>
      </c>
    </row>
    <row r="6" spans="1:8" ht="15" customHeight="1" x14ac:dyDescent="0.2">
      <c r="A6" s="54" t="s">
        <v>69</v>
      </c>
      <c r="B6" s="59">
        <f>IFERROR(INDEX(Dashboard!$C$5:$C$18,MATCH($B$3,Dashboard!$B$5:$B$18,0)),"")</f>
        <v>1049.2258055170387</v>
      </c>
      <c r="D6" s="60" t="s">
        <v>182</v>
      </c>
      <c r="E6" s="39">
        <f>COUNTIFS('Match Log'!$D$4:$D$810,$B$3,'Match Log'!$C$4:$C$810,$D6)</f>
        <v>0</v>
      </c>
      <c r="F6" s="39">
        <f>COUNTIFS('Match Log'!$D$4:$D$810,$B$3,'Match Log'!$C$4:$C$810,$D6,'Match Log'!$E$4:$E$810,"Win")</f>
        <v>0</v>
      </c>
      <c r="G6" s="61" t="str">
        <f t="shared" si="0"/>
        <v/>
      </c>
      <c r="H6" s="62" t="str">
        <f>IFERROR(IF($E6=0,"",INDEX('Sport Records'!$B$91:$O$110,MATCH($D6,'Sport Records'!$A$91:$A$110,0),MATCH($B$3,'Sport Records'!$B$90:$O$90,0))),"")</f>
        <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Records'!$B$91:$O$110,MATCH($D7,'Sport Records'!$A$91:$A$110,0),MATCH($B$3,'Sport Records'!$B$90:$O$90,0))),"")</f>
        <v>974.00768231912002</v>
      </c>
    </row>
    <row r="8" spans="1:8" ht="15" customHeight="1" x14ac:dyDescent="0.2">
      <c r="A8" s="54" t="s">
        <v>126</v>
      </c>
      <c r="B8" s="55" t="str">
        <f>IFERROR(INDEX(Dashboard!$E$5:$E$18,MATCH($B$3,Dashboard!$B$5:$B$18,0))&amp;"–"&amp;INDEX(Dashboard!$F$5:$F$18,MATCH($B$3,Dashboard!$B$5:$B$18,0)),"")</f>
        <v>28–34</v>
      </c>
      <c r="D8" s="60" t="s">
        <v>184</v>
      </c>
      <c r="E8" s="39">
        <f>COUNTIFS('Match Log'!$D$4:$D$810,$B$3,'Match Log'!$C$4:$C$810,$D8)</f>
        <v>0</v>
      </c>
      <c r="F8" s="39">
        <f>COUNTIFS('Match Log'!$D$4:$D$810,$B$3,'Match Log'!$C$4:$C$810,$D8,'Match Log'!$E$4:$E$810,"Win")</f>
        <v>0</v>
      </c>
      <c r="G8" s="61" t="str">
        <f t="shared" si="0"/>
        <v/>
      </c>
      <c r="H8" s="62" t="str">
        <f>IFERROR(IF($E8=0,"",INDEX('Sport Records'!$B$91:$O$110,MATCH($D8,'Sport Records'!$A$91:$A$110,0),MATCH($B$3,'Sport Records'!$B$90:$O$90,0))),"")</f>
        <v/>
      </c>
    </row>
    <row r="9" spans="1:8" ht="15" customHeight="1" x14ac:dyDescent="0.2">
      <c r="A9" s="54" t="s">
        <v>102</v>
      </c>
      <c r="B9" s="63">
        <f>IFERROR(INDEX(Dashboard!$G$5:$G$18,MATCH($B$3,Dashboard!$B$5:$B$18,0)),"")</f>
        <v>0.45161290322580644</v>
      </c>
      <c r="D9" s="56" t="s">
        <v>185</v>
      </c>
      <c r="E9" s="36">
        <f>COUNTIFS('Match Log'!$D$4:$D$810,$B$3,'Match Log'!$C$4:$C$810,$D9)</f>
        <v>0</v>
      </c>
      <c r="F9" s="36">
        <f>COUNTIFS('Match Log'!$D$4:$D$810,$B$3,'Match Log'!$C$4:$C$810,$D9,'Match Log'!$E$4:$E$810,"Win")</f>
        <v>0</v>
      </c>
      <c r="G9" s="57" t="str">
        <f t="shared" si="0"/>
        <v/>
      </c>
      <c r="H9" s="58" t="str">
        <f>IFERROR(IF($E9=0,"",INDEX('Sport Records'!$B$91:$O$110,MATCH($D9,'Sport Records'!$A$91:$A$110,0),MATCH($B$3,'Sport Records'!$B$90:$O$90,0))),"")</f>
        <v/>
      </c>
    </row>
    <row r="10" spans="1:8" ht="15" customHeight="1" x14ac:dyDescent="0.2">
      <c r="A10" s="54" t="s">
        <v>127</v>
      </c>
      <c r="B10" s="55">
        <f>IFERROR(INDEX(Dashboard!$D$5:$D$18,MATCH($B$3,Dashboard!$B$5:$B$18,0)),"")</f>
        <v>62</v>
      </c>
      <c r="D10" s="60" t="s">
        <v>186</v>
      </c>
      <c r="E10" s="39">
        <f>COUNTIFS('Match Log'!$D$4:$D$810,$B$3,'Match Log'!$C$4:$C$810,$D10)</f>
        <v>1</v>
      </c>
      <c r="F10" s="39">
        <f>COUNTIFS('Match Log'!$D$4:$D$810,$B$3,'Match Log'!$C$4:$C$810,$D10,'Match Log'!$E$4:$E$810,"Win")</f>
        <v>0</v>
      </c>
      <c r="G10" s="61">
        <f t="shared" si="0"/>
        <v>0</v>
      </c>
      <c r="H10" s="62">
        <f>IFERROR(IF($E10=0,"",INDEX('Sport Records'!$B$91:$O$110,MATCH($D10,'Sport Records'!$A$91:$A$110,0),MATCH($B$3,'Sport Records'!$B$90:$O$90,0))),"")</f>
        <v>997.71428571428567</v>
      </c>
    </row>
    <row r="11" spans="1:8" ht="15" customHeight="1" x14ac:dyDescent="0.2">
      <c r="A11" s="54" t="s">
        <v>187</v>
      </c>
      <c r="B11" s="55">
        <f>IFERROR(INDEX(Dashboard!$K$5:$K$18,MATCH($B$3,Dashboard!$B$5:$B$18,0)),"")</f>
        <v>9</v>
      </c>
      <c r="D11" s="56" t="s">
        <v>188</v>
      </c>
      <c r="E11" s="36">
        <f>COUNTIFS('Match Log'!$D$4:$D$810,$B$3,'Match Log'!$C$4:$C$810,$D11)</f>
        <v>0</v>
      </c>
      <c r="F11" s="36">
        <f>COUNTIFS('Match Log'!$D$4:$D$810,$B$3,'Match Log'!$C$4:$C$810,$D11,'Match Log'!$E$4:$E$810,"Win")</f>
        <v>0</v>
      </c>
      <c r="G11" s="57" t="str">
        <f t="shared" si="0"/>
        <v/>
      </c>
      <c r="H11" s="58" t="str">
        <f>IFERROR(IF($E11=0,"",INDEX('Sport Records'!$B$91:$O$110,MATCH($D11,'Sport Records'!$A$91:$A$110,0),MATCH($B$3,'Sport Records'!$B$90:$O$90,0))),"")</f>
        <v/>
      </c>
    </row>
    <row r="12" spans="1:8" ht="15" customHeight="1" x14ac:dyDescent="0.2">
      <c r="A12" s="54" t="s">
        <v>189</v>
      </c>
      <c r="B12" s="59">
        <f>IFERROR(INDEX(Calcs!$C$7:$C$20,MATCH($B$3,Calcs!$A$7:$A$20,0)),"")</f>
        <v>1076.0735769564942</v>
      </c>
      <c r="D12" s="60" t="s">
        <v>190</v>
      </c>
      <c r="E12" s="39">
        <f>COUNTIFS('Match Log'!$D$4:$D$810,$B$3,'Match Log'!$C$4:$C$810,$D12)</f>
        <v>0</v>
      </c>
      <c r="F12" s="39">
        <f>COUNTIFS('Match Log'!$D$4:$D$810,$B$3,'Match Log'!$C$4:$C$810,$D12,'Match Log'!$E$4:$E$810,"Win")</f>
        <v>0</v>
      </c>
      <c r="G12" s="61" t="str">
        <f t="shared" si="0"/>
        <v/>
      </c>
      <c r="H12" s="62" t="str">
        <f>IFERROR(IF($E12=0,"",INDEX('Sport Records'!$B$91:$O$110,MATCH($D12,'Sport Records'!$A$91:$A$110,0),MATCH($B$3,'Sport Records'!$B$90:$O$90,0))),"")</f>
        <v/>
      </c>
    </row>
    <row r="13" spans="1:8" ht="15" customHeight="1" x14ac:dyDescent="0.2">
      <c r="A13" s="54" t="s">
        <v>191</v>
      </c>
      <c r="B13" s="55" t="str">
        <f>IFERROR(INDEX(Calcs!$H$7:$H$20,MATCH($B$3,Calcs!$A$7:$A$20,0)),"")</f>
        <v>W2</v>
      </c>
      <c r="D13" s="56" t="s">
        <v>192</v>
      </c>
      <c r="E13" s="36">
        <f>COUNTIFS('Match Log'!$D$4:$D$810,$B$3,'Match Log'!$C$4:$C$810,$D13)</f>
        <v>2</v>
      </c>
      <c r="F13" s="36">
        <f>COUNTIFS('Match Log'!$D$4:$D$810,$B$3,'Match Log'!$C$4:$C$810,$D13,'Match Log'!$E$4:$E$810,"Win")</f>
        <v>1</v>
      </c>
      <c r="G13" s="57">
        <f t="shared" si="0"/>
        <v>0.5</v>
      </c>
      <c r="H13" s="58">
        <f>IFERROR(IF($E13=0,"",INDEX('Sport Records'!$B$91:$O$110,MATCH($D13,'Sport Records'!$A$91:$A$110,0),MATCH($B$3,'Sport Records'!$B$90:$O$90,0))),"")</f>
        <v>1008.3683485189694</v>
      </c>
    </row>
    <row r="14" spans="1:8" ht="15" customHeight="1" x14ac:dyDescent="0.2">
      <c r="A14" s="54" t="s">
        <v>162</v>
      </c>
      <c r="B14" s="55" t="str">
        <f>IFERROR(INDEX(Calcs!$I$7:$I$20,MATCH($B$3,Calcs!$A$7:$A$20,0)),"")</f>
        <v>LLLWW</v>
      </c>
      <c r="D14" s="60" t="s">
        <v>193</v>
      </c>
      <c r="E14" s="39">
        <f>COUNTIFS('Match Log'!$D$4:$D$810,$B$3,'Match Log'!$C$4:$C$810,$D14)</f>
        <v>0</v>
      </c>
      <c r="F14" s="39">
        <f>COUNTIFS('Match Log'!$D$4:$D$810,$B$3,'Match Log'!$C$4:$C$810,$D14,'Match Log'!$E$4:$E$810,"Win")</f>
        <v>0</v>
      </c>
      <c r="G14" s="61" t="str">
        <f t="shared" si="0"/>
        <v/>
      </c>
      <c r="H14" s="62" t="str">
        <f>IFERROR(IF($E14=0,"",INDEX('Sport Records'!$B$91:$O$110,MATCH($D14,'Sport Records'!$A$91:$A$110,0),MATCH($B$3,'Sport Records'!$B$90:$O$90,0))),"")</f>
        <v/>
      </c>
    </row>
    <row r="15" spans="1:8" ht="15" customHeight="1" x14ac:dyDescent="0.2">
      <c r="A15" s="54" t="s">
        <v>112</v>
      </c>
      <c r="B15" s="59">
        <f>IFERROR(INDEX(Calcs!$E$7:$E$20,MATCH($B$3,Calcs!$A$7:$A$20,0)),"")</f>
        <v>118.98553808370548</v>
      </c>
      <c r="D15" s="56" t="s">
        <v>194</v>
      </c>
      <c r="E15" s="36">
        <f>COUNTIFS('Match Log'!$D$4:$D$810,$B$3,'Match Log'!$C$4:$C$810,$D15)</f>
        <v>0</v>
      </c>
      <c r="F15" s="36">
        <f>COUNTIFS('Match Log'!$D$4:$D$810,$B$3,'Match Log'!$C$4:$C$810,$D15,'Match Log'!$E$4:$E$810,"Win")</f>
        <v>0</v>
      </c>
      <c r="G15" s="57" t="str">
        <f t="shared" si="0"/>
        <v/>
      </c>
      <c r="H15" s="58" t="str">
        <f>IFERROR(IF($E15=0,"",INDEX('Sport Records'!$B$91:$O$110,MATCH($D15,'Sport Records'!$A$91:$A$110,0),MATCH($B$3,'Sport Records'!$B$90:$O$90,0))),"")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Records'!$B$91:$O$110,MATCH($D16,'Sport Records'!$A$91:$A$110,0),MATCH($B$3,'Sport Records'!$B$90:$O$90,0))),"")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9</v>
      </c>
      <c r="F17" s="36">
        <f>COUNTIFS('Match Log'!$D$4:$D$810,$B$3,'Match Log'!$C$4:$C$810,$D17,'Match Log'!$E$4:$E$810,"Win")</f>
        <v>2</v>
      </c>
      <c r="G17" s="57">
        <f t="shared" si="0"/>
        <v>0.22222222222222221</v>
      </c>
      <c r="H17" s="58">
        <f>IFERROR(IF($E17=0,"",INDEX('Sport Records'!$B$91:$O$110,MATCH($D17,'Sport Records'!$A$91:$A$110,0),MATCH($B$3,'Sport Records'!$B$90:$O$90,0))),"")</f>
        <v>948.96790333240949</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Records'!$B$91:$O$110,MATCH($D18,'Sport Records'!$A$91:$A$110,0),MATCH($B$3,'Sport Records'!$B$90:$O$90,0))),"")</f>
        <v>904.65647514018167</v>
      </c>
    </row>
    <row r="19" spans="1:8" ht="15" customHeight="1" x14ac:dyDescent="0.2">
      <c r="A19" s="64" t="s">
        <v>200</v>
      </c>
      <c r="B19" s="66" t="str">
        <f>IFERROR(INDEX($D$5:$D$24,MATCH(MAX($H$5:$H$24),$H$5:$H$24,0)),"")</f>
        <v>Table Tennis</v>
      </c>
      <c r="D19" s="56" t="s">
        <v>201</v>
      </c>
      <c r="E19" s="36">
        <f>COUNTIFS('Match Log'!$D$4:$D$810,$B$3,'Match Log'!$C$4:$C$810,$D19)</f>
        <v>0</v>
      </c>
      <c r="F19" s="36">
        <f>COUNTIFS('Match Log'!$D$4:$D$810,$B$3,'Match Log'!$C$4:$C$810,$D19,'Match Log'!$E$4:$E$810,"Win")</f>
        <v>0</v>
      </c>
      <c r="G19" s="57" t="str">
        <f t="shared" si="0"/>
        <v/>
      </c>
      <c r="H19" s="58" t="str">
        <f>IFERROR(IF($E19=0,"",INDEX('Sport Records'!$B$91:$O$110,MATCH($D19,'Sport Records'!$A$91:$A$110,0),MATCH($B$3,'Sport Records'!$B$90:$O$90,0))),"")</f>
        <v/>
      </c>
    </row>
    <row r="20" spans="1:8" ht="15" customHeight="1" x14ac:dyDescent="0.2">
      <c r="A20" s="64" t="s">
        <v>202</v>
      </c>
      <c r="B20" s="66" t="str">
        <f>IFERROR(INDEX($D$5:$D$24,MATCH(MAX($E$5:$E$24),$E$5:$E$24,0)),"")</f>
        <v>FIFA</v>
      </c>
      <c r="D20" s="60" t="s">
        <v>203</v>
      </c>
      <c r="E20" s="39">
        <f>COUNTIFS('Match Log'!$D$4:$D$810,$B$3,'Match Log'!$C$4:$C$810,$D20)</f>
        <v>0</v>
      </c>
      <c r="F20" s="39">
        <f>COUNTIFS('Match Log'!$D$4:$D$810,$B$3,'Match Log'!$C$4:$C$810,$D20,'Match Log'!$E$4:$E$810,"Win")</f>
        <v>0</v>
      </c>
      <c r="G20" s="61" t="str">
        <f t="shared" si="0"/>
        <v/>
      </c>
      <c r="H20" s="62" t="str">
        <f>IFERROR(IF($E20=0,"",INDEX('Sport Records'!$B$91:$O$110,MATCH($D20,'Sport Records'!$A$91:$A$110,0),MATCH($B$3,'Sport Records'!$B$90:$O$90,0))),"")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Records'!$B$91:$O$110,MATCH($D21,'Sport Records'!$A$91:$A$110,0),MATCH($B$3,'Sport Records'!$B$90:$O$90,0))),"")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Records'!$B$91:$O$110,MATCH($D22,'Sport Records'!$A$91:$A$110,0),MATCH($B$3,'Sport Records'!$B$90:$O$90,0))),"")</f>
        <v>994.87575697010811</v>
      </c>
    </row>
    <row r="23" spans="1:8" ht="15" customHeight="1" x14ac:dyDescent="0.2">
      <c r="A23" s="64" t="s">
        <v>207</v>
      </c>
      <c r="B23" s="67">
        <f>IFERROR(ROUND(INDEX(Calcs!$AB$7:$AB$20,MATCH($B$3,Calcs!$A$7:$A$20,0)),0),"")</f>
        <v>64</v>
      </c>
      <c r="D23" s="56" t="s">
        <v>208</v>
      </c>
      <c r="E23" s="36">
        <f>COUNTIFS('Match Log'!$D$4:$D$810,$B$3,'Match Log'!$C$4:$C$810,$D23)</f>
        <v>7</v>
      </c>
      <c r="F23" s="36">
        <f>COUNTIFS('Match Log'!$D$4:$D$810,$B$3,'Match Log'!$C$4:$C$810,$D23,'Match Log'!$E$4:$E$810,"Win")</f>
        <v>5</v>
      </c>
      <c r="G23" s="57">
        <f t="shared" si="0"/>
        <v>0.7142857142857143</v>
      </c>
      <c r="H23" s="58">
        <f>IFERROR(IF($E23=0,"",INDEX('Sport Records'!$B$91:$O$110,MATCH($D23,'Sport Records'!$A$91:$A$110,0),MATCH($B$3,'Sport Records'!$B$90:$O$90,0))),"")</f>
        <v>1030.2265340285246</v>
      </c>
    </row>
    <row r="24" spans="1:8" x14ac:dyDescent="0.2">
      <c r="A24" s="64" t="s">
        <v>209</v>
      </c>
      <c r="B24" s="65">
        <f>IFERROR(ROUND(INDEX(Calcs!$W$7:$W$20,MATCH($B$3,Calcs!$A$7:$A$20,0)),0),"")</f>
        <v>62</v>
      </c>
      <c r="D24" s="56" t="s">
        <v>407</v>
      </c>
      <c r="E24" s="36">
        <f>COUNTIFS('Match Log'!$D$4:$D$810,$B$3,'Match Log'!$C$4:$C$810,$D24)</f>
        <v>0</v>
      </c>
      <c r="F24" s="36">
        <f>COUNTIFS('Match Log'!$D$4:$D$810,$B$3,'Match Log'!$C$4:$C$810,$D24,'Match Log'!$E$4:$E$810,"Win")</f>
        <v>0</v>
      </c>
      <c r="G24" s="57" t="str">
        <f>IF($E24=0,"",$F24/$E24)</f>
        <v/>
      </c>
      <c r="H24" s="58" t="str">
        <f>IFERROR(IF($E24=0,"",INDEX('Sport Records'!$B$91:$O$110,MATCH($D24,'Sport Records'!$A$91:$A$110,0),MATCH($B$3,'Sport Records'!$B$90:$O$90,0))),"")</f>
        <v/>
      </c>
    </row>
    <row r="25" spans="1:8" x14ac:dyDescent="0.2">
      <c r="A25" s="64" t="s">
        <v>210</v>
      </c>
      <c r="B25" s="65">
        <f>IFERROR(ROUND(INDEX(Calcs!$X$7:$X$20,MATCH($B$3,Calcs!$A$7:$A$20,0)),0),"")</f>
        <v>45</v>
      </c>
    </row>
    <row r="26" spans="1:8" x14ac:dyDescent="0.2">
      <c r="A26" s="64" t="s">
        <v>211</v>
      </c>
      <c r="B26" s="65">
        <f>IFERROR(ROUND(INDEX(Calcs!$Y$7:$Y$20,MATCH($B$3,Calcs!$A$7:$A$20,0)),0),"")</f>
        <v>100</v>
      </c>
    </row>
    <row r="27" spans="1:8" x14ac:dyDescent="0.2">
      <c r="A27" s="64" t="s">
        <v>212</v>
      </c>
      <c r="B27" s="65">
        <f>IFERROR(ROUND(INDEX(Calcs!$Z$7:$Z$20,MATCH($B$3,Calcs!$A$7:$A$20,0)),0),"")</f>
        <v>40</v>
      </c>
    </row>
    <row r="28" spans="1:8" x14ac:dyDescent="0.2">
      <c r="A28" s="64" t="s">
        <v>213</v>
      </c>
      <c r="B28" s="65">
        <f>IFERROR(ROUND(INDEX(Calcs!$AA$7:$AA$20,MATCH($B$3,Calcs!$A$7:$A$20,0)),0),"")</f>
        <v>69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2" id="{00000000-000E-0000-0300-000020000000}">
            <xm:f>IFERROR(INDEX(Calcs!$Q$7:$Q$20,MATCH($B$3,Calcs!$A$7:$A$20,0)),0)&gt;=8</xm:f>
            <x14:dxf>
              <fill>
                <patternFill>
                  <bgColor rgb="FFFFC7CE"/>
                </patternFill>
              </fill>
            </x14:dxf>
          </x14:cfRule>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58% of 24</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42% of 24</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24</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13</v>
      </c>
      <c r="J26" s="70">
        <f>IF($A26=J$21,0,SUMPRODUCT(('Match Log'!$D$4:$D$810=$A26)*(COUNTIFS('Match Log'!$A$4:$A$810,'Match Log'!$A$4:$A$810,'Match Log'!$D$4:$D$810,J$21)&gt;0)))</f>
        <v>5</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24</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13</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12</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5</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12</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0</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0</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90"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SUM($P$8:$P$27)</f>
        <v>139</v>
      </c>
    </row>
    <row r="4" spans="1:18" ht="18.75" customHeight="1" x14ac:dyDescent="0.2">
      <c r="A4" s="73" t="s">
        <v>223</v>
      </c>
      <c r="C4" s="159" t="str">
        <f>INDEX($A$74:$A$87,MATCH(MAX($S$74:$S$87),$S$74:$S$87,0))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Log'!$D$4:$D$810,B$7,'Match Log'!$C$4:$C$810,$A8)</f>
        <v>0</v>
      </c>
      <c r="C8" s="77">
        <f>COUNTIFS('Match Log'!$D$4:$D$810,C$7,'Match Log'!$C$4:$C$810,$A8)</f>
        <v>0</v>
      </c>
      <c r="D8" s="77">
        <f>COUNTIFS('Match Log'!$D$4:$D$810,D$7,'Match Log'!$C$4:$C$810,$A8)</f>
        <v>0</v>
      </c>
      <c r="E8" s="77">
        <f>COUNTIFS('Match Log'!$D$4:$D$810,E$7,'Match Log'!$C$4:$C$810,$A8)</f>
        <v>0</v>
      </c>
      <c r="F8" s="77">
        <f>COUNTIFS('Match Log'!$D$4:$D$810,F$7,'Match Log'!$C$4:$C$810,$A8)</f>
        <v>0</v>
      </c>
      <c r="G8" s="77">
        <f>COUNTIFS('Match Log'!$D$4:$D$810,G$7,'Match Log'!$C$4:$C$810,$A8)</f>
        <v>2</v>
      </c>
      <c r="H8" s="77">
        <f>COUNTIFS('Match Log'!$D$4:$D$810,H$7,'Match Log'!$C$4:$C$810,$A8)</f>
        <v>0</v>
      </c>
      <c r="I8" s="77">
        <f>COUNTIFS('Match Log'!$D$4:$D$810,I$7,'Match Log'!$C$4:$C$810,$A8)</f>
        <v>2</v>
      </c>
      <c r="J8" s="77">
        <f>COUNTIFS('Match Log'!$D$4:$D$810,J$7,'Match Log'!$C$4:$C$810,$A8)</f>
        <v>0</v>
      </c>
      <c r="K8" s="77">
        <f>COUNTIFS('Match Log'!$D$4:$D$810,K$7,'Match Log'!$C$4:$C$810,$A8)</f>
        <v>0</v>
      </c>
      <c r="L8" s="77">
        <f>COUNTIFS('Match Log'!$D$4:$D$810,L$7,'Match Log'!$C$4:$C$810,$A8)</f>
        <v>0</v>
      </c>
      <c r="M8" s="77">
        <f>COUNTIFS('Match Log'!$D$4:$D$810,M$7,'Match Log'!$C$4:$C$810,$A8)</f>
        <v>0</v>
      </c>
      <c r="N8" s="77">
        <f>COUNTIFS('Match Log'!$D$4:$D$810,N$7,'Match Log'!$C$4:$C$810,$A8)</f>
        <v>0</v>
      </c>
      <c r="O8" s="77">
        <f>COUNTIFS('Match Log'!$D$4:$D$810,O$7,'Match Log'!$C$4:$C$810,$A8)</f>
        <v>0</v>
      </c>
      <c r="P8" s="78">
        <f>SUMPRODUCT(('Match Log'!$C$4:$C$810=$A8)*('Match Log'!$D$4:$D$810='Match Log'!$G$4:$G$810)*('Match Log'!$D$4:$D$810&lt;&gt;""))</f>
        <v>2</v>
      </c>
      <c r="Q8" s="79" t="str">
        <f t="shared" ref="Q8:Q26" si="0">IF($P8=0,"—",INDEX($B$29:$O$29,MATCH(MAX($B30:$O30),$B30:$O30,0)))</f>
        <v>Shawn</v>
      </c>
      <c r="R8" s="78">
        <f t="shared" ref="R8:R26" si="1">IF($P8=0,"—",MAX($B30:$O30))</f>
        <v>2</v>
      </c>
    </row>
    <row r="9" spans="1:18" ht="15" customHeight="1" x14ac:dyDescent="0.2">
      <c r="A9" s="76" t="s">
        <v>182</v>
      </c>
      <c r="B9" s="77">
        <f>COUNTIFS('Match Log'!$D$4:$D$810,B$7,'Match Log'!$C$4:$C$810,$A9)</f>
        <v>0</v>
      </c>
      <c r="C9" s="77">
        <f>COUNTIFS('Match Log'!$D$4:$D$810,C$7,'Match Log'!$C$4:$C$810,$A9)</f>
        <v>0</v>
      </c>
      <c r="D9" s="77">
        <f>COUNTIFS('Match Log'!$D$4:$D$810,D$7,'Match Log'!$C$4:$C$810,$A9)</f>
        <v>0</v>
      </c>
      <c r="E9" s="77">
        <f>COUNTIFS('Match Log'!$D$4:$D$810,E$7,'Match Log'!$C$4:$C$810,$A9)</f>
        <v>0</v>
      </c>
      <c r="F9" s="77">
        <f>COUNTIFS('Match Log'!$D$4:$D$810,F$7,'Match Log'!$C$4:$C$810,$A9)</f>
        <v>0</v>
      </c>
      <c r="G9" s="77">
        <f>COUNTIFS('Match Log'!$D$4:$D$810,G$7,'Match Log'!$C$4:$C$810,$A9)</f>
        <v>0</v>
      </c>
      <c r="H9" s="77">
        <f>COUNTIFS('Match Log'!$D$4:$D$810,H$7,'Match Log'!$C$4:$C$810,$A9)</f>
        <v>0</v>
      </c>
      <c r="I9" s="77">
        <f>COUNTIFS('Match Log'!$D$4:$D$810,I$7,'Match Log'!$C$4:$C$810,$A9)</f>
        <v>0</v>
      </c>
      <c r="J9" s="77">
        <f>COUNTIFS('Match Log'!$D$4:$D$810,J$7,'Match Log'!$C$4:$C$810,$A9)</f>
        <v>0</v>
      </c>
      <c r="K9" s="77">
        <f>COUNTIFS('Match Log'!$D$4:$D$810,K$7,'Match Log'!$C$4:$C$810,$A9)</f>
        <v>0</v>
      </c>
      <c r="L9" s="77">
        <f>COUNTIFS('Match Log'!$D$4:$D$810,L$7,'Match Log'!$C$4:$C$810,$A9)</f>
        <v>0</v>
      </c>
      <c r="M9" s="77">
        <f>COUNTIFS('Match Log'!$D$4:$D$810,M$7,'Match Log'!$C$4:$C$810,$A9)</f>
        <v>0</v>
      </c>
      <c r="N9" s="77">
        <f>COUNTIFS('Match Log'!$D$4:$D$810,N$7,'Match Log'!$C$4:$C$810,$A9)</f>
        <v>0</v>
      </c>
      <c r="O9" s="77">
        <f>COUNTIFS('Match Log'!$D$4:$D$810,O$7,'Match Log'!$C$4:$C$810,$A9)</f>
        <v>0</v>
      </c>
      <c r="P9" s="78">
        <f>SUMPRODUCT(('Match Log'!$C$4:$C$810=$A9)*('Match Log'!$D$4:$D$810='Match Log'!$G$4:$G$810)*('Match Log'!$D$4:$D$810&lt;&gt;""))</f>
        <v>0</v>
      </c>
      <c r="Q9" s="79" t="str">
        <f t="shared" si="0"/>
        <v>—</v>
      </c>
      <c r="R9" s="78" t="str">
        <f t="shared" si="1"/>
        <v>—</v>
      </c>
    </row>
    <row r="10" spans="1:18" ht="15" customHeight="1" x14ac:dyDescent="0.2">
      <c r="A10" s="76" t="s">
        <v>183</v>
      </c>
      <c r="B10" s="77">
        <f>COUNTIFS('Match Log'!$D$4:$D$810,B$7,'Match Log'!$C$4:$C$810,$A10)</f>
        <v>12</v>
      </c>
      <c r="C10" s="77">
        <f>COUNTIFS('Match Log'!$D$4:$D$810,C$7,'Match Log'!$C$4:$C$810,$A10)</f>
        <v>0</v>
      </c>
      <c r="D10" s="77">
        <f>COUNTIFS('Match Log'!$D$4:$D$810,D$7,'Match Log'!$C$4:$C$810,$A10)</f>
        <v>1</v>
      </c>
      <c r="E10" s="77">
        <f>COUNTIFS('Match Log'!$D$4:$D$810,E$7,'Match Log'!$C$4:$C$810,$A10)</f>
        <v>0</v>
      </c>
      <c r="F10" s="77">
        <f>COUNTIFS('Match Log'!$D$4:$D$810,F$7,'Match Log'!$C$4:$C$810,$A10)</f>
        <v>1</v>
      </c>
      <c r="G10" s="77">
        <f>COUNTIFS('Match Log'!$D$4:$D$810,G$7,'Match Log'!$C$4:$C$810,$A10)</f>
        <v>20</v>
      </c>
      <c r="H10" s="77">
        <f>COUNTIFS('Match Log'!$D$4:$D$810,H$7,'Match Log'!$C$4:$C$810,$A10)</f>
        <v>0</v>
      </c>
      <c r="I10" s="77">
        <f>COUNTIFS('Match Log'!$D$4:$D$810,I$7,'Match Log'!$C$4:$C$810,$A10)</f>
        <v>9</v>
      </c>
      <c r="J10" s="77">
        <f>COUNTIFS('Match Log'!$D$4:$D$810,J$7,'Match Log'!$C$4:$C$810,$A10)</f>
        <v>0</v>
      </c>
      <c r="K10" s="77">
        <f>COUNTIFS('Match Log'!$D$4:$D$810,K$7,'Match Log'!$C$4:$C$810,$A10)</f>
        <v>0</v>
      </c>
      <c r="L10" s="77">
        <f>COUNTIFS('Match Log'!$D$4:$D$810,L$7,'Match Log'!$C$4:$C$810,$A10)</f>
        <v>3</v>
      </c>
      <c r="M10" s="77">
        <f>COUNTIFS('Match Log'!$D$4:$D$810,M$7,'Match Log'!$C$4:$C$810,$A10)</f>
        <v>0</v>
      </c>
      <c r="N10" s="77">
        <f>COUNTIFS('Match Log'!$D$4:$D$810,N$7,'Match Log'!$C$4:$C$810,$A10)</f>
        <v>0</v>
      </c>
      <c r="O10" s="77">
        <f>COUNTIFS('Match Log'!$D$4:$D$810,O$7,'Match Log'!$C$4:$C$810,$A10)</f>
        <v>0</v>
      </c>
      <c r="P10" s="78">
        <f>SUMPRODUCT(('Match Log'!$C$4:$C$810=$A10)*('Match Log'!$D$4:$D$810='Match Log'!$G$4:$G$810)*('Match Log'!$D$4:$D$810&lt;&gt;""))</f>
        <v>23</v>
      </c>
      <c r="Q10" s="79" t="str">
        <f t="shared" si="0"/>
        <v>Aaron</v>
      </c>
      <c r="R10" s="78">
        <f t="shared" si="1"/>
        <v>9</v>
      </c>
    </row>
    <row r="11" spans="1:18" ht="15" customHeight="1" x14ac:dyDescent="0.2">
      <c r="A11" s="76" t="s">
        <v>184</v>
      </c>
      <c r="B11" s="77">
        <f>COUNTIFS('Match Log'!$D$4:$D$810,B$7,'Match Log'!$C$4:$C$810,$A11)</f>
        <v>0</v>
      </c>
      <c r="C11" s="77">
        <f>COUNTIFS('Match Log'!$D$4:$D$810,C$7,'Match Log'!$C$4:$C$810,$A11)</f>
        <v>0</v>
      </c>
      <c r="D11" s="77">
        <f>COUNTIFS('Match Log'!$D$4:$D$810,D$7,'Match Log'!$C$4:$C$810,$A11)</f>
        <v>0</v>
      </c>
      <c r="E11" s="77">
        <f>COUNTIFS('Match Log'!$D$4:$D$810,E$7,'Match Log'!$C$4:$C$810,$A11)</f>
        <v>0</v>
      </c>
      <c r="F11" s="77">
        <f>COUNTIFS('Match Log'!$D$4:$D$810,F$7,'Match Log'!$C$4:$C$810,$A11)</f>
        <v>0</v>
      </c>
      <c r="G11" s="77">
        <f>COUNTIFS('Match Log'!$D$4:$D$810,G$7,'Match Log'!$C$4:$C$810,$A11)</f>
        <v>0</v>
      </c>
      <c r="H11" s="77">
        <f>COUNTIFS('Match Log'!$D$4:$D$810,H$7,'Match Log'!$C$4:$C$810,$A11)</f>
        <v>0</v>
      </c>
      <c r="I11" s="77">
        <f>COUNTIFS('Match Log'!$D$4:$D$810,I$7,'Match Log'!$C$4:$C$810,$A11)</f>
        <v>0</v>
      </c>
      <c r="J11" s="77">
        <f>COUNTIFS('Match Log'!$D$4:$D$810,J$7,'Match Log'!$C$4:$C$810,$A11)</f>
        <v>0</v>
      </c>
      <c r="K11" s="77">
        <f>COUNTIFS('Match Log'!$D$4:$D$810,K$7,'Match Log'!$C$4:$C$810,$A11)</f>
        <v>0</v>
      </c>
      <c r="L11" s="77">
        <f>COUNTIFS('Match Log'!$D$4:$D$810,L$7,'Match Log'!$C$4:$C$810,$A11)</f>
        <v>0</v>
      </c>
      <c r="M11" s="77">
        <f>COUNTIFS('Match Log'!$D$4:$D$810,M$7,'Match Log'!$C$4:$C$810,$A11)</f>
        <v>0</v>
      </c>
      <c r="N11" s="77">
        <f>COUNTIFS('Match Log'!$D$4:$D$810,N$7,'Match Log'!$C$4:$C$810,$A11)</f>
        <v>0</v>
      </c>
      <c r="O11" s="77">
        <f>COUNTIFS('Match Log'!$D$4:$D$810,O$7,'Match Log'!$C$4:$C$810,$A11)</f>
        <v>0</v>
      </c>
      <c r="P11" s="78">
        <f>SUMPRODUCT(('Match Log'!$C$4:$C$810=$A11)*('Match Log'!$D$4:$D$810='Match Log'!$G$4:$G$810)*('Match Log'!$D$4:$D$810&lt;&gt;""))</f>
        <v>0</v>
      </c>
      <c r="Q11" s="79" t="str">
        <f t="shared" si="0"/>
        <v>—</v>
      </c>
      <c r="R11" s="78" t="str">
        <f t="shared" si="1"/>
        <v>—</v>
      </c>
    </row>
    <row r="12" spans="1:18" ht="15" customHeight="1" x14ac:dyDescent="0.2">
      <c r="A12" s="76" t="s">
        <v>185</v>
      </c>
      <c r="B12" s="77">
        <f>COUNTIFS('Match Log'!$D$4:$D$810,B$7,'Match Log'!$C$4:$C$810,$A12)</f>
        <v>0</v>
      </c>
      <c r="C12" s="77">
        <f>COUNTIFS('Match Log'!$D$4:$D$810,C$7,'Match Log'!$C$4:$C$810,$A12)</f>
        <v>1</v>
      </c>
      <c r="D12" s="77">
        <f>COUNTIFS('Match Log'!$D$4:$D$810,D$7,'Match Log'!$C$4:$C$810,$A12)</f>
        <v>0</v>
      </c>
      <c r="E12" s="77">
        <f>COUNTIFS('Match Log'!$D$4:$D$810,E$7,'Match Log'!$C$4:$C$810,$A12)</f>
        <v>0</v>
      </c>
      <c r="F12" s="77">
        <f>COUNTIFS('Match Log'!$D$4:$D$810,F$7,'Match Log'!$C$4:$C$810,$A12)</f>
        <v>0</v>
      </c>
      <c r="G12" s="77">
        <f>COUNTIFS('Match Log'!$D$4:$D$810,G$7,'Match Log'!$C$4:$C$810,$A12)</f>
        <v>0</v>
      </c>
      <c r="H12" s="77">
        <f>COUNTIFS('Match Log'!$D$4:$D$810,H$7,'Match Log'!$C$4:$C$810,$A12)</f>
        <v>2</v>
      </c>
      <c r="I12" s="77">
        <f>COUNTIFS('Match Log'!$D$4:$D$810,I$7,'Match Log'!$C$4:$C$810,$A12)</f>
        <v>4</v>
      </c>
      <c r="J12" s="77">
        <f>COUNTIFS('Match Log'!$D$4:$D$810,J$7,'Match Log'!$C$4:$C$810,$A12)</f>
        <v>8</v>
      </c>
      <c r="K12" s="77">
        <f>COUNTIFS('Match Log'!$D$4:$D$810,K$7,'Match Log'!$C$4:$C$810,$A12)</f>
        <v>1</v>
      </c>
      <c r="L12" s="77">
        <f>COUNTIFS('Match Log'!$D$4:$D$810,L$7,'Match Log'!$C$4:$C$810,$A12)</f>
        <v>4</v>
      </c>
      <c r="M12" s="77">
        <f>COUNTIFS('Match Log'!$D$4:$D$810,M$7,'Match Log'!$C$4:$C$810,$A12)</f>
        <v>0</v>
      </c>
      <c r="N12" s="77">
        <f>COUNTIFS('Match Log'!$D$4:$D$810,N$7,'Match Log'!$C$4:$C$810,$A12)</f>
        <v>0</v>
      </c>
      <c r="O12" s="77">
        <f>COUNTIFS('Match Log'!$D$4:$D$810,O$7,'Match Log'!$C$4:$C$810,$A12)</f>
        <v>0</v>
      </c>
      <c r="P12" s="78">
        <f>SUMPRODUCT(('Match Log'!$C$4:$C$810=$A12)*('Match Log'!$D$4:$D$810='Match Log'!$G$4:$G$810)*('Match Log'!$D$4:$D$810&lt;&gt;""))</f>
        <v>10</v>
      </c>
      <c r="Q12" s="79" t="str">
        <f t="shared" si="0"/>
        <v>Dean B</v>
      </c>
      <c r="R12" s="78">
        <f t="shared" si="1"/>
        <v>4</v>
      </c>
    </row>
    <row r="13" spans="1:18" ht="15" customHeight="1" x14ac:dyDescent="0.2">
      <c r="A13" s="76" t="s">
        <v>186</v>
      </c>
      <c r="B13" s="77">
        <f>COUNTIFS('Match Log'!$D$4:$D$810,B$7,'Match Log'!$C$4:$C$810,$A13)</f>
        <v>1</v>
      </c>
      <c r="C13" s="77">
        <f>COUNTIFS('Match Log'!$D$4:$D$810,C$7,'Match Log'!$C$4:$C$810,$A13)</f>
        <v>0</v>
      </c>
      <c r="D13" s="77">
        <f>COUNTIFS('Match Log'!$D$4:$D$810,D$7,'Match Log'!$C$4:$C$810,$A13)</f>
        <v>1</v>
      </c>
      <c r="E13" s="77">
        <f>COUNTIFS('Match Log'!$D$4:$D$810,E$7,'Match Log'!$C$4:$C$810,$A13)</f>
        <v>1</v>
      </c>
      <c r="F13" s="77">
        <f>COUNTIFS('Match Log'!$D$4:$D$810,F$7,'Match Log'!$C$4:$C$810,$A13)</f>
        <v>1</v>
      </c>
      <c r="G13" s="77">
        <f>COUNTIFS('Match Log'!$D$4:$D$810,G$7,'Match Log'!$C$4:$C$810,$A13)</f>
        <v>1</v>
      </c>
      <c r="H13" s="77">
        <f>COUNTIFS('Match Log'!$D$4:$D$810,H$7,'Match Log'!$C$4:$C$810,$A13)</f>
        <v>1</v>
      </c>
      <c r="I13" s="77">
        <f>COUNTIFS('Match Log'!$D$4:$D$810,I$7,'Match Log'!$C$4:$C$810,$A13)</f>
        <v>1</v>
      </c>
      <c r="J13" s="77">
        <f>COUNTIFS('Match Log'!$D$4:$D$810,J$7,'Match Log'!$C$4:$C$810,$A13)</f>
        <v>0</v>
      </c>
      <c r="K13" s="77">
        <f>COUNTIFS('Match Log'!$D$4:$D$810,K$7,'Match Log'!$C$4:$C$810,$A13)</f>
        <v>0</v>
      </c>
      <c r="L13" s="77">
        <f>COUNTIFS('Match Log'!$D$4:$D$810,L$7,'Match Log'!$C$4:$C$810,$A13)</f>
        <v>1</v>
      </c>
      <c r="M13" s="77">
        <f>COUNTIFS('Match Log'!$D$4:$D$810,M$7,'Match Log'!$C$4:$C$810,$A13)</f>
        <v>0</v>
      </c>
      <c r="N13" s="77">
        <f>COUNTIFS('Match Log'!$D$4:$D$810,N$7,'Match Log'!$C$4:$C$810,$A13)</f>
        <v>0</v>
      </c>
      <c r="O13" s="77">
        <f>COUNTIFS('Match Log'!$D$4:$D$810,O$7,'Match Log'!$C$4:$C$810,$A13)</f>
        <v>0</v>
      </c>
      <c r="P13" s="78">
        <f>SUMPRODUCT(('Match Log'!$C$4:$C$810=$A13)*('Match Log'!$D$4:$D$810='Match Log'!$G$4:$G$810)*('Match Log'!$D$4:$D$810&lt;&gt;""))</f>
        <v>1</v>
      </c>
      <c r="Q13" s="79" t="str">
        <f t="shared" si="0"/>
        <v>Aaron</v>
      </c>
      <c r="R13" s="78">
        <f t="shared" si="1"/>
        <v>1</v>
      </c>
    </row>
    <row r="14" spans="1:18" ht="15" customHeight="1" x14ac:dyDescent="0.2">
      <c r="A14" s="76" t="s">
        <v>188</v>
      </c>
      <c r="B14" s="77">
        <f>COUNTIFS('Match Log'!$D$4:$D$810,B$7,'Match Log'!$C$4:$C$810,$A14)</f>
        <v>0</v>
      </c>
      <c r="C14" s="77">
        <f>COUNTIFS('Match Log'!$D$4:$D$810,C$7,'Match Log'!$C$4:$C$810,$A14)</f>
        <v>0</v>
      </c>
      <c r="D14" s="77">
        <f>COUNTIFS('Match Log'!$D$4:$D$810,D$7,'Match Log'!$C$4:$C$810,$A14)</f>
        <v>0</v>
      </c>
      <c r="E14" s="77">
        <f>COUNTIFS('Match Log'!$D$4:$D$810,E$7,'Match Log'!$C$4:$C$810,$A14)</f>
        <v>0</v>
      </c>
      <c r="F14" s="77">
        <f>COUNTIFS('Match Log'!$D$4:$D$810,F$7,'Match Log'!$C$4:$C$810,$A14)</f>
        <v>0</v>
      </c>
      <c r="G14" s="77">
        <f>COUNTIFS('Match Log'!$D$4:$D$810,G$7,'Match Log'!$C$4:$C$810,$A14)</f>
        <v>0</v>
      </c>
      <c r="H14" s="77">
        <f>COUNTIFS('Match Log'!$D$4:$D$810,H$7,'Match Log'!$C$4:$C$810,$A14)</f>
        <v>0</v>
      </c>
      <c r="I14" s="77">
        <f>COUNTIFS('Match Log'!$D$4:$D$810,I$7,'Match Log'!$C$4:$C$810,$A14)</f>
        <v>0</v>
      </c>
      <c r="J14" s="77">
        <f>COUNTIFS('Match Log'!$D$4:$D$810,J$7,'Match Log'!$C$4:$C$810,$A14)</f>
        <v>0</v>
      </c>
      <c r="K14" s="77">
        <f>COUNTIFS('Match Log'!$D$4:$D$810,K$7,'Match Log'!$C$4:$C$810,$A14)</f>
        <v>0</v>
      </c>
      <c r="L14" s="77">
        <f>COUNTIFS('Match Log'!$D$4:$D$810,L$7,'Match Log'!$C$4:$C$810,$A14)</f>
        <v>0</v>
      </c>
      <c r="M14" s="77">
        <f>COUNTIFS('Match Log'!$D$4:$D$810,M$7,'Match Log'!$C$4:$C$810,$A14)</f>
        <v>0</v>
      </c>
      <c r="N14" s="77">
        <f>COUNTIFS('Match Log'!$D$4:$D$810,N$7,'Match Log'!$C$4:$C$810,$A14)</f>
        <v>0</v>
      </c>
      <c r="O14" s="77">
        <f>COUNTIFS('Match Log'!$D$4:$D$810,O$7,'Match Log'!$C$4:$C$810,$A14)</f>
        <v>0</v>
      </c>
      <c r="P14" s="78">
        <f>SUMPRODUCT(('Match Log'!$C$4:$C$810=$A14)*('Match Log'!$D$4:$D$810='Match Log'!$G$4:$G$810)*('Match Log'!$D$4:$D$810&lt;&gt;""))</f>
        <v>0</v>
      </c>
      <c r="Q14" s="79" t="str">
        <f t="shared" si="0"/>
        <v>—</v>
      </c>
      <c r="R14" s="78" t="str">
        <f t="shared" si="1"/>
        <v>—</v>
      </c>
    </row>
    <row r="15" spans="1:18" ht="15" customHeight="1" x14ac:dyDescent="0.2">
      <c r="A15" s="76" t="s">
        <v>190</v>
      </c>
      <c r="B15" s="77">
        <f>COUNTIFS('Match Log'!$D$4:$D$810,B$7,'Match Log'!$C$4:$C$810,$A15)</f>
        <v>0</v>
      </c>
      <c r="C15" s="77">
        <f>COUNTIFS('Match Log'!$D$4:$D$810,C$7,'Match Log'!$C$4:$C$810,$A15)</f>
        <v>0</v>
      </c>
      <c r="D15" s="77">
        <f>COUNTIFS('Match Log'!$D$4:$D$810,D$7,'Match Log'!$C$4:$C$810,$A15)</f>
        <v>0</v>
      </c>
      <c r="E15" s="77">
        <f>COUNTIFS('Match Log'!$D$4:$D$810,E$7,'Match Log'!$C$4:$C$810,$A15)</f>
        <v>0</v>
      </c>
      <c r="F15" s="77">
        <f>COUNTIFS('Match Log'!$D$4:$D$810,F$7,'Match Log'!$C$4:$C$810,$A15)</f>
        <v>0</v>
      </c>
      <c r="G15" s="77">
        <f>COUNTIFS('Match Log'!$D$4:$D$810,G$7,'Match Log'!$C$4:$C$810,$A15)</f>
        <v>0</v>
      </c>
      <c r="H15" s="77">
        <f>COUNTIFS('Match Log'!$D$4:$D$810,H$7,'Match Log'!$C$4:$C$810,$A15)</f>
        <v>0</v>
      </c>
      <c r="I15" s="77">
        <f>COUNTIFS('Match Log'!$D$4:$D$810,I$7,'Match Log'!$C$4:$C$810,$A15)</f>
        <v>0</v>
      </c>
      <c r="J15" s="77">
        <f>COUNTIFS('Match Log'!$D$4:$D$810,J$7,'Match Log'!$C$4:$C$810,$A15)</f>
        <v>0</v>
      </c>
      <c r="K15" s="77">
        <f>COUNTIFS('Match Log'!$D$4:$D$810,K$7,'Match Log'!$C$4:$C$810,$A15)</f>
        <v>0</v>
      </c>
      <c r="L15" s="77">
        <f>COUNTIFS('Match Log'!$D$4:$D$810,L$7,'Match Log'!$C$4:$C$810,$A15)</f>
        <v>0</v>
      </c>
      <c r="M15" s="77">
        <f>COUNTIFS('Match Log'!$D$4:$D$810,M$7,'Match Log'!$C$4:$C$810,$A15)</f>
        <v>0</v>
      </c>
      <c r="N15" s="77">
        <f>COUNTIFS('Match Log'!$D$4:$D$810,N$7,'Match Log'!$C$4:$C$810,$A15)</f>
        <v>0</v>
      </c>
      <c r="O15" s="77">
        <f>COUNTIFS('Match Log'!$D$4:$D$810,O$7,'Match Log'!$C$4:$C$810,$A15)</f>
        <v>0</v>
      </c>
      <c r="P15" s="78">
        <f>SUMPRODUCT(('Match Log'!$C$4:$C$810=$A15)*('Match Log'!$D$4:$D$810='Match Log'!$G$4:$G$810)*('Match Log'!$D$4:$D$810&lt;&gt;""))</f>
        <v>0</v>
      </c>
      <c r="Q15" s="79" t="str">
        <f t="shared" si="0"/>
        <v>—</v>
      </c>
      <c r="R15" s="78" t="str">
        <f t="shared" si="1"/>
        <v>—</v>
      </c>
    </row>
    <row r="16" spans="1:18" ht="15" customHeight="1" x14ac:dyDescent="0.2">
      <c r="A16" s="76" t="s">
        <v>192</v>
      </c>
      <c r="B16" s="77">
        <f>COUNTIFS('Match Log'!$D$4:$D$810,B$7,'Match Log'!$C$4:$C$810,$A16)</f>
        <v>1</v>
      </c>
      <c r="C16" s="77">
        <f>COUNTIFS('Match Log'!$D$4:$D$810,C$7,'Match Log'!$C$4:$C$810,$A16)</f>
        <v>0</v>
      </c>
      <c r="D16" s="77">
        <f>COUNTIFS('Match Log'!$D$4:$D$810,D$7,'Match Log'!$C$4:$C$810,$A16)</f>
        <v>0</v>
      </c>
      <c r="E16" s="77">
        <f>COUNTIFS('Match Log'!$D$4:$D$810,E$7,'Match Log'!$C$4:$C$810,$A16)</f>
        <v>1</v>
      </c>
      <c r="F16" s="77">
        <f>COUNTIFS('Match Log'!$D$4:$D$810,F$7,'Match Log'!$C$4:$C$810,$A16)</f>
        <v>1</v>
      </c>
      <c r="G16" s="77">
        <f>COUNTIFS('Match Log'!$D$4:$D$810,G$7,'Match Log'!$C$4:$C$810,$A16)</f>
        <v>2</v>
      </c>
      <c r="H16" s="77">
        <f>COUNTIFS('Match Log'!$D$4:$D$810,H$7,'Match Log'!$C$4:$C$810,$A16)</f>
        <v>0</v>
      </c>
      <c r="I16" s="77">
        <f>COUNTIFS('Match Log'!$D$4:$D$810,I$7,'Match Log'!$C$4:$C$810,$A16)</f>
        <v>0</v>
      </c>
      <c r="J16" s="77">
        <f>COUNTIFS('Match Log'!$D$4:$D$810,J$7,'Match Log'!$C$4:$C$810,$A16)</f>
        <v>0</v>
      </c>
      <c r="K16" s="77">
        <f>COUNTIFS('Match Log'!$D$4:$D$810,K$7,'Match Log'!$C$4:$C$810,$A16)</f>
        <v>0</v>
      </c>
      <c r="L16" s="77">
        <f>COUNTIFS('Match Log'!$D$4:$D$810,L$7,'Match Log'!$C$4:$C$810,$A16)</f>
        <v>1</v>
      </c>
      <c r="M16" s="77">
        <f>COUNTIFS('Match Log'!$D$4:$D$810,M$7,'Match Log'!$C$4:$C$810,$A16)</f>
        <v>0</v>
      </c>
      <c r="N16" s="77">
        <f>COUNTIFS('Match Log'!$D$4:$D$810,N$7,'Match Log'!$C$4:$C$810,$A16)</f>
        <v>0</v>
      </c>
      <c r="O16" s="77">
        <f>COUNTIFS('Match Log'!$D$4:$D$810,O$7,'Match Log'!$C$4:$C$810,$A16)</f>
        <v>0</v>
      </c>
      <c r="P16" s="78">
        <f>SUMPRODUCT(('Match Log'!$C$4:$C$810=$A16)*('Match Log'!$D$4:$D$810='Match Log'!$G$4:$G$810)*('Match Log'!$D$4:$D$810&lt;&gt;""))</f>
        <v>2</v>
      </c>
      <c r="Q16" s="79" t="str">
        <f t="shared" si="0"/>
        <v>Josh</v>
      </c>
      <c r="R16" s="78">
        <f t="shared" si="1"/>
        <v>1</v>
      </c>
    </row>
    <row r="17" spans="1:18" ht="15" customHeight="1" x14ac:dyDescent="0.2">
      <c r="A17" s="76" t="s">
        <v>193</v>
      </c>
      <c r="B17" s="77">
        <f>COUNTIFS('Match Log'!$D$4:$D$810,B$7,'Match Log'!$C$4:$C$810,$A17)</f>
        <v>0</v>
      </c>
      <c r="C17" s="77">
        <f>COUNTIFS('Match Log'!$D$4:$D$810,C$7,'Match Log'!$C$4:$C$810,$A17)</f>
        <v>0</v>
      </c>
      <c r="D17" s="77">
        <f>COUNTIFS('Match Log'!$D$4:$D$810,D$7,'Match Log'!$C$4:$C$810,$A17)</f>
        <v>0</v>
      </c>
      <c r="E17" s="77">
        <f>COUNTIFS('Match Log'!$D$4:$D$810,E$7,'Match Log'!$C$4:$C$810,$A17)</f>
        <v>0</v>
      </c>
      <c r="F17" s="77">
        <f>COUNTIFS('Match Log'!$D$4:$D$810,F$7,'Match Log'!$C$4:$C$810,$A17)</f>
        <v>0</v>
      </c>
      <c r="G17" s="77">
        <f>COUNTIFS('Match Log'!$D$4:$D$810,G$7,'Match Log'!$C$4:$C$810,$A17)</f>
        <v>0</v>
      </c>
      <c r="H17" s="77">
        <f>COUNTIFS('Match Log'!$D$4:$D$810,H$7,'Match Log'!$C$4:$C$810,$A17)</f>
        <v>0</v>
      </c>
      <c r="I17" s="77">
        <f>COUNTIFS('Match Log'!$D$4:$D$810,I$7,'Match Log'!$C$4:$C$810,$A17)</f>
        <v>0</v>
      </c>
      <c r="J17" s="77">
        <f>COUNTIFS('Match Log'!$D$4:$D$810,J$7,'Match Log'!$C$4:$C$810,$A17)</f>
        <v>0</v>
      </c>
      <c r="K17" s="77">
        <f>COUNTIFS('Match Log'!$D$4:$D$810,K$7,'Match Log'!$C$4:$C$810,$A17)</f>
        <v>0</v>
      </c>
      <c r="L17" s="77">
        <f>COUNTIFS('Match Log'!$D$4:$D$810,L$7,'Match Log'!$C$4:$C$810,$A17)</f>
        <v>0</v>
      </c>
      <c r="M17" s="77">
        <f>COUNTIFS('Match Log'!$D$4:$D$810,M$7,'Match Log'!$C$4:$C$810,$A17)</f>
        <v>0</v>
      </c>
      <c r="N17" s="77">
        <f>COUNTIFS('Match Log'!$D$4:$D$810,N$7,'Match Log'!$C$4:$C$810,$A17)</f>
        <v>0</v>
      </c>
      <c r="O17" s="77">
        <f>COUNTIFS('Match Log'!$D$4:$D$810,O$7,'Match Log'!$C$4:$C$810,$A17)</f>
        <v>0</v>
      </c>
      <c r="P17" s="78">
        <f>SUMPRODUCT(('Match Log'!$C$4:$C$810=$A17)*('Match Log'!$D$4:$D$810='Match Log'!$G$4:$G$810)*('Match Log'!$D$4:$D$810&lt;&gt;""))</f>
        <v>0</v>
      </c>
      <c r="Q17" s="79" t="str">
        <f t="shared" si="0"/>
        <v>—</v>
      </c>
      <c r="R17" s="78" t="str">
        <f t="shared" si="1"/>
        <v>—</v>
      </c>
    </row>
    <row r="18" spans="1:18" ht="15" customHeight="1" x14ac:dyDescent="0.2">
      <c r="A18" s="76" t="s">
        <v>194</v>
      </c>
      <c r="B18" s="77">
        <f>COUNTIFS('Match Log'!$D$4:$D$810,B$7,'Match Log'!$C$4:$C$810,$A18)</f>
        <v>0</v>
      </c>
      <c r="C18" s="77">
        <f>COUNTIFS('Match Log'!$D$4:$D$810,C$7,'Match Log'!$C$4:$C$810,$A18)</f>
        <v>0</v>
      </c>
      <c r="D18" s="77">
        <f>COUNTIFS('Match Log'!$D$4:$D$810,D$7,'Match Log'!$C$4:$C$810,$A18)</f>
        <v>0</v>
      </c>
      <c r="E18" s="77">
        <f>COUNTIFS('Match Log'!$D$4:$D$810,E$7,'Match Log'!$C$4:$C$810,$A18)</f>
        <v>0</v>
      </c>
      <c r="F18" s="77">
        <f>COUNTIFS('Match Log'!$D$4:$D$810,F$7,'Match Log'!$C$4:$C$810,$A18)</f>
        <v>0</v>
      </c>
      <c r="G18" s="77">
        <f>COUNTIFS('Match Log'!$D$4:$D$810,G$7,'Match Log'!$C$4:$C$810,$A18)</f>
        <v>0</v>
      </c>
      <c r="H18" s="77">
        <f>COUNTIFS('Match Log'!$D$4:$D$810,H$7,'Match Log'!$C$4:$C$810,$A18)</f>
        <v>0</v>
      </c>
      <c r="I18" s="77">
        <f>COUNTIFS('Match Log'!$D$4:$D$810,I$7,'Match Log'!$C$4:$C$810,$A18)</f>
        <v>0</v>
      </c>
      <c r="J18" s="77">
        <f>COUNTIFS('Match Log'!$D$4:$D$810,J$7,'Match Log'!$C$4:$C$810,$A18)</f>
        <v>0</v>
      </c>
      <c r="K18" s="77">
        <f>COUNTIFS('Match Log'!$D$4:$D$810,K$7,'Match Log'!$C$4:$C$810,$A18)</f>
        <v>0</v>
      </c>
      <c r="L18" s="77">
        <f>COUNTIFS('Match Log'!$D$4:$D$810,L$7,'Match Log'!$C$4:$C$810,$A18)</f>
        <v>0</v>
      </c>
      <c r="M18" s="77">
        <f>COUNTIFS('Match Log'!$D$4:$D$810,M$7,'Match Log'!$C$4:$C$810,$A18)</f>
        <v>0</v>
      </c>
      <c r="N18" s="77">
        <f>COUNTIFS('Match Log'!$D$4:$D$810,N$7,'Match Log'!$C$4:$C$810,$A18)</f>
        <v>0</v>
      </c>
      <c r="O18" s="77">
        <f>COUNTIFS('Match Log'!$D$4:$D$810,O$7,'Match Log'!$C$4:$C$810,$A18)</f>
        <v>0</v>
      </c>
      <c r="P18" s="78">
        <f>SUMPRODUCT(('Match Log'!$C$4:$C$810=$A18)*('Match Log'!$D$4:$D$810='Match Log'!$G$4:$G$810)*('Match Log'!$D$4:$D$810&lt;&gt;""))</f>
        <v>0</v>
      </c>
      <c r="Q18" s="79" t="str">
        <f t="shared" si="0"/>
        <v>—</v>
      </c>
      <c r="R18" s="78" t="str">
        <f t="shared" si="1"/>
        <v>—</v>
      </c>
    </row>
    <row r="19" spans="1:18" ht="15" customHeight="1" x14ac:dyDescent="0.2">
      <c r="A19" s="76" t="s">
        <v>195</v>
      </c>
      <c r="B19" s="77">
        <f>COUNTIFS('Match Log'!$D$4:$D$810,B$7,'Match Log'!$C$4:$C$810,$A19)</f>
        <v>2</v>
      </c>
      <c r="C19" s="77">
        <f>COUNTIFS('Match Log'!$D$4:$D$810,C$7,'Match Log'!$C$4:$C$810,$A19)</f>
        <v>1</v>
      </c>
      <c r="D19" s="77">
        <f>COUNTIFS('Match Log'!$D$4:$D$810,D$7,'Match Log'!$C$4:$C$810,$A19)</f>
        <v>0</v>
      </c>
      <c r="E19" s="77">
        <f>COUNTIFS('Match Log'!$D$4:$D$810,E$7,'Match Log'!$C$4:$C$810,$A19)</f>
        <v>6</v>
      </c>
      <c r="F19" s="77">
        <f>COUNTIFS('Match Log'!$D$4:$D$810,F$7,'Match Log'!$C$4:$C$810,$A19)</f>
        <v>15</v>
      </c>
      <c r="G19" s="77">
        <f>COUNTIFS('Match Log'!$D$4:$D$810,G$7,'Match Log'!$C$4:$C$810,$A19)</f>
        <v>5</v>
      </c>
      <c r="H19" s="77">
        <f>COUNTIFS('Match Log'!$D$4:$D$810,H$7,'Match Log'!$C$4:$C$810,$A19)</f>
        <v>3</v>
      </c>
      <c r="I19" s="77">
        <f>COUNTIFS('Match Log'!$D$4:$D$810,I$7,'Match Log'!$C$4:$C$810,$A19)</f>
        <v>7</v>
      </c>
      <c r="J19" s="77">
        <f>COUNTIFS('Match Log'!$D$4:$D$810,J$7,'Match Log'!$C$4:$C$810,$A19)</f>
        <v>5</v>
      </c>
      <c r="K19" s="77">
        <f>COUNTIFS('Match Log'!$D$4:$D$810,K$7,'Match Log'!$C$4:$C$810,$A19)</f>
        <v>5</v>
      </c>
      <c r="L19" s="77">
        <f>COUNTIFS('Match Log'!$D$4:$D$810,L$7,'Match Log'!$C$4:$C$810,$A19)</f>
        <v>13</v>
      </c>
      <c r="M19" s="77">
        <f>COUNTIFS('Match Log'!$D$4:$D$810,M$7,'Match Log'!$C$4:$C$810,$A19)</f>
        <v>0</v>
      </c>
      <c r="N19" s="77">
        <f>COUNTIFS('Match Log'!$D$4:$D$810,N$7,'Match Log'!$C$4:$C$810,$A19)</f>
        <v>0</v>
      </c>
      <c r="O19" s="77">
        <f>COUNTIFS('Match Log'!$D$4:$D$810,O$7,'Match Log'!$C$4:$C$810,$A19)</f>
        <v>0</v>
      </c>
      <c r="P19" s="78">
        <f>SUMPRODUCT(('Match Log'!$C$4:$C$810=$A19)*('Match Log'!$D$4:$D$810='Match Log'!$G$4:$G$810)*('Match Log'!$D$4:$D$810&lt;&gt;""))</f>
        <v>31</v>
      </c>
      <c r="Q19" s="79" t="str">
        <f t="shared" si="0"/>
        <v>Josh</v>
      </c>
      <c r="R19" s="78">
        <f t="shared" si="1"/>
        <v>13</v>
      </c>
    </row>
    <row r="20" spans="1:18" ht="15" customHeight="1" x14ac:dyDescent="0.2">
      <c r="A20" s="76" t="s">
        <v>197</v>
      </c>
      <c r="B20" s="77">
        <f>COUNTIFS('Match Log'!$D$4:$D$810,B$7,'Match Log'!$C$4:$C$810,$A20)</f>
        <v>3</v>
      </c>
      <c r="C20" s="77">
        <f>COUNTIFS('Match Log'!$D$4:$D$810,C$7,'Match Log'!$C$4:$C$810,$A20)</f>
        <v>0</v>
      </c>
      <c r="D20" s="77">
        <f>COUNTIFS('Match Log'!$D$4:$D$810,D$7,'Match Log'!$C$4:$C$810,$A20)</f>
        <v>0</v>
      </c>
      <c r="E20" s="77">
        <f>COUNTIFS('Match Log'!$D$4:$D$810,E$7,'Match Log'!$C$4:$C$810,$A20)</f>
        <v>0</v>
      </c>
      <c r="F20" s="77">
        <f>COUNTIFS('Match Log'!$D$4:$D$810,F$7,'Match Log'!$C$4:$C$810,$A20)</f>
        <v>1</v>
      </c>
      <c r="G20" s="77">
        <f>COUNTIFS('Match Log'!$D$4:$D$810,G$7,'Match Log'!$C$4:$C$810,$A20)</f>
        <v>9</v>
      </c>
      <c r="H20" s="77">
        <f>COUNTIFS('Match Log'!$D$4:$D$810,H$7,'Match Log'!$C$4:$C$810,$A20)</f>
        <v>0</v>
      </c>
      <c r="I20" s="77">
        <f>COUNTIFS('Match Log'!$D$4:$D$810,I$7,'Match Log'!$C$4:$C$810,$A20)</f>
        <v>6</v>
      </c>
      <c r="J20" s="77">
        <f>COUNTIFS('Match Log'!$D$4:$D$810,J$7,'Match Log'!$C$4:$C$810,$A20)</f>
        <v>0</v>
      </c>
      <c r="K20" s="77">
        <f>COUNTIFS('Match Log'!$D$4:$D$810,K$7,'Match Log'!$C$4:$C$810,$A20)</f>
        <v>0</v>
      </c>
      <c r="L20" s="77">
        <f>COUNTIFS('Match Log'!$D$4:$D$810,L$7,'Match Log'!$C$4:$C$810,$A20)</f>
        <v>3</v>
      </c>
      <c r="M20" s="77">
        <f>COUNTIFS('Match Log'!$D$4:$D$810,M$7,'Match Log'!$C$4:$C$810,$A20)</f>
        <v>0</v>
      </c>
      <c r="N20" s="77">
        <f>COUNTIFS('Match Log'!$D$4:$D$810,N$7,'Match Log'!$C$4:$C$810,$A20)</f>
        <v>0</v>
      </c>
      <c r="O20" s="77">
        <f>COUNTIFS('Match Log'!$D$4:$D$810,O$7,'Match Log'!$C$4:$C$810,$A20)</f>
        <v>0</v>
      </c>
      <c r="P20" s="78">
        <f>SUMPRODUCT(('Match Log'!$C$4:$C$810=$A20)*('Match Log'!$D$4:$D$810='Match Log'!$G$4:$G$810)*('Match Log'!$D$4:$D$810&lt;&gt;""))</f>
        <v>10</v>
      </c>
      <c r="Q20" s="79" t="str">
        <f t="shared" si="0"/>
        <v>Daniel (Ferret)</v>
      </c>
      <c r="R20" s="78">
        <f t="shared" si="1"/>
        <v>5</v>
      </c>
    </row>
    <row r="21" spans="1:18" ht="15" customHeight="1" x14ac:dyDescent="0.2">
      <c r="A21" s="76" t="s">
        <v>199</v>
      </c>
      <c r="B21" s="77">
        <f>COUNTIFS('Match Log'!$D$4:$D$810,B$7,'Match Log'!$C$4:$C$810,$A21)</f>
        <v>3</v>
      </c>
      <c r="C21" s="77">
        <f>COUNTIFS('Match Log'!$D$4:$D$810,C$7,'Match Log'!$C$4:$C$810,$A21)</f>
        <v>0</v>
      </c>
      <c r="D21" s="77">
        <f>COUNTIFS('Match Log'!$D$4:$D$810,D$7,'Match Log'!$C$4:$C$810,$A21)</f>
        <v>4</v>
      </c>
      <c r="E21" s="77">
        <f>COUNTIFS('Match Log'!$D$4:$D$810,E$7,'Match Log'!$C$4:$C$810,$A21)</f>
        <v>0</v>
      </c>
      <c r="F21" s="77">
        <f>COUNTIFS('Match Log'!$D$4:$D$810,F$7,'Match Log'!$C$4:$C$810,$A21)</f>
        <v>0</v>
      </c>
      <c r="G21" s="77">
        <f>COUNTIFS('Match Log'!$D$4:$D$810,G$7,'Match Log'!$C$4:$C$810,$A21)</f>
        <v>7</v>
      </c>
      <c r="H21" s="77">
        <f>COUNTIFS('Match Log'!$D$4:$D$810,H$7,'Match Log'!$C$4:$C$810,$A21)</f>
        <v>0</v>
      </c>
      <c r="I21" s="77">
        <f>COUNTIFS('Match Log'!$D$4:$D$810,I$7,'Match Log'!$C$4:$C$810,$A21)</f>
        <v>7</v>
      </c>
      <c r="J21" s="77">
        <f>COUNTIFS('Match Log'!$D$4:$D$810,J$7,'Match Log'!$C$4:$C$810,$A21)</f>
        <v>0</v>
      </c>
      <c r="K21" s="77">
        <f>COUNTIFS('Match Log'!$D$4:$D$810,K$7,'Match Log'!$C$4:$C$810,$A21)</f>
        <v>0</v>
      </c>
      <c r="L21" s="77">
        <f>COUNTIFS('Match Log'!$D$4:$D$810,L$7,'Match Log'!$C$4:$C$810,$A21)</f>
        <v>7</v>
      </c>
      <c r="M21" s="77">
        <f>COUNTIFS('Match Log'!$D$4:$D$810,M$7,'Match Log'!$C$4:$C$810,$A21)</f>
        <v>0</v>
      </c>
      <c r="N21" s="77">
        <f>COUNTIFS('Match Log'!$D$4:$D$810,N$7,'Match Log'!$C$4:$C$810,$A21)</f>
        <v>0</v>
      </c>
      <c r="O21" s="77">
        <f>COUNTIFS('Match Log'!$D$4:$D$810,O$7,'Match Log'!$C$4:$C$810,$A21)</f>
        <v>0</v>
      </c>
      <c r="P21" s="78">
        <f>SUMPRODUCT(('Match Log'!$C$4:$C$810=$A21)*('Match Log'!$D$4:$D$810='Match Log'!$G$4:$G$810)*('Match Log'!$D$4:$D$810&lt;&gt;""))</f>
        <v>14</v>
      </c>
      <c r="Q21" s="79" t="str">
        <f t="shared" si="0"/>
        <v>Oscar</v>
      </c>
      <c r="R21" s="78">
        <f t="shared" si="1"/>
        <v>5</v>
      </c>
    </row>
    <row r="22" spans="1:18" ht="15" customHeight="1" x14ac:dyDescent="0.2">
      <c r="A22" s="76" t="s">
        <v>201</v>
      </c>
      <c r="B22" s="77">
        <f>COUNTIFS('Match Log'!$D$4:$D$810,B$7,'Match Log'!$C$4:$C$810,$A22)</f>
        <v>0</v>
      </c>
      <c r="C22" s="77">
        <f>COUNTIFS('Match Log'!$D$4:$D$810,C$7,'Match Log'!$C$4:$C$810,$A22)</f>
        <v>0</v>
      </c>
      <c r="D22" s="77">
        <f>COUNTIFS('Match Log'!$D$4:$D$810,D$7,'Match Log'!$C$4:$C$810,$A22)</f>
        <v>0</v>
      </c>
      <c r="E22" s="77">
        <f>COUNTIFS('Match Log'!$D$4:$D$810,E$7,'Match Log'!$C$4:$C$810,$A22)</f>
        <v>0</v>
      </c>
      <c r="F22" s="77">
        <f>COUNTIFS('Match Log'!$D$4:$D$810,F$7,'Match Log'!$C$4:$C$810,$A22)</f>
        <v>0</v>
      </c>
      <c r="G22" s="77">
        <f>COUNTIFS('Match Log'!$D$4:$D$810,G$7,'Match Log'!$C$4:$C$810,$A22)</f>
        <v>0</v>
      </c>
      <c r="H22" s="77">
        <f>COUNTIFS('Match Log'!$D$4:$D$810,H$7,'Match Log'!$C$4:$C$810,$A22)</f>
        <v>0</v>
      </c>
      <c r="I22" s="77">
        <f>COUNTIFS('Match Log'!$D$4:$D$810,I$7,'Match Log'!$C$4:$C$810,$A22)</f>
        <v>0</v>
      </c>
      <c r="J22" s="77">
        <f>COUNTIFS('Match Log'!$D$4:$D$810,J$7,'Match Log'!$C$4:$C$810,$A22)</f>
        <v>0</v>
      </c>
      <c r="K22" s="77">
        <f>COUNTIFS('Match Log'!$D$4:$D$810,K$7,'Match Log'!$C$4:$C$810,$A22)</f>
        <v>0</v>
      </c>
      <c r="L22" s="77">
        <f>COUNTIFS('Match Log'!$D$4:$D$810,L$7,'Match Log'!$C$4:$C$810,$A22)</f>
        <v>0</v>
      </c>
      <c r="M22" s="77">
        <f>COUNTIFS('Match Log'!$D$4:$D$810,M$7,'Match Log'!$C$4:$C$810,$A22)</f>
        <v>0</v>
      </c>
      <c r="N22" s="77">
        <f>COUNTIFS('Match Log'!$D$4:$D$810,N$7,'Match Log'!$C$4:$C$810,$A22)</f>
        <v>0</v>
      </c>
      <c r="O22" s="77">
        <f>COUNTIFS('Match Log'!$D$4:$D$810,O$7,'Match Log'!$C$4:$C$810,$A22)</f>
        <v>0</v>
      </c>
      <c r="P22" s="78">
        <f>SUMPRODUCT(('Match Log'!$C$4:$C$810=$A22)*('Match Log'!$D$4:$D$810='Match Log'!$G$4:$G$810)*('Match Log'!$D$4:$D$810&lt;&gt;""))</f>
        <v>0</v>
      </c>
      <c r="Q22" s="79" t="str">
        <f t="shared" si="0"/>
        <v>—</v>
      </c>
      <c r="R22" s="78" t="str">
        <f t="shared" si="1"/>
        <v>—</v>
      </c>
    </row>
    <row r="23" spans="1:18" ht="15" customHeight="1" x14ac:dyDescent="0.2">
      <c r="A23" s="76" t="s">
        <v>203</v>
      </c>
      <c r="B23" s="77">
        <f>COUNTIFS('Match Log'!$D$4:$D$810,B$7,'Match Log'!$C$4:$C$810,$A23)</f>
        <v>2</v>
      </c>
      <c r="C23" s="77">
        <f>COUNTIFS('Match Log'!$D$4:$D$810,C$7,'Match Log'!$C$4:$C$810,$A23)</f>
        <v>0</v>
      </c>
      <c r="D23" s="77">
        <f>COUNTIFS('Match Log'!$D$4:$D$810,D$7,'Match Log'!$C$4:$C$810,$A23)</f>
        <v>2</v>
      </c>
      <c r="E23" s="77">
        <f>COUNTIFS('Match Log'!$D$4:$D$810,E$7,'Match Log'!$C$4:$C$810,$A23)</f>
        <v>0</v>
      </c>
      <c r="F23" s="77">
        <f>COUNTIFS('Match Log'!$D$4:$D$810,F$7,'Match Log'!$C$4:$C$810,$A23)</f>
        <v>0</v>
      </c>
      <c r="G23" s="77">
        <f>COUNTIFS('Match Log'!$D$4:$D$810,G$7,'Match Log'!$C$4:$C$810,$A23)</f>
        <v>0</v>
      </c>
      <c r="H23" s="77">
        <f>COUNTIFS('Match Log'!$D$4:$D$810,H$7,'Match Log'!$C$4:$C$810,$A23)</f>
        <v>0</v>
      </c>
      <c r="I23" s="77">
        <f>COUNTIFS('Match Log'!$D$4:$D$810,I$7,'Match Log'!$C$4:$C$810,$A23)</f>
        <v>2</v>
      </c>
      <c r="J23" s="77">
        <f>COUNTIFS('Match Log'!$D$4:$D$810,J$7,'Match Log'!$C$4:$C$810,$A23)</f>
        <v>0</v>
      </c>
      <c r="K23" s="77">
        <f>COUNTIFS('Match Log'!$D$4:$D$810,K$7,'Match Log'!$C$4:$C$810,$A23)</f>
        <v>0</v>
      </c>
      <c r="L23" s="77">
        <f>COUNTIFS('Match Log'!$D$4:$D$810,L$7,'Match Log'!$C$4:$C$810,$A23)</f>
        <v>0</v>
      </c>
      <c r="M23" s="77">
        <f>COUNTIFS('Match Log'!$D$4:$D$810,M$7,'Match Log'!$C$4:$C$810,$A23)</f>
        <v>0</v>
      </c>
      <c r="N23" s="77">
        <f>COUNTIFS('Match Log'!$D$4:$D$810,N$7,'Match Log'!$C$4:$C$810,$A23)</f>
        <v>0</v>
      </c>
      <c r="O23" s="77">
        <f>COUNTIFS('Match Log'!$D$4:$D$810,O$7,'Match Log'!$C$4:$C$810,$A23)</f>
        <v>0</v>
      </c>
      <c r="P23" s="78">
        <f>SUMPRODUCT(('Match Log'!$C$4:$C$810=$A23)*('Match Log'!$D$4:$D$810='Match Log'!$G$4:$G$810)*('Match Log'!$D$4:$D$810&lt;&gt;""))</f>
        <v>3</v>
      </c>
      <c r="Q23" s="79" t="str">
        <f t="shared" si="0"/>
        <v>Daniel (Ferret)</v>
      </c>
      <c r="R23" s="78">
        <f t="shared" si="1"/>
        <v>2</v>
      </c>
    </row>
    <row r="24" spans="1:18" ht="15" customHeight="1" x14ac:dyDescent="0.2">
      <c r="A24" s="76" t="s">
        <v>204</v>
      </c>
      <c r="B24" s="77">
        <f>COUNTIFS('Match Log'!$D$4:$D$810,B$7,'Match Log'!$C$4:$C$810,$A24)</f>
        <v>0</v>
      </c>
      <c r="C24" s="77">
        <f>COUNTIFS('Match Log'!$D$4:$D$810,C$7,'Match Log'!$C$4:$C$810,$A24)</f>
        <v>0</v>
      </c>
      <c r="D24" s="77">
        <f>COUNTIFS('Match Log'!$D$4:$D$810,D$7,'Match Log'!$C$4:$C$810,$A24)</f>
        <v>1</v>
      </c>
      <c r="E24" s="77">
        <f>COUNTIFS('Match Log'!$D$4:$D$810,E$7,'Match Log'!$C$4:$C$810,$A24)</f>
        <v>0</v>
      </c>
      <c r="F24" s="77">
        <f>COUNTIFS('Match Log'!$D$4:$D$810,F$7,'Match Log'!$C$4:$C$810,$A24)</f>
        <v>1</v>
      </c>
      <c r="G24" s="77">
        <f>COUNTIFS('Match Log'!$D$4:$D$810,G$7,'Match Log'!$C$4:$C$810,$A24)</f>
        <v>0</v>
      </c>
      <c r="H24" s="77">
        <f>COUNTIFS('Match Log'!$D$4:$D$810,H$7,'Match Log'!$C$4:$C$810,$A24)</f>
        <v>0</v>
      </c>
      <c r="I24" s="77">
        <f>COUNTIFS('Match Log'!$D$4:$D$810,I$7,'Match Log'!$C$4:$C$810,$A24)</f>
        <v>1</v>
      </c>
      <c r="J24" s="77">
        <f>COUNTIFS('Match Log'!$D$4:$D$810,J$7,'Match Log'!$C$4:$C$810,$A24)</f>
        <v>0</v>
      </c>
      <c r="K24" s="77">
        <f>COUNTIFS('Match Log'!$D$4:$D$810,K$7,'Match Log'!$C$4:$C$810,$A24)</f>
        <v>0</v>
      </c>
      <c r="L24" s="77">
        <f>COUNTIFS('Match Log'!$D$4:$D$810,L$7,'Match Log'!$C$4:$C$810,$A24)</f>
        <v>0</v>
      </c>
      <c r="M24" s="77">
        <f>COUNTIFS('Match Log'!$D$4:$D$810,M$7,'Match Log'!$C$4:$C$810,$A24)</f>
        <v>0</v>
      </c>
      <c r="N24" s="77">
        <f>COUNTIFS('Match Log'!$D$4:$D$810,N$7,'Match Log'!$C$4:$C$810,$A24)</f>
        <v>0</v>
      </c>
      <c r="O24" s="77">
        <f>COUNTIFS('Match Log'!$D$4:$D$810,O$7,'Match Log'!$C$4:$C$810,$A24)</f>
        <v>0</v>
      </c>
      <c r="P24" s="78">
        <f>SUMPRODUCT(('Match Log'!$C$4:$C$810=$A24)*('Match Log'!$D$4:$D$810='Match Log'!$G$4:$G$810)*('Match Log'!$D$4:$D$810&lt;&gt;""))</f>
        <v>1</v>
      </c>
      <c r="Q24" s="79" t="str">
        <f t="shared" si="0"/>
        <v>Josh</v>
      </c>
      <c r="R24" s="78">
        <f t="shared" si="1"/>
        <v>1</v>
      </c>
    </row>
    <row r="25" spans="1:18" ht="15" customHeight="1" x14ac:dyDescent="0.2">
      <c r="A25" s="76" t="s">
        <v>206</v>
      </c>
      <c r="B25" s="77">
        <f>COUNTIFS('Match Log'!$D$4:$D$810,B$7,'Match Log'!$C$4:$C$810,$A25)</f>
        <v>7</v>
      </c>
      <c r="C25" s="77">
        <f>COUNTIFS('Match Log'!$D$4:$D$810,C$7,'Match Log'!$C$4:$C$810,$A25)</f>
        <v>8</v>
      </c>
      <c r="D25" s="77">
        <f>COUNTIFS('Match Log'!$D$4:$D$810,D$7,'Match Log'!$C$4:$C$810,$A25)</f>
        <v>1</v>
      </c>
      <c r="E25" s="77">
        <f>COUNTIFS('Match Log'!$D$4:$D$810,E$7,'Match Log'!$C$4:$C$810,$A25)</f>
        <v>7</v>
      </c>
      <c r="F25" s="77">
        <f>COUNTIFS('Match Log'!$D$4:$D$810,F$7,'Match Log'!$C$4:$C$810,$A25)</f>
        <v>8</v>
      </c>
      <c r="G25" s="77">
        <f>COUNTIFS('Match Log'!$D$4:$D$810,G$7,'Match Log'!$C$4:$C$810,$A25)</f>
        <v>9</v>
      </c>
      <c r="H25" s="77">
        <f>COUNTIFS('Match Log'!$D$4:$D$810,H$7,'Match Log'!$C$4:$C$810,$A25)</f>
        <v>11</v>
      </c>
      <c r="I25" s="77">
        <f>COUNTIFS('Match Log'!$D$4:$D$810,I$7,'Match Log'!$C$4:$C$810,$A25)</f>
        <v>9</v>
      </c>
      <c r="J25" s="77">
        <f>COUNTIFS('Match Log'!$D$4:$D$810,J$7,'Match Log'!$C$4:$C$810,$A25)</f>
        <v>10</v>
      </c>
      <c r="K25" s="77">
        <f>COUNTIFS('Match Log'!$D$4:$D$810,K$7,'Match Log'!$C$4:$C$810,$A25)</f>
        <v>7</v>
      </c>
      <c r="L25" s="77">
        <f>COUNTIFS('Match Log'!$D$4:$D$810,L$7,'Match Log'!$C$4:$C$810,$A25)</f>
        <v>12</v>
      </c>
      <c r="M25" s="77">
        <f>COUNTIFS('Match Log'!$D$4:$D$810,M$7,'Match Log'!$C$4:$C$810,$A25)</f>
        <v>5</v>
      </c>
      <c r="N25" s="77">
        <f>COUNTIFS('Match Log'!$D$4:$D$810,N$7,'Match Log'!$C$4:$C$810,$A25)</f>
        <v>4</v>
      </c>
      <c r="O25" s="77">
        <f>COUNTIFS('Match Log'!$D$4:$D$810,O$7,'Match Log'!$C$4:$C$810,$A25)</f>
        <v>0</v>
      </c>
      <c r="P25" s="78">
        <f>SUMPRODUCT(('Match Log'!$C$4:$C$810=$A25)*('Match Log'!$D$4:$D$810='Match Log'!$G$4:$G$810)*('Match Log'!$D$4:$D$810&lt;&gt;""))</f>
        <v>31</v>
      </c>
      <c r="Q25" s="79" t="str">
        <f t="shared" si="0"/>
        <v>Simon</v>
      </c>
      <c r="R25" s="78">
        <f t="shared" si="1"/>
        <v>8</v>
      </c>
    </row>
    <row r="26" spans="1:18" ht="15" customHeight="1" x14ac:dyDescent="0.2">
      <c r="A26" s="76" t="s">
        <v>208</v>
      </c>
      <c r="B26" s="77">
        <f>COUNTIFS('Match Log'!$D$4:$D$810,B$7,'Match Log'!$C$4:$C$810,$A26)</f>
        <v>7</v>
      </c>
      <c r="C26" s="77">
        <f>COUNTIFS('Match Log'!$D$4:$D$810,C$7,'Match Log'!$C$4:$C$810,$A26)</f>
        <v>0</v>
      </c>
      <c r="D26" s="77">
        <f>COUNTIFS('Match Log'!$D$4:$D$810,D$7,'Match Log'!$C$4:$C$810,$A26)</f>
        <v>0</v>
      </c>
      <c r="E26" s="77">
        <f>COUNTIFS('Match Log'!$D$4:$D$810,E$7,'Match Log'!$C$4:$C$810,$A26)</f>
        <v>0</v>
      </c>
      <c r="F26" s="77">
        <f>COUNTIFS('Match Log'!$D$4:$D$810,F$7,'Match Log'!$C$4:$C$810,$A26)</f>
        <v>4</v>
      </c>
      <c r="G26" s="77">
        <f>COUNTIFS('Match Log'!$D$4:$D$810,G$7,'Match Log'!$C$4:$C$810,$A26)</f>
        <v>7</v>
      </c>
      <c r="H26" s="77">
        <f>COUNTIFS('Match Log'!$D$4:$D$810,H$7,'Match Log'!$C$4:$C$810,$A26)</f>
        <v>0</v>
      </c>
      <c r="I26" s="77">
        <f>COUNTIFS('Match Log'!$D$4:$D$810,I$7,'Match Log'!$C$4:$C$810,$A26)</f>
        <v>4</v>
      </c>
      <c r="J26" s="77">
        <f>COUNTIFS('Match Log'!$D$4:$D$810,J$7,'Match Log'!$C$4:$C$810,$A26)</f>
        <v>0</v>
      </c>
      <c r="K26" s="77">
        <f>COUNTIFS('Match Log'!$D$4:$D$810,K$7,'Match Log'!$C$4:$C$810,$A26)</f>
        <v>0</v>
      </c>
      <c r="L26" s="77">
        <f>COUNTIFS('Match Log'!$D$4:$D$810,L$7,'Match Log'!$C$4:$C$810,$A26)</f>
        <v>0</v>
      </c>
      <c r="M26" s="77">
        <f>COUNTIFS('Match Log'!$D$4:$D$810,M$7,'Match Log'!$C$4:$C$810,$A26)</f>
        <v>0</v>
      </c>
      <c r="N26" s="77">
        <f>COUNTIFS('Match Log'!$D$4:$D$810,N$7,'Match Log'!$C$4:$C$810,$A26)</f>
        <v>0</v>
      </c>
      <c r="O26" s="77">
        <f>COUNTIFS('Match Log'!$D$4:$D$810,O$7,'Match Log'!$C$4:$C$810,$A26)</f>
        <v>0</v>
      </c>
      <c r="P26" s="78">
        <f>SUMPRODUCT(('Match Log'!$C$4:$C$810=$A26)*('Match Log'!$D$4:$D$810='Match Log'!$G$4:$G$810)*('Match Log'!$D$4:$D$810&lt;&gt;""))</f>
        <v>11</v>
      </c>
      <c r="Q26" s="79" t="str">
        <f t="shared" si="0"/>
        <v>Shawn</v>
      </c>
      <c r="R26" s="78">
        <f t="shared" si="1"/>
        <v>5</v>
      </c>
    </row>
    <row r="27" spans="1:18" x14ac:dyDescent="0.2">
      <c r="A27" s="76" t="s">
        <v>407</v>
      </c>
      <c r="B27" s="77">
        <f>COUNTIFS('Match Log'!$D$4:$D$810,B$7,'Match Log'!$C$4:$C$810,$A27)</f>
        <v>0</v>
      </c>
      <c r="C27" s="77">
        <f>COUNTIFS('Match Log'!$D$4:$D$810,C$7,'Match Log'!$C$4:$C$810,$A27)</f>
        <v>0</v>
      </c>
      <c r="D27" s="77">
        <f>COUNTIFS('Match Log'!$D$4:$D$810,D$7,'Match Log'!$C$4:$C$810,$A27)</f>
        <v>0</v>
      </c>
      <c r="E27" s="77">
        <f>COUNTIFS('Match Log'!$D$4:$D$810,E$7,'Match Log'!$C$4:$C$810,$A27)</f>
        <v>0</v>
      </c>
      <c r="F27" s="77">
        <f>COUNTIFS('Match Log'!$D$4:$D$810,F$7,'Match Log'!$C$4:$C$810,$A27)</f>
        <v>0</v>
      </c>
      <c r="G27" s="77">
        <f>COUNTIFS('Match Log'!$D$4:$D$810,G$7,'Match Log'!$C$4:$C$810,$A27)</f>
        <v>0</v>
      </c>
      <c r="H27" s="77">
        <f>COUNTIFS('Match Log'!$D$4:$D$810,H$7,'Match Log'!$C$4:$C$810,$A27)</f>
        <v>0</v>
      </c>
      <c r="I27" s="77">
        <f>COUNTIFS('Match Log'!$D$4:$D$810,I$7,'Match Log'!$C$4:$C$810,$A27)</f>
        <v>0</v>
      </c>
      <c r="J27" s="77">
        <f>COUNTIFS('Match Log'!$D$4:$D$810,J$7,'Match Log'!$C$4:$C$810,$A27)</f>
        <v>0</v>
      </c>
      <c r="K27" s="77">
        <f>COUNTIFS('Match Log'!$D$4:$D$810,K$7,'Match Log'!$C$4:$C$810,$A27)</f>
        <v>0</v>
      </c>
      <c r="L27" s="77">
        <f>COUNTIFS('Match Log'!$D$4:$D$810,L$7,'Match Log'!$C$4:$C$810,$A27)</f>
        <v>0</v>
      </c>
      <c r="M27" s="77">
        <f>COUNTIFS('Match Log'!$D$4:$D$810,M$7,'Match Log'!$C$4:$C$810,$A27)</f>
        <v>0</v>
      </c>
      <c r="N27" s="77">
        <f>COUNTIFS('Match Log'!$D$4:$D$810,N$7,'Match Log'!$C$4:$C$810,$A27)</f>
        <v>0</v>
      </c>
      <c r="O27" s="77">
        <f>COUNTIFS('Match Log'!$D$4:$D$810,O$7,'Match Log'!$C$4:$C$810,$A27)</f>
        <v>0</v>
      </c>
      <c r="P27" s="78">
        <f>SUMPRODUCT(('Match Log'!$C$4:$C$810=$A27)*('Match Log'!$D$4:$D$810='Match Log'!$G$4:$G$810)*('Match Log'!$D$4:$D$810&lt;&gt;""))</f>
        <v>0</v>
      </c>
      <c r="Q27" s="79" t="str">
        <f>IF($P27=0,"—",INDEX($B$29:$O$29,MATCH(MAX($B49:$O49),$B49:$O49,0)))</f>
        <v>—</v>
      </c>
      <c r="R27" s="78" t="str">
        <f>IF($P27=0,"—",MAX($B49:$O49))</f>
        <v>—</v>
      </c>
    </row>
    <row r="28" spans="1:18" ht="15" customHeight="1" x14ac:dyDescent="0.2">
      <c r="A28" s="157" t="s">
        <v>226</v>
      </c>
      <c r="B28" s="157"/>
      <c r="C28" s="157"/>
      <c r="D28" s="157"/>
      <c r="E28" s="157"/>
      <c r="F28" s="157"/>
      <c r="G28" s="157"/>
      <c r="H28" s="157"/>
      <c r="I28" s="157"/>
      <c r="J28" s="157"/>
      <c r="K28" s="157"/>
      <c r="L28" s="157"/>
      <c r="M28" s="157"/>
      <c r="N28" s="157"/>
      <c r="O28" s="157"/>
      <c r="P28" s="157"/>
      <c r="Q28" s="157"/>
    </row>
    <row r="29" spans="1:18" ht="91.5" customHeight="1" x14ac:dyDescent="0.2">
      <c r="A29" s="74" t="s">
        <v>123</v>
      </c>
      <c r="B29" s="75" t="s">
        <v>138</v>
      </c>
      <c r="C29" s="75" t="s">
        <v>135</v>
      </c>
      <c r="D29" s="75" t="s">
        <v>173</v>
      </c>
      <c r="E29" s="75" t="s">
        <v>140</v>
      </c>
      <c r="F29" s="75" t="s">
        <v>137</v>
      </c>
      <c r="G29" s="75" t="s">
        <v>134</v>
      </c>
      <c r="H29" s="75" t="s">
        <v>168</v>
      </c>
      <c r="I29" s="75" t="s">
        <v>170</v>
      </c>
      <c r="J29" s="75" t="s">
        <v>167</v>
      </c>
      <c r="K29" s="75" t="s">
        <v>175</v>
      </c>
      <c r="L29" s="75" t="s">
        <v>169</v>
      </c>
      <c r="M29" s="75" t="s">
        <v>171</v>
      </c>
      <c r="N29" s="75" t="s">
        <v>172</v>
      </c>
      <c r="O29" s="75" t="s">
        <v>174</v>
      </c>
    </row>
    <row r="30" spans="1:18" ht="15" customHeight="1" x14ac:dyDescent="0.2">
      <c r="A30" s="76" t="s">
        <v>181</v>
      </c>
      <c r="B30" s="77">
        <f>COUNTIFS('Match Log'!$D$4:$D$810,B$29,'Match Log'!$C$4:$C$810,$A30,'Match Log'!$E$4:$E$810,"Win")</f>
        <v>0</v>
      </c>
      <c r="C30" s="77">
        <f>COUNTIFS('Match Log'!$D$4:$D$810,C$29,'Match Log'!$C$4:$C$810,$A30,'Match Log'!$E$4:$E$810,"Win")</f>
        <v>0</v>
      </c>
      <c r="D30" s="77">
        <f>COUNTIFS('Match Log'!$D$4:$D$810,D$29,'Match Log'!$C$4:$C$810,$A30,'Match Log'!$E$4:$E$810,"Win")</f>
        <v>0</v>
      </c>
      <c r="E30" s="77">
        <f>COUNTIFS('Match Log'!$D$4:$D$810,E$29,'Match Log'!$C$4:$C$810,$A30,'Match Log'!$E$4:$E$810,"Win")</f>
        <v>0</v>
      </c>
      <c r="F30" s="77">
        <f>COUNTIFS('Match Log'!$D$4:$D$810,F$29,'Match Log'!$C$4:$C$810,$A30,'Match Log'!$E$4:$E$810,"Win")</f>
        <v>0</v>
      </c>
      <c r="G30" s="77">
        <f>COUNTIFS('Match Log'!$D$4:$D$810,G$29,'Match Log'!$C$4:$C$810,$A30,'Match Log'!$E$4:$E$810,"Win")</f>
        <v>2</v>
      </c>
      <c r="H30" s="77">
        <f>COUNTIFS('Match Log'!$D$4:$D$810,H$29,'Match Log'!$C$4:$C$810,$A30,'Match Log'!$E$4:$E$810,"Win")</f>
        <v>0</v>
      </c>
      <c r="I30" s="77">
        <f>COUNTIFS('Match Log'!$D$4:$D$810,I$29,'Match Log'!$C$4:$C$810,$A30,'Match Log'!$E$4:$E$810,"Win")</f>
        <v>0</v>
      </c>
      <c r="J30" s="77">
        <f>COUNTIFS('Match Log'!$D$4:$D$810,J$29,'Match Log'!$C$4:$C$810,$A30,'Match Log'!$E$4:$E$810,"Win")</f>
        <v>0</v>
      </c>
      <c r="K30" s="77">
        <f>COUNTIFS('Match Log'!$D$4:$D$810,K$29,'Match Log'!$C$4:$C$810,$A30,'Match Log'!$E$4:$E$810,"Win")</f>
        <v>0</v>
      </c>
      <c r="L30" s="77">
        <f>COUNTIFS('Match Log'!$D$4:$D$810,L$29,'Match Log'!$C$4:$C$810,$A30,'Match Log'!$E$4:$E$810,"Win")</f>
        <v>0</v>
      </c>
      <c r="M30" s="77">
        <f>COUNTIFS('Match Log'!$D$4:$D$810,M$29,'Match Log'!$C$4:$C$810,$A30,'Match Log'!$E$4:$E$810,"Win")</f>
        <v>0</v>
      </c>
      <c r="N30" s="77">
        <f>COUNTIFS('Match Log'!$D$4:$D$810,N$29,'Match Log'!$C$4:$C$810,$A30,'Match Log'!$E$4:$E$810,"Win")</f>
        <v>0</v>
      </c>
      <c r="O30" s="77">
        <f>COUNTIFS('Match Log'!$D$4:$D$810,O$29,'Match Log'!$C$4:$C$810,$A30,'Match Log'!$E$4:$E$810,"Win")</f>
        <v>0</v>
      </c>
    </row>
    <row r="31" spans="1:18" ht="15" customHeight="1" x14ac:dyDescent="0.2">
      <c r="A31" s="76" t="s">
        <v>182</v>
      </c>
      <c r="B31" s="77">
        <f>COUNTIFS('Match Log'!$D$4:$D$810,B$29,'Match Log'!$C$4:$C$810,$A31,'Match Log'!$E$4:$E$810,"Win")</f>
        <v>0</v>
      </c>
      <c r="C31" s="77">
        <f>COUNTIFS('Match Log'!$D$4:$D$810,C$29,'Match Log'!$C$4:$C$810,$A31,'Match Log'!$E$4:$E$810,"Win")</f>
        <v>0</v>
      </c>
      <c r="D31" s="77">
        <f>COUNTIFS('Match Log'!$D$4:$D$810,D$29,'Match Log'!$C$4:$C$810,$A31,'Match Log'!$E$4:$E$810,"Win")</f>
        <v>0</v>
      </c>
      <c r="E31" s="77">
        <f>COUNTIFS('Match Log'!$D$4:$D$810,E$29,'Match Log'!$C$4:$C$810,$A31,'Match Log'!$E$4:$E$810,"Win")</f>
        <v>0</v>
      </c>
      <c r="F31" s="77">
        <f>COUNTIFS('Match Log'!$D$4:$D$810,F$29,'Match Log'!$C$4:$C$810,$A31,'Match Log'!$E$4:$E$810,"Win")</f>
        <v>0</v>
      </c>
      <c r="G31" s="77">
        <f>COUNTIFS('Match Log'!$D$4:$D$810,G$29,'Match Log'!$C$4:$C$810,$A31,'Match Log'!$E$4:$E$810,"Win")</f>
        <v>0</v>
      </c>
      <c r="H31" s="77">
        <f>COUNTIFS('Match Log'!$D$4:$D$810,H$29,'Match Log'!$C$4:$C$810,$A31,'Match Log'!$E$4:$E$810,"Win")</f>
        <v>0</v>
      </c>
      <c r="I31" s="77">
        <f>COUNTIFS('Match Log'!$D$4:$D$810,I$29,'Match Log'!$C$4:$C$810,$A31,'Match Log'!$E$4:$E$810,"Win")</f>
        <v>0</v>
      </c>
      <c r="J31" s="77">
        <f>COUNTIFS('Match Log'!$D$4:$D$810,J$29,'Match Log'!$C$4:$C$810,$A31,'Match Log'!$E$4:$E$810,"Win")</f>
        <v>0</v>
      </c>
      <c r="K31" s="77">
        <f>COUNTIFS('Match Log'!$D$4:$D$810,K$29,'Match Log'!$C$4:$C$810,$A31,'Match Log'!$E$4:$E$810,"Win")</f>
        <v>0</v>
      </c>
      <c r="L31" s="77">
        <f>COUNTIFS('Match Log'!$D$4:$D$810,L$29,'Match Log'!$C$4:$C$810,$A31,'Match Log'!$E$4:$E$810,"Win")</f>
        <v>0</v>
      </c>
      <c r="M31" s="77">
        <f>COUNTIFS('Match Log'!$D$4:$D$810,M$29,'Match Log'!$C$4:$C$810,$A31,'Match Log'!$E$4:$E$810,"Win")</f>
        <v>0</v>
      </c>
      <c r="N31" s="77">
        <f>COUNTIFS('Match Log'!$D$4:$D$810,N$29,'Match Log'!$C$4:$C$810,$A31,'Match Log'!$E$4:$E$810,"Win")</f>
        <v>0</v>
      </c>
      <c r="O31" s="77">
        <f>COUNTIFS('Match Log'!$D$4:$D$810,O$29,'Match Log'!$C$4:$C$810,$A31,'Match Log'!$E$4:$E$810,"Win")</f>
        <v>0</v>
      </c>
    </row>
    <row r="32" spans="1:18" ht="15" customHeight="1" x14ac:dyDescent="0.2">
      <c r="A32" s="76" t="s">
        <v>183</v>
      </c>
      <c r="B32" s="77">
        <f>COUNTIFS('Match Log'!$D$4:$D$810,B$29,'Match Log'!$C$4:$C$810,$A32,'Match Log'!$E$4:$E$810,"Win")</f>
        <v>9</v>
      </c>
      <c r="C32" s="77">
        <f>COUNTIFS('Match Log'!$D$4:$D$810,C$29,'Match Log'!$C$4:$C$810,$A32,'Match Log'!$E$4:$E$810,"Win")</f>
        <v>0</v>
      </c>
      <c r="D32" s="77">
        <f>COUNTIFS('Match Log'!$D$4:$D$810,D$29,'Match Log'!$C$4:$C$810,$A32,'Match Log'!$E$4:$E$810,"Win")</f>
        <v>0</v>
      </c>
      <c r="E32" s="77">
        <f>COUNTIFS('Match Log'!$D$4:$D$810,E$29,'Match Log'!$C$4:$C$810,$A32,'Match Log'!$E$4:$E$810,"Win")</f>
        <v>0</v>
      </c>
      <c r="F32" s="77">
        <f>COUNTIFS('Match Log'!$D$4:$D$810,F$29,'Match Log'!$C$4:$C$810,$A32,'Match Log'!$E$4:$E$810,"Win")</f>
        <v>0</v>
      </c>
      <c r="G32" s="77">
        <f>COUNTIFS('Match Log'!$D$4:$D$810,G$29,'Match Log'!$C$4:$C$810,$A32,'Match Log'!$E$4:$E$810,"Win")</f>
        <v>9</v>
      </c>
      <c r="H32" s="77">
        <f>COUNTIFS('Match Log'!$D$4:$D$810,H$29,'Match Log'!$C$4:$C$810,$A32,'Match Log'!$E$4:$E$810,"Win")</f>
        <v>0</v>
      </c>
      <c r="I32" s="77">
        <f>COUNTIFS('Match Log'!$D$4:$D$810,I$29,'Match Log'!$C$4:$C$810,$A32,'Match Log'!$E$4:$E$810,"Win")</f>
        <v>4</v>
      </c>
      <c r="J32" s="77">
        <f>COUNTIFS('Match Log'!$D$4:$D$810,J$29,'Match Log'!$C$4:$C$810,$A32,'Match Log'!$E$4:$E$810,"Win")</f>
        <v>0</v>
      </c>
      <c r="K32" s="77">
        <f>COUNTIFS('Match Log'!$D$4:$D$810,K$29,'Match Log'!$C$4:$C$810,$A32,'Match Log'!$E$4:$E$810,"Win")</f>
        <v>0</v>
      </c>
      <c r="L32" s="77">
        <f>COUNTIFS('Match Log'!$D$4:$D$810,L$29,'Match Log'!$C$4:$C$810,$A32,'Match Log'!$E$4:$E$810,"Win")</f>
        <v>1</v>
      </c>
      <c r="M32" s="77">
        <f>COUNTIFS('Match Log'!$D$4:$D$810,M$29,'Match Log'!$C$4:$C$810,$A32,'Match Log'!$E$4:$E$810,"Win")</f>
        <v>0</v>
      </c>
      <c r="N32" s="77">
        <f>COUNTIFS('Match Log'!$D$4:$D$810,N$29,'Match Log'!$C$4:$C$810,$A32,'Match Log'!$E$4:$E$810,"Win")</f>
        <v>0</v>
      </c>
      <c r="O32" s="77">
        <f>COUNTIFS('Match Log'!$D$4:$D$810,O$29,'Match Log'!$C$4:$C$810,$A32,'Match Log'!$E$4:$E$810,"Win")</f>
        <v>0</v>
      </c>
    </row>
    <row r="33" spans="1:15" ht="15" customHeight="1" x14ac:dyDescent="0.2">
      <c r="A33" s="76" t="s">
        <v>184</v>
      </c>
      <c r="B33" s="77">
        <f>COUNTIFS('Match Log'!$D$4:$D$810,B$29,'Match Log'!$C$4:$C$810,$A33,'Match Log'!$E$4:$E$810,"Win")</f>
        <v>0</v>
      </c>
      <c r="C33" s="77">
        <f>COUNTIFS('Match Log'!$D$4:$D$810,C$29,'Match Log'!$C$4:$C$810,$A33,'Match Log'!$E$4:$E$810,"Win")</f>
        <v>0</v>
      </c>
      <c r="D33" s="77">
        <f>COUNTIFS('Match Log'!$D$4:$D$810,D$29,'Match Log'!$C$4:$C$810,$A33,'Match Log'!$E$4:$E$810,"Win")</f>
        <v>0</v>
      </c>
      <c r="E33" s="77">
        <f>COUNTIFS('Match Log'!$D$4:$D$810,E$29,'Match Log'!$C$4:$C$810,$A33,'Match Log'!$E$4:$E$810,"Win")</f>
        <v>0</v>
      </c>
      <c r="F33" s="77">
        <f>COUNTIFS('Match Log'!$D$4:$D$810,F$29,'Match Log'!$C$4:$C$810,$A33,'Match Log'!$E$4:$E$810,"Win")</f>
        <v>0</v>
      </c>
      <c r="G33" s="77">
        <f>COUNTIFS('Match Log'!$D$4:$D$810,G$29,'Match Log'!$C$4:$C$810,$A33,'Match Log'!$E$4:$E$810,"Win")</f>
        <v>0</v>
      </c>
      <c r="H33" s="77">
        <f>COUNTIFS('Match Log'!$D$4:$D$810,H$29,'Match Log'!$C$4:$C$810,$A33,'Match Log'!$E$4:$E$810,"Win")</f>
        <v>0</v>
      </c>
      <c r="I33" s="77">
        <f>COUNTIFS('Match Log'!$D$4:$D$810,I$29,'Match Log'!$C$4:$C$810,$A33,'Match Log'!$E$4:$E$810,"Win")</f>
        <v>0</v>
      </c>
      <c r="J33" s="77">
        <f>COUNTIFS('Match Log'!$D$4:$D$810,J$29,'Match Log'!$C$4:$C$810,$A33,'Match Log'!$E$4:$E$810,"Win")</f>
        <v>0</v>
      </c>
      <c r="K33" s="77">
        <f>COUNTIFS('Match Log'!$D$4:$D$810,K$29,'Match Log'!$C$4:$C$810,$A33,'Match Log'!$E$4:$E$810,"Win")</f>
        <v>0</v>
      </c>
      <c r="L33" s="77">
        <f>COUNTIFS('Match Log'!$D$4:$D$810,L$29,'Match Log'!$C$4:$C$810,$A33,'Match Log'!$E$4:$E$810,"Win")</f>
        <v>0</v>
      </c>
      <c r="M33" s="77">
        <f>COUNTIFS('Match Log'!$D$4:$D$810,M$29,'Match Log'!$C$4:$C$810,$A33,'Match Log'!$E$4:$E$810,"Win")</f>
        <v>0</v>
      </c>
      <c r="N33" s="77">
        <f>COUNTIFS('Match Log'!$D$4:$D$810,N$29,'Match Log'!$C$4:$C$810,$A33,'Match Log'!$E$4:$E$810,"Win")</f>
        <v>0</v>
      </c>
      <c r="O33" s="77">
        <f>COUNTIFS('Match Log'!$D$4:$D$810,O$29,'Match Log'!$C$4:$C$810,$A33,'Match Log'!$E$4:$E$810,"Win")</f>
        <v>0</v>
      </c>
    </row>
    <row r="34" spans="1:15" ht="15" customHeight="1" x14ac:dyDescent="0.2">
      <c r="A34" s="76" t="s">
        <v>185</v>
      </c>
      <c r="B34" s="77">
        <f>COUNTIFS('Match Log'!$D$4:$D$810,B$29,'Match Log'!$C$4:$C$810,$A34,'Match Log'!$E$4:$E$810,"Win")</f>
        <v>0</v>
      </c>
      <c r="C34" s="77">
        <f>COUNTIFS('Match Log'!$D$4:$D$810,C$29,'Match Log'!$C$4:$C$810,$A34,'Match Log'!$E$4:$E$810,"Win")</f>
        <v>0</v>
      </c>
      <c r="D34" s="77">
        <f>COUNTIFS('Match Log'!$D$4:$D$810,D$29,'Match Log'!$C$4:$C$810,$A34,'Match Log'!$E$4:$E$810,"Win")</f>
        <v>0</v>
      </c>
      <c r="E34" s="77">
        <f>COUNTIFS('Match Log'!$D$4:$D$810,E$29,'Match Log'!$C$4:$C$810,$A34,'Match Log'!$E$4:$E$810,"Win")</f>
        <v>0</v>
      </c>
      <c r="F34" s="77">
        <f>COUNTIFS('Match Log'!$D$4:$D$810,F$29,'Match Log'!$C$4:$C$810,$A34,'Match Log'!$E$4:$E$810,"Win")</f>
        <v>0</v>
      </c>
      <c r="G34" s="77">
        <f>COUNTIFS('Match Log'!$D$4:$D$810,G$29,'Match Log'!$C$4:$C$810,$A34,'Match Log'!$E$4:$E$810,"Win")</f>
        <v>0</v>
      </c>
      <c r="H34" s="77">
        <f>COUNTIFS('Match Log'!$D$4:$D$810,H$29,'Match Log'!$C$4:$C$810,$A34,'Match Log'!$E$4:$E$810,"Win")</f>
        <v>2</v>
      </c>
      <c r="I34" s="77">
        <f>COUNTIFS('Match Log'!$D$4:$D$810,I$29,'Match Log'!$C$4:$C$810,$A34,'Match Log'!$E$4:$E$810,"Win")</f>
        <v>2</v>
      </c>
      <c r="J34" s="77">
        <f>COUNTIFS('Match Log'!$D$4:$D$810,J$29,'Match Log'!$C$4:$C$810,$A34,'Match Log'!$E$4:$E$810,"Win")</f>
        <v>4</v>
      </c>
      <c r="K34" s="77">
        <f>COUNTIFS('Match Log'!$D$4:$D$810,K$29,'Match Log'!$C$4:$C$810,$A34,'Match Log'!$E$4:$E$810,"Win")</f>
        <v>0</v>
      </c>
      <c r="L34" s="77">
        <f>COUNTIFS('Match Log'!$D$4:$D$810,L$29,'Match Log'!$C$4:$C$810,$A34,'Match Log'!$E$4:$E$810,"Win")</f>
        <v>2</v>
      </c>
      <c r="M34" s="77">
        <f>COUNTIFS('Match Log'!$D$4:$D$810,M$29,'Match Log'!$C$4:$C$810,$A34,'Match Log'!$E$4:$E$810,"Win")</f>
        <v>0</v>
      </c>
      <c r="N34" s="77">
        <f>COUNTIFS('Match Log'!$D$4:$D$810,N$29,'Match Log'!$C$4:$C$810,$A34,'Match Log'!$E$4:$E$810,"Win")</f>
        <v>0</v>
      </c>
      <c r="O34" s="77">
        <f>COUNTIFS('Match Log'!$D$4:$D$810,O$29,'Match Log'!$C$4:$C$810,$A34,'Match Log'!$E$4:$E$810,"Win")</f>
        <v>0</v>
      </c>
    </row>
    <row r="35" spans="1:15" ht="15" customHeight="1" x14ac:dyDescent="0.2">
      <c r="A35" s="76" t="s">
        <v>186</v>
      </c>
      <c r="B35" s="77">
        <f>COUNTIFS('Match Log'!$D$4:$D$810,B$29,'Match Log'!$C$4:$C$810,$A35,'Match Log'!$E$4:$E$810,"Win")</f>
        <v>1</v>
      </c>
      <c r="C35" s="77">
        <f>COUNTIFS('Match Log'!$D$4:$D$810,C$29,'Match Log'!$C$4:$C$810,$A35,'Match Log'!$E$4:$E$810,"Win")</f>
        <v>0</v>
      </c>
      <c r="D35" s="77">
        <f>COUNTIFS('Match Log'!$D$4:$D$810,D$29,'Match Log'!$C$4:$C$810,$A35,'Match Log'!$E$4:$E$810,"Win")</f>
        <v>0</v>
      </c>
      <c r="E35" s="77">
        <f>COUNTIFS('Match Log'!$D$4:$D$810,E$29,'Match Log'!$C$4:$C$810,$A35,'Match Log'!$E$4:$E$810,"Win")</f>
        <v>0</v>
      </c>
      <c r="F35" s="77">
        <f>COUNTIFS('Match Log'!$D$4:$D$810,F$29,'Match Log'!$C$4:$C$810,$A35,'Match Log'!$E$4:$E$810,"Win")</f>
        <v>0</v>
      </c>
      <c r="G35" s="77">
        <f>COUNTIFS('Match Log'!$D$4:$D$810,G$29,'Match Log'!$C$4:$C$810,$A35,'Match Log'!$E$4:$E$810,"Win")</f>
        <v>0</v>
      </c>
      <c r="H35" s="77">
        <f>COUNTIFS('Match Log'!$D$4:$D$810,H$29,'Match Log'!$C$4:$C$810,$A35,'Match Log'!$E$4:$E$810,"Win")</f>
        <v>0</v>
      </c>
      <c r="I35" s="77">
        <f>COUNTIFS('Match Log'!$D$4:$D$810,I$29,'Match Log'!$C$4:$C$810,$A35,'Match Log'!$E$4:$E$810,"Win")</f>
        <v>0</v>
      </c>
      <c r="J35" s="77">
        <f>COUNTIFS('Match Log'!$D$4:$D$810,J$29,'Match Log'!$C$4:$C$810,$A35,'Match Log'!$E$4:$E$810,"Win")</f>
        <v>0</v>
      </c>
      <c r="K35" s="77">
        <f>COUNTIFS('Match Log'!$D$4:$D$810,K$29,'Match Log'!$C$4:$C$810,$A35,'Match Log'!$E$4:$E$810,"Win")</f>
        <v>0</v>
      </c>
      <c r="L35" s="77">
        <f>COUNTIFS('Match Log'!$D$4:$D$810,L$29,'Match Log'!$C$4:$C$810,$A35,'Match Log'!$E$4:$E$810,"Win")</f>
        <v>0</v>
      </c>
      <c r="M35" s="77">
        <f>COUNTIFS('Match Log'!$D$4:$D$810,M$29,'Match Log'!$C$4:$C$810,$A35,'Match Log'!$E$4:$E$810,"Win")</f>
        <v>0</v>
      </c>
      <c r="N35" s="77">
        <f>COUNTIFS('Match Log'!$D$4:$D$810,N$29,'Match Log'!$C$4:$C$810,$A35,'Match Log'!$E$4:$E$810,"Win")</f>
        <v>0</v>
      </c>
      <c r="O35" s="77">
        <f>COUNTIFS('Match Log'!$D$4:$D$810,O$29,'Match Log'!$C$4:$C$810,$A35,'Match Log'!$E$4:$E$810,"Win")</f>
        <v>0</v>
      </c>
    </row>
    <row r="36" spans="1:15" ht="15" customHeight="1" x14ac:dyDescent="0.2">
      <c r="A36" s="76" t="s">
        <v>188</v>
      </c>
      <c r="B36" s="77">
        <f>COUNTIFS('Match Log'!$D$4:$D$810,B$29,'Match Log'!$C$4:$C$810,$A36,'Match Log'!$E$4:$E$810,"Win")</f>
        <v>0</v>
      </c>
      <c r="C36" s="77">
        <f>COUNTIFS('Match Log'!$D$4:$D$810,C$29,'Match Log'!$C$4:$C$810,$A36,'Match Log'!$E$4:$E$810,"Win")</f>
        <v>0</v>
      </c>
      <c r="D36" s="77">
        <f>COUNTIFS('Match Log'!$D$4:$D$810,D$29,'Match Log'!$C$4:$C$810,$A36,'Match Log'!$E$4:$E$810,"Win")</f>
        <v>0</v>
      </c>
      <c r="E36" s="77">
        <f>COUNTIFS('Match Log'!$D$4:$D$810,E$29,'Match Log'!$C$4:$C$810,$A36,'Match Log'!$E$4:$E$810,"Win")</f>
        <v>0</v>
      </c>
      <c r="F36" s="77">
        <f>COUNTIFS('Match Log'!$D$4:$D$810,F$29,'Match Log'!$C$4:$C$810,$A36,'Match Log'!$E$4:$E$810,"Win")</f>
        <v>0</v>
      </c>
      <c r="G36" s="77">
        <f>COUNTIFS('Match Log'!$D$4:$D$810,G$29,'Match Log'!$C$4:$C$810,$A36,'Match Log'!$E$4:$E$810,"Win")</f>
        <v>0</v>
      </c>
      <c r="H36" s="77">
        <f>COUNTIFS('Match Log'!$D$4:$D$810,H$29,'Match Log'!$C$4:$C$810,$A36,'Match Log'!$E$4:$E$810,"Win")</f>
        <v>0</v>
      </c>
      <c r="I36" s="77">
        <f>COUNTIFS('Match Log'!$D$4:$D$810,I$29,'Match Log'!$C$4:$C$810,$A36,'Match Log'!$E$4:$E$810,"Win")</f>
        <v>0</v>
      </c>
      <c r="J36" s="77">
        <f>COUNTIFS('Match Log'!$D$4:$D$810,J$29,'Match Log'!$C$4:$C$810,$A36,'Match Log'!$E$4:$E$810,"Win")</f>
        <v>0</v>
      </c>
      <c r="K36" s="77">
        <f>COUNTIFS('Match Log'!$D$4:$D$810,K$29,'Match Log'!$C$4:$C$810,$A36,'Match Log'!$E$4:$E$810,"Win")</f>
        <v>0</v>
      </c>
      <c r="L36" s="77">
        <f>COUNTIFS('Match Log'!$D$4:$D$810,L$29,'Match Log'!$C$4:$C$810,$A36,'Match Log'!$E$4:$E$810,"Win")</f>
        <v>0</v>
      </c>
      <c r="M36" s="77">
        <f>COUNTIFS('Match Log'!$D$4:$D$810,M$29,'Match Log'!$C$4:$C$810,$A36,'Match Log'!$E$4:$E$810,"Win")</f>
        <v>0</v>
      </c>
      <c r="N36" s="77">
        <f>COUNTIFS('Match Log'!$D$4:$D$810,N$29,'Match Log'!$C$4:$C$810,$A36,'Match Log'!$E$4:$E$810,"Win")</f>
        <v>0</v>
      </c>
      <c r="O36" s="77">
        <f>COUNTIFS('Match Log'!$D$4:$D$810,O$29,'Match Log'!$C$4:$C$810,$A36,'Match Log'!$E$4:$E$810,"Win")</f>
        <v>0</v>
      </c>
    </row>
    <row r="37" spans="1:15" ht="15" customHeight="1" x14ac:dyDescent="0.2">
      <c r="A37" s="76" t="s">
        <v>190</v>
      </c>
      <c r="B37" s="77">
        <f>COUNTIFS('Match Log'!$D$4:$D$810,B$29,'Match Log'!$C$4:$C$810,$A37,'Match Log'!$E$4:$E$810,"Win")</f>
        <v>0</v>
      </c>
      <c r="C37" s="77">
        <f>COUNTIFS('Match Log'!$D$4:$D$810,C$29,'Match Log'!$C$4:$C$810,$A37,'Match Log'!$E$4:$E$810,"Win")</f>
        <v>0</v>
      </c>
      <c r="D37" s="77">
        <f>COUNTIFS('Match Log'!$D$4:$D$810,D$29,'Match Log'!$C$4:$C$810,$A37,'Match Log'!$E$4:$E$810,"Win")</f>
        <v>0</v>
      </c>
      <c r="E37" s="77">
        <f>COUNTIFS('Match Log'!$D$4:$D$810,E$29,'Match Log'!$C$4:$C$810,$A37,'Match Log'!$E$4:$E$810,"Win")</f>
        <v>0</v>
      </c>
      <c r="F37" s="77">
        <f>COUNTIFS('Match Log'!$D$4:$D$810,F$29,'Match Log'!$C$4:$C$810,$A37,'Match Log'!$E$4:$E$810,"Win")</f>
        <v>0</v>
      </c>
      <c r="G37" s="77">
        <f>COUNTIFS('Match Log'!$D$4:$D$810,G$29,'Match Log'!$C$4:$C$810,$A37,'Match Log'!$E$4:$E$810,"Win")</f>
        <v>0</v>
      </c>
      <c r="H37" s="77">
        <f>COUNTIFS('Match Log'!$D$4:$D$810,H$29,'Match Log'!$C$4:$C$810,$A37,'Match Log'!$E$4:$E$810,"Win")</f>
        <v>0</v>
      </c>
      <c r="I37" s="77">
        <f>COUNTIFS('Match Log'!$D$4:$D$810,I$29,'Match Log'!$C$4:$C$810,$A37,'Match Log'!$E$4:$E$810,"Win")</f>
        <v>0</v>
      </c>
      <c r="J37" s="77">
        <f>COUNTIFS('Match Log'!$D$4:$D$810,J$29,'Match Log'!$C$4:$C$810,$A37,'Match Log'!$E$4:$E$810,"Win")</f>
        <v>0</v>
      </c>
      <c r="K37" s="77">
        <f>COUNTIFS('Match Log'!$D$4:$D$810,K$29,'Match Log'!$C$4:$C$810,$A37,'Match Log'!$E$4:$E$810,"Win")</f>
        <v>0</v>
      </c>
      <c r="L37" s="77">
        <f>COUNTIFS('Match Log'!$D$4:$D$810,L$29,'Match Log'!$C$4:$C$810,$A37,'Match Log'!$E$4:$E$810,"Win")</f>
        <v>0</v>
      </c>
      <c r="M37" s="77">
        <f>COUNTIFS('Match Log'!$D$4:$D$810,M$29,'Match Log'!$C$4:$C$810,$A37,'Match Log'!$E$4:$E$810,"Win")</f>
        <v>0</v>
      </c>
      <c r="N37" s="77">
        <f>COUNTIFS('Match Log'!$D$4:$D$810,N$29,'Match Log'!$C$4:$C$810,$A37,'Match Log'!$E$4:$E$810,"Win")</f>
        <v>0</v>
      </c>
      <c r="O37" s="77">
        <f>COUNTIFS('Match Log'!$D$4:$D$810,O$29,'Match Log'!$C$4:$C$810,$A37,'Match Log'!$E$4:$E$810,"Win")</f>
        <v>0</v>
      </c>
    </row>
    <row r="38" spans="1:15" ht="15" customHeight="1" x14ac:dyDescent="0.2">
      <c r="A38" s="76" t="s">
        <v>192</v>
      </c>
      <c r="B38" s="77">
        <f>COUNTIFS('Match Log'!$D$4:$D$810,B$29,'Match Log'!$C$4:$C$810,$A38,'Match Log'!$E$4:$E$810,"Win")</f>
        <v>0</v>
      </c>
      <c r="C38" s="77">
        <f>COUNTIFS('Match Log'!$D$4:$D$810,C$29,'Match Log'!$C$4:$C$810,$A38,'Match Log'!$E$4:$E$810,"Win")</f>
        <v>0</v>
      </c>
      <c r="D38" s="77">
        <f>COUNTIFS('Match Log'!$D$4:$D$810,D$29,'Match Log'!$C$4:$C$810,$A38,'Match Log'!$E$4:$E$810,"Win")</f>
        <v>0</v>
      </c>
      <c r="E38" s="77">
        <f>COUNTIFS('Match Log'!$D$4:$D$810,E$29,'Match Log'!$C$4:$C$810,$A38,'Match Log'!$E$4:$E$810,"Win")</f>
        <v>0</v>
      </c>
      <c r="F38" s="77">
        <f>COUNTIFS('Match Log'!$D$4:$D$810,F$29,'Match Log'!$C$4:$C$810,$A38,'Match Log'!$E$4:$E$810,"Win")</f>
        <v>1</v>
      </c>
      <c r="G38" s="77">
        <f>COUNTIFS('Match Log'!$D$4:$D$810,G$29,'Match Log'!$C$4:$C$810,$A38,'Match Log'!$E$4:$E$810,"Win")</f>
        <v>1</v>
      </c>
      <c r="H38" s="77">
        <f>COUNTIFS('Match Log'!$D$4:$D$810,H$29,'Match Log'!$C$4:$C$810,$A38,'Match Log'!$E$4:$E$810,"Win")</f>
        <v>0</v>
      </c>
      <c r="I38" s="77">
        <f>COUNTIFS('Match Log'!$D$4:$D$810,I$29,'Match Log'!$C$4:$C$810,$A38,'Match Log'!$E$4:$E$810,"Win")</f>
        <v>0</v>
      </c>
      <c r="J38" s="77">
        <f>COUNTIFS('Match Log'!$D$4:$D$810,J$29,'Match Log'!$C$4:$C$810,$A38,'Match Log'!$E$4:$E$810,"Win")</f>
        <v>0</v>
      </c>
      <c r="K38" s="77">
        <f>COUNTIFS('Match Log'!$D$4:$D$810,K$29,'Match Log'!$C$4:$C$810,$A38,'Match Log'!$E$4:$E$810,"Win")</f>
        <v>0</v>
      </c>
      <c r="L38" s="77">
        <f>COUNTIFS('Match Log'!$D$4:$D$810,L$29,'Match Log'!$C$4:$C$810,$A38,'Match Log'!$E$4:$E$810,"Win")</f>
        <v>0</v>
      </c>
      <c r="M38" s="77">
        <f>COUNTIFS('Match Log'!$D$4:$D$810,M$29,'Match Log'!$C$4:$C$810,$A38,'Match Log'!$E$4:$E$810,"Win")</f>
        <v>0</v>
      </c>
      <c r="N38" s="77">
        <f>COUNTIFS('Match Log'!$D$4:$D$810,N$29,'Match Log'!$C$4:$C$810,$A38,'Match Log'!$E$4:$E$810,"Win")</f>
        <v>0</v>
      </c>
      <c r="O38" s="77">
        <f>COUNTIFS('Match Log'!$D$4:$D$810,O$29,'Match Log'!$C$4:$C$810,$A38,'Match Log'!$E$4:$E$810,"Win")</f>
        <v>0</v>
      </c>
    </row>
    <row r="39" spans="1:15" ht="15" customHeight="1" x14ac:dyDescent="0.2">
      <c r="A39" s="76" t="s">
        <v>193</v>
      </c>
      <c r="B39" s="77">
        <f>COUNTIFS('Match Log'!$D$4:$D$810,B$29,'Match Log'!$C$4:$C$810,$A39,'Match Log'!$E$4:$E$810,"Win")</f>
        <v>0</v>
      </c>
      <c r="C39" s="77">
        <f>COUNTIFS('Match Log'!$D$4:$D$810,C$29,'Match Log'!$C$4:$C$810,$A39,'Match Log'!$E$4:$E$810,"Win")</f>
        <v>0</v>
      </c>
      <c r="D39" s="77">
        <f>COUNTIFS('Match Log'!$D$4:$D$810,D$29,'Match Log'!$C$4:$C$810,$A39,'Match Log'!$E$4:$E$810,"Win")</f>
        <v>0</v>
      </c>
      <c r="E39" s="77">
        <f>COUNTIFS('Match Log'!$D$4:$D$810,E$29,'Match Log'!$C$4:$C$810,$A39,'Match Log'!$E$4:$E$810,"Win")</f>
        <v>0</v>
      </c>
      <c r="F39" s="77">
        <f>COUNTIFS('Match Log'!$D$4:$D$810,F$29,'Match Log'!$C$4:$C$810,$A39,'Match Log'!$E$4:$E$810,"Win")</f>
        <v>0</v>
      </c>
      <c r="G39" s="77">
        <f>COUNTIFS('Match Log'!$D$4:$D$810,G$29,'Match Log'!$C$4:$C$810,$A39,'Match Log'!$E$4:$E$810,"Win")</f>
        <v>0</v>
      </c>
      <c r="H39" s="77">
        <f>COUNTIFS('Match Log'!$D$4:$D$810,H$29,'Match Log'!$C$4:$C$810,$A39,'Match Log'!$E$4:$E$810,"Win")</f>
        <v>0</v>
      </c>
      <c r="I39" s="77">
        <f>COUNTIFS('Match Log'!$D$4:$D$810,I$29,'Match Log'!$C$4:$C$810,$A39,'Match Log'!$E$4:$E$810,"Win")</f>
        <v>0</v>
      </c>
      <c r="J39" s="77">
        <f>COUNTIFS('Match Log'!$D$4:$D$810,J$29,'Match Log'!$C$4:$C$810,$A39,'Match Log'!$E$4:$E$810,"Win")</f>
        <v>0</v>
      </c>
      <c r="K39" s="77">
        <f>COUNTIFS('Match Log'!$D$4:$D$810,K$29,'Match Log'!$C$4:$C$810,$A39,'Match Log'!$E$4:$E$810,"Win")</f>
        <v>0</v>
      </c>
      <c r="L39" s="77">
        <f>COUNTIFS('Match Log'!$D$4:$D$810,L$29,'Match Log'!$C$4:$C$810,$A39,'Match Log'!$E$4:$E$810,"Win")</f>
        <v>0</v>
      </c>
      <c r="M39" s="77">
        <f>COUNTIFS('Match Log'!$D$4:$D$810,M$29,'Match Log'!$C$4:$C$810,$A39,'Match Log'!$E$4:$E$810,"Win")</f>
        <v>0</v>
      </c>
      <c r="N39" s="77">
        <f>COUNTIFS('Match Log'!$D$4:$D$810,N$29,'Match Log'!$C$4:$C$810,$A39,'Match Log'!$E$4:$E$810,"Win")</f>
        <v>0</v>
      </c>
      <c r="O39" s="77">
        <f>COUNTIFS('Match Log'!$D$4:$D$810,O$29,'Match Log'!$C$4:$C$810,$A39,'Match Log'!$E$4:$E$810,"Win")</f>
        <v>0</v>
      </c>
    </row>
    <row r="40" spans="1:15" ht="15" customHeight="1" x14ac:dyDescent="0.2">
      <c r="A40" s="76" t="s">
        <v>194</v>
      </c>
      <c r="B40" s="77">
        <f>COUNTIFS('Match Log'!$D$4:$D$810,B$29,'Match Log'!$C$4:$C$810,$A40,'Match Log'!$E$4:$E$810,"Win")</f>
        <v>0</v>
      </c>
      <c r="C40" s="77">
        <f>COUNTIFS('Match Log'!$D$4:$D$810,C$29,'Match Log'!$C$4:$C$810,$A40,'Match Log'!$E$4:$E$810,"Win")</f>
        <v>0</v>
      </c>
      <c r="D40" s="77">
        <f>COUNTIFS('Match Log'!$D$4:$D$810,D$29,'Match Log'!$C$4:$C$810,$A40,'Match Log'!$E$4:$E$810,"Win")</f>
        <v>0</v>
      </c>
      <c r="E40" s="77">
        <f>COUNTIFS('Match Log'!$D$4:$D$810,E$29,'Match Log'!$C$4:$C$810,$A40,'Match Log'!$E$4:$E$810,"Win")</f>
        <v>0</v>
      </c>
      <c r="F40" s="77">
        <f>COUNTIFS('Match Log'!$D$4:$D$810,F$29,'Match Log'!$C$4:$C$810,$A40,'Match Log'!$E$4:$E$810,"Win")</f>
        <v>0</v>
      </c>
      <c r="G40" s="77">
        <f>COUNTIFS('Match Log'!$D$4:$D$810,G$29,'Match Log'!$C$4:$C$810,$A40,'Match Log'!$E$4:$E$810,"Win")</f>
        <v>0</v>
      </c>
      <c r="H40" s="77">
        <f>COUNTIFS('Match Log'!$D$4:$D$810,H$29,'Match Log'!$C$4:$C$810,$A40,'Match Log'!$E$4:$E$810,"Win")</f>
        <v>0</v>
      </c>
      <c r="I40" s="77">
        <f>COUNTIFS('Match Log'!$D$4:$D$810,I$29,'Match Log'!$C$4:$C$810,$A40,'Match Log'!$E$4:$E$810,"Win")</f>
        <v>0</v>
      </c>
      <c r="J40" s="77">
        <f>COUNTIFS('Match Log'!$D$4:$D$810,J$29,'Match Log'!$C$4:$C$810,$A40,'Match Log'!$E$4:$E$810,"Win")</f>
        <v>0</v>
      </c>
      <c r="K40" s="77">
        <f>COUNTIFS('Match Log'!$D$4:$D$810,K$29,'Match Log'!$C$4:$C$810,$A40,'Match Log'!$E$4:$E$810,"Win")</f>
        <v>0</v>
      </c>
      <c r="L40" s="77">
        <f>COUNTIFS('Match Log'!$D$4:$D$810,L$29,'Match Log'!$C$4:$C$810,$A40,'Match Log'!$E$4:$E$810,"Win")</f>
        <v>0</v>
      </c>
      <c r="M40" s="77">
        <f>COUNTIFS('Match Log'!$D$4:$D$810,M$29,'Match Log'!$C$4:$C$810,$A40,'Match Log'!$E$4:$E$810,"Win")</f>
        <v>0</v>
      </c>
      <c r="N40" s="77">
        <f>COUNTIFS('Match Log'!$D$4:$D$810,N$29,'Match Log'!$C$4:$C$810,$A40,'Match Log'!$E$4:$E$810,"Win")</f>
        <v>0</v>
      </c>
      <c r="O40" s="77">
        <f>COUNTIFS('Match Log'!$D$4:$D$810,O$29,'Match Log'!$C$4:$C$810,$A40,'Match Log'!$E$4:$E$810,"Win")</f>
        <v>0</v>
      </c>
    </row>
    <row r="41" spans="1:15" ht="15" customHeight="1" x14ac:dyDescent="0.2">
      <c r="A41" s="76" t="s">
        <v>195</v>
      </c>
      <c r="B41" s="77">
        <f>COUNTIFS('Match Log'!$D$4:$D$810,B$29,'Match Log'!$C$4:$C$810,$A41,'Match Log'!$E$4:$E$810,"Win")</f>
        <v>1</v>
      </c>
      <c r="C41" s="77">
        <f>COUNTIFS('Match Log'!$D$4:$D$810,C$29,'Match Log'!$C$4:$C$810,$A41,'Match Log'!$E$4:$E$810,"Win")</f>
        <v>0</v>
      </c>
      <c r="D41" s="77">
        <f>COUNTIFS('Match Log'!$D$4:$D$810,D$29,'Match Log'!$C$4:$C$810,$A41,'Match Log'!$E$4:$E$810,"Win")</f>
        <v>0</v>
      </c>
      <c r="E41" s="77">
        <f>COUNTIFS('Match Log'!$D$4:$D$810,E$29,'Match Log'!$C$4:$C$810,$A41,'Match Log'!$E$4:$E$810,"Win")</f>
        <v>1</v>
      </c>
      <c r="F41" s="77">
        <f>COUNTIFS('Match Log'!$D$4:$D$810,F$29,'Match Log'!$C$4:$C$810,$A41,'Match Log'!$E$4:$E$810,"Win")</f>
        <v>13</v>
      </c>
      <c r="G41" s="77">
        <f>COUNTIFS('Match Log'!$D$4:$D$810,G$29,'Match Log'!$C$4:$C$810,$A41,'Match Log'!$E$4:$E$810,"Win")</f>
        <v>5</v>
      </c>
      <c r="H41" s="77">
        <f>COUNTIFS('Match Log'!$D$4:$D$810,H$29,'Match Log'!$C$4:$C$810,$A41,'Match Log'!$E$4:$E$810,"Win")</f>
        <v>0</v>
      </c>
      <c r="I41" s="77">
        <f>COUNTIFS('Match Log'!$D$4:$D$810,I$29,'Match Log'!$C$4:$C$810,$A41,'Match Log'!$E$4:$E$810,"Win")</f>
        <v>1</v>
      </c>
      <c r="J41" s="77">
        <f>COUNTIFS('Match Log'!$D$4:$D$810,J$29,'Match Log'!$C$4:$C$810,$A41,'Match Log'!$E$4:$E$810,"Win")</f>
        <v>4</v>
      </c>
      <c r="K41" s="77">
        <f>COUNTIFS('Match Log'!$D$4:$D$810,K$29,'Match Log'!$C$4:$C$810,$A41,'Match Log'!$E$4:$E$810,"Win")</f>
        <v>0</v>
      </c>
      <c r="L41" s="77">
        <f>COUNTIFS('Match Log'!$D$4:$D$810,L$29,'Match Log'!$C$4:$C$810,$A41,'Match Log'!$E$4:$E$810,"Win")</f>
        <v>6</v>
      </c>
      <c r="M41" s="77">
        <f>COUNTIFS('Match Log'!$D$4:$D$810,M$29,'Match Log'!$C$4:$C$810,$A41,'Match Log'!$E$4:$E$810,"Win")</f>
        <v>0</v>
      </c>
      <c r="N41" s="77">
        <f>COUNTIFS('Match Log'!$D$4:$D$810,N$29,'Match Log'!$C$4:$C$810,$A41,'Match Log'!$E$4:$E$810,"Win")</f>
        <v>0</v>
      </c>
      <c r="O41" s="77">
        <f>COUNTIFS('Match Log'!$D$4:$D$810,O$29,'Match Log'!$C$4:$C$810,$A41,'Match Log'!$E$4:$E$810,"Win")</f>
        <v>0</v>
      </c>
    </row>
    <row r="42" spans="1:15" ht="15" customHeight="1" x14ac:dyDescent="0.2">
      <c r="A42" s="76" t="s">
        <v>197</v>
      </c>
      <c r="B42" s="77">
        <f>COUNTIFS('Match Log'!$D$4:$D$810,B$29,'Match Log'!$C$4:$C$810,$A42,'Match Log'!$E$4:$E$810,"Win")</f>
        <v>2</v>
      </c>
      <c r="C42" s="77">
        <f>COUNTIFS('Match Log'!$D$4:$D$810,C$29,'Match Log'!$C$4:$C$810,$A42,'Match Log'!$E$4:$E$810,"Win")</f>
        <v>0</v>
      </c>
      <c r="D42" s="77">
        <f>COUNTIFS('Match Log'!$D$4:$D$810,D$29,'Match Log'!$C$4:$C$810,$A42,'Match Log'!$E$4:$E$810,"Win")</f>
        <v>0</v>
      </c>
      <c r="E42" s="77">
        <f>COUNTIFS('Match Log'!$D$4:$D$810,E$29,'Match Log'!$C$4:$C$810,$A42,'Match Log'!$E$4:$E$810,"Win")</f>
        <v>0</v>
      </c>
      <c r="F42" s="77">
        <f>COUNTIFS('Match Log'!$D$4:$D$810,F$29,'Match Log'!$C$4:$C$810,$A42,'Match Log'!$E$4:$E$810,"Win")</f>
        <v>0</v>
      </c>
      <c r="G42" s="77">
        <f>COUNTIFS('Match Log'!$D$4:$D$810,G$29,'Match Log'!$C$4:$C$810,$A42,'Match Log'!$E$4:$E$810,"Win")</f>
        <v>2</v>
      </c>
      <c r="H42" s="77">
        <f>COUNTIFS('Match Log'!$D$4:$D$810,H$29,'Match Log'!$C$4:$C$810,$A42,'Match Log'!$E$4:$E$810,"Win")</f>
        <v>0</v>
      </c>
      <c r="I42" s="77">
        <f>COUNTIFS('Match Log'!$D$4:$D$810,I$29,'Match Log'!$C$4:$C$810,$A42,'Match Log'!$E$4:$E$810,"Win")</f>
        <v>5</v>
      </c>
      <c r="J42" s="77">
        <f>COUNTIFS('Match Log'!$D$4:$D$810,J$29,'Match Log'!$C$4:$C$810,$A42,'Match Log'!$E$4:$E$810,"Win")</f>
        <v>0</v>
      </c>
      <c r="K42" s="77">
        <f>COUNTIFS('Match Log'!$D$4:$D$810,K$29,'Match Log'!$C$4:$C$810,$A42,'Match Log'!$E$4:$E$810,"Win")</f>
        <v>0</v>
      </c>
      <c r="L42" s="77">
        <f>COUNTIFS('Match Log'!$D$4:$D$810,L$29,'Match Log'!$C$4:$C$810,$A42,'Match Log'!$E$4:$E$810,"Win")</f>
        <v>1</v>
      </c>
      <c r="M42" s="77">
        <f>COUNTIFS('Match Log'!$D$4:$D$810,M$29,'Match Log'!$C$4:$C$810,$A42,'Match Log'!$E$4:$E$810,"Win")</f>
        <v>0</v>
      </c>
      <c r="N42" s="77">
        <f>COUNTIFS('Match Log'!$D$4:$D$810,N$29,'Match Log'!$C$4:$C$810,$A42,'Match Log'!$E$4:$E$810,"Win")</f>
        <v>0</v>
      </c>
      <c r="O42" s="77">
        <f>COUNTIFS('Match Log'!$D$4:$D$810,O$29,'Match Log'!$C$4:$C$810,$A42,'Match Log'!$E$4:$E$810,"Win")</f>
        <v>0</v>
      </c>
    </row>
    <row r="43" spans="1:15" ht="15" customHeight="1" x14ac:dyDescent="0.2">
      <c r="A43" s="76" t="s">
        <v>199</v>
      </c>
      <c r="B43" s="77">
        <f>COUNTIFS('Match Log'!$D$4:$D$810,B$29,'Match Log'!$C$4:$C$810,$A43,'Match Log'!$E$4:$E$810,"Win")</f>
        <v>3</v>
      </c>
      <c r="C43" s="77">
        <f>COUNTIFS('Match Log'!$D$4:$D$810,C$29,'Match Log'!$C$4:$C$810,$A43,'Match Log'!$E$4:$E$810,"Win")</f>
        <v>0</v>
      </c>
      <c r="D43" s="77">
        <f>COUNTIFS('Match Log'!$D$4:$D$810,D$29,'Match Log'!$C$4:$C$810,$A43,'Match Log'!$E$4:$E$810,"Win")</f>
        <v>4</v>
      </c>
      <c r="E43" s="77">
        <f>COUNTIFS('Match Log'!$D$4:$D$810,E$29,'Match Log'!$C$4:$C$810,$A43,'Match Log'!$E$4:$E$810,"Win")</f>
        <v>0</v>
      </c>
      <c r="F43" s="77">
        <f>COUNTIFS('Match Log'!$D$4:$D$810,F$29,'Match Log'!$C$4:$C$810,$A43,'Match Log'!$E$4:$E$810,"Win")</f>
        <v>0</v>
      </c>
      <c r="G43" s="77">
        <f>COUNTIFS('Match Log'!$D$4:$D$810,G$29,'Match Log'!$C$4:$C$810,$A43,'Match Log'!$E$4:$E$810,"Win")</f>
        <v>0</v>
      </c>
      <c r="H43" s="77">
        <f>COUNTIFS('Match Log'!$D$4:$D$810,H$29,'Match Log'!$C$4:$C$810,$A43,'Match Log'!$E$4:$E$810,"Win")</f>
        <v>0</v>
      </c>
      <c r="I43" s="77">
        <f>COUNTIFS('Match Log'!$D$4:$D$810,I$29,'Match Log'!$C$4:$C$810,$A43,'Match Log'!$E$4:$E$810,"Win")</f>
        <v>2</v>
      </c>
      <c r="J43" s="77">
        <f>COUNTIFS('Match Log'!$D$4:$D$810,J$29,'Match Log'!$C$4:$C$810,$A43,'Match Log'!$E$4:$E$810,"Win")</f>
        <v>0</v>
      </c>
      <c r="K43" s="77">
        <f>COUNTIFS('Match Log'!$D$4:$D$810,K$29,'Match Log'!$C$4:$C$810,$A43,'Match Log'!$E$4:$E$810,"Win")</f>
        <v>0</v>
      </c>
      <c r="L43" s="77">
        <f>COUNTIFS('Match Log'!$D$4:$D$810,L$29,'Match Log'!$C$4:$C$810,$A43,'Match Log'!$E$4:$E$810,"Win")</f>
        <v>5</v>
      </c>
      <c r="M43" s="77">
        <f>COUNTIFS('Match Log'!$D$4:$D$810,M$29,'Match Log'!$C$4:$C$810,$A43,'Match Log'!$E$4:$E$810,"Win")</f>
        <v>0</v>
      </c>
      <c r="N43" s="77">
        <f>COUNTIFS('Match Log'!$D$4:$D$810,N$29,'Match Log'!$C$4:$C$810,$A43,'Match Log'!$E$4:$E$810,"Win")</f>
        <v>0</v>
      </c>
      <c r="O43" s="77">
        <f>COUNTIFS('Match Log'!$D$4:$D$810,O$29,'Match Log'!$C$4:$C$810,$A43,'Match Log'!$E$4:$E$810,"Win")</f>
        <v>0</v>
      </c>
    </row>
    <row r="44" spans="1:15" ht="15" customHeight="1" x14ac:dyDescent="0.2">
      <c r="A44" s="76" t="s">
        <v>201</v>
      </c>
      <c r="B44" s="77">
        <f>COUNTIFS('Match Log'!$D$4:$D$810,B$29,'Match Log'!$C$4:$C$810,$A44,'Match Log'!$E$4:$E$810,"Win")</f>
        <v>0</v>
      </c>
      <c r="C44" s="77">
        <f>COUNTIFS('Match Log'!$D$4:$D$810,C$29,'Match Log'!$C$4:$C$810,$A44,'Match Log'!$E$4:$E$810,"Win")</f>
        <v>0</v>
      </c>
      <c r="D44" s="77">
        <f>COUNTIFS('Match Log'!$D$4:$D$810,D$29,'Match Log'!$C$4:$C$810,$A44,'Match Log'!$E$4:$E$810,"Win")</f>
        <v>0</v>
      </c>
      <c r="E44" s="77">
        <f>COUNTIFS('Match Log'!$D$4:$D$810,E$29,'Match Log'!$C$4:$C$810,$A44,'Match Log'!$E$4:$E$810,"Win")</f>
        <v>0</v>
      </c>
      <c r="F44" s="77">
        <f>COUNTIFS('Match Log'!$D$4:$D$810,F$29,'Match Log'!$C$4:$C$810,$A44,'Match Log'!$E$4:$E$810,"Win")</f>
        <v>0</v>
      </c>
      <c r="G44" s="77">
        <f>COUNTIFS('Match Log'!$D$4:$D$810,G$29,'Match Log'!$C$4:$C$810,$A44,'Match Log'!$E$4:$E$810,"Win")</f>
        <v>0</v>
      </c>
      <c r="H44" s="77">
        <f>COUNTIFS('Match Log'!$D$4:$D$810,H$29,'Match Log'!$C$4:$C$810,$A44,'Match Log'!$E$4:$E$810,"Win")</f>
        <v>0</v>
      </c>
      <c r="I44" s="77">
        <f>COUNTIFS('Match Log'!$D$4:$D$810,I$29,'Match Log'!$C$4:$C$810,$A44,'Match Log'!$E$4:$E$810,"Win")</f>
        <v>0</v>
      </c>
      <c r="J44" s="77">
        <f>COUNTIFS('Match Log'!$D$4:$D$810,J$29,'Match Log'!$C$4:$C$810,$A44,'Match Log'!$E$4:$E$810,"Win")</f>
        <v>0</v>
      </c>
      <c r="K44" s="77">
        <f>COUNTIFS('Match Log'!$D$4:$D$810,K$29,'Match Log'!$C$4:$C$810,$A44,'Match Log'!$E$4:$E$810,"Win")</f>
        <v>0</v>
      </c>
      <c r="L44" s="77">
        <f>COUNTIFS('Match Log'!$D$4:$D$810,L$29,'Match Log'!$C$4:$C$810,$A44,'Match Log'!$E$4:$E$810,"Win")</f>
        <v>0</v>
      </c>
      <c r="M44" s="77">
        <f>COUNTIFS('Match Log'!$D$4:$D$810,M$29,'Match Log'!$C$4:$C$810,$A44,'Match Log'!$E$4:$E$810,"Win")</f>
        <v>0</v>
      </c>
      <c r="N44" s="77">
        <f>COUNTIFS('Match Log'!$D$4:$D$810,N$29,'Match Log'!$C$4:$C$810,$A44,'Match Log'!$E$4:$E$810,"Win")</f>
        <v>0</v>
      </c>
      <c r="O44" s="77">
        <f>COUNTIFS('Match Log'!$D$4:$D$810,O$29,'Match Log'!$C$4:$C$810,$A44,'Match Log'!$E$4:$E$810,"Win")</f>
        <v>0</v>
      </c>
    </row>
    <row r="45" spans="1:15" ht="15" customHeight="1" x14ac:dyDescent="0.2">
      <c r="A45" s="76" t="s">
        <v>203</v>
      </c>
      <c r="B45" s="77">
        <f>COUNTIFS('Match Log'!$D$4:$D$810,B$29,'Match Log'!$C$4:$C$810,$A45,'Match Log'!$E$4:$E$810,"Win")</f>
        <v>1</v>
      </c>
      <c r="C45" s="77">
        <f>COUNTIFS('Match Log'!$D$4:$D$810,C$29,'Match Log'!$C$4:$C$810,$A45,'Match Log'!$E$4:$E$810,"Win")</f>
        <v>0</v>
      </c>
      <c r="D45" s="77">
        <f>COUNTIFS('Match Log'!$D$4:$D$810,D$29,'Match Log'!$C$4:$C$810,$A45,'Match Log'!$E$4:$E$810,"Win")</f>
        <v>0</v>
      </c>
      <c r="E45" s="77">
        <f>COUNTIFS('Match Log'!$D$4:$D$810,E$29,'Match Log'!$C$4:$C$810,$A45,'Match Log'!$E$4:$E$810,"Win")</f>
        <v>0</v>
      </c>
      <c r="F45" s="77">
        <f>COUNTIFS('Match Log'!$D$4:$D$810,F$29,'Match Log'!$C$4:$C$810,$A45,'Match Log'!$E$4:$E$810,"Win")</f>
        <v>0</v>
      </c>
      <c r="G45" s="77">
        <f>COUNTIFS('Match Log'!$D$4:$D$810,G$29,'Match Log'!$C$4:$C$810,$A45,'Match Log'!$E$4:$E$810,"Win")</f>
        <v>0</v>
      </c>
      <c r="H45" s="77">
        <f>COUNTIFS('Match Log'!$D$4:$D$810,H$29,'Match Log'!$C$4:$C$810,$A45,'Match Log'!$E$4:$E$810,"Win")</f>
        <v>0</v>
      </c>
      <c r="I45" s="77">
        <f>COUNTIFS('Match Log'!$D$4:$D$810,I$29,'Match Log'!$C$4:$C$810,$A45,'Match Log'!$E$4:$E$810,"Win")</f>
        <v>2</v>
      </c>
      <c r="J45" s="77">
        <f>COUNTIFS('Match Log'!$D$4:$D$810,J$29,'Match Log'!$C$4:$C$810,$A45,'Match Log'!$E$4:$E$810,"Win")</f>
        <v>0</v>
      </c>
      <c r="K45" s="77">
        <f>COUNTIFS('Match Log'!$D$4:$D$810,K$29,'Match Log'!$C$4:$C$810,$A45,'Match Log'!$E$4:$E$810,"Win")</f>
        <v>0</v>
      </c>
      <c r="L45" s="77">
        <f>COUNTIFS('Match Log'!$D$4:$D$810,L$29,'Match Log'!$C$4:$C$810,$A45,'Match Log'!$E$4:$E$810,"Win")</f>
        <v>0</v>
      </c>
      <c r="M45" s="77">
        <f>COUNTIFS('Match Log'!$D$4:$D$810,M$29,'Match Log'!$C$4:$C$810,$A45,'Match Log'!$E$4:$E$810,"Win")</f>
        <v>0</v>
      </c>
      <c r="N45" s="77">
        <f>COUNTIFS('Match Log'!$D$4:$D$810,N$29,'Match Log'!$C$4:$C$810,$A45,'Match Log'!$E$4:$E$810,"Win")</f>
        <v>0</v>
      </c>
      <c r="O45" s="77">
        <f>COUNTIFS('Match Log'!$D$4:$D$810,O$29,'Match Log'!$C$4:$C$810,$A45,'Match Log'!$E$4:$E$810,"Win")</f>
        <v>0</v>
      </c>
    </row>
    <row r="46" spans="1:15" ht="15" customHeight="1" x14ac:dyDescent="0.2">
      <c r="A46" s="76" t="s">
        <v>204</v>
      </c>
      <c r="B46" s="77">
        <f>COUNTIFS('Match Log'!$D$4:$D$810,B$29,'Match Log'!$C$4:$C$810,$A46,'Match Log'!$E$4:$E$810,"Win")</f>
        <v>0</v>
      </c>
      <c r="C46" s="77">
        <f>COUNTIFS('Match Log'!$D$4:$D$810,C$29,'Match Log'!$C$4:$C$810,$A46,'Match Log'!$E$4:$E$810,"Win")</f>
        <v>0</v>
      </c>
      <c r="D46" s="77">
        <f>COUNTIFS('Match Log'!$D$4:$D$810,D$29,'Match Log'!$C$4:$C$810,$A46,'Match Log'!$E$4:$E$810,"Win")</f>
        <v>0</v>
      </c>
      <c r="E46" s="77">
        <f>COUNTIFS('Match Log'!$D$4:$D$810,E$29,'Match Log'!$C$4:$C$810,$A46,'Match Log'!$E$4:$E$810,"Win")</f>
        <v>0</v>
      </c>
      <c r="F46" s="77">
        <f>COUNTIFS('Match Log'!$D$4:$D$810,F$29,'Match Log'!$C$4:$C$810,$A46,'Match Log'!$E$4:$E$810,"Win")</f>
        <v>1</v>
      </c>
      <c r="G46" s="77">
        <f>COUNTIFS('Match Log'!$D$4:$D$810,G$29,'Match Log'!$C$4:$C$810,$A46,'Match Log'!$E$4:$E$810,"Win")</f>
        <v>0</v>
      </c>
      <c r="H46" s="77">
        <f>COUNTIFS('Match Log'!$D$4:$D$810,H$29,'Match Log'!$C$4:$C$810,$A46,'Match Log'!$E$4:$E$810,"Win")</f>
        <v>0</v>
      </c>
      <c r="I46" s="77">
        <f>COUNTIFS('Match Log'!$D$4:$D$810,I$29,'Match Log'!$C$4:$C$810,$A46,'Match Log'!$E$4:$E$810,"Win")</f>
        <v>0</v>
      </c>
      <c r="J46" s="77">
        <f>COUNTIFS('Match Log'!$D$4:$D$810,J$29,'Match Log'!$C$4:$C$810,$A46,'Match Log'!$E$4:$E$810,"Win")</f>
        <v>0</v>
      </c>
      <c r="K46" s="77">
        <f>COUNTIFS('Match Log'!$D$4:$D$810,K$29,'Match Log'!$C$4:$C$810,$A46,'Match Log'!$E$4:$E$810,"Win")</f>
        <v>0</v>
      </c>
      <c r="L46" s="77">
        <f>COUNTIFS('Match Log'!$D$4:$D$810,L$29,'Match Log'!$C$4:$C$810,$A46,'Match Log'!$E$4:$E$810,"Win")</f>
        <v>0</v>
      </c>
      <c r="M46" s="77">
        <f>COUNTIFS('Match Log'!$D$4:$D$810,M$29,'Match Log'!$C$4:$C$810,$A46,'Match Log'!$E$4:$E$810,"Win")</f>
        <v>0</v>
      </c>
      <c r="N46" s="77">
        <f>COUNTIFS('Match Log'!$D$4:$D$810,N$29,'Match Log'!$C$4:$C$810,$A46,'Match Log'!$E$4:$E$810,"Win")</f>
        <v>0</v>
      </c>
      <c r="O46" s="77">
        <f>COUNTIFS('Match Log'!$D$4:$D$810,O$29,'Match Log'!$C$4:$C$810,$A46,'Match Log'!$E$4:$E$810,"Win")</f>
        <v>0</v>
      </c>
    </row>
    <row r="47" spans="1:15" ht="15" customHeight="1" x14ac:dyDescent="0.2">
      <c r="A47" s="76" t="s">
        <v>206</v>
      </c>
      <c r="B47" s="77">
        <f>COUNTIFS('Match Log'!$D$4:$D$810,B$29,'Match Log'!$C$4:$C$810,$A47,'Match Log'!$E$4:$E$810,"Win")</f>
        <v>2</v>
      </c>
      <c r="C47" s="77">
        <f>COUNTIFS('Match Log'!$D$4:$D$810,C$29,'Match Log'!$C$4:$C$810,$A47,'Match Log'!$E$4:$E$810,"Win")</f>
        <v>5</v>
      </c>
      <c r="D47" s="77">
        <f>COUNTIFS('Match Log'!$D$4:$D$810,D$29,'Match Log'!$C$4:$C$810,$A47,'Match Log'!$E$4:$E$810,"Win")</f>
        <v>1</v>
      </c>
      <c r="E47" s="77">
        <f>COUNTIFS('Match Log'!$D$4:$D$810,E$29,'Match Log'!$C$4:$C$810,$A47,'Match Log'!$E$4:$E$810,"Win")</f>
        <v>3</v>
      </c>
      <c r="F47" s="77">
        <f>COUNTIFS('Match Log'!$D$4:$D$810,F$29,'Match Log'!$C$4:$C$810,$A47,'Match Log'!$E$4:$E$810,"Win")</f>
        <v>3</v>
      </c>
      <c r="G47" s="77">
        <f>COUNTIFS('Match Log'!$D$4:$D$810,G$29,'Match Log'!$C$4:$C$810,$A47,'Match Log'!$E$4:$E$810,"Win")</f>
        <v>4</v>
      </c>
      <c r="H47" s="77">
        <f>COUNTIFS('Match Log'!$D$4:$D$810,H$29,'Match Log'!$C$4:$C$810,$A47,'Match Log'!$E$4:$E$810,"Win")</f>
        <v>8</v>
      </c>
      <c r="I47" s="77">
        <f>COUNTIFS('Match Log'!$D$4:$D$810,I$29,'Match Log'!$C$4:$C$810,$A47,'Match Log'!$E$4:$E$810,"Win")</f>
        <v>5</v>
      </c>
      <c r="J47" s="77">
        <f>COUNTIFS('Match Log'!$D$4:$D$810,J$29,'Match Log'!$C$4:$C$810,$A47,'Match Log'!$E$4:$E$810,"Win")</f>
        <v>7</v>
      </c>
      <c r="K47" s="77">
        <f>COUNTIFS('Match Log'!$D$4:$D$810,K$29,'Match Log'!$C$4:$C$810,$A47,'Match Log'!$E$4:$E$810,"Win")</f>
        <v>2</v>
      </c>
      <c r="L47" s="77">
        <f>COUNTIFS('Match Log'!$D$4:$D$810,L$29,'Match Log'!$C$4:$C$810,$A47,'Match Log'!$E$4:$E$810,"Win")</f>
        <v>5</v>
      </c>
      <c r="M47" s="77">
        <f>COUNTIFS('Match Log'!$D$4:$D$810,M$29,'Match Log'!$C$4:$C$810,$A47,'Match Log'!$E$4:$E$810,"Win")</f>
        <v>2</v>
      </c>
      <c r="N47" s="77">
        <f>COUNTIFS('Match Log'!$D$4:$D$810,N$29,'Match Log'!$C$4:$C$810,$A47,'Match Log'!$E$4:$E$810,"Win")</f>
        <v>2</v>
      </c>
      <c r="O47" s="77">
        <f>COUNTIFS('Match Log'!$D$4:$D$810,O$29,'Match Log'!$C$4:$C$810,$A47,'Match Log'!$E$4:$E$810,"Win")</f>
        <v>0</v>
      </c>
    </row>
    <row r="48" spans="1:15" ht="15" customHeight="1" x14ac:dyDescent="0.2">
      <c r="A48" s="76" t="s">
        <v>208</v>
      </c>
      <c r="B48" s="77">
        <f>COUNTIFS('Match Log'!$D$4:$D$810,B$29,'Match Log'!$C$4:$C$810,$A48,'Match Log'!$E$4:$E$810,"Win")</f>
        <v>2</v>
      </c>
      <c r="C48" s="77">
        <f>COUNTIFS('Match Log'!$D$4:$D$810,C$29,'Match Log'!$C$4:$C$810,$A48,'Match Log'!$E$4:$E$810,"Win")</f>
        <v>0</v>
      </c>
      <c r="D48" s="77">
        <f>COUNTIFS('Match Log'!$D$4:$D$810,D$29,'Match Log'!$C$4:$C$810,$A48,'Match Log'!$E$4:$E$810,"Win")</f>
        <v>0</v>
      </c>
      <c r="E48" s="77">
        <f>COUNTIFS('Match Log'!$D$4:$D$810,E$29,'Match Log'!$C$4:$C$810,$A48,'Match Log'!$E$4:$E$810,"Win")</f>
        <v>0</v>
      </c>
      <c r="F48" s="77">
        <f>COUNTIFS('Match Log'!$D$4:$D$810,F$29,'Match Log'!$C$4:$C$810,$A48,'Match Log'!$E$4:$E$810,"Win")</f>
        <v>2</v>
      </c>
      <c r="G48" s="77">
        <f>COUNTIFS('Match Log'!$D$4:$D$810,G$29,'Match Log'!$C$4:$C$810,$A48,'Match Log'!$E$4:$E$810,"Win")</f>
        <v>5</v>
      </c>
      <c r="H48" s="77">
        <f>COUNTIFS('Match Log'!$D$4:$D$810,H$29,'Match Log'!$C$4:$C$810,$A48,'Match Log'!$E$4:$E$810,"Win")</f>
        <v>0</v>
      </c>
      <c r="I48" s="77">
        <f>COUNTIFS('Match Log'!$D$4:$D$810,I$29,'Match Log'!$C$4:$C$810,$A48,'Match Log'!$E$4:$E$810,"Win")</f>
        <v>2</v>
      </c>
      <c r="J48" s="77">
        <f>COUNTIFS('Match Log'!$D$4:$D$810,J$29,'Match Log'!$C$4:$C$810,$A48,'Match Log'!$E$4:$E$810,"Win")</f>
        <v>0</v>
      </c>
      <c r="K48" s="77">
        <f>COUNTIFS('Match Log'!$D$4:$D$810,K$29,'Match Log'!$C$4:$C$810,$A48,'Match Log'!$E$4:$E$810,"Win")</f>
        <v>0</v>
      </c>
      <c r="L48" s="77">
        <f>COUNTIFS('Match Log'!$D$4:$D$810,L$29,'Match Log'!$C$4:$C$810,$A48,'Match Log'!$E$4:$E$810,"Win")</f>
        <v>0</v>
      </c>
      <c r="M48" s="77">
        <f>COUNTIFS('Match Log'!$D$4:$D$810,M$29,'Match Log'!$C$4:$C$810,$A48,'Match Log'!$E$4:$E$810,"Win")</f>
        <v>0</v>
      </c>
      <c r="N48" s="77">
        <f>COUNTIFS('Match Log'!$D$4:$D$810,N$29,'Match Log'!$C$4:$C$810,$A48,'Match Log'!$E$4:$E$810,"Win")</f>
        <v>0</v>
      </c>
      <c r="O48" s="77">
        <f>COUNTIFS('Match Log'!$D$4:$D$810,O$29,'Match Log'!$C$4:$C$810,$A48,'Match Log'!$E$4:$E$810,"Win")</f>
        <v>0</v>
      </c>
    </row>
    <row r="49" spans="1:17" x14ac:dyDescent="0.2">
      <c r="A49" s="76" t="s">
        <v>407</v>
      </c>
      <c r="B49" s="77">
        <f>COUNTIFS('Match Log'!$D$4:$D$810,B$29,'Match Log'!$C$4:$C$810,$A49,'Match Log'!$E$4:$E$810,"Win")</f>
        <v>0</v>
      </c>
      <c r="C49" s="77">
        <f>COUNTIFS('Match Log'!$D$4:$D$810,C$29,'Match Log'!$C$4:$C$810,$A49,'Match Log'!$E$4:$E$810,"Win")</f>
        <v>0</v>
      </c>
      <c r="D49" s="77">
        <f>COUNTIFS('Match Log'!$D$4:$D$810,D$29,'Match Log'!$C$4:$C$810,$A49,'Match Log'!$E$4:$E$810,"Win")</f>
        <v>0</v>
      </c>
      <c r="E49" s="77">
        <f>COUNTIFS('Match Log'!$D$4:$D$810,E$29,'Match Log'!$C$4:$C$810,$A49,'Match Log'!$E$4:$E$810,"Win")</f>
        <v>0</v>
      </c>
      <c r="F49" s="77">
        <f>COUNTIFS('Match Log'!$D$4:$D$810,F$29,'Match Log'!$C$4:$C$810,$A49,'Match Log'!$E$4:$E$810,"Win")</f>
        <v>0</v>
      </c>
      <c r="G49" s="77">
        <f>COUNTIFS('Match Log'!$D$4:$D$810,G$29,'Match Log'!$C$4:$C$810,$A49,'Match Log'!$E$4:$E$810,"Win")</f>
        <v>0</v>
      </c>
      <c r="H49" s="77">
        <f>COUNTIFS('Match Log'!$D$4:$D$810,H$29,'Match Log'!$C$4:$C$810,$A49,'Match Log'!$E$4:$E$810,"Win")</f>
        <v>0</v>
      </c>
      <c r="I49" s="77">
        <f>COUNTIFS('Match Log'!$D$4:$D$810,I$29,'Match Log'!$C$4:$C$810,$A49,'Match Log'!$E$4:$E$810,"Win")</f>
        <v>0</v>
      </c>
      <c r="J49" s="77">
        <f>COUNTIFS('Match Log'!$D$4:$D$810,J$29,'Match Log'!$C$4:$C$810,$A49,'Match Log'!$E$4:$E$810,"Win")</f>
        <v>0</v>
      </c>
      <c r="K49" s="77">
        <f>COUNTIFS('Match Log'!$D$4:$D$810,K$29,'Match Log'!$C$4:$C$810,$A49,'Match Log'!$E$4:$E$810,"Win")</f>
        <v>0</v>
      </c>
      <c r="L49" s="77">
        <f>COUNTIFS('Match Log'!$D$4:$D$810,L$29,'Match Log'!$C$4:$C$810,$A49,'Match Log'!$E$4:$E$810,"Win")</f>
        <v>0</v>
      </c>
      <c r="M49" s="77">
        <f>COUNTIFS('Match Log'!$D$4:$D$810,M$29,'Match Log'!$C$4:$C$810,$A49,'Match Log'!$E$4:$E$810,"Win")</f>
        <v>0</v>
      </c>
      <c r="N49" s="77">
        <f>COUNTIFS('Match Log'!$D$4:$D$810,N$29,'Match Log'!$C$4:$C$810,$A49,'Match Log'!$E$4:$E$810,"Win")</f>
        <v>0</v>
      </c>
      <c r="O49" s="77">
        <f>COUNTIFS('Match Log'!$D$4:$D$810,O$29,'Match Log'!$C$4:$C$810,$A49,'Match Log'!$E$4:$E$810,"Win")</f>
        <v>0</v>
      </c>
    </row>
    <row r="50" spans="1:17" ht="15" customHeight="1" x14ac:dyDescent="0.2">
      <c r="A50" s="157" t="s">
        <v>227</v>
      </c>
      <c r="B50" s="157"/>
      <c r="C50" s="157"/>
      <c r="D50" s="157"/>
      <c r="E50" s="157"/>
      <c r="F50" s="157"/>
      <c r="G50" s="157"/>
      <c r="H50" s="157"/>
      <c r="I50" s="157"/>
      <c r="J50" s="157"/>
      <c r="K50" s="157"/>
      <c r="L50" s="157"/>
      <c r="M50" s="157"/>
      <c r="N50" s="157"/>
      <c r="O50" s="157"/>
      <c r="P50" s="157"/>
      <c r="Q50" s="157"/>
    </row>
    <row r="51" spans="1:17" ht="91.5" customHeight="1" x14ac:dyDescent="0.2">
      <c r="A51" s="74" t="s">
        <v>123</v>
      </c>
      <c r="B51" s="75" t="s">
        <v>138</v>
      </c>
      <c r="C51" s="75" t="s">
        <v>135</v>
      </c>
      <c r="D51" s="75" t="s">
        <v>173</v>
      </c>
      <c r="E51" s="75" t="s">
        <v>140</v>
      </c>
      <c r="F51" s="75" t="s">
        <v>137</v>
      </c>
      <c r="G51" s="75" t="s">
        <v>134</v>
      </c>
      <c r="H51" s="75" t="s">
        <v>168</v>
      </c>
      <c r="I51" s="75" t="s">
        <v>170</v>
      </c>
      <c r="J51" s="75" t="s">
        <v>167</v>
      </c>
      <c r="K51" s="75" t="s">
        <v>175</v>
      </c>
      <c r="L51" s="75" t="s">
        <v>169</v>
      </c>
      <c r="M51" s="75" t="s">
        <v>171</v>
      </c>
      <c r="N51" s="75" t="s">
        <v>172</v>
      </c>
      <c r="O51" s="75" t="s">
        <v>174</v>
      </c>
    </row>
    <row r="52" spans="1:17" ht="15" customHeight="1" x14ac:dyDescent="0.2">
      <c r="A52" s="76" t="s">
        <v>181</v>
      </c>
      <c r="B52" s="80" t="str">
        <f t="shared" ref="B52:O52" si="2">IF(B8=0,"",B30/B8)</f>
        <v/>
      </c>
      <c r="C52" s="80" t="str">
        <f t="shared" si="2"/>
        <v/>
      </c>
      <c r="D52" s="80" t="str">
        <f t="shared" si="2"/>
        <v/>
      </c>
      <c r="E52" s="80" t="str">
        <f t="shared" si="2"/>
        <v/>
      </c>
      <c r="F52" s="80" t="str">
        <f t="shared" si="2"/>
        <v/>
      </c>
      <c r="G52" s="80">
        <f t="shared" si="2"/>
        <v>1</v>
      </c>
      <c r="H52" s="80" t="str">
        <f t="shared" si="2"/>
        <v/>
      </c>
      <c r="I52" s="80">
        <f t="shared" si="2"/>
        <v>0</v>
      </c>
      <c r="J52" s="80" t="str">
        <f t="shared" si="2"/>
        <v/>
      </c>
      <c r="K52" s="80" t="str">
        <f t="shared" si="2"/>
        <v/>
      </c>
      <c r="L52" s="80" t="str">
        <f t="shared" si="2"/>
        <v/>
      </c>
      <c r="M52" s="80" t="str">
        <f t="shared" si="2"/>
        <v/>
      </c>
      <c r="N52" s="80" t="str">
        <f t="shared" si="2"/>
        <v/>
      </c>
      <c r="O52" s="80" t="str">
        <f t="shared" si="2"/>
        <v/>
      </c>
    </row>
    <row r="53" spans="1:17" ht="15" customHeight="1" x14ac:dyDescent="0.2">
      <c r="A53" s="76" t="s">
        <v>182</v>
      </c>
      <c r="B53" s="80" t="str">
        <f t="shared" ref="B53:O53" si="3">IF(B9=0,"",B31/B9)</f>
        <v/>
      </c>
      <c r="C53" s="80" t="str">
        <f t="shared" si="3"/>
        <v/>
      </c>
      <c r="D53" s="80" t="str">
        <f t="shared" si="3"/>
        <v/>
      </c>
      <c r="E53" s="80" t="str">
        <f t="shared" si="3"/>
        <v/>
      </c>
      <c r="F53" s="80" t="str">
        <f t="shared" si="3"/>
        <v/>
      </c>
      <c r="G53" s="80" t="str">
        <f t="shared" si="3"/>
        <v/>
      </c>
      <c r="H53" s="80" t="str">
        <f t="shared" si="3"/>
        <v/>
      </c>
      <c r="I53" s="80" t="str">
        <f t="shared" si="3"/>
        <v/>
      </c>
      <c r="J53" s="80" t="str">
        <f t="shared" si="3"/>
        <v/>
      </c>
      <c r="K53" s="80" t="str">
        <f t="shared" si="3"/>
        <v/>
      </c>
      <c r="L53" s="80" t="str">
        <f t="shared" si="3"/>
        <v/>
      </c>
      <c r="M53" s="80" t="str">
        <f t="shared" si="3"/>
        <v/>
      </c>
      <c r="N53" s="80" t="str">
        <f t="shared" si="3"/>
        <v/>
      </c>
      <c r="O53" s="80" t="str">
        <f t="shared" si="3"/>
        <v/>
      </c>
    </row>
    <row r="54" spans="1:17" ht="15" customHeight="1" x14ac:dyDescent="0.2">
      <c r="A54" s="76" t="s">
        <v>183</v>
      </c>
      <c r="B54" s="80">
        <f t="shared" ref="B54:O54" si="4">IF(B10=0,"",B32/B10)</f>
        <v>0.75</v>
      </c>
      <c r="C54" s="80" t="str">
        <f t="shared" si="4"/>
        <v/>
      </c>
      <c r="D54" s="80">
        <f t="shared" si="4"/>
        <v>0</v>
      </c>
      <c r="E54" s="80" t="str">
        <f t="shared" si="4"/>
        <v/>
      </c>
      <c r="F54" s="80">
        <f t="shared" si="4"/>
        <v>0</v>
      </c>
      <c r="G54" s="80">
        <f t="shared" si="4"/>
        <v>0.45</v>
      </c>
      <c r="H54" s="80" t="str">
        <f t="shared" si="4"/>
        <v/>
      </c>
      <c r="I54" s="80">
        <f t="shared" si="4"/>
        <v>0.44444444444444442</v>
      </c>
      <c r="J54" s="80" t="str">
        <f t="shared" si="4"/>
        <v/>
      </c>
      <c r="K54" s="80" t="str">
        <f t="shared" si="4"/>
        <v/>
      </c>
      <c r="L54" s="80">
        <f t="shared" si="4"/>
        <v>0.33333333333333331</v>
      </c>
      <c r="M54" s="80" t="str">
        <f t="shared" si="4"/>
        <v/>
      </c>
      <c r="N54" s="80" t="str">
        <f t="shared" si="4"/>
        <v/>
      </c>
      <c r="O54" s="80" t="str">
        <f t="shared" si="4"/>
        <v/>
      </c>
    </row>
    <row r="55" spans="1:17" ht="15" customHeight="1" x14ac:dyDescent="0.2">
      <c r="A55" s="76" t="s">
        <v>184</v>
      </c>
      <c r="B55" s="80" t="str">
        <f t="shared" ref="B55:O55" si="5">IF(B11=0,"",B33/B11)</f>
        <v/>
      </c>
      <c r="C55" s="80" t="str">
        <f t="shared" si="5"/>
        <v/>
      </c>
      <c r="D55" s="80" t="str">
        <f t="shared" si="5"/>
        <v/>
      </c>
      <c r="E55" s="80" t="str">
        <f t="shared" si="5"/>
        <v/>
      </c>
      <c r="F55" s="80" t="str">
        <f t="shared" si="5"/>
        <v/>
      </c>
      <c r="G55" s="80" t="str">
        <f t="shared" si="5"/>
        <v/>
      </c>
      <c r="H55" s="80" t="str">
        <f t="shared" si="5"/>
        <v/>
      </c>
      <c r="I55" s="80" t="str">
        <f t="shared" si="5"/>
        <v/>
      </c>
      <c r="J55" s="80" t="str">
        <f t="shared" si="5"/>
        <v/>
      </c>
      <c r="K55" s="80" t="str">
        <f t="shared" si="5"/>
        <v/>
      </c>
      <c r="L55" s="80" t="str">
        <f t="shared" si="5"/>
        <v/>
      </c>
      <c r="M55" s="80" t="str">
        <f t="shared" si="5"/>
        <v/>
      </c>
      <c r="N55" s="80" t="str">
        <f t="shared" si="5"/>
        <v/>
      </c>
      <c r="O55" s="80" t="str">
        <f t="shared" si="5"/>
        <v/>
      </c>
    </row>
    <row r="56" spans="1:17" ht="15" customHeight="1" x14ac:dyDescent="0.2">
      <c r="A56" s="76" t="s">
        <v>185</v>
      </c>
      <c r="B56" s="80" t="str">
        <f t="shared" ref="B56:O56" si="6">IF(B12=0,"",B34/B12)</f>
        <v/>
      </c>
      <c r="C56" s="80">
        <f t="shared" si="6"/>
        <v>0</v>
      </c>
      <c r="D56" s="80" t="str">
        <f t="shared" si="6"/>
        <v/>
      </c>
      <c r="E56" s="80" t="str">
        <f t="shared" si="6"/>
        <v/>
      </c>
      <c r="F56" s="80" t="str">
        <f t="shared" si="6"/>
        <v/>
      </c>
      <c r="G56" s="80" t="str">
        <f t="shared" si="6"/>
        <v/>
      </c>
      <c r="H56" s="80">
        <f t="shared" si="6"/>
        <v>1</v>
      </c>
      <c r="I56" s="80">
        <f t="shared" si="6"/>
        <v>0.5</v>
      </c>
      <c r="J56" s="80">
        <f t="shared" si="6"/>
        <v>0.5</v>
      </c>
      <c r="K56" s="80">
        <f t="shared" si="6"/>
        <v>0</v>
      </c>
      <c r="L56" s="80">
        <f t="shared" si="6"/>
        <v>0.5</v>
      </c>
      <c r="M56" s="80" t="str">
        <f t="shared" si="6"/>
        <v/>
      </c>
      <c r="N56" s="80" t="str">
        <f t="shared" si="6"/>
        <v/>
      </c>
      <c r="O56" s="80" t="str">
        <f t="shared" si="6"/>
        <v/>
      </c>
    </row>
    <row r="57" spans="1:17" ht="15" customHeight="1" x14ac:dyDescent="0.2">
      <c r="A57" s="76" t="s">
        <v>186</v>
      </c>
      <c r="B57" s="80">
        <f t="shared" ref="B57:O57" si="7">IF(B13=0,"",B35/B13)</f>
        <v>1</v>
      </c>
      <c r="C57" s="80" t="str">
        <f t="shared" si="7"/>
        <v/>
      </c>
      <c r="D57" s="80">
        <f t="shared" si="7"/>
        <v>0</v>
      </c>
      <c r="E57" s="80">
        <f t="shared" si="7"/>
        <v>0</v>
      </c>
      <c r="F57" s="80">
        <f t="shared" si="7"/>
        <v>0</v>
      </c>
      <c r="G57" s="80">
        <f t="shared" si="7"/>
        <v>0</v>
      </c>
      <c r="H57" s="80">
        <f t="shared" si="7"/>
        <v>0</v>
      </c>
      <c r="I57" s="80">
        <f t="shared" si="7"/>
        <v>0</v>
      </c>
      <c r="J57" s="80" t="str">
        <f t="shared" si="7"/>
        <v/>
      </c>
      <c r="K57" s="80" t="str">
        <f t="shared" si="7"/>
        <v/>
      </c>
      <c r="L57" s="80">
        <f t="shared" si="7"/>
        <v>0</v>
      </c>
      <c r="M57" s="80" t="str">
        <f t="shared" si="7"/>
        <v/>
      </c>
      <c r="N57" s="80" t="str">
        <f t="shared" si="7"/>
        <v/>
      </c>
      <c r="O57" s="80" t="str">
        <f t="shared" si="7"/>
        <v/>
      </c>
    </row>
    <row r="58" spans="1:17" ht="15" customHeight="1" x14ac:dyDescent="0.2">
      <c r="A58" s="76" t="s">
        <v>188</v>
      </c>
      <c r="B58" s="80" t="str">
        <f t="shared" ref="B58:O58" si="8">IF(B14=0,"",B36/B14)</f>
        <v/>
      </c>
      <c r="C58" s="80" t="str">
        <f t="shared" si="8"/>
        <v/>
      </c>
      <c r="D58" s="80" t="str">
        <f t="shared" si="8"/>
        <v/>
      </c>
      <c r="E58" s="80" t="str">
        <f t="shared" si="8"/>
        <v/>
      </c>
      <c r="F58" s="80" t="str">
        <f t="shared" si="8"/>
        <v/>
      </c>
      <c r="G58" s="80" t="str">
        <f t="shared" si="8"/>
        <v/>
      </c>
      <c r="H58" s="80" t="str">
        <f t="shared" si="8"/>
        <v/>
      </c>
      <c r="I58" s="80" t="str">
        <f t="shared" si="8"/>
        <v/>
      </c>
      <c r="J58" s="80" t="str">
        <f t="shared" si="8"/>
        <v/>
      </c>
      <c r="K58" s="80" t="str">
        <f t="shared" si="8"/>
        <v/>
      </c>
      <c r="L58" s="80" t="str">
        <f t="shared" si="8"/>
        <v/>
      </c>
      <c r="M58" s="80" t="str">
        <f t="shared" si="8"/>
        <v/>
      </c>
      <c r="N58" s="80" t="str">
        <f t="shared" si="8"/>
        <v/>
      </c>
      <c r="O58" s="80" t="str">
        <f t="shared" si="8"/>
        <v/>
      </c>
    </row>
    <row r="59" spans="1:17" ht="15" customHeight="1" x14ac:dyDescent="0.2">
      <c r="A59" s="76" t="s">
        <v>190</v>
      </c>
      <c r="B59" s="80" t="str">
        <f t="shared" ref="B59:O59" si="9">IF(B15=0,"",B37/B15)</f>
        <v/>
      </c>
      <c r="C59" s="80" t="str">
        <f t="shared" si="9"/>
        <v/>
      </c>
      <c r="D59" s="80" t="str">
        <f t="shared" si="9"/>
        <v/>
      </c>
      <c r="E59" s="80" t="str">
        <f t="shared" si="9"/>
        <v/>
      </c>
      <c r="F59" s="80" t="str">
        <f t="shared" si="9"/>
        <v/>
      </c>
      <c r="G59" s="80" t="str">
        <f t="shared" si="9"/>
        <v/>
      </c>
      <c r="H59" s="80" t="str">
        <f t="shared" si="9"/>
        <v/>
      </c>
      <c r="I59" s="80" t="str">
        <f t="shared" si="9"/>
        <v/>
      </c>
      <c r="J59" s="80" t="str">
        <f t="shared" si="9"/>
        <v/>
      </c>
      <c r="K59" s="80" t="str">
        <f t="shared" si="9"/>
        <v/>
      </c>
      <c r="L59" s="80" t="str">
        <f t="shared" si="9"/>
        <v/>
      </c>
      <c r="M59" s="80" t="str">
        <f t="shared" si="9"/>
        <v/>
      </c>
      <c r="N59" s="80" t="str">
        <f t="shared" si="9"/>
        <v/>
      </c>
      <c r="O59" s="80" t="str">
        <f t="shared" si="9"/>
        <v/>
      </c>
    </row>
    <row r="60" spans="1:17" ht="15" customHeight="1" x14ac:dyDescent="0.2">
      <c r="A60" s="76" t="s">
        <v>192</v>
      </c>
      <c r="B60" s="80">
        <f t="shared" ref="B60:O60" si="10">IF(B16=0,"",B38/B16)</f>
        <v>0</v>
      </c>
      <c r="C60" s="80" t="str">
        <f t="shared" si="10"/>
        <v/>
      </c>
      <c r="D60" s="80" t="str">
        <f t="shared" si="10"/>
        <v/>
      </c>
      <c r="E60" s="80">
        <f t="shared" si="10"/>
        <v>0</v>
      </c>
      <c r="F60" s="80">
        <f t="shared" si="10"/>
        <v>1</v>
      </c>
      <c r="G60" s="80">
        <f t="shared" si="10"/>
        <v>0.5</v>
      </c>
      <c r="H60" s="80" t="str">
        <f t="shared" si="10"/>
        <v/>
      </c>
      <c r="I60" s="80" t="str">
        <f t="shared" si="10"/>
        <v/>
      </c>
      <c r="J60" s="80" t="str">
        <f t="shared" si="10"/>
        <v/>
      </c>
      <c r="K60" s="80" t="str">
        <f t="shared" si="10"/>
        <v/>
      </c>
      <c r="L60" s="80">
        <f t="shared" si="10"/>
        <v>0</v>
      </c>
      <c r="M60" s="80" t="str">
        <f t="shared" si="10"/>
        <v/>
      </c>
      <c r="N60" s="80" t="str">
        <f t="shared" si="10"/>
        <v/>
      </c>
      <c r="O60" s="80" t="str">
        <f t="shared" si="10"/>
        <v/>
      </c>
    </row>
    <row r="61" spans="1:17" ht="15" customHeight="1" x14ac:dyDescent="0.2">
      <c r="A61" s="76" t="s">
        <v>193</v>
      </c>
      <c r="B61" s="80" t="str">
        <f t="shared" ref="B61:O61" si="11">IF(B17=0,"",B39/B17)</f>
        <v/>
      </c>
      <c r="C61" s="80" t="str">
        <f t="shared" si="11"/>
        <v/>
      </c>
      <c r="D61" s="80" t="str">
        <f t="shared" si="11"/>
        <v/>
      </c>
      <c r="E61" s="80" t="str">
        <f t="shared" si="11"/>
        <v/>
      </c>
      <c r="F61" s="80" t="str">
        <f t="shared" si="11"/>
        <v/>
      </c>
      <c r="G61" s="80" t="str">
        <f t="shared" si="11"/>
        <v/>
      </c>
      <c r="H61" s="80" t="str">
        <f t="shared" si="11"/>
        <v/>
      </c>
      <c r="I61" s="80" t="str">
        <f t="shared" si="11"/>
        <v/>
      </c>
      <c r="J61" s="80" t="str">
        <f t="shared" si="11"/>
        <v/>
      </c>
      <c r="K61" s="80" t="str">
        <f t="shared" si="11"/>
        <v/>
      </c>
      <c r="L61" s="80" t="str">
        <f t="shared" si="11"/>
        <v/>
      </c>
      <c r="M61" s="80" t="str">
        <f t="shared" si="11"/>
        <v/>
      </c>
      <c r="N61" s="80" t="str">
        <f t="shared" si="11"/>
        <v/>
      </c>
      <c r="O61" s="80" t="str">
        <f t="shared" si="11"/>
        <v/>
      </c>
    </row>
    <row r="62" spans="1:17" ht="15" customHeight="1" x14ac:dyDescent="0.2">
      <c r="A62" s="76" t="s">
        <v>194</v>
      </c>
      <c r="B62" s="80" t="str">
        <f t="shared" ref="B62:O62" si="12">IF(B18=0,"",B40/B18)</f>
        <v/>
      </c>
      <c r="C62" s="80" t="str">
        <f t="shared" si="12"/>
        <v/>
      </c>
      <c r="D62" s="80" t="str">
        <f t="shared" si="12"/>
        <v/>
      </c>
      <c r="E62" s="80" t="str">
        <f t="shared" si="12"/>
        <v/>
      </c>
      <c r="F62" s="80" t="str">
        <f t="shared" si="12"/>
        <v/>
      </c>
      <c r="G62" s="80" t="str">
        <f t="shared" si="12"/>
        <v/>
      </c>
      <c r="H62" s="80" t="str">
        <f t="shared" si="12"/>
        <v/>
      </c>
      <c r="I62" s="80" t="str">
        <f t="shared" si="12"/>
        <v/>
      </c>
      <c r="J62" s="80" t="str">
        <f t="shared" si="12"/>
        <v/>
      </c>
      <c r="K62" s="80" t="str">
        <f t="shared" si="12"/>
        <v/>
      </c>
      <c r="L62" s="80" t="str">
        <f t="shared" si="12"/>
        <v/>
      </c>
      <c r="M62" s="80" t="str">
        <f t="shared" si="12"/>
        <v/>
      </c>
      <c r="N62" s="80" t="str">
        <f t="shared" si="12"/>
        <v/>
      </c>
      <c r="O62" s="80" t="str">
        <f t="shared" si="12"/>
        <v/>
      </c>
    </row>
    <row r="63" spans="1:17" ht="15" customHeight="1" x14ac:dyDescent="0.2">
      <c r="A63" s="76" t="s">
        <v>195</v>
      </c>
      <c r="B63" s="80">
        <f t="shared" ref="B63:O63" si="13">IF(B19=0,"",B41/B19)</f>
        <v>0.5</v>
      </c>
      <c r="C63" s="80">
        <f t="shared" si="13"/>
        <v>0</v>
      </c>
      <c r="D63" s="80" t="str">
        <f t="shared" si="13"/>
        <v/>
      </c>
      <c r="E63" s="80">
        <f t="shared" si="13"/>
        <v>0.16666666666666666</v>
      </c>
      <c r="F63" s="80">
        <f t="shared" si="13"/>
        <v>0.8666666666666667</v>
      </c>
      <c r="G63" s="80">
        <f t="shared" si="13"/>
        <v>1</v>
      </c>
      <c r="H63" s="80">
        <f t="shared" si="13"/>
        <v>0</v>
      </c>
      <c r="I63" s="80">
        <f t="shared" si="13"/>
        <v>0.14285714285714285</v>
      </c>
      <c r="J63" s="80">
        <f t="shared" si="13"/>
        <v>0.8</v>
      </c>
      <c r="K63" s="80">
        <f t="shared" si="13"/>
        <v>0</v>
      </c>
      <c r="L63" s="80">
        <f t="shared" si="13"/>
        <v>0.46153846153846156</v>
      </c>
      <c r="M63" s="80" t="str">
        <f t="shared" si="13"/>
        <v/>
      </c>
      <c r="N63" s="80" t="str">
        <f t="shared" si="13"/>
        <v/>
      </c>
      <c r="O63" s="80" t="str">
        <f t="shared" si="13"/>
        <v/>
      </c>
    </row>
    <row r="64" spans="1:17" ht="15" customHeight="1" x14ac:dyDescent="0.2">
      <c r="A64" s="76" t="s">
        <v>197</v>
      </c>
      <c r="B64" s="80">
        <f t="shared" ref="B64:O64" si="14">IF(B20=0,"",B42/B20)</f>
        <v>0.66666666666666663</v>
      </c>
      <c r="C64" s="80" t="str">
        <f t="shared" si="14"/>
        <v/>
      </c>
      <c r="D64" s="80" t="str">
        <f t="shared" si="14"/>
        <v/>
      </c>
      <c r="E64" s="80" t="str">
        <f t="shared" si="14"/>
        <v/>
      </c>
      <c r="F64" s="80">
        <f t="shared" si="14"/>
        <v>0</v>
      </c>
      <c r="G64" s="80">
        <f t="shared" si="14"/>
        <v>0.22222222222222221</v>
      </c>
      <c r="H64" s="80" t="str">
        <f t="shared" si="14"/>
        <v/>
      </c>
      <c r="I64" s="80">
        <f t="shared" si="14"/>
        <v>0.83333333333333337</v>
      </c>
      <c r="J64" s="80" t="str">
        <f t="shared" si="14"/>
        <v/>
      </c>
      <c r="K64" s="80" t="str">
        <f t="shared" si="14"/>
        <v/>
      </c>
      <c r="L64" s="80">
        <f t="shared" si="14"/>
        <v>0.33333333333333331</v>
      </c>
      <c r="M64" s="80" t="str">
        <f t="shared" si="14"/>
        <v/>
      </c>
      <c r="N64" s="80" t="str">
        <f t="shared" si="14"/>
        <v/>
      </c>
      <c r="O64" s="80" t="str">
        <f t="shared" si="14"/>
        <v/>
      </c>
    </row>
    <row r="65" spans="1:19" ht="15" customHeight="1" x14ac:dyDescent="0.2">
      <c r="A65" s="76" t="s">
        <v>199</v>
      </c>
      <c r="B65" s="80">
        <f t="shared" ref="B65:O65" si="15">IF(B21=0,"",B43/B21)</f>
        <v>1</v>
      </c>
      <c r="C65" s="80" t="str">
        <f t="shared" si="15"/>
        <v/>
      </c>
      <c r="D65" s="80">
        <f t="shared" si="15"/>
        <v>1</v>
      </c>
      <c r="E65" s="80" t="str">
        <f t="shared" si="15"/>
        <v/>
      </c>
      <c r="F65" s="80" t="str">
        <f t="shared" si="15"/>
        <v/>
      </c>
      <c r="G65" s="80">
        <f t="shared" si="15"/>
        <v>0</v>
      </c>
      <c r="H65" s="80" t="str">
        <f t="shared" si="15"/>
        <v/>
      </c>
      <c r="I65" s="80">
        <f t="shared" si="15"/>
        <v>0.2857142857142857</v>
      </c>
      <c r="J65" s="80" t="str">
        <f t="shared" si="15"/>
        <v/>
      </c>
      <c r="K65" s="80" t="str">
        <f t="shared" si="15"/>
        <v/>
      </c>
      <c r="L65" s="80">
        <f t="shared" si="15"/>
        <v>0.7142857142857143</v>
      </c>
      <c r="M65" s="80" t="str">
        <f t="shared" si="15"/>
        <v/>
      </c>
      <c r="N65" s="80" t="str">
        <f t="shared" si="15"/>
        <v/>
      </c>
      <c r="O65" s="80" t="str">
        <f t="shared" si="15"/>
        <v/>
      </c>
    </row>
    <row r="66" spans="1:19" ht="15" customHeight="1" x14ac:dyDescent="0.2">
      <c r="A66" s="76" t="s">
        <v>201</v>
      </c>
      <c r="B66" s="80" t="str">
        <f t="shared" ref="B66:O66" si="16">IF(B22=0,"",B44/B22)</f>
        <v/>
      </c>
      <c r="C66" s="80" t="str">
        <f t="shared" si="16"/>
        <v/>
      </c>
      <c r="D66" s="80" t="str">
        <f t="shared" si="16"/>
        <v/>
      </c>
      <c r="E66" s="80" t="str">
        <f t="shared" si="16"/>
        <v/>
      </c>
      <c r="F66" s="80" t="str">
        <f t="shared" si="16"/>
        <v/>
      </c>
      <c r="G66" s="80" t="str">
        <f t="shared" si="16"/>
        <v/>
      </c>
      <c r="H66" s="80" t="str">
        <f t="shared" si="16"/>
        <v/>
      </c>
      <c r="I66" s="80" t="str">
        <f t="shared" si="16"/>
        <v/>
      </c>
      <c r="J66" s="80" t="str">
        <f t="shared" si="16"/>
        <v/>
      </c>
      <c r="K66" s="80" t="str">
        <f t="shared" si="16"/>
        <v/>
      </c>
      <c r="L66" s="80" t="str">
        <f t="shared" si="16"/>
        <v/>
      </c>
      <c r="M66" s="80" t="str">
        <f t="shared" si="16"/>
        <v/>
      </c>
      <c r="N66" s="80" t="str">
        <f t="shared" si="16"/>
        <v/>
      </c>
      <c r="O66" s="80" t="str">
        <f t="shared" si="16"/>
        <v/>
      </c>
    </row>
    <row r="67" spans="1:19" ht="15" customHeight="1" x14ac:dyDescent="0.2">
      <c r="A67" s="76" t="s">
        <v>203</v>
      </c>
      <c r="B67" s="80">
        <f t="shared" ref="B67:O67" si="17">IF(B23=0,"",B45/B23)</f>
        <v>0.5</v>
      </c>
      <c r="C67" s="80" t="str">
        <f t="shared" si="17"/>
        <v/>
      </c>
      <c r="D67" s="80">
        <f t="shared" si="17"/>
        <v>0</v>
      </c>
      <c r="E67" s="80" t="str">
        <f t="shared" si="17"/>
        <v/>
      </c>
      <c r="F67" s="80" t="str">
        <f t="shared" si="17"/>
        <v/>
      </c>
      <c r="G67" s="80" t="str">
        <f t="shared" si="17"/>
        <v/>
      </c>
      <c r="H67" s="80" t="str">
        <f t="shared" si="17"/>
        <v/>
      </c>
      <c r="I67" s="80">
        <f t="shared" si="17"/>
        <v>1</v>
      </c>
      <c r="J67" s="80" t="str">
        <f t="shared" si="17"/>
        <v/>
      </c>
      <c r="K67" s="80" t="str">
        <f t="shared" si="17"/>
        <v/>
      </c>
      <c r="L67" s="80" t="str">
        <f t="shared" si="17"/>
        <v/>
      </c>
      <c r="M67" s="80" t="str">
        <f t="shared" si="17"/>
        <v/>
      </c>
      <c r="N67" s="80" t="str">
        <f t="shared" si="17"/>
        <v/>
      </c>
      <c r="O67" s="80" t="str">
        <f t="shared" si="17"/>
        <v/>
      </c>
    </row>
    <row r="68" spans="1:19" ht="15" customHeight="1" x14ac:dyDescent="0.2">
      <c r="A68" s="76" t="s">
        <v>204</v>
      </c>
      <c r="B68" s="80" t="str">
        <f t="shared" ref="B68:O68" si="18">IF(B24=0,"",B46/B24)</f>
        <v/>
      </c>
      <c r="C68" s="80" t="str">
        <f t="shared" si="18"/>
        <v/>
      </c>
      <c r="D68" s="80">
        <f t="shared" si="18"/>
        <v>0</v>
      </c>
      <c r="E68" s="80" t="str">
        <f t="shared" si="18"/>
        <v/>
      </c>
      <c r="F68" s="80">
        <f t="shared" si="18"/>
        <v>1</v>
      </c>
      <c r="G68" s="80" t="str">
        <f t="shared" si="18"/>
        <v/>
      </c>
      <c r="H68" s="80" t="str">
        <f t="shared" si="18"/>
        <v/>
      </c>
      <c r="I68" s="80">
        <f t="shared" si="18"/>
        <v>0</v>
      </c>
      <c r="J68" s="80" t="str">
        <f t="shared" si="18"/>
        <v/>
      </c>
      <c r="K68" s="80" t="str">
        <f t="shared" si="18"/>
        <v/>
      </c>
      <c r="L68" s="80" t="str">
        <f t="shared" si="18"/>
        <v/>
      </c>
      <c r="M68" s="80" t="str">
        <f t="shared" si="18"/>
        <v/>
      </c>
      <c r="N68" s="80" t="str">
        <f t="shared" si="18"/>
        <v/>
      </c>
      <c r="O68" s="80" t="str">
        <f t="shared" si="18"/>
        <v/>
      </c>
    </row>
    <row r="69" spans="1:19" ht="15" customHeight="1" x14ac:dyDescent="0.2">
      <c r="A69" s="76" t="s">
        <v>206</v>
      </c>
      <c r="B69" s="80">
        <f t="shared" ref="B69:O69" si="19">IF(B25=0,"",B47/B25)</f>
        <v>0.2857142857142857</v>
      </c>
      <c r="C69" s="80">
        <f t="shared" si="19"/>
        <v>0.625</v>
      </c>
      <c r="D69" s="80">
        <f t="shared" si="19"/>
        <v>1</v>
      </c>
      <c r="E69" s="80">
        <f t="shared" si="19"/>
        <v>0.42857142857142855</v>
      </c>
      <c r="F69" s="80">
        <f t="shared" si="19"/>
        <v>0.375</v>
      </c>
      <c r="G69" s="80">
        <f t="shared" si="19"/>
        <v>0.44444444444444442</v>
      </c>
      <c r="H69" s="80">
        <f t="shared" si="19"/>
        <v>0.72727272727272729</v>
      </c>
      <c r="I69" s="80">
        <f t="shared" si="19"/>
        <v>0.55555555555555558</v>
      </c>
      <c r="J69" s="80">
        <f t="shared" si="19"/>
        <v>0.7</v>
      </c>
      <c r="K69" s="80">
        <f t="shared" si="19"/>
        <v>0.2857142857142857</v>
      </c>
      <c r="L69" s="80">
        <f t="shared" si="19"/>
        <v>0.41666666666666669</v>
      </c>
      <c r="M69" s="80">
        <f t="shared" si="19"/>
        <v>0.4</v>
      </c>
      <c r="N69" s="80">
        <f t="shared" si="19"/>
        <v>0.5</v>
      </c>
      <c r="O69" s="80" t="str">
        <f t="shared" si="19"/>
        <v/>
      </c>
    </row>
    <row r="70" spans="1:19" ht="15" customHeight="1" x14ac:dyDescent="0.2">
      <c r="A70" s="76" t="s">
        <v>208</v>
      </c>
      <c r="B70" s="80">
        <f t="shared" ref="B70:O70" si="20">IF(B26=0,"",B48/B26)</f>
        <v>0.2857142857142857</v>
      </c>
      <c r="C70" s="80" t="str">
        <f t="shared" si="20"/>
        <v/>
      </c>
      <c r="D70" s="80" t="str">
        <f t="shared" si="20"/>
        <v/>
      </c>
      <c r="E70" s="80" t="str">
        <f t="shared" si="20"/>
        <v/>
      </c>
      <c r="F70" s="80">
        <f t="shared" si="20"/>
        <v>0.5</v>
      </c>
      <c r="G70" s="80">
        <f t="shared" si="20"/>
        <v>0.7142857142857143</v>
      </c>
      <c r="H70" s="80" t="str">
        <f t="shared" si="20"/>
        <v/>
      </c>
      <c r="I70" s="80">
        <f t="shared" si="20"/>
        <v>0.5</v>
      </c>
      <c r="J70" s="80" t="str">
        <f t="shared" si="20"/>
        <v/>
      </c>
      <c r="K70" s="80" t="str">
        <f t="shared" si="20"/>
        <v/>
      </c>
      <c r="L70" s="80" t="str">
        <f t="shared" si="20"/>
        <v/>
      </c>
      <c r="M70" s="80" t="str">
        <f t="shared" si="20"/>
        <v/>
      </c>
      <c r="N70" s="80" t="str">
        <f t="shared" si="20"/>
        <v/>
      </c>
      <c r="O70" s="80" t="str">
        <f t="shared" si="20"/>
        <v/>
      </c>
    </row>
    <row r="71" spans="1:19" x14ac:dyDescent="0.2">
      <c r="A71" s="76" t="s">
        <v>407</v>
      </c>
      <c r="B71" s="80" t="str">
        <f t="shared" ref="B71:O71" si="21">IF(B27=0,"",B49/B27)</f>
        <v/>
      </c>
      <c r="C71" s="80" t="str">
        <f t="shared" si="21"/>
        <v/>
      </c>
      <c r="D71" s="80" t="str">
        <f t="shared" si="21"/>
        <v/>
      </c>
      <c r="E71" s="80" t="str">
        <f t="shared" si="21"/>
        <v/>
      </c>
      <c r="F71" s="80" t="str">
        <f t="shared" si="21"/>
        <v/>
      </c>
      <c r="G71" s="80" t="str">
        <f t="shared" si="21"/>
        <v/>
      </c>
      <c r="H71" s="80" t="str">
        <f t="shared" si="21"/>
        <v/>
      </c>
      <c r="I71" s="80" t="str">
        <f t="shared" si="21"/>
        <v/>
      </c>
      <c r="J71" s="80" t="str">
        <f t="shared" si="21"/>
        <v/>
      </c>
      <c r="K71" s="80" t="str">
        <f t="shared" si="21"/>
        <v/>
      </c>
      <c r="L71" s="80" t="str">
        <f t="shared" si="21"/>
        <v/>
      </c>
      <c r="M71" s="80" t="str">
        <f t="shared" si="21"/>
        <v/>
      </c>
      <c r="N71" s="80" t="str">
        <f t="shared" si="21"/>
        <v/>
      </c>
      <c r="O71" s="80" t="str">
        <f t="shared" si="21"/>
        <v/>
      </c>
    </row>
    <row r="72" spans="1:19" ht="15" customHeight="1" x14ac:dyDescent="0.2">
      <c r="A72" s="157" t="s">
        <v>228</v>
      </c>
      <c r="B72" s="157"/>
      <c r="C72" s="157"/>
      <c r="D72" s="157"/>
      <c r="E72" s="157"/>
      <c r="F72" s="157"/>
      <c r="G72" s="157"/>
      <c r="H72" s="157"/>
      <c r="I72" s="157"/>
      <c r="J72" s="157"/>
      <c r="K72" s="157"/>
      <c r="L72" s="157"/>
      <c r="M72" s="157"/>
      <c r="N72" s="157"/>
      <c r="O72" s="157"/>
      <c r="P72" s="157"/>
      <c r="Q72" s="157"/>
    </row>
    <row r="73" spans="1:19" ht="15" customHeight="1" x14ac:dyDescent="0.2">
      <c r="A73" s="81" t="s">
        <v>229</v>
      </c>
      <c r="B73" s="74" t="s">
        <v>127</v>
      </c>
      <c r="C73" s="74" t="s">
        <v>187</v>
      </c>
      <c r="D73" s="74" t="s">
        <v>180</v>
      </c>
      <c r="E73" s="74" t="s">
        <v>102</v>
      </c>
      <c r="F73" s="74" t="s">
        <v>230</v>
      </c>
      <c r="G73" s="74" t="s">
        <v>100</v>
      </c>
    </row>
    <row r="74" spans="1:19" ht="15" customHeight="1" x14ac:dyDescent="0.2">
      <c r="A74" s="76" t="s">
        <v>167</v>
      </c>
      <c r="B74" s="77">
        <f>COUNTIF('Match Log'!$D$4:$D$810,$A74)</f>
        <v>23</v>
      </c>
      <c r="C74" s="77">
        <f>SUMPRODUCT(--(COUNTIFS('Match Log'!$D$4:$D$810,$A74,'Match Log'!$C$4:$C$810,Lists!$C$2:$C$21)&gt;0))</f>
        <v>3</v>
      </c>
      <c r="D74" s="77">
        <f>COUNTIFS('Match Log'!$D$4:$D$810,$A74,'Match Log'!$E$4:$E$810,"Win")</f>
        <v>15</v>
      </c>
      <c r="E74" s="80">
        <f t="shared" ref="E74:E87" si="22">IF($B74=0,"",$D74/$B74)</f>
        <v>0.65217391304347827</v>
      </c>
      <c r="F74" s="82">
        <f>IFERROR(INDEX(Engine!$B$2:$B$15,MATCH($A74,Engine!$A$2:$A$15,0)),"")</f>
        <v>1168.2113436007442</v>
      </c>
      <c r="G74" s="77" t="str">
        <f>IF($B74=0,"No games",IF(AND($B74&gt;='Guide &amp; Settings'!$C$45,$C74&gt;='Guide &amp; Settings'!$C$46),"Eligible","Provisional"))</f>
        <v>Eligible</v>
      </c>
      <c r="S74" s="83">
        <f t="shared" ref="S74:S87" si="23">IF($G74="Eligible",$F74,-1)</f>
        <v>1168.2113436007442</v>
      </c>
    </row>
    <row r="75" spans="1:19" ht="15" customHeight="1" x14ac:dyDescent="0.2">
      <c r="A75" s="76" t="s">
        <v>137</v>
      </c>
      <c r="B75" s="77">
        <f>COUNTIF('Match Log'!$D$4:$D$810,$A75)</f>
        <v>32</v>
      </c>
      <c r="C75" s="77">
        <f>SUMPRODUCT(--(COUNTIFS('Match Log'!$D$4:$D$810,$A75,'Match Log'!$C$4:$C$810,Lists!$C$2:$C$21)&gt;0))</f>
        <v>8</v>
      </c>
      <c r="D75" s="77">
        <f>COUNTIFS('Match Log'!$D$4:$D$810,$A75,'Match Log'!$E$4:$E$810,"Win")</f>
        <v>20</v>
      </c>
      <c r="E75" s="80">
        <f t="shared" si="22"/>
        <v>0.625</v>
      </c>
      <c r="F75" s="82">
        <f>IFERROR(INDEX(Engine!$B$2:$B$15,MATCH($A75,Engine!$A$2:$A$15,0)),"")</f>
        <v>1129.7012289075892</v>
      </c>
      <c r="G75" s="77" t="str">
        <f>IF($B75=0,"No games",IF(AND($B75&gt;='Guide &amp; Settings'!$C$45,$C75&gt;='Guide &amp; Settings'!$C$46),"Eligible","Provisional"))</f>
        <v>Eligible</v>
      </c>
      <c r="S75" s="83">
        <f t="shared" si="23"/>
        <v>1129.7012289075892</v>
      </c>
    </row>
    <row r="76" spans="1:19" ht="15" customHeight="1" x14ac:dyDescent="0.2">
      <c r="A76" s="76" t="s">
        <v>168</v>
      </c>
      <c r="B76" s="77">
        <f>COUNTIF('Match Log'!$D$4:$D$810,$A76)</f>
        <v>17</v>
      </c>
      <c r="C76" s="77">
        <f>SUMPRODUCT(--(COUNTIFS('Match Log'!$D$4:$D$810,$A76,'Match Log'!$C$4:$C$810,Lists!$C$2:$C$21)&gt;0))</f>
        <v>4</v>
      </c>
      <c r="D76" s="77">
        <f>COUNTIFS('Match Log'!$D$4:$D$810,$A76,'Match Log'!$E$4:$E$810,"Win")</f>
        <v>10</v>
      </c>
      <c r="E76" s="80">
        <f t="shared" si="22"/>
        <v>0.58823529411764708</v>
      </c>
      <c r="F76" s="82">
        <f>IFERROR(INDEX(Engine!$B$2:$B$15,MATCH($A76,Engine!$A$2:$A$15,0)),"")</f>
        <v>1084.8903813508514</v>
      </c>
      <c r="G76" s="77" t="str">
        <f>IF($B76=0,"No games",IF(AND($B76&gt;='Guide &amp; Settings'!$C$45,$C76&gt;='Guide &amp; Settings'!$C$46),"Eligible","Provisional"))</f>
        <v>Eligible</v>
      </c>
      <c r="S76" s="83">
        <f t="shared" si="23"/>
        <v>1084.8903813508514</v>
      </c>
    </row>
    <row r="77" spans="1:19" ht="15" customHeight="1" x14ac:dyDescent="0.2">
      <c r="A77" s="76" t="s">
        <v>169</v>
      </c>
      <c r="B77" s="77">
        <f>COUNTIF('Match Log'!$D$4:$D$810,$A77)</f>
        <v>44</v>
      </c>
      <c r="C77" s="77">
        <f>SUMPRODUCT(--(COUNTIFS('Match Log'!$D$4:$D$810,$A77,'Match Log'!$C$4:$C$810,Lists!$C$2:$C$21)&gt;0))</f>
        <v>8</v>
      </c>
      <c r="D77" s="77">
        <f>COUNTIFS('Match Log'!$D$4:$D$810,$A77,'Match Log'!$E$4:$E$810,"Win")</f>
        <v>20</v>
      </c>
      <c r="E77" s="80">
        <f t="shared" si="22"/>
        <v>0.45454545454545453</v>
      </c>
      <c r="F77" s="82">
        <f>IFERROR(INDEX(Engine!$B$2:$B$15,MATCH($A77,Engine!$A$2:$A$15,0)),"")</f>
        <v>1058.6657209484931</v>
      </c>
      <c r="G77" s="77" t="str">
        <f>IF($B77=0,"No games",IF(AND($B77&gt;='Guide &amp; Settings'!$C$45,$C77&gt;='Guide &amp; Settings'!$C$46),"Eligible","Provisional"))</f>
        <v>Eligible</v>
      </c>
      <c r="S77" s="83">
        <f t="shared" si="23"/>
        <v>1058.6657209484931</v>
      </c>
    </row>
    <row r="78" spans="1:19" ht="15" customHeight="1" x14ac:dyDescent="0.2">
      <c r="A78" s="76" t="s">
        <v>170</v>
      </c>
      <c r="B78" s="77">
        <f>COUNTIF('Match Log'!$D$4:$D$810,$A78)</f>
        <v>52</v>
      </c>
      <c r="C78" s="77">
        <f>SUMPRODUCT(--(COUNTIFS('Match Log'!$D$4:$D$810,$A78,'Match Log'!$C$4:$C$810,Lists!$C$2:$C$21)&gt;0))</f>
        <v>11</v>
      </c>
      <c r="D78" s="77">
        <f>COUNTIFS('Match Log'!$D$4:$D$810,$A78,'Match Log'!$E$4:$E$810,"Win")</f>
        <v>23</v>
      </c>
      <c r="E78" s="80">
        <f t="shared" si="22"/>
        <v>0.44230769230769229</v>
      </c>
      <c r="F78" s="82">
        <f>IFERROR(INDEX(Engine!$B$2:$B$15,MATCH($A78,Engine!$A$2:$A$15,0)),"")</f>
        <v>1050.8634549674414</v>
      </c>
      <c r="G78" s="77" t="str">
        <f>IF($B78=0,"No games",IF(AND($B78&gt;='Guide &amp; Settings'!$C$45,$C78&gt;='Guide &amp; Settings'!$C$46),"Eligible","Provisional"))</f>
        <v>Eligible</v>
      </c>
      <c r="S78" s="83">
        <f t="shared" si="23"/>
        <v>1050.8634549674414</v>
      </c>
    </row>
    <row r="79" spans="1:19" ht="15" customHeight="1" x14ac:dyDescent="0.2">
      <c r="A79" s="76" t="s">
        <v>138</v>
      </c>
      <c r="B79" s="77">
        <f>COUNTIF('Match Log'!$D$4:$D$810,$A79)</f>
        <v>38</v>
      </c>
      <c r="C79" s="77">
        <f>SUMPRODUCT(--(COUNTIFS('Match Log'!$D$4:$D$810,$A79,'Match Log'!$C$4:$C$810,Lists!$C$2:$C$21)&gt;0))</f>
        <v>9</v>
      </c>
      <c r="D79" s="77">
        <f>COUNTIFS('Match Log'!$D$4:$D$810,$A79,'Match Log'!$E$4:$E$810,"Win")</f>
        <v>21</v>
      </c>
      <c r="E79" s="80">
        <f t="shared" si="22"/>
        <v>0.55263157894736847</v>
      </c>
      <c r="F79" s="82">
        <f>IFERROR(INDEX(Engine!$B$2:$B$15,MATCH($A79,Engine!$A$2:$A$15,0)),"")</f>
        <v>1097.6049428107995</v>
      </c>
      <c r="G79" s="77" t="str">
        <f>IF($B79=0,"No games",IF(AND($B79&gt;='Guide &amp; Settings'!$C$45,$C79&gt;='Guide &amp; Settings'!$C$46),"Eligible","Provisional"))</f>
        <v>Eligible</v>
      </c>
      <c r="S79" s="83">
        <f t="shared" si="23"/>
        <v>1097.6049428107995</v>
      </c>
    </row>
    <row r="80" spans="1:19" ht="15" customHeight="1" x14ac:dyDescent="0.2">
      <c r="A80" s="76" t="s">
        <v>134</v>
      </c>
      <c r="B80" s="77">
        <f>COUNTIF('Match Log'!$D$4:$D$810,$A80)</f>
        <v>62</v>
      </c>
      <c r="C80" s="77">
        <f>SUMPRODUCT(--(COUNTIFS('Match Log'!$D$4:$D$810,$A80,'Match Log'!$C$4:$C$810,Lists!$C$2:$C$21)&gt;0))</f>
        <v>9</v>
      </c>
      <c r="D80" s="77">
        <f>COUNTIFS('Match Log'!$D$4:$D$810,$A80,'Match Log'!$E$4:$E$810,"Win")</f>
        <v>28</v>
      </c>
      <c r="E80" s="80">
        <f t="shared" si="22"/>
        <v>0.45161290322580644</v>
      </c>
      <c r="F80" s="82">
        <f>IFERROR(INDEX(Engine!$B$2:$B$15,MATCH($A80,Engine!$A$2:$A$15,0)),"")</f>
        <v>1049.2258055170387</v>
      </c>
      <c r="G80" s="77" t="str">
        <f>IF($B80=0,"No games",IF(AND($B80&gt;='Guide &amp; Settings'!$C$45,$C80&gt;='Guide &amp; Settings'!$C$46),"Eligible","Provisional"))</f>
        <v>Eligible</v>
      </c>
      <c r="S80" s="83">
        <f t="shared" si="23"/>
        <v>1049.2258055170387</v>
      </c>
    </row>
    <row r="81" spans="1:19" ht="15" customHeight="1" x14ac:dyDescent="0.2">
      <c r="A81" s="76" t="s">
        <v>135</v>
      </c>
      <c r="B81" s="77">
        <f>COUNTIF('Match Log'!$D$4:$D$810,$A81)</f>
        <v>10</v>
      </c>
      <c r="C81" s="77">
        <f>SUMPRODUCT(--(COUNTIFS('Match Log'!$D$4:$D$810,$A81,'Match Log'!$C$4:$C$810,Lists!$C$2:$C$21)&gt;0))</f>
        <v>3</v>
      </c>
      <c r="D81" s="77">
        <f>COUNTIFS('Match Log'!$D$4:$D$810,$A81,'Match Log'!$E$4:$E$810,"Win")</f>
        <v>5</v>
      </c>
      <c r="E81" s="80">
        <f t="shared" si="22"/>
        <v>0.5</v>
      </c>
      <c r="F81" s="82">
        <f>IFERROR(INDEX(Engine!$B$2:$B$15,MATCH($A81,Engine!$A$2:$A$15,0)),"")</f>
        <v>1029.2201908859522</v>
      </c>
      <c r="G81" s="77" t="str">
        <f>IF($B81=0,"No games",IF(AND($B81&gt;='Guide &amp; Settings'!$C$45,$C81&gt;='Guide &amp; Settings'!$C$46),"Eligible","Provisional"))</f>
        <v>Eligible</v>
      </c>
      <c r="S81" s="83">
        <f t="shared" si="23"/>
        <v>1029.2201908859522</v>
      </c>
    </row>
    <row r="82" spans="1:19" ht="15" customHeight="1" x14ac:dyDescent="0.2">
      <c r="A82" s="76" t="s">
        <v>171</v>
      </c>
      <c r="B82" s="77">
        <f>COUNTIF('Match Log'!$D$4:$D$810,$A82)</f>
        <v>5</v>
      </c>
      <c r="C82" s="77">
        <f>SUMPRODUCT(--(COUNTIFS('Match Log'!$D$4:$D$810,$A82,'Match Log'!$C$4:$C$810,Lists!$C$2:$C$21)&gt;0))</f>
        <v>1</v>
      </c>
      <c r="D82" s="77">
        <f>COUNTIFS('Match Log'!$D$4:$D$810,$A82,'Match Log'!$E$4:$E$810,"Win")</f>
        <v>2</v>
      </c>
      <c r="E82" s="80">
        <f t="shared" si="22"/>
        <v>0.4</v>
      </c>
      <c r="F82" s="82">
        <f>IFERROR(INDEX(Engine!$B$2:$B$15,MATCH($A82,Engine!$A$2:$A$15,0)),"")</f>
        <v>1031.225848367051</v>
      </c>
      <c r="G82" s="77" t="str">
        <f>IF($B82=0,"No games",IF(AND($B82&gt;='Guide &amp; Settings'!$C$45,$C82&gt;='Guide &amp; Settings'!$C$46),"Eligible","Provisional"))</f>
        <v>Provisional</v>
      </c>
      <c r="S82" s="83">
        <f t="shared" si="23"/>
        <v>-1</v>
      </c>
    </row>
    <row r="83" spans="1:19" ht="15" customHeight="1" x14ac:dyDescent="0.2">
      <c r="A83" s="76" t="s">
        <v>172</v>
      </c>
      <c r="B83" s="77">
        <f>COUNTIF('Match Log'!$D$4:$D$810,$A83)</f>
        <v>4</v>
      </c>
      <c r="C83" s="77">
        <f>SUMPRODUCT(--(COUNTIFS('Match Log'!$D$4:$D$810,$A83,'Match Log'!$C$4:$C$810,Lists!$C$2:$C$21)&gt;0))</f>
        <v>1</v>
      </c>
      <c r="D83" s="77">
        <f>COUNTIFS('Match Log'!$D$4:$D$810,$A83,'Match Log'!$E$4:$E$810,"Win")</f>
        <v>2</v>
      </c>
      <c r="E83" s="80">
        <f t="shared" si="22"/>
        <v>0.5</v>
      </c>
      <c r="F83" s="82">
        <f>IFERROR(INDEX(Engine!$B$2:$B$15,MATCH($A83,Engine!$A$2:$A$15,0)),"")</f>
        <v>1030.3815983388336</v>
      </c>
      <c r="G83" s="77" t="str">
        <f>IF($B83=0,"No games",IF(AND($B83&gt;='Guide &amp; Settings'!$C$45,$C83&gt;='Guide &amp; Settings'!$C$46),"Eligible","Provisional"))</f>
        <v>Provisional</v>
      </c>
      <c r="S83" s="83">
        <f t="shared" si="23"/>
        <v>-1</v>
      </c>
    </row>
    <row r="84" spans="1:19" ht="15" customHeight="1" x14ac:dyDescent="0.2">
      <c r="A84" s="76" t="s">
        <v>173</v>
      </c>
      <c r="B84" s="77">
        <f>COUNTIF('Match Log'!$D$4:$D$810,$A84)</f>
        <v>10</v>
      </c>
      <c r="C84" s="77">
        <f>SUMPRODUCT(--(COUNTIFS('Match Log'!$D$4:$D$810,$A84,'Match Log'!$C$4:$C$810,Lists!$C$2:$C$21)&gt;0))</f>
        <v>6</v>
      </c>
      <c r="D84" s="77">
        <f>COUNTIFS('Match Log'!$D$4:$D$810,$A84,'Match Log'!$E$4:$E$810,"Win")</f>
        <v>5</v>
      </c>
      <c r="E84" s="80">
        <f t="shared" si="22"/>
        <v>0.5</v>
      </c>
      <c r="F84" s="82">
        <f>IFERROR(INDEX(Engine!$B$2:$B$15,MATCH($A84,Engine!$A$2:$A$15,0)),"")</f>
        <v>1016.7837867075796</v>
      </c>
      <c r="G84" s="77" t="str">
        <f>IF($B84=0,"No games",IF(AND($B84&gt;='Guide &amp; Settings'!$C$45,$C84&gt;='Guide &amp; Settings'!$C$46),"Eligible","Provisional"))</f>
        <v>Eligible</v>
      </c>
      <c r="S84" s="83">
        <f t="shared" si="23"/>
        <v>1016.7837867075796</v>
      </c>
    </row>
    <row r="85" spans="1:19" ht="15" customHeight="1" x14ac:dyDescent="0.2">
      <c r="A85" s="76" t="s">
        <v>174</v>
      </c>
      <c r="B85" s="77">
        <f>COUNTIF('Match Log'!$D$4:$D$810,$A85)</f>
        <v>0</v>
      </c>
      <c r="C85" s="77">
        <f>SUMPRODUCT(--(COUNTIFS('Match Log'!$D$4:$D$810,$A85,'Match Log'!$C$4:$C$810,Lists!$C$2:$C$21)&gt;0))</f>
        <v>0</v>
      </c>
      <c r="D85" s="77">
        <f>COUNTIFS('Match Log'!$D$4:$D$810,$A85,'Match Log'!$E$4:$E$810,"Win")</f>
        <v>0</v>
      </c>
      <c r="E85" s="80" t="str">
        <f t="shared" si="22"/>
        <v/>
      </c>
      <c r="F85" s="82">
        <f>IFERROR(INDEX(Engine!$B$2:$B$15,MATCH($A85,Engine!$A$2:$A$15,0)),"")</f>
        <v>1000</v>
      </c>
      <c r="G85" s="77" t="str">
        <f>IF($B85=0,"No games",IF(AND($B85&gt;='Guide &amp; Settings'!$C$45,$C85&gt;='Guide &amp; Settings'!$C$46),"Eligible","Provisional"))</f>
        <v>No games</v>
      </c>
      <c r="S85">
        <f t="shared" si="23"/>
        <v>-1</v>
      </c>
    </row>
    <row r="86" spans="1:19" ht="15" customHeight="1" x14ac:dyDescent="0.2">
      <c r="A86" s="76" t="s">
        <v>140</v>
      </c>
      <c r="B86" s="77">
        <f>COUNTIF('Match Log'!$D$4:$D$810,$A86)</f>
        <v>15</v>
      </c>
      <c r="C86" s="77">
        <f>SUMPRODUCT(--(COUNTIFS('Match Log'!$D$4:$D$810,$A86,'Match Log'!$C$4:$C$810,Lists!$C$2:$C$21)&gt;0))</f>
        <v>4</v>
      </c>
      <c r="D86" s="77">
        <f>COUNTIFS('Match Log'!$D$4:$D$810,$A86,'Match Log'!$E$4:$E$810,"Win")</f>
        <v>4</v>
      </c>
      <c r="E86" s="80">
        <f t="shared" si="22"/>
        <v>0.26666666666666666</v>
      </c>
      <c r="F86" s="82">
        <f>IFERROR(INDEX(Engine!$B$2:$B$15,MATCH($A86,Engine!$A$2:$A$15,0)),"")</f>
        <v>973.18894572037368</v>
      </c>
      <c r="G86" s="77" t="str">
        <f>IF($B86=0,"No games",IF(AND($B86&gt;='Guide &amp; Settings'!$C$45,$C86&gt;='Guide &amp; Settings'!$C$46),"Eligible","Provisional"))</f>
        <v>Eligible</v>
      </c>
      <c r="S86" s="83">
        <f t="shared" si="23"/>
        <v>973.18894572037368</v>
      </c>
    </row>
    <row r="87" spans="1:19" ht="15" customHeight="1" x14ac:dyDescent="0.2">
      <c r="A87" s="76" t="s">
        <v>175</v>
      </c>
      <c r="B87" s="77">
        <f>COUNTIF('Match Log'!$D$4:$D$810,$A87)</f>
        <v>13</v>
      </c>
      <c r="C87" s="77">
        <f>SUMPRODUCT(--(COUNTIFS('Match Log'!$D$4:$D$810,$A87,'Match Log'!$C$4:$C$810,Lists!$C$2:$C$21)&gt;0))</f>
        <v>3</v>
      </c>
      <c r="D87" s="77">
        <f>COUNTIFS('Match Log'!$D$4:$D$810,$A87,'Match Log'!$E$4:$E$810,"Win")</f>
        <v>2</v>
      </c>
      <c r="E87" s="80">
        <f t="shared" si="22"/>
        <v>0.15384615384615385</v>
      </c>
      <c r="F87" s="82">
        <f>IFERROR(INDEX(Engine!$B$2:$B$15,MATCH($A87,Engine!$A$2:$A$15,0)),"")</f>
        <v>893.03675187725173</v>
      </c>
      <c r="G87" s="77" t="str">
        <f>IF($B87=0,"No games",IF(AND($B87&gt;='Guide &amp; Settings'!$C$45,$C87&gt;='Guide &amp; Settings'!$C$46),"Eligible","Provisional"))</f>
        <v>Eligible</v>
      </c>
      <c r="S87" s="83">
        <f t="shared" si="23"/>
        <v>893.03675187725173</v>
      </c>
    </row>
    <row r="89" spans="1:19" ht="15" customHeight="1" x14ac:dyDescent="0.2">
      <c r="A89" s="157" t="s">
        <v>231</v>
      </c>
      <c r="B89" s="157"/>
      <c r="C89" s="157"/>
      <c r="D89" s="157"/>
      <c r="E89" s="157"/>
      <c r="F89" s="157"/>
      <c r="G89" s="157"/>
      <c r="H89" s="157"/>
      <c r="I89" s="157"/>
      <c r="J89" s="157"/>
      <c r="K89" s="157"/>
      <c r="L89" s="157"/>
      <c r="M89" s="157"/>
      <c r="N89" s="157"/>
      <c r="O89" s="157"/>
      <c r="P89" s="157"/>
      <c r="Q89" s="157"/>
    </row>
    <row r="90" spans="1:19" ht="91.5" customHeight="1" x14ac:dyDescent="0.2">
      <c r="A90" s="74" t="s">
        <v>123</v>
      </c>
      <c r="B90" s="75" t="s">
        <v>138</v>
      </c>
      <c r="C90" s="75" t="s">
        <v>135</v>
      </c>
      <c r="D90" s="75" t="s">
        <v>173</v>
      </c>
      <c r="E90" s="75" t="s">
        <v>140</v>
      </c>
      <c r="F90" s="75" t="s">
        <v>137</v>
      </c>
      <c r="G90" s="75" t="s">
        <v>134</v>
      </c>
      <c r="H90" s="75" t="s">
        <v>168</v>
      </c>
      <c r="I90" s="75" t="s">
        <v>170</v>
      </c>
      <c r="J90" s="75" t="s">
        <v>167</v>
      </c>
      <c r="K90" s="75" t="s">
        <v>175</v>
      </c>
      <c r="L90" s="75" t="s">
        <v>169</v>
      </c>
      <c r="M90" s="75" t="s">
        <v>171</v>
      </c>
      <c r="N90" s="75" t="s">
        <v>172</v>
      </c>
      <c r="O90" s="75" t="s">
        <v>174</v>
      </c>
      <c r="P90" s="74" t="s">
        <v>232</v>
      </c>
    </row>
    <row r="91" spans="1:19" ht="15" customHeight="1" x14ac:dyDescent="0.2">
      <c r="A91" s="76" t="s">
        <v>181</v>
      </c>
      <c r="B91" s="82" t="str">
        <f>IFERROR(LOOKUP(2,1/(('Match Log'!$D$4:$D$810=B$90)*('Match Log'!$C$4:$C$810=$A91)),'Match Log'!$AB$4:$AB$810),"")</f>
        <v/>
      </c>
      <c r="C91" s="82" t="str">
        <f>IFERROR(LOOKUP(2,1/(('Match Log'!$D$4:$D$810=C$90)*('Match Log'!$C$4:$C$810=$A91)),'Match Log'!$AB$4:$AB$810),"")</f>
        <v/>
      </c>
      <c r="D91" s="82" t="str">
        <f>IFERROR(LOOKUP(2,1/(('Match Log'!$D$4:$D$810=D$90)*('Match Log'!$C$4:$C$810=$A91)),'Match Log'!$AB$4:$AB$810),"")</f>
        <v/>
      </c>
      <c r="E91" s="82" t="str">
        <f>IFERROR(LOOKUP(2,1/(('Match Log'!$D$4:$D$810=E$90)*('Match Log'!$C$4:$C$810=$A91)),'Match Log'!$AB$4:$AB$810),"")</f>
        <v/>
      </c>
      <c r="F91" s="82" t="str">
        <f>IFERROR(LOOKUP(2,1/(('Match Log'!$D$4:$D$810=F$90)*('Match Log'!$C$4:$C$810=$A91)),'Match Log'!$AB$4:$AB$810),"")</f>
        <v/>
      </c>
      <c r="G91" s="82">
        <f>IFERROR(LOOKUP(2,1/(('Match Log'!$D$4:$D$810=G$90)*('Match Log'!$C$4:$C$810=$A91)),'Match Log'!$AB$4:$AB$810),"")</f>
        <v>1030.5304984710244</v>
      </c>
      <c r="H91" s="82" t="str">
        <f>IFERROR(LOOKUP(2,1/(('Match Log'!$D$4:$D$810=H$90)*('Match Log'!$C$4:$C$810=$A91)),'Match Log'!$AB$4:$AB$810),"")</f>
        <v/>
      </c>
      <c r="I91" s="82">
        <f>IFERROR(LOOKUP(2,1/(('Match Log'!$D$4:$D$810=I$90)*('Match Log'!$C$4:$C$810=$A91)),'Match Log'!$AB$4:$AB$810),"")</f>
        <v>969.46950152897546</v>
      </c>
      <c r="J91" s="82" t="str">
        <f>IFERROR(LOOKUP(2,1/(('Match Log'!$D$4:$D$810=J$90)*('Match Log'!$C$4:$C$810=$A91)),'Match Log'!$AB$4:$AB$810),"")</f>
        <v/>
      </c>
      <c r="K91" s="82" t="str">
        <f>IFERROR(LOOKUP(2,1/(('Match Log'!$D$4:$D$810=K$90)*('Match Log'!$C$4:$C$810=$A91)),'Match Log'!$AB$4:$AB$810),"")</f>
        <v/>
      </c>
      <c r="L91" s="82" t="str">
        <f>IFERROR(LOOKUP(2,1/(('Match Log'!$D$4:$D$810=L$90)*('Match Log'!$C$4:$C$810=$A91)),'Match Log'!$AB$4:$AB$810),"")</f>
        <v/>
      </c>
      <c r="M91" s="82" t="str">
        <f>IFERROR(LOOKUP(2,1/(('Match Log'!$D$4:$D$810=M$90)*('Match Log'!$C$4:$C$810=$A91)),'Match Log'!$AB$4:$AB$810),"")</f>
        <v/>
      </c>
      <c r="N91" s="82" t="str">
        <f>IFERROR(LOOKUP(2,1/(('Match Log'!$D$4:$D$810=N$90)*('Match Log'!$C$4:$C$810=$A91)),'Match Log'!$AB$4:$AB$810),"")</f>
        <v/>
      </c>
      <c r="O91" s="82" t="str">
        <f>IFERROR(LOOKUP(2,1/(('Match Log'!$D$4:$D$810=O$90)*('Match Log'!$C$4:$C$810=$A91)),'Match Log'!$AB$4:$AB$810),"")</f>
        <v/>
      </c>
      <c r="P91" s="79" t="str">
        <f t="shared" ref="P91:P109" si="24">IFERROR(INDEX($B$90:$O$90,MATCH(MAX($B91:$O91),$B91:$O91,0)),"—")</f>
        <v>Shawn</v>
      </c>
    </row>
    <row r="92" spans="1:19" ht="15" customHeight="1" x14ac:dyDescent="0.2">
      <c r="A92" s="76" t="s">
        <v>182</v>
      </c>
      <c r="B92" s="82" t="str">
        <f>IFERROR(LOOKUP(2,1/(('Match Log'!$D$4:$D$810=B$90)*('Match Log'!$C$4:$C$810=$A92)),'Match Log'!$AB$4:$AB$810),"")</f>
        <v/>
      </c>
      <c r="C92" s="82" t="str">
        <f>IFERROR(LOOKUP(2,1/(('Match Log'!$D$4:$D$810=C$90)*('Match Log'!$C$4:$C$810=$A92)),'Match Log'!$AB$4:$AB$810),"")</f>
        <v/>
      </c>
      <c r="D92" s="82" t="str">
        <f>IFERROR(LOOKUP(2,1/(('Match Log'!$D$4:$D$810=D$90)*('Match Log'!$C$4:$C$810=$A92)),'Match Log'!$AB$4:$AB$810),"")</f>
        <v/>
      </c>
      <c r="E92" s="82" t="str">
        <f>IFERROR(LOOKUP(2,1/(('Match Log'!$D$4:$D$810=E$90)*('Match Log'!$C$4:$C$810=$A92)),'Match Log'!$AB$4:$AB$810),"")</f>
        <v/>
      </c>
      <c r="F92" s="82" t="str">
        <f>IFERROR(LOOKUP(2,1/(('Match Log'!$D$4:$D$810=F$90)*('Match Log'!$C$4:$C$810=$A92)),'Match Log'!$AB$4:$AB$810),"")</f>
        <v/>
      </c>
      <c r="G92" s="82" t="str">
        <f>IFERROR(LOOKUP(2,1/(('Match Log'!$D$4:$D$810=G$90)*('Match Log'!$C$4:$C$810=$A92)),'Match Log'!$AB$4:$AB$810),"")</f>
        <v/>
      </c>
      <c r="H92" s="82" t="str">
        <f>IFERROR(LOOKUP(2,1/(('Match Log'!$D$4:$D$810=H$90)*('Match Log'!$C$4:$C$810=$A92)),'Match Log'!$AB$4:$AB$810),"")</f>
        <v/>
      </c>
      <c r="I92" s="82" t="str">
        <f>IFERROR(LOOKUP(2,1/(('Match Log'!$D$4:$D$810=I$90)*('Match Log'!$C$4:$C$810=$A92)),'Match Log'!$AB$4:$AB$810),"")</f>
        <v/>
      </c>
      <c r="J92" s="82" t="str">
        <f>IFERROR(LOOKUP(2,1/(('Match Log'!$D$4:$D$810=J$90)*('Match Log'!$C$4:$C$810=$A92)),'Match Log'!$AB$4:$AB$810),"")</f>
        <v/>
      </c>
      <c r="K92" s="82" t="str">
        <f>IFERROR(LOOKUP(2,1/(('Match Log'!$D$4:$D$810=K$90)*('Match Log'!$C$4:$C$810=$A92)),'Match Log'!$AB$4:$AB$810),"")</f>
        <v/>
      </c>
      <c r="L92" s="82" t="str">
        <f>IFERROR(LOOKUP(2,1/(('Match Log'!$D$4:$D$810=L$90)*('Match Log'!$C$4:$C$810=$A92)),'Match Log'!$AB$4:$AB$810),"")</f>
        <v/>
      </c>
      <c r="M92" s="82" t="str">
        <f>IFERROR(LOOKUP(2,1/(('Match Log'!$D$4:$D$810=M$90)*('Match Log'!$C$4:$C$810=$A92)),'Match Log'!$AB$4:$AB$810),"")</f>
        <v/>
      </c>
      <c r="N92" s="82" t="str">
        <f>IFERROR(LOOKUP(2,1/(('Match Log'!$D$4:$D$810=N$90)*('Match Log'!$C$4:$C$810=$A92)),'Match Log'!$AB$4:$AB$810),"")</f>
        <v/>
      </c>
      <c r="O92" s="82" t="str">
        <f>IFERROR(LOOKUP(2,1/(('Match Log'!$D$4:$D$810=O$90)*('Match Log'!$C$4:$C$810=$A92)),'Match Log'!$AB$4:$AB$810),"")</f>
        <v/>
      </c>
      <c r="P92" s="79" t="str">
        <f t="shared" si="24"/>
        <v>—</v>
      </c>
    </row>
    <row r="93" spans="1:19" ht="15" customHeight="1" x14ac:dyDescent="0.2">
      <c r="A93" s="76" t="s">
        <v>183</v>
      </c>
      <c r="B93" s="82">
        <f>IFERROR(LOOKUP(2,1/(('Match Log'!$D$4:$D$810=B$90)*('Match Log'!$C$4:$C$810=$A93)),'Match Log'!$AB$4:$AB$810),"")</f>
        <v>1074.1933125090914</v>
      </c>
      <c r="C93" s="82" t="str">
        <f>IFERROR(LOOKUP(2,1/(('Match Log'!$D$4:$D$810=C$90)*('Match Log'!$C$4:$C$810=$A93)),'Match Log'!$AB$4:$AB$810),"")</f>
        <v/>
      </c>
      <c r="D93" s="82">
        <f>IFERROR(LOOKUP(2,1/(('Match Log'!$D$4:$D$810=D$90)*('Match Log'!$C$4:$C$810=$A93)),'Match Log'!$AB$4:$AB$810),"")</f>
        <v>984.73630679352198</v>
      </c>
      <c r="E93" s="82" t="str">
        <f>IFERROR(LOOKUP(2,1/(('Match Log'!$D$4:$D$810=E$90)*('Match Log'!$C$4:$C$810=$A93)),'Match Log'!$AB$4:$AB$810),"")</f>
        <v/>
      </c>
      <c r="F93" s="82">
        <f>IFERROR(LOOKUP(2,1/(('Match Log'!$D$4:$D$810=F$90)*('Match Log'!$C$4:$C$810=$A93)),'Match Log'!$AB$4:$AB$810),"")</f>
        <v>984</v>
      </c>
      <c r="G93" s="82">
        <f>IFERROR(LOOKUP(2,1/(('Match Log'!$D$4:$D$810=G$90)*('Match Log'!$C$4:$C$810=$A93)),'Match Log'!$AB$4:$AB$810),"")</f>
        <v>974.00768231912002</v>
      </c>
      <c r="H93" s="82" t="str">
        <f>IFERROR(LOOKUP(2,1/(('Match Log'!$D$4:$D$810=H$90)*('Match Log'!$C$4:$C$810=$A93)),'Match Log'!$AB$4:$AB$810),"")</f>
        <v/>
      </c>
      <c r="I93" s="82">
        <f>IFERROR(LOOKUP(2,1/(('Match Log'!$D$4:$D$810=I$90)*('Match Log'!$C$4:$C$810=$A93)),'Match Log'!$AB$4:$AB$810),"")</f>
        <v>1000.2353336759772</v>
      </c>
      <c r="J93" s="82" t="str">
        <f>IFERROR(LOOKUP(2,1/(('Match Log'!$D$4:$D$810=J$90)*('Match Log'!$C$4:$C$810=$A93)),'Match Log'!$AB$4:$AB$810),"")</f>
        <v/>
      </c>
      <c r="K93" s="82" t="str">
        <f>IFERROR(LOOKUP(2,1/(('Match Log'!$D$4:$D$810=K$90)*('Match Log'!$C$4:$C$810=$A93)),'Match Log'!$AB$4:$AB$810),"")</f>
        <v/>
      </c>
      <c r="L93" s="82">
        <f>IFERROR(LOOKUP(2,1/(('Match Log'!$D$4:$D$810=L$90)*('Match Log'!$C$4:$C$810=$A93)),'Match Log'!$AB$4:$AB$810),"")</f>
        <v>982.82736470228917</v>
      </c>
      <c r="M93" s="82" t="str">
        <f>IFERROR(LOOKUP(2,1/(('Match Log'!$D$4:$D$810=M$90)*('Match Log'!$C$4:$C$810=$A93)),'Match Log'!$AB$4:$AB$810),"")</f>
        <v/>
      </c>
      <c r="N93" s="82" t="str">
        <f>IFERROR(LOOKUP(2,1/(('Match Log'!$D$4:$D$810=N$90)*('Match Log'!$C$4:$C$810=$A93)),'Match Log'!$AB$4:$AB$810),"")</f>
        <v/>
      </c>
      <c r="O93" s="82" t="str">
        <f>IFERROR(LOOKUP(2,1/(('Match Log'!$D$4:$D$810=O$90)*('Match Log'!$C$4:$C$810=$A93)),'Match Log'!$AB$4:$AB$810),"")</f>
        <v/>
      </c>
      <c r="P93" s="79" t="str">
        <f t="shared" si="24"/>
        <v>Aaron</v>
      </c>
    </row>
    <row r="94" spans="1:19" ht="15" customHeight="1" x14ac:dyDescent="0.2">
      <c r="A94" s="76" t="s">
        <v>184</v>
      </c>
      <c r="B94" s="82" t="str">
        <f>IFERROR(LOOKUP(2,1/(('Match Log'!$D$4:$D$810=B$90)*('Match Log'!$C$4:$C$810=$A94)),'Match Log'!$AB$4:$AB$810),"")</f>
        <v/>
      </c>
      <c r="C94" s="82" t="str">
        <f>IFERROR(LOOKUP(2,1/(('Match Log'!$D$4:$D$810=C$90)*('Match Log'!$C$4:$C$810=$A94)),'Match Log'!$AB$4:$AB$810),"")</f>
        <v/>
      </c>
      <c r="D94" s="82" t="str">
        <f>IFERROR(LOOKUP(2,1/(('Match Log'!$D$4:$D$810=D$90)*('Match Log'!$C$4:$C$810=$A94)),'Match Log'!$AB$4:$AB$810),"")</f>
        <v/>
      </c>
      <c r="E94" s="82" t="str">
        <f>IFERROR(LOOKUP(2,1/(('Match Log'!$D$4:$D$810=E$90)*('Match Log'!$C$4:$C$810=$A94)),'Match Log'!$AB$4:$AB$810),"")</f>
        <v/>
      </c>
      <c r="F94" s="82" t="str">
        <f>IFERROR(LOOKUP(2,1/(('Match Log'!$D$4:$D$810=F$90)*('Match Log'!$C$4:$C$810=$A94)),'Match Log'!$AB$4:$AB$810),"")</f>
        <v/>
      </c>
      <c r="G94" s="82" t="str">
        <f>IFERROR(LOOKUP(2,1/(('Match Log'!$D$4:$D$810=G$90)*('Match Log'!$C$4:$C$810=$A94)),'Match Log'!$AB$4:$AB$810),"")</f>
        <v/>
      </c>
      <c r="H94" s="82" t="str">
        <f>IFERROR(LOOKUP(2,1/(('Match Log'!$D$4:$D$810=H$90)*('Match Log'!$C$4:$C$810=$A94)),'Match Log'!$AB$4:$AB$810),"")</f>
        <v/>
      </c>
      <c r="I94" s="82" t="str">
        <f>IFERROR(LOOKUP(2,1/(('Match Log'!$D$4:$D$810=I$90)*('Match Log'!$C$4:$C$810=$A94)),'Match Log'!$AB$4:$AB$810),"")</f>
        <v/>
      </c>
      <c r="J94" s="82" t="str">
        <f>IFERROR(LOOKUP(2,1/(('Match Log'!$D$4:$D$810=J$90)*('Match Log'!$C$4:$C$810=$A94)),'Match Log'!$AB$4:$AB$810),"")</f>
        <v/>
      </c>
      <c r="K94" s="82" t="str">
        <f>IFERROR(LOOKUP(2,1/(('Match Log'!$D$4:$D$810=K$90)*('Match Log'!$C$4:$C$810=$A94)),'Match Log'!$AB$4:$AB$810),"")</f>
        <v/>
      </c>
      <c r="L94" s="82" t="str">
        <f>IFERROR(LOOKUP(2,1/(('Match Log'!$D$4:$D$810=L$90)*('Match Log'!$C$4:$C$810=$A94)),'Match Log'!$AB$4:$AB$810),"")</f>
        <v/>
      </c>
      <c r="M94" s="82" t="str">
        <f>IFERROR(LOOKUP(2,1/(('Match Log'!$D$4:$D$810=M$90)*('Match Log'!$C$4:$C$810=$A94)),'Match Log'!$AB$4:$AB$810),"")</f>
        <v/>
      </c>
      <c r="N94" s="82" t="str">
        <f>IFERROR(LOOKUP(2,1/(('Match Log'!$D$4:$D$810=N$90)*('Match Log'!$C$4:$C$810=$A94)),'Match Log'!$AB$4:$AB$810),"")</f>
        <v/>
      </c>
      <c r="O94" s="82" t="str">
        <f>IFERROR(LOOKUP(2,1/(('Match Log'!$D$4:$D$810=O$90)*('Match Log'!$C$4:$C$810=$A94)),'Match Log'!$AB$4:$AB$810),"")</f>
        <v/>
      </c>
      <c r="P94" s="79" t="str">
        <f t="shared" si="24"/>
        <v>—</v>
      </c>
    </row>
    <row r="95" spans="1:19" ht="15" customHeight="1" x14ac:dyDescent="0.2">
      <c r="A95" s="76" t="s">
        <v>185</v>
      </c>
      <c r="B95" s="82" t="str">
        <f>IFERROR(LOOKUP(2,1/(('Match Log'!$D$4:$D$810=B$90)*('Match Log'!$C$4:$C$810=$A95)),'Match Log'!$AB$4:$AB$810),"")</f>
        <v/>
      </c>
      <c r="C95" s="82">
        <f>IFERROR(LOOKUP(2,1/(('Match Log'!$D$4:$D$810=C$90)*('Match Log'!$C$4:$C$810=$A95)),'Match Log'!$AB$4:$AB$810),"")</f>
        <v>983.42320102843655</v>
      </c>
      <c r="D95" s="82" t="str">
        <f>IFERROR(LOOKUP(2,1/(('Match Log'!$D$4:$D$810=D$90)*('Match Log'!$C$4:$C$810=$A95)),'Match Log'!$AB$4:$AB$810),"")</f>
        <v/>
      </c>
      <c r="E95" s="82" t="str">
        <f>IFERROR(LOOKUP(2,1/(('Match Log'!$D$4:$D$810=E$90)*('Match Log'!$C$4:$C$810=$A95)),'Match Log'!$AB$4:$AB$810),"")</f>
        <v/>
      </c>
      <c r="F95" s="82" t="str">
        <f>IFERROR(LOOKUP(2,1/(('Match Log'!$D$4:$D$810=F$90)*('Match Log'!$C$4:$C$810=$A95)),'Match Log'!$AB$4:$AB$810),"")</f>
        <v/>
      </c>
      <c r="G95" s="82" t="str">
        <f>IFERROR(LOOKUP(2,1/(('Match Log'!$D$4:$D$810=G$90)*('Match Log'!$C$4:$C$810=$A95)),'Match Log'!$AB$4:$AB$810),"")</f>
        <v/>
      </c>
      <c r="H95" s="82">
        <f>IFERROR(LOOKUP(2,1/(('Match Log'!$D$4:$D$810=H$90)*('Match Log'!$C$4:$C$810=$A95)),'Match Log'!$AB$4:$AB$810),"")</f>
        <v>1030.1044213761372</v>
      </c>
      <c r="I95" s="82">
        <f>IFERROR(LOOKUP(2,1/(('Match Log'!$D$4:$D$810=I$90)*('Match Log'!$C$4:$C$810=$A95)),'Match Log'!$AB$4:$AB$810),"")</f>
        <v>996.17609348029987</v>
      </c>
      <c r="J95" s="82">
        <f>IFERROR(LOOKUP(2,1/(('Match Log'!$D$4:$D$810=J$90)*('Match Log'!$C$4:$C$810=$A95)),'Match Log'!$AB$4:$AB$810),"")</f>
        <v>1001.4492063389166</v>
      </c>
      <c r="K95" s="82">
        <f>IFERROR(LOOKUP(2,1/(('Match Log'!$D$4:$D$810=K$90)*('Match Log'!$C$4:$C$810=$A95)),'Match Log'!$AB$4:$AB$810),"")</f>
        <v>984.80073939960539</v>
      </c>
      <c r="L95" s="82">
        <f>IFERROR(LOOKUP(2,1/(('Match Log'!$D$4:$D$810=L$90)*('Match Log'!$C$4:$C$810=$A95)),'Match Log'!$AB$4:$AB$810),"")</f>
        <v>1004.0463383766044</v>
      </c>
      <c r="M95" s="82" t="str">
        <f>IFERROR(LOOKUP(2,1/(('Match Log'!$D$4:$D$810=M$90)*('Match Log'!$C$4:$C$810=$A95)),'Match Log'!$AB$4:$AB$810),"")</f>
        <v/>
      </c>
      <c r="N95" s="82" t="str">
        <f>IFERROR(LOOKUP(2,1/(('Match Log'!$D$4:$D$810=N$90)*('Match Log'!$C$4:$C$810=$A95)),'Match Log'!$AB$4:$AB$810),"")</f>
        <v/>
      </c>
      <c r="O95" s="82" t="str">
        <f>IFERROR(LOOKUP(2,1/(('Match Log'!$D$4:$D$810=O$90)*('Match Log'!$C$4:$C$810=$A95)),'Match Log'!$AB$4:$AB$810),"")</f>
        <v/>
      </c>
      <c r="P95" s="79" t="str">
        <f t="shared" si="24"/>
        <v>Simon</v>
      </c>
    </row>
    <row r="96" spans="1:19" ht="15" customHeight="1" x14ac:dyDescent="0.2">
      <c r="A96" s="76" t="s">
        <v>186</v>
      </c>
      <c r="B96" s="82">
        <f>IFERROR(LOOKUP(2,1/(('Match Log'!$D$4:$D$810=B$90)*('Match Log'!$C$4:$C$810=$A96)),'Match Log'!$AB$4:$AB$810),"")</f>
        <v>1016</v>
      </c>
      <c r="C96" s="82" t="str">
        <f>IFERROR(LOOKUP(2,1/(('Match Log'!$D$4:$D$810=C$90)*('Match Log'!$C$4:$C$810=$A96)),'Match Log'!$AB$4:$AB$810),"")</f>
        <v/>
      </c>
      <c r="D96" s="82">
        <f>IFERROR(LOOKUP(2,1/(('Match Log'!$D$4:$D$810=D$90)*('Match Log'!$C$4:$C$810=$A96)),'Match Log'!$AB$4:$AB$810),"")</f>
        <v>997.71428571428567</v>
      </c>
      <c r="E96" s="82">
        <f>IFERROR(LOOKUP(2,1/(('Match Log'!$D$4:$D$810=E$90)*('Match Log'!$C$4:$C$810=$A96)),'Match Log'!$AB$4:$AB$810),"")</f>
        <v>997.71428571428567</v>
      </c>
      <c r="F96" s="82">
        <f>IFERROR(LOOKUP(2,1/(('Match Log'!$D$4:$D$810=F$90)*('Match Log'!$C$4:$C$810=$A96)),'Match Log'!$AB$4:$AB$810),"")</f>
        <v>997.71428571428567</v>
      </c>
      <c r="G96" s="82">
        <f>IFERROR(LOOKUP(2,1/(('Match Log'!$D$4:$D$810=G$90)*('Match Log'!$C$4:$C$810=$A96)),'Match Log'!$AB$4:$AB$810),"")</f>
        <v>997.71428571428567</v>
      </c>
      <c r="H96" s="82">
        <f>IFERROR(LOOKUP(2,1/(('Match Log'!$D$4:$D$810=H$90)*('Match Log'!$C$4:$C$810=$A96)),'Match Log'!$AB$4:$AB$810),"")</f>
        <v>997.71428571428567</v>
      </c>
      <c r="I96" s="82">
        <f>IFERROR(LOOKUP(2,1/(('Match Log'!$D$4:$D$810=I$90)*('Match Log'!$C$4:$C$810=$A96)),'Match Log'!$AB$4:$AB$810),"")</f>
        <v>997.71428571428567</v>
      </c>
      <c r="J96" s="82" t="str">
        <f>IFERROR(LOOKUP(2,1/(('Match Log'!$D$4:$D$810=J$90)*('Match Log'!$C$4:$C$810=$A96)),'Match Log'!$AB$4:$AB$810),"")</f>
        <v/>
      </c>
      <c r="K96" s="82" t="str">
        <f>IFERROR(LOOKUP(2,1/(('Match Log'!$D$4:$D$810=K$90)*('Match Log'!$C$4:$C$810=$A96)),'Match Log'!$AB$4:$AB$810),"")</f>
        <v/>
      </c>
      <c r="L96" s="82">
        <f>IFERROR(LOOKUP(2,1/(('Match Log'!$D$4:$D$810=L$90)*('Match Log'!$C$4:$C$810=$A96)),'Match Log'!$AB$4:$AB$810),"")</f>
        <v>997.71428571428567</v>
      </c>
      <c r="M96" s="82" t="str">
        <f>IFERROR(LOOKUP(2,1/(('Match Log'!$D$4:$D$810=M$90)*('Match Log'!$C$4:$C$810=$A96)),'Match Log'!$AB$4:$AB$810),"")</f>
        <v/>
      </c>
      <c r="N96" s="82" t="str">
        <f>IFERROR(LOOKUP(2,1/(('Match Log'!$D$4:$D$810=N$90)*('Match Log'!$C$4:$C$810=$A96)),'Match Log'!$AB$4:$AB$810),"")</f>
        <v/>
      </c>
      <c r="O96" s="82" t="str">
        <f>IFERROR(LOOKUP(2,1/(('Match Log'!$D$4:$D$810=O$90)*('Match Log'!$C$4:$C$810=$A96)),'Match Log'!$AB$4:$AB$810),"")</f>
        <v/>
      </c>
      <c r="P96" s="79" t="str">
        <f t="shared" si="24"/>
        <v>Aaron</v>
      </c>
    </row>
    <row r="97" spans="1:16" ht="15" customHeight="1" x14ac:dyDescent="0.2">
      <c r="A97" s="76" t="s">
        <v>188</v>
      </c>
      <c r="B97" s="82" t="str">
        <f>IFERROR(LOOKUP(2,1/(('Match Log'!$D$4:$D$810=B$90)*('Match Log'!$C$4:$C$810=$A97)),'Match Log'!$AB$4:$AB$810),"")</f>
        <v/>
      </c>
      <c r="C97" s="82" t="str">
        <f>IFERROR(LOOKUP(2,1/(('Match Log'!$D$4:$D$810=C$90)*('Match Log'!$C$4:$C$810=$A97)),'Match Log'!$AB$4:$AB$810),"")</f>
        <v/>
      </c>
      <c r="D97" s="82" t="str">
        <f>IFERROR(LOOKUP(2,1/(('Match Log'!$D$4:$D$810=D$90)*('Match Log'!$C$4:$C$810=$A97)),'Match Log'!$AB$4:$AB$810),"")</f>
        <v/>
      </c>
      <c r="E97" s="82" t="str">
        <f>IFERROR(LOOKUP(2,1/(('Match Log'!$D$4:$D$810=E$90)*('Match Log'!$C$4:$C$810=$A97)),'Match Log'!$AB$4:$AB$810),"")</f>
        <v/>
      </c>
      <c r="F97" s="82" t="str">
        <f>IFERROR(LOOKUP(2,1/(('Match Log'!$D$4:$D$810=F$90)*('Match Log'!$C$4:$C$810=$A97)),'Match Log'!$AB$4:$AB$810),"")</f>
        <v/>
      </c>
      <c r="G97" s="82" t="str">
        <f>IFERROR(LOOKUP(2,1/(('Match Log'!$D$4:$D$810=G$90)*('Match Log'!$C$4:$C$810=$A97)),'Match Log'!$AB$4:$AB$810),"")</f>
        <v/>
      </c>
      <c r="H97" s="82" t="str">
        <f>IFERROR(LOOKUP(2,1/(('Match Log'!$D$4:$D$810=H$90)*('Match Log'!$C$4:$C$810=$A97)),'Match Log'!$AB$4:$AB$810),"")</f>
        <v/>
      </c>
      <c r="I97" s="82" t="str">
        <f>IFERROR(LOOKUP(2,1/(('Match Log'!$D$4:$D$810=I$90)*('Match Log'!$C$4:$C$810=$A97)),'Match Log'!$AB$4:$AB$810),"")</f>
        <v/>
      </c>
      <c r="J97" s="82" t="str">
        <f>IFERROR(LOOKUP(2,1/(('Match Log'!$D$4:$D$810=J$90)*('Match Log'!$C$4:$C$810=$A97)),'Match Log'!$AB$4:$AB$810),"")</f>
        <v/>
      </c>
      <c r="K97" s="82" t="str">
        <f>IFERROR(LOOKUP(2,1/(('Match Log'!$D$4:$D$810=K$90)*('Match Log'!$C$4:$C$810=$A97)),'Match Log'!$AB$4:$AB$810),"")</f>
        <v/>
      </c>
      <c r="L97" s="82" t="str">
        <f>IFERROR(LOOKUP(2,1/(('Match Log'!$D$4:$D$810=L$90)*('Match Log'!$C$4:$C$810=$A97)),'Match Log'!$AB$4:$AB$810),"")</f>
        <v/>
      </c>
      <c r="M97" s="82" t="str">
        <f>IFERROR(LOOKUP(2,1/(('Match Log'!$D$4:$D$810=M$90)*('Match Log'!$C$4:$C$810=$A97)),'Match Log'!$AB$4:$AB$810),"")</f>
        <v/>
      </c>
      <c r="N97" s="82" t="str">
        <f>IFERROR(LOOKUP(2,1/(('Match Log'!$D$4:$D$810=N$90)*('Match Log'!$C$4:$C$810=$A97)),'Match Log'!$AB$4:$AB$810),"")</f>
        <v/>
      </c>
      <c r="O97" s="82" t="str">
        <f>IFERROR(LOOKUP(2,1/(('Match Log'!$D$4:$D$810=O$90)*('Match Log'!$C$4:$C$810=$A97)),'Match Log'!$AB$4:$AB$810),"")</f>
        <v/>
      </c>
      <c r="P97" s="79" t="str">
        <f t="shared" si="24"/>
        <v>—</v>
      </c>
    </row>
    <row r="98" spans="1:16" ht="15" customHeight="1" x14ac:dyDescent="0.2">
      <c r="A98" s="76" t="s">
        <v>190</v>
      </c>
      <c r="B98" s="82" t="str">
        <f>IFERROR(LOOKUP(2,1/(('Match Log'!$D$4:$D$810=B$90)*('Match Log'!$C$4:$C$810=$A98)),'Match Log'!$AB$4:$AB$810),"")</f>
        <v/>
      </c>
      <c r="C98" s="82" t="str">
        <f>IFERROR(LOOKUP(2,1/(('Match Log'!$D$4:$D$810=C$90)*('Match Log'!$C$4:$C$810=$A98)),'Match Log'!$AB$4:$AB$810),"")</f>
        <v/>
      </c>
      <c r="D98" s="82" t="str">
        <f>IFERROR(LOOKUP(2,1/(('Match Log'!$D$4:$D$810=D$90)*('Match Log'!$C$4:$C$810=$A98)),'Match Log'!$AB$4:$AB$810),"")</f>
        <v/>
      </c>
      <c r="E98" s="82" t="str">
        <f>IFERROR(LOOKUP(2,1/(('Match Log'!$D$4:$D$810=E$90)*('Match Log'!$C$4:$C$810=$A98)),'Match Log'!$AB$4:$AB$810),"")</f>
        <v/>
      </c>
      <c r="F98" s="82" t="str">
        <f>IFERROR(LOOKUP(2,1/(('Match Log'!$D$4:$D$810=F$90)*('Match Log'!$C$4:$C$810=$A98)),'Match Log'!$AB$4:$AB$810),"")</f>
        <v/>
      </c>
      <c r="G98" s="82" t="str">
        <f>IFERROR(LOOKUP(2,1/(('Match Log'!$D$4:$D$810=G$90)*('Match Log'!$C$4:$C$810=$A98)),'Match Log'!$AB$4:$AB$810),"")</f>
        <v/>
      </c>
      <c r="H98" s="82" t="str">
        <f>IFERROR(LOOKUP(2,1/(('Match Log'!$D$4:$D$810=H$90)*('Match Log'!$C$4:$C$810=$A98)),'Match Log'!$AB$4:$AB$810),"")</f>
        <v/>
      </c>
      <c r="I98" s="82" t="str">
        <f>IFERROR(LOOKUP(2,1/(('Match Log'!$D$4:$D$810=I$90)*('Match Log'!$C$4:$C$810=$A98)),'Match Log'!$AB$4:$AB$810),"")</f>
        <v/>
      </c>
      <c r="J98" s="82" t="str">
        <f>IFERROR(LOOKUP(2,1/(('Match Log'!$D$4:$D$810=J$90)*('Match Log'!$C$4:$C$810=$A98)),'Match Log'!$AB$4:$AB$810),"")</f>
        <v/>
      </c>
      <c r="K98" s="82" t="str">
        <f>IFERROR(LOOKUP(2,1/(('Match Log'!$D$4:$D$810=K$90)*('Match Log'!$C$4:$C$810=$A98)),'Match Log'!$AB$4:$AB$810),"")</f>
        <v/>
      </c>
      <c r="L98" s="82" t="str">
        <f>IFERROR(LOOKUP(2,1/(('Match Log'!$D$4:$D$810=L$90)*('Match Log'!$C$4:$C$810=$A98)),'Match Log'!$AB$4:$AB$810),"")</f>
        <v/>
      </c>
      <c r="M98" s="82" t="str">
        <f>IFERROR(LOOKUP(2,1/(('Match Log'!$D$4:$D$810=M$90)*('Match Log'!$C$4:$C$810=$A98)),'Match Log'!$AB$4:$AB$810),"")</f>
        <v/>
      </c>
      <c r="N98" s="82" t="str">
        <f>IFERROR(LOOKUP(2,1/(('Match Log'!$D$4:$D$810=N$90)*('Match Log'!$C$4:$C$810=$A98)),'Match Log'!$AB$4:$AB$810),"")</f>
        <v/>
      </c>
      <c r="O98" s="82" t="str">
        <f>IFERROR(LOOKUP(2,1/(('Match Log'!$D$4:$D$810=O$90)*('Match Log'!$C$4:$C$810=$A98)),'Match Log'!$AB$4:$AB$810),"")</f>
        <v/>
      </c>
      <c r="P98" s="79" t="str">
        <f t="shared" si="24"/>
        <v>—</v>
      </c>
    </row>
    <row r="99" spans="1:16" ht="15" customHeight="1" x14ac:dyDescent="0.2">
      <c r="A99" s="76" t="s">
        <v>192</v>
      </c>
      <c r="B99" s="82">
        <f>IFERROR(LOOKUP(2,1/(('Match Log'!$D$4:$D$810=B$90)*('Match Log'!$C$4:$C$810=$A99)),'Match Log'!$AB$4:$AB$810),"")</f>
        <v>991.81582574051538</v>
      </c>
      <c r="C99" s="82" t="str">
        <f>IFERROR(LOOKUP(2,1/(('Match Log'!$D$4:$D$810=C$90)*('Match Log'!$C$4:$C$810=$A99)),'Match Log'!$AB$4:$AB$810),"")</f>
        <v/>
      </c>
      <c r="D99" s="82" t="str">
        <f>IFERROR(LOOKUP(2,1/(('Match Log'!$D$4:$D$810=D$90)*('Match Log'!$C$4:$C$810=$A99)),'Match Log'!$AB$4:$AB$810),"")</f>
        <v/>
      </c>
      <c r="E99" s="82">
        <f>IFERROR(LOOKUP(2,1/(('Match Log'!$D$4:$D$810=E$90)*('Match Log'!$C$4:$C$810=$A99)),'Match Log'!$AB$4:$AB$810),"")</f>
        <v>991.81582574051538</v>
      </c>
      <c r="F99" s="82">
        <f>IFERROR(LOOKUP(2,1/(('Match Log'!$D$4:$D$810=F$90)*('Match Log'!$C$4:$C$810=$A99)),'Match Log'!$AB$4:$AB$810),"")</f>
        <v>1016</v>
      </c>
      <c r="G99" s="82">
        <f>IFERROR(LOOKUP(2,1/(('Match Log'!$D$4:$D$810=G$90)*('Match Log'!$C$4:$C$810=$A99)),'Match Log'!$AB$4:$AB$810),"")</f>
        <v>1008.3683485189694</v>
      </c>
      <c r="H99" s="82" t="str">
        <f>IFERROR(LOOKUP(2,1/(('Match Log'!$D$4:$D$810=H$90)*('Match Log'!$C$4:$C$810=$A99)),'Match Log'!$AB$4:$AB$810),"")</f>
        <v/>
      </c>
      <c r="I99" s="82" t="str">
        <f>IFERROR(LOOKUP(2,1/(('Match Log'!$D$4:$D$810=I$90)*('Match Log'!$C$4:$C$810=$A99)),'Match Log'!$AB$4:$AB$810),"")</f>
        <v/>
      </c>
      <c r="J99" s="82" t="str">
        <f>IFERROR(LOOKUP(2,1/(('Match Log'!$D$4:$D$810=J$90)*('Match Log'!$C$4:$C$810=$A99)),'Match Log'!$AB$4:$AB$810),"")</f>
        <v/>
      </c>
      <c r="K99" s="82" t="str">
        <f>IFERROR(LOOKUP(2,1/(('Match Log'!$D$4:$D$810=K$90)*('Match Log'!$C$4:$C$810=$A99)),'Match Log'!$AB$4:$AB$810),"")</f>
        <v/>
      </c>
      <c r="L99" s="82">
        <f>IFERROR(LOOKUP(2,1/(('Match Log'!$D$4:$D$810=L$90)*('Match Log'!$C$4:$C$810=$A99)),'Match Log'!$AB$4:$AB$810),"")</f>
        <v>992</v>
      </c>
      <c r="M99" s="82" t="str">
        <f>IFERROR(LOOKUP(2,1/(('Match Log'!$D$4:$D$810=M$90)*('Match Log'!$C$4:$C$810=$A99)),'Match Log'!$AB$4:$AB$810),"")</f>
        <v/>
      </c>
      <c r="N99" s="82" t="str">
        <f>IFERROR(LOOKUP(2,1/(('Match Log'!$D$4:$D$810=N$90)*('Match Log'!$C$4:$C$810=$A99)),'Match Log'!$AB$4:$AB$810),"")</f>
        <v/>
      </c>
      <c r="O99" s="82" t="str">
        <f>IFERROR(LOOKUP(2,1/(('Match Log'!$D$4:$D$810=O$90)*('Match Log'!$C$4:$C$810=$A99)),'Match Log'!$AB$4:$AB$810),"")</f>
        <v/>
      </c>
      <c r="P99" s="79" t="str">
        <f t="shared" si="24"/>
        <v>Josh</v>
      </c>
    </row>
    <row r="100" spans="1:16" ht="15" customHeight="1" x14ac:dyDescent="0.2">
      <c r="A100" s="76" t="s">
        <v>193</v>
      </c>
      <c r="B100" s="82" t="str">
        <f>IFERROR(LOOKUP(2,1/(('Match Log'!$D$4:$D$810=B$90)*('Match Log'!$C$4:$C$810=$A100)),'Match Log'!$AB$4:$AB$810),"")</f>
        <v/>
      </c>
      <c r="C100" s="82" t="str">
        <f>IFERROR(LOOKUP(2,1/(('Match Log'!$D$4:$D$810=C$90)*('Match Log'!$C$4:$C$810=$A100)),'Match Log'!$AB$4:$AB$810),"")</f>
        <v/>
      </c>
      <c r="D100" s="82" t="str">
        <f>IFERROR(LOOKUP(2,1/(('Match Log'!$D$4:$D$810=D$90)*('Match Log'!$C$4:$C$810=$A100)),'Match Log'!$AB$4:$AB$810),"")</f>
        <v/>
      </c>
      <c r="E100" s="82" t="str">
        <f>IFERROR(LOOKUP(2,1/(('Match Log'!$D$4:$D$810=E$90)*('Match Log'!$C$4:$C$810=$A100)),'Match Log'!$AB$4:$AB$810),"")</f>
        <v/>
      </c>
      <c r="F100" s="82" t="str">
        <f>IFERROR(LOOKUP(2,1/(('Match Log'!$D$4:$D$810=F$90)*('Match Log'!$C$4:$C$810=$A100)),'Match Log'!$AB$4:$AB$810),"")</f>
        <v/>
      </c>
      <c r="G100" s="82" t="str">
        <f>IFERROR(LOOKUP(2,1/(('Match Log'!$D$4:$D$810=G$90)*('Match Log'!$C$4:$C$810=$A100)),'Match Log'!$AB$4:$AB$810),"")</f>
        <v/>
      </c>
      <c r="H100" s="82" t="str">
        <f>IFERROR(LOOKUP(2,1/(('Match Log'!$D$4:$D$810=H$90)*('Match Log'!$C$4:$C$810=$A100)),'Match Log'!$AB$4:$AB$810),"")</f>
        <v/>
      </c>
      <c r="I100" s="82" t="str">
        <f>IFERROR(LOOKUP(2,1/(('Match Log'!$D$4:$D$810=I$90)*('Match Log'!$C$4:$C$810=$A100)),'Match Log'!$AB$4:$AB$810),"")</f>
        <v/>
      </c>
      <c r="J100" s="82" t="str">
        <f>IFERROR(LOOKUP(2,1/(('Match Log'!$D$4:$D$810=J$90)*('Match Log'!$C$4:$C$810=$A100)),'Match Log'!$AB$4:$AB$810),"")</f>
        <v/>
      </c>
      <c r="K100" s="82" t="str">
        <f>IFERROR(LOOKUP(2,1/(('Match Log'!$D$4:$D$810=K$90)*('Match Log'!$C$4:$C$810=$A100)),'Match Log'!$AB$4:$AB$810),"")</f>
        <v/>
      </c>
      <c r="L100" s="82" t="str">
        <f>IFERROR(LOOKUP(2,1/(('Match Log'!$D$4:$D$810=L$90)*('Match Log'!$C$4:$C$810=$A100)),'Match Log'!$AB$4:$AB$810),"")</f>
        <v/>
      </c>
      <c r="M100" s="82" t="str">
        <f>IFERROR(LOOKUP(2,1/(('Match Log'!$D$4:$D$810=M$90)*('Match Log'!$C$4:$C$810=$A100)),'Match Log'!$AB$4:$AB$810),"")</f>
        <v/>
      </c>
      <c r="N100" s="82" t="str">
        <f>IFERROR(LOOKUP(2,1/(('Match Log'!$D$4:$D$810=N$90)*('Match Log'!$C$4:$C$810=$A100)),'Match Log'!$AB$4:$AB$810),"")</f>
        <v/>
      </c>
      <c r="O100" s="82" t="str">
        <f>IFERROR(LOOKUP(2,1/(('Match Log'!$D$4:$D$810=O$90)*('Match Log'!$C$4:$C$810=$A100)),'Match Log'!$AB$4:$AB$810),"")</f>
        <v/>
      </c>
      <c r="P100" s="79" t="str">
        <f t="shared" si="24"/>
        <v>—</v>
      </c>
    </row>
    <row r="101" spans="1:16" ht="15" customHeight="1" x14ac:dyDescent="0.2">
      <c r="A101" s="76" t="s">
        <v>194</v>
      </c>
      <c r="B101" s="82" t="str">
        <f>IFERROR(LOOKUP(2,1/(('Match Log'!$D$4:$D$810=B$90)*('Match Log'!$C$4:$C$810=$A101)),'Match Log'!$AB$4:$AB$810),"")</f>
        <v/>
      </c>
      <c r="C101" s="82" t="str">
        <f>IFERROR(LOOKUP(2,1/(('Match Log'!$D$4:$D$810=C$90)*('Match Log'!$C$4:$C$810=$A101)),'Match Log'!$AB$4:$AB$810),"")</f>
        <v/>
      </c>
      <c r="D101" s="82" t="str">
        <f>IFERROR(LOOKUP(2,1/(('Match Log'!$D$4:$D$810=D$90)*('Match Log'!$C$4:$C$810=$A101)),'Match Log'!$AB$4:$AB$810),"")</f>
        <v/>
      </c>
      <c r="E101" s="82" t="str">
        <f>IFERROR(LOOKUP(2,1/(('Match Log'!$D$4:$D$810=E$90)*('Match Log'!$C$4:$C$810=$A101)),'Match Log'!$AB$4:$AB$810),"")</f>
        <v/>
      </c>
      <c r="F101" s="82" t="str">
        <f>IFERROR(LOOKUP(2,1/(('Match Log'!$D$4:$D$810=F$90)*('Match Log'!$C$4:$C$810=$A101)),'Match Log'!$AB$4:$AB$810),"")</f>
        <v/>
      </c>
      <c r="G101" s="82" t="str">
        <f>IFERROR(LOOKUP(2,1/(('Match Log'!$D$4:$D$810=G$90)*('Match Log'!$C$4:$C$810=$A101)),'Match Log'!$AB$4:$AB$810),"")</f>
        <v/>
      </c>
      <c r="H101" s="82" t="str">
        <f>IFERROR(LOOKUP(2,1/(('Match Log'!$D$4:$D$810=H$90)*('Match Log'!$C$4:$C$810=$A101)),'Match Log'!$AB$4:$AB$810),"")</f>
        <v/>
      </c>
      <c r="I101" s="82" t="str">
        <f>IFERROR(LOOKUP(2,1/(('Match Log'!$D$4:$D$810=I$90)*('Match Log'!$C$4:$C$810=$A101)),'Match Log'!$AB$4:$AB$810),"")</f>
        <v/>
      </c>
      <c r="J101" s="82" t="str">
        <f>IFERROR(LOOKUP(2,1/(('Match Log'!$D$4:$D$810=J$90)*('Match Log'!$C$4:$C$810=$A101)),'Match Log'!$AB$4:$AB$810),"")</f>
        <v/>
      </c>
      <c r="K101" s="82" t="str">
        <f>IFERROR(LOOKUP(2,1/(('Match Log'!$D$4:$D$810=K$90)*('Match Log'!$C$4:$C$810=$A101)),'Match Log'!$AB$4:$AB$810),"")</f>
        <v/>
      </c>
      <c r="L101" s="82" t="str">
        <f>IFERROR(LOOKUP(2,1/(('Match Log'!$D$4:$D$810=L$90)*('Match Log'!$C$4:$C$810=$A101)),'Match Log'!$AB$4:$AB$810),"")</f>
        <v/>
      </c>
      <c r="M101" s="82" t="str">
        <f>IFERROR(LOOKUP(2,1/(('Match Log'!$D$4:$D$810=M$90)*('Match Log'!$C$4:$C$810=$A101)),'Match Log'!$AB$4:$AB$810),"")</f>
        <v/>
      </c>
      <c r="N101" s="82" t="str">
        <f>IFERROR(LOOKUP(2,1/(('Match Log'!$D$4:$D$810=N$90)*('Match Log'!$C$4:$C$810=$A101)),'Match Log'!$AB$4:$AB$810),"")</f>
        <v/>
      </c>
      <c r="O101" s="82" t="str">
        <f>IFERROR(LOOKUP(2,1/(('Match Log'!$D$4:$D$810=O$90)*('Match Log'!$C$4:$C$810=$A101)),'Match Log'!$AB$4:$AB$810),"")</f>
        <v/>
      </c>
      <c r="P101" s="79" t="str">
        <f t="shared" si="24"/>
        <v>—</v>
      </c>
    </row>
    <row r="102" spans="1:16" ht="15" customHeight="1" x14ac:dyDescent="0.2">
      <c r="A102" s="76" t="s">
        <v>195</v>
      </c>
      <c r="B102" s="82">
        <f>IFERROR(LOOKUP(2,1/(('Match Log'!$D$4:$D$810=B$90)*('Match Log'!$C$4:$C$810=$A102)),'Match Log'!$AB$4:$AB$810),"")</f>
        <v>998.78601149183976</v>
      </c>
      <c r="C102" s="82">
        <f>IFERROR(LOOKUP(2,1/(('Match Log'!$D$4:$D$810=C$90)*('Match Log'!$C$4:$C$810=$A102)),'Match Log'!$AB$4:$AB$810),"")</f>
        <v>984.84959931593869</v>
      </c>
      <c r="D102" s="82" t="str">
        <f>IFERROR(LOOKUP(2,1/(('Match Log'!$D$4:$D$810=D$90)*('Match Log'!$C$4:$C$810=$A102)),'Match Log'!$AB$4:$AB$810),"")</f>
        <v/>
      </c>
      <c r="E102" s="82">
        <f>IFERROR(LOOKUP(2,1/(('Match Log'!$D$4:$D$810=E$90)*('Match Log'!$C$4:$C$810=$A102)),'Match Log'!$AB$4:$AB$810),"")</f>
        <v>949.22600883289385</v>
      </c>
      <c r="F102" s="82">
        <f>IFERROR(LOOKUP(2,1/(('Match Log'!$D$4:$D$810=F$90)*('Match Log'!$C$4:$C$810=$A102)),'Match Log'!$AB$4:$AB$810),"")</f>
        <v>1109.0218511200758</v>
      </c>
      <c r="G102" s="82">
        <f>IFERROR(LOOKUP(2,1/(('Match Log'!$D$4:$D$810=G$90)*('Match Log'!$C$4:$C$810=$A102)),'Match Log'!$AB$4:$AB$810),"")</f>
        <v>1073.39235221687</v>
      </c>
      <c r="H102" s="82">
        <f>IFERROR(LOOKUP(2,1/(('Match Log'!$D$4:$D$810=H$90)*('Match Log'!$C$4:$C$810=$A102)),'Match Log'!$AB$4:$AB$810),"")</f>
        <v>952.64656852410087</v>
      </c>
      <c r="I102" s="82">
        <f>IFERROR(LOOKUP(2,1/(('Match Log'!$D$4:$D$810=I$90)*('Match Log'!$C$4:$C$810=$A102)),'Match Log'!$AB$4:$AB$810),"")</f>
        <v>941.80241083787075</v>
      </c>
      <c r="J102" s="82">
        <f>IFERROR(LOOKUP(2,1/(('Match Log'!$D$4:$D$810=J$90)*('Match Log'!$C$4:$C$810=$A102)),'Match Log'!$AB$4:$AB$810),"")</f>
        <v>1055.7052432790952</v>
      </c>
      <c r="K102" s="82">
        <f>IFERROR(LOOKUP(2,1/(('Match Log'!$D$4:$D$810=K$90)*('Match Log'!$C$4:$C$810=$A102)),'Match Log'!$AB$4:$AB$810),"")</f>
        <v>930.59858869041068</v>
      </c>
      <c r="L102" s="82">
        <f>IFERROR(LOOKUP(2,1/(('Match Log'!$D$4:$D$810=L$90)*('Match Log'!$C$4:$C$810=$A102)),'Match Log'!$AB$4:$AB$810),"")</f>
        <v>1003.9713656909046</v>
      </c>
      <c r="M102" s="82" t="str">
        <f>IFERROR(LOOKUP(2,1/(('Match Log'!$D$4:$D$810=M$90)*('Match Log'!$C$4:$C$810=$A102)),'Match Log'!$AB$4:$AB$810),"")</f>
        <v/>
      </c>
      <c r="N102" s="82" t="str">
        <f>IFERROR(LOOKUP(2,1/(('Match Log'!$D$4:$D$810=N$90)*('Match Log'!$C$4:$C$810=$A102)),'Match Log'!$AB$4:$AB$810),"")</f>
        <v/>
      </c>
      <c r="O102" s="82" t="str">
        <f>IFERROR(LOOKUP(2,1/(('Match Log'!$D$4:$D$810=O$90)*('Match Log'!$C$4:$C$810=$A102)),'Match Log'!$AB$4:$AB$810),"")</f>
        <v/>
      </c>
      <c r="P102" s="79" t="str">
        <f t="shared" si="24"/>
        <v>Josh</v>
      </c>
    </row>
    <row r="103" spans="1:16" ht="15" customHeight="1" x14ac:dyDescent="0.2">
      <c r="A103" s="76" t="s">
        <v>197</v>
      </c>
      <c r="B103" s="82">
        <f>IFERROR(LOOKUP(2,1/(('Match Log'!$D$4:$D$810=B$90)*('Match Log'!$C$4:$C$810=$A103)),'Match Log'!$AB$4:$AB$810),"")</f>
        <v>1014.4258934061545</v>
      </c>
      <c r="C103" s="82" t="str">
        <f>IFERROR(LOOKUP(2,1/(('Match Log'!$D$4:$D$810=C$90)*('Match Log'!$C$4:$C$810=$A103)),'Match Log'!$AB$4:$AB$810),"")</f>
        <v/>
      </c>
      <c r="D103" s="82" t="str">
        <f>IFERROR(LOOKUP(2,1/(('Match Log'!$D$4:$D$810=D$90)*('Match Log'!$C$4:$C$810=$A103)),'Match Log'!$AB$4:$AB$810),"")</f>
        <v/>
      </c>
      <c r="E103" s="82" t="str">
        <f>IFERROR(LOOKUP(2,1/(('Match Log'!$D$4:$D$810=E$90)*('Match Log'!$C$4:$C$810=$A103)),'Match Log'!$AB$4:$AB$810),"")</f>
        <v/>
      </c>
      <c r="F103" s="82">
        <f>IFERROR(LOOKUP(2,1/(('Match Log'!$D$4:$D$810=F$90)*('Match Log'!$C$4:$C$810=$A103)),'Match Log'!$AB$4:$AB$810),"")</f>
        <v>985.41909823644232</v>
      </c>
      <c r="G103" s="82">
        <f>IFERROR(LOOKUP(2,1/(('Match Log'!$D$4:$D$810=G$90)*('Match Log'!$C$4:$C$810=$A103)),'Match Log'!$AB$4:$AB$810),"")</f>
        <v>948.96790333240949</v>
      </c>
      <c r="H103" s="82" t="str">
        <f>IFERROR(LOOKUP(2,1/(('Match Log'!$D$4:$D$810=H$90)*('Match Log'!$C$4:$C$810=$A103)),'Match Log'!$AB$4:$AB$810),"")</f>
        <v/>
      </c>
      <c r="I103" s="82">
        <f>IFERROR(LOOKUP(2,1/(('Match Log'!$D$4:$D$810=I$90)*('Match Log'!$C$4:$C$810=$A103)),'Match Log'!$AB$4:$AB$810),"")</f>
        <v>1050.6407052513002</v>
      </c>
      <c r="J103" s="82" t="str">
        <f>IFERROR(LOOKUP(2,1/(('Match Log'!$D$4:$D$810=J$90)*('Match Log'!$C$4:$C$810=$A103)),'Match Log'!$AB$4:$AB$810),"")</f>
        <v/>
      </c>
      <c r="K103" s="82" t="str">
        <f>IFERROR(LOOKUP(2,1/(('Match Log'!$D$4:$D$810=K$90)*('Match Log'!$C$4:$C$810=$A103)),'Match Log'!$AB$4:$AB$810),"")</f>
        <v/>
      </c>
      <c r="L103" s="82">
        <f>IFERROR(LOOKUP(2,1/(('Match Log'!$D$4:$D$810=L$90)*('Match Log'!$C$4:$C$810=$A103)),'Match Log'!$AB$4:$AB$810),"")</f>
        <v>1000.5463997736937</v>
      </c>
      <c r="M103" s="82" t="str">
        <f>IFERROR(LOOKUP(2,1/(('Match Log'!$D$4:$D$810=M$90)*('Match Log'!$C$4:$C$810=$A103)),'Match Log'!$AB$4:$AB$810),"")</f>
        <v/>
      </c>
      <c r="N103" s="82" t="str">
        <f>IFERROR(LOOKUP(2,1/(('Match Log'!$D$4:$D$810=N$90)*('Match Log'!$C$4:$C$810=$A103)),'Match Log'!$AB$4:$AB$810),"")</f>
        <v/>
      </c>
      <c r="O103" s="82" t="str">
        <f>IFERROR(LOOKUP(2,1/(('Match Log'!$D$4:$D$810=O$90)*('Match Log'!$C$4:$C$810=$A103)),'Match Log'!$AB$4:$AB$810),"")</f>
        <v/>
      </c>
      <c r="P103" s="79" t="str">
        <f t="shared" si="24"/>
        <v>Daniel (Ferret)</v>
      </c>
    </row>
    <row r="104" spans="1:16" ht="15" customHeight="1" x14ac:dyDescent="0.2">
      <c r="A104" s="76" t="s">
        <v>199</v>
      </c>
      <c r="B104" s="82">
        <f>IFERROR(LOOKUP(2,1/(('Match Log'!$D$4:$D$810=B$90)*('Match Log'!$C$4:$C$810=$A104)),'Match Log'!$AB$4:$AB$810),"")</f>
        <v>1041.6585373017128</v>
      </c>
      <c r="C104" s="82" t="str">
        <f>IFERROR(LOOKUP(2,1/(('Match Log'!$D$4:$D$810=C$90)*('Match Log'!$C$4:$C$810=$A104)),'Match Log'!$AB$4:$AB$810),"")</f>
        <v/>
      </c>
      <c r="D104" s="82">
        <f>IFERROR(LOOKUP(2,1/(('Match Log'!$D$4:$D$810=D$90)*('Match Log'!$C$4:$C$810=$A104)),'Match Log'!$AB$4:$AB$810),"")</f>
        <v>1055.8009426289977</v>
      </c>
      <c r="E104" s="82" t="str">
        <f>IFERROR(LOOKUP(2,1/(('Match Log'!$D$4:$D$810=E$90)*('Match Log'!$C$4:$C$810=$A104)),'Match Log'!$AB$4:$AB$810),"")</f>
        <v/>
      </c>
      <c r="F104" s="82" t="str">
        <f>IFERROR(LOOKUP(2,1/(('Match Log'!$D$4:$D$810=F$90)*('Match Log'!$C$4:$C$810=$A104)),'Match Log'!$AB$4:$AB$810),"")</f>
        <v/>
      </c>
      <c r="G104" s="82">
        <f>IFERROR(LOOKUP(2,1/(('Match Log'!$D$4:$D$810=G$90)*('Match Log'!$C$4:$C$810=$A104)),'Match Log'!$AB$4:$AB$810),"")</f>
        <v>904.65647514018167</v>
      </c>
      <c r="H104" s="82" t="str">
        <f>IFERROR(LOOKUP(2,1/(('Match Log'!$D$4:$D$810=H$90)*('Match Log'!$C$4:$C$810=$A104)),'Match Log'!$AB$4:$AB$810),"")</f>
        <v/>
      </c>
      <c r="I104" s="82">
        <f>IFERROR(LOOKUP(2,1/(('Match Log'!$D$4:$D$810=I$90)*('Match Log'!$C$4:$C$810=$A104)),'Match Log'!$AB$4:$AB$810),"")</f>
        <v>962.91641343501885</v>
      </c>
      <c r="J104" s="82" t="str">
        <f>IFERROR(LOOKUP(2,1/(('Match Log'!$D$4:$D$810=J$90)*('Match Log'!$C$4:$C$810=$A104)),'Match Log'!$AB$4:$AB$810),"")</f>
        <v/>
      </c>
      <c r="K104" s="82" t="str">
        <f>IFERROR(LOOKUP(2,1/(('Match Log'!$D$4:$D$810=K$90)*('Match Log'!$C$4:$C$810=$A104)),'Match Log'!$AB$4:$AB$810),"")</f>
        <v/>
      </c>
      <c r="L104" s="82">
        <f>IFERROR(LOOKUP(2,1/(('Match Log'!$D$4:$D$810=L$90)*('Match Log'!$C$4:$C$810=$A104)),'Match Log'!$AB$4:$AB$810),"")</f>
        <v>1034.9676314940889</v>
      </c>
      <c r="M104" s="82" t="str">
        <f>IFERROR(LOOKUP(2,1/(('Match Log'!$D$4:$D$810=M$90)*('Match Log'!$C$4:$C$810=$A104)),'Match Log'!$AB$4:$AB$810),"")</f>
        <v/>
      </c>
      <c r="N104" s="82" t="str">
        <f>IFERROR(LOOKUP(2,1/(('Match Log'!$D$4:$D$810=N$90)*('Match Log'!$C$4:$C$810=$A104)),'Match Log'!$AB$4:$AB$810),"")</f>
        <v/>
      </c>
      <c r="O104" s="82" t="str">
        <f>IFERROR(LOOKUP(2,1/(('Match Log'!$D$4:$D$810=O$90)*('Match Log'!$C$4:$C$810=$A104)),'Match Log'!$AB$4:$AB$810),"")</f>
        <v/>
      </c>
      <c r="P104" s="79" t="str">
        <f t="shared" si="24"/>
        <v>Chase</v>
      </c>
    </row>
    <row r="105" spans="1:16" ht="15" customHeight="1" x14ac:dyDescent="0.2">
      <c r="A105" s="76" t="s">
        <v>201</v>
      </c>
      <c r="B105" s="82" t="str">
        <f>IFERROR(LOOKUP(2,1/(('Match Log'!$D$4:$D$810=B$90)*('Match Log'!$C$4:$C$810=$A105)),'Match Log'!$AB$4:$AB$810),"")</f>
        <v/>
      </c>
      <c r="C105" s="82" t="str">
        <f>IFERROR(LOOKUP(2,1/(('Match Log'!$D$4:$D$810=C$90)*('Match Log'!$C$4:$C$810=$A105)),'Match Log'!$AB$4:$AB$810),"")</f>
        <v/>
      </c>
      <c r="D105" s="82" t="str">
        <f>IFERROR(LOOKUP(2,1/(('Match Log'!$D$4:$D$810=D$90)*('Match Log'!$C$4:$C$810=$A105)),'Match Log'!$AB$4:$AB$810),"")</f>
        <v/>
      </c>
      <c r="E105" s="82" t="str">
        <f>IFERROR(LOOKUP(2,1/(('Match Log'!$D$4:$D$810=E$90)*('Match Log'!$C$4:$C$810=$A105)),'Match Log'!$AB$4:$AB$810),"")</f>
        <v/>
      </c>
      <c r="F105" s="82" t="str">
        <f>IFERROR(LOOKUP(2,1/(('Match Log'!$D$4:$D$810=F$90)*('Match Log'!$C$4:$C$810=$A105)),'Match Log'!$AB$4:$AB$810),"")</f>
        <v/>
      </c>
      <c r="G105" s="82" t="str">
        <f>IFERROR(LOOKUP(2,1/(('Match Log'!$D$4:$D$810=G$90)*('Match Log'!$C$4:$C$810=$A105)),'Match Log'!$AB$4:$AB$810),"")</f>
        <v/>
      </c>
      <c r="H105" s="82" t="str">
        <f>IFERROR(LOOKUP(2,1/(('Match Log'!$D$4:$D$810=H$90)*('Match Log'!$C$4:$C$810=$A105)),'Match Log'!$AB$4:$AB$810),"")</f>
        <v/>
      </c>
      <c r="I105" s="82" t="str">
        <f>IFERROR(LOOKUP(2,1/(('Match Log'!$D$4:$D$810=I$90)*('Match Log'!$C$4:$C$810=$A105)),'Match Log'!$AB$4:$AB$810),"")</f>
        <v/>
      </c>
      <c r="J105" s="82" t="str">
        <f>IFERROR(LOOKUP(2,1/(('Match Log'!$D$4:$D$810=J$90)*('Match Log'!$C$4:$C$810=$A105)),'Match Log'!$AB$4:$AB$810),"")</f>
        <v/>
      </c>
      <c r="K105" s="82" t="str">
        <f>IFERROR(LOOKUP(2,1/(('Match Log'!$D$4:$D$810=K$90)*('Match Log'!$C$4:$C$810=$A105)),'Match Log'!$AB$4:$AB$810),"")</f>
        <v/>
      </c>
      <c r="L105" s="82" t="str">
        <f>IFERROR(LOOKUP(2,1/(('Match Log'!$D$4:$D$810=L$90)*('Match Log'!$C$4:$C$810=$A105)),'Match Log'!$AB$4:$AB$810),"")</f>
        <v/>
      </c>
      <c r="M105" s="82" t="str">
        <f>IFERROR(LOOKUP(2,1/(('Match Log'!$D$4:$D$810=M$90)*('Match Log'!$C$4:$C$810=$A105)),'Match Log'!$AB$4:$AB$810),"")</f>
        <v/>
      </c>
      <c r="N105" s="82" t="str">
        <f>IFERROR(LOOKUP(2,1/(('Match Log'!$D$4:$D$810=N$90)*('Match Log'!$C$4:$C$810=$A105)),'Match Log'!$AB$4:$AB$810),"")</f>
        <v/>
      </c>
      <c r="O105" s="82" t="str">
        <f>IFERROR(LOOKUP(2,1/(('Match Log'!$D$4:$D$810=O$90)*('Match Log'!$C$4:$C$810=$A105)),'Match Log'!$AB$4:$AB$810),"")</f>
        <v/>
      </c>
      <c r="P105" s="79" t="str">
        <f t="shared" si="24"/>
        <v>—</v>
      </c>
    </row>
    <row r="106" spans="1:16" ht="15" customHeight="1" x14ac:dyDescent="0.2">
      <c r="A106" s="76" t="s">
        <v>203</v>
      </c>
      <c r="B106" s="82">
        <f>IFERROR(LOOKUP(2,1/(('Match Log'!$D$4:$D$810=B$90)*('Match Log'!$C$4:$C$810=$A106)),'Match Log'!$AB$4:$AB$810),"")</f>
        <v>1000.0339081301692</v>
      </c>
      <c r="C106" s="82" t="str">
        <f>IFERROR(LOOKUP(2,1/(('Match Log'!$D$4:$D$810=C$90)*('Match Log'!$C$4:$C$810=$A106)),'Match Log'!$AB$4:$AB$810),"")</f>
        <v/>
      </c>
      <c r="D106" s="82">
        <f>IFERROR(LOOKUP(2,1/(('Match Log'!$D$4:$D$810=D$90)*('Match Log'!$C$4:$C$810=$A106)),'Match Log'!$AB$4:$AB$810),"")</f>
        <v>968.70239866335282</v>
      </c>
      <c r="E106" s="82" t="str">
        <f>IFERROR(LOOKUP(2,1/(('Match Log'!$D$4:$D$810=E$90)*('Match Log'!$C$4:$C$810=$A106)),'Match Log'!$AB$4:$AB$810),"")</f>
        <v/>
      </c>
      <c r="F106" s="82" t="str">
        <f>IFERROR(LOOKUP(2,1/(('Match Log'!$D$4:$D$810=F$90)*('Match Log'!$C$4:$C$810=$A106)),'Match Log'!$AB$4:$AB$810),"")</f>
        <v/>
      </c>
      <c r="G106" s="82" t="str">
        <f>IFERROR(LOOKUP(2,1/(('Match Log'!$D$4:$D$810=G$90)*('Match Log'!$C$4:$C$810=$A106)),'Match Log'!$AB$4:$AB$810),"")</f>
        <v/>
      </c>
      <c r="H106" s="82" t="str">
        <f>IFERROR(LOOKUP(2,1/(('Match Log'!$D$4:$D$810=H$90)*('Match Log'!$C$4:$C$810=$A106)),'Match Log'!$AB$4:$AB$810),"")</f>
        <v/>
      </c>
      <c r="I106" s="82">
        <f>IFERROR(LOOKUP(2,1/(('Match Log'!$D$4:$D$810=I$90)*('Match Log'!$C$4:$C$810=$A106)),'Match Log'!$AB$4:$AB$810),"")</f>
        <v>1031.2636932064779</v>
      </c>
      <c r="J106" s="82" t="str">
        <f>IFERROR(LOOKUP(2,1/(('Match Log'!$D$4:$D$810=J$90)*('Match Log'!$C$4:$C$810=$A106)),'Match Log'!$AB$4:$AB$810),"")</f>
        <v/>
      </c>
      <c r="K106" s="82" t="str">
        <f>IFERROR(LOOKUP(2,1/(('Match Log'!$D$4:$D$810=K$90)*('Match Log'!$C$4:$C$810=$A106)),'Match Log'!$AB$4:$AB$810),"")</f>
        <v/>
      </c>
      <c r="L106" s="82" t="str">
        <f>IFERROR(LOOKUP(2,1/(('Match Log'!$D$4:$D$810=L$90)*('Match Log'!$C$4:$C$810=$A106)),'Match Log'!$AB$4:$AB$810),"")</f>
        <v/>
      </c>
      <c r="M106" s="82" t="str">
        <f>IFERROR(LOOKUP(2,1/(('Match Log'!$D$4:$D$810=M$90)*('Match Log'!$C$4:$C$810=$A106)),'Match Log'!$AB$4:$AB$810),"")</f>
        <v/>
      </c>
      <c r="N106" s="82" t="str">
        <f>IFERROR(LOOKUP(2,1/(('Match Log'!$D$4:$D$810=N$90)*('Match Log'!$C$4:$C$810=$A106)),'Match Log'!$AB$4:$AB$810),"")</f>
        <v/>
      </c>
      <c r="O106" s="82" t="str">
        <f>IFERROR(LOOKUP(2,1/(('Match Log'!$D$4:$D$810=O$90)*('Match Log'!$C$4:$C$810=$A106)),'Match Log'!$AB$4:$AB$810),"")</f>
        <v/>
      </c>
      <c r="P106" s="79" t="str">
        <f t="shared" si="24"/>
        <v>Daniel (Ferret)</v>
      </c>
    </row>
    <row r="107" spans="1:16" ht="15" customHeight="1" x14ac:dyDescent="0.2">
      <c r="A107" s="76" t="s">
        <v>204</v>
      </c>
      <c r="B107" s="82" t="str">
        <f>IFERROR(LOOKUP(2,1/(('Match Log'!$D$4:$D$810=B$90)*('Match Log'!$C$4:$C$810=$A107)),'Match Log'!$AB$4:$AB$810),"")</f>
        <v/>
      </c>
      <c r="C107" s="82" t="str">
        <f>IFERROR(LOOKUP(2,1/(('Match Log'!$D$4:$D$810=C$90)*('Match Log'!$C$4:$C$810=$A107)),'Match Log'!$AB$4:$AB$810),"")</f>
        <v/>
      </c>
      <c r="D107" s="82">
        <f>IFERROR(LOOKUP(2,1/(('Match Log'!$D$4:$D$810=D$90)*('Match Log'!$C$4:$C$810=$A107)),'Match Log'!$AB$4:$AB$810),"")</f>
        <v>992</v>
      </c>
      <c r="E107" s="82" t="str">
        <f>IFERROR(LOOKUP(2,1/(('Match Log'!$D$4:$D$810=E$90)*('Match Log'!$C$4:$C$810=$A107)),'Match Log'!$AB$4:$AB$810),"")</f>
        <v/>
      </c>
      <c r="F107" s="82">
        <f>IFERROR(LOOKUP(2,1/(('Match Log'!$D$4:$D$810=F$90)*('Match Log'!$C$4:$C$810=$A107)),'Match Log'!$AB$4:$AB$810),"")</f>
        <v>1016</v>
      </c>
      <c r="G107" s="82" t="str">
        <f>IFERROR(LOOKUP(2,1/(('Match Log'!$D$4:$D$810=G$90)*('Match Log'!$C$4:$C$810=$A107)),'Match Log'!$AB$4:$AB$810),"")</f>
        <v/>
      </c>
      <c r="H107" s="82" t="str">
        <f>IFERROR(LOOKUP(2,1/(('Match Log'!$D$4:$D$810=H$90)*('Match Log'!$C$4:$C$810=$A107)),'Match Log'!$AB$4:$AB$810),"")</f>
        <v/>
      </c>
      <c r="I107" s="82">
        <f>IFERROR(LOOKUP(2,1/(('Match Log'!$D$4:$D$810=I$90)*('Match Log'!$C$4:$C$810=$A107)),'Match Log'!$AB$4:$AB$810),"")</f>
        <v>992</v>
      </c>
      <c r="J107" s="82" t="str">
        <f>IFERROR(LOOKUP(2,1/(('Match Log'!$D$4:$D$810=J$90)*('Match Log'!$C$4:$C$810=$A107)),'Match Log'!$AB$4:$AB$810),"")</f>
        <v/>
      </c>
      <c r="K107" s="82" t="str">
        <f>IFERROR(LOOKUP(2,1/(('Match Log'!$D$4:$D$810=K$90)*('Match Log'!$C$4:$C$810=$A107)),'Match Log'!$AB$4:$AB$810),"")</f>
        <v/>
      </c>
      <c r="L107" s="82" t="str">
        <f>IFERROR(LOOKUP(2,1/(('Match Log'!$D$4:$D$810=L$90)*('Match Log'!$C$4:$C$810=$A107)),'Match Log'!$AB$4:$AB$810),"")</f>
        <v/>
      </c>
      <c r="M107" s="82" t="str">
        <f>IFERROR(LOOKUP(2,1/(('Match Log'!$D$4:$D$810=M$90)*('Match Log'!$C$4:$C$810=$A107)),'Match Log'!$AB$4:$AB$810),"")</f>
        <v/>
      </c>
      <c r="N107" s="82" t="str">
        <f>IFERROR(LOOKUP(2,1/(('Match Log'!$D$4:$D$810=N$90)*('Match Log'!$C$4:$C$810=$A107)),'Match Log'!$AB$4:$AB$810),"")</f>
        <v/>
      </c>
      <c r="O107" s="82" t="str">
        <f>IFERROR(LOOKUP(2,1/(('Match Log'!$D$4:$D$810=O$90)*('Match Log'!$C$4:$C$810=$A107)),'Match Log'!$AB$4:$AB$810),"")</f>
        <v/>
      </c>
      <c r="P107" s="79" t="str">
        <f t="shared" si="24"/>
        <v>Josh</v>
      </c>
    </row>
    <row r="108" spans="1:16" ht="15" customHeight="1" x14ac:dyDescent="0.2">
      <c r="A108" s="76" t="s">
        <v>206</v>
      </c>
      <c r="B108" s="82">
        <f>IFERROR(LOOKUP(2,1/(('Match Log'!$D$4:$D$810=B$90)*('Match Log'!$C$4:$C$810=$A108)),'Match Log'!$AB$4:$AB$810),"")</f>
        <v>965.94883287862285</v>
      </c>
      <c r="C108" s="82">
        <f>IFERROR(LOOKUP(2,1/(('Match Log'!$D$4:$D$810=C$90)*('Match Log'!$C$4:$C$810=$A108)),'Match Log'!$AB$4:$AB$810),"")</f>
        <v>1021.3645876209866</v>
      </c>
      <c r="D108" s="82">
        <f>IFERROR(LOOKUP(2,1/(('Match Log'!$D$4:$D$810=D$90)*('Match Log'!$C$4:$C$810=$A108)),'Match Log'!$AB$4:$AB$810),"")</f>
        <v>1015.263693206478</v>
      </c>
      <c r="E108" s="82">
        <f>IFERROR(LOOKUP(2,1/(('Match Log'!$D$4:$D$810=E$90)*('Match Log'!$C$4:$C$810=$A108)),'Match Log'!$AB$4:$AB$810),"")</f>
        <v>995.72748489903177</v>
      </c>
      <c r="F108" s="82">
        <f>IFERROR(LOOKUP(2,1/(('Match Log'!$D$4:$D$810=F$90)*('Match Log'!$C$4:$C$810=$A108)),'Match Log'!$AB$4:$AB$810),"")</f>
        <v>980.52721563547436</v>
      </c>
      <c r="G108" s="82">
        <f>IFERROR(LOOKUP(2,1/(('Match Log'!$D$4:$D$810=G$90)*('Match Log'!$C$4:$C$810=$A108)),'Match Log'!$AB$4:$AB$810),"")</f>
        <v>994.87575697010811</v>
      </c>
      <c r="H108" s="82">
        <f>IFERROR(LOOKUP(2,1/(('Match Log'!$D$4:$D$810=H$90)*('Match Log'!$C$4:$C$810=$A108)),'Match Log'!$AB$4:$AB$810),"")</f>
        <v>1060.1693378874229</v>
      </c>
      <c r="I108" s="82">
        <f>IFERROR(LOOKUP(2,1/(('Match Log'!$D$4:$D$810=I$90)*('Match Log'!$C$4:$C$810=$A108)),'Match Log'!$AB$4:$AB$810),"")</f>
        <v>993.32139176969508</v>
      </c>
      <c r="J108" s="82">
        <f>IFERROR(LOOKUP(2,1/(('Match Log'!$D$4:$D$810=J$90)*('Match Log'!$C$4:$C$810=$A108)),'Match Log'!$AB$4:$AB$810),"")</f>
        <v>1039.1570131462133</v>
      </c>
      <c r="K108" s="82">
        <f>IFERROR(LOOKUP(2,1/(('Match Log'!$D$4:$D$810=K$90)*('Match Log'!$C$4:$C$810=$A108)),'Match Log'!$AB$4:$AB$810),"")</f>
        <v>977.68101586373621</v>
      </c>
      <c r="L108" s="82">
        <f>IFERROR(LOOKUP(2,1/(('Match Log'!$D$4:$D$810=L$90)*('Match Log'!$C$4:$C$810=$A108)),'Match Log'!$AB$4:$AB$810),"")</f>
        <v>959.92547606336859</v>
      </c>
      <c r="M108" s="82">
        <f>IFERROR(LOOKUP(2,1/(('Match Log'!$D$4:$D$810=M$90)*('Match Log'!$C$4:$C$810=$A108)),'Match Log'!$AB$4:$AB$810),"")</f>
        <v>995.72748489903177</v>
      </c>
      <c r="N108" s="82">
        <f>IFERROR(LOOKUP(2,1/(('Match Log'!$D$4:$D$810=N$90)*('Match Log'!$C$4:$C$810=$A108)),'Match Log'!$AB$4:$AB$810),"")</f>
        <v>1000.3107091598305</v>
      </c>
      <c r="O108" s="82" t="str">
        <f>IFERROR(LOOKUP(2,1/(('Match Log'!$D$4:$D$810=O$90)*('Match Log'!$C$4:$C$810=$A108)),'Match Log'!$AB$4:$AB$810),"")</f>
        <v/>
      </c>
      <c r="P108" s="79" t="str">
        <f t="shared" si="24"/>
        <v>Simon</v>
      </c>
    </row>
    <row r="109" spans="1:16" ht="15" customHeight="1" x14ac:dyDescent="0.2">
      <c r="A109" s="76" t="s">
        <v>208</v>
      </c>
      <c r="B109" s="82">
        <f>IFERROR(LOOKUP(2,1/(('Match Log'!$D$4:$D$810=B$90)*('Match Log'!$C$4:$C$810=$A109)),'Match Log'!$AB$4:$AB$810),"")</f>
        <v>969.77346597147539</v>
      </c>
      <c r="C109" s="82" t="str">
        <f>IFERROR(LOOKUP(2,1/(('Match Log'!$D$4:$D$810=C$90)*('Match Log'!$C$4:$C$810=$A109)),'Match Log'!$AB$4:$AB$810),"")</f>
        <v/>
      </c>
      <c r="D109" s="82" t="str">
        <f>IFERROR(LOOKUP(2,1/(('Match Log'!$D$4:$D$810=D$90)*('Match Log'!$C$4:$C$810=$A109)),'Match Log'!$AB$4:$AB$810),"")</f>
        <v/>
      </c>
      <c r="E109" s="82" t="str">
        <f>IFERROR(LOOKUP(2,1/(('Match Log'!$D$4:$D$810=E$90)*('Match Log'!$C$4:$C$810=$A109)),'Match Log'!$AB$4:$AB$810),"")</f>
        <v/>
      </c>
      <c r="F109" s="82">
        <f>IFERROR(LOOKUP(2,1/(('Match Log'!$D$4:$D$810=F$90)*('Match Log'!$C$4:$C$810=$A109)),'Match Log'!$AB$4:$AB$810),"")</f>
        <v>1005.3331712136038</v>
      </c>
      <c r="G109" s="82">
        <f>IFERROR(LOOKUP(2,1/(('Match Log'!$D$4:$D$810=G$90)*('Match Log'!$C$4:$C$810=$A109)),'Match Log'!$AB$4:$AB$810),"")</f>
        <v>1030.2265340285246</v>
      </c>
      <c r="H109" s="82" t="str">
        <f>IFERROR(LOOKUP(2,1/(('Match Log'!$D$4:$D$810=H$90)*('Match Log'!$C$4:$C$810=$A109)),'Match Log'!$AB$4:$AB$810),"")</f>
        <v/>
      </c>
      <c r="I109" s="82">
        <f>IFERROR(LOOKUP(2,1/(('Match Log'!$D$4:$D$810=I$90)*('Match Log'!$C$4:$C$810=$A109)),'Match Log'!$AB$4:$AB$810),"")</f>
        <v>994.66682878639608</v>
      </c>
      <c r="J109" s="82" t="str">
        <f>IFERROR(LOOKUP(2,1/(('Match Log'!$D$4:$D$810=J$90)*('Match Log'!$C$4:$C$810=$A109)),'Match Log'!$AB$4:$AB$810),"")</f>
        <v/>
      </c>
      <c r="K109" s="82" t="str">
        <f>IFERROR(LOOKUP(2,1/(('Match Log'!$D$4:$D$810=K$90)*('Match Log'!$C$4:$C$810=$A109)),'Match Log'!$AB$4:$AB$810),"")</f>
        <v/>
      </c>
      <c r="L109" s="82" t="str">
        <f>IFERROR(LOOKUP(2,1/(('Match Log'!$D$4:$D$810=L$90)*('Match Log'!$C$4:$C$810=$A109)),'Match Log'!$AB$4:$AB$810),"")</f>
        <v/>
      </c>
      <c r="M109" s="82" t="str">
        <f>IFERROR(LOOKUP(2,1/(('Match Log'!$D$4:$D$810=M$90)*('Match Log'!$C$4:$C$810=$A109)),'Match Log'!$AB$4:$AB$810),"")</f>
        <v/>
      </c>
      <c r="N109" s="82" t="str">
        <f>IFERROR(LOOKUP(2,1/(('Match Log'!$D$4:$D$810=N$90)*('Match Log'!$C$4:$C$810=$A109)),'Match Log'!$AB$4:$AB$810),"")</f>
        <v/>
      </c>
      <c r="O109" s="82" t="str">
        <f>IFERROR(LOOKUP(2,1/(('Match Log'!$D$4:$D$810=O$90)*('Match Log'!$C$4:$C$810=$A109)),'Match Log'!$AB$4:$AB$810),"")</f>
        <v/>
      </c>
      <c r="P109" s="79" t="str">
        <f t="shared" si="24"/>
        <v>Shawn</v>
      </c>
    </row>
    <row r="110" spans="1:16" x14ac:dyDescent="0.2">
      <c r="A110" s="76" t="s">
        <v>407</v>
      </c>
      <c r="B110" s="82" t="str">
        <f>IFERROR(LOOKUP(2,1/(('Match Log'!$D$4:$D$810=B$90)*('Match Log'!$C$4:$C$810=$A110)),'Match Log'!$AB$4:$AB$810),"")</f>
        <v/>
      </c>
      <c r="C110" s="82" t="str">
        <f>IFERROR(LOOKUP(2,1/(('Match Log'!$D$4:$D$810=C$90)*('Match Log'!$C$4:$C$810=$A110)),'Match Log'!$AB$4:$AB$810),"")</f>
        <v/>
      </c>
      <c r="D110" s="82" t="str">
        <f>IFERROR(LOOKUP(2,1/(('Match Log'!$D$4:$D$810=D$90)*('Match Log'!$C$4:$C$810=$A110)),'Match Log'!$AB$4:$AB$810),"")</f>
        <v/>
      </c>
      <c r="E110" s="82" t="str">
        <f>IFERROR(LOOKUP(2,1/(('Match Log'!$D$4:$D$810=E$90)*('Match Log'!$C$4:$C$810=$A110)),'Match Log'!$AB$4:$AB$810),"")</f>
        <v/>
      </c>
      <c r="F110" s="82" t="str">
        <f>IFERROR(LOOKUP(2,1/(('Match Log'!$D$4:$D$810=F$90)*('Match Log'!$C$4:$C$810=$A110)),'Match Log'!$AB$4:$AB$810),"")</f>
        <v/>
      </c>
      <c r="G110" s="82" t="str">
        <f>IFERROR(LOOKUP(2,1/(('Match Log'!$D$4:$D$810=G$90)*('Match Log'!$C$4:$C$810=$A110)),'Match Log'!$AB$4:$AB$810),"")</f>
        <v/>
      </c>
      <c r="H110" s="82" t="str">
        <f>IFERROR(LOOKUP(2,1/(('Match Log'!$D$4:$D$810=H$90)*('Match Log'!$C$4:$C$810=$A110)),'Match Log'!$AB$4:$AB$810),"")</f>
        <v/>
      </c>
      <c r="I110" s="82" t="str">
        <f>IFERROR(LOOKUP(2,1/(('Match Log'!$D$4:$D$810=I$90)*('Match Log'!$C$4:$C$810=$A110)),'Match Log'!$AB$4:$AB$810),"")</f>
        <v/>
      </c>
      <c r="J110" s="82" t="str">
        <f>IFERROR(LOOKUP(2,1/(('Match Log'!$D$4:$D$810=J$90)*('Match Log'!$C$4:$C$810=$A110)),'Match Log'!$AB$4:$AB$810),"")</f>
        <v/>
      </c>
      <c r="K110" s="82" t="str">
        <f>IFERROR(LOOKUP(2,1/(('Match Log'!$D$4:$D$810=K$90)*('Match Log'!$C$4:$C$810=$A110)),'Match Log'!$AB$4:$AB$810),"")</f>
        <v/>
      </c>
      <c r="L110" s="82" t="str">
        <f>IFERROR(LOOKUP(2,1/(('Match Log'!$D$4:$D$810=L$90)*('Match Log'!$C$4:$C$810=$A110)),'Match Log'!$AB$4:$AB$810),"")</f>
        <v/>
      </c>
      <c r="M110" s="82" t="str">
        <f>IFERROR(LOOKUP(2,1/(('Match Log'!$D$4:$D$810=M$90)*('Match Log'!$C$4:$C$810=$A110)),'Match Log'!$AB$4:$AB$810),"")</f>
        <v/>
      </c>
      <c r="N110" s="82" t="str">
        <f>IFERROR(LOOKUP(2,1/(('Match Log'!$D$4:$D$810=N$90)*('Match Log'!$C$4:$C$810=$A110)),'Match Log'!$AB$4:$AB$810),"")</f>
        <v/>
      </c>
      <c r="O110" s="82" t="str">
        <f>IFERROR(LOOKUP(2,1/(('Match Log'!$D$4:$D$810=O$90)*('Match Log'!$C$4:$C$810=$A110)),'Match Log'!$AB$4:$AB$810),"")</f>
        <v/>
      </c>
      <c r="P110" s="79"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2"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Daniel (Ferret)</v>
      </c>
      <c r="C12" s="36" t="str">
        <f>IFERROR(INDEX(Calcs!$H$25:$H$444,MATCH(LARGE(Calcs!$I$25:$I$444,7),Calcs!$I$25:$I$444,0)),"")</f>
        <v>Shawn</v>
      </c>
      <c r="D12" s="36" t="str">
        <f>IFERROR(INDEX(Calcs!$C$25:$C$444,MATCH(LARGE(Calcs!$I$25:$I$444,7),Calcs!$I$25:$I$444,0)),"")</f>
        <v>FIFA</v>
      </c>
      <c r="E12" s="36" t="str">
        <f>IFERROR(TEXT(INDEX(Calcs!$F$25:$F$444,MATCH(LARGE(Calcs!$I$25:$I$444,7),Calcs!$I$25:$I$444,0)),"0%"),"")</f>
        <v>29%</v>
      </c>
      <c r="F12" s="36" t="str">
        <f>IFERROR(TEXT(INDEX(Calcs!$B$25:$B$444,MATCH(LARGE(Calcs!$I$25:$I$444,7),Calcs!$I$25:$I$444,0)),"d mmm"),"")</f>
        <v>31 May</v>
      </c>
    </row>
    <row r="13" spans="1:6" ht="15" customHeight="1" x14ac:dyDescent="0.2">
      <c r="A13" s="60">
        <v>8</v>
      </c>
      <c r="B13" s="39" t="str">
        <f>IFERROR(INDEX(Calcs!$D$25:$D$444,MATCH(LARGE(Calcs!$I$25:$I$444,8),Calcs!$I$25:$I$444,0)),"")</f>
        <v>Aaron</v>
      </c>
      <c r="C13" s="39" t="str">
        <f>IFERROR(INDEX(Calcs!$H$25:$H$444,MATCH(LARGE(Calcs!$I$25:$I$444,8),Calcs!$I$25:$I$444,0)),"")</f>
        <v>Shawn</v>
      </c>
      <c r="D13" s="39" t="str">
        <f>IFERROR(INDEX(Calcs!$C$25:$C$444,MATCH(LARGE(Calcs!$I$25:$I$444,8),Calcs!$I$25:$I$444,0)),"")</f>
        <v>Mario Golf</v>
      </c>
      <c r="E13" s="39" t="str">
        <f>IFERROR(TEXT(INDEX(Calcs!$F$25:$F$444,MATCH(LARGE(Calcs!$I$25:$I$444,8),Calcs!$I$25:$I$444,0)),"0%"),"")</f>
        <v>29%</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1186</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62</v>
      </c>
      <c r="C21" s="36" t="str">
        <f>INDEX(Dashboard!$B$5:$B$18,MATCH(MAX(Dashboard!$D$5:$D$18),Dashboard!$D$5:$D$18,0))</f>
        <v>Shawn</v>
      </c>
      <c r="D21" s="36" t="s">
        <v>252</v>
      </c>
      <c r="E21" s="36" t="s">
        <v>252</v>
      </c>
      <c r="F21" s="36" t="str">
        <f>"across "&amp;INDEX(Dashboard!$K$5:$K$18,MATCH($C21,Dashboard!$B$5:$B$18,0))&amp;" sports"</f>
        <v>across 9 sports</v>
      </c>
    </row>
    <row r="22" spans="1:8" ht="15" customHeight="1" x14ac:dyDescent="0.2">
      <c r="A22" s="87" t="s">
        <v>253</v>
      </c>
      <c r="B22" s="39" t="str">
        <f>TEXT(MAX(Dashboard!$K$5:$K$18),"0")</f>
        <v>11</v>
      </c>
      <c r="C22" s="39" t="str">
        <f>INDEX(Dashboard!$B$5:$B$18,MATCH(MAX(Dashboard!$K$5:$K$18),Dashboard!$K$5:$K$18,0))</f>
        <v>Daniel (Ferret)</v>
      </c>
      <c r="D22" s="39" t="s">
        <v>252</v>
      </c>
      <c r="E22" s="39" t="s">
        <v>252</v>
      </c>
      <c r="F22" s="39" t="str">
        <f>"of "&amp;COUNTA(Lists!$C$2:$C$21)&amp;" sports available"</f>
        <v>of 20 sports available</v>
      </c>
    </row>
    <row r="23" spans="1:8" ht="15" customHeight="1" x14ac:dyDescent="0.2">
      <c r="A23" s="86" t="s">
        <v>254</v>
      </c>
      <c r="B23" s="36" t="str">
        <f>TEXT(MAX('Sport Records'!$P$8:$P$27),"0")&amp;" games"</f>
        <v>31 games</v>
      </c>
      <c r="C23" s="36" t="str">
        <f>INDEX('Sport Records'!$A$8:$A$27,MATCH(MAX('Sport Records'!$P$8:$P$27),'Sport Records'!$P$8:$P$27,0))</f>
        <v>Table Tennis</v>
      </c>
      <c r="D23" s="36" t="s">
        <v>252</v>
      </c>
      <c r="E23" s="36" t="s">
        <v>252</v>
      </c>
      <c r="F23" s="36" t="s">
        <v>255</v>
      </c>
    </row>
    <row r="24" spans="1:8" ht="15" customHeight="1" x14ac:dyDescent="0.2">
      <c r="A24" s="87" t="s">
        <v>256</v>
      </c>
      <c r="B24" s="39" t="str">
        <f>MAX(Calcs!$O$7:$O$20)&amp;" wins"</f>
        <v>2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Aaron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39 points clear of Josh.</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6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4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62 games, more than anyone.</v>
      </c>
      <c r="B10" s="93"/>
      <c r="C10" s="93"/>
      <c r="D10" s="94"/>
      <c r="E10" s="95"/>
      <c r="F10" s="93"/>
    </row>
    <row r="11" spans="1:6" ht="15" customHeight="1" x14ac:dyDescent="0.2">
      <c r="A11" s="90"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Records'!$P$8:$P$27,"&gt;0")&amp;" different sports — and counting."</f>
        <v>🎲  139 games played across 12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1168</v>
      </c>
      <c r="D17" s="103" t="str">
        <f>IF(1=1,"— leader —",ROUND(MAX(Calcs!$B$7:$B$20)-LARGE(Calcs!$B$7:$B$20,1),0)&amp;" behind")</f>
        <v>— leader —</v>
      </c>
      <c r="E17" s="99"/>
      <c r="F17" s="26"/>
    </row>
    <row r="18" spans="1:6" ht="15" customHeight="1" x14ac:dyDescent="0.2">
      <c r="A18" s="104">
        <v>2</v>
      </c>
      <c r="B18" s="55" t="str">
        <f>INDEX(Calcs!$A$7:$A$20,MATCH(LARGE(Calcs!$B$7:$B$20,2),Calcs!$B$7:$B$20,0))</f>
        <v>Josh</v>
      </c>
      <c r="C18" s="104">
        <f>ROUND(LARGE(Calcs!$B$7:$B$20,2),0)</f>
        <v>1130</v>
      </c>
      <c r="D18" s="105" t="str">
        <f>IF(2=1,"— leader —",ROUND(MAX(Calcs!$B$7:$B$20)-LARGE(Calcs!$B$7:$B$20,2),0)&amp;" behind")</f>
        <v>39 behind</v>
      </c>
      <c r="E18" s="99"/>
      <c r="F18" s="26"/>
    </row>
    <row r="19" spans="1:6" ht="15" customHeight="1" x14ac:dyDescent="0.2">
      <c r="A19" s="104">
        <v>3</v>
      </c>
      <c r="B19" s="55" t="str">
        <f>INDEX(Calcs!$A$7:$A$20,MATCH(LARGE(Calcs!$B$7:$B$20,3),Calcs!$B$7:$B$20,0))</f>
        <v>Aaron</v>
      </c>
      <c r="C19" s="104">
        <f>ROUND(LARGE(Calcs!$B$7:$B$20,3),0)</f>
        <v>1098</v>
      </c>
      <c r="D19" s="105" t="str">
        <f>IF(3=1,"— leader —",ROUND(MAX(Calcs!$B$7:$B$20)-LARGE(Calcs!$B$7:$B$20,3),0)&amp;" behind")</f>
        <v>71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3</v>
      </c>
      <c r="C23" s="36">
        <f>COUNTIFS('Match Log'!$D$4:$D$810,$A23,'Match Log'!$C$4:$C$810,$D$21,'Match Log'!$E$4:$E$810,"Win")</f>
        <v>2</v>
      </c>
      <c r="D23" s="57">
        <f t="shared" ref="D23:D36" si="0">IF($B23=0,"",$C23/$B23)</f>
        <v>0.66666666666666663</v>
      </c>
      <c r="E23" s="58">
        <f>IFERROR(IF($B23=0,"",INDEX('Sport Records'!$B$91:$O$110,MATCH($D$21,'Sport Records'!$A$91:$A$110,0),MATCH($A23,'Sport Records'!$B$90:$O$90,0))),"")</f>
        <v>1014.4258934061545</v>
      </c>
      <c r="F23" s="36">
        <f t="shared" ref="F23:F36" si="1">IF($E23="","",RANK($E23,$E$23:$E$36))</f>
        <v>2</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Records'!$B$91:$O$110,MATCH($D$21,'Sport Records'!$A$91:$A$110,0),MATCH($A24,'Sport Records'!$B$90:$O$90,0))),"")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Records'!$B$91:$O$110,MATCH($D$21,'Sport Records'!$A$91:$A$110,0),MATCH($A25,'Sport Records'!$B$90:$O$90,0))),"")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Records'!$B$91:$O$110,MATCH($D$21,'Sport Records'!$A$91:$A$110,0),MATCH($A26,'Sport Records'!$B$90:$O$90,0))),"")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Records'!$B$91:$O$110,MATCH($D$21,'Sport Records'!$A$91:$A$110,0),MATCH($A27,'Sport Records'!$B$90:$O$90,0))),"")</f>
        <v>985.41909823644232</v>
      </c>
      <c r="F27" s="36">
        <f t="shared" si="1"/>
        <v>4</v>
      </c>
    </row>
    <row r="28" spans="1:6" x14ac:dyDescent="0.2">
      <c r="A28" s="60" t="s">
        <v>134</v>
      </c>
      <c r="B28" s="39">
        <f>COUNTIFS('Match Log'!$D$4:$D$810,$A28,'Match Log'!$C$4:$C$810,$D$21)</f>
        <v>9</v>
      </c>
      <c r="C28" s="39">
        <f>COUNTIFS('Match Log'!$D$4:$D$810,$A28,'Match Log'!$C$4:$C$810,$D$21,'Match Log'!$E$4:$E$810,"Win")</f>
        <v>2</v>
      </c>
      <c r="D28" s="61">
        <f t="shared" si="0"/>
        <v>0.22222222222222221</v>
      </c>
      <c r="E28" s="62">
        <f>IFERROR(IF($B28=0,"",INDEX('Sport Records'!$B$91:$O$110,MATCH($D$21,'Sport Records'!$A$91:$A$110,0),MATCH($A28,'Sport Records'!$B$90:$O$90,0))),"")</f>
        <v>948.96790333240949</v>
      </c>
      <c r="F28" s="39">
        <f t="shared" si="1"/>
        <v>5</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Records'!$B$91:$O$110,MATCH($D$21,'Sport Records'!$A$91:$A$110,0),MATCH($A29,'Sport Records'!$B$90:$O$90,0))),"")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Records'!$B$91:$O$110,MATCH($D$21,'Sport Records'!$A$91:$A$110,0),MATCH($A30,'Sport Records'!$B$90:$O$90,0))),"")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Records'!$B$91:$O$110,MATCH($D$21,'Sport Records'!$A$91:$A$110,0),MATCH($A31,'Sport Records'!$B$90:$O$90,0))),"")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Records'!$B$91:$O$110,MATCH($D$21,'Sport Records'!$A$91:$A$110,0),MATCH($A32,'Sport Records'!$B$90:$O$90,0))),"")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Records'!$B$91:$O$110,MATCH($D$21,'Sport Records'!$A$91:$A$110,0),MATCH($A33,'Sport Records'!$B$90:$O$90,0))),"")</f>
        <v>1000.5463997736937</v>
      </c>
      <c r="F33" s="36">
        <f t="shared" si="1"/>
        <v>3</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Records'!$B$91:$O$110,MATCH($D$21,'Sport Records'!$A$91:$A$110,0),MATCH($A34,'Sport Records'!$B$90:$O$90,0))),"")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Records'!$B$91:$O$110,MATCH($D$21,'Sport Records'!$A$91:$A$110,0),MATCH($A35,'Sport Records'!$B$90:$O$90,0))),"")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W</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W</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L</v>
      </c>
      <c r="F45" s="107" t="str">
        <f>IFERROR(IF(INDEX('Match Log'!$E$1:$E$810,_xlfn.AGGREGATE(14,6,ROW('Match Log'!$A$4:$A$810)/('Match Log'!$D$4:$D$810=$A45),6))="Win","W","L"),"")</f>
        <v>W</v>
      </c>
      <c r="G45" s="107" t="str">
        <f>IFERROR(IF(INDEX('Match Log'!$E$1:$E$810,_xlfn.AGGREGATE(14,6,ROW('Match Log'!$A$4:$A$810)/('Match Log'!$D$4:$D$810=$A45),5))="Win","W","L"),"")</f>
        <v>L</v>
      </c>
      <c r="H45" s="107" t="str">
        <f>IFERROR(IF(INDEX('Match Log'!$E$1:$E$810,_xlfn.AGGREGATE(14,6,ROW('Match Log'!$A$4:$A$810)/('Match Log'!$D$4:$D$810=$A45),4))="Win","W","L"),"")</f>
        <v>L</v>
      </c>
      <c r="I45" s="107" t="str">
        <f>IFERROR(IF(INDEX('Match Log'!$E$1:$E$810,_xlfn.AGGREGATE(14,6,ROW('Match Log'!$A$4:$A$810)/('Match Log'!$D$4:$D$810=$A45),3))="Win","W","L"),"")</f>
        <v>L</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W</v>
      </c>
      <c r="C48" s="107" t="str">
        <f>IFERROR(IF(INDEX('Match Log'!$E$1:$E$810,_xlfn.AGGREGATE(14,6,ROW('Match Log'!$A$4:$A$810)/('Match Log'!$D$4:$D$810=$A48),9))="Win","W","L"),"")</f>
        <v>W</v>
      </c>
      <c r="D48" s="107" t="str">
        <f>IFERROR(IF(INDEX('Match Log'!$E$1:$E$810,_xlfn.AGGREGATE(14,6,ROW('Match Log'!$A$4:$A$810)/('Match Log'!$D$4:$D$810=$A48),8))="Win","W","L"),"")</f>
        <v>L</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L</v>
      </c>
      <c r="H48" s="107" t="str">
        <f>IFERROR(IF(INDEX('Match Log'!$E$1:$E$810,_xlfn.AGGREGATE(14,6,ROW('Match Log'!$A$4:$A$810)/('Match Log'!$D$4:$D$810=$A48),4))="Win","W","L"),"")</f>
        <v>L</v>
      </c>
      <c r="I48" s="107" t="str">
        <f>IFERROR(IF(INDEX('Match Log'!$E$1:$E$810,_xlfn.AGGREGATE(14,6,ROW('Match Log'!$A$4:$A$810)/('Match Log'!$D$4:$D$810=$A48),3))="Win","W","L"),"")</f>
        <v>L</v>
      </c>
      <c r="J48" s="107" t="str">
        <f>IFERROR(IF(INDEX('Match Log'!$E$1:$E$810,_xlfn.AGGREGATE(14,6,ROW('Match Log'!$A$4:$A$810)/('Match Log'!$D$4:$D$810=$A48),2))="Win","W","L"),"")</f>
        <v>W</v>
      </c>
      <c r="K48" s="107" t="str">
        <f>IFERROR(IF(INDEX('Match Log'!$E$1:$E$810,_xlfn.AGGREGATE(14,6,ROW('Match Log'!$A$4:$A$810)/('Match Log'!$D$4:$D$810=$A48),1))="Win","W","L"),"")</f>
        <v>W</v>
      </c>
      <c r="L48" s="26"/>
      <c r="M48" s="26"/>
      <c r="N48" s="26"/>
      <c r="O48" s="26"/>
      <c r="P48" s="26"/>
      <c r="Q48" s="26"/>
      <c r="R48" s="26"/>
      <c r="S48" s="26"/>
      <c r="T48" s="26"/>
      <c r="U48" s="26"/>
    </row>
    <row r="49" spans="1:21"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1"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1"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L</v>
      </c>
      <c r="J51" s="107" t="str">
        <f>IFERROR(IF(INDEX('Match Log'!$E$1:$E$810,_xlfn.AGGREGATE(14,6,ROW('Match Log'!$A$4:$A$810)/('Match Log'!$D$4:$D$810=$A51),2))="Win","W","L"),"")</f>
        <v>W</v>
      </c>
      <c r="K51" s="107" t="str">
        <f>IFERROR(IF(INDEX('Match Log'!$E$1:$E$810,_xlfn.AGGREGATE(14,6,ROW('Match Log'!$A$4:$A$810)/('Match Log'!$D$4:$D$810=$A51),1))="Win","W","L"),"")</f>
        <v>W</v>
      </c>
      <c r="L51" s="26"/>
      <c r="M51" s="26"/>
      <c r="N51" s="26"/>
      <c r="O51" s="26"/>
      <c r="P51" s="26"/>
      <c r="Q51" s="26"/>
      <c r="R51" s="26"/>
      <c r="S51" s="26"/>
      <c r="T51" s="26"/>
      <c r="U51" s="26"/>
    </row>
    <row r="52" spans="1:21"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L</v>
      </c>
      <c r="L52" s="26"/>
      <c r="M52" s="26"/>
      <c r="N52" s="26"/>
      <c r="O52" s="26"/>
      <c r="P52" s="26"/>
      <c r="Q52" s="26"/>
      <c r="R52" s="26"/>
      <c r="S52" s="26"/>
      <c r="T52" s="26"/>
      <c r="U52" s="26"/>
    </row>
    <row r="53" spans="1:21"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1"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row>
    <row r="58" spans="1:21" x14ac:dyDescent="0.2">
      <c r="A58" s="86" t="s">
        <v>138</v>
      </c>
      <c r="B58" s="110" t="str">
        <f>IFERROR(INDEX('Sport Records'!$B$52:$O$71,MATCH($B$57,'Sport Records'!$A$52:$A$71,0),MATCH($A58,'Sport Records'!$B$51:$O$51,0)),"")</f>
        <v/>
      </c>
      <c r="C58" s="110" t="str">
        <f>IFERROR(INDEX('Sport Records'!$B$52:$O$71,MATCH($C$57,'Sport Records'!$A$52:$A$71,0),MATCH($A58,'Sport Records'!$B$51:$O$51,0)),"")</f>
        <v/>
      </c>
      <c r="D58" s="110">
        <f>IFERROR(INDEX('Sport Records'!$B$52:$O$71,MATCH($D$57,'Sport Records'!$A$52:$A$71,0),MATCH($A58,'Sport Records'!$B$51:$O$51,0)),"")</f>
        <v>0.75</v>
      </c>
      <c r="E58" s="110" t="str">
        <f>IFERROR(INDEX('Sport Records'!$B$52:$O$71,MATCH($E$57,'Sport Records'!$A$52:$A$71,0),MATCH($A58,'Sport Records'!$B$51:$O$51,0)),"")</f>
        <v/>
      </c>
      <c r="F58" s="110" t="str">
        <f>IFERROR(INDEX('Sport Records'!$B$52:$O$71,MATCH($F$57,'Sport Records'!$A$52:$A$71,0),MATCH($A58,'Sport Records'!$B$51:$O$51,0)),"")</f>
        <v/>
      </c>
      <c r="G58" s="110">
        <f>IFERROR(INDEX('Sport Records'!$B$52:$O$71,MATCH($G$57,'Sport Records'!$A$52:$A$71,0),MATCH($A58,'Sport Records'!$B$51:$O$51,0)),"")</f>
        <v>1</v>
      </c>
      <c r="H58" s="110" t="str">
        <f>IFERROR(INDEX('Sport Records'!$B$52:$O$71,MATCH($H$57,'Sport Records'!$A$52:$A$71,0),MATCH($A58,'Sport Records'!$B$51:$O$51,0)),"")</f>
        <v/>
      </c>
      <c r="I58" s="110" t="str">
        <f>IFERROR(INDEX('Sport Records'!$B$52:$O$71,MATCH($I$57,'Sport Records'!$A$52:$A$71,0),MATCH($A58,'Sport Records'!$B$51:$O$51,0)),"")</f>
        <v/>
      </c>
      <c r="J58" s="110">
        <f>IFERROR(INDEX('Sport Records'!$B$52:$O$71,MATCH($J$57,'Sport Records'!$A$52:$A$71,0),MATCH($A58,'Sport Records'!$B$51:$O$51,0)),"")</f>
        <v>0</v>
      </c>
      <c r="K58" s="110" t="str">
        <f>IFERROR(INDEX('Sport Records'!$B$52:$O$71,MATCH($K$57,'Sport Records'!$A$52:$A$71,0),MATCH($A58,'Sport Records'!$B$51:$O$51,0)),"")</f>
        <v/>
      </c>
      <c r="L58" s="110" t="str">
        <f>IFERROR(INDEX('Sport Records'!$B$52:$O$71,MATCH($L$57,'Sport Records'!$A$52:$A$71,0),MATCH($A58,'Sport Records'!$B$51:$O$51,0)),"")</f>
        <v/>
      </c>
      <c r="M58" s="110">
        <f>IFERROR(INDEX('Sport Records'!$B$52:$O$71,MATCH($M$57,'Sport Records'!$A$52:$A$71,0),MATCH($A58,'Sport Records'!$B$51:$O$51,0)),"")</f>
        <v>0.5</v>
      </c>
      <c r="N58" s="110">
        <f>IFERROR(INDEX('Sport Records'!$B$52:$O$71,MATCH($N$57,'Sport Records'!$A$52:$A$71,0),MATCH($A58,'Sport Records'!$B$51:$O$51,0)),"")</f>
        <v>0.66666666666666663</v>
      </c>
      <c r="O58" s="110">
        <f>IFERROR(INDEX('Sport Records'!$B$52:$O$71,MATCH($O$57,'Sport Records'!$A$52:$A$71,0),MATCH($A58,'Sport Records'!$B$51:$O$51,0)),"")</f>
        <v>1</v>
      </c>
      <c r="P58" s="110" t="str">
        <f>IFERROR(INDEX('Sport Records'!$B$52:$O$71,MATCH($P$57,'Sport Records'!$A$52:$A$71,0),MATCH($A58,'Sport Records'!$B$51:$O$51,0)),"")</f>
        <v/>
      </c>
      <c r="Q58" s="110">
        <f>IFERROR(INDEX('Sport Records'!$B$52:$O$71,MATCH($Q$57,'Sport Records'!$A$52:$A$71,0),MATCH($A58,'Sport Records'!$B$51:$O$51,0)),"")</f>
        <v>0.5</v>
      </c>
      <c r="R58" s="110" t="str">
        <f>IFERROR(INDEX('Sport Records'!$B$52:$O$71,MATCH($R$57,'Sport Records'!$A$52:$A$71,0),MATCH($A58,'Sport Records'!$B$51:$O$51,0)),"")</f>
        <v/>
      </c>
      <c r="S58" s="110">
        <f>IFERROR(INDEX('Sport Records'!$B$52:$O$71,MATCH($S$57,'Sport Records'!$A$52:$A$71,0),MATCH($A58,'Sport Records'!$B$51:$O$51,0)),"")</f>
        <v>0.2857142857142857</v>
      </c>
      <c r="T58" s="110">
        <f>IFERROR(INDEX('Sport Records'!$B$52:$O$71,MATCH($T$57,'Sport Records'!$A$52:$A$71,0),MATCH($A58,'Sport Records'!$B$51:$O$51,0)),"")</f>
        <v>0.2857142857142857</v>
      </c>
      <c r="U58" s="26" t="str">
        <f>IFERROR(INDEX('Sport Records'!$B$52:$O$71,MATCH($U$57,'Sport Records'!$A$52:$A$71,0),MATCH($A58,'Sport Records'!$B$51:$O$51,0)),"")</f>
        <v/>
      </c>
    </row>
    <row r="59" spans="1:21" x14ac:dyDescent="0.2">
      <c r="A59" s="86" t="s">
        <v>135</v>
      </c>
      <c r="B59" s="110" t="str">
        <f>IFERROR(INDEX('Sport Records'!$B$52:$O$71,MATCH($B$57,'Sport Records'!$A$52:$A$71,0),MATCH($A59,'Sport Records'!$B$51:$O$51,0)),"")</f>
        <v/>
      </c>
      <c r="C59" s="110" t="str">
        <f>IFERROR(INDEX('Sport Records'!$B$52:$O$71,MATCH($C$57,'Sport Records'!$A$52:$A$71,0),MATCH($A59,'Sport Records'!$B$51:$O$51,0)),"")</f>
        <v/>
      </c>
      <c r="D59" s="110" t="str">
        <f>IFERROR(INDEX('Sport Records'!$B$52:$O$71,MATCH($D$57,'Sport Records'!$A$52:$A$71,0),MATCH($A59,'Sport Records'!$B$51:$O$51,0)),"")</f>
        <v/>
      </c>
      <c r="E59" s="110" t="str">
        <f>IFERROR(INDEX('Sport Records'!$B$52:$O$71,MATCH($E$57,'Sport Records'!$A$52:$A$71,0),MATCH($A59,'Sport Records'!$B$51:$O$51,0)),"")</f>
        <v/>
      </c>
      <c r="F59" s="110">
        <f>IFERROR(INDEX('Sport Records'!$B$52:$O$71,MATCH($F$57,'Sport Records'!$A$52:$A$71,0),MATCH($A59,'Sport Records'!$B$51:$O$51,0)),"")</f>
        <v>0</v>
      </c>
      <c r="G59" s="110" t="str">
        <f>IFERROR(INDEX('Sport Records'!$B$52:$O$71,MATCH($G$57,'Sport Records'!$A$52:$A$71,0),MATCH($A59,'Sport Records'!$B$51:$O$51,0)),"")</f>
        <v/>
      </c>
      <c r="H59" s="110" t="str">
        <f>IFERROR(INDEX('Sport Records'!$B$52:$O$71,MATCH($H$57,'Sport Records'!$A$52:$A$71,0),MATCH($A59,'Sport Records'!$B$51:$O$51,0)),"")</f>
        <v/>
      </c>
      <c r="I59" s="110" t="str">
        <f>IFERROR(INDEX('Sport Records'!$B$52:$O$71,MATCH($I$57,'Sport Records'!$A$52:$A$71,0),MATCH($A59,'Sport Records'!$B$51:$O$51,0)),"")</f>
        <v/>
      </c>
      <c r="J59" s="110" t="str">
        <f>IFERROR(INDEX('Sport Records'!$B$52:$O$71,MATCH($J$57,'Sport Records'!$A$52:$A$71,0),MATCH($A59,'Sport Records'!$B$51:$O$51,0)),"")</f>
        <v/>
      </c>
      <c r="K59" s="110" t="str">
        <f>IFERROR(INDEX('Sport Records'!$B$52:$O$71,MATCH($K$57,'Sport Records'!$A$52:$A$71,0),MATCH($A59,'Sport Records'!$B$51:$O$51,0)),"")</f>
        <v/>
      </c>
      <c r="L59" s="110" t="str">
        <f>IFERROR(INDEX('Sport Records'!$B$52:$O$71,MATCH($L$57,'Sport Records'!$A$52:$A$71,0),MATCH($A59,'Sport Records'!$B$51:$O$51,0)),"")</f>
        <v/>
      </c>
      <c r="M59" s="110">
        <f>IFERROR(INDEX('Sport Records'!$B$52:$O$71,MATCH($M$57,'Sport Records'!$A$52:$A$71,0),MATCH($A59,'Sport Records'!$B$51:$O$51,0)),"")</f>
        <v>0</v>
      </c>
      <c r="N59" s="110" t="str">
        <f>IFERROR(INDEX('Sport Records'!$B$52:$O$71,MATCH($N$57,'Sport Records'!$A$52:$A$71,0),MATCH($A59,'Sport Records'!$B$51:$O$51,0)),"")</f>
        <v/>
      </c>
      <c r="O59" s="110" t="str">
        <f>IFERROR(INDEX('Sport Records'!$B$52:$O$71,MATCH($O$57,'Sport Records'!$A$52:$A$71,0),MATCH($A59,'Sport Records'!$B$51:$O$51,0)),"")</f>
        <v/>
      </c>
      <c r="P59" s="110" t="str">
        <f>IFERROR(INDEX('Sport Records'!$B$52:$O$71,MATCH($P$57,'Sport Records'!$A$52:$A$71,0),MATCH($A59,'Sport Records'!$B$51:$O$51,0)),"")</f>
        <v/>
      </c>
      <c r="Q59" s="110" t="str">
        <f>IFERROR(INDEX('Sport Records'!$B$52:$O$71,MATCH($Q$57,'Sport Records'!$A$52:$A$71,0),MATCH($A59,'Sport Records'!$B$51:$O$51,0)),"")</f>
        <v/>
      </c>
      <c r="R59" s="110" t="str">
        <f>IFERROR(INDEX('Sport Records'!$B$52:$O$71,MATCH($R$57,'Sport Records'!$A$52:$A$71,0),MATCH($A59,'Sport Records'!$B$51:$O$51,0)),"")</f>
        <v/>
      </c>
      <c r="S59" s="110">
        <f>IFERROR(INDEX('Sport Records'!$B$52:$O$71,MATCH($S$57,'Sport Records'!$A$52:$A$71,0),MATCH($A59,'Sport Records'!$B$51:$O$51,0)),"")</f>
        <v>0.625</v>
      </c>
      <c r="T59" s="110" t="str">
        <f>IFERROR(INDEX('Sport Records'!$B$52:$O$71,MATCH($T$57,'Sport Records'!$A$52:$A$71,0),MATCH($A59,'Sport Records'!$B$51:$O$51,0)),"")</f>
        <v/>
      </c>
      <c r="U59" s="26" t="str">
        <f>IFERROR(INDEX('Sport Records'!$B$52:$O$71,MATCH($U$57,'Sport Records'!$A$52:$A$71,0),MATCH($A59,'Sport Records'!$B$51:$O$51,0)),"")</f>
        <v/>
      </c>
    </row>
    <row r="60" spans="1:21" x14ac:dyDescent="0.2">
      <c r="A60" s="86" t="s">
        <v>173</v>
      </c>
      <c r="B60" s="110" t="str">
        <f>IFERROR(INDEX('Sport Records'!$B$52:$O$71,MATCH($B$57,'Sport Records'!$A$52:$A$71,0),MATCH($A60,'Sport Records'!$B$51:$O$51,0)),"")</f>
        <v/>
      </c>
      <c r="C60" s="110" t="str">
        <f>IFERROR(INDEX('Sport Records'!$B$52:$O$71,MATCH($C$57,'Sport Records'!$A$52:$A$71,0),MATCH($A60,'Sport Records'!$B$51:$O$51,0)),"")</f>
        <v/>
      </c>
      <c r="D60" s="110">
        <f>IFERROR(INDEX('Sport Records'!$B$52:$O$71,MATCH($D$57,'Sport Records'!$A$52:$A$71,0),MATCH($A60,'Sport Records'!$B$51:$O$51,0)),"")</f>
        <v>0</v>
      </c>
      <c r="E60" s="110" t="str">
        <f>IFERROR(INDEX('Sport Records'!$B$52:$O$71,MATCH($E$57,'Sport Records'!$A$52:$A$71,0),MATCH($A60,'Sport Records'!$B$51:$O$51,0)),"")</f>
        <v/>
      </c>
      <c r="F60" s="110" t="str">
        <f>IFERROR(INDEX('Sport Records'!$B$52:$O$71,MATCH($F$57,'Sport Records'!$A$52:$A$71,0),MATCH($A60,'Sport Records'!$B$51:$O$51,0)),"")</f>
        <v/>
      </c>
      <c r="G60" s="110">
        <f>IFERROR(INDEX('Sport Records'!$B$52:$O$71,MATCH($G$57,'Sport Records'!$A$52:$A$71,0),MATCH($A60,'Sport Records'!$B$51:$O$51,0)),"")</f>
        <v>0</v>
      </c>
      <c r="H60" s="110" t="str">
        <f>IFERROR(INDEX('Sport Records'!$B$52:$O$71,MATCH($H$57,'Sport Records'!$A$52:$A$71,0),MATCH($A60,'Sport Records'!$B$51:$O$51,0)),"")</f>
        <v/>
      </c>
      <c r="I60" s="110" t="str">
        <f>IFERROR(INDEX('Sport Records'!$B$52:$O$71,MATCH($I$57,'Sport Records'!$A$52:$A$71,0),MATCH($A60,'Sport Records'!$B$51:$O$51,0)),"")</f>
        <v/>
      </c>
      <c r="J60" s="110" t="str">
        <f>IFERROR(INDEX('Sport Records'!$B$52:$O$71,MATCH($J$57,'Sport Records'!$A$52:$A$71,0),MATCH($A60,'Sport Records'!$B$51:$O$51,0)),"")</f>
        <v/>
      </c>
      <c r="K60" s="110" t="str">
        <f>IFERROR(INDEX('Sport Records'!$B$52:$O$71,MATCH($K$57,'Sport Records'!$A$52:$A$71,0),MATCH($A60,'Sport Records'!$B$51:$O$51,0)),"")</f>
        <v/>
      </c>
      <c r="L60" s="110" t="str">
        <f>IFERROR(INDEX('Sport Records'!$B$52:$O$71,MATCH($L$57,'Sport Records'!$A$52:$A$71,0),MATCH($A60,'Sport Records'!$B$51:$O$51,0)),"")</f>
        <v/>
      </c>
      <c r="M60" s="110" t="str">
        <f>IFERROR(INDEX('Sport Records'!$B$52:$O$71,MATCH($M$57,'Sport Records'!$A$52:$A$71,0),MATCH($A60,'Sport Records'!$B$51:$O$51,0)),"")</f>
        <v/>
      </c>
      <c r="N60" s="110" t="str">
        <f>IFERROR(INDEX('Sport Records'!$B$52:$O$71,MATCH($N$57,'Sport Records'!$A$52:$A$71,0),MATCH($A60,'Sport Records'!$B$51:$O$51,0)),"")</f>
        <v/>
      </c>
      <c r="O60" s="110">
        <f>IFERROR(INDEX('Sport Records'!$B$52:$O$71,MATCH($O$57,'Sport Records'!$A$52:$A$71,0),MATCH($A60,'Sport Records'!$B$51:$O$51,0)),"")</f>
        <v>1</v>
      </c>
      <c r="P60" s="110" t="str">
        <f>IFERROR(INDEX('Sport Records'!$B$52:$O$71,MATCH($P$57,'Sport Records'!$A$52:$A$71,0),MATCH($A60,'Sport Records'!$B$51:$O$51,0)),"")</f>
        <v/>
      </c>
      <c r="Q60" s="110">
        <f>IFERROR(INDEX('Sport Records'!$B$52:$O$71,MATCH($Q$57,'Sport Records'!$A$52:$A$71,0),MATCH($A60,'Sport Records'!$B$51:$O$51,0)),"")</f>
        <v>0</v>
      </c>
      <c r="R60" s="110">
        <f>IFERROR(INDEX('Sport Records'!$B$52:$O$71,MATCH($R$57,'Sport Records'!$A$52:$A$71,0),MATCH($A60,'Sport Records'!$B$51:$O$51,0)),"")</f>
        <v>0</v>
      </c>
      <c r="S60" s="110">
        <f>IFERROR(INDEX('Sport Records'!$B$52:$O$71,MATCH($S$57,'Sport Records'!$A$52:$A$71,0),MATCH($A60,'Sport Records'!$B$51:$O$51,0)),"")</f>
        <v>1</v>
      </c>
      <c r="T60" s="110" t="str">
        <f>IFERROR(INDEX('Sport Records'!$B$52:$O$71,MATCH($T$57,'Sport Records'!$A$52:$A$71,0),MATCH($A60,'Sport Records'!$B$51:$O$51,0)),"")</f>
        <v/>
      </c>
      <c r="U60" s="26" t="str">
        <f>IFERROR(INDEX('Sport Records'!$B$52:$O$71,MATCH($U$57,'Sport Records'!$A$52:$A$71,0),MATCH($A60,'Sport Records'!$B$51:$O$51,0)),"")</f>
        <v/>
      </c>
    </row>
    <row r="61" spans="1:21" x14ac:dyDescent="0.2">
      <c r="A61" s="86" t="s">
        <v>140</v>
      </c>
      <c r="B61" s="110" t="str">
        <f>IFERROR(INDEX('Sport Records'!$B$52:$O$71,MATCH($B$57,'Sport Records'!$A$52:$A$71,0),MATCH($A61,'Sport Records'!$B$51:$O$51,0)),"")</f>
        <v/>
      </c>
      <c r="C61" s="110" t="str">
        <f>IFERROR(INDEX('Sport Records'!$B$52:$O$71,MATCH($C$57,'Sport Records'!$A$52:$A$71,0),MATCH($A61,'Sport Records'!$B$51:$O$51,0)),"")</f>
        <v/>
      </c>
      <c r="D61" s="110" t="str">
        <f>IFERROR(INDEX('Sport Records'!$B$52:$O$71,MATCH($D$57,'Sport Records'!$A$52:$A$71,0),MATCH($A61,'Sport Records'!$B$51:$O$51,0)),"")</f>
        <v/>
      </c>
      <c r="E61" s="110" t="str">
        <f>IFERROR(INDEX('Sport Records'!$B$52:$O$71,MATCH($E$57,'Sport Records'!$A$52:$A$71,0),MATCH($A61,'Sport Records'!$B$51:$O$51,0)),"")</f>
        <v/>
      </c>
      <c r="F61" s="110" t="str">
        <f>IFERROR(INDEX('Sport Records'!$B$52:$O$71,MATCH($F$57,'Sport Records'!$A$52:$A$71,0),MATCH($A61,'Sport Records'!$B$51:$O$51,0)),"")</f>
        <v/>
      </c>
      <c r="G61" s="110">
        <f>IFERROR(INDEX('Sport Records'!$B$52:$O$71,MATCH($G$57,'Sport Records'!$A$52:$A$71,0),MATCH($A61,'Sport Records'!$B$51:$O$51,0)),"")</f>
        <v>0</v>
      </c>
      <c r="H61" s="110" t="str">
        <f>IFERROR(INDEX('Sport Records'!$B$52:$O$71,MATCH($H$57,'Sport Records'!$A$52:$A$71,0),MATCH($A61,'Sport Records'!$B$51:$O$51,0)),"")</f>
        <v/>
      </c>
      <c r="I61" s="110" t="str">
        <f>IFERROR(INDEX('Sport Records'!$B$52:$O$71,MATCH($I$57,'Sport Records'!$A$52:$A$71,0),MATCH($A61,'Sport Records'!$B$51:$O$51,0)),"")</f>
        <v/>
      </c>
      <c r="J61" s="110">
        <f>IFERROR(INDEX('Sport Records'!$B$52:$O$71,MATCH($J$57,'Sport Records'!$A$52:$A$71,0),MATCH($A61,'Sport Records'!$B$51:$O$51,0)),"")</f>
        <v>0</v>
      </c>
      <c r="K61" s="110" t="str">
        <f>IFERROR(INDEX('Sport Records'!$B$52:$O$71,MATCH($K$57,'Sport Records'!$A$52:$A$71,0),MATCH($A61,'Sport Records'!$B$51:$O$51,0)),"")</f>
        <v/>
      </c>
      <c r="L61" s="110" t="str">
        <f>IFERROR(INDEX('Sport Records'!$B$52:$O$71,MATCH($L$57,'Sport Records'!$A$52:$A$71,0),MATCH($A61,'Sport Records'!$B$51:$O$51,0)),"")</f>
        <v/>
      </c>
      <c r="M61" s="110">
        <f>IFERROR(INDEX('Sport Records'!$B$52:$O$71,MATCH($M$57,'Sport Records'!$A$52:$A$71,0),MATCH($A61,'Sport Records'!$B$51:$O$51,0)),"")</f>
        <v>0.16666666666666666</v>
      </c>
      <c r="N61" s="110" t="str">
        <f>IFERROR(INDEX('Sport Records'!$B$52:$O$71,MATCH($N$57,'Sport Records'!$A$52:$A$71,0),MATCH($A61,'Sport Records'!$B$51:$O$51,0)),"")</f>
        <v/>
      </c>
      <c r="O61" s="110" t="str">
        <f>IFERROR(INDEX('Sport Records'!$B$52:$O$71,MATCH($O$57,'Sport Records'!$A$52:$A$71,0),MATCH($A61,'Sport Records'!$B$51:$O$51,0)),"")</f>
        <v/>
      </c>
      <c r="P61" s="110" t="str">
        <f>IFERROR(INDEX('Sport Records'!$B$52:$O$71,MATCH($P$57,'Sport Records'!$A$52:$A$71,0),MATCH($A61,'Sport Records'!$B$51:$O$51,0)),"")</f>
        <v/>
      </c>
      <c r="Q61" s="110" t="str">
        <f>IFERROR(INDEX('Sport Records'!$B$52:$O$71,MATCH($Q$57,'Sport Records'!$A$52:$A$71,0),MATCH($A61,'Sport Records'!$B$51:$O$51,0)),"")</f>
        <v/>
      </c>
      <c r="R61" s="110" t="str">
        <f>IFERROR(INDEX('Sport Records'!$B$52:$O$71,MATCH($R$57,'Sport Records'!$A$52:$A$71,0),MATCH($A61,'Sport Records'!$B$51:$O$51,0)),"")</f>
        <v/>
      </c>
      <c r="S61" s="110">
        <f>IFERROR(INDEX('Sport Records'!$B$52:$O$71,MATCH($S$57,'Sport Records'!$A$52:$A$71,0),MATCH($A61,'Sport Records'!$B$51:$O$51,0)),"")</f>
        <v>0.42857142857142855</v>
      </c>
      <c r="T61" s="110" t="str">
        <f>IFERROR(INDEX('Sport Records'!$B$52:$O$71,MATCH($T$57,'Sport Records'!$A$52:$A$71,0),MATCH($A61,'Sport Records'!$B$51:$O$51,0)),"")</f>
        <v/>
      </c>
      <c r="U61" s="26" t="str">
        <f>IFERROR(INDEX('Sport Records'!$B$52:$O$71,MATCH($U$57,'Sport Records'!$A$52:$A$71,0),MATCH($A61,'Sport Records'!$B$51:$O$51,0)),"")</f>
        <v/>
      </c>
    </row>
    <row r="62" spans="1:21" x14ac:dyDescent="0.2">
      <c r="A62" s="86" t="s">
        <v>137</v>
      </c>
      <c r="B62" s="110" t="str">
        <f>IFERROR(INDEX('Sport Records'!$B$52:$O$71,MATCH($B$57,'Sport Records'!$A$52:$A$71,0),MATCH($A62,'Sport Records'!$B$51:$O$51,0)),"")</f>
        <v/>
      </c>
      <c r="C62" s="110" t="str">
        <f>IFERROR(INDEX('Sport Records'!$B$52:$O$71,MATCH($C$57,'Sport Records'!$A$52:$A$71,0),MATCH($A62,'Sport Records'!$B$51:$O$51,0)),"")</f>
        <v/>
      </c>
      <c r="D62" s="110">
        <f>IFERROR(INDEX('Sport Records'!$B$52:$O$71,MATCH($D$57,'Sport Records'!$A$52:$A$71,0),MATCH($A62,'Sport Records'!$B$51:$O$51,0)),"")</f>
        <v>0</v>
      </c>
      <c r="E62" s="110" t="str">
        <f>IFERROR(INDEX('Sport Records'!$B$52:$O$71,MATCH($E$57,'Sport Records'!$A$52:$A$71,0),MATCH($A62,'Sport Records'!$B$51:$O$51,0)),"")</f>
        <v/>
      </c>
      <c r="F62" s="110" t="str">
        <f>IFERROR(INDEX('Sport Records'!$B$52:$O$71,MATCH($F$57,'Sport Records'!$A$52:$A$71,0),MATCH($A62,'Sport Records'!$B$51:$O$51,0)),"")</f>
        <v/>
      </c>
      <c r="G62" s="110">
        <f>IFERROR(INDEX('Sport Records'!$B$52:$O$71,MATCH($G$57,'Sport Records'!$A$52:$A$71,0),MATCH($A62,'Sport Records'!$B$51:$O$51,0)),"")</f>
        <v>0</v>
      </c>
      <c r="H62" s="110" t="str">
        <f>IFERROR(INDEX('Sport Records'!$B$52:$O$71,MATCH($H$57,'Sport Records'!$A$52:$A$71,0),MATCH($A62,'Sport Records'!$B$51:$O$51,0)),"")</f>
        <v/>
      </c>
      <c r="I62" s="110" t="str">
        <f>IFERROR(INDEX('Sport Records'!$B$52:$O$71,MATCH($I$57,'Sport Records'!$A$52:$A$71,0),MATCH($A62,'Sport Records'!$B$51:$O$51,0)),"")</f>
        <v/>
      </c>
      <c r="J62" s="110">
        <f>IFERROR(INDEX('Sport Records'!$B$52:$O$71,MATCH($J$57,'Sport Records'!$A$52:$A$71,0),MATCH($A62,'Sport Records'!$B$51:$O$51,0)),"")</f>
        <v>1</v>
      </c>
      <c r="K62" s="110" t="str">
        <f>IFERROR(INDEX('Sport Records'!$B$52:$O$71,MATCH($K$57,'Sport Records'!$A$52:$A$71,0),MATCH($A62,'Sport Records'!$B$51:$O$51,0)),"")</f>
        <v/>
      </c>
      <c r="L62" s="110" t="str">
        <f>IFERROR(INDEX('Sport Records'!$B$52:$O$71,MATCH($L$57,'Sport Records'!$A$52:$A$71,0),MATCH($A62,'Sport Records'!$B$51:$O$51,0)),"")</f>
        <v/>
      </c>
      <c r="M62" s="110">
        <f>IFERROR(INDEX('Sport Records'!$B$52:$O$71,MATCH($M$57,'Sport Records'!$A$52:$A$71,0),MATCH($A62,'Sport Records'!$B$51:$O$51,0)),"")</f>
        <v>0.8666666666666667</v>
      </c>
      <c r="N62" s="110">
        <f>IFERROR(INDEX('Sport Records'!$B$52:$O$71,MATCH($N$57,'Sport Records'!$A$52:$A$71,0),MATCH($A62,'Sport Records'!$B$51:$O$51,0)),"")</f>
        <v>0</v>
      </c>
      <c r="O62" s="110" t="str">
        <f>IFERROR(INDEX('Sport Records'!$B$52:$O$71,MATCH($O$57,'Sport Records'!$A$52:$A$71,0),MATCH($A62,'Sport Records'!$B$51:$O$51,0)),"")</f>
        <v/>
      </c>
      <c r="P62" s="110" t="str">
        <f>IFERROR(INDEX('Sport Records'!$B$52:$O$71,MATCH($P$57,'Sport Records'!$A$52:$A$71,0),MATCH($A62,'Sport Records'!$B$51:$O$51,0)),"")</f>
        <v/>
      </c>
      <c r="Q62" s="110" t="str">
        <f>IFERROR(INDEX('Sport Records'!$B$52:$O$71,MATCH($Q$57,'Sport Records'!$A$52:$A$71,0),MATCH($A62,'Sport Records'!$B$51:$O$51,0)),"")</f>
        <v/>
      </c>
      <c r="R62" s="110">
        <f>IFERROR(INDEX('Sport Records'!$B$52:$O$71,MATCH($R$57,'Sport Records'!$A$52:$A$71,0),MATCH($A62,'Sport Records'!$B$51:$O$51,0)),"")</f>
        <v>1</v>
      </c>
      <c r="S62" s="110">
        <f>IFERROR(INDEX('Sport Records'!$B$52:$O$71,MATCH($S$57,'Sport Records'!$A$52:$A$71,0),MATCH($A62,'Sport Records'!$B$51:$O$51,0)),"")</f>
        <v>0.375</v>
      </c>
      <c r="T62" s="110">
        <f>IFERROR(INDEX('Sport Records'!$B$52:$O$71,MATCH($T$57,'Sport Records'!$A$52:$A$71,0),MATCH($A62,'Sport Records'!$B$51:$O$51,0)),"")</f>
        <v>0.5</v>
      </c>
      <c r="U62" s="26" t="str">
        <f>IFERROR(INDEX('Sport Records'!$B$52:$O$71,MATCH($U$57,'Sport Records'!$A$52:$A$71,0),MATCH($A62,'Sport Records'!$B$51:$O$51,0)),"")</f>
        <v/>
      </c>
    </row>
    <row r="63" spans="1:21" x14ac:dyDescent="0.2">
      <c r="A63" s="86" t="s">
        <v>134</v>
      </c>
      <c r="B63" s="110">
        <f>IFERROR(INDEX('Sport Records'!$B$52:$O$71,MATCH($B$57,'Sport Records'!$A$52:$A$71,0),MATCH($A63,'Sport Records'!$B$51:$O$51,0)),"")</f>
        <v>1</v>
      </c>
      <c r="C63" s="110" t="str">
        <f>IFERROR(INDEX('Sport Records'!$B$52:$O$71,MATCH($C$57,'Sport Records'!$A$52:$A$71,0),MATCH($A63,'Sport Records'!$B$51:$O$51,0)),"")</f>
        <v/>
      </c>
      <c r="D63" s="110">
        <f>IFERROR(INDEX('Sport Records'!$B$52:$O$71,MATCH($D$57,'Sport Records'!$A$52:$A$71,0),MATCH($A63,'Sport Records'!$B$51:$O$51,0)),"")</f>
        <v>0.45</v>
      </c>
      <c r="E63" s="110" t="str">
        <f>IFERROR(INDEX('Sport Records'!$B$52:$O$71,MATCH($E$57,'Sport Records'!$A$52:$A$71,0),MATCH($A63,'Sport Records'!$B$51:$O$51,0)),"")</f>
        <v/>
      </c>
      <c r="F63" s="110" t="str">
        <f>IFERROR(INDEX('Sport Records'!$B$52:$O$71,MATCH($F$57,'Sport Records'!$A$52:$A$71,0),MATCH($A63,'Sport Records'!$B$51:$O$51,0)),"")</f>
        <v/>
      </c>
      <c r="G63" s="110">
        <f>IFERROR(INDEX('Sport Records'!$B$52:$O$71,MATCH($G$57,'Sport Records'!$A$52:$A$71,0),MATCH($A63,'Sport Records'!$B$51:$O$51,0)),"")</f>
        <v>0</v>
      </c>
      <c r="H63" s="110" t="str">
        <f>IFERROR(INDEX('Sport Records'!$B$52:$O$71,MATCH($H$57,'Sport Records'!$A$52:$A$71,0),MATCH($A63,'Sport Records'!$B$51:$O$51,0)),"")</f>
        <v/>
      </c>
      <c r="I63" s="110" t="str">
        <f>IFERROR(INDEX('Sport Records'!$B$52:$O$71,MATCH($I$57,'Sport Records'!$A$52:$A$71,0),MATCH($A63,'Sport Records'!$B$51:$O$51,0)),"")</f>
        <v/>
      </c>
      <c r="J63" s="110">
        <f>IFERROR(INDEX('Sport Records'!$B$52:$O$71,MATCH($J$57,'Sport Records'!$A$52:$A$71,0),MATCH($A63,'Sport Records'!$B$51:$O$51,0)),"")</f>
        <v>0.5</v>
      </c>
      <c r="K63" s="110" t="str">
        <f>IFERROR(INDEX('Sport Records'!$B$52:$O$71,MATCH($K$57,'Sport Records'!$A$52:$A$71,0),MATCH($A63,'Sport Records'!$B$51:$O$51,0)),"")</f>
        <v/>
      </c>
      <c r="L63" s="110" t="str">
        <f>IFERROR(INDEX('Sport Records'!$B$52:$O$71,MATCH($L$57,'Sport Records'!$A$52:$A$71,0),MATCH($A63,'Sport Records'!$B$51:$O$51,0)),"")</f>
        <v/>
      </c>
      <c r="M63" s="110">
        <f>IFERROR(INDEX('Sport Records'!$B$52:$O$71,MATCH($M$57,'Sport Records'!$A$52:$A$71,0),MATCH($A63,'Sport Records'!$B$51:$O$51,0)),"")</f>
        <v>1</v>
      </c>
      <c r="N63" s="110">
        <f>IFERROR(INDEX('Sport Records'!$B$52:$O$71,MATCH($N$57,'Sport Records'!$A$52:$A$71,0),MATCH($A63,'Sport Records'!$B$51:$O$51,0)),"")</f>
        <v>0.22222222222222221</v>
      </c>
      <c r="O63" s="110">
        <f>IFERROR(INDEX('Sport Records'!$B$52:$O$71,MATCH($O$57,'Sport Records'!$A$52:$A$71,0),MATCH($A63,'Sport Records'!$B$51:$O$51,0)),"")</f>
        <v>0</v>
      </c>
      <c r="P63" s="110" t="str">
        <f>IFERROR(INDEX('Sport Records'!$B$52:$O$71,MATCH($P$57,'Sport Records'!$A$52:$A$71,0),MATCH($A63,'Sport Records'!$B$51:$O$51,0)),"")</f>
        <v/>
      </c>
      <c r="Q63" s="110" t="str">
        <f>IFERROR(INDEX('Sport Records'!$B$52:$O$71,MATCH($Q$57,'Sport Records'!$A$52:$A$71,0),MATCH($A63,'Sport Records'!$B$51:$O$51,0)),"")</f>
        <v/>
      </c>
      <c r="R63" s="110" t="str">
        <f>IFERROR(INDEX('Sport Records'!$B$52:$O$71,MATCH($R$57,'Sport Records'!$A$52:$A$71,0),MATCH($A63,'Sport Records'!$B$51:$O$51,0)),"")</f>
        <v/>
      </c>
      <c r="S63" s="110">
        <f>IFERROR(INDEX('Sport Records'!$B$52:$O$71,MATCH($S$57,'Sport Records'!$A$52:$A$71,0),MATCH($A63,'Sport Records'!$B$51:$O$51,0)),"")</f>
        <v>0.44444444444444442</v>
      </c>
      <c r="T63" s="110">
        <f>IFERROR(INDEX('Sport Records'!$B$52:$O$71,MATCH($T$57,'Sport Records'!$A$52:$A$71,0),MATCH($A63,'Sport Records'!$B$51:$O$51,0)),"")</f>
        <v>0.7142857142857143</v>
      </c>
      <c r="U63" s="26" t="str">
        <f>IFERROR(INDEX('Sport Records'!$B$52:$O$71,MATCH($U$57,'Sport Records'!$A$52:$A$71,0),MATCH($A63,'Sport Records'!$B$51:$O$51,0)),"")</f>
        <v/>
      </c>
    </row>
    <row r="64" spans="1:21" x14ac:dyDescent="0.2">
      <c r="A64" s="86" t="s">
        <v>168</v>
      </c>
      <c r="B64" s="110" t="str">
        <f>IFERROR(INDEX('Sport Records'!$B$52:$O$71,MATCH($B$57,'Sport Records'!$A$52:$A$71,0),MATCH($A64,'Sport Records'!$B$51:$O$51,0)),"")</f>
        <v/>
      </c>
      <c r="C64" s="110" t="str">
        <f>IFERROR(INDEX('Sport Records'!$B$52:$O$71,MATCH($C$57,'Sport Records'!$A$52:$A$71,0),MATCH($A64,'Sport Records'!$B$51:$O$51,0)),"")</f>
        <v/>
      </c>
      <c r="D64" s="110" t="str">
        <f>IFERROR(INDEX('Sport Records'!$B$52:$O$71,MATCH($D$57,'Sport Records'!$A$52:$A$71,0),MATCH($A64,'Sport Records'!$B$51:$O$51,0)),"")</f>
        <v/>
      </c>
      <c r="E64" s="110" t="str">
        <f>IFERROR(INDEX('Sport Records'!$B$52:$O$71,MATCH($E$57,'Sport Records'!$A$52:$A$71,0),MATCH($A64,'Sport Records'!$B$51:$O$51,0)),"")</f>
        <v/>
      </c>
      <c r="F64" s="110">
        <f>IFERROR(INDEX('Sport Records'!$B$52:$O$71,MATCH($F$57,'Sport Records'!$A$52:$A$71,0),MATCH($A64,'Sport Records'!$B$51:$O$51,0)),"")</f>
        <v>1</v>
      </c>
      <c r="G64" s="110">
        <f>IFERROR(INDEX('Sport Records'!$B$52:$O$71,MATCH($G$57,'Sport Records'!$A$52:$A$71,0),MATCH($A64,'Sport Records'!$B$51:$O$51,0)),"")</f>
        <v>0</v>
      </c>
      <c r="H64" s="110" t="str">
        <f>IFERROR(INDEX('Sport Records'!$B$52:$O$71,MATCH($H$57,'Sport Records'!$A$52:$A$71,0),MATCH($A64,'Sport Records'!$B$51:$O$51,0)),"")</f>
        <v/>
      </c>
      <c r="I64" s="110" t="str">
        <f>IFERROR(INDEX('Sport Records'!$B$52:$O$71,MATCH($I$57,'Sport Records'!$A$52:$A$71,0),MATCH($A64,'Sport Records'!$B$51:$O$51,0)),"")</f>
        <v/>
      </c>
      <c r="J64" s="110" t="str">
        <f>IFERROR(INDEX('Sport Records'!$B$52:$O$71,MATCH($J$57,'Sport Records'!$A$52:$A$71,0),MATCH($A64,'Sport Records'!$B$51:$O$51,0)),"")</f>
        <v/>
      </c>
      <c r="K64" s="110" t="str">
        <f>IFERROR(INDEX('Sport Records'!$B$52:$O$71,MATCH($K$57,'Sport Records'!$A$52:$A$71,0),MATCH($A64,'Sport Records'!$B$51:$O$51,0)),"")</f>
        <v/>
      </c>
      <c r="L64" s="110" t="str">
        <f>IFERROR(INDEX('Sport Records'!$B$52:$O$71,MATCH($L$57,'Sport Records'!$A$52:$A$71,0),MATCH($A64,'Sport Records'!$B$51:$O$51,0)),"")</f>
        <v/>
      </c>
      <c r="M64" s="110">
        <f>IFERROR(INDEX('Sport Records'!$B$52:$O$71,MATCH($M$57,'Sport Records'!$A$52:$A$71,0),MATCH($A64,'Sport Records'!$B$51:$O$51,0)),"")</f>
        <v>0</v>
      </c>
      <c r="N64" s="110" t="str">
        <f>IFERROR(INDEX('Sport Records'!$B$52:$O$71,MATCH($N$57,'Sport Records'!$A$52:$A$71,0),MATCH($A64,'Sport Records'!$B$51:$O$51,0)),"")</f>
        <v/>
      </c>
      <c r="O64" s="110" t="str">
        <f>IFERROR(INDEX('Sport Records'!$B$52:$O$71,MATCH($O$57,'Sport Records'!$A$52:$A$71,0),MATCH($A64,'Sport Records'!$B$51:$O$51,0)),"")</f>
        <v/>
      </c>
      <c r="P64" s="110" t="str">
        <f>IFERROR(INDEX('Sport Records'!$B$52:$O$71,MATCH($P$57,'Sport Records'!$A$52:$A$71,0),MATCH($A64,'Sport Records'!$B$51:$O$51,0)),"")</f>
        <v/>
      </c>
      <c r="Q64" s="110" t="str">
        <f>IFERROR(INDEX('Sport Records'!$B$52:$O$71,MATCH($Q$57,'Sport Records'!$A$52:$A$71,0),MATCH($A64,'Sport Records'!$B$51:$O$51,0)),"")</f>
        <v/>
      </c>
      <c r="R64" s="110" t="str">
        <f>IFERROR(INDEX('Sport Records'!$B$52:$O$71,MATCH($R$57,'Sport Records'!$A$52:$A$71,0),MATCH($A64,'Sport Records'!$B$51:$O$51,0)),"")</f>
        <v/>
      </c>
      <c r="S64" s="110">
        <f>IFERROR(INDEX('Sport Records'!$B$52:$O$71,MATCH($S$57,'Sport Records'!$A$52:$A$71,0),MATCH($A64,'Sport Records'!$B$51:$O$51,0)),"")</f>
        <v>0.72727272727272729</v>
      </c>
      <c r="T64" s="110" t="str">
        <f>IFERROR(INDEX('Sport Records'!$B$52:$O$71,MATCH($T$57,'Sport Records'!$A$52:$A$71,0),MATCH($A64,'Sport Records'!$B$51:$O$51,0)),"")</f>
        <v/>
      </c>
      <c r="U64" s="26" t="str">
        <f>IFERROR(INDEX('Sport Records'!$B$52:$O$71,MATCH($U$57,'Sport Records'!$A$52:$A$71,0),MATCH($A64,'Sport Records'!$B$51:$O$51,0)),"")</f>
        <v/>
      </c>
    </row>
    <row r="65" spans="1:21" ht="15.75" customHeight="1" x14ac:dyDescent="0.2">
      <c r="A65" s="86" t="s">
        <v>170</v>
      </c>
      <c r="B65" s="110">
        <f>IFERROR(INDEX('Sport Records'!$B$52:$O$71,MATCH($B$57,'Sport Records'!$A$52:$A$71,0),MATCH($A65,'Sport Records'!$B$51:$O$51,0)),"")</f>
        <v>0</v>
      </c>
      <c r="C65" s="110" t="str">
        <f>IFERROR(INDEX('Sport Records'!$B$52:$O$71,MATCH($C$57,'Sport Records'!$A$52:$A$71,0),MATCH($A65,'Sport Records'!$B$51:$O$51,0)),"")</f>
        <v/>
      </c>
      <c r="D65" s="110">
        <f>IFERROR(INDEX('Sport Records'!$B$52:$O$71,MATCH($D$57,'Sport Records'!$A$52:$A$71,0),MATCH($A65,'Sport Records'!$B$51:$O$51,0)),"")</f>
        <v>0.44444444444444442</v>
      </c>
      <c r="E65" s="110" t="str">
        <f>IFERROR(INDEX('Sport Records'!$B$52:$O$71,MATCH($E$57,'Sport Records'!$A$52:$A$71,0),MATCH($A65,'Sport Records'!$B$51:$O$51,0)),"")</f>
        <v/>
      </c>
      <c r="F65" s="110">
        <f>IFERROR(INDEX('Sport Records'!$B$52:$O$71,MATCH($F$57,'Sport Records'!$A$52:$A$71,0),MATCH($A65,'Sport Records'!$B$51:$O$51,0)),"")</f>
        <v>0.5</v>
      </c>
      <c r="G65" s="110">
        <f>IFERROR(INDEX('Sport Records'!$B$52:$O$71,MATCH($G$57,'Sport Records'!$A$52:$A$71,0),MATCH($A65,'Sport Records'!$B$51:$O$51,0)),"")</f>
        <v>0</v>
      </c>
      <c r="H65" s="110" t="str">
        <f>IFERROR(INDEX('Sport Records'!$B$52:$O$71,MATCH($H$57,'Sport Records'!$A$52:$A$71,0),MATCH($A65,'Sport Records'!$B$51:$O$51,0)),"")</f>
        <v/>
      </c>
      <c r="I65" s="110" t="str">
        <f>IFERROR(INDEX('Sport Records'!$B$52:$O$71,MATCH($I$57,'Sport Records'!$A$52:$A$71,0),MATCH($A65,'Sport Records'!$B$51:$O$51,0)),"")</f>
        <v/>
      </c>
      <c r="J65" s="110" t="str">
        <f>IFERROR(INDEX('Sport Records'!$B$52:$O$71,MATCH($J$57,'Sport Records'!$A$52:$A$71,0),MATCH($A65,'Sport Records'!$B$51:$O$51,0)),"")</f>
        <v/>
      </c>
      <c r="K65" s="110" t="str">
        <f>IFERROR(INDEX('Sport Records'!$B$52:$O$71,MATCH($K$57,'Sport Records'!$A$52:$A$71,0),MATCH($A65,'Sport Records'!$B$51:$O$51,0)),"")</f>
        <v/>
      </c>
      <c r="L65" s="110" t="str">
        <f>IFERROR(INDEX('Sport Records'!$B$52:$O$71,MATCH($L$57,'Sport Records'!$A$52:$A$71,0),MATCH($A65,'Sport Records'!$B$51:$O$51,0)),"")</f>
        <v/>
      </c>
      <c r="M65" s="110">
        <f>IFERROR(INDEX('Sport Records'!$B$52:$O$71,MATCH($M$57,'Sport Records'!$A$52:$A$71,0),MATCH($A65,'Sport Records'!$B$51:$O$51,0)),"")</f>
        <v>0.14285714285714285</v>
      </c>
      <c r="N65" s="110">
        <f>IFERROR(INDEX('Sport Records'!$B$52:$O$71,MATCH($N$57,'Sport Records'!$A$52:$A$71,0),MATCH($A65,'Sport Records'!$B$51:$O$51,0)),"")</f>
        <v>0.83333333333333337</v>
      </c>
      <c r="O65" s="110">
        <f>IFERROR(INDEX('Sport Records'!$B$52:$O$71,MATCH($O$57,'Sport Records'!$A$52:$A$71,0),MATCH($A65,'Sport Records'!$B$51:$O$51,0)),"")</f>
        <v>0.2857142857142857</v>
      </c>
      <c r="P65" s="110" t="str">
        <f>IFERROR(INDEX('Sport Records'!$B$52:$O$71,MATCH($P$57,'Sport Records'!$A$52:$A$71,0),MATCH($A65,'Sport Records'!$B$51:$O$51,0)),"")</f>
        <v/>
      </c>
      <c r="Q65" s="110">
        <f>IFERROR(INDEX('Sport Records'!$B$52:$O$71,MATCH($Q$57,'Sport Records'!$A$52:$A$71,0),MATCH($A65,'Sport Records'!$B$51:$O$51,0)),"")</f>
        <v>1</v>
      </c>
      <c r="R65" s="110">
        <f>IFERROR(INDEX('Sport Records'!$B$52:$O$71,MATCH($R$57,'Sport Records'!$A$52:$A$71,0),MATCH($A65,'Sport Records'!$B$51:$O$51,0)),"")</f>
        <v>0</v>
      </c>
      <c r="S65" s="110">
        <f>IFERROR(INDEX('Sport Records'!$B$52:$O$71,MATCH($S$57,'Sport Records'!$A$52:$A$71,0),MATCH($A65,'Sport Records'!$B$51:$O$51,0)),"")</f>
        <v>0.55555555555555558</v>
      </c>
      <c r="T65" s="110">
        <f>IFERROR(INDEX('Sport Records'!$B$52:$O$71,MATCH($T$57,'Sport Records'!$A$52:$A$71,0),MATCH($A65,'Sport Records'!$B$51:$O$51,0)),"")</f>
        <v>0.5</v>
      </c>
      <c r="U65" s="26" t="str">
        <f>IFERROR(INDEX('Sport Records'!$B$52:$O$71,MATCH($U$57,'Sport Records'!$A$52:$A$71,0),MATCH($A65,'Sport Records'!$B$51:$O$51,0)),"")</f>
        <v/>
      </c>
    </row>
    <row r="66" spans="1:21" x14ac:dyDescent="0.2">
      <c r="A66" s="86" t="s">
        <v>167</v>
      </c>
      <c r="B66" s="110" t="str">
        <f>IFERROR(INDEX('Sport Records'!$B$52:$O$71,MATCH($B$57,'Sport Records'!$A$52:$A$71,0),MATCH($A66,'Sport Records'!$B$51:$O$51,0)),"")</f>
        <v/>
      </c>
      <c r="C66" s="110" t="str">
        <f>IFERROR(INDEX('Sport Records'!$B$52:$O$71,MATCH($C$57,'Sport Records'!$A$52:$A$71,0),MATCH($A66,'Sport Records'!$B$51:$O$51,0)),"")</f>
        <v/>
      </c>
      <c r="D66" s="110" t="str">
        <f>IFERROR(INDEX('Sport Records'!$B$52:$O$71,MATCH($D$57,'Sport Records'!$A$52:$A$71,0),MATCH($A66,'Sport Records'!$B$51:$O$51,0)),"")</f>
        <v/>
      </c>
      <c r="E66" s="110" t="str">
        <f>IFERROR(INDEX('Sport Records'!$B$52:$O$71,MATCH($E$57,'Sport Records'!$A$52:$A$71,0),MATCH($A66,'Sport Records'!$B$51:$O$51,0)),"")</f>
        <v/>
      </c>
      <c r="F66" s="110">
        <f>IFERROR(INDEX('Sport Records'!$B$52:$O$71,MATCH($F$57,'Sport Records'!$A$52:$A$71,0),MATCH($A66,'Sport Records'!$B$51:$O$51,0)),"")</f>
        <v>0.5</v>
      </c>
      <c r="G66" s="110" t="str">
        <f>IFERROR(INDEX('Sport Records'!$B$52:$O$71,MATCH($G$57,'Sport Records'!$A$52:$A$71,0),MATCH($A66,'Sport Records'!$B$51:$O$51,0)),"")</f>
        <v/>
      </c>
      <c r="H66" s="110" t="str">
        <f>IFERROR(INDEX('Sport Records'!$B$52:$O$71,MATCH($H$57,'Sport Records'!$A$52:$A$71,0),MATCH($A66,'Sport Records'!$B$51:$O$51,0)),"")</f>
        <v/>
      </c>
      <c r="I66" s="110" t="str">
        <f>IFERROR(INDEX('Sport Records'!$B$52:$O$71,MATCH($I$57,'Sport Records'!$A$52:$A$71,0),MATCH($A66,'Sport Records'!$B$51:$O$51,0)),"")</f>
        <v/>
      </c>
      <c r="J66" s="110" t="str">
        <f>IFERROR(INDEX('Sport Records'!$B$52:$O$71,MATCH($J$57,'Sport Records'!$A$52:$A$71,0),MATCH($A66,'Sport Records'!$B$51:$O$51,0)),"")</f>
        <v/>
      </c>
      <c r="K66" s="110" t="str">
        <f>IFERROR(INDEX('Sport Records'!$B$52:$O$71,MATCH($K$57,'Sport Records'!$A$52:$A$71,0),MATCH($A66,'Sport Records'!$B$51:$O$51,0)),"")</f>
        <v/>
      </c>
      <c r="L66" s="110" t="str">
        <f>IFERROR(INDEX('Sport Records'!$B$52:$O$71,MATCH($L$57,'Sport Records'!$A$52:$A$71,0),MATCH($A66,'Sport Records'!$B$51:$O$51,0)),"")</f>
        <v/>
      </c>
      <c r="M66" s="110">
        <f>IFERROR(INDEX('Sport Records'!$B$52:$O$71,MATCH($M$57,'Sport Records'!$A$52:$A$71,0),MATCH($A66,'Sport Records'!$B$51:$O$51,0)),"")</f>
        <v>0.8</v>
      </c>
      <c r="N66" s="110" t="str">
        <f>IFERROR(INDEX('Sport Records'!$B$52:$O$71,MATCH($N$57,'Sport Records'!$A$52:$A$71,0),MATCH($A66,'Sport Records'!$B$51:$O$51,0)),"")</f>
        <v/>
      </c>
      <c r="O66" s="110" t="str">
        <f>IFERROR(INDEX('Sport Records'!$B$52:$O$71,MATCH($O$57,'Sport Records'!$A$52:$A$71,0),MATCH($A66,'Sport Records'!$B$51:$O$51,0)),"")</f>
        <v/>
      </c>
      <c r="P66" s="110" t="str">
        <f>IFERROR(INDEX('Sport Records'!$B$52:$O$71,MATCH($P$57,'Sport Records'!$A$52:$A$71,0),MATCH($A66,'Sport Records'!$B$51:$O$51,0)),"")</f>
        <v/>
      </c>
      <c r="Q66" s="110" t="str">
        <f>IFERROR(INDEX('Sport Records'!$B$52:$O$71,MATCH($Q$57,'Sport Records'!$A$52:$A$71,0),MATCH($A66,'Sport Records'!$B$51:$O$51,0)),"")</f>
        <v/>
      </c>
      <c r="R66" s="110" t="str">
        <f>IFERROR(INDEX('Sport Records'!$B$52:$O$71,MATCH($R$57,'Sport Records'!$A$52:$A$71,0),MATCH($A66,'Sport Records'!$B$51:$O$51,0)),"")</f>
        <v/>
      </c>
      <c r="S66" s="110">
        <f>IFERROR(INDEX('Sport Records'!$B$52:$O$71,MATCH($S$57,'Sport Records'!$A$52:$A$71,0),MATCH($A66,'Sport Records'!$B$51:$O$51,0)),"")</f>
        <v>0.7</v>
      </c>
      <c r="T66" s="110" t="str">
        <f>IFERROR(INDEX('Sport Records'!$B$52:$O$71,MATCH($T$57,'Sport Records'!$A$52:$A$71,0),MATCH($A66,'Sport Records'!$B$51:$O$51,0)),"")</f>
        <v/>
      </c>
      <c r="U66" s="26" t="str">
        <f>IFERROR(INDEX('Sport Records'!$B$52:$O$71,MATCH($U$57,'Sport Records'!$A$52:$A$71,0),MATCH($A66,'Sport Records'!$B$51:$O$51,0)),"")</f>
        <v/>
      </c>
    </row>
    <row r="67" spans="1:21" x14ac:dyDescent="0.2">
      <c r="A67" s="86" t="s">
        <v>175</v>
      </c>
      <c r="B67" s="110" t="str">
        <f>IFERROR(INDEX('Sport Records'!$B$52:$O$71,MATCH($B$57,'Sport Records'!$A$52:$A$71,0),MATCH($A67,'Sport Records'!$B$51:$O$51,0)),"")</f>
        <v/>
      </c>
      <c r="C67" s="110" t="str">
        <f>IFERROR(INDEX('Sport Records'!$B$52:$O$71,MATCH($C$57,'Sport Records'!$A$52:$A$71,0),MATCH($A67,'Sport Records'!$B$51:$O$51,0)),"")</f>
        <v/>
      </c>
      <c r="D67" s="110" t="str">
        <f>IFERROR(INDEX('Sport Records'!$B$52:$O$71,MATCH($D$57,'Sport Records'!$A$52:$A$71,0),MATCH($A67,'Sport Records'!$B$51:$O$51,0)),"")</f>
        <v/>
      </c>
      <c r="E67" s="110" t="str">
        <f>IFERROR(INDEX('Sport Records'!$B$52:$O$71,MATCH($E$57,'Sport Records'!$A$52:$A$71,0),MATCH($A67,'Sport Records'!$B$51:$O$51,0)),"")</f>
        <v/>
      </c>
      <c r="F67" s="110">
        <f>IFERROR(INDEX('Sport Records'!$B$52:$O$71,MATCH($F$57,'Sport Records'!$A$52:$A$71,0),MATCH($A67,'Sport Records'!$B$51:$O$51,0)),"")</f>
        <v>0</v>
      </c>
      <c r="G67" s="110" t="str">
        <f>IFERROR(INDEX('Sport Records'!$B$52:$O$71,MATCH($G$57,'Sport Records'!$A$52:$A$71,0),MATCH($A67,'Sport Records'!$B$51:$O$51,0)),"")</f>
        <v/>
      </c>
      <c r="H67" s="110" t="str">
        <f>IFERROR(INDEX('Sport Records'!$B$52:$O$71,MATCH($H$57,'Sport Records'!$A$52:$A$71,0),MATCH($A67,'Sport Records'!$B$51:$O$51,0)),"")</f>
        <v/>
      </c>
      <c r="I67" s="110" t="str">
        <f>IFERROR(INDEX('Sport Records'!$B$52:$O$71,MATCH($I$57,'Sport Records'!$A$52:$A$71,0),MATCH($A67,'Sport Records'!$B$51:$O$51,0)),"")</f>
        <v/>
      </c>
      <c r="J67" s="110" t="str">
        <f>IFERROR(INDEX('Sport Records'!$B$52:$O$71,MATCH($J$57,'Sport Records'!$A$52:$A$71,0),MATCH($A67,'Sport Records'!$B$51:$O$51,0)),"")</f>
        <v/>
      </c>
      <c r="K67" s="110" t="str">
        <f>IFERROR(INDEX('Sport Records'!$B$52:$O$71,MATCH($K$57,'Sport Records'!$A$52:$A$71,0),MATCH($A67,'Sport Records'!$B$51:$O$51,0)),"")</f>
        <v/>
      </c>
      <c r="L67" s="110" t="str">
        <f>IFERROR(INDEX('Sport Records'!$B$52:$O$71,MATCH($L$57,'Sport Records'!$A$52:$A$71,0),MATCH($A67,'Sport Records'!$B$51:$O$51,0)),"")</f>
        <v/>
      </c>
      <c r="M67" s="110">
        <f>IFERROR(INDEX('Sport Records'!$B$52:$O$71,MATCH($M$57,'Sport Records'!$A$52:$A$71,0),MATCH($A67,'Sport Records'!$B$51:$O$51,0)),"")</f>
        <v>0</v>
      </c>
      <c r="N67" s="110" t="str">
        <f>IFERROR(INDEX('Sport Records'!$B$52:$O$71,MATCH($N$57,'Sport Records'!$A$52:$A$71,0),MATCH($A67,'Sport Records'!$B$51:$O$51,0)),"")</f>
        <v/>
      </c>
      <c r="O67" s="110" t="str">
        <f>IFERROR(INDEX('Sport Records'!$B$52:$O$71,MATCH($O$57,'Sport Records'!$A$52:$A$71,0),MATCH($A67,'Sport Records'!$B$51:$O$51,0)),"")</f>
        <v/>
      </c>
      <c r="P67" s="110" t="str">
        <f>IFERROR(INDEX('Sport Records'!$B$52:$O$71,MATCH($P$57,'Sport Records'!$A$52:$A$71,0),MATCH($A67,'Sport Records'!$B$51:$O$51,0)),"")</f>
        <v/>
      </c>
      <c r="Q67" s="110" t="str">
        <f>IFERROR(INDEX('Sport Records'!$B$52:$O$71,MATCH($Q$57,'Sport Records'!$A$52:$A$71,0),MATCH($A67,'Sport Records'!$B$51:$O$51,0)),"")</f>
        <v/>
      </c>
      <c r="R67" s="110" t="str">
        <f>IFERROR(INDEX('Sport Records'!$B$52:$O$71,MATCH($R$57,'Sport Records'!$A$52:$A$71,0),MATCH($A67,'Sport Records'!$B$51:$O$51,0)),"")</f>
        <v/>
      </c>
      <c r="S67" s="110">
        <f>IFERROR(INDEX('Sport Records'!$B$52:$O$71,MATCH($S$57,'Sport Records'!$A$52:$A$71,0),MATCH($A67,'Sport Records'!$B$51:$O$51,0)),"")</f>
        <v>0.2857142857142857</v>
      </c>
      <c r="T67" s="110" t="str">
        <f>IFERROR(INDEX('Sport Records'!$B$52:$O$71,MATCH($T$57,'Sport Records'!$A$52:$A$71,0),MATCH($A67,'Sport Records'!$B$51:$O$51,0)),"")</f>
        <v/>
      </c>
      <c r="U67" s="26" t="str">
        <f>IFERROR(INDEX('Sport Records'!$B$52:$O$71,MATCH($U$57,'Sport Records'!$A$52:$A$71,0),MATCH($A67,'Sport Records'!$B$51:$O$51,0)),"")</f>
        <v/>
      </c>
    </row>
    <row r="68" spans="1:21" x14ac:dyDescent="0.2">
      <c r="A68" s="86" t="s">
        <v>169</v>
      </c>
      <c r="B68" s="110" t="str">
        <f>IFERROR(INDEX('Sport Records'!$B$52:$O$71,MATCH($B$57,'Sport Records'!$A$52:$A$71,0),MATCH($A68,'Sport Records'!$B$51:$O$51,0)),"")</f>
        <v/>
      </c>
      <c r="C68" s="110" t="str">
        <f>IFERROR(INDEX('Sport Records'!$B$52:$O$71,MATCH($C$57,'Sport Records'!$A$52:$A$71,0),MATCH($A68,'Sport Records'!$B$51:$O$51,0)),"")</f>
        <v/>
      </c>
      <c r="D68" s="110">
        <f>IFERROR(INDEX('Sport Records'!$B$52:$O$71,MATCH($D$57,'Sport Records'!$A$52:$A$71,0),MATCH($A68,'Sport Records'!$B$51:$O$51,0)),"")</f>
        <v>0.33333333333333331</v>
      </c>
      <c r="E68" s="110" t="str">
        <f>IFERROR(INDEX('Sport Records'!$B$52:$O$71,MATCH($E$57,'Sport Records'!$A$52:$A$71,0),MATCH($A68,'Sport Records'!$B$51:$O$51,0)),"")</f>
        <v/>
      </c>
      <c r="F68" s="110">
        <f>IFERROR(INDEX('Sport Records'!$B$52:$O$71,MATCH($F$57,'Sport Records'!$A$52:$A$71,0),MATCH($A68,'Sport Records'!$B$51:$O$51,0)),"")</f>
        <v>0.5</v>
      </c>
      <c r="G68" s="110">
        <f>IFERROR(INDEX('Sport Records'!$B$52:$O$71,MATCH($G$57,'Sport Records'!$A$52:$A$71,0),MATCH($A68,'Sport Records'!$B$51:$O$51,0)),"")</f>
        <v>0</v>
      </c>
      <c r="H68" s="110" t="str">
        <f>IFERROR(INDEX('Sport Records'!$B$52:$O$71,MATCH($H$57,'Sport Records'!$A$52:$A$71,0),MATCH($A68,'Sport Records'!$B$51:$O$51,0)),"")</f>
        <v/>
      </c>
      <c r="I68" s="110" t="str">
        <f>IFERROR(INDEX('Sport Records'!$B$52:$O$71,MATCH($I$57,'Sport Records'!$A$52:$A$71,0),MATCH($A68,'Sport Records'!$B$51:$O$51,0)),"")</f>
        <v/>
      </c>
      <c r="J68" s="110">
        <f>IFERROR(INDEX('Sport Records'!$B$52:$O$71,MATCH($J$57,'Sport Records'!$A$52:$A$71,0),MATCH($A68,'Sport Records'!$B$51:$O$51,0)),"")</f>
        <v>0</v>
      </c>
      <c r="K68" s="110" t="str">
        <f>IFERROR(INDEX('Sport Records'!$B$52:$O$71,MATCH($K$57,'Sport Records'!$A$52:$A$71,0),MATCH($A68,'Sport Records'!$B$51:$O$51,0)),"")</f>
        <v/>
      </c>
      <c r="L68" s="110" t="str">
        <f>IFERROR(INDEX('Sport Records'!$B$52:$O$71,MATCH($L$57,'Sport Records'!$A$52:$A$71,0),MATCH($A68,'Sport Records'!$B$51:$O$51,0)),"")</f>
        <v/>
      </c>
      <c r="M68" s="110">
        <f>IFERROR(INDEX('Sport Records'!$B$52:$O$71,MATCH($M$57,'Sport Records'!$A$52:$A$71,0),MATCH($A68,'Sport Records'!$B$51:$O$51,0)),"")</f>
        <v>0.46153846153846156</v>
      </c>
      <c r="N68" s="110">
        <f>IFERROR(INDEX('Sport Records'!$B$52:$O$71,MATCH($N$57,'Sport Records'!$A$52:$A$71,0),MATCH($A68,'Sport Records'!$B$51:$O$51,0)),"")</f>
        <v>0.33333333333333331</v>
      </c>
      <c r="O68" s="110">
        <f>IFERROR(INDEX('Sport Records'!$B$52:$O$71,MATCH($O$57,'Sport Records'!$A$52:$A$71,0),MATCH($A68,'Sport Records'!$B$51:$O$51,0)),"")</f>
        <v>0.7142857142857143</v>
      </c>
      <c r="P68" s="110" t="str">
        <f>IFERROR(INDEX('Sport Records'!$B$52:$O$71,MATCH($P$57,'Sport Records'!$A$52:$A$71,0),MATCH($A68,'Sport Records'!$B$51:$O$51,0)),"")</f>
        <v/>
      </c>
      <c r="Q68" s="110" t="str">
        <f>IFERROR(INDEX('Sport Records'!$B$52:$O$71,MATCH($Q$57,'Sport Records'!$A$52:$A$71,0),MATCH($A68,'Sport Records'!$B$51:$O$51,0)),"")</f>
        <v/>
      </c>
      <c r="R68" s="110" t="str">
        <f>IFERROR(INDEX('Sport Records'!$B$52:$O$71,MATCH($R$57,'Sport Records'!$A$52:$A$71,0),MATCH($A68,'Sport Records'!$B$51:$O$51,0)),"")</f>
        <v/>
      </c>
      <c r="S68" s="110">
        <f>IFERROR(INDEX('Sport Records'!$B$52:$O$71,MATCH($S$57,'Sport Records'!$A$52:$A$71,0),MATCH($A68,'Sport Records'!$B$51:$O$51,0)),"")</f>
        <v>0.41666666666666669</v>
      </c>
      <c r="T68" s="110" t="str">
        <f>IFERROR(INDEX('Sport Records'!$B$52:$O$71,MATCH($T$57,'Sport Records'!$A$52:$A$71,0),MATCH($A68,'Sport Records'!$B$51:$O$51,0)),"")</f>
        <v/>
      </c>
      <c r="U68" s="26" t="str">
        <f>IFERROR(INDEX('Sport Records'!$B$52:$O$71,MATCH($U$57,'Sport Records'!$A$52:$A$71,0),MATCH($A68,'Sport Records'!$B$51:$O$51,0)),"")</f>
        <v/>
      </c>
    </row>
    <row r="69" spans="1:21" x14ac:dyDescent="0.2">
      <c r="A69" s="86" t="s">
        <v>171</v>
      </c>
      <c r="B69" s="110" t="str">
        <f>IFERROR(INDEX('Sport Records'!$B$52:$O$71,MATCH($B$57,'Sport Records'!$A$52:$A$71,0),MATCH($A69,'Sport Records'!$B$51:$O$51,0)),"")</f>
        <v/>
      </c>
      <c r="C69" s="110" t="str">
        <f>IFERROR(INDEX('Sport Records'!$B$52:$O$71,MATCH($C$57,'Sport Records'!$A$52:$A$71,0),MATCH($A69,'Sport Records'!$B$51:$O$51,0)),"")</f>
        <v/>
      </c>
      <c r="D69" s="110" t="str">
        <f>IFERROR(INDEX('Sport Records'!$B$52:$O$71,MATCH($D$57,'Sport Records'!$A$52:$A$71,0),MATCH($A69,'Sport Records'!$B$51:$O$51,0)),"")</f>
        <v/>
      </c>
      <c r="E69" s="110" t="str">
        <f>IFERROR(INDEX('Sport Records'!$B$52:$O$71,MATCH($E$57,'Sport Records'!$A$52:$A$71,0),MATCH($A69,'Sport Records'!$B$51:$O$51,0)),"")</f>
        <v/>
      </c>
      <c r="F69" s="110" t="str">
        <f>IFERROR(INDEX('Sport Records'!$B$52:$O$71,MATCH($F$57,'Sport Records'!$A$52:$A$71,0),MATCH($A69,'Sport Records'!$B$51:$O$51,0)),"")</f>
        <v/>
      </c>
      <c r="G69" s="110" t="str">
        <f>IFERROR(INDEX('Sport Records'!$B$52:$O$71,MATCH($G$57,'Sport Records'!$A$52:$A$71,0),MATCH($A69,'Sport Records'!$B$51:$O$51,0)),"")</f>
        <v/>
      </c>
      <c r="H69" s="110" t="str">
        <f>IFERROR(INDEX('Sport Records'!$B$52:$O$71,MATCH($H$57,'Sport Records'!$A$52:$A$71,0),MATCH($A69,'Sport Records'!$B$51:$O$51,0)),"")</f>
        <v/>
      </c>
      <c r="I69" s="110" t="str">
        <f>IFERROR(INDEX('Sport Records'!$B$52:$O$71,MATCH($I$57,'Sport Records'!$A$52:$A$71,0),MATCH($A69,'Sport Records'!$B$51:$O$51,0)),"")</f>
        <v/>
      </c>
      <c r="J69" s="110" t="str">
        <f>IFERROR(INDEX('Sport Records'!$B$52:$O$71,MATCH($J$57,'Sport Records'!$A$52:$A$71,0),MATCH($A69,'Sport Records'!$B$51:$O$51,0)),"")</f>
        <v/>
      </c>
      <c r="K69" s="110" t="str">
        <f>IFERROR(INDEX('Sport Records'!$B$52:$O$71,MATCH($K$57,'Sport Records'!$A$52:$A$71,0),MATCH($A69,'Sport Records'!$B$51:$O$51,0)),"")</f>
        <v/>
      </c>
      <c r="L69" s="110" t="str">
        <f>IFERROR(INDEX('Sport Records'!$B$52:$O$71,MATCH($L$57,'Sport Records'!$A$52:$A$71,0),MATCH($A69,'Sport Records'!$B$51:$O$51,0)),"")</f>
        <v/>
      </c>
      <c r="M69" s="110" t="str">
        <f>IFERROR(INDEX('Sport Records'!$B$52:$O$71,MATCH($M$57,'Sport Records'!$A$52:$A$71,0),MATCH($A69,'Sport Records'!$B$51:$O$51,0)),"")</f>
        <v/>
      </c>
      <c r="N69" s="110" t="str">
        <f>IFERROR(INDEX('Sport Records'!$B$52:$O$71,MATCH($N$57,'Sport Records'!$A$52:$A$71,0),MATCH($A69,'Sport Records'!$B$51:$O$51,0)),"")</f>
        <v/>
      </c>
      <c r="O69" s="110" t="str">
        <f>IFERROR(INDEX('Sport Records'!$B$52:$O$71,MATCH($O$57,'Sport Records'!$A$52:$A$71,0),MATCH($A69,'Sport Records'!$B$51:$O$51,0)),"")</f>
        <v/>
      </c>
      <c r="P69" s="110" t="str">
        <f>IFERROR(INDEX('Sport Records'!$B$52:$O$71,MATCH($P$57,'Sport Records'!$A$52:$A$71,0),MATCH($A69,'Sport Records'!$B$51:$O$51,0)),"")</f>
        <v/>
      </c>
      <c r="Q69" s="110" t="str">
        <f>IFERROR(INDEX('Sport Records'!$B$52:$O$71,MATCH($Q$57,'Sport Records'!$A$52:$A$71,0),MATCH($A69,'Sport Records'!$B$51:$O$51,0)),"")</f>
        <v/>
      </c>
      <c r="R69" s="110" t="str">
        <f>IFERROR(INDEX('Sport Records'!$B$52:$O$71,MATCH($R$57,'Sport Records'!$A$52:$A$71,0),MATCH($A69,'Sport Records'!$B$51:$O$51,0)),"")</f>
        <v/>
      </c>
      <c r="S69" s="110">
        <f>IFERROR(INDEX('Sport Records'!$B$52:$O$71,MATCH($S$57,'Sport Records'!$A$52:$A$71,0),MATCH($A69,'Sport Records'!$B$51:$O$51,0)),"")</f>
        <v>0.4</v>
      </c>
      <c r="T69" s="110" t="str">
        <f>IFERROR(INDEX('Sport Records'!$B$52:$O$71,MATCH($T$57,'Sport Records'!$A$52:$A$71,0),MATCH($A69,'Sport Records'!$B$51:$O$51,0)),"")</f>
        <v/>
      </c>
      <c r="U69" s="26" t="str">
        <f>IFERROR(INDEX('Sport Records'!$B$52:$O$71,MATCH($U$57,'Sport Records'!$A$52:$A$71,0),MATCH($A69,'Sport Records'!$B$51:$O$51,0)),"")</f>
        <v/>
      </c>
    </row>
    <row r="70" spans="1:21" x14ac:dyDescent="0.2">
      <c r="A70" s="86" t="s">
        <v>172</v>
      </c>
      <c r="B70" s="110" t="str">
        <f>IFERROR(INDEX('Sport Records'!$B$52:$O$71,MATCH($B$57,'Sport Records'!$A$52:$A$71,0),MATCH($A70,'Sport Records'!$B$51:$O$51,0)),"")</f>
        <v/>
      </c>
      <c r="C70" s="110" t="str">
        <f>IFERROR(INDEX('Sport Records'!$B$52:$O$71,MATCH($C$57,'Sport Records'!$A$52:$A$71,0),MATCH($A70,'Sport Records'!$B$51:$O$51,0)),"")</f>
        <v/>
      </c>
      <c r="D70" s="110" t="str">
        <f>IFERROR(INDEX('Sport Records'!$B$52:$O$71,MATCH($D$57,'Sport Records'!$A$52:$A$71,0),MATCH($A70,'Sport Records'!$B$51:$O$51,0)),"")</f>
        <v/>
      </c>
      <c r="E70" s="110" t="str">
        <f>IFERROR(INDEX('Sport Records'!$B$52:$O$71,MATCH($E$57,'Sport Records'!$A$52:$A$71,0),MATCH($A70,'Sport Records'!$B$51:$O$51,0)),"")</f>
        <v/>
      </c>
      <c r="F70" s="110" t="str">
        <f>IFERROR(INDEX('Sport Records'!$B$52:$O$71,MATCH($F$57,'Sport Records'!$A$52:$A$71,0),MATCH($A70,'Sport Records'!$B$51:$O$51,0)),"")</f>
        <v/>
      </c>
      <c r="G70" s="110" t="str">
        <f>IFERROR(INDEX('Sport Records'!$B$52:$O$71,MATCH($G$57,'Sport Records'!$A$52:$A$71,0),MATCH($A70,'Sport Records'!$B$51:$O$51,0)),"")</f>
        <v/>
      </c>
      <c r="H70" s="110" t="str">
        <f>IFERROR(INDEX('Sport Records'!$B$52:$O$71,MATCH($H$57,'Sport Records'!$A$52:$A$71,0),MATCH($A70,'Sport Records'!$B$51:$O$51,0)),"")</f>
        <v/>
      </c>
      <c r="I70" s="110" t="str">
        <f>IFERROR(INDEX('Sport Records'!$B$52:$O$71,MATCH($I$57,'Sport Records'!$A$52:$A$71,0),MATCH($A70,'Sport Records'!$B$51:$O$51,0)),"")</f>
        <v/>
      </c>
      <c r="J70" s="110" t="str">
        <f>IFERROR(INDEX('Sport Records'!$B$52:$O$71,MATCH($J$57,'Sport Records'!$A$52:$A$71,0),MATCH($A70,'Sport Records'!$B$51:$O$51,0)),"")</f>
        <v/>
      </c>
      <c r="K70" s="110" t="str">
        <f>IFERROR(INDEX('Sport Records'!$B$52:$O$71,MATCH($K$57,'Sport Records'!$A$52:$A$71,0),MATCH($A70,'Sport Records'!$B$51:$O$51,0)),"")</f>
        <v/>
      </c>
      <c r="L70" s="110" t="str">
        <f>IFERROR(INDEX('Sport Records'!$B$52:$O$71,MATCH($L$57,'Sport Records'!$A$52:$A$71,0),MATCH($A70,'Sport Records'!$B$51:$O$51,0)),"")</f>
        <v/>
      </c>
      <c r="M70" s="110" t="str">
        <f>IFERROR(INDEX('Sport Records'!$B$52:$O$71,MATCH($M$57,'Sport Records'!$A$52:$A$71,0),MATCH($A70,'Sport Records'!$B$51:$O$51,0)),"")</f>
        <v/>
      </c>
      <c r="N70" s="110" t="str">
        <f>IFERROR(INDEX('Sport Records'!$B$52:$O$71,MATCH($N$57,'Sport Records'!$A$52:$A$71,0),MATCH($A70,'Sport Records'!$B$51:$O$51,0)),"")</f>
        <v/>
      </c>
      <c r="O70" s="110" t="str">
        <f>IFERROR(INDEX('Sport Records'!$B$52:$O$71,MATCH($O$57,'Sport Records'!$A$52:$A$71,0),MATCH($A70,'Sport Records'!$B$51:$O$51,0)),"")</f>
        <v/>
      </c>
      <c r="P70" s="110" t="str">
        <f>IFERROR(INDEX('Sport Records'!$B$52:$O$71,MATCH($P$57,'Sport Records'!$A$52:$A$71,0),MATCH($A70,'Sport Records'!$B$51:$O$51,0)),"")</f>
        <v/>
      </c>
      <c r="Q70" s="110" t="str">
        <f>IFERROR(INDEX('Sport Records'!$B$52:$O$71,MATCH($Q$57,'Sport Records'!$A$52:$A$71,0),MATCH($A70,'Sport Records'!$B$51:$O$51,0)),"")</f>
        <v/>
      </c>
      <c r="R70" s="110" t="str">
        <f>IFERROR(INDEX('Sport Records'!$B$52:$O$71,MATCH($R$57,'Sport Records'!$A$52:$A$71,0),MATCH($A70,'Sport Records'!$B$51:$O$51,0)),"")</f>
        <v/>
      </c>
      <c r="S70" s="110">
        <f>IFERROR(INDEX('Sport Records'!$B$52:$O$71,MATCH($S$57,'Sport Records'!$A$52:$A$71,0),MATCH($A70,'Sport Records'!$B$51:$O$51,0)),"")</f>
        <v>0.5</v>
      </c>
      <c r="T70" s="110" t="str">
        <f>IFERROR(INDEX('Sport Records'!$B$52:$O$71,MATCH($T$57,'Sport Records'!$A$52:$A$71,0),MATCH($A70,'Sport Records'!$B$51:$O$51,0)),"")</f>
        <v/>
      </c>
      <c r="U70" s="26" t="str">
        <f>IFERROR(INDEX('Sport Records'!$B$52:$O$71,MATCH($U$57,'Sport Records'!$A$52:$A$71,0),MATCH($A70,'Sport Records'!$B$51:$O$51,0)),"")</f>
        <v/>
      </c>
    </row>
    <row r="71" spans="1:21" x14ac:dyDescent="0.2">
      <c r="A71" s="86" t="s">
        <v>174</v>
      </c>
      <c r="B71" s="110" t="str">
        <f>IFERROR(INDEX('Sport Records'!$B$52:$O$71,MATCH($B$57,'Sport Records'!$A$52:$A$71,0),MATCH($A71,'Sport Records'!$B$51:$O$51,0)),"")</f>
        <v/>
      </c>
      <c r="C71" s="110" t="str">
        <f>IFERROR(INDEX('Sport Records'!$B$52:$O$71,MATCH($C$57,'Sport Records'!$A$52:$A$71,0),MATCH($A71,'Sport Records'!$B$51:$O$51,0)),"")</f>
        <v/>
      </c>
      <c r="D71" s="110" t="str">
        <f>IFERROR(INDEX('Sport Records'!$B$52:$O$71,MATCH($D$57,'Sport Records'!$A$52:$A$71,0),MATCH($A71,'Sport Records'!$B$51:$O$51,0)),"")</f>
        <v/>
      </c>
      <c r="E71" s="110" t="str">
        <f>IFERROR(INDEX('Sport Records'!$B$52:$O$71,MATCH($E$57,'Sport Records'!$A$52:$A$71,0),MATCH($A71,'Sport Records'!$B$51:$O$51,0)),"")</f>
        <v/>
      </c>
      <c r="F71" s="110" t="str">
        <f>IFERROR(INDEX('Sport Records'!$B$52:$O$71,MATCH($F$57,'Sport Records'!$A$52:$A$71,0),MATCH($A71,'Sport Records'!$B$51:$O$51,0)),"")</f>
        <v/>
      </c>
      <c r="G71" s="110" t="str">
        <f>IFERROR(INDEX('Sport Records'!$B$52:$O$71,MATCH($G$57,'Sport Records'!$A$52:$A$71,0),MATCH($A71,'Sport Records'!$B$51:$O$51,0)),"")</f>
        <v/>
      </c>
      <c r="H71" s="110" t="str">
        <f>IFERROR(INDEX('Sport Records'!$B$52:$O$71,MATCH($H$57,'Sport Records'!$A$52:$A$71,0),MATCH($A71,'Sport Records'!$B$51:$O$51,0)),"")</f>
        <v/>
      </c>
      <c r="I71" s="110" t="str">
        <f>IFERROR(INDEX('Sport Records'!$B$52:$O$71,MATCH($I$57,'Sport Records'!$A$52:$A$71,0),MATCH($A71,'Sport Records'!$B$51:$O$51,0)),"")</f>
        <v/>
      </c>
      <c r="J71" s="110" t="str">
        <f>IFERROR(INDEX('Sport Records'!$B$52:$O$71,MATCH($J$57,'Sport Records'!$A$52:$A$71,0),MATCH($A71,'Sport Records'!$B$51:$O$51,0)),"")</f>
        <v/>
      </c>
      <c r="K71" s="110" t="str">
        <f>IFERROR(INDEX('Sport Records'!$B$52:$O$71,MATCH($K$57,'Sport Records'!$A$52:$A$71,0),MATCH($A71,'Sport Records'!$B$51:$O$51,0)),"")</f>
        <v/>
      </c>
      <c r="L71" s="110" t="str">
        <f>IFERROR(INDEX('Sport Records'!$B$52:$O$71,MATCH($L$57,'Sport Records'!$A$52:$A$71,0),MATCH($A71,'Sport Records'!$B$51:$O$51,0)),"")</f>
        <v/>
      </c>
      <c r="M71" s="110" t="str">
        <f>IFERROR(INDEX('Sport Records'!$B$52:$O$71,MATCH($M$57,'Sport Records'!$A$52:$A$71,0),MATCH($A71,'Sport Records'!$B$51:$O$51,0)),"")</f>
        <v/>
      </c>
      <c r="N71" s="110" t="str">
        <f>IFERROR(INDEX('Sport Records'!$B$52:$O$71,MATCH($N$57,'Sport Records'!$A$52:$A$71,0),MATCH($A71,'Sport Records'!$B$51:$O$51,0)),"")</f>
        <v/>
      </c>
      <c r="O71" s="110" t="str">
        <f>IFERROR(INDEX('Sport Records'!$B$52:$O$71,MATCH($O$57,'Sport Records'!$A$52:$A$71,0),MATCH($A71,'Sport Records'!$B$51:$O$51,0)),"")</f>
        <v/>
      </c>
      <c r="P71" s="110" t="str">
        <f>IFERROR(INDEX('Sport Records'!$B$52:$O$71,MATCH($P$57,'Sport Records'!$A$52:$A$71,0),MATCH($A71,'Sport Records'!$B$51:$O$51,0)),"")</f>
        <v/>
      </c>
      <c r="Q71" s="110" t="str">
        <f>IFERROR(INDEX('Sport Records'!$B$52:$O$71,MATCH($Q$57,'Sport Records'!$A$52:$A$71,0),MATCH($A71,'Sport Records'!$B$51:$O$51,0)),"")</f>
        <v/>
      </c>
      <c r="R71" s="110" t="str">
        <f>IFERROR(INDEX('Sport Records'!$B$52:$O$71,MATCH($R$57,'Sport Records'!$A$52:$A$71,0),MATCH($A71,'Sport Records'!$B$51:$O$51,0)),"")</f>
        <v/>
      </c>
      <c r="S71" s="110" t="str">
        <f>IFERROR(INDEX('Sport Records'!$B$52:$O$71,MATCH($S$57,'Sport Records'!$A$52:$A$71,0),MATCH($A71,'Sport Records'!$B$51:$O$51,0)),"")</f>
        <v/>
      </c>
      <c r="T71" s="110" t="str">
        <f>IFERROR(INDEX('Sport Records'!$B$52:$O$71,MATCH($T$57,'Sport Records'!$A$52:$A$71,0),MATCH($A71,'Sport Records'!$B$51:$O$51,0)),"")</f>
        <v/>
      </c>
      <c r="U71" s="26" t="str">
        <f>IFERROR(INDEX('Sport Records'!$B$52:$O$71,MATCH($U$57,'Sport Records'!$A$52:$A$71,0),MATCH($A71,'Sport Records'!$B$51:$O$51,0)),"")</f>
        <v/>
      </c>
    </row>
    <row r="72" spans="1:21" x14ac:dyDescent="0.2">
      <c r="A72" s="26"/>
      <c r="B72" s="98"/>
      <c r="C72" s="98"/>
      <c r="D72" s="98"/>
      <c r="E72" s="98"/>
      <c r="F72" s="98"/>
      <c r="G72" s="98"/>
      <c r="H72" s="98"/>
      <c r="I72" s="98"/>
      <c r="J72" s="98"/>
      <c r="K72" s="98"/>
      <c r="L72" s="98"/>
      <c r="M72" s="98"/>
      <c r="N72" s="98"/>
      <c r="O72" s="98"/>
      <c r="P72" s="98"/>
      <c r="Q72" s="98"/>
      <c r="R72" s="98"/>
      <c r="S72" s="98"/>
      <c r="T72" s="98"/>
      <c r="U72" s="26"/>
    </row>
    <row r="73" spans="1:21" x14ac:dyDescent="0.2">
      <c r="A73" s="26"/>
      <c r="B73" s="98"/>
      <c r="C73" s="98"/>
      <c r="D73" s="98"/>
      <c r="E73" s="98"/>
      <c r="F73" s="98"/>
      <c r="G73" s="98"/>
      <c r="H73" s="98"/>
      <c r="I73" s="98"/>
      <c r="J73" s="98"/>
      <c r="K73" s="98"/>
      <c r="L73" s="98"/>
      <c r="M73" s="98"/>
      <c r="N73" s="98"/>
      <c r="O73" s="98"/>
      <c r="P73" s="98"/>
      <c r="Q73" s="98"/>
      <c r="R73" s="98"/>
      <c r="S73" s="98"/>
      <c r="T73" s="98"/>
      <c r="U73" s="26"/>
    </row>
    <row r="74" spans="1:21" x14ac:dyDescent="0.2">
      <c r="A74" s="26"/>
      <c r="B74" s="98"/>
      <c r="C74" s="98"/>
      <c r="D74" s="98"/>
      <c r="E74" s="98"/>
      <c r="F74" s="98"/>
      <c r="G74" s="98"/>
      <c r="H74" s="98"/>
      <c r="I74" s="98"/>
      <c r="J74" s="98"/>
      <c r="K74" s="98"/>
      <c r="L74" s="98"/>
      <c r="M74" s="98"/>
      <c r="N74" s="98"/>
      <c r="O74" s="98"/>
      <c r="P74" s="98"/>
      <c r="Q74" s="98"/>
      <c r="R74" s="98"/>
      <c r="S74" s="98"/>
      <c r="T74" s="98"/>
      <c r="U74" s="26"/>
    </row>
    <row r="75" spans="1:21" x14ac:dyDescent="0.2">
      <c r="A75" s="26"/>
      <c r="B75" s="98"/>
      <c r="C75" s="98"/>
      <c r="D75" s="98"/>
      <c r="E75" s="98"/>
      <c r="F75" s="98"/>
      <c r="G75" s="98"/>
      <c r="H75" s="98"/>
      <c r="I75" s="98"/>
      <c r="J75" s="98"/>
      <c r="K75" s="98"/>
      <c r="L75" s="98"/>
      <c r="M75" s="98"/>
      <c r="N75" s="98"/>
      <c r="O75" s="98"/>
      <c r="P75" s="98"/>
      <c r="Q75" s="98"/>
      <c r="R75" s="98"/>
      <c r="S75" s="98"/>
      <c r="T75" s="98"/>
      <c r="U75" s="26"/>
    </row>
    <row r="76" spans="1:21" x14ac:dyDescent="0.2">
      <c r="A76" s="26"/>
      <c r="B76" s="98"/>
      <c r="C76" s="98"/>
      <c r="D76" s="98"/>
      <c r="E76" s="98"/>
      <c r="F76" s="98"/>
      <c r="G76" s="98"/>
      <c r="H76" s="98"/>
      <c r="I76" s="98"/>
      <c r="J76" s="98"/>
      <c r="K76" s="98"/>
      <c r="L76" s="98"/>
      <c r="M76" s="98"/>
      <c r="N76" s="98"/>
      <c r="O76" s="98"/>
      <c r="P76" s="98"/>
      <c r="Q76" s="98"/>
      <c r="R76" s="98"/>
      <c r="S76" s="98"/>
      <c r="T76" s="98"/>
      <c r="U76" s="26"/>
    </row>
    <row r="77" spans="1:21" x14ac:dyDescent="0.2">
      <c r="A77" s="26"/>
      <c r="B77" s="98"/>
      <c r="C77" s="98"/>
      <c r="D77" s="98"/>
      <c r="E77" s="98"/>
      <c r="F77" s="98"/>
      <c r="G77" s="98"/>
      <c r="H77" s="98"/>
      <c r="I77" s="98"/>
      <c r="J77" s="98"/>
      <c r="K77" s="98"/>
      <c r="L77" s="98"/>
      <c r="M77" s="98"/>
      <c r="N77" s="98"/>
      <c r="O77" s="98"/>
      <c r="P77" s="98"/>
      <c r="Q77" s="98"/>
      <c r="R77" s="98"/>
      <c r="S77" s="98"/>
      <c r="T77" s="98"/>
      <c r="U77" s="26"/>
    </row>
    <row r="78" spans="1:21" x14ac:dyDescent="0.2">
      <c r="A78" s="26"/>
      <c r="B78" s="98"/>
      <c r="C78" s="98"/>
      <c r="D78" s="98"/>
      <c r="E78" s="98"/>
      <c r="F78" s="98"/>
      <c r="G78" s="98"/>
      <c r="H78" s="98"/>
      <c r="I78" s="98"/>
      <c r="J78" s="98"/>
      <c r="K78" s="98"/>
      <c r="L78" s="98"/>
      <c r="M78" s="98"/>
      <c r="N78" s="98"/>
      <c r="O78" s="98"/>
      <c r="P78" s="98"/>
      <c r="Q78" s="98"/>
      <c r="R78" s="98"/>
      <c r="S78" s="98"/>
      <c r="T78" s="98"/>
      <c r="U78" s="26"/>
    </row>
    <row r="79" spans="1:21" x14ac:dyDescent="0.2">
      <c r="A79" s="26"/>
      <c r="B79" s="98"/>
      <c r="C79" s="98"/>
      <c r="D79" s="98"/>
      <c r="E79" s="98"/>
      <c r="F79" s="98"/>
      <c r="G79" s="98"/>
      <c r="H79" s="98"/>
      <c r="I79" s="98"/>
      <c r="J79" s="98"/>
      <c r="K79" s="98"/>
      <c r="L79" s="98"/>
      <c r="M79" s="98"/>
      <c r="N79" s="98"/>
      <c r="O79" s="98"/>
      <c r="P79" s="98"/>
      <c r="Q79" s="98"/>
      <c r="R79" s="98"/>
      <c r="S79" s="98"/>
      <c r="T79" s="98"/>
      <c r="U79" s="26"/>
    </row>
    <row r="80" spans="1:21"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06" activePane="bottomRight" state="frozen"/>
      <selection pane="topRight" activeCell="F1" sqref="F1"/>
      <selection pane="bottomLeft" activeCell="A244" sqref="A244"/>
      <selection pane="bottomRight" activeCell="K332" sqref="K332"/>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1021.558407295008</v>
      </c>
      <c r="I322" s="117">
        <f t="shared" si="87"/>
        <v>0.7142857142857143</v>
      </c>
      <c r="J322" s="118">
        <f>IF($D322="",0,IF($F322&lt;2,0,IF($E322="Win",('Guide &amp; Settings'!$C$42/(($F322-1)*COUNTIFS($A$4:$A$810,$A322,$E$4:$E$810,"Win")))*SUMIFS($X$4:$X$810,$A$4:$A$810,$A322,$E$4:$E$810,"Loss"),-('Guide &amp; Settings'!$C$42/($F322-1))*$X322)))</f>
        <v>-15.624378735819253</v>
      </c>
      <c r="K322" s="118">
        <f>IF($D322="",0,'Guide &amp; Settings'!$C$43*(IF($E322="Win",1,0)-$I322))</f>
        <v>-8.5714285714285712</v>
      </c>
      <c r="L322" s="119">
        <f>IF($D322="",0,'Guide &amp; Settings'!$C$44*IF($F322&gt;=3,$F322,0))</f>
        <v>0</v>
      </c>
      <c r="M322" s="118">
        <f t="shared" si="88"/>
        <v>-24.195807307247826</v>
      </c>
      <c r="N322" s="116">
        <f t="shared" si="89"/>
        <v>997.36259998776018</v>
      </c>
      <c r="O322" s="115" t="str">
        <f t="shared" si="90"/>
        <v>OK</v>
      </c>
      <c r="P322">
        <f t="shared" si="91"/>
        <v>1107.5369206684595</v>
      </c>
      <c r="Q322">
        <f t="shared" si="92"/>
        <v>0.37873237926203607</v>
      </c>
      <c r="R322">
        <f t="shared" si="93"/>
        <v>0.7142857142857143</v>
      </c>
      <c r="S322">
        <f t="shared" si="94"/>
        <v>1</v>
      </c>
      <c r="T322" s="83">
        <f t="shared" si="95"/>
        <v>5</v>
      </c>
      <c r="U322" s="120">
        <f>IF($D322="",0,IFERROR(LOOKUP(2,1/(($D$3:D321=$D322)*($C$3:C321=$C322)*($A$3:A321&lt;$A322)),$AB$3:AB321),1000))</f>
        <v>1034.8312456204001</v>
      </c>
      <c r="V322" s="120">
        <f t="shared" si="96"/>
        <v>1028.194826457704</v>
      </c>
      <c r="W322">
        <f t="shared" si="97"/>
        <v>1036.3528375240298</v>
      </c>
      <c r="X322">
        <f t="shared" si="98"/>
        <v>0.48826183549435165</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1107.5369206684595</v>
      </c>
      <c r="I323" s="117">
        <f t="shared" si="87"/>
        <v>0.2857142857142857</v>
      </c>
      <c r="J323" s="118">
        <f>IF($D323="",0,IF($F323&lt;2,0,IF($E323="Win",('Guide &amp; Settings'!$C$42/(($F323-1)*COUNTIFS($A$4:$A$810,$A323,$E$4:$E$810,"Win")))*SUMIFS($X$4:$X$810,$A$4:$A$810,$A323,$E$4:$E$810,"Loss"),-('Guide &amp; Settings'!$C$42/($F323-1))*$X323)))</f>
        <v>15.624378735819253</v>
      </c>
      <c r="K323" s="118">
        <f>IF($D323="",0,'Guide &amp; Settings'!$C$43*(IF($E323="Win",1,0)-$I323))</f>
        <v>8.5714285714285712</v>
      </c>
      <c r="L323" s="119">
        <f>IF($D323="",0,'Guide &amp; Settings'!$C$44*IF($F323&gt;=3,$F323,0))</f>
        <v>0</v>
      </c>
      <c r="M323" s="118">
        <f t="shared" si="88"/>
        <v>24.195807307247826</v>
      </c>
      <c r="N323" s="116">
        <f t="shared" si="89"/>
        <v>1131.7327279757073</v>
      </c>
      <c r="O323" s="115" t="str">
        <f t="shared" si="90"/>
        <v>OK</v>
      </c>
      <c r="P323">
        <f t="shared" si="91"/>
        <v>1107.5369206684595</v>
      </c>
      <c r="Q323">
        <f t="shared" si="92"/>
        <v>0.5</v>
      </c>
      <c r="R323">
        <f t="shared" si="93"/>
        <v>0.2857142857142857</v>
      </c>
      <c r="S323">
        <f t="shared" si="94"/>
        <v>1</v>
      </c>
      <c r="T323" s="83">
        <f t="shared" si="95"/>
        <v>5</v>
      </c>
      <c r="U323" s="120">
        <f>IF($D323="",0,IFERROR(LOOKUP(2,1/(($D$3:D322=$D323)*($C$3:C322=$C323)*($A$3:A322&lt;$A323)),$AB$3:AB322),1000))</f>
        <v>965.16875437959993</v>
      </c>
      <c r="V323" s="120">
        <f t="shared" si="96"/>
        <v>1036.3528375240298</v>
      </c>
      <c r="W323">
        <f t="shared" si="97"/>
        <v>1036.3528375240298</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997.36259998776018</v>
      </c>
      <c r="I324" s="117">
        <f t="shared" si="87"/>
        <v>0.625</v>
      </c>
      <c r="J324" s="118">
        <f>IF($D324="",0,IF($F324&lt;2,0,IF($E324="Win",('Guide &amp; Settings'!$C$42/(($F324-1)*COUNTIFS($A$4:$A$810,$A324,$E$4:$E$810,"Win")))*SUMIFS($X$4:$X$810,$A$4:$A$810,$A324,$E$4:$E$810,"Loss"),-('Guide &amp; Settings'!$C$42/($F324-1))*$X324)))</f>
        <v>18.014954609390589</v>
      </c>
      <c r="K324" s="118">
        <f>IF($D324="",0,'Guide &amp; Settings'!$C$43*(IF($E324="Win",1,0)-$I324))</f>
        <v>4.5</v>
      </c>
      <c r="L324" s="119">
        <f>IF($D324="",0,'Guide &amp; Settings'!$C$44*IF($F324&gt;=3,$F324,0))</f>
        <v>0</v>
      </c>
      <c r="M324" s="118">
        <f t="shared" si="88"/>
        <v>22.514954609390589</v>
      </c>
      <c r="N324" s="116">
        <f t="shared" si="89"/>
        <v>1019.8775545971507</v>
      </c>
      <c r="O324" s="115" t="str">
        <f t="shared" si="90"/>
        <v>OK</v>
      </c>
      <c r="P324">
        <f t="shared" si="91"/>
        <v>997.36259998776018</v>
      </c>
      <c r="Q324">
        <f t="shared" si="92"/>
        <v>0.5</v>
      </c>
      <c r="R324">
        <f t="shared" si="93"/>
        <v>0.625</v>
      </c>
      <c r="S324">
        <f t="shared" si="94"/>
        <v>1</v>
      </c>
      <c r="T324" s="83">
        <f t="shared" si="95"/>
        <v>6</v>
      </c>
      <c r="U324" s="120">
        <f>IF($D324="",0,IFERROR(LOOKUP(2,1/(($D$3:D323=$D324)*($C$3:C323=$C324)*($A$3:A323&lt;$A324)),$AB$3:AB323),1000))</f>
        <v>1015.6654796209059</v>
      </c>
      <c r="V324" s="120">
        <f t="shared" si="96"/>
        <v>1007.3459888785669</v>
      </c>
      <c r="W324">
        <f t="shared" si="97"/>
        <v>1007.3459888785669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1131.7327279757073</v>
      </c>
      <c r="I325" s="117">
        <f t="shared" si="87"/>
        <v>0.375</v>
      </c>
      <c r="J325" s="118">
        <f>IF($D325="",0,IF($F325&lt;2,0,IF($E325="Win",('Guide &amp; Settings'!$C$42/(($F325-1)*COUNTIFS($A$4:$A$810,$A325,$E$4:$E$810,"Win")))*SUMIFS($X$4:$X$810,$A$4:$A$810,$A325,$E$4:$E$810,"Loss"),-('Guide &amp; Settings'!$C$42/($F325-1))*$X325)))</f>
        <v>-18.014954609390589</v>
      </c>
      <c r="K325" s="118">
        <f>IF($D325="",0,'Guide &amp; Settings'!$C$43*(IF($E325="Win",1,0)-$I325))</f>
        <v>-4.5</v>
      </c>
      <c r="L325" s="119">
        <f>IF($D325="",0,'Guide &amp; Settings'!$C$44*IF($F325&gt;=3,$F325,0))</f>
        <v>0</v>
      </c>
      <c r="M325" s="118">
        <f t="shared" si="88"/>
        <v>-22.514954609390589</v>
      </c>
      <c r="N325" s="116">
        <f t="shared" si="89"/>
        <v>1109.2177733663168</v>
      </c>
      <c r="O325" s="115" t="str">
        <f t="shared" si="90"/>
        <v>OK</v>
      </c>
      <c r="P325">
        <f t="shared" si="91"/>
        <v>997.36259998776018</v>
      </c>
      <c r="Q325">
        <f t="shared" si="92"/>
        <v>0.6842768000753876</v>
      </c>
      <c r="R325">
        <f t="shared" si="93"/>
        <v>0.375</v>
      </c>
      <c r="S325">
        <f t="shared" si="94"/>
        <v>1</v>
      </c>
      <c r="T325" s="83">
        <f t="shared" si="95"/>
        <v>6</v>
      </c>
      <c r="U325" s="120">
        <f>IF($D325="",0,IFERROR(LOOKUP(2,1/(($D$3:D324=$D325)*($C$3:C324=$C325)*($A$3:A324&lt;$A325)),$AB$3:AB324),1000))</f>
        <v>984.3345203790941</v>
      </c>
      <c r="V325" s="120">
        <f t="shared" si="96"/>
        <v>1051.3337056502819</v>
      </c>
      <c r="W325">
        <f t="shared" si="97"/>
        <v>1007.3459888785669</v>
      </c>
      <c r="X325">
        <f t="shared" si="98"/>
        <v>0.56296733154345591</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1019.8775545971507</v>
      </c>
      <c r="I326" s="117">
        <f t="shared" si="87"/>
        <v>0.25</v>
      </c>
      <c r="J326" s="118">
        <f>IF($D326="",0,IF($F326&lt;2,0,IF($E326="Win",('Guide &amp; Settings'!$C$42/(($F326-1)*COUNTIFS($A$4:$A$810,$A326,$E$4:$E$810,"Win")))*SUMIFS($X$4:$X$810,$A$4:$A$810,$A326,$E$4:$E$810,"Loss"),-('Guide &amp; Settings'!$C$42/($F326-1))*$X326)))</f>
        <v>17.348250919887988</v>
      </c>
      <c r="K326" s="118">
        <f>IF($D326="",0,'Guide &amp; Settings'!$C$43*(IF($E326="Win",1,0)-$I326))</f>
        <v>9</v>
      </c>
      <c r="L326" s="119">
        <f>IF($D326="",0,'Guide &amp; Settings'!$C$44*IF($F326&gt;=3,$F326,0))</f>
        <v>3</v>
      </c>
      <c r="M326" s="118">
        <f t="shared" si="88"/>
        <v>29.348250919887988</v>
      </c>
      <c r="N326" s="116">
        <f t="shared" si="89"/>
        <v>1049.2258055170387</v>
      </c>
      <c r="O326" s="115" t="str">
        <f>IF($D326="","",IF(COUNTIFS($A$4:$A$810,$A326,$E$4:$E$810,"Win")=0,"need a winner",IF(COUNTIFS($A$4:$A$810,$A326,$E$4:$E$810,"Loss")=0,"need a loser",IF(COUNTIFS($A$4:$A$810,$A326,$D$4:$D$810,$D326)&gt;1,"duplicate player","OK"))))</f>
        <v>OK</v>
      </c>
      <c r="P326">
        <f>IF($D326="",0,IFERROR(SUMIFS($H$4:$H$810,$A$4:$A$810,$A326,$E$4:$E$810,"Win")/COUNTIFS($A$4:$A$810,$A326,$E$4:$E$810,"Win"),0))</f>
        <v>1019.8775545971507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1015.2312954976255</v>
      </c>
      <c r="W326">
        <f>IF($D326="",0,IFERROR(SUMIFS($V$4:$V$810,$A$4:$A$810,$A326,$E$4:$E$810,"Win")/COUNTIFS($A$4:$A$810,$A326,$E$4:$E$810,"Win"),0))</f>
        <v>1015.2312954976255</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IF($D326="","",IF(SUMPRODUCT(MAX(($D$4:$D$810=$D326)*($B$4:$B$810&lt;$B326)*$B$4:$B$810))=0,0,MAX(($B326-MAX(SUMPRODUCT(MAX(($D$4:$D$810=$D326)*($B$4:$B$810&lt;$B326)*$B$4:$B$810)),'Guide &amp; Settings'!$C$50))/7-'Guide &amp; Settings'!$C$48,0)*'Guide &amp; Settings'!$C$49))</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1109.2177733663168</v>
      </c>
      <c r="I327" s="117">
        <f t="shared" si="87"/>
        <v>0.375</v>
      </c>
      <c r="J327" s="118">
        <f>IF($D327="",0,IF($F327&lt;2,0,IF($E327="Win",('Guide &amp; Settings'!$C$42/(($F327-1)*COUNTIFS($A$4:$A$810,$A327,$E$4:$E$810,"Win")))*SUMIFS($X$4:$X$810,$A$4:$A$810,$A327,$E$4:$E$810,"Loss"),-('Guide &amp; Settings'!$C$42/($F327-1))*$X327)))</f>
        <v>-10.112830555517277</v>
      </c>
      <c r="K327" s="118">
        <f>IF($D327="",0,'Guide &amp; Settings'!$C$43*(IF($E327="Win",1,0)-$I327))</f>
        <v>-4.5</v>
      </c>
      <c r="L327" s="119">
        <f>IF($D327="",0,'Guide &amp; Settings'!$C$44*IF($F327&gt;=3,$F327,0))</f>
        <v>3</v>
      </c>
      <c r="M327" s="118">
        <f t="shared" si="88"/>
        <v>-11.612830555517277</v>
      </c>
      <c r="N327" s="116">
        <f t="shared" si="89"/>
        <v>1097.6049428107995</v>
      </c>
      <c r="O327" s="115" t="str">
        <f>IF($D327="","",IF(COUNTIFS($A$4:$A$810,$A327,$E$4:$E$810,"Win")=0,"need a winner",IF(COUNTIFS($A$4:$A$810,$A327,$E$4:$E$810,"Loss")=0,"need a loser",IF(COUNTIFS($A$4:$A$810,$A327,$D$4:$D$810,$D327)&gt;1,"duplicate player","OK"))))</f>
        <v>OK</v>
      </c>
      <c r="P327">
        <f>IF($D327="",0,IFERROR(SUMIFS($H$4:$H$810,$A$4:$A$810,$A327,$E$4:$E$810,"Win")/COUNTIFS($A$4:$A$810,$A327,$E$4:$E$810,"Win"),0))</f>
        <v>1019.8775545971507</v>
      </c>
      <c r="Q327">
        <f t="shared" si="92"/>
        <v>0.62581012153733528</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1109.2177733663168</v>
      </c>
      <c r="W327">
        <f>IF($D327="",0,IFERROR(SUMIFS($V$4:$V$810,$A$4:$A$810,$A327,$E$4:$E$810,"Win")/COUNTIFS($A$4:$A$810,$A327,$E$4:$E$810,"Win"),0))</f>
        <v>1015.2312954976255</v>
      </c>
      <c r="X327">
        <f t="shared" si="98"/>
        <v>0.63205190971982983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IF($D327="","",IF(SUMPRODUCT(MAX(($D$4:$D$810=$D327)*($B$4:$B$810&lt;$B327)*$B$4:$B$810))=0,0,MAX(($B327-MAX(SUMPRODUCT(MAX(($D$4:$D$810=$D327)*($B$4:$B$810&lt;$B327)*$B$4:$B$810)),'Guide &amp; Settings'!$C$50))/7-'Guide &amp; Settings'!$C$48,0)*'Guide &amp; Settings'!$C$49))</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981.92436608474441</v>
      </c>
      <c r="I328" s="117">
        <f t="shared" si="87"/>
        <v>0.375</v>
      </c>
      <c r="J328" s="118">
        <f>IF($D328="",0,IF($F328&lt;2,0,IF($E328="Win",('Guide &amp; Settings'!$C$42/(($F328-1)*COUNTIFS($A$4:$A$810,$A328,$E$4:$E$810,"Win")))*SUMIFS($X$4:$X$810,$A$4:$A$810,$A328,$E$4:$E$810,"Loss"),-('Guide &amp; Settings'!$C$42/($F328-1))*$X328)))</f>
        <v>-7.2354203643707127</v>
      </c>
      <c r="K328" s="118">
        <f>IF($D328="",0,'Guide &amp; Settings'!$C$43*(IF($E328="Win",1,0)-$I328))</f>
        <v>-4.5</v>
      </c>
      <c r="L328" s="119">
        <f>IF($D328="",0,'Guide &amp; Settings'!$C$44*IF($F328&gt;=3,$F328,0))</f>
        <v>3</v>
      </c>
      <c r="M328" s="118">
        <f t="shared" si="88"/>
        <v>-8.7354203643707127</v>
      </c>
      <c r="N328" s="116">
        <f t="shared" si="89"/>
        <v>973.18894572037368</v>
      </c>
      <c r="O328" s="115" t="str">
        <f t="shared" si="90"/>
        <v>OK</v>
      </c>
      <c r="P328">
        <f t="shared" si="91"/>
        <v>1019.8775545971507</v>
      </c>
      <c r="Q328">
        <f t="shared" si="92"/>
        <v>0.4455971946111823</v>
      </c>
      <c r="R328">
        <f t="shared" si="93"/>
        <v>0.5</v>
      </c>
      <c r="S328">
        <f t="shared" si="94"/>
        <v>1.3333333333333333</v>
      </c>
      <c r="T328" s="83">
        <f t="shared" si="95"/>
        <v>0</v>
      </c>
      <c r="U328" s="120">
        <f>IF($D328="",0,IFERROR(LOOKUP(2,1/(($D$3:D327=$D328)*($C$3:C327=$C328)*($A$3:A327&lt;$A328)),$AB$3:AB327),1000))</f>
        <v>1000</v>
      </c>
      <c r="V328" s="120">
        <f t="shared" si="96"/>
        <v>981.92436608474441</v>
      </c>
      <c r="W328">
        <f t="shared" si="97"/>
        <v>1015.2312954976255</v>
      </c>
      <c r="X328">
        <f t="shared" si="98"/>
        <v>0.45221377277316954</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IF($D328="","",IF(SUMPRODUCT(MAX(($D$4:$D$810=$D328)*($B$4:$B$810&lt;$B328)*$B$4:$B$810))=0,0,MAX(($B328-MAX(SUMPRODUCT(MAX(($D$4:$D$810=$D328)*($B$4:$B$810&lt;$B328)*$B$4:$B$810)),'Guide &amp; Settings'!$C$50))/7-'Guide &amp; Settings'!$C$48,0)*'Guide &amp; Settings'!$C$49))</f>
        <v>0</v>
      </c>
    </row>
    <row r="329" spans="1:29" x14ac:dyDescent="0.2">
      <c r="A329" s="111"/>
      <c r="B329" s="112"/>
      <c r="C329" s="113"/>
      <c r="D329" s="113"/>
      <c r="E329" s="111"/>
      <c r="F329" s="114">
        <f t="shared" si="85"/>
        <v>0</v>
      </c>
      <c r="G329" s="115" t="str">
        <f t="shared" si="86"/>
        <v/>
      </c>
      <c r="H329" s="116">
        <f>IF($D329="",0,IFERROR(LOOKUP(2,1/(($D$3:D328=$D329)*($A$3:A328&lt;$A329)),$N$3:N328),'Guide &amp; Settings'!$C$41))</f>
        <v>0</v>
      </c>
      <c r="I329" s="117">
        <f t="shared" si="87"/>
        <v>0</v>
      </c>
      <c r="J329" s="118">
        <f>IF($D329="",0,IF($F329&lt;2,0,IF($E329="Win",('Guide &amp; Settings'!$C$42/(($F329-1)*COUNTIFS($A$4:$A$810,$A329,$E$4:$E$810,"Win")))*SUMIFS($X$4:$X$810,$A$4:$A$810,$A329,$E$4:$E$810,"Loss"),-('Guide &amp; Settings'!$C$42/($F329-1))*$X329)))</f>
        <v>0</v>
      </c>
      <c r="K329" s="118">
        <f>IF($D329="",0,'Guide &amp; Settings'!$C$43*(IF($E329="Win",1,0)-$I329))</f>
        <v>0</v>
      </c>
      <c r="L329" s="119">
        <f>IF($D329="",0,'Guide &amp; Settings'!$C$44*IF($F329&gt;=3,$F329,0))</f>
        <v>0</v>
      </c>
      <c r="M329" s="118">
        <f t="shared" si="88"/>
        <v>0</v>
      </c>
      <c r="N329" s="116">
        <f t="shared" si="89"/>
        <v>0</v>
      </c>
      <c r="O329" s="115" t="str">
        <f t="shared" si="90"/>
        <v/>
      </c>
      <c r="P329">
        <f t="shared" si="91"/>
        <v>0</v>
      </c>
      <c r="Q329">
        <f t="shared" si="92"/>
        <v>0</v>
      </c>
      <c r="R329">
        <f t="shared" si="93"/>
        <v>0</v>
      </c>
      <c r="S329">
        <f t="shared" si="94"/>
        <v>0</v>
      </c>
      <c r="T329" s="83">
        <f t="shared" si="95"/>
        <v>0</v>
      </c>
      <c r="U329" s="120">
        <f>IF($D329="",0,IFERROR(LOOKUP(2,1/(($D$3:D328=$D329)*($C$3:C328=$C329)*($A$3:A328&lt;$A329)),$AB$3:AB328),1000))</f>
        <v>0</v>
      </c>
      <c r="V329" s="120">
        <f t="shared" si="96"/>
        <v>0</v>
      </c>
      <c r="W329">
        <f t="shared" si="97"/>
        <v>0</v>
      </c>
      <c r="X329">
        <f t="shared" si="98"/>
        <v>0</v>
      </c>
      <c r="Y329">
        <f t="shared" si="99"/>
        <v>0</v>
      </c>
      <c r="Z329">
        <f t="shared" si="100"/>
        <v>0</v>
      </c>
      <c r="AA329">
        <f>IF($D329="",0,IF($F329&lt;2,0,IF($E329="Win",('Guide &amp; Settings'!$C$42/(($F329-1)*COUNTIFS($A$4:$A$810,$A329,$E$4:$E$810,"Win")))*SUMIFS($Z$4:$Z$810,$A$4:$A$810,$A329,$E$4:$E$810,"Loss"),-('Guide &amp; Settings'!$C$42/($F329-1))*$Z329)))</f>
        <v>0</v>
      </c>
      <c r="AB329" s="120">
        <f t="shared" si="101"/>
        <v>0</v>
      </c>
      <c r="AC329" s="120" t="str">
        <f>IF($D329="","",IF(SUMPRODUCT(MAX(($D$4:$D$810=$D329)*($B$4:$B$810&lt;$B329)*$B$4:$B$810))=0,0,MAX(($B329-MAX(SUMPRODUCT(MAX(($D$4:$D$810=$D329)*($B$4:$B$810&lt;$B329)*$B$4:$B$810)),'Guide &amp; Settings'!$C$50))/7-'Guide &amp; Settings'!$C$48,0)*'Guide &amp; Settings'!$C$49))</f>
        <v/>
      </c>
    </row>
    <row r="330" spans="1:29" x14ac:dyDescent="0.2">
      <c r="A330" s="111"/>
      <c r="B330" s="112"/>
      <c r="C330" s="113"/>
      <c r="D330" s="113"/>
      <c r="E330" s="111"/>
      <c r="F330" s="114">
        <f t="shared" si="85"/>
        <v>0</v>
      </c>
      <c r="G330" s="115" t="str">
        <f t="shared" si="86"/>
        <v/>
      </c>
      <c r="H330" s="116">
        <f>IF($D330="",0,IFERROR(LOOKUP(2,1/(($D$3:D329=$D330)*($A$3:A329&lt;$A330)),$N$3:N329),'Guide &amp; Settings'!$C$41))</f>
        <v>0</v>
      </c>
      <c r="I330" s="117">
        <f t="shared" si="87"/>
        <v>0</v>
      </c>
      <c r="J330" s="118">
        <f>IF($D330="",0,IF($F330&lt;2,0,IF($E330="Win",('Guide &amp; Settings'!$C$42/(($F330-1)*COUNTIFS($A$4:$A$810,$A330,$E$4:$E$810,"Win")))*SUMIFS($X$4:$X$810,$A$4:$A$810,$A330,$E$4:$E$810,"Loss"),-('Guide &amp; Settings'!$C$42/($F330-1))*$X330)))</f>
        <v>0</v>
      </c>
      <c r="K330" s="118">
        <f>IF($D330="",0,'Guide &amp; Settings'!$C$43*(IF($E330="Win",1,0)-$I330))</f>
        <v>0</v>
      </c>
      <c r="L330" s="119">
        <f>IF($D330="",0,'Guide &amp; Settings'!$C$44*IF($F330&gt;=3,$F330,0))</f>
        <v>0</v>
      </c>
      <c r="M330" s="118">
        <f t="shared" si="88"/>
        <v>0</v>
      </c>
      <c r="N330" s="116">
        <f t="shared" si="89"/>
        <v>0</v>
      </c>
      <c r="O330" s="115" t="str">
        <f t="shared" si="90"/>
        <v/>
      </c>
      <c r="P330">
        <f t="shared" si="91"/>
        <v>0</v>
      </c>
      <c r="Q330">
        <f t="shared" si="92"/>
        <v>0</v>
      </c>
      <c r="R330">
        <f t="shared" si="93"/>
        <v>0</v>
      </c>
      <c r="S330">
        <f t="shared" si="94"/>
        <v>0</v>
      </c>
      <c r="T330" s="83">
        <f t="shared" si="95"/>
        <v>0</v>
      </c>
      <c r="U330" s="120">
        <f>IF($D330="",0,IFERROR(LOOKUP(2,1/(($D$3:D329=$D330)*($C$3:C329=$C330)*($A$3:A329&lt;$A330)),$AB$3:AB329),1000))</f>
        <v>0</v>
      </c>
      <c r="V330" s="120">
        <f t="shared" si="96"/>
        <v>0</v>
      </c>
      <c r="W330">
        <f t="shared" si="97"/>
        <v>0</v>
      </c>
      <c r="X330">
        <f t="shared" si="98"/>
        <v>0</v>
      </c>
      <c r="Y330">
        <f t="shared" si="99"/>
        <v>0</v>
      </c>
      <c r="Z330">
        <f t="shared" si="100"/>
        <v>0</v>
      </c>
      <c r="AA330">
        <f>IF($D330="",0,IF($F330&lt;2,0,IF($E330="Win",('Guide &amp; Settings'!$C$42/(($F330-1)*COUNTIFS($A$4:$A$810,$A330,$E$4:$E$810,"Win")))*SUMIFS($Z$4:$Z$810,$A$4:$A$810,$A330,$E$4:$E$810,"Loss"),-('Guide &amp; Settings'!$C$42/($F330-1))*$Z330)))</f>
        <v>0</v>
      </c>
      <c r="AB330" s="120">
        <f t="shared" si="101"/>
        <v>0</v>
      </c>
      <c r="AC330" s="120" t="str">
        <f>IF($D330="","",IF(SUMPRODUCT(MAX(($D$4:$D$810=$D330)*($B$4:$B$810&lt;$B330)*$B$4:$B$810))=0,0,MAX(($B330-MAX(SUMPRODUCT(MAX(($D$4:$D$810=$D330)*($B$4:$B$810&lt;$B330)*$B$4:$B$810)),'Guide &amp; Settings'!$C$50))/7-'Guide &amp; Settings'!$C$48,0)*'Guide &amp; Settings'!$C$49))</f>
        <v/>
      </c>
    </row>
    <row r="331" spans="1:29" x14ac:dyDescent="0.2">
      <c r="A331" s="111"/>
      <c r="B331" s="112"/>
      <c r="C331" s="113"/>
      <c r="D331" s="113"/>
      <c r="E331" s="111"/>
      <c r="F331" s="114">
        <f t="shared" si="85"/>
        <v>0</v>
      </c>
      <c r="G331" s="115" t="str">
        <f t="shared" si="86"/>
        <v/>
      </c>
      <c r="H331" s="116">
        <f>IF($D331="",0,IFERROR(LOOKUP(2,1/(($D$3:D330=$D331)*($A$3:A330&lt;$A331)),$N$3:N330),'Guide &amp; Settings'!$C$41))</f>
        <v>0</v>
      </c>
      <c r="I331" s="117">
        <f t="shared" si="87"/>
        <v>0</v>
      </c>
      <c r="J331" s="118">
        <f>IF($D331="",0,IF($F331&lt;2,0,IF($E331="Win",('Guide &amp; Settings'!$C$42/(($F331-1)*COUNTIFS($A$4:$A$810,$A331,$E$4:$E$810,"Win")))*SUMIFS($X$4:$X$810,$A$4:$A$810,$A331,$E$4:$E$810,"Loss"),-('Guide &amp; Settings'!$C$42/($F331-1))*$X331)))</f>
        <v>0</v>
      </c>
      <c r="K331" s="118">
        <f>IF($D331="",0,'Guide &amp; Settings'!$C$43*(IF($E331="Win",1,0)-$I331))</f>
        <v>0</v>
      </c>
      <c r="L331" s="119">
        <f>IF($D331="",0,'Guide &amp; Settings'!$C$44*IF($F331&gt;=3,$F331,0))</f>
        <v>0</v>
      </c>
      <c r="M331" s="118">
        <f t="shared" si="88"/>
        <v>0</v>
      </c>
      <c r="N331" s="116">
        <f t="shared" si="89"/>
        <v>0</v>
      </c>
      <c r="O331" s="115" t="str">
        <f t="shared" si="90"/>
        <v/>
      </c>
      <c r="P331">
        <f t="shared" si="91"/>
        <v>0</v>
      </c>
      <c r="Q331">
        <f t="shared" si="92"/>
        <v>0</v>
      </c>
      <c r="R331">
        <f t="shared" si="93"/>
        <v>0</v>
      </c>
      <c r="S331">
        <f t="shared" si="94"/>
        <v>0</v>
      </c>
      <c r="T331" s="83">
        <f t="shared" si="95"/>
        <v>0</v>
      </c>
      <c r="U331" s="120">
        <f>IF($D331="",0,IFERROR(LOOKUP(2,1/(($D$3:D330=$D331)*($C$3:C330=$C331)*($A$3:A330&lt;$A331)),$AB$3:AB330),1000))</f>
        <v>0</v>
      </c>
      <c r="V331" s="120">
        <f t="shared" si="96"/>
        <v>0</v>
      </c>
      <c r="W331">
        <f t="shared" si="97"/>
        <v>0</v>
      </c>
      <c r="X331">
        <f t="shared" si="98"/>
        <v>0</v>
      </c>
      <c r="Y331">
        <f t="shared" si="99"/>
        <v>0</v>
      </c>
      <c r="Z331">
        <f t="shared" si="100"/>
        <v>0</v>
      </c>
      <c r="AA331">
        <f>IF($D331="",0,IF($F331&lt;2,0,IF($E331="Win",('Guide &amp; Settings'!$C$42/(($F331-1)*COUNTIFS($A$4:$A$810,$A331,$E$4:$E$810,"Win")))*SUMIFS($Z$4:$Z$810,$A$4:$A$810,$A331,$E$4:$E$810,"Loss"),-('Guide &amp; Settings'!$C$42/($F331-1))*$Z331)))</f>
        <v>0</v>
      </c>
      <c r="AB331" s="120">
        <f t="shared" si="101"/>
        <v>0</v>
      </c>
      <c r="AC331" s="120" t="str">
        <f>IF($D331="","",IF(SUMPRODUCT(MAX(($D$4:$D$810=$D331)*($B$4:$B$810&lt;$B331)*$B$4:$B$810))=0,0,MAX(($B331-MAX(SUMPRODUCT(MAX(($D$4:$D$810=$D331)*($B$4:$B$810&lt;$B331)*$B$4:$B$810)),'Guide &amp; Settings'!$C$50))/7-'Guide &amp; Settings'!$C$48,0)*'Guide &amp; Settings'!$C$49))</f>
        <v/>
      </c>
    </row>
    <row r="332" spans="1:29" x14ac:dyDescent="0.2">
      <c r="A332" s="111"/>
      <c r="B332" s="112"/>
      <c r="C332" s="113"/>
      <c r="D332" s="113"/>
      <c r="E332" s="111"/>
      <c r="F332" s="114">
        <f t="shared" si="85"/>
        <v>0</v>
      </c>
      <c r="G332" s="115" t="str">
        <f t="shared" si="86"/>
        <v/>
      </c>
      <c r="H332" s="116">
        <f>IF($D332="",0,IFERROR(LOOKUP(2,1/(($D$3:D331=$D332)*($A$3:A331&lt;$A332)),$N$3:N331),'Guide &amp; Settings'!$C$41))</f>
        <v>0</v>
      </c>
      <c r="I332" s="117">
        <f t="shared" si="87"/>
        <v>0</v>
      </c>
      <c r="J332" s="118">
        <f>IF($D332="",0,IF($F332&lt;2,0,IF($E332="Win",('Guide &amp; Settings'!$C$42/(($F332-1)*COUNTIFS($A$4:$A$810,$A332,$E$4:$E$810,"Win")))*SUMIFS($X$4:$X$810,$A$4:$A$810,$A332,$E$4:$E$810,"Loss"),-('Guide &amp; Settings'!$C$42/($F332-1))*$X332)))</f>
        <v>0</v>
      </c>
      <c r="K332" s="118">
        <f>IF($D332="",0,'Guide &amp; Settings'!$C$43*(IF($E332="Win",1,0)-$I332))</f>
        <v>0</v>
      </c>
      <c r="L332" s="119">
        <f>IF($D332="",0,'Guide &amp; Settings'!$C$44*IF($F332&gt;=3,$F332,0))</f>
        <v>0</v>
      </c>
      <c r="M332" s="118">
        <f t="shared" si="88"/>
        <v>0</v>
      </c>
      <c r="N332" s="116">
        <f t="shared" si="89"/>
        <v>0</v>
      </c>
      <c r="O332" s="115" t="str">
        <f t="shared" si="90"/>
        <v/>
      </c>
      <c r="P332">
        <f t="shared" si="91"/>
        <v>0</v>
      </c>
      <c r="Q332">
        <f t="shared" si="92"/>
        <v>0</v>
      </c>
      <c r="R332">
        <f t="shared" si="93"/>
        <v>0</v>
      </c>
      <c r="S332">
        <f t="shared" si="94"/>
        <v>0</v>
      </c>
      <c r="T332" s="83">
        <f t="shared" si="95"/>
        <v>0</v>
      </c>
      <c r="U332" s="120">
        <f>IF($D332="",0,IFERROR(LOOKUP(2,1/(($D$3:D331=$D332)*($C$3:C331=$C332)*($A$3:A331&lt;$A332)),$AB$3:AB331),1000))</f>
        <v>0</v>
      </c>
      <c r="V332" s="120">
        <f t="shared" si="96"/>
        <v>0</v>
      </c>
      <c r="W332">
        <f t="shared" si="97"/>
        <v>0</v>
      </c>
      <c r="X332">
        <f t="shared" si="98"/>
        <v>0</v>
      </c>
      <c r="Y332">
        <f t="shared" si="99"/>
        <v>0</v>
      </c>
      <c r="Z332">
        <f t="shared" si="100"/>
        <v>0</v>
      </c>
      <c r="AA332">
        <f>IF($D332="",0,IF($F332&lt;2,0,IF($E332="Win",('Guide &amp; Settings'!$C$42/(($F332-1)*COUNTIFS($A$4:$A$810,$A332,$E$4:$E$810,"Win")))*SUMIFS($Z$4:$Z$810,$A$4:$A$810,$A332,$E$4:$E$810,"Loss"),-('Guide &amp; Settings'!$C$42/($F332-1))*$Z332)))</f>
        <v>0</v>
      </c>
      <c r="AB332" s="120">
        <f t="shared" si="101"/>
        <v>0</v>
      </c>
      <c r="AC332" s="120" t="str">
        <f>IF($D332="","",IF(SUMPRODUCT(MAX(($D$4:$D$810=$D332)*($B$4:$B$810&lt;$B332)*$B$4:$B$810))=0,0,MAX(($B332-MAX(SUMPRODUCT(MAX(($D$4:$D$810=$D332)*($B$4:$B$810&lt;$B332)*$B$4:$B$810)),'Guide &amp; Settings'!$C$50))/7-'Guide &amp; Settings'!$C$48,0)*'Guide &amp; Settings'!$C$49))</f>
        <v/>
      </c>
    </row>
    <row r="333" spans="1:29" x14ac:dyDescent="0.2">
      <c r="A333" s="111"/>
      <c r="B333" s="112"/>
      <c r="C333" s="113"/>
      <c r="D333" s="113"/>
      <c r="E333" s="111"/>
      <c r="F333" s="114">
        <f t="shared" si="85"/>
        <v>0</v>
      </c>
      <c r="G333" s="115" t="str">
        <f t="shared" si="86"/>
        <v/>
      </c>
      <c r="H333" s="116">
        <f>IF($D333="",0,IFERROR(LOOKUP(2,1/(($D$3:D332=$D333)*($A$3:A332&lt;$A333)),$N$3:N332),'Guide &amp; Settings'!$C$41))</f>
        <v>0</v>
      </c>
      <c r="I333" s="117">
        <f t="shared" si="87"/>
        <v>0</v>
      </c>
      <c r="J333" s="118">
        <f>IF($D333="",0,IF($F333&lt;2,0,IF($E333="Win",('Guide &amp; Settings'!$C$42/(($F333-1)*COUNTIFS($A$4:$A$810,$A333,$E$4:$E$810,"Win")))*SUMIFS($X$4:$X$810,$A$4:$A$810,$A333,$E$4:$E$810,"Loss"),-('Guide &amp; Settings'!$C$42/($F333-1))*$X333)))</f>
        <v>0</v>
      </c>
      <c r="K333" s="118">
        <f>IF($D333="",0,'Guide &amp; Settings'!$C$43*(IF($E333="Win",1,0)-$I333))</f>
        <v>0</v>
      </c>
      <c r="L333" s="119">
        <f>IF($D333="",0,'Guide &amp; Settings'!$C$44*IF($F333&gt;=3,$F333,0))</f>
        <v>0</v>
      </c>
      <c r="M333" s="118">
        <f t="shared" si="88"/>
        <v>0</v>
      </c>
      <c r="N333" s="116">
        <f t="shared" si="89"/>
        <v>0</v>
      </c>
      <c r="O333" s="115" t="str">
        <f t="shared" si="90"/>
        <v/>
      </c>
      <c r="P333">
        <f t="shared" si="91"/>
        <v>0</v>
      </c>
      <c r="Q333">
        <f t="shared" si="92"/>
        <v>0</v>
      </c>
      <c r="R333">
        <f t="shared" si="93"/>
        <v>0</v>
      </c>
      <c r="S333">
        <f t="shared" si="94"/>
        <v>0</v>
      </c>
      <c r="T333" s="83">
        <f t="shared" si="95"/>
        <v>0</v>
      </c>
      <c r="U333" s="120">
        <f>IF($D333="",0,IFERROR(LOOKUP(2,1/(($D$3:D332=$D333)*($C$3:C332=$C333)*($A$3:A332&lt;$A333)),$AB$3:AB332),1000))</f>
        <v>0</v>
      </c>
      <c r="V333" s="120">
        <f t="shared" si="96"/>
        <v>0</v>
      </c>
      <c r="W333">
        <f t="shared" si="97"/>
        <v>0</v>
      </c>
      <c r="X333">
        <f t="shared" si="98"/>
        <v>0</v>
      </c>
      <c r="Y333">
        <f t="shared" si="99"/>
        <v>0</v>
      </c>
      <c r="Z333">
        <f t="shared" si="100"/>
        <v>0</v>
      </c>
      <c r="AA333">
        <f>IF($D333="",0,IF($F333&lt;2,0,IF($E333="Win",('Guide &amp; Settings'!$C$42/(($F333-1)*COUNTIFS($A$4:$A$810,$A333,$E$4:$E$810,"Win")))*SUMIFS($Z$4:$Z$810,$A$4:$A$810,$A333,$E$4:$E$810,"Loss"),-('Guide &amp; Settings'!$C$42/($F333-1))*$Z333)))</f>
        <v>0</v>
      </c>
      <c r="AB333" s="120">
        <f t="shared" si="101"/>
        <v>0</v>
      </c>
      <c r="AC333" s="120" t="str">
        <f>IF($D333="","",IF(SUMPRODUCT(MAX(($D$4:$D$810=$D333)*($B$4:$B$810&lt;$B333)*$B$4:$B$810))=0,0,MAX(($B333-MAX(SUMPRODUCT(MAX(($D$4:$D$810=$D333)*($B$4:$B$810&lt;$B333)*$B$4:$B$810)),'Guide &amp; Settings'!$C$50))/7-'Guide &amp; Settings'!$C$48,0)*'Guide &amp; Settings'!$C$49))</f>
        <v/>
      </c>
    </row>
    <row r="334" spans="1:29" x14ac:dyDescent="0.2">
      <c r="A334" s="111"/>
      <c r="B334" s="112"/>
      <c r="C334" s="113"/>
      <c r="D334" s="113"/>
      <c r="E334" s="111"/>
      <c r="F334" s="114">
        <f t="shared" si="85"/>
        <v>0</v>
      </c>
      <c r="G334" s="115" t="str">
        <f t="shared" si="86"/>
        <v/>
      </c>
      <c r="H334" s="116">
        <f>IF($D334="",0,IFERROR(LOOKUP(2,1/(($D$3:D333=$D334)*($A$3:A333&lt;$A334)),$N$3:N333),'Guide &amp; Settings'!$C$41))</f>
        <v>0</v>
      </c>
      <c r="I334" s="117">
        <f t="shared" si="87"/>
        <v>0</v>
      </c>
      <c r="J334" s="118">
        <f>IF($D334="",0,IF($F334&lt;2,0,IF($E334="Win",('Guide &amp; Settings'!$C$42/(($F334-1)*COUNTIFS($A$4:$A$810,$A334,$E$4:$E$810,"Win")))*SUMIFS($X$4:$X$810,$A$4:$A$810,$A334,$E$4:$E$810,"Loss"),-('Guide &amp; Settings'!$C$42/($F334-1))*$X334)))</f>
        <v>0</v>
      </c>
      <c r="K334" s="118">
        <f>IF($D334="",0,'Guide &amp; Settings'!$C$43*(IF($E334="Win",1,0)-$I334))</f>
        <v>0</v>
      </c>
      <c r="L334" s="119">
        <f>IF($D334="",0,'Guide &amp; Settings'!$C$44*IF($F334&gt;=3,$F334,0))</f>
        <v>0</v>
      </c>
      <c r="M334" s="118">
        <f t="shared" si="88"/>
        <v>0</v>
      </c>
      <c r="N334" s="116">
        <f t="shared" si="89"/>
        <v>0</v>
      </c>
      <c r="O334" s="115" t="str">
        <f t="shared" si="90"/>
        <v/>
      </c>
      <c r="P334">
        <f t="shared" si="91"/>
        <v>0</v>
      </c>
      <c r="Q334">
        <f t="shared" si="92"/>
        <v>0</v>
      </c>
      <c r="R334">
        <f t="shared" si="93"/>
        <v>0</v>
      </c>
      <c r="S334">
        <f t="shared" si="94"/>
        <v>0</v>
      </c>
      <c r="T334" s="83">
        <f t="shared" si="95"/>
        <v>0</v>
      </c>
      <c r="U334" s="120">
        <f>IF($D334="",0,IFERROR(LOOKUP(2,1/(($D$3:D333=$D334)*($C$3:C333=$C334)*($A$3:A333&lt;$A334)),$AB$3:AB333),1000))</f>
        <v>0</v>
      </c>
      <c r="V334" s="120">
        <f t="shared" si="96"/>
        <v>0</v>
      </c>
      <c r="W334">
        <f t="shared" si="97"/>
        <v>0</v>
      </c>
      <c r="X334">
        <f t="shared" si="98"/>
        <v>0</v>
      </c>
      <c r="Y334">
        <f t="shared" si="99"/>
        <v>0</v>
      </c>
      <c r="Z334">
        <f t="shared" si="100"/>
        <v>0</v>
      </c>
      <c r="AA334">
        <f>IF($D334="",0,IF($F334&lt;2,0,IF($E334="Win",('Guide &amp; Settings'!$C$42/(($F334-1)*COUNTIFS($A$4:$A$810,$A334,$E$4:$E$810,"Win")))*SUMIFS($Z$4:$Z$810,$A$4:$A$810,$A334,$E$4:$E$810,"Loss"),-('Guide &amp; Settings'!$C$42/($F334-1))*$Z334)))</f>
        <v>0</v>
      </c>
      <c r="AB334" s="120">
        <f t="shared" si="101"/>
        <v>0</v>
      </c>
      <c r="AC334" s="120" t="str">
        <f>IF($D334="","",IF(SUMPRODUCT(MAX(($D$4:$D$810=$D334)*($B$4:$B$810&lt;$B334)*$B$4:$B$810))=0,0,MAX(($B334-MAX(SUMPRODUCT(MAX(($D$4:$D$810=$D334)*($B$4:$B$810&lt;$B334)*$B$4:$B$810)),'Guide &amp; Settings'!$C$50))/7-'Guide &amp; Settings'!$C$48,0)*'Guide &amp; Settings'!$C$49))</f>
        <v/>
      </c>
    </row>
    <row r="335" spans="1:29" x14ac:dyDescent="0.2">
      <c r="A335" s="111"/>
      <c r="B335" s="112"/>
      <c r="C335" s="113"/>
      <c r="D335" s="113"/>
      <c r="E335" s="111"/>
      <c r="F335" s="114">
        <f t="shared" si="85"/>
        <v>0</v>
      </c>
      <c r="G335" s="115" t="str">
        <f t="shared" si="86"/>
        <v/>
      </c>
      <c r="H335" s="116">
        <f>IF($D335="",0,IFERROR(LOOKUP(2,1/(($D$3:D334=$D335)*($A$3:A334&lt;$A335)),$N$3:N334),'Guide &amp; Settings'!$C$41))</f>
        <v>0</v>
      </c>
      <c r="I335" s="117">
        <f t="shared" si="87"/>
        <v>0</v>
      </c>
      <c r="J335" s="118">
        <f>IF($D335="",0,IF($F335&lt;2,0,IF($E335="Win",('Guide &amp; Settings'!$C$42/(($F335-1)*COUNTIFS($A$4:$A$810,$A335,$E$4:$E$810,"Win")))*SUMIFS($X$4:$X$810,$A$4:$A$810,$A335,$E$4:$E$810,"Loss"),-('Guide &amp; Settings'!$C$42/($F335-1))*$X335)))</f>
        <v>0</v>
      </c>
      <c r="K335" s="118">
        <f>IF($D335="",0,'Guide &amp; Settings'!$C$43*(IF($E335="Win",1,0)-$I335))</f>
        <v>0</v>
      </c>
      <c r="L335" s="119">
        <f>IF($D335="",0,'Guide &amp; Settings'!$C$44*IF($F335&gt;=3,$F335,0))</f>
        <v>0</v>
      </c>
      <c r="M335" s="118">
        <f t="shared" si="88"/>
        <v>0</v>
      </c>
      <c r="N335" s="116">
        <f t="shared" si="89"/>
        <v>0</v>
      </c>
      <c r="O335" s="115" t="str">
        <f t="shared" si="90"/>
        <v/>
      </c>
      <c r="P335">
        <f t="shared" si="91"/>
        <v>0</v>
      </c>
      <c r="Q335">
        <f t="shared" si="92"/>
        <v>0</v>
      </c>
      <c r="R335">
        <f t="shared" si="93"/>
        <v>0</v>
      </c>
      <c r="S335">
        <f t="shared" si="94"/>
        <v>0</v>
      </c>
      <c r="T335" s="83">
        <f t="shared" si="95"/>
        <v>0</v>
      </c>
      <c r="U335" s="120">
        <f>IF($D335="",0,IFERROR(LOOKUP(2,1/(($D$3:D334=$D335)*($C$3:C334=$C335)*($A$3:A334&lt;$A335)),$AB$3:AB334),1000))</f>
        <v>0</v>
      </c>
      <c r="V335" s="120">
        <f t="shared" si="96"/>
        <v>0</v>
      </c>
      <c r="W335">
        <f t="shared" si="97"/>
        <v>0</v>
      </c>
      <c r="X335">
        <f t="shared" si="98"/>
        <v>0</v>
      </c>
      <c r="Y335">
        <f t="shared" si="99"/>
        <v>0</v>
      </c>
      <c r="Z335">
        <f t="shared" si="100"/>
        <v>0</v>
      </c>
      <c r="AA335">
        <f>IF($D335="",0,IF($F335&lt;2,0,IF($E335="Win",('Guide &amp; Settings'!$C$42/(($F335-1)*COUNTIFS($A$4:$A$810,$A335,$E$4:$E$810,"Win")))*SUMIFS($Z$4:$Z$810,$A$4:$A$810,$A335,$E$4:$E$810,"Loss"),-('Guide &amp; Settings'!$C$42/($F335-1))*$Z335)))</f>
        <v>0</v>
      </c>
      <c r="AB335" s="120">
        <f t="shared" si="101"/>
        <v>0</v>
      </c>
      <c r="AC335" s="120" t="str">
        <f>IF($D335="","",IF(SUMPRODUCT(MAX(($D$4:$D$810=$D335)*($B$4:$B$810&lt;$B335)*$B$4:$B$810))=0,0,MAX(($B335-MAX(SUMPRODUCT(MAX(($D$4:$D$810=$D335)*($B$4:$B$810&lt;$B335)*$B$4:$B$810)),'Guide &amp; Settings'!$C$50))/7-'Guide &amp; Settings'!$C$48,0)*'Guide &amp; Settings'!$C$49))</f>
        <v/>
      </c>
    </row>
    <row r="336" spans="1:29" x14ac:dyDescent="0.2">
      <c r="A336" s="111"/>
      <c r="B336" s="112"/>
      <c r="C336" s="113"/>
      <c r="D336" s="113"/>
      <c r="E336" s="111"/>
      <c r="F336" s="114">
        <f t="shared" si="85"/>
        <v>0</v>
      </c>
      <c r="G336" s="115" t="str">
        <f t="shared" si="86"/>
        <v/>
      </c>
      <c r="H336" s="116">
        <f>IF($D336="",0,IFERROR(LOOKUP(2,1/(($D$3:D335=$D336)*($A$3:A335&lt;$A336)),$N$3:N335),'Guide &amp; Settings'!$C$41))</f>
        <v>0</v>
      </c>
      <c r="I336" s="117">
        <f t="shared" si="87"/>
        <v>0</v>
      </c>
      <c r="J336" s="118">
        <f>IF($D336="",0,IF($F336&lt;2,0,IF($E336="Win",('Guide &amp; Settings'!$C$42/(($F336-1)*COUNTIFS($A$4:$A$810,$A336,$E$4:$E$810,"Win")))*SUMIFS($X$4:$X$810,$A$4:$A$810,$A336,$E$4:$E$810,"Loss"),-('Guide &amp; Settings'!$C$42/($F336-1))*$X336)))</f>
        <v>0</v>
      </c>
      <c r="K336" s="118">
        <f>IF($D336="",0,'Guide &amp; Settings'!$C$43*(IF($E336="Win",1,0)-$I336))</f>
        <v>0</v>
      </c>
      <c r="L336" s="119">
        <f>IF($D336="",0,'Guide &amp; Settings'!$C$44*IF($F336&gt;=3,$F336,0))</f>
        <v>0</v>
      </c>
      <c r="M336" s="118">
        <f t="shared" si="88"/>
        <v>0</v>
      </c>
      <c r="N336" s="116">
        <f t="shared" si="89"/>
        <v>0</v>
      </c>
      <c r="O336" s="115" t="str">
        <f t="shared" si="90"/>
        <v/>
      </c>
      <c r="P336">
        <f t="shared" si="91"/>
        <v>0</v>
      </c>
      <c r="Q336">
        <f t="shared" si="92"/>
        <v>0</v>
      </c>
      <c r="R336">
        <f t="shared" si="93"/>
        <v>0</v>
      </c>
      <c r="S336">
        <f t="shared" si="94"/>
        <v>0</v>
      </c>
      <c r="T336" s="83">
        <f t="shared" si="95"/>
        <v>0</v>
      </c>
      <c r="U336" s="120">
        <f>IF($D336="",0,IFERROR(LOOKUP(2,1/(($D$3:D335=$D336)*($C$3:C335=$C336)*($A$3:A335&lt;$A336)),$AB$3:AB335),1000))</f>
        <v>0</v>
      </c>
      <c r="V336" s="120">
        <f t="shared" si="96"/>
        <v>0</v>
      </c>
      <c r="W336">
        <f t="shared" si="97"/>
        <v>0</v>
      </c>
      <c r="X336">
        <f t="shared" si="98"/>
        <v>0</v>
      </c>
      <c r="Y336">
        <f t="shared" si="99"/>
        <v>0</v>
      </c>
      <c r="Z336">
        <f t="shared" si="100"/>
        <v>0</v>
      </c>
      <c r="AA336">
        <f>IF($D336="",0,IF($F336&lt;2,0,IF($E336="Win",('Guide &amp; Settings'!$C$42/(($F336-1)*COUNTIFS($A$4:$A$810,$A336,$E$4:$E$810,"Win")))*SUMIFS($Z$4:$Z$810,$A$4:$A$810,$A336,$E$4:$E$810,"Loss"),-('Guide &amp; Settings'!$C$42/($F336-1))*$Z336)))</f>
        <v>0</v>
      </c>
      <c r="AB336" s="120">
        <f t="shared" si="101"/>
        <v>0</v>
      </c>
      <c r="AC336" s="120" t="str">
        <f>IF($D336="","",IF(SUMPRODUCT(MAX(($D$4:$D$810=$D336)*($B$4:$B$810&lt;$B336)*$B$4:$B$810))=0,0,MAX(($B336-MAX(SUMPRODUCT(MAX(($D$4:$D$810=$D336)*($B$4:$B$810&lt;$B336)*$B$4:$B$810)),'Guide &amp; Settings'!$C$50))/7-'Guide &amp; Settings'!$C$48,0)*'Guide &amp; Settings'!$C$49))</f>
        <v/>
      </c>
    </row>
    <row r="337" spans="1:29" x14ac:dyDescent="0.2">
      <c r="A337" s="111"/>
      <c r="B337" s="112"/>
      <c r="C337" s="113"/>
      <c r="D337" s="113"/>
      <c r="E337" s="111"/>
      <c r="F337" s="114">
        <f t="shared" si="85"/>
        <v>0</v>
      </c>
      <c r="G337" s="115" t="str">
        <f t="shared" si="86"/>
        <v/>
      </c>
      <c r="H337" s="116">
        <f>IF($D337="",0,IFERROR(LOOKUP(2,1/(($D$3:D336=$D337)*($A$3:A336&lt;$A337)),$N$3:N336),'Guide &amp; Settings'!$C$41))</f>
        <v>0</v>
      </c>
      <c r="I337" s="117">
        <f t="shared" si="87"/>
        <v>0</v>
      </c>
      <c r="J337" s="118">
        <f>IF($D337="",0,IF($F337&lt;2,0,IF($E337="Win",('Guide &amp; Settings'!$C$42/(($F337-1)*COUNTIFS($A$4:$A$810,$A337,$E$4:$E$810,"Win")))*SUMIFS($X$4:$X$810,$A$4:$A$810,$A337,$E$4:$E$810,"Loss"),-('Guide &amp; Settings'!$C$42/($F337-1))*$X337)))</f>
        <v>0</v>
      </c>
      <c r="K337" s="118">
        <f>IF($D337="",0,'Guide &amp; Settings'!$C$43*(IF($E337="Win",1,0)-$I337))</f>
        <v>0</v>
      </c>
      <c r="L337" s="119">
        <f>IF($D337="",0,'Guide &amp; Settings'!$C$44*IF($F337&gt;=3,$F337,0))</f>
        <v>0</v>
      </c>
      <c r="M337" s="118">
        <f t="shared" si="88"/>
        <v>0</v>
      </c>
      <c r="N337" s="116">
        <f t="shared" si="89"/>
        <v>0</v>
      </c>
      <c r="O337" s="115" t="str">
        <f t="shared" si="90"/>
        <v/>
      </c>
      <c r="P337">
        <f t="shared" si="91"/>
        <v>0</v>
      </c>
      <c r="Q337">
        <f t="shared" si="92"/>
        <v>0</v>
      </c>
      <c r="R337">
        <f t="shared" si="93"/>
        <v>0</v>
      </c>
      <c r="S337">
        <f t="shared" si="94"/>
        <v>0</v>
      </c>
      <c r="T337" s="83">
        <f t="shared" si="95"/>
        <v>0</v>
      </c>
      <c r="U337" s="120">
        <f>IF($D337="",0,IFERROR(LOOKUP(2,1/(($D$3:D336=$D337)*($C$3:C336=$C337)*($A$3:A336&lt;$A337)),$AB$3:AB336),1000))</f>
        <v>0</v>
      </c>
      <c r="V337" s="120">
        <f t="shared" si="96"/>
        <v>0</v>
      </c>
      <c r="W337">
        <f t="shared" si="97"/>
        <v>0</v>
      </c>
      <c r="X337">
        <f t="shared" si="98"/>
        <v>0</v>
      </c>
      <c r="Y337">
        <f t="shared" si="99"/>
        <v>0</v>
      </c>
      <c r="Z337">
        <f t="shared" si="100"/>
        <v>0</v>
      </c>
      <c r="AA337">
        <f>IF($D337="",0,IF($F337&lt;2,0,IF($E337="Win",('Guide &amp; Settings'!$C$42/(($F337-1)*COUNTIFS($A$4:$A$810,$A337,$E$4:$E$810,"Win")))*SUMIFS($Z$4:$Z$810,$A$4:$A$810,$A337,$E$4:$E$810,"Loss"),-('Guide &amp; Settings'!$C$42/($F337-1))*$Z337)))</f>
        <v>0</v>
      </c>
      <c r="AB337" s="120">
        <f t="shared" si="101"/>
        <v>0</v>
      </c>
      <c r="AC337" s="120" t="str">
        <f>IF($D337="","",IF(SUMPRODUCT(MAX(($D$4:$D$810=$D337)*($B$4:$B$810&lt;$B337)*$B$4:$B$810))=0,0,MAX(($B337-MAX(SUMPRODUCT(MAX(($D$4:$D$810=$D337)*($B$4:$B$810&lt;$B337)*$B$4:$B$810)),'Guide &amp; Settings'!$C$50))/7-'Guide &amp; Settings'!$C$48,0)*'Guide &amp; Settings'!$C$49))</f>
        <v/>
      </c>
    </row>
    <row r="338" spans="1:29" x14ac:dyDescent="0.2">
      <c r="A338" s="111"/>
      <c r="B338" s="112"/>
      <c r="C338" s="113"/>
      <c r="D338" s="113"/>
      <c r="E338" s="111"/>
      <c r="F338" s="114">
        <f t="shared" si="85"/>
        <v>0</v>
      </c>
      <c r="G338" s="115" t="str">
        <f t="shared" si="86"/>
        <v/>
      </c>
      <c r="H338" s="116">
        <f>IF($D338="",0,IFERROR(LOOKUP(2,1/(($D$3:D337=$D338)*($A$3:A337&lt;$A338)),$N$3:N337),'Guide &amp; Settings'!$C$41))</f>
        <v>0</v>
      </c>
      <c r="I338" s="117">
        <f t="shared" si="87"/>
        <v>0</v>
      </c>
      <c r="J338" s="118">
        <f>IF($D338="",0,IF($F338&lt;2,0,IF($E338="Win",('Guide &amp; Settings'!$C$42/(($F338-1)*COUNTIFS($A$4:$A$810,$A338,$E$4:$E$810,"Win")))*SUMIFS($X$4:$X$810,$A$4:$A$810,$A338,$E$4:$E$810,"Loss"),-('Guide &amp; Settings'!$C$42/($F338-1))*$X338)))</f>
        <v>0</v>
      </c>
      <c r="K338" s="118">
        <f>IF($D338="",0,'Guide &amp; Settings'!$C$43*(IF($E338="Win",1,0)-$I338))</f>
        <v>0</v>
      </c>
      <c r="L338" s="119">
        <f>IF($D338="",0,'Guide &amp; Settings'!$C$44*IF($F338&gt;=3,$F338,0))</f>
        <v>0</v>
      </c>
      <c r="M338" s="118">
        <f t="shared" si="88"/>
        <v>0</v>
      </c>
      <c r="N338" s="116">
        <f t="shared" si="89"/>
        <v>0</v>
      </c>
      <c r="O338" s="115" t="str">
        <f t="shared" si="90"/>
        <v/>
      </c>
      <c r="P338">
        <f t="shared" si="91"/>
        <v>0</v>
      </c>
      <c r="Q338">
        <f t="shared" si="92"/>
        <v>0</v>
      </c>
      <c r="R338">
        <f t="shared" si="93"/>
        <v>0</v>
      </c>
      <c r="S338">
        <f t="shared" si="94"/>
        <v>0</v>
      </c>
      <c r="T338" s="83">
        <f t="shared" si="95"/>
        <v>0</v>
      </c>
      <c r="U338" s="120">
        <f>IF($D338="",0,IFERROR(LOOKUP(2,1/(($D$3:D337=$D338)*($C$3:C337=$C338)*($A$3:A337&lt;$A338)),$AB$3:AB337),1000))</f>
        <v>0</v>
      </c>
      <c r="V338" s="120">
        <f t="shared" si="96"/>
        <v>0</v>
      </c>
      <c r="W338">
        <f t="shared" si="97"/>
        <v>0</v>
      </c>
      <c r="X338">
        <f t="shared" si="98"/>
        <v>0</v>
      </c>
      <c r="Y338">
        <f t="shared" si="99"/>
        <v>0</v>
      </c>
      <c r="Z338">
        <f t="shared" si="100"/>
        <v>0</v>
      </c>
      <c r="AA338">
        <f>IF($D338="",0,IF($F338&lt;2,0,IF($E338="Win",('Guide &amp; Settings'!$C$42/(($F338-1)*COUNTIFS($A$4:$A$810,$A338,$E$4:$E$810,"Win")))*SUMIFS($Z$4:$Z$810,$A$4:$A$810,$A338,$E$4:$E$810,"Loss"),-('Guide &amp; Settings'!$C$42/($F338-1))*$Z338)))</f>
        <v>0</v>
      </c>
      <c r="AB338" s="120">
        <f t="shared" si="101"/>
        <v>0</v>
      </c>
      <c r="AC338" s="120" t="str">
        <f>IF($D338="","",IF(SUMPRODUCT(MAX(($D$4:$D$810=$D338)*($B$4:$B$810&lt;$B338)*$B$4:$B$810))=0,0,MAX(($B338-MAX(SUMPRODUCT(MAX(($D$4:$D$810=$D338)*($B$4:$B$810&lt;$B338)*$B$4:$B$810)),'Guide &amp; Settings'!$C$50))/7-'Guide &amp; Settings'!$C$48,0)*'Guide &amp; Settings'!$C$49))</f>
        <v/>
      </c>
    </row>
    <row r="339" spans="1:29" x14ac:dyDescent="0.2">
      <c r="A339" s="111"/>
      <c r="B339" s="112"/>
      <c r="C339" s="113"/>
      <c r="D339" s="113"/>
      <c r="E339" s="111"/>
      <c r="F339" s="114">
        <f t="shared" si="85"/>
        <v>0</v>
      </c>
      <c r="G339" s="115" t="str">
        <f t="shared" si="86"/>
        <v/>
      </c>
      <c r="H339" s="116">
        <f>IF($D339="",0,IFERROR(LOOKUP(2,1/(($D$3:D338=$D339)*($A$3:A338&lt;$A339)),$N$3:N338),'Guide &amp; Settings'!$C$41))</f>
        <v>0</v>
      </c>
      <c r="I339" s="117">
        <f t="shared" si="87"/>
        <v>0</v>
      </c>
      <c r="J339" s="118">
        <f>IF($D339="",0,IF($F339&lt;2,0,IF($E339="Win",('Guide &amp; Settings'!$C$42/(($F339-1)*COUNTIFS($A$4:$A$810,$A339,$E$4:$E$810,"Win")))*SUMIFS($X$4:$X$810,$A$4:$A$810,$A339,$E$4:$E$810,"Loss"),-('Guide &amp; Settings'!$C$42/($F339-1))*$X339)))</f>
        <v>0</v>
      </c>
      <c r="K339" s="118">
        <f>IF($D339="",0,'Guide &amp; Settings'!$C$43*(IF($E339="Win",1,0)-$I339))</f>
        <v>0</v>
      </c>
      <c r="L339" s="119">
        <f>IF($D339="",0,'Guide &amp; Settings'!$C$44*IF($F339&gt;=3,$F339,0))</f>
        <v>0</v>
      </c>
      <c r="M339" s="118">
        <f t="shared" si="88"/>
        <v>0</v>
      </c>
      <c r="N339" s="116">
        <f t="shared" si="89"/>
        <v>0</v>
      </c>
      <c r="O339" s="115" t="str">
        <f t="shared" si="90"/>
        <v/>
      </c>
      <c r="P339">
        <f t="shared" si="91"/>
        <v>0</v>
      </c>
      <c r="Q339">
        <f t="shared" si="92"/>
        <v>0</v>
      </c>
      <c r="R339">
        <f t="shared" si="93"/>
        <v>0</v>
      </c>
      <c r="S339">
        <f t="shared" si="94"/>
        <v>0</v>
      </c>
      <c r="T339" s="83">
        <f t="shared" si="95"/>
        <v>0</v>
      </c>
      <c r="U339" s="120">
        <f>IF($D339="",0,IFERROR(LOOKUP(2,1/(($D$3:D338=$D339)*($C$3:C338=$C339)*($A$3:A338&lt;$A339)),$AB$3:AB338),1000))</f>
        <v>0</v>
      </c>
      <c r="V339" s="120">
        <f t="shared" si="96"/>
        <v>0</v>
      </c>
      <c r="W339">
        <f t="shared" si="97"/>
        <v>0</v>
      </c>
      <c r="X339">
        <f t="shared" si="98"/>
        <v>0</v>
      </c>
      <c r="Y339">
        <f t="shared" si="99"/>
        <v>0</v>
      </c>
      <c r="Z339">
        <f t="shared" si="100"/>
        <v>0</v>
      </c>
      <c r="AA339">
        <f>IF($D339="",0,IF($F339&lt;2,0,IF($E339="Win",('Guide &amp; Settings'!$C$42/(($F339-1)*COUNTIFS($A$4:$A$810,$A339,$E$4:$E$810,"Win")))*SUMIFS($Z$4:$Z$810,$A$4:$A$810,$A339,$E$4:$E$810,"Loss"),-('Guide &amp; Settings'!$C$42/($F339-1))*$Z339)))</f>
        <v>0</v>
      </c>
      <c r="AB339" s="120">
        <f t="shared" si="101"/>
        <v>0</v>
      </c>
      <c r="AC339" s="120" t="str">
        <f>IF($D339="","",IF(SUMPRODUCT(MAX(($D$4:$D$810=$D339)*($B$4:$B$810&lt;$B339)*$B$4:$B$810))=0,0,MAX(($B339-MAX(SUMPRODUCT(MAX(($D$4:$D$810=$D339)*($B$4:$B$810&lt;$B339)*$B$4:$B$810)),'Guide &amp; Settings'!$C$50))/7-'Guide &amp; Settings'!$C$48,0)*'Guide &amp; Settings'!$C$49))</f>
        <v/>
      </c>
    </row>
    <row r="340" spans="1:29" x14ac:dyDescent="0.2">
      <c r="A340" s="111"/>
      <c r="B340" s="112"/>
      <c r="C340" s="113"/>
      <c r="D340" s="113"/>
      <c r="E340" s="111"/>
      <c r="F340" s="114">
        <f t="shared" si="85"/>
        <v>0</v>
      </c>
      <c r="G340" s="115" t="str">
        <f t="shared" si="86"/>
        <v/>
      </c>
      <c r="H340" s="116">
        <f>IF($D340="",0,IFERROR(LOOKUP(2,1/(($D$3:D339=$D340)*($A$3:A339&lt;$A340)),$N$3:N339),'Guide &amp; Settings'!$C$41))</f>
        <v>0</v>
      </c>
      <c r="I340" s="117">
        <f t="shared" si="87"/>
        <v>0</v>
      </c>
      <c r="J340" s="118">
        <f>IF($D340="",0,IF($F340&lt;2,0,IF($E340="Win",('Guide &amp; Settings'!$C$42/(($F340-1)*COUNTIFS($A$4:$A$810,$A340,$E$4:$E$810,"Win")))*SUMIFS($X$4:$X$810,$A$4:$A$810,$A340,$E$4:$E$810,"Loss"),-('Guide &amp; Settings'!$C$42/($F340-1))*$X340)))</f>
        <v>0</v>
      </c>
      <c r="K340" s="118">
        <f>IF($D340="",0,'Guide &amp; Settings'!$C$43*(IF($E340="Win",1,0)-$I340))</f>
        <v>0</v>
      </c>
      <c r="L340" s="119">
        <f>IF($D340="",0,'Guide &amp; Settings'!$C$44*IF($F340&gt;=3,$F340,0))</f>
        <v>0</v>
      </c>
      <c r="M340" s="118">
        <f t="shared" si="88"/>
        <v>0</v>
      </c>
      <c r="N340" s="116">
        <f t="shared" si="89"/>
        <v>0</v>
      </c>
      <c r="O340" s="115" t="str">
        <f t="shared" si="90"/>
        <v/>
      </c>
      <c r="P340">
        <f t="shared" si="91"/>
        <v>0</v>
      </c>
      <c r="Q340">
        <f t="shared" si="92"/>
        <v>0</v>
      </c>
      <c r="R340">
        <f t="shared" si="93"/>
        <v>0</v>
      </c>
      <c r="S340">
        <f t="shared" si="94"/>
        <v>0</v>
      </c>
      <c r="T340" s="83">
        <f t="shared" si="95"/>
        <v>0</v>
      </c>
      <c r="U340" s="120">
        <f>IF($D340="",0,IFERROR(LOOKUP(2,1/(($D$3:D339=$D340)*($C$3:C339=$C340)*($A$3:A339&lt;$A340)),$AB$3:AB339),1000))</f>
        <v>0</v>
      </c>
      <c r="V340" s="120">
        <f t="shared" si="96"/>
        <v>0</v>
      </c>
      <c r="W340">
        <f t="shared" si="97"/>
        <v>0</v>
      </c>
      <c r="X340">
        <f t="shared" si="98"/>
        <v>0</v>
      </c>
      <c r="Y340">
        <f t="shared" si="99"/>
        <v>0</v>
      </c>
      <c r="Z340">
        <f t="shared" si="100"/>
        <v>0</v>
      </c>
      <c r="AA340">
        <f>IF($D340="",0,IF($F340&lt;2,0,IF($E340="Win",('Guide &amp; Settings'!$C$42/(($F340-1)*COUNTIFS($A$4:$A$810,$A340,$E$4:$E$810,"Win")))*SUMIFS($Z$4:$Z$810,$A$4:$A$810,$A340,$E$4:$E$810,"Loss"),-('Guide &amp; Settings'!$C$42/($F340-1))*$Z340)))</f>
        <v>0</v>
      </c>
      <c r="AB340" s="120">
        <f t="shared" si="101"/>
        <v>0</v>
      </c>
      <c r="AC340" s="120" t="str">
        <f>IF($D340="","",IF(SUMPRODUCT(MAX(($D$4:$D$810=$D340)*($B$4:$B$810&lt;$B340)*$B$4:$B$810))=0,0,MAX(($B340-MAX(SUMPRODUCT(MAX(($D$4:$D$810=$D340)*($B$4:$B$810&lt;$B340)*$B$4:$B$810)),'Guide &amp; Settings'!$C$50))/7-'Guide &amp; Settings'!$C$48,0)*'Guide &amp; Settings'!$C$49))</f>
        <v/>
      </c>
    </row>
    <row r="341" spans="1:29" x14ac:dyDescent="0.2">
      <c r="A341" s="111"/>
      <c r="B341" s="112"/>
      <c r="C341" s="113"/>
      <c r="D341" s="113"/>
      <c r="E341" s="111"/>
      <c r="F341" s="114">
        <f t="shared" si="85"/>
        <v>0</v>
      </c>
      <c r="G341" s="115" t="str">
        <f t="shared" si="86"/>
        <v/>
      </c>
      <c r="H341" s="116">
        <f>IF($D341="",0,IFERROR(LOOKUP(2,1/(($D$3:D340=$D341)*($A$3:A340&lt;$A341)),$N$3:N340),'Guide &amp; Settings'!$C$41))</f>
        <v>0</v>
      </c>
      <c r="I341" s="117">
        <f t="shared" si="87"/>
        <v>0</v>
      </c>
      <c r="J341" s="118">
        <f>IF($D341="",0,IF($F341&lt;2,0,IF($E341="Win",('Guide &amp; Settings'!$C$42/(($F341-1)*COUNTIFS($A$4:$A$810,$A341,$E$4:$E$810,"Win")))*SUMIFS($X$4:$X$810,$A$4:$A$810,$A341,$E$4:$E$810,"Loss"),-('Guide &amp; Settings'!$C$42/($F341-1))*$X341)))</f>
        <v>0</v>
      </c>
      <c r="K341" s="118">
        <f>IF($D341="",0,'Guide &amp; Settings'!$C$43*(IF($E341="Win",1,0)-$I341))</f>
        <v>0</v>
      </c>
      <c r="L341" s="119">
        <f>IF($D341="",0,'Guide &amp; Settings'!$C$44*IF($F341&gt;=3,$F341,0))</f>
        <v>0</v>
      </c>
      <c r="M341" s="118">
        <f t="shared" si="88"/>
        <v>0</v>
      </c>
      <c r="N341" s="116">
        <f t="shared" si="89"/>
        <v>0</v>
      </c>
      <c r="O341" s="115" t="str">
        <f t="shared" si="90"/>
        <v/>
      </c>
      <c r="P341">
        <f t="shared" si="91"/>
        <v>0</v>
      </c>
      <c r="Q341">
        <f t="shared" si="92"/>
        <v>0</v>
      </c>
      <c r="R341">
        <f t="shared" si="93"/>
        <v>0</v>
      </c>
      <c r="S341">
        <f t="shared" si="94"/>
        <v>0</v>
      </c>
      <c r="T341" s="83">
        <f t="shared" si="95"/>
        <v>0</v>
      </c>
      <c r="U341" s="120">
        <f>IF($D341="",0,IFERROR(LOOKUP(2,1/(($D$3:D340=$D341)*($C$3:C340=$C341)*($A$3:A340&lt;$A341)),$AB$3:AB340),1000))</f>
        <v>0</v>
      </c>
      <c r="V341" s="120">
        <f t="shared" si="96"/>
        <v>0</v>
      </c>
      <c r="W341">
        <f t="shared" si="97"/>
        <v>0</v>
      </c>
      <c r="X341">
        <f t="shared" si="98"/>
        <v>0</v>
      </c>
      <c r="Y341">
        <f t="shared" si="99"/>
        <v>0</v>
      </c>
      <c r="Z341">
        <f t="shared" si="100"/>
        <v>0</v>
      </c>
      <c r="AA341">
        <f>IF($D341="",0,IF($F341&lt;2,0,IF($E341="Win",('Guide &amp; Settings'!$C$42/(($F341-1)*COUNTIFS($A$4:$A$810,$A341,$E$4:$E$810,"Win")))*SUMIFS($Z$4:$Z$810,$A$4:$A$810,$A341,$E$4:$E$810,"Loss"),-('Guide &amp; Settings'!$C$42/($F341-1))*$Z341)))</f>
        <v>0</v>
      </c>
      <c r="AB341" s="120">
        <f t="shared" si="101"/>
        <v>0</v>
      </c>
      <c r="AC341" s="120" t="str">
        <f>IF($D341="","",IF(SUMPRODUCT(MAX(($D$4:$D$810=$D341)*($B$4:$B$810&lt;$B341)*$B$4:$B$810))=0,0,MAX(($B341-MAX(SUMPRODUCT(MAX(($D$4:$D$810=$D341)*($B$4:$B$810&lt;$B341)*$B$4:$B$810)),'Guide &amp; Settings'!$C$50))/7-'Guide &amp; Settings'!$C$48,0)*'Guide &amp; Settings'!$C$49))</f>
        <v/>
      </c>
    </row>
    <row r="342" spans="1:29" x14ac:dyDescent="0.2">
      <c r="A342" s="111"/>
      <c r="B342" s="112"/>
      <c r="C342" s="113"/>
      <c r="D342" s="113"/>
      <c r="E342" s="111"/>
      <c r="F342" s="114">
        <f t="shared" si="85"/>
        <v>0</v>
      </c>
      <c r="G342" s="115" t="str">
        <f t="shared" si="86"/>
        <v/>
      </c>
      <c r="H342" s="116">
        <f>IF($D342="",0,IFERROR(LOOKUP(2,1/(($D$3:D341=$D342)*($A$3:A341&lt;$A342)),$N$3:N341),'Guide &amp; Settings'!$C$41))</f>
        <v>0</v>
      </c>
      <c r="I342" s="117">
        <f t="shared" si="87"/>
        <v>0</v>
      </c>
      <c r="J342" s="118">
        <f>IF($D342="",0,IF($F342&lt;2,0,IF($E342="Win",('Guide &amp; Settings'!$C$42/(($F342-1)*COUNTIFS($A$4:$A$810,$A342,$E$4:$E$810,"Win")))*SUMIFS($X$4:$X$810,$A$4:$A$810,$A342,$E$4:$E$810,"Loss"),-('Guide &amp; Settings'!$C$42/($F342-1))*$X342)))</f>
        <v>0</v>
      </c>
      <c r="K342" s="118">
        <f>IF($D342="",0,'Guide &amp; Settings'!$C$43*(IF($E342="Win",1,0)-$I342))</f>
        <v>0</v>
      </c>
      <c r="L342" s="119">
        <f>IF($D342="",0,'Guide &amp; Settings'!$C$44*IF($F342&gt;=3,$F342,0))</f>
        <v>0</v>
      </c>
      <c r="M342" s="118">
        <f t="shared" si="88"/>
        <v>0</v>
      </c>
      <c r="N342" s="116">
        <f t="shared" si="89"/>
        <v>0</v>
      </c>
      <c r="O342" s="115" t="str">
        <f t="shared" si="90"/>
        <v/>
      </c>
      <c r="P342">
        <f t="shared" si="91"/>
        <v>0</v>
      </c>
      <c r="Q342">
        <f t="shared" si="92"/>
        <v>0</v>
      </c>
      <c r="R342">
        <f t="shared" si="93"/>
        <v>0</v>
      </c>
      <c r="S342">
        <f t="shared" si="94"/>
        <v>0</v>
      </c>
      <c r="T342" s="83">
        <f t="shared" si="95"/>
        <v>0</v>
      </c>
      <c r="U342" s="120">
        <f>IF($D342="",0,IFERROR(LOOKUP(2,1/(($D$3:D341=$D342)*($C$3:C341=$C342)*($A$3:A341&lt;$A342)),$AB$3:AB341),1000))</f>
        <v>0</v>
      </c>
      <c r="V342" s="120">
        <f t="shared" si="96"/>
        <v>0</v>
      </c>
      <c r="W342">
        <f t="shared" si="97"/>
        <v>0</v>
      </c>
      <c r="X342">
        <f t="shared" si="98"/>
        <v>0</v>
      </c>
      <c r="Y342">
        <f t="shared" si="99"/>
        <v>0</v>
      </c>
      <c r="Z342">
        <f t="shared" si="100"/>
        <v>0</v>
      </c>
      <c r="AA342">
        <f>IF($D342="",0,IF($F342&lt;2,0,IF($E342="Win",('Guide &amp; Settings'!$C$42/(($F342-1)*COUNTIFS($A$4:$A$810,$A342,$E$4:$E$810,"Win")))*SUMIFS($Z$4:$Z$810,$A$4:$A$810,$A342,$E$4:$E$810,"Loss"),-('Guide &amp; Settings'!$C$42/($F342-1))*$Z342)))</f>
        <v>0</v>
      </c>
      <c r="AB342" s="120">
        <f t="shared" si="101"/>
        <v>0</v>
      </c>
      <c r="AC342" s="120" t="str">
        <f>IF($D342="","",IF(SUMPRODUCT(MAX(($D$4:$D$810=$D342)*($B$4:$B$810&lt;$B342)*$B$4:$B$810))=0,0,MAX(($B342-MAX(SUMPRODUCT(MAX(($D$4:$D$810=$D342)*($B$4:$B$810&lt;$B342)*$B$4:$B$810)),'Guide &amp; Settings'!$C$50))/7-'Guide &amp; Settings'!$C$48,0)*'Guide &amp; Settings'!$C$49))</f>
        <v/>
      </c>
    </row>
    <row r="343" spans="1:29" x14ac:dyDescent="0.2">
      <c r="A343" s="111"/>
      <c r="B343" s="112"/>
      <c r="C343" s="113"/>
      <c r="D343" s="113"/>
      <c r="E343" s="111"/>
      <c r="F343" s="114">
        <f t="shared" si="85"/>
        <v>0</v>
      </c>
      <c r="G343" s="115" t="str">
        <f t="shared" si="86"/>
        <v/>
      </c>
      <c r="H343" s="116">
        <f>IF($D343="",0,IFERROR(LOOKUP(2,1/(($D$3:D342=$D343)*($A$3:A342&lt;$A343)),$N$3:N342),'Guide &amp; Settings'!$C$41))</f>
        <v>0</v>
      </c>
      <c r="I343" s="117">
        <f t="shared" si="87"/>
        <v>0</v>
      </c>
      <c r="J343" s="118">
        <f>IF($D343="",0,IF($F343&lt;2,0,IF($E343="Win",('Guide &amp; Settings'!$C$42/(($F343-1)*COUNTIFS($A$4:$A$810,$A343,$E$4:$E$810,"Win")))*SUMIFS($X$4:$X$810,$A$4:$A$810,$A343,$E$4:$E$810,"Loss"),-('Guide &amp; Settings'!$C$42/($F343-1))*$X343)))</f>
        <v>0</v>
      </c>
      <c r="K343" s="118">
        <f>IF($D343="",0,'Guide &amp; Settings'!$C$43*(IF($E343="Win",1,0)-$I343))</f>
        <v>0</v>
      </c>
      <c r="L343" s="119">
        <f>IF($D343="",0,'Guide &amp; Settings'!$C$44*IF($F343&gt;=3,$F343,0))</f>
        <v>0</v>
      </c>
      <c r="M343" s="118">
        <f t="shared" si="88"/>
        <v>0</v>
      </c>
      <c r="N343" s="116">
        <f t="shared" si="89"/>
        <v>0</v>
      </c>
      <c r="O343" s="115" t="str">
        <f t="shared" si="90"/>
        <v/>
      </c>
      <c r="P343">
        <f t="shared" si="91"/>
        <v>0</v>
      </c>
      <c r="Q343">
        <f t="shared" si="92"/>
        <v>0</v>
      </c>
      <c r="R343">
        <f t="shared" si="93"/>
        <v>0</v>
      </c>
      <c r="S343">
        <f t="shared" si="94"/>
        <v>0</v>
      </c>
      <c r="T343" s="83">
        <f t="shared" si="95"/>
        <v>0</v>
      </c>
      <c r="U343" s="120">
        <f>IF($D343="",0,IFERROR(LOOKUP(2,1/(($D$3:D342=$D343)*($C$3:C342=$C343)*($A$3:A342&lt;$A343)),$AB$3:AB342),1000))</f>
        <v>0</v>
      </c>
      <c r="V343" s="120">
        <f t="shared" si="96"/>
        <v>0</v>
      </c>
      <c r="W343">
        <f t="shared" si="97"/>
        <v>0</v>
      </c>
      <c r="X343">
        <f t="shared" si="98"/>
        <v>0</v>
      </c>
      <c r="Y343">
        <f t="shared" si="99"/>
        <v>0</v>
      </c>
      <c r="Z343">
        <f t="shared" si="100"/>
        <v>0</v>
      </c>
      <c r="AA343">
        <f>IF($D343="",0,IF($F343&lt;2,0,IF($E343="Win",('Guide &amp; Settings'!$C$42/(($F343-1)*COUNTIFS($A$4:$A$810,$A343,$E$4:$E$810,"Win")))*SUMIFS($Z$4:$Z$810,$A$4:$A$810,$A343,$E$4:$E$810,"Loss"),-('Guide &amp; Settings'!$C$42/($F343-1))*$Z343)))</f>
        <v>0</v>
      </c>
      <c r="AB343" s="120">
        <f t="shared" si="101"/>
        <v>0</v>
      </c>
      <c r="AC343" s="120" t="str">
        <f>IF($D343="","",IF(SUMPRODUCT(MAX(($D$4:$D$810=$D343)*($B$4:$B$810&lt;$B343)*$B$4:$B$810))=0,0,MAX(($B343-MAX(SUMPRODUCT(MAX(($D$4:$D$810=$D343)*($B$4:$B$810&lt;$B343)*$B$4:$B$810)),'Guide &amp; Settings'!$C$50))/7-'Guide &amp; Settings'!$C$48,0)*'Guide &amp; Settings'!$C$49))</f>
        <v/>
      </c>
    </row>
    <row r="344" spans="1:29" x14ac:dyDescent="0.2">
      <c r="A344" s="111"/>
      <c r="B344" s="112"/>
      <c r="C344" s="113"/>
      <c r="D344" s="113"/>
      <c r="E344" s="111"/>
      <c r="F344" s="114">
        <f t="shared" si="85"/>
        <v>0</v>
      </c>
      <c r="G344" s="115" t="str">
        <f t="shared" si="86"/>
        <v/>
      </c>
      <c r="H344" s="116">
        <f>IF($D344="",0,IFERROR(LOOKUP(2,1/(($D$3:D343=$D344)*($A$3:A343&lt;$A344)),$N$3:N343),'Guide &amp; Settings'!$C$41))</f>
        <v>0</v>
      </c>
      <c r="I344" s="117">
        <f t="shared" si="87"/>
        <v>0</v>
      </c>
      <c r="J344" s="118">
        <f>IF($D344="",0,IF($F344&lt;2,0,IF($E344="Win",('Guide &amp; Settings'!$C$42/(($F344-1)*COUNTIFS($A$4:$A$810,$A344,$E$4:$E$810,"Win")))*SUMIFS($X$4:$X$810,$A$4:$A$810,$A344,$E$4:$E$810,"Loss"),-('Guide &amp; Settings'!$C$42/($F344-1))*$X344)))</f>
        <v>0</v>
      </c>
      <c r="K344" s="118">
        <f>IF($D344="",0,'Guide &amp; Settings'!$C$43*(IF($E344="Win",1,0)-$I344))</f>
        <v>0</v>
      </c>
      <c r="L344" s="119">
        <f>IF($D344="",0,'Guide &amp; Settings'!$C$44*IF($F344&gt;=3,$F344,0))</f>
        <v>0</v>
      </c>
      <c r="M344" s="118">
        <f t="shared" si="88"/>
        <v>0</v>
      </c>
      <c r="N344" s="116">
        <f t="shared" si="89"/>
        <v>0</v>
      </c>
      <c r="O344" s="115" t="str">
        <f t="shared" si="90"/>
        <v/>
      </c>
      <c r="P344">
        <f t="shared" si="91"/>
        <v>0</v>
      </c>
      <c r="Q344">
        <f t="shared" si="92"/>
        <v>0</v>
      </c>
      <c r="R344">
        <f t="shared" si="93"/>
        <v>0</v>
      </c>
      <c r="S344">
        <f t="shared" si="94"/>
        <v>0</v>
      </c>
      <c r="T344" s="83">
        <f t="shared" si="95"/>
        <v>0</v>
      </c>
      <c r="U344" s="120">
        <f>IF($D344="",0,IFERROR(LOOKUP(2,1/(($D$3:D343=$D344)*($C$3:C343=$C344)*($A$3:A343&lt;$A344)),$AB$3:AB343),1000))</f>
        <v>0</v>
      </c>
      <c r="V344" s="120">
        <f t="shared" si="96"/>
        <v>0</v>
      </c>
      <c r="W344">
        <f t="shared" si="97"/>
        <v>0</v>
      </c>
      <c r="X344">
        <f t="shared" si="98"/>
        <v>0</v>
      </c>
      <c r="Y344">
        <f t="shared" si="99"/>
        <v>0</v>
      </c>
      <c r="Z344">
        <f t="shared" si="100"/>
        <v>0</v>
      </c>
      <c r="AA344">
        <f>IF($D344="",0,IF($F344&lt;2,0,IF($E344="Win",('Guide &amp; Settings'!$C$42/(($F344-1)*COUNTIFS($A$4:$A$810,$A344,$E$4:$E$810,"Win")))*SUMIFS($Z$4:$Z$810,$A$4:$A$810,$A344,$E$4:$E$810,"Loss"),-('Guide &amp; Settings'!$C$42/($F344-1))*$Z344)))</f>
        <v>0</v>
      </c>
      <c r="AB344" s="120">
        <f t="shared" si="101"/>
        <v>0</v>
      </c>
      <c r="AC344" s="120" t="str">
        <f>IF($D344="","",IF(SUMPRODUCT(MAX(($D$4:$D$810=$D344)*($B$4:$B$810&lt;$B344)*$B$4:$B$810))=0,0,MAX(($B344-MAX(SUMPRODUCT(MAX(($D$4:$D$810=$D344)*($B$4:$B$810&lt;$B344)*$B$4:$B$810)),'Guide &amp; Settings'!$C$50))/7-'Guide &amp; Settings'!$C$48,0)*'Guide &amp; Settings'!$C$49))</f>
        <v/>
      </c>
    </row>
    <row r="345" spans="1:29" x14ac:dyDescent="0.2">
      <c r="A345" s="111"/>
      <c r="B345" s="112"/>
      <c r="C345" s="113"/>
      <c r="D345" s="113"/>
      <c r="E345" s="111"/>
      <c r="F345" s="114">
        <f t="shared" si="85"/>
        <v>0</v>
      </c>
      <c r="G345" s="115" t="str">
        <f t="shared" si="86"/>
        <v/>
      </c>
      <c r="H345" s="116">
        <f>IF($D345="",0,IFERROR(LOOKUP(2,1/(($D$3:D344=$D345)*($A$3:A344&lt;$A345)),$N$3:N344),'Guide &amp; Settings'!$C$41))</f>
        <v>0</v>
      </c>
      <c r="I345" s="117">
        <f t="shared" si="87"/>
        <v>0</v>
      </c>
      <c r="J345" s="118">
        <f>IF($D345="",0,IF($F345&lt;2,0,IF($E345="Win",('Guide &amp; Settings'!$C$42/(($F345-1)*COUNTIFS($A$4:$A$810,$A345,$E$4:$E$810,"Win")))*SUMIFS($X$4:$X$810,$A$4:$A$810,$A345,$E$4:$E$810,"Loss"),-('Guide &amp; Settings'!$C$42/($F345-1))*$X345)))</f>
        <v>0</v>
      </c>
      <c r="K345" s="118">
        <f>IF($D345="",0,'Guide &amp; Settings'!$C$43*(IF($E345="Win",1,0)-$I345))</f>
        <v>0</v>
      </c>
      <c r="L345" s="119">
        <f>IF($D345="",0,'Guide &amp; Settings'!$C$44*IF($F345&gt;=3,$F345,0))</f>
        <v>0</v>
      </c>
      <c r="M345" s="118">
        <f t="shared" si="88"/>
        <v>0</v>
      </c>
      <c r="N345" s="116">
        <f t="shared" si="89"/>
        <v>0</v>
      </c>
      <c r="O345" s="115" t="str">
        <f t="shared" si="90"/>
        <v/>
      </c>
      <c r="P345">
        <f t="shared" si="91"/>
        <v>0</v>
      </c>
      <c r="Q345">
        <f t="shared" si="92"/>
        <v>0</v>
      </c>
      <c r="R345">
        <f t="shared" si="93"/>
        <v>0</v>
      </c>
      <c r="S345">
        <f t="shared" si="94"/>
        <v>0</v>
      </c>
      <c r="T345" s="83">
        <f t="shared" si="95"/>
        <v>0</v>
      </c>
      <c r="U345" s="120">
        <f>IF($D345="",0,IFERROR(LOOKUP(2,1/(($D$3:D344=$D345)*($C$3:C344=$C345)*($A$3:A344&lt;$A345)),$AB$3:AB344),1000))</f>
        <v>0</v>
      </c>
      <c r="V345" s="120">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0">
        <f t="shared" si="101"/>
        <v>0</v>
      </c>
      <c r="AC345" s="120" t="str">
        <f>IF($D345="","",IF(SUMPRODUCT(MAX(($D$4:$D$810=$D345)*($B$4:$B$810&lt;$B345)*$B$4:$B$810))=0,0,MAX(($B345-MAX(SUMPRODUCT(MAX(($D$4:$D$810=$D345)*($B$4:$B$810&lt;$B345)*$B$4:$B$810)),'Guide &amp; Settings'!$C$50))/7-'Guide &amp; Settings'!$C$48,0)*'Guide &amp; Settings'!$C$49))</f>
        <v/>
      </c>
    </row>
    <row r="346" spans="1:29" x14ac:dyDescent="0.2">
      <c r="A346" s="111"/>
      <c r="B346" s="112"/>
      <c r="C346" s="113"/>
      <c r="D346" s="113"/>
      <c r="E346" s="111"/>
      <c r="F346" s="114">
        <f t="shared" si="85"/>
        <v>0</v>
      </c>
      <c r="G346" s="115" t="str">
        <f t="shared" si="86"/>
        <v/>
      </c>
      <c r="H346" s="116">
        <f>IF($D346="",0,IFERROR(LOOKUP(2,1/(($D$3:D345=$D346)*($A$3:A345&lt;$A346)),$N$3:N345),'Guide &amp; Settings'!$C$41))</f>
        <v>0</v>
      </c>
      <c r="I346" s="117">
        <f t="shared" si="87"/>
        <v>0</v>
      </c>
      <c r="J346" s="118">
        <f>IF($D346="",0,IF($F346&lt;2,0,IF($E346="Win",('Guide &amp; Settings'!$C$42/(($F346-1)*COUNTIFS($A$4:$A$810,$A346,$E$4:$E$810,"Win")))*SUMIFS($X$4:$X$810,$A$4:$A$810,$A346,$E$4:$E$810,"Loss"),-('Guide &amp; Settings'!$C$42/($F346-1))*$X346)))</f>
        <v>0</v>
      </c>
      <c r="K346" s="118">
        <f>IF($D346="",0,'Guide &amp; Settings'!$C$43*(IF($E346="Win",1,0)-$I346))</f>
        <v>0</v>
      </c>
      <c r="L346" s="119">
        <f>IF($D346="",0,'Guide &amp; Settings'!$C$44*IF($F346&gt;=3,$F346,0))</f>
        <v>0</v>
      </c>
      <c r="M346" s="118">
        <f t="shared" si="88"/>
        <v>0</v>
      </c>
      <c r="N346" s="116">
        <f t="shared" si="89"/>
        <v>0</v>
      </c>
      <c r="O346" s="115" t="str">
        <f t="shared" si="90"/>
        <v/>
      </c>
      <c r="P346">
        <f t="shared" si="91"/>
        <v>0</v>
      </c>
      <c r="Q346">
        <f t="shared" si="92"/>
        <v>0</v>
      </c>
      <c r="R346">
        <f t="shared" si="93"/>
        <v>0</v>
      </c>
      <c r="S346">
        <f t="shared" si="94"/>
        <v>0</v>
      </c>
      <c r="T346" s="83">
        <f t="shared" si="95"/>
        <v>0</v>
      </c>
      <c r="U346" s="120">
        <f>IF($D346="",0,IFERROR(LOOKUP(2,1/(($D$3:D345=$D346)*($C$3:C345=$C346)*($A$3:A345&lt;$A346)),$AB$3:AB345),1000))</f>
        <v>0</v>
      </c>
      <c r="V346" s="120">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0">
        <f t="shared" si="101"/>
        <v>0</v>
      </c>
      <c r="AC346" s="120" t="str">
        <f>IF($D346="","",IF(SUMPRODUCT(MAX(($D$4:$D$810=$D346)*($B$4:$B$810&lt;$B346)*$B$4:$B$810))=0,0,MAX(($B346-MAX(SUMPRODUCT(MAX(($D$4:$D$810=$D346)*($B$4:$B$810&lt;$B346)*$B$4:$B$810)),'Guide &amp; Settings'!$C$50))/7-'Guide &amp; Settings'!$C$48,0)*'Guide &amp; Settings'!$C$49))</f>
        <v/>
      </c>
    </row>
    <row r="347" spans="1:29" x14ac:dyDescent="0.2">
      <c r="A347" s="111"/>
      <c r="B347" s="112"/>
      <c r="C347" s="113"/>
      <c r="D347" s="113"/>
      <c r="E347" s="111"/>
      <c r="F347" s="114">
        <f t="shared" si="85"/>
        <v>0</v>
      </c>
      <c r="G347" s="115" t="str">
        <f t="shared" si="86"/>
        <v/>
      </c>
      <c r="H347" s="116">
        <f>IF($D347="",0,IFERROR(LOOKUP(2,1/(($D$3:D346=$D347)*($A$3:A346&lt;$A347)),$N$3:N346),'Guide &amp; Settings'!$C$41))</f>
        <v>0</v>
      </c>
      <c r="I347" s="117">
        <f t="shared" si="87"/>
        <v>0</v>
      </c>
      <c r="J347" s="118">
        <f>IF($D347="",0,IF($F347&lt;2,0,IF($E347="Win",('Guide &amp; Settings'!$C$42/(($F347-1)*COUNTIFS($A$4:$A$810,$A347,$E$4:$E$810,"Win")))*SUMIFS($X$4:$X$810,$A$4:$A$810,$A347,$E$4:$E$810,"Loss"),-('Guide &amp; Settings'!$C$42/($F347-1))*$X347)))</f>
        <v>0</v>
      </c>
      <c r="K347" s="118">
        <f>IF($D347="",0,'Guide &amp; Settings'!$C$43*(IF($E347="Win",1,0)-$I347))</f>
        <v>0</v>
      </c>
      <c r="L347" s="119">
        <f>IF($D347="",0,'Guide &amp; Settings'!$C$44*IF($F347&gt;=3,$F347,0))</f>
        <v>0</v>
      </c>
      <c r="M347" s="118">
        <f t="shared" si="88"/>
        <v>0</v>
      </c>
      <c r="N347" s="116">
        <f t="shared" si="89"/>
        <v>0</v>
      </c>
      <c r="O347" s="115" t="str">
        <f t="shared" si="90"/>
        <v/>
      </c>
      <c r="P347">
        <f t="shared" si="91"/>
        <v>0</v>
      </c>
      <c r="Q347">
        <f t="shared" si="92"/>
        <v>0</v>
      </c>
      <c r="R347">
        <f t="shared" si="93"/>
        <v>0</v>
      </c>
      <c r="S347">
        <f t="shared" si="94"/>
        <v>0</v>
      </c>
      <c r="T347" s="83">
        <f t="shared" si="95"/>
        <v>0</v>
      </c>
      <c r="U347" s="120">
        <f>IF($D347="",0,IFERROR(LOOKUP(2,1/(($D$3:D346=$D347)*($C$3:C346=$C347)*($A$3:A346&lt;$A347)),$AB$3:AB346),1000))</f>
        <v>0</v>
      </c>
      <c r="V347" s="120">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0">
        <f t="shared" si="101"/>
        <v>0</v>
      </c>
      <c r="AC347" s="120" t="str">
        <f>IF($D347="","",IF(SUMPRODUCT(MAX(($D$4:$D$810=$D347)*($B$4:$B$810&lt;$B347)*$B$4:$B$810))=0,0,MAX(($B347-MAX(SUMPRODUCT(MAX(($D$4:$D$810=$D347)*($B$4:$B$810&lt;$B347)*$B$4:$B$810)),'Guide &amp; Settings'!$C$50))/7-'Guide &amp; Settings'!$C$48,0)*'Guide &amp; Settings'!$C$49))</f>
        <v/>
      </c>
    </row>
    <row r="348" spans="1:29" x14ac:dyDescent="0.2">
      <c r="A348" s="111"/>
      <c r="B348" s="112"/>
      <c r="C348" s="113"/>
      <c r="D348" s="113"/>
      <c r="E348" s="111"/>
      <c r="F348" s="114">
        <f t="shared" si="85"/>
        <v>0</v>
      </c>
      <c r="G348" s="115" t="str">
        <f t="shared" si="86"/>
        <v/>
      </c>
      <c r="H348" s="116">
        <f>IF($D348="",0,IFERROR(LOOKUP(2,1/(($D$3:D347=$D348)*($A$3:A347&lt;$A348)),$N$3:N347),'Guide &amp; Settings'!$C$41))</f>
        <v>0</v>
      </c>
      <c r="I348" s="117">
        <f t="shared" si="87"/>
        <v>0</v>
      </c>
      <c r="J348" s="118">
        <f>IF($D348="",0,IF($F348&lt;2,0,IF($E348="Win",('Guide &amp; Settings'!$C$42/(($F348-1)*COUNTIFS($A$4:$A$810,$A348,$E$4:$E$810,"Win")))*SUMIFS($X$4:$X$810,$A$4:$A$810,$A348,$E$4:$E$810,"Loss"),-('Guide &amp; Settings'!$C$42/($F348-1))*$X348)))</f>
        <v>0</v>
      </c>
      <c r="K348" s="118">
        <f>IF($D348="",0,'Guide &amp; Settings'!$C$43*(IF($E348="Win",1,0)-$I348))</f>
        <v>0</v>
      </c>
      <c r="L348" s="119">
        <f>IF($D348="",0,'Guide &amp; Settings'!$C$44*IF($F348&gt;=3,$F348,0))</f>
        <v>0</v>
      </c>
      <c r="M348" s="118">
        <f t="shared" si="88"/>
        <v>0</v>
      </c>
      <c r="N348" s="116">
        <f t="shared" si="89"/>
        <v>0</v>
      </c>
      <c r="O348" s="115" t="str">
        <f t="shared" si="90"/>
        <v/>
      </c>
      <c r="P348">
        <f t="shared" si="91"/>
        <v>0</v>
      </c>
      <c r="Q348">
        <f t="shared" si="92"/>
        <v>0</v>
      </c>
      <c r="R348">
        <f t="shared" si="93"/>
        <v>0</v>
      </c>
      <c r="S348">
        <f t="shared" si="94"/>
        <v>0</v>
      </c>
      <c r="T348" s="83">
        <f t="shared" si="95"/>
        <v>0</v>
      </c>
      <c r="U348" s="120">
        <f>IF($D348="",0,IFERROR(LOOKUP(2,1/(($D$3:D347=$D348)*($C$3:C347=$C348)*($A$3:A347&lt;$A348)),$AB$3:AB347),1000))</f>
        <v>0</v>
      </c>
      <c r="V348" s="120">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0">
        <f t="shared" si="101"/>
        <v>0</v>
      </c>
      <c r="AC348" s="120" t="str">
        <f>IF($D348="","",IF(SUMPRODUCT(MAX(($D$4:$D$810=$D348)*($B$4:$B$810&lt;$B348)*$B$4:$B$810))=0,0,MAX(($B348-MAX(SUMPRODUCT(MAX(($D$4:$D$810=$D348)*($B$4:$B$810&lt;$B348)*$B$4:$B$810)),'Guide &amp; Settings'!$C$50))/7-'Guide &amp; Settings'!$C$48,0)*'Guide &amp; Settings'!$C$49))</f>
        <v/>
      </c>
    </row>
    <row r="349" spans="1:29" x14ac:dyDescent="0.2">
      <c r="A349" s="111"/>
      <c r="B349" s="112"/>
      <c r="C349" s="113"/>
      <c r="D349" s="113"/>
      <c r="E349" s="111"/>
      <c r="F349" s="114">
        <f t="shared" si="85"/>
        <v>0</v>
      </c>
      <c r="G349" s="115" t="str">
        <f t="shared" si="86"/>
        <v/>
      </c>
      <c r="H349" s="116">
        <f>IF($D349="",0,IFERROR(LOOKUP(2,1/(($D$3:D348=$D349)*($A$3:A348&lt;$A349)),$N$3:N348),'Guide &amp; Settings'!$C$41))</f>
        <v>0</v>
      </c>
      <c r="I349" s="117">
        <f t="shared" si="87"/>
        <v>0</v>
      </c>
      <c r="J349" s="118">
        <f>IF($D349="",0,IF($F349&lt;2,0,IF($E349="Win",('Guide &amp; Settings'!$C$42/(($F349-1)*COUNTIFS($A$4:$A$810,$A349,$E$4:$E$810,"Win")))*SUMIFS($X$4:$X$810,$A$4:$A$810,$A349,$E$4:$E$810,"Loss"),-('Guide &amp; Settings'!$C$42/($F349-1))*$X349)))</f>
        <v>0</v>
      </c>
      <c r="K349" s="118">
        <f>IF($D349="",0,'Guide &amp; Settings'!$C$43*(IF($E349="Win",1,0)-$I349))</f>
        <v>0</v>
      </c>
      <c r="L349" s="119">
        <f>IF($D349="",0,'Guide &amp; Settings'!$C$44*IF($F349&gt;=3,$F349,0))</f>
        <v>0</v>
      </c>
      <c r="M349" s="118">
        <f t="shared" si="88"/>
        <v>0</v>
      </c>
      <c r="N349" s="116">
        <f t="shared" si="89"/>
        <v>0</v>
      </c>
      <c r="O349" s="115" t="str">
        <f t="shared" si="90"/>
        <v/>
      </c>
      <c r="P349">
        <f t="shared" si="91"/>
        <v>0</v>
      </c>
      <c r="Q349">
        <f t="shared" si="92"/>
        <v>0</v>
      </c>
      <c r="R349">
        <f t="shared" si="93"/>
        <v>0</v>
      </c>
      <c r="S349">
        <f t="shared" si="94"/>
        <v>0</v>
      </c>
      <c r="T349" s="83">
        <f t="shared" si="95"/>
        <v>0</v>
      </c>
      <c r="U349" s="120">
        <f>IF($D349="",0,IFERROR(LOOKUP(2,1/(($D$3:D348=$D349)*($C$3:C348=$C349)*($A$3:A348&lt;$A349)),$AB$3:AB348),1000))</f>
        <v>0</v>
      </c>
      <c r="V349" s="120">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0">
        <f t="shared" si="101"/>
        <v>0</v>
      </c>
      <c r="AC349" s="120" t="str">
        <f>IF($D349="","",IF(SUMPRODUCT(MAX(($D$4:$D$810=$D349)*($B$4:$B$810&lt;$B349)*$B$4:$B$810))=0,0,MAX(($B349-MAX(SUMPRODUCT(MAX(($D$4:$D$810=$D349)*($B$4:$B$810&lt;$B349)*$B$4:$B$810)),'Guide &amp; Settings'!$C$50))/7-'Guide &amp; Settings'!$C$48,0)*'Guide &amp; Settings'!$C$49))</f>
        <v/>
      </c>
    </row>
    <row r="350" spans="1:29" x14ac:dyDescent="0.2">
      <c r="A350" s="111"/>
      <c r="B350" s="112"/>
      <c r="C350" s="113"/>
      <c r="D350" s="113"/>
      <c r="E350" s="111"/>
      <c r="F350" s="114">
        <f t="shared" si="85"/>
        <v>0</v>
      </c>
      <c r="G350" s="115" t="str">
        <f t="shared" si="86"/>
        <v/>
      </c>
      <c r="H350" s="116">
        <f>IF($D350="",0,IFERROR(LOOKUP(2,1/(($D$3:D349=$D350)*($A$3:A349&lt;$A350)),$N$3:N349),'Guide &amp; Settings'!$C$41))</f>
        <v>0</v>
      </c>
      <c r="I350" s="117">
        <f t="shared" si="87"/>
        <v>0</v>
      </c>
      <c r="J350" s="118">
        <f>IF($D350="",0,IF($F350&lt;2,0,IF($E350="Win",('Guide &amp; Settings'!$C$42/(($F350-1)*COUNTIFS($A$4:$A$810,$A350,$E$4:$E$810,"Win")))*SUMIFS($X$4:$X$810,$A$4:$A$810,$A350,$E$4:$E$810,"Loss"),-('Guide &amp; Settings'!$C$42/($F350-1))*$X350)))</f>
        <v>0</v>
      </c>
      <c r="K350" s="118">
        <f>IF($D350="",0,'Guide &amp; Settings'!$C$43*(IF($E350="Win",1,0)-$I350))</f>
        <v>0</v>
      </c>
      <c r="L350" s="119">
        <f>IF($D350="",0,'Guide &amp; Settings'!$C$44*IF($F350&gt;=3,$F350,0))</f>
        <v>0</v>
      </c>
      <c r="M350" s="118">
        <f t="shared" si="88"/>
        <v>0</v>
      </c>
      <c r="N350" s="116">
        <f t="shared" si="89"/>
        <v>0</v>
      </c>
      <c r="O350" s="115" t="str">
        <f t="shared" si="90"/>
        <v/>
      </c>
      <c r="P350">
        <f t="shared" si="91"/>
        <v>0</v>
      </c>
      <c r="Q350">
        <f t="shared" si="92"/>
        <v>0</v>
      </c>
      <c r="R350">
        <f t="shared" si="93"/>
        <v>0</v>
      </c>
      <c r="S350">
        <f t="shared" si="94"/>
        <v>0</v>
      </c>
      <c r="T350" s="83">
        <f t="shared" si="95"/>
        <v>0</v>
      </c>
      <c r="U350" s="120">
        <f>IF($D350="",0,IFERROR(LOOKUP(2,1/(($D$3:D349=$D350)*($C$3:C349=$C350)*($A$3:A349&lt;$A350)),$AB$3:AB349),1000))</f>
        <v>0</v>
      </c>
      <c r="V350" s="120">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0">
        <f t="shared" si="101"/>
        <v>0</v>
      </c>
      <c r="AC350" s="120" t="str">
        <f>IF($D350="","",IF(SUMPRODUCT(MAX(($D$4:$D$810=$D350)*($B$4:$B$810&lt;$B350)*$B$4:$B$810))=0,0,MAX(($B350-MAX(SUMPRODUCT(MAX(($D$4:$D$810=$D350)*($B$4:$B$810&lt;$B350)*$B$4:$B$810)),'Guide &amp; Settings'!$C$50))/7-'Guide &amp; Settings'!$C$48,0)*'Guide &amp; Settings'!$C$49))</f>
        <v/>
      </c>
    </row>
    <row r="351" spans="1:29" x14ac:dyDescent="0.2">
      <c r="A351" s="111"/>
      <c r="B351" s="112"/>
      <c r="C351" s="113"/>
      <c r="D351" s="113"/>
      <c r="E351" s="111"/>
      <c r="F351" s="114">
        <f t="shared" si="85"/>
        <v>0</v>
      </c>
      <c r="G351" s="115" t="str">
        <f t="shared" si="86"/>
        <v/>
      </c>
      <c r="H351" s="116">
        <f>IF($D351="",0,IFERROR(LOOKUP(2,1/(($D$3:D350=$D351)*($A$3:A350&lt;$A351)),$N$3:N350),'Guide &amp; Settings'!$C$41))</f>
        <v>0</v>
      </c>
      <c r="I351" s="117">
        <f t="shared" si="87"/>
        <v>0</v>
      </c>
      <c r="J351" s="118">
        <f>IF($D351="",0,IF($F351&lt;2,0,IF($E351="Win",('Guide &amp; Settings'!$C$42/(($F351-1)*COUNTIFS($A$4:$A$810,$A351,$E$4:$E$810,"Win")))*SUMIFS($X$4:$X$810,$A$4:$A$810,$A351,$E$4:$E$810,"Loss"),-('Guide &amp; Settings'!$C$42/($F351-1))*$X351)))</f>
        <v>0</v>
      </c>
      <c r="K351" s="118">
        <f>IF($D351="",0,'Guide &amp; Settings'!$C$43*(IF($E351="Win",1,0)-$I351))</f>
        <v>0</v>
      </c>
      <c r="L351" s="119">
        <f>IF($D351="",0,'Guide &amp; Settings'!$C$44*IF($F351&gt;=3,$F351,0))</f>
        <v>0</v>
      </c>
      <c r="M351" s="118">
        <f t="shared" si="88"/>
        <v>0</v>
      </c>
      <c r="N351" s="116">
        <f t="shared" si="89"/>
        <v>0</v>
      </c>
      <c r="O351" s="115" t="str">
        <f t="shared" si="90"/>
        <v/>
      </c>
      <c r="P351">
        <f t="shared" si="91"/>
        <v>0</v>
      </c>
      <c r="Q351">
        <f t="shared" si="92"/>
        <v>0</v>
      </c>
      <c r="R351">
        <f t="shared" si="93"/>
        <v>0</v>
      </c>
      <c r="S351">
        <f t="shared" si="94"/>
        <v>0</v>
      </c>
      <c r="T351" s="83">
        <f t="shared" si="95"/>
        <v>0</v>
      </c>
      <c r="U351" s="120">
        <f>IF($D351="",0,IFERROR(LOOKUP(2,1/(($D$3:D350=$D351)*($C$3:C350=$C351)*($A$3:A350&lt;$A351)),$AB$3:AB350),1000))</f>
        <v>0</v>
      </c>
      <c r="V351" s="120">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0">
        <f t="shared" si="101"/>
        <v>0</v>
      </c>
      <c r="AC351" s="120" t="str">
        <f>IF($D351="","",IF(SUMPRODUCT(MAX(($D$4:$D$810=$D351)*($B$4:$B$810&lt;$B351)*$B$4:$B$810))=0,0,MAX(($B351-MAX(SUMPRODUCT(MAX(($D$4:$D$810=$D351)*($B$4:$B$810&lt;$B351)*$B$4:$B$810)),'Guide &amp; Settings'!$C$50))/7-'Guide &amp; Settings'!$C$48,0)*'Guide &amp; Settings'!$C$49))</f>
        <v/>
      </c>
    </row>
    <row r="352" spans="1:29" x14ac:dyDescent="0.2">
      <c r="A352" s="111"/>
      <c r="B352" s="112"/>
      <c r="C352" s="113"/>
      <c r="D352" s="113"/>
      <c r="E352" s="111"/>
      <c r="F352" s="114">
        <f t="shared" si="85"/>
        <v>0</v>
      </c>
      <c r="G352" s="115" t="str">
        <f t="shared" si="86"/>
        <v/>
      </c>
      <c r="H352" s="116">
        <f>IF($D352="",0,IFERROR(LOOKUP(2,1/(($D$3:D351=$D352)*($A$3:A351&lt;$A352)),$N$3:N351),'Guide &amp; Settings'!$C$41))</f>
        <v>0</v>
      </c>
      <c r="I352" s="117">
        <f t="shared" si="87"/>
        <v>0</v>
      </c>
      <c r="J352" s="118">
        <f>IF($D352="",0,IF($F352&lt;2,0,IF($E352="Win",('Guide &amp; Settings'!$C$42/(($F352-1)*COUNTIFS($A$4:$A$810,$A352,$E$4:$E$810,"Win")))*SUMIFS($X$4:$X$810,$A$4:$A$810,$A352,$E$4:$E$810,"Loss"),-('Guide &amp; Settings'!$C$42/($F352-1))*$X352)))</f>
        <v>0</v>
      </c>
      <c r="K352" s="118">
        <f>IF($D352="",0,'Guide &amp; Settings'!$C$43*(IF($E352="Win",1,0)-$I352))</f>
        <v>0</v>
      </c>
      <c r="L352" s="119">
        <f>IF($D352="",0,'Guide &amp; Settings'!$C$44*IF($F352&gt;=3,$F352,0))</f>
        <v>0</v>
      </c>
      <c r="M352" s="118">
        <f t="shared" si="88"/>
        <v>0</v>
      </c>
      <c r="N352" s="116">
        <f t="shared" si="89"/>
        <v>0</v>
      </c>
      <c r="O352" s="115" t="str">
        <f t="shared" si="90"/>
        <v/>
      </c>
      <c r="P352">
        <f t="shared" si="91"/>
        <v>0</v>
      </c>
      <c r="Q352">
        <f t="shared" si="92"/>
        <v>0</v>
      </c>
      <c r="R352">
        <f t="shared" si="93"/>
        <v>0</v>
      </c>
      <c r="S352">
        <f t="shared" si="94"/>
        <v>0</v>
      </c>
      <c r="T352" s="83">
        <f t="shared" si="95"/>
        <v>0</v>
      </c>
      <c r="U352" s="120">
        <f>IF($D352="",0,IFERROR(LOOKUP(2,1/(($D$3:D351=$D352)*($C$3:C351=$C352)*($A$3:A351&lt;$A352)),$AB$3:AB351),1000))</f>
        <v>0</v>
      </c>
      <c r="V352" s="120">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0">
        <f t="shared" si="101"/>
        <v>0</v>
      </c>
      <c r="AC352" s="120" t="str">
        <f>IF($D352="","",IF(SUMPRODUCT(MAX(($D$4:$D$810=$D352)*($B$4:$B$810&lt;$B352)*$B$4:$B$810))=0,0,MAX(($B352-MAX(SUMPRODUCT(MAX(($D$4:$D$810=$D352)*($B$4:$B$810&lt;$B352)*$B$4:$B$810)),'Guide &amp; Settings'!$C$50))/7-'Guide &amp; Settings'!$C$48,0)*'Guide &amp; Settings'!$C$49))</f>
        <v/>
      </c>
    </row>
    <row r="353" spans="1:29" x14ac:dyDescent="0.2">
      <c r="A353" s="111"/>
      <c r="B353" s="112"/>
      <c r="C353" s="113"/>
      <c r="D353" s="113"/>
      <c r="E353" s="111"/>
      <c r="F353" s="114">
        <f t="shared" si="85"/>
        <v>0</v>
      </c>
      <c r="G353" s="115" t="str">
        <f t="shared" si="86"/>
        <v/>
      </c>
      <c r="H353" s="116">
        <f>IF($D353="",0,IFERROR(LOOKUP(2,1/(($D$3:D352=$D353)*($A$3:A352&lt;$A353)),$N$3:N352),'Guide &amp; Settings'!$C$41))</f>
        <v>0</v>
      </c>
      <c r="I353" s="117">
        <f t="shared" si="87"/>
        <v>0</v>
      </c>
      <c r="J353" s="118">
        <f>IF($D353="",0,IF($F353&lt;2,0,IF($E353="Win",('Guide &amp; Settings'!$C$42/(($F353-1)*COUNTIFS($A$4:$A$810,$A353,$E$4:$E$810,"Win")))*SUMIFS($X$4:$X$810,$A$4:$A$810,$A353,$E$4:$E$810,"Loss"),-('Guide &amp; Settings'!$C$42/($F353-1))*$X353)))</f>
        <v>0</v>
      </c>
      <c r="K353" s="118">
        <f>IF($D353="",0,'Guide &amp; Settings'!$C$43*(IF($E353="Win",1,0)-$I353))</f>
        <v>0</v>
      </c>
      <c r="L353" s="119">
        <f>IF($D353="",0,'Guide &amp; Settings'!$C$44*IF($F353&gt;=3,$F353,0))</f>
        <v>0</v>
      </c>
      <c r="M353" s="118">
        <f t="shared" si="88"/>
        <v>0</v>
      </c>
      <c r="N353" s="116">
        <f t="shared" si="89"/>
        <v>0</v>
      </c>
      <c r="O353" s="115" t="str">
        <f t="shared" si="90"/>
        <v/>
      </c>
      <c r="P353">
        <f t="shared" si="91"/>
        <v>0</v>
      </c>
      <c r="Q353">
        <f t="shared" si="92"/>
        <v>0</v>
      </c>
      <c r="R353">
        <f t="shared" si="93"/>
        <v>0</v>
      </c>
      <c r="S353">
        <f t="shared" si="94"/>
        <v>0</v>
      </c>
      <c r="T353" s="83">
        <f t="shared" si="95"/>
        <v>0</v>
      </c>
      <c r="U353" s="120">
        <f>IF($D353="",0,IFERROR(LOOKUP(2,1/(($D$3:D352=$D353)*($C$3:C352=$C353)*($A$3:A352&lt;$A353)),$AB$3:AB352),1000))</f>
        <v>0</v>
      </c>
      <c r="V353" s="120">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0">
        <f t="shared" si="101"/>
        <v>0</v>
      </c>
      <c r="AC353" s="120" t="str">
        <f>IF($D353="","",IF(SUMPRODUCT(MAX(($D$4:$D$810=$D353)*($B$4:$B$810&lt;$B353)*$B$4:$B$810))=0,0,MAX(($B353-MAX(SUMPRODUCT(MAX(($D$4:$D$810=$D353)*($B$4:$B$810&lt;$B353)*$B$4:$B$810)),'Guide &amp; Settings'!$C$50))/7-'Guide &amp; Settings'!$C$48,0)*'Guide &amp; Settings'!$C$49))</f>
        <v/>
      </c>
    </row>
    <row r="354" spans="1:29" x14ac:dyDescent="0.2">
      <c r="A354" s="111"/>
      <c r="B354" s="112"/>
      <c r="C354" s="113"/>
      <c r="D354" s="113"/>
      <c r="E354" s="111"/>
      <c r="F354" s="114">
        <f t="shared" si="85"/>
        <v>0</v>
      </c>
      <c r="G354" s="115" t="str">
        <f t="shared" si="86"/>
        <v/>
      </c>
      <c r="H354" s="116">
        <f>IF($D354="",0,IFERROR(LOOKUP(2,1/(($D$3:D353=$D354)*($A$3:A353&lt;$A354)),$N$3:N353),'Guide &amp; Settings'!$C$41))</f>
        <v>0</v>
      </c>
      <c r="I354" s="117">
        <f t="shared" si="87"/>
        <v>0</v>
      </c>
      <c r="J354" s="118">
        <f>IF($D354="",0,IF($F354&lt;2,0,IF($E354="Win",('Guide &amp; Settings'!$C$42/(($F354-1)*COUNTIFS($A$4:$A$810,$A354,$E$4:$E$810,"Win")))*SUMIFS($X$4:$X$810,$A$4:$A$810,$A354,$E$4:$E$810,"Loss"),-('Guide &amp; Settings'!$C$42/($F354-1))*$X354)))</f>
        <v>0</v>
      </c>
      <c r="K354" s="118">
        <f>IF($D354="",0,'Guide &amp; Settings'!$C$43*(IF($E354="Win",1,0)-$I354))</f>
        <v>0</v>
      </c>
      <c r="L354" s="119">
        <f>IF($D354="",0,'Guide &amp; Settings'!$C$44*IF($F354&gt;=3,$F354,0))</f>
        <v>0</v>
      </c>
      <c r="M354" s="118">
        <f t="shared" si="88"/>
        <v>0</v>
      </c>
      <c r="N354" s="116">
        <f t="shared" si="89"/>
        <v>0</v>
      </c>
      <c r="O354" s="115" t="str">
        <f t="shared" si="90"/>
        <v/>
      </c>
      <c r="P354">
        <f t="shared" si="91"/>
        <v>0</v>
      </c>
      <c r="Q354">
        <f t="shared" si="92"/>
        <v>0</v>
      </c>
      <c r="R354">
        <f t="shared" si="93"/>
        <v>0</v>
      </c>
      <c r="S354">
        <f t="shared" si="94"/>
        <v>0</v>
      </c>
      <c r="T354" s="83">
        <f t="shared" si="95"/>
        <v>0</v>
      </c>
      <c r="U354" s="120">
        <f>IF($D354="",0,IFERROR(LOOKUP(2,1/(($D$3:D353=$D354)*($C$3:C353=$C354)*($A$3:A353&lt;$A354)),$AB$3:AB353),1000))</f>
        <v>0</v>
      </c>
      <c r="V354" s="120">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0">
        <f t="shared" si="101"/>
        <v>0</v>
      </c>
      <c r="AC354" s="120" t="str">
        <f>IF($D354="","",IF(SUMPRODUCT(MAX(($D$4:$D$810=$D354)*($B$4:$B$810&lt;$B354)*$B$4:$B$810))=0,0,MAX(($B354-MAX(SUMPRODUCT(MAX(($D$4:$D$810=$D354)*($B$4:$B$810&lt;$B354)*$B$4:$B$810)),'Guide &amp; Settings'!$C$50))/7-'Guide &amp; Settings'!$C$48,0)*'Guide &amp; Settings'!$C$49))</f>
        <v/>
      </c>
    </row>
    <row r="355" spans="1:29" x14ac:dyDescent="0.2">
      <c r="A355" s="111"/>
      <c r="B355" s="112"/>
      <c r="C355" s="113"/>
      <c r="D355" s="113"/>
      <c r="E355" s="111"/>
      <c r="F355" s="114">
        <f t="shared" si="85"/>
        <v>0</v>
      </c>
      <c r="G355" s="115" t="str">
        <f t="shared" si="86"/>
        <v/>
      </c>
      <c r="H355" s="116">
        <f>IF($D355="",0,IFERROR(LOOKUP(2,1/(($D$3:D354=$D355)*($A$3:A354&lt;$A355)),$N$3:N354),'Guide &amp; Settings'!$C$41))</f>
        <v>0</v>
      </c>
      <c r="I355" s="117">
        <f t="shared" si="87"/>
        <v>0</v>
      </c>
      <c r="J355" s="118">
        <f>IF($D355="",0,IF($F355&lt;2,0,IF($E355="Win",('Guide &amp; Settings'!$C$42/(($F355-1)*COUNTIFS($A$4:$A$810,$A355,$E$4:$E$810,"Win")))*SUMIFS($X$4:$X$810,$A$4:$A$810,$A355,$E$4:$E$810,"Loss"),-('Guide &amp; Settings'!$C$42/($F355-1))*$X355)))</f>
        <v>0</v>
      </c>
      <c r="K355" s="118">
        <f>IF($D355="",0,'Guide &amp; Settings'!$C$43*(IF($E355="Win",1,0)-$I355))</f>
        <v>0</v>
      </c>
      <c r="L355" s="119">
        <f>IF($D355="",0,'Guide &amp; Settings'!$C$44*IF($F355&gt;=3,$F355,0))</f>
        <v>0</v>
      </c>
      <c r="M355" s="118">
        <f t="shared" si="88"/>
        <v>0</v>
      </c>
      <c r="N355" s="116">
        <f t="shared" si="89"/>
        <v>0</v>
      </c>
      <c r="O355" s="115" t="str">
        <f t="shared" si="90"/>
        <v/>
      </c>
      <c r="P355">
        <f t="shared" si="91"/>
        <v>0</v>
      </c>
      <c r="Q355">
        <f t="shared" si="92"/>
        <v>0</v>
      </c>
      <c r="R355">
        <f t="shared" si="93"/>
        <v>0</v>
      </c>
      <c r="S355">
        <f t="shared" si="94"/>
        <v>0</v>
      </c>
      <c r="T355" s="83">
        <f t="shared" si="95"/>
        <v>0</v>
      </c>
      <c r="U355" s="120">
        <f>IF($D355="",0,IFERROR(LOOKUP(2,1/(($D$3:D354=$D355)*($C$3:C354=$C355)*($A$3:A354&lt;$A355)),$AB$3:AB354),1000))</f>
        <v>0</v>
      </c>
      <c r="V355" s="120">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0">
        <f t="shared" si="101"/>
        <v>0</v>
      </c>
      <c r="AC355" s="120" t="str">
        <f>IF($D355="","",IF(SUMPRODUCT(MAX(($D$4:$D$810=$D355)*($B$4:$B$810&lt;$B355)*$B$4:$B$810))=0,0,MAX(($B355-MAX(SUMPRODUCT(MAX(($D$4:$D$810=$D355)*($B$4:$B$810&lt;$B355)*$B$4:$B$810)),'Guide &amp; Settings'!$C$50))/7-'Guide &amp; Settings'!$C$48,0)*'Guide &amp; Settings'!$C$49))</f>
        <v/>
      </c>
    </row>
    <row r="356" spans="1:29" x14ac:dyDescent="0.2">
      <c r="A356" s="111"/>
      <c r="B356" s="112"/>
      <c r="C356" s="113"/>
      <c r="D356" s="113"/>
      <c r="E356" s="111"/>
      <c r="F356" s="114">
        <f t="shared" si="85"/>
        <v>0</v>
      </c>
      <c r="G356" s="115" t="str">
        <f t="shared" si="86"/>
        <v/>
      </c>
      <c r="H356" s="116">
        <f>IF($D356="",0,IFERROR(LOOKUP(2,1/(($D$3:D355=$D356)*($A$3:A355&lt;$A356)),$N$3:N355),'Guide &amp; Settings'!$C$41))</f>
        <v>0</v>
      </c>
      <c r="I356" s="117">
        <f t="shared" si="87"/>
        <v>0</v>
      </c>
      <c r="J356" s="118">
        <f>IF($D356="",0,IF($F356&lt;2,0,IF($E356="Win",('Guide &amp; Settings'!$C$42/(($F356-1)*COUNTIFS($A$4:$A$810,$A356,$E$4:$E$810,"Win")))*SUMIFS($X$4:$X$810,$A$4:$A$810,$A356,$E$4:$E$810,"Loss"),-('Guide &amp; Settings'!$C$42/($F356-1))*$X356)))</f>
        <v>0</v>
      </c>
      <c r="K356" s="118">
        <f>IF($D356="",0,'Guide &amp; Settings'!$C$43*(IF($E356="Win",1,0)-$I356))</f>
        <v>0</v>
      </c>
      <c r="L356" s="119">
        <f>IF($D356="",0,'Guide &amp; Settings'!$C$44*IF($F356&gt;=3,$F356,0))</f>
        <v>0</v>
      </c>
      <c r="M356" s="118">
        <f t="shared" si="88"/>
        <v>0</v>
      </c>
      <c r="N356" s="116">
        <f t="shared" si="89"/>
        <v>0</v>
      </c>
      <c r="O356" s="115" t="str">
        <f t="shared" si="90"/>
        <v/>
      </c>
      <c r="P356">
        <f t="shared" si="91"/>
        <v>0</v>
      </c>
      <c r="Q356">
        <f t="shared" si="92"/>
        <v>0</v>
      </c>
      <c r="R356">
        <f t="shared" si="93"/>
        <v>0</v>
      </c>
      <c r="S356">
        <f t="shared" si="94"/>
        <v>0</v>
      </c>
      <c r="T356" s="83">
        <f t="shared" si="95"/>
        <v>0</v>
      </c>
      <c r="U356" s="120">
        <f>IF($D356="",0,IFERROR(LOOKUP(2,1/(($D$3:D355=$D356)*($C$3:C355=$C356)*($A$3:A355&lt;$A356)),$AB$3:AB355),1000))</f>
        <v>0</v>
      </c>
      <c r="V356" s="120">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0">
        <f t="shared" si="101"/>
        <v>0</v>
      </c>
      <c r="AC356" s="120" t="str">
        <f>IF($D356="","",IF(SUMPRODUCT(MAX(($D$4:$D$810=$D356)*($B$4:$B$810&lt;$B356)*$B$4:$B$810))=0,0,MAX(($B356-MAX(SUMPRODUCT(MAX(($D$4:$D$810=$D356)*($B$4:$B$810&lt;$B356)*$B$4:$B$810)),'Guide &amp; Settings'!$C$50))/7-'Guide &amp; Settings'!$C$48,0)*'Guide &amp; Settings'!$C$49))</f>
        <v/>
      </c>
    </row>
    <row r="357" spans="1:29" x14ac:dyDescent="0.2">
      <c r="A357" s="111"/>
      <c r="B357" s="112"/>
      <c r="C357" s="113"/>
      <c r="D357" s="113"/>
      <c r="E357" s="111"/>
      <c r="F357" s="114">
        <f t="shared" si="85"/>
        <v>0</v>
      </c>
      <c r="G357" s="115" t="str">
        <f t="shared" si="86"/>
        <v/>
      </c>
      <c r="H357" s="116">
        <f>IF($D357="",0,IFERROR(LOOKUP(2,1/(($D$3:D356=$D357)*($A$3:A356&lt;$A357)),$N$3:N356),'Guide &amp; Settings'!$C$41))</f>
        <v>0</v>
      </c>
      <c r="I357" s="117">
        <f t="shared" si="87"/>
        <v>0</v>
      </c>
      <c r="J357" s="118">
        <f>IF($D357="",0,IF($F357&lt;2,0,IF($E357="Win",('Guide &amp; Settings'!$C$42/(($F357-1)*COUNTIFS($A$4:$A$810,$A357,$E$4:$E$810,"Win")))*SUMIFS($X$4:$X$810,$A$4:$A$810,$A357,$E$4:$E$810,"Loss"),-('Guide &amp; Settings'!$C$42/($F357-1))*$X357)))</f>
        <v>0</v>
      </c>
      <c r="K357" s="118">
        <f>IF($D357="",0,'Guide &amp; Settings'!$C$43*(IF($E357="Win",1,0)-$I357))</f>
        <v>0</v>
      </c>
      <c r="L357" s="119">
        <f>IF($D357="",0,'Guide &amp; Settings'!$C$44*IF($F357&gt;=3,$F357,0))</f>
        <v>0</v>
      </c>
      <c r="M357" s="118">
        <f t="shared" si="88"/>
        <v>0</v>
      </c>
      <c r="N357" s="116">
        <f t="shared" si="89"/>
        <v>0</v>
      </c>
      <c r="O357" s="115" t="str">
        <f t="shared" si="90"/>
        <v/>
      </c>
      <c r="P357">
        <f t="shared" si="91"/>
        <v>0</v>
      </c>
      <c r="Q357">
        <f t="shared" si="92"/>
        <v>0</v>
      </c>
      <c r="R357">
        <f t="shared" si="93"/>
        <v>0</v>
      </c>
      <c r="S357">
        <f t="shared" si="94"/>
        <v>0</v>
      </c>
      <c r="T357" s="83">
        <f t="shared" si="95"/>
        <v>0</v>
      </c>
      <c r="U357" s="120">
        <f>IF($D357="",0,IFERROR(LOOKUP(2,1/(($D$3:D356=$D357)*($C$3:C356=$C357)*($A$3:A356&lt;$A357)),$AB$3:AB356),1000))</f>
        <v>0</v>
      </c>
      <c r="V357" s="120">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0">
        <f t="shared" si="101"/>
        <v>0</v>
      </c>
      <c r="AC357" s="120" t="str">
        <f>IF($D357="","",IF(SUMPRODUCT(MAX(($D$4:$D$810=$D357)*($B$4:$B$810&lt;$B357)*$B$4:$B$810))=0,0,MAX(($B357-MAX(SUMPRODUCT(MAX(($D$4:$D$810=$D357)*($B$4:$B$810&lt;$B357)*$B$4:$B$810)),'Guide &amp; Settings'!$C$50))/7-'Guide &amp; Settings'!$C$48,0)*'Guide &amp; Settings'!$C$49))</f>
        <v/>
      </c>
    </row>
    <row r="358" spans="1:29" x14ac:dyDescent="0.2">
      <c r="A358" s="111"/>
      <c r="B358" s="112"/>
      <c r="C358" s="113"/>
      <c r="D358" s="113"/>
      <c r="E358" s="111"/>
      <c r="F358" s="114">
        <f t="shared" si="85"/>
        <v>0</v>
      </c>
      <c r="G358" s="115" t="str">
        <f t="shared" si="86"/>
        <v/>
      </c>
      <c r="H358" s="116">
        <f>IF($D358="",0,IFERROR(LOOKUP(2,1/(($D$3:D357=$D358)*($A$3:A357&lt;$A358)),$N$3:N357),'Guide &amp; Settings'!$C$41))</f>
        <v>0</v>
      </c>
      <c r="I358" s="117">
        <f t="shared" si="87"/>
        <v>0</v>
      </c>
      <c r="J358" s="118">
        <f>IF($D358="",0,IF($F358&lt;2,0,IF($E358="Win",('Guide &amp; Settings'!$C$42/(($F358-1)*COUNTIFS($A$4:$A$810,$A358,$E$4:$E$810,"Win")))*SUMIFS($X$4:$X$810,$A$4:$A$810,$A358,$E$4:$E$810,"Loss"),-('Guide &amp; Settings'!$C$42/($F358-1))*$X358)))</f>
        <v>0</v>
      </c>
      <c r="K358" s="118">
        <f>IF($D358="",0,'Guide &amp; Settings'!$C$43*(IF($E358="Win",1,0)-$I358))</f>
        <v>0</v>
      </c>
      <c r="L358" s="119">
        <f>IF($D358="",0,'Guide &amp; Settings'!$C$44*IF($F358&gt;=3,$F358,0))</f>
        <v>0</v>
      </c>
      <c r="M358" s="118">
        <f t="shared" si="88"/>
        <v>0</v>
      </c>
      <c r="N358" s="116">
        <f t="shared" si="89"/>
        <v>0</v>
      </c>
      <c r="O358" s="115" t="str">
        <f t="shared" si="90"/>
        <v/>
      </c>
      <c r="P358">
        <f t="shared" si="91"/>
        <v>0</v>
      </c>
      <c r="Q358">
        <f t="shared" si="92"/>
        <v>0</v>
      </c>
      <c r="R358">
        <f t="shared" si="93"/>
        <v>0</v>
      </c>
      <c r="S358">
        <f t="shared" si="94"/>
        <v>0</v>
      </c>
      <c r="T358" s="83">
        <f t="shared" si="95"/>
        <v>0</v>
      </c>
      <c r="U358" s="120">
        <f>IF($D358="",0,IFERROR(LOOKUP(2,1/(($D$3:D357=$D358)*($C$3:C357=$C358)*($A$3:A357&lt;$A358)),$AB$3:AB357),1000))</f>
        <v>0</v>
      </c>
      <c r="V358" s="120">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0">
        <f t="shared" si="101"/>
        <v>0</v>
      </c>
      <c r="AC358" s="120" t="str">
        <f>IF($D358="","",IF(SUMPRODUCT(MAX(($D$4:$D$810=$D358)*($B$4:$B$810&lt;$B358)*$B$4:$B$810))=0,0,MAX(($B358-MAX(SUMPRODUCT(MAX(($D$4:$D$810=$D358)*($B$4:$B$810&lt;$B358)*$B$4:$B$810)),'Guide &amp; Settings'!$C$50))/7-'Guide &amp; Settings'!$C$48,0)*'Guide &amp; Settings'!$C$49))</f>
        <v/>
      </c>
    </row>
    <row r="359" spans="1:29" x14ac:dyDescent="0.2">
      <c r="A359" s="111"/>
      <c r="B359" s="112"/>
      <c r="C359" s="113"/>
      <c r="D359" s="113"/>
      <c r="E359" s="111"/>
      <c r="F359" s="114">
        <f t="shared" si="85"/>
        <v>0</v>
      </c>
      <c r="G359" s="115" t="str">
        <f t="shared" si="86"/>
        <v/>
      </c>
      <c r="H359" s="116">
        <f>IF($D359="",0,IFERROR(LOOKUP(2,1/(($D$3:D358=$D359)*($A$3:A358&lt;$A359)),$N$3:N358),'Guide &amp; Settings'!$C$41))</f>
        <v>0</v>
      </c>
      <c r="I359" s="117">
        <f t="shared" si="87"/>
        <v>0</v>
      </c>
      <c r="J359" s="118">
        <f>IF($D359="",0,IF($F359&lt;2,0,IF($E359="Win",('Guide &amp; Settings'!$C$42/(($F359-1)*COUNTIFS($A$4:$A$810,$A359,$E$4:$E$810,"Win")))*SUMIFS($X$4:$X$810,$A$4:$A$810,$A359,$E$4:$E$810,"Loss"),-('Guide &amp; Settings'!$C$42/($F359-1))*$X359)))</f>
        <v>0</v>
      </c>
      <c r="K359" s="118">
        <f>IF($D359="",0,'Guide &amp; Settings'!$C$43*(IF($E359="Win",1,0)-$I359))</f>
        <v>0</v>
      </c>
      <c r="L359" s="119">
        <f>IF($D359="",0,'Guide &amp; Settings'!$C$44*IF($F359&gt;=3,$F359,0))</f>
        <v>0</v>
      </c>
      <c r="M359" s="118">
        <f t="shared" si="88"/>
        <v>0</v>
      </c>
      <c r="N359" s="116">
        <f t="shared" si="89"/>
        <v>0</v>
      </c>
      <c r="O359" s="115" t="str">
        <f t="shared" si="90"/>
        <v/>
      </c>
      <c r="P359">
        <f t="shared" si="91"/>
        <v>0</v>
      </c>
      <c r="Q359">
        <f t="shared" si="92"/>
        <v>0</v>
      </c>
      <c r="R359">
        <f t="shared" si="93"/>
        <v>0</v>
      </c>
      <c r="S359">
        <f t="shared" si="94"/>
        <v>0</v>
      </c>
      <c r="T359" s="83">
        <f t="shared" si="95"/>
        <v>0</v>
      </c>
      <c r="U359" s="120">
        <f>IF($D359="",0,IFERROR(LOOKUP(2,1/(($D$3:D358=$D359)*($C$3:C358=$C359)*($A$3:A358&lt;$A359)),$AB$3:AB358),1000))</f>
        <v>0</v>
      </c>
      <c r="V359" s="120">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0">
        <f t="shared" si="101"/>
        <v>0</v>
      </c>
      <c r="AC359" s="120" t="str">
        <f>IF($D359="","",IF(SUMPRODUCT(MAX(($D$4:$D$810=$D359)*($B$4:$B$810&lt;$B359)*$B$4:$B$810))=0,0,MAX(($B359-MAX(SUMPRODUCT(MAX(($D$4:$D$810=$D359)*($B$4:$B$810&lt;$B359)*$B$4:$B$810)),'Guide &amp; Settings'!$C$50))/7-'Guide &amp; Settings'!$C$48,0)*'Guide &amp; Settings'!$C$49))</f>
        <v/>
      </c>
    </row>
    <row r="360" spans="1:29" x14ac:dyDescent="0.2">
      <c r="A360" s="111"/>
      <c r="B360" s="112"/>
      <c r="C360" s="113"/>
      <c r="D360" s="113"/>
      <c r="E360" s="111"/>
      <c r="F360" s="114">
        <f t="shared" si="85"/>
        <v>0</v>
      </c>
      <c r="G360" s="115" t="str">
        <f t="shared" si="86"/>
        <v/>
      </c>
      <c r="H360" s="116">
        <f>IF($D360="",0,IFERROR(LOOKUP(2,1/(($D$3:D359=$D360)*($A$3:A359&lt;$A360)),$N$3:N359),'Guide &amp; Settings'!$C$41))</f>
        <v>0</v>
      </c>
      <c r="I360" s="117">
        <f t="shared" si="87"/>
        <v>0</v>
      </c>
      <c r="J360" s="118">
        <f>IF($D360="",0,IF($F360&lt;2,0,IF($E360="Win",('Guide &amp; Settings'!$C$42/(($F360-1)*COUNTIFS($A$4:$A$810,$A360,$E$4:$E$810,"Win")))*SUMIFS($X$4:$X$810,$A$4:$A$810,$A360,$E$4:$E$810,"Loss"),-('Guide &amp; Settings'!$C$42/($F360-1))*$X360)))</f>
        <v>0</v>
      </c>
      <c r="K360" s="118">
        <f>IF($D360="",0,'Guide &amp; Settings'!$C$43*(IF($E360="Win",1,0)-$I360))</f>
        <v>0</v>
      </c>
      <c r="L360" s="119">
        <f>IF($D360="",0,'Guide &amp; Settings'!$C$44*IF($F360&gt;=3,$F360,0))</f>
        <v>0</v>
      </c>
      <c r="M360" s="118">
        <f t="shared" si="88"/>
        <v>0</v>
      </c>
      <c r="N360" s="116">
        <f t="shared" si="89"/>
        <v>0</v>
      </c>
      <c r="O360" s="115" t="str">
        <f t="shared" si="90"/>
        <v/>
      </c>
      <c r="P360">
        <f t="shared" si="91"/>
        <v>0</v>
      </c>
      <c r="Q360">
        <f t="shared" si="92"/>
        <v>0</v>
      </c>
      <c r="R360">
        <f t="shared" si="93"/>
        <v>0</v>
      </c>
      <c r="S360">
        <f t="shared" si="94"/>
        <v>0</v>
      </c>
      <c r="T360" s="83">
        <f t="shared" si="95"/>
        <v>0</v>
      </c>
      <c r="U360" s="120">
        <f>IF($D360="",0,IFERROR(LOOKUP(2,1/(($D$3:D359=$D360)*($C$3:C359=$C360)*($A$3:A359&lt;$A360)),$AB$3:AB359),1000))</f>
        <v>0</v>
      </c>
      <c r="V360" s="120">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0">
        <f t="shared" si="101"/>
        <v>0</v>
      </c>
      <c r="AC360" s="120" t="str">
        <f>IF($D360="","",IF(SUMPRODUCT(MAX(($D$4:$D$810=$D360)*($B$4:$B$810&lt;$B360)*$B$4:$B$810))=0,0,MAX(($B360-MAX(SUMPRODUCT(MAX(($D$4:$D$810=$D360)*($B$4:$B$810&lt;$B360)*$B$4:$B$810)),'Guide &amp; Settings'!$C$50))/7-'Guide &amp; Settings'!$C$48,0)*'Guide &amp; Settings'!$C$49))</f>
        <v/>
      </c>
    </row>
    <row r="361" spans="1:29" x14ac:dyDescent="0.2">
      <c r="A361" s="111"/>
      <c r="B361" s="112"/>
      <c r="C361" s="113"/>
      <c r="D361" s="113"/>
      <c r="E361" s="111"/>
      <c r="F361" s="114">
        <f t="shared" si="85"/>
        <v>0</v>
      </c>
      <c r="G361" s="115" t="str">
        <f t="shared" si="86"/>
        <v/>
      </c>
      <c r="H361" s="116">
        <f>IF($D361="",0,IFERROR(LOOKUP(2,1/(($D$3:D360=$D361)*($A$3:A360&lt;$A361)),$N$3:N360),'Guide &amp; Settings'!$C$41))</f>
        <v>0</v>
      </c>
      <c r="I361" s="117">
        <f t="shared" si="87"/>
        <v>0</v>
      </c>
      <c r="J361" s="118">
        <f>IF($D361="",0,IF($F361&lt;2,0,IF($E361="Win",('Guide &amp; Settings'!$C$42/(($F361-1)*COUNTIFS($A$4:$A$810,$A361,$E$4:$E$810,"Win")))*SUMIFS($X$4:$X$810,$A$4:$A$810,$A361,$E$4:$E$810,"Loss"),-('Guide &amp; Settings'!$C$42/($F361-1))*$X361)))</f>
        <v>0</v>
      </c>
      <c r="K361" s="118">
        <f>IF($D361="",0,'Guide &amp; Settings'!$C$43*(IF($E361="Win",1,0)-$I361))</f>
        <v>0</v>
      </c>
      <c r="L361" s="119">
        <f>IF($D361="",0,'Guide &amp; Settings'!$C$44*IF($F361&gt;=3,$F361,0))</f>
        <v>0</v>
      </c>
      <c r="M361" s="118">
        <f t="shared" si="88"/>
        <v>0</v>
      </c>
      <c r="N361" s="116">
        <f t="shared" si="89"/>
        <v>0</v>
      </c>
      <c r="O361" s="115" t="str">
        <f t="shared" si="90"/>
        <v/>
      </c>
      <c r="P361">
        <f t="shared" si="91"/>
        <v>0</v>
      </c>
      <c r="Q361">
        <f t="shared" si="92"/>
        <v>0</v>
      </c>
      <c r="R361">
        <f t="shared" si="93"/>
        <v>0</v>
      </c>
      <c r="S361">
        <f t="shared" si="94"/>
        <v>0</v>
      </c>
      <c r="T361" s="83">
        <f t="shared" si="95"/>
        <v>0</v>
      </c>
      <c r="U361" s="120">
        <f>IF($D361="",0,IFERROR(LOOKUP(2,1/(($D$3:D360=$D361)*($C$3:C360=$C361)*($A$3:A360&lt;$A361)),$AB$3:AB360),1000))</f>
        <v>0</v>
      </c>
      <c r="V361" s="120">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0">
        <f t="shared" si="101"/>
        <v>0</v>
      </c>
      <c r="AC361" s="120" t="str">
        <f>IF($D361="","",IF(SUMPRODUCT(MAX(($D$4:$D$810=$D361)*($B$4:$B$810&lt;$B361)*$B$4:$B$810))=0,0,MAX(($B361-MAX(SUMPRODUCT(MAX(($D$4:$D$810=$D361)*($B$4:$B$810&lt;$B361)*$B$4:$B$810)),'Guide &amp; Settings'!$C$50))/7-'Guide &amp; Settings'!$C$48,0)*'Guide &amp; Settings'!$C$49))</f>
        <v/>
      </c>
    </row>
    <row r="362" spans="1:29" x14ac:dyDescent="0.2">
      <c r="A362" s="111"/>
      <c r="B362" s="112"/>
      <c r="C362" s="113"/>
      <c r="D362" s="113"/>
      <c r="E362" s="111"/>
      <c r="F362" s="114">
        <f t="shared" si="85"/>
        <v>0</v>
      </c>
      <c r="G362" s="115" t="str">
        <f t="shared" si="86"/>
        <v/>
      </c>
      <c r="H362" s="116">
        <f>IF($D362="",0,IFERROR(LOOKUP(2,1/(($D$3:D361=$D362)*($A$3:A361&lt;$A362)),$N$3:N361),'Guide &amp; Settings'!$C$41))</f>
        <v>0</v>
      </c>
      <c r="I362" s="117">
        <f t="shared" si="87"/>
        <v>0</v>
      </c>
      <c r="J362" s="118">
        <f>IF($D362="",0,IF($F362&lt;2,0,IF($E362="Win",('Guide &amp; Settings'!$C$42/(($F362-1)*COUNTIFS($A$4:$A$810,$A362,$E$4:$E$810,"Win")))*SUMIFS($X$4:$X$810,$A$4:$A$810,$A362,$E$4:$E$810,"Loss"),-('Guide &amp; Settings'!$C$42/($F362-1))*$X362)))</f>
        <v>0</v>
      </c>
      <c r="K362" s="118">
        <f>IF($D362="",0,'Guide &amp; Settings'!$C$43*(IF($E362="Win",1,0)-$I362))</f>
        <v>0</v>
      </c>
      <c r="L362" s="119">
        <f>IF($D362="",0,'Guide &amp; Settings'!$C$44*IF($F362&gt;=3,$F362,0))</f>
        <v>0</v>
      </c>
      <c r="M362" s="118">
        <f t="shared" si="88"/>
        <v>0</v>
      </c>
      <c r="N362" s="116">
        <f t="shared" si="89"/>
        <v>0</v>
      </c>
      <c r="O362" s="115" t="str">
        <f t="shared" si="90"/>
        <v/>
      </c>
      <c r="P362">
        <f t="shared" si="91"/>
        <v>0</v>
      </c>
      <c r="Q362">
        <f t="shared" si="92"/>
        <v>0</v>
      </c>
      <c r="R362">
        <f t="shared" si="93"/>
        <v>0</v>
      </c>
      <c r="S362">
        <f t="shared" si="94"/>
        <v>0</v>
      </c>
      <c r="T362" s="83">
        <f t="shared" si="95"/>
        <v>0</v>
      </c>
      <c r="U362" s="120">
        <f>IF($D362="",0,IFERROR(LOOKUP(2,1/(($D$3:D361=$D362)*($C$3:C361=$C362)*($A$3:A361&lt;$A362)),$AB$3:AB361),1000))</f>
        <v>0</v>
      </c>
      <c r="V362" s="120">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0">
        <f t="shared" si="101"/>
        <v>0</v>
      </c>
      <c r="AC362" s="120" t="str">
        <f>IF($D362="","",IF(SUMPRODUCT(MAX(($D$4:$D$810=$D362)*($B$4:$B$810&lt;$B362)*$B$4:$B$810))=0,0,MAX(($B362-MAX(SUMPRODUCT(MAX(($D$4:$D$810=$D362)*($B$4:$B$810&lt;$B362)*$B$4:$B$810)),'Guide &amp; Settings'!$C$50))/7-'Guide &amp; Settings'!$C$48,0)*'Guide &amp; Settings'!$C$49))</f>
        <v/>
      </c>
    </row>
    <row r="363" spans="1:29" x14ac:dyDescent="0.2">
      <c r="A363" s="111"/>
      <c r="B363" s="112"/>
      <c r="C363" s="113"/>
      <c r="D363" s="113"/>
      <c r="E363" s="111"/>
      <c r="F363" s="114">
        <f t="shared" si="85"/>
        <v>0</v>
      </c>
      <c r="G363" s="115" t="str">
        <f t="shared" si="86"/>
        <v/>
      </c>
      <c r="H363" s="116">
        <f>IF($D363="",0,IFERROR(LOOKUP(2,1/(($D$3:D362=$D363)*($A$3:A362&lt;$A363)),$N$3:N362),'Guide &amp; Settings'!$C$41))</f>
        <v>0</v>
      </c>
      <c r="I363" s="117">
        <f t="shared" si="87"/>
        <v>0</v>
      </c>
      <c r="J363" s="118">
        <f>IF($D363="",0,IF($F363&lt;2,0,IF($E363="Win",('Guide &amp; Settings'!$C$42/(($F363-1)*COUNTIFS($A$4:$A$810,$A363,$E$4:$E$810,"Win")))*SUMIFS($X$4:$X$810,$A$4:$A$810,$A363,$E$4:$E$810,"Loss"),-('Guide &amp; Settings'!$C$42/($F363-1))*$X363)))</f>
        <v>0</v>
      </c>
      <c r="K363" s="118">
        <f>IF($D363="",0,'Guide &amp; Settings'!$C$43*(IF($E363="Win",1,0)-$I363))</f>
        <v>0</v>
      </c>
      <c r="L363" s="119">
        <f>IF($D363="",0,'Guide &amp; Settings'!$C$44*IF($F363&gt;=3,$F363,0))</f>
        <v>0</v>
      </c>
      <c r="M363" s="118">
        <f t="shared" si="88"/>
        <v>0</v>
      </c>
      <c r="N363" s="116">
        <f t="shared" si="89"/>
        <v>0</v>
      </c>
      <c r="O363" s="115" t="str">
        <f t="shared" si="90"/>
        <v/>
      </c>
      <c r="P363">
        <f t="shared" si="91"/>
        <v>0</v>
      </c>
      <c r="Q363">
        <f t="shared" si="92"/>
        <v>0</v>
      </c>
      <c r="R363">
        <f t="shared" si="93"/>
        <v>0</v>
      </c>
      <c r="S363">
        <f t="shared" si="94"/>
        <v>0</v>
      </c>
      <c r="T363" s="83">
        <f t="shared" si="95"/>
        <v>0</v>
      </c>
      <c r="U363" s="120">
        <f>IF($D363="",0,IFERROR(LOOKUP(2,1/(($D$3:D362=$D363)*($C$3:C362=$C363)*($A$3:A362&lt;$A363)),$AB$3:AB362),1000))</f>
        <v>0</v>
      </c>
      <c r="V363" s="120">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0">
        <f t="shared" si="101"/>
        <v>0</v>
      </c>
      <c r="AC363" s="120" t="str">
        <f>IF($D363="","",IF(SUMPRODUCT(MAX(($D$4:$D$810=$D363)*($B$4:$B$810&lt;$B363)*$B$4:$B$810))=0,0,MAX(($B363-MAX(SUMPRODUCT(MAX(($D$4:$D$810=$D363)*($B$4:$B$810&lt;$B363)*$B$4:$B$810)),'Guide &amp; Settings'!$C$50))/7-'Guide &amp; Settings'!$C$48,0)*'Guide &amp; Settings'!$C$49))</f>
        <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46207</v>
      </c>
    </row>
    <row r="4" spans="1:35" ht="15" customHeight="1" x14ac:dyDescent="0.2">
      <c r="A4" t="s">
        <v>330</v>
      </c>
      <c r="B4" s="127">
        <f>MAX('Match Log'!$B$4:$B$810)</f>
        <v>46214</v>
      </c>
    </row>
    <row r="5" spans="1:35" x14ac:dyDescent="0.2">
      <c r="B5">
        <f ca="1">TODAY()-7</f>
        <v>46207</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1097.6049428107995</v>
      </c>
      <c r="C7">
        <f>IFERROR(INDEX(Engine!$C$2:$C$15,MATCH($A7,Engine!$A$2:$A$15,0)),"")</f>
        <v>1044.1280395448036</v>
      </c>
      <c r="D7">
        <f t="shared" ref="D7:D20" si="0">RANK($B7,$B$7:$B$20)</f>
        <v>3</v>
      </c>
      <c r="E7">
        <f t="shared" ref="E7:E20" si="1">MAX($B$7:$B$20)-$B7</f>
        <v>70.606400789944701</v>
      </c>
      <c r="F7" t="str">
        <f>IFERROR(LOOKUP(2,1/('Match Log'!$D$4:$D$810=$A7),'Match Log'!$E$4:$E$810),"")</f>
        <v>Loss</v>
      </c>
      <c r="G7">
        <f>IF($F7="",0,SUMPRODUCT(('Match Log'!$D$4:$D$810=$A7)*(ROW('Match Log'!$A$4:$A$810)&gt;SUMPRODUCT(MAX(('Match Log'!$D$4:$D$810=$A7)*('Match Log'!$E$4:$E$810&lt;&gt;$F7)*ROW('Match Log'!$A$4:$A$810))))))</f>
        <v>2</v>
      </c>
      <c r="H7" t="str">
        <f t="shared" ref="H7:H20" si="2">IF($G7=0,"",LEFT($F7,1)&amp;$G7)</f>
        <v>L2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WWWLL</v>
      </c>
      <c r="J7">
        <f>IFERROR(LOOKUP(2,1/(('Match Log'!$D$4:$D$810=$A7)*('Match Log'!$B$4:$B$810&lt;=$B$3)),'Match Log'!$N$4:$N$810),1000)</f>
        <v>1112.3077761293196</v>
      </c>
      <c r="K7">
        <f t="shared" ref="K7:K20" si="3">RANK($J7,$J$7:$J$20)</f>
        <v>4</v>
      </c>
      <c r="L7">
        <f t="shared" ref="L7:L20" si="4">$K7-$D7</f>
        <v>1</v>
      </c>
      <c r="M7">
        <f t="shared" ref="M7:M20" si="5">SUMPRODUCT(($D$25:$D$444=$A7)*($G$25:$G$444&gt;0.25)*($D$25:$D$444&lt;&gt;""))</f>
        <v>2</v>
      </c>
      <c r="N7">
        <f t="shared" ref="N7:N20" si="6">LEN($I7)-LEN(SUBSTITUTE($I7,"W",""))</f>
        <v>3</v>
      </c>
      <c r="O7">
        <f t="shared" ref="O7:O20" si="7">IF($F7="Win",$G7,0)</f>
        <v>0</v>
      </c>
      <c r="P7">
        <f>IFERROR(SUMPRODUCT(MAX(('Match Log'!$D$4:$D$810=$A7)*'Match Log'!$B$4:$B$810)),0)</f>
        <v>46214</v>
      </c>
      <c r="Q7">
        <f t="shared" ref="Q7:Q20" si="8">IF($P7=0,"",($B$4-$P7)/7)</f>
        <v>0</v>
      </c>
      <c r="R7">
        <f>IF($P7=0,0,MAX($Q7-'Guide &amp; Settings'!$C$48,0)*'Guide &amp; Settings'!$C$49)</f>
        <v>0</v>
      </c>
      <c r="S7">
        <f>$B7-$R7-$U7+SUMIF('Poker Stake Ledger'!$C$18:$C$137,$A7,'Poker Stake Ledger'!$K$18:$K$137)</f>
        <v>1097.6049428107995</v>
      </c>
      <c r="T7" t="str">
        <f>IF($P7=0,"No games",IF($Q7&gt;='Guide &amp; Settings'!$C$48,"Inactive",IF($Q7&gt;='Guide &amp; Settings'!$C$47,"At risk","Active")))</f>
        <v>Active</v>
      </c>
      <c r="U7">
        <f>SUMIF('Match Log'!$D$4:$D$810,$A7,'Match Log'!$AC$4:$AC$810)</f>
        <v>0</v>
      </c>
      <c r="V7">
        <f t="shared" ref="V7:V20" si="9">IF($F7="Loss",$G7,0)</f>
        <v>2</v>
      </c>
      <c r="W7">
        <f t="shared" ref="W7:W20" si="10">MAX(0,MIN(100,50+($S7-1000)/4))</f>
        <v>74.401235702699864</v>
      </c>
      <c r="X7">
        <f>IFERROR(INDEX(Dashboard!$G$5:$G$18,MATCH($A7,Dashboard!$B$5:$B$18,0))*100,0)</f>
        <v>55.26315789473685</v>
      </c>
      <c r="Y7">
        <f>MIN(100,IFERROR(INDEX(Dashboard!$K$5:$K$18,MATCH($A7,Dashboard!$B$5:$B$18,0)),0)/5*50+$AC7/4*50)</f>
        <v>100</v>
      </c>
      <c r="Z7">
        <f t="shared" ref="Z7:Z20" si="11">IFERROR($N7/LEN($I7)*100,0)</f>
        <v>60</v>
      </c>
      <c r="AA7">
        <f t="shared" ref="AA7:AA20" si="12">IF($C7="",0,MAX(0,MIN(100,50+($C7-1000)/4)))</f>
        <v>61.03200988620091</v>
      </c>
      <c r="AB7">
        <f t="shared" ref="AB7:AB20" si="13">0.35*$W7+0.2*$X7+0.2*$Y7+0.15*$Z7+0.1*$AA7</f>
        <v>72.196265063512413</v>
      </c>
      <c r="AC7">
        <f>IFERROR(SUMPRODUCT((INDEX('Sport Records'!$B$8:$O$26,0,MATCH($A7,'Sport Records'!$B$7:$O$7,0))&gt;=2)*(INDEX('Sport Records'!$B$52:$O$70,0,MATCH($A7,'Sport Records'!$B$51:$O$51,0))&gt;=0.5)),0)</f>
        <v>5</v>
      </c>
      <c r="AD7">
        <f>IFERROR(INDEX(Dashboard!$D$5:$D$18,MATCH($A7,Dashboard!$B$5:$B$18,0)),0)</f>
        <v>38</v>
      </c>
      <c r="AE7">
        <f>IFERROR(INDEX(Dashboard!$K$5:$K$18,MATCH($A7,Dashboard!$B$5:$B$18,0)),0)</f>
        <v>9</v>
      </c>
      <c r="AF7" t="str">
        <f t="shared" ref="AF7:AF20" si="14">IF($AD7=0,"No games",IF(OR($AD7&lt;5,$AE7&lt;2),"Unranked",IF($AB7&gt;=72,IF(AND($AD7&gt;=8,$AE7&gt;=3),"Elite","Mid"),IF($AB7&gt;=58,IF(AND($AD7&gt;=8,$AE7&gt;=3),"Strong","Mid"),IF($AB7&gt;=44,"Mid","Developing")))))</f>
        <v>Elite</v>
      </c>
      <c r="AG7">
        <f ca="1">COUNTIFS('Match Log'!$D$4:$D$810,$A7,'Match Log'!$B$4:$B$810,"&gt;="&amp;$B$5)</f>
        <v>13</v>
      </c>
      <c r="AH7">
        <f ca="1">COUNTIFS('Match Log'!$D$4:$D$810,$A7,'Match Log'!$B$4:$B$810,"&gt;="&amp;$B$5,'Match Log'!$E$4:$E$810,"Win")</f>
        <v>6</v>
      </c>
      <c r="AI7">
        <f t="shared" ref="AI7:AI20" si="15">IF(ISNUMBER($S7),$S7,-1000000)+ROW()/10000000</f>
        <v>1097.6049435107996</v>
      </c>
    </row>
    <row r="8" spans="1:35" ht="15" customHeight="1" x14ac:dyDescent="0.2">
      <c r="A8" t="s">
        <v>135</v>
      </c>
      <c r="B8">
        <f>IFERROR(INDEX(Engine!$B$2:$B$15,MATCH($A8,Engine!$A$2:$A$15,0)),1000)</f>
        <v>1029.2201908859522</v>
      </c>
      <c r="C8">
        <f>IFERROR(INDEX(Engine!$C$2:$C$15,MATCH($A8,Engine!$A$2:$A$15,0)),"")</f>
        <v>1061.5362145045176</v>
      </c>
      <c r="D8">
        <f t="shared" si="0"/>
        <v>10</v>
      </c>
      <c r="E8">
        <f t="shared" si="1"/>
        <v>138.99115271479195</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-1</v>
      </c>
      <c r="M8">
        <f t="shared" si="5"/>
        <v>0</v>
      </c>
      <c r="N8">
        <f t="shared" si="6"/>
        <v>2</v>
      </c>
      <c r="O8">
        <f t="shared" si="7"/>
        <v>0</v>
      </c>
      <c r="P8">
        <f>IFERROR(SUMPRODUCT(MAX(('Match Log'!$D$4:$D$810=$A8)*'Match Log'!$B$4:$B$810)),0)</f>
        <v>46188</v>
      </c>
      <c r="Q8">
        <f t="shared" si="8"/>
        <v>3.7142857142857144</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65.384053626129401</v>
      </c>
      <c r="AB8">
        <f t="shared" si="13"/>
        <v>51.09517206513376</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1056.8981809666868</v>
      </c>
      <c r="D9">
        <f t="shared" si="0"/>
        <v>11</v>
      </c>
      <c r="E9">
        <f t="shared" si="1"/>
        <v>151.42755689316459</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-1</v>
      </c>
      <c r="M9">
        <f t="shared" si="5"/>
        <v>0</v>
      </c>
      <c r="N9">
        <f t="shared" si="6"/>
        <v>2</v>
      </c>
      <c r="O9">
        <f t="shared" si="7"/>
        <v>1</v>
      </c>
      <c r="P9">
        <f>IFERROR(SUMPRODUCT(MAX(('Match Log'!$D$4:$D$810=$A9)*'Match Log'!$B$4:$B$810)),0)</f>
        <v>46188</v>
      </c>
      <c r="Q9">
        <f t="shared" si="8"/>
        <v>3.7142857142857144</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64.224545241671706</v>
      </c>
      <c r="AB9">
        <f t="shared" si="13"/>
        <v>55.891035861080383</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973.18894572037368</v>
      </c>
      <c r="C10">
        <f>IFERROR(INDEX(Engine!$C$2:$C$15,MATCH($A10,Engine!$A$2:$A$15,0)),"")</f>
        <v>1074.2055719287434</v>
      </c>
      <c r="D10">
        <f t="shared" si="0"/>
        <v>13</v>
      </c>
      <c r="E10">
        <f t="shared" si="1"/>
        <v>195.02239788037048</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981.92436608474441</v>
      </c>
      <c r="K10">
        <f t="shared" si="3"/>
        <v>12</v>
      </c>
      <c r="L10">
        <f t="shared" si="4"/>
        <v>-1</v>
      </c>
      <c r="M10">
        <f t="shared" si="5"/>
        <v>0</v>
      </c>
      <c r="N10">
        <f t="shared" si="6"/>
        <v>2</v>
      </c>
      <c r="O10">
        <f t="shared" si="7"/>
        <v>0</v>
      </c>
      <c r="P10">
        <f>IFERROR(SUMPRODUCT(MAX(('Match Log'!$D$4:$D$810=$A10)*'Match Log'!$B$4:$B$810)),0)</f>
        <v>46214</v>
      </c>
      <c r="Q10">
        <f t="shared" si="8"/>
        <v>0</v>
      </c>
      <c r="R10">
        <f>IF($P10=0,0,MAX($Q10-'Guide &amp; Settings'!$C$48,0)*'Guide &amp; Settings'!$C$49)</f>
        <v>0</v>
      </c>
      <c r="S10">
        <f>$B10-$R10-$U10+SUMIF('Poker Stake Ledger'!$C$18:$C$137,$A10,'Poker Stake Ledger'!$K$18:$K$137)</f>
        <v>973.18894572037368</v>
      </c>
      <c r="T10" t="str">
        <f>IF($P10=0,"No games",IF($Q10&gt;='Guide &amp; Settings'!$C$48,"Inactive",IF($Q10&gt;='Guide &amp; Settings'!$C$47,"At risk","Active")))</f>
        <v>Active</v>
      </c>
      <c r="U10">
        <f>SUMIF('Match Log'!$D$4:$D$810,$A10,'Match Log'!$AC$4:$AC$810)</f>
        <v>0</v>
      </c>
      <c r="V10">
        <f t="shared" si="9"/>
        <v>1</v>
      </c>
      <c r="W10">
        <f t="shared" si="10"/>
        <v>43.29723643009342</v>
      </c>
      <c r="X10">
        <f>IFERROR(INDEX(Dashboard!$G$5:$G$18,MATCH($A10,Dashboard!$B$5:$B$18,0))*100,0)</f>
        <v>26.666666666666668</v>
      </c>
      <c r="Y10">
        <f>MIN(100,IFERROR(INDEX(Dashboard!$K$5:$K$18,MATCH($A10,Dashboard!$B$5:$B$18,0)),0)/5*50+$AC10/4*50)</f>
        <v>40</v>
      </c>
      <c r="Z10">
        <f t="shared" si="11"/>
        <v>40</v>
      </c>
      <c r="AA10">
        <f t="shared" si="12"/>
        <v>68.55139298218586</v>
      </c>
      <c r="AB10">
        <f t="shared" si="13"/>
        <v>41.342505382084617</v>
      </c>
      <c r="AC10">
        <f>IFERROR(SUMPRODUCT((INDEX('Sport Records'!$B$8:$O$26,0,MATCH($A10,'Sport Records'!$B$7:$O$7,0))&gt;=2)*(INDEX('Sport Records'!$B$52:$O$70,0,MATCH($A10,'Sport Records'!$B$51:$O$51,0))&gt;=0.5)),0)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973.18894672037368</v>
      </c>
    </row>
    <row r="11" spans="1:35" ht="15" customHeight="1" x14ac:dyDescent="0.2">
      <c r="A11" t="s">
        <v>137</v>
      </c>
      <c r="B11">
        <f>IFERROR(INDEX(Engine!$B$2:$B$15,MATCH($A11,Engine!$A$2:$A$15,0)),1000)</f>
        <v>1129.7012289075892</v>
      </c>
      <c r="C11">
        <f>IFERROR(INDEX(Engine!$C$2:$C$15,MATCH($A11,Engine!$A$2:$A$15,0)),"")</f>
        <v>1044.7697724293021</v>
      </c>
      <c r="D11">
        <f t="shared" si="0"/>
        <v>2</v>
      </c>
      <c r="E11">
        <f t="shared" si="1"/>
        <v>38.510114693154947</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1129.7012289075892</v>
      </c>
      <c r="K11">
        <f t="shared" si="3"/>
        <v>3</v>
      </c>
      <c r="L11">
        <f t="shared" si="4"/>
        <v>1</v>
      </c>
      <c r="M11">
        <f t="shared" si="5"/>
        <v>1</v>
      </c>
      <c r="N11">
        <f t="shared" si="6"/>
        <v>2</v>
      </c>
      <c r="O11">
        <f t="shared" si="7"/>
        <v>0</v>
      </c>
      <c r="P11">
        <f>IFERROR(SUMPRODUCT(MAX(('Match Log'!$D$4:$D$810=$A11)*'Match Log'!$B$4:$B$810)),0)</f>
        <v>46199</v>
      </c>
      <c r="Q11">
        <f t="shared" si="8"/>
        <v>2.1428571428571428</v>
      </c>
      <c r="R11">
        <f>IF($P11=0,0,MAX($Q11-'Guide &amp; Settings'!$C$48,0)*'Guide &amp; Settings'!$C$49)</f>
        <v>0</v>
      </c>
      <c r="S11">
        <f>$B11-$R11-$U11+SUMIF('Poker Stake Ledger'!$C$18:$C$137,$A11,'Poker Stake Ledger'!$K$18:$K$137)</f>
        <v>1129.7012289075892</v>
      </c>
      <c r="T11" t="str">
        <f>IF($P11=0,"No games",IF($Q11&gt;='Guide &amp; Settings'!$C$48,"Inactive",IF($Q11&gt;='Guide &amp; Settings'!$C$47,"At risk","Active")))</f>
        <v>At risk</v>
      </c>
      <c r="U11">
        <f>SUMIF('Match Log'!$D$4:$D$810,$A11,'Match Log'!$AC$4:$AC$810)</f>
        <v>0</v>
      </c>
      <c r="V11">
        <f t="shared" si="9"/>
        <v>1</v>
      </c>
      <c r="W11">
        <f t="shared" si="10"/>
        <v>82.425307226897303</v>
      </c>
      <c r="X11">
        <f>IFERROR(INDEX(Dashboard!$G$5:$G$18,MATCH($A11,Dashboard!$B$5:$B$18,0))*100,0)</f>
        <v>62.5</v>
      </c>
      <c r="Y11">
        <f>MIN(100,IFERROR(INDEX(Dashboard!$K$5:$K$18,MATCH($A11,Dashboard!$B$5:$B$18,0)),0)/5*50+$AC11/4*50)</f>
        <v>100</v>
      </c>
      <c r="Z11">
        <f t="shared" si="11"/>
        <v>40</v>
      </c>
      <c r="AA11">
        <f t="shared" si="12"/>
        <v>61.192443107325516</v>
      </c>
      <c r="AB11">
        <f t="shared" si="13"/>
        <v>73.468101840146616</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4"/>
        <v>Elite</v>
      </c>
      <c r="AG11">
        <f ca="1">COUNTIFS('Match Log'!$D$4:$D$810,$A11,'Match Log'!$B$4:$B$810,"&gt;="&amp;$B$5)</f>
        <v>0</v>
      </c>
      <c r="AH11">
        <f ca="1">COUNTIFS('Match Log'!$D$4:$D$810,$A11,'Match Log'!$B$4:$B$810,"&gt;="&amp;$B$5,'Match Log'!$E$4:$E$810,"Win")</f>
        <v>0</v>
      </c>
      <c r="AI11">
        <f t="shared" si="15"/>
        <v>1129.7012300075892</v>
      </c>
    </row>
    <row r="12" spans="1:35" ht="15" customHeight="1" x14ac:dyDescent="0.2">
      <c r="A12" t="s">
        <v>134</v>
      </c>
      <c r="B12">
        <f>IFERROR(INDEX(Engine!$B$2:$B$15,MATCH($A12,Engine!$A$2:$A$15,0)),1000)</f>
        <v>1049.2258055170387</v>
      </c>
      <c r="C12">
        <f>IFERROR(INDEX(Engine!$C$2:$C$15,MATCH($A12,Engine!$A$2:$A$15,0)),"")</f>
        <v>1076.0735769564942</v>
      </c>
      <c r="D12">
        <f t="shared" si="0"/>
        <v>7</v>
      </c>
      <c r="E12">
        <f t="shared" si="1"/>
        <v>118.98553808370548</v>
      </c>
      <c r="F12" t="str">
        <f>IFERROR(LOOKUP(2,1/('Match Log'!$D$4:$D$810=$A12),'Match Log'!$E$4:$E$810),"")</f>
        <v>Win</v>
      </c>
      <c r="G12">
        <f>IF($F12="",0,SUMPRODUCT(('Match Log'!$D$4:$D$810=$A12)*(ROW('Match Log'!$A$4:$A$810)&gt;SUMPRODUCT(MAX(('Match Log'!$D$4:$D$810=$A12)*('Match Log'!$E$4:$E$810&lt;&gt;$F12)*ROW('Match Log'!$A$4:$A$810))))))</f>
        <v>2</v>
      </c>
      <c r="H12" t="str">
        <f t="shared" si="2"/>
        <v>W2</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LLLWW</v>
      </c>
      <c r="J12">
        <f>IFERROR(LOOKUP(2,1/(('Match Log'!$D$4:$D$810=$A12)*('Match Log'!$B$4:$B$810&lt;=$B$3)),'Match Log'!$N$4:$N$810),1000)</f>
        <v>942.18333246120994</v>
      </c>
      <c r="K12">
        <f t="shared" si="3"/>
        <v>13</v>
      </c>
      <c r="L12">
        <f t="shared" si="4"/>
        <v>6</v>
      </c>
      <c r="M12">
        <f t="shared" si="5"/>
        <v>3</v>
      </c>
      <c r="N12">
        <f t="shared" si="6"/>
        <v>2</v>
      </c>
      <c r="O12">
        <f t="shared" si="7"/>
        <v>2</v>
      </c>
      <c r="P12">
        <f>IFERROR(SUMPRODUCT(MAX(('Match Log'!$D$4:$D$810=$A12)*'Match Log'!$B$4:$B$810)),0)</f>
        <v>46214</v>
      </c>
      <c r="Q12">
        <f t="shared" si="8"/>
        <v>0</v>
      </c>
      <c r="R12">
        <f>IF($P12=0,0,MAX($Q12-'Guide &amp; Settings'!$C$48,0)*'Guide &amp; Settings'!$C$49)</f>
        <v>0</v>
      </c>
      <c r="S12">
        <f>$B12-$R12-$U12+SUMIF('Poker Stake Ledger'!$C$18:$C$137,$A12,'Poker Stake Ledger'!$K$18:$K$137)</f>
        <v>1049.2258055170387</v>
      </c>
      <c r="T12" t="str">
        <f>IF($P12=0,"No games",IF($Q12&gt;='Guide &amp; Settings'!$C$48,"Inactive",IF($Q12&gt;='Guide &amp; Settings'!$C$47,"At risk","Active")))</f>
        <v>Active</v>
      </c>
      <c r="U12">
        <f>SUMIF('Match Log'!$D$4:$D$810,$A12,'Match Log'!$AC$4:$AC$810)</f>
        <v>0</v>
      </c>
      <c r="V12">
        <f t="shared" si="9"/>
        <v>0</v>
      </c>
      <c r="W12">
        <f t="shared" si="10"/>
        <v>62.30645137925967</v>
      </c>
      <c r="X12">
        <f>IFERROR(INDEX(Dashboard!$G$5:$G$18,MATCH($A12,Dashboard!$B$5:$B$18,0))*100,0)</f>
        <v>45.161290322580641</v>
      </c>
      <c r="Y12">
        <f>MIN(100,IFERROR(INDEX(Dashboard!$K$5:$K$18,MATCH($A12,Dashboard!$B$5:$B$18,0)),0)/5*50+$AC12/4*50)</f>
        <v>100</v>
      </c>
      <c r="Z12">
        <f t="shared" si="11"/>
        <v>40</v>
      </c>
      <c r="AA12">
        <f t="shared" si="12"/>
        <v>69.018394239123552</v>
      </c>
      <c r="AB12">
        <f t="shared" si="13"/>
        <v>63.741355471169364</v>
      </c>
      <c r="AC12">
        <f>IFERROR(SUMPRODUCT((INDEX('Sport Records'!$B$8:$O$26,0,MATCH($A12,'Sport Records'!$B$7:$O$7,0))&gt;=2)*(INDEX('Sport Records'!$B$52:$O$70,0,MATCH($A12,'Sport Records'!$B$51:$O$51,0))&gt;=0.5)),0)</f>
        <v>4</v>
      </c>
      <c r="AD12">
        <f>IFERROR(INDEX(Dashboard!$D$5:$D$18,MATCH($A12,Dashboard!$B$5:$B$18,0)),0)</f>
        <v>62</v>
      </c>
      <c r="AE12">
        <f>IFERROR(INDEX(Dashboard!$K$5:$K$18,MATCH($A12,Dashboard!$B$5:$B$18,0)),0)</f>
        <v>9</v>
      </c>
      <c r="AF12" t="str">
        <f t="shared" si="14"/>
        <v>Strong</v>
      </c>
      <c r="AG12">
        <f ca="1">COUNTIFS('Match Log'!$D$4:$D$810,$A12,'Match Log'!$B$4:$B$810,"&gt;="&amp;$B$5)</f>
        <v>25</v>
      </c>
      <c r="AH12">
        <f ca="1">COUNTIFS('Match Log'!$D$4:$D$810,$A12,'Match Log'!$B$4:$B$810,"&gt;="&amp;$B$5,'Match Log'!$E$4:$E$810,"Win")</f>
        <v>12</v>
      </c>
      <c r="AI12">
        <f t="shared" si="15"/>
        <v>1049.2258067170387</v>
      </c>
    </row>
    <row r="13" spans="1:35" ht="15" customHeight="1" x14ac:dyDescent="0.2">
      <c r="A13" t="s">
        <v>168</v>
      </c>
      <c r="B13">
        <f>IFERROR(INDEX(Engine!$B$2:$B$15,MATCH($A13,Engine!$A$2:$A$15,0)),1000)</f>
        <v>1084.8903813508514</v>
      </c>
      <c r="C13">
        <f>IFERROR(INDEX(Engine!$C$2:$C$15,MATCH($A13,Engine!$A$2:$A$15,0)),"")</f>
        <v>1054.2169240168062</v>
      </c>
      <c r="D13">
        <f t="shared" si="0"/>
        <v>4</v>
      </c>
      <c r="E13">
        <f t="shared" si="1"/>
        <v>83.320962249892773</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5</v>
      </c>
      <c r="L13">
        <f t="shared" si="4"/>
        <v>1</v>
      </c>
      <c r="M13">
        <f t="shared" si="5"/>
        <v>0</v>
      </c>
      <c r="N13">
        <f t="shared" si="6"/>
        <v>2</v>
      </c>
      <c r="O13">
        <f t="shared" si="7"/>
        <v>0</v>
      </c>
      <c r="P13">
        <f>IFERROR(SUMPRODUCT(MAX(('Match Log'!$D$4:$D$810=$A13)*'Match Log'!$B$4:$B$810)),0)</f>
        <v>46188</v>
      </c>
      <c r="Q13">
        <f t="shared" si="8"/>
        <v>3.7142857142857144</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63.55423100420154</v>
      </c>
      <c r="AB13">
        <f t="shared" si="13"/>
        <v>62.048037350972592</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1050.8634549674414</v>
      </c>
      <c r="C14">
        <f>IFERROR(INDEX(Engine!$C$2:$C$15,MATCH($A14,Engine!$A$2:$A$15,0)),"")</f>
        <v>1073.5080352196385</v>
      </c>
      <c r="D14">
        <f t="shared" si="0"/>
        <v>6</v>
      </c>
      <c r="E14">
        <f t="shared" si="1"/>
        <v>117.34788863330277</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1046.7343560403631</v>
      </c>
      <c r="K14">
        <f t="shared" si="3"/>
        <v>6</v>
      </c>
      <c r="L14">
        <f t="shared" si="4"/>
        <v>0</v>
      </c>
      <c r="M14">
        <f t="shared" si="5"/>
        <v>4</v>
      </c>
      <c r="N14">
        <f t="shared" si="6"/>
        <v>3</v>
      </c>
      <c r="O14">
        <f t="shared" si="7"/>
        <v>1</v>
      </c>
      <c r="P14">
        <f>IFERROR(SUMPRODUCT(MAX(('Match Log'!$D$4:$D$810=$A14)*'Match Log'!$B$4:$B$810)),0)</f>
        <v>46208</v>
      </c>
      <c r="Q14">
        <f t="shared" si="8"/>
        <v>0.8571428571428571</v>
      </c>
      <c r="R14">
        <f>IF($P14=0,0,MAX($Q14-'Guide &amp; Settings'!$C$48,0)*'Guide &amp; Settings'!$C$49)</f>
        <v>0</v>
      </c>
      <c r="S14">
        <f>$B14-$R14-$U14+SUMIF('Poker Stake Ledger'!$C$18:$C$137,$A14,'Poker Stake Ledger'!$K$18:$K$137)</f>
        <v>1050.8634549674414</v>
      </c>
      <c r="T14" t="str">
        <f>IF($P14=0,"No games",IF($Q14&gt;='Guide &amp; Settings'!$C$48,"Inactive",IF($Q14&gt;='Guide &amp; Settings'!$C$47,"At risk","Active")))</f>
        <v>Active</v>
      </c>
      <c r="U14">
        <f>SUMIF('Match Log'!$D$4:$D$810,$A14,'Match Log'!$AC$4:$AC$810)</f>
        <v>0</v>
      </c>
      <c r="V14">
        <f t="shared" si="9"/>
        <v>0</v>
      </c>
      <c r="W14">
        <f t="shared" si="10"/>
        <v>62.715863741860346</v>
      </c>
      <c r="X14">
        <f>IFERROR(INDEX(Dashboard!$G$5:$G$18,MATCH($A14,Dashboard!$B$5:$B$18,0))*100,0)</f>
        <v>44.230769230769226</v>
      </c>
      <c r="Y14">
        <f>MIN(100,IFERROR(INDEX(Dashboard!$K$5:$K$18,MATCH($A14,Dashboard!$B$5:$B$18,0)),0)/5*50+$AC14/4*50)</f>
        <v>100</v>
      </c>
      <c r="Z14">
        <f t="shared" si="11"/>
        <v>60</v>
      </c>
      <c r="AA14">
        <f t="shared" si="12"/>
        <v>68.377008804909622</v>
      </c>
      <c r="AB14">
        <f t="shared" si="13"/>
        <v>66.634407036295926</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4"/>
        <v>Strong</v>
      </c>
      <c r="AG14">
        <f ca="1">COUNTIFS('Match Log'!$D$4:$D$810,$A14,'Match Log'!$B$4:$B$810,"&gt;="&amp;$B$5)</f>
        <v>3</v>
      </c>
      <c r="AH14">
        <f ca="1">COUNTIFS('Match Log'!$D$4:$D$810,$A14,'Match Log'!$B$4:$B$810,"&gt;="&amp;$B$5,'Match Log'!$E$4:$E$810,"Win")</f>
        <v>2</v>
      </c>
      <c r="AI14">
        <f t="shared" si="15"/>
        <v>1050.8634563674414</v>
      </c>
    </row>
    <row r="15" spans="1:35" ht="15" customHeight="1" x14ac:dyDescent="0.2">
      <c r="A15" t="s">
        <v>167</v>
      </c>
      <c r="B15">
        <f>IFERROR(INDEX(Engine!$B$2:$B$15,MATCH($A15,Engine!$A$2:$A$15,0)),1000)</f>
        <v>1168.2113436007442</v>
      </c>
      <c r="C15">
        <f>IFERROR(INDEX(Engine!$C$2:$C$15,MATCH($A15,Engine!$A$2:$A$15,0)),"")</f>
        <v>1053.523263092201</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1168.2113436007442</v>
      </c>
      <c r="K15">
        <f t="shared" si="3"/>
        <v>1</v>
      </c>
      <c r="L15">
        <f t="shared" si="4"/>
        <v>0</v>
      </c>
      <c r="M15">
        <f t="shared" si="5"/>
        <v>2</v>
      </c>
      <c r="N15">
        <f t="shared" si="6"/>
        <v>2</v>
      </c>
      <c r="O15">
        <f t="shared" si="7"/>
        <v>2</v>
      </c>
      <c r="P15">
        <f>IFERROR(SUMPRODUCT(MAX(('Match Log'!$D$4:$D$810=$A15)*'Match Log'!$B$4:$B$810)),0)</f>
        <v>46189</v>
      </c>
      <c r="Q15">
        <f t="shared" si="8"/>
        <v>3.5714285714285716</v>
      </c>
      <c r="R15">
        <f>IF($P15=0,0,MAX($Q15-'Guide &amp; Settings'!$C$48,0)*'Guide &amp; Settings'!$C$49)</f>
        <v>0</v>
      </c>
      <c r="S15">
        <f>$B15-$R15-$U15+SUMIF('Poker Stake Ledger'!$C$18:$C$137,$A15,'Poker Stake Ledger'!$K$18:$K$137)</f>
        <v>1168.2113436007442</v>
      </c>
      <c r="T15" t="str">
        <f>IF($P15=0,"No games",IF($Q15&gt;='Guide &amp; Settings'!$C$48,"Inactive",IF($Q15&gt;='Guide &amp; Settings'!$C$47,"At risk","Active")))</f>
        <v>At risk</v>
      </c>
      <c r="U15">
        <f>SUMIF('Match Log'!$D$4:$D$810,$A15,'Match Log'!$AC$4:$AC$810)</f>
        <v>0</v>
      </c>
      <c r="V15">
        <f t="shared" si="9"/>
        <v>0</v>
      </c>
      <c r="W15">
        <f t="shared" si="10"/>
        <v>92.052835900186039</v>
      </c>
      <c r="X15">
        <f>IFERROR(INDEX(Dashboard!$G$5:$G$18,MATCH($A15,Dashboard!$B$5:$B$18,0))*100,0)</f>
        <v>65.217391304347828</v>
      </c>
      <c r="Y15">
        <f>MIN(100,IFERROR(INDEX(Dashboard!$K$5:$K$18,MATCH($A15,Dashboard!$B$5:$B$18,0)),0)/5*50+$AC15/4*50)</f>
        <v>67.5</v>
      </c>
      <c r="Z15">
        <f t="shared" si="11"/>
        <v>40</v>
      </c>
      <c r="AA15">
        <f t="shared" si="12"/>
        <v>63.380815773050244</v>
      </c>
      <c r="AB15">
        <f t="shared" si="13"/>
        <v>71.100052403239701</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4"/>
        <v>Strong</v>
      </c>
      <c r="AG15">
        <f ca="1">COUNTIFS('Match Log'!$D$4:$D$810,$A15,'Match Log'!$B$4:$B$810,"&gt;="&amp;$B$5)</f>
        <v>0</v>
      </c>
      <c r="AH15">
        <f ca="1">COUNTIFS('Match Log'!$D$4:$D$810,$A15,'Match Log'!$B$4:$B$810,"&gt;="&amp;$B$5,'Match Log'!$E$4:$E$810,"Win")</f>
        <v>0</v>
      </c>
      <c r="AI15">
        <f t="shared" si="15"/>
        <v>1168.2113451007442</v>
      </c>
    </row>
    <row r="16" spans="1:35" ht="15" customHeight="1" x14ac:dyDescent="0.2">
      <c r="A16" t="s">
        <v>175</v>
      </c>
      <c r="B16">
        <f>IFERROR(INDEX(Engine!$B$2:$B$15,MATCH($A16,Engine!$A$2:$A$15,0)),1000)</f>
        <v>893.03675187725173</v>
      </c>
      <c r="C16">
        <f>IFERROR(INDEX(Engine!$C$2:$C$15,MATCH($A16,Engine!$A$2:$A$15,0)),"")</f>
        <v>1079.3484649205102</v>
      </c>
      <c r="D16">
        <f t="shared" si="0"/>
        <v>14</v>
      </c>
      <c r="E16">
        <f t="shared" si="1"/>
        <v>275.17459172349243</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3.7142857142857144</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69.837116230127549</v>
      </c>
      <c r="AB16">
        <f t="shared" si="13"/>
        <v>27.201350489195359</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1066.1724290986674</v>
      </c>
      <c r="D17">
        <f t="shared" si="0"/>
        <v>5</v>
      </c>
      <c r="E17">
        <f t="shared" si="1"/>
        <v>109.54562265225104</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1137.3990392485098</v>
      </c>
      <c r="K17">
        <f t="shared" si="3"/>
        <v>2</v>
      </c>
      <c r="L17">
        <f t="shared" si="4"/>
        <v>-3</v>
      </c>
      <c r="M17">
        <f t="shared" si="5"/>
        <v>2</v>
      </c>
      <c r="N17">
        <f t="shared" si="6"/>
        <v>1</v>
      </c>
      <c r="O17">
        <f t="shared" si="7"/>
        <v>0</v>
      </c>
      <c r="P17">
        <f>IFERROR(SUMPRODUCT(MAX(('Match Log'!$D$4:$D$810=$A17)*'Match Log'!$B$4:$B$810)),0)</f>
        <v>46209</v>
      </c>
      <c r="Q17">
        <f t="shared" si="8"/>
        <v>0.7142857142857143</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66.543107274666852</v>
      </c>
      <c r="AB17">
        <f t="shared" si="13"/>
        <v>61.378470401368922</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4"/>
        <v>Strong</v>
      </c>
      <c r="AG17">
        <f ca="1">COUNTIFS('Match Log'!$D$4:$D$810,$A17,'Match Log'!$B$4:$B$810,"&gt;="&amp;$B$5)</f>
        <v>9</v>
      </c>
      <c r="AH17">
        <f ca="1">COUNTIFS('Match Log'!$D$4:$D$810,$A17,'Match Log'!$B$4:$B$810,"&gt;="&amp;$B$5,'Match Log'!$E$4:$E$810,"Win")</f>
        <v>5</v>
      </c>
      <c r="AI17">
        <f t="shared" si="15"/>
        <v>1058.6657226484931</v>
      </c>
    </row>
    <row r="18" spans="1:35" ht="15" customHeight="1" x14ac:dyDescent="0.2">
      <c r="A18" t="s">
        <v>171</v>
      </c>
      <c r="B18">
        <f>IFERROR(INDEX(Engine!$B$2:$B$15,MATCH($A18,Engine!$A$2:$A$15,0)),1000)</f>
        <v>1031.225848367051</v>
      </c>
      <c r="C18">
        <f>IFERROR(INDEX(Engine!$C$2:$C$15,MATCH($A18,Engine!$A$2:$A$15,0)),"")</f>
        <v>1050.2268397439309</v>
      </c>
      <c r="D18">
        <f t="shared" si="0"/>
        <v>8</v>
      </c>
      <c r="E18">
        <f t="shared" si="1"/>
        <v>136.9854952336932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1031.225848367051</v>
      </c>
      <c r="K18">
        <f t="shared" si="3"/>
        <v>7</v>
      </c>
      <c r="L18">
        <f t="shared" si="4"/>
        <v>-1</v>
      </c>
      <c r="M18">
        <f t="shared" si="5"/>
        <v>0</v>
      </c>
      <c r="N18">
        <f t="shared" si="6"/>
        <v>2</v>
      </c>
      <c r="O18">
        <f t="shared" si="7"/>
        <v>2</v>
      </c>
      <c r="P18">
        <f>IFERROR(SUMPRODUCT(MAX(('Match Log'!$D$4:$D$810=$A18)*'Match Log'!$B$4:$B$810)),0)</f>
        <v>46188</v>
      </c>
      <c r="Q18">
        <f t="shared" si="8"/>
        <v>3.7142857142857144</v>
      </c>
      <c r="R18">
        <f>IF($P18=0,0,MAX($Q18-'Guide &amp; Settings'!$C$48,0)*'Guide &amp; Settings'!$C$49)</f>
        <v>0</v>
      </c>
      <c r="S18">
        <f>$B18-$R18-$U18+SUMIF('Poker Stake Ledger'!$C$18:$C$137,$A18,'Poker Stake Ledger'!$K$18:$K$137)</f>
        <v>1031.225848367051</v>
      </c>
      <c r="T18" t="str">
        <f>IF($P18=0,"No games",IF($Q18&gt;='Guide &amp; Settings'!$C$48,"Inactive",IF($Q18&gt;='Guide &amp; Settings'!$C$47,"At risk","Active")))</f>
        <v>At risk</v>
      </c>
      <c r="U18">
        <f>SUMIF('Match Log'!$D$4:$D$810,$A18,'Match Log'!$AC$4:$AC$810)</f>
        <v>0</v>
      </c>
      <c r="V18">
        <f t="shared" si="9"/>
        <v>0</v>
      </c>
      <c r="W18">
        <f t="shared" si="10"/>
        <v>57.806462091762739</v>
      </c>
      <c r="X18">
        <f>IFERROR(INDEX(Dashboard!$G$5:$G$18,MATCH($A18,Dashboard!$B$5:$B$18,0))*100,0)</f>
        <v>40</v>
      </c>
      <c r="Y18">
        <f>MIN(100,IFERROR(INDEX(Dashboard!$K$5:$K$18,MATCH($A18,Dashboard!$B$5:$B$18,0)),0)/5*50+$AC18/4*50)</f>
        <v>10</v>
      </c>
      <c r="Z18">
        <f t="shared" si="11"/>
        <v>40</v>
      </c>
      <c r="AA18">
        <f t="shared" si="12"/>
        <v>62.556709935982724</v>
      </c>
      <c r="AB18">
        <f t="shared" si="13"/>
        <v>42.487932725715226</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4"/>
        <v>Unranked</v>
      </c>
      <c r="AG18">
        <f ca="1">COUNTIFS('Match Log'!$D$4:$D$810,$A18,'Match Log'!$B$4:$B$810,"&gt;="&amp;$B$5)</f>
        <v>0</v>
      </c>
      <c r="AH18">
        <f ca="1">COUNTIFS('Match Log'!$D$4:$D$810,$A18,'Match Log'!$B$4:$B$810,"&gt;="&amp;$B$5,'Match Log'!$E$4:$E$810,"Win")</f>
        <v>0</v>
      </c>
      <c r="AI18">
        <f t="shared" si="15"/>
        <v>1031.225850167051</v>
      </c>
    </row>
    <row r="19" spans="1:35" ht="15" customHeight="1" x14ac:dyDescent="0.2">
      <c r="A19" t="s">
        <v>172</v>
      </c>
      <c r="B19">
        <f>IFERROR(INDEX(Engine!$B$2:$B$15,MATCH($A19,Engine!$A$2:$A$15,0)),1000)</f>
        <v>1030.3815983388336</v>
      </c>
      <c r="C19">
        <f>IFERROR(INDEX(Engine!$C$2:$C$15,MATCH($A19,Engine!$A$2:$A$15,0)),"")</f>
        <v>1066.8329000946092</v>
      </c>
      <c r="D19">
        <f t="shared" si="0"/>
        <v>9</v>
      </c>
      <c r="E19">
        <f t="shared" si="1"/>
        <v>137.8297452619106</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1030.3815983388336</v>
      </c>
      <c r="K19">
        <f t="shared" si="3"/>
        <v>8</v>
      </c>
      <c r="L19">
        <f t="shared" si="4"/>
        <v>-1</v>
      </c>
      <c r="M19">
        <f t="shared" si="5"/>
        <v>0</v>
      </c>
      <c r="N19">
        <f t="shared" si="6"/>
        <v>2</v>
      </c>
      <c r="O19">
        <f t="shared" si="7"/>
        <v>0</v>
      </c>
      <c r="P19">
        <f>IFERROR(SUMPRODUCT(MAX(('Match Log'!$D$4:$D$810=$A19)*'Match Log'!$B$4:$B$810)),0)</f>
        <v>46188</v>
      </c>
      <c r="Q19">
        <f t="shared" si="8"/>
        <v>3.7142857142857144</v>
      </c>
      <c r="R19">
        <f>IF($P19=0,0,MAX($Q19-'Guide &amp; Settings'!$C$48,0)*'Guide &amp; Settings'!$C$49)</f>
        <v>0</v>
      </c>
      <c r="S19">
        <f>$B19-$R19-$U19+SUMIF('Poker Stake Ledger'!$C$18:$C$137,$A19,'Poker Stake Ledger'!$K$18:$K$137)</f>
        <v>1030.3815983388336</v>
      </c>
      <c r="T19" t="str">
        <f>IF($P19=0,"No games",IF($Q19&gt;='Guide &amp; Settings'!$C$48,"Inactive",IF($Q19&gt;='Guide &amp; Settings'!$C$47,"At risk","Active")))</f>
        <v>At risk</v>
      </c>
      <c r="U19">
        <f>SUMIF('Match Log'!$D$4:$D$810,$A19,'Match Log'!$AC$4:$AC$810)</f>
        <v>0</v>
      </c>
      <c r="V19">
        <f t="shared" si="9"/>
        <v>1</v>
      </c>
      <c r="W19">
        <f t="shared" si="10"/>
        <v>57.595399584708389</v>
      </c>
      <c r="X19">
        <f>IFERROR(INDEX(Dashboard!$G$5:$G$18,MATCH($A19,Dashboard!$B$5:$B$18,0))*100,0)</f>
        <v>50</v>
      </c>
      <c r="Y19">
        <f>MIN(100,IFERROR(INDEX(Dashboard!$K$5:$K$18,MATCH($A19,Dashboard!$B$5:$B$18,0)),0)/5*50+$AC19/4*50)</f>
        <v>22.5</v>
      </c>
      <c r="Z19">
        <f t="shared" si="11"/>
        <v>50</v>
      </c>
      <c r="AA19">
        <f t="shared" si="12"/>
        <v>66.70822502365229</v>
      </c>
      <c r="AB19">
        <f t="shared" si="13"/>
        <v>48.829212357013162</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4"/>
        <v>Unranked</v>
      </c>
      <c r="AG19">
        <f ca="1">COUNTIFS('Match Log'!$D$4:$D$810,$A19,'Match Log'!$B$4:$B$810,"&gt;="&amp;$B$5)</f>
        <v>0</v>
      </c>
      <c r="AH19">
        <f ca="1">COUNTIFS('Match Log'!$D$4:$D$810,$A19,'Match Log'!$B$4:$B$810,"&gt;="&amp;$B$5,'Match Log'!$E$4:$E$810,"Win")</f>
        <v>0</v>
      </c>
      <c r="AI19">
        <f t="shared" si="15"/>
        <v>1030.3816002388335</v>
      </c>
    </row>
    <row r="20" spans="1:35" ht="15" customHeight="1" x14ac:dyDescent="0.2">
      <c r="A20" t="s">
        <v>174</v>
      </c>
      <c r="B20">
        <f>IFERROR(INDEX(Engine!$B$2:$B$15,MATCH($A20,Engine!$A$2:$A$15,0)),1000)</f>
        <v>1000</v>
      </c>
      <c r="C20" t="str">
        <f>IFERROR(INDEX(Engine!$C$2:$C$15,MATCH($A20,Engine!$A$2:$A$15,0)),"")</f>
        <v/>
      </c>
      <c r="D20">
        <f t="shared" si="0"/>
        <v>12</v>
      </c>
      <c r="E20">
        <f t="shared" si="1"/>
        <v>168.21134360074416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1131.7327279757073</v>
      </c>
      <c r="L161">
        <f>IF($J161&gt;MAX('Match Log'!$A$4:$A$810),NA(),IFERROR(LOOKUP(2,1/(('Match Log'!$D$4:$D$810=$L$24)*('Match Log'!$A$4:$A$810&lt;=$J161)),'Match Log'!$N$4:$N$810),NA()))</f>
        <v>1029.2201908859522</v>
      </c>
      <c r="M161">
        <f>IF($J161&gt;MAX('Match Log'!$A$4:$A$810),NA(),IFERROR(LOOKUP(2,1/(('Match Log'!$D$4:$D$810=$M$24)*('Match Log'!$A$4:$A$810&lt;=$J161)),'Match Log'!$N$4:$N$810),NA()))</f>
        <v>1016.7837867075796</v>
      </c>
      <c r="N161">
        <f>IF($J161&gt;MAX('Match Log'!$A$4:$A$810),NA(),IFERROR(LOOKUP(2,1/(('Match Log'!$D$4:$D$810=$N$24)*('Match Log'!$A$4:$A$810&lt;=$J161)),'Match Log'!$N$4:$N$810),NA()))</f>
        <v>981.92436608474441</v>
      </c>
      <c r="O161">
        <f>IF($J161&gt;MAX('Match Log'!$A$4:$A$810),NA(),IFERROR(LOOKUP(2,1/(('Match Log'!$D$4:$D$810=$O$24)*('Match Log'!$A$4:$A$810&lt;=$J161)),'Match Log'!$N$4:$N$810),NA()))</f>
        <v>1129.7012289075892</v>
      </c>
      <c r="P161">
        <f>IF($J161&gt;MAX('Match Log'!$A$4:$A$810),NA(),IFERROR(LOOKUP(2,1/(('Match Log'!$D$4:$D$810=$P$24)*('Match Log'!$A$4:$A$810&lt;=$J161)),'Match Log'!$N$4:$N$810),NA()))</f>
        <v>997.36259998776018</v>
      </c>
      <c r="Q161">
        <f>IF($J161&gt;MAX('Match Log'!$A$4:$A$810),NA(),IFERROR(LOOKUP(2,1/(('Match Log'!$D$4:$D$810=$Q$24)*('Match Log'!$A$4:$A$810&lt;=$J161)),'Match Log'!$N$4:$N$810),NA()))</f>
        <v>1084.8903813508514</v>
      </c>
      <c r="R161">
        <f>IF($J161&gt;MAX('Match Log'!$A$4:$A$810),NA(),IFERROR(LOOKUP(2,1/(('Match Log'!$D$4:$D$810=$R$24)*('Match Log'!$A$4:$A$810&lt;=$J161)),'Match Log'!$N$4:$N$810),NA()))</f>
        <v>1050.8634549674414</v>
      </c>
      <c r="S161">
        <f>IF($J161&gt;MAX('Match Log'!$A$4:$A$810),NA(),IFERROR(LOOKUP(2,1/(('Match Log'!$D$4:$D$810=$S$24)*('Match Log'!$A$4:$A$810&lt;=$J161)),'Match Log'!$N$4:$N$810),NA()))</f>
        <v>1168.2113436007442</v>
      </c>
      <c r="T161">
        <f>IF($J161&gt;MAX('Match Log'!$A$4:$A$810),NA(),IFERROR(LOOKUP(2,1/(('Match Log'!$D$4:$D$810=$T$24)*('Match Log'!$A$4:$A$810&lt;=$J161)),'Match Log'!$N$4:$N$810),NA()))</f>
        <v>893.03675187725173</v>
      </c>
      <c r="U161">
        <f>IF($J161&gt;MAX('Match Log'!$A$4:$A$810),NA(),IFERROR(LOOKUP(2,1/(('Match Log'!$D$4:$D$810=$U$24)*('Match Log'!$A$4:$A$810&lt;=$J161)),'Match Log'!$N$4:$N$810),NA()))</f>
        <v>1058.6657209484931</v>
      </c>
      <c r="V161">
        <f>IF($J161&gt;MAX('Match Log'!$A$4:$A$810),NA(),IFERROR(LOOKUP(2,1/(('Match Log'!$D$4:$D$810=$V$24)*('Match Log'!$A$4:$A$810&lt;=$J161)),'Match Log'!$N$4:$N$810),NA()))</f>
        <v>1031.225848367051</v>
      </c>
      <c r="W161">
        <f>IF($J161&gt;MAX('Match Log'!$A$4:$A$810),NA(),IFERROR(LOOKUP(2,1/(('Match Log'!$D$4:$D$810=$W$24)*('Match Log'!$A$4:$A$810&lt;=$J161)),'Match Log'!$N$4:$N$810),NA()))</f>
        <v>1030.3815983388336</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1109.2177733663168</v>
      </c>
      <c r="L162">
        <f>IF($J162&gt;MAX('Match Log'!$A$4:$A$810),NA(),IFERROR(LOOKUP(2,1/(('Match Log'!$D$4:$D$810=$L$24)*('Match Log'!$A$4:$A$810&lt;=$J162)),'Match Log'!$N$4:$N$810),NA()))</f>
        <v>1029.2201908859522</v>
      </c>
      <c r="M162">
        <f>IF($J162&gt;MAX('Match Log'!$A$4:$A$810),NA(),IFERROR(LOOKUP(2,1/(('Match Log'!$D$4:$D$810=$M$24)*('Match Log'!$A$4:$A$810&lt;=$J162)),'Match Log'!$N$4:$N$810),NA()))</f>
        <v>1016.7837867075796</v>
      </c>
      <c r="N162">
        <f>IF($J162&gt;MAX('Match Log'!$A$4:$A$810),NA(),IFERROR(LOOKUP(2,1/(('Match Log'!$D$4:$D$810=$N$24)*('Match Log'!$A$4:$A$810&lt;=$J162)),'Match Log'!$N$4:$N$810),NA()))</f>
        <v>981.92436608474441</v>
      </c>
      <c r="O162">
        <f>IF($J162&gt;MAX('Match Log'!$A$4:$A$810),NA(),IFERROR(LOOKUP(2,1/(('Match Log'!$D$4:$D$810=$O$24)*('Match Log'!$A$4:$A$810&lt;=$J162)),'Match Log'!$N$4:$N$810),NA()))</f>
        <v>1129.7012289075892</v>
      </c>
      <c r="P162">
        <f>IF($J162&gt;MAX('Match Log'!$A$4:$A$810),NA(),IFERROR(LOOKUP(2,1/(('Match Log'!$D$4:$D$810=$P$24)*('Match Log'!$A$4:$A$810&lt;=$J162)),'Match Log'!$N$4:$N$810),NA()))</f>
        <v>1019.8775545971507</v>
      </c>
      <c r="Q162">
        <f>IF($J162&gt;MAX('Match Log'!$A$4:$A$810),NA(),IFERROR(LOOKUP(2,1/(('Match Log'!$D$4:$D$810=$Q$24)*('Match Log'!$A$4:$A$810&lt;=$J162)),'Match Log'!$N$4:$N$810),NA()))</f>
        <v>1084.8903813508514</v>
      </c>
      <c r="R162">
        <f>IF($J162&gt;MAX('Match Log'!$A$4:$A$810),NA(),IFERROR(LOOKUP(2,1/(('Match Log'!$D$4:$D$810=$R$24)*('Match Log'!$A$4:$A$810&lt;=$J162)),'Match Log'!$N$4:$N$810),NA()))</f>
        <v>1050.8634549674414</v>
      </c>
      <c r="S162">
        <f>IF($J162&gt;MAX('Match Log'!$A$4:$A$810),NA(),IFERROR(LOOKUP(2,1/(('Match Log'!$D$4:$D$810=$S$24)*('Match Log'!$A$4:$A$810&lt;=$J162)),'Match Log'!$N$4:$N$810),NA()))</f>
        <v>1168.2113436007442</v>
      </c>
      <c r="T162">
        <f>IF($J162&gt;MAX('Match Log'!$A$4:$A$810),NA(),IFERROR(LOOKUP(2,1/(('Match Log'!$D$4:$D$810=$T$24)*('Match Log'!$A$4:$A$810&lt;=$J162)),'Match Log'!$N$4:$N$810),NA()))</f>
        <v>893.03675187725173</v>
      </c>
      <c r="U162">
        <f>IF($J162&gt;MAX('Match Log'!$A$4:$A$810),NA(),IFERROR(LOOKUP(2,1/(('Match Log'!$D$4:$D$810=$U$24)*('Match Log'!$A$4:$A$810&lt;=$J162)),'Match Log'!$N$4:$N$810),NA()))</f>
        <v>1058.6657209484931</v>
      </c>
      <c r="V162">
        <f>IF($J162&gt;MAX('Match Log'!$A$4:$A$810),NA(),IFERROR(LOOKUP(2,1/(('Match Log'!$D$4:$D$810=$V$24)*('Match Log'!$A$4:$A$810&lt;=$J162)),'Match Log'!$N$4:$N$810),NA()))</f>
        <v>1031.225848367051</v>
      </c>
      <c r="W162">
        <f>IF($J162&gt;MAX('Match Log'!$A$4:$A$810),NA(),IFERROR(LOOKUP(2,1/(('Match Log'!$D$4:$D$810=$W$24)*('Match Log'!$A$4:$A$810&lt;=$J162)),'Match Log'!$N$4:$N$810),NA()))</f>
        <v>1030.3815983388336</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1097.6049428107995</v>
      </c>
      <c r="L163">
        <f>IF($J163&gt;MAX('Match Log'!$A$4:$A$810),NA(),IFERROR(LOOKUP(2,1/(('Match Log'!$D$4:$D$810=$L$24)*('Match Log'!$A$4:$A$810&lt;=$J163)),'Match Log'!$N$4:$N$810),NA()))</f>
        <v>1029.2201908859522</v>
      </c>
      <c r="M163">
        <f>IF($J163&gt;MAX('Match Log'!$A$4:$A$810),NA(),IFERROR(LOOKUP(2,1/(('Match Log'!$D$4:$D$810=$M$24)*('Match Log'!$A$4:$A$810&lt;=$J163)),'Match Log'!$N$4:$N$810),NA()))</f>
        <v>1016.7837867075796</v>
      </c>
      <c r="N163">
        <f>IF($J163&gt;MAX('Match Log'!$A$4:$A$810),NA(),IFERROR(LOOKUP(2,1/(('Match Log'!$D$4:$D$810=$N$24)*('Match Log'!$A$4:$A$810&lt;=$J163)),'Match Log'!$N$4:$N$810),NA()))</f>
        <v>973.18894572037368</v>
      </c>
      <c r="O163">
        <f>IF($J163&gt;MAX('Match Log'!$A$4:$A$810),NA(),IFERROR(LOOKUP(2,1/(('Match Log'!$D$4:$D$810=$O$24)*('Match Log'!$A$4:$A$810&lt;=$J163)),'Match Log'!$N$4:$N$810),NA()))</f>
        <v>1129.7012289075892</v>
      </c>
      <c r="P163">
        <f>IF($J163&gt;MAX('Match Log'!$A$4:$A$810),NA(),IFERROR(LOOKUP(2,1/(('Match Log'!$D$4:$D$810=$P$24)*('Match Log'!$A$4:$A$810&lt;=$J163)),'Match Log'!$N$4:$N$810),NA()))</f>
        <v>1049.2258055170387</v>
      </c>
      <c r="Q163">
        <f>IF($J163&gt;MAX('Match Log'!$A$4:$A$810),NA(),IFERROR(LOOKUP(2,1/(('Match Log'!$D$4:$D$810=$Q$24)*('Match Log'!$A$4:$A$810&lt;=$J163)),'Match Log'!$N$4:$N$810),NA()))</f>
        <v>1084.8903813508514</v>
      </c>
      <c r="R163">
        <f>IF($J163&gt;MAX('Match Log'!$A$4:$A$810),NA(),IFERROR(LOOKUP(2,1/(('Match Log'!$D$4:$D$810=$R$24)*('Match Log'!$A$4:$A$810&lt;=$J163)),'Match Log'!$N$4:$N$810),NA()))</f>
        <v>1050.8634549674414</v>
      </c>
      <c r="S163">
        <f>IF($J163&gt;MAX('Match Log'!$A$4:$A$810),NA(),IFERROR(LOOKUP(2,1/(('Match Log'!$D$4:$D$810=$S$24)*('Match Log'!$A$4:$A$810&lt;=$J163)),'Match Log'!$N$4:$N$810),NA()))</f>
        <v>1168.2113436007442</v>
      </c>
      <c r="T163">
        <f>IF($J163&gt;MAX('Match Log'!$A$4:$A$810),NA(),IFERROR(LOOKUP(2,1/(('Match Log'!$D$4:$D$810=$T$24)*('Match Log'!$A$4:$A$810&lt;=$J163)),'Match Log'!$N$4:$N$810),NA()))</f>
        <v>893.03675187725173</v>
      </c>
      <c r="U163">
        <f>IF($J163&gt;MAX('Match Log'!$A$4:$A$810),NA(),IFERROR(LOOKUP(2,1/(('Match Log'!$D$4:$D$810=$U$24)*('Match Log'!$A$4:$A$810&lt;=$J163)),'Match Log'!$N$4:$N$810),NA()))</f>
        <v>1058.6657209484931</v>
      </c>
      <c r="V163">
        <f>IF($J163&gt;MAX('Match Log'!$A$4:$A$810),NA(),IFERROR(LOOKUP(2,1/(('Match Log'!$D$4:$D$810=$V$24)*('Match Log'!$A$4:$A$810&lt;=$J163)),'Match Log'!$N$4:$N$810),NA()))</f>
        <v>1031.225848367051</v>
      </c>
      <c r="W163">
        <f>IF($J163&gt;MAX('Match Log'!$A$4:$A$810),NA(),IFERROR(LOOKUP(2,1/(('Match Log'!$D$4:$D$810=$W$24)*('Match Log'!$A$4:$A$810&lt;=$J163)),'Match Log'!$N$4:$N$810),NA()))</f>
        <v>1030.3815983388336</v>
      </c>
      <c r="X163" t="e">
        <f>IF($J163&gt;MAX('Match Log'!$A$4:$A$810),NA(),IFERROR(LOOKUP(2,1/(('Match Log'!$D$4:$D$810=$X$24)*('Match Log'!$A$4:$A$810&lt;=$J163)),'Match Log'!$N$4:$N$810),NA()))</f>
        <v>#N/A</v>
      </c>
      <c r="Y163">
        <f t="shared" ca="1" si="30"/>
        <v>0.249861</v>
      </c>
    </row>
    <row r="164" spans="1:25" x14ac:dyDescent="0.2">
      <c r="A164">
        <v>140</v>
      </c>
      <c r="B164" t="str">
        <f>IFERROR(INDEX('Match Log'!$B$4:$B$810,MATCH(140,'Match Log'!$A$4:$A$810,0)),"")</f>
        <v/>
      </c>
      <c r="C164" t="str">
        <f>IFERROR(INDEX('Match Log'!$C$4:$C$810,MATCH(140,'Match Log'!$A$4:$A$810,0)),"")</f>
        <v/>
      </c>
      <c r="D164" t="str">
        <f t="array" ref="D164">IFERROR(_xlfn.TEXTJOIN(" + ",TRUE,IF(('Match Log'!$A$4:$A$810=$A164)*('Match Log'!$E$4:$E$810="Win"),'Match Log'!$D$4:$D$810,"")),IFERROR(LOOKUP(2,1/(('Match Log'!$A$4:$A$810=$A164)*('Match Log'!$E$4:$E$810="Win")),'Match Log'!$D$4:$D$810),""))</f>
        <v/>
      </c>
      <c r="E164" t="str">
        <f>IFERROR(INDEX('Match Log'!$F$4:$F$810,MATCH(140,'Match Log'!$A$4:$A$810,0)),"")</f>
        <v/>
      </c>
      <c r="F164">
        <f>IFERROR(SUMIFS('Match Log'!$I$4:$I$810,'Match Log'!$A$4:$A$810,140,'Match Log'!$E$4:$E$810,"Win"),"")</f>
        <v>0</v>
      </c>
      <c r="G164" t="str">
        <f t="shared" si="28"/>
        <v/>
      </c>
      <c r="H164" t="str">
        <f t="array" ref="H164">IFERROR(IF(COUNTIFS('Match Log'!$A$4:$A$810,$A164,'Match Log'!$E$4:$E$810,"Win")&gt;1,_xlfn.TEXTJOIN(" + ",TRUE,IF(('Match Log'!$A$4:$A$810=$A164)*('Match Log'!$E$4:$E$810="Loss"),'Match Log'!$D$4:$D$810,"")),IF($E164=2,LOOKUP(2,1/(('Match Log'!$A$4:$A$810=$A164)*('Match Log'!$E$4:$E$810="Loss")),'Match Log'!$D$4:$D$810),"the field")),"")</f>
        <v>the field</v>
      </c>
      <c r="I164" t="str">
        <f t="shared" si="29"/>
        <v/>
      </c>
      <c r="J164">
        <v>140</v>
      </c>
      <c r="K164" t="e">
        <f>IF($J164&gt;MAX('Match Log'!$A$4:$A$810),NA(),IFERROR(LOOKUP(2,1/(('Match Log'!$D$4:$D$810=$K$24)*('Match Log'!$A$4:$A$810&lt;=$J164)),'Match Log'!$N$4:$N$810),NA()))</f>
        <v>#N/A</v>
      </c>
      <c r="L164" t="e">
        <f>IF($J164&gt;MAX('Match Log'!$A$4:$A$810),NA(),IFERROR(LOOKUP(2,1/(('Match Log'!$D$4:$D$810=$L$24)*('Match Log'!$A$4:$A$810&lt;=$J164)),'Match Log'!$N$4:$N$810),NA()))</f>
        <v>#N/A</v>
      </c>
      <c r="M164" t="e">
        <f>IF($J164&gt;MAX('Match Log'!$A$4:$A$810),NA(),IFERROR(LOOKUP(2,1/(('Match Log'!$D$4:$D$810=$M$24)*('Match Log'!$A$4:$A$810&lt;=$J164)),'Match Log'!$N$4:$N$810),NA()))</f>
        <v>#N/A</v>
      </c>
      <c r="N164" t="e">
        <f>IF($J164&gt;MAX('Match Log'!$A$4:$A$810),NA(),IFERROR(LOOKUP(2,1/(('Match Log'!$D$4:$D$810=$N$24)*('Match Log'!$A$4:$A$810&lt;=$J164)),'Match Log'!$N$4:$N$810),NA()))</f>
        <v>#N/A</v>
      </c>
      <c r="O164" t="e">
        <f>IF($J164&gt;MAX('Match Log'!$A$4:$A$810),NA(),IFERROR(LOOKUP(2,1/(('Match Log'!$D$4:$D$810=$O$24)*('Match Log'!$A$4:$A$810&lt;=$J164)),'Match Log'!$N$4:$N$810),NA()))</f>
        <v>#N/A</v>
      </c>
      <c r="P164" t="e">
        <f>IF($J164&gt;MAX('Match Log'!$A$4:$A$810),NA(),IFERROR(LOOKUP(2,1/(('Match Log'!$D$4:$D$810=$P$24)*('Match Log'!$A$4:$A$810&lt;=$J164)),'Match Log'!$N$4:$N$810),NA()))</f>
        <v>#N/A</v>
      </c>
      <c r="Q164" t="e">
        <f>IF($J164&gt;MAX('Match Log'!$A$4:$A$810),NA(),IFERROR(LOOKUP(2,1/(('Match Log'!$D$4:$D$810=$Q$24)*('Match Log'!$A$4:$A$810&lt;=$J164)),'Match Log'!$N$4:$N$810),NA()))</f>
        <v>#N/A</v>
      </c>
      <c r="R164" t="e">
        <f>IF($J164&gt;MAX('Match Log'!$A$4:$A$810),NA(),IFERROR(LOOKUP(2,1/(('Match Log'!$D$4:$D$810=$R$24)*('Match Log'!$A$4:$A$810&lt;=$J164)),'Match Log'!$N$4:$N$810),NA()))</f>
        <v>#N/A</v>
      </c>
      <c r="S164" t="e">
        <f>IF($J164&gt;MAX('Match Log'!$A$4:$A$810),NA(),IFERROR(LOOKUP(2,1/(('Match Log'!$D$4:$D$810=$S$24)*('Match Log'!$A$4:$A$810&lt;=$J164)),'Match Log'!$N$4:$N$810),NA()))</f>
        <v>#N/A</v>
      </c>
      <c r="T164" t="e">
        <f>IF($J164&gt;MAX('Match Log'!$A$4:$A$810),NA(),IFERROR(LOOKUP(2,1/(('Match Log'!$D$4:$D$810=$T$24)*('Match Log'!$A$4:$A$810&lt;=$J164)),'Match Log'!$N$4:$N$810),NA()))</f>
        <v>#N/A</v>
      </c>
      <c r="U164" t="e">
        <f>IF($J164&gt;MAX('Match Log'!$A$4:$A$810),NA(),IFERROR(LOOKUP(2,1/(('Match Log'!$D$4:$D$810=$U$24)*('Match Log'!$A$4:$A$810&lt;=$J164)),'Match Log'!$N$4:$N$810),NA()))</f>
        <v>#N/A</v>
      </c>
      <c r="V164" t="e">
        <f>IF($J164&gt;MAX('Match Log'!$A$4:$A$810),NA(),IFERROR(LOOKUP(2,1/(('Match Log'!$D$4:$D$810=$V$24)*('Match Log'!$A$4:$A$810&lt;=$J164)),'Match Log'!$N$4:$N$810),NA()))</f>
        <v>#N/A</v>
      </c>
      <c r="W164" t="e">
        <f>IF($J164&gt;MAX('Match Log'!$A$4:$A$810),NA(),IFERROR(LOOKUP(2,1/(('Match Log'!$D$4:$D$810=$W$24)*('Match Log'!$A$4:$A$810&lt;=$J164)),'Match Log'!$N$4:$N$810),NA()))</f>
        <v>#N/A</v>
      </c>
      <c r="X164" t="e">
        <f>IF($J164&gt;MAX('Match Log'!$A$4:$A$810),NA(),IFERROR(LOOKUP(2,1/(('Match Log'!$D$4:$D$810=$X$24)*('Match Log'!$A$4:$A$810&lt;=$J164)),'Match Log'!$N$4:$N$810),NA()))</f>
        <v>#N/A</v>
      </c>
      <c r="Y164" t="str">
        <f t="shared" ca="1" si="30"/>
        <v/>
      </c>
    </row>
    <row r="165" spans="1:25" x14ac:dyDescent="0.2">
      <c r="A165">
        <v>141</v>
      </c>
      <c r="B165" t="str">
        <f>IFERROR(INDEX('Match Log'!$B$4:$B$810,MATCH(141,'Match Log'!$A$4:$A$810,0)),"")</f>
        <v/>
      </c>
      <c r="C165" t="str">
        <f>IFERROR(INDEX('Match Log'!$C$4:$C$810,MATCH(141,'Match Log'!$A$4:$A$810,0)),"")</f>
        <v/>
      </c>
      <c r="D165" t="str">
        <f t="array" ref="D165">IFERROR(_xlfn.TEXTJOIN(" + ",TRUE,IF(('Match Log'!$A$4:$A$810=$A165)*('Match Log'!$E$4:$E$810="Win"),'Match Log'!$D$4:$D$810,"")),IFERROR(LOOKUP(2,1/(('Match Log'!$A$4:$A$810=$A165)*('Match Log'!$E$4:$E$810="Win")),'Match Log'!$D$4:$D$810),""))</f>
        <v/>
      </c>
      <c r="E165" t="str">
        <f>IFERROR(INDEX('Match Log'!$F$4:$F$810,MATCH(141,'Match Log'!$A$4:$A$810,0)),"")</f>
        <v/>
      </c>
      <c r="F165">
        <f>IFERROR(SUMIFS('Match Log'!$I$4:$I$810,'Match Log'!$A$4:$A$810,141,'Match Log'!$E$4:$E$810,"Win"),"")</f>
        <v>0</v>
      </c>
      <c r="G165" t="str">
        <f t="shared" si="28"/>
        <v/>
      </c>
      <c r="H165" t="str">
        <f t="array" ref="H165">IFERROR(IF(COUNTIFS('Match Log'!$A$4:$A$810,$A165,'Match Log'!$E$4:$E$810,"Win")&gt;1,_xlfn.TEXTJOIN(" + ",TRUE,IF(('Match Log'!$A$4:$A$810=$A165)*('Match Log'!$E$4:$E$810="Loss"),'Match Log'!$D$4:$D$810,"")),IF($E165=2,LOOKUP(2,1/(('Match Log'!$A$4:$A$810=$A165)*('Match Log'!$E$4:$E$810="Loss")),'Match Log'!$D$4:$D$810),"the field")),"")</f>
        <v>the field</v>
      </c>
      <c r="I165" t="str">
        <f t="shared" si="29"/>
        <v/>
      </c>
      <c r="J165">
        <v>141</v>
      </c>
      <c r="K165" t="e">
        <f>IF($J165&gt;MAX('Match Log'!$A$4:$A$810),NA(),IFERROR(LOOKUP(2,1/(('Match Log'!$D$4:$D$810=$K$24)*('Match Log'!$A$4:$A$810&lt;=$J165)),'Match Log'!$N$4:$N$810),NA()))</f>
        <v>#N/A</v>
      </c>
      <c r="L165" t="e">
        <f>IF($J165&gt;MAX('Match Log'!$A$4:$A$810),NA(),IFERROR(LOOKUP(2,1/(('Match Log'!$D$4:$D$810=$L$24)*('Match Log'!$A$4:$A$810&lt;=$J165)),'Match Log'!$N$4:$N$810),NA()))</f>
        <v>#N/A</v>
      </c>
      <c r="M165" t="e">
        <f>IF($J165&gt;MAX('Match Log'!$A$4:$A$810),NA(),IFERROR(LOOKUP(2,1/(('Match Log'!$D$4:$D$810=$M$24)*('Match Log'!$A$4:$A$810&lt;=$J165)),'Match Log'!$N$4:$N$810),NA()))</f>
        <v>#N/A</v>
      </c>
      <c r="N165" t="e">
        <f>IF($J165&gt;MAX('Match Log'!$A$4:$A$810),NA(),IFERROR(LOOKUP(2,1/(('Match Log'!$D$4:$D$810=$N$24)*('Match Log'!$A$4:$A$810&lt;=$J165)),'Match Log'!$N$4:$N$810),NA()))</f>
        <v>#N/A</v>
      </c>
      <c r="O165" t="e">
        <f>IF($J165&gt;MAX('Match Log'!$A$4:$A$810),NA(),IFERROR(LOOKUP(2,1/(('Match Log'!$D$4:$D$810=$O$24)*('Match Log'!$A$4:$A$810&lt;=$J165)),'Match Log'!$N$4:$N$810),NA()))</f>
        <v>#N/A</v>
      </c>
      <c r="P165" t="e">
        <f>IF($J165&gt;MAX('Match Log'!$A$4:$A$810),NA(),IFERROR(LOOKUP(2,1/(('Match Log'!$D$4:$D$810=$P$24)*('Match Log'!$A$4:$A$810&lt;=$J165)),'Match Log'!$N$4:$N$810),NA()))</f>
        <v>#N/A</v>
      </c>
      <c r="Q165" t="e">
        <f>IF($J165&gt;MAX('Match Log'!$A$4:$A$810),NA(),IFERROR(LOOKUP(2,1/(('Match Log'!$D$4:$D$810=$Q$24)*('Match Log'!$A$4:$A$810&lt;=$J165)),'Match Log'!$N$4:$N$810),NA()))</f>
        <v>#N/A</v>
      </c>
      <c r="R165" t="e">
        <f>IF($J165&gt;MAX('Match Log'!$A$4:$A$810),NA(),IFERROR(LOOKUP(2,1/(('Match Log'!$D$4:$D$810=$R$24)*('Match Log'!$A$4:$A$810&lt;=$J165)),'Match Log'!$N$4:$N$810),NA()))</f>
        <v>#N/A</v>
      </c>
      <c r="S165" t="e">
        <f>IF($J165&gt;MAX('Match Log'!$A$4:$A$810),NA(),IFERROR(LOOKUP(2,1/(('Match Log'!$D$4:$D$810=$S$24)*('Match Log'!$A$4:$A$810&lt;=$J165)),'Match Log'!$N$4:$N$810),NA()))</f>
        <v>#N/A</v>
      </c>
      <c r="T165" t="e">
        <f>IF($J165&gt;MAX('Match Log'!$A$4:$A$810),NA(),IFERROR(LOOKUP(2,1/(('Match Log'!$D$4:$D$810=$T$24)*('Match Log'!$A$4:$A$810&lt;=$J165)),'Match Log'!$N$4:$N$810),NA()))</f>
        <v>#N/A</v>
      </c>
      <c r="U165" t="e">
        <f>IF($J165&gt;MAX('Match Log'!$A$4:$A$810),NA(),IFERROR(LOOKUP(2,1/(('Match Log'!$D$4:$D$810=$U$24)*('Match Log'!$A$4:$A$810&lt;=$J165)),'Match Log'!$N$4:$N$810),NA()))</f>
        <v>#N/A</v>
      </c>
      <c r="V165" t="e">
        <f>IF($J165&gt;MAX('Match Log'!$A$4:$A$810),NA(),IFERROR(LOOKUP(2,1/(('Match Log'!$D$4:$D$810=$V$24)*('Match Log'!$A$4:$A$810&lt;=$J165)),'Match Log'!$N$4:$N$810),NA()))</f>
        <v>#N/A</v>
      </c>
      <c r="W165" t="e">
        <f>IF($J165&gt;MAX('Match Log'!$A$4:$A$810),NA(),IFERROR(LOOKUP(2,1/(('Match Log'!$D$4:$D$810=$W$24)*('Match Log'!$A$4:$A$810&lt;=$J165)),'Match Log'!$N$4:$N$810),NA()))</f>
        <v>#N/A</v>
      </c>
      <c r="X165" t="e">
        <f>IF($J165&gt;MAX('Match Log'!$A$4:$A$810),NA(),IFERROR(LOOKUP(2,1/(('Match Log'!$D$4:$D$810=$X$24)*('Match Log'!$A$4:$A$810&lt;=$J165)),'Match Log'!$N$4:$N$810),NA()))</f>
        <v>#N/A</v>
      </c>
      <c r="Y165" t="str">
        <f t="shared" ca="1" si="30"/>
        <v/>
      </c>
    </row>
    <row r="166" spans="1:25" x14ac:dyDescent="0.2">
      <c r="A166">
        <v>142</v>
      </c>
      <c r="B166" t="str">
        <f>IFERROR(INDEX('Match Log'!$B$4:$B$810,MATCH(142,'Match Log'!$A$4:$A$810,0)),"")</f>
        <v/>
      </c>
      <c r="C166" t="str">
        <f>IFERROR(INDEX('Match Log'!$C$4:$C$810,MATCH(142,'Match Log'!$A$4:$A$810,0)),"")</f>
        <v/>
      </c>
      <c r="D166" t="str">
        <f t="array" ref="D166">IFERROR(_xlfn.TEXTJOIN(" + ",TRUE,IF(('Match Log'!$A$4:$A$810=$A166)*('Match Log'!$E$4:$E$810="Win"),'Match Log'!$D$4:$D$810,"")),IFERROR(LOOKUP(2,1/(('Match Log'!$A$4:$A$810=$A166)*('Match Log'!$E$4:$E$810="Win")),'Match Log'!$D$4:$D$810),""))</f>
        <v/>
      </c>
      <c r="E166" t="str">
        <f>IFERROR(INDEX('Match Log'!$F$4:$F$810,MATCH(142,'Match Log'!$A$4:$A$810,0)),"")</f>
        <v/>
      </c>
      <c r="F166">
        <f>IFERROR(SUMIFS('Match Log'!$I$4:$I$810,'Match Log'!$A$4:$A$810,142,'Match Log'!$E$4:$E$810,"Win"),"")</f>
        <v>0</v>
      </c>
      <c r="G166" t="str">
        <f t="shared" si="28"/>
        <v/>
      </c>
      <c r="H166" t="str">
        <f t="array" ref="H166">IFERROR(IF(COUNTIFS('Match Log'!$A$4:$A$810,$A166,'Match Log'!$E$4:$E$810,"Win")&gt;1,_xlfn.TEXTJOIN(" + ",TRUE,IF(('Match Log'!$A$4:$A$810=$A166)*('Match Log'!$E$4:$E$810="Loss"),'Match Log'!$D$4:$D$810,"")),IF($E166=2,LOOKUP(2,1/(('Match Log'!$A$4:$A$810=$A166)*('Match Log'!$E$4:$E$810="Loss")),'Match Log'!$D$4:$D$810),"the field")),"")</f>
        <v>the field</v>
      </c>
      <c r="I166" t="str">
        <f t="shared" si="29"/>
        <v/>
      </c>
      <c r="J166">
        <v>142</v>
      </c>
      <c r="K166" t="e">
        <f>IF($J166&gt;MAX('Match Log'!$A$4:$A$810),NA(),IFERROR(LOOKUP(2,1/(('Match Log'!$D$4:$D$810=$K$24)*('Match Log'!$A$4:$A$810&lt;=$J166)),'Match Log'!$N$4:$N$810),NA()))</f>
        <v>#N/A</v>
      </c>
      <c r="L166" t="e">
        <f>IF($J166&gt;MAX('Match Log'!$A$4:$A$810),NA(),IFERROR(LOOKUP(2,1/(('Match Log'!$D$4:$D$810=$L$24)*('Match Log'!$A$4:$A$810&lt;=$J166)),'Match Log'!$N$4:$N$810),NA()))</f>
        <v>#N/A</v>
      </c>
      <c r="M166" t="e">
        <f>IF($J166&gt;MAX('Match Log'!$A$4:$A$810),NA(),IFERROR(LOOKUP(2,1/(('Match Log'!$D$4:$D$810=$M$24)*('Match Log'!$A$4:$A$810&lt;=$J166)),'Match Log'!$N$4:$N$810),NA()))</f>
        <v>#N/A</v>
      </c>
      <c r="N166" t="e">
        <f>IF($J166&gt;MAX('Match Log'!$A$4:$A$810),NA(),IFERROR(LOOKUP(2,1/(('Match Log'!$D$4:$D$810=$N$24)*('Match Log'!$A$4:$A$810&lt;=$J166)),'Match Log'!$N$4:$N$810),NA()))</f>
        <v>#N/A</v>
      </c>
      <c r="O166" t="e">
        <f>IF($J166&gt;MAX('Match Log'!$A$4:$A$810),NA(),IFERROR(LOOKUP(2,1/(('Match Log'!$D$4:$D$810=$O$24)*('Match Log'!$A$4:$A$810&lt;=$J166)),'Match Log'!$N$4:$N$810),NA()))</f>
        <v>#N/A</v>
      </c>
      <c r="P166" t="e">
        <f>IF($J166&gt;MAX('Match Log'!$A$4:$A$810),NA(),IFERROR(LOOKUP(2,1/(('Match Log'!$D$4:$D$810=$P$24)*('Match Log'!$A$4:$A$810&lt;=$J166)),'Match Log'!$N$4:$N$810),NA()))</f>
        <v>#N/A</v>
      </c>
      <c r="Q166" t="e">
        <f>IF($J166&gt;MAX('Match Log'!$A$4:$A$810),NA(),IFERROR(LOOKUP(2,1/(('Match Log'!$D$4:$D$810=$Q$24)*('Match Log'!$A$4:$A$810&lt;=$J166)),'Match Log'!$N$4:$N$810),NA()))</f>
        <v>#N/A</v>
      </c>
      <c r="R166" t="e">
        <f>IF($J166&gt;MAX('Match Log'!$A$4:$A$810),NA(),IFERROR(LOOKUP(2,1/(('Match Log'!$D$4:$D$810=$R$24)*('Match Log'!$A$4:$A$810&lt;=$J166)),'Match Log'!$N$4:$N$810),NA()))</f>
        <v>#N/A</v>
      </c>
      <c r="S166" t="e">
        <f>IF($J166&gt;MAX('Match Log'!$A$4:$A$810),NA(),IFERROR(LOOKUP(2,1/(('Match Log'!$D$4:$D$810=$S$24)*('Match Log'!$A$4:$A$810&lt;=$J166)),'Match Log'!$N$4:$N$810),NA()))</f>
        <v>#N/A</v>
      </c>
      <c r="T166" t="e">
        <f>IF($J166&gt;MAX('Match Log'!$A$4:$A$810),NA(),IFERROR(LOOKUP(2,1/(('Match Log'!$D$4:$D$810=$T$24)*('Match Log'!$A$4:$A$810&lt;=$J166)),'Match Log'!$N$4:$N$810),NA()))</f>
        <v>#N/A</v>
      </c>
      <c r="U166" t="e">
        <f>IF($J166&gt;MAX('Match Log'!$A$4:$A$810),NA(),IFERROR(LOOKUP(2,1/(('Match Log'!$D$4:$D$810=$U$24)*('Match Log'!$A$4:$A$810&lt;=$J166)),'Match Log'!$N$4:$N$810),NA()))</f>
        <v>#N/A</v>
      </c>
      <c r="V166" t="e">
        <f>IF($J166&gt;MAX('Match Log'!$A$4:$A$810),NA(),IFERROR(LOOKUP(2,1/(('Match Log'!$D$4:$D$810=$V$24)*('Match Log'!$A$4:$A$810&lt;=$J166)),'Match Log'!$N$4:$N$810),NA()))</f>
        <v>#N/A</v>
      </c>
      <c r="W166" t="e">
        <f>IF($J166&gt;MAX('Match Log'!$A$4:$A$810),NA(),IFERROR(LOOKUP(2,1/(('Match Log'!$D$4:$D$810=$W$24)*('Match Log'!$A$4:$A$810&lt;=$J166)),'Match Log'!$N$4:$N$810),NA()))</f>
        <v>#N/A</v>
      </c>
      <c r="X166" t="e">
        <f>IF($J166&gt;MAX('Match Log'!$A$4:$A$810),NA(),IFERROR(LOOKUP(2,1/(('Match Log'!$D$4:$D$810=$X$24)*('Match Log'!$A$4:$A$810&lt;=$J166)),'Match Log'!$N$4:$N$810),NA()))</f>
        <v>#N/A</v>
      </c>
      <c r="Y166" t="str">
        <f t="shared" ca="1" si="30"/>
        <v/>
      </c>
    </row>
    <row r="167" spans="1:25" x14ac:dyDescent="0.2">
      <c r="A167">
        <v>143</v>
      </c>
      <c r="B167" t="str">
        <f>IFERROR(INDEX('Match Log'!$B$4:$B$810,MATCH(143,'Match Log'!$A$4:$A$810,0)),"")</f>
        <v/>
      </c>
      <c r="C167" t="str">
        <f>IFERROR(INDEX('Match Log'!$C$4:$C$810,MATCH(143,'Match Log'!$A$4:$A$810,0)),"")</f>
        <v/>
      </c>
      <c r="D167" t="str">
        <f t="array" ref="D167">IFERROR(_xlfn.TEXTJOIN(" + ",TRUE,IF(('Match Log'!$A$4:$A$810=$A167)*('Match Log'!$E$4:$E$810="Win"),'Match Log'!$D$4:$D$810,"")),IFERROR(LOOKUP(2,1/(('Match Log'!$A$4:$A$810=$A167)*('Match Log'!$E$4:$E$810="Win")),'Match Log'!$D$4:$D$810),""))</f>
        <v/>
      </c>
      <c r="E167" t="str">
        <f>IFERROR(INDEX('Match Log'!$F$4:$F$810,MATCH(143,'Match Log'!$A$4:$A$810,0)),"")</f>
        <v/>
      </c>
      <c r="F167">
        <f>IFERROR(SUMIFS('Match Log'!$I$4:$I$810,'Match Log'!$A$4:$A$810,143,'Match Log'!$E$4:$E$810,"Win"),"")</f>
        <v>0</v>
      </c>
      <c r="G167" t="str">
        <f t="shared" si="28"/>
        <v/>
      </c>
      <c r="H167" t="str">
        <f t="array" ref="H167">IFERROR(IF(COUNTIFS('Match Log'!$A$4:$A$810,$A167,'Match Log'!$E$4:$E$810,"Win")&gt;1,_xlfn.TEXTJOIN(" + ",TRUE,IF(('Match Log'!$A$4:$A$810=$A167)*('Match Log'!$E$4:$E$810="Loss"),'Match Log'!$D$4:$D$810,"")),IF($E167=2,LOOKUP(2,1/(('Match Log'!$A$4:$A$810=$A167)*('Match Log'!$E$4:$E$810="Loss")),'Match Log'!$D$4:$D$810),"the field")),"")</f>
        <v>the field</v>
      </c>
      <c r="I167" t="str">
        <f t="shared" si="29"/>
        <v/>
      </c>
      <c r="J167">
        <v>143</v>
      </c>
      <c r="K167" t="e">
        <f>IF($J167&gt;MAX('Match Log'!$A$4:$A$810),NA(),IFERROR(LOOKUP(2,1/(('Match Log'!$D$4:$D$810=$K$24)*('Match Log'!$A$4:$A$810&lt;=$J167)),'Match Log'!$N$4:$N$810),NA()))</f>
        <v>#N/A</v>
      </c>
      <c r="L167" t="e">
        <f>IF($J167&gt;MAX('Match Log'!$A$4:$A$810),NA(),IFERROR(LOOKUP(2,1/(('Match Log'!$D$4:$D$810=$L$24)*('Match Log'!$A$4:$A$810&lt;=$J167)),'Match Log'!$N$4:$N$810),NA()))</f>
        <v>#N/A</v>
      </c>
      <c r="M167" t="e">
        <f>IF($J167&gt;MAX('Match Log'!$A$4:$A$810),NA(),IFERROR(LOOKUP(2,1/(('Match Log'!$D$4:$D$810=$M$24)*('Match Log'!$A$4:$A$810&lt;=$J167)),'Match Log'!$N$4:$N$810),NA()))</f>
        <v>#N/A</v>
      </c>
      <c r="N167" t="e">
        <f>IF($J167&gt;MAX('Match Log'!$A$4:$A$810),NA(),IFERROR(LOOKUP(2,1/(('Match Log'!$D$4:$D$810=$N$24)*('Match Log'!$A$4:$A$810&lt;=$J167)),'Match Log'!$N$4:$N$810),NA()))</f>
        <v>#N/A</v>
      </c>
      <c r="O167" t="e">
        <f>IF($J167&gt;MAX('Match Log'!$A$4:$A$810),NA(),IFERROR(LOOKUP(2,1/(('Match Log'!$D$4:$D$810=$O$24)*('Match Log'!$A$4:$A$810&lt;=$J167)),'Match Log'!$N$4:$N$810),NA()))</f>
        <v>#N/A</v>
      </c>
      <c r="P167" t="e">
        <f>IF($J167&gt;MAX('Match Log'!$A$4:$A$810),NA(),IFERROR(LOOKUP(2,1/(('Match Log'!$D$4:$D$810=$P$24)*('Match Log'!$A$4:$A$810&lt;=$J167)),'Match Log'!$N$4:$N$810),NA()))</f>
        <v>#N/A</v>
      </c>
      <c r="Q167" t="e">
        <f>IF($J167&gt;MAX('Match Log'!$A$4:$A$810),NA(),IFERROR(LOOKUP(2,1/(('Match Log'!$D$4:$D$810=$Q$24)*('Match Log'!$A$4:$A$810&lt;=$J167)),'Match Log'!$N$4:$N$810),NA()))</f>
        <v>#N/A</v>
      </c>
      <c r="R167" t="e">
        <f>IF($J167&gt;MAX('Match Log'!$A$4:$A$810),NA(),IFERROR(LOOKUP(2,1/(('Match Log'!$D$4:$D$810=$R$24)*('Match Log'!$A$4:$A$810&lt;=$J167)),'Match Log'!$N$4:$N$810),NA()))</f>
        <v>#N/A</v>
      </c>
      <c r="S167" t="e">
        <f>IF($J167&gt;MAX('Match Log'!$A$4:$A$810),NA(),IFERROR(LOOKUP(2,1/(('Match Log'!$D$4:$D$810=$S$24)*('Match Log'!$A$4:$A$810&lt;=$J167)),'Match Log'!$N$4:$N$810),NA()))</f>
        <v>#N/A</v>
      </c>
      <c r="T167" t="e">
        <f>IF($J167&gt;MAX('Match Log'!$A$4:$A$810),NA(),IFERROR(LOOKUP(2,1/(('Match Log'!$D$4:$D$810=$T$24)*('Match Log'!$A$4:$A$810&lt;=$J167)),'Match Log'!$N$4:$N$810),NA()))</f>
        <v>#N/A</v>
      </c>
      <c r="U167" t="e">
        <f>IF($J167&gt;MAX('Match Log'!$A$4:$A$810),NA(),IFERROR(LOOKUP(2,1/(('Match Log'!$D$4:$D$810=$U$24)*('Match Log'!$A$4:$A$810&lt;=$J167)),'Match Log'!$N$4:$N$810),NA()))</f>
        <v>#N/A</v>
      </c>
      <c r="V167" t="e">
        <f>IF($J167&gt;MAX('Match Log'!$A$4:$A$810),NA(),IFERROR(LOOKUP(2,1/(('Match Log'!$D$4:$D$810=$V$24)*('Match Log'!$A$4:$A$810&lt;=$J167)),'Match Log'!$N$4:$N$810),NA()))</f>
        <v>#N/A</v>
      </c>
      <c r="W167" t="e">
        <f>IF($J167&gt;MAX('Match Log'!$A$4:$A$810),NA(),IFERROR(LOOKUP(2,1/(('Match Log'!$D$4:$D$810=$W$24)*('Match Log'!$A$4:$A$810&lt;=$J167)),'Match Log'!$N$4:$N$810),NA()))</f>
        <v>#N/A</v>
      </c>
      <c r="X167" t="e">
        <f>IF($J167&gt;MAX('Match Log'!$A$4:$A$810),NA(),IFERROR(LOOKUP(2,1/(('Match Log'!$D$4:$D$810=$X$24)*('Match Log'!$A$4:$A$810&lt;=$J167)),'Match Log'!$N$4:$N$810),NA()))</f>
        <v>#N/A</v>
      </c>
      <c r="Y167" t="str">
        <f t="shared" ca="1" si="30"/>
        <v/>
      </c>
    </row>
    <row r="168" spans="1:25" x14ac:dyDescent="0.2">
      <c r="A168">
        <v>144</v>
      </c>
      <c r="B168" t="str">
        <f>IFERROR(INDEX('Match Log'!$B$4:$B$810,MATCH(144,'Match Log'!$A$4:$A$810,0)),"")</f>
        <v/>
      </c>
      <c r="C168" t="str">
        <f>IFERROR(INDEX('Match Log'!$C$4:$C$810,MATCH(144,'Match Log'!$A$4:$A$810,0)),"")</f>
        <v/>
      </c>
      <c r="D168" t="str">
        <f t="array" ref="D168">IFERROR(_xlfn.TEXTJOIN(" + ",TRUE,IF(('Match Log'!$A$4:$A$810=$A168)*('Match Log'!$E$4:$E$810="Win"),'Match Log'!$D$4:$D$810,"")),IFERROR(LOOKUP(2,1/(('Match Log'!$A$4:$A$810=$A168)*('Match Log'!$E$4:$E$810="Win")),'Match Log'!$D$4:$D$810),""))</f>
        <v/>
      </c>
      <c r="E168" t="str">
        <f>IFERROR(INDEX('Match Log'!$F$4:$F$810,MATCH(144,'Match Log'!$A$4:$A$810,0)),"")</f>
        <v/>
      </c>
      <c r="F168">
        <f>IFERROR(SUMIFS('Match Log'!$I$4:$I$810,'Match Log'!$A$4:$A$810,144,'Match Log'!$E$4:$E$810,"Win"),"")</f>
        <v>0</v>
      </c>
      <c r="G168" t="str">
        <f t="shared" si="28"/>
        <v/>
      </c>
      <c r="H168" t="str">
        <f t="array" ref="H168">IFERROR(IF(COUNTIFS('Match Log'!$A$4:$A$810,$A168,'Match Log'!$E$4:$E$810,"Win")&gt;1,_xlfn.TEXTJOIN(" + ",TRUE,IF(('Match Log'!$A$4:$A$810=$A168)*('Match Log'!$E$4:$E$810="Loss"),'Match Log'!$D$4:$D$810,"")),IF($E168=2,LOOKUP(2,1/(('Match Log'!$A$4:$A$810=$A168)*('Match Log'!$E$4:$E$810="Loss")),'Match Log'!$D$4:$D$810),"the field")),"")</f>
        <v>the field</v>
      </c>
      <c r="I168" t="str">
        <f t="shared" si="29"/>
        <v/>
      </c>
      <c r="J168">
        <v>144</v>
      </c>
      <c r="K168" t="e">
        <f>IF($J168&gt;MAX('Match Log'!$A$4:$A$810),NA(),IFERROR(LOOKUP(2,1/(('Match Log'!$D$4:$D$810=$K$24)*('Match Log'!$A$4:$A$810&lt;=$J168)),'Match Log'!$N$4:$N$810),NA()))</f>
        <v>#N/A</v>
      </c>
      <c r="L168" t="e">
        <f>IF($J168&gt;MAX('Match Log'!$A$4:$A$810),NA(),IFERROR(LOOKUP(2,1/(('Match Log'!$D$4:$D$810=$L$24)*('Match Log'!$A$4:$A$810&lt;=$J168)),'Match Log'!$N$4:$N$810),NA()))</f>
        <v>#N/A</v>
      </c>
      <c r="M168" t="e">
        <f>IF($J168&gt;MAX('Match Log'!$A$4:$A$810),NA(),IFERROR(LOOKUP(2,1/(('Match Log'!$D$4:$D$810=$M$24)*('Match Log'!$A$4:$A$810&lt;=$J168)),'Match Log'!$N$4:$N$810),NA()))</f>
        <v>#N/A</v>
      </c>
      <c r="N168" t="e">
        <f>IF($J168&gt;MAX('Match Log'!$A$4:$A$810),NA(),IFERROR(LOOKUP(2,1/(('Match Log'!$D$4:$D$810=$N$24)*('Match Log'!$A$4:$A$810&lt;=$J168)),'Match Log'!$N$4:$N$810),NA()))</f>
        <v>#N/A</v>
      </c>
      <c r="O168" t="e">
        <f>IF($J168&gt;MAX('Match Log'!$A$4:$A$810),NA(),IFERROR(LOOKUP(2,1/(('Match Log'!$D$4:$D$810=$O$24)*('Match Log'!$A$4:$A$810&lt;=$J168)),'Match Log'!$N$4:$N$810),NA()))</f>
        <v>#N/A</v>
      </c>
      <c r="P168" t="e">
        <f>IF($J168&gt;MAX('Match Log'!$A$4:$A$810),NA(),IFERROR(LOOKUP(2,1/(('Match Log'!$D$4:$D$810=$P$24)*('Match Log'!$A$4:$A$810&lt;=$J168)),'Match Log'!$N$4:$N$810),NA()))</f>
        <v>#N/A</v>
      </c>
      <c r="Q168" t="e">
        <f>IF($J168&gt;MAX('Match Log'!$A$4:$A$810),NA(),IFERROR(LOOKUP(2,1/(('Match Log'!$D$4:$D$810=$Q$24)*('Match Log'!$A$4:$A$810&lt;=$J168)),'Match Log'!$N$4:$N$810),NA()))</f>
        <v>#N/A</v>
      </c>
      <c r="R168" t="e">
        <f>IF($J168&gt;MAX('Match Log'!$A$4:$A$810),NA(),IFERROR(LOOKUP(2,1/(('Match Log'!$D$4:$D$810=$R$24)*('Match Log'!$A$4:$A$810&lt;=$J168)),'Match Log'!$N$4:$N$810),NA()))</f>
        <v>#N/A</v>
      </c>
      <c r="S168" t="e">
        <f>IF($J168&gt;MAX('Match Log'!$A$4:$A$810),NA(),IFERROR(LOOKUP(2,1/(('Match Log'!$D$4:$D$810=$S$24)*('Match Log'!$A$4:$A$810&lt;=$J168)),'Match Log'!$N$4:$N$810),NA()))</f>
        <v>#N/A</v>
      </c>
      <c r="T168" t="e">
        <f>IF($J168&gt;MAX('Match Log'!$A$4:$A$810),NA(),IFERROR(LOOKUP(2,1/(('Match Log'!$D$4:$D$810=$T$24)*('Match Log'!$A$4:$A$810&lt;=$J168)),'Match Log'!$N$4:$N$810),NA()))</f>
        <v>#N/A</v>
      </c>
      <c r="U168" t="e">
        <f>IF($J168&gt;MAX('Match Log'!$A$4:$A$810),NA(),IFERROR(LOOKUP(2,1/(('Match Log'!$D$4:$D$810=$U$24)*('Match Log'!$A$4:$A$810&lt;=$J168)),'Match Log'!$N$4:$N$810),NA()))</f>
        <v>#N/A</v>
      </c>
      <c r="V168" t="e">
        <f>IF($J168&gt;MAX('Match Log'!$A$4:$A$810),NA(),IFERROR(LOOKUP(2,1/(('Match Log'!$D$4:$D$810=$V$24)*('Match Log'!$A$4:$A$810&lt;=$J168)),'Match Log'!$N$4:$N$810),NA()))</f>
        <v>#N/A</v>
      </c>
      <c r="W168" t="e">
        <f>IF($J168&gt;MAX('Match Log'!$A$4:$A$810),NA(),IFERROR(LOOKUP(2,1/(('Match Log'!$D$4:$D$810=$W$24)*('Match Log'!$A$4:$A$810&lt;=$J168)),'Match Log'!$N$4:$N$810),NA()))</f>
        <v>#N/A</v>
      </c>
      <c r="X168" t="e">
        <f>IF($J168&gt;MAX('Match Log'!$A$4:$A$810),NA(),IFERROR(LOOKUP(2,1/(('Match Log'!$D$4:$D$810=$X$24)*('Match Log'!$A$4:$A$810&lt;=$J168)),'Match Log'!$N$4:$N$810),NA()))</f>
        <v>#N/A</v>
      </c>
      <c r="Y168" t="str">
        <f t="shared" ca="1" si="30"/>
        <v/>
      </c>
    </row>
    <row r="169" spans="1:25" x14ac:dyDescent="0.2">
      <c r="A169">
        <v>145</v>
      </c>
      <c r="B169" t="str">
        <f>IFERROR(INDEX('Match Log'!$B$4:$B$810,MATCH(145,'Match Log'!$A$4:$A$810,0)),"")</f>
        <v/>
      </c>
      <c r="C169" t="str">
        <f>IFERROR(INDEX('Match Log'!$C$4:$C$810,MATCH(145,'Match Log'!$A$4:$A$810,0)),"")</f>
        <v/>
      </c>
      <c r="D169" t="str">
        <f t="array" ref="D169">IFERROR(_xlfn.TEXTJOIN(" + ",TRUE,IF(('Match Log'!$A$4:$A$810=$A169)*('Match Log'!$E$4:$E$810="Win"),'Match Log'!$D$4:$D$810,"")),IFERROR(LOOKUP(2,1/(('Match Log'!$A$4:$A$810=$A169)*('Match Log'!$E$4:$E$810="Win")),'Match Log'!$D$4:$D$810),""))</f>
        <v/>
      </c>
      <c r="E169" t="str">
        <f>IFERROR(INDEX('Match Log'!$F$4:$F$810,MATCH(145,'Match Log'!$A$4:$A$810,0)),"")</f>
        <v/>
      </c>
      <c r="F169">
        <f>IFERROR(SUMIFS('Match Log'!$I$4:$I$810,'Match Log'!$A$4:$A$810,145,'Match Log'!$E$4:$E$810,"Win"),"")</f>
        <v>0</v>
      </c>
      <c r="G169" t="str">
        <f t="shared" si="28"/>
        <v/>
      </c>
      <c r="H169" t="str">
        <f t="array" ref="H169">IFERROR(IF(COUNTIFS('Match Log'!$A$4:$A$810,$A169,'Match Log'!$E$4:$E$810,"Win")&gt;1,_xlfn.TEXTJOIN(" + ",TRUE,IF(('Match Log'!$A$4:$A$810=$A169)*('Match Log'!$E$4:$E$810="Loss"),'Match Log'!$D$4:$D$810,"")),IF($E169=2,LOOKUP(2,1/(('Match Log'!$A$4:$A$810=$A169)*('Match Log'!$E$4:$E$810="Loss")),'Match Log'!$D$4:$D$810),"the field")),"")</f>
        <v>the field</v>
      </c>
      <c r="I169" t="str">
        <f t="shared" si="29"/>
        <v/>
      </c>
      <c r="J169">
        <v>145</v>
      </c>
      <c r="K169" t="e">
        <f>IF($J169&gt;MAX('Match Log'!$A$4:$A$810),NA(),IFERROR(LOOKUP(2,1/(('Match Log'!$D$4:$D$810=$K$24)*('Match Log'!$A$4:$A$810&lt;=$J169)),'Match Log'!$N$4:$N$810),NA()))</f>
        <v>#N/A</v>
      </c>
      <c r="L169" t="e">
        <f>IF($J169&gt;MAX('Match Log'!$A$4:$A$810),NA(),IFERROR(LOOKUP(2,1/(('Match Log'!$D$4:$D$810=$L$24)*('Match Log'!$A$4:$A$810&lt;=$J169)),'Match Log'!$N$4:$N$810),NA()))</f>
        <v>#N/A</v>
      </c>
      <c r="M169" t="e">
        <f>IF($J169&gt;MAX('Match Log'!$A$4:$A$810),NA(),IFERROR(LOOKUP(2,1/(('Match Log'!$D$4:$D$810=$M$24)*('Match Log'!$A$4:$A$810&lt;=$J169)),'Match Log'!$N$4:$N$810),NA()))</f>
        <v>#N/A</v>
      </c>
      <c r="N169" t="e">
        <f>IF($J169&gt;MAX('Match Log'!$A$4:$A$810),NA(),IFERROR(LOOKUP(2,1/(('Match Log'!$D$4:$D$810=$N$24)*('Match Log'!$A$4:$A$810&lt;=$J169)),'Match Log'!$N$4:$N$810),NA()))</f>
        <v>#N/A</v>
      </c>
      <c r="O169" t="e">
        <f>IF($J169&gt;MAX('Match Log'!$A$4:$A$810),NA(),IFERROR(LOOKUP(2,1/(('Match Log'!$D$4:$D$810=$O$24)*('Match Log'!$A$4:$A$810&lt;=$J169)),'Match Log'!$N$4:$N$810),NA()))</f>
        <v>#N/A</v>
      </c>
      <c r="P169" t="e">
        <f>IF($J169&gt;MAX('Match Log'!$A$4:$A$810),NA(),IFERROR(LOOKUP(2,1/(('Match Log'!$D$4:$D$810=$P$24)*('Match Log'!$A$4:$A$810&lt;=$J169)),'Match Log'!$N$4:$N$810),NA()))</f>
        <v>#N/A</v>
      </c>
      <c r="Q169" t="e">
        <f>IF($J169&gt;MAX('Match Log'!$A$4:$A$810),NA(),IFERROR(LOOKUP(2,1/(('Match Log'!$D$4:$D$810=$Q$24)*('Match Log'!$A$4:$A$810&lt;=$J169)),'Match Log'!$N$4:$N$810),NA()))</f>
        <v>#N/A</v>
      </c>
      <c r="R169" t="e">
        <f>IF($J169&gt;MAX('Match Log'!$A$4:$A$810),NA(),IFERROR(LOOKUP(2,1/(('Match Log'!$D$4:$D$810=$R$24)*('Match Log'!$A$4:$A$810&lt;=$J169)),'Match Log'!$N$4:$N$810),NA()))</f>
        <v>#N/A</v>
      </c>
      <c r="S169" t="e">
        <f>IF($J169&gt;MAX('Match Log'!$A$4:$A$810),NA(),IFERROR(LOOKUP(2,1/(('Match Log'!$D$4:$D$810=$S$24)*('Match Log'!$A$4:$A$810&lt;=$J169)),'Match Log'!$N$4:$N$810),NA()))</f>
        <v>#N/A</v>
      </c>
      <c r="T169" t="e">
        <f>IF($J169&gt;MAX('Match Log'!$A$4:$A$810),NA(),IFERROR(LOOKUP(2,1/(('Match Log'!$D$4:$D$810=$T$24)*('Match Log'!$A$4:$A$810&lt;=$J169)),'Match Log'!$N$4:$N$810),NA()))</f>
        <v>#N/A</v>
      </c>
      <c r="U169" t="e">
        <f>IF($J169&gt;MAX('Match Log'!$A$4:$A$810),NA(),IFERROR(LOOKUP(2,1/(('Match Log'!$D$4:$D$810=$U$24)*('Match Log'!$A$4:$A$810&lt;=$J169)),'Match Log'!$N$4:$N$810),NA()))</f>
        <v>#N/A</v>
      </c>
      <c r="V169" t="e">
        <f>IF($J169&gt;MAX('Match Log'!$A$4:$A$810),NA(),IFERROR(LOOKUP(2,1/(('Match Log'!$D$4:$D$810=$V$24)*('Match Log'!$A$4:$A$810&lt;=$J169)),'Match Log'!$N$4:$N$810),NA()))</f>
        <v>#N/A</v>
      </c>
      <c r="W169" t="e">
        <f>IF($J169&gt;MAX('Match Log'!$A$4:$A$810),NA(),IFERROR(LOOKUP(2,1/(('Match Log'!$D$4:$D$810=$W$24)*('Match Log'!$A$4:$A$810&lt;=$J169)),'Match Log'!$N$4:$N$810),NA()))</f>
        <v>#N/A</v>
      </c>
      <c r="X169" t="e">
        <f>IF($J169&gt;MAX('Match Log'!$A$4:$A$810),NA(),IFERROR(LOOKUP(2,1/(('Match Log'!$D$4:$D$810=$X$24)*('Match Log'!$A$4:$A$810&lt;=$J169)),'Match Log'!$N$4:$N$810),NA()))</f>
        <v>#N/A</v>
      </c>
      <c r="Y169" t="str">
        <f t="shared" ca="1" si="30"/>
        <v/>
      </c>
    </row>
    <row r="170" spans="1:25" x14ac:dyDescent="0.2">
      <c r="A170">
        <v>146</v>
      </c>
      <c r="B170" t="str">
        <f>IFERROR(INDEX('Match Log'!$B$4:$B$810,MATCH(146,'Match Log'!$A$4:$A$810,0)),"")</f>
        <v/>
      </c>
      <c r="C170" t="str">
        <f>IFERROR(INDEX('Match Log'!$C$4:$C$810,MATCH(146,'Match Log'!$A$4:$A$810,0)),"")</f>
        <v/>
      </c>
      <c r="D170" t="str">
        <f t="array" ref="D170">IFERROR(_xlfn.TEXTJOIN(" + ",TRUE,IF(('Match Log'!$A$4:$A$810=$A170)*('Match Log'!$E$4:$E$810="Win"),'Match Log'!$D$4:$D$810,"")),IFERROR(LOOKUP(2,1/(('Match Log'!$A$4:$A$810=$A170)*('Match Log'!$E$4:$E$810="Win")),'Match Log'!$D$4:$D$810),""))</f>
        <v/>
      </c>
      <c r="E170" t="str">
        <f>IFERROR(INDEX('Match Log'!$F$4:$F$810,MATCH(146,'Match Log'!$A$4:$A$810,0)),"")</f>
        <v/>
      </c>
      <c r="F170">
        <f>IFERROR(SUMIFS('Match Log'!$I$4:$I$810,'Match Log'!$A$4:$A$810,146,'Match Log'!$E$4:$E$810,"Win"),"")</f>
        <v>0</v>
      </c>
      <c r="G170" t="str">
        <f t="shared" si="28"/>
        <v/>
      </c>
      <c r="H170" t="str">
        <f t="array" ref="H170">IFERROR(IF(COUNTIFS('Match Log'!$A$4:$A$810,$A170,'Match Log'!$E$4:$E$810,"Win")&gt;1,_xlfn.TEXTJOIN(" + ",TRUE,IF(('Match Log'!$A$4:$A$810=$A170)*('Match Log'!$E$4:$E$810="Loss"),'Match Log'!$D$4:$D$810,"")),IF($E170=2,LOOKUP(2,1/(('Match Log'!$A$4:$A$810=$A170)*('Match Log'!$E$4:$E$810="Loss")),'Match Log'!$D$4:$D$810),"the field")),"")</f>
        <v>the field</v>
      </c>
      <c r="I170" t="str">
        <f t="shared" si="29"/>
        <v/>
      </c>
      <c r="J170">
        <v>146</v>
      </c>
      <c r="K170" t="e">
        <f>IF($J170&gt;MAX('Match Log'!$A$4:$A$810),NA(),IFERROR(LOOKUP(2,1/(('Match Log'!$D$4:$D$810=$K$24)*('Match Log'!$A$4:$A$810&lt;=$J170)),'Match Log'!$N$4:$N$810),NA()))</f>
        <v>#N/A</v>
      </c>
      <c r="L170" t="e">
        <f>IF($J170&gt;MAX('Match Log'!$A$4:$A$810),NA(),IFERROR(LOOKUP(2,1/(('Match Log'!$D$4:$D$810=$L$24)*('Match Log'!$A$4:$A$810&lt;=$J170)),'Match Log'!$N$4:$N$810),NA()))</f>
        <v>#N/A</v>
      </c>
      <c r="M170" t="e">
        <f>IF($J170&gt;MAX('Match Log'!$A$4:$A$810),NA(),IFERROR(LOOKUP(2,1/(('Match Log'!$D$4:$D$810=$M$24)*('Match Log'!$A$4:$A$810&lt;=$J170)),'Match Log'!$N$4:$N$810),NA()))</f>
        <v>#N/A</v>
      </c>
      <c r="N170" t="e">
        <f>IF($J170&gt;MAX('Match Log'!$A$4:$A$810),NA(),IFERROR(LOOKUP(2,1/(('Match Log'!$D$4:$D$810=$N$24)*('Match Log'!$A$4:$A$810&lt;=$J170)),'Match Log'!$N$4:$N$810),NA()))</f>
        <v>#N/A</v>
      </c>
      <c r="O170" t="e">
        <f>IF($J170&gt;MAX('Match Log'!$A$4:$A$810),NA(),IFERROR(LOOKUP(2,1/(('Match Log'!$D$4:$D$810=$O$24)*('Match Log'!$A$4:$A$810&lt;=$J170)),'Match Log'!$N$4:$N$810),NA()))</f>
        <v>#N/A</v>
      </c>
      <c r="P170" t="e">
        <f>IF($J170&gt;MAX('Match Log'!$A$4:$A$810),NA(),IFERROR(LOOKUP(2,1/(('Match Log'!$D$4:$D$810=$P$24)*('Match Log'!$A$4:$A$810&lt;=$J170)),'Match Log'!$N$4:$N$810),NA()))</f>
        <v>#N/A</v>
      </c>
      <c r="Q170" t="e">
        <f>IF($J170&gt;MAX('Match Log'!$A$4:$A$810),NA(),IFERROR(LOOKUP(2,1/(('Match Log'!$D$4:$D$810=$Q$24)*('Match Log'!$A$4:$A$810&lt;=$J170)),'Match Log'!$N$4:$N$810),NA()))</f>
        <v>#N/A</v>
      </c>
      <c r="R170" t="e">
        <f>IF($J170&gt;MAX('Match Log'!$A$4:$A$810),NA(),IFERROR(LOOKUP(2,1/(('Match Log'!$D$4:$D$810=$R$24)*('Match Log'!$A$4:$A$810&lt;=$J170)),'Match Log'!$N$4:$N$810),NA()))</f>
        <v>#N/A</v>
      </c>
      <c r="S170" t="e">
        <f>IF($J170&gt;MAX('Match Log'!$A$4:$A$810),NA(),IFERROR(LOOKUP(2,1/(('Match Log'!$D$4:$D$810=$S$24)*('Match Log'!$A$4:$A$810&lt;=$J170)),'Match Log'!$N$4:$N$810),NA()))</f>
        <v>#N/A</v>
      </c>
      <c r="T170" t="e">
        <f>IF($J170&gt;MAX('Match Log'!$A$4:$A$810),NA(),IFERROR(LOOKUP(2,1/(('Match Log'!$D$4:$D$810=$T$24)*('Match Log'!$A$4:$A$810&lt;=$J170)),'Match Log'!$N$4:$N$810),NA()))</f>
        <v>#N/A</v>
      </c>
      <c r="U170" t="e">
        <f>IF($J170&gt;MAX('Match Log'!$A$4:$A$810),NA(),IFERROR(LOOKUP(2,1/(('Match Log'!$D$4:$D$810=$U$24)*('Match Log'!$A$4:$A$810&lt;=$J170)),'Match Log'!$N$4:$N$810),NA()))</f>
        <v>#N/A</v>
      </c>
      <c r="V170" t="e">
        <f>IF($J170&gt;MAX('Match Log'!$A$4:$A$810),NA(),IFERROR(LOOKUP(2,1/(('Match Log'!$D$4:$D$810=$V$24)*('Match Log'!$A$4:$A$810&lt;=$J170)),'Match Log'!$N$4:$N$810),NA()))</f>
        <v>#N/A</v>
      </c>
      <c r="W170" t="e">
        <f>IF($J170&gt;MAX('Match Log'!$A$4:$A$810),NA(),IFERROR(LOOKUP(2,1/(('Match Log'!$D$4:$D$810=$W$24)*('Match Log'!$A$4:$A$810&lt;=$J170)),'Match Log'!$N$4:$N$810),NA()))</f>
        <v>#N/A</v>
      </c>
      <c r="X170" t="e">
        <f>IF($J170&gt;MAX('Match Log'!$A$4:$A$810),NA(),IFERROR(LOOKUP(2,1/(('Match Log'!$D$4:$D$810=$X$24)*('Match Log'!$A$4:$A$810&lt;=$J170)),'Match Log'!$N$4:$N$810),NA()))</f>
        <v>#N/A</v>
      </c>
      <c r="Y170" t="str">
        <f t="shared" ca="1" si="30"/>
        <v/>
      </c>
    </row>
    <row r="171" spans="1:25" x14ac:dyDescent="0.2">
      <c r="A171">
        <v>147</v>
      </c>
      <c r="B171" t="str">
        <f>IFERROR(INDEX('Match Log'!$B$4:$B$810,MATCH(147,'Match Log'!$A$4:$A$810,0)),"")</f>
        <v/>
      </c>
      <c r="C171" t="str">
        <f>IFERROR(INDEX('Match Log'!$C$4:$C$810,MATCH(147,'Match Log'!$A$4:$A$810,0)),"")</f>
        <v/>
      </c>
      <c r="D171" t="str">
        <f t="array" ref="D171">IFERROR(_xlfn.TEXTJOIN(" + ",TRUE,IF(('Match Log'!$A$4:$A$810=$A171)*('Match Log'!$E$4:$E$810="Win"),'Match Log'!$D$4:$D$810,"")),IFERROR(LOOKUP(2,1/(('Match Log'!$A$4:$A$810=$A171)*('Match Log'!$E$4:$E$810="Win")),'Match Log'!$D$4:$D$810),""))</f>
        <v/>
      </c>
      <c r="E171" t="str">
        <f>IFERROR(INDEX('Match Log'!$F$4:$F$810,MATCH(147,'Match Log'!$A$4:$A$810,0)),"")</f>
        <v/>
      </c>
      <c r="F171">
        <f>IFERROR(SUMIFS('Match Log'!$I$4:$I$810,'Match Log'!$A$4:$A$810,147,'Match Log'!$E$4:$E$810,"Win"),"")</f>
        <v>0</v>
      </c>
      <c r="G171" t="str">
        <f t="shared" si="28"/>
        <v/>
      </c>
      <c r="H171" t="str">
        <f t="array" ref="H171">IFERROR(IF(COUNTIFS('Match Log'!$A$4:$A$810,$A171,'Match Log'!$E$4:$E$810,"Win")&gt;1,_xlfn.TEXTJOIN(" + ",TRUE,IF(('Match Log'!$A$4:$A$810=$A171)*('Match Log'!$E$4:$E$810="Loss"),'Match Log'!$D$4:$D$810,"")),IF($E171=2,LOOKUP(2,1/(('Match Log'!$A$4:$A$810=$A171)*('Match Log'!$E$4:$E$810="Loss")),'Match Log'!$D$4:$D$810),"the field")),"")</f>
        <v>the field</v>
      </c>
      <c r="I171" t="str">
        <f t="shared" si="29"/>
        <v/>
      </c>
      <c r="J171">
        <v>147</v>
      </c>
      <c r="K171" t="e">
        <f>IF($J171&gt;MAX('Match Log'!$A$4:$A$810),NA(),IFERROR(LOOKUP(2,1/(('Match Log'!$D$4:$D$810=$K$24)*('Match Log'!$A$4:$A$810&lt;=$J171)),'Match Log'!$N$4:$N$810),NA()))</f>
        <v>#N/A</v>
      </c>
      <c r="L171" t="e">
        <f>IF($J171&gt;MAX('Match Log'!$A$4:$A$810),NA(),IFERROR(LOOKUP(2,1/(('Match Log'!$D$4:$D$810=$L$24)*('Match Log'!$A$4:$A$810&lt;=$J171)),'Match Log'!$N$4:$N$810),NA()))</f>
        <v>#N/A</v>
      </c>
      <c r="M171" t="e">
        <f>IF($J171&gt;MAX('Match Log'!$A$4:$A$810),NA(),IFERROR(LOOKUP(2,1/(('Match Log'!$D$4:$D$810=$M$24)*('Match Log'!$A$4:$A$810&lt;=$J171)),'Match Log'!$N$4:$N$810),NA()))</f>
        <v>#N/A</v>
      </c>
      <c r="N171" t="e">
        <f>IF($J171&gt;MAX('Match Log'!$A$4:$A$810),NA(),IFERROR(LOOKUP(2,1/(('Match Log'!$D$4:$D$810=$N$24)*('Match Log'!$A$4:$A$810&lt;=$J171)),'Match Log'!$N$4:$N$810),NA()))</f>
        <v>#N/A</v>
      </c>
      <c r="O171" t="e">
        <f>IF($J171&gt;MAX('Match Log'!$A$4:$A$810),NA(),IFERROR(LOOKUP(2,1/(('Match Log'!$D$4:$D$810=$O$24)*('Match Log'!$A$4:$A$810&lt;=$J171)),'Match Log'!$N$4:$N$810),NA()))</f>
        <v>#N/A</v>
      </c>
      <c r="P171" t="e">
        <f>IF($J171&gt;MAX('Match Log'!$A$4:$A$810),NA(),IFERROR(LOOKUP(2,1/(('Match Log'!$D$4:$D$810=$P$24)*('Match Log'!$A$4:$A$810&lt;=$J171)),'Match Log'!$N$4:$N$810),NA()))</f>
        <v>#N/A</v>
      </c>
      <c r="Q171" t="e">
        <f>IF($J171&gt;MAX('Match Log'!$A$4:$A$810),NA(),IFERROR(LOOKUP(2,1/(('Match Log'!$D$4:$D$810=$Q$24)*('Match Log'!$A$4:$A$810&lt;=$J171)),'Match Log'!$N$4:$N$810),NA()))</f>
        <v>#N/A</v>
      </c>
      <c r="R171" t="e">
        <f>IF($J171&gt;MAX('Match Log'!$A$4:$A$810),NA(),IFERROR(LOOKUP(2,1/(('Match Log'!$D$4:$D$810=$R$24)*('Match Log'!$A$4:$A$810&lt;=$J171)),'Match Log'!$N$4:$N$810),NA()))</f>
        <v>#N/A</v>
      </c>
      <c r="S171" t="e">
        <f>IF($J171&gt;MAX('Match Log'!$A$4:$A$810),NA(),IFERROR(LOOKUP(2,1/(('Match Log'!$D$4:$D$810=$S$24)*('Match Log'!$A$4:$A$810&lt;=$J171)),'Match Log'!$N$4:$N$810),NA()))</f>
        <v>#N/A</v>
      </c>
      <c r="T171" t="e">
        <f>IF($J171&gt;MAX('Match Log'!$A$4:$A$810),NA(),IFERROR(LOOKUP(2,1/(('Match Log'!$D$4:$D$810=$T$24)*('Match Log'!$A$4:$A$810&lt;=$J171)),'Match Log'!$N$4:$N$810),NA()))</f>
        <v>#N/A</v>
      </c>
      <c r="U171" t="e">
        <f>IF($J171&gt;MAX('Match Log'!$A$4:$A$810),NA(),IFERROR(LOOKUP(2,1/(('Match Log'!$D$4:$D$810=$U$24)*('Match Log'!$A$4:$A$810&lt;=$J171)),'Match Log'!$N$4:$N$810),NA()))</f>
        <v>#N/A</v>
      </c>
      <c r="V171" t="e">
        <f>IF($J171&gt;MAX('Match Log'!$A$4:$A$810),NA(),IFERROR(LOOKUP(2,1/(('Match Log'!$D$4:$D$810=$V$24)*('Match Log'!$A$4:$A$810&lt;=$J171)),'Match Log'!$N$4:$N$810),NA()))</f>
        <v>#N/A</v>
      </c>
      <c r="W171" t="e">
        <f>IF($J171&gt;MAX('Match Log'!$A$4:$A$810),NA(),IFERROR(LOOKUP(2,1/(('Match Log'!$D$4:$D$810=$W$24)*('Match Log'!$A$4:$A$810&lt;=$J171)),'Match Log'!$N$4:$N$810),NA()))</f>
        <v>#N/A</v>
      </c>
      <c r="X171" t="e">
        <f>IF($J171&gt;MAX('Match Log'!$A$4:$A$810),NA(),IFERROR(LOOKUP(2,1/(('Match Log'!$D$4:$D$810=$X$24)*('Match Log'!$A$4:$A$810&lt;=$J171)),'Match Log'!$N$4:$N$810),NA()))</f>
        <v>#N/A</v>
      </c>
      <c r="Y171" t="str">
        <f t="shared" ca="1" si="30"/>
        <v/>
      </c>
    </row>
    <row r="172" spans="1:25" x14ac:dyDescent="0.2">
      <c r="A172">
        <v>148</v>
      </c>
      <c r="B172" t="str">
        <f>IFERROR(INDEX('Match Log'!$B$4:$B$810,MATCH(148,'Match Log'!$A$4:$A$810,0)),"")</f>
        <v/>
      </c>
      <c r="C172" t="str">
        <f>IFERROR(INDEX('Match Log'!$C$4:$C$810,MATCH(148,'Match Log'!$A$4:$A$810,0)),"")</f>
        <v/>
      </c>
      <c r="D172" t="str">
        <f t="array" ref="D172">IFERROR(_xlfn.TEXTJOIN(" + ",TRUE,IF(('Match Log'!$A$4:$A$810=$A172)*('Match Log'!$E$4:$E$810="Win"),'Match Log'!$D$4:$D$810,"")),IFERROR(LOOKUP(2,1/(('Match Log'!$A$4:$A$810=$A172)*('Match Log'!$E$4:$E$810="Win")),'Match Log'!$D$4:$D$810),""))</f>
        <v/>
      </c>
      <c r="E172" t="str">
        <f>IFERROR(INDEX('Match Log'!$F$4:$F$810,MATCH(148,'Match Log'!$A$4:$A$810,0)),"")</f>
        <v/>
      </c>
      <c r="F172">
        <f>IFERROR(SUMIFS('Match Log'!$I$4:$I$810,'Match Log'!$A$4:$A$810,148,'Match Log'!$E$4:$E$810,"Win"),"")</f>
        <v>0</v>
      </c>
      <c r="G172" t="str">
        <f t="shared" si="28"/>
        <v/>
      </c>
      <c r="H172" t="str">
        <f t="array" ref="H172">IFERROR(IF(COUNTIFS('Match Log'!$A$4:$A$810,$A172,'Match Log'!$E$4:$E$810,"Win")&gt;1,_xlfn.TEXTJOIN(" + ",TRUE,IF(('Match Log'!$A$4:$A$810=$A172)*('Match Log'!$E$4:$E$810="Loss"),'Match Log'!$D$4:$D$810,"")),IF($E172=2,LOOKUP(2,1/(('Match Log'!$A$4:$A$810=$A172)*('Match Log'!$E$4:$E$810="Loss")),'Match Log'!$D$4:$D$810),"the field")),"")</f>
        <v>the field</v>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 t="array" ref="D173">IFERROR(_xlfn.TEXTJOIN(" + ",TRUE,IF(('Match Log'!$A$4:$A$810=$A173)*('Match Log'!$E$4:$E$810="Win"),'Match Log'!$D$4:$D$810,"")),IFERROR(LOOKUP(2,1/(('Match Log'!$A$4:$A$810=$A173)*('Match Log'!$E$4:$E$810="Win")),'Match Log'!$D$4:$D$810),""))</f>
        <v/>
      </c>
      <c r="E173" t="str">
        <f>IFERROR(INDEX('Match Log'!$F$4:$F$810,MATCH(149,'Match Log'!$A$4:$A$810,0)),"")</f>
        <v/>
      </c>
      <c r="F173">
        <f>IFERROR(SUMIFS('Match Log'!$I$4:$I$810,'Match Log'!$A$4:$A$810,149,'Match Log'!$E$4:$E$810,"Win"),"")</f>
        <v>0</v>
      </c>
      <c r="G173" t="str">
        <f t="shared" si="28"/>
        <v/>
      </c>
      <c r="H173" t="str">
        <f t="array" ref="H173">IFERROR(IF(COUNTIFS('Match Log'!$A$4:$A$810,$A173,'Match Log'!$E$4:$E$810,"Win")&gt;1,_xlfn.TEXTJOIN(" + ",TRUE,IF(('Match Log'!$A$4:$A$810=$A173)*('Match Log'!$E$4:$E$810="Loss"),'Match Log'!$D$4:$D$810,"")),IF($E173=2,LOOKUP(2,1/(('Match Log'!$A$4:$A$810=$A173)*('Match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 t="array" ref="D174">IFERROR(_xlfn.TEXTJOIN(" + ",TRUE,IF(('Match Log'!$A$4:$A$810=$A174)*('Match Log'!$E$4:$E$810="Win"),'Match Log'!$D$4:$D$810,"")),IFERROR(LOOKUP(2,1/(('Match Log'!$A$4:$A$810=$A174)*('Match Log'!$E$4:$E$810="Win")),'Match Log'!$D$4:$D$810),""))</f>
        <v/>
      </c>
      <c r="E174" t="str">
        <f>IFERROR(INDEX('Match Log'!$F$4:$F$810,MATCH(150,'Match Log'!$A$4:$A$810,0)),"")</f>
        <v/>
      </c>
      <c r="F174">
        <f>IFERROR(SUMIFS('Match Log'!$I$4:$I$810,'Match Log'!$A$4:$A$810,150,'Match Log'!$E$4:$E$810,"Win"),"")</f>
        <v>0</v>
      </c>
      <c r="G174" t="str">
        <f t="shared" si="28"/>
        <v/>
      </c>
      <c r="H174" t="str">
        <f t="array" ref="H174">IFERROR(IF(COUNTIFS('Match Log'!$A$4:$A$810,$A174,'Match Log'!$E$4:$E$810,"Win")&gt;1,_xlfn.TEXTJOIN(" + ",TRUE,IF(('Match Log'!$A$4:$A$810=$A174)*('Match Log'!$E$4:$E$810="Loss"),'Match Log'!$D$4:$D$810,"")),IF($E174=2,LOOKUP(2,1/(('Match Log'!$A$4:$A$810=$A174)*('Match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 t="array" ref="D175">IFERROR(_xlfn.TEXTJOIN(" + ",TRUE,IF(('Match Log'!$A$4:$A$810=$A175)*('Match Log'!$E$4:$E$810="Win"),'Match Log'!$D$4:$D$810,"")),IFERROR(LOOKUP(2,1/(('Match Log'!$A$4:$A$810=$A175)*('Match Log'!$E$4:$E$810="Win")),'Match Log'!$D$4:$D$810),""))</f>
        <v/>
      </c>
      <c r="E175" t="str">
        <f>IFERROR(INDEX('Match Log'!$F$4:$F$810,MATCH(151,'Match Log'!$A$4:$A$810,0)),"")</f>
        <v/>
      </c>
      <c r="F175">
        <f>IFERROR(SUMIFS('Match Log'!$I$4:$I$810,'Match Log'!$A$4:$A$810,151,'Match Log'!$E$4:$E$810,"Win"),"")</f>
        <v>0</v>
      </c>
      <c r="G175" t="str">
        <f t="shared" si="28"/>
        <v/>
      </c>
      <c r="H175" t="str">
        <f t="array" ref="H175">IFERROR(IF(COUNTIFS('Match Log'!$A$4:$A$810,$A175,'Match Log'!$E$4:$E$810,"Win")&gt;1,_xlfn.TEXTJOIN(" + ",TRUE,IF(('Match Log'!$A$4:$A$810=$A175)*('Match Log'!$E$4:$E$810="Loss"),'Match Log'!$D$4:$D$810,"")),IF($E175=2,LOOKUP(2,1/(('Match Log'!$A$4:$A$810=$A175)*('Match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 t="array" ref="D176">IFERROR(_xlfn.TEXTJOIN(" + ",TRUE,IF(('Match Log'!$A$4:$A$810=$A176)*('Match Log'!$E$4:$E$810="Win"),'Match Log'!$D$4:$D$810,"")),IFERROR(LOOKUP(2,1/(('Match Log'!$A$4:$A$810=$A176)*('Match Log'!$E$4:$E$810="Win")),'Match Log'!$D$4:$D$810),""))</f>
        <v/>
      </c>
      <c r="E176" t="str">
        <f>IFERROR(INDEX('Match Log'!$F$4:$F$810,MATCH(152,'Match Log'!$A$4:$A$810,0)),"")</f>
        <v/>
      </c>
      <c r="F176">
        <f>IFERROR(SUMIFS('Match Log'!$I$4:$I$810,'Match Log'!$A$4:$A$810,152,'Match Log'!$E$4:$E$810,"Win"),"")</f>
        <v>0</v>
      </c>
      <c r="G176" t="str">
        <f t="shared" si="28"/>
        <v/>
      </c>
      <c r="H176" t="str">
        <f t="array" ref="H176">IFERROR(IF(COUNTIFS('Match Log'!$A$4:$A$810,$A176,'Match Log'!$E$4:$E$810,"Win")&gt;1,_xlfn.TEXTJOIN(" + ",TRUE,IF(('Match Log'!$A$4:$A$810=$A176)*('Match Log'!$E$4:$E$810="Loss"),'Match Log'!$D$4:$D$810,"")),IF($E176=2,LOOKUP(2,1/(('Match Log'!$A$4:$A$810=$A176)*('Match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 t="array" ref="D177">IFERROR(_xlfn.TEXTJOIN(" + ",TRUE,IF(('Match Log'!$A$4:$A$810=$A177)*('Match Log'!$E$4:$E$810="Win"),'Match Log'!$D$4:$D$810,"")),IFERROR(LOOKUP(2,1/(('Match Log'!$A$4:$A$810=$A177)*('Match Log'!$E$4:$E$810="Win")),'Match Log'!$D$4:$D$810),""))</f>
        <v/>
      </c>
      <c r="E177" t="str">
        <f>IFERROR(INDEX('Match Log'!$F$4:$F$810,MATCH(153,'Match Log'!$A$4:$A$810,0)),"")</f>
        <v/>
      </c>
      <c r="F177">
        <f>IFERROR(SUMIFS('Match Log'!$I$4:$I$810,'Match Log'!$A$4:$A$810,153,'Match Log'!$E$4:$E$810,"Win"),"")</f>
        <v>0</v>
      </c>
      <c r="G177" t="str">
        <f t="shared" si="28"/>
        <v/>
      </c>
      <c r="H177" t="str">
        <f t="array" ref="H177">IFERROR(IF(COUNTIFS('Match Log'!$A$4:$A$810,$A177,'Match Log'!$E$4:$E$810,"Win")&gt;1,_xlfn.TEXTJOIN(" + ",TRUE,IF(('Match Log'!$A$4:$A$810=$A177)*('Match Log'!$E$4:$E$810="Loss"),'Match Log'!$D$4:$D$810,"")),IF($E177=2,LOOKUP(2,1/(('Match Log'!$A$4:$A$810=$A177)*('Match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 t="array" ref="D178">IFERROR(_xlfn.TEXTJOIN(" + ",TRUE,IF(('Match Log'!$A$4:$A$810=$A178)*('Match Log'!$E$4:$E$810="Win"),'Match Log'!$D$4:$D$810,"")),IFERROR(LOOKUP(2,1/(('Match Log'!$A$4:$A$810=$A178)*('Match Log'!$E$4:$E$810="Win")),'Match Log'!$D$4:$D$810),""))</f>
        <v/>
      </c>
      <c r="E178" t="str">
        <f>IFERROR(INDEX('Match Log'!$F$4:$F$810,MATCH(154,'Match Log'!$A$4:$A$810,0)),"")</f>
        <v/>
      </c>
      <c r="F178">
        <f>IFERROR(SUMIFS('Match Log'!$I$4:$I$810,'Match Log'!$A$4:$A$810,154,'Match Log'!$E$4:$E$810,"Win"),"")</f>
        <v>0</v>
      </c>
      <c r="G178" t="str">
        <f t="shared" si="28"/>
        <v/>
      </c>
      <c r="H178" t="str">
        <f t="array" ref="H178">IFERROR(IF(COUNTIFS('Match Log'!$A$4:$A$810,$A178,'Match Log'!$E$4:$E$810,"Win")&gt;1,_xlfn.TEXTJOIN(" + ",TRUE,IF(('Match Log'!$A$4:$A$810=$A178)*('Match Log'!$E$4:$E$810="Loss"),'Match Log'!$D$4:$D$810,"")),IF($E178=2,LOOKUP(2,1/(('Match Log'!$A$4:$A$810=$A178)*('Match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 t="array" ref="D179">IFERROR(_xlfn.TEXTJOIN(" + ",TRUE,IF(('Match Log'!$A$4:$A$810=$A179)*('Match Log'!$E$4:$E$810="Win"),'Match Log'!$D$4:$D$810,"")),IFERROR(LOOKUP(2,1/(('Match Log'!$A$4:$A$810=$A179)*('Match Log'!$E$4:$E$810="Win")),'Match Log'!$D$4:$D$810),""))</f>
        <v/>
      </c>
      <c r="E179" t="str">
        <f>IFERROR(INDEX('Match Log'!$F$4:$F$810,MATCH(155,'Match Log'!$A$4:$A$810,0)),"")</f>
        <v/>
      </c>
      <c r="F179">
        <f>IFERROR(SUMIFS('Match Log'!$I$4:$I$810,'Match Log'!$A$4:$A$810,155,'Match Log'!$E$4:$E$810,"Win"),"")</f>
        <v>0</v>
      </c>
      <c r="G179" t="str">
        <f t="shared" si="28"/>
        <v/>
      </c>
      <c r="H179" t="str">
        <f t="array" ref="H179">IFERROR(IF(COUNTIFS('Match Log'!$A$4:$A$810,$A179,'Match Log'!$E$4:$E$810,"Win")&gt;1,_xlfn.TEXTJOIN(" + ",TRUE,IF(('Match Log'!$A$4:$A$810=$A179)*('Match Log'!$E$4:$E$810="Loss"),'Match Log'!$D$4:$D$810,"")),IF($E179=2,LOOKUP(2,1/(('Match Log'!$A$4:$A$810=$A179)*('Match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 t="array" ref="D180">IFERROR(_xlfn.TEXTJOIN(" + ",TRUE,IF(('Match Log'!$A$4:$A$810=$A180)*('Match Log'!$E$4:$E$810="Win"),'Match Log'!$D$4:$D$810,"")),IFERROR(LOOKUP(2,1/(('Match Log'!$A$4:$A$810=$A180)*('Match Log'!$E$4:$E$810="Win")),'Match Log'!$D$4:$D$810),""))</f>
        <v/>
      </c>
      <c r="E180" t="str">
        <f>IFERROR(INDEX('Match Log'!$F$4:$F$810,MATCH(156,'Match Log'!$A$4:$A$810,0)),"")</f>
        <v/>
      </c>
      <c r="F180">
        <f>IFERROR(SUMIFS('Match Log'!$I$4:$I$810,'Match Log'!$A$4:$A$810,156,'Match Log'!$E$4:$E$810,"Win"),"")</f>
        <v>0</v>
      </c>
      <c r="G180" t="str">
        <f t="shared" si="28"/>
        <v/>
      </c>
      <c r="H180" t="str">
        <f t="array" ref="H180">IFERROR(IF(COUNTIFS('Match Log'!$A$4:$A$810,$A180,'Match Log'!$E$4:$E$810,"Win")&gt;1,_xlfn.TEXTJOIN(" + ",TRUE,IF(('Match Log'!$A$4:$A$810=$A180)*('Match Log'!$E$4:$E$810="Loss"),'Match Log'!$D$4:$D$810,"")),IF($E180=2,LOOKUP(2,1/(('Match Log'!$A$4:$A$810=$A180)*('Match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1097.6049428107995</v>
      </c>
      <c r="C2">
        <f>IFERROR(SUMPRODUCT(INDEX('Head-to-Head'!$B$22:$O$35,1,0),$D$2:$Q$2)/SUM(INDEX('Head-to-Head'!$B$22:$O$35,1,0)),"")</f>
        <v>1044.1280395448036</v>
      </c>
      <c r="D2">
        <f>$B$2</f>
        <v>1097.6049428107995</v>
      </c>
      <c r="E2">
        <f>$B$3</f>
        <v>1029.2201908859522</v>
      </c>
      <c r="F2">
        <f>$B$4</f>
        <v>1016.7837867075796</v>
      </c>
      <c r="G2">
        <f>$B$5</f>
        <v>973.18894572037368</v>
      </c>
      <c r="H2">
        <f>$B$6</f>
        <v>1129.7012289075892</v>
      </c>
      <c r="I2">
        <f>$B$7</f>
        <v>1049.2258055170387</v>
      </c>
      <c r="J2">
        <f>$B$8</f>
        <v>1084.8903813508514</v>
      </c>
      <c r="K2">
        <f>$B$9</f>
        <v>1050.8634549674414</v>
      </c>
      <c r="L2">
        <f>$B$10</f>
        <v>1168.2113436007442</v>
      </c>
      <c r="M2">
        <f>$B$11</f>
        <v>893.03675187725173</v>
      </c>
      <c r="N2">
        <f>$B$12</f>
        <v>1058.6657209484931</v>
      </c>
      <c r="O2">
        <f>$B$13</f>
        <v>1031.225848367051</v>
      </c>
      <c r="P2">
        <f>$B$14</f>
        <v>1030.3815983388336</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1061.5362145045176</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1056.8981809666868</v>
      </c>
    </row>
    <row r="5" spans="1:17" ht="15" customHeight="1" x14ac:dyDescent="0.2">
      <c r="A5" t="s">
        <v>140</v>
      </c>
      <c r="B5">
        <f>IF(COUNTIF('Match Log'!$D$4:$D$810,$A5)=0,'Guide &amp; Settings'!$C$41,IFERROR(LOOKUP(2,1/('Match Log'!$D$4:$D$810=$A5),'Match Log'!$N$4:$N$810),'Guide &amp; Settings'!$C$41))</f>
        <v>973.18894572037368</v>
      </c>
      <c r="C5">
        <f>IFERROR(SUMPRODUCT(INDEX('Head-to-Head'!$B$22:$O$35,4,0),$D$2:$Q$2)/SUM(INDEX('Head-to-Head'!$B$22:$O$35,4,0)),"")</f>
        <v>1074.2055719287434</v>
      </c>
    </row>
    <row r="6" spans="1:17" ht="15" customHeight="1" x14ac:dyDescent="0.2">
      <c r="A6" t="s">
        <v>137</v>
      </c>
      <c r="B6">
        <f>IF(COUNTIF('Match Log'!$D$4:$D$810,$A6)=0,'Guide &amp; Settings'!$C$41,IFERROR(LOOKUP(2,1/('Match Log'!$D$4:$D$810=$A6),'Match Log'!$N$4:$N$810),'Guide &amp; Settings'!$C$41))</f>
        <v>1129.7012289075892</v>
      </c>
      <c r="C6">
        <f>IFERROR(SUMPRODUCT(INDEX('Head-to-Head'!$B$22:$O$35,5,0),$D$2:$Q$2)/SUM(INDEX('Head-to-Head'!$B$22:$O$35,5,0)),"")</f>
        <v>1044.7697724293021</v>
      </c>
    </row>
    <row r="7" spans="1:17" ht="15" customHeight="1" x14ac:dyDescent="0.2">
      <c r="A7" t="s">
        <v>134</v>
      </c>
      <c r="B7">
        <f>IF(COUNTIF('Match Log'!$D$4:$D$810,$A7)=0,'Guide &amp; Settings'!$C$41,IFERROR(LOOKUP(2,1/('Match Log'!$D$4:$D$810=$A7),'Match Log'!$N$4:$N$810),'Guide &amp; Settings'!$C$41))</f>
        <v>1049.2258055170387</v>
      </c>
      <c r="C7">
        <f>IFERROR(SUMPRODUCT(INDEX('Head-to-Head'!$B$22:$O$35,6,0),$D$2:$Q$2)/SUM(INDEX('Head-to-Head'!$B$22:$O$35,6,0)),"")</f>
        <v>1076.0735769564942</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1054.2169240168062</v>
      </c>
    </row>
    <row r="9" spans="1:17" ht="15" customHeight="1" x14ac:dyDescent="0.2">
      <c r="A9" t="s">
        <v>170</v>
      </c>
      <c r="B9">
        <f>IF(COUNTIF('Match Log'!$D$4:$D$810,$A9)=0,'Guide &amp; Settings'!$C$41,IFERROR(LOOKUP(2,1/('Match Log'!$D$4:$D$810=$A9),'Match Log'!$N$4:$N$810),'Guide &amp; Settings'!$C$41))</f>
        <v>1050.8634549674414</v>
      </c>
      <c r="C9">
        <f>IFERROR(SUMPRODUCT(INDEX('Head-to-Head'!$B$22:$O$35,8,0),$D$2:$Q$2)/SUM(INDEX('Head-to-Head'!$B$22:$O$35,8,0)),"")</f>
        <v>1073.5080352196385</v>
      </c>
    </row>
    <row r="10" spans="1:17" ht="15" customHeight="1" x14ac:dyDescent="0.2">
      <c r="A10" t="s">
        <v>167</v>
      </c>
      <c r="B10">
        <f>IF(COUNTIF('Match Log'!$D$4:$D$810,$A10)=0,'Guide &amp; Settings'!$C$41,IFERROR(LOOKUP(2,1/('Match Log'!$D$4:$D$810=$A10),'Match Log'!$N$4:$N$810),'Guide &amp; Settings'!$C$41))</f>
        <v>1168.2113436007442</v>
      </c>
      <c r="C10">
        <f>IFERROR(SUMPRODUCT(INDEX('Head-to-Head'!$B$22:$O$35,9,0),$D$2:$Q$2)/SUM(INDEX('Head-to-Head'!$B$22:$O$35,9,0)),"")</f>
        <v>1053.523263092201</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1079.3484649205102</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1066.1724290986674</v>
      </c>
    </row>
    <row r="13" spans="1:17" ht="15" customHeight="1" x14ac:dyDescent="0.2">
      <c r="A13" t="s">
        <v>171</v>
      </c>
      <c r="B13">
        <f>IF(COUNTIF('Match Log'!$D$4:$D$810,$A13)=0,'Guide &amp; Settings'!$C$41,IFERROR(LOOKUP(2,1/('Match Log'!$D$4:$D$810=$A13),'Match Log'!$N$4:$N$810),'Guide &amp; Settings'!$C$41))</f>
        <v>1031.225848367051</v>
      </c>
      <c r="C13">
        <f>IFERROR(SUMPRODUCT(INDEX('Head-to-Head'!$B$22:$O$35,12,0),$D$2:$Q$2)/SUM(INDEX('Head-to-Head'!$B$22:$O$35,12,0)),"")</f>
        <v>1050.2268397439309</v>
      </c>
    </row>
    <row r="14" spans="1:17" ht="15" customHeight="1" x14ac:dyDescent="0.2">
      <c r="A14" t="s">
        <v>172</v>
      </c>
      <c r="B14">
        <f>IF(COUNTIF('Match Log'!$D$4:$D$810,$A14)=0,'Guide &amp; Settings'!$C$41,IFERROR(LOOKUP(2,1/('Match Log'!$D$4:$D$810=$A14),'Match Log'!$N$4:$N$810),'Guide &amp; Settings'!$C$41))</f>
        <v>1030.3815983388336</v>
      </c>
      <c r="C14">
        <f>IFERROR(SUMPRODUCT(INDEX('Head-to-Head'!$B$22:$O$35,13,0),$D$2:$Q$2)/SUM(INDEX('Head-to-Head'!$B$22:$O$35,13,0)),"")</f>
        <v>1066.8329000946092</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2026-07-11T03:42:22Z</dcterms:modified>
  <dc:language>en-US</dc:language>
</cp:coreProperties>
</file>