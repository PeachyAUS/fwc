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8069B2BD-3343-D34C-B18D-4E63EF143AEC}" xr6:coauthVersionLast="47" xr6:coauthVersionMax="47" xr10:uidLastSave="{00000000-0000-0000-0000-000000000000}"/>
  <bookViews>
    <workbookView xWindow="-2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W171" i="11"/>
  <c r="V171" i="11"/>
  <c r="U171" i="11"/>
  <c r="T171" i="11"/>
  <c r="S171" i="11"/>
  <c r="R171" i="11"/>
  <c r="Q171" i="11"/>
  <c r="P171" i="11"/>
  <c r="O171" i="11"/>
  <c r="N171" i="11"/>
  <c r="M171" i="11"/>
  <c r="L171" i="11"/>
  <c r="K171" i="11"/>
  <c r="F171" i="11"/>
  <c r="E171" i="11"/>
  <c r="C171" i="11"/>
  <c r="B171" i="11"/>
  <c r="X170" i="11"/>
  <c r="W170" i="11"/>
  <c r="V170" i="11"/>
  <c r="U170" i="11"/>
  <c r="T170" i="11"/>
  <c r="S170" i="11"/>
  <c r="R170" i="11"/>
  <c r="Q170" i="11"/>
  <c r="P170" i="11"/>
  <c r="O170" i="11"/>
  <c r="N170" i="11"/>
  <c r="M170" i="11"/>
  <c r="L170" i="11"/>
  <c r="K170" i="11"/>
  <c r="F170" i="11"/>
  <c r="E170" i="11"/>
  <c r="C170" i="11"/>
  <c r="B170" i="11"/>
  <c r="X169" i="11"/>
  <c r="W169" i="11"/>
  <c r="V169" i="11"/>
  <c r="U169" i="11"/>
  <c r="T169" i="11"/>
  <c r="S169" i="11"/>
  <c r="R169" i="11"/>
  <c r="Q169" i="11"/>
  <c r="P169" i="11"/>
  <c r="O169" i="11"/>
  <c r="N169" i="11"/>
  <c r="M169" i="11"/>
  <c r="L169" i="11"/>
  <c r="K169" i="11"/>
  <c r="F169" i="11"/>
  <c r="E169" i="11"/>
  <c r="C169" i="11"/>
  <c r="B169" i="11"/>
  <c r="X168" i="11"/>
  <c r="W168" i="11"/>
  <c r="V168" i="11"/>
  <c r="U168" i="11"/>
  <c r="T168" i="11"/>
  <c r="S168" i="11"/>
  <c r="R168" i="11"/>
  <c r="Q168" i="11"/>
  <c r="P168" i="11"/>
  <c r="O168" i="11"/>
  <c r="N168" i="11"/>
  <c r="M168" i="11"/>
  <c r="L168" i="11"/>
  <c r="K168" i="11"/>
  <c r="F168" i="11"/>
  <c r="E168" i="11"/>
  <c r="C168" i="11"/>
  <c r="B168" i="11"/>
  <c r="X167" i="11"/>
  <c r="W167" i="11"/>
  <c r="V167" i="11"/>
  <c r="U167" i="11"/>
  <c r="T167" i="11"/>
  <c r="S167" i="11"/>
  <c r="R167" i="11"/>
  <c r="Q167" i="11"/>
  <c r="P167" i="11"/>
  <c r="O167" i="11"/>
  <c r="N167" i="11"/>
  <c r="M167" i="11"/>
  <c r="L167" i="11"/>
  <c r="K167" i="11"/>
  <c r="F167" i="11"/>
  <c r="E167" i="11"/>
  <c r="C167" i="11"/>
  <c r="B167" i="11"/>
  <c r="X166" i="11"/>
  <c r="W166" i="11"/>
  <c r="V166" i="11"/>
  <c r="U166" i="11"/>
  <c r="T166" i="11"/>
  <c r="S166" i="11"/>
  <c r="R166" i="11"/>
  <c r="Q166" i="11"/>
  <c r="P166" i="11"/>
  <c r="O166" i="11"/>
  <c r="N166" i="11"/>
  <c r="M166" i="11"/>
  <c r="L166" i="11"/>
  <c r="K166" i="11"/>
  <c r="F166" i="11"/>
  <c r="E166" i="11"/>
  <c r="C166" i="11"/>
  <c r="B166" i="11"/>
  <c r="X165" i="11"/>
  <c r="W165" i="11"/>
  <c r="V165" i="11"/>
  <c r="U165" i="11"/>
  <c r="T165" i="11"/>
  <c r="S165" i="11"/>
  <c r="R165" i="11"/>
  <c r="Q165" i="11"/>
  <c r="P165" i="11"/>
  <c r="O165" i="11"/>
  <c r="N165" i="11"/>
  <c r="M165" i="11"/>
  <c r="L165" i="11"/>
  <c r="K165" i="11"/>
  <c r="F165" i="11"/>
  <c r="E165" i="11"/>
  <c r="C165" i="11"/>
  <c r="B165" i="11"/>
  <c r="X164" i="11"/>
  <c r="W164" i="11"/>
  <c r="V164" i="11"/>
  <c r="U164" i="11"/>
  <c r="T164" i="11"/>
  <c r="S164" i="11"/>
  <c r="R164" i="11"/>
  <c r="Q164" i="11"/>
  <c r="P164" i="11"/>
  <c r="O164" i="11"/>
  <c r="N164" i="11"/>
  <c r="M164" i="11"/>
  <c r="L164" i="11"/>
  <c r="K164" i="11"/>
  <c r="F164" i="11"/>
  <c r="E164" i="11"/>
  <c r="C164" i="11"/>
  <c r="B164" i="11"/>
  <c r="X163" i="11"/>
  <c r="W163" i="11"/>
  <c r="V163" i="11"/>
  <c r="U163" i="11"/>
  <c r="T163" i="11"/>
  <c r="S163" i="11"/>
  <c r="R163" i="11"/>
  <c r="Q163" i="11"/>
  <c r="P163" i="11"/>
  <c r="O163" i="11"/>
  <c r="N163" i="11"/>
  <c r="M163" i="11"/>
  <c r="L163" i="11"/>
  <c r="K163" i="11"/>
  <c r="F163" i="11"/>
  <c r="E163" i="11"/>
  <c r="C163" i="11"/>
  <c r="B163" i="11"/>
  <c r="X162" i="11"/>
  <c r="W162" i="11"/>
  <c r="V162" i="11"/>
  <c r="U162" i="11"/>
  <c r="T162" i="11"/>
  <c r="S162" i="11"/>
  <c r="R162" i="11"/>
  <c r="Q162" i="11"/>
  <c r="P162" i="11"/>
  <c r="O162" i="11"/>
  <c r="N162" i="11"/>
  <c r="M162" i="11"/>
  <c r="L162" i="11"/>
  <c r="K162" i="11"/>
  <c r="F162" i="11"/>
  <c r="E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V10" i="11" s="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AB332" i="9"/>
  <c r="AA332" i="9"/>
  <c r="Z332" i="9"/>
  <c r="Y332" i="9"/>
  <c r="X332" i="9"/>
  <c r="W332" i="9"/>
  <c r="V332" i="9"/>
  <c r="U332" i="9"/>
  <c r="T332" i="9"/>
  <c r="S332" i="9"/>
  <c r="R332" i="9"/>
  <c r="Q332" i="9"/>
  <c r="P332" i="9"/>
  <c r="O332" i="9"/>
  <c r="N332" i="9"/>
  <c r="M332" i="9"/>
  <c r="L332" i="9"/>
  <c r="K332" i="9"/>
  <c r="J332" i="9"/>
  <c r="I332" i="9"/>
  <c r="H332" i="9"/>
  <c r="G332" i="9"/>
  <c r="F332" i="9"/>
  <c r="AC331" i="9"/>
  <c r="AB331" i="9"/>
  <c r="AA331" i="9"/>
  <c r="Z331" i="9"/>
  <c r="Y331" i="9"/>
  <c r="X331" i="9"/>
  <c r="W331" i="9"/>
  <c r="V331" i="9"/>
  <c r="U331" i="9"/>
  <c r="T331" i="9"/>
  <c r="S331" i="9"/>
  <c r="R331" i="9"/>
  <c r="Q331" i="9"/>
  <c r="P331" i="9"/>
  <c r="O331" i="9"/>
  <c r="N331" i="9"/>
  <c r="M331" i="9"/>
  <c r="L331" i="9"/>
  <c r="K331" i="9"/>
  <c r="J331" i="9"/>
  <c r="I331" i="9"/>
  <c r="H331" i="9"/>
  <c r="G331" i="9"/>
  <c r="F331" i="9"/>
  <c r="AC330" i="9"/>
  <c r="AB330" i="9"/>
  <c r="AA330" i="9"/>
  <c r="Z330" i="9"/>
  <c r="Y330" i="9"/>
  <c r="X330" i="9"/>
  <c r="W330" i="9"/>
  <c r="V330" i="9"/>
  <c r="U330" i="9"/>
  <c r="T330" i="9"/>
  <c r="S330" i="9"/>
  <c r="R330" i="9"/>
  <c r="Q330" i="9"/>
  <c r="P330" i="9"/>
  <c r="O330" i="9"/>
  <c r="N330" i="9"/>
  <c r="M330" i="9"/>
  <c r="L330" i="9"/>
  <c r="K330" i="9"/>
  <c r="J330" i="9"/>
  <c r="I330" i="9"/>
  <c r="H330" i="9"/>
  <c r="G330" i="9"/>
  <c r="F330" i="9"/>
  <c r="AC329" i="9"/>
  <c r="AB329" i="9"/>
  <c r="AA329" i="9"/>
  <c r="Z329" i="9"/>
  <c r="Y329" i="9"/>
  <c r="X329" i="9"/>
  <c r="W329" i="9"/>
  <c r="V329" i="9"/>
  <c r="U329" i="9"/>
  <c r="T329" i="9"/>
  <c r="S329" i="9"/>
  <c r="R329" i="9"/>
  <c r="Q329" i="9"/>
  <c r="P329" i="9"/>
  <c r="O329" i="9"/>
  <c r="N329" i="9"/>
  <c r="M329" i="9"/>
  <c r="L329" i="9"/>
  <c r="K329" i="9"/>
  <c r="J329" i="9"/>
  <c r="I329" i="9"/>
  <c r="H329" i="9"/>
  <c r="G329" i="9"/>
  <c r="F329" i="9"/>
  <c r="AC328" i="9"/>
  <c r="AB328" i="9"/>
  <c r="AA328" i="9"/>
  <c r="Z328" i="9"/>
  <c r="Y328" i="9"/>
  <c r="X328" i="9"/>
  <c r="W328" i="9"/>
  <c r="V328" i="9"/>
  <c r="U328" i="9"/>
  <c r="T328" i="9"/>
  <c r="S328" i="9"/>
  <c r="R328" i="9"/>
  <c r="Q328" i="9"/>
  <c r="P328" i="9"/>
  <c r="O328" i="9"/>
  <c r="N328" i="9"/>
  <c r="M328" i="9"/>
  <c r="L328" i="9"/>
  <c r="K328" i="9"/>
  <c r="J328" i="9"/>
  <c r="I328" i="9"/>
  <c r="H328" i="9"/>
  <c r="G328" i="9"/>
  <c r="F328" i="9"/>
  <c r="AC327" i="9"/>
  <c r="AB327" i="9"/>
  <c r="AA327" i="9"/>
  <c r="Z327" i="9"/>
  <c r="Y327" i="9"/>
  <c r="X327" i="9"/>
  <c r="W327" i="9"/>
  <c r="V327" i="9"/>
  <c r="U327" i="9"/>
  <c r="T327" i="9"/>
  <c r="S327" i="9"/>
  <c r="R327" i="9"/>
  <c r="Q327" i="9"/>
  <c r="P327" i="9"/>
  <c r="O327" i="9"/>
  <c r="N327" i="9"/>
  <c r="M327" i="9"/>
  <c r="L327" i="9"/>
  <c r="K327" i="9"/>
  <c r="J327" i="9"/>
  <c r="I327" i="9"/>
  <c r="H327" i="9"/>
  <c r="G327" i="9"/>
  <c r="F327" i="9"/>
  <c r="AC326" i="9"/>
  <c r="AB326" i="9"/>
  <c r="AA326" i="9"/>
  <c r="Z326" i="9"/>
  <c r="Y326" i="9"/>
  <c r="X326" i="9"/>
  <c r="W326" i="9"/>
  <c r="V326" i="9"/>
  <c r="U326" i="9"/>
  <c r="T326" i="9"/>
  <c r="S326" i="9"/>
  <c r="R326" i="9"/>
  <c r="Q326" i="9"/>
  <c r="P326" i="9"/>
  <c r="O326" i="9"/>
  <c r="N326" i="9"/>
  <c r="M326" i="9"/>
  <c r="L326" i="9"/>
  <c r="K326" i="9"/>
  <c r="J326" i="9"/>
  <c r="I326" i="9"/>
  <c r="H326" i="9"/>
  <c r="G326" i="9"/>
  <c r="F326" i="9"/>
  <c r="AC325" i="9"/>
  <c r="AB325" i="9"/>
  <c r="AA325" i="9"/>
  <c r="Z325" i="9"/>
  <c r="Y325" i="9"/>
  <c r="X325" i="9"/>
  <c r="W325" i="9"/>
  <c r="V325" i="9"/>
  <c r="U325" i="9"/>
  <c r="T325" i="9"/>
  <c r="S325" i="9"/>
  <c r="R325" i="9"/>
  <c r="Q325" i="9"/>
  <c r="P325" i="9"/>
  <c r="O325" i="9"/>
  <c r="N325" i="9"/>
  <c r="M325" i="9"/>
  <c r="L325" i="9"/>
  <c r="K325" i="9"/>
  <c r="J325" i="9"/>
  <c r="I325" i="9"/>
  <c r="H325" i="9"/>
  <c r="G325" i="9"/>
  <c r="F325" i="9"/>
  <c r="AC324" i="9"/>
  <c r="AB324" i="9"/>
  <c r="AA324" i="9"/>
  <c r="Z324" i="9"/>
  <c r="Y324" i="9"/>
  <c r="X324" i="9"/>
  <c r="W324" i="9"/>
  <c r="V324" i="9"/>
  <c r="U324" i="9"/>
  <c r="T324" i="9"/>
  <c r="S324" i="9"/>
  <c r="R324" i="9"/>
  <c r="Q324" i="9"/>
  <c r="P324" i="9"/>
  <c r="O324" i="9"/>
  <c r="N324" i="9"/>
  <c r="M324" i="9"/>
  <c r="L324" i="9"/>
  <c r="K324" i="9"/>
  <c r="J324" i="9"/>
  <c r="I324" i="9"/>
  <c r="H324" i="9"/>
  <c r="G324" i="9"/>
  <c r="F324" i="9"/>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H6" i="4" s="1"/>
  <c r="F5" i="4"/>
  <c r="E5" i="4"/>
  <c r="G5" i="4" s="1"/>
  <c r="M2" i="3"/>
  <c r="A28" i="2"/>
  <c r="A27" i="2"/>
  <c r="A26" i="2"/>
  <c r="A25" i="2"/>
  <c r="A24" i="2"/>
  <c r="A23" i="2"/>
  <c r="A22" i="2"/>
  <c r="A21" i="2"/>
  <c r="A20" i="2"/>
  <c r="A19" i="2"/>
  <c r="A18" i="2"/>
  <c r="A17" i="2"/>
  <c r="A16" i="2"/>
  <c r="A15" i="2"/>
  <c r="A14" i="2"/>
  <c r="A13" i="2"/>
  <c r="A12" i="2"/>
  <c r="A11" i="2"/>
  <c r="A10" i="2"/>
  <c r="F22" i="7"/>
  <c r="S322" i="9" l="1"/>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S47" i="9"/>
  <c r="I47" i="9" s="1"/>
  <c r="F43" i="11" s="1"/>
  <c r="S232" i="9"/>
  <c r="I232" i="9" s="1"/>
  <c r="K232" i="9" s="1"/>
  <c r="Q37" i="10"/>
  <c r="V14" i="9"/>
  <c r="S41" i="9"/>
  <c r="I41" i="9" s="1"/>
  <c r="K41" i="9" s="1"/>
  <c r="S124" i="9"/>
  <c r="I124" i="9" s="1"/>
  <c r="B69" i="6"/>
  <c r="S58" i="8" s="1"/>
  <c r="G84" i="6"/>
  <c r="S74" i="9"/>
  <c r="I74" i="9" s="1"/>
  <c r="K74" i="9" s="1"/>
  <c r="G74" i="6"/>
  <c r="S100" i="9"/>
  <c r="I100" i="9" s="1"/>
  <c r="K100" i="9" s="1"/>
  <c r="L268" i="9"/>
  <c r="G80" i="6"/>
  <c r="Z5" i="9"/>
  <c r="AA5" i="9" s="1"/>
  <c r="AB5" i="9" s="1"/>
  <c r="G99" i="6" s="1"/>
  <c r="U18" i="11"/>
  <c r="Z7" i="11"/>
  <c r="B27" i="4" s="1"/>
  <c r="B32" i="7"/>
  <c r="S191" i="9"/>
  <c r="I191" i="9" s="1"/>
  <c r="K191" i="9" s="1"/>
  <c r="E77" i="6"/>
  <c r="E82" i="6"/>
  <c r="G87" i="6"/>
  <c r="P92" i="6"/>
  <c r="B11" i="2" s="1"/>
  <c r="D11" i="2" s="1"/>
  <c r="S20" i="9"/>
  <c r="I20" i="9" s="1"/>
  <c r="S66" i="9"/>
  <c r="I66" i="9" s="1"/>
  <c r="K66" i="9" s="1"/>
  <c r="Y132" i="9"/>
  <c r="Z132" i="9" s="1"/>
  <c r="S142" i="9"/>
  <c r="I142" i="9" s="1"/>
  <c r="F90" i="11" s="1"/>
  <c r="S155" i="9"/>
  <c r="I155" i="9" s="1"/>
  <c r="K155" i="9" s="1"/>
  <c r="Z226" i="9"/>
  <c r="G83" i="6"/>
  <c r="S83" i="6" s="1"/>
  <c r="S29" i="9"/>
  <c r="I29" i="9" s="1"/>
  <c r="K29" i="9" s="1"/>
  <c r="K31" i="9"/>
  <c r="S126" i="9"/>
  <c r="I126" i="9" s="1"/>
  <c r="K126" i="9" s="1"/>
  <c r="AA130" i="9"/>
  <c r="AB130" i="9" s="1"/>
  <c r="U164" i="9" s="1"/>
  <c r="Y165" i="9" s="1"/>
  <c r="Z165" i="9" s="1"/>
  <c r="L184" i="9"/>
  <c r="S245" i="9"/>
  <c r="I245" i="9" s="1"/>
  <c r="K245" i="9" s="1"/>
  <c r="I57" i="6"/>
  <c r="G65" i="8" s="1"/>
  <c r="E63" i="6"/>
  <c r="M61" i="8" s="1"/>
  <c r="S257" i="9"/>
  <c r="I257" i="9"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S299" i="9"/>
  <c r="I299" i="9"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R38" i="10" s="1"/>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41" i="10"/>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R34" i="10"/>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F39" i="11"/>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AC19" i="11"/>
  <c r="B52" i="6"/>
  <c r="B58" i="8" s="1"/>
  <c r="D23" i="8"/>
  <c r="L19" i="9"/>
  <c r="E37" i="11"/>
  <c r="L35" i="9"/>
  <c r="F28" i="11"/>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F69" i="1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F83" i="11"/>
  <c r="K128" i="9"/>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K69" i="9"/>
  <c r="S71" i="9"/>
  <c r="I71" i="9" s="1"/>
  <c r="E71" i="11"/>
  <c r="L104" i="9"/>
  <c r="Y43" i="9"/>
  <c r="Z43" i="9" s="1"/>
  <c r="L66" i="9"/>
  <c r="L69" i="9"/>
  <c r="Y91" i="9"/>
  <c r="L100" i="9"/>
  <c r="E77" i="11"/>
  <c r="L116" i="9"/>
  <c r="K136" i="9"/>
  <c r="S65" i="9"/>
  <c r="I65" i="9" s="1"/>
  <c r="Y67" i="9"/>
  <c r="Z67" i="9" s="1"/>
  <c r="AA67" i="9" s="1"/>
  <c r="AB67" i="9" s="1"/>
  <c r="U69" i="9" s="1"/>
  <c r="S68" i="9"/>
  <c r="I68" i="9" s="1"/>
  <c r="L92" i="9"/>
  <c r="S98" i="9"/>
  <c r="I98" i="9" s="1"/>
  <c r="K106" i="9"/>
  <c r="F81" i="11"/>
  <c r="K124" i="9"/>
  <c r="L55" i="9"/>
  <c r="L60" i="9"/>
  <c r="L63" i="9"/>
  <c r="L76" i="9"/>
  <c r="Y87" i="9"/>
  <c r="Z87" i="9" s="1"/>
  <c r="AA87" i="9" s="1"/>
  <c r="AB87" i="9" s="1"/>
  <c r="U89" i="9" s="1"/>
  <c r="S62" i="9"/>
  <c r="I62" i="9" s="1"/>
  <c r="S75" i="9"/>
  <c r="I75" i="9" s="1"/>
  <c r="S78" i="9"/>
  <c r="I78" i="9" s="1"/>
  <c r="K78" i="9" s="1"/>
  <c r="Y90" i="9"/>
  <c r="Z90" i="9" s="1"/>
  <c r="K94" i="9"/>
  <c r="S116" i="9"/>
  <c r="I116" i="9" s="1"/>
  <c r="L150" i="9"/>
  <c r="V119" i="9"/>
  <c r="S130" i="9"/>
  <c r="I130" i="9" s="1"/>
  <c r="E91" i="11"/>
  <c r="L144" i="9"/>
  <c r="S137" i="9"/>
  <c r="I137" i="9" s="1"/>
  <c r="K137" i="9" s="1"/>
  <c r="K142" i="9"/>
  <c r="Y125" i="9"/>
  <c r="Z125" i="9" s="1"/>
  <c r="S133" i="9"/>
  <c r="I133" i="9" s="1"/>
  <c r="K133" i="9" s="1"/>
  <c r="AA122" i="9"/>
  <c r="AB122" i="9" s="1"/>
  <c r="U133" i="9" s="1"/>
  <c r="Z133" i="9" s="1"/>
  <c r="S135" i="9"/>
  <c r="I135" i="9" s="1"/>
  <c r="K135" i="9" s="1"/>
  <c r="E88" i="11"/>
  <c r="S206" i="9"/>
  <c r="I206" i="9" s="1"/>
  <c r="K206" i="9" s="1"/>
  <c r="S207" i="9"/>
  <c r="I207" i="9" s="1"/>
  <c r="K207" i="9" s="1"/>
  <c r="S205" i="9"/>
  <c r="I205" i="9" s="1"/>
  <c r="K205" i="9" s="1"/>
  <c r="S204" i="9"/>
  <c r="I204" i="9" s="1"/>
  <c r="L110" i="9"/>
  <c r="S127" i="9"/>
  <c r="I127" i="9" s="1"/>
  <c r="K127" i="9" s="1"/>
  <c r="L125" i="9"/>
  <c r="F82" i="11"/>
  <c r="E85" i="11"/>
  <c r="L138" i="9"/>
  <c r="L108" i="9"/>
  <c r="Y127" i="9"/>
  <c r="Z127" i="9" s="1"/>
  <c r="AA127" i="9" s="1"/>
  <c r="AB127" i="9" s="1"/>
  <c r="U151" i="9" s="1"/>
  <c r="L130" i="9"/>
  <c r="E87" i="11"/>
  <c r="L114" i="9"/>
  <c r="AB123" i="9"/>
  <c r="U149" i="9" s="1"/>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K222" i="9"/>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F126" i="11"/>
  <c r="K252" i="9"/>
  <c r="F128" i="11"/>
  <c r="K257"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F141" i="11"/>
  <c r="K283" i="9"/>
  <c r="L233" i="9"/>
  <c r="F138" i="11"/>
  <c r="K276" i="9"/>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F149" i="11"/>
  <c r="K299" i="9"/>
  <c r="Q17" i="11"/>
  <c r="R17" i="11" s="1"/>
  <c r="Q12" i="11"/>
  <c r="Q16" i="11"/>
  <c r="Q14" i="11"/>
  <c r="Y271" i="9"/>
  <c r="E120" i="11"/>
  <c r="L240" i="9"/>
  <c r="E127" i="11"/>
  <c r="L254" i="9"/>
  <c r="L271" i="9"/>
  <c r="E112" i="11"/>
  <c r="L222" i="9"/>
  <c r="E131" i="11"/>
  <c r="L262" i="9"/>
  <c r="R8" i="10"/>
  <c r="R45" i="10"/>
  <c r="O7" i="11"/>
  <c r="AH7" i="11"/>
  <c r="H9" i="11"/>
  <c r="AH18" i="11"/>
  <c r="AG16" i="11"/>
  <c r="J20" i="11"/>
  <c r="O15" i="11"/>
  <c r="R37" i="10"/>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O19" i="1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K323" i="9" l="1"/>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Y164" i="9"/>
  <c r="Z164" i="9" s="1"/>
  <c r="R48" i="10"/>
  <c r="R39" i="10"/>
  <c r="F76" i="11"/>
  <c r="K268" i="9"/>
  <c r="K134" i="9"/>
  <c r="V14" i="11"/>
  <c r="K302" i="9"/>
  <c r="F151" i="11"/>
  <c r="F27" i="11"/>
  <c r="F78" i="11"/>
  <c r="F34" i="11"/>
  <c r="Y167" i="9"/>
  <c r="R36" i="10"/>
  <c r="C29" i="2"/>
  <c r="F135" i="11"/>
  <c r="Y166" i="9"/>
  <c r="K82" i="9"/>
  <c r="K88" i="9"/>
  <c r="R47" i="10"/>
  <c r="F44" i="11"/>
  <c r="F38" i="11"/>
  <c r="AC10" i="11"/>
  <c r="K122" i="9"/>
  <c r="S20" i="11"/>
  <c r="R10" i="10"/>
  <c r="F30" i="11"/>
  <c r="W86" i="9"/>
  <c r="X86" i="9" s="1"/>
  <c r="K220" i="9"/>
  <c r="R44" i="10"/>
  <c r="F137" i="11"/>
  <c r="K248" i="9"/>
  <c r="Q9" i="6"/>
  <c r="K281" i="9"/>
  <c r="K104" i="9"/>
  <c r="AC18" i="11"/>
  <c r="C13" i="2"/>
  <c r="K42" i="9"/>
  <c r="F73" i="11"/>
  <c r="F109" i="11"/>
  <c r="C16" i="2"/>
  <c r="F117" i="11"/>
  <c r="C11" i="2"/>
  <c r="F136" i="11"/>
  <c r="T17" i="11"/>
  <c r="K300" i="9"/>
  <c r="Y18" i="9"/>
  <c r="Z18" i="9" s="1"/>
  <c r="K291" i="9"/>
  <c r="K224" i="9"/>
  <c r="C19" i="2"/>
  <c r="AC16" i="11"/>
  <c r="AA132" i="9"/>
  <c r="AB132" i="9" s="1"/>
  <c r="U137" i="9" s="1"/>
  <c r="AA133" i="9"/>
  <c r="AB133" i="9" s="1"/>
  <c r="U148" i="9" s="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W20" i="11"/>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P99" i="6" l="1"/>
  <c r="B18" i="2" s="1"/>
  <c r="D18" i="2"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H13" i="4"/>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150" i="9"/>
  <c r="Y151" i="9"/>
  <c r="Z151" i="9" s="1"/>
  <c r="AA151" i="9" s="1"/>
  <c r="AB151" i="9" s="1"/>
  <c r="U173" i="9" s="1"/>
  <c r="Y149" i="9"/>
  <c r="Z149" i="9" s="1"/>
  <c r="Y148" i="9"/>
  <c r="Z148"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C18" i="2" l="1"/>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Y310" i="9" l="1"/>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U317" i="9" l="1"/>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AA323" i="9" s="1"/>
  <c r="AB323" i="9" s="1"/>
  <c r="B109" i="6" s="1"/>
  <c r="P109" i="6" s="1"/>
  <c r="B28" i="2" s="1"/>
  <c r="Y322" i="9"/>
  <c r="Z322" i="9" s="1"/>
  <c r="AA322" i="9" s="1"/>
  <c r="AB322" i="9" s="1"/>
  <c r="G109" i="6" s="1"/>
  <c r="H23" i="4"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D28" i="2" l="1"/>
  <c r="C28" i="2"/>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120" i="9" l="1"/>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U320" i="9" l="1"/>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Z320" i="9" l="1"/>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AA320" i="9" l="1"/>
  <c r="AB320" i="9" s="1"/>
  <c r="G103" i="6" s="1"/>
  <c r="H17" i="4" s="1"/>
  <c r="AA321" i="9"/>
  <c r="AB321" i="9" s="1"/>
  <c r="B103" i="6" s="1"/>
  <c r="P103" i="6" s="1"/>
  <c r="B22" i="2"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C22" i="2" l="1"/>
  <c r="D22" i="2"/>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AA273" i="9" l="1"/>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Q19" i="9" s="1"/>
  <c r="V20" i="9"/>
  <c r="V19" i="9" l="1"/>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AA83" i="9" l="1"/>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Y85" i="9" l="1"/>
  <c r="Z85" i="9" s="1"/>
  <c r="Y84" i="9"/>
  <c r="Z84" i="9" s="1"/>
  <c r="M33" i="9"/>
  <c r="N33" i="9" s="1"/>
  <c r="M34" i="9"/>
  <c r="N34" i="9" s="1"/>
  <c r="AA265" i="9"/>
  <c r="AB265" i="9" s="1"/>
  <c r="U267" i="9" s="1"/>
  <c r="AA264" i="9"/>
  <c r="AB264" i="9" s="1"/>
  <c r="U266" i="9" s="1"/>
  <c r="Y185" i="9"/>
  <c r="Z185" i="9" s="1"/>
  <c r="E23" i="8"/>
  <c r="M20" i="9"/>
  <c r="N20" i="9" s="1"/>
  <c r="Y186" i="9"/>
  <c r="Z278" i="9"/>
  <c r="M19" i="9"/>
  <c r="Y184" i="9"/>
  <c r="Z184" i="9" s="1"/>
  <c r="Z175" i="9"/>
  <c r="AA175" i="9" s="1"/>
  <c r="AB175" i="9" s="1"/>
  <c r="U193" i="9" s="1"/>
  <c r="Z174" i="9"/>
  <c r="Y187" i="9"/>
  <c r="AA172" i="9" l="1"/>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281" i="9" l="1"/>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AA177" i="9" l="1"/>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283" i="9" l="1"/>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P166" i="9"/>
  <c r="P165" i="9"/>
  <c r="Q165" i="9" s="1"/>
  <c r="P164" i="9"/>
  <c r="Q164" i="9" s="1"/>
  <c r="P167" i="9"/>
  <c r="V164" i="9"/>
  <c r="J123" i="9"/>
  <c r="M123" i="9" s="1"/>
  <c r="N123" i="9" s="1"/>
  <c r="J122" i="9"/>
  <c r="M122" i="9" s="1"/>
  <c r="N122" i="9" s="1"/>
  <c r="M160" i="11" l="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J190" i="9"/>
  <c r="M190" i="9" s="1"/>
  <c r="N190" i="9" s="1"/>
  <c r="J189" i="9"/>
  <c r="M189" i="9" s="1"/>
  <c r="N189" i="9" s="1"/>
  <c r="J188" i="9"/>
  <c r="M188" i="9" s="1"/>
  <c r="N188" i="9" s="1"/>
  <c r="W160" i="11" l="1"/>
  <c r="W161" i="11"/>
  <c r="W158" i="11"/>
  <c r="W159" i="11"/>
  <c r="W156" i="11"/>
  <c r="W157" i="11"/>
  <c r="W153" i="11"/>
  <c r="W155" i="11"/>
  <c r="W154" i="11"/>
  <c r="W151" i="11"/>
  <c r="W152" i="11"/>
  <c r="Q103" i="11"/>
  <c r="H194" i="9"/>
  <c r="U103" i="11"/>
  <c r="H195" i="9"/>
  <c r="L104" i="11"/>
  <c r="L106" i="11"/>
  <c r="L103" i="11"/>
  <c r="L105" i="11"/>
  <c r="H205" i="9"/>
  <c r="W146" i="11"/>
  <c r="B14" i="12"/>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2" i="12" l="1"/>
  <c r="B19" i="11"/>
  <c r="F83" i="6"/>
  <c r="V205" i="9"/>
  <c r="P207" i="9"/>
  <c r="P205" i="9"/>
  <c r="Q205" i="9" s="1"/>
  <c r="P204" i="9"/>
  <c r="Q204" i="9" s="1"/>
  <c r="P206" i="9"/>
  <c r="V195" i="9"/>
  <c r="X195" i="9" s="1"/>
  <c r="J195" i="9" s="1"/>
  <c r="M195" i="9" s="1"/>
  <c r="N195" i="9" s="1"/>
  <c r="Q195" i="9"/>
  <c r="V194" i="9"/>
  <c r="X194" i="9" s="1"/>
  <c r="Q194" i="9"/>
  <c r="U105" i="11" l="1"/>
  <c r="U107" i="11"/>
  <c r="U104" i="11"/>
  <c r="U106" i="11"/>
  <c r="H211" i="9"/>
  <c r="J192" i="9"/>
  <c r="M192" i="9" s="1"/>
  <c r="N192" i="9" s="1"/>
  <c r="J193" i="9"/>
  <c r="M193" i="9" s="1"/>
  <c r="N193" i="9" s="1"/>
  <c r="J194" i="9"/>
  <c r="M194" i="9" s="1"/>
  <c r="N194" i="9" s="1"/>
  <c r="W207" i="9"/>
  <c r="W206" i="9"/>
  <c r="W205" i="9"/>
  <c r="X205" i="9" s="1"/>
  <c r="W204" i="9"/>
  <c r="X204" i="9" s="1"/>
  <c r="S19" i="11"/>
  <c r="W19" i="11" l="1"/>
  <c r="P104" i="1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J218" i="9"/>
  <c r="M218" i="9" s="1"/>
  <c r="N218" i="9" s="1"/>
  <c r="N160" i="11" l="1"/>
  <c r="N161" i="11"/>
  <c r="N158" i="11"/>
  <c r="N159" i="11"/>
  <c r="N156" i="11"/>
  <c r="N157" i="11"/>
  <c r="N153" i="11"/>
  <c r="N155" i="11"/>
  <c r="N154" i="11"/>
  <c r="N151" i="11"/>
  <c r="N152" i="11"/>
  <c r="V247" i="9"/>
  <c r="P110" i="11"/>
  <c r="P112" i="11"/>
  <c r="P111" i="11"/>
  <c r="H226" i="9"/>
  <c r="N145" i="11"/>
  <c r="B5" i="12"/>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Q112" i="11"/>
  <c r="Q113" i="11"/>
  <c r="H228" i="9"/>
  <c r="V160" i="11" l="1"/>
  <c r="V161" i="11"/>
  <c r="V158" i="11"/>
  <c r="V159" i="11"/>
  <c r="V156" i="11"/>
  <c r="V157" i="11"/>
  <c r="V153" i="11"/>
  <c r="V155" i="11"/>
  <c r="V154" i="11"/>
  <c r="V151" i="11"/>
  <c r="V152" i="11"/>
  <c r="V228" i="9"/>
  <c r="X228" i="9" s="1"/>
  <c r="Q228" i="9"/>
  <c r="V146" i="11"/>
  <c r="B13" i="12"/>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G2" i="12"/>
  <c r="B10" i="11"/>
  <c r="F86" i="6"/>
  <c r="S86" i="6" s="1"/>
  <c r="V226" i="9"/>
  <c r="X226" i="9" s="1"/>
  <c r="Q226" i="9"/>
  <c r="J226" i="9" l="1"/>
  <c r="M226" i="9" s="1"/>
  <c r="N226" i="9" s="1"/>
  <c r="J224" i="9"/>
  <c r="M224" i="9" s="1"/>
  <c r="N224" i="9" s="1"/>
  <c r="O2" i="12"/>
  <c r="B18" i="11"/>
  <c r="F82" i="6"/>
  <c r="J228" i="9"/>
  <c r="M228" i="9" s="1"/>
  <c r="N228" i="9" s="1"/>
  <c r="J227" i="9"/>
  <c r="M227" i="9" s="1"/>
  <c r="N227" i="9" s="1"/>
  <c r="S10" i="11"/>
  <c r="W240" i="9"/>
  <c r="X240" i="9" s="1"/>
  <c r="W241" i="9"/>
  <c r="W10" i="11" l="1"/>
  <c r="U114" i="11"/>
  <c r="H229" i="9"/>
  <c r="Q114" i="11"/>
  <c r="H230" i="9"/>
  <c r="S18" i="11"/>
  <c r="R117" i="11"/>
  <c r="R114" i="11"/>
  <c r="R116" i="11"/>
  <c r="R113" i="11"/>
  <c r="R115" i="11"/>
  <c r="H235" i="9"/>
  <c r="P115" i="11"/>
  <c r="P117" i="11"/>
  <c r="P114" i="11"/>
  <c r="P116" i="11"/>
  <c r="P118" i="11"/>
  <c r="P113" i="11"/>
  <c r="H238" i="9"/>
  <c r="W18" i="11" l="1"/>
  <c r="V238" i="9"/>
  <c r="V230" i="9"/>
  <c r="P229" i="9"/>
  <c r="Q229" i="9" s="1"/>
  <c r="P230" i="9"/>
  <c r="Q230" i="9" s="1"/>
  <c r="V229" i="9"/>
  <c r="P235" i="9"/>
  <c r="Q235" i="9" s="1"/>
  <c r="P236" i="9"/>
  <c r="Q236" i="9" s="1"/>
  <c r="V235" i="9"/>
  <c r="W236" i="9" l="1"/>
  <c r="X236" i="9" s="1"/>
  <c r="W235" i="9"/>
  <c r="X235" i="9" s="1"/>
  <c r="W230" i="9"/>
  <c r="X230" i="9" s="1"/>
  <c r="W229" i="9"/>
  <c r="X229" i="9" s="1"/>
  <c r="J229" i="9" l="1"/>
  <c r="M229" i="9" s="1"/>
  <c r="N229" i="9" s="1"/>
  <c r="J230" i="9"/>
  <c r="M230" i="9" s="1"/>
  <c r="N230" i="9" s="1"/>
  <c r="J236" i="9"/>
  <c r="M236" i="9" s="1"/>
  <c r="N236" i="9" s="1"/>
  <c r="J235" i="9"/>
  <c r="M235" i="9" s="1"/>
  <c r="N235" i="9" s="1"/>
  <c r="T160" i="11" l="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W16" i="11"/>
  <c r="J238" i="9"/>
  <c r="M238" i="9" s="1"/>
  <c r="N238" i="9" s="1"/>
  <c r="Q160" i="11" l="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60" i="11" l="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60" i="11" l="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J265" i="9"/>
  <c r="M265" i="9" s="1"/>
  <c r="N265" i="9" s="1"/>
  <c r="J264" i="9"/>
  <c r="M264" i="9" s="1"/>
  <c r="N264" i="9" s="1"/>
  <c r="O160" i="11" l="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J294" i="9"/>
  <c r="M294" i="9" s="1"/>
  <c r="N294" i="9" s="1"/>
  <c r="R160" i="11" l="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61" i="11" s="1"/>
  <c r="U159" i="11" l="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10" i="11"/>
  <c r="AI9" i="11"/>
  <c r="AI8" i="11"/>
  <c r="P306" i="9" l="1"/>
  <c r="Q306" i="9" s="1"/>
  <c r="P307" i="9"/>
  <c r="Q307" i="9" s="1"/>
  <c r="V306" i="9"/>
  <c r="G25" i="11"/>
  <c r="M19" i="11" s="1"/>
  <c r="M7" i="11"/>
  <c r="M17" i="11"/>
  <c r="M18" i="11"/>
  <c r="M14" i="11"/>
  <c r="W307" i="9" l="1"/>
  <c r="X307" i="9" s="1"/>
  <c r="J307" i="9" s="1"/>
  <c r="M307" i="9" s="1"/>
  <c r="N307" i="9" s="1"/>
  <c r="W306" i="9"/>
  <c r="X306" i="9" s="1"/>
  <c r="J306" i="9" s="1"/>
  <c r="M306" i="9" s="1"/>
  <c r="N306" i="9" s="1"/>
  <c r="H308" i="9" s="1"/>
  <c r="M10" i="11"/>
  <c r="M9" i="11"/>
  <c r="M16" i="11"/>
  <c r="M13" i="11"/>
  <c r="M12" i="11"/>
  <c r="M15" i="11"/>
  <c r="M8" i="11"/>
  <c r="M11" i="11"/>
  <c r="M20" i="11"/>
  <c r="I25" i="11"/>
  <c r="P309" i="9" l="1"/>
  <c r="P308" i="9"/>
  <c r="Q308" i="9" s="1"/>
  <c r="H309" i="9"/>
  <c r="K153" i="11"/>
  <c r="V308" i="9"/>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W308" i="9" l="1"/>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J310" i="9" s="1"/>
  <c r="M310" i="9" s="1"/>
  <c r="W311" i="9"/>
  <c r="X311" i="9" s="1"/>
  <c r="J311" i="9" s="1"/>
  <c r="M311" i="9" s="1"/>
  <c r="N311" i="9" s="1"/>
  <c r="H313" i="9" s="1"/>
  <c r="R50" i="10"/>
  <c r="P313" i="9" l="1"/>
  <c r="Q313" i="9" s="1"/>
  <c r="P312" i="9"/>
  <c r="V313" i="9"/>
  <c r="K155" i="11"/>
  <c r="N310" i="9"/>
  <c r="H312" i="9" s="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J321" i="9" s="1"/>
  <c r="M321" i="9" s="1"/>
  <c r="N321" i="9" s="1"/>
  <c r="W320" i="9"/>
  <c r="X320" i="9" s="1"/>
  <c r="J320" i="9" s="1"/>
  <c r="M320" i="9" s="1"/>
  <c r="H323" i="9" l="1"/>
  <c r="N320" i="9"/>
  <c r="K160" i="11"/>
  <c r="P160" i="11"/>
  <c r="P323" i="9" l="1"/>
  <c r="Q323" i="9" s="1"/>
  <c r="P322" i="9"/>
  <c r="V323" i="9"/>
  <c r="H322" i="9"/>
  <c r="W323" i="9" l="1"/>
  <c r="X323" i="9" s="1"/>
  <c r="W322" i="9"/>
  <c r="Q322" i="9"/>
  <c r="V322" i="9"/>
  <c r="J323" i="9" l="1"/>
  <c r="M323" i="9" s="1"/>
  <c r="N323" i="9" s="1"/>
  <c r="X322" i="9"/>
  <c r="J322" i="9" s="1"/>
  <c r="M322" i="9" s="1"/>
  <c r="H19" i="7"/>
  <c r="N322" i="9"/>
  <c r="H18" i="7" l="1"/>
  <c r="B19" i="7"/>
  <c r="B18" i="7"/>
  <c r="K161" i="11"/>
  <c r="B2" i="12"/>
  <c r="B7" i="12"/>
  <c r="H17" i="7"/>
  <c r="B17" i="7"/>
  <c r="P161" i="11"/>
  <c r="E18" i="7"/>
  <c r="D18" i="7"/>
  <c r="F18" i="7"/>
  <c r="C18" i="7"/>
  <c r="E19" i="7"/>
  <c r="D19" i="7"/>
  <c r="C19" i="7"/>
  <c r="F19" i="7"/>
  <c r="F79" i="6" l="1"/>
  <c r="S79" i="6" s="1"/>
  <c r="D2" i="12"/>
  <c r="B7" i="11"/>
  <c r="S7" i="11" s="1"/>
  <c r="D17" i="7"/>
  <c r="E17" i="7"/>
  <c r="C17" i="7"/>
  <c r="F17" i="7" s="1"/>
  <c r="I2" i="12"/>
  <c r="B12" i="11"/>
  <c r="F80" i="6"/>
  <c r="S80" i="6" s="1"/>
  <c r="C4" i="6" s="1"/>
  <c r="W7" i="11" l="1"/>
  <c r="AI7" i="11"/>
  <c r="A5" i="2"/>
  <c r="B28" i="7" s="1"/>
  <c r="A6" i="2"/>
  <c r="B17" i="8"/>
  <c r="E19" i="11"/>
  <c r="D7" i="11"/>
  <c r="L7" i="11" s="1"/>
  <c r="D13" i="11"/>
  <c r="L13" i="11" s="1"/>
  <c r="D17" i="11"/>
  <c r="L17" i="11" s="1"/>
  <c r="D16" i="11"/>
  <c r="L16" i="11" s="1"/>
  <c r="E16" i="11"/>
  <c r="E14" i="11"/>
  <c r="E15" i="11"/>
  <c r="E9" i="11"/>
  <c r="E13" i="11"/>
  <c r="E11" i="11"/>
  <c r="E10" i="11"/>
  <c r="D10" i="11"/>
  <c r="L10" i="11" s="1"/>
  <c r="C19" i="8"/>
  <c r="D18" i="8"/>
  <c r="C17" i="8"/>
  <c r="D19" i="11"/>
  <c r="L19" i="11" s="1"/>
  <c r="A5" i="8"/>
  <c r="D12" i="11"/>
  <c r="L12" i="11" s="1"/>
  <c r="E8" i="11"/>
  <c r="B18" i="8"/>
  <c r="D18" i="11"/>
  <c r="L18" i="11" s="1"/>
  <c r="E12" i="11"/>
  <c r="B15" i="4" s="1"/>
  <c r="B19" i="8"/>
  <c r="E17" i="11"/>
  <c r="D11" i="11"/>
  <c r="L11" i="11" s="1"/>
  <c r="D8" i="11"/>
  <c r="L8" i="11" s="1"/>
  <c r="D19" i="8"/>
  <c r="D9" i="11"/>
  <c r="L9" i="11" s="1"/>
  <c r="S12" i="11"/>
  <c r="D14" i="11"/>
  <c r="L14" i="11" s="1"/>
  <c r="D20" i="11"/>
  <c r="L20" i="11" s="1"/>
  <c r="C18" i="8"/>
  <c r="E7" i="11"/>
  <c r="E18" i="11"/>
  <c r="E20" i="11"/>
  <c r="D15" i="11"/>
  <c r="L15" i="11" s="1"/>
  <c r="C7" i="12"/>
  <c r="C12" i="11" s="1"/>
  <c r="C10" i="12"/>
  <c r="C15" i="11" s="1"/>
  <c r="AA15" i="11" s="1"/>
  <c r="C9" i="12"/>
  <c r="C14" i="11" s="1"/>
  <c r="AA14" i="11" s="1"/>
  <c r="C8" i="12"/>
  <c r="C13" i="11" s="1"/>
  <c r="AA13" i="11" s="1"/>
  <c r="C2" i="12"/>
  <c r="C7" i="11" s="1"/>
  <c r="AA7" i="11" s="1"/>
  <c r="C11" i="12"/>
  <c r="C16" i="11" s="1"/>
  <c r="AA16" i="11" s="1"/>
  <c r="C13" i="12"/>
  <c r="C18" i="11" s="1"/>
  <c r="AA18" i="11" s="1"/>
  <c r="C3" i="12"/>
  <c r="C8" i="11" s="1"/>
  <c r="AA8" i="11" s="1"/>
  <c r="C14" i="12"/>
  <c r="C19" i="11" s="1"/>
  <c r="AA19" i="11" s="1"/>
  <c r="C12" i="12"/>
  <c r="C17" i="11" s="1"/>
  <c r="AA17" i="11" s="1"/>
  <c r="C5" i="12"/>
  <c r="C10" i="11" s="1"/>
  <c r="AA10" i="11" s="1"/>
  <c r="C6" i="12"/>
  <c r="C11" i="11" s="1"/>
  <c r="AA11" i="11" s="1"/>
  <c r="C4" i="12"/>
  <c r="C9" i="11" s="1"/>
  <c r="AA9" i="11" s="1"/>
  <c r="C15" i="12"/>
  <c r="C20" i="11" s="1"/>
  <c r="AA20" i="11" s="1"/>
  <c r="AA12" i="11" l="1"/>
  <c r="B28" i="4" s="1"/>
  <c r="B12" i="4"/>
  <c r="A8" i="8"/>
  <c r="AI12" i="11"/>
  <c r="W12" i="11"/>
  <c r="B24" i="4" s="1"/>
  <c r="B15" i="3" l="1"/>
  <c r="B17" i="3"/>
  <c r="B16" i="3"/>
  <c r="B8" i="3"/>
  <c r="B12" i="3"/>
  <c r="B13" i="3"/>
  <c r="B10" i="3"/>
  <c r="B14" i="3"/>
  <c r="B6" i="3"/>
  <c r="B9" i="3"/>
  <c r="B7" i="3"/>
  <c r="B11" i="3"/>
  <c r="B18" i="3"/>
  <c r="B5" i="3"/>
  <c r="R13" i="3" l="1"/>
  <c r="E13" i="3"/>
  <c r="H13" i="3"/>
  <c r="J13" i="3"/>
  <c r="C13" i="3"/>
  <c r="U13" i="3" s="1"/>
  <c r="V13" i="3"/>
  <c r="K13" i="3"/>
  <c r="AE8" i="11" s="1"/>
  <c r="I13" i="3"/>
  <c r="M13" i="3"/>
  <c r="P13" i="3"/>
  <c r="X13" i="3"/>
  <c r="S13" i="3"/>
  <c r="Q13" i="3"/>
  <c r="T13" i="3"/>
  <c r="O13" i="3"/>
  <c r="D13" i="3"/>
  <c r="X12" i="3"/>
  <c r="I12" i="3"/>
  <c r="S12" i="3"/>
  <c r="K12" i="3"/>
  <c r="AE19" i="11" s="1"/>
  <c r="J12" i="3"/>
  <c r="Q12" i="3"/>
  <c r="P12" i="3"/>
  <c r="T12" i="3"/>
  <c r="O12" i="3"/>
  <c r="R12" i="3"/>
  <c r="V12" i="3"/>
  <c r="M12" i="3"/>
  <c r="D12" i="3"/>
  <c r="H12" i="3"/>
  <c r="C12" i="3"/>
  <c r="U12" i="3" s="1"/>
  <c r="E12" i="3"/>
  <c r="Q5" i="3"/>
  <c r="M5" i="3"/>
  <c r="D5" i="3"/>
  <c r="E5" i="3"/>
  <c r="C5" i="3"/>
  <c r="V5" i="3"/>
  <c r="O5" i="3"/>
  <c r="K5" i="3"/>
  <c r="P5" i="3"/>
  <c r="S5" i="3"/>
  <c r="B5" i="4"/>
  <c r="X5" i="3"/>
  <c r="AD7" i="11"/>
  <c r="I5" i="3"/>
  <c r="J5" i="3"/>
  <c r="H5" i="3"/>
  <c r="T5" i="3"/>
  <c r="R5" i="3"/>
  <c r="AD15" i="11"/>
  <c r="X9" i="3"/>
  <c r="Q9" i="3"/>
  <c r="I9" i="3"/>
  <c r="T9" i="3"/>
  <c r="S9" i="3"/>
  <c r="E9" i="3"/>
  <c r="O9" i="3"/>
  <c r="P9" i="3"/>
  <c r="C9" i="3"/>
  <c r="U9" i="3" s="1"/>
  <c r="K9" i="3"/>
  <c r="Y17" i="11" s="1"/>
  <c r="V9" i="3"/>
  <c r="H9" i="3"/>
  <c r="J9" i="3"/>
  <c r="R9" i="3"/>
  <c r="M9" i="3"/>
  <c r="D9" i="3"/>
  <c r="AD17" i="11" s="1"/>
  <c r="I8" i="3"/>
  <c r="E8" i="3"/>
  <c r="H8" i="3"/>
  <c r="J8" i="3"/>
  <c r="P8" i="3"/>
  <c r="K8" i="3"/>
  <c r="T8" i="3"/>
  <c r="Q8" i="3"/>
  <c r="O8" i="3"/>
  <c r="S8" i="3"/>
  <c r="C8" i="3"/>
  <c r="U8" i="3" s="1"/>
  <c r="X8" i="3"/>
  <c r="R8" i="3"/>
  <c r="V8" i="3"/>
  <c r="M8" i="3"/>
  <c r="D8" i="3"/>
  <c r="H11" i="3"/>
  <c r="P11" i="3"/>
  <c r="O11" i="3"/>
  <c r="X11" i="3"/>
  <c r="D11" i="3"/>
  <c r="R11" i="3"/>
  <c r="M11" i="3"/>
  <c r="Q11" i="3"/>
  <c r="J11" i="3"/>
  <c r="I11" i="3"/>
  <c r="S11" i="3"/>
  <c r="E11" i="3"/>
  <c r="K11" i="3"/>
  <c r="AE18" i="11" s="1"/>
  <c r="C11" i="3"/>
  <c r="U11" i="3" s="1"/>
  <c r="T11" i="3"/>
  <c r="V11" i="3"/>
  <c r="P6" i="3"/>
  <c r="O6" i="3"/>
  <c r="E6" i="3"/>
  <c r="Q6" i="3"/>
  <c r="V6" i="3"/>
  <c r="J6" i="3"/>
  <c r="H6" i="3"/>
  <c r="D6" i="3"/>
  <c r="R6" i="3"/>
  <c r="M6" i="3"/>
  <c r="X6" i="3"/>
  <c r="C6" i="3"/>
  <c r="U6" i="3" s="1"/>
  <c r="I6" i="3"/>
  <c r="T6" i="3"/>
  <c r="S6" i="3"/>
  <c r="K6" i="3"/>
  <c r="E10" i="3"/>
  <c r="T10" i="3"/>
  <c r="K10" i="3"/>
  <c r="AE14" i="11" s="1"/>
  <c r="J10" i="3"/>
  <c r="S10" i="3"/>
  <c r="Q10" i="3"/>
  <c r="P10" i="3"/>
  <c r="C10" i="3"/>
  <c r="U10" i="3" s="1"/>
  <c r="I10" i="3"/>
  <c r="D10" i="3"/>
  <c r="AD14" i="11" s="1"/>
  <c r="V10" i="3"/>
  <c r="M10" i="3"/>
  <c r="R10" i="3"/>
  <c r="O10" i="3"/>
  <c r="H10" i="3"/>
  <c r="X10" i="3"/>
  <c r="M16" i="3"/>
  <c r="P16" i="3"/>
  <c r="O16" i="3"/>
  <c r="J16" i="3"/>
  <c r="K16" i="3"/>
  <c r="E16" i="3"/>
  <c r="I16" i="3"/>
  <c r="D16" i="3"/>
  <c r="C16" i="3"/>
  <c r="U16" i="3" s="1"/>
  <c r="S16" i="3"/>
  <c r="R16" i="3"/>
  <c r="Q16" i="3"/>
  <c r="T16" i="3"/>
  <c r="V16" i="3"/>
  <c r="X16" i="3"/>
  <c r="H16" i="3"/>
  <c r="S17" i="3"/>
  <c r="E17" i="3"/>
  <c r="J17" i="3"/>
  <c r="H17" i="3"/>
  <c r="O17" i="3"/>
  <c r="X17" i="3"/>
  <c r="V17" i="3"/>
  <c r="M17" i="3"/>
  <c r="P17" i="3"/>
  <c r="K17" i="3"/>
  <c r="C17" i="3"/>
  <c r="U17" i="3" s="1"/>
  <c r="D17" i="3"/>
  <c r="B10" i="4" s="1"/>
  <c r="T17" i="3"/>
  <c r="I17" i="3"/>
  <c r="R17" i="3"/>
  <c r="Q17" i="3"/>
  <c r="K18" i="3"/>
  <c r="AE16" i="11" s="1"/>
  <c r="X18" i="3"/>
  <c r="M18" i="3"/>
  <c r="I18" i="3"/>
  <c r="C18" i="3"/>
  <c r="U18" i="3" s="1"/>
  <c r="Q18" i="3"/>
  <c r="P18" i="3"/>
  <c r="R18" i="3"/>
  <c r="J18" i="3"/>
  <c r="D18" i="3"/>
  <c r="T18" i="3"/>
  <c r="V18" i="3"/>
  <c r="E18" i="3"/>
  <c r="S18" i="3"/>
  <c r="O18" i="3"/>
  <c r="H18" i="3"/>
  <c r="E7" i="3"/>
  <c r="S7" i="3"/>
  <c r="C7" i="3"/>
  <c r="U7" i="3" s="1"/>
  <c r="R7" i="3"/>
  <c r="M7" i="3"/>
  <c r="T7" i="3"/>
  <c r="P7" i="3"/>
  <c r="Q7" i="3"/>
  <c r="H7" i="3"/>
  <c r="D7" i="3"/>
  <c r="K7" i="3"/>
  <c r="AE7" i="11" s="1"/>
  <c r="V7" i="3"/>
  <c r="J7" i="3"/>
  <c r="O7" i="3"/>
  <c r="I7" i="3"/>
  <c r="X7" i="3"/>
  <c r="C14" i="3"/>
  <c r="U14" i="3" s="1"/>
  <c r="R14" i="3"/>
  <c r="Q14" i="3"/>
  <c r="H14" i="3"/>
  <c r="S14" i="3"/>
  <c r="X14" i="3"/>
  <c r="I14" i="3"/>
  <c r="J14" i="3"/>
  <c r="P14" i="3"/>
  <c r="K14" i="3"/>
  <c r="Y9" i="11" s="1"/>
  <c r="E14" i="3"/>
  <c r="T14" i="3"/>
  <c r="V14" i="3"/>
  <c r="D14" i="3"/>
  <c r="M14" i="3"/>
  <c r="O14" i="3"/>
  <c r="T15" i="3"/>
  <c r="M15" i="3"/>
  <c r="V15" i="3"/>
  <c r="I15" i="3"/>
  <c r="P15" i="3"/>
  <c r="K15" i="3"/>
  <c r="AE20" i="11" s="1"/>
  <c r="C15" i="3"/>
  <c r="U15" i="3" s="1"/>
  <c r="D15" i="3"/>
  <c r="O15" i="3"/>
  <c r="J15" i="3"/>
  <c r="H15" i="3"/>
  <c r="Q15" i="3"/>
  <c r="X15" i="3"/>
  <c r="S15" i="3"/>
  <c r="E15" i="3"/>
  <c r="R15" i="3"/>
  <c r="AD10" i="11" l="1"/>
  <c r="B11" i="4"/>
  <c r="AE11" i="11"/>
  <c r="AE13" i="11"/>
  <c r="Y20" i="11"/>
  <c r="AD12" i="11"/>
  <c r="Y16" i="11"/>
  <c r="Y8" i="11"/>
  <c r="F13" i="3"/>
  <c r="G13" i="3"/>
  <c r="X8" i="11" s="1"/>
  <c r="L13" i="3"/>
  <c r="G11" i="3"/>
  <c r="X18" i="11" s="1"/>
  <c r="AB18" i="11" s="1"/>
  <c r="F11" i="3"/>
  <c r="L11" i="3"/>
  <c r="AD18" i="11"/>
  <c r="AF18" i="11" s="1"/>
  <c r="Y7" i="11"/>
  <c r="AE12" i="11"/>
  <c r="AD19" i="11"/>
  <c r="AF19" i="11" s="1"/>
  <c r="W12" i="3" s="1"/>
  <c r="L12" i="3"/>
  <c r="G12" i="3"/>
  <c r="X19" i="11" s="1"/>
  <c r="F12" i="3"/>
  <c r="Y10" i="11"/>
  <c r="Y19" i="11"/>
  <c r="Y13" i="11"/>
  <c r="AD8" i="11"/>
  <c r="F9" i="3"/>
  <c r="G9" i="3"/>
  <c r="X17" i="11" s="1"/>
  <c r="AB17" i="11" s="1"/>
  <c r="L9" i="3"/>
  <c r="B6" i="4"/>
  <c r="G8" i="3"/>
  <c r="F8" i="3"/>
  <c r="L8" i="3"/>
  <c r="AE17" i="11"/>
  <c r="B22" i="7"/>
  <c r="B31" i="7"/>
  <c r="C22" i="7"/>
  <c r="L14" i="3"/>
  <c r="F14" i="3"/>
  <c r="G14" i="3"/>
  <c r="X9" i="11" s="1"/>
  <c r="AB9" i="11" s="1"/>
  <c r="AD13" i="11"/>
  <c r="G17" i="3"/>
  <c r="L17" i="3"/>
  <c r="F17" i="3"/>
  <c r="Y12" i="11"/>
  <c r="B26" i="4" s="1"/>
  <c r="AE9" i="11"/>
  <c r="AE15" i="11"/>
  <c r="N13" i="3"/>
  <c r="N18" i="3"/>
  <c r="N10" i="3"/>
  <c r="N14" i="3"/>
  <c r="N12" i="3"/>
  <c r="N7" i="3"/>
  <c r="B33" i="7"/>
  <c r="N11" i="3"/>
  <c r="U5" i="3"/>
  <c r="N5" i="3"/>
  <c r="N6" i="3"/>
  <c r="N16" i="3"/>
  <c r="N9" i="3"/>
  <c r="N15" i="3"/>
  <c r="N8" i="3"/>
  <c r="N17" i="3"/>
  <c r="Y11" i="11"/>
  <c r="AE10" i="11"/>
  <c r="B21" i="7"/>
  <c r="G5" i="3"/>
  <c r="X15" i="11" s="1"/>
  <c r="F5" i="3"/>
  <c r="A10" i="8"/>
  <c r="L5" i="3"/>
  <c r="B30" i="7"/>
  <c r="C21" i="7"/>
  <c r="F21" i="7" s="1"/>
  <c r="Y18" i="11"/>
  <c r="Y15" i="11"/>
  <c r="G15" i="3"/>
  <c r="X20" i="11" s="1"/>
  <c r="AB20" i="11" s="1"/>
  <c r="L15" i="3"/>
  <c r="F15" i="3"/>
  <c r="AD20" i="11"/>
  <c r="AF20" i="11" s="1"/>
  <c r="W15" i="3" s="1"/>
  <c r="F16" i="3"/>
  <c r="L16" i="3"/>
  <c r="G16" i="3"/>
  <c r="G6" i="3"/>
  <c r="X11" i="11" s="1"/>
  <c r="F6" i="3"/>
  <c r="L6" i="3"/>
  <c r="AD11" i="11"/>
  <c r="T2" i="3"/>
  <c r="L7" i="3"/>
  <c r="F7" i="3"/>
  <c r="G7" i="3"/>
  <c r="AD16" i="11"/>
  <c r="F18" i="3"/>
  <c r="L18" i="3"/>
  <c r="G18" i="3"/>
  <c r="X16" i="11" s="1"/>
  <c r="AB16" i="11" s="1"/>
  <c r="AF16" i="11" s="1"/>
  <c r="W18" i="3" s="1"/>
  <c r="F10" i="3"/>
  <c r="G10" i="3"/>
  <c r="X14" i="11" s="1"/>
  <c r="L10" i="3"/>
  <c r="Y14" i="11"/>
  <c r="AD9" i="11"/>
  <c r="W11" i="3"/>
  <c r="AB8" i="11" l="1"/>
  <c r="X7" i="11"/>
  <c r="B8" i="4"/>
  <c r="B16" i="4"/>
  <c r="AB7" i="11"/>
  <c r="AF7" i="11" s="1"/>
  <c r="AB15" i="11"/>
  <c r="AB14" i="11"/>
  <c r="AF14" i="11" s="1"/>
  <c r="W10" i="3" s="1"/>
  <c r="X13" i="11"/>
  <c r="AB13" i="11" s="1"/>
  <c r="AF13" i="11" s="1"/>
  <c r="W8" i="3" s="1"/>
  <c r="AF8" i="11"/>
  <c r="W13" i="3" s="1"/>
  <c r="AB19" i="11"/>
  <c r="A3" i="3"/>
  <c r="AF15" i="11"/>
  <c r="W5" i="3" s="1"/>
  <c r="AB11" i="11"/>
  <c r="AF11" i="11" s="1"/>
  <c r="W6" i="3" s="1"/>
  <c r="AF17" i="11"/>
  <c r="W9" i="3" s="1"/>
  <c r="X10" i="11"/>
  <c r="AB10" i="11" s="1"/>
  <c r="AF10" i="11" s="1"/>
  <c r="X12" i="11"/>
  <c r="B9" i="4"/>
  <c r="AF9" i="11"/>
  <c r="W14" i="3" s="1"/>
  <c r="W7" i="3" l="1"/>
  <c r="B25" i="4"/>
  <c r="AB12" i="11"/>
  <c r="B23" i="4" l="1"/>
  <c r="AF12" i="11"/>
  <c r="W16" i="3" s="1"/>
  <c r="B7" i="4" l="1"/>
  <c r="W17" i="3"/>
</calcChain>
</file>

<file path=xl/sharedStrings.xml><?xml version="1.0" encoding="utf-8"?>
<sst xmlns="http://schemas.openxmlformats.org/spreadsheetml/2006/main" count="1893" uniqueCount="447">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</sst>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10</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1016</v>
      </c>
      <c r="D28" s="30" t="str">
        <f>IF(OR($B28="—",$B28=""),"—",COUNTIFS('Match Log'!$D$4:$D$810,$B28,'Match Log'!$C$4:$C$810,$A28,'Match Log'!$E$4:$E$810,"Win")&amp;"–"&amp;(COUNTIFS('Match Log'!$D$4:$D$810,$B28,'Match Log'!$C$4:$C$810,$A28)-COUNTIFS('Match Log'!$D$4:$D$810,$B28,'Match Log'!$C$4:$C$810,$A28,'Match Log'!$E$4:$E$810,"Win")))</f>
        <v>4–2</v>
      </c>
      <c r="E28" s="30">
        <f>'Sport Records'!$P$26</f>
        <v>10</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137  ·  11 Jul 2026</v>
      </c>
      <c r="T2" s="44" t="str">
        <f>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1051.9558839854085</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Aaron</v>
      </c>
      <c r="C6" s="48">
        <f>INDEX(Engine!$B$2:$B$15,MATCH($B6,Engine!$A$2:$A$15,0))+SUMIF('Poker Stake Ledger'!$C$18:$C$137,$B6,'Poker Stake Ledger'!$K$18:$K$137)</f>
        <v>1131.7327279757073</v>
      </c>
      <c r="D6" s="49">
        <f>COUNTIF('Match Log'!$D$4:$D$810,$B6)</f>
        <v>36</v>
      </c>
      <c r="E6" s="49">
        <f>COUNTIFS('Match Log'!$D$4:$D$810,$B6,'Match Log'!$E$4:$E$810,"Win")</f>
        <v>21</v>
      </c>
      <c r="F6" s="49">
        <f>$D6-$E6</f>
        <v>15</v>
      </c>
      <c r="G6" s="50">
        <f>IF($D6=0,"",$E6/$D6)</f>
        <v>0.58333333333333337</v>
      </c>
      <c r="H6" s="51">
        <f>SUMIF('Match Log'!$D$4:$D$810,$B6,'Match Log'!$J$4:$J$810)</f>
        <v>48.193186425904486</v>
      </c>
      <c r="I6" s="51">
        <f>SUMIF('Match Log'!$D$4:$D$810,$B6,'Match Log'!$K$4:$K$810)</f>
        <v>55.539541549803104</v>
      </c>
      <c r="J6" s="51">
        <f>SUMIF('Match Log'!$D$4:$D$810,$B6,'Match Log'!$L$4:$L$810)</f>
        <v>28</v>
      </c>
      <c r="K6" s="49">
        <f>SUMPRODUCT(--(COUNTIFS('Match Log'!$D$4:$D$810,$B6,'Match Log'!$C$4:$C$810,Lists!$C$2:$C$21)&gt;0))</f>
        <v>8</v>
      </c>
      <c r="L6" s="49" t="str">
        <f>IF($D6=0,"No games",IF(AND($D6&gt;='Guide &amp; Settings'!$C$45,$K6&gt;='Guide &amp; Settings'!$C$46),"Eligible","Provisional"))</f>
        <v>Eligible</v>
      </c>
      <c r="M6" s="48">
        <f>IFERROR(INDEX(Calcs!$C$7:$C$20,MATCH($B6,Calcs!$A$7:$A$20,0)),"")</f>
        <v>1024.0260149619828</v>
      </c>
      <c r="N6" s="48">
        <f>MAX($C$5:$C$18)-$C6</f>
        <v>36.478615625036809</v>
      </c>
      <c r="O6" s="49" t="str">
        <f>IFERROR(INDEX(Calcs!$H$7:$H$20,MATCH($B6,Calcs!$A$7:$A$20,0)),"")</f>
        <v>W3</v>
      </c>
      <c r="P6" s="49" t="str">
        <f>IFERROR(INDEX(Calcs!$I$7:$I$20,MATCH($B6,Calcs!$A$7:$A$20,0)),"")</f>
        <v>WLWWW</v>
      </c>
      <c r="Q6" s="49" t="str">
        <f>IFERROR(IF(INDEX(Calcs!$L$7:$L$20,MATCH($B6,Calcs!$A$7:$A$20,0))&gt;0,"▲"&amp;INDEX(Calcs!$L$7:$L$20,MATCH($B6,Calcs!$A$7:$A$20,0)),IF(INDEX(Calcs!$L$7:$L$20,MATCH($B6,Calcs!$A$7:$A$20,0))&lt;0,"▼"&amp;ABS(INDEX(Calcs!$L$7:$L$20,MATCH($B6,Calcs!$A$7:$A$20,0))),"–")),"")</f>
        <v>▲2</v>
      </c>
      <c r="R6" s="49" t="str">
        <f>IFERROR(IF(INDEX(Calcs!$P$7:$P$20,MATCH($B6,Calcs!$A$7:$A$20,0))=0,"—",TEXT(INDEX(Calcs!$P$7:$P$20,MATCH($B6,Calcs!$A$7:$A$20,0)),"d mmm")),"")</f>
        <v>11 Jul</v>
      </c>
      <c r="S6" s="49">
        <f>IFERROR(ROUND(INDEX(Calcs!$Q$7:$Q$20,MATCH($B6,Calcs!$A$7:$A$20,0)),1),"")</f>
        <v>0</v>
      </c>
      <c r="T6" s="49" t="str">
        <f>IFERROR(INDEX(Calcs!$T$7:$T$20,MATCH($B6,Calcs!$A$7:$A$20,0)),"")</f>
        <v>Active</v>
      </c>
      <c r="U6">
        <f>IFERROR(MAX(0,ROUND($C6-INDEX(Calcs!$S$7:$S$20,MATCH($B6,Calcs!$A$7:$A$20,0)),0)),0)</f>
        <v>0</v>
      </c>
      <c r="V6" s="51">
        <f>IFERROR(ROUND(INDEX(Calcs!$S$7:$S$20,MATCH($B6,Calcs!$A$7:$A$20,0)),0),"")</f>
        <v>1132</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Josh</v>
      </c>
      <c r="C7" s="48">
        <f>INDEX(Engine!$B$2:$B$15,MATCH($B7,Engine!$A$2:$A$15,0))+SUMIF('Poker Stake Ledger'!$C$18:$C$137,$B7,'Poker Stake Ledger'!$K$18:$K$137)</f>
        <v>1129.7012289075892</v>
      </c>
      <c r="D7" s="49">
        <f>COUNTIF('Match Log'!$D$4:$D$810,$B7)</f>
        <v>32</v>
      </c>
      <c r="E7" s="49">
        <f>COUNTIFS('Match Log'!$D$4:$D$810,$B7,'Match Log'!$E$4:$E$810,"Win")</f>
        <v>20</v>
      </c>
      <c r="F7" s="49">
        <f>$D7-$E7</f>
        <v>12</v>
      </c>
      <c r="G7" s="50">
        <f>IF($D7=0,"",$E7/$D7)</f>
        <v>0.625</v>
      </c>
      <c r="H7" s="51">
        <f>SUMIF('Match Log'!$D$4:$D$810,$B7,'Match Log'!$J$4:$J$810)</f>
        <v>36.229836962054236</v>
      </c>
      <c r="I7" s="51">
        <f>SUMIF('Match Log'!$D$4:$D$810,$B7,'Match Log'!$K$4:$K$810)</f>
        <v>51.471391945534876</v>
      </c>
      <c r="J7" s="51">
        <f>SUMIF('Match Log'!$D$4:$D$810,$B7,'Match Log'!$L$4:$L$810)</f>
        <v>42</v>
      </c>
      <c r="K7" s="49">
        <f>SUMPRODUCT(--(COUNTIFS('Match Log'!$D$4:$D$810,$B7,'Match Log'!$C$4:$C$810,Lists!$C$2:$C$21)&gt;0))</f>
        <v>8</v>
      </c>
      <c r="L7" s="49" t="str">
        <f>IF($D7=0,"No games",IF(AND($D7&gt;='Guide &amp; Settings'!$C$45,$K7&gt;='Guide &amp; Settings'!$C$46),"Eligible","Provisional"))</f>
        <v>Eligible</v>
      </c>
      <c r="M7" s="48">
        <f>IFERROR(INDEX(Calcs!$C$7:$C$20,MATCH($B7,Calcs!$A$7:$A$20,0)),"")</f>
        <v>1037.2383023711334</v>
      </c>
      <c r="N7" s="48">
        <f>MAX($C$5:$C$18)-$C7</f>
        <v>38.510114693154947</v>
      </c>
      <c r="O7" s="49" t="str">
        <f>IFERROR(INDEX(Calcs!$H$7:$H$20,MATCH($B7,Calcs!$A$7:$A$20,0)),"")</f>
        <v>L1</v>
      </c>
      <c r="P7" s="49" t="str">
        <f>IFERROR(INDEX(Calcs!$I$7:$I$20,MATCH($B7,Calcs!$A$7:$A$20,0)),"")</f>
        <v>LLWWL</v>
      </c>
      <c r="Q7" s="49" t="str">
        <f>IFERROR(IF(INDEX(Calcs!$L$7:$L$20,MATCH($B7,Calcs!$A$7:$A$20,0))&gt;0,"▲"&amp;INDEX(Calcs!$L$7:$L$20,MATCH($B7,Calcs!$A$7:$A$20,0)),IF(INDEX(Calcs!$L$7:$L$20,MATCH($B7,Calcs!$A$7:$A$20,0))&lt;0,"▼"&amp;ABS(INDEX(Calcs!$L$7:$L$20,MATCH($B7,Calcs!$A$7:$A$20,0))),"–")),"")</f>
        <v>–</v>
      </c>
      <c r="R7" s="49" t="str">
        <f>IFERROR(IF(INDEX(Calcs!$P$7:$P$20,MATCH($B7,Calcs!$A$7:$A$20,0))=0,"—",TEXT(INDEX(Calcs!$P$7:$P$20,MATCH($B7,Calcs!$A$7:$A$20,0)),"d mmm")),"")</f>
        <v>26 Jun</v>
      </c>
      <c r="S7" s="49">
        <f>IFERROR(ROUND(INDEX(Calcs!$Q$7:$Q$20,MATCH($B7,Calcs!$A$7:$A$20,0)),1),"")</f>
        <v>2.1</v>
      </c>
      <c r="T7" s="49" t="str">
        <f>IFERROR(INDEX(Calcs!$T$7:$T$20,MATCH($B7,Calcs!$A$7:$A$20,0)),"")</f>
        <v>At risk</v>
      </c>
      <c r="U7">
        <f>IFERROR(MAX(0,ROUND($C7-INDEX(Calcs!$S$7:$S$20,MATCH($B7,Calcs!$A$7:$A$20,0)),0)),0)</f>
        <v>0</v>
      </c>
      <c r="V7" s="51">
        <f>IFERROR(ROUND(INDEX(Calcs!$S$7:$S$20,MATCH($B7,Calcs!$A$7:$A$20,0)),0),"")</f>
        <v>1130</v>
      </c>
      <c r="W7" s="49" t="str">
        <f>IFERROR(INDEX(Calcs!$AF$7:$AF$20,MATCH($B7,Calcs!$A$7:$A$20,0)),"")</f>
        <v>Elite</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1054.1734744168207</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▲1</v>
      </c>
      <c r="R8" s="49" t="str">
        <f>IFERROR(IF(INDEX(Calcs!$P$7:$P$20,MATCH($B8,Calcs!$A$7:$A$20,0))=0,"—",TEXT(INDEX(Calcs!$P$7:$P$20,MATCH($B8,Calcs!$A$7:$A$20,0)),"d mmm")),"")</f>
        <v>15 Jun</v>
      </c>
      <c r="S8" s="49">
        <f>IFERROR(ROUND(INDEX(Calcs!$Q$7:$Q$20,MATCH($B8,Calcs!$A$7:$A$20,0)),1),"")</f>
        <v>3.7</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1055.3113468209158</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▼3</v>
      </c>
      <c r="R9" s="49" t="str">
        <f>IFERROR(IF(INDEX(Calcs!$P$7:$P$20,MATCH($B9,Calcs!$A$7:$A$20,0))=0,"—",TEXT(INDEX(Calcs!$P$7:$P$20,MATCH($B9,Calcs!$A$7:$A$20,0)),"d mmm")),"")</f>
        <v>6 Jul</v>
      </c>
      <c r="S9" s="49">
        <f>IFERROR(ROUND(INDEX(Calcs!$Q$7:$Q$20,MATCH($B9,Calcs!$A$7:$A$20,0)),1),"")</f>
        <v>0.7</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Daniel (Ferret)</v>
      </c>
      <c r="C10" s="48">
        <f>INDEX(Engine!$B$2:$B$15,MATCH($B10,Engine!$A$2:$A$15,0))+SUMIF('Poker Stake Ledger'!$C$18:$C$137,$B10,'Poker Stake Ledger'!$K$18:$K$137)</f>
        <v>1050.8634549674414</v>
      </c>
      <c r="D10" s="49">
        <f>COUNTIF('Match Log'!$D$4:$D$810,$B10)</f>
        <v>52</v>
      </c>
      <c r="E10" s="49">
        <f>COUNTIFS('Match Log'!$D$4:$D$810,$B10,'Match Log'!$E$4:$E$810,"Win")</f>
        <v>23</v>
      </c>
      <c r="F10" s="49">
        <f>$D10-$E10</f>
        <v>29</v>
      </c>
      <c r="G10" s="50">
        <f>IF($D10=0,"",$E10/$D10)</f>
        <v>0.44230769230769229</v>
      </c>
      <c r="H10" s="51">
        <f>SUMIF('Match Log'!$D$4:$D$810,$B10,'Match Log'!$J$4:$J$810)</f>
        <v>-23.673795462339218</v>
      </c>
      <c r="I10" s="51">
        <f>SUMIF('Match Log'!$D$4:$D$810,$B10,'Match Log'!$K$4:$K$810)</f>
        <v>25.537250429780578</v>
      </c>
      <c r="J10" s="51">
        <f>SUMIF('Match Log'!$D$4:$D$810,$B10,'Match Log'!$L$4:$L$810)</f>
        <v>49</v>
      </c>
      <c r="K10" s="49">
        <f>SUMPRODUCT(--(COUNTIFS('Match Log'!$D$4:$D$810,$B10,'Match Log'!$C$4:$C$810,Lists!$C$2:$C$21)&gt;0))</f>
        <v>11</v>
      </c>
      <c r="L10" s="49" t="str">
        <f>IF($D10=0,"No games",IF(AND($D10&gt;='Guide &amp; Settings'!$C$45,$K10&gt;='Guide &amp; Settings'!$C$46),"Eligible","Provisional"))</f>
        <v>Eligible</v>
      </c>
      <c r="M10" s="48">
        <f>IFERROR(INDEX(Calcs!$C$7:$C$20,MATCH($B10,Calcs!$A$7:$A$20,0)),"")</f>
        <v>1061.3598545136369</v>
      </c>
      <c r="N10" s="48">
        <f>MAX($C$5:$C$18)-$C10</f>
        <v>117.34788863330277</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v>
      </c>
      <c r="R10" s="49" t="str">
        <f>IFERROR(IF(INDEX(Calcs!$P$7:$P$20,MATCH($B10,Calcs!$A$7:$A$20,0))=0,"—",TEXT(INDEX(Calcs!$P$7:$P$20,MATCH($B10,Calcs!$A$7:$A$20,0)),"d mmm")),"")</f>
        <v>5 Jul</v>
      </c>
      <c r="S10" s="49">
        <f>IFERROR(ROUND(INDEX(Calcs!$Q$7:$Q$20,MATCH($B10,Calcs!$A$7:$A$20,0)),1),"")</f>
        <v>0.9</v>
      </c>
      <c r="T10" s="49" t="str">
        <f>IFERROR(INDEX(Calcs!$T$7:$T$20,MATCH($B10,Calcs!$A$7:$A$20,0)),"")</f>
        <v>Active</v>
      </c>
      <c r="U10">
        <f>IFERROR(MAX(0,ROUND($C10-INDEX(Calcs!$S$7:$S$20,MATCH($B10,Calcs!$A$7:$A$20,0)),0)),0)</f>
        <v>0</v>
      </c>
      <c r="V10" s="51">
        <f>IFERROR(ROUND(INDEX(Calcs!$S$7:$S$20,MATCH($B10,Calcs!$A$7:$A$20,0)),0),"")</f>
        <v>1051</v>
      </c>
      <c r="W10" s="49" t="str">
        <f>IFERROR(INDEX(Calcs!$AF$7:$AF$20,MATCH($B10,Calcs!$A$7:$A$20,0)),"")</f>
        <v>Strong</v>
      </c>
      <c r="X10" s="51">
        <f>IFERROR(ROUND(SUMIF('Poker Stake Ledger'!$C$18:$C$137,$B10,'Poker Stake Ledger'!$K$18:$K$137),1),0)</f>
        <v>0</v>
      </c>
    </row>
    <row r="11" spans="1:24" ht="15" customHeight="1" x14ac:dyDescent="0.2">
      <c r="A11" s="46">
        <f>ROW()-4</f>
        <v>7</v>
      </c>
      <c r="B11" s="47" t="str">
        <f>IFERROR(INDEX(Calcs!$A$7:$A$20,MATCH(LARGE(Calcs!$AI$7:$AI$20,ROW()-4),Calcs!$AI$7:$AI$20,0)),"")</f>
        <v>Dean M</v>
      </c>
      <c r="C11" s="48">
        <f>INDEX(Engine!$B$2:$B$15,MATCH($B11,Engine!$A$2:$A$15,0))+SUMIF('Poker Stake Ledger'!$C$18:$C$137,$B11,'Poker Stake Ledger'!$K$18:$K$137)</f>
        <v>1031.225848367051</v>
      </c>
      <c r="D11" s="49">
        <f>COUNTIF('Match Log'!$D$4:$D$810,$B11)</f>
        <v>5</v>
      </c>
      <c r="E11" s="49">
        <f>COUNTIFS('Match Log'!$D$4:$D$810,$B11,'Match Log'!$E$4:$E$810,"Win")</f>
        <v>2</v>
      </c>
      <c r="F11" s="49">
        <f>$D11-$E11</f>
        <v>3</v>
      </c>
      <c r="G11" s="50">
        <f>IF($D11=0,"",$E11/$D11)</f>
        <v>0.4</v>
      </c>
      <c r="H11" s="51">
        <f>SUMIF('Match Log'!$D$4:$D$810,$B11,'Match Log'!$J$4:$J$810)</f>
        <v>-2.241024178669619</v>
      </c>
      <c r="I11" s="51">
        <f>SUMIF('Match Log'!$D$4:$D$810,$B11,'Match Log'!$K$4:$K$810)</f>
        <v>13.466872545720536</v>
      </c>
      <c r="J11" s="51">
        <f>SUMIF('Match Log'!$D$4:$D$810,$B11,'Match Log'!$L$4:$L$810)</f>
        <v>20</v>
      </c>
      <c r="K11" s="49">
        <f>SUMPRODUCT(--(COUNTIFS('Match Log'!$D$4:$D$810,$B11,'Match Log'!$C$4:$C$810,Lists!$C$2:$C$21)&gt;0))</f>
        <v>1</v>
      </c>
      <c r="L11" s="49" t="str">
        <f>IF($D11=0,"No games",IF(AND($D11&gt;='Guide &amp; Settings'!$C$45,$K11&gt;='Guide &amp; Settings'!$C$46),"Eligible","Provisional"))</f>
        <v>Provisional</v>
      </c>
      <c r="M11" s="48">
        <f>IFERROR(INDEX(Calcs!$C$7:$C$20,MATCH($B11,Calcs!$A$7:$A$20,0)),"")</f>
        <v>1051.9562851744297</v>
      </c>
      <c r="N11" s="48">
        <f>MAX($C$5:$C$18)-$C11</f>
        <v>136.9854952336932</v>
      </c>
      <c r="O11" s="49" t="str">
        <f>IFERROR(INDEX(Calcs!$H$7:$H$20,MATCH($B11,Calcs!$A$7:$A$20,0)),"")</f>
        <v>W2</v>
      </c>
      <c r="P11" s="49" t="str">
        <f>IFERROR(INDEX(Calcs!$I$7:$I$20,MATCH($B11,Calcs!$A$7:$A$20,0)),"")</f>
        <v>LLLWW</v>
      </c>
      <c r="Q11" s="49" t="str">
        <f>IFERROR(IF(INDEX(Calcs!$L$7:$L$20,MATCH($B11,Calcs!$A$7:$A$20,0))&gt;0,"▲"&amp;INDEX(Calcs!$L$7:$L$20,MATCH($B11,Calcs!$A$7:$A$20,0)),IF(INDEX(Calcs!$L$7:$L$20,MATCH($B11,Calcs!$A$7:$A$20,0))&lt;0,"▼"&amp;ABS(INDEX(Calcs!$L$7:$L$20,MATCH($B11,Calcs!$A$7:$A$20,0))),"–")),"")</f>
        <v>–</v>
      </c>
      <c r="R11" s="49" t="str">
        <f>IFERROR(IF(INDEX(Calcs!$P$7:$P$20,MATCH($B11,Calcs!$A$7:$A$20,0))=0,"—",TEXT(INDEX(Calcs!$P$7:$P$20,MATCH($B11,Calcs!$A$7:$A$20,0)),"d mmm")),"")</f>
        <v>15 Jun</v>
      </c>
      <c r="S11" s="49">
        <f>IFERROR(ROUND(INDEX(Calcs!$Q$7:$Q$20,MATCH($B11,Calcs!$A$7:$A$20,0)),1),"")</f>
        <v>3.7</v>
      </c>
      <c r="T11" s="49" t="str">
        <f>IFERROR(INDEX(Calcs!$T$7:$T$20,MATCH($B11,Calcs!$A$7:$A$20,0)),"")</f>
        <v>At risk</v>
      </c>
      <c r="U11">
        <f>IFERROR(MAX(0,ROUND($C11-INDEX(Calcs!$S$7:$S$20,MATCH($B11,Calcs!$A$7:$A$20,0)),0)),0)</f>
        <v>0</v>
      </c>
      <c r="V11" s="51">
        <f>IFERROR(ROUND(INDEX(Calcs!$S$7:$S$20,MATCH($B11,Calcs!$A$7:$A$20,0)),0),"")</f>
        <v>1031</v>
      </c>
      <c r="W11" s="49" t="str">
        <f>IFERROR(INDEX(Calcs!$AF$7:$AF$20,MATCH($B11,Calcs!$A$7:$A$20,0)),"")</f>
        <v>Unranked</v>
      </c>
      <c r="X11" s="51">
        <f>IFERROR(ROUND(SUMIF('Poker Stake Ledger'!$C$18:$C$137,$B11,'Poker Stake Ledger'!$K$18:$K$137),1),0)</f>
        <v>0</v>
      </c>
    </row>
    <row r="12" spans="1:24" ht="15" customHeight="1" x14ac:dyDescent="0.2">
      <c r="A12" s="46">
        <f>ROW()-4</f>
        <v>8</v>
      </c>
      <c r="B12" s="47" t="str">
        <f>IFERROR(INDEX(Calcs!$A$7:$A$20,MATCH(LARGE(Calcs!$AI$7:$AI$20,ROW()-4),Calcs!$AI$7:$AI$20,0)),"")</f>
        <v>Dylan A</v>
      </c>
      <c r="C12" s="48">
        <f>INDEX(Engine!$B$2:$B$15,MATCH($B12,Engine!$A$2:$A$15,0))+SUMIF('Poker Stake Ledger'!$C$18:$C$137,$B12,'Poker Stake Ledger'!$K$18:$K$137)</f>
        <v>1030.3815983388336</v>
      </c>
      <c r="D12" s="49">
        <f>COUNTIF('Match Log'!$D$4:$D$810,$B12)</f>
        <v>4</v>
      </c>
      <c r="E12" s="49">
        <f>COUNTIFS('Match Log'!$D$4:$D$810,$B12,'Match Log'!$E$4:$E$810,"Win")</f>
        <v>2</v>
      </c>
      <c r="F12" s="49">
        <f>$D12-$E12</f>
        <v>2</v>
      </c>
      <c r="G12" s="50">
        <f>IF($D12=0,"",$E12/$D12)</f>
        <v>0.5</v>
      </c>
      <c r="H12" s="51">
        <f>SUMIF('Match Log'!$D$4:$D$810,$B12,'Match Log'!$J$4:$J$810)</f>
        <v>1.5163071728259316</v>
      </c>
      <c r="I12" s="51">
        <f>SUMIF('Match Log'!$D$4:$D$810,$B12,'Match Log'!$K$4:$K$810)</f>
        <v>12.865291166007616</v>
      </c>
      <c r="J12" s="51">
        <f>SUMIF('Match Log'!$D$4:$D$810,$B12,'Match Log'!$L$4:$L$810)</f>
        <v>16</v>
      </c>
      <c r="K12" s="49">
        <f>SUMPRODUCT(--(COUNTIFS('Match Log'!$D$4:$D$810,$B12,'Match Log'!$C$4:$C$810,Lists!$C$2:$C$21)&gt;0))</f>
        <v>1</v>
      </c>
      <c r="L12" s="49" t="str">
        <f>IF($D12=0,"No games",IF(AND($D12&gt;='Guide &amp; Settings'!$C$45,$K12&gt;='Guide &amp; Settings'!$C$46),"Eligible","Provisional"))</f>
        <v>Provisional</v>
      </c>
      <c r="M12" s="48">
        <f>IFERROR(INDEX(Calcs!$C$7:$C$20,MATCH($B12,Calcs!$A$7:$A$20,0)),"")</f>
        <v>1062.5109663005026</v>
      </c>
      <c r="N12" s="48">
        <f>MAX($C$5:$C$18)-$C12</f>
        <v>137.8297452619106</v>
      </c>
      <c r="O12" s="49" t="str">
        <f>IFERROR(INDEX(Calcs!$H$7:$H$20,MATCH($B12,Calcs!$A$7:$A$20,0)),"")</f>
        <v>L1</v>
      </c>
      <c r="P12" s="49" t="str">
        <f>IFERROR(INDEX(Calcs!$I$7:$I$20,MATCH($B12,Calcs!$A$7:$A$20,0)),"")</f>
        <v>WLWL</v>
      </c>
      <c r="Q12" s="49" t="str">
        <f>IFERROR(IF(INDEX(Calcs!$L$7:$L$20,MATCH($B12,Calcs!$A$7:$A$20,0))&gt;0,"▲"&amp;INDEX(Calcs!$L$7:$L$20,MATCH($B12,Calcs!$A$7:$A$20,0)),IF(INDEX(Calcs!$L$7:$L$20,MATCH($B12,Calcs!$A$7:$A$20,0))&lt;0,"▼"&amp;ABS(INDEX(Calcs!$L$7:$L$20,MATCH($B12,Calcs!$A$7:$A$20,0))),"–")),"")</f>
        <v>–</v>
      </c>
      <c r="R12" s="49" t="str">
        <f>IFERROR(IF(INDEX(Calcs!$P$7:$P$20,MATCH($B12,Calcs!$A$7:$A$20,0))=0,"—",TEXT(INDEX(Calcs!$P$7:$P$20,MATCH($B12,Calcs!$A$7:$A$20,0)),"d mmm")),"")</f>
        <v>15 Jun</v>
      </c>
      <c r="S12" s="49">
        <f>IFERROR(ROUND(INDEX(Calcs!$Q$7:$Q$20,MATCH($B12,Calcs!$A$7:$A$20,0)),1),"")</f>
        <v>3.7</v>
      </c>
      <c r="T12" s="49" t="str">
        <f>IFERROR(INDEX(Calcs!$T$7:$T$20,MATCH($B12,Calcs!$A$7:$A$20,0)),"")</f>
        <v>At risk</v>
      </c>
      <c r="U12">
        <f>IFERROR(MAX(0,ROUND($C12-INDEX(Calcs!$S$7:$S$20,MATCH($B12,Calcs!$A$7:$A$20,0)),0)),0)</f>
        <v>0</v>
      </c>
      <c r="V12" s="51">
        <f>IFERROR(ROUND(INDEX(Calcs!$S$7:$S$20,MATCH($B12,Calcs!$A$7:$A$20,0)),0),"")</f>
        <v>1030</v>
      </c>
      <c r="W12" s="49" t="str">
        <f>IFERROR(INDEX(Calcs!$AF$7:$AF$20,MATCH($B12,Calcs!$A$7:$A$20,0)),"")</f>
        <v>Unranked</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Log'!$C$4:$C$810,Lists!$C$2:$C$21)&gt;0))</f>
        <v>3</v>
      </c>
      <c r="L13" s="49" t="str">
        <f>IF($D13=0,"No games",IF(AND($D13&gt;='Guide &amp; Settings'!$C$45,$K13&gt;='Guide &amp; Settings'!$C$46),"Eligible","Provisional"))</f>
        <v>Eligible</v>
      </c>
      <c r="M13" s="48">
        <f>IFERROR(INDEX(Calcs!$C$7:$C$20,MATCH($B13,Calcs!$A$7:$A$20,0)),"")</f>
        <v>1064.0051966015935</v>
      </c>
      <c r="N13" s="48">
        <f>MAX($C$5:$C$18)-$C13</f>
        <v>138.99115271479195</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Chase</v>
      </c>
      <c r="C14" s="48">
        <f>INDEX(Engine!$B$2:$B$15,MATCH($B14,Engine!$A$2:$A$15,0))+SUMIF('Poker Stake Ledger'!$C$18:$C$137,$B14,'Poker Stake Ledger'!$K$18:$K$137)</f>
        <v>1016.7837867075796</v>
      </c>
      <c r="D14" s="49">
        <f>COUNTIF('Match Log'!$D$4:$D$810,$B14)</f>
        <v>10</v>
      </c>
      <c r="E14" s="49">
        <f>COUNTIFS('Match Log'!$D$4:$D$810,$B14,'Match Log'!$E$4:$E$810,"Win")</f>
        <v>5</v>
      </c>
      <c r="F14" s="49">
        <f>$D14-$E14</f>
        <v>5</v>
      </c>
      <c r="G14" s="50">
        <f>IF($D14=0,"",$E14/$D14)</f>
        <v>0.5</v>
      </c>
      <c r="H14" s="51">
        <f>SUMIF('Match Log'!$D$4:$D$810,$B14,'Match Log'!$J$4:$J$810)</f>
        <v>7.3695009932937108</v>
      </c>
      <c r="I14" s="51">
        <f>SUMIF('Match Log'!$D$4:$D$810,$B14,'Match Log'!$K$4:$K$810)</f>
        <v>-1.5857142857142881</v>
      </c>
      <c r="J14" s="51">
        <f>SUMIF('Match Log'!$D$4:$D$810,$B14,'Match Log'!$L$4:$L$810)</f>
        <v>11</v>
      </c>
      <c r="K14" s="49">
        <f>SUMPRODUCT(--(COUNTIFS('Match Log'!$D$4:$D$810,$B14,'Match Log'!$C$4:$C$810,Lists!$C$2:$C$21)&gt;0))</f>
        <v>6</v>
      </c>
      <c r="L14" s="49" t="str">
        <f>IF($D14=0,"No games",IF(AND($D14&gt;='Guide &amp; Settings'!$C$45,$K14&gt;='Guide &amp; Settings'!$C$46),"Eligible","Provisional"))</f>
        <v>Eligible</v>
      </c>
      <c r="M14" s="48">
        <f>IFERROR(INDEX(Calcs!$C$7:$C$20,MATCH($B14,Calcs!$A$7:$A$20,0)),"")</f>
        <v>1060.3838027507936</v>
      </c>
      <c r="N14" s="48">
        <f>MAX($C$5:$C$18)-$C14</f>
        <v>151.42755689316459</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3.7</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Dylan S</v>
      </c>
      <c r="C15" s="48">
        <f>INDEX(Engine!$B$2:$B$15,MATCH($B15,Engine!$A$2:$A$15,0))+SUMIF('Poker Stake Ledger'!$C$18:$C$137,$B15,'Poker Stake Ledger'!$K$18:$K$137)</f>
        <v>1000</v>
      </c>
      <c r="D15" s="49">
        <f>COUNTIF('Match Log'!$D$4:$D$810,$B15)</f>
        <v>0</v>
      </c>
      <c r="E15" s="49">
        <f>COUNTIFS('Match Log'!$D$4:$D$810,$B15,'Match Log'!$E$4:$E$810,"Win")</f>
        <v>0</v>
      </c>
      <c r="F15" s="49">
        <f>$D15-$E15</f>
        <v>0</v>
      </c>
      <c r="G15" s="50" t="str">
        <f>IF($D15=0,"",$E15/$D15)</f>
        <v/>
      </c>
      <c r="H15" s="51">
        <f>SUMIF('Match Log'!$D$4:$D$810,$B15,'Match Log'!$J$4:$J$810)</f>
        <v>0</v>
      </c>
      <c r="I15" s="51">
        <f>SUMIF('Match Log'!$D$4:$D$810,$B15,'Match Log'!$K$4:$K$810)</f>
        <v>0</v>
      </c>
      <c r="J15" s="51">
        <f>SUMIF('Match Log'!$D$4:$D$810,$B15,'Match Log'!$L$4:$L$810)</f>
        <v>0</v>
      </c>
      <c r="K15" s="49">
        <f>SUMPRODUCT(--(COUNTIFS('Match Log'!$D$4:$D$810,$B15,'Match Log'!$C$4:$C$810,Lists!$C$2:$C$21)&gt;0))</f>
        <v>0</v>
      </c>
      <c r="L15" s="49" t="str">
        <f>IF($D15=0,"No games",IF(AND($D15&gt;='Guide &amp; Settings'!$C$45,$K15&gt;='Guide &amp; Settings'!$C$46),"Eligible","Provisional"))</f>
        <v>No games</v>
      </c>
      <c r="M15" s="48" t="str">
        <f>IFERROR(INDEX(Calcs!$C$7:$C$20,MATCH($B15,Calcs!$A$7:$A$20,0)),"")</f>
        <v/>
      </c>
      <c r="N15" s="48">
        <f>MAX($C$5:$C$18)-$C15</f>
        <v>168.21134360074416</v>
      </c>
      <c r="O15" s="49" t="str">
        <f>IFERROR(INDEX(Calcs!$H$7:$H$20,MATCH($B15,Calcs!$A$7:$A$20,0)),"")</f>
        <v/>
      </c>
      <c r="P15" s="49" t="str">
        <f>IFERROR(INDEX(Calcs!$I$7:$I$20,MATCH($B15,Calcs!$A$7:$A$20,0)),"")</f>
        <v/>
      </c>
      <c r="Q15" s="49" t="str">
        <f>IFERROR(IF(INDEX(Calcs!$L$7:$L$20,MATCH($B15,Calcs!$A$7:$A$20,0))&gt;0,"▲"&amp;INDEX(Calcs!$L$7:$L$20,MATCH($B15,Calcs!$A$7:$A$20,0)),IF(INDEX(Calcs!$L$7:$L$20,MATCH($B15,Calcs!$A$7:$A$20,0))&lt;0,"▼"&amp;ABS(INDEX(Calcs!$L$7:$L$20,MATCH($B15,Calcs!$A$7:$A$20,0))),"–")),"")</f>
        <v>–</v>
      </c>
      <c r="R15" s="49" t="str">
        <f>IFERROR(IF(INDEX(Calcs!$P$7:$P$20,MATCH($B15,Calcs!$A$7:$A$20,0))=0,"—",TEXT(INDEX(Calcs!$P$7:$P$20,MATCH($B15,Calcs!$A$7:$A$20,0)),"d mmm")),"")</f>
        <v>—</v>
      </c>
      <c r="S15" s="49" t="str">
        <f>IFERROR(ROUND(INDEX(Calcs!$Q$7:$Q$20,MATCH($B15,Calcs!$A$7:$A$20,0)),1),"")</f>
        <v/>
      </c>
      <c r="T15" s="49" t="str">
        <f>IFERROR(INDEX(Calcs!$T$7:$T$20,MATCH($B15,Calcs!$A$7:$A$20,0)),"")</f>
        <v>No games</v>
      </c>
      <c r="U15">
        <f>IFERROR(MAX(0,ROUND($C15-INDEX(Calcs!$S$7:$S$20,MATCH($B15,Calcs!$A$7:$A$20,0)),0)),0)</f>
        <v>0</v>
      </c>
      <c r="V15" s="51">
        <f>IFERROR(ROUND(INDEX(Calcs!$S$7:$S$20,MATCH($B15,Calcs!$A$7:$A$20,0)),0),"")</f>
        <v>1000</v>
      </c>
      <c r="W15" s="49" t="str">
        <f>IFERROR(INDEX(Calcs!$AF$7:$AF$20,MATCH($B15,Calcs!$A$7:$A$20,0)),"")</f>
        <v>No games</v>
      </c>
      <c r="X15" s="51">
        <f>IFERROR(ROUND(SUMIF('Poker Stake Ledger'!$C$18:$C$137,$B15,'Poker Stake Ledger'!$K$18:$K$137),1),0)</f>
        <v>0</v>
      </c>
    </row>
    <row r="16" spans="1:24" ht="15" customHeight="1" x14ac:dyDescent="0.2">
      <c r="A16" s="46">
        <f>ROW()-4</f>
        <v>12</v>
      </c>
      <c r="B16" s="47" t="str">
        <f>IFERROR(INDEX(Calcs!$A$7:$A$20,MATCH(LARGE(Calcs!$AI$7:$AI$20,ROW()-4),Calcs!$AI$7:$AI$20,0)),"")</f>
        <v>Shawn</v>
      </c>
      <c r="C16" s="48">
        <f>INDEX(Engine!$B$2:$B$15,MATCH($B16,Engine!$A$2:$A$15,0))+SUMIF('Poker Stake Ledger'!$C$18:$C$137,$B16,'Poker Stake Ledger'!$K$18:$K$137)</f>
        <v>997.36259998776018</v>
      </c>
      <c r="D16" s="49">
        <f>COUNTIF('Match Log'!$D$4:$D$810,$B16)</f>
        <v>60</v>
      </c>
      <c r="E16" s="49">
        <f>COUNTIFS('Match Log'!$D$4:$D$810,$B16,'Match Log'!$E$4:$E$810,"Win")</f>
        <v>26</v>
      </c>
      <c r="F16" s="49">
        <f>$D16-$E16</f>
        <v>34</v>
      </c>
      <c r="G16" s="50">
        <f>IF($D16=0,"",$E16/$D16)</f>
        <v>0.43333333333333335</v>
      </c>
      <c r="H16" s="51">
        <f>SUMIF('Match Log'!$D$4:$D$810,$B16,'Match Log'!$J$4:$J$810)</f>
        <v>-26.185206836049467</v>
      </c>
      <c r="I16" s="51">
        <f>SUMIF('Match Log'!$D$4:$D$810,$B16,'Match Log'!$K$4:$K$810)</f>
        <v>-21.45219317619037</v>
      </c>
      <c r="J16" s="51">
        <f>SUMIF('Match Log'!$D$4:$D$810,$B16,'Match Log'!$L$4:$L$810)</f>
        <v>45</v>
      </c>
      <c r="K16" s="49">
        <f>SUMPRODUCT(--(COUNTIFS('Match Log'!$D$4:$D$810,$B16,'Match Log'!$C$4:$C$810,Lists!$C$2:$C$21)&gt;0))</f>
        <v>9</v>
      </c>
      <c r="L16" s="49" t="str">
        <f>IF($D16=0,"No games",IF(AND($D16&gt;='Guide &amp; Settings'!$C$45,$K16&gt;='Guide &amp; Settings'!$C$46),"Eligible","Provisional"))</f>
        <v>Eligible</v>
      </c>
      <c r="M16" s="48">
        <f>IFERROR(INDEX(Calcs!$C$7:$C$20,MATCH($B16,Calcs!$A$7:$A$20,0)),"")</f>
        <v>1086.05073375028</v>
      </c>
      <c r="N16" s="48">
        <f>MAX($C$5:$C$18)-$C16</f>
        <v>170.84874361298398</v>
      </c>
      <c r="O16" s="49" t="str">
        <f>IFERROR(INDEX(Calcs!$H$7:$H$20,MATCH($B16,Calcs!$A$7:$A$20,0)),"")</f>
        <v>L3</v>
      </c>
      <c r="P16" s="49" t="str">
        <f>IFERROR(INDEX(Calcs!$I$7:$I$20,MATCH($B16,Calcs!$A$7:$A$20,0)),"")</f>
        <v>LWLLL</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11 Jul</v>
      </c>
      <c r="S16" s="49">
        <f>IFERROR(ROUND(INDEX(Calcs!$Q$7:$Q$20,MATCH($B16,Calcs!$A$7:$A$20,0)),1),"")</f>
        <v>0</v>
      </c>
      <c r="T16" s="49" t="str">
        <f>IFERROR(INDEX(Calcs!$T$7:$T$20,MATCH($B16,Calcs!$A$7:$A$20,0)),"")</f>
        <v>Active</v>
      </c>
      <c r="U16">
        <f>IFERROR(MAX(0,ROUND($C16-INDEX(Calcs!$S$7:$S$20,MATCH($B16,Calcs!$A$7:$A$20,0)),0)),0)</f>
        <v>0</v>
      </c>
      <c r="V16" s="51">
        <f>IFERROR(ROUND(INDEX(Calcs!$S$7:$S$20,MATCH($B16,Calcs!$A$7:$A$20,0)),0),"")</f>
        <v>997</v>
      </c>
      <c r="W16" s="49" t="str">
        <f>IFERROR(INDEX(Calcs!$AF$7:$AF$20,MATCH($B16,Calcs!$A$7:$A$20,0)),"")</f>
        <v>Mid</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981.92436608474441</v>
      </c>
      <c r="D17" s="49">
        <f>COUNTIF('Match Log'!$D$4:$D$810,$B17)</f>
        <v>14</v>
      </c>
      <c r="E17" s="49">
        <f>COUNTIFS('Match Log'!$D$4:$D$810,$B17,'Match Log'!$E$4:$E$810,"Win")</f>
        <v>4</v>
      </c>
      <c r="F17" s="49">
        <f>$D17-$E17</f>
        <v>10</v>
      </c>
      <c r="G17" s="50">
        <f>IF($D17=0,"",$E17/$D17)</f>
        <v>0.2857142857142857</v>
      </c>
      <c r="H17" s="51">
        <f>SUMIF('Match Log'!$D$4:$D$810,$B17,'Match Log'!$J$4:$J$810)</f>
        <v>-40.038181653505887</v>
      </c>
      <c r="I17" s="51">
        <f>SUMIF('Match Log'!$D$4:$D$810,$B17,'Match Log'!$K$4:$K$810)</f>
        <v>-6.0374522617496993</v>
      </c>
      <c r="J17" s="51">
        <f>SUMIF('Match Log'!$D$4:$D$810,$B17,'Match Log'!$L$4:$L$810)</f>
        <v>28</v>
      </c>
      <c r="K17" s="49">
        <f>SUMPRODUCT(--(COUNTIFS('Match Log'!$D$4:$D$810,$B17,'Match Log'!$C$4:$C$810,Lists!$C$2:$C$21)&gt;0))</f>
        <v>3</v>
      </c>
      <c r="L17" s="49" t="str">
        <f>IF($D17=0,"No games",IF(AND($D17&gt;='Guide &amp; Settings'!$C$45,$K17&gt;='Guide &amp; Settings'!$C$46),"Eligible","Provisional"))</f>
        <v>Eligible</v>
      </c>
      <c r="M17" s="48">
        <f>IFERROR(INDEX(Calcs!$C$7:$C$20,MATCH($B17,Calcs!$A$7:$A$20,0)),"")</f>
        <v>1075.3510760997674</v>
      </c>
      <c r="N17" s="48">
        <f>MAX($C$5:$C$18)-$C17</f>
        <v>186.28697751599975</v>
      </c>
      <c r="O17" s="49" t="str">
        <f>IFERROR(INDEX(Calcs!$H$7:$H$20,MATCH($B17,Calcs!$A$7:$A$20,0)),"")</f>
        <v>W2</v>
      </c>
      <c r="P17" s="49" t="str">
        <f>IFERROR(INDEX(Calcs!$I$7:$I$20,MATCH($B17,Calcs!$A$7:$A$20,0)),"")</f>
        <v>LLLWW</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15 Jun</v>
      </c>
      <c r="S17" s="49">
        <f>IFERROR(ROUND(INDEX(Calcs!$Q$7:$Q$20,MATCH($B17,Calcs!$A$7:$A$20,0)),1),"")</f>
        <v>3.7</v>
      </c>
      <c r="T17" s="49" t="str">
        <f>IFERROR(INDEX(Calcs!$T$7:$T$20,MATCH($B17,Calcs!$A$7:$A$20,0)),"")</f>
        <v>At risk</v>
      </c>
      <c r="U17">
        <f>IFERROR(MAX(0,ROUND($C17-INDEX(Calcs!$S$7:$S$20,MATCH($B17,Calcs!$A$7:$A$20,0)),0)),0)</f>
        <v>0</v>
      </c>
      <c r="V17" s="51">
        <f>IFERROR(ROUND(INDEX(Calcs!$S$7:$S$20,MATCH($B17,Calcs!$A$7:$A$20,0)),0),"")</f>
        <v>982</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1083.8773467260505</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12</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997.36259998776018</v>
      </c>
      <c r="D6" s="60" t="s">
        <v>182</v>
      </c>
      <c r="E6" s="39">
        <f>COUNTIFS('Match Log'!$D$4:$D$810,$B$3,'Match Log'!$C$4:$C$810,$D6)</f>
        <v>0</v>
      </c>
      <c r="F6" s="39">
        <f>COUNTIFS('Match Log'!$D$4:$D$810,$B$3,'Match Log'!$C$4:$C$810,$D6,'Match Log'!$E$4:$E$810,"Win")</f>
        <v>0</v>
      </c>
      <c r="G6" s="61" t="str">
        <f t="shared" si="0"/>
        <v/>
      </c>
      <c r="H6" s="62" t="str">
        <f>IFERROR(IF($E6=0,"",INDEX('Sport Records'!$B$91:$O$110,MATCH($D6,'Sport Records'!$A$91:$A$110,0),MATCH($B$3,'Sport Records'!$B$90:$O$90,0))),"")</f>
        <v/>
      </c>
    </row>
    <row r="7" spans="1:8" ht="15" customHeight="1" x14ac:dyDescent="0.2">
      <c r="A7" s="54" t="s">
        <v>98</v>
      </c>
      <c r="B7" s="55" t="str">
        <f>IFERROR(INDEX(Calcs!$AF$7:$AF$20,MATCH($B$3,Calcs!$A$7:$A$20,0)),"")</f>
        <v>Mid</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26–34</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0.43333333333333335</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60</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9</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1086.05073375028</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L3</v>
      </c>
      <c r="D13" s="56" t="s">
        <v>192</v>
      </c>
      <c r="E13" s="36">
        <f>COUNTIFS('Match Log'!$D$4:$D$810,$B$3,'Match Log'!$C$4:$C$810,$D13)</f>
        <v>1</v>
      </c>
      <c r="F13" s="36">
        <f>COUNTIFS('Match Log'!$D$4:$D$810,$B$3,'Match Log'!$C$4:$C$810,$D13,'Match Log'!$E$4:$E$810,"Win")</f>
        <v>0</v>
      </c>
      <c r="G13" s="57">
        <f t="shared" si="0"/>
        <v>0</v>
      </c>
      <c r="H13" s="58">
        <f>IFERROR(IF($E13=0,"",INDEX('Sport Records'!$B$91:$O$110,MATCH($D13,'Sport Records'!$A$91:$A$110,0),MATCH($B$3,'Sport Records'!$B$90:$O$90,0))),"")</f>
        <v>992</v>
      </c>
    </row>
    <row r="14" spans="1:8" ht="15" customHeight="1" x14ac:dyDescent="0.2">
      <c r="A14" s="54" t="s">
        <v>162</v>
      </c>
      <c r="B14" s="55" t="str">
        <f>IFERROR(INDEX(Calcs!$I$7:$I$20,MATCH($B$3,Calcs!$A$7:$A$20,0)),"")</f>
        <v>LWLLL</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170.84874361298398</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9</v>
      </c>
      <c r="F17" s="36">
        <f>COUNTIFS('Match Log'!$D$4:$D$810,$B$3,'Match Log'!$C$4:$C$810,$D17,'Match Log'!$E$4:$E$810,"Win")</f>
        <v>2</v>
      </c>
      <c r="G17" s="57">
        <f t="shared" si="0"/>
        <v>0.22222222222222221</v>
      </c>
      <c r="H17" s="58">
        <f>IFERROR(IF($E17=0,"",INDEX('Sport Records'!$B$91:$O$110,MATCH($D17,'Sport Records'!$A$91:$A$110,0),MATCH($B$3,'Sport Records'!$B$90:$O$90,0))),"")</f>
        <v>948.96790333240949</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56</v>
      </c>
      <c r="D23" s="56" t="s">
        <v>208</v>
      </c>
      <c r="E23" s="36">
        <f>COUNTIFS('Match Log'!$D$4:$D$810,$B$3,'Match Log'!$C$4:$C$810,$D23)</f>
        <v>6</v>
      </c>
      <c r="F23" s="36">
        <f>COUNTIFS('Match Log'!$D$4:$D$810,$B$3,'Match Log'!$C$4:$C$810,$D23,'Match Log'!$E$4:$E$810,"Win")</f>
        <v>4</v>
      </c>
      <c r="G23" s="57">
        <f t="shared" si="0"/>
        <v>0.66666666666666663</v>
      </c>
      <c r="H23" s="58">
        <f>IFERROR(IF($E23=0,"",INDEX('Sport Records'!$B$91:$O$110,MATCH($D23,'Sport Records'!$A$91:$A$110,0),MATCH($B$3,'Sport Records'!$B$90:$O$90,0))),"")</f>
        <v>1015.6654796209059</v>
      </c>
    </row>
    <row r="24" spans="1:8" x14ac:dyDescent="0.2">
      <c r="A24" s="64" t="s">
        <v>209</v>
      </c>
      <c r="B24" s="65">
        <f>IFERROR(ROUND(INDEX(Calcs!$W$7:$W$20,MATCH($B$3,Calcs!$A$7:$A$20,0)),0),"")</f>
        <v>49</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43</v>
      </c>
    </row>
    <row r="26" spans="1:8" x14ac:dyDescent="0.2">
      <c r="A26" s="64" t="s">
        <v>211</v>
      </c>
      <c r="B26" s="65">
        <f>IFERROR(ROUND(INDEX(Calcs!$Y$7:$Y$20,MATCH($B$3,Calcs!$A$7:$A$20,0)),0),"")</f>
        <v>100</v>
      </c>
    </row>
    <row r="27" spans="1:8" x14ac:dyDescent="0.2">
      <c r="A27" s="64" t="s">
        <v>212</v>
      </c>
      <c r="B27" s="65">
        <f>IFERROR(ROUND(INDEX(Calcs!$Z$7:$Z$20,MATCH($B$3,Calcs!$A$7:$A$20,0)),0),"")</f>
        <v>20</v>
      </c>
    </row>
    <row r="28" spans="1:8" x14ac:dyDescent="0.2">
      <c r="A28" s="64" t="s">
        <v>213</v>
      </c>
      <c r="B28" s="65">
        <f>IFERROR(ROUND(INDEX(Calcs!$AA$7:$AA$20,MATCH($B$3,Calcs!$A$7:$A$20,0)),0),"")</f>
        <v>72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64% of 22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36% of 22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4</v>
      </c>
      <c r="F22" s="70">
        <f>IF($A22=F$21,0,SUMPRODUCT(('Match Log'!$D$4:$D$810=$A22)*(COUNTIFS('Match Log'!$A$4:$A$810,'Match Log'!$A$4:$A$810,'Match Log'!$D$4:$D$810,F$21)&gt;0)))</f>
        <v>2</v>
      </c>
      <c r="G22" s="70">
        <f>IF($A22=G$21,0,SUMPRODUCT(('Match Log'!$D$4:$D$810=$A22)*(COUNTIFS('Match Log'!$A$4:$A$810,'Match Log'!$A$4:$A$810,'Match Log'!$D$4:$D$810,G$21)&gt;0)))</f>
        <v>22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4</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2</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22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2</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0</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0</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137</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0</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0</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0</v>
      </c>
      <c r="N9" s="77">
        <f>COUNTIFS('Match Log'!$D$4:$D$810,N$7,'Match Log'!$C$4:$C$810,$A9)</f>
        <v>0</v>
      </c>
      <c r="O9" s="77">
        <f>COUNTIFS('Match Log'!$D$4:$D$810,O$7,'Match Log'!$C$4:$C$810,$A9)</f>
        <v>0</v>
      </c>
      <c r="P9" s="78">
        <f>SUMPRODUCT(('Match Log'!$C$4:$C$810=$A9)*('Match Log'!$D$4:$D$810='Match Log'!$G$4:$G$810)*('Match Log'!$D$4:$D$810&lt;&gt;""))</f>
        <v>0</v>
      </c>
      <c r="Q9" s="79" t="str">
        <f t="shared" si="0"/>
        <v>—</v>
      </c>
      <c r="R9" s="78" t="str">
        <f t="shared" si="1"/>
        <v>—</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0</v>
      </c>
      <c r="C16" s="77">
        <f>COUNTIFS('Match Log'!$D$4:$D$810,C$7,'Match Log'!$C$4:$C$810,$A16)</f>
        <v>0</v>
      </c>
      <c r="D16" s="77">
        <f>COUNTIFS('Match Log'!$D$4:$D$810,D$7,'Match Log'!$C$4:$C$810,$A16)</f>
        <v>0</v>
      </c>
      <c r="E16" s="77">
        <f>COUNTIFS('Match Log'!$D$4:$D$810,E$7,'Match Log'!$C$4:$C$810,$A16)</f>
        <v>0</v>
      </c>
      <c r="F16" s="77">
        <f>COUNTIFS('Match Log'!$D$4:$D$810,F$7,'Match Log'!$C$4:$C$810,$A16)</f>
        <v>1</v>
      </c>
      <c r="G16" s="77">
        <f>COUNTIFS('Match Log'!$D$4:$D$810,G$7,'Match Log'!$C$4:$C$810,$A16)</f>
        <v>1</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1</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3</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9</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10</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6</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6</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10</v>
      </c>
      <c r="Q26" s="79" t="str">
        <f t="shared" si="0"/>
        <v>Shawn</v>
      </c>
      <c r="R26" s="78">
        <f t="shared" si="1"/>
        <v>4</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0</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0</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0</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0</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2</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2</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2</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4</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t="str">
        <f t="shared" ref="B53:O53" si="3">IF(B9=0,"",B31/B9)</f>
        <v/>
      </c>
      <c r="C53" s="80" t="str">
        <f t="shared" si="3"/>
        <v/>
      </c>
      <c r="D53" s="80" t="str">
        <f t="shared" si="3"/>
        <v/>
      </c>
      <c r="E53" s="80" t="str">
        <f t="shared" si="3"/>
        <v/>
      </c>
      <c r="F53" s="80" t="str">
        <f t="shared" si="3"/>
        <v/>
      </c>
      <c r="G53" s="80" t="str">
        <f t="shared" si="3"/>
        <v/>
      </c>
      <c r="H53" s="80" t="str">
        <f t="shared" si="3"/>
        <v/>
      </c>
      <c r="I53" s="80" t="str">
        <f t="shared" si="3"/>
        <v/>
      </c>
      <c r="J53" s="80" t="str">
        <f t="shared" si="3"/>
        <v/>
      </c>
      <c r="K53" s="80" t="str">
        <f t="shared" si="3"/>
        <v/>
      </c>
      <c r="L53" s="80" t="str">
        <f t="shared" si="3"/>
        <v/>
      </c>
      <c r="M53" s="80" t="str">
        <f t="shared" si="3"/>
        <v/>
      </c>
      <c r="N53" s="80" t="str">
        <f t="shared" si="3"/>
        <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t="str">
        <f t="shared" ref="B60:O60" si="10">IF(B16=0,"",B38/B16)</f>
        <v/>
      </c>
      <c r="C60" s="80" t="str">
        <f t="shared" si="10"/>
        <v/>
      </c>
      <c r="D60" s="80" t="str">
        <f t="shared" si="10"/>
        <v/>
      </c>
      <c r="E60" s="80" t="str">
        <f t="shared" si="10"/>
        <v/>
      </c>
      <c r="F60" s="80">
        <f t="shared" si="10"/>
        <v>1</v>
      </c>
      <c r="G60" s="80">
        <f t="shared" si="10"/>
        <v>0</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0.66666666666666663</v>
      </c>
      <c r="C64" s="80" t="str">
        <f t="shared" si="14"/>
        <v/>
      </c>
      <c r="D64" s="80" t="str">
        <f t="shared" si="14"/>
        <v/>
      </c>
      <c r="E64" s="80" t="str">
        <f t="shared" si="14"/>
        <v/>
      </c>
      <c r="F64" s="80">
        <f t="shared" si="14"/>
        <v>0</v>
      </c>
      <c r="G64" s="80">
        <f t="shared" si="14"/>
        <v>0.22222222222222221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0.33333333333333331</v>
      </c>
      <c r="C70" s="80" t="str">
        <f t="shared" si="20"/>
        <v/>
      </c>
      <c r="D70" s="80" t="str">
        <f t="shared" si="20"/>
        <v/>
      </c>
      <c r="E70" s="80" t="str">
        <f t="shared" si="20"/>
        <v/>
      </c>
      <c r="F70" s="80">
        <f t="shared" si="20"/>
        <v>0.5</v>
      </c>
      <c r="G70" s="80">
        <f t="shared" si="20"/>
        <v>0.66666666666666663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36</v>
      </c>
      <c r="C79" s="77">
        <f>SUMPRODUCT(--(COUNTIFS('Match Log'!$D$4:$D$810,$A79,'Match Log'!$C$4:$C$810,Lists!$C$2:$C$21)&gt;0))</f>
        <v>8</v>
      </c>
      <c r="D79" s="77">
        <f>COUNTIFS('Match Log'!$D$4:$D$810,$A79,'Match Log'!$E$4:$E$810,"Win")</f>
        <v>21</v>
      </c>
      <c r="E79" s="80">
        <f t="shared" si="22"/>
        <v>0.58333333333333337</v>
      </c>
      <c r="F79" s="82">
        <f>IFERROR(INDEX(Engine!$B$2:$B$15,MATCH($A79,Engine!$A$2:$A$15,0)),"")</f>
        <v>1131.7327279757073</v>
      </c>
      <c r="G79" s="77" t="str">
        <f>IF($B79=0,"No games",IF(AND($B79&gt;='Guide &amp; Settings'!$C$45,$C79&gt;='Guide &amp; Settings'!$C$46),"Eligible","Provisional"))</f>
        <v>Eligible</v>
      </c>
      <c r="S79" s="83">
        <f t="shared" si="23"/>
        <v>1131.7327279757073</v>
      </c>
    </row>
    <row r="80" spans="1:19" ht="15" customHeight="1" x14ac:dyDescent="0.2">
      <c r="A80" s="76" t="s">
        <v>134</v>
      </c>
      <c r="B80" s="77">
        <f>COUNTIF('Match Log'!$D$4:$D$810,$A80)</f>
        <v>60</v>
      </c>
      <c r="C80" s="77">
        <f>SUMPRODUCT(--(COUNTIFS('Match Log'!$D$4:$D$810,$A80,'Match Log'!$C$4:$C$810,Lists!$C$2:$C$21)&gt;0))</f>
        <v>9</v>
      </c>
      <c r="D80" s="77">
        <f>COUNTIFS('Match Log'!$D$4:$D$810,$A80,'Match Log'!$E$4:$E$810,"Win")</f>
        <v>26</v>
      </c>
      <c r="E80" s="80">
        <f t="shared" si="22"/>
        <v>0.43333333333333335</v>
      </c>
      <c r="F80" s="82">
        <f>IFERROR(INDEX(Engine!$B$2:$B$15,MATCH($A80,Engine!$A$2:$A$15,0)),"")</f>
        <v>997.36259998776018</v>
      </c>
      <c r="G80" s="77" t="str">
        <f>IF($B80=0,"No games",IF(AND($B80&gt;='Guide &amp; Settings'!$C$45,$C80&gt;='Guide &amp; Settings'!$C$46),"Eligible","Provisional"))</f>
        <v>Eligible</v>
      </c>
      <c r="S80" s="83">
        <f t="shared" si="23"/>
        <v>997.36259998776018</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5</v>
      </c>
      <c r="C82" s="77">
        <f>SUMPRODUCT(--(COUNTIFS('Match Log'!$D$4:$D$810,$A82,'Match Log'!$C$4:$C$810,Lists!$C$2:$C$21)&gt;0))</f>
        <v>1</v>
      </c>
      <c r="D82" s="77">
        <f>COUNTIFS('Match Log'!$D$4:$D$810,$A82,'Match Log'!$E$4:$E$810,"Win")</f>
        <v>2</v>
      </c>
      <c r="E82" s="80">
        <f t="shared" si="22"/>
        <v>0.4</v>
      </c>
      <c r="F82" s="82">
        <f>IFERROR(INDEX(Engine!$B$2:$B$15,MATCH($A82,Engine!$A$2:$A$15,0)),"")</f>
        <v>1031.225848367051</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4</v>
      </c>
      <c r="C83" s="77">
        <f>SUMPRODUCT(--(COUNTIFS('Match Log'!$D$4:$D$810,$A83,'Match Log'!$C$4:$C$810,Lists!$C$2:$C$21)&gt;0))</f>
        <v>1</v>
      </c>
      <c r="D83" s="77">
        <f>COUNTIFS('Match Log'!$D$4:$D$810,$A83,'Match Log'!$E$4:$E$810,"Win")</f>
        <v>2</v>
      </c>
      <c r="E83" s="80">
        <f t="shared" si="22"/>
        <v>0.5</v>
      </c>
      <c r="F83" s="82">
        <f>IFERROR(INDEX(Engine!$B$2:$B$15,MATCH($A83,Engine!$A$2:$A$15,0)),"")</f>
        <v>1030.3815983388336</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14</v>
      </c>
      <c r="C86" s="77">
        <f>SUMPRODUCT(--(COUNTIFS('Match Log'!$D$4:$D$810,$A86,'Match Log'!$C$4:$C$810,Lists!$C$2:$C$21)&gt;0))</f>
        <v>3</v>
      </c>
      <c r="D86" s="77">
        <f>COUNTIFS('Match Log'!$D$4:$D$810,$A86,'Match Log'!$E$4:$E$810,"Win")</f>
        <v>4</v>
      </c>
      <c r="E86" s="80">
        <f t="shared" si="22"/>
        <v>0.2857142857142857</v>
      </c>
      <c r="F86" s="82">
        <f>IFERROR(INDEX(Engine!$B$2:$B$15,MATCH($A86,Engine!$A$2:$A$15,0)),"")</f>
        <v>981.92436608474441</v>
      </c>
      <c r="G86" s="77" t="str">
        <f>IF($B86=0,"No games",IF(AND($B86&gt;='Guide &amp; Settings'!$C$45,$C86&gt;='Guide &amp; Settings'!$C$46),"Eligible","Provisional"))</f>
        <v>Eligible</v>
      </c>
      <c r="S86" s="83">
        <f t="shared" si="23"/>
        <v>981.92436608474441</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t="str">
        <f>IFERROR(LOOKUP(2,1/(('Match Log'!$D$4:$D$810=B$90)*('Match Log'!$C$4:$C$810=$A92)),'Match Log'!$AB$4:$AB$810),"")</f>
        <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t="str">
        <f>IFERROR(LOOKUP(2,1/(('Match Log'!$D$4:$D$810=G$90)*('Match Log'!$C$4:$C$810=$A92)),'Match Log'!$AB$4:$AB$810),"")</f>
        <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t="str">
        <f>IFERROR(LOOKUP(2,1/(('Match Log'!$D$4:$D$810=M$90)*('Match Log'!$C$4:$C$810=$A92)),'Match Log'!$AB$4:$AB$810),"")</f>
        <v/>
      </c>
      <c r="N92" s="82" t="str">
        <f>IFERROR(LOOKUP(2,1/(('Match Log'!$D$4:$D$810=N$90)*('Match Log'!$C$4:$C$810=$A92)),'Match Log'!$AB$4:$AB$810),"")</f>
        <v/>
      </c>
      <c r="O92" s="82" t="str">
        <f>IFERROR(LOOKUP(2,1/(('Match Log'!$D$4:$D$810=O$90)*('Match Log'!$C$4:$C$810=$A92)),'Match Log'!$AB$4:$AB$810),"")</f>
        <v/>
      </c>
      <c r="P92" s="79" t="str">
        <f t="shared" si="24"/>
        <v>—</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t="str">
        <f>IFERROR(LOOKUP(2,1/(('Match Log'!$D$4:$D$810=B$90)*('Match Log'!$C$4:$C$810=$A99)),'Match Log'!$AB$4:$AB$810),"")</f>
        <v/>
      </c>
      <c r="C99" s="82" t="str">
        <f>IFERROR(LOOKUP(2,1/(('Match Log'!$D$4:$D$810=C$90)*('Match Log'!$C$4:$C$810=$A99)),'Match Log'!$AB$4:$AB$810),"")</f>
        <v/>
      </c>
      <c r="D99" s="82" t="str">
        <f>IFERROR(LOOKUP(2,1/(('Match Log'!$D$4:$D$810=D$90)*('Match Log'!$C$4:$C$810=$A99)),'Match Log'!$AB$4:$AB$810),"")</f>
        <v/>
      </c>
      <c r="E99" s="82" t="str">
        <f>IFERROR(LOOKUP(2,1/(('Match Log'!$D$4:$D$810=E$90)*('Match Log'!$C$4:$C$810=$A99)),'Match Log'!$AB$4:$AB$810),"")</f>
        <v/>
      </c>
      <c r="F99" s="82">
        <f>IFERROR(LOOKUP(2,1/(('Match Log'!$D$4:$D$810=F$90)*('Match Log'!$C$4:$C$810=$A99)),'Match Log'!$AB$4:$AB$810),"")</f>
        <v>1016</v>
      </c>
      <c r="G99" s="82">
        <f>IFERROR(LOOKUP(2,1/(('Match Log'!$D$4:$D$810=G$90)*('Match Log'!$C$4:$C$810=$A99)),'Match Log'!$AB$4:$AB$810),"")</f>
        <v>992</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1014.4258934061545</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948.96790333240949</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984.3345203790941</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1015.6654796209059</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Daniel (Ferret)</v>
      </c>
      <c r="C12" s="36" t="str">
        <f>IFERROR(INDEX(Calcs!$H$25:$H$444,MATCH(LARGE(Calcs!$I$25:$I$444,7),Calcs!$I$25:$I$444,0)),"")</f>
        <v>Shawn</v>
      </c>
      <c r="D12" s="36" t="str">
        <f>IFERROR(INDEX(Calcs!$C$25:$C$444,MATCH(LARGE(Calcs!$I$25:$I$444,7),Calcs!$I$25:$I$444,0)),"")</f>
        <v>FIFA</v>
      </c>
      <c r="E12" s="36" t="str">
        <f>IFERROR(TEXT(INDEX(Calcs!$F$25:$F$444,MATCH(LARGE(Calcs!$I$25:$I$444,7),Calcs!$I$25:$I$444,0)),"0%"),"")</f>
        <v>29%</v>
      </c>
      <c r="F12" s="36" t="str">
        <f>IFERROR(TEXT(INDEX(Calcs!$B$25:$B$444,MATCH(LARGE(Calcs!$I$25:$I$444,7),Calcs!$I$25:$I$444,0)),"d mmm"),"")</f>
        <v>31 May</v>
      </c>
    </row>
    <row r="13" spans="1:6" ht="15" customHeight="1" x14ac:dyDescent="0.2">
      <c r="A13" s="60">
        <v>8</v>
      </c>
      <c r="B13" s="39" t="str">
        <f>IFERROR(INDEX(Calcs!$D$25:$D$444,MATCH(LARGE(Calcs!$I$25:$I$444,8),Calcs!$I$25:$I$444,0)),"")</f>
        <v>Aaron</v>
      </c>
      <c r="C13" s="39" t="str">
        <f>IFERROR(INDEX(Calcs!$H$25:$H$444,MATCH(LARGE(Calcs!$I$25:$I$444,8),Calcs!$I$25:$I$444,0)),"")</f>
        <v>Shawn</v>
      </c>
      <c r="D13" s="39" t="str">
        <f>IFERROR(INDEX(Calcs!$C$25:$C$444,MATCH(LARGE(Calcs!$I$25:$I$444,8),Calcs!$I$25:$I$444,0)),"")</f>
        <v>Mario Golf</v>
      </c>
      <c r="E13" s="39" t="str">
        <f>IFERROR(TEXT(INDEX(Calcs!$F$25:$F$444,MATCH(LARGE(Calcs!$I$25:$I$444,8),Calcs!$I$25:$I$444,0)),"0%"),"")</f>
        <v>29%</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60</v>
      </c>
      <c r="C21" s="36" t="str">
        <f>INDEX(Dashboard!$B$5:$B$18,MATCH(MAX(Dashboard!$D$5:$D$18),Dashboard!$D$5:$D$18,0))</f>
        <v>Shawn</v>
      </c>
      <c r="D21" s="36" t="s">
        <v>252</v>
      </c>
      <c r="E21" s="36" t="s">
        <v>252</v>
      </c>
      <c r="F21" s="36" t="str">
        <f>"across "&amp;INDEX(Dashboard!$K$5:$K$18,MATCH($C21,Dashboard!$B$5:$B$18,0))&amp;" sports"</f>
        <v>across 9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3 wins</v>
      </c>
      <c r="C24" s="39" t="str">
        <f>INDEX(Calcs!$A$7:$A$20,MATCH(MAX(Calcs!$O$7:$O$20),Calcs!$O$7:$O$20,0))</f>
        <v>Aaron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Aaron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36 points clear of Aaron.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Aaron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Aaron is surging — up 2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4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60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137 games played across 12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Aaron</v>
      </c>
      <c r="C18" s="104">
        <f>ROUND(LARGE(Calcs!$B$7:$B$20,2),0)</f>
        <v>1132</v>
      </c>
      <c r="D18" s="105" t="str">
        <f>IF(2=1,"— leader —",ROUND(MAX(Calcs!$B$7:$B$20)-LARGE(Calcs!$B$7:$B$20,2),0)&amp;" behind")</f>
        <v>36 behind</v>
      </c>
      <c r="E18" s="99"/>
      <c r="F18" s="26"/>
    </row>
    <row r="19" spans="1:6" ht="15" customHeight="1" x14ac:dyDescent="0.2">
      <c r="A19" s="104">
        <v>3</v>
      </c>
      <c r="B19" s="55" t="str">
        <f>INDEX(Calcs!$A$7:$A$20,MATCH(LARGE(Calcs!$B$7:$B$20,3),Calcs!$B$7:$B$20,0))</f>
        <v>Josh</v>
      </c>
      <c r="C19" s="104">
        <f>ROUND(LARGE(Calcs!$B$7:$B$20,3),0)</f>
        <v>1130</v>
      </c>
      <c r="D19" s="105" t="str">
        <f>IF(3=1,"— leader —",ROUND(MAX(Calcs!$B$7:$B$20)-LARGE(Calcs!$B$7:$B$20,3),0)&amp;" behind")</f>
        <v>39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3</v>
      </c>
      <c r="C23" s="36">
        <f>COUNTIFS('Match Log'!$D$4:$D$810,$A23,'Match Log'!$C$4:$C$810,$D$21,'Match Log'!$E$4:$E$810,"Win")</f>
        <v>2</v>
      </c>
      <c r="D23" s="57">
        <f t="shared" ref="D23:D36" si="0">IF($B23=0,"",$C23/$B23)</f>
        <v>0.66666666666666663</v>
      </c>
      <c r="E23" s="58">
        <f>IFERROR(IF($B23=0,"",INDEX('Sport Records'!$B$91:$O$110,MATCH($D$21,'Sport Records'!$A$91:$A$110,0),MATCH($A23,'Sport Records'!$B$90:$O$90,0))),"")</f>
        <v>1014.4258934061545</v>
      </c>
      <c r="F23" s="36">
        <f t="shared" ref="F23:F36" si="1">IF($E23="","",RANK($E23,$E$23:$E$36))</f>
        <v>2</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9</v>
      </c>
      <c r="C28" s="39">
        <f>COUNTIFS('Match Log'!$D$4:$D$810,$A28,'Match Log'!$C$4:$C$810,$D$21,'Match Log'!$E$4:$E$810,"Win")</f>
        <v>2</v>
      </c>
      <c r="D28" s="61">
        <f t="shared" si="0"/>
        <v>0.22222222222222221</v>
      </c>
      <c r="E28" s="62">
        <f>IFERROR(IF($B28=0,"",INDEX('Sport Records'!$B$91:$O$110,MATCH($D$21,'Sport Records'!$A$91:$A$110,0),MATCH($A28,'Sport Records'!$B$90:$O$90,0))),"")</f>
        <v>948.96790333240949</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3</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W</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W</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W</v>
      </c>
      <c r="J40" s="107" t="str">
        <f>IFERROR(IF(INDEX('Match Log'!$E$1:$E$810,_xlfn.AGGREGATE(14,6,ROW('Match Log'!$A$4:$A$810)/('Match Log'!$D$4:$D$810=$A40),2))="Win","W","L"),"")</f>
        <v>W</v>
      </c>
      <c r="K40" s="107" t="str">
        <f>IFERROR(IF(INDEX('Match Log'!$E$1:$E$810,_xlfn.AGGREGATE(14,6,ROW('Match Log'!$A$4:$A$810)/('Match Log'!$D$4:$D$810=$A40),1))="Win","W","L"),"")</f>
        <v>W</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L</v>
      </c>
      <c r="C43" s="107" t="str">
        <f>IFERROR(IF(INDEX('Match Log'!$E$1:$E$810,_xlfn.AGGREGATE(14,6,ROW('Match Log'!$A$4:$A$810)/('Match Log'!$D$4:$D$810=$A43),9))="Win","W","L"),"")</f>
        <v>W</v>
      </c>
      <c r="D43" s="107" t="str">
        <f>IFERROR(IF(INDEX('Match Log'!$E$1:$E$810,_xlfn.AGGREGATE(14,6,ROW('Match Log'!$A$4:$A$810)/('Match Log'!$D$4:$D$810=$A43),8))="Win","W","L"),"")</f>
        <v>L</v>
      </c>
      <c r="E43" s="107" t="str">
        <f>IFERROR(IF(INDEX('Match Log'!$E$1:$E$810,_xlfn.AGGREGATE(14,6,ROW('Match Log'!$A$4:$A$810)/('Match Log'!$D$4:$D$810=$A43),7))="Win","W","L"),"")</f>
        <v>W</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L</v>
      </c>
      <c r="J43" s="107" t="str">
        <f>IFERROR(IF(INDEX('Match Log'!$E$1:$E$810,_xlfn.AGGREGATE(14,6,ROW('Match Log'!$A$4:$A$810)/('Match Log'!$D$4:$D$810=$A43),2))="Win","W","L"),"")</f>
        <v>W</v>
      </c>
      <c r="K43" s="107" t="str">
        <f>IFERROR(IF(INDEX('Match Log'!$E$1:$E$810,_xlfn.AGGREGATE(14,6,ROW('Match Log'!$A$4:$A$810)/('Match Log'!$D$4:$D$810=$A43),1))="Win","W","L"),"")</f>
        <v>W</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L</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L</v>
      </c>
      <c r="J51" s="107" t="str">
        <f>IFERROR(IF(INDEX('Match Log'!$E$1:$E$810,_xlfn.AGGREGATE(14,6,ROW('Match Log'!$A$4:$A$810)/('Match Log'!$D$4:$D$810=$A51),2))="Win","W","L"),"")</f>
        <v>W</v>
      </c>
      <c r="K51" s="107" t="str">
        <f>IFERROR(IF(INDEX('Match Log'!$E$1:$E$810,_xlfn.AGGREGATE(14,6,ROW('Match Log'!$A$4:$A$810)/('Match Log'!$D$4:$D$810=$A51),1))="Win","W","L"),"")</f>
        <v>W</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L</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t="str">
        <f>IFERROR(INDEX('Sport Records'!$B$52:$O$71,MATCH($C$57,'Sport Records'!$A$52:$A$71,0),MATCH($A58,'Sport Records'!$B$51:$O$51,0)),"")</f>
        <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t="str">
        <f>IFERROR(INDEX('Sport Records'!$B$52:$O$71,MATCH($J$57,'Sport Records'!$A$52:$A$71,0),MATCH($A58,'Sport Records'!$B$51:$O$51,0)),"")</f>
        <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0.66666666666666663</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0.33333333333333331</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t="str">
        <f>IFERROR(INDEX('Sport Records'!$B$52:$O$71,MATCH($J$57,'Sport Records'!$A$52:$A$71,0),MATCH($A61,'Sport Records'!$B$51:$O$51,0)),"")</f>
        <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t="str">
        <f>IFERROR(INDEX('Sport Records'!$B$52:$O$71,MATCH($C$57,'Sport Records'!$A$52:$A$71,0),MATCH($A63,'Sport Records'!$B$51:$O$51,0)),"")</f>
        <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0.22222222222222221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0.66666666666666663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t="str">
        <f>IFERROR(INDEX('Sport Records'!$B$52:$O$71,MATCH($C$57,'Sport Records'!$A$52:$A$71,0),MATCH($A69,'Sport Records'!$B$51:$O$51,0)),"")</f>
        <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t="str">
        <f>IFERROR(INDEX('Sport Records'!$B$52:$O$71,MATCH($C$57,'Sport Records'!$A$52:$A$71,0),MATCH($A70,'Sport Records'!$B$51:$O$51,0)),"")</f>
        <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86" activePane="bottomRight" state="frozen"/>
      <selection pane="topRight" activeCell="F1" sqref="F1"/>
      <selection pane="bottomLeft" activeCell="A244" sqref="A244"/>
      <selection pane="bottomRight" activeCell="E324" sqref="E324"/>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c r="B324" s="112"/>
      <c r="C324" s="113"/>
      <c r="D324" s="113"/>
      <c r="E324" s="111"/>
      <c r="F324" s="114">
        <f t="shared" si="85"/>
        <v>0</v>
      </c>
      <c r="G324" s="115" t="str">
        <f t="shared" si="86"/>
        <v/>
      </c>
      <c r="H324" s="116">
        <f>IF($D324="",0,IFERROR(LOOKUP(2,1/(($D$3:D323=$D324)*($A$3:A323&lt;$A324)),$N$3:N323),'Guide &amp; Settings'!$C$41))</f>
        <v>0</v>
      </c>
      <c r="I324" s="117">
        <f t="shared" si="87"/>
        <v>0</v>
      </c>
      <c r="J324" s="118">
        <f>IF($D324="",0,IF($F324&lt;2,0,IF($E324="Win",('Guide &amp; Settings'!$C$42/(($F324-1)*COUNTIFS($A$4:$A$810,$A324,$E$4:$E$810,"Win")))*SUMIFS($X$4:$X$810,$A$4:$A$810,$A324,$E$4:$E$810,"Loss"),-('Guide &amp; Settings'!$C$42/($F324-1))*$X324)))</f>
        <v>0</v>
      </c>
      <c r="K324" s="118">
        <f>IF($D324="",0,'Guide &amp; Settings'!$C$43*(IF($E324="Win",1,0)-$I324))</f>
        <v>0</v>
      </c>
      <c r="L324" s="119">
        <f>IF($D324="",0,'Guide &amp; Settings'!$C$44*IF($F324&gt;=3,$F324,0))</f>
        <v>0</v>
      </c>
      <c r="M324" s="118">
        <f t="shared" si="88"/>
        <v>0</v>
      </c>
      <c r="N324" s="116">
        <f t="shared" si="89"/>
        <v>0</v>
      </c>
      <c r="O324" s="115" t="str">
        <f t="shared" si="90"/>
        <v/>
      </c>
      <c r="P324">
        <f t="shared" si="91"/>
        <v>0</v>
      </c>
      <c r="Q324">
        <f t="shared" si="92"/>
        <v>0</v>
      </c>
      <c r="R324">
        <f t="shared" si="93"/>
        <v>0</v>
      </c>
      <c r="S324">
        <f t="shared" si="94"/>
        <v>0</v>
      </c>
      <c r="T324" s="83">
        <f t="shared" si="95"/>
        <v>0</v>
      </c>
      <c r="U324" s="120">
        <f>IF($D324="",0,IFERROR(LOOKUP(2,1/(($D$3:D323=$D324)*($C$3:C323=$C324)*($A$3:A323&lt;$A324)),$AB$3:AB323),1000))</f>
        <v>0</v>
      </c>
      <c r="V324" s="120">
        <f t="shared" si="96"/>
        <v>0</v>
      </c>
      <c r="W324">
        <f t="shared" si="97"/>
        <v>0</v>
      </c>
      <c r="X324">
        <f t="shared" si="98"/>
        <v>0</v>
      </c>
      <c r="Y324">
        <f t="shared" si="99"/>
        <v>0</v>
      </c>
      <c r="Z324">
        <f t="shared" si="100"/>
        <v>0</v>
      </c>
      <c r="AA324">
        <f>IF($D324="",0,IF($F324&lt;2,0,IF($E324="Win",('Guide &amp; Settings'!$C$42/(($F324-1)*COUNTIFS($A$4:$A$810,$A324,$E$4:$E$810,"Win")))*SUMIFS($Z$4:$Z$810,$A$4:$A$810,$A324,$E$4:$E$810,"Loss"),-('Guide &amp; Settings'!$C$42/($F324-1))*$Z324)))</f>
        <v>0</v>
      </c>
      <c r="AB324" s="120">
        <f t="shared" si="101"/>
        <v>0</v>
      </c>
      <c r="AC324" s="120" t="str">
        <f>IF($D324="","",IF(SUMPRODUCT(MAX(($D$4:$D$810=$D324)*($B$4:$B$810&lt;$B324)*$B$4:$B$810))=0,0,MAX(($B324-MAX(SUMPRODUCT(MAX(($D$4:$D$810=$D324)*($B$4:$B$810&lt;$B324)*$B$4:$B$810)),'Guide &amp; Settings'!$C$50))/7-'Guide &amp; Settings'!$C$48,0)*'Guide &amp; Settings'!$C$49))</f>
        <v/>
      </c>
    </row>
    <row r="325" spans="1:29" x14ac:dyDescent="0.2">
      <c r="A325" s="111"/>
      <c r="B325" s="112"/>
      <c r="C325" s="113"/>
      <c r="D325" s="113"/>
      <c r="E325" s="111"/>
      <c r="F325" s="114">
        <f t="shared" si="85"/>
        <v>0</v>
      </c>
      <c r="G325" s="115" t="str">
        <f t="shared" si="86"/>
        <v/>
      </c>
      <c r="H325" s="116">
        <f>IF($D325="",0,IFERROR(LOOKUP(2,1/(($D$3:D324=$D325)*($A$3:A324&lt;$A325)),$N$3:N324),'Guide &amp; Settings'!$C$41))</f>
        <v>0</v>
      </c>
      <c r="I325" s="117">
        <f t="shared" si="87"/>
        <v>0</v>
      </c>
      <c r="J325" s="118">
        <f>IF($D325="",0,IF($F325&lt;2,0,IF($E325="Win",('Guide &amp; Settings'!$C$42/(($F325-1)*COUNTIFS($A$4:$A$810,$A325,$E$4:$E$810,"Win")))*SUMIFS($X$4:$X$810,$A$4:$A$810,$A325,$E$4:$E$810,"Loss"),-('Guide &amp; Settings'!$C$42/($F325-1))*$X325)))</f>
        <v>0</v>
      </c>
      <c r="K325" s="118">
        <f>IF($D325="",0,'Guide &amp; Settings'!$C$43*(IF($E325="Win",1,0)-$I325))</f>
        <v>0</v>
      </c>
      <c r="L325" s="119">
        <f>IF($D325="",0,'Guide &amp; Settings'!$C$44*IF($F325&gt;=3,$F325,0))</f>
        <v>0</v>
      </c>
      <c r="M325" s="118">
        <f t="shared" si="88"/>
        <v>0</v>
      </c>
      <c r="N325" s="116">
        <f t="shared" si="89"/>
        <v>0</v>
      </c>
      <c r="O325" s="115" t="str">
        <f t="shared" si="90"/>
        <v/>
      </c>
      <c r="P325">
        <f t="shared" si="91"/>
        <v>0</v>
      </c>
      <c r="Q325">
        <f t="shared" si="92"/>
        <v>0</v>
      </c>
      <c r="R325">
        <f t="shared" si="93"/>
        <v>0</v>
      </c>
      <c r="S325">
        <f t="shared" si="94"/>
        <v>0</v>
      </c>
      <c r="T325" s="83">
        <f t="shared" si="95"/>
        <v>0</v>
      </c>
      <c r="U325" s="120">
        <f>IF($D325="",0,IFERROR(LOOKUP(2,1/(($D$3:D324=$D325)*($C$3:C324=$C325)*($A$3:A324&lt;$A325)),$AB$3:AB324),1000))</f>
        <v>0</v>
      </c>
      <c r="V325" s="120">
        <f t="shared" si="96"/>
        <v>0</v>
      </c>
      <c r="W325">
        <f t="shared" si="97"/>
        <v>0</v>
      </c>
      <c r="X325">
        <f t="shared" si="98"/>
        <v>0</v>
      </c>
      <c r="Y325">
        <f t="shared" si="99"/>
        <v>0</v>
      </c>
      <c r="Z325">
        <f t="shared" si="100"/>
        <v>0</v>
      </c>
      <c r="AA325">
        <f>IF($D325="",0,IF($F325&lt;2,0,IF($E325="Win",('Guide &amp; Settings'!$C$42/(($F325-1)*COUNTIFS($A$4:$A$810,$A325,$E$4:$E$810,"Win")))*SUMIFS($Z$4:$Z$810,$A$4:$A$810,$A325,$E$4:$E$810,"Loss"),-('Guide &amp; Settings'!$C$42/($F325-1))*$Z325)))</f>
        <v>0</v>
      </c>
      <c r="AB325" s="120">
        <f t="shared" si="101"/>
        <v>0</v>
      </c>
      <c r="AC325" s="120" t="str">
        <f>IF($D325="","",IF(SUMPRODUCT(MAX(($D$4:$D$810=$D325)*($B$4:$B$810&lt;$B325)*$B$4:$B$810))=0,0,MAX(($B325-MAX(SUMPRODUCT(MAX(($D$4:$D$810=$D325)*($B$4:$B$810&lt;$B325)*$B$4:$B$810)),'Guide &amp; Settings'!$C$50))/7-'Guide &amp; Settings'!$C$48,0)*'Guide &amp; Settings'!$C$49))</f>
        <v/>
      </c>
    </row>
    <row r="326" spans="1:29" x14ac:dyDescent="0.2">
      <c r="A326" s="111"/>
      <c r="B326" s="112"/>
      <c r="C326" s="113"/>
      <c r="D326" s="113"/>
      <c r="E326" s="111"/>
      <c r="F326" s="114">
        <f t="shared" si="85"/>
        <v>0</v>
      </c>
      <c r="G326" s="115" t="str">
        <f t="shared" si="86"/>
        <v/>
      </c>
      <c r="H326" s="116">
        <f>IF($D326="",0,IFERROR(LOOKUP(2,1/(($D$3:D325=$D326)*($A$3:A325&lt;$A326)),$N$3:N325),'Guide &amp; Settings'!$C$41))</f>
        <v>0</v>
      </c>
      <c r="I326" s="117">
        <f t="shared" si="87"/>
        <v>0</v>
      </c>
      <c r="J326" s="118">
        <f>IF($D326="",0,IF($F326&lt;2,0,IF($E326="Win",('Guide &amp; Settings'!$C$42/(($F326-1)*COUNTIFS($A$4:$A$810,$A326,$E$4:$E$810,"Win")))*SUMIFS($X$4:$X$810,$A$4:$A$810,$A326,$E$4:$E$810,"Loss"),-('Guide &amp; Settings'!$C$42/($F326-1))*$X326)))</f>
        <v>0</v>
      </c>
      <c r="K326" s="118">
        <f>IF($D326="",0,'Guide &amp; Settings'!$C$43*(IF($E326="Win",1,0)-$I326))</f>
        <v>0</v>
      </c>
      <c r="L326" s="119">
        <f>IF($D326="",0,'Guide &amp; Settings'!$C$44*IF($F326&gt;=3,$F326,0))</f>
        <v>0</v>
      </c>
      <c r="M326" s="118">
        <f t="shared" si="88"/>
        <v>0</v>
      </c>
      <c r="N326" s="116">
        <f t="shared" si="89"/>
        <v>0</v>
      </c>
      <c r="O326" s="115" t="str">
        <f t="shared" si="90"/>
        <v/>
      </c>
      <c r="P326">
        <f t="shared" si="91"/>
        <v>0</v>
      </c>
      <c r="Q326">
        <f t="shared" si="92"/>
        <v>0</v>
      </c>
      <c r="R326">
        <f t="shared" si="93"/>
        <v>0</v>
      </c>
      <c r="S326">
        <f t="shared" si="94"/>
        <v>0</v>
      </c>
      <c r="T326" s="83">
        <f t="shared" si="95"/>
        <v>0</v>
      </c>
      <c r="U326" s="120">
        <f>IF($D326="",0,IFERROR(LOOKUP(2,1/(($D$3:D325=$D326)*($C$3:C325=$C326)*($A$3:A325&lt;$A326)),$AB$3:AB325),1000))</f>
        <v>0</v>
      </c>
      <c r="V326" s="120">
        <f t="shared" si="96"/>
        <v>0</v>
      </c>
      <c r="W326">
        <f t="shared" si="97"/>
        <v>0</v>
      </c>
      <c r="X326">
        <f t="shared" si="98"/>
        <v>0</v>
      </c>
      <c r="Y326">
        <f t="shared" si="99"/>
        <v>0</v>
      </c>
      <c r="Z326">
        <f t="shared" si="100"/>
        <v>0</v>
      </c>
      <c r="AA326">
        <f>IF($D326="",0,IF($F326&lt;2,0,IF($E326="Win",('Guide &amp; Settings'!$C$42/(($F326-1)*COUNTIFS($A$4:$A$810,$A326,$E$4:$E$810,"Win")))*SUMIFS($Z$4:$Z$810,$A$4:$A$810,$A326,$E$4:$E$810,"Loss"),-('Guide &amp; Settings'!$C$42/($F326-1))*$Z326)))</f>
        <v>0</v>
      </c>
      <c r="AB326" s="120">
        <f t="shared" si="101"/>
        <v>0</v>
      </c>
      <c r="AC326" s="120" t="str">
        <f>IF($D326="","",IF(SUMPRODUCT(MAX(($D$4:$D$810=$D326)*($B$4:$B$810&lt;$B326)*$B$4:$B$810))=0,0,MAX(($B326-MAX(SUMPRODUCT(MAX(($D$4:$D$810=$D326)*($B$4:$B$810&lt;$B326)*$B$4:$B$810)),'Guide &amp; Settings'!$C$50))/7-'Guide &amp; Settings'!$C$48,0)*'Guide &amp; Settings'!$C$49))</f>
        <v/>
      </c>
    </row>
    <row r="327" spans="1:29" x14ac:dyDescent="0.2">
      <c r="A327" s="111"/>
      <c r="B327" s="112"/>
      <c r="C327" s="113"/>
      <c r="D327" s="113"/>
      <c r="E327" s="111"/>
      <c r="F327" s="114">
        <f t="shared" si="85"/>
        <v>0</v>
      </c>
      <c r="G327" s="115" t="str">
        <f t="shared" si="86"/>
        <v/>
      </c>
      <c r="H327" s="116">
        <f>IF($D327="",0,IFERROR(LOOKUP(2,1/(($D$3:D326=$D327)*($A$3:A326&lt;$A327)),$N$3:N326),'Guide &amp; Settings'!$C$41))</f>
        <v>0</v>
      </c>
      <c r="I327" s="117">
        <f t="shared" si="87"/>
        <v>0</v>
      </c>
      <c r="J327" s="118">
        <f>IF($D327="",0,IF($F327&lt;2,0,IF($E327="Win",('Guide &amp; Settings'!$C$42/(($F327-1)*COUNTIFS($A$4:$A$810,$A327,$E$4:$E$810,"Win")))*SUMIFS($X$4:$X$810,$A$4:$A$810,$A327,$E$4:$E$810,"Loss"),-('Guide &amp; Settings'!$C$42/($F327-1))*$X327)))</f>
        <v>0</v>
      </c>
      <c r="K327" s="118">
        <f>IF($D327="",0,'Guide &amp; Settings'!$C$43*(IF($E327="Win",1,0)-$I327))</f>
        <v>0</v>
      </c>
      <c r="L327" s="119">
        <f>IF($D327="",0,'Guide &amp; Settings'!$C$44*IF($F327&gt;=3,$F327,0))</f>
        <v>0</v>
      </c>
      <c r="M327" s="118">
        <f t="shared" si="88"/>
        <v>0</v>
      </c>
      <c r="N327" s="116">
        <f t="shared" si="89"/>
        <v>0</v>
      </c>
      <c r="O327" s="115" t="str">
        <f t="shared" si="90"/>
        <v/>
      </c>
      <c r="P327">
        <f t="shared" si="91"/>
        <v>0</v>
      </c>
      <c r="Q327">
        <f t="shared" si="92"/>
        <v>0</v>
      </c>
      <c r="R327">
        <f t="shared" si="93"/>
        <v>0</v>
      </c>
      <c r="S327">
        <f t="shared" si="94"/>
        <v>0</v>
      </c>
      <c r="T327" s="83">
        <f t="shared" si="95"/>
        <v>0</v>
      </c>
      <c r="U327" s="120">
        <f>IF($D327="",0,IFERROR(LOOKUP(2,1/(($D$3:D326=$D327)*($C$3:C326=$C327)*($A$3:A326&lt;$A327)),$AB$3:AB326),1000))</f>
        <v>0</v>
      </c>
      <c r="V327" s="120">
        <f t="shared" si="96"/>
        <v>0</v>
      </c>
      <c r="W327">
        <f t="shared" si="97"/>
        <v>0</v>
      </c>
      <c r="X327">
        <f t="shared" si="98"/>
        <v>0</v>
      </c>
      <c r="Y327">
        <f t="shared" si="99"/>
        <v>0</v>
      </c>
      <c r="Z327">
        <f t="shared" si="100"/>
        <v>0</v>
      </c>
      <c r="AA327">
        <f>IF($D327="",0,IF($F327&lt;2,0,IF($E327="Win",('Guide &amp; Settings'!$C$42/(($F327-1)*COUNTIFS($A$4:$A$810,$A327,$E$4:$E$810,"Win")))*SUMIFS($Z$4:$Z$810,$A$4:$A$810,$A327,$E$4:$E$810,"Loss"),-('Guide &amp; Settings'!$C$42/($F327-1))*$Z327)))</f>
        <v>0</v>
      </c>
      <c r="AB327" s="120">
        <f t="shared" si="101"/>
        <v>0</v>
      </c>
      <c r="AC327" s="120" t="str">
        <f>IF($D327="","",IF(SUMPRODUCT(MAX(($D$4:$D$810=$D327)*($B$4:$B$810&lt;$B327)*$B$4:$B$810))=0,0,MAX(($B327-MAX(SUMPRODUCT(MAX(($D$4:$D$810=$D327)*($B$4:$B$810&lt;$B327)*$B$4:$B$810)),'Guide &amp; Settings'!$C$50))/7-'Guide &amp; Settings'!$C$48,0)*'Guide &amp; Settings'!$C$49))</f>
        <v/>
      </c>
    </row>
    <row r="328" spans="1:29" x14ac:dyDescent="0.2">
      <c r="A328" s="111"/>
      <c r="B328" s="112"/>
      <c r="C328" s="113"/>
      <c r="D328" s="113"/>
      <c r="E328" s="111"/>
      <c r="F328" s="114">
        <f t="shared" si="85"/>
        <v>0</v>
      </c>
      <c r="G328" s="115" t="str">
        <f t="shared" si="86"/>
        <v/>
      </c>
      <c r="H328" s="116">
        <f>IF($D328="",0,IFERROR(LOOKUP(2,1/(($D$3:D327=$D328)*($A$3:A327&lt;$A328)),$N$3:N327),'Guide &amp; Settings'!$C$41))</f>
        <v>0</v>
      </c>
      <c r="I328" s="117">
        <f t="shared" si="87"/>
        <v>0</v>
      </c>
      <c r="J328" s="118">
        <f>IF($D328="",0,IF($F328&lt;2,0,IF($E328="Win",('Guide &amp; Settings'!$C$42/(($F328-1)*COUNTIFS($A$4:$A$810,$A328,$E$4:$E$810,"Win")))*SUMIFS($X$4:$X$810,$A$4:$A$810,$A328,$E$4:$E$810,"Loss"),-('Guide &amp; Settings'!$C$42/($F328-1))*$X328)))</f>
        <v>0</v>
      </c>
      <c r="K328" s="118">
        <f>IF($D328="",0,'Guide &amp; Settings'!$C$43*(IF($E328="Win",1,0)-$I328))</f>
        <v>0</v>
      </c>
      <c r="L328" s="119">
        <f>IF($D328="",0,'Guide &amp; Settings'!$C$44*IF($F328&gt;=3,$F328,0))</f>
        <v>0</v>
      </c>
      <c r="M328" s="118">
        <f t="shared" si="88"/>
        <v>0</v>
      </c>
      <c r="N328" s="116">
        <f t="shared" si="89"/>
        <v>0</v>
      </c>
      <c r="O328" s="115" t="str">
        <f t="shared" si="90"/>
        <v/>
      </c>
      <c r="P328">
        <f t="shared" si="91"/>
        <v>0</v>
      </c>
      <c r="Q328">
        <f t="shared" si="92"/>
        <v>0</v>
      </c>
      <c r="R328">
        <f t="shared" si="93"/>
        <v>0</v>
      </c>
      <c r="S328">
        <f t="shared" si="94"/>
        <v>0</v>
      </c>
      <c r="T328" s="83">
        <f t="shared" si="95"/>
        <v>0</v>
      </c>
      <c r="U328" s="120">
        <f>IF($D328="",0,IFERROR(LOOKUP(2,1/(($D$3:D327=$D328)*($C$3:C327=$C328)*($A$3:A327&lt;$A328)),$AB$3:AB327),1000))</f>
        <v>0</v>
      </c>
      <c r="V328" s="120">
        <f t="shared" si="96"/>
        <v>0</v>
      </c>
      <c r="W328">
        <f t="shared" si="97"/>
        <v>0</v>
      </c>
      <c r="X328">
        <f t="shared" si="98"/>
        <v>0</v>
      </c>
      <c r="Y328">
        <f t="shared" si="99"/>
        <v>0</v>
      </c>
      <c r="Z328">
        <f t="shared" si="100"/>
        <v>0</v>
      </c>
      <c r="AA328">
        <f>IF($D328="",0,IF($F328&lt;2,0,IF($E328="Win",('Guide &amp; Settings'!$C$42/(($F328-1)*COUNTIFS($A$4:$A$810,$A328,$E$4:$E$810,"Win")))*SUMIFS($Z$4:$Z$810,$A$4:$A$810,$A328,$E$4:$E$810,"Loss"),-('Guide &amp; Settings'!$C$42/($F328-1))*$Z328)))</f>
        <v>0</v>
      </c>
      <c r="AB328" s="120">
        <f t="shared" si="101"/>
        <v>0</v>
      </c>
      <c r="AC328" s="120" t="str">
        <f>IF($D328="","",IF(SUMPRODUCT(MAX(($D$4:$D$810=$D328)*($B$4:$B$810&lt;$B328)*$B$4:$B$810))=0,0,MAX(($B328-MAX(SUMPRODUCT(MAX(($D$4:$D$810=$D328)*($B$4:$B$810&lt;$B328)*$B$4:$B$810)),'Guide &amp; Settings'!$C$50))/7-'Guide &amp; Settings'!$C$48,0)*'Guide &amp; Settings'!$C$49))</f>
        <v/>
      </c>
    </row>
    <row r="329" spans="1:29" x14ac:dyDescent="0.2">
      <c r="A329" s="111"/>
      <c r="B329" s="112"/>
      <c r="C329" s="113"/>
      <c r="D329" s="113"/>
      <c r="E329" s="111"/>
      <c r="F329" s="114">
        <f t="shared" si="85"/>
        <v>0</v>
      </c>
      <c r="G329" s="115" t="str">
        <f t="shared" si="86"/>
        <v/>
      </c>
      <c r="H329" s="116">
        <f>IF($D329="",0,IFERROR(LOOKUP(2,1/(($D$3:D328=$D329)*($A$3:A328&lt;$A329)),$N$3:N328),'Guide &amp; Settings'!$C$41))</f>
        <v>0</v>
      </c>
      <c r="I329" s="117">
        <f t="shared" si="87"/>
        <v>0</v>
      </c>
      <c r="J329" s="118">
        <f>IF($D329="",0,IF($F329&lt;2,0,IF($E329="Win",('Guide &amp; Settings'!$C$42/(($F329-1)*COUNTIFS($A$4:$A$810,$A329,$E$4:$E$810,"Win")))*SUMIFS($X$4:$X$810,$A$4:$A$810,$A329,$E$4:$E$810,"Loss"),-('Guide &amp; Settings'!$C$42/($F329-1))*$X329)))</f>
        <v>0</v>
      </c>
      <c r="K329" s="118">
        <f>IF($D329="",0,'Guide &amp; Settings'!$C$43*(IF($E329="Win",1,0)-$I329))</f>
        <v>0</v>
      </c>
      <c r="L329" s="119">
        <f>IF($D329="",0,'Guide &amp; Settings'!$C$44*IF($F329&gt;=3,$F329,0))</f>
        <v>0</v>
      </c>
      <c r="M329" s="118">
        <f t="shared" si="88"/>
        <v>0</v>
      </c>
      <c r="N329" s="116">
        <f t="shared" si="89"/>
        <v>0</v>
      </c>
      <c r="O329" s="115" t="str">
        <f t="shared" si="90"/>
        <v/>
      </c>
      <c r="P329">
        <f t="shared" si="91"/>
        <v>0</v>
      </c>
      <c r="Q329">
        <f t="shared" si="92"/>
        <v>0</v>
      </c>
      <c r="R329">
        <f t="shared" si="93"/>
        <v>0</v>
      </c>
      <c r="S329">
        <f t="shared" si="94"/>
        <v>0</v>
      </c>
      <c r="T329" s="83">
        <f t="shared" si="95"/>
        <v>0</v>
      </c>
      <c r="U329" s="120">
        <f>IF($D329="",0,IFERROR(LOOKUP(2,1/(($D$3:D328=$D329)*($C$3:C328=$C329)*($A$3:A328&lt;$A329)),$AB$3:AB328),1000))</f>
        <v>0</v>
      </c>
      <c r="V329" s="120">
        <f t="shared" si="96"/>
        <v>0</v>
      </c>
      <c r="W329">
        <f t="shared" si="97"/>
        <v>0</v>
      </c>
      <c r="X329">
        <f t="shared" si="98"/>
        <v>0</v>
      </c>
      <c r="Y329">
        <f t="shared" si="99"/>
        <v>0</v>
      </c>
      <c r="Z329">
        <f t="shared" si="100"/>
        <v>0</v>
      </c>
      <c r="AA329">
        <f>IF($D329="",0,IF($F329&lt;2,0,IF($E329="Win",('Guide &amp; Settings'!$C$42/(($F329-1)*COUNTIFS($A$4:$A$810,$A329,$E$4:$E$810,"Win")))*SUMIFS($Z$4:$Z$810,$A$4:$A$810,$A329,$E$4:$E$810,"Loss"),-('Guide &amp; Settings'!$C$42/($F329-1))*$Z329)))</f>
        <v>0</v>
      </c>
      <c r="AB329" s="120">
        <f t="shared" si="101"/>
        <v>0</v>
      </c>
      <c r="AC329" s="120" t="str">
        <f>IF($D329="","",IF(SUMPRODUCT(MAX(($D$4:$D$810=$D329)*($B$4:$B$810&lt;$B329)*$B$4:$B$810))=0,0,MAX(($B329-MAX(SUMPRODUCT(MAX(($D$4:$D$810=$D329)*($B$4:$B$810&lt;$B329)*$B$4:$B$810)),'Guide &amp; Settings'!$C$50))/7-'Guide &amp; Settings'!$C$48,0)*'Guide &amp; Settings'!$C$49))</f>
        <v/>
      </c>
    </row>
    <row r="330" spans="1:29" x14ac:dyDescent="0.2">
      <c r="A330" s="111"/>
      <c r="B330" s="112"/>
      <c r="C330" s="113"/>
      <c r="D330" s="113"/>
      <c r="E330" s="111"/>
      <c r="F330" s="114">
        <f t="shared" si="85"/>
        <v>0</v>
      </c>
      <c r="G330" s="115" t="str">
        <f t="shared" si="86"/>
        <v/>
      </c>
      <c r="H330" s="116">
        <f>IF($D330="",0,IFERROR(LOOKUP(2,1/(($D$3:D329=$D330)*($A$3:A329&lt;$A330)),$N$3:N329),'Guide &amp; Settings'!$C$41))</f>
        <v>0</v>
      </c>
      <c r="I330" s="117">
        <f t="shared" si="87"/>
        <v>0</v>
      </c>
      <c r="J330" s="118">
        <f>IF($D330="",0,IF($F330&lt;2,0,IF($E330="Win",('Guide &amp; Settings'!$C$42/(($F330-1)*COUNTIFS($A$4:$A$810,$A330,$E$4:$E$810,"Win")))*SUMIFS($X$4:$X$810,$A$4:$A$810,$A330,$E$4:$E$810,"Loss"),-('Guide &amp; Settings'!$C$42/($F330-1))*$X330)))</f>
        <v>0</v>
      </c>
      <c r="K330" s="118">
        <f>IF($D330="",0,'Guide &amp; Settings'!$C$43*(IF($E330="Win",1,0)-$I330))</f>
        <v>0</v>
      </c>
      <c r="L330" s="119">
        <f>IF($D330="",0,'Guide &amp; Settings'!$C$44*IF($F330&gt;=3,$F330,0))</f>
        <v>0</v>
      </c>
      <c r="M330" s="118">
        <f t="shared" si="88"/>
        <v>0</v>
      </c>
      <c r="N330" s="116">
        <f t="shared" si="89"/>
        <v>0</v>
      </c>
      <c r="O330" s="115" t="str">
        <f t="shared" si="90"/>
        <v/>
      </c>
      <c r="P330">
        <f t="shared" si="91"/>
        <v>0</v>
      </c>
      <c r="Q330">
        <f t="shared" si="92"/>
        <v>0</v>
      </c>
      <c r="R330">
        <f t="shared" si="93"/>
        <v>0</v>
      </c>
      <c r="S330">
        <f t="shared" si="94"/>
        <v>0</v>
      </c>
      <c r="T330" s="83">
        <f t="shared" si="95"/>
        <v>0</v>
      </c>
      <c r="U330" s="120">
        <f>IF($D330="",0,IFERROR(LOOKUP(2,1/(($D$3:D329=$D330)*($C$3:C329=$C330)*($A$3:A329&lt;$A330)),$AB$3:AB329),1000))</f>
        <v>0</v>
      </c>
      <c r="V330" s="120">
        <f t="shared" si="96"/>
        <v>0</v>
      </c>
      <c r="W330">
        <f t="shared" si="97"/>
        <v>0</v>
      </c>
      <c r="X330">
        <f t="shared" si="98"/>
        <v>0</v>
      </c>
      <c r="Y330">
        <f t="shared" si="99"/>
        <v>0</v>
      </c>
      <c r="Z330">
        <f t="shared" si="100"/>
        <v>0</v>
      </c>
      <c r="AA330">
        <f>IF($D330="",0,IF($F330&lt;2,0,IF($E330="Win",('Guide &amp; Settings'!$C$42/(($F330-1)*COUNTIFS($A$4:$A$810,$A330,$E$4:$E$810,"Win")))*SUMIFS($Z$4:$Z$810,$A$4:$A$810,$A330,$E$4:$E$810,"Loss"),-('Guide &amp; Settings'!$C$42/($F330-1))*$Z330)))</f>
        <v>0</v>
      </c>
      <c r="AB330" s="120">
        <f t="shared" si="101"/>
        <v>0</v>
      </c>
      <c r="AC330" s="120" t="str">
        <f>IF($D330="","",IF(SUMPRODUCT(MAX(($D$4:$D$810=$D330)*($B$4:$B$810&lt;$B330)*$B$4:$B$810))=0,0,MAX(($B330-MAX(SUMPRODUCT(MAX(($D$4:$D$810=$D330)*($B$4:$B$810&lt;$B330)*$B$4:$B$810)),'Guide &amp; Settings'!$C$50))/7-'Guide &amp; Settings'!$C$48,0)*'Guide &amp; Settings'!$C$49))</f>
        <v/>
      </c>
    </row>
    <row r="331" spans="1:29" x14ac:dyDescent="0.2">
      <c r="A331" s="111"/>
      <c r="B331" s="112"/>
      <c r="C331" s="113"/>
      <c r="D331" s="113"/>
      <c r="E331" s="111"/>
      <c r="F331" s="114">
        <f t="shared" si="85"/>
        <v>0</v>
      </c>
      <c r="G331" s="115" t="str">
        <f t="shared" si="86"/>
        <v/>
      </c>
      <c r="H331" s="116">
        <f>IF($D331="",0,IFERROR(LOOKUP(2,1/(($D$3:D330=$D331)*($A$3:A330&lt;$A331)),$N$3:N330),'Guide &amp; Settings'!$C$41))</f>
        <v>0</v>
      </c>
      <c r="I331" s="117">
        <f t="shared" si="87"/>
        <v>0</v>
      </c>
      <c r="J331" s="118">
        <f>IF($D331="",0,IF($F331&lt;2,0,IF($E331="Win",('Guide &amp; Settings'!$C$42/(($F331-1)*COUNTIFS($A$4:$A$810,$A331,$E$4:$E$810,"Win")))*SUMIFS($X$4:$X$810,$A$4:$A$810,$A331,$E$4:$E$810,"Loss"),-('Guide &amp; Settings'!$C$42/($F331-1))*$X331)))</f>
        <v>0</v>
      </c>
      <c r="K331" s="118">
        <f>IF($D331="",0,'Guide &amp; Settings'!$C$43*(IF($E331="Win",1,0)-$I331))</f>
        <v>0</v>
      </c>
      <c r="L331" s="119">
        <f>IF($D331="",0,'Guide &amp; Settings'!$C$44*IF($F331&gt;=3,$F331,0))</f>
        <v>0</v>
      </c>
      <c r="M331" s="118">
        <f t="shared" si="88"/>
        <v>0</v>
      </c>
      <c r="N331" s="116">
        <f t="shared" si="89"/>
        <v>0</v>
      </c>
      <c r="O331" s="115" t="str">
        <f t="shared" si="90"/>
        <v/>
      </c>
      <c r="P331">
        <f t="shared" si="91"/>
        <v>0</v>
      </c>
      <c r="Q331">
        <f t="shared" si="92"/>
        <v>0</v>
      </c>
      <c r="R331">
        <f t="shared" si="93"/>
        <v>0</v>
      </c>
      <c r="S331">
        <f t="shared" si="94"/>
        <v>0</v>
      </c>
      <c r="T331" s="83">
        <f t="shared" si="95"/>
        <v>0</v>
      </c>
      <c r="U331" s="120">
        <f>IF($D331="",0,IFERROR(LOOKUP(2,1/(($D$3:D330=$D331)*($C$3:C330=$C331)*($A$3:A330&lt;$A331)),$AB$3:AB330),1000))</f>
        <v>0</v>
      </c>
      <c r="V331" s="120">
        <f t="shared" si="96"/>
        <v>0</v>
      </c>
      <c r="W331">
        <f t="shared" si="97"/>
        <v>0</v>
      </c>
      <c r="X331">
        <f t="shared" si="98"/>
        <v>0</v>
      </c>
      <c r="Y331">
        <f t="shared" si="99"/>
        <v>0</v>
      </c>
      <c r="Z331">
        <f t="shared" si="100"/>
        <v>0</v>
      </c>
      <c r="AA331">
        <f>IF($D331="",0,IF($F331&lt;2,0,IF($E331="Win",('Guide &amp; Settings'!$C$42/(($F331-1)*COUNTIFS($A$4:$A$810,$A331,$E$4:$E$810,"Win")))*SUMIFS($Z$4:$Z$810,$A$4:$A$810,$A331,$E$4:$E$810,"Loss"),-('Guide &amp; Settings'!$C$42/($F331-1))*$Z331)))</f>
        <v>0</v>
      </c>
      <c r="AB331" s="120">
        <f t="shared" si="101"/>
        <v>0</v>
      </c>
      <c r="AC331" s="120" t="str">
        <f>IF($D331="","",IF(SUMPRODUCT(MAX(($D$4:$D$810=$D331)*($B$4:$B$810&lt;$B331)*$B$4:$B$810))=0,0,MAX(($B331-MAX(SUMPRODUCT(MAX(($D$4:$D$810=$D331)*($B$4:$B$810&lt;$B331)*$B$4:$B$810)),'Guide &amp; Settings'!$C$50))/7-'Guide &amp; Settings'!$C$48,0)*'Guide &amp; Settings'!$C$49))</f>
        <v/>
      </c>
    </row>
    <row r="332" spans="1:29" x14ac:dyDescent="0.2">
      <c r="A332" s="111"/>
      <c r="B332" s="112"/>
      <c r="C332" s="113"/>
      <c r="D332" s="113"/>
      <c r="E332" s="111"/>
      <c r="F332" s="114">
        <f t="shared" si="85"/>
        <v>0</v>
      </c>
      <c r="G332" s="115" t="str">
        <f t="shared" si="86"/>
        <v/>
      </c>
      <c r="H332" s="116">
        <f>IF($D332="",0,IFERROR(LOOKUP(2,1/(($D$3:D331=$D332)*($A$3:A331&lt;$A332)),$N$3:N331),'Guide &amp; Settings'!$C$41))</f>
        <v>0</v>
      </c>
      <c r="I332" s="117">
        <f t="shared" si="87"/>
        <v>0</v>
      </c>
      <c r="J332" s="118">
        <f>IF($D332="",0,IF($F332&lt;2,0,IF($E332="Win",('Guide &amp; Settings'!$C$42/(($F332-1)*COUNTIFS($A$4:$A$810,$A332,$E$4:$E$810,"Win")))*SUMIFS($X$4:$X$810,$A$4:$A$810,$A332,$E$4:$E$810,"Loss"),-('Guide &amp; Settings'!$C$42/($F332-1))*$X332)))</f>
        <v>0</v>
      </c>
      <c r="K332" s="118">
        <f>IF($D332="",0,'Guide &amp; Settings'!$C$43*(IF($E332="Win",1,0)-$I332))</f>
        <v>0</v>
      </c>
      <c r="L332" s="119">
        <f>IF($D332="",0,'Guide &amp; Settings'!$C$44*IF($F332&gt;=3,$F332,0))</f>
        <v>0</v>
      </c>
      <c r="M332" s="118">
        <f t="shared" si="88"/>
        <v>0</v>
      </c>
      <c r="N332" s="116">
        <f t="shared" si="89"/>
        <v>0</v>
      </c>
      <c r="O332" s="115" t="str">
        <f t="shared" si="90"/>
        <v/>
      </c>
      <c r="P332">
        <f t="shared" si="91"/>
        <v>0</v>
      </c>
      <c r="Q332">
        <f t="shared" si="92"/>
        <v>0</v>
      </c>
      <c r="R332">
        <f t="shared" si="93"/>
        <v>0</v>
      </c>
      <c r="S332">
        <f t="shared" si="94"/>
        <v>0</v>
      </c>
      <c r="T332" s="83">
        <f t="shared" si="95"/>
        <v>0</v>
      </c>
      <c r="U332" s="120">
        <f>IF($D332="",0,IFERROR(LOOKUP(2,1/(($D$3:D331=$D332)*($C$3:C331=$C332)*($A$3:A331&lt;$A332)),$AB$3:AB331),1000))</f>
        <v>0</v>
      </c>
      <c r="V332" s="120">
        <f t="shared" si="96"/>
        <v>0</v>
      </c>
      <c r="W332">
        <f t="shared" si="97"/>
        <v>0</v>
      </c>
      <c r="X332">
        <f t="shared" si="98"/>
        <v>0</v>
      </c>
      <c r="Y332">
        <f t="shared" si="99"/>
        <v>0</v>
      </c>
      <c r="Z332">
        <f t="shared" si="100"/>
        <v>0</v>
      </c>
      <c r="AA332">
        <f>IF($D332="",0,IF($F332&lt;2,0,IF($E332="Win",('Guide &amp; Settings'!$C$42/(($F332-1)*COUNTIFS($A$4:$A$810,$A332,$E$4:$E$810,"Win")))*SUMIFS($Z$4:$Z$810,$A$4:$A$810,$A332,$E$4:$E$810,"Loss"),-('Guide &amp; Settings'!$C$42/($F332-1))*$Z332)))</f>
        <v>0</v>
      </c>
      <c r="AB332" s="120">
        <f t="shared" si="101"/>
        <v>0</v>
      </c>
      <c r="AC332" s="120" t="str">
        <f>IF($D332="","",IF(SUMPRODUCT(MAX(($D$4:$D$810=$D332)*($B$4:$B$810&lt;$B332)*$B$4:$B$810))=0,0,MAX(($B332-MAX(SUMPRODUCT(MAX(($D$4:$D$810=$D332)*($B$4:$B$810&lt;$B332)*$B$4:$B$810)),'Guide &amp; Settings'!$C$50))/7-'Guide &amp; Settings'!$C$48,0)*'Guide &amp; Settings'!$C$49))</f>
        <v/>
      </c>
    </row>
    <row r="333" spans="1:29" x14ac:dyDescent="0.2">
      <c r="A333" s="111"/>
      <c r="B333" s="112"/>
      <c r="C333" s="113"/>
      <c r="D333" s="113"/>
      <c r="E333" s="111"/>
      <c r="F333" s="114">
        <f t="shared" si="85"/>
        <v>0</v>
      </c>
      <c r="G333" s="115" t="str">
        <f t="shared" si="86"/>
        <v/>
      </c>
      <c r="H333" s="116">
        <f>IF($D333="",0,IFERROR(LOOKUP(2,1/(($D$3:D332=$D333)*($A$3:A332&lt;$A333)),$N$3:N332),'Guide &amp; Settings'!$C$41))</f>
        <v>0</v>
      </c>
      <c r="I333" s="117">
        <f t="shared" si="87"/>
        <v>0</v>
      </c>
      <c r="J333" s="118">
        <f>IF($D333="",0,IF($F333&lt;2,0,IF($E333="Win",('Guide &amp; Settings'!$C$42/(($F333-1)*COUNTIFS($A$4:$A$810,$A333,$E$4:$E$810,"Win")))*SUMIFS($X$4:$X$810,$A$4:$A$810,$A333,$E$4:$E$810,"Loss"),-('Guide &amp; Settings'!$C$42/($F333-1))*$X333)))</f>
        <v>0</v>
      </c>
      <c r="K333" s="118">
        <f>IF($D333="",0,'Guide &amp; Settings'!$C$43*(IF($E333="Win",1,0)-$I333))</f>
        <v>0</v>
      </c>
      <c r="L333" s="119">
        <f>IF($D333="",0,'Guide &amp; Settings'!$C$44*IF($F333&gt;=3,$F333,0))</f>
        <v>0</v>
      </c>
      <c r="M333" s="118">
        <f t="shared" si="88"/>
        <v>0</v>
      </c>
      <c r="N333" s="116">
        <f t="shared" si="89"/>
        <v>0</v>
      </c>
      <c r="O333" s="115" t="str">
        <f t="shared" si="90"/>
        <v/>
      </c>
      <c r="P333">
        <f t="shared" si="91"/>
        <v>0</v>
      </c>
      <c r="Q333">
        <f t="shared" si="92"/>
        <v>0</v>
      </c>
      <c r="R333">
        <f t="shared" si="93"/>
        <v>0</v>
      </c>
      <c r="S333">
        <f t="shared" si="94"/>
        <v>0</v>
      </c>
      <c r="T333" s="83">
        <f t="shared" si="95"/>
        <v>0</v>
      </c>
      <c r="U333" s="120">
        <f>IF($D333="",0,IFERROR(LOOKUP(2,1/(($D$3:D332=$D333)*($C$3:C332=$C333)*($A$3:A332&lt;$A333)),$AB$3:AB332),1000))</f>
        <v>0</v>
      </c>
      <c r="V333" s="120">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0">
        <f t="shared" si="101"/>
        <v>0</v>
      </c>
      <c r="AC333" s="120" t="str">
        <f>IF($D333="","",IF(SUMPRODUCT(MAX(($D$4:$D$810=$D333)*($B$4:$B$810&lt;$B333)*$B$4:$B$810))=0,0,MAX(($B333-MAX(SUMPRODUCT(MAX(($D$4:$D$810=$D333)*($B$4:$B$810&lt;$B333)*$B$4:$B$810)),'Guide &amp; Settings'!$C$50))/7-'Guide &amp; Settings'!$C$48,0)*'Guide &amp; Settings'!$C$49))</f>
        <v/>
      </c>
    </row>
    <row r="334" spans="1:29" x14ac:dyDescent="0.2">
      <c r="A334" s="111"/>
      <c r="B334" s="112"/>
      <c r="C334" s="113"/>
      <c r="D334" s="113"/>
      <c r="E334" s="111"/>
      <c r="F334" s="114">
        <f t="shared" si="85"/>
        <v>0</v>
      </c>
      <c r="G334" s="115" t="str">
        <f t="shared" si="86"/>
        <v/>
      </c>
      <c r="H334" s="116">
        <f>IF($D334="",0,IFERROR(LOOKUP(2,1/(($D$3:D333=$D334)*($A$3:A333&lt;$A334)),$N$3:N333),'Guide &amp; Settings'!$C$41))</f>
        <v>0</v>
      </c>
      <c r="I334" s="117">
        <f t="shared" si="87"/>
        <v>0</v>
      </c>
      <c r="J334" s="118">
        <f>IF($D334="",0,IF($F334&lt;2,0,IF($E334="Win",('Guide &amp; Settings'!$C$42/(($F334-1)*COUNTIFS($A$4:$A$810,$A334,$E$4:$E$810,"Win")))*SUMIFS($X$4:$X$810,$A$4:$A$810,$A334,$E$4:$E$810,"Loss"),-('Guide &amp; Settings'!$C$42/($F334-1))*$X334)))</f>
        <v>0</v>
      </c>
      <c r="K334" s="118">
        <f>IF($D334="",0,'Guide &amp; Settings'!$C$43*(IF($E334="Win",1,0)-$I334))</f>
        <v>0</v>
      </c>
      <c r="L334" s="119">
        <f>IF($D334="",0,'Guide &amp; Settings'!$C$44*IF($F334&gt;=3,$F334,0))</f>
        <v>0</v>
      </c>
      <c r="M334" s="118">
        <f t="shared" si="88"/>
        <v>0</v>
      </c>
      <c r="N334" s="116">
        <f t="shared" si="89"/>
        <v>0</v>
      </c>
      <c r="O334" s="115" t="str">
        <f t="shared" si="90"/>
        <v/>
      </c>
      <c r="P334">
        <f t="shared" si="91"/>
        <v>0</v>
      </c>
      <c r="Q334">
        <f t="shared" si="92"/>
        <v>0</v>
      </c>
      <c r="R334">
        <f t="shared" si="93"/>
        <v>0</v>
      </c>
      <c r="S334">
        <f t="shared" si="94"/>
        <v>0</v>
      </c>
      <c r="T334" s="83">
        <f t="shared" si="95"/>
        <v>0</v>
      </c>
      <c r="U334" s="120">
        <f>IF($D334="",0,IFERROR(LOOKUP(2,1/(($D$3:D333=$D334)*($C$3:C333=$C334)*($A$3:A333&lt;$A334)),$AB$3:AB333),1000))</f>
        <v>0</v>
      </c>
      <c r="V334" s="120">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0">
        <f t="shared" si="101"/>
        <v>0</v>
      </c>
      <c r="AC334" s="120" t="str">
        <f>IF($D334="","",IF(SUMPRODUCT(MAX(($D$4:$D$810=$D334)*($B$4:$B$810&lt;$B334)*$B$4:$B$810))=0,0,MAX(($B334-MAX(SUMPRODUCT(MAX(($D$4:$D$810=$D334)*($B$4:$B$810&lt;$B334)*$B$4:$B$810)),'Guide &amp; Settings'!$C$50))/7-'Guide &amp; Settings'!$C$48,0)*'Guide &amp; Settings'!$C$49))</f>
        <v/>
      </c>
    </row>
    <row r="335" spans="1:29" x14ac:dyDescent="0.2">
      <c r="A335" s="111"/>
      <c r="B335" s="112"/>
      <c r="C335" s="113"/>
      <c r="D335" s="113"/>
      <c r="E335" s="111"/>
      <c r="F335" s="114">
        <f t="shared" si="85"/>
        <v>0</v>
      </c>
      <c r="G335" s="115" t="str">
        <f t="shared" si="86"/>
        <v/>
      </c>
      <c r="H335" s="116">
        <f>IF($D335="",0,IFERROR(LOOKUP(2,1/(($D$3:D334=$D335)*($A$3:A334&lt;$A335)),$N$3:N334),'Guide &amp; Settings'!$C$41))</f>
        <v>0</v>
      </c>
      <c r="I335" s="117">
        <f t="shared" si="87"/>
        <v>0</v>
      </c>
      <c r="J335" s="118">
        <f>IF($D335="",0,IF($F335&lt;2,0,IF($E335="Win",('Guide &amp; Settings'!$C$42/(($F335-1)*COUNTIFS($A$4:$A$810,$A335,$E$4:$E$810,"Win")))*SUMIFS($X$4:$X$810,$A$4:$A$810,$A335,$E$4:$E$810,"Loss"),-('Guide &amp; Settings'!$C$42/($F335-1))*$X335)))</f>
        <v>0</v>
      </c>
      <c r="K335" s="118">
        <f>IF($D335="",0,'Guide &amp; Settings'!$C$43*(IF($E335="Win",1,0)-$I335))</f>
        <v>0</v>
      </c>
      <c r="L335" s="119">
        <f>IF($D335="",0,'Guide &amp; Settings'!$C$44*IF($F335&gt;=3,$F335,0))</f>
        <v>0</v>
      </c>
      <c r="M335" s="118">
        <f t="shared" si="88"/>
        <v>0</v>
      </c>
      <c r="N335" s="116">
        <f t="shared" si="89"/>
        <v>0</v>
      </c>
      <c r="O335" s="115" t="str">
        <f t="shared" si="90"/>
        <v/>
      </c>
      <c r="P335">
        <f t="shared" si="91"/>
        <v>0</v>
      </c>
      <c r="Q335">
        <f t="shared" si="92"/>
        <v>0</v>
      </c>
      <c r="R335">
        <f t="shared" si="93"/>
        <v>0</v>
      </c>
      <c r="S335">
        <f t="shared" si="94"/>
        <v>0</v>
      </c>
      <c r="T335" s="83">
        <f t="shared" si="95"/>
        <v>0</v>
      </c>
      <c r="U335" s="120">
        <f>IF($D335="",0,IFERROR(LOOKUP(2,1/(($D$3:D334=$D335)*($C$3:C334=$C335)*($A$3:A334&lt;$A335)),$AB$3:AB334),1000))</f>
        <v>0</v>
      </c>
      <c r="V335" s="120">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0">
        <f t="shared" si="101"/>
        <v>0</v>
      </c>
      <c r="AC335" s="120" t="str">
        <f>IF($D335="","",IF(SUMPRODUCT(MAX(($D$4:$D$810=$D335)*($B$4:$B$810&lt;$B335)*$B$4:$B$810))=0,0,MAX(($B335-MAX(SUMPRODUCT(MAX(($D$4:$D$810=$D335)*($B$4:$B$810&lt;$B335)*$B$4:$B$810)),'Guide &amp; Settings'!$C$50))/7-'Guide &amp; Settings'!$C$48,0)*'Guide &amp; Settings'!$C$49))</f>
        <v/>
      </c>
    </row>
    <row r="336" spans="1:29" x14ac:dyDescent="0.2">
      <c r="A336" s="111"/>
      <c r="B336" s="112"/>
      <c r="C336" s="113"/>
      <c r="D336" s="113"/>
      <c r="E336" s="111"/>
      <c r="F336" s="114">
        <f t="shared" si="85"/>
        <v>0</v>
      </c>
      <c r="G336" s="115" t="str">
        <f t="shared" si="86"/>
        <v/>
      </c>
      <c r="H336" s="116">
        <f>IF($D336="",0,IFERROR(LOOKUP(2,1/(($D$3:D335=$D336)*($A$3:A335&lt;$A336)),$N$3:N335),'Guide &amp; Settings'!$C$41))</f>
        <v>0</v>
      </c>
      <c r="I336" s="117">
        <f t="shared" si="87"/>
        <v>0</v>
      </c>
      <c r="J336" s="118">
        <f>IF($D336="",0,IF($F336&lt;2,0,IF($E336="Win",('Guide &amp; Settings'!$C$42/(($F336-1)*COUNTIFS($A$4:$A$810,$A336,$E$4:$E$810,"Win")))*SUMIFS($X$4:$X$810,$A$4:$A$810,$A336,$E$4:$E$810,"Loss"),-('Guide &amp; Settings'!$C$42/($F336-1))*$X336)))</f>
        <v>0</v>
      </c>
      <c r="K336" s="118">
        <f>IF($D336="",0,'Guide &amp; Settings'!$C$43*(IF($E336="Win",1,0)-$I336))</f>
        <v>0</v>
      </c>
      <c r="L336" s="119">
        <f>IF($D336="",0,'Guide &amp; Settings'!$C$44*IF($F336&gt;=3,$F336,0))</f>
        <v>0</v>
      </c>
      <c r="M336" s="118">
        <f t="shared" si="88"/>
        <v>0</v>
      </c>
      <c r="N336" s="116">
        <f t="shared" si="89"/>
        <v>0</v>
      </c>
      <c r="O336" s="115" t="str">
        <f t="shared" si="90"/>
        <v/>
      </c>
      <c r="P336">
        <f t="shared" si="91"/>
        <v>0</v>
      </c>
      <c r="Q336">
        <f t="shared" si="92"/>
        <v>0</v>
      </c>
      <c r="R336">
        <f t="shared" si="93"/>
        <v>0</v>
      </c>
      <c r="S336">
        <f t="shared" si="94"/>
        <v>0</v>
      </c>
      <c r="T336" s="83">
        <f t="shared" si="95"/>
        <v>0</v>
      </c>
      <c r="U336" s="120">
        <f>IF($D336="",0,IFERROR(LOOKUP(2,1/(($D$3:D335=$D336)*($C$3:C335=$C336)*($A$3:A335&lt;$A336)),$AB$3:AB335),1000))</f>
        <v>0</v>
      </c>
      <c r="V336" s="120">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0">
        <f t="shared" si="101"/>
        <v>0</v>
      </c>
      <c r="AC336" s="120" t="str">
        <f>IF($D336="","",IF(SUMPRODUCT(MAX(($D$4:$D$810=$D336)*($B$4:$B$810&lt;$B336)*$B$4:$B$810))=0,0,MAX(($B336-MAX(SUMPRODUCT(MAX(($D$4:$D$810=$D336)*($B$4:$B$810&lt;$B336)*$B$4:$B$810)),'Guide &amp; Settings'!$C$50))/7-'Guide &amp; Settings'!$C$48,0)*'Guide &amp; Settings'!$C$49))</f>
        <v/>
      </c>
    </row>
    <row r="337" spans="1:29" x14ac:dyDescent="0.2">
      <c r="A337" s="111"/>
      <c r="B337" s="112"/>
      <c r="C337" s="113"/>
      <c r="D337" s="113"/>
      <c r="E337" s="111"/>
      <c r="F337" s="114">
        <f t="shared" si="85"/>
        <v>0</v>
      </c>
      <c r="G337" s="115" t="str">
        <f t="shared" si="86"/>
        <v/>
      </c>
      <c r="H337" s="116">
        <f>IF($D337="",0,IFERROR(LOOKUP(2,1/(($D$3:D336=$D337)*($A$3:A336&lt;$A337)),$N$3:N336),'Guide &amp; Settings'!$C$41))</f>
        <v>0</v>
      </c>
      <c r="I337" s="117">
        <f t="shared" si="87"/>
        <v>0</v>
      </c>
      <c r="J337" s="118">
        <f>IF($D337="",0,IF($F337&lt;2,0,IF($E337="Win",('Guide &amp; Settings'!$C$42/(($F337-1)*COUNTIFS($A$4:$A$810,$A337,$E$4:$E$810,"Win")))*SUMIFS($X$4:$X$810,$A$4:$A$810,$A337,$E$4:$E$810,"Loss"),-('Guide &amp; Settings'!$C$42/($F337-1))*$X337)))</f>
        <v>0</v>
      </c>
      <c r="K337" s="118">
        <f>IF($D337="",0,'Guide &amp; Settings'!$C$43*(IF($E337="Win",1,0)-$I337))</f>
        <v>0</v>
      </c>
      <c r="L337" s="119">
        <f>IF($D337="",0,'Guide &amp; Settings'!$C$44*IF($F337&gt;=3,$F337,0))</f>
        <v>0</v>
      </c>
      <c r="M337" s="118">
        <f t="shared" si="88"/>
        <v>0</v>
      </c>
      <c r="N337" s="116">
        <f t="shared" si="89"/>
        <v>0</v>
      </c>
      <c r="O337" s="115" t="str">
        <f t="shared" si="90"/>
        <v/>
      </c>
      <c r="P337">
        <f t="shared" si="91"/>
        <v>0</v>
      </c>
      <c r="Q337">
        <f t="shared" si="92"/>
        <v>0</v>
      </c>
      <c r="R337">
        <f t="shared" si="93"/>
        <v>0</v>
      </c>
      <c r="S337">
        <f t="shared" si="94"/>
        <v>0</v>
      </c>
      <c r="T337" s="83">
        <f t="shared" si="95"/>
        <v>0</v>
      </c>
      <c r="U337" s="120">
        <f>IF($D337="",0,IFERROR(LOOKUP(2,1/(($D$3:D336=$D337)*($C$3:C336=$C337)*($A$3:A336&lt;$A337)),$AB$3:AB336),1000))</f>
        <v>0</v>
      </c>
      <c r="V337" s="120">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0">
        <f t="shared" si="101"/>
        <v>0</v>
      </c>
      <c r="AC337" s="120" t="str">
        <f>IF($D337="","",IF(SUMPRODUCT(MAX(($D$4:$D$810=$D337)*($B$4:$B$810&lt;$B337)*$B$4:$B$810))=0,0,MAX(($B337-MAX(SUMPRODUCT(MAX(($D$4:$D$810=$D337)*($B$4:$B$810&lt;$B337)*$B$4:$B$810)),'Guide &amp; Settings'!$C$50))/7-'Guide &amp; Settings'!$C$48,0)*'Guide &amp; Settings'!$C$49))</f>
        <v/>
      </c>
    </row>
    <row r="338" spans="1:29" x14ac:dyDescent="0.2">
      <c r="A338" s="111"/>
      <c r="B338" s="112"/>
      <c r="C338" s="113"/>
      <c r="D338" s="113"/>
      <c r="E338" s="111"/>
      <c r="F338" s="114">
        <f t="shared" si="85"/>
        <v>0</v>
      </c>
      <c r="G338" s="115" t="str">
        <f t="shared" si="86"/>
        <v/>
      </c>
      <c r="H338" s="116">
        <f>IF($D338="",0,IFERROR(LOOKUP(2,1/(($D$3:D337=$D338)*($A$3:A337&lt;$A338)),$N$3:N337),'Guide &amp; Settings'!$C$41))</f>
        <v>0</v>
      </c>
      <c r="I338" s="117">
        <f t="shared" si="87"/>
        <v>0</v>
      </c>
      <c r="J338" s="118">
        <f>IF($D338="",0,IF($F338&lt;2,0,IF($E338="Win",('Guide &amp; Settings'!$C$42/(($F338-1)*COUNTIFS($A$4:$A$810,$A338,$E$4:$E$810,"Win")))*SUMIFS($X$4:$X$810,$A$4:$A$810,$A338,$E$4:$E$810,"Loss"),-('Guide &amp; Settings'!$C$42/($F338-1))*$X338)))</f>
        <v>0</v>
      </c>
      <c r="K338" s="118">
        <f>IF($D338="",0,'Guide &amp; Settings'!$C$43*(IF($E338="Win",1,0)-$I338))</f>
        <v>0</v>
      </c>
      <c r="L338" s="119">
        <f>IF($D338="",0,'Guide &amp; Settings'!$C$44*IF($F338&gt;=3,$F338,0))</f>
        <v>0</v>
      </c>
      <c r="M338" s="118">
        <f t="shared" si="88"/>
        <v>0</v>
      </c>
      <c r="N338" s="116">
        <f t="shared" si="89"/>
        <v>0</v>
      </c>
      <c r="O338" s="115" t="str">
        <f t="shared" si="90"/>
        <v/>
      </c>
      <c r="P338">
        <f t="shared" si="91"/>
        <v>0</v>
      </c>
      <c r="Q338">
        <f t="shared" si="92"/>
        <v>0</v>
      </c>
      <c r="R338">
        <f t="shared" si="93"/>
        <v>0</v>
      </c>
      <c r="S338">
        <f t="shared" si="94"/>
        <v>0</v>
      </c>
      <c r="T338" s="83">
        <f t="shared" si="95"/>
        <v>0</v>
      </c>
      <c r="U338" s="120">
        <f>IF($D338="",0,IFERROR(LOOKUP(2,1/(($D$3:D337=$D338)*($C$3:C337=$C338)*($A$3:A337&lt;$A338)),$AB$3:AB337),1000))</f>
        <v>0</v>
      </c>
      <c r="V338" s="120">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0">
        <f t="shared" si="101"/>
        <v>0</v>
      </c>
      <c r="AC338" s="120" t="str">
        <f>IF($D338="","",IF(SUMPRODUCT(MAX(($D$4:$D$810=$D338)*($B$4:$B$810&lt;$B338)*$B$4:$B$810))=0,0,MAX(($B338-MAX(SUMPRODUCT(MAX(($D$4:$D$810=$D338)*($B$4:$B$810&lt;$B338)*$B$4:$B$810)),'Guide &amp; Settings'!$C$50))/7-'Guide &amp; Settings'!$C$48,0)*'Guide &amp; Settings'!$C$49))</f>
        <v/>
      </c>
    </row>
    <row r="339" spans="1:29" x14ac:dyDescent="0.2">
      <c r="A339" s="111"/>
      <c r="B339" s="112"/>
      <c r="C339" s="113"/>
      <c r="D339" s="113"/>
      <c r="E339" s="111"/>
      <c r="F339" s="114">
        <f t="shared" si="85"/>
        <v>0</v>
      </c>
      <c r="G339" s="115" t="str">
        <f t="shared" si="86"/>
        <v/>
      </c>
      <c r="H339" s="116">
        <f>IF($D339="",0,IFERROR(LOOKUP(2,1/(($D$3:D338=$D339)*($A$3:A338&lt;$A339)),$N$3:N338),'Guide &amp; Settings'!$C$41))</f>
        <v>0</v>
      </c>
      <c r="I339" s="117">
        <f t="shared" si="87"/>
        <v>0</v>
      </c>
      <c r="J339" s="118">
        <f>IF($D339="",0,IF($F339&lt;2,0,IF($E339="Win",('Guide &amp; Settings'!$C$42/(($F339-1)*COUNTIFS($A$4:$A$810,$A339,$E$4:$E$810,"Win")))*SUMIFS($X$4:$X$810,$A$4:$A$810,$A339,$E$4:$E$810,"Loss"),-('Guide &amp; Settings'!$C$42/($F339-1))*$X339)))</f>
        <v>0</v>
      </c>
      <c r="K339" s="118">
        <f>IF($D339="",0,'Guide &amp; Settings'!$C$43*(IF($E339="Win",1,0)-$I339))</f>
        <v>0</v>
      </c>
      <c r="L339" s="119">
        <f>IF($D339="",0,'Guide &amp; Settings'!$C$44*IF($F339&gt;=3,$F339,0))</f>
        <v>0</v>
      </c>
      <c r="M339" s="118">
        <f t="shared" si="88"/>
        <v>0</v>
      </c>
      <c r="N339" s="116">
        <f t="shared" si="89"/>
        <v>0</v>
      </c>
      <c r="O339" s="115" t="str">
        <f t="shared" si="90"/>
        <v/>
      </c>
      <c r="P339">
        <f t="shared" si="91"/>
        <v>0</v>
      </c>
      <c r="Q339">
        <f t="shared" si="92"/>
        <v>0</v>
      </c>
      <c r="R339">
        <f t="shared" si="93"/>
        <v>0</v>
      </c>
      <c r="S339">
        <f t="shared" si="94"/>
        <v>0</v>
      </c>
      <c r="T339" s="83">
        <f t="shared" si="95"/>
        <v>0</v>
      </c>
      <c r="U339" s="120">
        <f>IF($D339="",0,IFERROR(LOOKUP(2,1/(($D$3:D338=$D339)*($C$3:C338=$C339)*($A$3:A338&lt;$A339)),$AB$3:AB338),1000))</f>
        <v>0</v>
      </c>
      <c r="V339" s="120">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0">
        <f t="shared" si="101"/>
        <v>0</v>
      </c>
      <c r="AC339" s="120" t="str">
        <f>IF($D339="","",IF(SUMPRODUCT(MAX(($D$4:$D$810=$D339)*($B$4:$B$810&lt;$B339)*$B$4:$B$810))=0,0,MAX(($B339-MAX(SUMPRODUCT(MAX(($D$4:$D$810=$D339)*($B$4:$B$810&lt;$B339)*$B$4:$B$810)),'Guide &amp; Settings'!$C$50))/7-'Guide &amp; Settings'!$C$48,0)*'Guide &amp; Settings'!$C$49))</f>
        <v/>
      </c>
    </row>
    <row r="340" spans="1:29" x14ac:dyDescent="0.2">
      <c r="A340" s="111"/>
      <c r="B340" s="112"/>
      <c r="C340" s="113"/>
      <c r="D340" s="113"/>
      <c r="E340" s="111"/>
      <c r="F340" s="114">
        <f t="shared" si="85"/>
        <v>0</v>
      </c>
      <c r="G340" s="115" t="str">
        <f t="shared" si="86"/>
        <v/>
      </c>
      <c r="H340" s="116">
        <f>IF($D340="",0,IFERROR(LOOKUP(2,1/(($D$3:D339=$D340)*($A$3:A339&lt;$A340)),$N$3:N339),'Guide &amp; Settings'!$C$41))</f>
        <v>0</v>
      </c>
      <c r="I340" s="117">
        <f t="shared" si="87"/>
        <v>0</v>
      </c>
      <c r="J340" s="118">
        <f>IF($D340="",0,IF($F340&lt;2,0,IF($E340="Win",('Guide &amp; Settings'!$C$42/(($F340-1)*COUNTIFS($A$4:$A$810,$A340,$E$4:$E$810,"Win")))*SUMIFS($X$4:$X$810,$A$4:$A$810,$A340,$E$4:$E$810,"Loss"),-('Guide &amp; Settings'!$C$42/($F340-1))*$X340)))</f>
        <v>0</v>
      </c>
      <c r="K340" s="118">
        <f>IF($D340="",0,'Guide &amp; Settings'!$C$43*(IF($E340="Win",1,0)-$I340))</f>
        <v>0</v>
      </c>
      <c r="L340" s="119">
        <f>IF($D340="",0,'Guide &amp; Settings'!$C$44*IF($F340&gt;=3,$F340,0))</f>
        <v>0</v>
      </c>
      <c r="M340" s="118">
        <f t="shared" si="88"/>
        <v>0</v>
      </c>
      <c r="N340" s="116">
        <f t="shared" si="89"/>
        <v>0</v>
      </c>
      <c r="O340" s="115" t="str">
        <f t="shared" si="90"/>
        <v/>
      </c>
      <c r="P340">
        <f t="shared" si="91"/>
        <v>0</v>
      </c>
      <c r="Q340">
        <f t="shared" si="92"/>
        <v>0</v>
      </c>
      <c r="R340">
        <f t="shared" si="93"/>
        <v>0</v>
      </c>
      <c r="S340">
        <f t="shared" si="94"/>
        <v>0</v>
      </c>
      <c r="T340" s="83">
        <f t="shared" si="95"/>
        <v>0</v>
      </c>
      <c r="U340" s="120">
        <f>IF($D340="",0,IFERROR(LOOKUP(2,1/(($D$3:D339=$D340)*($C$3:C339=$C340)*($A$3:A339&lt;$A340)),$AB$3:AB339),1000))</f>
        <v>0</v>
      </c>
      <c r="V340" s="120">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0">
        <f t="shared" si="101"/>
        <v>0</v>
      </c>
      <c r="AC340" s="120" t="str">
        <f>IF($D340="","",IF(SUMPRODUCT(MAX(($D$4:$D$810=$D340)*($B$4:$B$810&lt;$B340)*$B$4:$B$810))=0,0,MAX(($B340-MAX(SUMPRODUCT(MAX(($D$4:$D$810=$D340)*($B$4:$B$810&lt;$B340)*$B$4:$B$810)),'Guide &amp; Settings'!$C$50))/7-'Guide &amp; Settings'!$C$48,0)*'Guide &amp; Settings'!$C$49))</f>
        <v/>
      </c>
    </row>
    <row r="341" spans="1:29" x14ac:dyDescent="0.2">
      <c r="A341" s="111"/>
      <c r="B341" s="112"/>
      <c r="C341" s="113"/>
      <c r="D341" s="113"/>
      <c r="E341" s="111"/>
      <c r="F341" s="114">
        <f t="shared" si="85"/>
        <v>0</v>
      </c>
      <c r="G341" s="115" t="str">
        <f t="shared" si="86"/>
        <v/>
      </c>
      <c r="H341" s="116">
        <f>IF($D341="",0,IFERROR(LOOKUP(2,1/(($D$3:D340=$D341)*($A$3:A340&lt;$A341)),$N$3:N340),'Guide &amp; Settings'!$C$41))</f>
        <v>0</v>
      </c>
      <c r="I341" s="117">
        <f t="shared" si="87"/>
        <v>0</v>
      </c>
      <c r="J341" s="118">
        <f>IF($D341="",0,IF($F341&lt;2,0,IF($E341="Win",('Guide &amp; Settings'!$C$42/(($F341-1)*COUNTIFS($A$4:$A$810,$A341,$E$4:$E$810,"Win")))*SUMIFS($X$4:$X$810,$A$4:$A$810,$A341,$E$4:$E$810,"Loss"),-('Guide &amp; Settings'!$C$42/($F341-1))*$X341)))</f>
        <v>0</v>
      </c>
      <c r="K341" s="118">
        <f>IF($D341="",0,'Guide &amp; Settings'!$C$43*(IF($E341="Win",1,0)-$I341))</f>
        <v>0</v>
      </c>
      <c r="L341" s="119">
        <f>IF($D341="",0,'Guide &amp; Settings'!$C$44*IF($F341&gt;=3,$F341,0))</f>
        <v>0</v>
      </c>
      <c r="M341" s="118">
        <f t="shared" si="88"/>
        <v>0</v>
      </c>
      <c r="N341" s="116">
        <f t="shared" si="89"/>
        <v>0</v>
      </c>
      <c r="O341" s="115" t="str">
        <f t="shared" si="90"/>
        <v/>
      </c>
      <c r="P341">
        <f t="shared" si="91"/>
        <v>0</v>
      </c>
      <c r="Q341">
        <f t="shared" si="92"/>
        <v>0</v>
      </c>
      <c r="R341">
        <f t="shared" si="93"/>
        <v>0</v>
      </c>
      <c r="S341">
        <f t="shared" si="94"/>
        <v>0</v>
      </c>
      <c r="T341" s="83">
        <f t="shared" si="95"/>
        <v>0</v>
      </c>
      <c r="U341" s="120">
        <f>IF($D341="",0,IFERROR(LOOKUP(2,1/(($D$3:D340=$D341)*($C$3:C340=$C341)*($A$3:A340&lt;$A341)),$AB$3:AB340),1000))</f>
        <v>0</v>
      </c>
      <c r="V341" s="120">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0">
        <f t="shared" si="101"/>
        <v>0</v>
      </c>
      <c r="AC341" s="120" t="str">
        <f>IF($D341="","",IF(SUMPRODUCT(MAX(($D$4:$D$810=$D341)*($B$4:$B$810&lt;$B341)*$B$4:$B$810))=0,0,MAX(($B341-MAX(SUMPRODUCT(MAX(($D$4:$D$810=$D341)*($B$4:$B$810&lt;$B341)*$B$4:$B$810)),'Guide &amp; Settings'!$C$50))/7-'Guide &amp; Settings'!$C$48,0)*'Guide &amp; Settings'!$C$49))</f>
        <v/>
      </c>
    </row>
    <row r="342" spans="1:29" x14ac:dyDescent="0.2">
      <c r="A342" s="111"/>
      <c r="B342" s="112"/>
      <c r="C342" s="113"/>
      <c r="D342" s="113"/>
      <c r="E342" s="111"/>
      <c r="F342" s="114">
        <f t="shared" si="85"/>
        <v>0</v>
      </c>
      <c r="G342" s="115" t="str">
        <f t="shared" si="86"/>
        <v/>
      </c>
      <c r="H342" s="116">
        <f>IF($D342="",0,IFERROR(LOOKUP(2,1/(($D$3:D341=$D342)*($A$3:A341&lt;$A342)),$N$3:N341),'Guide &amp; Settings'!$C$41))</f>
        <v>0</v>
      </c>
      <c r="I342" s="117">
        <f t="shared" si="87"/>
        <v>0</v>
      </c>
      <c r="J342" s="118">
        <f>IF($D342="",0,IF($F342&lt;2,0,IF($E342="Win",('Guide &amp; Settings'!$C$42/(($F342-1)*COUNTIFS($A$4:$A$810,$A342,$E$4:$E$810,"Win")))*SUMIFS($X$4:$X$810,$A$4:$A$810,$A342,$E$4:$E$810,"Loss"),-('Guide &amp; Settings'!$C$42/($F342-1))*$X342)))</f>
        <v>0</v>
      </c>
      <c r="K342" s="118">
        <f>IF($D342="",0,'Guide &amp; Settings'!$C$43*(IF($E342="Win",1,0)-$I342))</f>
        <v>0</v>
      </c>
      <c r="L342" s="119">
        <f>IF($D342="",0,'Guide &amp; Settings'!$C$44*IF($F342&gt;=3,$F342,0))</f>
        <v>0</v>
      </c>
      <c r="M342" s="118">
        <f t="shared" si="88"/>
        <v>0</v>
      </c>
      <c r="N342" s="116">
        <f t="shared" si="89"/>
        <v>0</v>
      </c>
      <c r="O342" s="115" t="str">
        <f t="shared" si="90"/>
        <v/>
      </c>
      <c r="P342">
        <f t="shared" si="91"/>
        <v>0</v>
      </c>
      <c r="Q342">
        <f t="shared" si="92"/>
        <v>0</v>
      </c>
      <c r="R342">
        <f t="shared" si="93"/>
        <v>0</v>
      </c>
      <c r="S342">
        <f t="shared" si="94"/>
        <v>0</v>
      </c>
      <c r="T342" s="83">
        <f t="shared" si="95"/>
        <v>0</v>
      </c>
      <c r="U342" s="120">
        <f>IF($D342="",0,IFERROR(LOOKUP(2,1/(($D$3:D341=$D342)*($C$3:C341=$C342)*($A$3:A341&lt;$A342)),$AB$3:AB341),1000))</f>
        <v>0</v>
      </c>
      <c r="V342" s="120">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0">
        <f t="shared" si="101"/>
        <v>0</v>
      </c>
      <c r="AC342" s="120" t="str">
        <f>IF($D342="","",IF(SUMPRODUCT(MAX(($D$4:$D$810=$D342)*($B$4:$B$810&lt;$B342)*$B$4:$B$810))=0,0,MAX(($B342-MAX(SUMPRODUCT(MAX(($D$4:$D$810=$D342)*($B$4:$B$810&lt;$B342)*$B$4:$B$810)),'Guide &amp; Settings'!$C$50))/7-'Guide &amp; Settings'!$C$48,0)*'Guide &amp; Settings'!$C$49))</f>
        <v/>
      </c>
    </row>
    <row r="343" spans="1:29" x14ac:dyDescent="0.2">
      <c r="A343" s="111"/>
      <c r="B343" s="112"/>
      <c r="C343" s="113"/>
      <c r="D343" s="113"/>
      <c r="E343" s="111"/>
      <c r="F343" s="114">
        <f t="shared" si="85"/>
        <v>0</v>
      </c>
      <c r="G343" s="115" t="str">
        <f t="shared" si="86"/>
        <v/>
      </c>
      <c r="H343" s="116">
        <f>IF($D343="",0,IFERROR(LOOKUP(2,1/(($D$3:D342=$D343)*($A$3:A342&lt;$A343)),$N$3:N342),'Guide &amp; Settings'!$C$41))</f>
        <v>0</v>
      </c>
      <c r="I343" s="117">
        <f t="shared" si="87"/>
        <v>0</v>
      </c>
      <c r="J343" s="118">
        <f>IF($D343="",0,IF($F343&lt;2,0,IF($E343="Win",('Guide &amp; Settings'!$C$42/(($F343-1)*COUNTIFS($A$4:$A$810,$A343,$E$4:$E$810,"Win")))*SUMIFS($X$4:$X$810,$A$4:$A$810,$A343,$E$4:$E$810,"Loss"),-('Guide &amp; Settings'!$C$42/($F343-1))*$X343)))</f>
        <v>0</v>
      </c>
      <c r="K343" s="118">
        <f>IF($D343="",0,'Guide &amp; Settings'!$C$43*(IF($E343="Win",1,0)-$I343))</f>
        <v>0</v>
      </c>
      <c r="L343" s="119">
        <f>IF($D343="",0,'Guide &amp; Settings'!$C$44*IF($F343&gt;=3,$F343,0))</f>
        <v>0</v>
      </c>
      <c r="M343" s="118">
        <f t="shared" si="88"/>
        <v>0</v>
      </c>
      <c r="N343" s="116">
        <f t="shared" si="89"/>
        <v>0</v>
      </c>
      <c r="O343" s="115" t="str">
        <f t="shared" si="90"/>
        <v/>
      </c>
      <c r="P343">
        <f t="shared" si="91"/>
        <v>0</v>
      </c>
      <c r="Q343">
        <f t="shared" si="92"/>
        <v>0</v>
      </c>
      <c r="R343">
        <f t="shared" si="93"/>
        <v>0</v>
      </c>
      <c r="S343">
        <f t="shared" si="94"/>
        <v>0</v>
      </c>
      <c r="T343" s="83">
        <f t="shared" si="95"/>
        <v>0</v>
      </c>
      <c r="U343" s="120">
        <f>IF($D343="",0,IFERROR(LOOKUP(2,1/(($D$3:D342=$D343)*($C$3:C342=$C343)*($A$3:A342&lt;$A343)),$AB$3:AB342),1000))</f>
        <v>0</v>
      </c>
      <c r="V343" s="120">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0">
        <f t="shared" si="101"/>
        <v>0</v>
      </c>
      <c r="AC343" s="120" t="str">
        <f>IF($D343="","",IF(SUMPRODUCT(MAX(($D$4:$D$810=$D343)*($B$4:$B$810&lt;$B343)*$B$4:$B$810))=0,0,MAX(($B343-MAX(SUMPRODUCT(MAX(($D$4:$D$810=$D343)*($B$4:$B$810&lt;$B343)*$B$4:$B$810)),'Guide &amp; Settings'!$C$50))/7-'Guide &amp; Settings'!$C$48,0)*'Guide &amp; Settings'!$C$49))</f>
        <v/>
      </c>
    </row>
    <row r="344" spans="1:29" x14ac:dyDescent="0.2">
      <c r="A344" s="111"/>
      <c r="B344" s="112"/>
      <c r="C344" s="113"/>
      <c r="D344" s="113"/>
      <c r="E344" s="111"/>
      <c r="F344" s="114">
        <f t="shared" si="85"/>
        <v>0</v>
      </c>
      <c r="G344" s="115" t="str">
        <f t="shared" si="86"/>
        <v/>
      </c>
      <c r="H344" s="116">
        <f>IF($D344="",0,IFERROR(LOOKUP(2,1/(($D$3:D343=$D344)*($A$3:A343&lt;$A344)),$N$3:N343),'Guide &amp; Settings'!$C$41))</f>
        <v>0</v>
      </c>
      <c r="I344" s="117">
        <f t="shared" si="87"/>
        <v>0</v>
      </c>
      <c r="J344" s="118">
        <f>IF($D344="",0,IF($F344&lt;2,0,IF($E344="Win",('Guide &amp; Settings'!$C$42/(($F344-1)*COUNTIFS($A$4:$A$810,$A344,$E$4:$E$810,"Win")))*SUMIFS($X$4:$X$810,$A$4:$A$810,$A344,$E$4:$E$810,"Loss"),-('Guide &amp; Settings'!$C$42/($F344-1))*$X344)))</f>
        <v>0</v>
      </c>
      <c r="K344" s="118">
        <f>IF($D344="",0,'Guide &amp; Settings'!$C$43*(IF($E344="Win",1,0)-$I344))</f>
        <v>0</v>
      </c>
      <c r="L344" s="119">
        <f>IF($D344="",0,'Guide &amp; Settings'!$C$44*IF($F344&gt;=3,$F344,0))</f>
        <v>0</v>
      </c>
      <c r="M344" s="118">
        <f t="shared" si="88"/>
        <v>0</v>
      </c>
      <c r="N344" s="116">
        <f t="shared" si="89"/>
        <v>0</v>
      </c>
      <c r="O344" s="115" t="str">
        <f t="shared" si="90"/>
        <v/>
      </c>
      <c r="P344">
        <f t="shared" si="91"/>
        <v>0</v>
      </c>
      <c r="Q344">
        <f t="shared" si="92"/>
        <v>0</v>
      </c>
      <c r="R344">
        <f t="shared" si="93"/>
        <v>0</v>
      </c>
      <c r="S344">
        <f t="shared" si="94"/>
        <v>0</v>
      </c>
      <c r="T344" s="83">
        <f t="shared" si="95"/>
        <v>0</v>
      </c>
      <c r="U344" s="120">
        <f>IF($D344="",0,IFERROR(LOOKUP(2,1/(($D$3:D343=$D344)*($C$3:C343=$C344)*($A$3:A343&lt;$A344)),$AB$3:AB343),1000))</f>
        <v>0</v>
      </c>
      <c r="V344" s="120">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0">
        <f t="shared" si="101"/>
        <v>0</v>
      </c>
      <c r="AC344" s="120" t="str">
        <f>IF($D344="","",IF(SUMPRODUCT(MAX(($D$4:$D$810=$D344)*($B$4:$B$810&lt;$B344)*$B$4:$B$810))=0,0,MAX(($B344-MAX(SUMPRODUCT(MAX(($D$4:$D$810=$D344)*($B$4:$B$810&lt;$B344)*$B$4:$B$810)),'Guide &amp; Settings'!$C$50))/7-'Guide &amp; Settings'!$C$48,0)*'Guide &amp; Settings'!$C$49))</f>
        <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1131.7327279757073</v>
      </c>
      <c r="C7">
        <f>IFERROR(INDEX(Engine!$C$2:$C$15,MATCH($A7,Engine!$A$2:$A$15,0)),"")</f>
        <v>1024.0260149619828</v>
      </c>
      <c r="D7">
        <f t="shared" ref="D7:D20" si="0">RANK($B7,$B$7:$B$20)</f>
        <v>2</v>
      </c>
      <c r="E7">
        <f t="shared" ref="E7:E20" si="1">MAX($B$7:$B$20)-$B7</f>
        <v>36.478615625036809</v>
      </c>
      <c r="F7" t="str">
        <f>IFERROR(LOOKUP(2,1/('Match Log'!$D$4:$D$810=$A7),'Match Log'!$E$4:$E$810),"")</f>
        <v>Win</v>
      </c>
      <c r="G7">
        <f>IF($F7="",0,SUMPRODUCT(('Match Log'!$D$4:$D$810=$A7)*(ROW('Match Log'!$A$4:$A$810)&gt;SUMPRODUCT(MAX(('Match Log'!$D$4:$D$810=$A7)*('Match Log'!$E$4:$E$810&lt;&gt;$F7)*ROW('Match Log'!$A$4:$A$810))))))</f>
        <v>3</v>
      </c>
      <c r="H7" t="str">
        <f t="shared" ref="H7:H20" si="2">IF($G7=0,"",LEFT($F7,1)&amp;$G7)</f>
        <v>W3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WLWWW</v>
      </c>
      <c r="J7">
        <f>IFERROR(LOOKUP(2,1/(('Match Log'!$D$4:$D$810=$A7)*('Match Log'!$B$4:$B$810&lt;=$B$3)),'Match Log'!$N$4:$N$810),1000)</f>
        <v>1112.3077761293196</v>
      </c>
      <c r="K7">
        <f t="shared" ref="K7:K20" si="3">RANK($J7,$J$7:$J$20)</f>
        <v>4</v>
      </c>
      <c r="L7">
        <f t="shared" ref="L7:L20" si="4">$K7-$D7</f>
        <v>2</v>
      </c>
      <c r="M7">
        <f t="shared" ref="M7:M20" si="5">SUMPRODUCT(($D$25:$D$444=$A7)*($G$25:$G$444&gt;0.25)*($D$25:$D$444&lt;&gt;""))</f>
        <v>2</v>
      </c>
      <c r="N7">
        <f t="shared" ref="N7:N20" si="6">LEN($I7)-LEN(SUBSTITUTE($I7,"W",""))</f>
        <v>4</v>
      </c>
      <c r="O7">
        <f t="shared" ref="O7:O20" si="7">IF($F7="Win",$G7,0)</f>
        <v>3</v>
      </c>
      <c r="P7">
        <f>IFERROR(SUMPRODUCT(MAX(('Match Log'!$D$4:$D$810=$A7)*'Match Log'!$B$4:$B$810)),0)</f>
        <v>46214</v>
      </c>
      <c r="Q7">
        <f t="shared" ref="Q7:Q20" si="8">IF($P7=0,"",($B$4-$P7)/7)</f>
        <v>0</v>
      </c>
      <c r="R7">
        <f>IF($P7=0,0,MAX($Q7-'Guide &amp; Settings'!$C$48,0)*'Guide &amp; Settings'!$C$49)</f>
        <v>0</v>
      </c>
      <c r="S7">
        <f>$B7-$R7-$U7+SUMIF('Poker Stake Ledger'!$C$18:$C$137,$A7,'Poker Stake Ledger'!$K$18:$K$137)</f>
        <v>1131.7327279757073</v>
      </c>
      <c r="T7" t="str">
        <f>IF($P7=0,"No games",IF($Q7&gt;='Guide &amp; Settings'!$C$48,"Inactive",IF($Q7&gt;='Guide &amp; Settings'!$C$47,"At risk","Active")))</f>
        <v>Active</v>
      </c>
      <c r="U7">
        <f>SUMIF('Match Log'!$D$4:$D$810,$A7,'Match Log'!$AC$4:$AC$810)</f>
        <v>0</v>
      </c>
      <c r="V7">
        <f t="shared" ref="V7:V20" si="9">IF($F7="Loss",$G7,0)</f>
        <v>0</v>
      </c>
      <c r="W7">
        <f t="shared" ref="W7:W20" si="10">MAX(0,MIN(100,50+($S7-1000)/4))</f>
        <v>82.933181993926837</v>
      </c>
      <c r="X7">
        <f>IFERROR(INDEX(Dashboard!$G$5:$G$18,MATCH($A7,Dashboard!$B$5:$B$18,0))*100,0)</f>
        <v>58.333333333333336</v>
      </c>
      <c r="Y7">
        <f>MIN(100,IFERROR(INDEX(Dashboard!$K$5:$K$18,MATCH($A7,Dashboard!$B$5:$B$18,0)),0)/5*50+$AC7/4*50)</f>
        <v>100</v>
      </c>
      <c r="Z7">
        <f t="shared" ref="Z7:Z20" si="11">IFERROR($N7/LEN($I7)*100,0)</f>
        <v>80</v>
      </c>
      <c r="AA7">
        <f t="shared" ref="AA7:AA20" si="12">IF($C7="",0,MAX(0,MIN(100,50+($C7-1000)/4)))</f>
        <v>56.006503740495702</v>
      </c>
      <c r="AB7">
        <f t="shared" ref="AB7:AB20" si="13">0.35*$W7+0.2*$X7+0.2*$Y7+0.15*$Z7+0.1*$AA7</f>
        <v>78.293930738590632</v>
      </c>
      <c r="AC7">
        <f>IFERROR(SUMPRODUCT((INDEX('Sport Records'!$B$8:$O$26,0,MATCH($A7,'Sport Records'!$B$7:$O$7,0))&gt;=2)*(INDEX('Sport Records'!$B$52:$O$70,0,MATCH($A7,'Sport Records'!$B$51:$O$51,0))&gt;=0.5)),0)</f>
        <v>5</v>
      </c>
      <c r="AD7">
        <f>IFERROR(INDEX(Dashboard!$D$5:$D$18,MATCH($A7,Dashboard!$B$5:$B$18,0)),0)</f>
        <v>36</v>
      </c>
      <c r="AE7">
        <f>IFERROR(INDEX(Dashboard!$K$5:$K$18,MATCH($A7,Dashboard!$B$5:$B$18,0)),0)</f>
        <v>8</v>
      </c>
      <c r="AF7" t="str">
        <f t="shared" ref="AF7:AF20" si="14">IF($AD7=0,"No games",IF(OR($AD7&lt;5,$AE7&lt;2),"Unranked",IF($AB7&gt;=72,IF(AND($AD7&gt;=8,$AE7&gt;=3),"Elite","Mid"),IF($AB7&gt;=58,IF(AND($AD7&gt;=8,$AE7&gt;=3),"Strong","Mid"),IF($AB7&gt;=44,"Mid","Developing")))))</f>
        <v>Elite</v>
      </c>
      <c r="AG7">
        <f ca="1">COUNTIFS('Match Log'!$D$4:$D$810,$A7,'Match Log'!$B$4:$B$810,"&gt;="&amp;$B$5)</f>
        <v>11</v>
      </c>
      <c r="AH7">
        <f ca="1">COUNTIFS('Match Log'!$D$4:$D$810,$A7,'Match Log'!$B$4:$B$810,"&gt;="&amp;$B$5,'Match Log'!$E$4:$E$810,"Win")</f>
        <v>6</v>
      </c>
      <c r="AI7">
        <f t="shared" ref="AI7:AI20" si="15">IF(ISNUMBER($S7),$S7,-1000000)+ROW()/10000000</f>
        <v>1131.7327286757074</v>
      </c>
    </row>
    <row r="8" spans="1:35" ht="15" customHeight="1" x14ac:dyDescent="0.2">
      <c r="A8" t="s">
        <v>135</v>
      </c>
      <c r="B8">
        <f>IFERROR(INDEX(Engine!$B$2:$B$15,MATCH($A8,Engine!$A$2:$A$15,0)),1000)</f>
        <v>1029.2201908859522</v>
      </c>
      <c r="C8">
        <f>IFERROR(INDEX(Engine!$C$2:$C$15,MATCH($A8,Engine!$A$2:$A$15,0)),"")</f>
        <v>1064.0051966015935</v>
      </c>
      <c r="D8">
        <f t="shared" si="0"/>
        <v>9</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66.001299150398381</v>
      </c>
      <c r="AB8">
        <f t="shared" si="13"/>
        <v>51.156896617560655</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1060.3838027507936</v>
      </c>
      <c r="D9">
        <f t="shared" si="0"/>
        <v>10</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0</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65.095950687698405</v>
      </c>
      <c r="AB9">
        <f t="shared" si="13"/>
        <v>55.978176405683051</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981.92436608474441</v>
      </c>
      <c r="C10">
        <f>IFERROR(INDEX(Engine!$C$2:$C$15,MATCH($A10,Engine!$A$2:$A$15,0)),"")</f>
        <v>1075.3510760997674</v>
      </c>
      <c r="D10">
        <f t="shared" si="0"/>
        <v>13</v>
      </c>
      <c r="E10">
        <f t="shared" si="1"/>
        <v>186.28697751599975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981.92436608474441</v>
      </c>
      <c r="K10">
        <f t="shared" si="3"/>
        <v>12</v>
      </c>
      <c r="L10">
        <f t="shared" si="4"/>
        <v>-1</v>
      </c>
      <c r="M10">
        <f t="shared" si="5"/>
        <v>0</v>
      </c>
      <c r="N10">
        <f t="shared" si="6"/>
        <v>2</v>
      </c>
      <c r="O10">
        <f t="shared" si="7"/>
        <v>2</v>
      </c>
      <c r="P10">
        <f>IFERROR(SUMPRODUCT(MAX(('Match Log'!$D$4:$D$810=$A10)*'Match Log'!$B$4:$B$810)),0)</f>
        <v>46188</v>
      </c>
      <c r="Q10">
        <f t="shared" si="8"/>
        <v>3.7142857142857144</v>
      </c>
      <c r="R10">
        <f>IF($P10=0,0,MAX($Q10-'Guide &amp; Settings'!$C$48,0)*'Guide &amp; Settings'!$C$49)</f>
        <v>0</v>
      </c>
      <c r="S10">
        <f>$B10-$R10-$U10+SUMIF('Poker Stake Ledger'!$C$18:$C$137,$A10,'Poker Stake Ledger'!$K$18:$K$137)</f>
        <v>981.92436608474441</v>
      </c>
      <c r="T10" t="str">
        <f>IF($P10=0,"No games",IF($Q10&gt;='Guide &amp; Settings'!$C$48,"Inactive",IF($Q10&gt;='Guide &amp; Settings'!$C$47,"At risk","Active")))</f>
        <v>At risk</v>
      </c>
      <c r="U10">
        <f>SUMIF('Match Log'!$D$4:$D$810,$A10,'Match Log'!$AC$4:$AC$810)</f>
        <v>0</v>
      </c>
      <c r="V10">
        <f t="shared" si="9"/>
        <v>0</v>
      </c>
      <c r="W10">
        <f t="shared" si="10"/>
        <v>45.481091521186102</v>
      </c>
      <c r="X10">
        <f>IFERROR(INDEX(Dashboard!$G$5:$G$18,MATCH($A10,Dashboard!$B$5:$B$18,0))*100,0)</f>
        <v>28.571428571428569</v>
      </c>
      <c r="Y10">
        <f>MIN(100,IFERROR(INDEX(Dashboard!$K$5:$K$18,MATCH($A10,Dashboard!$B$5:$B$18,0)),0)/5*50+$AC10/4*50)</f>
        <v>30</v>
      </c>
      <c r="Z10">
        <f t="shared" si="11"/>
        <v>40</v>
      </c>
      <c r="AA10">
        <f t="shared" si="12"/>
        <v>68.837769024941849</v>
      </c>
      <c r="AB10">
        <f t="shared" si="13"/>
        <v>40.51644464919503</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4"/>
        <v>Developing</v>
      </c>
      <c r="AG10">
        <f ca="1">COUNTIFS('Match Log'!$D$4:$D$810,$A10,'Match Log'!$B$4:$B$810,"&gt;="&amp;$B$5)</f>
        <v>0</v>
      </c>
      <c r="AH10">
        <f ca="1">COUNTIFS('Match Log'!$D$4:$D$810,$A10,'Match Log'!$B$4:$B$810,"&gt;="&amp;$B$5,'Match Log'!$E$4:$E$810,"Win")</f>
        <v>0</v>
      </c>
      <c r="AI10">
        <f t="shared" si="15"/>
        <v>981.9243670847444</v>
      </c>
    </row>
    <row r="11" spans="1:35" ht="15" customHeight="1" x14ac:dyDescent="0.2">
      <c r="A11" t="s">
        <v>137</v>
      </c>
      <c r="B11">
        <f>IFERROR(INDEX(Engine!$B$2:$B$15,MATCH($A11,Engine!$A$2:$A$15,0)),1000)</f>
        <v>1129.7012289075892</v>
      </c>
      <c r="C11">
        <f>IFERROR(INDEX(Engine!$C$2:$C$15,MATCH($A11,Engine!$A$2:$A$15,0)),"")</f>
        <v>1037.2383023711334</v>
      </c>
      <c r="D11">
        <f t="shared" si="0"/>
        <v>3</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0</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59.309575592783347</v>
      </c>
      <c r="AB11">
        <f t="shared" si="13"/>
        <v>73.279815088692402</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997.36259998776018</v>
      </c>
      <c r="C12">
        <f>IFERROR(INDEX(Engine!$C$2:$C$15,MATCH($A12,Engine!$A$2:$A$15,0)),"")</f>
        <v>1086.05073375028</v>
      </c>
      <c r="D12">
        <f t="shared" si="0"/>
        <v>12</v>
      </c>
      <c r="E12">
        <f t="shared" si="1"/>
        <v>170.84874361298398</v>
      </c>
      <c r="F12" t="str">
        <f>IFERROR(LOOKUP(2,1/('Match Log'!$D$4:$D$810=$A12),'Match Log'!$E$4:$E$810),"")</f>
        <v>Loss</v>
      </c>
      <c r="G12">
        <f>IF($F12="",0,SUMPRODUCT(('Match Log'!$D$4:$D$810=$A12)*(ROW('Match Log'!$A$4:$A$810)&gt;SUMPRODUCT(MAX(('Match Log'!$D$4:$D$810=$A12)*('Match Log'!$E$4:$E$810&lt;&gt;$F12)*ROW('Match Log'!$A$4:$A$810))))))</f>
        <v>3</v>
      </c>
      <c r="H12" t="str">
        <f t="shared" si="2"/>
        <v>L3</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LWLLL</v>
      </c>
      <c r="J12">
        <f>IFERROR(LOOKUP(2,1/(('Match Log'!$D$4:$D$810=$A12)*('Match Log'!$B$4:$B$810&lt;=$B$3)),'Match Log'!$N$4:$N$810),1000)</f>
        <v>942.18333246120994</v>
      </c>
      <c r="K12">
        <f t="shared" si="3"/>
        <v>13</v>
      </c>
      <c r="L12">
        <f t="shared" si="4"/>
        <v>1</v>
      </c>
      <c r="M12">
        <f t="shared" si="5"/>
        <v>3</v>
      </c>
      <c r="N12">
        <f t="shared" si="6"/>
        <v>1</v>
      </c>
      <c r="O12">
        <f t="shared" si="7"/>
        <v>0</v>
      </c>
      <c r="P12">
        <f>IFERROR(SUMPRODUCT(MAX(('Match Log'!$D$4:$D$810=$A12)*'Match Log'!$B$4:$B$810)),0)</f>
        <v>46214</v>
      </c>
      <c r="Q12">
        <f t="shared" si="8"/>
        <v>0</v>
      </c>
      <c r="R12">
        <f>IF($P12=0,0,MAX($Q12-'Guide &amp; Settings'!$C$48,0)*'Guide &amp; Settings'!$C$49)</f>
        <v>0</v>
      </c>
      <c r="S12">
        <f>$B12-$R12-$U12+SUMIF('Poker Stake Ledger'!$C$18:$C$137,$A12,'Poker Stake Ledger'!$K$18:$K$137)</f>
        <v>997.36259998776018</v>
      </c>
      <c r="T12" t="str">
        <f>IF($P12=0,"No games",IF($Q12&gt;='Guide &amp; Settings'!$C$48,"Inactive",IF($Q12&gt;='Guide &amp; Settings'!$C$47,"At risk","Active")))</f>
        <v>Active</v>
      </c>
      <c r="U12">
        <f>SUMIF('Match Log'!$D$4:$D$810,$A12,'Match Log'!$AC$4:$AC$810)</f>
        <v>0</v>
      </c>
      <c r="V12">
        <f t="shared" si="9"/>
        <v>3</v>
      </c>
      <c r="W12">
        <f t="shared" si="10"/>
        <v>49.340649996940044</v>
      </c>
      <c r="X12">
        <f>IFERROR(INDEX(Dashboard!$G$5:$G$18,MATCH($A12,Dashboard!$B$5:$B$18,0))*100,0)</f>
        <v>43.333333333333336</v>
      </c>
      <c r="Y12">
        <f>MIN(100,IFERROR(INDEX(Dashboard!$K$5:$K$18,MATCH($A12,Dashboard!$B$5:$B$18,0)),0)/5*50+$AC12/4*50)</f>
        <v>100</v>
      </c>
      <c r="Z12">
        <f t="shared" si="11"/>
        <v>20</v>
      </c>
      <c r="AA12">
        <f t="shared" si="12"/>
        <v>71.51268343756999</v>
      </c>
      <c r="AB12">
        <f t="shared" si="13"/>
        <v>56.08716250935268</v>
      </c>
      <c r="AC12">
        <f>IFERROR(SUMPRODUCT((INDEX('Sport Records'!$B$8:$O$26,0,MATCH($A12,'Sport Records'!$B$7:$O$7,0))&gt;=2)*(INDEX('Sport Records'!$B$52:$O$70,0,MATCH($A12,'Sport Records'!$B$51:$O$51,0))&gt;=0.5)),0)</f>
        <v>3</v>
      </c>
      <c r="AD12">
        <f>IFERROR(INDEX(Dashboard!$D$5:$D$18,MATCH($A12,Dashboard!$B$5:$B$18,0)),0)</f>
        <v>60</v>
      </c>
      <c r="AE12">
        <f>IFERROR(INDEX(Dashboard!$K$5:$K$18,MATCH($A12,Dashboard!$B$5:$B$18,0)),0)</f>
        <v>9</v>
      </c>
      <c r="AF12" t="str">
        <f t="shared" si="14"/>
        <v>Mid</v>
      </c>
      <c r="AG12">
        <f ca="1">COUNTIFS('Match Log'!$D$4:$D$810,$A12,'Match Log'!$B$4:$B$810,"&gt;="&amp;$B$5)</f>
        <v>23</v>
      </c>
      <c r="AH12">
        <f ca="1">COUNTIFS('Match Log'!$D$4:$D$810,$A12,'Match Log'!$B$4:$B$810,"&gt;="&amp;$B$5,'Match Log'!$E$4:$E$810,"Win")</f>
        <v>10</v>
      </c>
      <c r="AI12">
        <f t="shared" si="15"/>
        <v>997.36260118776022</v>
      </c>
    </row>
    <row r="13" spans="1:35" ht="15" customHeight="1" x14ac:dyDescent="0.2">
      <c r="A13" t="s">
        <v>168</v>
      </c>
      <c r="B13">
        <f>IFERROR(INDEX(Engine!$B$2:$B$15,MATCH($A13,Engine!$A$2:$A$15,0)),1000)</f>
        <v>1084.8903813508514</v>
      </c>
      <c r="C13">
        <f>IFERROR(INDEX(Engine!$C$2:$C$15,MATCH($A13,Engine!$A$2:$A$15,0)),"")</f>
        <v>1054.1734744168207</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1</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63.54336860420517</v>
      </c>
      <c r="AB13">
        <f t="shared" si="13"/>
        <v>62.046951110972955</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1061.3598545136369</v>
      </c>
      <c r="D14">
        <f t="shared" si="0"/>
        <v>6</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0</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65.339963628409237</v>
      </c>
      <c r="AB14">
        <f t="shared" si="13"/>
        <v>66.330702518645893</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1051.9558839854085</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62.988970996352123</v>
      </c>
      <c r="AB15">
        <f t="shared" si="13"/>
        <v>71.060867925569895</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1083.8773467260505</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70.96933668151263</v>
      </c>
      <c r="AB16">
        <f t="shared" si="13"/>
        <v>27.314572534333866</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1055.3113468209158</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-3</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63.827836705228947</v>
      </c>
      <c r="AB17">
        <f t="shared" si="13"/>
        <v>61.106943344425133</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1031.225848367051</v>
      </c>
      <c r="C18">
        <f>IFERROR(INDEX(Engine!$C$2:$C$15,MATCH($A18,Engine!$A$2:$A$15,0)),"")</f>
        <v>1051.9562851744297</v>
      </c>
      <c r="D18">
        <f t="shared" si="0"/>
        <v>7</v>
      </c>
      <c r="E18">
        <f t="shared" si="1"/>
        <v>136.9854952336932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1031.225848367051</v>
      </c>
      <c r="K18">
        <f t="shared" si="3"/>
        <v>7</v>
      </c>
      <c r="L18">
        <f t="shared" si="4"/>
        <v>0</v>
      </c>
      <c r="M18">
        <f t="shared" si="5"/>
        <v>0</v>
      </c>
      <c r="N18">
        <f t="shared" si="6"/>
        <v>2</v>
      </c>
      <c r="O18">
        <f t="shared" si="7"/>
        <v>2</v>
      </c>
      <c r="P18">
        <f>IFERROR(SUMPRODUCT(MAX(('Match Log'!$D$4:$D$810=$A18)*'Match Log'!$B$4:$B$810)),0)</f>
        <v>46188</v>
      </c>
      <c r="Q18">
        <f t="shared" si="8"/>
        <v>3.7142857142857144</v>
      </c>
      <c r="R18">
        <f>IF($P18=0,0,MAX($Q18-'Guide &amp; Settings'!$C$48,0)*'Guide &amp; Settings'!$C$49)</f>
        <v>0</v>
      </c>
      <c r="S18">
        <f>$B18-$R18-$U18+SUMIF('Poker Stake Ledger'!$C$18:$C$137,$A18,'Poker Stake Ledger'!$K$18:$K$137)</f>
        <v>1031.225848367051</v>
      </c>
      <c r="T18" t="str">
        <f>IF($P18=0,"No games",IF($Q18&gt;='Guide &amp; Settings'!$C$48,"Inactive",IF($Q18&gt;='Guide &amp; Settings'!$C$47,"At risk","Active")))</f>
        <v>At risk</v>
      </c>
      <c r="U18">
        <f>SUMIF('Match Log'!$D$4:$D$810,$A18,'Match Log'!$AC$4:$AC$810)</f>
        <v>0</v>
      </c>
      <c r="V18">
        <f t="shared" si="9"/>
        <v>0</v>
      </c>
      <c r="W18">
        <f t="shared" si="10"/>
        <v>57.806462091762739</v>
      </c>
      <c r="X18">
        <f>IFERROR(INDEX(Dashboard!$G$5:$G$18,MATCH($A18,Dashboard!$B$5:$B$18,0))*100,0)</f>
        <v>40</v>
      </c>
      <c r="Y18">
        <f>MIN(100,IFERROR(INDEX(Dashboard!$K$5:$K$18,MATCH($A18,Dashboard!$B$5:$B$18,0)),0)/5*50+$AC18/4*50)</f>
        <v>10</v>
      </c>
      <c r="Z18">
        <f t="shared" si="11"/>
        <v>40</v>
      </c>
      <c r="AA18">
        <f t="shared" si="12"/>
        <v>62.989071293607424</v>
      </c>
      <c r="AB18">
        <f t="shared" si="13"/>
        <v>42.531168861477695</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4"/>
        <v>Unranked</v>
      </c>
      <c r="AG18">
        <f ca="1">COUNTIFS('Match Log'!$D$4:$D$810,$A18,'Match Log'!$B$4:$B$810,"&gt;="&amp;$B$5)</f>
        <v>0</v>
      </c>
      <c r="AH18">
        <f ca="1">COUNTIFS('Match Log'!$D$4:$D$810,$A18,'Match Log'!$B$4:$B$810,"&gt;="&amp;$B$5,'Match Log'!$E$4:$E$810,"Win")</f>
        <v>0</v>
      </c>
      <c r="AI18">
        <f t="shared" si="15"/>
        <v>1031.225850167051</v>
      </c>
    </row>
    <row r="19" spans="1:35" ht="15" customHeight="1" x14ac:dyDescent="0.2">
      <c r="A19" t="s">
        <v>172</v>
      </c>
      <c r="B19">
        <f>IFERROR(INDEX(Engine!$B$2:$B$15,MATCH($A19,Engine!$A$2:$A$15,0)),1000)</f>
        <v>1030.3815983388336</v>
      </c>
      <c r="C19">
        <f>IFERROR(INDEX(Engine!$C$2:$C$15,MATCH($A19,Engine!$A$2:$A$15,0)),"")</f>
        <v>1062.5109663005026</v>
      </c>
      <c r="D19">
        <f t="shared" si="0"/>
        <v>8</v>
      </c>
      <c r="E19">
        <f t="shared" si="1"/>
        <v>137.8297452619106</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1030.3815983388336</v>
      </c>
      <c r="K19">
        <f t="shared" si="3"/>
        <v>8</v>
      </c>
      <c r="L19">
        <f t="shared" si="4"/>
        <v>0</v>
      </c>
      <c r="M19">
        <f t="shared" si="5"/>
        <v>0</v>
      </c>
      <c r="N19">
        <f t="shared" si="6"/>
        <v>2</v>
      </c>
      <c r="O19">
        <f t="shared" si="7"/>
        <v>0</v>
      </c>
      <c r="P19">
        <f>IFERROR(SUMPRODUCT(MAX(('Match Log'!$D$4:$D$810=$A19)*'Match Log'!$B$4:$B$810)),0)</f>
        <v>46188</v>
      </c>
      <c r="Q19">
        <f t="shared" si="8"/>
        <v>3.7142857142857144</v>
      </c>
      <c r="R19">
        <f>IF($P19=0,0,MAX($Q19-'Guide &amp; Settings'!$C$48,0)*'Guide &amp; Settings'!$C$49)</f>
        <v>0</v>
      </c>
      <c r="S19">
        <f>$B19-$R19-$U19+SUMIF('Poker Stake Ledger'!$C$18:$C$137,$A19,'Poker Stake Ledger'!$K$18:$K$137)</f>
        <v>1030.3815983388336</v>
      </c>
      <c r="T19" t="str">
        <f>IF($P19=0,"No games",IF($Q19&gt;='Guide &amp; Settings'!$C$48,"Inactive",IF($Q19&gt;='Guide &amp; Settings'!$C$47,"At risk","Active")))</f>
        <v>At risk</v>
      </c>
      <c r="U19">
        <f>SUMIF('Match Log'!$D$4:$D$810,$A19,'Match Log'!$AC$4:$AC$810)</f>
        <v>0</v>
      </c>
      <c r="V19">
        <f t="shared" si="9"/>
        <v>1</v>
      </c>
      <c r="W19">
        <f t="shared" si="10"/>
        <v>57.595399584708389</v>
      </c>
      <c r="X19">
        <f>IFERROR(INDEX(Dashboard!$G$5:$G$18,MATCH($A19,Dashboard!$B$5:$B$18,0))*100,0)</f>
        <v>50</v>
      </c>
      <c r="Y19">
        <f>MIN(100,IFERROR(INDEX(Dashboard!$K$5:$K$18,MATCH($A19,Dashboard!$B$5:$B$18,0)),0)/5*50+$AC19/4*50)</f>
        <v>22.5</v>
      </c>
      <c r="Z19">
        <f t="shared" si="11"/>
        <v>50</v>
      </c>
      <c r="AA19">
        <f t="shared" si="12"/>
        <v>65.62774157512564</v>
      </c>
      <c r="AB19">
        <f t="shared" si="13"/>
        <v>48.7211640121605</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4"/>
        <v>Unranked</v>
      </c>
      <c r="AG19">
        <f ca="1">COUNTIFS('Match Log'!$D$4:$D$810,$A19,'Match Log'!$B$4:$B$810,"&gt;="&amp;$B$5)</f>
        <v>0</v>
      </c>
      <c r="AH19">
        <f ca="1">COUNTIFS('Match Log'!$D$4:$D$810,$A19,'Match Log'!$B$4:$B$810,"&gt;="&amp;$B$5,'Match Log'!$E$4:$E$810,"Win")</f>
        <v>0</v>
      </c>
      <c r="AI19">
        <f t="shared" si="15"/>
        <v>1030.3816002388335</v>
      </c>
    </row>
    <row r="20" spans="1:35" ht="15" customHeight="1" x14ac:dyDescent="0.2">
      <c r="A20" t="s">
        <v>174</v>
      </c>
      <c r="B20">
        <f>IFERROR(INDEX(Engine!$B$2:$B$15,MATCH($A20,Engine!$A$2:$A$15,0)),1000)</f>
        <v>1000</v>
      </c>
      <c r="C20" t="str">
        <f>IFERROR(INDEX(Engine!$C$2:$C$15,MATCH($A20,Engine!$A$2:$A$15,0)),"")</f>
        <v/>
      </c>
      <c r="D20">
        <f t="shared" si="0"/>
        <v>11</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0</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t="str">
        <f>IFERROR(INDEX('Match Log'!$B$4:$B$810,MATCH(138,'Match Log'!$A$4:$A$810,0)),"")</f>
        <v/>
      </c>
      <c r="C162" t="str">
        <f>IFERROR(INDEX('Match Log'!$C$4:$C$810,MATCH(138,'Match Log'!$A$4:$A$810,0)),"")</f>
        <v/>
      </c>
      <c r="D162" t="str">
        <f t="array" ref="D162">IFERROR(_xlfn.TEXTJOIN(" + ",TRUE,IF(('Match Log'!$A$4:$A$810=$A162)*('Match Log'!$E$4:$E$810="Win"),'Match Log'!$D$4:$D$810,"")),IFERROR(LOOKUP(2,1/(('Match Log'!$A$4:$A$810=$A162)*('Match Log'!$E$4:$E$810="Win")),'Match Log'!$D$4:$D$810),""))</f>
        <v/>
      </c>
      <c r="E162" t="str">
        <f>IFERROR(INDEX('Match Log'!$F$4:$F$810,MATCH(138,'Match Log'!$A$4:$A$810,0)),"")</f>
        <v/>
      </c>
      <c r="F162">
        <f>IFERROR(SUMIFS('Match Log'!$I$4:$I$810,'Match Log'!$A$4:$A$810,138,'Match Log'!$E$4:$E$810,"Win"),"")</f>
        <v>0</v>
      </c>
      <c r="G162" t="str">
        <f t="shared" si="28"/>
        <v/>
      </c>
      <c r="H162" t="str">
        <f t="array" ref="H162">IFERROR(IF(COUNTIFS('Match Log'!$A$4:$A$810,$A162,'Match Log'!$E$4:$E$810,"Win")&gt;1,_xlfn.TEXTJOIN(" + ",TRUE,IF(('Match Log'!$A$4:$A$810=$A162)*('Match Log'!$E$4:$E$810="Loss"),'Match Log'!$D$4:$D$810,"")),IF($E162=2,LOOKUP(2,1/(('Match Log'!$A$4:$A$810=$A162)*('Match Log'!$E$4:$E$810="Loss")),'Match Log'!$D$4:$D$810),"the field")),"")</f>
        <v>the field</v>
      </c>
      <c r="I162" t="str">
        <f t="shared" si="29"/>
        <v/>
      </c>
      <c r="J162">
        <v>138</v>
      </c>
      <c r="K162" t="e">
        <f>IF($J162&gt;MAX('Match Log'!$A$4:$A$810),NA(),IFERROR(LOOKUP(2,1/(('Match Log'!$D$4:$D$810=$K$24)*('Match Log'!$A$4:$A$810&lt;=$J162)),'Match Log'!$N$4:$N$810),NA()))</f>
        <v>#N/A</v>
      </c>
      <c r="L162" t="e">
        <f>IF($J162&gt;MAX('Match Log'!$A$4:$A$810),NA(),IFERROR(LOOKUP(2,1/(('Match Log'!$D$4:$D$810=$L$24)*('Match Log'!$A$4:$A$810&lt;=$J162)),'Match Log'!$N$4:$N$810),NA()))</f>
        <v>#N/A</v>
      </c>
      <c r="M162" t="e">
        <f>IF($J162&gt;MAX('Match Log'!$A$4:$A$810),NA(),IFERROR(LOOKUP(2,1/(('Match Log'!$D$4:$D$810=$M$24)*('Match Log'!$A$4:$A$810&lt;=$J162)),'Match Log'!$N$4:$N$810),NA()))</f>
        <v>#N/A</v>
      </c>
      <c r="N162" t="e">
        <f>IF($J162&gt;MAX('Match Log'!$A$4:$A$810),NA(),IFERROR(LOOKUP(2,1/(('Match Log'!$D$4:$D$810=$N$24)*('Match Log'!$A$4:$A$810&lt;=$J162)),'Match Log'!$N$4:$N$810),NA()))</f>
        <v>#N/A</v>
      </c>
      <c r="O162" t="e">
        <f>IF($J162&gt;MAX('Match Log'!$A$4:$A$810),NA(),IFERROR(LOOKUP(2,1/(('Match Log'!$D$4:$D$810=$O$24)*('Match Log'!$A$4:$A$810&lt;=$J162)),'Match Log'!$N$4:$N$810),NA()))</f>
        <v>#N/A</v>
      </c>
      <c r="P162" t="e">
        <f>IF($J162&gt;MAX('Match Log'!$A$4:$A$810),NA(),IFERROR(LOOKUP(2,1/(('Match Log'!$D$4:$D$810=$P$24)*('Match Log'!$A$4:$A$810&lt;=$J162)),'Match Log'!$N$4:$N$810),NA()))</f>
        <v>#N/A</v>
      </c>
      <c r="Q162" t="e">
        <f>IF($J162&gt;MAX('Match Log'!$A$4:$A$810),NA(),IFERROR(LOOKUP(2,1/(('Match Log'!$D$4:$D$810=$Q$24)*('Match Log'!$A$4:$A$810&lt;=$J162)),'Match Log'!$N$4:$N$810),NA()))</f>
        <v>#N/A</v>
      </c>
      <c r="R162" t="e">
        <f>IF($J162&gt;MAX('Match Log'!$A$4:$A$810),NA(),IFERROR(LOOKUP(2,1/(('Match Log'!$D$4:$D$810=$R$24)*('Match Log'!$A$4:$A$810&lt;=$J162)),'Match Log'!$N$4:$N$810),NA()))</f>
        <v>#N/A</v>
      </c>
      <c r="S162" t="e">
        <f>IF($J162&gt;MAX('Match Log'!$A$4:$A$810),NA(),IFERROR(LOOKUP(2,1/(('Match Log'!$D$4:$D$810=$S$24)*('Match Log'!$A$4:$A$810&lt;=$J162)),'Match Log'!$N$4:$N$810),NA()))</f>
        <v>#N/A</v>
      </c>
      <c r="T162" t="e">
        <f>IF($J162&gt;MAX('Match Log'!$A$4:$A$810),NA(),IFERROR(LOOKUP(2,1/(('Match Log'!$D$4:$D$810=$T$24)*('Match Log'!$A$4:$A$810&lt;=$J162)),'Match Log'!$N$4:$N$810),NA()))</f>
        <v>#N/A</v>
      </c>
      <c r="U162" t="e">
        <f>IF($J162&gt;MAX('Match Log'!$A$4:$A$810),NA(),IFERROR(LOOKUP(2,1/(('Match Log'!$D$4:$D$810=$U$24)*('Match Log'!$A$4:$A$810&lt;=$J162)),'Match Log'!$N$4:$N$810),NA()))</f>
        <v>#N/A</v>
      </c>
      <c r="V162" t="e">
        <f>IF($J162&gt;MAX('Match Log'!$A$4:$A$810),NA(),IFERROR(LOOKUP(2,1/(('Match Log'!$D$4:$D$810=$V$24)*('Match Log'!$A$4:$A$810&lt;=$J162)),'Match Log'!$N$4:$N$810),NA()))</f>
        <v>#N/A</v>
      </c>
      <c r="W162" t="e">
        <f>IF($J162&gt;MAX('Match Log'!$A$4:$A$810),NA(),IFERROR(LOOKUP(2,1/(('Match Log'!$D$4:$D$810=$W$24)*('Match Log'!$A$4:$A$810&lt;=$J162)),'Match Log'!$N$4:$N$810),NA()))</f>
        <v>#N/A</v>
      </c>
      <c r="X162" t="e">
        <f>IF($J162&gt;MAX('Match Log'!$A$4:$A$810),NA(),IFERROR(LOOKUP(2,1/(('Match Log'!$D$4:$D$810=$X$24)*('Match Log'!$A$4:$A$810&lt;=$J162)),'Match Log'!$N$4:$N$810),NA()))</f>
        <v>#N/A</v>
      </c>
      <c r="Y162" t="str">
        <f t="shared" ca="1" si="30"/>
        <v/>
      </c>
    </row>
    <row r="163" spans="1:25" x14ac:dyDescent="0.2">
      <c r="A163">
        <v>139</v>
      </c>
      <c r="B163" t="str">
        <f>IFERROR(INDEX('Match Log'!$B$4:$B$810,MATCH(139,'Match Log'!$A$4:$A$810,0)),"")</f>
        <v/>
      </c>
      <c r="C163" t="str">
        <f>IFERROR(INDEX('Match Log'!$C$4:$C$810,MATCH(139,'Match Log'!$A$4:$A$810,0)),"")</f>
        <v/>
      </c>
      <c r="D163" t="str">
        <f t="array" ref="D163">IFERROR(_xlfn.TEXTJOIN(" + ",TRUE,IF(('Match Log'!$A$4:$A$810=$A163)*('Match Log'!$E$4:$E$810="Win"),'Match Log'!$D$4:$D$810,"")),IFERROR(LOOKUP(2,1/(('Match Log'!$A$4:$A$810=$A163)*('Match Log'!$E$4:$E$810="Win")),'Match Log'!$D$4:$D$810),""))</f>
        <v/>
      </c>
      <c r="E163" t="str">
        <f>IFERROR(INDEX('Match Log'!$F$4:$F$810,MATCH(139,'Match Log'!$A$4:$A$810,0)),"")</f>
        <v/>
      </c>
      <c r="F163">
        <f>IFERROR(SUMIFS('Match Log'!$I$4:$I$810,'Match Log'!$A$4:$A$810,139,'Match Log'!$E$4:$E$810,"Win"),"")</f>
        <v>0</v>
      </c>
      <c r="G163" t="str">
        <f t="shared" si="28"/>
        <v/>
      </c>
      <c r="H163" t="str">
        <f t="array" ref="H163">IFERROR(IF(COUNTIFS('Match Log'!$A$4:$A$810,$A163,'Match Log'!$E$4:$E$810,"Win")&gt;1,_xlfn.TEXTJOIN(" + ",TRUE,IF(('Match Log'!$A$4:$A$810=$A163)*('Match Log'!$E$4:$E$810="Loss"),'Match Log'!$D$4:$D$810,"")),IF($E163=2,LOOKUP(2,1/(('Match Log'!$A$4:$A$810=$A163)*('Match Log'!$E$4:$E$810="Loss")),'Match Log'!$D$4:$D$810),"the field")),"")</f>
        <v>the field</v>
      </c>
      <c r="I163" t="str">
        <f t="shared" si="29"/>
        <v/>
      </c>
      <c r="J163">
        <v>139</v>
      </c>
      <c r="K163" t="e">
        <f>IF($J163&gt;MAX('Match Log'!$A$4:$A$810),NA(),IFERROR(LOOKUP(2,1/(('Match Log'!$D$4:$D$810=$K$24)*('Match Log'!$A$4:$A$810&lt;=$J163)),'Match Log'!$N$4:$N$810),NA()))</f>
        <v>#N/A</v>
      </c>
      <c r="L163" t="e">
        <f>IF($J163&gt;MAX('Match Log'!$A$4:$A$810),NA(),IFERROR(LOOKUP(2,1/(('Match Log'!$D$4:$D$810=$L$24)*('Match Log'!$A$4:$A$810&lt;=$J163)),'Match Log'!$N$4:$N$810),NA()))</f>
        <v>#N/A</v>
      </c>
      <c r="M163" t="e">
        <f>IF($J163&gt;MAX('Match Log'!$A$4:$A$810),NA(),IFERROR(LOOKUP(2,1/(('Match Log'!$D$4:$D$810=$M$24)*('Match Log'!$A$4:$A$810&lt;=$J163)),'Match Log'!$N$4:$N$810),NA()))</f>
        <v>#N/A</v>
      </c>
      <c r="N163" t="e">
        <f>IF($J163&gt;MAX('Match Log'!$A$4:$A$810),NA(),IFERROR(LOOKUP(2,1/(('Match Log'!$D$4:$D$810=$N$24)*('Match Log'!$A$4:$A$810&lt;=$J163)),'Match Log'!$N$4:$N$810),NA()))</f>
        <v>#N/A</v>
      </c>
      <c r="O163" t="e">
        <f>IF($J163&gt;MAX('Match Log'!$A$4:$A$810),NA(),IFERROR(LOOKUP(2,1/(('Match Log'!$D$4:$D$810=$O$24)*('Match Log'!$A$4:$A$810&lt;=$J163)),'Match Log'!$N$4:$N$810),NA()))</f>
        <v>#N/A</v>
      </c>
      <c r="P163" t="e">
        <f>IF($J163&gt;MAX('Match Log'!$A$4:$A$810),NA(),IFERROR(LOOKUP(2,1/(('Match Log'!$D$4:$D$810=$P$24)*('Match Log'!$A$4:$A$810&lt;=$J163)),'Match Log'!$N$4:$N$810),NA()))</f>
        <v>#N/A</v>
      </c>
      <c r="Q163" t="e">
        <f>IF($J163&gt;MAX('Match Log'!$A$4:$A$810),NA(),IFERROR(LOOKUP(2,1/(('Match Log'!$D$4:$D$810=$Q$24)*('Match Log'!$A$4:$A$810&lt;=$J163)),'Match Log'!$N$4:$N$810),NA()))</f>
        <v>#N/A</v>
      </c>
      <c r="R163" t="e">
        <f>IF($J163&gt;MAX('Match Log'!$A$4:$A$810),NA(),IFERROR(LOOKUP(2,1/(('Match Log'!$D$4:$D$810=$R$24)*('Match Log'!$A$4:$A$810&lt;=$J163)),'Match Log'!$N$4:$N$810),NA()))</f>
        <v>#N/A</v>
      </c>
      <c r="S163" t="e">
        <f>IF($J163&gt;MAX('Match Log'!$A$4:$A$810),NA(),IFERROR(LOOKUP(2,1/(('Match Log'!$D$4:$D$810=$S$24)*('Match Log'!$A$4:$A$810&lt;=$J163)),'Match Log'!$N$4:$N$810),NA()))</f>
        <v>#N/A</v>
      </c>
      <c r="T163" t="e">
        <f>IF($J163&gt;MAX('Match Log'!$A$4:$A$810),NA(),IFERROR(LOOKUP(2,1/(('Match Log'!$D$4:$D$810=$T$24)*('Match Log'!$A$4:$A$810&lt;=$J163)),'Match Log'!$N$4:$N$810),NA()))</f>
        <v>#N/A</v>
      </c>
      <c r="U163" t="e">
        <f>IF($J163&gt;MAX('Match Log'!$A$4:$A$810),NA(),IFERROR(LOOKUP(2,1/(('Match Log'!$D$4:$D$810=$U$24)*('Match Log'!$A$4:$A$810&lt;=$J163)),'Match Log'!$N$4:$N$810),NA()))</f>
        <v>#N/A</v>
      </c>
      <c r="V163" t="e">
        <f>IF($J163&gt;MAX('Match Log'!$A$4:$A$810),NA(),IFERROR(LOOKUP(2,1/(('Match Log'!$D$4:$D$810=$V$24)*('Match Log'!$A$4:$A$810&lt;=$J163)),'Match Log'!$N$4:$N$810),NA()))</f>
        <v>#N/A</v>
      </c>
      <c r="W163" t="e">
        <f>IF($J163&gt;MAX('Match Log'!$A$4:$A$810),NA(),IFERROR(LOOKUP(2,1/(('Match Log'!$D$4:$D$810=$W$24)*('Match Log'!$A$4:$A$810&lt;=$J163)),'Match Log'!$N$4:$N$810),NA()))</f>
        <v>#N/A</v>
      </c>
      <c r="X163" t="e">
        <f>IF($J163&gt;MAX('Match Log'!$A$4:$A$810),NA(),IFERROR(LOOKUP(2,1/(('Match Log'!$D$4:$D$810=$X$24)*('Match Log'!$A$4:$A$810&lt;=$J163)),'Match Log'!$N$4:$N$810),NA()))</f>
        <v>#N/A</v>
      </c>
      <c r="Y163" t="str">
        <f t="shared" ca="1" si="30"/>
        <v/>
      </c>
    </row>
    <row r="164" spans="1:25" x14ac:dyDescent="0.2">
      <c r="A164">
        <v>140</v>
      </c>
      <c r="B164" t="str">
        <f>IFERROR(INDEX('Match Log'!$B$4:$B$810,MATCH(140,'Match Log'!$A$4:$A$810,0)),"")</f>
        <v/>
      </c>
      <c r="C164" t="str">
        <f>IFERROR(INDEX('Match Log'!$C$4:$C$810,MATCH(140,'Match Log'!$A$4:$A$810,0)),"")</f>
        <v/>
      </c>
      <c r="D164" t="str">
        <f t="array" ref="D164">IFERROR(_xlfn.TEXTJOIN(" + ",TRUE,IF(('Match Log'!$A$4:$A$810=$A164)*('Match Log'!$E$4:$E$810="Win"),'Match Log'!$D$4:$D$810,"")),IFERROR(LOOKUP(2,1/(('Match Log'!$A$4:$A$810=$A164)*('Match Log'!$E$4:$E$810="Win")),'Match Log'!$D$4:$D$810),""))</f>
        <v/>
      </c>
      <c r="E164" t="str">
        <f>IFERROR(INDEX('Match Log'!$F$4:$F$810,MATCH(140,'Match Log'!$A$4:$A$810,0)),"")</f>
        <v/>
      </c>
      <c r="F164">
        <f>IFERROR(SUMIFS('Match Log'!$I$4:$I$810,'Match Log'!$A$4:$A$810,140,'Match Log'!$E$4:$E$810,"Win"),"")</f>
        <v>0</v>
      </c>
      <c r="G164" t="str">
        <f t="shared" si="28"/>
        <v/>
      </c>
      <c r="H164" t="str">
        <f t="array" ref="H164">IFERROR(IF(COUNTIFS('Match Log'!$A$4:$A$810,$A164,'Match Log'!$E$4:$E$810,"Win")&gt;1,_xlfn.TEXTJOIN(" + ",TRUE,IF(('Match Log'!$A$4:$A$810=$A164)*('Match Log'!$E$4:$E$810="Loss"),'Match Log'!$D$4:$D$810,"")),IF($E164=2,LOOKUP(2,1/(('Match Log'!$A$4:$A$810=$A164)*('Match Log'!$E$4:$E$810="Loss")),'Match Log'!$D$4:$D$810),"the field")),"")</f>
        <v>the field</v>
      </c>
      <c r="I164" t="str">
        <f t="shared" si="29"/>
        <v/>
      </c>
      <c r="J164">
        <v>140</v>
      </c>
      <c r="K164" t="e">
        <f>IF($J164&gt;MAX('Match Log'!$A$4:$A$810),NA(),IFERROR(LOOKUP(2,1/(('Match Log'!$D$4:$D$810=$K$24)*('Match Log'!$A$4:$A$810&lt;=$J164)),'Match Log'!$N$4:$N$810),NA()))</f>
        <v>#N/A</v>
      </c>
      <c r="L164" t="e">
        <f>IF($J164&gt;MAX('Match Log'!$A$4:$A$810),NA(),IFERROR(LOOKUP(2,1/(('Match Log'!$D$4:$D$810=$L$24)*('Match Log'!$A$4:$A$810&lt;=$J164)),'Match Log'!$N$4:$N$810),NA()))</f>
        <v>#N/A</v>
      </c>
      <c r="M164" t="e">
        <f>IF($J164&gt;MAX('Match Log'!$A$4:$A$810),NA(),IFERROR(LOOKUP(2,1/(('Match Log'!$D$4:$D$810=$M$24)*('Match Log'!$A$4:$A$810&lt;=$J164)),'Match Log'!$N$4:$N$810),NA()))</f>
        <v>#N/A</v>
      </c>
      <c r="N164" t="e">
        <f>IF($J164&gt;MAX('Match Log'!$A$4:$A$810),NA(),IFERROR(LOOKUP(2,1/(('Match Log'!$D$4:$D$810=$N$24)*('Match Log'!$A$4:$A$810&lt;=$J164)),'Match Log'!$N$4:$N$810),NA()))</f>
        <v>#N/A</v>
      </c>
      <c r="O164" t="e">
        <f>IF($J164&gt;MAX('Match Log'!$A$4:$A$810),NA(),IFERROR(LOOKUP(2,1/(('Match Log'!$D$4:$D$810=$O$24)*('Match Log'!$A$4:$A$810&lt;=$J164)),'Match Log'!$N$4:$N$810),NA()))</f>
        <v>#N/A</v>
      </c>
      <c r="P164" t="e">
        <f>IF($J164&gt;MAX('Match Log'!$A$4:$A$810),NA(),IFERROR(LOOKUP(2,1/(('Match Log'!$D$4:$D$810=$P$24)*('Match Log'!$A$4:$A$810&lt;=$J164)),'Match Log'!$N$4:$N$810),NA()))</f>
        <v>#N/A</v>
      </c>
      <c r="Q164" t="e">
        <f>IF($J164&gt;MAX('Match Log'!$A$4:$A$810),NA(),IFERROR(LOOKUP(2,1/(('Match Log'!$D$4:$D$810=$Q$24)*('Match Log'!$A$4:$A$810&lt;=$J164)),'Match Log'!$N$4:$N$810),NA()))</f>
        <v>#N/A</v>
      </c>
      <c r="R164" t="e">
        <f>IF($J164&gt;MAX('Match Log'!$A$4:$A$810),NA(),IFERROR(LOOKUP(2,1/(('Match Log'!$D$4:$D$810=$R$24)*('Match Log'!$A$4:$A$810&lt;=$J164)),'Match Log'!$N$4:$N$810),NA()))</f>
        <v>#N/A</v>
      </c>
      <c r="S164" t="e">
        <f>IF($J164&gt;MAX('Match Log'!$A$4:$A$810),NA(),IFERROR(LOOKUP(2,1/(('Match Log'!$D$4:$D$810=$S$24)*('Match Log'!$A$4:$A$810&lt;=$J164)),'Match Log'!$N$4:$N$810),NA()))</f>
        <v>#N/A</v>
      </c>
      <c r="T164" t="e">
        <f>IF($J164&gt;MAX('Match Log'!$A$4:$A$810),NA(),IFERROR(LOOKUP(2,1/(('Match Log'!$D$4:$D$810=$T$24)*('Match Log'!$A$4:$A$810&lt;=$J164)),'Match Log'!$N$4:$N$810),NA()))</f>
        <v>#N/A</v>
      </c>
      <c r="U164" t="e">
        <f>IF($J164&gt;MAX('Match Log'!$A$4:$A$810),NA(),IFERROR(LOOKUP(2,1/(('Match Log'!$D$4:$D$810=$U$24)*('Match Log'!$A$4:$A$810&lt;=$J164)),'Match Log'!$N$4:$N$810),NA()))</f>
        <v>#N/A</v>
      </c>
      <c r="V164" t="e">
        <f>IF($J164&gt;MAX('Match Log'!$A$4:$A$810),NA(),IFERROR(LOOKUP(2,1/(('Match Log'!$D$4:$D$810=$V$24)*('Match Log'!$A$4:$A$810&lt;=$J164)),'Match Log'!$N$4:$N$810),NA()))</f>
        <v>#N/A</v>
      </c>
      <c r="W164" t="e">
        <f>IF($J164&gt;MAX('Match Log'!$A$4:$A$810),NA(),IFERROR(LOOKUP(2,1/(('Match Log'!$D$4:$D$810=$W$24)*('Match Log'!$A$4:$A$810&lt;=$J164)),'Match Log'!$N$4:$N$810),NA()))</f>
        <v>#N/A</v>
      </c>
      <c r="X164" t="e">
        <f>IF($J164&gt;MAX('Match Log'!$A$4:$A$810),NA(),IFERROR(LOOKUP(2,1/(('Match Log'!$D$4:$D$810=$X$24)*('Match Log'!$A$4:$A$810&lt;=$J164)),'Match Log'!$N$4:$N$810),NA()))</f>
        <v>#N/A</v>
      </c>
      <c r="Y164" t="str">
        <f t="shared" ca="1" si="30"/>
        <v/>
      </c>
    </row>
    <row r="165" spans="1:25" x14ac:dyDescent="0.2">
      <c r="A165">
        <v>141</v>
      </c>
      <c r="B165" t="str">
        <f>IFERROR(INDEX('Match Log'!$B$4:$B$810,MATCH(141,'Match Log'!$A$4:$A$810,0)),"")</f>
        <v/>
      </c>
      <c r="C165" t="str">
        <f>IFERROR(INDEX('Match Log'!$C$4:$C$810,MATCH(141,'Match Log'!$A$4:$A$810,0)),"")</f>
        <v/>
      </c>
      <c r="D165" t="str">
        <f t="array" ref="D165">IFERROR(_xlfn.TEXTJOIN(" + ",TRUE,IF(('Match Log'!$A$4:$A$810=$A165)*('Match Log'!$E$4:$E$810="Win"),'Match Log'!$D$4:$D$810,"")),IFERROR(LOOKUP(2,1/(('Match Log'!$A$4:$A$810=$A165)*('Match Log'!$E$4:$E$810="Win")),'Match Log'!$D$4:$D$810),""))</f>
        <v/>
      </c>
      <c r="E165" t="str">
        <f>IFERROR(INDEX('Match Log'!$F$4:$F$810,MATCH(141,'Match Log'!$A$4:$A$810,0)),"")</f>
        <v/>
      </c>
      <c r="F165">
        <f>IFERROR(SUMIFS('Match Log'!$I$4:$I$810,'Match Log'!$A$4:$A$810,141,'Match Log'!$E$4:$E$810,"Win"),"")</f>
        <v>0</v>
      </c>
      <c r="G165" t="str">
        <f t="shared" si="28"/>
        <v/>
      </c>
      <c r="H165" t="str">
        <f t="array" ref="H165">IFERROR(IF(COUNTIFS('Match Log'!$A$4:$A$810,$A165,'Match Log'!$E$4:$E$810,"Win")&gt;1,_xlfn.TEXTJOIN(" + ",TRUE,IF(('Match Log'!$A$4:$A$810=$A165)*('Match Log'!$E$4:$E$810="Loss"),'Match Log'!$D$4:$D$810,"")),IF($E165=2,LOOKUP(2,1/(('Match Log'!$A$4:$A$810=$A165)*('Match Log'!$E$4:$E$810="Loss")),'Match Log'!$D$4:$D$810),"the field")),"")</f>
        <v>the field</v>
      </c>
      <c r="I165" t="str">
        <f t="shared" si="29"/>
        <v/>
      </c>
      <c r="J165">
        <v>141</v>
      </c>
      <c r="K165" t="e">
        <f>IF($J165&gt;MAX('Match Log'!$A$4:$A$810),NA(),IFERROR(LOOKUP(2,1/(('Match Log'!$D$4:$D$810=$K$24)*('Match Log'!$A$4:$A$810&lt;=$J165)),'Match Log'!$N$4:$N$810),NA()))</f>
        <v>#N/A</v>
      </c>
      <c r="L165" t="e">
        <f>IF($J165&gt;MAX('Match Log'!$A$4:$A$810),NA(),IFERROR(LOOKUP(2,1/(('Match Log'!$D$4:$D$810=$L$24)*('Match Log'!$A$4:$A$810&lt;=$J165)),'Match Log'!$N$4:$N$810),NA()))</f>
        <v>#N/A</v>
      </c>
      <c r="M165" t="e">
        <f>IF($J165&gt;MAX('Match Log'!$A$4:$A$810),NA(),IFERROR(LOOKUP(2,1/(('Match Log'!$D$4:$D$810=$M$24)*('Match Log'!$A$4:$A$810&lt;=$J165)),'Match Log'!$N$4:$N$810),NA()))</f>
        <v>#N/A</v>
      </c>
      <c r="N165" t="e">
        <f>IF($J165&gt;MAX('Match Log'!$A$4:$A$810),NA(),IFERROR(LOOKUP(2,1/(('Match Log'!$D$4:$D$810=$N$24)*('Match Log'!$A$4:$A$810&lt;=$J165)),'Match Log'!$N$4:$N$810),NA()))</f>
        <v>#N/A</v>
      </c>
      <c r="O165" t="e">
        <f>IF($J165&gt;MAX('Match Log'!$A$4:$A$810),NA(),IFERROR(LOOKUP(2,1/(('Match Log'!$D$4:$D$810=$O$24)*('Match Log'!$A$4:$A$810&lt;=$J165)),'Match Log'!$N$4:$N$810),NA()))</f>
        <v>#N/A</v>
      </c>
      <c r="P165" t="e">
        <f>IF($J165&gt;MAX('Match Log'!$A$4:$A$810),NA(),IFERROR(LOOKUP(2,1/(('Match Log'!$D$4:$D$810=$P$24)*('Match Log'!$A$4:$A$810&lt;=$J165)),'Match Log'!$N$4:$N$810),NA()))</f>
        <v>#N/A</v>
      </c>
      <c r="Q165" t="e">
        <f>IF($J165&gt;MAX('Match Log'!$A$4:$A$810),NA(),IFERROR(LOOKUP(2,1/(('Match Log'!$D$4:$D$810=$Q$24)*('Match Log'!$A$4:$A$810&lt;=$J165)),'Match Log'!$N$4:$N$810),NA()))</f>
        <v>#N/A</v>
      </c>
      <c r="R165" t="e">
        <f>IF($J165&gt;MAX('Match Log'!$A$4:$A$810),NA(),IFERROR(LOOKUP(2,1/(('Match Log'!$D$4:$D$810=$R$24)*('Match Log'!$A$4:$A$810&lt;=$J165)),'Match Log'!$N$4:$N$810),NA()))</f>
        <v>#N/A</v>
      </c>
      <c r="S165" t="e">
        <f>IF($J165&gt;MAX('Match Log'!$A$4:$A$810),NA(),IFERROR(LOOKUP(2,1/(('Match Log'!$D$4:$D$810=$S$24)*('Match Log'!$A$4:$A$810&lt;=$J165)),'Match Log'!$N$4:$N$810),NA()))</f>
        <v>#N/A</v>
      </c>
      <c r="T165" t="e">
        <f>IF($J165&gt;MAX('Match Log'!$A$4:$A$810),NA(),IFERROR(LOOKUP(2,1/(('Match Log'!$D$4:$D$810=$T$24)*('Match Log'!$A$4:$A$810&lt;=$J165)),'Match Log'!$N$4:$N$810),NA()))</f>
        <v>#N/A</v>
      </c>
      <c r="U165" t="e">
        <f>IF($J165&gt;MAX('Match Log'!$A$4:$A$810),NA(),IFERROR(LOOKUP(2,1/(('Match Log'!$D$4:$D$810=$U$24)*('Match Log'!$A$4:$A$810&lt;=$J165)),'Match Log'!$N$4:$N$810),NA()))</f>
        <v>#N/A</v>
      </c>
      <c r="V165" t="e">
        <f>IF($J165&gt;MAX('Match Log'!$A$4:$A$810),NA(),IFERROR(LOOKUP(2,1/(('Match Log'!$D$4:$D$810=$V$24)*('Match Log'!$A$4:$A$810&lt;=$J165)),'Match Log'!$N$4:$N$810),NA()))</f>
        <v>#N/A</v>
      </c>
      <c r="W165" t="e">
        <f>IF($J165&gt;MAX('Match Log'!$A$4:$A$810),NA(),IFERROR(LOOKUP(2,1/(('Match Log'!$D$4:$D$810=$W$24)*('Match Log'!$A$4:$A$810&lt;=$J165)),'Match Log'!$N$4:$N$810),NA()))</f>
        <v>#N/A</v>
      </c>
      <c r="X165" t="e">
        <f>IF($J165&gt;MAX('Match Log'!$A$4:$A$810),NA(),IFERROR(LOOKUP(2,1/(('Match Log'!$D$4:$D$810=$X$24)*('Match Log'!$A$4:$A$810&lt;=$J165)),'Match Log'!$N$4:$N$810),NA()))</f>
        <v>#N/A</v>
      </c>
      <c r="Y165" t="str">
        <f t="shared" ca="1" si="30"/>
        <v/>
      </c>
    </row>
    <row r="166" spans="1:25" x14ac:dyDescent="0.2">
      <c r="A166">
        <v>142</v>
      </c>
      <c r="B166" t="str">
        <f>IFERROR(INDEX('Match Log'!$B$4:$B$810,MATCH(142,'Match Log'!$A$4:$A$810,0)),"")</f>
        <v/>
      </c>
      <c r="C166" t="str">
        <f>IFERROR(INDEX('Match Log'!$C$4:$C$810,MATCH(142,'Match Log'!$A$4:$A$810,0)),"")</f>
        <v/>
      </c>
      <c r="D166" t="str">
        <f t="array" ref="D166">IFERROR(_xlfn.TEXTJOIN(" + ",TRUE,IF(('Match Log'!$A$4:$A$810=$A166)*('Match Log'!$E$4:$E$810="Win"),'Match Log'!$D$4:$D$810,"")),IFERROR(LOOKUP(2,1/(('Match Log'!$A$4:$A$810=$A166)*('Match Log'!$E$4:$E$810="Win")),'Match Log'!$D$4:$D$810),""))</f>
        <v/>
      </c>
      <c r="E166" t="str">
        <f>IFERROR(INDEX('Match Log'!$F$4:$F$810,MATCH(142,'Match Log'!$A$4:$A$810,0)),"")</f>
        <v/>
      </c>
      <c r="F166">
        <f>IFERROR(SUMIFS('Match Log'!$I$4:$I$810,'Match Log'!$A$4:$A$810,142,'Match Log'!$E$4:$E$810,"Win"),"")</f>
        <v>0</v>
      </c>
      <c r="G166" t="str">
        <f t="shared" si="28"/>
        <v/>
      </c>
      <c r="H166" t="str">
        <f t="array" ref="H166">IFERROR(IF(COUNTIFS('Match Log'!$A$4:$A$810,$A166,'Match Log'!$E$4:$E$810,"Win")&gt;1,_xlfn.TEXTJOIN(" + ",TRUE,IF(('Match Log'!$A$4:$A$810=$A166)*('Match Log'!$E$4:$E$810="Loss"),'Match Log'!$D$4:$D$810,"")),IF($E166=2,LOOKUP(2,1/(('Match Log'!$A$4:$A$810=$A166)*('Match Log'!$E$4:$E$810="Loss")),'Match Log'!$D$4:$D$810),"the field")),"")</f>
        <v>the field</v>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 t="array" ref="D167">IFERROR(_xlfn.TEXTJOIN(" + ",TRUE,IF(('Match Log'!$A$4:$A$810=$A167)*('Match Log'!$E$4:$E$810="Win"),'Match Log'!$D$4:$D$810,"")),IFERROR(LOOKUP(2,1/(('Match Log'!$A$4:$A$810=$A167)*('Match Log'!$E$4:$E$810="Win")),'Match Log'!$D$4:$D$810),""))</f>
        <v/>
      </c>
      <c r="E167" t="str">
        <f>IFERROR(INDEX('Match Log'!$F$4:$F$810,MATCH(143,'Match Log'!$A$4:$A$810,0)),"")</f>
        <v/>
      </c>
      <c r="F167">
        <f>IFERROR(SUMIFS('Match Log'!$I$4:$I$810,'Match Log'!$A$4:$A$810,143,'Match Log'!$E$4:$E$810,"Win"),"")</f>
        <v>0</v>
      </c>
      <c r="G167" t="str">
        <f t="shared" si="28"/>
        <v/>
      </c>
      <c r="H167" t="str">
        <f t="array" ref="H167">IFERROR(IF(COUNTIFS('Match Log'!$A$4:$A$810,$A167,'Match Log'!$E$4:$E$810,"Win")&gt;1,_xlfn.TEXTJOIN(" + ",TRUE,IF(('Match Log'!$A$4:$A$810=$A167)*('Match Log'!$E$4:$E$810="Loss"),'Match Log'!$D$4:$D$810,"")),IF($E167=2,LOOKUP(2,1/(('Match Log'!$A$4:$A$810=$A167)*('Match Log'!$E$4:$E$810="Loss")),'Match Log'!$D$4:$D$810),"the field")),"")</f>
        <v>the field</v>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 t="array" ref="D168">IFERROR(_xlfn.TEXTJOIN(" + ",TRUE,IF(('Match Log'!$A$4:$A$810=$A168)*('Match Log'!$E$4:$E$810="Win"),'Match Log'!$D$4:$D$810,"")),IFERROR(LOOKUP(2,1/(('Match Log'!$A$4:$A$810=$A168)*('Match Log'!$E$4:$E$810="Win")),'Match Log'!$D$4:$D$810),""))</f>
        <v/>
      </c>
      <c r="E168" t="str">
        <f>IFERROR(INDEX('Match Log'!$F$4:$F$810,MATCH(144,'Match Log'!$A$4:$A$810,0)),"")</f>
        <v/>
      </c>
      <c r="F168">
        <f>IFERROR(SUMIFS('Match Log'!$I$4:$I$810,'Match Log'!$A$4:$A$810,144,'Match Log'!$E$4:$E$810,"Win"),"")</f>
        <v>0</v>
      </c>
      <c r="G168" t="str">
        <f t="shared" si="28"/>
        <v/>
      </c>
      <c r="H168" t="str">
        <f t="array" ref="H168">IFERROR(IF(COUNTIFS('Match Log'!$A$4:$A$810,$A168,'Match Log'!$E$4:$E$810,"Win")&gt;1,_xlfn.TEXTJOIN(" + ",TRUE,IF(('Match Log'!$A$4:$A$810=$A168)*('Match Log'!$E$4:$E$810="Loss"),'Match Log'!$D$4:$D$810,"")),IF($E168=2,LOOKUP(2,1/(('Match Log'!$A$4:$A$810=$A168)*('Match Log'!$E$4:$E$810="Loss")),'Match Log'!$D$4:$D$810),"the field")),"")</f>
        <v>the field</v>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 t="array" ref="D169">IFERROR(_xlfn.TEXTJOIN(" + ",TRUE,IF(('Match Log'!$A$4:$A$810=$A169)*('Match Log'!$E$4:$E$810="Win"),'Match Log'!$D$4:$D$810,"")),IFERROR(LOOKUP(2,1/(('Match Log'!$A$4:$A$810=$A169)*('Match Log'!$E$4:$E$810="Win")),'Match Log'!$D$4:$D$810),""))</f>
        <v/>
      </c>
      <c r="E169" t="str">
        <f>IFERROR(INDEX('Match Log'!$F$4:$F$810,MATCH(145,'Match Log'!$A$4:$A$810,0)),"")</f>
        <v/>
      </c>
      <c r="F169">
        <f>IFERROR(SUMIFS('Match Log'!$I$4:$I$810,'Match Log'!$A$4:$A$810,145,'Match Log'!$E$4:$E$810,"Win"),"")</f>
        <v>0</v>
      </c>
      <c r="G169" t="str">
        <f t="shared" si="28"/>
        <v/>
      </c>
      <c r="H169" t="str">
        <f t="array" ref="H169">IFERROR(IF(COUNTIFS('Match Log'!$A$4:$A$810,$A169,'Match Log'!$E$4:$E$810,"Win")&gt;1,_xlfn.TEXTJOIN(" + ",TRUE,IF(('Match Log'!$A$4:$A$810=$A169)*('Match Log'!$E$4:$E$810="Loss"),'Match Log'!$D$4:$D$810,"")),IF($E169=2,LOOKUP(2,1/(('Match Log'!$A$4:$A$810=$A169)*('Match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 t="array" ref="D170">IFERROR(_xlfn.TEXTJOIN(" + ",TRUE,IF(('Match Log'!$A$4:$A$810=$A170)*('Match Log'!$E$4:$E$810="Win"),'Match Log'!$D$4:$D$810,"")),IFERROR(LOOKUP(2,1/(('Match Log'!$A$4:$A$810=$A170)*('Match Log'!$E$4:$E$810="Win")),'Match Log'!$D$4:$D$810),""))</f>
        <v/>
      </c>
      <c r="E170" t="str">
        <f>IFERROR(INDEX('Match Log'!$F$4:$F$810,MATCH(146,'Match Log'!$A$4:$A$810,0)),"")</f>
        <v/>
      </c>
      <c r="F170">
        <f>IFERROR(SUMIFS('Match Log'!$I$4:$I$810,'Match Log'!$A$4:$A$810,146,'Match Log'!$E$4:$E$810,"Win"),"")</f>
        <v>0</v>
      </c>
      <c r="G170" t="str">
        <f t="shared" si="28"/>
        <v/>
      </c>
      <c r="H170" t="str">
        <f t="array" ref="H170">IFERROR(IF(COUNTIFS('Match Log'!$A$4:$A$810,$A170,'Match Log'!$E$4:$E$810,"Win")&gt;1,_xlfn.TEXTJOIN(" + ",TRUE,IF(('Match Log'!$A$4:$A$810=$A170)*('Match Log'!$E$4:$E$810="Loss"),'Match Log'!$D$4:$D$810,"")),IF($E170=2,LOOKUP(2,1/(('Match Log'!$A$4:$A$810=$A170)*('Match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 t="array" ref="D171">IFERROR(_xlfn.TEXTJOIN(" + ",TRUE,IF(('Match Log'!$A$4:$A$810=$A171)*('Match Log'!$E$4:$E$810="Win"),'Match Log'!$D$4:$D$810,"")),IFERROR(LOOKUP(2,1/(('Match Log'!$A$4:$A$810=$A171)*('Match Log'!$E$4:$E$810="Win")),'Match Log'!$D$4:$D$810),""))</f>
        <v/>
      </c>
      <c r="E171" t="str">
        <f>IFERROR(INDEX('Match Log'!$F$4:$F$810,MATCH(147,'Match Log'!$A$4:$A$810,0)),"")</f>
        <v/>
      </c>
      <c r="F171">
        <f>IFERROR(SUMIFS('Match Log'!$I$4:$I$810,'Match Log'!$A$4:$A$810,147,'Match Log'!$E$4:$E$810,"Win"),"")</f>
        <v>0</v>
      </c>
      <c r="G171" t="str">
        <f t="shared" si="28"/>
        <v/>
      </c>
      <c r="H171" t="str">
        <f t="array" ref="H171">IFERROR(IF(COUNTIFS('Match Log'!$A$4:$A$810,$A171,'Match Log'!$E$4:$E$810,"Win")&gt;1,_xlfn.TEXTJOIN(" + ",TRUE,IF(('Match Log'!$A$4:$A$810=$A171)*('Match Log'!$E$4:$E$810="Loss"),'Match Log'!$D$4:$D$810,"")),IF($E171=2,LOOKUP(2,1/(('Match Log'!$A$4:$A$810=$A171)*('Match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1131.7327279757073</v>
      </c>
      <c r="C2">
        <f>IFERROR(SUMPRODUCT(INDEX('Head-to-Head'!$B$22:$O$35,1,0),$D$2:$Q$2)/SUM(INDEX('Head-to-Head'!$B$22:$O$35,1,0)),"")</f>
        <v>1024.0260149619828</v>
      </c>
      <c r="D2">
        <f>$B$2</f>
        <v>1131.7327279757073</v>
      </c>
      <c r="E2">
        <f>$B$3</f>
        <v>1029.2201908859522</v>
      </c>
      <c r="F2">
        <f>$B$4</f>
        <v>1016.7837867075796</v>
      </c>
      <c r="G2">
        <f>$B$5</f>
        <v>981.92436608474441</v>
      </c>
      <c r="H2">
        <f>$B$6</f>
        <v>1129.7012289075892</v>
      </c>
      <c r="I2">
        <f>$B$7</f>
        <v>997.36259998776018</v>
      </c>
      <c r="J2">
        <f>$B$8</f>
        <v>1084.8903813508514</v>
      </c>
      <c r="K2">
        <f>$B$9</f>
        <v>1050.8634549674414</v>
      </c>
      <c r="L2">
        <f>$B$10</f>
        <v>1168.2113436007442</v>
      </c>
      <c r="M2">
        <f>$B$11</f>
        <v>893.03675187725173</v>
      </c>
      <c r="N2">
        <f>$B$12</f>
        <v>1058.6657209484931</v>
      </c>
      <c r="O2">
        <f>$B$13</f>
        <v>1031.225848367051</v>
      </c>
      <c r="P2">
        <f>$B$14</f>
        <v>1030.3815983388336</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1064.0051966015935</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1060.3838027507936</v>
      </c>
    </row>
    <row r="5" spans="1:17" ht="15" customHeight="1" x14ac:dyDescent="0.2">
      <c r="A5" t="s">
        <v>140</v>
      </c>
      <c r="B5">
        <f>IF(COUNTIF('Match Log'!$D$4:$D$810,$A5)=0,'Guide &amp; Settings'!$C$41,IFERROR(LOOKUP(2,1/('Match Log'!$D$4:$D$810=$A5),'Match Log'!$N$4:$N$810),'Guide &amp; Settings'!$C$41))</f>
        <v>981.92436608474441</v>
      </c>
      <c r="C5">
        <f>IFERROR(SUMPRODUCT(INDEX('Head-to-Head'!$B$22:$O$35,4,0),$D$2:$Q$2)/SUM(INDEX('Head-to-Head'!$B$22:$O$35,4,0)),"")</f>
        <v>1075.3510760997674</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1037.2383023711334</v>
      </c>
    </row>
    <row r="7" spans="1:17" ht="15" customHeight="1" x14ac:dyDescent="0.2">
      <c r="A7" t="s">
        <v>134</v>
      </c>
      <c r="B7">
        <f>IF(COUNTIF('Match Log'!$D$4:$D$810,$A7)=0,'Guide &amp; Settings'!$C$41,IFERROR(LOOKUP(2,1/('Match Log'!$D$4:$D$810=$A7),'Match Log'!$N$4:$N$810),'Guide &amp; Settings'!$C$41))</f>
        <v>997.36259998776018</v>
      </c>
      <c r="C7">
        <f>IFERROR(SUMPRODUCT(INDEX('Head-to-Head'!$B$22:$O$35,6,0),$D$2:$Q$2)/SUM(INDEX('Head-to-Head'!$B$22:$O$35,6,0)),"")</f>
        <v>1086.05073375028</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1054.1734744168207</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1061.3598545136369</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1051.9558839854085</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1083.8773467260505</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1055.3113468209158</v>
      </c>
    </row>
    <row r="13" spans="1:17" ht="15" customHeight="1" x14ac:dyDescent="0.2">
      <c r="A13" t="s">
        <v>171</v>
      </c>
      <c r="B13">
        <f>IF(COUNTIF('Match Log'!$D$4:$D$810,$A13)=0,'Guide &amp; Settings'!$C$41,IFERROR(LOOKUP(2,1/('Match Log'!$D$4:$D$810=$A13),'Match Log'!$N$4:$N$810),'Guide &amp; Settings'!$C$41))</f>
        <v>1031.225848367051</v>
      </c>
      <c r="C13">
        <f>IFERROR(SUMPRODUCT(INDEX('Head-to-Head'!$B$22:$O$35,12,0),$D$2:$Q$2)/SUM(INDEX('Head-to-Head'!$B$22:$O$35,12,0)),"")</f>
        <v>1051.9562851744297</v>
      </c>
    </row>
    <row r="14" spans="1:17" ht="15" customHeight="1" x14ac:dyDescent="0.2">
      <c r="A14" t="s">
        <v>172</v>
      </c>
      <c r="B14">
        <f>IF(COUNTIF('Match Log'!$D$4:$D$810,$A14)=0,'Guide &amp; Settings'!$C$41,IFERROR(LOOKUP(2,1/('Match Log'!$D$4:$D$810=$A14),'Match Log'!$N$4:$N$810),'Guide &amp; Settings'!$C$41))</f>
        <v>1030.3815983388336</v>
      </c>
      <c r="C14">
        <f>IFERROR(SUMPRODUCT(INDEX('Head-to-Head'!$B$22:$O$35,13,0),$D$2:$Q$2)/SUM(INDEX('Head-to-Head'!$B$22:$O$35,13,0)),"")</f>
        <v>1062.5109663005026</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2026-07-10T23:29:16Z</dcterms:modified>
  <dc:language>en-US</dc:language>
</cp:coreProperties>
</file>